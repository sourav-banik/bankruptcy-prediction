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urity_List" sheetId="1" r:id="rId1"/>
    <sheet name="NB_2481_SELLAS Life Sciences Gr" sheetId="2" r:id="rId2"/>
    <sheet name="NB_2482_Solesence Inc. Common S" sheetId="3" r:id="rId3"/>
    <sheet name="NB_2483_Sylvamo Corporation Com" sheetId="4" r:id="rId4"/>
    <sheet name="NB_2484_SM Energy Company Commo" sheetId="5" r:id="rId5"/>
    <sheet name="NB_2485_Summit Midstream Corpor" sheetId="6" r:id="rId6"/>
    <sheet name="NB_2486_Super Micro Computer In" sheetId="7" r:id="rId7"/>
    <sheet name="NB_2487_Super Micro Computer In" sheetId="8" r:id="rId8"/>
    <sheet name="NB_2488_Scotts Miracle-Gro Comp" sheetId="9" r:id="rId9"/>
    <sheet name="NB_2489_SEACOR Marine Holdings " sheetId="10" r:id="rId10"/>
    <sheet name="NB_2490_Smith-Midland Corporati" sheetId="11" r:id="rId11"/>
    <sheet name="NB_2491_Summit Therapeutics Inc" sheetId="12" r:id="rId12"/>
    <sheet name="NB_2492_Standard Motor Products" sheetId="13" r:id="rId13"/>
    <sheet name="NB_2493_The Simply Good Foods C" sheetId="14" r:id="rId14"/>
    <sheet name="NB_2494_NuScale Power Corporati" sheetId="15" r:id="rId15"/>
    <sheet name="NB_2495_SmartRent Inc. Class A " sheetId="16" r:id="rId16"/>
    <sheet name="NB_2496_Smith Micro Software In" sheetId="17" r:id="rId17"/>
    <sheet name="NB_2497_Semtech Corporation Com" sheetId="18" r:id="rId18"/>
    <sheet name="NB_2498_Sanara MedTech Inc. Com" sheetId="19" r:id="rId19"/>
    <sheet name="NB_2499_SmartKem Inc. Common St" sheetId="20" r:id="rId20"/>
    <sheet name="NB_2500_Solarmax Technology Inc" sheetId="21" r:id="rId21"/>
    <sheet name="NB_2501_SharkNinja Inc. Ordinar" sheetId="22" r:id="rId22"/>
    <sheet name="NB_2502_Snap-On Incorporated Co" sheetId="23" r:id="rId23"/>
    <sheet name="NB_2503_Snail Inc. Class A Comm" sheetId="24" r:id="rId24"/>
    <sheet name="NB_2504_Snap Inc. Class A Commo" sheetId="25" r:id="rId25"/>
    <sheet name="NB_2505_Smart Sand Inc. Common " sheetId="26" r:id="rId26"/>
    <sheet name="NB_2506_Sonida Senior Living In" sheetId="27" r:id="rId27"/>
    <sheet name="NB_2507_Sandisk Corporation Com" sheetId="28" r:id="rId28"/>
    <sheet name="NB_2508_Schneider National Inc." sheetId="29" r:id="rId29"/>
    <sheet name="NB_2509_Syndax Pharmaceuticals " sheetId="30" r:id="rId30"/>
    <sheet name="NB_2510_SenesTech Inc. Common S" sheetId="31" r:id="rId31"/>
    <sheet name="NB_2511_Soligenix Inc. Common S" sheetId="32" r:id="rId32"/>
    <sheet name="NB_2512_Sonoma Pharmaceuticals " sheetId="33" r:id="rId33"/>
    <sheet name="NB_2513_Snowflake Inc. Common S" sheetId="34" r:id="rId34"/>
    <sheet name="NB_2514_Synopsys Inc. Common St" sheetId="35" r:id="rId35"/>
    <sheet name="NB_2515_Senti Biosciences Holdi" sheetId="36" r:id="rId36"/>
    <sheet name="NB_2516_SANUWAVE Health Inc. Co" sheetId="37" r:id="rId37"/>
    <sheet name="NB_2517_TD SYNNEX Corporation C" sheetId="38" r:id="rId38"/>
    <sheet name="NB_2518_Southern Company (The) " sheetId="39" r:id="rId39"/>
    <sheet name="NB_2519_Sable Offshore Corp. Co" sheetId="40" r:id="rId40"/>
    <sheet name="NB_2520_Southern Company (The) " sheetId="41" r:id="rId41"/>
    <sheet name="NB_2521_Southern Company (The) " sheetId="42" r:id="rId42"/>
    <sheet name="NB_2522_Southern Company (The) " sheetId="43" r:id="rId43"/>
    <sheet name="NB_2523_Southern Company (The) " sheetId="44" r:id="rId44"/>
    <sheet name="NB_2524_Solstice Advanced Mater" sheetId="45" r:id="rId45"/>
    <sheet name="NB_2525_Solventum Corporation C" sheetId="46" r:id="rId46"/>
    <sheet name="NB_2526_Southern Company (The) " sheetId="47" r:id="rId47"/>
    <sheet name="NB_2527_Sonoco Products Company" sheetId="48" r:id="rId48"/>
    <sheet name="NB_2528_DNA X Inc. Common Stock" sheetId="49" r:id="rId49"/>
    <sheet name="NB_2529_Sonos Inc. Common Stock" sheetId="50" r:id="rId50"/>
    <sheet name="NB_2530_Sono-Tek Corporation Co" sheetId="51" r:id="rId51"/>
    <sheet name="NB_2531_SoundHound AI Inc Class" sheetId="52" r:id="rId52"/>
    <sheet name="NB_2532_SoundHound AI Inc. Warr" sheetId="53" r:id="rId53"/>
    <sheet name="NB_2533_Sow Good Inc. Common St" sheetId="54" r:id="rId54"/>
    <sheet name="NB_2534_Safe Pro Group Inc. Com" sheetId="55" r:id="rId55"/>
    <sheet name="NB_2535_Virgin Galactic Holding" sheetId="56" r:id="rId56"/>
    <sheet name="NB_2536_Space Exploration Techn" sheetId="57" r:id="rId57"/>
    <sheet name="NB_2537_Suburban Propane Partne" sheetId="58" r:id="rId58"/>
    <sheet name="NB_2538_Sphere Entertainment Co" sheetId="59" r:id="rId59"/>
    <sheet name="NB_2539_Spire Global Inc. Class" sheetId="60" r:id="rId60"/>
    <sheet name="NB_2540_Spok Holdings Inc. Comm" sheetId="61" r:id="rId61"/>
    <sheet name="NB_2541_Spruce Biosciences Inc." sheetId="62" r:id="rId62"/>
    <sheet name="NB_2542_Spero Therapeutics Inc." sheetId="63" r:id="rId63"/>
    <sheet name="NB_2543_Spruce Power Holding Co" sheetId="64" r:id="rId64"/>
    <sheet name="NB_2544_ARS Pharmaceuticals Inc" sheetId="65" r:id="rId65"/>
    <sheet name="NB_2545_SPS Commerce Inc. Commo" sheetId="66" r:id="rId66"/>
    <sheet name="NB_2546_Sprout Social Inc Class" sheetId="67" r:id="rId67"/>
    <sheet name="NB_2547_Seaport Therapeutics In" sheetId="68" r:id="rId68"/>
    <sheet name="NB_2548_Sportsman's Warehouse H" sheetId="69" r:id="rId69"/>
    <sheet name="NB_2549_SunPower Inc. Common St" sheetId="70" r:id="rId70"/>
    <sheet name="NB_2550_SunPower Inc. Warrants" sheetId="71" r:id="rId71"/>
    <sheet name="NB_2551_SPX Technologies Inc. C" sheetId="72" r:id="rId72"/>
    <sheet name="NB_2552_Spire Inc. Common Stock" sheetId="73" r:id="rId73"/>
    <sheet name="NB_2553_DBA Sempra Common Stock" sheetId="74" r:id="rId74"/>
    <sheet name="NB_2554_DBA Sempra 5.750% Junio" sheetId="75" r:id="rId75"/>
    <sheet name="NB_2555_Surf Air Mobility Inc. " sheetId="76" r:id="rId76"/>
    <sheet name="NB_2556_Stoneridge Inc. Common " sheetId="77" r:id="rId77"/>
    <sheet name="NB_2557_Spire Inc. 6.375% Junio" sheetId="78" r:id="rId78"/>
    <sheet name="NB_2558_Sarepta Therapeutics In" sheetId="79" r:id="rId79"/>
    <sheet name="NB_2559_Scholar Rock Holding Co" sheetId="80" r:id="rId80"/>
    <sheet name="NB_2560_Strata Critical Medical" sheetId="81" r:id="rId81"/>
    <sheet name="NB_2561_Sensus Healthcare Inc. " sheetId="82" r:id="rId82"/>
    <sheet name="NB_2562_Surrozen Inc. Common St" sheetId="83" r:id="rId83"/>
    <sheet name="NB_2563_Simpson Manufacturing C" sheetId="84" r:id="rId84"/>
    <sheet name="NB_2564_SS&amp;C Technologies Holdi" sheetId="85" r:id="rId85"/>
    <sheet name="NB_2565_E.W. Scripps Company (T" sheetId="86" r:id="rId86"/>
    <sheet name="NB_2566_System1 Inc. Class A Co" sheetId="87" r:id="rId87"/>
    <sheet name="NB_2567_SoundThinking Inc. Comm" sheetId="88" r:id="rId88"/>
    <sheet name="NB_2568_Shutterstock Inc. Commo" sheetId="89" r:id="rId89"/>
    <sheet name="NB_2569_Stratasys Ltd. Ordinary" sheetId="90" r:id="rId90"/>
    <sheet name="NB_2570_STAAR Surgical Company " sheetId="91" r:id="rId91"/>
    <sheet name="NB_2571_STERIS plc (Ireland) Or" sheetId="92" r:id="rId92"/>
    <sheet name="NB_2572_Stem Inc. Class A Commo" sheetId="93" r:id="rId93"/>
    <sheet name="NB_2573_Neuronetics Inc. Common" sheetId="94" r:id="rId94"/>
    <sheet name="NB_2574_The ONE Group Hospitali" sheetId="95" r:id="rId95"/>
    <sheet name="NB_2575_Steel Dynamics Inc." sheetId="96" r:id="rId96"/>
    <sheet name="NB_2576_Starling Oncology Inc. " sheetId="97" r:id="rId97"/>
    <sheet name="NB_2577_Starling Oncology Inc. " sheetId="98" r:id="rId98"/>
    <sheet name="NB_2578_Stoke Therapeutics Inc." sheetId="99" r:id="rId99"/>
    <sheet name="NB_2579_Strategy Inc Variable R" sheetId="100" r:id="rId100"/>
    <sheet name="NB_2580_Strategy Inc 10.00% Ser" sheetId="101" r:id="rId101"/>
    <sheet name="NB_2581_Strategy Inc 10.00% Ser" sheetId="102" r:id="rId102"/>
    <sheet name="NB_2582_Strategy Inc 8.00% Seri" sheetId="103" r:id="rId103"/>
    <sheet name="NB_2583_Sterling Infrastructure" sheetId="104" r:id="rId104"/>
    <sheet name="NB_2584_Sutro Biopharma Inc. Co" sheetId="105" r:id="rId105"/>
    <sheet name="NB_2585_Star Equity Holdings In" sheetId="106" r:id="rId106"/>
    <sheet name="NB_2586_Star Equity Holdings In" sheetId="107" r:id="rId107"/>
    <sheet name="NB_2587_STRATTEC SECURITY CORPO" sheetId="108" r:id="rId108"/>
    <sheet name="NB_2588_Starz Entertainment Cor" sheetId="109" r:id="rId109"/>
    <sheet name="NB_2589_Shattuck Labs Inc. Comm" sheetId="110" r:id="rId110"/>
    <sheet name="NB_2590_StubHub Holdings Inc. C" sheetId="111" r:id="rId111"/>
    <sheet name="NB_2591_Stereotaxis Inc. Common" sheetId="112" r:id="rId112"/>
    <sheet name="NB_2592_Constellation Brands In" sheetId="113" r:id="rId113"/>
    <sheet name="NB_2593_Suja Life Inc. Class A " sheetId="114" r:id="rId114"/>
    <sheet name="NB_2594_Sunoco LP Common Units " sheetId="115" r:id="rId115"/>
    <sheet name="NB_2595_SUNation Energy Inc. Co" sheetId="116" r:id="rId116"/>
    <sheet name="NB_2596_Supernus Pharmaceutical" sheetId="117" r:id="rId117"/>
    <sheet name="NB_2597_SurgePays Inc. Common S" sheetId="118" r:id="rId118"/>
    <sheet name="NB_2598_Silvaco Group Inc. Comm" sheetId="119" r:id="rId119"/>
    <sheet name="NB_2599_Savara Inc. Common Stoc" sheetId="120" r:id="rId120"/>
    <sheet name="NB_2600_Savers Value Village In" sheetId="121" r:id="rId121"/>
    <sheet name="NB_2601_Stran &amp; Company Inc. Co" sheetId="122" r:id="rId122"/>
    <sheet name="NB_2602_Stran &amp; Company Inc. Wa" sheetId="123" r:id="rId123"/>
    <sheet name="NB_2603_Smith &amp; Wesson Brands I" sheetId="124" r:id="rId124"/>
    <sheet name="NB_2604_Latham Group Inc. Commo" sheetId="125" r:id="rId125"/>
    <sheet name="NB_2605_Stanley Black &amp; Decker " sheetId="126" r:id="rId126"/>
    <sheet name="NB_2606_Skyworks Solutions Inc." sheetId="127" r:id="rId127"/>
    <sheet name="NB_2607_Swarmer Inc Common Stoc" sheetId="128" r:id="rId128"/>
    <sheet name="NB_2608_Southwest Gas Holdings " sheetId="129" r:id="rId129"/>
    <sheet name="NB_2609_SunCoke Energy Inc. Com" sheetId="130" r:id="rId130"/>
    <sheet name="NB_2610_Standex International C" sheetId="131" r:id="rId131"/>
    <sheet name="NB_2611_Sensient Technologies C" sheetId="132" r:id="rId132"/>
    <sheet name="NB_2612_60 Degrees Pharmaceutic" sheetId="133" r:id="rId133"/>
    <sheet name="NB_2613_60 Degrees Pharmaceutic" sheetId="134" r:id="rId134"/>
    <sheet name="NB_2614_Stryker Corporation Com" sheetId="135" r:id="rId135"/>
    <sheet name="NB_2615_Symbotic Inc. Class A C" sheetId="136" r:id="rId136"/>
    <sheet name="NB_2616_Synaptics Incorporated " sheetId="137" r:id="rId137"/>
    <sheet name="NB_2617_Sypris Solutions Inc. C" sheetId="138" r:id="rId138"/>
    <sheet name="NB_2618_Spyre Therapeutics Inc." sheetId="139" r:id="rId139"/>
    <sheet name="NB_2619_Sysco Corporation Commo" sheetId="140" r:id="rId140"/>
    <sheet name="NB_2620_AT&amp;T Inc." sheetId="141" r:id="rId141"/>
    <sheet name="NB_2621_TransAct Technologies I" sheetId="142" r:id="rId142"/>
    <sheet name="NB_2622_Talos Energy Inc. Commo" sheetId="143" r:id="rId143"/>
    <sheet name="NB_2623_Protara Therapeutics In" sheetId="144" r:id="rId144"/>
    <sheet name="NB_2624_Tarsus Pharmaceuticals " sheetId="145" r:id="rId145"/>
    <sheet name="NB_2625_TaskUs Inc. Class A Com" sheetId="146" r:id="rId146"/>
    <sheet name="NB_2626_Taylor Devices Inc. Com" sheetId="147" r:id="rId147"/>
    <sheet name="NB_2627_AT&amp;T Inc. 5.350% Global" sheetId="148" r:id="rId148"/>
    <sheet name="NB_2628_Turtle Beach Corporatio" sheetId="149" r:id="rId149"/>
    <sheet name="NB_2629_TrueBlue Inc. Common St" sheetId="150" r:id="rId150"/>
    <sheet name="NB_2630_Tactile Systems Technol" sheetId="151" r:id="rId151"/>
    <sheet name="NB_2631_Alaunos Therapeutics In" sheetId="152" r:id="rId152"/>
    <sheet name="NB_2632_TScan Therapeutics Inc." sheetId="153" r:id="rId153"/>
    <sheet name="NB_2633_USA TODAY Co. Inc. Comm" sheetId="154" r:id="rId154"/>
    <sheet name="NB_2634_Teradata Corporation Co" sheetId="155" r:id="rId155"/>
    <sheet name="NB_2635_Transdigm Group Incorpo" sheetId="156" r:id="rId156"/>
    <sheet name="NB_2636_Teladoc Health Inc. Com" sheetId="157" r:id="rId157"/>
    <sheet name="NB_2637_Telephone and Data Syst" sheetId="158" r:id="rId158"/>
    <sheet name="NB_2638_ThredUp Inc. Class A Co" sheetId="159" r:id="rId159"/>
    <sheet name="NB_2639_Tidewater Inc. Common S" sheetId="160" r:id="rId160"/>
    <sheet name="NB_2640_Teledyne Technologies I" sheetId="161" r:id="rId161"/>
    <sheet name="NB_2641_Teads Holding Co. Commo" sheetId="162" r:id="rId162"/>
    <sheet name="NB_2642_Bio-Techne Corp Common " sheetId="163" r:id="rId163"/>
    <sheet name="NB_2643_Tectonic Therapeutic In" sheetId="164" r:id="rId164"/>
    <sheet name="NB_2644_TELA Bio Inc. Common St" sheetId="165" r:id="rId165"/>
    <sheet name="NB_2645_Telomir Pharmaceuticals" sheetId="166" r:id="rId166"/>
    <sheet name="NB_2646_Tempus AI Inc. Class A " sheetId="167" r:id="rId167"/>
    <sheet name="NB_2647_Tenable Holdings Inc. C" sheetId="168" r:id="rId168"/>
    <sheet name="NB_2648_Tenax Therapeutics Inc." sheetId="169" r:id="rId169"/>
    <sheet name="NB_2649_Teradyne Inc. Common St" sheetId="170" r:id="rId170"/>
    <sheet name="NB_2650_Terex Corporation Commo" sheetId="171" r:id="rId171"/>
    <sheet name="NB_2651_Teleflex Incorporated C" sheetId="172" r:id="rId172"/>
    <sheet name="NB_2652_Tredegar Corporation Co" sheetId="173" r:id="rId173"/>
    <sheet name="NB_2653_Tecogen Inc. Common Sto" sheetId="174" r:id="rId174"/>
    <sheet name="NB_2654_Treasure Global Inc. Co" sheetId="175" r:id="rId175"/>
    <sheet name="NB_2655_Target Corporation Comm" sheetId="176" r:id="rId176"/>
    <sheet name="NB_2656_TG Therapeutics Inc. Co" sheetId="177" r:id="rId177"/>
    <sheet name="NB_2657_Target Hospitality Corp" sheetId="178" r:id="rId178"/>
    <sheet name="NB_2658_Tenet Healthcare Corpor" sheetId="179" r:id="rId179"/>
    <sheet name="NB_2659_Thor Industries Inc. Co" sheetId="180" r:id="rId180"/>
    <sheet name="NB_2660_Gentherm Inc Common Sto" sheetId="181" r:id="rId181"/>
    <sheet name="NB_2661_Thryv Holdings Inc. Com" sheetId="182" r:id="rId182"/>
    <sheet name="NB_2662_TIC Solutions Inc. Comm" sheetId="183" r:id="rId183"/>
    <sheet name="NB_2663_Instil Bio Inc. Common " sheetId="184" r:id="rId184"/>
    <sheet name="NB_2664_Interface Inc. Common S" sheetId="185" r:id="rId185"/>
    <sheet name="NB_2665_Team Inc. Common Stock" sheetId="186" r:id="rId186"/>
    <sheet name="NB_2666_Titan Machinery Inc. Co" sheetId="187" r:id="rId187"/>
    <sheet name="NB_2667_TJX Companies Inc. (The" sheetId="188" r:id="rId188"/>
    <sheet name="NB_2668_Alpha Teknova Inc. Comm" sheetId="189" r:id="rId189"/>
    <sheet name="NB_2669_TKO Group Holdings Inc." sheetId="190" r:id="rId190"/>
    <sheet name="NB_2670_Timken Company (The) Co" sheetId="191" r:id="rId191"/>
    <sheet name="NB_2671_Tandy Leather Factory I" sheetId="192" r:id="rId192"/>
    <sheet name="NB_2672_Talen Energy Corporatio" sheetId="193" r:id="rId193"/>
    <sheet name="NB_2673_Talphera Inc. Common St" sheetId="194" r:id="rId194"/>
    <sheet name="NB_2674_Tilray Brands Inc. Comm" sheetId="195" r:id="rId195"/>
    <sheet name="NB_2675_Telos Corporation Commo" sheetId="196" r:id="rId196"/>
    <sheet name="NB_2676_TriSalus Life Sciences " sheetId="197" r:id="rId197"/>
    <sheet name="NB_2677_TriSalus Life Sciences " sheetId="198" r:id="rId198"/>
    <sheet name="NB_2678_Tilly's Inc. Common Sto" sheetId="199" r:id="rId199"/>
    <sheet name="NB_2679_Treace Medical Concepts" sheetId="200" r:id="rId200"/>
    <sheet name="NB_2680_TransMedics Group Inc. " sheetId="201" r:id="rId201"/>
    <sheet name="NB_2681_Tencent Music Entertain" sheetId="202" r:id="rId202"/>
    <sheet name="NB_2682_Thermo Fisher Scientifi" sheetId="203" r:id="rId203"/>
    <sheet name="NB_2683_T-Mobile US Inc. Common" sheetId="204" r:id="rId204"/>
    <sheet name="NB_2684_T-Mobile US Inc. 5.500%" sheetId="205" r:id="rId205"/>
    <sheet name="NB_2685_T-Mobile US Inc. 6.250%" sheetId="206" r:id="rId206"/>
    <sheet name="NB_2686_T-Mobile US Inc. 5.500%" sheetId="207" r:id="rId207"/>
    <sheet name="NB_2687_Tennant Company Common " sheetId="208" r:id="rId208"/>
    <sheet name="NB_2688_Tandem Diabetes Care In" sheetId="209" r:id="rId209"/>
    <sheet name="NB_2689_TriNet Group Inc. Commo" sheetId="210" r:id="rId210"/>
    <sheet name="NB_2690_Tango Therapeutics Inc." sheetId="211" r:id="rId211"/>
    <sheet name="NB_2691_Travel   Leisure Co. Co" sheetId="212" r:id="rId212"/>
    <sheet name="NB_2692_Tenon Medical Inc. Comm" sheetId="213" r:id="rId213"/>
    <sheet name="NB_2693_Tenon Medical Inc. Warr" sheetId="214" r:id="rId214"/>
    <sheet name="NB_2694_Tonix Pharmaceuticals H" sheetId="215" r:id="rId215"/>
    <sheet name="NB_2695_Tenaya Therapeutics Inc" sheetId="216" r:id="rId216"/>
    <sheet name="NB_2696_Toll Brothers Inc. Comm" sheetId="217" r:id="rId217"/>
    <sheet name="NB_2697_TOMI Environmental Solu" sheetId="218" r:id="rId218"/>
    <sheet name="NB_2698_Kartoon Studios Inc. Co" sheetId="219" r:id="rId219"/>
    <sheet name="NB_2699_Toast Inc. Class A Comm" sheetId="220" r:id="rId220"/>
    <sheet name="NB_2700_Theriva Biologics Inc. " sheetId="221" r:id="rId221"/>
    <sheet name="NB_2701_Turning Point Brands In" sheetId="222" r:id="rId222"/>
    <sheet name="NB_2702_Tutor Perini Corporatio" sheetId="223" r:id="rId223"/>
    <sheet name="NB_2703_TechPrecision Corporati" sheetId="224" r:id="rId224"/>
    <sheet name="NB_2704_Texas Pacific Land Corp" sheetId="225" r:id="rId225"/>
    <sheet name="NB_2705_Tapestry Inc. Common St" sheetId="226" r:id="rId226"/>
    <sheet name="NB_2706_Tempest Therapeutics In" sheetId="227" r:id="rId227"/>
    <sheet name="NB_2707_TriplePoint Venture Gro" sheetId="228" r:id="rId228"/>
    <sheet name="NB_2708_Tootsie Roll Industries" sheetId="229" r:id="rId229"/>
    <sheet name="NB_2709_ReposiTrak Inc. Common " sheetId="230" r:id="rId230"/>
    <sheet name="NB_2710_Traws Pharma Inc. Commo" sheetId="231" r:id="rId231"/>
    <sheet name="NB_2711_First Tracks Biotherape" sheetId="232" r:id="rId232"/>
    <sheet name="NB_2712_Entrada Therapeutics In" sheetId="233" r:id="rId233"/>
    <sheet name="NB_2713_Trex Company Inc. Commo" sheetId="234" r:id="rId234"/>
    <sheet name="NB_2714_Targa Resources Inc. Co" sheetId="235" r:id="rId235"/>
    <sheet name="NB_2715_Thomson Reuters Corpora" sheetId="236" r:id="rId236"/>
    <sheet name="NB_2716_TripAdvisor Inc. Common" sheetId="237" r:id="rId237"/>
    <sheet name="NB_2717_Trimble Inc. Common Sto" sheetId="238" r:id="rId238"/>
    <sheet name="NB_2718_Trinity Industries Inc." sheetId="239" r:id="rId239"/>
    <sheet name="NB_2719_Interactive Strength In" sheetId="240" r:id="rId240"/>
    <sheet name="NB_2720_Transcat Inc. Common St" sheetId="241" r:id="rId241"/>
    <sheet name="NB_2721_Tronox Holdings plc Ord" sheetId="242" r:id="rId242"/>
    <sheet name="NB_2722_TriMas Corporation Comm" sheetId="243" r:id="rId243"/>
    <sheet name="NB_2723_TruGolf Holdings Inc. C" sheetId="244" r:id="rId244"/>
    <sheet name="NB_2724_Trupanion Inc. Common S" sheetId="245" r:id="rId245"/>
    <sheet name="NB_2725_Trevi Therapeutics Inc." sheetId="246" r:id="rId246"/>
    <sheet name="NB_2726_Tractor Supply Company " sheetId="247" r:id="rId247"/>
    <sheet name="NB_2727_Taysha Gene Therapies I" sheetId="248" r:id="rId248"/>
    <sheet name="NB_2728_Tesla Inc. Common Stock" sheetId="249" r:id="rId249"/>
    <sheet name="NB_2729_Tyson Foods Inc. Common" sheetId="250" r:id="rId250"/>
    <sheet name="NB_2730_Townsquare Media Inc. C" sheetId="251" r:id="rId251"/>
  </sheets>
  <calcPr calcId="124519" fullCalcOnLoad="1"/>
</workbook>
</file>

<file path=xl/sharedStrings.xml><?xml version="1.0" encoding="utf-8"?>
<sst xmlns="http://schemas.openxmlformats.org/spreadsheetml/2006/main" count="15763" uniqueCount="1154">
  <si>
    <t>company_id</t>
  </si>
  <si>
    <t>company_type</t>
  </si>
  <si>
    <t>bankruptcy_date</t>
  </si>
  <si>
    <t>ticker</t>
  </si>
  <si>
    <t>name</t>
  </si>
  <si>
    <t>Sector</t>
  </si>
  <si>
    <t>Industry</t>
  </si>
  <si>
    <t>bloomberg_identifier</t>
  </si>
  <si>
    <t>prediction_date</t>
  </si>
  <si>
    <t>start_date</t>
  </si>
  <si>
    <t>end_date</t>
  </si>
  <si>
    <t>bloomberg_sector</t>
  </si>
  <si>
    <t>bloomberg_industry</t>
  </si>
  <si>
    <t>NB_2481</t>
  </si>
  <si>
    <t>nonbankrupt</t>
  </si>
  <si>
    <t/>
  </si>
  <si>
    <t>SLS</t>
  </si>
  <si>
    <t>SELLAS Life Sciences Group Inc. Common Stock</t>
  </si>
  <si>
    <t>Health Care</t>
  </si>
  <si>
    <t>Biotechnology: Pharmaceutical Preparations</t>
  </si>
  <si>
    <t>SLS US Equity</t>
  </si>
  <si>
    <t>1993-06-18</t>
  </si>
  <si>
    <t>2026-05-02</t>
  </si>
  <si>
    <t>NB_2482</t>
  </si>
  <si>
    <t>SLSN</t>
  </si>
  <si>
    <t>Solesence Inc. Common Stock</t>
  </si>
  <si>
    <t>Consumer Discretionary</t>
  </si>
  <si>
    <t>Package Goods/Cosmetics</t>
  </si>
  <si>
    <t>SLSN US Equity</t>
  </si>
  <si>
    <t>NB_2483</t>
  </si>
  <si>
    <t>SLVM</t>
  </si>
  <si>
    <t>Sylvamo Corporation Common Stock</t>
  </si>
  <si>
    <t>Basic Materials</t>
  </si>
  <si>
    <t>Paper</t>
  </si>
  <si>
    <t>SLVM US Equity</t>
  </si>
  <si>
    <t>NB_2484</t>
  </si>
  <si>
    <t>SM</t>
  </si>
  <si>
    <t>SM Energy Company Common Stock</t>
  </si>
  <si>
    <t>Energy</t>
  </si>
  <si>
    <t>Oil &amp; Gas Production</t>
  </si>
  <si>
    <t>SM US Equity</t>
  </si>
  <si>
    <t>NB_2485</t>
  </si>
  <si>
    <t>SMC</t>
  </si>
  <si>
    <t>Summit Midstream Corporation Common Stock</t>
  </si>
  <si>
    <t>Utilities</t>
  </si>
  <si>
    <t>Natural Gas Distribution</t>
  </si>
  <si>
    <t>SMC US Equity</t>
  </si>
  <si>
    <t>NB_2486</t>
  </si>
  <si>
    <t>SMCI</t>
  </si>
  <si>
    <t>Super Micro Computer Inc. Common Stock</t>
  </si>
  <si>
    <t>Technology</t>
  </si>
  <si>
    <t>Computer Manufacturing</t>
  </si>
  <si>
    <t>SMCI US Equity</t>
  </si>
  <si>
    <t>NB_2487</t>
  </si>
  <si>
    <t>SMCIP</t>
  </si>
  <si>
    <t>Super Micro Computer Inc. Depositary Shares representing a 1/20th Interest in a Share of 7% Series A Mandatory Convertible Preferred Stock</t>
  </si>
  <si>
    <t>SMCIP US Equity</t>
  </si>
  <si>
    <t>NB_2488</t>
  </si>
  <si>
    <t>SMG</t>
  </si>
  <si>
    <t>Scotts Miracle-Gro Company (The) Common Stock</t>
  </si>
  <si>
    <t>Industrials</t>
  </si>
  <si>
    <t>Agricultural Chemicals</t>
  </si>
  <si>
    <t>SMG US Equity</t>
  </si>
  <si>
    <t>NB_2489</t>
  </si>
  <si>
    <t>SMHI</t>
  </si>
  <si>
    <t>SEACOR Marine Holdings Inc. Common Stock</t>
  </si>
  <si>
    <t>Marine Transportation</t>
  </si>
  <si>
    <t>SMHI US Equity</t>
  </si>
  <si>
    <t>NB_2490</t>
  </si>
  <si>
    <t>SMID</t>
  </si>
  <si>
    <t>Smith-Midland Corporation Common Stock</t>
  </si>
  <si>
    <t>Building Materials</t>
  </si>
  <si>
    <t>SMID US Equity</t>
  </si>
  <si>
    <t>NB_2491</t>
  </si>
  <si>
    <t>SMMT</t>
  </si>
  <si>
    <t>Summit Therapeutics Inc. Common Stock</t>
  </si>
  <si>
    <t>SMMT US Equity</t>
  </si>
  <si>
    <t>NB_2492</t>
  </si>
  <si>
    <t>SMP</t>
  </si>
  <si>
    <t>Standard Motor Products Inc. Common Stock</t>
  </si>
  <si>
    <t>Auto Parts:O.E.M.</t>
  </si>
  <si>
    <t>SMP US Equity</t>
  </si>
  <si>
    <t>NB_2493</t>
  </si>
  <si>
    <t>SMPL</t>
  </si>
  <si>
    <t>The Simply Good Foods Company Common Stock</t>
  </si>
  <si>
    <t>Consumer Staples</t>
  </si>
  <si>
    <t>Packaged Foods</t>
  </si>
  <si>
    <t>SMPL US Equity</t>
  </si>
  <si>
    <t>NB_2494</t>
  </si>
  <si>
    <t>SMR</t>
  </si>
  <si>
    <t>NuScale Power Corporation Class A Common Stock</t>
  </si>
  <si>
    <t>Metal Fabrications</t>
  </si>
  <si>
    <t>SMR US Equity</t>
  </si>
  <si>
    <t>NB_2495</t>
  </si>
  <si>
    <t>SMRT</t>
  </si>
  <si>
    <t>SmartRent Inc. Class A Common Stock</t>
  </si>
  <si>
    <t>EDP Services</t>
  </si>
  <si>
    <t>SMRT US Equity</t>
  </si>
  <si>
    <t>NB_2496</t>
  </si>
  <si>
    <t>SMSI</t>
  </si>
  <si>
    <t>Smith Micro Software Inc. Common Stock</t>
  </si>
  <si>
    <t>Computer Software: Prepackaged Software</t>
  </si>
  <si>
    <t>SMSI US Equity</t>
  </si>
  <si>
    <t>NB_2497</t>
  </si>
  <si>
    <t>SMTC</t>
  </si>
  <si>
    <t>Semtech Corporation Common Stock</t>
  </si>
  <si>
    <t>Semiconductors</t>
  </si>
  <si>
    <t>SMTC US Equity</t>
  </si>
  <si>
    <t>NB_2498</t>
  </si>
  <si>
    <t>SMTI</t>
  </si>
  <si>
    <t>Sanara MedTech Inc. Common Stock</t>
  </si>
  <si>
    <t>Industrial Specialties</t>
  </si>
  <si>
    <t>SMTI US Equity</t>
  </si>
  <si>
    <t>NB_2499</t>
  </si>
  <si>
    <t>SMTK</t>
  </si>
  <si>
    <t>SmartKem Inc. Common Stock</t>
  </si>
  <si>
    <t>SMTK US Equity</t>
  </si>
  <si>
    <t>NB_2500</t>
  </si>
  <si>
    <t>SMXT</t>
  </si>
  <si>
    <t>Solarmax Technology Inc. Common Stock</t>
  </si>
  <si>
    <t>Engineering &amp; Construction</t>
  </si>
  <si>
    <t>SMXT US Equity</t>
  </si>
  <si>
    <t>NB_2501</t>
  </si>
  <si>
    <t>SN</t>
  </si>
  <si>
    <t>SharkNinja Inc. Ordinary Shares</t>
  </si>
  <si>
    <t>Consumer Electronics/Appliances</t>
  </si>
  <si>
    <t>SN US Equity</t>
  </si>
  <si>
    <t>NB_2502</t>
  </si>
  <si>
    <t>SNA</t>
  </si>
  <si>
    <t>Snap-On Incorporated Common Stock</t>
  </si>
  <si>
    <t>Industrial Machinery/Components</t>
  </si>
  <si>
    <t>SNA US Equity</t>
  </si>
  <si>
    <t>NB_2503</t>
  </si>
  <si>
    <t>SNAL</t>
  </si>
  <si>
    <t>Snail Inc. Class A Common Stock</t>
  </si>
  <si>
    <t>SNAL US Equity</t>
  </si>
  <si>
    <t>NB_2504</t>
  </si>
  <si>
    <t>SNAP</t>
  </si>
  <si>
    <t>Snap Inc. Class A Common Stock</t>
  </si>
  <si>
    <t>Computer Software: Programming Data Processing</t>
  </si>
  <si>
    <t>SNAP US Equity</t>
  </si>
  <si>
    <t>NB_2505</t>
  </si>
  <si>
    <t>SND</t>
  </si>
  <si>
    <t>Smart Sand Inc. Common Stock</t>
  </si>
  <si>
    <t>Mining &amp; Quarrying of Nonmetallic Minerals (No Fuels)</t>
  </si>
  <si>
    <t>SND US Equity</t>
  </si>
  <si>
    <t>NB_2506</t>
  </si>
  <si>
    <t>SNDA</t>
  </si>
  <si>
    <t>Sonida Senior Living Inc. Common Stock</t>
  </si>
  <si>
    <t>Hospital/Nursing Management</t>
  </si>
  <si>
    <t>SNDA US Equity</t>
  </si>
  <si>
    <t>NB_2507</t>
  </si>
  <si>
    <t>SNDK</t>
  </si>
  <si>
    <t>Sandisk Corporation Common Stock</t>
  </si>
  <si>
    <t>Electronic Components</t>
  </si>
  <si>
    <t>SNDK US Equity</t>
  </si>
  <si>
    <t>NB_2508</t>
  </si>
  <si>
    <t>SNDR</t>
  </si>
  <si>
    <t>Schneider National Inc. Common Stock</t>
  </si>
  <si>
    <t>Trucking Freight/Courier Services</t>
  </si>
  <si>
    <t>SNDR US Equity</t>
  </si>
  <si>
    <t>NB_2509</t>
  </si>
  <si>
    <t>SNDX</t>
  </si>
  <si>
    <t>Syndax Pharmaceuticals Inc. Common Stock</t>
  </si>
  <si>
    <t>SNDX US Equity</t>
  </si>
  <si>
    <t>NB_2510</t>
  </si>
  <si>
    <t>SNES</t>
  </si>
  <si>
    <t>SenesTech Inc. Common Stock</t>
  </si>
  <si>
    <t>SNES US Equity</t>
  </si>
  <si>
    <t>NB_2511</t>
  </si>
  <si>
    <t>SNGX</t>
  </si>
  <si>
    <t>Soligenix Inc. Common Stock</t>
  </si>
  <si>
    <t>SNGX US Equity</t>
  </si>
  <si>
    <t>NB_2512</t>
  </si>
  <si>
    <t>SNOA</t>
  </si>
  <si>
    <t>Sonoma Pharmaceuticals Inc. Common Stock</t>
  </si>
  <si>
    <t>Medical/Dental Instruments</t>
  </si>
  <si>
    <t>SNOA US Equity</t>
  </si>
  <si>
    <t>NB_2513</t>
  </si>
  <si>
    <t>SNOW</t>
  </si>
  <si>
    <t>Snowflake Inc. Common Stock</t>
  </si>
  <si>
    <t>SNOW US Equity</t>
  </si>
  <si>
    <t>NB_2514</t>
  </si>
  <si>
    <t>SNPS</t>
  </si>
  <si>
    <t>Synopsys Inc. Common Stock</t>
  </si>
  <si>
    <t>SNPS US Equity</t>
  </si>
  <si>
    <t>NB_2515</t>
  </si>
  <si>
    <t>SNTI</t>
  </si>
  <si>
    <t>Senti Biosciences Holdings Inc. Common Stock</t>
  </si>
  <si>
    <t>Biotechnology: Biological Products (No Diagnostic Substances)</t>
  </si>
  <si>
    <t>SNTI US Equity</t>
  </si>
  <si>
    <t>NB_2516</t>
  </si>
  <si>
    <t>SNWV</t>
  </si>
  <si>
    <t>SANUWAVE Health Inc. Common Stock</t>
  </si>
  <si>
    <t>SNWV US Equity</t>
  </si>
  <si>
    <t>NB_2517</t>
  </si>
  <si>
    <t>SNX</t>
  </si>
  <si>
    <t>TD SYNNEX Corporation Common Stock</t>
  </si>
  <si>
    <t>Retail: Computer Software &amp; Peripheral Equipment</t>
  </si>
  <si>
    <t>SNX US Equity</t>
  </si>
  <si>
    <t>NB_2518</t>
  </si>
  <si>
    <t>SO</t>
  </si>
  <si>
    <t>Southern Company (The) Common Stock</t>
  </si>
  <si>
    <t>Electric Utilities: Central</t>
  </si>
  <si>
    <t>SO US Equity</t>
  </si>
  <si>
    <t>NB_2519</t>
  </si>
  <si>
    <t>SOC</t>
  </si>
  <si>
    <t>Sable Offshore Corp. Common Stock</t>
  </si>
  <si>
    <t>SOC US Equity</t>
  </si>
  <si>
    <t>NB_2520</t>
  </si>
  <si>
    <t>SOJC</t>
  </si>
  <si>
    <t>Southern Company (The) Series 2017B 5.25% Junior Subordinated Notes due December 1 2077</t>
  </si>
  <si>
    <t>SOJC US Equity</t>
  </si>
  <si>
    <t>NB_2521</t>
  </si>
  <si>
    <t>SOJD</t>
  </si>
  <si>
    <t>Southern Company (The) Series 2020A 4.95% Junior Subordinated Notes due January 30 2080</t>
  </si>
  <si>
    <t>SOJD US Equity</t>
  </si>
  <si>
    <t>NB_2522</t>
  </si>
  <si>
    <t>SOJE</t>
  </si>
  <si>
    <t>Southern Company (The) Series 2020C 4.20% Junior Subordinated Notes due October 15 2060</t>
  </si>
  <si>
    <t>SOJE US Equity</t>
  </si>
  <si>
    <t>NB_2523</t>
  </si>
  <si>
    <t>SOJF</t>
  </si>
  <si>
    <t>Southern Company (The) Series 2025A 6.50% Junior Subordinated Notes due March 15 2085</t>
  </si>
  <si>
    <t>SOJF US Equity</t>
  </si>
  <si>
    <t>NB_2524</t>
  </si>
  <si>
    <t>SOLS</t>
  </si>
  <si>
    <t>Solstice Advanced Materials Inc. Common Stock</t>
  </si>
  <si>
    <t>Major Chemicals</t>
  </si>
  <si>
    <t>SOLS US Equity</t>
  </si>
  <si>
    <t>NB_2525</t>
  </si>
  <si>
    <t>SOLV</t>
  </si>
  <si>
    <t>Solventum Corporation Common Stock</t>
  </si>
  <si>
    <t>SOLV US Equity</t>
  </si>
  <si>
    <t>NB_2526</t>
  </si>
  <si>
    <t>SOMN</t>
  </si>
  <si>
    <t>Southern Company (The) 2025 Series A Corporate Units</t>
  </si>
  <si>
    <t>SOMN US Equity</t>
  </si>
  <si>
    <t>NB_2527</t>
  </si>
  <si>
    <t>SON</t>
  </si>
  <si>
    <t>Sonoco Products Company Common Stock</t>
  </si>
  <si>
    <t>Containers/Packaging</t>
  </si>
  <si>
    <t>SON US Equity</t>
  </si>
  <si>
    <t>NB_2528</t>
  </si>
  <si>
    <t>SONM</t>
  </si>
  <si>
    <t>DNA X Inc. Common Stock</t>
  </si>
  <si>
    <t>Telecommunications Equipment</t>
  </si>
  <si>
    <t>SONM US Equity</t>
  </si>
  <si>
    <t>NB_2529</t>
  </si>
  <si>
    <t>SONO</t>
  </si>
  <si>
    <t>Sonos Inc. Common Stock</t>
  </si>
  <si>
    <t>SONO US Equity</t>
  </si>
  <si>
    <t>NB_2530</t>
  </si>
  <si>
    <t>SOTK</t>
  </si>
  <si>
    <t>Sono-Tek Corporation Common Stock</t>
  </si>
  <si>
    <t>SOTK US Equity</t>
  </si>
  <si>
    <t>NB_2531</t>
  </si>
  <si>
    <t>SOUN</t>
  </si>
  <si>
    <t>SoundHound AI Inc Class A Common Stock</t>
  </si>
  <si>
    <t>SOUN US Equity</t>
  </si>
  <si>
    <t>NB_2532</t>
  </si>
  <si>
    <t>SOUNW</t>
  </si>
  <si>
    <t>SoundHound AI Inc. Warrant</t>
  </si>
  <si>
    <t>SOUNW US Equity</t>
  </si>
  <si>
    <t>NB_2533</t>
  </si>
  <si>
    <t>SOWG</t>
  </si>
  <si>
    <t>Sow Good Inc. Common Stock</t>
  </si>
  <si>
    <t>SOWG US Equity</t>
  </si>
  <si>
    <t>NB_2534</t>
  </si>
  <si>
    <t>SPAI</t>
  </si>
  <si>
    <t>Safe Pro Group Inc. Common Stock</t>
  </si>
  <si>
    <t>SPAI US Equity</t>
  </si>
  <si>
    <t>NB_2535</t>
  </si>
  <si>
    <t>SPCE</t>
  </si>
  <si>
    <t>Virgin Galactic Holdings Inc. Common Stock</t>
  </si>
  <si>
    <t>Transportation Services</t>
  </si>
  <si>
    <t>SPCE US Equity</t>
  </si>
  <si>
    <t>NB_2536</t>
  </si>
  <si>
    <t>SPCX</t>
  </si>
  <si>
    <t>Space Exploration Technologies Corp. Class A Common Stock</t>
  </si>
  <si>
    <t>SPCX US Equity</t>
  </si>
  <si>
    <t>NB_2537</t>
  </si>
  <si>
    <t>SPH</t>
  </si>
  <si>
    <t>Suburban Propane Partners L.P. Common Stock</t>
  </si>
  <si>
    <t>Other Specialty Stores</t>
  </si>
  <si>
    <t>SPH US Equity</t>
  </si>
  <si>
    <t>NB_2538</t>
  </si>
  <si>
    <t>SPHR</t>
  </si>
  <si>
    <t>Sphere Entertainment Co. Class A Common Stock</t>
  </si>
  <si>
    <t>Services-Misc. Amusement &amp; Recreation</t>
  </si>
  <si>
    <t>SPHR US Equity</t>
  </si>
  <si>
    <t>NB_2539</t>
  </si>
  <si>
    <t>SPIR</t>
  </si>
  <si>
    <t>Spire Global Inc. Class A Common Stock</t>
  </si>
  <si>
    <t>SPIR US Equity</t>
  </si>
  <si>
    <t>NB_2540</t>
  </si>
  <si>
    <t>SPOK</t>
  </si>
  <si>
    <t>Spok Holdings Inc. Common Stock</t>
  </si>
  <si>
    <t>Telecommunications</t>
  </si>
  <si>
    <t>SPOK US Equity</t>
  </si>
  <si>
    <t>NB_2541</t>
  </si>
  <si>
    <t>SPRB</t>
  </si>
  <si>
    <t>Spruce Biosciences Inc. Common Stock</t>
  </si>
  <si>
    <t>SPRB US Equity</t>
  </si>
  <si>
    <t>NB_2542</t>
  </si>
  <si>
    <t>SPRO</t>
  </si>
  <si>
    <t>Spero Therapeutics Inc. Common Stock</t>
  </si>
  <si>
    <t>SPRO US Equity</t>
  </si>
  <si>
    <t>NB_2543</t>
  </si>
  <si>
    <t>SPRU</t>
  </si>
  <si>
    <t>Spruce Power Holding Corporation Class A Common Stock</t>
  </si>
  <si>
    <t>SPRU US Equity</t>
  </si>
  <si>
    <t>NB_2544</t>
  </si>
  <si>
    <t>SPRY</t>
  </si>
  <si>
    <t>ARS Pharmaceuticals Inc. Common Stock</t>
  </si>
  <si>
    <t>SPRY US Equity</t>
  </si>
  <si>
    <t>NB_2545</t>
  </si>
  <si>
    <t>SPSC</t>
  </si>
  <si>
    <t>SPS Commerce Inc. Common Stock</t>
  </si>
  <si>
    <t>SPSC US Equity</t>
  </si>
  <si>
    <t>NB_2546</t>
  </si>
  <si>
    <t>SPT</t>
  </si>
  <si>
    <t>Sprout Social Inc Class A Common Stock</t>
  </si>
  <si>
    <t>SPT US Equity</t>
  </si>
  <si>
    <t>NB_2547</t>
  </si>
  <si>
    <t>SPTX</t>
  </si>
  <si>
    <t>Seaport Therapeutics Inc. Common Stock</t>
  </si>
  <si>
    <t>SPTX US Equity</t>
  </si>
  <si>
    <t>NB_2548</t>
  </si>
  <si>
    <t>SPWH</t>
  </si>
  <si>
    <t>Sportsman's Warehouse Holdings Inc. Common Stock</t>
  </si>
  <si>
    <t>SPWH US Equity</t>
  </si>
  <si>
    <t>NB_2549</t>
  </si>
  <si>
    <t>SPWR</t>
  </si>
  <si>
    <t>SunPower Inc. Common Stock</t>
  </si>
  <si>
    <t>SPWR US Equity</t>
  </si>
  <si>
    <t>NB_2550</t>
  </si>
  <si>
    <t>SPWRW</t>
  </si>
  <si>
    <t>SunPower Inc. Warrants</t>
  </si>
  <si>
    <t>SPWRW US Equity</t>
  </si>
  <si>
    <t>NB_2551</t>
  </si>
  <si>
    <t>SPXC</t>
  </si>
  <si>
    <t>SPX Technologies Inc. Common Stock</t>
  </si>
  <si>
    <t>SPXC US Equity</t>
  </si>
  <si>
    <t>NB_2552</t>
  </si>
  <si>
    <t>SR</t>
  </si>
  <si>
    <t>Spire Inc. Common Stock</t>
  </si>
  <si>
    <t>Oil/Gas Transmission</t>
  </si>
  <si>
    <t>SR US Equity</t>
  </si>
  <si>
    <t>NB_2553</t>
  </si>
  <si>
    <t>SRE</t>
  </si>
  <si>
    <t>DBA Sempra Common Stock</t>
  </si>
  <si>
    <t>SRE US Equity</t>
  </si>
  <si>
    <t>NB_2554</t>
  </si>
  <si>
    <t>SREA</t>
  </si>
  <si>
    <t>DBA Sempra 5.750% Junior Subordinated Notes due 2079</t>
  </si>
  <si>
    <t>SREA US Equity</t>
  </si>
  <si>
    <t>NB_2555</t>
  </si>
  <si>
    <t>SRFM</t>
  </si>
  <si>
    <t>Surf Air Mobility Inc. Common Stock</t>
  </si>
  <si>
    <t>SRFM US Equity</t>
  </si>
  <si>
    <t>NB_2556</t>
  </si>
  <si>
    <t>SRI</t>
  </si>
  <si>
    <t>Stoneridge Inc. Common Stock</t>
  </si>
  <si>
    <t>SRI US Equity</t>
  </si>
  <si>
    <t>NB_2557</t>
  </si>
  <si>
    <t>SRJN</t>
  </si>
  <si>
    <t>Spire Inc. 6.375% Junior Subordinated Notes due 2086</t>
  </si>
  <si>
    <t>SRJN US Equity</t>
  </si>
  <si>
    <t>NB_2558</t>
  </si>
  <si>
    <t>SRPT</t>
  </si>
  <si>
    <t>Sarepta Therapeutics Inc. Common Stock (DE)</t>
  </si>
  <si>
    <t>SRPT US Equity</t>
  </si>
  <si>
    <t>NB_2559</t>
  </si>
  <si>
    <t>SRRK</t>
  </si>
  <si>
    <t>Scholar Rock Holding Corporation Common Stock</t>
  </si>
  <si>
    <t>SRRK US Equity</t>
  </si>
  <si>
    <t>NB_2560</t>
  </si>
  <si>
    <t>SRTA</t>
  </si>
  <si>
    <t>Strata Critical Medical Inc. Class A Common Stock</t>
  </si>
  <si>
    <t>Medical/Nursing Services</t>
  </si>
  <si>
    <t>SRTA US Equity</t>
  </si>
  <si>
    <t>NB_2561</t>
  </si>
  <si>
    <t>SRTS</t>
  </si>
  <si>
    <t>Sensus Healthcare Inc. Common Stock</t>
  </si>
  <si>
    <t>SRTS US Equity</t>
  </si>
  <si>
    <t>NB_2562</t>
  </si>
  <si>
    <t>SRZN</t>
  </si>
  <si>
    <t>Surrozen Inc. Common Stock</t>
  </si>
  <si>
    <t>SRZN US Equity</t>
  </si>
  <si>
    <t>NB_2563</t>
  </si>
  <si>
    <t>SSD</t>
  </si>
  <si>
    <t>Simpson Manufacturing Company Inc. Common Stock</t>
  </si>
  <si>
    <t>SSD US Equity</t>
  </si>
  <si>
    <t>NB_2564</t>
  </si>
  <si>
    <t>SSNC</t>
  </si>
  <si>
    <t>SS&amp;C Technologies Holdings Inc. Common Stock</t>
  </si>
  <si>
    <t>SSNC US Equity</t>
  </si>
  <si>
    <t>NB_2565</t>
  </si>
  <si>
    <t>SSP</t>
  </si>
  <si>
    <t>E.W. Scripps Company (The) Class A Common Stock</t>
  </si>
  <si>
    <t>Broadcasting</t>
  </si>
  <si>
    <t>SSP US Equity</t>
  </si>
  <si>
    <t>NB_2566</t>
  </si>
  <si>
    <t>SST</t>
  </si>
  <si>
    <t>System1 Inc. Class A Common Stock</t>
  </si>
  <si>
    <t>SST US Equity</t>
  </si>
  <si>
    <t>NB_2567</t>
  </si>
  <si>
    <t>SSTI</t>
  </si>
  <si>
    <t>SoundThinking Inc. Common Stock</t>
  </si>
  <si>
    <t>SSTI US Equity</t>
  </si>
  <si>
    <t>NB_2568</t>
  </si>
  <si>
    <t>SSTK</t>
  </si>
  <si>
    <t>Shutterstock Inc. Common Stock</t>
  </si>
  <si>
    <t>SSTK US Equity</t>
  </si>
  <si>
    <t>NB_2569</t>
  </si>
  <si>
    <t>SSYS</t>
  </si>
  <si>
    <t>Stratasys Ltd. Ordinary Shares (Israel)</t>
  </si>
  <si>
    <t>Computer peripheral equipment</t>
  </si>
  <si>
    <t>SSYS US Equity</t>
  </si>
  <si>
    <t>NB_2570</t>
  </si>
  <si>
    <t>STAA</t>
  </si>
  <si>
    <t>STAAR Surgical Company Common Stock</t>
  </si>
  <si>
    <t>Ophthalmic Goods</t>
  </si>
  <si>
    <t>STAA US Equity</t>
  </si>
  <si>
    <t>NB_2571</t>
  </si>
  <si>
    <t>STE</t>
  </si>
  <si>
    <t>STERIS plc (Ireland) Ordinary Shares</t>
  </si>
  <si>
    <t>STE US Equity</t>
  </si>
  <si>
    <t>NB_2572</t>
  </si>
  <si>
    <t>STEM</t>
  </si>
  <si>
    <t>Stem Inc. Class A Common Stock</t>
  </si>
  <si>
    <t>STEM US Equity</t>
  </si>
  <si>
    <t>NB_2573</t>
  </si>
  <si>
    <t>STIM</t>
  </si>
  <si>
    <t>Neuronetics Inc. Common Stock</t>
  </si>
  <si>
    <t>STIM US Equity</t>
  </si>
  <si>
    <t>NB_2574</t>
  </si>
  <si>
    <t>STKS</t>
  </si>
  <si>
    <t>The ONE Group Hospitality Inc. Common Stock</t>
  </si>
  <si>
    <t>Restaurants</t>
  </si>
  <si>
    <t>STKS US Equity</t>
  </si>
  <si>
    <t>NB_2575</t>
  </si>
  <si>
    <t>STLD</t>
  </si>
  <si>
    <t>Steel Dynamics Inc.</t>
  </si>
  <si>
    <t>Steel/Iron Ore</t>
  </si>
  <si>
    <t>STLD US Equity</t>
  </si>
  <si>
    <t>NB_2576</t>
  </si>
  <si>
    <t>STLN</t>
  </si>
  <si>
    <t>Starling Oncology Inc. Common Stock</t>
  </si>
  <si>
    <t>STLN US Equity</t>
  </si>
  <si>
    <t>NB_2577</t>
  </si>
  <si>
    <t>STLNW</t>
  </si>
  <si>
    <t>Starling Oncology Inc. Warrant</t>
  </si>
  <si>
    <t>STLNW US Equity</t>
  </si>
  <si>
    <t>NB_2578</t>
  </si>
  <si>
    <t>STOK</t>
  </si>
  <si>
    <t>Stoke Therapeutics Inc. Common Stock</t>
  </si>
  <si>
    <t>STOK US Equity</t>
  </si>
  <si>
    <t>NB_2579</t>
  </si>
  <si>
    <t>STRC</t>
  </si>
  <si>
    <t>Strategy Inc Variable Rate Series A Perpetual Stretch Preferred Stock</t>
  </si>
  <si>
    <t>STRC US Equity</t>
  </si>
  <si>
    <t>NB_2580</t>
  </si>
  <si>
    <t>STRD</t>
  </si>
  <si>
    <t>Strategy Inc 10.00% Series A Perpetual Stride Preferred Stock</t>
  </si>
  <si>
    <t>STRD US Equity</t>
  </si>
  <si>
    <t>NB_2581</t>
  </si>
  <si>
    <t>STRF</t>
  </si>
  <si>
    <t>Strategy Inc 10.00% Series A Perpetual Strife Preferred Stock</t>
  </si>
  <si>
    <t>STRF US Equity</t>
  </si>
  <si>
    <t>NB_2582</t>
  </si>
  <si>
    <t>STRK</t>
  </si>
  <si>
    <t>Strategy Inc 8.00% Series A Perpetual Strike Preferred Stock</t>
  </si>
  <si>
    <t>STRK US Equity</t>
  </si>
  <si>
    <t>NB_2583</t>
  </si>
  <si>
    <t>STRL</t>
  </si>
  <si>
    <t>Sterling Infrastructure Inc. Common Stock</t>
  </si>
  <si>
    <t>Military/Government/Technical</t>
  </si>
  <si>
    <t>STRL US Equity</t>
  </si>
  <si>
    <t>NB_2584</t>
  </si>
  <si>
    <t>STRO</t>
  </si>
  <si>
    <t>Sutro Biopharma Inc. Common Stock</t>
  </si>
  <si>
    <t>STRO US Equity</t>
  </si>
  <si>
    <t>NB_2585</t>
  </si>
  <si>
    <t>STRR</t>
  </si>
  <si>
    <t>Star Equity Holdings Inc. Common Stock</t>
  </si>
  <si>
    <t>Professional Services</t>
  </si>
  <si>
    <t>STRR US Equity</t>
  </si>
  <si>
    <t>NB_2586</t>
  </si>
  <si>
    <t>STRRP</t>
  </si>
  <si>
    <t>Star Equity Holdings Inc. 10% Series A Cumulative Perpetual Preferred Stock</t>
  </si>
  <si>
    <t>STRRP US Equity</t>
  </si>
  <si>
    <t>NB_2587</t>
  </si>
  <si>
    <t>STRT</t>
  </si>
  <si>
    <t>STRATTEC SECURITY CORPORATION Common Stock</t>
  </si>
  <si>
    <t>STRT US Equity</t>
  </si>
  <si>
    <t>NB_2588</t>
  </si>
  <si>
    <t>STRZ</t>
  </si>
  <si>
    <t>Starz Entertainment Corp. Common Shares</t>
  </si>
  <si>
    <t>Movies/Entertainment</t>
  </si>
  <si>
    <t>STRZ US Equity</t>
  </si>
  <si>
    <t>NB_2589</t>
  </si>
  <si>
    <t>STTK</t>
  </si>
  <si>
    <t>Shattuck Labs Inc. Common Stock</t>
  </si>
  <si>
    <t>STTK US Equity</t>
  </si>
  <si>
    <t>NB_2590</t>
  </si>
  <si>
    <t>STUB</t>
  </si>
  <si>
    <t>StubHub Holdings Inc. Class A Common Stock</t>
  </si>
  <si>
    <t>STUB US Equity</t>
  </si>
  <si>
    <t>NB_2591</t>
  </si>
  <si>
    <t>STXS</t>
  </si>
  <si>
    <t>Stereotaxis Inc. Common Stock</t>
  </si>
  <si>
    <t>Biotechnology: Electromedical &amp; Electrotherapeutic Apparatus</t>
  </si>
  <si>
    <t>STXS US Equity</t>
  </si>
  <si>
    <t>NB_2592</t>
  </si>
  <si>
    <t>STZ</t>
  </si>
  <si>
    <t>Constellation Brands Inc. Common Stock</t>
  </si>
  <si>
    <t>Beverages (Production/Distribution)</t>
  </si>
  <si>
    <t>STZ US Equity</t>
  </si>
  <si>
    <t>NB_2593</t>
  </si>
  <si>
    <t>SUJA</t>
  </si>
  <si>
    <t>Suja Life Inc. Class A Common Stock</t>
  </si>
  <si>
    <t>SUJA US Equity</t>
  </si>
  <si>
    <t>NB_2594</t>
  </si>
  <si>
    <t>SUN</t>
  </si>
  <si>
    <t>Sunoco LP Common Units representing limited partner interests</t>
  </si>
  <si>
    <t>Integrated oil Companies</t>
  </si>
  <si>
    <t>SUN US Equity</t>
  </si>
  <si>
    <t>NB_2595</t>
  </si>
  <si>
    <t>SUNE</t>
  </si>
  <si>
    <t>SUNation Energy Inc. Common Stock</t>
  </si>
  <si>
    <t>SUNE US Equity</t>
  </si>
  <si>
    <t>NB_2596</t>
  </si>
  <si>
    <t>SUPN</t>
  </si>
  <si>
    <t>Supernus Pharmaceuticals Inc. Common Stock</t>
  </si>
  <si>
    <t>SUPN US Equity</t>
  </si>
  <si>
    <t>NB_2597</t>
  </si>
  <si>
    <t>SURG</t>
  </si>
  <si>
    <t>SurgePays Inc. Common Stock</t>
  </si>
  <si>
    <t>Advertising</t>
  </si>
  <si>
    <t>SURG US Equity</t>
  </si>
  <si>
    <t>NB_2598</t>
  </si>
  <si>
    <t>SVCO</t>
  </si>
  <si>
    <t>Silvaco Group Inc. Common Stock</t>
  </si>
  <si>
    <t>SVCO US Equity</t>
  </si>
  <si>
    <t>NB_2599</t>
  </si>
  <si>
    <t>SVRA</t>
  </si>
  <si>
    <t>Savara Inc. Common Stock</t>
  </si>
  <si>
    <t>SVRA US Equity</t>
  </si>
  <si>
    <t>NB_2600</t>
  </si>
  <si>
    <t>SVV</t>
  </si>
  <si>
    <t>Savers Value Village Inc. Common Stock</t>
  </si>
  <si>
    <t>SVV US Equity</t>
  </si>
  <si>
    <t>NB_2601</t>
  </si>
  <si>
    <t>SWAG</t>
  </si>
  <si>
    <t>Stran &amp; Company Inc. Common Stock</t>
  </si>
  <si>
    <t>SWAG US Equity</t>
  </si>
  <si>
    <t>NB_2602</t>
  </si>
  <si>
    <t>SWAGW</t>
  </si>
  <si>
    <t>Stran &amp; Company Inc. Warrant</t>
  </si>
  <si>
    <t>SWAGW US Equity</t>
  </si>
  <si>
    <t>NB_2603</t>
  </si>
  <si>
    <t>SWBI</t>
  </si>
  <si>
    <t>Smith &amp; Wesson Brands Inc. Common Stock</t>
  </si>
  <si>
    <t>Ordnance And Accessories</t>
  </si>
  <si>
    <t>SWBI US Equity</t>
  </si>
  <si>
    <t>NB_2604</t>
  </si>
  <si>
    <t>SWIM</t>
  </si>
  <si>
    <t>Latham Group Inc. Common Stock</t>
  </si>
  <si>
    <t>Plastic Products</t>
  </si>
  <si>
    <t>SWIM US Equity</t>
  </si>
  <si>
    <t>NB_2605</t>
  </si>
  <si>
    <t>SWK</t>
  </si>
  <si>
    <t>Stanley Black &amp; Decker Inc. Common Stock</t>
  </si>
  <si>
    <t>SWK US Equity</t>
  </si>
  <si>
    <t>NB_2606</t>
  </si>
  <si>
    <t>SWKS</t>
  </si>
  <si>
    <t>Skyworks Solutions Inc. Common Stock</t>
  </si>
  <si>
    <t>SWKS US Equity</t>
  </si>
  <si>
    <t>NB_2607</t>
  </si>
  <si>
    <t>SWMR</t>
  </si>
  <si>
    <t>Swarmer Inc Common Stock</t>
  </si>
  <si>
    <t>SWMR US Equity</t>
  </si>
  <si>
    <t>NB_2608</t>
  </si>
  <si>
    <t>SWX</t>
  </si>
  <si>
    <t>Southwest Gas Holdings Inc. Common Stock (DE)</t>
  </si>
  <si>
    <t>SWX US Equity</t>
  </si>
  <si>
    <t>NB_2609</t>
  </si>
  <si>
    <t>SXC</t>
  </si>
  <si>
    <t>SunCoke Energy Inc. Common Stock</t>
  </si>
  <si>
    <t>SXC US Equity</t>
  </si>
  <si>
    <t>NB_2610</t>
  </si>
  <si>
    <t>SXI</t>
  </si>
  <si>
    <t>Standex International Corporation Common Stock</t>
  </si>
  <si>
    <t>SXI US Equity</t>
  </si>
  <si>
    <t>NB_2611</t>
  </si>
  <si>
    <t>SXT</t>
  </si>
  <si>
    <t>Sensient Technologies Corporation Common Stock</t>
  </si>
  <si>
    <t>SXT US Equity</t>
  </si>
  <si>
    <t>NB_2612</t>
  </si>
  <si>
    <t>SXTP</t>
  </si>
  <si>
    <t>60 Degrees Pharmaceuticals Inc. Common Stock</t>
  </si>
  <si>
    <t>SXTP US Equity</t>
  </si>
  <si>
    <t>NB_2613</t>
  </si>
  <si>
    <t>SXTPW</t>
  </si>
  <si>
    <t>60 Degrees Pharmaceuticals Inc. Warrant</t>
  </si>
  <si>
    <t>SXTPW US Equity</t>
  </si>
  <si>
    <t>NB_2614</t>
  </si>
  <si>
    <t>SYK</t>
  </si>
  <si>
    <t>Stryker Corporation Common Stock</t>
  </si>
  <si>
    <t>SYK US Equity</t>
  </si>
  <si>
    <t>NB_2615</t>
  </si>
  <si>
    <t>SYM</t>
  </si>
  <si>
    <t>Symbotic Inc. Class A Common Stock</t>
  </si>
  <si>
    <t>SYM US Equity</t>
  </si>
  <si>
    <t>NB_2616</t>
  </si>
  <si>
    <t>SYNA</t>
  </si>
  <si>
    <t>Synaptics Incorporated Common Stock $0.001 Par Value</t>
  </si>
  <si>
    <t>SYNA US Equity</t>
  </si>
  <si>
    <t>NB_2617</t>
  </si>
  <si>
    <t>SYPR</t>
  </si>
  <si>
    <t>Sypris Solutions Inc. Common Stock</t>
  </si>
  <si>
    <t>SYPR US Equity</t>
  </si>
  <si>
    <t>NB_2618</t>
  </si>
  <si>
    <t>SYRE</t>
  </si>
  <si>
    <t>Spyre Therapeutics Inc. Common Stock</t>
  </si>
  <si>
    <t>SYRE US Equity</t>
  </si>
  <si>
    <t>NB_2619</t>
  </si>
  <si>
    <t>SYY</t>
  </si>
  <si>
    <t>Sysco Corporation Common Stock</t>
  </si>
  <si>
    <t>Food Distributors</t>
  </si>
  <si>
    <t>SYY US Equity</t>
  </si>
  <si>
    <t>NB_2620</t>
  </si>
  <si>
    <t>T</t>
  </si>
  <si>
    <t>AT&amp;T Inc.</t>
  </si>
  <si>
    <t>T US Equity</t>
  </si>
  <si>
    <t>NB_2621</t>
  </si>
  <si>
    <t>TACT</t>
  </si>
  <si>
    <t>TransAct Technologies Incorporated Common Stock</t>
  </si>
  <si>
    <t>TACT US Equity</t>
  </si>
  <si>
    <t>NB_2622</t>
  </si>
  <si>
    <t>TALO</t>
  </si>
  <si>
    <t>Talos Energy Inc. Common Stock</t>
  </si>
  <si>
    <t>TALO US Equity</t>
  </si>
  <si>
    <t>NB_2623</t>
  </si>
  <si>
    <t>TARA</t>
  </si>
  <si>
    <t>Protara Therapeutics Inc.  Common Stock</t>
  </si>
  <si>
    <t>TARA US Equity</t>
  </si>
  <si>
    <t>NB_2624</t>
  </si>
  <si>
    <t>TARS</t>
  </si>
  <si>
    <t>Tarsus Pharmaceuticals Inc. Common Stock</t>
  </si>
  <si>
    <t>TARS US Equity</t>
  </si>
  <si>
    <t>NB_2625</t>
  </si>
  <si>
    <t>TASK</t>
  </si>
  <si>
    <t>TaskUs Inc. Class A Common Stock</t>
  </si>
  <si>
    <t>TASK US Equity</t>
  </si>
  <si>
    <t>NB_2626</t>
  </si>
  <si>
    <t>TAYD</t>
  </si>
  <si>
    <t>Taylor Devices Inc. Common Stock</t>
  </si>
  <si>
    <t>TAYD US Equity</t>
  </si>
  <si>
    <t>NB_2627</t>
  </si>
  <si>
    <t>TBB</t>
  </si>
  <si>
    <t>AT&amp;T Inc. 5.350% Global Notes due 2066</t>
  </si>
  <si>
    <t>TBB US Equity</t>
  </si>
  <si>
    <t>NB_2628</t>
  </si>
  <si>
    <t>TBCH</t>
  </si>
  <si>
    <t>Turtle Beach Corporation Common Stock</t>
  </si>
  <si>
    <t>TBCH US Equity</t>
  </si>
  <si>
    <t>NB_2629</t>
  </si>
  <si>
    <t>TBI</t>
  </si>
  <si>
    <t>TrueBlue Inc. Common Stock</t>
  </si>
  <si>
    <t>TBI US Equity</t>
  </si>
  <si>
    <t>NB_2630</t>
  </si>
  <si>
    <t>TCMD</t>
  </si>
  <si>
    <t>Tactile Systems Technology Inc. Common Stock</t>
  </si>
  <si>
    <t>TCMD US Equity</t>
  </si>
  <si>
    <t>NB_2631</t>
  </si>
  <si>
    <t>TCRT</t>
  </si>
  <si>
    <t>Alaunos Therapeutics Inc. Common Stock</t>
  </si>
  <si>
    <t>TCRT US Equity</t>
  </si>
  <si>
    <t>NB_2632</t>
  </si>
  <si>
    <t>TCRX</t>
  </si>
  <si>
    <t>TScan Therapeutics Inc. Common Stock</t>
  </si>
  <si>
    <t>TCRX US Equity</t>
  </si>
  <si>
    <t>NB_2633</t>
  </si>
  <si>
    <t>TDAY</t>
  </si>
  <si>
    <t>USA TODAY Co. Inc. Common Stock</t>
  </si>
  <si>
    <t>Newspapers/Magazines</t>
  </si>
  <si>
    <t>TDAY US Equity</t>
  </si>
  <si>
    <t>NB_2634</t>
  </si>
  <si>
    <t>TDC</t>
  </si>
  <si>
    <t>Teradata Corporation Common Stock</t>
  </si>
  <si>
    <t>TDC US Equity</t>
  </si>
  <si>
    <t>NB_2635</t>
  </si>
  <si>
    <t>TDG</t>
  </si>
  <si>
    <t>Transdigm Group Incorporated Common Stock</t>
  </si>
  <si>
    <t>TDG US Equity</t>
  </si>
  <si>
    <t>NB_2636</t>
  </si>
  <si>
    <t>TDOC</t>
  </si>
  <si>
    <t>Teladoc Health Inc. Common Stock</t>
  </si>
  <si>
    <t>TDOC US Equity</t>
  </si>
  <si>
    <t>NB_2637</t>
  </si>
  <si>
    <t>TDS</t>
  </si>
  <si>
    <t>Telephone and Data Systems Inc. Common Shares</t>
  </si>
  <si>
    <t>TDS US Equity</t>
  </si>
  <si>
    <t>NB_2638</t>
  </si>
  <si>
    <t>TDUP</t>
  </si>
  <si>
    <t>ThredUp Inc. Class A Common Stock</t>
  </si>
  <si>
    <t>Catalog/Specialty Distribution</t>
  </si>
  <si>
    <t>TDUP US Equity</t>
  </si>
  <si>
    <t>NB_2639</t>
  </si>
  <si>
    <t>TDW</t>
  </si>
  <si>
    <t>Tidewater Inc. Common Stock</t>
  </si>
  <si>
    <t>TDW US Equity</t>
  </si>
  <si>
    <t>NB_2640</t>
  </si>
  <si>
    <t>TDY</t>
  </si>
  <si>
    <t>Teledyne Technologies Incorporated Common Stock</t>
  </si>
  <si>
    <t>TDY US Equity</t>
  </si>
  <si>
    <t>NB_2641</t>
  </si>
  <si>
    <t>TEAD</t>
  </si>
  <si>
    <t>Teads Holding Co. Common Stock</t>
  </si>
  <si>
    <t>TEAD US Equity</t>
  </si>
  <si>
    <t>NB_2642</t>
  </si>
  <si>
    <t>TECH</t>
  </si>
  <si>
    <t>Bio-Techne Corp Common Stock</t>
  </si>
  <si>
    <t>TECH US Equity</t>
  </si>
  <si>
    <t>NB_2643</t>
  </si>
  <si>
    <t>TECX</t>
  </si>
  <si>
    <t>Tectonic Therapeutic Inc. Common Stock</t>
  </si>
  <si>
    <t>TECX US Equity</t>
  </si>
  <si>
    <t>NB_2644</t>
  </si>
  <si>
    <t>TELA</t>
  </si>
  <si>
    <t>TELA Bio Inc. Common Stock</t>
  </si>
  <si>
    <t>TELA US Equity</t>
  </si>
  <si>
    <t>NB_2645</t>
  </si>
  <si>
    <t>TELO</t>
  </si>
  <si>
    <t>Telomir Pharmaceuticals Inc. Common Stock</t>
  </si>
  <si>
    <t>TELO US Equity</t>
  </si>
  <si>
    <t>NB_2646</t>
  </si>
  <si>
    <t>TEM</t>
  </si>
  <si>
    <t>Tempus AI Inc. Class A Common Stock</t>
  </si>
  <si>
    <t>TEM US Equity</t>
  </si>
  <si>
    <t>NB_2647</t>
  </si>
  <si>
    <t>TENB</t>
  </si>
  <si>
    <t>Tenable Holdings Inc. Common Stock</t>
  </si>
  <si>
    <t>TENB US Equity</t>
  </si>
  <si>
    <t>NB_2648</t>
  </si>
  <si>
    <t>TENX</t>
  </si>
  <si>
    <t>Tenax Therapeutics Inc. Common Stock</t>
  </si>
  <si>
    <t>TENX US Equity</t>
  </si>
  <si>
    <t>NB_2649</t>
  </si>
  <si>
    <t>TER</t>
  </si>
  <si>
    <t>Teradyne Inc. Common Stock</t>
  </si>
  <si>
    <t>Electrical Products</t>
  </si>
  <si>
    <t>TER US Equity</t>
  </si>
  <si>
    <t>NB_2650</t>
  </si>
  <si>
    <t>TEX</t>
  </si>
  <si>
    <t>Terex Corporation Common Stock</t>
  </si>
  <si>
    <t>Construction/Ag Equipment/Trucks</t>
  </si>
  <si>
    <t>TEX US Equity</t>
  </si>
  <si>
    <t>NB_2651</t>
  </si>
  <si>
    <t>TFX</t>
  </si>
  <si>
    <t>Teleflex Incorporated Common Stock</t>
  </si>
  <si>
    <t>TFX US Equity</t>
  </si>
  <si>
    <t>NB_2652</t>
  </si>
  <si>
    <t>TG</t>
  </si>
  <si>
    <t>Tredegar Corporation Common Stock</t>
  </si>
  <si>
    <t>TG US Equity</t>
  </si>
  <si>
    <t>NB_2653</t>
  </si>
  <si>
    <t>TGEN</t>
  </si>
  <si>
    <t>Tecogen Inc. Common Stock</t>
  </si>
  <si>
    <t>TGEN US Equity</t>
  </si>
  <si>
    <t>NB_2654</t>
  </si>
  <si>
    <t>TGL</t>
  </si>
  <si>
    <t>Treasure Global Inc. Common Stock</t>
  </si>
  <si>
    <t>Business Services</t>
  </si>
  <si>
    <t>TGL US Equity</t>
  </si>
  <si>
    <t>NB_2655</t>
  </si>
  <si>
    <t>TGT</t>
  </si>
  <si>
    <t>Target Corporation Common Stock</t>
  </si>
  <si>
    <t>Department/Specialty Retail Stores</t>
  </si>
  <si>
    <t>TGT US Equity</t>
  </si>
  <si>
    <t>NB_2656</t>
  </si>
  <si>
    <t>TGTX</t>
  </si>
  <si>
    <t>TG Therapeutics Inc. Common Stock</t>
  </si>
  <si>
    <t>TGTX US Equity</t>
  </si>
  <si>
    <t>NB_2657</t>
  </si>
  <si>
    <t>TH</t>
  </si>
  <si>
    <t>Target Hospitality Corp. Common Stock</t>
  </si>
  <si>
    <t>Hotels/Resorts</t>
  </si>
  <si>
    <t>TH US Equity</t>
  </si>
  <si>
    <t>NB_2658</t>
  </si>
  <si>
    <t>THC</t>
  </si>
  <si>
    <t>Tenet Healthcare Corporation Common Stock</t>
  </si>
  <si>
    <t>THC US Equity</t>
  </si>
  <si>
    <t>NB_2659</t>
  </si>
  <si>
    <t>THO</t>
  </si>
  <si>
    <t>Thor Industries Inc. Common Stock</t>
  </si>
  <si>
    <t>Homebuilding</t>
  </si>
  <si>
    <t>THO US Equity</t>
  </si>
  <si>
    <t>NB_2660</t>
  </si>
  <si>
    <t>THRM</t>
  </si>
  <si>
    <t>Gentherm Inc Common Stock</t>
  </si>
  <si>
    <t>THRM US Equity</t>
  </si>
  <si>
    <t>NB_2661</t>
  </si>
  <si>
    <t>THRY</t>
  </si>
  <si>
    <t>Thryv Holdings Inc. Common Stock</t>
  </si>
  <si>
    <t>THRY US Equity</t>
  </si>
  <si>
    <t>NB_2662</t>
  </si>
  <si>
    <t>TIC</t>
  </si>
  <si>
    <t>TIC Solutions Inc. Common Stock</t>
  </si>
  <si>
    <t>TIC US Equity</t>
  </si>
  <si>
    <t>NB_2663</t>
  </si>
  <si>
    <t>TIL</t>
  </si>
  <si>
    <t>Instil Bio Inc. Common Stock</t>
  </si>
  <si>
    <t>TIL US Equity</t>
  </si>
  <si>
    <t>NB_2664</t>
  </si>
  <si>
    <t>TILE</t>
  </si>
  <si>
    <t>Interface Inc. Common Stock</t>
  </si>
  <si>
    <t>Home Furnishings</t>
  </si>
  <si>
    <t>TILE US Equity</t>
  </si>
  <si>
    <t>NB_2665</t>
  </si>
  <si>
    <t>TISI</t>
  </si>
  <si>
    <t>Team Inc. Common Stock</t>
  </si>
  <si>
    <t>Other Consumer Services</t>
  </si>
  <si>
    <t>TISI US Equity</t>
  </si>
  <si>
    <t>NB_2666</t>
  </si>
  <si>
    <t>TITN</t>
  </si>
  <si>
    <t>Titan Machinery Inc. Common Stock</t>
  </si>
  <si>
    <t>TITN US Equity</t>
  </si>
  <si>
    <t>NB_2667</t>
  </si>
  <si>
    <t>TJX</t>
  </si>
  <si>
    <t>TJX Companies Inc. (The) Common Stock</t>
  </si>
  <si>
    <t>Clothing/Shoe/Accessory Stores</t>
  </si>
  <si>
    <t>TJX US Equity</t>
  </si>
  <si>
    <t>NB_2668</t>
  </si>
  <si>
    <t>TKNO</t>
  </si>
  <si>
    <t>Alpha Teknova Inc. Common Stock</t>
  </si>
  <si>
    <t>Biotechnology: In Vitro &amp; In Vivo Diagnostic Substances</t>
  </si>
  <si>
    <t>TKNO US Equity</t>
  </si>
  <si>
    <t>NB_2669</t>
  </si>
  <si>
    <t>TKO</t>
  </si>
  <si>
    <t>TKO Group Holdings Inc. Class A Common Stock</t>
  </si>
  <si>
    <t>TKO US Equity</t>
  </si>
  <si>
    <t>NB_2670</t>
  </si>
  <si>
    <t>TKR</t>
  </si>
  <si>
    <t>Timken Company (The) Common Stock</t>
  </si>
  <si>
    <t>TKR US Equity</t>
  </si>
  <si>
    <t>NB_2671</t>
  </si>
  <si>
    <t>TLF</t>
  </si>
  <si>
    <t>Tandy Leather Factory Inc. Common Stock</t>
  </si>
  <si>
    <t>Apparel</t>
  </si>
  <si>
    <t>TLF US Equity</t>
  </si>
  <si>
    <t>NB_2672</t>
  </si>
  <si>
    <t>TLN</t>
  </si>
  <si>
    <t>Talen Energy Corporation Common Stock</t>
  </si>
  <si>
    <t>TLN US Equity</t>
  </si>
  <si>
    <t>NB_2673</t>
  </si>
  <si>
    <t>TLPH</t>
  </si>
  <si>
    <t>Talphera Inc. Common Stock</t>
  </si>
  <si>
    <t>TLPH US Equity</t>
  </si>
  <si>
    <t>NB_2674</t>
  </si>
  <si>
    <t>TLRY</t>
  </si>
  <si>
    <t>Tilray Brands Inc. Common Stock</t>
  </si>
  <si>
    <t>Medicinal Chemicals and Botanical Products</t>
  </si>
  <si>
    <t>TLRY US Equity</t>
  </si>
  <si>
    <t>NB_2675</t>
  </si>
  <si>
    <t>TLS</t>
  </si>
  <si>
    <t>Telos Corporation Common Stock</t>
  </si>
  <si>
    <t>TLS US Equity</t>
  </si>
  <si>
    <t>NB_2676</t>
  </si>
  <si>
    <t>TLSI</t>
  </si>
  <si>
    <t>TriSalus Life Sciences Inc. Common Stock</t>
  </si>
  <si>
    <t>Medical Specialities</t>
  </si>
  <si>
    <t>TLSI US Equity</t>
  </si>
  <si>
    <t>NB_2677</t>
  </si>
  <si>
    <t>TLSIW</t>
  </si>
  <si>
    <t>TriSalus Life Sciences Inc. Warrant</t>
  </si>
  <si>
    <t>TLSIW US Equity</t>
  </si>
  <si>
    <t>NB_2678</t>
  </si>
  <si>
    <t>TLYS</t>
  </si>
  <si>
    <t>Tilly's Inc. Common Stock</t>
  </si>
  <si>
    <t>TLYS US Equity</t>
  </si>
  <si>
    <t>NB_2679</t>
  </si>
  <si>
    <t>TMCI</t>
  </si>
  <si>
    <t>Treace Medical Concepts Inc. Common Stock</t>
  </si>
  <si>
    <t>TMCI US Equity</t>
  </si>
  <si>
    <t>NB_2680</t>
  </si>
  <si>
    <t>TMDX</t>
  </si>
  <si>
    <t>TransMedics Group Inc. Common Stock</t>
  </si>
  <si>
    <t>TMDX US Equity</t>
  </si>
  <si>
    <t>NB_2681</t>
  </si>
  <si>
    <t>TME</t>
  </si>
  <si>
    <t>Tencent Music Entertainment Group American Depositary Shares each representing two Class A Ordinary Shares</t>
  </si>
  <si>
    <t>TME US Equity</t>
  </si>
  <si>
    <t>NB_2682</t>
  </si>
  <si>
    <t>TMO</t>
  </si>
  <si>
    <t>Thermo Fisher Scientific Inc Common Stock</t>
  </si>
  <si>
    <t>TMO US Equity</t>
  </si>
  <si>
    <t>NB_2683</t>
  </si>
  <si>
    <t>TMUS</t>
  </si>
  <si>
    <t>T-Mobile US Inc. Common Stock</t>
  </si>
  <si>
    <t>TMUS US Equity</t>
  </si>
  <si>
    <t>NB_2684</t>
  </si>
  <si>
    <t>TMUSI</t>
  </si>
  <si>
    <t>T-Mobile US Inc. 5.500% Senior Notes due June 2070</t>
  </si>
  <si>
    <t>TMUSI US Equity</t>
  </si>
  <si>
    <t>NB_2685</t>
  </si>
  <si>
    <t>TMUSL</t>
  </si>
  <si>
    <t>T-Mobile US Inc. 6.250% Senior Notes due 2069</t>
  </si>
  <si>
    <t>TMUSL US Equity</t>
  </si>
  <si>
    <t>NB_2686</t>
  </si>
  <si>
    <t>TMUSZ</t>
  </si>
  <si>
    <t>T-Mobile US Inc. 5.500% Senior Notes due March 2070</t>
  </si>
  <si>
    <t>TMUSZ US Equity</t>
  </si>
  <si>
    <t>NB_2687</t>
  </si>
  <si>
    <t>TNC</t>
  </si>
  <si>
    <t>Tennant Company Common Stock</t>
  </si>
  <si>
    <t>TNC US Equity</t>
  </si>
  <si>
    <t>NB_2688</t>
  </si>
  <si>
    <t>TNDM</t>
  </si>
  <si>
    <t>Tandem Diabetes Care Inc. Common Stock</t>
  </si>
  <si>
    <t>TNDM US Equity</t>
  </si>
  <si>
    <t>NB_2689</t>
  </si>
  <si>
    <t>TNET</t>
  </si>
  <si>
    <t>TriNet Group Inc. Common Stock</t>
  </si>
  <si>
    <t>TNET US Equity</t>
  </si>
  <si>
    <t>NB_2690</t>
  </si>
  <si>
    <t>TNGX</t>
  </si>
  <si>
    <t>Tango Therapeutics Inc.</t>
  </si>
  <si>
    <t>TNGX US Equity</t>
  </si>
  <si>
    <t>NB_2691</t>
  </si>
  <si>
    <t>TNL</t>
  </si>
  <si>
    <t>Travel   Leisure Co. Common  Stock</t>
  </si>
  <si>
    <t>TNL US Equity</t>
  </si>
  <si>
    <t>NB_2692</t>
  </si>
  <si>
    <t>TNON</t>
  </si>
  <si>
    <t>Tenon Medical Inc. Common Stock</t>
  </si>
  <si>
    <t>TNON US Equity</t>
  </si>
  <si>
    <t>NB_2693</t>
  </si>
  <si>
    <t>TNONW</t>
  </si>
  <si>
    <t>Tenon Medical Inc. Warrant</t>
  </si>
  <si>
    <t>TNONW US Equity</t>
  </si>
  <si>
    <t>NB_2694</t>
  </si>
  <si>
    <t>TNXP</t>
  </si>
  <si>
    <t>Tonix Pharmaceuticals Holding Corp. Common Stock</t>
  </si>
  <si>
    <t>TNXP US Equity</t>
  </si>
  <si>
    <t>NB_2695</t>
  </si>
  <si>
    <t>TNYA</t>
  </si>
  <si>
    <t>Tenaya Therapeutics Inc. Common Stock</t>
  </si>
  <si>
    <t>TNYA US Equity</t>
  </si>
  <si>
    <t>NB_2696</t>
  </si>
  <si>
    <t>TOL</t>
  </si>
  <si>
    <t>Toll Brothers Inc. Common Stock</t>
  </si>
  <si>
    <t>TOL US Equity</t>
  </si>
  <si>
    <t>NB_2697</t>
  </si>
  <si>
    <t>TOMZ</t>
  </si>
  <si>
    <t>TOMI Environmental Solutions Inc. Common Stock</t>
  </si>
  <si>
    <t>TOMZ US Equity</t>
  </si>
  <si>
    <t>NB_2698</t>
  </si>
  <si>
    <t>TOON</t>
  </si>
  <si>
    <t>Kartoon Studios Inc. Common Stock</t>
  </si>
  <si>
    <t>TOON US Equity</t>
  </si>
  <si>
    <t>NB_2699</t>
  </si>
  <si>
    <t>TOST</t>
  </si>
  <si>
    <t>Toast Inc. Class A Common Stock</t>
  </si>
  <si>
    <t>TOST US Equity</t>
  </si>
  <si>
    <t>NB_2700</t>
  </si>
  <si>
    <t>TOVX</t>
  </si>
  <si>
    <t>Theriva Biologics Inc. Common Stock</t>
  </si>
  <si>
    <t>TOVX US Equity</t>
  </si>
  <si>
    <t>NB_2701</t>
  </si>
  <si>
    <t>TPB</t>
  </si>
  <si>
    <t>Turning Point Brands Inc. Common Stock</t>
  </si>
  <si>
    <t>Tobacco</t>
  </si>
  <si>
    <t>TPB US Equity</t>
  </si>
  <si>
    <t>NB_2702</t>
  </si>
  <si>
    <t>TPC</t>
  </si>
  <si>
    <t>Tutor Perini Corporation Common Stock</t>
  </si>
  <si>
    <t>General Bldg Contractors - Nonresidential Bldgs</t>
  </si>
  <si>
    <t>TPC US Equity</t>
  </si>
  <si>
    <t>NB_2703</t>
  </si>
  <si>
    <t>TPCS</t>
  </si>
  <si>
    <t>TechPrecision Corporation Common stock</t>
  </si>
  <si>
    <t>TPCS US Equity</t>
  </si>
  <si>
    <t>NB_2704</t>
  </si>
  <si>
    <t>TPL</t>
  </si>
  <si>
    <t>Texas Pacific Land Corporation Common Stock</t>
  </si>
  <si>
    <t>TPL US Equity</t>
  </si>
  <si>
    <t>NB_2705</t>
  </si>
  <si>
    <t>TPR</t>
  </si>
  <si>
    <t>Tapestry Inc. Common Stock</t>
  </si>
  <si>
    <t>TPR US Equity</t>
  </si>
  <si>
    <t>NB_2706</t>
  </si>
  <si>
    <t>TPST</t>
  </si>
  <si>
    <t>Tempest Therapeutics Inc. Common Stock</t>
  </si>
  <si>
    <t>TPST US Equity</t>
  </si>
  <si>
    <t>NB_2707</t>
  </si>
  <si>
    <t>TPVG</t>
  </si>
  <si>
    <t>TriplePoint Venture Growth BDC Corp. Common Stock</t>
  </si>
  <si>
    <t>TPVG US Equity</t>
  </si>
  <si>
    <t>NB_2708</t>
  </si>
  <si>
    <t>TR</t>
  </si>
  <si>
    <t>Tootsie Roll Industries Inc. Common Stock</t>
  </si>
  <si>
    <t>Specialty Foods</t>
  </si>
  <si>
    <t>TR US Equity</t>
  </si>
  <si>
    <t>NB_2709</t>
  </si>
  <si>
    <t>TRAK</t>
  </si>
  <si>
    <t>ReposiTrak Inc. Common Stock</t>
  </si>
  <si>
    <t>TRAK US Equity</t>
  </si>
  <si>
    <t>NB_2710</t>
  </si>
  <si>
    <t>TRAW</t>
  </si>
  <si>
    <t>Traws Pharma Inc. Common Stock</t>
  </si>
  <si>
    <t>TRAW US Equity</t>
  </si>
  <si>
    <t>NB_2711</t>
  </si>
  <si>
    <t>TRAX</t>
  </si>
  <si>
    <t>First Tracks Biotherapeutics Inc. Ordinary Shares</t>
  </si>
  <si>
    <t>TRAX US Equity</t>
  </si>
  <si>
    <t>NB_2712</t>
  </si>
  <si>
    <t>TRDA</t>
  </si>
  <si>
    <t>Entrada Therapeutics Inc. Common Stock</t>
  </si>
  <si>
    <t>TRDA US Equity</t>
  </si>
  <si>
    <t>NB_2713</t>
  </si>
  <si>
    <t>TREX</t>
  </si>
  <si>
    <t>Trex Company Inc. Common Stock</t>
  </si>
  <si>
    <t>Forest Products</t>
  </si>
  <si>
    <t>TREX US Equity</t>
  </si>
  <si>
    <t>NB_2714</t>
  </si>
  <si>
    <t>TRGP</t>
  </si>
  <si>
    <t>Targa Resources Inc. Common Stock</t>
  </si>
  <si>
    <t>TRGP US Equity</t>
  </si>
  <si>
    <t>NB_2715</t>
  </si>
  <si>
    <t>TRI</t>
  </si>
  <si>
    <t>Thomson Reuters Corporation Common Shares</t>
  </si>
  <si>
    <t>Publishing</t>
  </si>
  <si>
    <t>TRI US Equity</t>
  </si>
  <si>
    <t>NB_2716</t>
  </si>
  <si>
    <t>TRIP</t>
  </si>
  <si>
    <t>TripAdvisor Inc. Common Stock</t>
  </si>
  <si>
    <t>TRIP US Equity</t>
  </si>
  <si>
    <t>NB_2717</t>
  </si>
  <si>
    <t>TRMB</t>
  </si>
  <si>
    <t>Trimble Inc. Common Stock</t>
  </si>
  <si>
    <t>TRMB US Equity</t>
  </si>
  <si>
    <t>NB_2718</t>
  </si>
  <si>
    <t>TRN</t>
  </si>
  <si>
    <t>Trinity Industries Inc. Common Stock</t>
  </si>
  <si>
    <t>Railroads</t>
  </si>
  <si>
    <t>TRN US Equity</t>
  </si>
  <si>
    <t>NB_2719</t>
  </si>
  <si>
    <t>TRNR</t>
  </si>
  <si>
    <t>Interactive Strength Inc. Common Stock</t>
  </si>
  <si>
    <t>TRNR US Equity</t>
  </si>
  <si>
    <t>NB_2720</t>
  </si>
  <si>
    <t>TRNS</t>
  </si>
  <si>
    <t>Transcat Inc. Common Stock</t>
  </si>
  <si>
    <t>TRNS US Equity</t>
  </si>
  <si>
    <t>NB_2721</t>
  </si>
  <si>
    <t>TROX</t>
  </si>
  <si>
    <t>Tronox Holdings plc Ordinary Shares (UK)</t>
  </si>
  <si>
    <t>TROX US Equity</t>
  </si>
  <si>
    <t>NB_2722</t>
  </si>
  <si>
    <t>TRS</t>
  </si>
  <si>
    <t>TriMas Corporation Common Stock</t>
  </si>
  <si>
    <t>TRS US Equity</t>
  </si>
  <si>
    <t>NB_2723</t>
  </si>
  <si>
    <t>TRUG</t>
  </si>
  <si>
    <t>TruGolf Holdings Inc. Class A Common Stock</t>
  </si>
  <si>
    <t>Recreational Games/Products/Toys</t>
  </si>
  <si>
    <t>TRUG US Equity</t>
  </si>
  <si>
    <t>NB_2724</t>
  </si>
  <si>
    <t>TRUP</t>
  </si>
  <si>
    <t>Trupanion Inc. Common Stock</t>
  </si>
  <si>
    <t>TRUP US Equity</t>
  </si>
  <si>
    <t>NB_2725</t>
  </si>
  <si>
    <t>TRVI</t>
  </si>
  <si>
    <t>Trevi Therapeutics Inc. Common Stock</t>
  </si>
  <si>
    <t>TRVI US Equity</t>
  </si>
  <si>
    <t>NB_2726</t>
  </si>
  <si>
    <t>TSCO</t>
  </si>
  <si>
    <t>Tractor Supply Company Common Stock</t>
  </si>
  <si>
    <t>RETAIL: Building Materials</t>
  </si>
  <si>
    <t>TSCO US Equity</t>
  </si>
  <si>
    <t>NB_2727</t>
  </si>
  <si>
    <t>TSHA</t>
  </si>
  <si>
    <t>Taysha Gene Therapies Inc. Common Stock</t>
  </si>
  <si>
    <t>TSHA US Equity</t>
  </si>
  <si>
    <t>NB_2728</t>
  </si>
  <si>
    <t>TSLA</t>
  </si>
  <si>
    <t>Tesla Inc. Common Stock</t>
  </si>
  <si>
    <t>Auto Manufacturing</t>
  </si>
  <si>
    <t>TSLA US Equity</t>
  </si>
  <si>
    <t>NB_2729</t>
  </si>
  <si>
    <t>TSN</t>
  </si>
  <si>
    <t>Tyson Foods Inc. Common Stock</t>
  </si>
  <si>
    <t>Meat/Poultry/Fish</t>
  </si>
  <si>
    <t>TSN US Equity</t>
  </si>
  <si>
    <t>NB_2730</t>
  </si>
  <si>
    <t>TSQ</t>
  </si>
  <si>
    <t>Townsquare Media Inc. Class A Common Stock</t>
  </si>
  <si>
    <t>TSQ US Equity</t>
  </si>
  <si>
    <t>total_assets_Date</t>
  </si>
  <si>
    <t>total_assets_Value</t>
  </si>
  <si>
    <t>total_liabilities_Date</t>
  </si>
  <si>
    <t>total_liabilities_Value</t>
  </si>
  <si>
    <t>total_debt_Date</t>
  </si>
  <si>
    <t>total_debt_Value</t>
  </si>
  <si>
    <t>short_term_debt_Date</t>
  </si>
  <si>
    <t>short_term_debt_Value</t>
  </si>
  <si>
    <t>long_term_debt_Date</t>
  </si>
  <si>
    <t>long_term_debt_Value</t>
  </si>
  <si>
    <t>cash_short_term_investments_Date</t>
  </si>
  <si>
    <t>cash_short_term_investments_Value</t>
  </si>
  <si>
    <t>current_assets_Date</t>
  </si>
  <si>
    <t>current_assets_Value</t>
  </si>
  <si>
    <t>current_liabilities_Date</t>
  </si>
  <si>
    <t>current_liabilities_Value</t>
  </si>
  <si>
    <t>shareholders_equity_Date</t>
  </si>
  <si>
    <t>shareholders_equity_Value</t>
  </si>
  <si>
    <t>accounts_receivable_Date</t>
  </si>
  <si>
    <t>accounts_receivable_Value</t>
  </si>
  <si>
    <t>inventory_Date</t>
  </si>
  <si>
    <t>inventory_Value</t>
  </si>
  <si>
    <t>working_capital_Date</t>
  </si>
  <si>
    <t>working_capital_Value</t>
  </si>
  <si>
    <t>revenue_Date</t>
  </si>
  <si>
    <t>revenue_Value</t>
  </si>
  <si>
    <t>ebit_Date</t>
  </si>
  <si>
    <t>ebit_Value</t>
  </si>
  <si>
    <t>ebitda_Date</t>
  </si>
  <si>
    <t>ebitda_Value</t>
  </si>
  <si>
    <t>net_income_Date</t>
  </si>
  <si>
    <t>net_income_Value</t>
  </si>
  <si>
    <t>interest_expense_Date</t>
  </si>
  <si>
    <t>interest_expense_Value</t>
  </si>
  <si>
    <t>depreciation_amortization_Date</t>
  </si>
  <si>
    <t>depreciation_amortization_Value</t>
  </si>
  <si>
    <t>operating_cash_flow_Date</t>
  </si>
  <si>
    <t>operating_cash_flow_Value</t>
  </si>
  <si>
    <t>capital_expenditures_Date</t>
  </si>
  <si>
    <t>capital_expenditures_Value</t>
  </si>
  <si>
    <t>free_cash_flow_Date</t>
  </si>
  <si>
    <t>free_cash_flow_Value</t>
  </si>
  <si>
    <t>adjusted_price_Date</t>
  </si>
  <si>
    <t>adjusted_price_Value</t>
  </si>
  <si>
    <t>market_cap_Date</t>
  </si>
  <si>
    <t>market_cap_Value</t>
  </si>
  <si>
    <t>shares_outstanding_Date</t>
  </si>
  <si>
    <t>shares_outstanding_Value</t>
  </si>
  <si>
    <t>volume_Date</t>
  </si>
  <si>
    <t>volume_Value</t>
  </si>
  <si>
    <t>turnover_Date</t>
  </si>
  <si>
    <t>turnover_Value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</si>
</sst>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theme" Target="theme/theme1.xml"/><Relationship Id="rId253" Type="http://schemas.openxmlformats.org/officeDocument/2006/relationships/styles" Target="styles.xml"/><Relationship Id="rId25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cols>
    <col min="1" max="11" width="18.7109375" customWidth="1"/>
    <col min="12" max="13" width="32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15</v>
      </c>
      <c r="J2" t="s">
        <v>21</v>
      </c>
      <c r="K2" t="s">
        <v>22</v>
      </c>
      <c r="L2">
        <f>BDP($H2,"BICS_LEVEL_1_SECTOR_NAME")</f>
        <v/>
      </c>
      <c r="M2">
        <f>BDP($H2,"BICS_LEVEL_3_INDUSTRY_NAME")</f>
        <v/>
      </c>
    </row>
    <row r="3" spans="1:13">
      <c r="A3" t="s">
        <v>23</v>
      </c>
      <c r="B3" t="s">
        <v>14</v>
      </c>
      <c r="C3" t="s">
        <v>15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15</v>
      </c>
      <c r="J3" t="s">
        <v>21</v>
      </c>
      <c r="K3" t="s">
        <v>22</v>
      </c>
      <c r="L3">
        <f>BDP($H3,"BICS_LEVEL_1_SECTOR_NAME")</f>
        <v/>
      </c>
      <c r="M3">
        <f>BDP($H3,"BICS_LEVEL_3_INDUSTRY_NAME")</f>
        <v/>
      </c>
    </row>
    <row r="4" spans="1:13">
      <c r="A4" t="s">
        <v>29</v>
      </c>
      <c r="B4" t="s">
        <v>14</v>
      </c>
      <c r="C4" t="s">
        <v>15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15</v>
      </c>
      <c r="J4" t="s">
        <v>21</v>
      </c>
      <c r="K4" t="s">
        <v>22</v>
      </c>
      <c r="L4">
        <f>BDP($H4,"BICS_LEVEL_1_SECTOR_NAME")</f>
        <v/>
      </c>
      <c r="M4">
        <f>BDP($H4,"BICS_LEVEL_3_INDUSTRY_NAME")</f>
        <v/>
      </c>
    </row>
    <row r="5" spans="1:13">
      <c r="A5" t="s">
        <v>35</v>
      </c>
      <c r="B5" t="s">
        <v>14</v>
      </c>
      <c r="C5" t="s">
        <v>15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15</v>
      </c>
      <c r="J5" t="s">
        <v>21</v>
      </c>
      <c r="K5" t="s">
        <v>22</v>
      </c>
      <c r="L5">
        <f>BDP($H5,"BICS_LEVEL_1_SECTOR_NAME")</f>
        <v/>
      </c>
      <c r="M5">
        <f>BDP($H5,"BICS_LEVEL_3_INDUSTRY_NAME")</f>
        <v/>
      </c>
    </row>
    <row r="6" spans="1:13">
      <c r="A6" t="s">
        <v>41</v>
      </c>
      <c r="B6" t="s">
        <v>14</v>
      </c>
      <c r="C6" t="s">
        <v>15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15</v>
      </c>
      <c r="J6" t="s">
        <v>21</v>
      </c>
      <c r="K6" t="s">
        <v>22</v>
      </c>
      <c r="L6">
        <f>BDP($H6,"BICS_LEVEL_1_SECTOR_NAME")</f>
        <v/>
      </c>
      <c r="M6">
        <f>BDP($H6,"BICS_LEVEL_3_INDUSTRY_NAME")</f>
        <v/>
      </c>
    </row>
    <row r="7" spans="1:13">
      <c r="A7" t="s">
        <v>47</v>
      </c>
      <c r="B7" t="s">
        <v>14</v>
      </c>
      <c r="C7" t="s">
        <v>15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15</v>
      </c>
      <c r="J7" t="s">
        <v>21</v>
      </c>
      <c r="K7" t="s">
        <v>22</v>
      </c>
      <c r="L7">
        <f>BDP($H7,"BICS_LEVEL_1_SECTOR_NAME")</f>
        <v/>
      </c>
      <c r="M7">
        <f>BDP($H7,"BICS_LEVEL_3_INDUSTRY_NAME")</f>
        <v/>
      </c>
    </row>
    <row r="8" spans="1:13">
      <c r="A8" t="s">
        <v>53</v>
      </c>
      <c r="B8" t="s">
        <v>14</v>
      </c>
      <c r="C8" t="s">
        <v>15</v>
      </c>
      <c r="D8" t="s">
        <v>54</v>
      </c>
      <c r="E8" t="s">
        <v>55</v>
      </c>
      <c r="F8" t="s">
        <v>50</v>
      </c>
      <c r="G8" t="s">
        <v>51</v>
      </c>
      <c r="H8" t="s">
        <v>56</v>
      </c>
      <c r="I8" t="s">
        <v>15</v>
      </c>
      <c r="J8" t="s">
        <v>21</v>
      </c>
      <c r="K8" t="s">
        <v>22</v>
      </c>
      <c r="L8">
        <f>BDP($H8,"BICS_LEVEL_1_SECTOR_NAME")</f>
        <v/>
      </c>
      <c r="M8">
        <f>BDP($H8,"BICS_LEVEL_3_INDUSTRY_NAME")</f>
        <v/>
      </c>
    </row>
    <row r="9" spans="1:13">
      <c r="A9" t="s">
        <v>57</v>
      </c>
      <c r="B9" t="s">
        <v>14</v>
      </c>
      <c r="C9" t="s">
        <v>15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15</v>
      </c>
      <c r="J9" t="s">
        <v>21</v>
      </c>
      <c r="K9" t="s">
        <v>22</v>
      </c>
      <c r="L9">
        <f>BDP($H9,"BICS_LEVEL_1_SECTOR_NAME")</f>
        <v/>
      </c>
      <c r="M9">
        <f>BDP($H9,"BICS_LEVEL_3_INDUSTRY_NAME")</f>
        <v/>
      </c>
    </row>
    <row r="10" spans="1:13">
      <c r="A10" t="s">
        <v>63</v>
      </c>
      <c r="B10" t="s">
        <v>14</v>
      </c>
      <c r="C10" t="s">
        <v>15</v>
      </c>
      <c r="D10" t="s">
        <v>64</v>
      </c>
      <c r="E10" t="s">
        <v>65</v>
      </c>
      <c r="F10" t="s">
        <v>26</v>
      </c>
      <c r="G10" t="s">
        <v>66</v>
      </c>
      <c r="H10" t="s">
        <v>67</v>
      </c>
      <c r="I10" t="s">
        <v>15</v>
      </c>
      <c r="J10" t="s">
        <v>21</v>
      </c>
      <c r="K10" t="s">
        <v>22</v>
      </c>
      <c r="L10">
        <f>BDP($H10,"BICS_LEVEL_1_SECTOR_NAME")</f>
        <v/>
      </c>
      <c r="M10">
        <f>BDP($H10,"BICS_LEVEL_3_INDUSTRY_NAME")</f>
        <v/>
      </c>
    </row>
    <row r="11" spans="1:13">
      <c r="A11" t="s">
        <v>68</v>
      </c>
      <c r="B11" t="s">
        <v>14</v>
      </c>
      <c r="C11" t="s">
        <v>15</v>
      </c>
      <c r="D11" t="s">
        <v>69</v>
      </c>
      <c r="E11" t="s">
        <v>70</v>
      </c>
      <c r="F11" t="s">
        <v>60</v>
      </c>
      <c r="G11" t="s">
        <v>71</v>
      </c>
      <c r="H11" t="s">
        <v>72</v>
      </c>
      <c r="I11" t="s">
        <v>15</v>
      </c>
      <c r="J11" t="s">
        <v>21</v>
      </c>
      <c r="K11" t="s">
        <v>22</v>
      </c>
      <c r="L11">
        <f>BDP($H11,"BICS_LEVEL_1_SECTOR_NAME")</f>
        <v/>
      </c>
      <c r="M11">
        <f>BDP($H11,"BICS_LEVEL_3_INDUSTRY_NAME")</f>
        <v/>
      </c>
    </row>
    <row r="12" spans="1:13">
      <c r="A12" t="s">
        <v>73</v>
      </c>
      <c r="B12" t="s">
        <v>14</v>
      </c>
      <c r="C12" t="s">
        <v>15</v>
      </c>
      <c r="D12" t="s">
        <v>74</v>
      </c>
      <c r="E12" t="s">
        <v>75</v>
      </c>
      <c r="F12" t="s">
        <v>18</v>
      </c>
      <c r="G12" t="s">
        <v>19</v>
      </c>
      <c r="H12" t="s">
        <v>76</v>
      </c>
      <c r="I12" t="s">
        <v>15</v>
      </c>
      <c r="J12" t="s">
        <v>21</v>
      </c>
      <c r="K12" t="s">
        <v>22</v>
      </c>
      <c r="L12">
        <f>BDP($H12,"BICS_LEVEL_1_SECTOR_NAME")</f>
        <v/>
      </c>
      <c r="M12">
        <f>BDP($H12,"BICS_LEVEL_3_INDUSTRY_NAME")</f>
        <v/>
      </c>
    </row>
    <row r="13" spans="1:13">
      <c r="A13" t="s">
        <v>77</v>
      </c>
      <c r="B13" t="s">
        <v>14</v>
      </c>
      <c r="C13" t="s">
        <v>15</v>
      </c>
      <c r="D13" t="s">
        <v>78</v>
      </c>
      <c r="E13" t="s">
        <v>79</v>
      </c>
      <c r="F13" t="s">
        <v>26</v>
      </c>
      <c r="G13" t="s">
        <v>80</v>
      </c>
      <c r="H13" t="s">
        <v>81</v>
      </c>
      <c r="I13" t="s">
        <v>15</v>
      </c>
      <c r="J13" t="s">
        <v>21</v>
      </c>
      <c r="K13" t="s">
        <v>22</v>
      </c>
      <c r="L13">
        <f>BDP($H13,"BICS_LEVEL_1_SECTOR_NAME")</f>
        <v/>
      </c>
      <c r="M13">
        <f>BDP($H13,"BICS_LEVEL_3_INDUSTRY_NAME")</f>
        <v/>
      </c>
    </row>
    <row r="14" spans="1:13">
      <c r="A14" t="s">
        <v>82</v>
      </c>
      <c r="B14" t="s">
        <v>14</v>
      </c>
      <c r="C14" t="s">
        <v>15</v>
      </c>
      <c r="D14" t="s">
        <v>83</v>
      </c>
      <c r="E14" t="s">
        <v>84</v>
      </c>
      <c r="F14" t="s">
        <v>85</v>
      </c>
      <c r="G14" t="s">
        <v>86</v>
      </c>
      <c r="H14" t="s">
        <v>87</v>
      </c>
      <c r="I14" t="s">
        <v>15</v>
      </c>
      <c r="J14" t="s">
        <v>21</v>
      </c>
      <c r="K14" t="s">
        <v>22</v>
      </c>
      <c r="L14">
        <f>BDP($H14,"BICS_LEVEL_1_SECTOR_NAME")</f>
        <v/>
      </c>
      <c r="M14">
        <f>BDP($H14,"BICS_LEVEL_3_INDUSTRY_NAME")</f>
        <v/>
      </c>
    </row>
    <row r="15" spans="1:13">
      <c r="A15" t="s">
        <v>88</v>
      </c>
      <c r="B15" t="s">
        <v>14</v>
      </c>
      <c r="C15" t="s">
        <v>15</v>
      </c>
      <c r="D15" t="s">
        <v>89</v>
      </c>
      <c r="E15" t="s">
        <v>90</v>
      </c>
      <c r="F15" t="s">
        <v>60</v>
      </c>
      <c r="G15" t="s">
        <v>91</v>
      </c>
      <c r="H15" t="s">
        <v>92</v>
      </c>
      <c r="I15" t="s">
        <v>15</v>
      </c>
      <c r="J15" t="s">
        <v>21</v>
      </c>
      <c r="K15" t="s">
        <v>22</v>
      </c>
      <c r="L15">
        <f>BDP($H15,"BICS_LEVEL_1_SECTOR_NAME")</f>
        <v/>
      </c>
      <c r="M15">
        <f>BDP($H15,"BICS_LEVEL_3_INDUSTRY_NAME")</f>
        <v/>
      </c>
    </row>
    <row r="16" spans="1:13">
      <c r="A16" t="s">
        <v>93</v>
      </c>
      <c r="B16" t="s">
        <v>14</v>
      </c>
      <c r="C16" t="s">
        <v>15</v>
      </c>
      <c r="D16" t="s">
        <v>94</v>
      </c>
      <c r="E16" t="s">
        <v>95</v>
      </c>
      <c r="F16" t="s">
        <v>50</v>
      </c>
      <c r="G16" t="s">
        <v>96</v>
      </c>
      <c r="H16" t="s">
        <v>97</v>
      </c>
      <c r="I16" t="s">
        <v>15</v>
      </c>
      <c r="J16" t="s">
        <v>21</v>
      </c>
      <c r="K16" t="s">
        <v>22</v>
      </c>
      <c r="L16">
        <f>BDP($H16,"BICS_LEVEL_1_SECTOR_NAME")</f>
        <v/>
      </c>
      <c r="M16">
        <f>BDP($H16,"BICS_LEVEL_3_INDUSTRY_NAME")</f>
        <v/>
      </c>
    </row>
    <row r="17" spans="1:13">
      <c r="A17" t="s">
        <v>98</v>
      </c>
      <c r="B17" t="s">
        <v>14</v>
      </c>
      <c r="C17" t="s">
        <v>15</v>
      </c>
      <c r="D17" t="s">
        <v>99</v>
      </c>
      <c r="E17" t="s">
        <v>100</v>
      </c>
      <c r="F17" t="s">
        <v>50</v>
      </c>
      <c r="G17" t="s">
        <v>101</v>
      </c>
      <c r="H17" t="s">
        <v>102</v>
      </c>
      <c r="I17" t="s">
        <v>15</v>
      </c>
      <c r="J17" t="s">
        <v>21</v>
      </c>
      <c r="K17" t="s">
        <v>22</v>
      </c>
      <c r="L17">
        <f>BDP($H17,"BICS_LEVEL_1_SECTOR_NAME")</f>
        <v/>
      </c>
      <c r="M17">
        <f>BDP($H17,"BICS_LEVEL_3_INDUSTRY_NAME")</f>
        <v/>
      </c>
    </row>
    <row r="18" spans="1:13">
      <c r="A18" t="s">
        <v>103</v>
      </c>
      <c r="B18" t="s">
        <v>14</v>
      </c>
      <c r="C18" t="s">
        <v>15</v>
      </c>
      <c r="D18" t="s">
        <v>104</v>
      </c>
      <c r="E18" t="s">
        <v>105</v>
      </c>
      <c r="F18" t="s">
        <v>50</v>
      </c>
      <c r="G18" t="s">
        <v>106</v>
      </c>
      <c r="H18" t="s">
        <v>107</v>
      </c>
      <c r="I18" t="s">
        <v>15</v>
      </c>
      <c r="J18" t="s">
        <v>21</v>
      </c>
      <c r="K18" t="s">
        <v>22</v>
      </c>
      <c r="L18">
        <f>BDP($H18,"BICS_LEVEL_1_SECTOR_NAME")</f>
        <v/>
      </c>
      <c r="M18">
        <f>BDP($H18,"BICS_LEVEL_3_INDUSTRY_NAME")</f>
        <v/>
      </c>
    </row>
    <row r="19" spans="1:13">
      <c r="A19" t="s">
        <v>108</v>
      </c>
      <c r="B19" t="s">
        <v>14</v>
      </c>
      <c r="C19" t="s">
        <v>15</v>
      </c>
      <c r="D19" t="s">
        <v>109</v>
      </c>
      <c r="E19" t="s">
        <v>110</v>
      </c>
      <c r="F19" t="s">
        <v>18</v>
      </c>
      <c r="G19" t="s">
        <v>111</v>
      </c>
      <c r="H19" t="s">
        <v>112</v>
      </c>
      <c r="I19" t="s">
        <v>15</v>
      </c>
      <c r="J19" t="s">
        <v>21</v>
      </c>
      <c r="K19" t="s">
        <v>22</v>
      </c>
      <c r="L19">
        <f>BDP($H19,"BICS_LEVEL_1_SECTOR_NAME")</f>
        <v/>
      </c>
      <c r="M19">
        <f>BDP($H19,"BICS_LEVEL_3_INDUSTRY_NAME")</f>
        <v/>
      </c>
    </row>
    <row r="20" spans="1:13">
      <c r="A20" t="s">
        <v>113</v>
      </c>
      <c r="B20" t="s">
        <v>14</v>
      </c>
      <c r="C20" t="s">
        <v>15</v>
      </c>
      <c r="D20" t="s">
        <v>114</v>
      </c>
      <c r="E20" t="s">
        <v>115</v>
      </c>
      <c r="F20" t="s">
        <v>50</v>
      </c>
      <c r="G20" t="s">
        <v>106</v>
      </c>
      <c r="H20" t="s">
        <v>116</v>
      </c>
      <c r="I20" t="s">
        <v>15</v>
      </c>
      <c r="J20" t="s">
        <v>21</v>
      </c>
      <c r="K20" t="s">
        <v>22</v>
      </c>
      <c r="L20">
        <f>BDP($H20,"BICS_LEVEL_1_SECTOR_NAME")</f>
        <v/>
      </c>
      <c r="M20">
        <f>BDP($H20,"BICS_LEVEL_3_INDUSTRY_NAME")</f>
        <v/>
      </c>
    </row>
    <row r="21" spans="1:13">
      <c r="A21" t="s">
        <v>117</v>
      </c>
      <c r="B21" t="s">
        <v>14</v>
      </c>
      <c r="C21" t="s">
        <v>15</v>
      </c>
      <c r="D21" t="s">
        <v>118</v>
      </c>
      <c r="E21" t="s">
        <v>119</v>
      </c>
      <c r="F21" t="s">
        <v>26</v>
      </c>
      <c r="G21" t="s">
        <v>120</v>
      </c>
      <c r="H21" t="s">
        <v>121</v>
      </c>
      <c r="I21" t="s">
        <v>15</v>
      </c>
      <c r="J21" t="s">
        <v>21</v>
      </c>
      <c r="K21" t="s">
        <v>22</v>
      </c>
      <c r="L21">
        <f>BDP($H21,"BICS_LEVEL_1_SECTOR_NAME")</f>
        <v/>
      </c>
      <c r="M21">
        <f>BDP($H21,"BICS_LEVEL_3_INDUSTRY_NAME")</f>
        <v/>
      </c>
    </row>
    <row r="22" spans="1:13">
      <c r="A22" t="s">
        <v>122</v>
      </c>
      <c r="B22" t="s">
        <v>14</v>
      </c>
      <c r="C22" t="s">
        <v>15</v>
      </c>
      <c r="D22" t="s">
        <v>123</v>
      </c>
      <c r="E22" t="s">
        <v>124</v>
      </c>
      <c r="F22" t="s">
        <v>26</v>
      </c>
      <c r="G22" t="s">
        <v>125</v>
      </c>
      <c r="H22" t="s">
        <v>126</v>
      </c>
      <c r="I22" t="s">
        <v>15</v>
      </c>
      <c r="J22" t="s">
        <v>21</v>
      </c>
      <c r="K22" t="s">
        <v>22</v>
      </c>
      <c r="L22">
        <f>BDP($H22,"BICS_LEVEL_1_SECTOR_NAME")</f>
        <v/>
      </c>
      <c r="M22">
        <f>BDP($H22,"BICS_LEVEL_3_INDUSTRY_NAME")</f>
        <v/>
      </c>
    </row>
    <row r="23" spans="1:13">
      <c r="A23" t="s">
        <v>127</v>
      </c>
      <c r="B23" t="s">
        <v>14</v>
      </c>
      <c r="C23" t="s">
        <v>15</v>
      </c>
      <c r="D23" t="s">
        <v>128</v>
      </c>
      <c r="E23" t="s">
        <v>129</v>
      </c>
      <c r="F23" t="s">
        <v>26</v>
      </c>
      <c r="G23" t="s">
        <v>130</v>
      </c>
      <c r="H23" t="s">
        <v>131</v>
      </c>
      <c r="I23" t="s">
        <v>15</v>
      </c>
      <c r="J23" t="s">
        <v>21</v>
      </c>
      <c r="K23" t="s">
        <v>22</v>
      </c>
      <c r="L23">
        <f>BDP($H23,"BICS_LEVEL_1_SECTOR_NAME")</f>
        <v/>
      </c>
      <c r="M23">
        <f>BDP($H23,"BICS_LEVEL_3_INDUSTRY_NAME")</f>
        <v/>
      </c>
    </row>
    <row r="24" spans="1:13">
      <c r="A24" t="s">
        <v>132</v>
      </c>
      <c r="B24" t="s">
        <v>14</v>
      </c>
      <c r="C24" t="s">
        <v>15</v>
      </c>
      <c r="D24" t="s">
        <v>133</v>
      </c>
      <c r="E24" t="s">
        <v>134</v>
      </c>
      <c r="F24" t="s">
        <v>50</v>
      </c>
      <c r="G24" t="s">
        <v>101</v>
      </c>
      <c r="H24" t="s">
        <v>135</v>
      </c>
      <c r="I24" t="s">
        <v>15</v>
      </c>
      <c r="J24" t="s">
        <v>21</v>
      </c>
      <c r="K24" t="s">
        <v>22</v>
      </c>
      <c r="L24">
        <f>BDP($H24,"BICS_LEVEL_1_SECTOR_NAME")</f>
        <v/>
      </c>
      <c r="M24">
        <f>BDP($H24,"BICS_LEVEL_3_INDUSTRY_NAME")</f>
        <v/>
      </c>
    </row>
    <row r="25" spans="1:13">
      <c r="A25" t="s">
        <v>136</v>
      </c>
      <c r="B25" t="s">
        <v>14</v>
      </c>
      <c r="C25" t="s">
        <v>15</v>
      </c>
      <c r="D25" t="s">
        <v>137</v>
      </c>
      <c r="E25" t="s">
        <v>138</v>
      </c>
      <c r="F25" t="s">
        <v>50</v>
      </c>
      <c r="G25" t="s">
        <v>139</v>
      </c>
      <c r="H25" t="s">
        <v>140</v>
      </c>
      <c r="I25" t="s">
        <v>15</v>
      </c>
      <c r="J25" t="s">
        <v>21</v>
      </c>
      <c r="K25" t="s">
        <v>22</v>
      </c>
      <c r="L25">
        <f>BDP($H25,"BICS_LEVEL_1_SECTOR_NAME")</f>
        <v/>
      </c>
      <c r="M25">
        <f>BDP($H25,"BICS_LEVEL_3_INDUSTRY_NAME")</f>
        <v/>
      </c>
    </row>
    <row r="26" spans="1:13">
      <c r="A26" t="s">
        <v>141</v>
      </c>
      <c r="B26" t="s">
        <v>14</v>
      </c>
      <c r="C26" t="s">
        <v>15</v>
      </c>
      <c r="D26" t="s">
        <v>142</v>
      </c>
      <c r="E26" t="s">
        <v>143</v>
      </c>
      <c r="F26" t="s">
        <v>60</v>
      </c>
      <c r="G26" t="s">
        <v>144</v>
      </c>
      <c r="H26" t="s">
        <v>145</v>
      </c>
      <c r="I26" t="s">
        <v>15</v>
      </c>
      <c r="J26" t="s">
        <v>21</v>
      </c>
      <c r="K26" t="s">
        <v>22</v>
      </c>
      <c r="L26">
        <f>BDP($H26,"BICS_LEVEL_1_SECTOR_NAME")</f>
        <v/>
      </c>
      <c r="M26">
        <f>BDP($H26,"BICS_LEVEL_3_INDUSTRY_NAME")</f>
        <v/>
      </c>
    </row>
    <row r="27" spans="1:13">
      <c r="A27" t="s">
        <v>146</v>
      </c>
      <c r="B27" t="s">
        <v>14</v>
      </c>
      <c r="C27" t="s">
        <v>15</v>
      </c>
      <c r="D27" t="s">
        <v>147</v>
      </c>
      <c r="E27" t="s">
        <v>148</v>
      </c>
      <c r="F27" t="s">
        <v>18</v>
      </c>
      <c r="G27" t="s">
        <v>149</v>
      </c>
      <c r="H27" t="s">
        <v>150</v>
      </c>
      <c r="I27" t="s">
        <v>15</v>
      </c>
      <c r="J27" t="s">
        <v>21</v>
      </c>
      <c r="K27" t="s">
        <v>22</v>
      </c>
      <c r="L27">
        <f>BDP($H27,"BICS_LEVEL_1_SECTOR_NAME")</f>
        <v/>
      </c>
      <c r="M27">
        <f>BDP($H27,"BICS_LEVEL_3_INDUSTRY_NAME")</f>
        <v/>
      </c>
    </row>
    <row r="28" spans="1:13">
      <c r="A28" t="s">
        <v>151</v>
      </c>
      <c r="B28" t="s">
        <v>14</v>
      </c>
      <c r="C28" t="s">
        <v>15</v>
      </c>
      <c r="D28" t="s">
        <v>152</v>
      </c>
      <c r="E28" t="s">
        <v>153</v>
      </c>
      <c r="F28" t="s">
        <v>50</v>
      </c>
      <c r="G28" t="s">
        <v>154</v>
      </c>
      <c r="H28" t="s">
        <v>155</v>
      </c>
      <c r="I28" t="s">
        <v>15</v>
      </c>
      <c r="J28" t="s">
        <v>21</v>
      </c>
      <c r="K28" t="s">
        <v>22</v>
      </c>
      <c r="L28">
        <f>BDP($H28,"BICS_LEVEL_1_SECTOR_NAME")</f>
        <v/>
      </c>
      <c r="M28">
        <f>BDP($H28,"BICS_LEVEL_3_INDUSTRY_NAME")</f>
        <v/>
      </c>
    </row>
    <row r="29" spans="1:13">
      <c r="A29" t="s">
        <v>156</v>
      </c>
      <c r="B29" t="s">
        <v>14</v>
      </c>
      <c r="C29" t="s">
        <v>15</v>
      </c>
      <c r="D29" t="s">
        <v>157</v>
      </c>
      <c r="E29" t="s">
        <v>158</v>
      </c>
      <c r="F29" t="s">
        <v>60</v>
      </c>
      <c r="G29" t="s">
        <v>159</v>
      </c>
      <c r="H29" t="s">
        <v>160</v>
      </c>
      <c r="I29" t="s">
        <v>15</v>
      </c>
      <c r="J29" t="s">
        <v>21</v>
      </c>
      <c r="K29" t="s">
        <v>22</v>
      </c>
      <c r="L29">
        <f>BDP($H29,"BICS_LEVEL_1_SECTOR_NAME")</f>
        <v/>
      </c>
      <c r="M29">
        <f>BDP($H29,"BICS_LEVEL_3_INDUSTRY_NAME")</f>
        <v/>
      </c>
    </row>
    <row r="30" spans="1:13">
      <c r="A30" t="s">
        <v>161</v>
      </c>
      <c r="B30" t="s">
        <v>14</v>
      </c>
      <c r="C30" t="s">
        <v>15</v>
      </c>
      <c r="D30" t="s">
        <v>162</v>
      </c>
      <c r="E30" t="s">
        <v>163</v>
      </c>
      <c r="F30" t="s">
        <v>18</v>
      </c>
      <c r="G30" t="s">
        <v>19</v>
      </c>
      <c r="H30" t="s">
        <v>164</v>
      </c>
      <c r="I30" t="s">
        <v>15</v>
      </c>
      <c r="J30" t="s">
        <v>21</v>
      </c>
      <c r="K30" t="s">
        <v>22</v>
      </c>
      <c r="L30">
        <f>BDP($H30,"BICS_LEVEL_1_SECTOR_NAME")</f>
        <v/>
      </c>
      <c r="M30">
        <f>BDP($H30,"BICS_LEVEL_3_INDUSTRY_NAME")</f>
        <v/>
      </c>
    </row>
    <row r="31" spans="1:13">
      <c r="A31" t="s">
        <v>165</v>
      </c>
      <c r="B31" t="s">
        <v>14</v>
      </c>
      <c r="C31" t="s">
        <v>15</v>
      </c>
      <c r="D31" t="s">
        <v>166</v>
      </c>
      <c r="E31" t="s">
        <v>167</v>
      </c>
      <c r="F31" t="s">
        <v>60</v>
      </c>
      <c r="G31" t="s">
        <v>61</v>
      </c>
      <c r="H31" t="s">
        <v>168</v>
      </c>
      <c r="I31" t="s">
        <v>15</v>
      </c>
      <c r="J31" t="s">
        <v>21</v>
      </c>
      <c r="K31" t="s">
        <v>22</v>
      </c>
      <c r="L31">
        <f>BDP($H31,"BICS_LEVEL_1_SECTOR_NAME")</f>
        <v/>
      </c>
      <c r="M31">
        <f>BDP($H31,"BICS_LEVEL_3_INDUSTRY_NAME")</f>
        <v/>
      </c>
    </row>
    <row r="32" spans="1:13">
      <c r="A32" t="s">
        <v>169</v>
      </c>
      <c r="B32" t="s">
        <v>14</v>
      </c>
      <c r="C32" t="s">
        <v>15</v>
      </c>
      <c r="D32" t="s">
        <v>170</v>
      </c>
      <c r="E32" t="s">
        <v>171</v>
      </c>
      <c r="F32" t="s">
        <v>18</v>
      </c>
      <c r="G32" t="s">
        <v>19</v>
      </c>
      <c r="H32" t="s">
        <v>172</v>
      </c>
      <c r="I32" t="s">
        <v>15</v>
      </c>
      <c r="J32" t="s">
        <v>21</v>
      </c>
      <c r="K32" t="s">
        <v>22</v>
      </c>
      <c r="L32">
        <f>BDP($H32,"BICS_LEVEL_1_SECTOR_NAME")</f>
        <v/>
      </c>
      <c r="M32">
        <f>BDP($H32,"BICS_LEVEL_3_INDUSTRY_NAME")</f>
        <v/>
      </c>
    </row>
    <row r="33" spans="1:13">
      <c r="A33" t="s">
        <v>173</v>
      </c>
      <c r="B33" t="s">
        <v>14</v>
      </c>
      <c r="C33" t="s">
        <v>15</v>
      </c>
      <c r="D33" t="s">
        <v>174</v>
      </c>
      <c r="E33" t="s">
        <v>175</v>
      </c>
      <c r="F33" t="s">
        <v>18</v>
      </c>
      <c r="G33" t="s">
        <v>176</v>
      </c>
      <c r="H33" t="s">
        <v>177</v>
      </c>
      <c r="I33" t="s">
        <v>15</v>
      </c>
      <c r="J33" t="s">
        <v>21</v>
      </c>
      <c r="K33" t="s">
        <v>22</v>
      </c>
      <c r="L33">
        <f>BDP($H33,"BICS_LEVEL_1_SECTOR_NAME")</f>
        <v/>
      </c>
      <c r="M33">
        <f>BDP($H33,"BICS_LEVEL_3_INDUSTRY_NAME")</f>
        <v/>
      </c>
    </row>
    <row r="34" spans="1:13">
      <c r="A34" t="s">
        <v>178</v>
      </c>
      <c r="B34" t="s">
        <v>14</v>
      </c>
      <c r="C34" t="s">
        <v>15</v>
      </c>
      <c r="D34" t="s">
        <v>179</v>
      </c>
      <c r="E34" t="s">
        <v>180</v>
      </c>
      <c r="F34" t="s">
        <v>50</v>
      </c>
      <c r="G34" t="s">
        <v>101</v>
      </c>
      <c r="H34" t="s">
        <v>181</v>
      </c>
      <c r="I34" t="s">
        <v>15</v>
      </c>
      <c r="J34" t="s">
        <v>21</v>
      </c>
      <c r="K34" t="s">
        <v>22</v>
      </c>
      <c r="L34">
        <f>BDP($H34,"BICS_LEVEL_1_SECTOR_NAME")</f>
        <v/>
      </c>
      <c r="M34">
        <f>BDP($H34,"BICS_LEVEL_3_INDUSTRY_NAME")</f>
        <v/>
      </c>
    </row>
    <row r="35" spans="1:13">
      <c r="A35" t="s">
        <v>182</v>
      </c>
      <c r="B35" t="s">
        <v>14</v>
      </c>
      <c r="C35" t="s">
        <v>15</v>
      </c>
      <c r="D35" t="s">
        <v>183</v>
      </c>
      <c r="E35" t="s">
        <v>184</v>
      </c>
      <c r="F35" t="s">
        <v>50</v>
      </c>
      <c r="G35" t="s">
        <v>101</v>
      </c>
      <c r="H35" t="s">
        <v>185</v>
      </c>
      <c r="I35" t="s">
        <v>15</v>
      </c>
      <c r="J35" t="s">
        <v>21</v>
      </c>
      <c r="K35" t="s">
        <v>22</v>
      </c>
      <c r="L35">
        <f>BDP($H35,"BICS_LEVEL_1_SECTOR_NAME")</f>
        <v/>
      </c>
      <c r="M35">
        <f>BDP($H35,"BICS_LEVEL_3_INDUSTRY_NAME")</f>
        <v/>
      </c>
    </row>
    <row r="36" spans="1:13">
      <c r="A36" t="s">
        <v>186</v>
      </c>
      <c r="B36" t="s">
        <v>14</v>
      </c>
      <c r="C36" t="s">
        <v>15</v>
      </c>
      <c r="D36" t="s">
        <v>187</v>
      </c>
      <c r="E36" t="s">
        <v>188</v>
      </c>
      <c r="F36" t="s">
        <v>18</v>
      </c>
      <c r="G36" t="s">
        <v>189</v>
      </c>
      <c r="H36" t="s">
        <v>190</v>
      </c>
      <c r="I36" t="s">
        <v>15</v>
      </c>
      <c r="J36" t="s">
        <v>21</v>
      </c>
      <c r="K36" t="s">
        <v>22</v>
      </c>
      <c r="L36">
        <f>BDP($H36,"BICS_LEVEL_1_SECTOR_NAME")</f>
        <v/>
      </c>
      <c r="M36">
        <f>BDP($H36,"BICS_LEVEL_3_INDUSTRY_NAME")</f>
        <v/>
      </c>
    </row>
    <row r="37" spans="1:13">
      <c r="A37" t="s">
        <v>191</v>
      </c>
      <c r="B37" t="s">
        <v>14</v>
      </c>
      <c r="C37" t="s">
        <v>15</v>
      </c>
      <c r="D37" t="s">
        <v>192</v>
      </c>
      <c r="E37" t="s">
        <v>193</v>
      </c>
      <c r="F37" t="s">
        <v>18</v>
      </c>
      <c r="G37" t="s">
        <v>176</v>
      </c>
      <c r="H37" t="s">
        <v>194</v>
      </c>
      <c r="I37" t="s">
        <v>15</v>
      </c>
      <c r="J37" t="s">
        <v>21</v>
      </c>
      <c r="K37" t="s">
        <v>22</v>
      </c>
      <c r="L37">
        <f>BDP($H37,"BICS_LEVEL_1_SECTOR_NAME")</f>
        <v/>
      </c>
      <c r="M37">
        <f>BDP($H37,"BICS_LEVEL_3_INDUSTRY_NAME")</f>
        <v/>
      </c>
    </row>
    <row r="38" spans="1:13">
      <c r="A38" t="s">
        <v>195</v>
      </c>
      <c r="B38" t="s">
        <v>14</v>
      </c>
      <c r="C38" t="s">
        <v>15</v>
      </c>
      <c r="D38" t="s">
        <v>196</v>
      </c>
      <c r="E38" t="s">
        <v>197</v>
      </c>
      <c r="F38" t="s">
        <v>50</v>
      </c>
      <c r="G38" t="s">
        <v>198</v>
      </c>
      <c r="H38" t="s">
        <v>199</v>
      </c>
      <c r="I38" t="s">
        <v>15</v>
      </c>
      <c r="J38" t="s">
        <v>21</v>
      </c>
      <c r="K38" t="s">
        <v>22</v>
      </c>
      <c r="L38">
        <f>BDP($H38,"BICS_LEVEL_1_SECTOR_NAME")</f>
        <v/>
      </c>
      <c r="M38">
        <f>BDP($H38,"BICS_LEVEL_3_INDUSTRY_NAME")</f>
        <v/>
      </c>
    </row>
    <row r="39" spans="1:13">
      <c r="A39" t="s">
        <v>200</v>
      </c>
      <c r="B39" t="s">
        <v>14</v>
      </c>
      <c r="C39" t="s">
        <v>15</v>
      </c>
      <c r="D39" t="s">
        <v>201</v>
      </c>
      <c r="E39" t="s">
        <v>202</v>
      </c>
      <c r="F39" t="s">
        <v>44</v>
      </c>
      <c r="G39" t="s">
        <v>203</v>
      </c>
      <c r="H39" t="s">
        <v>204</v>
      </c>
      <c r="I39" t="s">
        <v>15</v>
      </c>
      <c r="J39" t="s">
        <v>21</v>
      </c>
      <c r="K39" t="s">
        <v>22</v>
      </c>
      <c r="L39">
        <f>BDP($H39,"BICS_LEVEL_1_SECTOR_NAME")</f>
        <v/>
      </c>
      <c r="M39">
        <f>BDP($H39,"BICS_LEVEL_3_INDUSTRY_NAME")</f>
        <v/>
      </c>
    </row>
    <row r="40" spans="1:13">
      <c r="A40" t="s">
        <v>205</v>
      </c>
      <c r="B40" t="s">
        <v>14</v>
      </c>
      <c r="C40" t="s">
        <v>15</v>
      </c>
      <c r="D40" t="s">
        <v>206</v>
      </c>
      <c r="E40" t="s">
        <v>207</v>
      </c>
      <c r="F40" t="s">
        <v>38</v>
      </c>
      <c r="G40" t="s">
        <v>39</v>
      </c>
      <c r="H40" t="s">
        <v>208</v>
      </c>
      <c r="I40" t="s">
        <v>15</v>
      </c>
      <c r="J40" t="s">
        <v>21</v>
      </c>
      <c r="K40" t="s">
        <v>22</v>
      </c>
      <c r="L40">
        <f>BDP($H40,"BICS_LEVEL_1_SECTOR_NAME")</f>
        <v/>
      </c>
      <c r="M40">
        <f>BDP($H40,"BICS_LEVEL_3_INDUSTRY_NAME")</f>
        <v/>
      </c>
    </row>
    <row r="41" spans="1:13">
      <c r="A41" t="s">
        <v>209</v>
      </c>
      <c r="B41" t="s">
        <v>14</v>
      </c>
      <c r="C41" t="s">
        <v>15</v>
      </c>
      <c r="D41" t="s">
        <v>210</v>
      </c>
      <c r="E41" t="s">
        <v>211</v>
      </c>
      <c r="F41" t="s">
        <v>44</v>
      </c>
      <c r="G41" t="s">
        <v>203</v>
      </c>
      <c r="H41" t="s">
        <v>212</v>
      </c>
      <c r="I41" t="s">
        <v>15</v>
      </c>
      <c r="J41" t="s">
        <v>21</v>
      </c>
      <c r="K41" t="s">
        <v>22</v>
      </c>
      <c r="L41">
        <f>BDP($H41,"BICS_LEVEL_1_SECTOR_NAME")</f>
        <v/>
      </c>
      <c r="M41">
        <f>BDP($H41,"BICS_LEVEL_3_INDUSTRY_NAME")</f>
        <v/>
      </c>
    </row>
    <row r="42" spans="1:13">
      <c r="A42" t="s">
        <v>213</v>
      </c>
      <c r="B42" t="s">
        <v>14</v>
      </c>
      <c r="C42" t="s">
        <v>15</v>
      </c>
      <c r="D42" t="s">
        <v>214</v>
      </c>
      <c r="E42" t="s">
        <v>215</v>
      </c>
      <c r="F42" t="s">
        <v>44</v>
      </c>
      <c r="G42" t="s">
        <v>203</v>
      </c>
      <c r="H42" t="s">
        <v>216</v>
      </c>
      <c r="I42" t="s">
        <v>15</v>
      </c>
      <c r="J42" t="s">
        <v>21</v>
      </c>
      <c r="K42" t="s">
        <v>22</v>
      </c>
      <c r="L42">
        <f>BDP($H42,"BICS_LEVEL_1_SECTOR_NAME")</f>
        <v/>
      </c>
      <c r="M42">
        <f>BDP($H42,"BICS_LEVEL_3_INDUSTRY_NAME")</f>
        <v/>
      </c>
    </row>
    <row r="43" spans="1:13">
      <c r="A43" t="s">
        <v>217</v>
      </c>
      <c r="B43" t="s">
        <v>14</v>
      </c>
      <c r="C43" t="s">
        <v>15</v>
      </c>
      <c r="D43" t="s">
        <v>218</v>
      </c>
      <c r="E43" t="s">
        <v>219</v>
      </c>
      <c r="F43" t="s">
        <v>44</v>
      </c>
      <c r="G43" t="s">
        <v>203</v>
      </c>
      <c r="H43" t="s">
        <v>220</v>
      </c>
      <c r="I43" t="s">
        <v>15</v>
      </c>
      <c r="J43" t="s">
        <v>21</v>
      </c>
      <c r="K43" t="s">
        <v>22</v>
      </c>
      <c r="L43">
        <f>BDP($H43,"BICS_LEVEL_1_SECTOR_NAME")</f>
        <v/>
      </c>
      <c r="M43">
        <f>BDP($H43,"BICS_LEVEL_3_INDUSTRY_NAME")</f>
        <v/>
      </c>
    </row>
    <row r="44" spans="1:13">
      <c r="A44" t="s">
        <v>221</v>
      </c>
      <c r="B44" t="s">
        <v>14</v>
      </c>
      <c r="C44" t="s">
        <v>15</v>
      </c>
      <c r="D44" t="s">
        <v>222</v>
      </c>
      <c r="E44" t="s">
        <v>223</v>
      </c>
      <c r="F44" t="s">
        <v>44</v>
      </c>
      <c r="G44" t="s">
        <v>203</v>
      </c>
      <c r="H44" t="s">
        <v>224</v>
      </c>
      <c r="I44" t="s">
        <v>15</v>
      </c>
      <c r="J44" t="s">
        <v>21</v>
      </c>
      <c r="K44" t="s">
        <v>22</v>
      </c>
      <c r="L44">
        <f>BDP($H44,"BICS_LEVEL_1_SECTOR_NAME")</f>
        <v/>
      </c>
      <c r="M44">
        <f>BDP($H44,"BICS_LEVEL_3_INDUSTRY_NAME")</f>
        <v/>
      </c>
    </row>
    <row r="45" spans="1:13">
      <c r="A45" t="s">
        <v>225</v>
      </c>
      <c r="B45" t="s">
        <v>14</v>
      </c>
      <c r="C45" t="s">
        <v>15</v>
      </c>
      <c r="D45" t="s">
        <v>226</v>
      </c>
      <c r="E45" t="s">
        <v>227</v>
      </c>
      <c r="F45" t="s">
        <v>60</v>
      </c>
      <c r="G45" t="s">
        <v>228</v>
      </c>
      <c r="H45" t="s">
        <v>229</v>
      </c>
      <c r="I45" t="s">
        <v>15</v>
      </c>
      <c r="J45" t="s">
        <v>21</v>
      </c>
      <c r="K45" t="s">
        <v>22</v>
      </c>
      <c r="L45">
        <f>BDP($H45,"BICS_LEVEL_1_SECTOR_NAME")</f>
        <v/>
      </c>
      <c r="M45">
        <f>BDP($H45,"BICS_LEVEL_3_INDUSTRY_NAME")</f>
        <v/>
      </c>
    </row>
    <row r="46" spans="1:13">
      <c r="A46" t="s">
        <v>230</v>
      </c>
      <c r="B46" t="s">
        <v>14</v>
      </c>
      <c r="C46" t="s">
        <v>15</v>
      </c>
      <c r="D46" t="s">
        <v>231</v>
      </c>
      <c r="E46" t="s">
        <v>232</v>
      </c>
      <c r="F46" t="s">
        <v>18</v>
      </c>
      <c r="G46" t="s">
        <v>176</v>
      </c>
      <c r="H46" t="s">
        <v>233</v>
      </c>
      <c r="I46" t="s">
        <v>15</v>
      </c>
      <c r="J46" t="s">
        <v>21</v>
      </c>
      <c r="K46" t="s">
        <v>22</v>
      </c>
      <c r="L46">
        <f>BDP($H46,"BICS_LEVEL_1_SECTOR_NAME")</f>
        <v/>
      </c>
      <c r="M46">
        <f>BDP($H46,"BICS_LEVEL_3_INDUSTRY_NAME")</f>
        <v/>
      </c>
    </row>
    <row r="47" spans="1:13">
      <c r="A47" t="s">
        <v>234</v>
      </c>
      <c r="B47" t="s">
        <v>14</v>
      </c>
      <c r="C47" t="s">
        <v>15</v>
      </c>
      <c r="D47" t="s">
        <v>235</v>
      </c>
      <c r="E47" t="s">
        <v>236</v>
      </c>
      <c r="F47" t="s">
        <v>44</v>
      </c>
      <c r="G47" t="s">
        <v>203</v>
      </c>
      <c r="H47" t="s">
        <v>237</v>
      </c>
      <c r="I47" t="s">
        <v>15</v>
      </c>
      <c r="J47" t="s">
        <v>21</v>
      </c>
      <c r="K47" t="s">
        <v>22</v>
      </c>
      <c r="L47">
        <f>BDP($H47,"BICS_LEVEL_1_SECTOR_NAME")</f>
        <v/>
      </c>
      <c r="M47">
        <f>BDP($H47,"BICS_LEVEL_3_INDUSTRY_NAME")</f>
        <v/>
      </c>
    </row>
    <row r="48" spans="1:13">
      <c r="A48" t="s">
        <v>238</v>
      </c>
      <c r="B48" t="s">
        <v>14</v>
      </c>
      <c r="C48" t="s">
        <v>15</v>
      </c>
      <c r="D48" t="s">
        <v>239</v>
      </c>
      <c r="E48" t="s">
        <v>240</v>
      </c>
      <c r="F48" t="s">
        <v>26</v>
      </c>
      <c r="G48" t="s">
        <v>241</v>
      </c>
      <c r="H48" t="s">
        <v>242</v>
      </c>
      <c r="I48" t="s">
        <v>15</v>
      </c>
      <c r="J48" t="s">
        <v>21</v>
      </c>
      <c r="K48" t="s">
        <v>22</v>
      </c>
      <c r="L48">
        <f>BDP($H48,"BICS_LEVEL_1_SECTOR_NAME")</f>
        <v/>
      </c>
      <c r="M48">
        <f>BDP($H48,"BICS_LEVEL_3_INDUSTRY_NAME")</f>
        <v/>
      </c>
    </row>
    <row r="49" spans="1:13">
      <c r="A49" t="s">
        <v>243</v>
      </c>
      <c r="B49" t="s">
        <v>14</v>
      </c>
      <c r="C49" t="s">
        <v>15</v>
      </c>
      <c r="D49" t="s">
        <v>244</v>
      </c>
      <c r="E49" t="s">
        <v>245</v>
      </c>
      <c r="F49" t="s">
        <v>44</v>
      </c>
      <c r="G49" t="s">
        <v>246</v>
      </c>
      <c r="H49" t="s">
        <v>247</v>
      </c>
      <c r="I49" t="s">
        <v>15</v>
      </c>
      <c r="J49" t="s">
        <v>21</v>
      </c>
      <c r="K49" t="s">
        <v>22</v>
      </c>
      <c r="L49">
        <f>BDP($H49,"BICS_LEVEL_1_SECTOR_NAME")</f>
        <v/>
      </c>
      <c r="M49">
        <f>BDP($H49,"BICS_LEVEL_3_INDUSTRY_NAME")</f>
        <v/>
      </c>
    </row>
    <row r="50" spans="1:13">
      <c r="A50" t="s">
        <v>248</v>
      </c>
      <c r="B50" t="s">
        <v>14</v>
      </c>
      <c r="C50" t="s">
        <v>15</v>
      </c>
      <c r="D50" t="s">
        <v>249</v>
      </c>
      <c r="E50" t="s">
        <v>250</v>
      </c>
      <c r="F50" t="s">
        <v>85</v>
      </c>
      <c r="G50" t="s">
        <v>125</v>
      </c>
      <c r="H50" t="s">
        <v>251</v>
      </c>
      <c r="I50" t="s">
        <v>15</v>
      </c>
      <c r="J50" t="s">
        <v>21</v>
      </c>
      <c r="K50" t="s">
        <v>22</v>
      </c>
      <c r="L50">
        <f>BDP($H50,"BICS_LEVEL_1_SECTOR_NAME")</f>
        <v/>
      </c>
      <c r="M50">
        <f>BDP($H50,"BICS_LEVEL_3_INDUSTRY_NAME")</f>
        <v/>
      </c>
    </row>
    <row r="51" spans="1:13">
      <c r="A51" t="s">
        <v>252</v>
      </c>
      <c r="B51" t="s">
        <v>14</v>
      </c>
      <c r="C51" t="s">
        <v>15</v>
      </c>
      <c r="D51" t="s">
        <v>253</v>
      </c>
      <c r="E51" t="s">
        <v>254</v>
      </c>
      <c r="F51" t="s">
        <v>50</v>
      </c>
      <c r="G51" t="s">
        <v>130</v>
      </c>
      <c r="H51" t="s">
        <v>255</v>
      </c>
      <c r="I51" t="s">
        <v>15</v>
      </c>
      <c r="J51" t="s">
        <v>21</v>
      </c>
      <c r="K51" t="s">
        <v>22</v>
      </c>
      <c r="L51">
        <f>BDP($H51,"BICS_LEVEL_1_SECTOR_NAME")</f>
        <v/>
      </c>
      <c r="M51">
        <f>BDP($H51,"BICS_LEVEL_3_INDUSTRY_NAME")</f>
        <v/>
      </c>
    </row>
    <row r="52" spans="1:13">
      <c r="A52" t="s">
        <v>256</v>
      </c>
      <c r="B52" t="s">
        <v>14</v>
      </c>
      <c r="C52" t="s">
        <v>15</v>
      </c>
      <c r="D52" t="s">
        <v>257</v>
      </c>
      <c r="E52" t="s">
        <v>258</v>
      </c>
      <c r="F52" t="s">
        <v>50</v>
      </c>
      <c r="G52" t="s">
        <v>101</v>
      </c>
      <c r="H52" t="s">
        <v>259</v>
      </c>
      <c r="I52" t="s">
        <v>15</v>
      </c>
      <c r="J52" t="s">
        <v>21</v>
      </c>
      <c r="K52" t="s">
        <v>22</v>
      </c>
      <c r="L52">
        <f>BDP($H52,"BICS_LEVEL_1_SECTOR_NAME")</f>
        <v/>
      </c>
      <c r="M52">
        <f>BDP($H52,"BICS_LEVEL_3_INDUSTRY_NAME")</f>
        <v/>
      </c>
    </row>
    <row r="53" spans="1:13">
      <c r="A53" t="s">
        <v>260</v>
      </c>
      <c r="B53" t="s">
        <v>14</v>
      </c>
      <c r="C53" t="s">
        <v>15</v>
      </c>
      <c r="D53" t="s">
        <v>261</v>
      </c>
      <c r="E53" t="s">
        <v>262</v>
      </c>
      <c r="F53" t="s">
        <v>50</v>
      </c>
      <c r="G53" t="s">
        <v>101</v>
      </c>
      <c r="H53" t="s">
        <v>263</v>
      </c>
      <c r="I53" t="s">
        <v>15</v>
      </c>
      <c r="J53" t="s">
        <v>21</v>
      </c>
      <c r="K53" t="s">
        <v>22</v>
      </c>
      <c r="L53">
        <f>BDP($H53,"BICS_LEVEL_1_SECTOR_NAME")</f>
        <v/>
      </c>
      <c r="M53">
        <f>BDP($H53,"BICS_LEVEL_3_INDUSTRY_NAME")</f>
        <v/>
      </c>
    </row>
    <row r="54" spans="1:13">
      <c r="A54" t="s">
        <v>264</v>
      </c>
      <c r="B54" t="s">
        <v>14</v>
      </c>
      <c r="C54" t="s">
        <v>15</v>
      </c>
      <c r="D54" t="s">
        <v>265</v>
      </c>
      <c r="E54" t="s">
        <v>266</v>
      </c>
      <c r="F54" t="s">
        <v>85</v>
      </c>
      <c r="G54" t="s">
        <v>86</v>
      </c>
      <c r="H54" t="s">
        <v>267</v>
      </c>
      <c r="I54" t="s">
        <v>15</v>
      </c>
      <c r="J54" t="s">
        <v>21</v>
      </c>
      <c r="K54" t="s">
        <v>22</v>
      </c>
      <c r="L54">
        <f>BDP($H54,"BICS_LEVEL_1_SECTOR_NAME")</f>
        <v/>
      </c>
      <c r="M54">
        <f>BDP($H54,"BICS_LEVEL_3_INDUSTRY_NAME")</f>
        <v/>
      </c>
    </row>
    <row r="55" spans="1:13">
      <c r="A55" t="s">
        <v>268</v>
      </c>
      <c r="B55" t="s">
        <v>14</v>
      </c>
      <c r="C55" t="s">
        <v>15</v>
      </c>
      <c r="D55" t="s">
        <v>269</v>
      </c>
      <c r="E55" t="s">
        <v>270</v>
      </c>
      <c r="F55" t="s">
        <v>50</v>
      </c>
      <c r="G55" t="s">
        <v>101</v>
      </c>
      <c r="H55" t="s">
        <v>271</v>
      </c>
      <c r="I55" t="s">
        <v>15</v>
      </c>
      <c r="J55" t="s">
        <v>21</v>
      </c>
      <c r="K55" t="s">
        <v>22</v>
      </c>
      <c r="L55">
        <f>BDP($H55,"BICS_LEVEL_1_SECTOR_NAME")</f>
        <v/>
      </c>
      <c r="M55">
        <f>BDP($H55,"BICS_LEVEL_3_INDUSTRY_NAME")</f>
        <v/>
      </c>
    </row>
    <row r="56" spans="1:13">
      <c r="A56" t="s">
        <v>272</v>
      </c>
      <c r="B56" t="s">
        <v>14</v>
      </c>
      <c r="C56" t="s">
        <v>15</v>
      </c>
      <c r="D56" t="s">
        <v>273</v>
      </c>
      <c r="E56" t="s">
        <v>274</v>
      </c>
      <c r="F56" t="s">
        <v>26</v>
      </c>
      <c r="G56" t="s">
        <v>275</v>
      </c>
      <c r="H56" t="s">
        <v>276</v>
      </c>
      <c r="I56" t="s">
        <v>15</v>
      </c>
      <c r="J56" t="s">
        <v>21</v>
      </c>
      <c r="K56" t="s">
        <v>22</v>
      </c>
      <c r="L56">
        <f>BDP($H56,"BICS_LEVEL_1_SECTOR_NAME")</f>
        <v/>
      </c>
      <c r="M56">
        <f>BDP($H56,"BICS_LEVEL_3_INDUSTRY_NAME")</f>
        <v/>
      </c>
    </row>
    <row r="57" spans="1:13">
      <c r="A57" t="s">
        <v>277</v>
      </c>
      <c r="B57" t="s">
        <v>14</v>
      </c>
      <c r="C57" t="s">
        <v>15</v>
      </c>
      <c r="D57" t="s">
        <v>278</v>
      </c>
      <c r="E57" t="s">
        <v>279</v>
      </c>
      <c r="F57" t="s">
        <v>50</v>
      </c>
      <c r="G57" t="s">
        <v>139</v>
      </c>
      <c r="H57" t="s">
        <v>280</v>
      </c>
      <c r="I57" t="s">
        <v>15</v>
      </c>
      <c r="J57" t="s">
        <v>21</v>
      </c>
      <c r="K57" t="s">
        <v>22</v>
      </c>
      <c r="L57">
        <f>BDP($H57,"BICS_LEVEL_1_SECTOR_NAME")</f>
        <v/>
      </c>
      <c r="M57">
        <f>BDP($H57,"BICS_LEVEL_3_INDUSTRY_NAME")</f>
        <v/>
      </c>
    </row>
    <row r="58" spans="1:13">
      <c r="A58" t="s">
        <v>281</v>
      </c>
      <c r="B58" t="s">
        <v>14</v>
      </c>
      <c r="C58" t="s">
        <v>15</v>
      </c>
      <c r="D58" t="s">
        <v>282</v>
      </c>
      <c r="E58" t="s">
        <v>283</v>
      </c>
      <c r="F58" t="s">
        <v>26</v>
      </c>
      <c r="G58" t="s">
        <v>284</v>
      </c>
      <c r="H58" t="s">
        <v>285</v>
      </c>
      <c r="I58" t="s">
        <v>15</v>
      </c>
      <c r="J58" t="s">
        <v>21</v>
      </c>
      <c r="K58" t="s">
        <v>22</v>
      </c>
      <c r="L58">
        <f>BDP($H58,"BICS_LEVEL_1_SECTOR_NAME")</f>
        <v/>
      </c>
      <c r="M58">
        <f>BDP($H58,"BICS_LEVEL_3_INDUSTRY_NAME")</f>
        <v/>
      </c>
    </row>
    <row r="59" spans="1:13">
      <c r="A59" t="s">
        <v>286</v>
      </c>
      <c r="B59" t="s">
        <v>14</v>
      </c>
      <c r="C59" t="s">
        <v>15</v>
      </c>
      <c r="D59" t="s">
        <v>287</v>
      </c>
      <c r="E59" t="s">
        <v>288</v>
      </c>
      <c r="F59" t="s">
        <v>26</v>
      </c>
      <c r="G59" t="s">
        <v>289</v>
      </c>
      <c r="H59" t="s">
        <v>290</v>
      </c>
      <c r="I59" t="s">
        <v>15</v>
      </c>
      <c r="J59" t="s">
        <v>21</v>
      </c>
      <c r="K59" t="s">
        <v>22</v>
      </c>
      <c r="L59">
        <f>BDP($H59,"BICS_LEVEL_1_SECTOR_NAME")</f>
        <v/>
      </c>
      <c r="M59">
        <f>BDP($H59,"BICS_LEVEL_3_INDUSTRY_NAME")</f>
        <v/>
      </c>
    </row>
    <row r="60" spans="1:13">
      <c r="A60" t="s">
        <v>291</v>
      </c>
      <c r="B60" t="s">
        <v>14</v>
      </c>
      <c r="C60" t="s">
        <v>15</v>
      </c>
      <c r="D60" t="s">
        <v>292</v>
      </c>
      <c r="E60" t="s">
        <v>293</v>
      </c>
      <c r="F60" t="s">
        <v>26</v>
      </c>
      <c r="G60" t="s">
        <v>246</v>
      </c>
      <c r="H60" t="s">
        <v>294</v>
      </c>
      <c r="I60" t="s">
        <v>15</v>
      </c>
      <c r="J60" t="s">
        <v>21</v>
      </c>
      <c r="K60" t="s">
        <v>22</v>
      </c>
      <c r="L60">
        <f>BDP($H60,"BICS_LEVEL_1_SECTOR_NAME")</f>
        <v/>
      </c>
      <c r="M60">
        <f>BDP($H60,"BICS_LEVEL_3_INDUSTRY_NAME")</f>
        <v/>
      </c>
    </row>
    <row r="61" spans="1:13">
      <c r="A61" t="s">
        <v>295</v>
      </c>
      <c r="B61" t="s">
        <v>14</v>
      </c>
      <c r="C61" t="s">
        <v>15</v>
      </c>
      <c r="D61" t="s">
        <v>296</v>
      </c>
      <c r="E61" t="s">
        <v>297</v>
      </c>
      <c r="F61" t="s">
        <v>298</v>
      </c>
      <c r="G61" t="s">
        <v>246</v>
      </c>
      <c r="H61" t="s">
        <v>299</v>
      </c>
      <c r="I61" t="s">
        <v>15</v>
      </c>
      <c r="J61" t="s">
        <v>21</v>
      </c>
      <c r="K61" t="s">
        <v>22</v>
      </c>
      <c r="L61">
        <f>BDP($H61,"BICS_LEVEL_1_SECTOR_NAME")</f>
        <v/>
      </c>
      <c r="M61">
        <f>BDP($H61,"BICS_LEVEL_3_INDUSTRY_NAME")</f>
        <v/>
      </c>
    </row>
    <row r="62" spans="1:13">
      <c r="A62" t="s">
        <v>300</v>
      </c>
      <c r="B62" t="s">
        <v>14</v>
      </c>
      <c r="C62" t="s">
        <v>15</v>
      </c>
      <c r="D62" t="s">
        <v>301</v>
      </c>
      <c r="E62" t="s">
        <v>302</v>
      </c>
      <c r="F62" t="s">
        <v>18</v>
      </c>
      <c r="G62" t="s">
        <v>19</v>
      </c>
      <c r="H62" t="s">
        <v>303</v>
      </c>
      <c r="I62" t="s">
        <v>15</v>
      </c>
      <c r="J62" t="s">
        <v>21</v>
      </c>
      <c r="K62" t="s">
        <v>22</v>
      </c>
      <c r="L62">
        <f>BDP($H62,"BICS_LEVEL_1_SECTOR_NAME")</f>
        <v/>
      </c>
      <c r="M62">
        <f>BDP($H62,"BICS_LEVEL_3_INDUSTRY_NAME")</f>
        <v/>
      </c>
    </row>
    <row r="63" spans="1:13">
      <c r="A63" t="s">
        <v>304</v>
      </c>
      <c r="B63" t="s">
        <v>14</v>
      </c>
      <c r="C63" t="s">
        <v>15</v>
      </c>
      <c r="D63" t="s">
        <v>305</v>
      </c>
      <c r="E63" t="s">
        <v>306</v>
      </c>
      <c r="F63" t="s">
        <v>18</v>
      </c>
      <c r="G63" t="s">
        <v>19</v>
      </c>
      <c r="H63" t="s">
        <v>307</v>
      </c>
      <c r="I63" t="s">
        <v>15</v>
      </c>
      <c r="J63" t="s">
        <v>21</v>
      </c>
      <c r="K63" t="s">
        <v>22</v>
      </c>
      <c r="L63">
        <f>BDP($H63,"BICS_LEVEL_1_SECTOR_NAME")</f>
        <v/>
      </c>
      <c r="M63">
        <f>BDP($H63,"BICS_LEVEL_3_INDUSTRY_NAME")</f>
        <v/>
      </c>
    </row>
    <row r="64" spans="1:13">
      <c r="A64" t="s">
        <v>308</v>
      </c>
      <c r="B64" t="s">
        <v>14</v>
      </c>
      <c r="C64" t="s">
        <v>15</v>
      </c>
      <c r="D64" t="s">
        <v>309</v>
      </c>
      <c r="E64" t="s">
        <v>310</v>
      </c>
      <c r="F64" t="s">
        <v>44</v>
      </c>
      <c r="G64" t="s">
        <v>203</v>
      </c>
      <c r="H64" t="s">
        <v>311</v>
      </c>
      <c r="I64" t="s">
        <v>15</v>
      </c>
      <c r="J64" t="s">
        <v>21</v>
      </c>
      <c r="K64" t="s">
        <v>22</v>
      </c>
      <c r="L64">
        <f>BDP($H64,"BICS_LEVEL_1_SECTOR_NAME")</f>
        <v/>
      </c>
      <c r="M64">
        <f>BDP($H64,"BICS_LEVEL_3_INDUSTRY_NAME")</f>
        <v/>
      </c>
    </row>
    <row r="65" spans="1:13">
      <c r="A65" t="s">
        <v>312</v>
      </c>
      <c r="B65" t="s">
        <v>14</v>
      </c>
      <c r="C65" t="s">
        <v>15</v>
      </c>
      <c r="D65" t="s">
        <v>313</v>
      </c>
      <c r="E65" t="s">
        <v>314</v>
      </c>
      <c r="F65" t="s">
        <v>18</v>
      </c>
      <c r="G65" t="s">
        <v>19</v>
      </c>
      <c r="H65" t="s">
        <v>315</v>
      </c>
      <c r="I65" t="s">
        <v>15</v>
      </c>
      <c r="J65" t="s">
        <v>21</v>
      </c>
      <c r="K65" t="s">
        <v>22</v>
      </c>
      <c r="L65">
        <f>BDP($H65,"BICS_LEVEL_1_SECTOR_NAME")</f>
        <v/>
      </c>
      <c r="M65">
        <f>BDP($H65,"BICS_LEVEL_3_INDUSTRY_NAME")</f>
        <v/>
      </c>
    </row>
    <row r="66" spans="1:13">
      <c r="A66" t="s">
        <v>316</v>
      </c>
      <c r="B66" t="s">
        <v>14</v>
      </c>
      <c r="C66" t="s">
        <v>15</v>
      </c>
      <c r="D66" t="s">
        <v>317</v>
      </c>
      <c r="E66" t="s">
        <v>318</v>
      </c>
      <c r="F66" t="s">
        <v>50</v>
      </c>
      <c r="G66" t="s">
        <v>101</v>
      </c>
      <c r="H66" t="s">
        <v>319</v>
      </c>
      <c r="I66" t="s">
        <v>15</v>
      </c>
      <c r="J66" t="s">
        <v>21</v>
      </c>
      <c r="K66" t="s">
        <v>22</v>
      </c>
      <c r="L66">
        <f>BDP($H66,"BICS_LEVEL_1_SECTOR_NAME")</f>
        <v/>
      </c>
      <c r="M66">
        <f>BDP($H66,"BICS_LEVEL_3_INDUSTRY_NAME")</f>
        <v/>
      </c>
    </row>
    <row r="67" spans="1:13">
      <c r="A67" t="s">
        <v>320</v>
      </c>
      <c r="B67" t="s">
        <v>14</v>
      </c>
      <c r="C67" t="s">
        <v>15</v>
      </c>
      <c r="D67" t="s">
        <v>321</v>
      </c>
      <c r="E67" t="s">
        <v>322</v>
      </c>
      <c r="F67" t="s">
        <v>50</v>
      </c>
      <c r="G67" t="s">
        <v>101</v>
      </c>
      <c r="H67" t="s">
        <v>323</v>
      </c>
      <c r="I67" t="s">
        <v>15</v>
      </c>
      <c r="J67" t="s">
        <v>21</v>
      </c>
      <c r="K67" t="s">
        <v>22</v>
      </c>
      <c r="L67">
        <f>BDP($H67,"BICS_LEVEL_1_SECTOR_NAME")</f>
        <v/>
      </c>
      <c r="M67">
        <f>BDP($H67,"BICS_LEVEL_3_INDUSTRY_NAME")</f>
        <v/>
      </c>
    </row>
    <row r="68" spans="1:13">
      <c r="A68" t="s">
        <v>324</v>
      </c>
      <c r="B68" t="s">
        <v>14</v>
      </c>
      <c r="C68" t="s">
        <v>15</v>
      </c>
      <c r="D68" t="s">
        <v>325</v>
      </c>
      <c r="E68" t="s">
        <v>326</v>
      </c>
      <c r="F68" t="s">
        <v>18</v>
      </c>
      <c r="G68" t="s">
        <v>19</v>
      </c>
      <c r="H68" t="s">
        <v>327</v>
      </c>
      <c r="I68" t="s">
        <v>15</v>
      </c>
      <c r="J68" t="s">
        <v>21</v>
      </c>
      <c r="K68" t="s">
        <v>22</v>
      </c>
      <c r="L68">
        <f>BDP($H68,"BICS_LEVEL_1_SECTOR_NAME")</f>
        <v/>
      </c>
      <c r="M68">
        <f>BDP($H68,"BICS_LEVEL_3_INDUSTRY_NAME")</f>
        <v/>
      </c>
    </row>
    <row r="69" spans="1:13">
      <c r="A69" t="s">
        <v>328</v>
      </c>
      <c r="B69" t="s">
        <v>14</v>
      </c>
      <c r="C69" t="s">
        <v>15</v>
      </c>
      <c r="D69" t="s">
        <v>329</v>
      </c>
      <c r="E69" t="s">
        <v>330</v>
      </c>
      <c r="F69" t="s">
        <v>26</v>
      </c>
      <c r="G69" t="s">
        <v>284</v>
      </c>
      <c r="H69" t="s">
        <v>331</v>
      </c>
      <c r="I69" t="s">
        <v>15</v>
      </c>
      <c r="J69" t="s">
        <v>21</v>
      </c>
      <c r="K69" t="s">
        <v>22</v>
      </c>
      <c r="L69">
        <f>BDP($H69,"BICS_LEVEL_1_SECTOR_NAME")</f>
        <v/>
      </c>
      <c r="M69">
        <f>BDP($H69,"BICS_LEVEL_3_INDUSTRY_NAME")</f>
        <v/>
      </c>
    </row>
    <row r="70" spans="1:13">
      <c r="A70" t="s">
        <v>332</v>
      </c>
      <c r="B70" t="s">
        <v>14</v>
      </c>
      <c r="C70" t="s">
        <v>15</v>
      </c>
      <c r="D70" t="s">
        <v>333</v>
      </c>
      <c r="E70" t="s">
        <v>334</v>
      </c>
      <c r="F70" t="s">
        <v>50</v>
      </c>
      <c r="G70" t="s">
        <v>106</v>
      </c>
      <c r="H70" t="s">
        <v>335</v>
      </c>
      <c r="I70" t="s">
        <v>15</v>
      </c>
      <c r="J70" t="s">
        <v>21</v>
      </c>
      <c r="K70" t="s">
        <v>22</v>
      </c>
      <c r="L70">
        <f>BDP($H70,"BICS_LEVEL_1_SECTOR_NAME")</f>
        <v/>
      </c>
      <c r="M70">
        <f>BDP($H70,"BICS_LEVEL_3_INDUSTRY_NAME")</f>
        <v/>
      </c>
    </row>
    <row r="71" spans="1:13">
      <c r="A71" t="s">
        <v>336</v>
      </c>
      <c r="B71" t="s">
        <v>14</v>
      </c>
      <c r="C71" t="s">
        <v>15</v>
      </c>
      <c r="D71" t="s">
        <v>337</v>
      </c>
      <c r="E71" t="s">
        <v>338</v>
      </c>
      <c r="F71" t="s">
        <v>50</v>
      </c>
      <c r="G71" t="s">
        <v>106</v>
      </c>
      <c r="H71" t="s">
        <v>339</v>
      </c>
      <c r="I71" t="s">
        <v>15</v>
      </c>
      <c r="J71" t="s">
        <v>21</v>
      </c>
      <c r="K71" t="s">
        <v>22</v>
      </c>
      <c r="L71">
        <f>BDP($H71,"BICS_LEVEL_1_SECTOR_NAME")</f>
        <v/>
      </c>
      <c r="M71">
        <f>BDP($H71,"BICS_LEVEL_3_INDUSTRY_NAME")</f>
        <v/>
      </c>
    </row>
    <row r="72" spans="1:13">
      <c r="A72" t="s">
        <v>340</v>
      </c>
      <c r="B72" t="s">
        <v>14</v>
      </c>
      <c r="C72" t="s">
        <v>15</v>
      </c>
      <c r="D72" t="s">
        <v>341</v>
      </c>
      <c r="E72" t="s">
        <v>342</v>
      </c>
      <c r="F72" t="s">
        <v>60</v>
      </c>
      <c r="G72" t="s">
        <v>130</v>
      </c>
      <c r="H72" t="s">
        <v>343</v>
      </c>
      <c r="I72" t="s">
        <v>15</v>
      </c>
      <c r="J72" t="s">
        <v>21</v>
      </c>
      <c r="K72" t="s">
        <v>22</v>
      </c>
      <c r="L72">
        <f>BDP($H72,"BICS_LEVEL_1_SECTOR_NAME")</f>
        <v/>
      </c>
      <c r="M72">
        <f>BDP($H72,"BICS_LEVEL_3_INDUSTRY_NAME")</f>
        <v/>
      </c>
    </row>
    <row r="73" spans="1:13">
      <c r="A73" t="s">
        <v>344</v>
      </c>
      <c r="B73" t="s">
        <v>14</v>
      </c>
      <c r="C73" t="s">
        <v>15</v>
      </c>
      <c r="D73" t="s">
        <v>345</v>
      </c>
      <c r="E73" t="s">
        <v>346</v>
      </c>
      <c r="F73" t="s">
        <v>44</v>
      </c>
      <c r="G73" t="s">
        <v>347</v>
      </c>
      <c r="H73" t="s">
        <v>348</v>
      </c>
      <c r="I73" t="s">
        <v>15</v>
      </c>
      <c r="J73" t="s">
        <v>21</v>
      </c>
      <c r="K73" t="s">
        <v>22</v>
      </c>
      <c r="L73">
        <f>BDP($H73,"BICS_LEVEL_1_SECTOR_NAME")</f>
        <v/>
      </c>
      <c r="M73">
        <f>BDP($H73,"BICS_LEVEL_3_INDUSTRY_NAME")</f>
        <v/>
      </c>
    </row>
    <row r="74" spans="1:13">
      <c r="A74" t="s">
        <v>349</v>
      </c>
      <c r="B74" t="s">
        <v>14</v>
      </c>
      <c r="C74" t="s">
        <v>15</v>
      </c>
      <c r="D74" t="s">
        <v>350</v>
      </c>
      <c r="E74" t="s">
        <v>351</v>
      </c>
      <c r="F74" t="s">
        <v>44</v>
      </c>
      <c r="G74" t="s">
        <v>45</v>
      </c>
      <c r="H74" t="s">
        <v>352</v>
      </c>
      <c r="I74" t="s">
        <v>15</v>
      </c>
      <c r="J74" t="s">
        <v>21</v>
      </c>
      <c r="K74" t="s">
        <v>22</v>
      </c>
      <c r="L74">
        <f>BDP($H74,"BICS_LEVEL_1_SECTOR_NAME")</f>
        <v/>
      </c>
      <c r="M74">
        <f>BDP($H74,"BICS_LEVEL_3_INDUSTRY_NAME")</f>
        <v/>
      </c>
    </row>
    <row r="75" spans="1:13">
      <c r="A75" t="s">
        <v>353</v>
      </c>
      <c r="B75" t="s">
        <v>14</v>
      </c>
      <c r="C75" t="s">
        <v>15</v>
      </c>
      <c r="D75" t="s">
        <v>354</v>
      </c>
      <c r="E75" t="s">
        <v>355</v>
      </c>
      <c r="F75" t="s">
        <v>44</v>
      </c>
      <c r="G75" t="s">
        <v>45</v>
      </c>
      <c r="H75" t="s">
        <v>356</v>
      </c>
      <c r="I75" t="s">
        <v>15</v>
      </c>
      <c r="J75" t="s">
        <v>21</v>
      </c>
      <c r="K75" t="s">
        <v>22</v>
      </c>
      <c r="L75">
        <f>BDP($H75,"BICS_LEVEL_1_SECTOR_NAME")</f>
        <v/>
      </c>
      <c r="M75">
        <f>BDP($H75,"BICS_LEVEL_3_INDUSTRY_NAME")</f>
        <v/>
      </c>
    </row>
    <row r="76" spans="1:13">
      <c r="A76" t="s">
        <v>357</v>
      </c>
      <c r="B76" t="s">
        <v>14</v>
      </c>
      <c r="C76" t="s">
        <v>15</v>
      </c>
      <c r="D76" t="s">
        <v>358</v>
      </c>
      <c r="E76" t="s">
        <v>359</v>
      </c>
      <c r="F76" t="s">
        <v>26</v>
      </c>
      <c r="G76" t="s">
        <v>275</v>
      </c>
      <c r="H76" t="s">
        <v>360</v>
      </c>
      <c r="I76" t="s">
        <v>15</v>
      </c>
      <c r="J76" t="s">
        <v>21</v>
      </c>
      <c r="K76" t="s">
        <v>22</v>
      </c>
      <c r="L76">
        <f>BDP($H76,"BICS_LEVEL_1_SECTOR_NAME")</f>
        <v/>
      </c>
      <c r="M76">
        <f>BDP($H76,"BICS_LEVEL_3_INDUSTRY_NAME")</f>
        <v/>
      </c>
    </row>
    <row r="77" spans="1:13">
      <c r="A77" t="s">
        <v>361</v>
      </c>
      <c r="B77" t="s">
        <v>14</v>
      </c>
      <c r="C77" t="s">
        <v>15</v>
      </c>
      <c r="D77" t="s">
        <v>362</v>
      </c>
      <c r="E77" t="s">
        <v>363</v>
      </c>
      <c r="F77" t="s">
        <v>26</v>
      </c>
      <c r="G77" t="s">
        <v>80</v>
      </c>
      <c r="H77" t="s">
        <v>364</v>
      </c>
      <c r="I77" t="s">
        <v>15</v>
      </c>
      <c r="J77" t="s">
        <v>21</v>
      </c>
      <c r="K77" t="s">
        <v>22</v>
      </c>
      <c r="L77">
        <f>BDP($H77,"BICS_LEVEL_1_SECTOR_NAME")</f>
        <v/>
      </c>
      <c r="M77">
        <f>BDP($H77,"BICS_LEVEL_3_INDUSTRY_NAME")</f>
        <v/>
      </c>
    </row>
    <row r="78" spans="1:13">
      <c r="A78" t="s">
        <v>365</v>
      </c>
      <c r="B78" t="s">
        <v>14</v>
      </c>
      <c r="C78" t="s">
        <v>15</v>
      </c>
      <c r="D78" t="s">
        <v>366</v>
      </c>
      <c r="E78" t="s">
        <v>367</v>
      </c>
      <c r="F78" t="s">
        <v>44</v>
      </c>
      <c r="G78" t="s">
        <v>347</v>
      </c>
      <c r="H78" t="s">
        <v>368</v>
      </c>
      <c r="I78" t="s">
        <v>15</v>
      </c>
      <c r="J78" t="s">
        <v>21</v>
      </c>
      <c r="K78" t="s">
        <v>22</v>
      </c>
      <c r="L78">
        <f>BDP($H78,"BICS_LEVEL_1_SECTOR_NAME")</f>
        <v/>
      </c>
      <c r="M78">
        <f>BDP($H78,"BICS_LEVEL_3_INDUSTRY_NAME")</f>
        <v/>
      </c>
    </row>
    <row r="79" spans="1:13">
      <c r="A79" t="s">
        <v>369</v>
      </c>
      <c r="B79" t="s">
        <v>14</v>
      </c>
      <c r="C79" t="s">
        <v>15</v>
      </c>
      <c r="D79" t="s">
        <v>370</v>
      </c>
      <c r="E79" t="s">
        <v>371</v>
      </c>
      <c r="F79" t="s">
        <v>18</v>
      </c>
      <c r="G79" t="s">
        <v>19</v>
      </c>
      <c r="H79" t="s">
        <v>372</v>
      </c>
      <c r="I79" t="s">
        <v>15</v>
      </c>
      <c r="J79" t="s">
        <v>21</v>
      </c>
      <c r="K79" t="s">
        <v>22</v>
      </c>
      <c r="L79">
        <f>BDP($H79,"BICS_LEVEL_1_SECTOR_NAME")</f>
        <v/>
      </c>
      <c r="M79">
        <f>BDP($H79,"BICS_LEVEL_3_INDUSTRY_NAME")</f>
        <v/>
      </c>
    </row>
    <row r="80" spans="1:13">
      <c r="A80" t="s">
        <v>373</v>
      </c>
      <c r="B80" t="s">
        <v>14</v>
      </c>
      <c r="C80" t="s">
        <v>15</v>
      </c>
      <c r="D80" t="s">
        <v>374</v>
      </c>
      <c r="E80" t="s">
        <v>375</v>
      </c>
      <c r="F80" t="s">
        <v>18</v>
      </c>
      <c r="G80" t="s">
        <v>189</v>
      </c>
      <c r="H80" t="s">
        <v>376</v>
      </c>
      <c r="I80" t="s">
        <v>15</v>
      </c>
      <c r="J80" t="s">
        <v>21</v>
      </c>
      <c r="K80" t="s">
        <v>22</v>
      </c>
      <c r="L80">
        <f>BDP($H80,"BICS_LEVEL_1_SECTOR_NAME")</f>
        <v/>
      </c>
      <c r="M80">
        <f>BDP($H80,"BICS_LEVEL_3_INDUSTRY_NAME")</f>
        <v/>
      </c>
    </row>
    <row r="81" spans="1:13">
      <c r="A81" t="s">
        <v>377</v>
      </c>
      <c r="B81" t="s">
        <v>14</v>
      </c>
      <c r="C81" t="s">
        <v>15</v>
      </c>
      <c r="D81" t="s">
        <v>378</v>
      </c>
      <c r="E81" t="s">
        <v>379</v>
      </c>
      <c r="F81" t="s">
        <v>18</v>
      </c>
      <c r="G81" t="s">
        <v>380</v>
      </c>
      <c r="H81" t="s">
        <v>381</v>
      </c>
      <c r="I81" t="s">
        <v>15</v>
      </c>
      <c r="J81" t="s">
        <v>21</v>
      </c>
      <c r="K81" t="s">
        <v>22</v>
      </c>
      <c r="L81">
        <f>BDP($H81,"BICS_LEVEL_1_SECTOR_NAME")</f>
        <v/>
      </c>
      <c r="M81">
        <f>BDP($H81,"BICS_LEVEL_3_INDUSTRY_NAME")</f>
        <v/>
      </c>
    </row>
    <row r="82" spans="1:13">
      <c r="A82" t="s">
        <v>382</v>
      </c>
      <c r="B82" t="s">
        <v>14</v>
      </c>
      <c r="C82" t="s">
        <v>15</v>
      </c>
      <c r="D82" t="s">
        <v>383</v>
      </c>
      <c r="E82" t="s">
        <v>384</v>
      </c>
      <c r="F82" t="s">
        <v>18</v>
      </c>
      <c r="G82" t="s">
        <v>176</v>
      </c>
      <c r="H82" t="s">
        <v>385</v>
      </c>
      <c r="I82" t="s">
        <v>15</v>
      </c>
      <c r="J82" t="s">
        <v>21</v>
      </c>
      <c r="K82" t="s">
        <v>22</v>
      </c>
      <c r="L82">
        <f>BDP($H82,"BICS_LEVEL_1_SECTOR_NAME")</f>
        <v/>
      </c>
      <c r="M82">
        <f>BDP($H82,"BICS_LEVEL_3_INDUSTRY_NAME")</f>
        <v/>
      </c>
    </row>
    <row r="83" spans="1:13">
      <c r="A83" t="s">
        <v>386</v>
      </c>
      <c r="B83" t="s">
        <v>14</v>
      </c>
      <c r="C83" t="s">
        <v>15</v>
      </c>
      <c r="D83" t="s">
        <v>387</v>
      </c>
      <c r="E83" t="s">
        <v>388</v>
      </c>
      <c r="F83" t="s">
        <v>18</v>
      </c>
      <c r="G83" t="s">
        <v>189</v>
      </c>
      <c r="H83" t="s">
        <v>389</v>
      </c>
      <c r="I83" t="s">
        <v>15</v>
      </c>
      <c r="J83" t="s">
        <v>21</v>
      </c>
      <c r="K83" t="s">
        <v>22</v>
      </c>
      <c r="L83">
        <f>BDP($H83,"BICS_LEVEL_1_SECTOR_NAME")</f>
        <v/>
      </c>
      <c r="M83">
        <f>BDP($H83,"BICS_LEVEL_3_INDUSTRY_NAME")</f>
        <v/>
      </c>
    </row>
    <row r="84" spans="1:13">
      <c r="A84" t="s">
        <v>390</v>
      </c>
      <c r="B84" t="s">
        <v>14</v>
      </c>
      <c r="C84" t="s">
        <v>15</v>
      </c>
      <c r="D84" t="s">
        <v>391</v>
      </c>
      <c r="E84" t="s">
        <v>392</v>
      </c>
      <c r="F84" t="s">
        <v>26</v>
      </c>
      <c r="G84" t="s">
        <v>130</v>
      </c>
      <c r="H84" t="s">
        <v>393</v>
      </c>
      <c r="I84" t="s">
        <v>15</v>
      </c>
      <c r="J84" t="s">
        <v>21</v>
      </c>
      <c r="K84" t="s">
        <v>22</v>
      </c>
      <c r="L84">
        <f>BDP($H84,"BICS_LEVEL_1_SECTOR_NAME")</f>
        <v/>
      </c>
      <c r="M84">
        <f>BDP($H84,"BICS_LEVEL_3_INDUSTRY_NAME")</f>
        <v/>
      </c>
    </row>
    <row r="85" spans="1:13">
      <c r="A85" t="s">
        <v>394</v>
      </c>
      <c r="B85" t="s">
        <v>14</v>
      </c>
      <c r="C85" t="s">
        <v>15</v>
      </c>
      <c r="D85" t="s">
        <v>395</v>
      </c>
      <c r="E85" t="s">
        <v>396</v>
      </c>
      <c r="F85" t="s">
        <v>50</v>
      </c>
      <c r="G85" t="s">
        <v>101</v>
      </c>
      <c r="H85" t="s">
        <v>397</v>
      </c>
      <c r="I85" t="s">
        <v>15</v>
      </c>
      <c r="J85" t="s">
        <v>21</v>
      </c>
      <c r="K85" t="s">
        <v>22</v>
      </c>
      <c r="L85">
        <f>BDP($H85,"BICS_LEVEL_1_SECTOR_NAME")</f>
        <v/>
      </c>
      <c r="M85">
        <f>BDP($H85,"BICS_LEVEL_3_INDUSTRY_NAME")</f>
        <v/>
      </c>
    </row>
    <row r="86" spans="1:13">
      <c r="A86" t="s">
        <v>398</v>
      </c>
      <c r="B86" t="s">
        <v>14</v>
      </c>
      <c r="C86" t="s">
        <v>15</v>
      </c>
      <c r="D86" t="s">
        <v>399</v>
      </c>
      <c r="E86" t="s">
        <v>400</v>
      </c>
      <c r="F86" t="s">
        <v>60</v>
      </c>
      <c r="G86" t="s">
        <v>401</v>
      </c>
      <c r="H86" t="s">
        <v>402</v>
      </c>
      <c r="I86" t="s">
        <v>15</v>
      </c>
      <c r="J86" t="s">
        <v>21</v>
      </c>
      <c r="K86" t="s">
        <v>22</v>
      </c>
      <c r="L86">
        <f>BDP($H86,"BICS_LEVEL_1_SECTOR_NAME")</f>
        <v/>
      </c>
      <c r="M86">
        <f>BDP($H86,"BICS_LEVEL_3_INDUSTRY_NAME")</f>
        <v/>
      </c>
    </row>
    <row r="87" spans="1:13">
      <c r="A87" t="s">
        <v>403</v>
      </c>
      <c r="B87" t="s">
        <v>14</v>
      </c>
      <c r="C87" t="s">
        <v>15</v>
      </c>
      <c r="D87" t="s">
        <v>404</v>
      </c>
      <c r="E87" t="s">
        <v>405</v>
      </c>
      <c r="F87" t="s">
        <v>50</v>
      </c>
      <c r="G87" t="s">
        <v>139</v>
      </c>
      <c r="H87" t="s">
        <v>406</v>
      </c>
      <c r="I87" t="s">
        <v>15</v>
      </c>
      <c r="J87" t="s">
        <v>21</v>
      </c>
      <c r="K87" t="s">
        <v>22</v>
      </c>
      <c r="L87">
        <f>BDP($H87,"BICS_LEVEL_1_SECTOR_NAME")</f>
        <v/>
      </c>
      <c r="M87">
        <f>BDP($H87,"BICS_LEVEL_3_INDUSTRY_NAME")</f>
        <v/>
      </c>
    </row>
    <row r="88" spans="1:13">
      <c r="A88" t="s">
        <v>407</v>
      </c>
      <c r="B88" t="s">
        <v>14</v>
      </c>
      <c r="C88" t="s">
        <v>15</v>
      </c>
      <c r="D88" t="s">
        <v>408</v>
      </c>
      <c r="E88" t="s">
        <v>409</v>
      </c>
      <c r="F88" t="s">
        <v>50</v>
      </c>
      <c r="G88" t="s">
        <v>101</v>
      </c>
      <c r="H88" t="s">
        <v>410</v>
      </c>
      <c r="I88" t="s">
        <v>15</v>
      </c>
      <c r="J88" t="s">
        <v>21</v>
      </c>
      <c r="K88" t="s">
        <v>22</v>
      </c>
      <c r="L88">
        <f>BDP($H88,"BICS_LEVEL_1_SECTOR_NAME")</f>
        <v/>
      </c>
      <c r="M88">
        <f>BDP($H88,"BICS_LEVEL_3_INDUSTRY_NAME")</f>
        <v/>
      </c>
    </row>
    <row r="89" spans="1:13">
      <c r="A89" t="s">
        <v>411</v>
      </c>
      <c r="B89" t="s">
        <v>14</v>
      </c>
      <c r="C89" t="s">
        <v>15</v>
      </c>
      <c r="D89" t="s">
        <v>412</v>
      </c>
      <c r="E89" t="s">
        <v>413</v>
      </c>
      <c r="F89" t="s">
        <v>50</v>
      </c>
      <c r="G89" t="s">
        <v>96</v>
      </c>
      <c r="H89" t="s">
        <v>414</v>
      </c>
      <c r="I89" t="s">
        <v>15</v>
      </c>
      <c r="J89" t="s">
        <v>21</v>
      </c>
      <c r="K89" t="s">
        <v>22</v>
      </c>
      <c r="L89">
        <f>BDP($H89,"BICS_LEVEL_1_SECTOR_NAME")</f>
        <v/>
      </c>
      <c r="M89">
        <f>BDP($H89,"BICS_LEVEL_3_INDUSTRY_NAME")</f>
        <v/>
      </c>
    </row>
    <row r="90" spans="1:13">
      <c r="A90" t="s">
        <v>415</v>
      </c>
      <c r="B90" t="s">
        <v>14</v>
      </c>
      <c r="C90" t="s">
        <v>15</v>
      </c>
      <c r="D90" t="s">
        <v>416</v>
      </c>
      <c r="E90" t="s">
        <v>417</v>
      </c>
      <c r="F90" t="s">
        <v>50</v>
      </c>
      <c r="G90" t="s">
        <v>418</v>
      </c>
      <c r="H90" t="s">
        <v>419</v>
      </c>
      <c r="I90" t="s">
        <v>15</v>
      </c>
      <c r="J90" t="s">
        <v>21</v>
      </c>
      <c r="K90" t="s">
        <v>22</v>
      </c>
      <c r="L90">
        <f>BDP($H90,"BICS_LEVEL_1_SECTOR_NAME")</f>
        <v/>
      </c>
      <c r="M90">
        <f>BDP($H90,"BICS_LEVEL_3_INDUSTRY_NAME")</f>
        <v/>
      </c>
    </row>
    <row r="91" spans="1:13">
      <c r="A91" t="s">
        <v>420</v>
      </c>
      <c r="B91" t="s">
        <v>14</v>
      </c>
      <c r="C91" t="s">
        <v>15</v>
      </c>
      <c r="D91" t="s">
        <v>421</v>
      </c>
      <c r="E91" t="s">
        <v>422</v>
      </c>
      <c r="F91" t="s">
        <v>18</v>
      </c>
      <c r="G91" t="s">
        <v>423</v>
      </c>
      <c r="H91" t="s">
        <v>424</v>
      </c>
      <c r="I91" t="s">
        <v>15</v>
      </c>
      <c r="J91" t="s">
        <v>21</v>
      </c>
      <c r="K91" t="s">
        <v>22</v>
      </c>
      <c r="L91">
        <f>BDP($H91,"BICS_LEVEL_1_SECTOR_NAME")</f>
        <v/>
      </c>
      <c r="M91">
        <f>BDP($H91,"BICS_LEVEL_3_INDUSTRY_NAME")</f>
        <v/>
      </c>
    </row>
    <row r="92" spans="1:13">
      <c r="A92" t="s">
        <v>425</v>
      </c>
      <c r="B92" t="s">
        <v>14</v>
      </c>
      <c r="C92" t="s">
        <v>15</v>
      </c>
      <c r="D92" t="s">
        <v>426</v>
      </c>
      <c r="E92" t="s">
        <v>427</v>
      </c>
      <c r="F92" t="s">
        <v>18</v>
      </c>
      <c r="G92" t="s">
        <v>111</v>
      </c>
      <c r="H92" t="s">
        <v>428</v>
      </c>
      <c r="I92" t="s">
        <v>15</v>
      </c>
      <c r="J92" t="s">
        <v>21</v>
      </c>
      <c r="K92" t="s">
        <v>22</v>
      </c>
      <c r="L92">
        <f>BDP($H92,"BICS_LEVEL_1_SECTOR_NAME")</f>
        <v/>
      </c>
      <c r="M92">
        <f>BDP($H92,"BICS_LEVEL_3_INDUSTRY_NAME")</f>
        <v/>
      </c>
    </row>
    <row r="93" spans="1:13">
      <c r="A93" t="s">
        <v>429</v>
      </c>
      <c r="B93" t="s">
        <v>14</v>
      </c>
      <c r="C93" t="s">
        <v>15</v>
      </c>
      <c r="D93" t="s">
        <v>430</v>
      </c>
      <c r="E93" t="s">
        <v>431</v>
      </c>
      <c r="F93" t="s">
        <v>50</v>
      </c>
      <c r="G93" t="s">
        <v>96</v>
      </c>
      <c r="H93" t="s">
        <v>432</v>
      </c>
      <c r="I93" t="s">
        <v>15</v>
      </c>
      <c r="J93" t="s">
        <v>21</v>
      </c>
      <c r="K93" t="s">
        <v>22</v>
      </c>
      <c r="L93">
        <f>BDP($H93,"BICS_LEVEL_1_SECTOR_NAME")</f>
        <v/>
      </c>
      <c r="M93">
        <f>BDP($H93,"BICS_LEVEL_3_INDUSTRY_NAME")</f>
        <v/>
      </c>
    </row>
    <row r="94" spans="1:13">
      <c r="A94" t="s">
        <v>433</v>
      </c>
      <c r="B94" t="s">
        <v>14</v>
      </c>
      <c r="C94" t="s">
        <v>15</v>
      </c>
      <c r="D94" t="s">
        <v>434</v>
      </c>
      <c r="E94" t="s">
        <v>435</v>
      </c>
      <c r="F94" t="s">
        <v>18</v>
      </c>
      <c r="G94" t="s">
        <v>176</v>
      </c>
      <c r="H94" t="s">
        <v>436</v>
      </c>
      <c r="I94" t="s">
        <v>15</v>
      </c>
      <c r="J94" t="s">
        <v>21</v>
      </c>
      <c r="K94" t="s">
        <v>22</v>
      </c>
      <c r="L94">
        <f>BDP($H94,"BICS_LEVEL_1_SECTOR_NAME")</f>
        <v/>
      </c>
      <c r="M94">
        <f>BDP($H94,"BICS_LEVEL_3_INDUSTRY_NAME")</f>
        <v/>
      </c>
    </row>
    <row r="95" spans="1:13">
      <c r="A95" t="s">
        <v>437</v>
      </c>
      <c r="B95" t="s">
        <v>14</v>
      </c>
      <c r="C95" t="s">
        <v>15</v>
      </c>
      <c r="D95" t="s">
        <v>438</v>
      </c>
      <c r="E95" t="s">
        <v>439</v>
      </c>
      <c r="F95" t="s">
        <v>26</v>
      </c>
      <c r="G95" t="s">
        <v>440</v>
      </c>
      <c r="H95" t="s">
        <v>441</v>
      </c>
      <c r="I95" t="s">
        <v>15</v>
      </c>
      <c r="J95" t="s">
        <v>21</v>
      </c>
      <c r="K95" t="s">
        <v>22</v>
      </c>
      <c r="L95">
        <f>BDP($H95,"BICS_LEVEL_1_SECTOR_NAME")</f>
        <v/>
      </c>
      <c r="M95">
        <f>BDP($H95,"BICS_LEVEL_3_INDUSTRY_NAME")</f>
        <v/>
      </c>
    </row>
    <row r="96" spans="1:13">
      <c r="A96" t="s">
        <v>442</v>
      </c>
      <c r="B96" t="s">
        <v>14</v>
      </c>
      <c r="C96" t="s">
        <v>15</v>
      </c>
      <c r="D96" t="s">
        <v>443</v>
      </c>
      <c r="E96" t="s">
        <v>444</v>
      </c>
      <c r="F96" t="s">
        <v>60</v>
      </c>
      <c r="G96" t="s">
        <v>445</v>
      </c>
      <c r="H96" t="s">
        <v>446</v>
      </c>
      <c r="I96" t="s">
        <v>15</v>
      </c>
      <c r="J96" t="s">
        <v>21</v>
      </c>
      <c r="K96" t="s">
        <v>22</v>
      </c>
      <c r="L96">
        <f>BDP($H96,"BICS_LEVEL_1_SECTOR_NAME")</f>
        <v/>
      </c>
      <c r="M96">
        <f>BDP($H96,"BICS_LEVEL_3_INDUSTRY_NAME")</f>
        <v/>
      </c>
    </row>
    <row r="97" spans="1:13">
      <c r="A97" t="s">
        <v>447</v>
      </c>
      <c r="B97" t="s">
        <v>14</v>
      </c>
      <c r="C97" t="s">
        <v>15</v>
      </c>
      <c r="D97" t="s">
        <v>448</v>
      </c>
      <c r="E97" t="s">
        <v>449</v>
      </c>
      <c r="F97" t="s">
        <v>18</v>
      </c>
      <c r="G97" t="s">
        <v>380</v>
      </c>
      <c r="H97" t="s">
        <v>450</v>
      </c>
      <c r="I97" t="s">
        <v>15</v>
      </c>
      <c r="J97" t="s">
        <v>21</v>
      </c>
      <c r="K97" t="s">
        <v>22</v>
      </c>
      <c r="L97">
        <f>BDP($H97,"BICS_LEVEL_1_SECTOR_NAME")</f>
        <v/>
      </c>
      <c r="M97">
        <f>BDP($H97,"BICS_LEVEL_3_INDUSTRY_NAME")</f>
        <v/>
      </c>
    </row>
    <row r="98" spans="1:13">
      <c r="A98" t="s">
        <v>451</v>
      </c>
      <c r="B98" t="s">
        <v>14</v>
      </c>
      <c r="C98" t="s">
        <v>15</v>
      </c>
      <c r="D98" t="s">
        <v>452</v>
      </c>
      <c r="E98" t="s">
        <v>453</v>
      </c>
      <c r="F98" t="s">
        <v>18</v>
      </c>
      <c r="G98" t="s">
        <v>380</v>
      </c>
      <c r="H98" t="s">
        <v>454</v>
      </c>
      <c r="I98" t="s">
        <v>15</v>
      </c>
      <c r="J98" t="s">
        <v>21</v>
      </c>
      <c r="K98" t="s">
        <v>22</v>
      </c>
      <c r="L98">
        <f>BDP($H98,"BICS_LEVEL_1_SECTOR_NAME")</f>
        <v/>
      </c>
      <c r="M98">
        <f>BDP($H98,"BICS_LEVEL_3_INDUSTRY_NAME")</f>
        <v/>
      </c>
    </row>
    <row r="99" spans="1:13">
      <c r="A99" t="s">
        <v>455</v>
      </c>
      <c r="B99" t="s">
        <v>14</v>
      </c>
      <c r="C99" t="s">
        <v>15</v>
      </c>
      <c r="D99" t="s">
        <v>456</v>
      </c>
      <c r="E99" t="s">
        <v>457</v>
      </c>
      <c r="F99" t="s">
        <v>18</v>
      </c>
      <c r="G99" t="s">
        <v>19</v>
      </c>
      <c r="H99" t="s">
        <v>458</v>
      </c>
      <c r="I99" t="s">
        <v>15</v>
      </c>
      <c r="J99" t="s">
        <v>21</v>
      </c>
      <c r="K99" t="s">
        <v>22</v>
      </c>
      <c r="L99">
        <f>BDP($H99,"BICS_LEVEL_1_SECTOR_NAME")</f>
        <v/>
      </c>
      <c r="M99">
        <f>BDP($H99,"BICS_LEVEL_3_INDUSTRY_NAME")</f>
        <v/>
      </c>
    </row>
    <row r="100" spans="1:13">
      <c r="A100" t="s">
        <v>459</v>
      </c>
      <c r="B100" t="s">
        <v>14</v>
      </c>
      <c r="C100" t="s">
        <v>15</v>
      </c>
      <c r="D100" t="s">
        <v>460</v>
      </c>
      <c r="E100" t="s">
        <v>461</v>
      </c>
      <c r="F100" t="s">
        <v>50</v>
      </c>
      <c r="G100" t="s">
        <v>101</v>
      </c>
      <c r="H100" t="s">
        <v>462</v>
      </c>
      <c r="I100" t="s">
        <v>15</v>
      </c>
      <c r="J100" t="s">
        <v>21</v>
      </c>
      <c r="K100" t="s">
        <v>22</v>
      </c>
      <c r="L100">
        <f>BDP($H100,"BICS_LEVEL_1_SECTOR_NAME")</f>
        <v/>
      </c>
      <c r="M100">
        <f>BDP($H100,"BICS_LEVEL_3_INDUSTRY_NAME")</f>
        <v/>
      </c>
    </row>
    <row r="101" spans="1:13">
      <c r="A101" t="s">
        <v>463</v>
      </c>
      <c r="B101" t="s">
        <v>14</v>
      </c>
      <c r="C101" t="s">
        <v>15</v>
      </c>
      <c r="D101" t="s">
        <v>464</v>
      </c>
      <c r="E101" t="s">
        <v>465</v>
      </c>
      <c r="F101" t="s">
        <v>50</v>
      </c>
      <c r="G101" t="s">
        <v>101</v>
      </c>
      <c r="H101" t="s">
        <v>466</v>
      </c>
      <c r="I101" t="s">
        <v>15</v>
      </c>
      <c r="J101" t="s">
        <v>21</v>
      </c>
      <c r="K101" t="s">
        <v>22</v>
      </c>
      <c r="L101">
        <f>BDP($H101,"BICS_LEVEL_1_SECTOR_NAME")</f>
        <v/>
      </c>
      <c r="M101">
        <f>BDP($H101,"BICS_LEVEL_3_INDUSTRY_NAME")</f>
        <v/>
      </c>
    </row>
    <row r="102" spans="1:13">
      <c r="A102" t="s">
        <v>467</v>
      </c>
      <c r="B102" t="s">
        <v>14</v>
      </c>
      <c r="C102" t="s">
        <v>15</v>
      </c>
      <c r="D102" t="s">
        <v>468</v>
      </c>
      <c r="E102" t="s">
        <v>469</v>
      </c>
      <c r="F102" t="s">
        <v>50</v>
      </c>
      <c r="G102" t="s">
        <v>101</v>
      </c>
      <c r="H102" t="s">
        <v>470</v>
      </c>
      <c r="I102" t="s">
        <v>15</v>
      </c>
      <c r="J102" t="s">
        <v>21</v>
      </c>
      <c r="K102" t="s">
        <v>22</v>
      </c>
      <c r="L102">
        <f>BDP($H102,"BICS_LEVEL_1_SECTOR_NAME")</f>
        <v/>
      </c>
      <c r="M102">
        <f>BDP($H102,"BICS_LEVEL_3_INDUSTRY_NAME")</f>
        <v/>
      </c>
    </row>
    <row r="103" spans="1:13">
      <c r="A103" t="s">
        <v>471</v>
      </c>
      <c r="B103" t="s">
        <v>14</v>
      </c>
      <c r="C103" t="s">
        <v>15</v>
      </c>
      <c r="D103" t="s">
        <v>472</v>
      </c>
      <c r="E103" t="s">
        <v>473</v>
      </c>
      <c r="F103" t="s">
        <v>50</v>
      </c>
      <c r="G103" t="s">
        <v>101</v>
      </c>
      <c r="H103" t="s">
        <v>474</v>
      </c>
      <c r="I103" t="s">
        <v>15</v>
      </c>
      <c r="J103" t="s">
        <v>21</v>
      </c>
      <c r="K103" t="s">
        <v>22</v>
      </c>
      <c r="L103">
        <f>BDP($H103,"BICS_LEVEL_1_SECTOR_NAME")</f>
        <v/>
      </c>
      <c r="M103">
        <f>BDP($H103,"BICS_LEVEL_3_INDUSTRY_NAME")</f>
        <v/>
      </c>
    </row>
    <row r="104" spans="1:13">
      <c r="A104" t="s">
        <v>475</v>
      </c>
      <c r="B104" t="s">
        <v>14</v>
      </c>
      <c r="C104" t="s">
        <v>15</v>
      </c>
      <c r="D104" t="s">
        <v>476</v>
      </c>
      <c r="E104" t="s">
        <v>477</v>
      </c>
      <c r="F104" t="s">
        <v>60</v>
      </c>
      <c r="G104" t="s">
        <v>478</v>
      </c>
      <c r="H104" t="s">
        <v>479</v>
      </c>
      <c r="I104" t="s">
        <v>15</v>
      </c>
      <c r="J104" t="s">
        <v>21</v>
      </c>
      <c r="K104" t="s">
        <v>22</v>
      </c>
      <c r="L104">
        <f>BDP($H104,"BICS_LEVEL_1_SECTOR_NAME")</f>
        <v/>
      </c>
      <c r="M104">
        <f>BDP($H104,"BICS_LEVEL_3_INDUSTRY_NAME")</f>
        <v/>
      </c>
    </row>
    <row r="105" spans="1:13">
      <c r="A105" t="s">
        <v>480</v>
      </c>
      <c r="B105" t="s">
        <v>14</v>
      </c>
      <c r="C105" t="s">
        <v>15</v>
      </c>
      <c r="D105" t="s">
        <v>481</v>
      </c>
      <c r="E105" t="s">
        <v>482</v>
      </c>
      <c r="F105" t="s">
        <v>18</v>
      </c>
      <c r="G105" t="s">
        <v>189</v>
      </c>
      <c r="H105" t="s">
        <v>483</v>
      </c>
      <c r="I105" t="s">
        <v>15</v>
      </c>
      <c r="J105" t="s">
        <v>21</v>
      </c>
      <c r="K105" t="s">
        <v>22</v>
      </c>
      <c r="L105">
        <f>BDP($H105,"BICS_LEVEL_1_SECTOR_NAME")</f>
        <v/>
      </c>
      <c r="M105">
        <f>BDP($H105,"BICS_LEVEL_3_INDUSTRY_NAME")</f>
        <v/>
      </c>
    </row>
    <row r="106" spans="1:13">
      <c r="A106" t="s">
        <v>484</v>
      </c>
      <c r="B106" t="s">
        <v>14</v>
      </c>
      <c r="C106" t="s">
        <v>15</v>
      </c>
      <c r="D106" t="s">
        <v>485</v>
      </c>
      <c r="E106" t="s">
        <v>486</v>
      </c>
      <c r="F106" t="s">
        <v>26</v>
      </c>
      <c r="G106" t="s">
        <v>487</v>
      </c>
      <c r="H106" t="s">
        <v>488</v>
      </c>
      <c r="I106" t="s">
        <v>15</v>
      </c>
      <c r="J106" t="s">
        <v>21</v>
      </c>
      <c r="K106" t="s">
        <v>22</v>
      </c>
      <c r="L106">
        <f>BDP($H106,"BICS_LEVEL_1_SECTOR_NAME")</f>
        <v/>
      </c>
      <c r="M106">
        <f>BDP($H106,"BICS_LEVEL_3_INDUSTRY_NAME")</f>
        <v/>
      </c>
    </row>
    <row r="107" spans="1:13">
      <c r="A107" t="s">
        <v>489</v>
      </c>
      <c r="B107" t="s">
        <v>14</v>
      </c>
      <c r="C107" t="s">
        <v>15</v>
      </c>
      <c r="D107" t="s">
        <v>490</v>
      </c>
      <c r="E107" t="s">
        <v>491</v>
      </c>
      <c r="F107" t="s">
        <v>26</v>
      </c>
      <c r="G107" t="s">
        <v>487</v>
      </c>
      <c r="H107" t="s">
        <v>492</v>
      </c>
      <c r="I107" t="s">
        <v>15</v>
      </c>
      <c r="J107" t="s">
        <v>21</v>
      </c>
      <c r="K107" t="s">
        <v>22</v>
      </c>
      <c r="L107">
        <f>BDP($H107,"BICS_LEVEL_1_SECTOR_NAME")</f>
        <v/>
      </c>
      <c r="M107">
        <f>BDP($H107,"BICS_LEVEL_3_INDUSTRY_NAME")</f>
        <v/>
      </c>
    </row>
    <row r="108" spans="1:13">
      <c r="A108" t="s">
        <v>493</v>
      </c>
      <c r="B108" t="s">
        <v>14</v>
      </c>
      <c r="C108" t="s">
        <v>15</v>
      </c>
      <c r="D108" t="s">
        <v>494</v>
      </c>
      <c r="E108" t="s">
        <v>495</v>
      </c>
      <c r="F108" t="s">
        <v>26</v>
      </c>
      <c r="G108" t="s">
        <v>80</v>
      </c>
      <c r="H108" t="s">
        <v>496</v>
      </c>
      <c r="I108" t="s">
        <v>15</v>
      </c>
      <c r="J108" t="s">
        <v>21</v>
      </c>
      <c r="K108" t="s">
        <v>22</v>
      </c>
      <c r="L108">
        <f>BDP($H108,"BICS_LEVEL_1_SECTOR_NAME")</f>
        <v/>
      </c>
      <c r="M108">
        <f>BDP($H108,"BICS_LEVEL_3_INDUSTRY_NAME")</f>
        <v/>
      </c>
    </row>
    <row r="109" spans="1:13">
      <c r="A109" t="s">
        <v>497</v>
      </c>
      <c r="B109" t="s">
        <v>14</v>
      </c>
      <c r="C109" t="s">
        <v>15</v>
      </c>
      <c r="D109" t="s">
        <v>498</v>
      </c>
      <c r="E109" t="s">
        <v>499</v>
      </c>
      <c r="F109" t="s">
        <v>26</v>
      </c>
      <c r="G109" t="s">
        <v>500</v>
      </c>
      <c r="H109" t="s">
        <v>501</v>
      </c>
      <c r="I109" t="s">
        <v>15</v>
      </c>
      <c r="J109" t="s">
        <v>21</v>
      </c>
      <c r="K109" t="s">
        <v>22</v>
      </c>
      <c r="L109">
        <f>BDP($H109,"BICS_LEVEL_1_SECTOR_NAME")</f>
        <v/>
      </c>
      <c r="M109">
        <f>BDP($H109,"BICS_LEVEL_3_INDUSTRY_NAME")</f>
        <v/>
      </c>
    </row>
    <row r="110" spans="1:13">
      <c r="A110" t="s">
        <v>502</v>
      </c>
      <c r="B110" t="s">
        <v>14</v>
      </c>
      <c r="C110" t="s">
        <v>15</v>
      </c>
      <c r="D110" t="s">
        <v>503</v>
      </c>
      <c r="E110" t="s">
        <v>504</v>
      </c>
      <c r="F110" t="s">
        <v>18</v>
      </c>
      <c r="G110" t="s">
        <v>19</v>
      </c>
      <c r="H110" t="s">
        <v>505</v>
      </c>
      <c r="I110" t="s">
        <v>15</v>
      </c>
      <c r="J110" t="s">
        <v>21</v>
      </c>
      <c r="K110" t="s">
        <v>22</v>
      </c>
      <c r="L110">
        <f>BDP($H110,"BICS_LEVEL_1_SECTOR_NAME")</f>
        <v/>
      </c>
      <c r="M110">
        <f>BDP($H110,"BICS_LEVEL_3_INDUSTRY_NAME")</f>
        <v/>
      </c>
    </row>
    <row r="111" spans="1:13">
      <c r="A111" t="s">
        <v>506</v>
      </c>
      <c r="B111" t="s">
        <v>14</v>
      </c>
      <c r="C111" t="s">
        <v>15</v>
      </c>
      <c r="D111" t="s">
        <v>507</v>
      </c>
      <c r="E111" t="s">
        <v>508</v>
      </c>
      <c r="F111" t="s">
        <v>26</v>
      </c>
      <c r="G111" t="s">
        <v>289</v>
      </c>
      <c r="H111" t="s">
        <v>509</v>
      </c>
      <c r="I111" t="s">
        <v>15</v>
      </c>
      <c r="J111" t="s">
        <v>21</v>
      </c>
      <c r="K111" t="s">
        <v>22</v>
      </c>
      <c r="L111">
        <f>BDP($H111,"BICS_LEVEL_1_SECTOR_NAME")</f>
        <v/>
      </c>
      <c r="M111">
        <f>BDP($H111,"BICS_LEVEL_3_INDUSTRY_NAME")</f>
        <v/>
      </c>
    </row>
    <row r="112" spans="1:13">
      <c r="A112" t="s">
        <v>510</v>
      </c>
      <c r="B112" t="s">
        <v>14</v>
      </c>
      <c r="C112" t="s">
        <v>15</v>
      </c>
      <c r="D112" t="s">
        <v>511</v>
      </c>
      <c r="E112" t="s">
        <v>512</v>
      </c>
      <c r="F112" t="s">
        <v>18</v>
      </c>
      <c r="G112" t="s">
        <v>513</v>
      </c>
      <c r="H112" t="s">
        <v>514</v>
      </c>
      <c r="I112" t="s">
        <v>15</v>
      </c>
      <c r="J112" t="s">
        <v>21</v>
      </c>
      <c r="K112" t="s">
        <v>22</v>
      </c>
      <c r="L112">
        <f>BDP($H112,"BICS_LEVEL_1_SECTOR_NAME")</f>
        <v/>
      </c>
      <c r="M112">
        <f>BDP($H112,"BICS_LEVEL_3_INDUSTRY_NAME")</f>
        <v/>
      </c>
    </row>
    <row r="113" spans="1:13">
      <c r="A113" t="s">
        <v>515</v>
      </c>
      <c r="B113" t="s">
        <v>14</v>
      </c>
      <c r="C113" t="s">
        <v>15</v>
      </c>
      <c r="D113" t="s">
        <v>516</v>
      </c>
      <c r="E113" t="s">
        <v>517</v>
      </c>
      <c r="F113" t="s">
        <v>85</v>
      </c>
      <c r="G113" t="s">
        <v>518</v>
      </c>
      <c r="H113" t="s">
        <v>519</v>
      </c>
      <c r="I113" t="s">
        <v>15</v>
      </c>
      <c r="J113" t="s">
        <v>21</v>
      </c>
      <c r="K113" t="s">
        <v>22</v>
      </c>
      <c r="L113">
        <f>BDP($H113,"BICS_LEVEL_1_SECTOR_NAME")</f>
        <v/>
      </c>
      <c r="M113">
        <f>BDP($H113,"BICS_LEVEL_3_INDUSTRY_NAME")</f>
        <v/>
      </c>
    </row>
    <row r="114" spans="1:13">
      <c r="A114" t="s">
        <v>520</v>
      </c>
      <c r="B114" t="s">
        <v>14</v>
      </c>
      <c r="C114" t="s">
        <v>15</v>
      </c>
      <c r="D114" t="s">
        <v>521</v>
      </c>
      <c r="E114" t="s">
        <v>522</v>
      </c>
      <c r="F114" t="s">
        <v>85</v>
      </c>
      <c r="G114" t="s">
        <v>518</v>
      </c>
      <c r="H114" t="s">
        <v>523</v>
      </c>
      <c r="I114" t="s">
        <v>15</v>
      </c>
      <c r="J114" t="s">
        <v>21</v>
      </c>
      <c r="K114" t="s">
        <v>22</v>
      </c>
      <c r="L114">
        <f>BDP($H114,"BICS_LEVEL_1_SECTOR_NAME")</f>
        <v/>
      </c>
      <c r="M114">
        <f>BDP($H114,"BICS_LEVEL_3_INDUSTRY_NAME")</f>
        <v/>
      </c>
    </row>
    <row r="115" spans="1:13">
      <c r="A115" t="s">
        <v>524</v>
      </c>
      <c r="B115" t="s">
        <v>14</v>
      </c>
      <c r="C115" t="s">
        <v>15</v>
      </c>
      <c r="D115" t="s">
        <v>525</v>
      </c>
      <c r="E115" t="s">
        <v>526</v>
      </c>
      <c r="F115" t="s">
        <v>38</v>
      </c>
      <c r="G115" t="s">
        <v>527</v>
      </c>
      <c r="H115" t="s">
        <v>528</v>
      </c>
      <c r="I115" t="s">
        <v>15</v>
      </c>
      <c r="J115" t="s">
        <v>21</v>
      </c>
      <c r="K115" t="s">
        <v>22</v>
      </c>
      <c r="L115">
        <f>BDP($H115,"BICS_LEVEL_1_SECTOR_NAME")</f>
        <v/>
      </c>
      <c r="M115">
        <f>BDP($H115,"BICS_LEVEL_3_INDUSTRY_NAME")</f>
        <v/>
      </c>
    </row>
    <row r="116" spans="1:13">
      <c r="A116" t="s">
        <v>529</v>
      </c>
      <c r="B116" t="s">
        <v>14</v>
      </c>
      <c r="C116" t="s">
        <v>15</v>
      </c>
      <c r="D116" t="s">
        <v>530</v>
      </c>
      <c r="E116" t="s">
        <v>531</v>
      </c>
      <c r="F116" t="s">
        <v>26</v>
      </c>
      <c r="G116" t="s">
        <v>120</v>
      </c>
      <c r="H116" t="s">
        <v>532</v>
      </c>
      <c r="I116" t="s">
        <v>15</v>
      </c>
      <c r="J116" t="s">
        <v>21</v>
      </c>
      <c r="K116" t="s">
        <v>22</v>
      </c>
      <c r="L116">
        <f>BDP($H116,"BICS_LEVEL_1_SECTOR_NAME")</f>
        <v/>
      </c>
      <c r="M116">
        <f>BDP($H116,"BICS_LEVEL_3_INDUSTRY_NAME")</f>
        <v/>
      </c>
    </row>
    <row r="117" spans="1:13">
      <c r="A117" t="s">
        <v>533</v>
      </c>
      <c r="B117" t="s">
        <v>14</v>
      </c>
      <c r="C117" t="s">
        <v>15</v>
      </c>
      <c r="D117" t="s">
        <v>534</v>
      </c>
      <c r="E117" t="s">
        <v>535</v>
      </c>
      <c r="F117" t="s">
        <v>18</v>
      </c>
      <c r="G117" t="s">
        <v>19</v>
      </c>
      <c r="H117" t="s">
        <v>536</v>
      </c>
      <c r="I117" t="s">
        <v>15</v>
      </c>
      <c r="J117" t="s">
        <v>21</v>
      </c>
      <c r="K117" t="s">
        <v>22</v>
      </c>
      <c r="L117">
        <f>BDP($H117,"BICS_LEVEL_1_SECTOR_NAME")</f>
        <v/>
      </c>
      <c r="M117">
        <f>BDP($H117,"BICS_LEVEL_3_INDUSTRY_NAME")</f>
        <v/>
      </c>
    </row>
    <row r="118" spans="1:13">
      <c r="A118" t="s">
        <v>537</v>
      </c>
      <c r="B118" t="s">
        <v>14</v>
      </c>
      <c r="C118" t="s">
        <v>15</v>
      </c>
      <c r="D118" t="s">
        <v>538</v>
      </c>
      <c r="E118" t="s">
        <v>539</v>
      </c>
      <c r="F118" t="s">
        <v>26</v>
      </c>
      <c r="G118" t="s">
        <v>540</v>
      </c>
      <c r="H118" t="s">
        <v>541</v>
      </c>
      <c r="I118" t="s">
        <v>15</v>
      </c>
      <c r="J118" t="s">
        <v>21</v>
      </c>
      <c r="K118" t="s">
        <v>22</v>
      </c>
      <c r="L118">
        <f>BDP($H118,"BICS_LEVEL_1_SECTOR_NAME")</f>
        <v/>
      </c>
      <c r="M118">
        <f>BDP($H118,"BICS_LEVEL_3_INDUSTRY_NAME")</f>
        <v/>
      </c>
    </row>
    <row r="119" spans="1:13">
      <c r="A119" t="s">
        <v>542</v>
      </c>
      <c r="B119" t="s">
        <v>14</v>
      </c>
      <c r="C119" t="s">
        <v>15</v>
      </c>
      <c r="D119" t="s">
        <v>543</v>
      </c>
      <c r="E119" t="s">
        <v>544</v>
      </c>
      <c r="F119" t="s">
        <v>50</v>
      </c>
      <c r="G119" t="s">
        <v>101</v>
      </c>
      <c r="H119" t="s">
        <v>545</v>
      </c>
      <c r="I119" t="s">
        <v>15</v>
      </c>
      <c r="J119" t="s">
        <v>21</v>
      </c>
      <c r="K119" t="s">
        <v>22</v>
      </c>
      <c r="L119">
        <f>BDP($H119,"BICS_LEVEL_1_SECTOR_NAME")</f>
        <v/>
      </c>
      <c r="M119">
        <f>BDP($H119,"BICS_LEVEL_3_INDUSTRY_NAME")</f>
        <v/>
      </c>
    </row>
    <row r="120" spans="1:13">
      <c r="A120" t="s">
        <v>546</v>
      </c>
      <c r="B120" t="s">
        <v>14</v>
      </c>
      <c r="C120" t="s">
        <v>15</v>
      </c>
      <c r="D120" t="s">
        <v>547</v>
      </c>
      <c r="E120" t="s">
        <v>548</v>
      </c>
      <c r="F120" t="s">
        <v>18</v>
      </c>
      <c r="G120" t="s">
        <v>19</v>
      </c>
      <c r="H120" t="s">
        <v>549</v>
      </c>
      <c r="I120" t="s">
        <v>15</v>
      </c>
      <c r="J120" t="s">
        <v>21</v>
      </c>
      <c r="K120" t="s">
        <v>22</v>
      </c>
      <c r="L120">
        <f>BDP($H120,"BICS_LEVEL_1_SECTOR_NAME")</f>
        <v/>
      </c>
      <c r="M120">
        <f>BDP($H120,"BICS_LEVEL_3_INDUSTRY_NAME")</f>
        <v/>
      </c>
    </row>
    <row r="121" spans="1:13">
      <c r="A121" t="s">
        <v>550</v>
      </c>
      <c r="B121" t="s">
        <v>14</v>
      </c>
      <c r="C121" t="s">
        <v>15</v>
      </c>
      <c r="D121" t="s">
        <v>551</v>
      </c>
      <c r="E121" t="s">
        <v>552</v>
      </c>
      <c r="F121" t="s">
        <v>26</v>
      </c>
      <c r="G121" t="s">
        <v>284</v>
      </c>
      <c r="H121" t="s">
        <v>553</v>
      </c>
      <c r="I121" t="s">
        <v>15</v>
      </c>
      <c r="J121" t="s">
        <v>21</v>
      </c>
      <c r="K121" t="s">
        <v>22</v>
      </c>
      <c r="L121">
        <f>BDP($H121,"BICS_LEVEL_1_SECTOR_NAME")</f>
        <v/>
      </c>
      <c r="M121">
        <f>BDP($H121,"BICS_LEVEL_3_INDUSTRY_NAME")</f>
        <v/>
      </c>
    </row>
    <row r="122" spans="1:13">
      <c r="A122" t="s">
        <v>554</v>
      </c>
      <c r="B122" t="s">
        <v>14</v>
      </c>
      <c r="C122" t="s">
        <v>15</v>
      </c>
      <c r="D122" t="s">
        <v>555</v>
      </c>
      <c r="E122" t="s">
        <v>556</v>
      </c>
      <c r="F122" t="s">
        <v>26</v>
      </c>
      <c r="G122" t="s">
        <v>540</v>
      </c>
      <c r="H122" t="s">
        <v>557</v>
      </c>
      <c r="I122" t="s">
        <v>15</v>
      </c>
      <c r="J122" t="s">
        <v>21</v>
      </c>
      <c r="K122" t="s">
        <v>22</v>
      </c>
      <c r="L122">
        <f>BDP($H122,"BICS_LEVEL_1_SECTOR_NAME")</f>
        <v/>
      </c>
      <c r="M122">
        <f>BDP($H122,"BICS_LEVEL_3_INDUSTRY_NAME")</f>
        <v/>
      </c>
    </row>
    <row r="123" spans="1:13">
      <c r="A123" t="s">
        <v>558</v>
      </c>
      <c r="B123" t="s">
        <v>14</v>
      </c>
      <c r="C123" t="s">
        <v>15</v>
      </c>
      <c r="D123" t="s">
        <v>559</v>
      </c>
      <c r="E123" t="s">
        <v>560</v>
      </c>
      <c r="F123" t="s">
        <v>26</v>
      </c>
      <c r="G123" t="s">
        <v>540</v>
      </c>
      <c r="H123" t="s">
        <v>561</v>
      </c>
      <c r="I123" t="s">
        <v>15</v>
      </c>
      <c r="J123" t="s">
        <v>21</v>
      </c>
      <c r="K123" t="s">
        <v>22</v>
      </c>
      <c r="L123">
        <f>BDP($H123,"BICS_LEVEL_1_SECTOR_NAME")</f>
        <v/>
      </c>
      <c r="M123">
        <f>BDP($H123,"BICS_LEVEL_3_INDUSTRY_NAME")</f>
        <v/>
      </c>
    </row>
    <row r="124" spans="1:13">
      <c r="A124" t="s">
        <v>562</v>
      </c>
      <c r="B124" t="s">
        <v>14</v>
      </c>
      <c r="C124" t="s">
        <v>15</v>
      </c>
      <c r="D124" t="s">
        <v>563</v>
      </c>
      <c r="E124" t="s">
        <v>564</v>
      </c>
      <c r="F124" t="s">
        <v>60</v>
      </c>
      <c r="G124" t="s">
        <v>565</v>
      </c>
      <c r="H124" t="s">
        <v>566</v>
      </c>
      <c r="I124" t="s">
        <v>15</v>
      </c>
      <c r="J124" t="s">
        <v>21</v>
      </c>
      <c r="K124" t="s">
        <v>22</v>
      </c>
      <c r="L124">
        <f>BDP($H124,"BICS_LEVEL_1_SECTOR_NAME")</f>
        <v/>
      </c>
      <c r="M124">
        <f>BDP($H124,"BICS_LEVEL_3_INDUSTRY_NAME")</f>
        <v/>
      </c>
    </row>
    <row r="125" spans="1:13">
      <c r="A125" t="s">
        <v>567</v>
      </c>
      <c r="B125" t="s">
        <v>14</v>
      </c>
      <c r="C125" t="s">
        <v>15</v>
      </c>
      <c r="D125" t="s">
        <v>568</v>
      </c>
      <c r="E125" t="s">
        <v>569</v>
      </c>
      <c r="F125" t="s">
        <v>60</v>
      </c>
      <c r="G125" t="s">
        <v>570</v>
      </c>
      <c r="H125" t="s">
        <v>571</v>
      </c>
      <c r="I125" t="s">
        <v>15</v>
      </c>
      <c r="J125" t="s">
        <v>21</v>
      </c>
      <c r="K125" t="s">
        <v>22</v>
      </c>
      <c r="L125">
        <f>BDP($H125,"BICS_LEVEL_1_SECTOR_NAME")</f>
        <v/>
      </c>
      <c r="M125">
        <f>BDP($H125,"BICS_LEVEL_3_INDUSTRY_NAME")</f>
        <v/>
      </c>
    </row>
    <row r="126" spans="1:13">
      <c r="A126" t="s">
        <v>572</v>
      </c>
      <c r="B126" t="s">
        <v>14</v>
      </c>
      <c r="C126" t="s">
        <v>15</v>
      </c>
      <c r="D126" t="s">
        <v>573</v>
      </c>
      <c r="E126" t="s">
        <v>574</v>
      </c>
      <c r="F126" t="s">
        <v>26</v>
      </c>
      <c r="G126" t="s">
        <v>130</v>
      </c>
      <c r="H126" t="s">
        <v>575</v>
      </c>
      <c r="I126" t="s">
        <v>15</v>
      </c>
      <c r="J126" t="s">
        <v>21</v>
      </c>
      <c r="K126" t="s">
        <v>22</v>
      </c>
      <c r="L126">
        <f>BDP($H126,"BICS_LEVEL_1_SECTOR_NAME")</f>
        <v/>
      </c>
      <c r="M126">
        <f>BDP($H126,"BICS_LEVEL_3_INDUSTRY_NAME")</f>
        <v/>
      </c>
    </row>
    <row r="127" spans="1:13">
      <c r="A127" t="s">
        <v>576</v>
      </c>
      <c r="B127" t="s">
        <v>14</v>
      </c>
      <c r="C127" t="s">
        <v>15</v>
      </c>
      <c r="D127" t="s">
        <v>577</v>
      </c>
      <c r="E127" t="s">
        <v>578</v>
      </c>
      <c r="F127" t="s">
        <v>50</v>
      </c>
      <c r="G127" t="s">
        <v>106</v>
      </c>
      <c r="H127" t="s">
        <v>579</v>
      </c>
      <c r="I127" t="s">
        <v>15</v>
      </c>
      <c r="J127" t="s">
        <v>21</v>
      </c>
      <c r="K127" t="s">
        <v>22</v>
      </c>
      <c r="L127">
        <f>BDP($H127,"BICS_LEVEL_1_SECTOR_NAME")</f>
        <v/>
      </c>
      <c r="M127">
        <f>BDP($H127,"BICS_LEVEL_3_INDUSTRY_NAME")</f>
        <v/>
      </c>
    </row>
    <row r="128" spans="1:13">
      <c r="A128" t="s">
        <v>580</v>
      </c>
      <c r="B128" t="s">
        <v>14</v>
      </c>
      <c r="C128" t="s">
        <v>15</v>
      </c>
      <c r="D128" t="s">
        <v>581</v>
      </c>
      <c r="E128" t="s">
        <v>582</v>
      </c>
      <c r="F128" t="s">
        <v>50</v>
      </c>
      <c r="G128" t="s">
        <v>101</v>
      </c>
      <c r="H128" t="s">
        <v>583</v>
      </c>
      <c r="I128" t="s">
        <v>15</v>
      </c>
      <c r="J128" t="s">
        <v>21</v>
      </c>
      <c r="K128" t="s">
        <v>22</v>
      </c>
      <c r="L128">
        <f>BDP($H128,"BICS_LEVEL_1_SECTOR_NAME")</f>
        <v/>
      </c>
      <c r="M128">
        <f>BDP($H128,"BICS_LEVEL_3_INDUSTRY_NAME")</f>
        <v/>
      </c>
    </row>
    <row r="129" spans="1:13">
      <c r="A129" t="s">
        <v>584</v>
      </c>
      <c r="B129" t="s">
        <v>14</v>
      </c>
      <c r="C129" t="s">
        <v>15</v>
      </c>
      <c r="D129" t="s">
        <v>585</v>
      </c>
      <c r="E129" t="s">
        <v>586</v>
      </c>
      <c r="F129" t="s">
        <v>44</v>
      </c>
      <c r="G129" t="s">
        <v>39</v>
      </c>
      <c r="H129" t="s">
        <v>587</v>
      </c>
      <c r="I129" t="s">
        <v>15</v>
      </c>
      <c r="J129" t="s">
        <v>21</v>
      </c>
      <c r="K129" t="s">
        <v>22</v>
      </c>
      <c r="L129">
        <f>BDP($H129,"BICS_LEVEL_1_SECTOR_NAME")</f>
        <v/>
      </c>
      <c r="M129">
        <f>BDP($H129,"BICS_LEVEL_3_INDUSTRY_NAME")</f>
        <v/>
      </c>
    </row>
    <row r="130" spans="1:13">
      <c r="A130" t="s">
        <v>588</v>
      </c>
      <c r="B130" t="s">
        <v>14</v>
      </c>
      <c r="C130" t="s">
        <v>15</v>
      </c>
      <c r="D130" t="s">
        <v>589</v>
      </c>
      <c r="E130" t="s">
        <v>590</v>
      </c>
      <c r="F130" t="s">
        <v>60</v>
      </c>
      <c r="G130" t="s">
        <v>445</v>
      </c>
      <c r="H130" t="s">
        <v>591</v>
      </c>
      <c r="I130" t="s">
        <v>15</v>
      </c>
      <c r="J130" t="s">
        <v>21</v>
      </c>
      <c r="K130" t="s">
        <v>22</v>
      </c>
      <c r="L130">
        <f>BDP($H130,"BICS_LEVEL_1_SECTOR_NAME")</f>
        <v/>
      </c>
      <c r="M130">
        <f>BDP($H130,"BICS_LEVEL_3_INDUSTRY_NAME")</f>
        <v/>
      </c>
    </row>
    <row r="131" spans="1:13">
      <c r="A131" t="s">
        <v>592</v>
      </c>
      <c r="B131" t="s">
        <v>14</v>
      </c>
      <c r="C131" t="s">
        <v>15</v>
      </c>
      <c r="D131" t="s">
        <v>593</v>
      </c>
      <c r="E131" t="s">
        <v>594</v>
      </c>
      <c r="F131" t="s">
        <v>60</v>
      </c>
      <c r="G131" t="s">
        <v>130</v>
      </c>
      <c r="H131" t="s">
        <v>595</v>
      </c>
      <c r="I131" t="s">
        <v>15</v>
      </c>
      <c r="J131" t="s">
        <v>21</v>
      </c>
      <c r="K131" t="s">
        <v>22</v>
      </c>
      <c r="L131">
        <f>BDP($H131,"BICS_LEVEL_1_SECTOR_NAME")</f>
        <v/>
      </c>
      <c r="M131">
        <f>BDP($H131,"BICS_LEVEL_3_INDUSTRY_NAME")</f>
        <v/>
      </c>
    </row>
    <row r="132" spans="1:13">
      <c r="A132" t="s">
        <v>596</v>
      </c>
      <c r="B132" t="s">
        <v>14</v>
      </c>
      <c r="C132" t="s">
        <v>15</v>
      </c>
      <c r="D132" t="s">
        <v>597</v>
      </c>
      <c r="E132" t="s">
        <v>598</v>
      </c>
      <c r="F132" t="s">
        <v>60</v>
      </c>
      <c r="G132" t="s">
        <v>228</v>
      </c>
      <c r="H132" t="s">
        <v>599</v>
      </c>
      <c r="I132" t="s">
        <v>15</v>
      </c>
      <c r="J132" t="s">
        <v>21</v>
      </c>
      <c r="K132" t="s">
        <v>22</v>
      </c>
      <c r="L132">
        <f>BDP($H132,"BICS_LEVEL_1_SECTOR_NAME")</f>
        <v/>
      </c>
      <c r="M132">
        <f>BDP($H132,"BICS_LEVEL_3_INDUSTRY_NAME")</f>
        <v/>
      </c>
    </row>
    <row r="133" spans="1:13">
      <c r="A133" t="s">
        <v>600</v>
      </c>
      <c r="B133" t="s">
        <v>14</v>
      </c>
      <c r="C133" t="s">
        <v>15</v>
      </c>
      <c r="D133" t="s">
        <v>601</v>
      </c>
      <c r="E133" t="s">
        <v>602</v>
      </c>
      <c r="F133" t="s">
        <v>18</v>
      </c>
      <c r="G133" t="s">
        <v>19</v>
      </c>
      <c r="H133" t="s">
        <v>603</v>
      </c>
      <c r="I133" t="s">
        <v>15</v>
      </c>
      <c r="J133" t="s">
        <v>21</v>
      </c>
      <c r="K133" t="s">
        <v>22</v>
      </c>
      <c r="L133">
        <f>BDP($H133,"BICS_LEVEL_1_SECTOR_NAME")</f>
        <v/>
      </c>
      <c r="M133">
        <f>BDP($H133,"BICS_LEVEL_3_INDUSTRY_NAME")</f>
        <v/>
      </c>
    </row>
    <row r="134" spans="1:13">
      <c r="A134" t="s">
        <v>604</v>
      </c>
      <c r="B134" t="s">
        <v>14</v>
      </c>
      <c r="C134" t="s">
        <v>15</v>
      </c>
      <c r="D134" t="s">
        <v>605</v>
      </c>
      <c r="E134" t="s">
        <v>606</v>
      </c>
      <c r="F134" t="s">
        <v>18</v>
      </c>
      <c r="G134" t="s">
        <v>19</v>
      </c>
      <c r="H134" t="s">
        <v>607</v>
      </c>
      <c r="I134" t="s">
        <v>15</v>
      </c>
      <c r="J134" t="s">
        <v>21</v>
      </c>
      <c r="K134" t="s">
        <v>22</v>
      </c>
      <c r="L134">
        <f>BDP($H134,"BICS_LEVEL_1_SECTOR_NAME")</f>
        <v/>
      </c>
      <c r="M134">
        <f>BDP($H134,"BICS_LEVEL_3_INDUSTRY_NAME")</f>
        <v/>
      </c>
    </row>
    <row r="135" spans="1:13">
      <c r="A135" t="s">
        <v>608</v>
      </c>
      <c r="B135" t="s">
        <v>14</v>
      </c>
      <c r="C135" t="s">
        <v>15</v>
      </c>
      <c r="D135" t="s">
        <v>609</v>
      </c>
      <c r="E135" t="s">
        <v>610</v>
      </c>
      <c r="F135" t="s">
        <v>18</v>
      </c>
      <c r="G135" t="s">
        <v>176</v>
      </c>
      <c r="H135" t="s">
        <v>611</v>
      </c>
      <c r="I135" t="s">
        <v>15</v>
      </c>
      <c r="J135" t="s">
        <v>21</v>
      </c>
      <c r="K135" t="s">
        <v>22</v>
      </c>
      <c r="L135">
        <f>BDP($H135,"BICS_LEVEL_1_SECTOR_NAME")</f>
        <v/>
      </c>
      <c r="M135">
        <f>BDP($H135,"BICS_LEVEL_3_INDUSTRY_NAME")</f>
        <v/>
      </c>
    </row>
    <row r="136" spans="1:13">
      <c r="A136" t="s">
        <v>612</v>
      </c>
      <c r="B136" t="s">
        <v>14</v>
      </c>
      <c r="C136" t="s">
        <v>15</v>
      </c>
      <c r="D136" t="s">
        <v>613</v>
      </c>
      <c r="E136" t="s">
        <v>614</v>
      </c>
      <c r="F136" t="s">
        <v>60</v>
      </c>
      <c r="G136" t="s">
        <v>130</v>
      </c>
      <c r="H136" t="s">
        <v>615</v>
      </c>
      <c r="I136" t="s">
        <v>15</v>
      </c>
      <c r="J136" t="s">
        <v>21</v>
      </c>
      <c r="K136" t="s">
        <v>22</v>
      </c>
      <c r="L136">
        <f>BDP($H136,"BICS_LEVEL_1_SECTOR_NAME")</f>
        <v/>
      </c>
      <c r="M136">
        <f>BDP($H136,"BICS_LEVEL_3_INDUSTRY_NAME")</f>
        <v/>
      </c>
    </row>
    <row r="137" spans="1:13">
      <c r="A137" t="s">
        <v>616</v>
      </c>
      <c r="B137" t="s">
        <v>14</v>
      </c>
      <c r="C137" t="s">
        <v>15</v>
      </c>
      <c r="D137" t="s">
        <v>617</v>
      </c>
      <c r="E137" t="s">
        <v>618</v>
      </c>
      <c r="F137" t="s">
        <v>50</v>
      </c>
      <c r="G137" t="s">
        <v>106</v>
      </c>
      <c r="H137" t="s">
        <v>619</v>
      </c>
      <c r="I137" t="s">
        <v>15</v>
      </c>
      <c r="J137" t="s">
        <v>21</v>
      </c>
      <c r="K137" t="s">
        <v>22</v>
      </c>
      <c r="L137">
        <f>BDP($H137,"BICS_LEVEL_1_SECTOR_NAME")</f>
        <v/>
      </c>
      <c r="M137">
        <f>BDP($H137,"BICS_LEVEL_3_INDUSTRY_NAME")</f>
        <v/>
      </c>
    </row>
    <row r="138" spans="1:13">
      <c r="A138" t="s">
        <v>620</v>
      </c>
      <c r="B138" t="s">
        <v>14</v>
      </c>
      <c r="C138" t="s">
        <v>15</v>
      </c>
      <c r="D138" t="s">
        <v>621</v>
      </c>
      <c r="E138" t="s">
        <v>622</v>
      </c>
      <c r="F138" t="s">
        <v>60</v>
      </c>
      <c r="G138" t="s">
        <v>130</v>
      </c>
      <c r="H138" t="s">
        <v>623</v>
      </c>
      <c r="I138" t="s">
        <v>15</v>
      </c>
      <c r="J138" t="s">
        <v>21</v>
      </c>
      <c r="K138" t="s">
        <v>22</v>
      </c>
      <c r="L138">
        <f>BDP($H138,"BICS_LEVEL_1_SECTOR_NAME")</f>
        <v/>
      </c>
      <c r="M138">
        <f>BDP($H138,"BICS_LEVEL_3_INDUSTRY_NAME")</f>
        <v/>
      </c>
    </row>
    <row r="139" spans="1:13">
      <c r="A139" t="s">
        <v>624</v>
      </c>
      <c r="B139" t="s">
        <v>14</v>
      </c>
      <c r="C139" t="s">
        <v>15</v>
      </c>
      <c r="D139" t="s">
        <v>625</v>
      </c>
      <c r="E139" t="s">
        <v>626</v>
      </c>
      <c r="F139" t="s">
        <v>18</v>
      </c>
      <c r="G139" t="s">
        <v>19</v>
      </c>
      <c r="H139" t="s">
        <v>627</v>
      </c>
      <c r="I139" t="s">
        <v>15</v>
      </c>
      <c r="J139" t="s">
        <v>21</v>
      </c>
      <c r="K139" t="s">
        <v>22</v>
      </c>
      <c r="L139">
        <f>BDP($H139,"BICS_LEVEL_1_SECTOR_NAME")</f>
        <v/>
      </c>
      <c r="M139">
        <f>BDP($H139,"BICS_LEVEL_3_INDUSTRY_NAME")</f>
        <v/>
      </c>
    </row>
    <row r="140" spans="1:13">
      <c r="A140" t="s">
        <v>628</v>
      </c>
      <c r="B140" t="s">
        <v>14</v>
      </c>
      <c r="C140" t="s">
        <v>15</v>
      </c>
      <c r="D140" t="s">
        <v>629</v>
      </c>
      <c r="E140" t="s">
        <v>630</v>
      </c>
      <c r="F140" t="s">
        <v>26</v>
      </c>
      <c r="G140" t="s">
        <v>631</v>
      </c>
      <c r="H140" t="s">
        <v>632</v>
      </c>
      <c r="I140" t="s">
        <v>15</v>
      </c>
      <c r="J140" t="s">
        <v>21</v>
      </c>
      <c r="K140" t="s">
        <v>22</v>
      </c>
      <c r="L140">
        <f>BDP($H140,"BICS_LEVEL_1_SECTOR_NAME")</f>
        <v/>
      </c>
      <c r="M140">
        <f>BDP($H140,"BICS_LEVEL_3_INDUSTRY_NAME")</f>
        <v/>
      </c>
    </row>
    <row r="141" spans="1:13">
      <c r="A141" t="s">
        <v>633</v>
      </c>
      <c r="B141" t="s">
        <v>14</v>
      </c>
      <c r="C141" t="s">
        <v>15</v>
      </c>
      <c r="D141" t="s">
        <v>634</v>
      </c>
      <c r="E141" t="s">
        <v>635</v>
      </c>
      <c r="F141" t="s">
        <v>298</v>
      </c>
      <c r="G141" t="s">
        <v>246</v>
      </c>
      <c r="H141" t="s">
        <v>636</v>
      </c>
      <c r="I141" t="s">
        <v>15</v>
      </c>
      <c r="J141" t="s">
        <v>21</v>
      </c>
      <c r="K141" t="s">
        <v>22</v>
      </c>
      <c r="L141">
        <f>BDP($H141,"BICS_LEVEL_1_SECTOR_NAME")</f>
        <v/>
      </c>
      <c r="M141">
        <f>BDP($H141,"BICS_LEVEL_3_INDUSTRY_NAME")</f>
        <v/>
      </c>
    </row>
    <row r="142" spans="1:13">
      <c r="A142" t="s">
        <v>637</v>
      </c>
      <c r="B142" t="s">
        <v>14</v>
      </c>
      <c r="C142" t="s">
        <v>15</v>
      </c>
      <c r="D142" t="s">
        <v>638</v>
      </c>
      <c r="E142" t="s">
        <v>639</v>
      </c>
      <c r="F142" t="s">
        <v>50</v>
      </c>
      <c r="G142" t="s">
        <v>418</v>
      </c>
      <c r="H142" t="s">
        <v>640</v>
      </c>
      <c r="I142" t="s">
        <v>15</v>
      </c>
      <c r="J142" t="s">
        <v>21</v>
      </c>
      <c r="K142" t="s">
        <v>22</v>
      </c>
      <c r="L142">
        <f>BDP($H142,"BICS_LEVEL_1_SECTOR_NAME")</f>
        <v/>
      </c>
      <c r="M142">
        <f>BDP($H142,"BICS_LEVEL_3_INDUSTRY_NAME")</f>
        <v/>
      </c>
    </row>
    <row r="143" spans="1:13">
      <c r="A143" t="s">
        <v>641</v>
      </c>
      <c r="B143" t="s">
        <v>14</v>
      </c>
      <c r="C143" t="s">
        <v>15</v>
      </c>
      <c r="D143" t="s">
        <v>642</v>
      </c>
      <c r="E143" t="s">
        <v>643</v>
      </c>
      <c r="F143" t="s">
        <v>38</v>
      </c>
      <c r="G143" t="s">
        <v>39</v>
      </c>
      <c r="H143" t="s">
        <v>644</v>
      </c>
      <c r="I143" t="s">
        <v>15</v>
      </c>
      <c r="J143" t="s">
        <v>21</v>
      </c>
      <c r="K143" t="s">
        <v>22</v>
      </c>
      <c r="L143">
        <f>BDP($H143,"BICS_LEVEL_1_SECTOR_NAME")</f>
        <v/>
      </c>
      <c r="M143">
        <f>BDP($H143,"BICS_LEVEL_3_INDUSTRY_NAME")</f>
        <v/>
      </c>
    </row>
    <row r="144" spans="1:13">
      <c r="A144" t="s">
        <v>645</v>
      </c>
      <c r="B144" t="s">
        <v>14</v>
      </c>
      <c r="C144" t="s">
        <v>15</v>
      </c>
      <c r="D144" t="s">
        <v>646</v>
      </c>
      <c r="E144" t="s">
        <v>647</v>
      </c>
      <c r="F144" t="s">
        <v>18</v>
      </c>
      <c r="G144" t="s">
        <v>189</v>
      </c>
      <c r="H144" t="s">
        <v>648</v>
      </c>
      <c r="I144" t="s">
        <v>15</v>
      </c>
      <c r="J144" t="s">
        <v>21</v>
      </c>
      <c r="K144" t="s">
        <v>22</v>
      </c>
      <c r="L144">
        <f>BDP($H144,"BICS_LEVEL_1_SECTOR_NAME")</f>
        <v/>
      </c>
      <c r="M144">
        <f>BDP($H144,"BICS_LEVEL_3_INDUSTRY_NAME")</f>
        <v/>
      </c>
    </row>
    <row r="145" spans="1:13">
      <c r="A145" t="s">
        <v>649</v>
      </c>
      <c r="B145" t="s">
        <v>14</v>
      </c>
      <c r="C145" t="s">
        <v>15</v>
      </c>
      <c r="D145" t="s">
        <v>650</v>
      </c>
      <c r="E145" t="s">
        <v>651</v>
      </c>
      <c r="F145" t="s">
        <v>18</v>
      </c>
      <c r="G145" t="s">
        <v>189</v>
      </c>
      <c r="H145" t="s">
        <v>652</v>
      </c>
      <c r="I145" t="s">
        <v>15</v>
      </c>
      <c r="J145" t="s">
        <v>21</v>
      </c>
      <c r="K145" t="s">
        <v>22</v>
      </c>
      <c r="L145">
        <f>BDP($H145,"BICS_LEVEL_1_SECTOR_NAME")</f>
        <v/>
      </c>
      <c r="M145">
        <f>BDP($H145,"BICS_LEVEL_3_INDUSTRY_NAME")</f>
        <v/>
      </c>
    </row>
    <row r="146" spans="1:13">
      <c r="A146" t="s">
        <v>653</v>
      </c>
      <c r="B146" t="s">
        <v>14</v>
      </c>
      <c r="C146" t="s">
        <v>15</v>
      </c>
      <c r="D146" t="s">
        <v>654</v>
      </c>
      <c r="E146" t="s">
        <v>655</v>
      </c>
      <c r="F146" t="s">
        <v>50</v>
      </c>
      <c r="G146" t="s">
        <v>96</v>
      </c>
      <c r="H146" t="s">
        <v>656</v>
      </c>
      <c r="I146" t="s">
        <v>15</v>
      </c>
      <c r="J146" t="s">
        <v>21</v>
      </c>
      <c r="K146" t="s">
        <v>22</v>
      </c>
      <c r="L146">
        <f>BDP($H146,"BICS_LEVEL_1_SECTOR_NAME")</f>
        <v/>
      </c>
      <c r="M146">
        <f>BDP($H146,"BICS_LEVEL_3_INDUSTRY_NAME")</f>
        <v/>
      </c>
    </row>
    <row r="147" spans="1:13">
      <c r="A147" t="s">
        <v>657</v>
      </c>
      <c r="B147" t="s">
        <v>14</v>
      </c>
      <c r="C147" t="s">
        <v>15</v>
      </c>
      <c r="D147" t="s">
        <v>658</v>
      </c>
      <c r="E147" t="s">
        <v>659</v>
      </c>
      <c r="F147" t="s">
        <v>60</v>
      </c>
      <c r="G147" t="s">
        <v>130</v>
      </c>
      <c r="H147" t="s">
        <v>660</v>
      </c>
      <c r="I147" t="s">
        <v>15</v>
      </c>
      <c r="J147" t="s">
        <v>21</v>
      </c>
      <c r="K147" t="s">
        <v>22</v>
      </c>
      <c r="L147">
        <f>BDP($H147,"BICS_LEVEL_1_SECTOR_NAME")</f>
        <v/>
      </c>
      <c r="M147">
        <f>BDP($H147,"BICS_LEVEL_3_INDUSTRY_NAME")</f>
        <v/>
      </c>
    </row>
    <row r="148" spans="1:13">
      <c r="A148" t="s">
        <v>661</v>
      </c>
      <c r="B148" t="s">
        <v>14</v>
      </c>
      <c r="C148" t="s">
        <v>15</v>
      </c>
      <c r="D148" t="s">
        <v>662</v>
      </c>
      <c r="E148" t="s">
        <v>663</v>
      </c>
      <c r="F148" t="s">
        <v>298</v>
      </c>
      <c r="G148" t="s">
        <v>246</v>
      </c>
      <c r="H148" t="s">
        <v>664</v>
      </c>
      <c r="I148" t="s">
        <v>15</v>
      </c>
      <c r="J148" t="s">
        <v>21</v>
      </c>
      <c r="K148" t="s">
        <v>22</v>
      </c>
      <c r="L148">
        <f>BDP($H148,"BICS_LEVEL_1_SECTOR_NAME")</f>
        <v/>
      </c>
      <c r="M148">
        <f>BDP($H148,"BICS_LEVEL_3_INDUSTRY_NAME")</f>
        <v/>
      </c>
    </row>
    <row r="149" spans="1:13">
      <c r="A149" t="s">
        <v>665</v>
      </c>
      <c r="B149" t="s">
        <v>14</v>
      </c>
      <c r="C149" t="s">
        <v>15</v>
      </c>
      <c r="D149" t="s">
        <v>666</v>
      </c>
      <c r="E149" t="s">
        <v>667</v>
      </c>
      <c r="F149" t="s">
        <v>298</v>
      </c>
      <c r="G149" t="s">
        <v>246</v>
      </c>
      <c r="H149" t="s">
        <v>668</v>
      </c>
      <c r="I149" t="s">
        <v>15</v>
      </c>
      <c r="J149" t="s">
        <v>21</v>
      </c>
      <c r="K149" t="s">
        <v>22</v>
      </c>
      <c r="L149">
        <f>BDP($H149,"BICS_LEVEL_1_SECTOR_NAME")</f>
        <v/>
      </c>
      <c r="M149">
        <f>BDP($H149,"BICS_LEVEL_3_INDUSTRY_NAME")</f>
        <v/>
      </c>
    </row>
    <row r="150" spans="1:13">
      <c r="A150" t="s">
        <v>669</v>
      </c>
      <c r="B150" t="s">
        <v>14</v>
      </c>
      <c r="C150" t="s">
        <v>15</v>
      </c>
      <c r="D150" t="s">
        <v>670</v>
      </c>
      <c r="E150" t="s">
        <v>671</v>
      </c>
      <c r="F150" t="s">
        <v>26</v>
      </c>
      <c r="G150" t="s">
        <v>487</v>
      </c>
      <c r="H150" t="s">
        <v>672</v>
      </c>
      <c r="I150" t="s">
        <v>15</v>
      </c>
      <c r="J150" t="s">
        <v>21</v>
      </c>
      <c r="K150" t="s">
        <v>22</v>
      </c>
      <c r="L150">
        <f>BDP($H150,"BICS_LEVEL_1_SECTOR_NAME")</f>
        <v/>
      </c>
      <c r="M150">
        <f>BDP($H150,"BICS_LEVEL_3_INDUSTRY_NAME")</f>
        <v/>
      </c>
    </row>
    <row r="151" spans="1:13">
      <c r="A151" t="s">
        <v>673</v>
      </c>
      <c r="B151" t="s">
        <v>14</v>
      </c>
      <c r="C151" t="s">
        <v>15</v>
      </c>
      <c r="D151" t="s">
        <v>674</v>
      </c>
      <c r="E151" t="s">
        <v>675</v>
      </c>
      <c r="F151" t="s">
        <v>18</v>
      </c>
      <c r="G151" t="s">
        <v>176</v>
      </c>
      <c r="H151" t="s">
        <v>676</v>
      </c>
      <c r="I151" t="s">
        <v>15</v>
      </c>
      <c r="J151" t="s">
        <v>21</v>
      </c>
      <c r="K151" t="s">
        <v>22</v>
      </c>
      <c r="L151">
        <f>BDP($H151,"BICS_LEVEL_1_SECTOR_NAME")</f>
        <v/>
      </c>
      <c r="M151">
        <f>BDP($H151,"BICS_LEVEL_3_INDUSTRY_NAME")</f>
        <v/>
      </c>
    </row>
    <row r="152" spans="1:13">
      <c r="A152" t="s">
        <v>677</v>
      </c>
      <c r="B152" t="s">
        <v>14</v>
      </c>
      <c r="C152" t="s">
        <v>15</v>
      </c>
      <c r="D152" t="s">
        <v>678</v>
      </c>
      <c r="E152" t="s">
        <v>679</v>
      </c>
      <c r="F152" t="s">
        <v>18</v>
      </c>
      <c r="G152" t="s">
        <v>19</v>
      </c>
      <c r="H152" t="s">
        <v>680</v>
      </c>
      <c r="I152" t="s">
        <v>15</v>
      </c>
      <c r="J152" t="s">
        <v>21</v>
      </c>
      <c r="K152" t="s">
        <v>22</v>
      </c>
      <c r="L152">
        <f>BDP($H152,"BICS_LEVEL_1_SECTOR_NAME")</f>
        <v/>
      </c>
      <c r="M152">
        <f>BDP($H152,"BICS_LEVEL_3_INDUSTRY_NAME")</f>
        <v/>
      </c>
    </row>
    <row r="153" spans="1:13">
      <c r="A153" t="s">
        <v>681</v>
      </c>
      <c r="B153" t="s">
        <v>14</v>
      </c>
      <c r="C153" t="s">
        <v>15</v>
      </c>
      <c r="D153" t="s">
        <v>682</v>
      </c>
      <c r="E153" t="s">
        <v>683</v>
      </c>
      <c r="F153" t="s">
        <v>18</v>
      </c>
      <c r="G153" t="s">
        <v>189</v>
      </c>
      <c r="H153" t="s">
        <v>684</v>
      </c>
      <c r="I153" t="s">
        <v>15</v>
      </c>
      <c r="J153" t="s">
        <v>21</v>
      </c>
      <c r="K153" t="s">
        <v>22</v>
      </c>
      <c r="L153">
        <f>BDP($H153,"BICS_LEVEL_1_SECTOR_NAME")</f>
        <v/>
      </c>
      <c r="M153">
        <f>BDP($H153,"BICS_LEVEL_3_INDUSTRY_NAME")</f>
        <v/>
      </c>
    </row>
    <row r="154" spans="1:13">
      <c r="A154" t="s">
        <v>685</v>
      </c>
      <c r="B154" t="s">
        <v>14</v>
      </c>
      <c r="C154" t="s">
        <v>15</v>
      </c>
      <c r="D154" t="s">
        <v>686</v>
      </c>
      <c r="E154" t="s">
        <v>687</v>
      </c>
      <c r="F154" t="s">
        <v>26</v>
      </c>
      <c r="G154" t="s">
        <v>688</v>
      </c>
      <c r="H154" t="s">
        <v>689</v>
      </c>
      <c r="I154" t="s">
        <v>15</v>
      </c>
      <c r="J154" t="s">
        <v>21</v>
      </c>
      <c r="K154" t="s">
        <v>22</v>
      </c>
      <c r="L154">
        <f>BDP($H154,"BICS_LEVEL_1_SECTOR_NAME")</f>
        <v/>
      </c>
      <c r="M154">
        <f>BDP($H154,"BICS_LEVEL_3_INDUSTRY_NAME")</f>
        <v/>
      </c>
    </row>
    <row r="155" spans="1:13">
      <c r="A155" t="s">
        <v>690</v>
      </c>
      <c r="B155" t="s">
        <v>14</v>
      </c>
      <c r="C155" t="s">
        <v>15</v>
      </c>
      <c r="D155" t="s">
        <v>691</v>
      </c>
      <c r="E155" t="s">
        <v>692</v>
      </c>
      <c r="F155" t="s">
        <v>50</v>
      </c>
      <c r="G155" t="s">
        <v>101</v>
      </c>
      <c r="H155" t="s">
        <v>693</v>
      </c>
      <c r="I155" t="s">
        <v>15</v>
      </c>
      <c r="J155" t="s">
        <v>21</v>
      </c>
      <c r="K155" t="s">
        <v>22</v>
      </c>
      <c r="L155">
        <f>BDP($H155,"BICS_LEVEL_1_SECTOR_NAME")</f>
        <v/>
      </c>
      <c r="M155">
        <f>BDP($H155,"BICS_LEVEL_3_INDUSTRY_NAME")</f>
        <v/>
      </c>
    </row>
    <row r="156" spans="1:13">
      <c r="A156" t="s">
        <v>694</v>
      </c>
      <c r="B156" t="s">
        <v>14</v>
      </c>
      <c r="C156" t="s">
        <v>15</v>
      </c>
      <c r="D156" t="s">
        <v>695</v>
      </c>
      <c r="E156" t="s">
        <v>696</v>
      </c>
      <c r="F156" t="s">
        <v>60</v>
      </c>
      <c r="G156" t="s">
        <v>478</v>
      </c>
      <c r="H156" t="s">
        <v>697</v>
      </c>
      <c r="I156" t="s">
        <v>15</v>
      </c>
      <c r="J156" t="s">
        <v>21</v>
      </c>
      <c r="K156" t="s">
        <v>22</v>
      </c>
      <c r="L156">
        <f>BDP($H156,"BICS_LEVEL_1_SECTOR_NAME")</f>
        <v/>
      </c>
      <c r="M156">
        <f>BDP($H156,"BICS_LEVEL_3_INDUSTRY_NAME")</f>
        <v/>
      </c>
    </row>
    <row r="157" spans="1:13">
      <c r="A157" t="s">
        <v>698</v>
      </c>
      <c r="B157" t="s">
        <v>14</v>
      </c>
      <c r="C157" t="s">
        <v>15</v>
      </c>
      <c r="D157" t="s">
        <v>699</v>
      </c>
      <c r="E157" t="s">
        <v>700</v>
      </c>
      <c r="F157" t="s">
        <v>18</v>
      </c>
      <c r="G157" t="s">
        <v>380</v>
      </c>
      <c r="H157" t="s">
        <v>701</v>
      </c>
      <c r="I157" t="s">
        <v>15</v>
      </c>
      <c r="J157" t="s">
        <v>21</v>
      </c>
      <c r="K157" t="s">
        <v>22</v>
      </c>
      <c r="L157">
        <f>BDP($H157,"BICS_LEVEL_1_SECTOR_NAME")</f>
        <v/>
      </c>
      <c r="M157">
        <f>BDP($H157,"BICS_LEVEL_3_INDUSTRY_NAME")</f>
        <v/>
      </c>
    </row>
    <row r="158" spans="1:13">
      <c r="A158" t="s">
        <v>702</v>
      </c>
      <c r="B158" t="s">
        <v>14</v>
      </c>
      <c r="C158" t="s">
        <v>15</v>
      </c>
      <c r="D158" t="s">
        <v>703</v>
      </c>
      <c r="E158" t="s">
        <v>704</v>
      </c>
      <c r="F158" t="s">
        <v>298</v>
      </c>
      <c r="G158" t="s">
        <v>246</v>
      </c>
      <c r="H158" t="s">
        <v>705</v>
      </c>
      <c r="I158" t="s">
        <v>15</v>
      </c>
      <c r="J158" t="s">
        <v>21</v>
      </c>
      <c r="K158" t="s">
        <v>22</v>
      </c>
      <c r="L158">
        <f>BDP($H158,"BICS_LEVEL_1_SECTOR_NAME")</f>
        <v/>
      </c>
      <c r="M158">
        <f>BDP($H158,"BICS_LEVEL_3_INDUSTRY_NAME")</f>
        <v/>
      </c>
    </row>
    <row r="159" spans="1:13">
      <c r="A159" t="s">
        <v>706</v>
      </c>
      <c r="B159" t="s">
        <v>14</v>
      </c>
      <c r="C159" t="s">
        <v>15</v>
      </c>
      <c r="D159" t="s">
        <v>707</v>
      </c>
      <c r="E159" t="s">
        <v>708</v>
      </c>
      <c r="F159" t="s">
        <v>26</v>
      </c>
      <c r="G159" t="s">
        <v>709</v>
      </c>
      <c r="H159" t="s">
        <v>710</v>
      </c>
      <c r="I159" t="s">
        <v>15</v>
      </c>
      <c r="J159" t="s">
        <v>21</v>
      </c>
      <c r="K159" t="s">
        <v>22</v>
      </c>
      <c r="L159">
        <f>BDP($H159,"BICS_LEVEL_1_SECTOR_NAME")</f>
        <v/>
      </c>
      <c r="M159">
        <f>BDP($H159,"BICS_LEVEL_3_INDUSTRY_NAME")</f>
        <v/>
      </c>
    </row>
    <row r="160" spans="1:13">
      <c r="A160" t="s">
        <v>711</v>
      </c>
      <c r="B160" t="s">
        <v>14</v>
      </c>
      <c r="C160" t="s">
        <v>15</v>
      </c>
      <c r="D160" t="s">
        <v>712</v>
      </c>
      <c r="E160" t="s">
        <v>713</v>
      </c>
      <c r="F160" t="s">
        <v>26</v>
      </c>
      <c r="G160" t="s">
        <v>66</v>
      </c>
      <c r="H160" t="s">
        <v>714</v>
      </c>
      <c r="I160" t="s">
        <v>15</v>
      </c>
      <c r="J160" t="s">
        <v>21</v>
      </c>
      <c r="K160" t="s">
        <v>22</v>
      </c>
      <c r="L160">
        <f>BDP($H160,"BICS_LEVEL_1_SECTOR_NAME")</f>
        <v/>
      </c>
      <c r="M160">
        <f>BDP($H160,"BICS_LEVEL_3_INDUSTRY_NAME")</f>
        <v/>
      </c>
    </row>
    <row r="161" spans="1:13">
      <c r="A161" t="s">
        <v>715</v>
      </c>
      <c r="B161" t="s">
        <v>14</v>
      </c>
      <c r="C161" t="s">
        <v>15</v>
      </c>
      <c r="D161" t="s">
        <v>716</v>
      </c>
      <c r="E161" t="s">
        <v>717</v>
      </c>
      <c r="F161" t="s">
        <v>60</v>
      </c>
      <c r="G161" t="s">
        <v>130</v>
      </c>
      <c r="H161" t="s">
        <v>718</v>
      </c>
      <c r="I161" t="s">
        <v>15</v>
      </c>
      <c r="J161" t="s">
        <v>21</v>
      </c>
      <c r="K161" t="s">
        <v>22</v>
      </c>
      <c r="L161">
        <f>BDP($H161,"BICS_LEVEL_1_SECTOR_NAME")</f>
        <v/>
      </c>
      <c r="M161">
        <f>BDP($H161,"BICS_LEVEL_3_INDUSTRY_NAME")</f>
        <v/>
      </c>
    </row>
    <row r="162" spans="1:13">
      <c r="A162" t="s">
        <v>719</v>
      </c>
      <c r="B162" t="s">
        <v>14</v>
      </c>
      <c r="C162" t="s">
        <v>15</v>
      </c>
      <c r="D162" t="s">
        <v>720</v>
      </c>
      <c r="E162" t="s">
        <v>721</v>
      </c>
      <c r="F162" t="s">
        <v>50</v>
      </c>
      <c r="G162" t="s">
        <v>139</v>
      </c>
      <c r="H162" t="s">
        <v>722</v>
      </c>
      <c r="I162" t="s">
        <v>15</v>
      </c>
      <c r="J162" t="s">
        <v>21</v>
      </c>
      <c r="K162" t="s">
        <v>22</v>
      </c>
      <c r="L162">
        <f>BDP($H162,"BICS_LEVEL_1_SECTOR_NAME")</f>
        <v/>
      </c>
      <c r="M162">
        <f>BDP($H162,"BICS_LEVEL_3_INDUSTRY_NAME")</f>
        <v/>
      </c>
    </row>
    <row r="163" spans="1:13">
      <c r="A163" t="s">
        <v>723</v>
      </c>
      <c r="B163" t="s">
        <v>14</v>
      </c>
      <c r="C163" t="s">
        <v>15</v>
      </c>
      <c r="D163" t="s">
        <v>724</v>
      </c>
      <c r="E163" t="s">
        <v>725</v>
      </c>
      <c r="F163" t="s">
        <v>18</v>
      </c>
      <c r="G163" t="s">
        <v>189</v>
      </c>
      <c r="H163" t="s">
        <v>726</v>
      </c>
      <c r="I163" t="s">
        <v>15</v>
      </c>
      <c r="J163" t="s">
        <v>21</v>
      </c>
      <c r="K163" t="s">
        <v>22</v>
      </c>
      <c r="L163">
        <f>BDP($H163,"BICS_LEVEL_1_SECTOR_NAME")</f>
        <v/>
      </c>
      <c r="M163">
        <f>BDP($H163,"BICS_LEVEL_3_INDUSTRY_NAME")</f>
        <v/>
      </c>
    </row>
    <row r="164" spans="1:13">
      <c r="A164" t="s">
        <v>727</v>
      </c>
      <c r="B164" t="s">
        <v>14</v>
      </c>
      <c r="C164" t="s">
        <v>15</v>
      </c>
      <c r="D164" t="s">
        <v>728</v>
      </c>
      <c r="E164" t="s">
        <v>729</v>
      </c>
      <c r="F164" t="s">
        <v>18</v>
      </c>
      <c r="G164" t="s">
        <v>189</v>
      </c>
      <c r="H164" t="s">
        <v>730</v>
      </c>
      <c r="I164" t="s">
        <v>15</v>
      </c>
      <c r="J164" t="s">
        <v>21</v>
      </c>
      <c r="K164" t="s">
        <v>22</v>
      </c>
      <c r="L164">
        <f>BDP($H164,"BICS_LEVEL_1_SECTOR_NAME")</f>
        <v/>
      </c>
      <c r="M164">
        <f>BDP($H164,"BICS_LEVEL_3_INDUSTRY_NAME")</f>
        <v/>
      </c>
    </row>
    <row r="165" spans="1:13">
      <c r="A165" t="s">
        <v>731</v>
      </c>
      <c r="B165" t="s">
        <v>14</v>
      </c>
      <c r="C165" t="s">
        <v>15</v>
      </c>
      <c r="D165" t="s">
        <v>732</v>
      </c>
      <c r="E165" t="s">
        <v>733</v>
      </c>
      <c r="F165" t="s">
        <v>18</v>
      </c>
      <c r="G165" t="s">
        <v>176</v>
      </c>
      <c r="H165" t="s">
        <v>734</v>
      </c>
      <c r="I165" t="s">
        <v>15</v>
      </c>
      <c r="J165" t="s">
        <v>21</v>
      </c>
      <c r="K165" t="s">
        <v>22</v>
      </c>
      <c r="L165">
        <f>BDP($H165,"BICS_LEVEL_1_SECTOR_NAME")</f>
        <v/>
      </c>
      <c r="M165">
        <f>BDP($H165,"BICS_LEVEL_3_INDUSTRY_NAME")</f>
        <v/>
      </c>
    </row>
    <row r="166" spans="1:13">
      <c r="A166" t="s">
        <v>735</v>
      </c>
      <c r="B166" t="s">
        <v>14</v>
      </c>
      <c r="C166" t="s">
        <v>15</v>
      </c>
      <c r="D166" t="s">
        <v>736</v>
      </c>
      <c r="E166" t="s">
        <v>737</v>
      </c>
      <c r="F166" t="s">
        <v>18</v>
      </c>
      <c r="G166" t="s">
        <v>19</v>
      </c>
      <c r="H166" t="s">
        <v>738</v>
      </c>
      <c r="I166" t="s">
        <v>15</v>
      </c>
      <c r="J166" t="s">
        <v>21</v>
      </c>
      <c r="K166" t="s">
        <v>22</v>
      </c>
      <c r="L166">
        <f>BDP($H166,"BICS_LEVEL_1_SECTOR_NAME")</f>
        <v/>
      </c>
      <c r="M166">
        <f>BDP($H166,"BICS_LEVEL_3_INDUSTRY_NAME")</f>
        <v/>
      </c>
    </row>
    <row r="167" spans="1:13">
      <c r="A167" t="s">
        <v>739</v>
      </c>
      <c r="B167" t="s">
        <v>14</v>
      </c>
      <c r="C167" t="s">
        <v>15</v>
      </c>
      <c r="D167" t="s">
        <v>740</v>
      </c>
      <c r="E167" t="s">
        <v>741</v>
      </c>
      <c r="F167" t="s">
        <v>50</v>
      </c>
      <c r="G167" t="s">
        <v>139</v>
      </c>
      <c r="H167" t="s">
        <v>742</v>
      </c>
      <c r="I167" t="s">
        <v>15</v>
      </c>
      <c r="J167" t="s">
        <v>21</v>
      </c>
      <c r="K167" t="s">
        <v>22</v>
      </c>
      <c r="L167">
        <f>BDP($H167,"BICS_LEVEL_1_SECTOR_NAME")</f>
        <v/>
      </c>
      <c r="M167">
        <f>BDP($H167,"BICS_LEVEL_3_INDUSTRY_NAME")</f>
        <v/>
      </c>
    </row>
    <row r="168" spans="1:13">
      <c r="A168" t="s">
        <v>743</v>
      </c>
      <c r="B168" t="s">
        <v>14</v>
      </c>
      <c r="C168" t="s">
        <v>15</v>
      </c>
      <c r="D168" t="s">
        <v>744</v>
      </c>
      <c r="E168" t="s">
        <v>745</v>
      </c>
      <c r="F168" t="s">
        <v>50</v>
      </c>
      <c r="G168" t="s">
        <v>101</v>
      </c>
      <c r="H168" t="s">
        <v>746</v>
      </c>
      <c r="I168" t="s">
        <v>15</v>
      </c>
      <c r="J168" t="s">
        <v>21</v>
      </c>
      <c r="K168" t="s">
        <v>22</v>
      </c>
      <c r="L168">
        <f>BDP($H168,"BICS_LEVEL_1_SECTOR_NAME")</f>
        <v/>
      </c>
      <c r="M168">
        <f>BDP($H168,"BICS_LEVEL_3_INDUSTRY_NAME")</f>
        <v/>
      </c>
    </row>
    <row r="169" spans="1:13">
      <c r="A169" t="s">
        <v>747</v>
      </c>
      <c r="B169" t="s">
        <v>14</v>
      </c>
      <c r="C169" t="s">
        <v>15</v>
      </c>
      <c r="D169" t="s">
        <v>748</v>
      </c>
      <c r="E169" t="s">
        <v>749</v>
      </c>
      <c r="F169" t="s">
        <v>18</v>
      </c>
      <c r="G169" t="s">
        <v>19</v>
      </c>
      <c r="H169" t="s">
        <v>750</v>
      </c>
      <c r="I169" t="s">
        <v>15</v>
      </c>
      <c r="J169" t="s">
        <v>21</v>
      </c>
      <c r="K169" t="s">
        <v>22</v>
      </c>
      <c r="L169">
        <f>BDP($H169,"BICS_LEVEL_1_SECTOR_NAME")</f>
        <v/>
      </c>
      <c r="M169">
        <f>BDP($H169,"BICS_LEVEL_3_INDUSTRY_NAME")</f>
        <v/>
      </c>
    </row>
    <row r="170" spans="1:13">
      <c r="A170" t="s">
        <v>751</v>
      </c>
      <c r="B170" t="s">
        <v>14</v>
      </c>
      <c r="C170" t="s">
        <v>15</v>
      </c>
      <c r="D170" t="s">
        <v>752</v>
      </c>
      <c r="E170" t="s">
        <v>753</v>
      </c>
      <c r="F170" t="s">
        <v>60</v>
      </c>
      <c r="G170" t="s">
        <v>754</v>
      </c>
      <c r="H170" t="s">
        <v>755</v>
      </c>
      <c r="I170" t="s">
        <v>15</v>
      </c>
      <c r="J170" t="s">
        <v>21</v>
      </c>
      <c r="K170" t="s">
        <v>22</v>
      </c>
      <c r="L170">
        <f>BDP($H170,"BICS_LEVEL_1_SECTOR_NAME")</f>
        <v/>
      </c>
      <c r="M170">
        <f>BDP($H170,"BICS_LEVEL_3_INDUSTRY_NAME")</f>
        <v/>
      </c>
    </row>
    <row r="171" spans="1:13">
      <c r="A171" t="s">
        <v>756</v>
      </c>
      <c r="B171" t="s">
        <v>14</v>
      </c>
      <c r="C171" t="s">
        <v>15</v>
      </c>
      <c r="D171" t="s">
        <v>757</v>
      </c>
      <c r="E171" t="s">
        <v>758</v>
      </c>
      <c r="F171" t="s">
        <v>60</v>
      </c>
      <c r="G171" t="s">
        <v>759</v>
      </c>
      <c r="H171" t="s">
        <v>760</v>
      </c>
      <c r="I171" t="s">
        <v>15</v>
      </c>
      <c r="J171" t="s">
        <v>21</v>
      </c>
      <c r="K171" t="s">
        <v>22</v>
      </c>
      <c r="L171">
        <f>BDP($H171,"BICS_LEVEL_1_SECTOR_NAME")</f>
        <v/>
      </c>
      <c r="M171">
        <f>BDP($H171,"BICS_LEVEL_3_INDUSTRY_NAME")</f>
        <v/>
      </c>
    </row>
    <row r="172" spans="1:13">
      <c r="A172" t="s">
        <v>761</v>
      </c>
      <c r="B172" t="s">
        <v>14</v>
      </c>
      <c r="C172" t="s">
        <v>15</v>
      </c>
      <c r="D172" t="s">
        <v>762</v>
      </c>
      <c r="E172" t="s">
        <v>763</v>
      </c>
      <c r="F172" t="s">
        <v>18</v>
      </c>
      <c r="G172" t="s">
        <v>176</v>
      </c>
      <c r="H172" t="s">
        <v>764</v>
      </c>
      <c r="I172" t="s">
        <v>15</v>
      </c>
      <c r="J172" t="s">
        <v>21</v>
      </c>
      <c r="K172" t="s">
        <v>22</v>
      </c>
      <c r="L172">
        <f>BDP($H172,"BICS_LEVEL_1_SECTOR_NAME")</f>
        <v/>
      </c>
      <c r="M172">
        <f>BDP($H172,"BICS_LEVEL_3_INDUSTRY_NAME")</f>
        <v/>
      </c>
    </row>
    <row r="173" spans="1:13">
      <c r="A173" t="s">
        <v>765</v>
      </c>
      <c r="B173" t="s">
        <v>14</v>
      </c>
      <c r="C173" t="s">
        <v>15</v>
      </c>
      <c r="D173" t="s">
        <v>766</v>
      </c>
      <c r="E173" t="s">
        <v>767</v>
      </c>
      <c r="F173" t="s">
        <v>60</v>
      </c>
      <c r="G173" t="s">
        <v>91</v>
      </c>
      <c r="H173" t="s">
        <v>768</v>
      </c>
      <c r="I173" t="s">
        <v>15</v>
      </c>
      <c r="J173" t="s">
        <v>21</v>
      </c>
      <c r="K173" t="s">
        <v>22</v>
      </c>
      <c r="L173">
        <f>BDP($H173,"BICS_LEVEL_1_SECTOR_NAME")</f>
        <v/>
      </c>
      <c r="M173">
        <f>BDP($H173,"BICS_LEVEL_3_INDUSTRY_NAME")</f>
        <v/>
      </c>
    </row>
    <row r="174" spans="1:13">
      <c r="A174" t="s">
        <v>769</v>
      </c>
      <c r="B174" t="s">
        <v>14</v>
      </c>
      <c r="C174" t="s">
        <v>15</v>
      </c>
      <c r="D174" t="s">
        <v>770</v>
      </c>
      <c r="E174" t="s">
        <v>771</v>
      </c>
      <c r="F174" t="s">
        <v>60</v>
      </c>
      <c r="G174" t="s">
        <v>130</v>
      </c>
      <c r="H174" t="s">
        <v>772</v>
      </c>
      <c r="I174" t="s">
        <v>15</v>
      </c>
      <c r="J174" t="s">
        <v>21</v>
      </c>
      <c r="K174" t="s">
        <v>22</v>
      </c>
      <c r="L174">
        <f>BDP($H174,"BICS_LEVEL_1_SECTOR_NAME")</f>
        <v/>
      </c>
      <c r="M174">
        <f>BDP($H174,"BICS_LEVEL_3_INDUSTRY_NAME")</f>
        <v/>
      </c>
    </row>
    <row r="175" spans="1:13">
      <c r="A175" t="s">
        <v>773</v>
      </c>
      <c r="B175" t="s">
        <v>14</v>
      </c>
      <c r="C175" t="s">
        <v>15</v>
      </c>
      <c r="D175" t="s">
        <v>774</v>
      </c>
      <c r="E175" t="s">
        <v>775</v>
      </c>
      <c r="F175" t="s">
        <v>26</v>
      </c>
      <c r="G175" t="s">
        <v>776</v>
      </c>
      <c r="H175" t="s">
        <v>777</v>
      </c>
      <c r="I175" t="s">
        <v>15</v>
      </c>
      <c r="J175" t="s">
        <v>21</v>
      </c>
      <c r="K175" t="s">
        <v>22</v>
      </c>
      <c r="L175">
        <f>BDP($H175,"BICS_LEVEL_1_SECTOR_NAME")</f>
        <v/>
      </c>
      <c r="M175">
        <f>BDP($H175,"BICS_LEVEL_3_INDUSTRY_NAME")</f>
        <v/>
      </c>
    </row>
    <row r="176" spans="1:13">
      <c r="A176" t="s">
        <v>778</v>
      </c>
      <c r="B176" t="s">
        <v>14</v>
      </c>
      <c r="C176" t="s">
        <v>15</v>
      </c>
      <c r="D176" t="s">
        <v>779</v>
      </c>
      <c r="E176" t="s">
        <v>780</v>
      </c>
      <c r="F176" t="s">
        <v>26</v>
      </c>
      <c r="G176" t="s">
        <v>781</v>
      </c>
      <c r="H176" t="s">
        <v>782</v>
      </c>
      <c r="I176" t="s">
        <v>15</v>
      </c>
      <c r="J176" t="s">
        <v>21</v>
      </c>
      <c r="K176" t="s">
        <v>22</v>
      </c>
      <c r="L176">
        <f>BDP($H176,"BICS_LEVEL_1_SECTOR_NAME")</f>
        <v/>
      </c>
      <c r="M176">
        <f>BDP($H176,"BICS_LEVEL_3_INDUSTRY_NAME")</f>
        <v/>
      </c>
    </row>
    <row r="177" spans="1:13">
      <c r="A177" t="s">
        <v>783</v>
      </c>
      <c r="B177" t="s">
        <v>14</v>
      </c>
      <c r="C177" t="s">
        <v>15</v>
      </c>
      <c r="D177" t="s">
        <v>784</v>
      </c>
      <c r="E177" t="s">
        <v>785</v>
      </c>
      <c r="F177" t="s">
        <v>18</v>
      </c>
      <c r="G177" t="s">
        <v>19</v>
      </c>
      <c r="H177" t="s">
        <v>786</v>
      </c>
      <c r="I177" t="s">
        <v>15</v>
      </c>
      <c r="J177" t="s">
        <v>21</v>
      </c>
      <c r="K177" t="s">
        <v>22</v>
      </c>
      <c r="L177">
        <f>BDP($H177,"BICS_LEVEL_1_SECTOR_NAME")</f>
        <v/>
      </c>
      <c r="M177">
        <f>BDP($H177,"BICS_LEVEL_3_INDUSTRY_NAME")</f>
        <v/>
      </c>
    </row>
    <row r="178" spans="1:13">
      <c r="A178" t="s">
        <v>787</v>
      </c>
      <c r="B178" t="s">
        <v>14</v>
      </c>
      <c r="C178" t="s">
        <v>15</v>
      </c>
      <c r="D178" t="s">
        <v>788</v>
      </c>
      <c r="E178" t="s">
        <v>789</v>
      </c>
      <c r="F178" t="s">
        <v>26</v>
      </c>
      <c r="G178" t="s">
        <v>790</v>
      </c>
      <c r="H178" t="s">
        <v>791</v>
      </c>
      <c r="I178" t="s">
        <v>15</v>
      </c>
      <c r="J178" t="s">
        <v>21</v>
      </c>
      <c r="K178" t="s">
        <v>22</v>
      </c>
      <c r="L178">
        <f>BDP($H178,"BICS_LEVEL_1_SECTOR_NAME")</f>
        <v/>
      </c>
      <c r="M178">
        <f>BDP($H178,"BICS_LEVEL_3_INDUSTRY_NAME")</f>
        <v/>
      </c>
    </row>
    <row r="179" spans="1:13">
      <c r="A179" t="s">
        <v>792</v>
      </c>
      <c r="B179" t="s">
        <v>14</v>
      </c>
      <c r="C179" t="s">
        <v>15</v>
      </c>
      <c r="D179" t="s">
        <v>793</v>
      </c>
      <c r="E179" t="s">
        <v>794</v>
      </c>
      <c r="F179" t="s">
        <v>18</v>
      </c>
      <c r="G179" t="s">
        <v>149</v>
      </c>
      <c r="H179" t="s">
        <v>795</v>
      </c>
      <c r="I179" t="s">
        <v>15</v>
      </c>
      <c r="J179" t="s">
        <v>21</v>
      </c>
      <c r="K179" t="s">
        <v>22</v>
      </c>
      <c r="L179">
        <f>BDP($H179,"BICS_LEVEL_1_SECTOR_NAME")</f>
        <v/>
      </c>
      <c r="M179">
        <f>BDP($H179,"BICS_LEVEL_3_INDUSTRY_NAME")</f>
        <v/>
      </c>
    </row>
    <row r="180" spans="1:13">
      <c r="A180" t="s">
        <v>796</v>
      </c>
      <c r="B180" t="s">
        <v>14</v>
      </c>
      <c r="C180" t="s">
        <v>15</v>
      </c>
      <c r="D180" t="s">
        <v>797</v>
      </c>
      <c r="E180" t="s">
        <v>798</v>
      </c>
      <c r="F180" t="s">
        <v>60</v>
      </c>
      <c r="G180" t="s">
        <v>799</v>
      </c>
      <c r="H180" t="s">
        <v>800</v>
      </c>
      <c r="I180" t="s">
        <v>15</v>
      </c>
      <c r="J180" t="s">
        <v>21</v>
      </c>
      <c r="K180" t="s">
        <v>22</v>
      </c>
      <c r="L180">
        <f>BDP($H180,"BICS_LEVEL_1_SECTOR_NAME")</f>
        <v/>
      </c>
      <c r="M180">
        <f>BDP($H180,"BICS_LEVEL_3_INDUSTRY_NAME")</f>
        <v/>
      </c>
    </row>
    <row r="181" spans="1:13">
      <c r="A181" t="s">
        <v>801</v>
      </c>
      <c r="B181" t="s">
        <v>14</v>
      </c>
      <c r="C181" t="s">
        <v>15</v>
      </c>
      <c r="D181" t="s">
        <v>802</v>
      </c>
      <c r="E181" t="s">
        <v>803</v>
      </c>
      <c r="F181" t="s">
        <v>26</v>
      </c>
      <c r="G181" t="s">
        <v>80</v>
      </c>
      <c r="H181" t="s">
        <v>804</v>
      </c>
      <c r="I181" t="s">
        <v>15</v>
      </c>
      <c r="J181" t="s">
        <v>21</v>
      </c>
      <c r="K181" t="s">
        <v>22</v>
      </c>
      <c r="L181">
        <f>BDP($H181,"BICS_LEVEL_1_SECTOR_NAME")</f>
        <v/>
      </c>
      <c r="M181">
        <f>BDP($H181,"BICS_LEVEL_3_INDUSTRY_NAME")</f>
        <v/>
      </c>
    </row>
    <row r="182" spans="1:13">
      <c r="A182" t="s">
        <v>805</v>
      </c>
      <c r="B182" t="s">
        <v>14</v>
      </c>
      <c r="C182" t="s">
        <v>15</v>
      </c>
      <c r="D182" t="s">
        <v>806</v>
      </c>
      <c r="E182" t="s">
        <v>807</v>
      </c>
      <c r="F182" t="s">
        <v>26</v>
      </c>
      <c r="G182" t="s">
        <v>540</v>
      </c>
      <c r="H182" t="s">
        <v>808</v>
      </c>
      <c r="I182" t="s">
        <v>15</v>
      </c>
      <c r="J182" t="s">
        <v>21</v>
      </c>
      <c r="K182" t="s">
        <v>22</v>
      </c>
      <c r="L182">
        <f>BDP($H182,"BICS_LEVEL_1_SECTOR_NAME")</f>
        <v/>
      </c>
      <c r="M182">
        <f>BDP($H182,"BICS_LEVEL_3_INDUSTRY_NAME")</f>
        <v/>
      </c>
    </row>
    <row r="183" spans="1:13">
      <c r="A183" t="s">
        <v>809</v>
      </c>
      <c r="B183" t="s">
        <v>14</v>
      </c>
      <c r="C183" t="s">
        <v>15</v>
      </c>
      <c r="D183" t="s">
        <v>810</v>
      </c>
      <c r="E183" t="s">
        <v>811</v>
      </c>
      <c r="F183" t="s">
        <v>26</v>
      </c>
      <c r="G183" t="s">
        <v>776</v>
      </c>
      <c r="H183" t="s">
        <v>812</v>
      </c>
      <c r="I183" t="s">
        <v>15</v>
      </c>
      <c r="J183" t="s">
        <v>21</v>
      </c>
      <c r="K183" t="s">
        <v>22</v>
      </c>
      <c r="L183">
        <f>BDP($H183,"BICS_LEVEL_1_SECTOR_NAME")</f>
        <v/>
      </c>
      <c r="M183">
        <f>BDP($H183,"BICS_LEVEL_3_INDUSTRY_NAME")</f>
        <v/>
      </c>
    </row>
    <row r="184" spans="1:13">
      <c r="A184" t="s">
        <v>813</v>
      </c>
      <c r="B184" t="s">
        <v>14</v>
      </c>
      <c r="C184" t="s">
        <v>15</v>
      </c>
      <c r="D184" t="s">
        <v>814</v>
      </c>
      <c r="E184" t="s">
        <v>815</v>
      </c>
      <c r="F184" t="s">
        <v>18</v>
      </c>
      <c r="G184" t="s">
        <v>189</v>
      </c>
      <c r="H184" t="s">
        <v>816</v>
      </c>
      <c r="I184" t="s">
        <v>15</v>
      </c>
      <c r="J184" t="s">
        <v>21</v>
      </c>
      <c r="K184" t="s">
        <v>22</v>
      </c>
      <c r="L184">
        <f>BDP($H184,"BICS_LEVEL_1_SECTOR_NAME")</f>
        <v/>
      </c>
      <c r="M184">
        <f>BDP($H184,"BICS_LEVEL_3_INDUSTRY_NAME")</f>
        <v/>
      </c>
    </row>
    <row r="185" spans="1:13">
      <c r="A185" t="s">
        <v>817</v>
      </c>
      <c r="B185" t="s">
        <v>14</v>
      </c>
      <c r="C185" t="s">
        <v>15</v>
      </c>
      <c r="D185" t="s">
        <v>818</v>
      </c>
      <c r="E185" t="s">
        <v>819</v>
      </c>
      <c r="F185" t="s">
        <v>26</v>
      </c>
      <c r="G185" t="s">
        <v>820</v>
      </c>
      <c r="H185" t="s">
        <v>821</v>
      </c>
      <c r="I185" t="s">
        <v>15</v>
      </c>
      <c r="J185" t="s">
        <v>21</v>
      </c>
      <c r="K185" t="s">
        <v>22</v>
      </c>
      <c r="L185">
        <f>BDP($H185,"BICS_LEVEL_1_SECTOR_NAME")</f>
        <v/>
      </c>
      <c r="M185">
        <f>BDP($H185,"BICS_LEVEL_3_INDUSTRY_NAME")</f>
        <v/>
      </c>
    </row>
    <row r="186" spans="1:13">
      <c r="A186" t="s">
        <v>822</v>
      </c>
      <c r="B186" t="s">
        <v>14</v>
      </c>
      <c r="C186" t="s">
        <v>15</v>
      </c>
      <c r="D186" t="s">
        <v>823</v>
      </c>
      <c r="E186" t="s">
        <v>824</v>
      </c>
      <c r="F186" t="s">
        <v>26</v>
      </c>
      <c r="G186" t="s">
        <v>825</v>
      </c>
      <c r="H186" t="s">
        <v>826</v>
      </c>
      <c r="I186" t="s">
        <v>15</v>
      </c>
      <c r="J186" t="s">
        <v>21</v>
      </c>
      <c r="K186" t="s">
        <v>22</v>
      </c>
      <c r="L186">
        <f>BDP($H186,"BICS_LEVEL_1_SECTOR_NAME")</f>
        <v/>
      </c>
      <c r="M186">
        <f>BDP($H186,"BICS_LEVEL_3_INDUSTRY_NAME")</f>
        <v/>
      </c>
    </row>
    <row r="187" spans="1:13">
      <c r="A187" t="s">
        <v>827</v>
      </c>
      <c r="B187" t="s">
        <v>14</v>
      </c>
      <c r="C187" t="s">
        <v>15</v>
      </c>
      <c r="D187" t="s">
        <v>828</v>
      </c>
      <c r="E187" t="s">
        <v>829</v>
      </c>
      <c r="F187" t="s">
        <v>26</v>
      </c>
      <c r="G187" t="s">
        <v>284</v>
      </c>
      <c r="H187" t="s">
        <v>830</v>
      </c>
      <c r="I187" t="s">
        <v>15</v>
      </c>
      <c r="J187" t="s">
        <v>21</v>
      </c>
      <c r="K187" t="s">
        <v>22</v>
      </c>
      <c r="L187">
        <f>BDP($H187,"BICS_LEVEL_1_SECTOR_NAME")</f>
        <v/>
      </c>
      <c r="M187">
        <f>BDP($H187,"BICS_LEVEL_3_INDUSTRY_NAME")</f>
        <v/>
      </c>
    </row>
    <row r="188" spans="1:13">
      <c r="A188" t="s">
        <v>831</v>
      </c>
      <c r="B188" t="s">
        <v>14</v>
      </c>
      <c r="C188" t="s">
        <v>15</v>
      </c>
      <c r="D188" t="s">
        <v>832</v>
      </c>
      <c r="E188" t="s">
        <v>833</v>
      </c>
      <c r="F188" t="s">
        <v>26</v>
      </c>
      <c r="G188" t="s">
        <v>834</v>
      </c>
      <c r="H188" t="s">
        <v>835</v>
      </c>
      <c r="I188" t="s">
        <v>15</v>
      </c>
      <c r="J188" t="s">
        <v>21</v>
      </c>
      <c r="K188" t="s">
        <v>22</v>
      </c>
      <c r="L188">
        <f>BDP($H188,"BICS_LEVEL_1_SECTOR_NAME")</f>
        <v/>
      </c>
      <c r="M188">
        <f>BDP($H188,"BICS_LEVEL_3_INDUSTRY_NAME")</f>
        <v/>
      </c>
    </row>
    <row r="189" spans="1:13">
      <c r="A189" t="s">
        <v>836</v>
      </c>
      <c r="B189" t="s">
        <v>14</v>
      </c>
      <c r="C189" t="s">
        <v>15</v>
      </c>
      <c r="D189" t="s">
        <v>837</v>
      </c>
      <c r="E189" t="s">
        <v>838</v>
      </c>
      <c r="F189" t="s">
        <v>18</v>
      </c>
      <c r="G189" t="s">
        <v>839</v>
      </c>
      <c r="H189" t="s">
        <v>840</v>
      </c>
      <c r="I189" t="s">
        <v>15</v>
      </c>
      <c r="J189" t="s">
        <v>21</v>
      </c>
      <c r="K189" t="s">
        <v>22</v>
      </c>
      <c r="L189">
        <f>BDP($H189,"BICS_LEVEL_1_SECTOR_NAME")</f>
        <v/>
      </c>
      <c r="M189">
        <f>BDP($H189,"BICS_LEVEL_3_INDUSTRY_NAME")</f>
        <v/>
      </c>
    </row>
    <row r="190" spans="1:13">
      <c r="A190" t="s">
        <v>841</v>
      </c>
      <c r="B190" t="s">
        <v>14</v>
      </c>
      <c r="C190" t="s">
        <v>15</v>
      </c>
      <c r="D190" t="s">
        <v>842</v>
      </c>
      <c r="E190" t="s">
        <v>843</v>
      </c>
      <c r="F190" t="s">
        <v>26</v>
      </c>
      <c r="G190" t="s">
        <v>289</v>
      </c>
      <c r="H190" t="s">
        <v>844</v>
      </c>
      <c r="I190" t="s">
        <v>15</v>
      </c>
      <c r="J190" t="s">
        <v>21</v>
      </c>
      <c r="K190" t="s">
        <v>22</v>
      </c>
      <c r="L190">
        <f>BDP($H190,"BICS_LEVEL_1_SECTOR_NAME")</f>
        <v/>
      </c>
      <c r="M190">
        <f>BDP($H190,"BICS_LEVEL_3_INDUSTRY_NAME")</f>
        <v/>
      </c>
    </row>
    <row r="191" spans="1:13">
      <c r="A191" t="s">
        <v>845</v>
      </c>
      <c r="B191" t="s">
        <v>14</v>
      </c>
      <c r="C191" t="s">
        <v>15</v>
      </c>
      <c r="D191" t="s">
        <v>846</v>
      </c>
      <c r="E191" t="s">
        <v>847</v>
      </c>
      <c r="F191" t="s">
        <v>60</v>
      </c>
      <c r="G191" t="s">
        <v>91</v>
      </c>
      <c r="H191" t="s">
        <v>848</v>
      </c>
      <c r="I191" t="s">
        <v>15</v>
      </c>
      <c r="J191" t="s">
        <v>21</v>
      </c>
      <c r="K191" t="s">
        <v>22</v>
      </c>
      <c r="L191">
        <f>BDP($H191,"BICS_LEVEL_1_SECTOR_NAME")</f>
        <v/>
      </c>
      <c r="M191">
        <f>BDP($H191,"BICS_LEVEL_3_INDUSTRY_NAME")</f>
        <v/>
      </c>
    </row>
    <row r="192" spans="1:13">
      <c r="A192" t="s">
        <v>849</v>
      </c>
      <c r="B192" t="s">
        <v>14</v>
      </c>
      <c r="C192" t="s">
        <v>15</v>
      </c>
      <c r="D192" t="s">
        <v>850</v>
      </c>
      <c r="E192" t="s">
        <v>851</v>
      </c>
      <c r="F192" t="s">
        <v>26</v>
      </c>
      <c r="G192" t="s">
        <v>852</v>
      </c>
      <c r="H192" t="s">
        <v>853</v>
      </c>
      <c r="I192" t="s">
        <v>15</v>
      </c>
      <c r="J192" t="s">
        <v>21</v>
      </c>
      <c r="K192" t="s">
        <v>22</v>
      </c>
      <c r="L192">
        <f>BDP($H192,"BICS_LEVEL_1_SECTOR_NAME")</f>
        <v/>
      </c>
      <c r="M192">
        <f>BDP($H192,"BICS_LEVEL_3_INDUSTRY_NAME")</f>
        <v/>
      </c>
    </row>
    <row r="193" spans="1:13">
      <c r="A193" t="s">
        <v>854</v>
      </c>
      <c r="B193" t="s">
        <v>14</v>
      </c>
      <c r="C193" t="s">
        <v>15</v>
      </c>
      <c r="D193" t="s">
        <v>855</v>
      </c>
      <c r="E193" t="s">
        <v>856</v>
      </c>
      <c r="F193" t="s">
        <v>44</v>
      </c>
      <c r="G193" t="s">
        <v>203</v>
      </c>
      <c r="H193" t="s">
        <v>857</v>
      </c>
      <c r="I193" t="s">
        <v>15</v>
      </c>
      <c r="J193" t="s">
        <v>21</v>
      </c>
      <c r="K193" t="s">
        <v>22</v>
      </c>
      <c r="L193">
        <f>BDP($H193,"BICS_LEVEL_1_SECTOR_NAME")</f>
        <v/>
      </c>
      <c r="M193">
        <f>BDP($H193,"BICS_LEVEL_3_INDUSTRY_NAME")</f>
        <v/>
      </c>
    </row>
    <row r="194" spans="1:13">
      <c r="A194" t="s">
        <v>858</v>
      </c>
      <c r="B194" t="s">
        <v>14</v>
      </c>
      <c r="C194" t="s">
        <v>15</v>
      </c>
      <c r="D194" t="s">
        <v>859</v>
      </c>
      <c r="E194" t="s">
        <v>860</v>
      </c>
      <c r="F194" t="s">
        <v>18</v>
      </c>
      <c r="G194" t="s">
        <v>19</v>
      </c>
      <c r="H194" t="s">
        <v>861</v>
      </c>
      <c r="I194" t="s">
        <v>15</v>
      </c>
      <c r="J194" t="s">
        <v>21</v>
      </c>
      <c r="K194" t="s">
        <v>22</v>
      </c>
      <c r="L194">
        <f>BDP($H194,"BICS_LEVEL_1_SECTOR_NAME")</f>
        <v/>
      </c>
      <c r="M194">
        <f>BDP($H194,"BICS_LEVEL_3_INDUSTRY_NAME")</f>
        <v/>
      </c>
    </row>
    <row r="195" spans="1:13">
      <c r="A195" t="s">
        <v>862</v>
      </c>
      <c r="B195" t="s">
        <v>14</v>
      </c>
      <c r="C195" t="s">
        <v>15</v>
      </c>
      <c r="D195" t="s">
        <v>863</v>
      </c>
      <c r="E195" t="s">
        <v>864</v>
      </c>
      <c r="F195" t="s">
        <v>18</v>
      </c>
      <c r="G195" t="s">
        <v>865</v>
      </c>
      <c r="H195" t="s">
        <v>866</v>
      </c>
      <c r="I195" t="s">
        <v>15</v>
      </c>
      <c r="J195" t="s">
        <v>21</v>
      </c>
      <c r="K195" t="s">
        <v>22</v>
      </c>
      <c r="L195">
        <f>BDP($H195,"BICS_LEVEL_1_SECTOR_NAME")</f>
        <v/>
      </c>
      <c r="M195">
        <f>BDP($H195,"BICS_LEVEL_3_INDUSTRY_NAME")</f>
        <v/>
      </c>
    </row>
    <row r="196" spans="1:13">
      <c r="A196" t="s">
        <v>867</v>
      </c>
      <c r="B196" t="s">
        <v>14</v>
      </c>
      <c r="C196" t="s">
        <v>15</v>
      </c>
      <c r="D196" t="s">
        <v>868</v>
      </c>
      <c r="E196" t="s">
        <v>869</v>
      </c>
      <c r="F196" t="s">
        <v>50</v>
      </c>
      <c r="G196" t="s">
        <v>96</v>
      </c>
      <c r="H196" t="s">
        <v>870</v>
      </c>
      <c r="I196" t="s">
        <v>15</v>
      </c>
      <c r="J196" t="s">
        <v>21</v>
      </c>
      <c r="K196" t="s">
        <v>22</v>
      </c>
      <c r="L196">
        <f>BDP($H196,"BICS_LEVEL_1_SECTOR_NAME")</f>
        <v/>
      </c>
      <c r="M196">
        <f>BDP($H196,"BICS_LEVEL_3_INDUSTRY_NAME")</f>
        <v/>
      </c>
    </row>
    <row r="197" spans="1:13">
      <c r="A197" t="s">
        <v>871</v>
      </c>
      <c r="B197" t="s">
        <v>14</v>
      </c>
      <c r="C197" t="s">
        <v>15</v>
      </c>
      <c r="D197" t="s">
        <v>872</v>
      </c>
      <c r="E197" t="s">
        <v>873</v>
      </c>
      <c r="F197" t="s">
        <v>18</v>
      </c>
      <c r="G197" t="s">
        <v>874</v>
      </c>
      <c r="H197" t="s">
        <v>875</v>
      </c>
      <c r="I197" t="s">
        <v>15</v>
      </c>
      <c r="J197" t="s">
        <v>21</v>
      </c>
      <c r="K197" t="s">
        <v>22</v>
      </c>
      <c r="L197">
        <f>BDP($H197,"BICS_LEVEL_1_SECTOR_NAME")</f>
        <v/>
      </c>
      <c r="M197">
        <f>BDP($H197,"BICS_LEVEL_3_INDUSTRY_NAME")</f>
        <v/>
      </c>
    </row>
    <row r="198" spans="1:13">
      <c r="A198" t="s">
        <v>876</v>
      </c>
      <c r="B198" t="s">
        <v>14</v>
      </c>
      <c r="C198" t="s">
        <v>15</v>
      </c>
      <c r="D198" t="s">
        <v>877</v>
      </c>
      <c r="E198" t="s">
        <v>878</v>
      </c>
      <c r="F198" t="s">
        <v>18</v>
      </c>
      <c r="G198" t="s">
        <v>874</v>
      </c>
      <c r="H198" t="s">
        <v>879</v>
      </c>
      <c r="I198" t="s">
        <v>15</v>
      </c>
      <c r="J198" t="s">
        <v>21</v>
      </c>
      <c r="K198" t="s">
        <v>22</v>
      </c>
      <c r="L198">
        <f>BDP($H198,"BICS_LEVEL_1_SECTOR_NAME")</f>
        <v/>
      </c>
      <c r="M198">
        <f>BDP($H198,"BICS_LEVEL_3_INDUSTRY_NAME")</f>
        <v/>
      </c>
    </row>
    <row r="199" spans="1:13">
      <c r="A199" t="s">
        <v>880</v>
      </c>
      <c r="B199" t="s">
        <v>14</v>
      </c>
      <c r="C199" t="s">
        <v>15</v>
      </c>
      <c r="D199" t="s">
        <v>881</v>
      </c>
      <c r="E199" t="s">
        <v>882</v>
      </c>
      <c r="F199" t="s">
        <v>26</v>
      </c>
      <c r="G199" t="s">
        <v>834</v>
      </c>
      <c r="H199" t="s">
        <v>883</v>
      </c>
      <c r="I199" t="s">
        <v>15</v>
      </c>
      <c r="J199" t="s">
        <v>21</v>
      </c>
      <c r="K199" t="s">
        <v>22</v>
      </c>
      <c r="L199">
        <f>BDP($H199,"BICS_LEVEL_1_SECTOR_NAME")</f>
        <v/>
      </c>
      <c r="M199">
        <f>BDP($H199,"BICS_LEVEL_3_INDUSTRY_NAME")</f>
        <v/>
      </c>
    </row>
    <row r="200" spans="1:13">
      <c r="A200" t="s">
        <v>884</v>
      </c>
      <c r="B200" t="s">
        <v>14</v>
      </c>
      <c r="C200" t="s">
        <v>15</v>
      </c>
      <c r="D200" t="s">
        <v>885</v>
      </c>
      <c r="E200" t="s">
        <v>886</v>
      </c>
      <c r="F200" t="s">
        <v>18</v>
      </c>
      <c r="G200" t="s">
        <v>176</v>
      </c>
      <c r="H200" t="s">
        <v>887</v>
      </c>
      <c r="I200" t="s">
        <v>15</v>
      </c>
      <c r="J200" t="s">
        <v>21</v>
      </c>
      <c r="K200" t="s">
        <v>22</v>
      </c>
      <c r="L200">
        <f>BDP($H200,"BICS_LEVEL_1_SECTOR_NAME")</f>
        <v/>
      </c>
      <c r="M200">
        <f>BDP($H200,"BICS_LEVEL_3_INDUSTRY_NAME")</f>
        <v/>
      </c>
    </row>
    <row r="201" spans="1:13">
      <c r="A201" t="s">
        <v>888</v>
      </c>
      <c r="B201" t="s">
        <v>14</v>
      </c>
      <c r="C201" t="s">
        <v>15</v>
      </c>
      <c r="D201" t="s">
        <v>889</v>
      </c>
      <c r="E201" t="s">
        <v>890</v>
      </c>
      <c r="F201" t="s">
        <v>18</v>
      </c>
      <c r="G201" t="s">
        <v>513</v>
      </c>
      <c r="H201" t="s">
        <v>891</v>
      </c>
      <c r="I201" t="s">
        <v>15</v>
      </c>
      <c r="J201" t="s">
        <v>21</v>
      </c>
      <c r="K201" t="s">
        <v>22</v>
      </c>
      <c r="L201">
        <f>BDP($H201,"BICS_LEVEL_1_SECTOR_NAME")</f>
        <v/>
      </c>
      <c r="M201">
        <f>BDP($H201,"BICS_LEVEL_3_INDUSTRY_NAME")</f>
        <v/>
      </c>
    </row>
    <row r="202" spans="1:13">
      <c r="A202" t="s">
        <v>892</v>
      </c>
      <c r="B202" t="s">
        <v>14</v>
      </c>
      <c r="C202" t="s">
        <v>15</v>
      </c>
      <c r="D202" t="s">
        <v>893</v>
      </c>
      <c r="E202" t="s">
        <v>894</v>
      </c>
      <c r="F202" t="s">
        <v>26</v>
      </c>
      <c r="G202" t="s">
        <v>401</v>
      </c>
      <c r="H202" t="s">
        <v>895</v>
      </c>
      <c r="I202" t="s">
        <v>15</v>
      </c>
      <c r="J202" t="s">
        <v>21</v>
      </c>
      <c r="K202" t="s">
        <v>22</v>
      </c>
      <c r="L202">
        <f>BDP($H202,"BICS_LEVEL_1_SECTOR_NAME")</f>
        <v/>
      </c>
      <c r="M202">
        <f>BDP($H202,"BICS_LEVEL_3_INDUSTRY_NAME")</f>
        <v/>
      </c>
    </row>
    <row r="203" spans="1:13">
      <c r="A203" t="s">
        <v>896</v>
      </c>
      <c r="B203" t="s">
        <v>14</v>
      </c>
      <c r="C203" t="s">
        <v>15</v>
      </c>
      <c r="D203" t="s">
        <v>897</v>
      </c>
      <c r="E203" t="s">
        <v>898</v>
      </c>
      <c r="F203" t="s">
        <v>60</v>
      </c>
      <c r="G203" t="s">
        <v>130</v>
      </c>
      <c r="H203" t="s">
        <v>899</v>
      </c>
      <c r="I203" t="s">
        <v>15</v>
      </c>
      <c r="J203" t="s">
        <v>21</v>
      </c>
      <c r="K203" t="s">
        <v>22</v>
      </c>
      <c r="L203">
        <f>BDP($H203,"BICS_LEVEL_1_SECTOR_NAME")</f>
        <v/>
      </c>
      <c r="M203">
        <f>BDP($H203,"BICS_LEVEL_3_INDUSTRY_NAME")</f>
        <v/>
      </c>
    </row>
    <row r="204" spans="1:13">
      <c r="A204" t="s">
        <v>900</v>
      </c>
      <c r="B204" t="s">
        <v>14</v>
      </c>
      <c r="C204" t="s">
        <v>15</v>
      </c>
      <c r="D204" t="s">
        <v>901</v>
      </c>
      <c r="E204" t="s">
        <v>902</v>
      </c>
      <c r="F204" t="s">
        <v>298</v>
      </c>
      <c r="G204" t="s">
        <v>246</v>
      </c>
      <c r="H204" t="s">
        <v>903</v>
      </c>
      <c r="I204" t="s">
        <v>15</v>
      </c>
      <c r="J204" t="s">
        <v>21</v>
      </c>
      <c r="K204" t="s">
        <v>22</v>
      </c>
      <c r="L204">
        <f>BDP($H204,"BICS_LEVEL_1_SECTOR_NAME")</f>
        <v/>
      </c>
      <c r="M204">
        <f>BDP($H204,"BICS_LEVEL_3_INDUSTRY_NAME")</f>
        <v/>
      </c>
    </row>
    <row r="205" spans="1:13">
      <c r="A205" t="s">
        <v>904</v>
      </c>
      <c r="B205" t="s">
        <v>14</v>
      </c>
      <c r="C205" t="s">
        <v>15</v>
      </c>
      <c r="D205" t="s">
        <v>905</v>
      </c>
      <c r="E205" t="s">
        <v>906</v>
      </c>
      <c r="F205" t="s">
        <v>298</v>
      </c>
      <c r="G205" t="s">
        <v>246</v>
      </c>
      <c r="H205" t="s">
        <v>907</v>
      </c>
      <c r="I205" t="s">
        <v>15</v>
      </c>
      <c r="J205" t="s">
        <v>21</v>
      </c>
      <c r="K205" t="s">
        <v>22</v>
      </c>
      <c r="L205">
        <f>BDP($H205,"BICS_LEVEL_1_SECTOR_NAME")</f>
        <v/>
      </c>
      <c r="M205">
        <f>BDP($H205,"BICS_LEVEL_3_INDUSTRY_NAME")</f>
        <v/>
      </c>
    </row>
    <row r="206" spans="1:13">
      <c r="A206" t="s">
        <v>908</v>
      </c>
      <c r="B206" t="s">
        <v>14</v>
      </c>
      <c r="C206" t="s">
        <v>15</v>
      </c>
      <c r="D206" t="s">
        <v>909</v>
      </c>
      <c r="E206" t="s">
        <v>910</v>
      </c>
      <c r="F206" t="s">
        <v>298</v>
      </c>
      <c r="G206" t="s">
        <v>246</v>
      </c>
      <c r="H206" t="s">
        <v>911</v>
      </c>
      <c r="I206" t="s">
        <v>15</v>
      </c>
      <c r="J206" t="s">
        <v>21</v>
      </c>
      <c r="K206" t="s">
        <v>22</v>
      </c>
      <c r="L206">
        <f>BDP($H206,"BICS_LEVEL_1_SECTOR_NAME")</f>
        <v/>
      </c>
      <c r="M206">
        <f>BDP($H206,"BICS_LEVEL_3_INDUSTRY_NAME")</f>
        <v/>
      </c>
    </row>
    <row r="207" spans="1:13">
      <c r="A207" t="s">
        <v>912</v>
      </c>
      <c r="B207" t="s">
        <v>14</v>
      </c>
      <c r="C207" t="s">
        <v>15</v>
      </c>
      <c r="D207" t="s">
        <v>913</v>
      </c>
      <c r="E207" t="s">
        <v>914</v>
      </c>
      <c r="F207" t="s">
        <v>298</v>
      </c>
      <c r="G207" t="s">
        <v>246</v>
      </c>
      <c r="H207" t="s">
        <v>915</v>
      </c>
      <c r="I207" t="s">
        <v>15</v>
      </c>
      <c r="J207" t="s">
        <v>21</v>
      </c>
      <c r="K207" t="s">
        <v>22</v>
      </c>
      <c r="L207">
        <f>BDP($H207,"BICS_LEVEL_1_SECTOR_NAME")</f>
        <v/>
      </c>
      <c r="M207">
        <f>BDP($H207,"BICS_LEVEL_3_INDUSTRY_NAME")</f>
        <v/>
      </c>
    </row>
    <row r="208" spans="1:13">
      <c r="A208" t="s">
        <v>916</v>
      </c>
      <c r="B208" t="s">
        <v>14</v>
      </c>
      <c r="C208" t="s">
        <v>15</v>
      </c>
      <c r="D208" t="s">
        <v>917</v>
      </c>
      <c r="E208" t="s">
        <v>918</v>
      </c>
      <c r="F208" t="s">
        <v>60</v>
      </c>
      <c r="G208" t="s">
        <v>130</v>
      </c>
      <c r="H208" t="s">
        <v>919</v>
      </c>
      <c r="I208" t="s">
        <v>15</v>
      </c>
      <c r="J208" t="s">
        <v>21</v>
      </c>
      <c r="K208" t="s">
        <v>22</v>
      </c>
      <c r="L208">
        <f>BDP($H208,"BICS_LEVEL_1_SECTOR_NAME")</f>
        <v/>
      </c>
      <c r="M208">
        <f>BDP($H208,"BICS_LEVEL_3_INDUSTRY_NAME")</f>
        <v/>
      </c>
    </row>
    <row r="209" spans="1:13">
      <c r="A209" t="s">
        <v>920</v>
      </c>
      <c r="B209" t="s">
        <v>14</v>
      </c>
      <c r="C209" t="s">
        <v>15</v>
      </c>
      <c r="D209" t="s">
        <v>921</v>
      </c>
      <c r="E209" t="s">
        <v>922</v>
      </c>
      <c r="F209" t="s">
        <v>18</v>
      </c>
      <c r="G209" t="s">
        <v>176</v>
      </c>
      <c r="H209" t="s">
        <v>923</v>
      </c>
      <c r="I209" t="s">
        <v>15</v>
      </c>
      <c r="J209" t="s">
        <v>21</v>
      </c>
      <c r="K209" t="s">
        <v>22</v>
      </c>
      <c r="L209">
        <f>BDP($H209,"BICS_LEVEL_1_SECTOR_NAME")</f>
        <v/>
      </c>
      <c r="M209">
        <f>BDP($H209,"BICS_LEVEL_3_INDUSTRY_NAME")</f>
        <v/>
      </c>
    </row>
    <row r="210" spans="1:13">
      <c r="A210" t="s">
        <v>924</v>
      </c>
      <c r="B210" t="s">
        <v>14</v>
      </c>
      <c r="C210" t="s">
        <v>15</v>
      </c>
      <c r="D210" t="s">
        <v>925</v>
      </c>
      <c r="E210" t="s">
        <v>926</v>
      </c>
      <c r="F210" t="s">
        <v>26</v>
      </c>
      <c r="G210" t="s">
        <v>776</v>
      </c>
      <c r="H210" t="s">
        <v>927</v>
      </c>
      <c r="I210" t="s">
        <v>15</v>
      </c>
      <c r="J210" t="s">
        <v>21</v>
      </c>
      <c r="K210" t="s">
        <v>22</v>
      </c>
      <c r="L210">
        <f>BDP($H210,"BICS_LEVEL_1_SECTOR_NAME")</f>
        <v/>
      </c>
      <c r="M210">
        <f>BDP($H210,"BICS_LEVEL_3_INDUSTRY_NAME")</f>
        <v/>
      </c>
    </row>
    <row r="211" spans="1:13">
      <c r="A211" t="s">
        <v>928</v>
      </c>
      <c r="B211" t="s">
        <v>14</v>
      </c>
      <c r="C211" t="s">
        <v>15</v>
      </c>
      <c r="D211" t="s">
        <v>929</v>
      </c>
      <c r="E211" t="s">
        <v>930</v>
      </c>
      <c r="F211" t="s">
        <v>18</v>
      </c>
      <c r="G211" t="s">
        <v>19</v>
      </c>
      <c r="H211" t="s">
        <v>931</v>
      </c>
      <c r="I211" t="s">
        <v>15</v>
      </c>
      <c r="J211" t="s">
        <v>21</v>
      </c>
      <c r="K211" t="s">
        <v>22</v>
      </c>
      <c r="L211">
        <f>BDP($H211,"BICS_LEVEL_1_SECTOR_NAME")</f>
        <v/>
      </c>
      <c r="M211">
        <f>BDP($H211,"BICS_LEVEL_3_INDUSTRY_NAME")</f>
        <v/>
      </c>
    </row>
    <row r="212" spans="1:13">
      <c r="A212" t="s">
        <v>932</v>
      </c>
      <c r="B212" t="s">
        <v>14</v>
      </c>
      <c r="C212" t="s">
        <v>15</v>
      </c>
      <c r="D212" t="s">
        <v>933</v>
      </c>
      <c r="E212" t="s">
        <v>934</v>
      </c>
      <c r="F212" t="s">
        <v>26</v>
      </c>
      <c r="G212" t="s">
        <v>790</v>
      </c>
      <c r="H212" t="s">
        <v>935</v>
      </c>
      <c r="I212" t="s">
        <v>15</v>
      </c>
      <c r="J212" t="s">
        <v>21</v>
      </c>
      <c r="K212" t="s">
        <v>22</v>
      </c>
      <c r="L212">
        <f>BDP($H212,"BICS_LEVEL_1_SECTOR_NAME")</f>
        <v/>
      </c>
      <c r="M212">
        <f>BDP($H212,"BICS_LEVEL_3_INDUSTRY_NAME")</f>
        <v/>
      </c>
    </row>
    <row r="213" spans="1:13">
      <c r="A213" t="s">
        <v>936</v>
      </c>
      <c r="B213" t="s">
        <v>14</v>
      </c>
      <c r="C213" t="s">
        <v>15</v>
      </c>
      <c r="D213" t="s">
        <v>937</v>
      </c>
      <c r="E213" t="s">
        <v>938</v>
      </c>
      <c r="F213" t="s">
        <v>18</v>
      </c>
      <c r="G213" t="s">
        <v>176</v>
      </c>
      <c r="H213" t="s">
        <v>939</v>
      </c>
      <c r="I213" t="s">
        <v>15</v>
      </c>
      <c r="J213" t="s">
        <v>21</v>
      </c>
      <c r="K213" t="s">
        <v>22</v>
      </c>
      <c r="L213">
        <f>BDP($H213,"BICS_LEVEL_1_SECTOR_NAME")</f>
        <v/>
      </c>
      <c r="M213">
        <f>BDP($H213,"BICS_LEVEL_3_INDUSTRY_NAME")</f>
        <v/>
      </c>
    </row>
    <row r="214" spans="1:13">
      <c r="A214" t="s">
        <v>940</v>
      </c>
      <c r="B214" t="s">
        <v>14</v>
      </c>
      <c r="C214" t="s">
        <v>15</v>
      </c>
      <c r="D214" t="s">
        <v>941</v>
      </c>
      <c r="E214" t="s">
        <v>942</v>
      </c>
      <c r="F214" t="s">
        <v>18</v>
      </c>
      <c r="G214" t="s">
        <v>176</v>
      </c>
      <c r="H214" t="s">
        <v>943</v>
      </c>
      <c r="I214" t="s">
        <v>15</v>
      </c>
      <c r="J214" t="s">
        <v>21</v>
      </c>
      <c r="K214" t="s">
        <v>22</v>
      </c>
      <c r="L214">
        <f>BDP($H214,"BICS_LEVEL_1_SECTOR_NAME")</f>
        <v/>
      </c>
      <c r="M214">
        <f>BDP($H214,"BICS_LEVEL_3_INDUSTRY_NAME")</f>
        <v/>
      </c>
    </row>
    <row r="215" spans="1:13">
      <c r="A215" t="s">
        <v>944</v>
      </c>
      <c r="B215" t="s">
        <v>14</v>
      </c>
      <c r="C215" t="s">
        <v>15</v>
      </c>
      <c r="D215" t="s">
        <v>945</v>
      </c>
      <c r="E215" t="s">
        <v>946</v>
      </c>
      <c r="F215" t="s">
        <v>18</v>
      </c>
      <c r="G215" t="s">
        <v>19</v>
      </c>
      <c r="H215" t="s">
        <v>947</v>
      </c>
      <c r="I215" t="s">
        <v>15</v>
      </c>
      <c r="J215" t="s">
        <v>21</v>
      </c>
      <c r="K215" t="s">
        <v>22</v>
      </c>
      <c r="L215">
        <f>BDP($H215,"BICS_LEVEL_1_SECTOR_NAME")</f>
        <v/>
      </c>
      <c r="M215">
        <f>BDP($H215,"BICS_LEVEL_3_INDUSTRY_NAME")</f>
        <v/>
      </c>
    </row>
    <row r="216" spans="1:13">
      <c r="A216" t="s">
        <v>948</v>
      </c>
      <c r="B216" t="s">
        <v>14</v>
      </c>
      <c r="C216" t="s">
        <v>15</v>
      </c>
      <c r="D216" t="s">
        <v>949</v>
      </c>
      <c r="E216" t="s">
        <v>950</v>
      </c>
      <c r="F216" t="s">
        <v>18</v>
      </c>
      <c r="G216" t="s">
        <v>189</v>
      </c>
      <c r="H216" t="s">
        <v>951</v>
      </c>
      <c r="I216" t="s">
        <v>15</v>
      </c>
      <c r="J216" t="s">
        <v>21</v>
      </c>
      <c r="K216" t="s">
        <v>22</v>
      </c>
      <c r="L216">
        <f>BDP($H216,"BICS_LEVEL_1_SECTOR_NAME")</f>
        <v/>
      </c>
      <c r="M216">
        <f>BDP($H216,"BICS_LEVEL_3_INDUSTRY_NAME")</f>
        <v/>
      </c>
    </row>
    <row r="217" spans="1:13">
      <c r="A217" t="s">
        <v>952</v>
      </c>
      <c r="B217" t="s">
        <v>14</v>
      </c>
      <c r="C217" t="s">
        <v>15</v>
      </c>
      <c r="D217" t="s">
        <v>953</v>
      </c>
      <c r="E217" t="s">
        <v>954</v>
      </c>
      <c r="F217" t="s">
        <v>26</v>
      </c>
      <c r="G217" t="s">
        <v>799</v>
      </c>
      <c r="H217" t="s">
        <v>955</v>
      </c>
      <c r="I217" t="s">
        <v>15</v>
      </c>
      <c r="J217" t="s">
        <v>21</v>
      </c>
      <c r="K217" t="s">
        <v>22</v>
      </c>
      <c r="L217">
        <f>BDP($H217,"BICS_LEVEL_1_SECTOR_NAME")</f>
        <v/>
      </c>
      <c r="M217">
        <f>BDP($H217,"BICS_LEVEL_3_INDUSTRY_NAME")</f>
        <v/>
      </c>
    </row>
    <row r="218" spans="1:13">
      <c r="A218" t="s">
        <v>956</v>
      </c>
      <c r="B218" t="s">
        <v>14</v>
      </c>
      <c r="C218" t="s">
        <v>15</v>
      </c>
      <c r="D218" t="s">
        <v>957</v>
      </c>
      <c r="E218" t="s">
        <v>958</v>
      </c>
      <c r="F218" t="s">
        <v>60</v>
      </c>
      <c r="G218" t="s">
        <v>228</v>
      </c>
      <c r="H218" t="s">
        <v>959</v>
      </c>
      <c r="I218" t="s">
        <v>15</v>
      </c>
      <c r="J218" t="s">
        <v>21</v>
      </c>
      <c r="K218" t="s">
        <v>22</v>
      </c>
      <c r="L218">
        <f>BDP($H218,"BICS_LEVEL_1_SECTOR_NAME")</f>
        <v/>
      </c>
      <c r="M218">
        <f>BDP($H218,"BICS_LEVEL_3_INDUSTRY_NAME")</f>
        <v/>
      </c>
    </row>
    <row r="219" spans="1:13">
      <c r="A219" t="s">
        <v>960</v>
      </c>
      <c r="B219" t="s">
        <v>14</v>
      </c>
      <c r="C219" t="s">
        <v>15</v>
      </c>
      <c r="D219" t="s">
        <v>961</v>
      </c>
      <c r="E219" t="s">
        <v>962</v>
      </c>
      <c r="F219" t="s">
        <v>26</v>
      </c>
      <c r="G219" t="s">
        <v>500</v>
      </c>
      <c r="H219" t="s">
        <v>963</v>
      </c>
      <c r="I219" t="s">
        <v>15</v>
      </c>
      <c r="J219" t="s">
        <v>21</v>
      </c>
      <c r="K219" t="s">
        <v>22</v>
      </c>
      <c r="L219">
        <f>BDP($H219,"BICS_LEVEL_1_SECTOR_NAME")</f>
        <v/>
      </c>
      <c r="M219">
        <f>BDP($H219,"BICS_LEVEL_3_INDUSTRY_NAME")</f>
        <v/>
      </c>
    </row>
    <row r="220" spans="1:13">
      <c r="A220" t="s">
        <v>964</v>
      </c>
      <c r="B220" t="s">
        <v>14</v>
      </c>
      <c r="C220" t="s">
        <v>15</v>
      </c>
      <c r="D220" t="s">
        <v>965</v>
      </c>
      <c r="E220" t="s">
        <v>966</v>
      </c>
      <c r="F220" t="s">
        <v>50</v>
      </c>
      <c r="G220" t="s">
        <v>96</v>
      </c>
      <c r="H220" t="s">
        <v>967</v>
      </c>
      <c r="I220" t="s">
        <v>15</v>
      </c>
      <c r="J220" t="s">
        <v>21</v>
      </c>
      <c r="K220" t="s">
        <v>22</v>
      </c>
      <c r="L220">
        <f>BDP($H220,"BICS_LEVEL_1_SECTOR_NAME")</f>
        <v/>
      </c>
      <c r="M220">
        <f>BDP($H220,"BICS_LEVEL_3_INDUSTRY_NAME")</f>
        <v/>
      </c>
    </row>
    <row r="221" spans="1:13">
      <c r="A221" t="s">
        <v>968</v>
      </c>
      <c r="B221" t="s">
        <v>14</v>
      </c>
      <c r="C221" t="s">
        <v>15</v>
      </c>
      <c r="D221" t="s">
        <v>969</v>
      </c>
      <c r="E221" t="s">
        <v>970</v>
      </c>
      <c r="F221" t="s">
        <v>18</v>
      </c>
      <c r="G221" t="s">
        <v>19</v>
      </c>
      <c r="H221" t="s">
        <v>971</v>
      </c>
      <c r="I221" t="s">
        <v>15</v>
      </c>
      <c r="J221" t="s">
        <v>21</v>
      </c>
      <c r="K221" t="s">
        <v>22</v>
      </c>
      <c r="L221">
        <f>BDP($H221,"BICS_LEVEL_1_SECTOR_NAME")</f>
        <v/>
      </c>
      <c r="M221">
        <f>BDP($H221,"BICS_LEVEL_3_INDUSTRY_NAME")</f>
        <v/>
      </c>
    </row>
    <row r="222" spans="1:13">
      <c r="A222" t="s">
        <v>972</v>
      </c>
      <c r="B222" t="s">
        <v>14</v>
      </c>
      <c r="C222" t="s">
        <v>15</v>
      </c>
      <c r="D222" t="s">
        <v>973</v>
      </c>
      <c r="E222" t="s">
        <v>974</v>
      </c>
      <c r="F222" t="s">
        <v>26</v>
      </c>
      <c r="G222" t="s">
        <v>975</v>
      </c>
      <c r="H222" t="s">
        <v>976</v>
      </c>
      <c r="I222" t="s">
        <v>15</v>
      </c>
      <c r="J222" t="s">
        <v>21</v>
      </c>
      <c r="K222" t="s">
        <v>22</v>
      </c>
      <c r="L222">
        <f>BDP($H222,"BICS_LEVEL_1_SECTOR_NAME")</f>
        <v/>
      </c>
      <c r="M222">
        <f>BDP($H222,"BICS_LEVEL_3_INDUSTRY_NAME")</f>
        <v/>
      </c>
    </row>
    <row r="223" spans="1:13">
      <c r="A223" t="s">
        <v>977</v>
      </c>
      <c r="B223" t="s">
        <v>14</v>
      </c>
      <c r="C223" t="s">
        <v>15</v>
      </c>
      <c r="D223" t="s">
        <v>978</v>
      </c>
      <c r="E223" t="s">
        <v>979</v>
      </c>
      <c r="F223" t="s">
        <v>26</v>
      </c>
      <c r="G223" t="s">
        <v>980</v>
      </c>
      <c r="H223" t="s">
        <v>981</v>
      </c>
      <c r="I223" t="s">
        <v>15</v>
      </c>
      <c r="J223" t="s">
        <v>21</v>
      </c>
      <c r="K223" t="s">
        <v>22</v>
      </c>
      <c r="L223">
        <f>BDP($H223,"BICS_LEVEL_1_SECTOR_NAME")</f>
        <v/>
      </c>
      <c r="M223">
        <f>BDP($H223,"BICS_LEVEL_3_INDUSTRY_NAME")</f>
        <v/>
      </c>
    </row>
    <row r="224" spans="1:13">
      <c r="A224" t="s">
        <v>982</v>
      </c>
      <c r="B224" t="s">
        <v>14</v>
      </c>
      <c r="C224" t="s">
        <v>15</v>
      </c>
      <c r="D224" t="s">
        <v>983</v>
      </c>
      <c r="E224" t="s">
        <v>984</v>
      </c>
      <c r="F224" t="s">
        <v>60</v>
      </c>
      <c r="G224" t="s">
        <v>91</v>
      </c>
      <c r="H224" t="s">
        <v>985</v>
      </c>
      <c r="I224" t="s">
        <v>15</v>
      </c>
      <c r="J224" t="s">
        <v>21</v>
      </c>
      <c r="K224" t="s">
        <v>22</v>
      </c>
      <c r="L224">
        <f>BDP($H224,"BICS_LEVEL_1_SECTOR_NAME")</f>
        <v/>
      </c>
      <c r="M224">
        <f>BDP($H224,"BICS_LEVEL_3_INDUSTRY_NAME")</f>
        <v/>
      </c>
    </row>
    <row r="225" spans="1:13">
      <c r="A225" t="s">
        <v>986</v>
      </c>
      <c r="B225" t="s">
        <v>14</v>
      </c>
      <c r="C225" t="s">
        <v>15</v>
      </c>
      <c r="D225" t="s">
        <v>987</v>
      </c>
      <c r="E225" t="s">
        <v>988</v>
      </c>
      <c r="F225" t="s">
        <v>38</v>
      </c>
      <c r="G225" t="s">
        <v>39</v>
      </c>
      <c r="H225" t="s">
        <v>989</v>
      </c>
      <c r="I225" t="s">
        <v>15</v>
      </c>
      <c r="J225" t="s">
        <v>21</v>
      </c>
      <c r="K225" t="s">
        <v>22</v>
      </c>
      <c r="L225">
        <f>BDP($H225,"BICS_LEVEL_1_SECTOR_NAME")</f>
        <v/>
      </c>
      <c r="M225">
        <f>BDP($H225,"BICS_LEVEL_3_INDUSTRY_NAME")</f>
        <v/>
      </c>
    </row>
    <row r="226" spans="1:13">
      <c r="A226" t="s">
        <v>990</v>
      </c>
      <c r="B226" t="s">
        <v>14</v>
      </c>
      <c r="C226" t="s">
        <v>15</v>
      </c>
      <c r="D226" t="s">
        <v>991</v>
      </c>
      <c r="E226" t="s">
        <v>992</v>
      </c>
      <c r="F226" t="s">
        <v>26</v>
      </c>
      <c r="G226" t="s">
        <v>852</v>
      </c>
      <c r="H226" t="s">
        <v>993</v>
      </c>
      <c r="I226" t="s">
        <v>15</v>
      </c>
      <c r="J226" t="s">
        <v>21</v>
      </c>
      <c r="K226" t="s">
        <v>22</v>
      </c>
      <c r="L226">
        <f>BDP($H226,"BICS_LEVEL_1_SECTOR_NAME")</f>
        <v/>
      </c>
      <c r="M226">
        <f>BDP($H226,"BICS_LEVEL_3_INDUSTRY_NAME")</f>
        <v/>
      </c>
    </row>
    <row r="227" spans="1:13">
      <c r="A227" t="s">
        <v>994</v>
      </c>
      <c r="B227" t="s">
        <v>14</v>
      </c>
      <c r="C227" t="s">
        <v>15</v>
      </c>
      <c r="D227" t="s">
        <v>995</v>
      </c>
      <c r="E227" t="s">
        <v>996</v>
      </c>
      <c r="F227" t="s">
        <v>18</v>
      </c>
      <c r="G227" t="s">
        <v>19</v>
      </c>
      <c r="H227" t="s">
        <v>997</v>
      </c>
      <c r="I227" t="s">
        <v>15</v>
      </c>
      <c r="J227" t="s">
        <v>21</v>
      </c>
      <c r="K227" t="s">
        <v>22</v>
      </c>
      <c r="L227">
        <f>BDP($H227,"BICS_LEVEL_1_SECTOR_NAME")</f>
        <v/>
      </c>
      <c r="M227">
        <f>BDP($H227,"BICS_LEVEL_3_INDUSTRY_NAME")</f>
        <v/>
      </c>
    </row>
    <row r="228" spans="1:13">
      <c r="A228" t="s">
        <v>998</v>
      </c>
      <c r="B228" t="s">
        <v>14</v>
      </c>
      <c r="C228" t="s">
        <v>15</v>
      </c>
      <c r="D228" t="s">
        <v>999</v>
      </c>
      <c r="E228" t="s">
        <v>1000</v>
      </c>
      <c r="F228" t="s">
        <v>26</v>
      </c>
      <c r="G228" t="s">
        <v>825</v>
      </c>
      <c r="H228" t="s">
        <v>1001</v>
      </c>
      <c r="I228" t="s">
        <v>15</v>
      </c>
      <c r="J228" t="s">
        <v>21</v>
      </c>
      <c r="K228" t="s">
        <v>22</v>
      </c>
      <c r="L228">
        <f>BDP($H228,"BICS_LEVEL_1_SECTOR_NAME")</f>
        <v/>
      </c>
      <c r="M228">
        <f>BDP($H228,"BICS_LEVEL_3_INDUSTRY_NAME")</f>
        <v/>
      </c>
    </row>
    <row r="229" spans="1:13">
      <c r="A229" t="s">
        <v>1002</v>
      </c>
      <c r="B229" t="s">
        <v>14</v>
      </c>
      <c r="C229" t="s">
        <v>15</v>
      </c>
      <c r="D229" t="s">
        <v>1003</v>
      </c>
      <c r="E229" t="s">
        <v>1004</v>
      </c>
      <c r="F229" t="s">
        <v>85</v>
      </c>
      <c r="G229" t="s">
        <v>1005</v>
      </c>
      <c r="H229" t="s">
        <v>1006</v>
      </c>
      <c r="I229" t="s">
        <v>15</v>
      </c>
      <c r="J229" t="s">
        <v>21</v>
      </c>
      <c r="K229" t="s">
        <v>22</v>
      </c>
      <c r="L229">
        <f>BDP($H229,"BICS_LEVEL_1_SECTOR_NAME")</f>
        <v/>
      </c>
      <c r="M229">
        <f>BDP($H229,"BICS_LEVEL_3_INDUSTRY_NAME")</f>
        <v/>
      </c>
    </row>
    <row r="230" spans="1:13">
      <c r="A230" t="s">
        <v>1007</v>
      </c>
      <c r="B230" t="s">
        <v>14</v>
      </c>
      <c r="C230" t="s">
        <v>15</v>
      </c>
      <c r="D230" t="s">
        <v>1008</v>
      </c>
      <c r="E230" t="s">
        <v>1009</v>
      </c>
      <c r="F230" t="s">
        <v>50</v>
      </c>
      <c r="G230" t="s">
        <v>96</v>
      </c>
      <c r="H230" t="s">
        <v>1010</v>
      </c>
      <c r="I230" t="s">
        <v>15</v>
      </c>
      <c r="J230" t="s">
        <v>21</v>
      </c>
      <c r="K230" t="s">
        <v>22</v>
      </c>
      <c r="L230">
        <f>BDP($H230,"BICS_LEVEL_1_SECTOR_NAME")</f>
        <v/>
      </c>
      <c r="M230">
        <f>BDP($H230,"BICS_LEVEL_3_INDUSTRY_NAME")</f>
        <v/>
      </c>
    </row>
    <row r="231" spans="1:13">
      <c r="A231" t="s">
        <v>1011</v>
      </c>
      <c r="B231" t="s">
        <v>14</v>
      </c>
      <c r="C231" t="s">
        <v>15</v>
      </c>
      <c r="D231" t="s">
        <v>1012</v>
      </c>
      <c r="E231" t="s">
        <v>1013</v>
      </c>
      <c r="F231" t="s">
        <v>18</v>
      </c>
      <c r="G231" t="s">
        <v>19</v>
      </c>
      <c r="H231" t="s">
        <v>1014</v>
      </c>
      <c r="I231" t="s">
        <v>15</v>
      </c>
      <c r="J231" t="s">
        <v>21</v>
      </c>
      <c r="K231" t="s">
        <v>22</v>
      </c>
      <c r="L231">
        <f>BDP($H231,"BICS_LEVEL_1_SECTOR_NAME")</f>
        <v/>
      </c>
      <c r="M231">
        <f>BDP($H231,"BICS_LEVEL_3_INDUSTRY_NAME")</f>
        <v/>
      </c>
    </row>
    <row r="232" spans="1:13">
      <c r="A232" t="s">
        <v>1015</v>
      </c>
      <c r="B232" t="s">
        <v>14</v>
      </c>
      <c r="C232" t="s">
        <v>15</v>
      </c>
      <c r="D232" t="s">
        <v>1016</v>
      </c>
      <c r="E232" t="s">
        <v>1017</v>
      </c>
      <c r="F232" t="s">
        <v>18</v>
      </c>
      <c r="G232" t="s">
        <v>19</v>
      </c>
      <c r="H232" t="s">
        <v>1018</v>
      </c>
      <c r="I232" t="s">
        <v>15</v>
      </c>
      <c r="J232" t="s">
        <v>21</v>
      </c>
      <c r="K232" t="s">
        <v>22</v>
      </c>
      <c r="L232">
        <f>BDP($H232,"BICS_LEVEL_1_SECTOR_NAME")</f>
        <v/>
      </c>
      <c r="M232">
        <f>BDP($H232,"BICS_LEVEL_3_INDUSTRY_NAME")</f>
        <v/>
      </c>
    </row>
    <row r="233" spans="1:13">
      <c r="A233" t="s">
        <v>1019</v>
      </c>
      <c r="B233" t="s">
        <v>14</v>
      </c>
      <c r="C233" t="s">
        <v>15</v>
      </c>
      <c r="D233" t="s">
        <v>1020</v>
      </c>
      <c r="E233" t="s">
        <v>1021</v>
      </c>
      <c r="F233" t="s">
        <v>18</v>
      </c>
      <c r="G233" t="s">
        <v>19</v>
      </c>
      <c r="H233" t="s">
        <v>1022</v>
      </c>
      <c r="I233" t="s">
        <v>15</v>
      </c>
      <c r="J233" t="s">
        <v>21</v>
      </c>
      <c r="K233" t="s">
        <v>22</v>
      </c>
      <c r="L233">
        <f>BDP($H233,"BICS_LEVEL_1_SECTOR_NAME")</f>
        <v/>
      </c>
      <c r="M233">
        <f>BDP($H233,"BICS_LEVEL_3_INDUSTRY_NAME")</f>
        <v/>
      </c>
    </row>
    <row r="234" spans="1:13">
      <c r="A234" t="s">
        <v>1023</v>
      </c>
      <c r="B234" t="s">
        <v>14</v>
      </c>
      <c r="C234" t="s">
        <v>15</v>
      </c>
      <c r="D234" t="s">
        <v>1024</v>
      </c>
      <c r="E234" t="s">
        <v>1025</v>
      </c>
      <c r="F234" t="s">
        <v>32</v>
      </c>
      <c r="G234" t="s">
        <v>1026</v>
      </c>
      <c r="H234" t="s">
        <v>1027</v>
      </c>
      <c r="I234" t="s">
        <v>15</v>
      </c>
      <c r="J234" t="s">
        <v>21</v>
      </c>
      <c r="K234" t="s">
        <v>22</v>
      </c>
      <c r="L234">
        <f>BDP($H234,"BICS_LEVEL_1_SECTOR_NAME")</f>
        <v/>
      </c>
      <c r="M234">
        <f>BDP($H234,"BICS_LEVEL_3_INDUSTRY_NAME")</f>
        <v/>
      </c>
    </row>
    <row r="235" spans="1:13">
      <c r="A235" t="s">
        <v>1028</v>
      </c>
      <c r="B235" t="s">
        <v>14</v>
      </c>
      <c r="C235" t="s">
        <v>15</v>
      </c>
      <c r="D235" t="s">
        <v>1029</v>
      </c>
      <c r="E235" t="s">
        <v>1030</v>
      </c>
      <c r="F235" t="s">
        <v>44</v>
      </c>
      <c r="G235" t="s">
        <v>45</v>
      </c>
      <c r="H235" t="s">
        <v>1031</v>
      </c>
      <c r="I235" t="s">
        <v>15</v>
      </c>
      <c r="J235" t="s">
        <v>21</v>
      </c>
      <c r="K235" t="s">
        <v>22</v>
      </c>
      <c r="L235">
        <f>BDP($H235,"BICS_LEVEL_1_SECTOR_NAME")</f>
        <v/>
      </c>
      <c r="M235">
        <f>BDP($H235,"BICS_LEVEL_3_INDUSTRY_NAME")</f>
        <v/>
      </c>
    </row>
    <row r="236" spans="1:13">
      <c r="A236" t="s">
        <v>1032</v>
      </c>
      <c r="B236" t="s">
        <v>14</v>
      </c>
      <c r="C236" t="s">
        <v>15</v>
      </c>
      <c r="D236" t="s">
        <v>1033</v>
      </c>
      <c r="E236" t="s">
        <v>1034</v>
      </c>
      <c r="F236" t="s">
        <v>26</v>
      </c>
      <c r="G236" t="s">
        <v>1035</v>
      </c>
      <c r="H236" t="s">
        <v>1036</v>
      </c>
      <c r="I236" t="s">
        <v>15</v>
      </c>
      <c r="J236" t="s">
        <v>21</v>
      </c>
      <c r="K236" t="s">
        <v>22</v>
      </c>
      <c r="L236">
        <f>BDP($H236,"BICS_LEVEL_1_SECTOR_NAME")</f>
        <v/>
      </c>
      <c r="M236">
        <f>BDP($H236,"BICS_LEVEL_3_INDUSTRY_NAME")</f>
        <v/>
      </c>
    </row>
    <row r="237" spans="1:13">
      <c r="A237" t="s">
        <v>1037</v>
      </c>
      <c r="B237" t="s">
        <v>14</v>
      </c>
      <c r="C237" t="s">
        <v>15</v>
      </c>
      <c r="D237" t="s">
        <v>1038</v>
      </c>
      <c r="E237" t="s">
        <v>1039</v>
      </c>
      <c r="F237" t="s">
        <v>50</v>
      </c>
      <c r="G237" t="s">
        <v>139</v>
      </c>
      <c r="H237" t="s">
        <v>1040</v>
      </c>
      <c r="I237" t="s">
        <v>15</v>
      </c>
      <c r="J237" t="s">
        <v>21</v>
      </c>
      <c r="K237" t="s">
        <v>22</v>
      </c>
      <c r="L237">
        <f>BDP($H237,"BICS_LEVEL_1_SECTOR_NAME")</f>
        <v/>
      </c>
      <c r="M237">
        <f>BDP($H237,"BICS_LEVEL_3_INDUSTRY_NAME")</f>
        <v/>
      </c>
    </row>
    <row r="238" spans="1:13">
      <c r="A238" t="s">
        <v>1041</v>
      </c>
      <c r="B238" t="s">
        <v>14</v>
      </c>
      <c r="C238" t="s">
        <v>15</v>
      </c>
      <c r="D238" t="s">
        <v>1042</v>
      </c>
      <c r="E238" t="s">
        <v>1043</v>
      </c>
      <c r="F238" t="s">
        <v>60</v>
      </c>
      <c r="G238" t="s">
        <v>130</v>
      </c>
      <c r="H238" t="s">
        <v>1044</v>
      </c>
      <c r="I238" t="s">
        <v>15</v>
      </c>
      <c r="J238" t="s">
        <v>21</v>
      </c>
      <c r="K238" t="s">
        <v>22</v>
      </c>
      <c r="L238">
        <f>BDP($H238,"BICS_LEVEL_1_SECTOR_NAME")</f>
        <v/>
      </c>
      <c r="M238">
        <f>BDP($H238,"BICS_LEVEL_3_INDUSTRY_NAME")</f>
        <v/>
      </c>
    </row>
    <row r="239" spans="1:13">
      <c r="A239" t="s">
        <v>1045</v>
      </c>
      <c r="B239" t="s">
        <v>14</v>
      </c>
      <c r="C239" t="s">
        <v>15</v>
      </c>
      <c r="D239" t="s">
        <v>1046</v>
      </c>
      <c r="E239" t="s">
        <v>1047</v>
      </c>
      <c r="F239" t="s">
        <v>60</v>
      </c>
      <c r="G239" t="s">
        <v>1048</v>
      </c>
      <c r="H239" t="s">
        <v>1049</v>
      </c>
      <c r="I239" t="s">
        <v>15</v>
      </c>
      <c r="J239" t="s">
        <v>21</v>
      </c>
      <c r="K239" t="s">
        <v>22</v>
      </c>
      <c r="L239">
        <f>BDP($H239,"BICS_LEVEL_1_SECTOR_NAME")</f>
        <v/>
      </c>
      <c r="M239">
        <f>BDP($H239,"BICS_LEVEL_3_INDUSTRY_NAME")</f>
        <v/>
      </c>
    </row>
    <row r="240" spans="1:13">
      <c r="A240" t="s">
        <v>1050</v>
      </c>
      <c r="B240" t="s">
        <v>14</v>
      </c>
      <c r="C240" t="s">
        <v>15</v>
      </c>
      <c r="D240" t="s">
        <v>1051</v>
      </c>
      <c r="E240" t="s">
        <v>1052</v>
      </c>
      <c r="F240" t="s">
        <v>50</v>
      </c>
      <c r="G240" t="s">
        <v>125</v>
      </c>
      <c r="H240" t="s">
        <v>1053</v>
      </c>
      <c r="I240" t="s">
        <v>15</v>
      </c>
      <c r="J240" t="s">
        <v>21</v>
      </c>
      <c r="K240" t="s">
        <v>22</v>
      </c>
      <c r="L240">
        <f>BDP($H240,"BICS_LEVEL_1_SECTOR_NAME")</f>
        <v/>
      </c>
      <c r="M240">
        <f>BDP($H240,"BICS_LEVEL_3_INDUSTRY_NAME")</f>
        <v/>
      </c>
    </row>
    <row r="241" spans="1:13">
      <c r="A241" t="s">
        <v>1054</v>
      </c>
      <c r="B241" t="s">
        <v>14</v>
      </c>
      <c r="C241" t="s">
        <v>15</v>
      </c>
      <c r="D241" t="s">
        <v>1055</v>
      </c>
      <c r="E241" t="s">
        <v>1056</v>
      </c>
      <c r="F241" t="s">
        <v>60</v>
      </c>
      <c r="G241" t="s">
        <v>754</v>
      </c>
      <c r="H241" t="s">
        <v>1057</v>
      </c>
      <c r="I241" t="s">
        <v>15</v>
      </c>
      <c r="J241" t="s">
        <v>21</v>
      </c>
      <c r="K241" t="s">
        <v>22</v>
      </c>
      <c r="L241">
        <f>BDP($H241,"BICS_LEVEL_1_SECTOR_NAME")</f>
        <v/>
      </c>
      <c r="M241">
        <f>BDP($H241,"BICS_LEVEL_3_INDUSTRY_NAME")</f>
        <v/>
      </c>
    </row>
    <row r="242" spans="1:13">
      <c r="A242" t="s">
        <v>1058</v>
      </c>
      <c r="B242" t="s">
        <v>14</v>
      </c>
      <c r="C242" t="s">
        <v>15</v>
      </c>
      <c r="D242" t="s">
        <v>1059</v>
      </c>
      <c r="E242" t="s">
        <v>1060</v>
      </c>
      <c r="F242" t="s">
        <v>32</v>
      </c>
      <c r="G242" t="s">
        <v>228</v>
      </c>
      <c r="H242" t="s">
        <v>1061</v>
      </c>
      <c r="I242" t="s">
        <v>15</v>
      </c>
      <c r="J242" t="s">
        <v>21</v>
      </c>
      <c r="K242" t="s">
        <v>22</v>
      </c>
      <c r="L242">
        <f>BDP($H242,"BICS_LEVEL_1_SECTOR_NAME")</f>
        <v/>
      </c>
      <c r="M242">
        <f>BDP($H242,"BICS_LEVEL_3_INDUSTRY_NAME")</f>
        <v/>
      </c>
    </row>
    <row r="243" spans="1:13">
      <c r="A243" t="s">
        <v>1062</v>
      </c>
      <c r="B243" t="s">
        <v>14</v>
      </c>
      <c r="C243" t="s">
        <v>15</v>
      </c>
      <c r="D243" t="s">
        <v>1063</v>
      </c>
      <c r="E243" t="s">
        <v>1064</v>
      </c>
      <c r="F243" t="s">
        <v>60</v>
      </c>
      <c r="G243" t="s">
        <v>111</v>
      </c>
      <c r="H243" t="s">
        <v>1065</v>
      </c>
      <c r="I243" t="s">
        <v>15</v>
      </c>
      <c r="J243" t="s">
        <v>21</v>
      </c>
      <c r="K243" t="s">
        <v>22</v>
      </c>
      <c r="L243">
        <f>BDP($H243,"BICS_LEVEL_1_SECTOR_NAME")</f>
        <v/>
      </c>
      <c r="M243">
        <f>BDP($H243,"BICS_LEVEL_3_INDUSTRY_NAME")</f>
        <v/>
      </c>
    </row>
    <row r="244" spans="1:13">
      <c r="A244" t="s">
        <v>1066</v>
      </c>
      <c r="B244" t="s">
        <v>14</v>
      </c>
      <c r="C244" t="s">
        <v>15</v>
      </c>
      <c r="D244" t="s">
        <v>1067</v>
      </c>
      <c r="E244" t="s">
        <v>1068</v>
      </c>
      <c r="F244" t="s">
        <v>26</v>
      </c>
      <c r="G244" t="s">
        <v>1069</v>
      </c>
      <c r="H244" t="s">
        <v>1070</v>
      </c>
      <c r="I244" t="s">
        <v>15</v>
      </c>
      <c r="J244" t="s">
        <v>21</v>
      </c>
      <c r="K244" t="s">
        <v>22</v>
      </c>
      <c r="L244">
        <f>BDP($H244,"BICS_LEVEL_1_SECTOR_NAME")</f>
        <v/>
      </c>
      <c r="M244">
        <f>BDP($H244,"BICS_LEVEL_3_INDUSTRY_NAME")</f>
        <v/>
      </c>
    </row>
    <row r="245" spans="1:13">
      <c r="A245" t="s">
        <v>1071</v>
      </c>
      <c r="B245" t="s">
        <v>14</v>
      </c>
      <c r="C245" t="s">
        <v>15</v>
      </c>
      <c r="D245" t="s">
        <v>1072</v>
      </c>
      <c r="E245" t="s">
        <v>1073</v>
      </c>
      <c r="F245" t="s">
        <v>18</v>
      </c>
      <c r="G245" t="s">
        <v>874</v>
      </c>
      <c r="H245" t="s">
        <v>1074</v>
      </c>
      <c r="I245" t="s">
        <v>15</v>
      </c>
      <c r="J245" t="s">
        <v>21</v>
      </c>
      <c r="K245" t="s">
        <v>22</v>
      </c>
      <c r="L245">
        <f>BDP($H245,"BICS_LEVEL_1_SECTOR_NAME")</f>
        <v/>
      </c>
      <c r="M245">
        <f>BDP($H245,"BICS_LEVEL_3_INDUSTRY_NAME")</f>
        <v/>
      </c>
    </row>
    <row r="246" spans="1:13">
      <c r="A246" t="s">
        <v>1075</v>
      </c>
      <c r="B246" t="s">
        <v>14</v>
      </c>
      <c r="C246" t="s">
        <v>15</v>
      </c>
      <c r="D246" t="s">
        <v>1076</v>
      </c>
      <c r="E246" t="s">
        <v>1077</v>
      </c>
      <c r="F246" t="s">
        <v>18</v>
      </c>
      <c r="G246" t="s">
        <v>19</v>
      </c>
      <c r="H246" t="s">
        <v>1078</v>
      </c>
      <c r="I246" t="s">
        <v>15</v>
      </c>
      <c r="J246" t="s">
        <v>21</v>
      </c>
      <c r="K246" t="s">
        <v>22</v>
      </c>
      <c r="L246">
        <f>BDP($H246,"BICS_LEVEL_1_SECTOR_NAME")</f>
        <v/>
      </c>
      <c r="M246">
        <f>BDP($H246,"BICS_LEVEL_3_INDUSTRY_NAME")</f>
        <v/>
      </c>
    </row>
    <row r="247" spans="1:13">
      <c r="A247" t="s">
        <v>1079</v>
      </c>
      <c r="B247" t="s">
        <v>14</v>
      </c>
      <c r="C247" t="s">
        <v>15</v>
      </c>
      <c r="D247" t="s">
        <v>1080</v>
      </c>
      <c r="E247" t="s">
        <v>1081</v>
      </c>
      <c r="F247" t="s">
        <v>26</v>
      </c>
      <c r="G247" t="s">
        <v>1082</v>
      </c>
      <c r="H247" t="s">
        <v>1083</v>
      </c>
      <c r="I247" t="s">
        <v>15</v>
      </c>
      <c r="J247" t="s">
        <v>21</v>
      </c>
      <c r="K247" t="s">
        <v>22</v>
      </c>
      <c r="L247">
        <f>BDP($H247,"BICS_LEVEL_1_SECTOR_NAME")</f>
        <v/>
      </c>
      <c r="M247">
        <f>BDP($H247,"BICS_LEVEL_3_INDUSTRY_NAME")</f>
        <v/>
      </c>
    </row>
    <row r="248" spans="1:13">
      <c r="A248" t="s">
        <v>1084</v>
      </c>
      <c r="B248" t="s">
        <v>14</v>
      </c>
      <c r="C248" t="s">
        <v>15</v>
      </c>
      <c r="D248" t="s">
        <v>1085</v>
      </c>
      <c r="E248" t="s">
        <v>1086</v>
      </c>
      <c r="F248" t="s">
        <v>18</v>
      </c>
      <c r="G248" t="s">
        <v>189</v>
      </c>
      <c r="H248" t="s">
        <v>1087</v>
      </c>
      <c r="I248" t="s">
        <v>15</v>
      </c>
      <c r="J248" t="s">
        <v>21</v>
      </c>
      <c r="K248" t="s">
        <v>22</v>
      </c>
      <c r="L248">
        <f>BDP($H248,"BICS_LEVEL_1_SECTOR_NAME")</f>
        <v/>
      </c>
      <c r="M248">
        <f>BDP($H248,"BICS_LEVEL_3_INDUSTRY_NAME")</f>
        <v/>
      </c>
    </row>
    <row r="249" spans="1:13">
      <c r="A249" t="s">
        <v>1088</v>
      </c>
      <c r="B249" t="s">
        <v>14</v>
      </c>
      <c r="C249" t="s">
        <v>15</v>
      </c>
      <c r="D249" t="s">
        <v>1089</v>
      </c>
      <c r="E249" t="s">
        <v>1090</v>
      </c>
      <c r="F249" t="s">
        <v>60</v>
      </c>
      <c r="G249" t="s">
        <v>1091</v>
      </c>
      <c r="H249" t="s">
        <v>1092</v>
      </c>
      <c r="I249" t="s">
        <v>15</v>
      </c>
      <c r="J249" t="s">
        <v>21</v>
      </c>
      <c r="K249" t="s">
        <v>22</v>
      </c>
      <c r="L249">
        <f>BDP($H249,"BICS_LEVEL_1_SECTOR_NAME")</f>
        <v/>
      </c>
      <c r="M249">
        <f>BDP($H249,"BICS_LEVEL_3_INDUSTRY_NAME")</f>
        <v/>
      </c>
    </row>
    <row r="250" spans="1:13">
      <c r="A250" t="s">
        <v>1093</v>
      </c>
      <c r="B250" t="s">
        <v>14</v>
      </c>
      <c r="C250" t="s">
        <v>15</v>
      </c>
      <c r="D250" t="s">
        <v>1094</v>
      </c>
      <c r="E250" t="s">
        <v>1095</v>
      </c>
      <c r="F250" t="s">
        <v>85</v>
      </c>
      <c r="G250" t="s">
        <v>1096</v>
      </c>
      <c r="H250" t="s">
        <v>1097</v>
      </c>
      <c r="I250" t="s">
        <v>15</v>
      </c>
      <c r="J250" t="s">
        <v>21</v>
      </c>
      <c r="K250" t="s">
        <v>22</v>
      </c>
      <c r="L250">
        <f>BDP($H250,"BICS_LEVEL_1_SECTOR_NAME")</f>
        <v/>
      </c>
      <c r="M250">
        <f>BDP($H250,"BICS_LEVEL_3_INDUSTRY_NAME")</f>
        <v/>
      </c>
    </row>
    <row r="251" spans="1:13">
      <c r="A251" t="s">
        <v>1098</v>
      </c>
      <c r="B251" t="s">
        <v>14</v>
      </c>
      <c r="C251" t="s">
        <v>15</v>
      </c>
      <c r="D251" t="s">
        <v>1099</v>
      </c>
      <c r="E251" t="s">
        <v>1100</v>
      </c>
      <c r="F251" t="s">
        <v>26</v>
      </c>
      <c r="G251" t="s">
        <v>401</v>
      </c>
      <c r="H251" t="s">
        <v>1101</v>
      </c>
      <c r="I251" t="s">
        <v>15</v>
      </c>
      <c r="J251" t="s">
        <v>21</v>
      </c>
      <c r="K251" t="s">
        <v>22</v>
      </c>
      <c r="L251">
        <f>BDP($H251,"BICS_LEVEL_1_SECTOR_NAME")</f>
        <v/>
      </c>
      <c r="M251">
        <f>BDP($H251,"BICS_LEVEL_3_INDUSTRY_NAME")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BDH("SLS US Equity","BS_TOT_ASSET","1993-06-18","2026-05-02","Per=Y","Days=T","Dir=V")</f>
        <v>0</v>
      </c>
      <c r="C2">
        <f>BDH("SLS US Equity","BS_TOT_LIAB2","1993-06-18","2026-05-02","Per=Y","Days=T","Dir=V")</f>
        <v>0</v>
      </c>
      <c r="E2">
        <f>BDH("SLS US Equity","SHORT_AND_LONG_TERM_DEBT","1993-06-18","2026-05-02","Per=Y","Days=T","Dir=V")</f>
        <v>0</v>
      </c>
      <c r="G2">
        <f>BDH("SLS US Equity","BS_ST_BORROW","1993-06-18","2026-05-02","Per=Y","Days=T","Dir=V")</f>
        <v>0</v>
      </c>
      <c r="I2">
        <f>BDH("SLS US Equity","BS_LT_BORROW","1993-06-18","2026-05-02","Per=Y","Days=T","Dir=V")</f>
        <v>0</v>
      </c>
      <c r="K2">
        <f>BDH("SLS US Equity","BS_CASH_NEAR_CASH_ITEM","1993-06-18","2026-05-02","Per=Y","Days=T","Dir=V")</f>
        <v>0</v>
      </c>
      <c r="M2">
        <f>BDH("SLS US Equity","BS_CUR_ASSET_REPORT","1993-06-18","2026-05-02","Per=Y","Days=T","Dir=V")</f>
        <v>0</v>
      </c>
      <c r="O2">
        <f>BDH("SLS US Equity","BS_CUR_LIAB","1993-06-18","2026-05-02","Per=Y","Days=T","Dir=V")</f>
        <v>0</v>
      </c>
      <c r="Q2">
        <f>BDH("SLS US Equity","BS_SHAREHOLDER_EQY_ENDING_PERIOD","1993-06-18","2026-05-02","Per=Y","Days=T","Dir=V")</f>
        <v>0</v>
      </c>
      <c r="S2">
        <f>BDH("SLS US Equity","BS_ACCT_NOTE_RCV","1993-06-18","2026-05-02","Per=Y","Days=T","Dir=V")</f>
        <v>0</v>
      </c>
      <c r="U2">
        <f>BDH("SLS US Equity","BS_INVENTORIES","1993-06-18","2026-05-02","Per=Y","Days=T","Dir=V")</f>
        <v>0</v>
      </c>
      <c r="W2">
        <f>BDH("SLS US Equity","WORKING_CAPITAL","1993-06-18","2026-05-02","Per=Y","Days=T","Dir=V")</f>
        <v>0</v>
      </c>
      <c r="Y2">
        <f>BDH("SLS US Equity","SALES_REV_TURN","1993-06-18","2026-05-02","Per=Y","Days=T","Dir=V")</f>
        <v>0</v>
      </c>
      <c r="AA2">
        <f>BDH("SLS US Equity","EBIT","1993-06-18","2026-05-02","Per=Y","Days=T","Dir=V")</f>
        <v>0</v>
      </c>
      <c r="AC2">
        <f>BDH("SLS US Equity","EBITDA","1993-06-18","2026-05-02","Per=Y","Days=T","Dir=V")</f>
        <v>0</v>
      </c>
      <c r="AE2">
        <f>BDH("SLS US Equity","NET_INCOME","1993-06-18","2026-05-02","Per=Y","Days=T","Dir=V")</f>
        <v>0</v>
      </c>
      <c r="AG2">
        <f>BDH("SLS US Equity","IS_INT_EXPENSE","1993-06-18","2026-05-02","Per=Y","Days=T","Dir=V")</f>
        <v>0</v>
      </c>
      <c r="AI2">
        <f>BDH("SLS US Equity","IS_DEPR_EXP","1993-06-18","2026-05-02","Per=Y","Days=T","Dir=V")</f>
        <v>0</v>
      </c>
      <c r="AK2">
        <f>BDH("SLS US Equity","CF_CASH_FROM_OPER","1993-06-18","2026-05-02","Per=Y","Days=T","Dir=V")</f>
        <v>0</v>
      </c>
      <c r="AM2">
        <f>BDH("SLS US Equity","CAPITAL_EXPEND","1993-06-18","2026-05-02","Per=Y","Days=T","Dir=V")</f>
        <v>0</v>
      </c>
      <c r="AO2">
        <f>BDH("SLS US Equity","CF_FREE_CASH_FLOW","1993-06-18","2026-05-02","Per=Y","Days=T","Dir=V")</f>
        <v>0</v>
      </c>
      <c r="AQ2">
        <f>BDH("SLS US Equity","PX_LAST","1993-06-18","2026-05-02","Per=M","Days=T","Dir=V")</f>
        <v>0</v>
      </c>
      <c r="AS2">
        <f>BDH("SLS US Equity","CUR_MKT_CAP","1993-06-18","2026-05-02","Per=M","Days=T","Dir=V")</f>
        <v>0</v>
      </c>
      <c r="AU2">
        <f>BDH("SLS US Equity","EQY_SH_OUT","1993-06-18","2026-05-02","Per=M","Days=T","Dir=V")</f>
        <v>0</v>
      </c>
      <c r="AW2">
        <f>BDH("SLS US Equity","PX_VOLUME","1993-06-18","2026-05-02","Per=M","Days=T","Dir=V")</f>
        <v>0</v>
      </c>
      <c r="AY2">
        <f>BDH("SLS US Equity","TURNOVER","1993-06-18","2026-05-02","Per=M","Days=T","Dir=V")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BDH("SLSN US Equity","BS_TOT_ASSET","1993-06-18","2026-05-02","Per=Y","Days=T","Dir=V")</f>
        <v>0</v>
      </c>
      <c r="C2">
        <f>BDH("SLSN US Equity","BS_TOT_LIAB2","1993-06-18","2026-05-02","Per=Y","Days=T","Dir=V")</f>
        <v>0</v>
      </c>
      <c r="E2">
        <f>BDH("SLSN US Equity","SHORT_AND_LONG_TERM_DEBT","1993-06-18","2026-05-02","Per=Y","Days=T","Dir=V")</f>
        <v>0</v>
      </c>
      <c r="G2">
        <f>BDH("SLSN US Equity","BS_ST_BORROW","1993-06-18","2026-05-02","Per=Y","Days=T","Dir=V")</f>
        <v>0</v>
      </c>
      <c r="I2">
        <f>BDH("SLSN US Equity","BS_LT_BORROW","1993-06-18","2026-05-02","Per=Y","Days=T","Dir=V")</f>
        <v>0</v>
      </c>
      <c r="K2">
        <f>BDH("SLSN US Equity","BS_CASH_NEAR_CASH_ITEM","1993-06-18","2026-05-02","Per=Y","Days=T","Dir=V")</f>
        <v>0</v>
      </c>
      <c r="M2">
        <f>BDH("SLSN US Equity","BS_CUR_ASSET_REPORT","1993-06-18","2026-05-02","Per=Y","Days=T","Dir=V")</f>
        <v>0</v>
      </c>
      <c r="O2">
        <f>BDH("SLSN US Equity","BS_CUR_LIAB","1993-06-18","2026-05-02","Per=Y","Days=T","Dir=V")</f>
        <v>0</v>
      </c>
      <c r="Q2">
        <f>BDH("SLSN US Equity","BS_SHAREHOLDER_EQY_ENDING_PERIOD","1993-06-18","2026-05-02","Per=Y","Days=T","Dir=V")</f>
        <v>0</v>
      </c>
      <c r="S2">
        <f>BDH("SLSN US Equity","BS_ACCT_NOTE_RCV","1993-06-18","2026-05-02","Per=Y","Days=T","Dir=V")</f>
        <v>0</v>
      </c>
      <c r="U2">
        <f>BDH("SLSN US Equity","BS_INVENTORIES","1993-06-18","2026-05-02","Per=Y","Days=T","Dir=V")</f>
        <v>0</v>
      </c>
      <c r="W2">
        <f>BDH("SLSN US Equity","WORKING_CAPITAL","1993-06-18","2026-05-02","Per=Y","Days=T","Dir=V")</f>
        <v>0</v>
      </c>
      <c r="Y2">
        <f>BDH("SLSN US Equity","SALES_REV_TURN","1993-06-18","2026-05-02","Per=Y","Days=T","Dir=V")</f>
        <v>0</v>
      </c>
      <c r="AA2">
        <f>BDH("SLSN US Equity","EBIT","1993-06-18","2026-05-02","Per=Y","Days=T","Dir=V")</f>
        <v>0</v>
      </c>
      <c r="AC2">
        <f>BDH("SLSN US Equity","EBITDA","1993-06-18","2026-05-02","Per=Y","Days=T","Dir=V")</f>
        <v>0</v>
      </c>
      <c r="AE2">
        <f>BDH("SLSN US Equity","NET_INCOME","1993-06-18","2026-05-02","Per=Y","Days=T","Dir=V")</f>
        <v>0</v>
      </c>
      <c r="AG2">
        <f>BDH("SLSN US Equity","IS_INT_EXPENSE","1993-06-18","2026-05-02","Per=Y","Days=T","Dir=V")</f>
        <v>0</v>
      </c>
      <c r="AI2">
        <f>BDH("SLSN US Equity","IS_DEPR_EXP","1993-06-18","2026-05-02","Per=Y","Days=T","Dir=V")</f>
        <v>0</v>
      </c>
      <c r="AK2">
        <f>BDH("SLSN US Equity","CF_CASH_FROM_OPER","1993-06-18","2026-05-02","Per=Y","Days=T","Dir=V")</f>
        <v>0</v>
      </c>
      <c r="AM2">
        <f>BDH("SLSN US Equity","CAPITAL_EXPEND","1993-06-18","2026-05-02","Per=Y","Days=T","Dir=V")</f>
        <v>0</v>
      </c>
      <c r="AO2">
        <f>BDH("SLSN US Equity","CF_FREE_CASH_FLOW","1993-06-18","2026-05-02","Per=Y","Days=T","Dir=V")</f>
        <v>0</v>
      </c>
      <c r="AQ2">
        <f>BDH("SLSN US Equity","PX_LAST","1993-06-18","2026-05-02","Per=M","Days=T","Dir=V")</f>
        <v>0</v>
      </c>
      <c r="AS2">
        <f>BDH("SLSN US Equity","CUR_MKT_CAP","1993-06-18","2026-05-02","Per=M","Days=T","Dir=V")</f>
        <v>0</v>
      </c>
      <c r="AU2">
        <f>BDH("SLSN US Equity","EQY_SH_OUT","1993-06-18","2026-05-02","Per=M","Days=T","Dir=V")</f>
        <v>0</v>
      </c>
      <c r="AW2">
        <f>BDH("SLSN US Equity","PX_VOLUME","1993-06-18","2026-05-02","Per=M","Days=T","Dir=V")</f>
        <v>0</v>
      </c>
      <c r="AY2">
        <f>BDH("SLSN US Equity","TURNOVER","1993-06-18","2026-05-02","Per=M","Days=T","Dir=V")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BDH("SLVM US Equity","BS_TOT_ASSET","1993-06-18","2026-05-02","Per=Y","Days=T","Dir=V")</f>
        <v>0</v>
      </c>
      <c r="C2">
        <f>BDH("SLVM US Equity","BS_TOT_LIAB2","1993-06-18","2026-05-02","Per=Y","Days=T","Dir=V")</f>
        <v>0</v>
      </c>
      <c r="E2">
        <f>BDH("SLVM US Equity","SHORT_AND_LONG_TERM_DEBT","1993-06-18","2026-05-02","Per=Y","Days=T","Dir=V")</f>
        <v>0</v>
      </c>
      <c r="G2">
        <f>BDH("SLVM US Equity","BS_ST_BORROW","1993-06-18","2026-05-02","Per=Y","Days=T","Dir=V")</f>
        <v>0</v>
      </c>
      <c r="I2">
        <f>BDH("SLVM US Equity","BS_LT_BORROW","1993-06-18","2026-05-02","Per=Y","Days=T","Dir=V")</f>
        <v>0</v>
      </c>
      <c r="K2">
        <f>BDH("SLVM US Equity","BS_CASH_NEAR_CASH_ITEM","1993-06-18","2026-05-02","Per=Y","Days=T","Dir=V")</f>
        <v>0</v>
      </c>
      <c r="M2">
        <f>BDH("SLVM US Equity","BS_CUR_ASSET_REPORT","1993-06-18","2026-05-02","Per=Y","Days=T","Dir=V")</f>
        <v>0</v>
      </c>
      <c r="O2">
        <f>BDH("SLVM US Equity","BS_CUR_LIAB","1993-06-18","2026-05-02","Per=Y","Days=T","Dir=V")</f>
        <v>0</v>
      </c>
      <c r="Q2">
        <f>BDH("SLVM US Equity","BS_SHAREHOLDER_EQY_ENDING_PERIOD","1993-06-18","2026-05-02","Per=Y","Days=T","Dir=V")</f>
        <v>0</v>
      </c>
      <c r="S2">
        <f>BDH("SLVM US Equity","BS_ACCT_NOTE_RCV","1993-06-18","2026-05-02","Per=Y","Days=T","Dir=V")</f>
        <v>0</v>
      </c>
      <c r="U2">
        <f>BDH("SLVM US Equity","BS_INVENTORIES","1993-06-18","2026-05-02","Per=Y","Days=T","Dir=V")</f>
        <v>0</v>
      </c>
      <c r="W2">
        <f>BDH("SLVM US Equity","WORKING_CAPITAL","1993-06-18","2026-05-02","Per=Y","Days=T","Dir=V")</f>
        <v>0</v>
      </c>
      <c r="Y2">
        <f>BDH("SLVM US Equity","SALES_REV_TURN","1993-06-18","2026-05-02","Per=Y","Days=T","Dir=V")</f>
        <v>0</v>
      </c>
      <c r="AA2">
        <f>BDH("SLVM US Equity","EBIT","1993-06-18","2026-05-02","Per=Y","Days=T","Dir=V")</f>
        <v>0</v>
      </c>
      <c r="AC2">
        <f>BDH("SLVM US Equity","EBITDA","1993-06-18","2026-05-02","Per=Y","Days=T","Dir=V")</f>
        <v>0</v>
      </c>
      <c r="AE2">
        <f>BDH("SLVM US Equity","NET_INCOME","1993-06-18","2026-05-02","Per=Y","Days=T","Dir=V")</f>
        <v>0</v>
      </c>
      <c r="AG2">
        <f>BDH("SLVM US Equity","IS_INT_EXPENSE","1993-06-18","2026-05-02","Per=Y","Days=T","Dir=V")</f>
        <v>0</v>
      </c>
      <c r="AI2">
        <f>BDH("SLVM US Equity","IS_DEPR_EXP","1993-06-18","2026-05-02","Per=Y","Days=T","Dir=V")</f>
        <v>0</v>
      </c>
      <c r="AK2">
        <f>BDH("SLVM US Equity","CF_CASH_FROM_OPER","1993-06-18","2026-05-02","Per=Y","Days=T","Dir=V")</f>
        <v>0</v>
      </c>
      <c r="AM2">
        <f>BDH("SLVM US Equity","CAPITAL_EXPEND","1993-06-18","2026-05-02","Per=Y","Days=T","Dir=V")</f>
        <v>0</v>
      </c>
      <c r="AO2">
        <f>BDH("SLVM US Equity","CF_FREE_CASH_FLOW","1993-06-18","2026-05-02","Per=Y","Days=T","Dir=V")</f>
        <v>0</v>
      </c>
      <c r="AQ2">
        <f>BDH("SLVM US Equity","PX_LAST","1993-06-18","2026-05-02","Per=M","Days=T","Dir=V")</f>
        <v>0</v>
      </c>
      <c r="AS2">
        <f>BDH("SLVM US Equity","CUR_MKT_CAP","1993-06-18","2026-05-02","Per=M","Days=T","Dir=V")</f>
        <v>0</v>
      </c>
      <c r="AU2">
        <f>BDH("SLVM US Equity","EQY_SH_OUT","1993-06-18","2026-05-02","Per=M","Days=T","Dir=V")</f>
        <v>0</v>
      </c>
      <c r="AW2">
        <f>BDH("SLVM US Equity","PX_VOLUME","1993-06-18","2026-05-02","Per=M","Days=T","Dir=V")</f>
        <v>0</v>
      </c>
      <c r="AY2">
        <f>BDH("SLVM US Equity","TURNOVER","1993-06-18","2026-05-02","Per=M","Days=T","Dir=V")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BDH("SM US Equity","BS_TOT_ASSET","1993-06-18","2026-05-02","Per=Y","Days=T","Dir=V")</f>
        <v>0</v>
      </c>
      <c r="C2">
        <f>BDH("SM US Equity","BS_TOT_LIAB2","1993-06-18","2026-05-02","Per=Y","Days=T","Dir=V")</f>
        <v>0</v>
      </c>
      <c r="E2">
        <f>BDH("SM US Equity","SHORT_AND_LONG_TERM_DEBT","1993-06-18","2026-05-02","Per=Y","Days=T","Dir=V")</f>
        <v>0</v>
      </c>
      <c r="G2">
        <f>BDH("SM US Equity","BS_ST_BORROW","1993-06-18","2026-05-02","Per=Y","Days=T","Dir=V")</f>
        <v>0</v>
      </c>
      <c r="I2">
        <f>BDH("SM US Equity","BS_LT_BORROW","1993-06-18","2026-05-02","Per=Y","Days=T","Dir=V")</f>
        <v>0</v>
      </c>
      <c r="K2">
        <f>BDH("SM US Equity","BS_CASH_NEAR_CASH_ITEM","1993-06-18","2026-05-02","Per=Y","Days=T","Dir=V")</f>
        <v>0</v>
      </c>
      <c r="M2">
        <f>BDH("SM US Equity","BS_CUR_ASSET_REPORT","1993-06-18","2026-05-02","Per=Y","Days=T","Dir=V")</f>
        <v>0</v>
      </c>
      <c r="O2">
        <f>BDH("SM US Equity","BS_CUR_LIAB","1993-06-18","2026-05-02","Per=Y","Days=T","Dir=V")</f>
        <v>0</v>
      </c>
      <c r="Q2">
        <f>BDH("SM US Equity","BS_SHAREHOLDER_EQY_ENDING_PERIOD","1993-06-18","2026-05-02","Per=Y","Days=T","Dir=V")</f>
        <v>0</v>
      </c>
      <c r="S2">
        <f>BDH("SM US Equity","BS_ACCT_NOTE_RCV","1993-06-18","2026-05-02","Per=Y","Days=T","Dir=V")</f>
        <v>0</v>
      </c>
      <c r="U2">
        <f>BDH("SM US Equity","BS_INVENTORIES","1993-06-18","2026-05-02","Per=Y","Days=T","Dir=V")</f>
        <v>0</v>
      </c>
      <c r="W2">
        <f>BDH("SM US Equity","WORKING_CAPITAL","1993-06-18","2026-05-02","Per=Y","Days=T","Dir=V")</f>
        <v>0</v>
      </c>
      <c r="Y2">
        <f>BDH("SM US Equity","SALES_REV_TURN","1993-06-18","2026-05-02","Per=Y","Days=T","Dir=V")</f>
        <v>0</v>
      </c>
      <c r="AA2">
        <f>BDH("SM US Equity","EBIT","1993-06-18","2026-05-02","Per=Y","Days=T","Dir=V")</f>
        <v>0</v>
      </c>
      <c r="AC2">
        <f>BDH("SM US Equity","EBITDA","1993-06-18","2026-05-02","Per=Y","Days=T","Dir=V")</f>
        <v>0</v>
      </c>
      <c r="AE2">
        <f>BDH("SM US Equity","NET_INCOME","1993-06-18","2026-05-02","Per=Y","Days=T","Dir=V")</f>
        <v>0</v>
      </c>
      <c r="AG2">
        <f>BDH("SM US Equity","IS_INT_EXPENSE","1993-06-18","2026-05-02","Per=Y","Days=T","Dir=V")</f>
        <v>0</v>
      </c>
      <c r="AI2">
        <f>BDH("SM US Equity","IS_DEPR_EXP","1993-06-18","2026-05-02","Per=Y","Days=T","Dir=V")</f>
        <v>0</v>
      </c>
      <c r="AK2">
        <f>BDH("SM US Equity","CF_CASH_FROM_OPER","1993-06-18","2026-05-02","Per=Y","Days=T","Dir=V")</f>
        <v>0</v>
      </c>
      <c r="AM2">
        <f>BDH("SM US Equity","CAPITAL_EXPEND","1993-06-18","2026-05-02","Per=Y","Days=T","Dir=V")</f>
        <v>0</v>
      </c>
      <c r="AO2">
        <f>BDH("SM US Equity","CF_FREE_CASH_FLOW","1993-06-18","2026-05-02","Per=Y","Days=T","Dir=V")</f>
        <v>0</v>
      </c>
      <c r="AQ2">
        <f>BDH("SM US Equity","PX_LAST","1993-06-18","2026-05-02","Per=M","Days=T","Dir=V")</f>
        <v>0</v>
      </c>
      <c r="AS2">
        <f>BDH("SM US Equity","CUR_MKT_CAP","1993-06-18","2026-05-02","Per=M","Days=T","Dir=V")</f>
        <v>0</v>
      </c>
      <c r="AU2">
        <f>BDH("SM US Equity","EQY_SH_OUT","1993-06-18","2026-05-02","Per=M","Days=T","Dir=V")</f>
        <v>0</v>
      </c>
      <c r="AW2">
        <f>BDH("SM US Equity","PX_VOLUME","1993-06-18","2026-05-02","Per=M","Days=T","Dir=V")</f>
        <v>0</v>
      </c>
      <c r="AY2">
        <f>BDH("SM US Equity","TURNOVER","1993-06-18","2026-05-02","Per=M","Days=T","Dir=V")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BDH("SMC US Equity","BS_TOT_ASSET","1993-06-18","2026-05-02","Per=Y","Days=T","Dir=V")</f>
        <v>0</v>
      </c>
      <c r="C2">
        <f>BDH("SMC US Equity","BS_TOT_LIAB2","1993-06-18","2026-05-02","Per=Y","Days=T","Dir=V")</f>
        <v>0</v>
      </c>
      <c r="E2">
        <f>BDH("SMC US Equity","SHORT_AND_LONG_TERM_DEBT","1993-06-18","2026-05-02","Per=Y","Days=T","Dir=V")</f>
        <v>0</v>
      </c>
      <c r="G2">
        <f>BDH("SMC US Equity","BS_ST_BORROW","1993-06-18","2026-05-02","Per=Y","Days=T","Dir=V")</f>
        <v>0</v>
      </c>
      <c r="I2">
        <f>BDH("SMC US Equity","BS_LT_BORROW","1993-06-18","2026-05-02","Per=Y","Days=T","Dir=V")</f>
        <v>0</v>
      </c>
      <c r="K2">
        <f>BDH("SMC US Equity","BS_CASH_NEAR_CASH_ITEM","1993-06-18","2026-05-02","Per=Y","Days=T","Dir=V")</f>
        <v>0</v>
      </c>
      <c r="M2">
        <f>BDH("SMC US Equity","BS_CUR_ASSET_REPORT","1993-06-18","2026-05-02","Per=Y","Days=T","Dir=V")</f>
        <v>0</v>
      </c>
      <c r="O2">
        <f>BDH("SMC US Equity","BS_CUR_LIAB","1993-06-18","2026-05-02","Per=Y","Days=T","Dir=V")</f>
        <v>0</v>
      </c>
      <c r="Q2">
        <f>BDH("SMC US Equity","BS_SHAREHOLDER_EQY_ENDING_PERIOD","1993-06-18","2026-05-02","Per=Y","Days=T","Dir=V")</f>
        <v>0</v>
      </c>
      <c r="S2">
        <f>BDH("SMC US Equity","BS_ACCT_NOTE_RCV","1993-06-18","2026-05-02","Per=Y","Days=T","Dir=V")</f>
        <v>0</v>
      </c>
      <c r="U2">
        <f>BDH("SMC US Equity","BS_INVENTORIES","1993-06-18","2026-05-02","Per=Y","Days=T","Dir=V")</f>
        <v>0</v>
      </c>
      <c r="W2">
        <f>BDH("SMC US Equity","WORKING_CAPITAL","1993-06-18","2026-05-02","Per=Y","Days=T","Dir=V")</f>
        <v>0</v>
      </c>
      <c r="Y2">
        <f>BDH("SMC US Equity","SALES_REV_TURN","1993-06-18","2026-05-02","Per=Y","Days=T","Dir=V")</f>
        <v>0</v>
      </c>
      <c r="AA2">
        <f>BDH("SMC US Equity","EBIT","1993-06-18","2026-05-02","Per=Y","Days=T","Dir=V")</f>
        <v>0</v>
      </c>
      <c r="AC2">
        <f>BDH("SMC US Equity","EBITDA","1993-06-18","2026-05-02","Per=Y","Days=T","Dir=V")</f>
        <v>0</v>
      </c>
      <c r="AE2">
        <f>BDH("SMC US Equity","NET_INCOME","1993-06-18","2026-05-02","Per=Y","Days=T","Dir=V")</f>
        <v>0</v>
      </c>
      <c r="AG2">
        <f>BDH("SMC US Equity","IS_INT_EXPENSE","1993-06-18","2026-05-02","Per=Y","Days=T","Dir=V")</f>
        <v>0</v>
      </c>
      <c r="AI2">
        <f>BDH("SMC US Equity","IS_DEPR_EXP","1993-06-18","2026-05-02","Per=Y","Days=T","Dir=V")</f>
        <v>0</v>
      </c>
      <c r="AK2">
        <f>BDH("SMC US Equity","CF_CASH_FROM_OPER","1993-06-18","2026-05-02","Per=Y","Days=T","Dir=V")</f>
        <v>0</v>
      </c>
      <c r="AM2">
        <f>BDH("SMC US Equity","CAPITAL_EXPEND","1993-06-18","2026-05-02","Per=Y","Days=T","Dir=V")</f>
        <v>0</v>
      </c>
      <c r="AO2">
        <f>BDH("SMC US Equity","CF_FREE_CASH_FLOW","1993-06-18","2026-05-02","Per=Y","Days=T","Dir=V")</f>
        <v>0</v>
      </c>
      <c r="AQ2">
        <f>BDH("SMC US Equity","PX_LAST","1993-06-18","2026-05-02","Per=M","Days=T","Dir=V")</f>
        <v>0</v>
      </c>
      <c r="AS2">
        <f>BDH("SMC US Equity","CUR_MKT_CAP","1993-06-18","2026-05-02","Per=M","Days=T","Dir=V")</f>
        <v>0</v>
      </c>
      <c r="AU2">
        <f>BDH("SMC US Equity","EQY_SH_OUT","1993-06-18","2026-05-02","Per=M","Days=T","Dir=V")</f>
        <v>0</v>
      </c>
      <c r="AW2">
        <f>BDH("SMC US Equity","PX_VOLUME","1993-06-18","2026-05-02","Per=M","Days=T","Dir=V")</f>
        <v>0</v>
      </c>
      <c r="AY2">
        <f>BDH("SMC US Equity","TURNOVER","1993-06-18","2026-05-02","Per=M","Days=T","Dir=V")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BDH("SMCI US Equity","BS_TOT_ASSET","1993-06-18","2026-05-02","Per=Y","Days=T","Dir=V")</f>
        <v>0</v>
      </c>
      <c r="C2">
        <f>BDH("SMCI US Equity","BS_TOT_LIAB2","1993-06-18","2026-05-02","Per=Y","Days=T","Dir=V")</f>
        <v>0</v>
      </c>
      <c r="E2">
        <f>BDH("SMCI US Equity","SHORT_AND_LONG_TERM_DEBT","1993-06-18","2026-05-02","Per=Y","Days=T","Dir=V")</f>
        <v>0</v>
      </c>
      <c r="G2">
        <f>BDH("SMCI US Equity","BS_ST_BORROW","1993-06-18","2026-05-02","Per=Y","Days=T","Dir=V")</f>
        <v>0</v>
      </c>
      <c r="I2">
        <f>BDH("SMCI US Equity","BS_LT_BORROW","1993-06-18","2026-05-02","Per=Y","Days=T","Dir=V")</f>
        <v>0</v>
      </c>
      <c r="K2">
        <f>BDH("SMCI US Equity","BS_CASH_NEAR_CASH_ITEM","1993-06-18","2026-05-02","Per=Y","Days=T","Dir=V")</f>
        <v>0</v>
      </c>
      <c r="M2">
        <f>BDH("SMCI US Equity","BS_CUR_ASSET_REPORT","1993-06-18","2026-05-02","Per=Y","Days=T","Dir=V")</f>
        <v>0</v>
      </c>
      <c r="O2">
        <f>BDH("SMCI US Equity","BS_CUR_LIAB","1993-06-18","2026-05-02","Per=Y","Days=T","Dir=V")</f>
        <v>0</v>
      </c>
      <c r="Q2">
        <f>BDH("SMCI US Equity","BS_SHAREHOLDER_EQY_ENDING_PERIOD","1993-06-18","2026-05-02","Per=Y","Days=T","Dir=V")</f>
        <v>0</v>
      </c>
      <c r="S2">
        <f>BDH("SMCI US Equity","BS_ACCT_NOTE_RCV","1993-06-18","2026-05-02","Per=Y","Days=T","Dir=V")</f>
        <v>0</v>
      </c>
      <c r="U2">
        <f>BDH("SMCI US Equity","BS_INVENTORIES","1993-06-18","2026-05-02","Per=Y","Days=T","Dir=V")</f>
        <v>0</v>
      </c>
      <c r="W2">
        <f>BDH("SMCI US Equity","WORKING_CAPITAL","1993-06-18","2026-05-02","Per=Y","Days=T","Dir=V")</f>
        <v>0</v>
      </c>
      <c r="Y2">
        <f>BDH("SMCI US Equity","SALES_REV_TURN","1993-06-18","2026-05-02","Per=Y","Days=T","Dir=V")</f>
        <v>0</v>
      </c>
      <c r="AA2">
        <f>BDH("SMCI US Equity","EBIT","1993-06-18","2026-05-02","Per=Y","Days=T","Dir=V")</f>
        <v>0</v>
      </c>
      <c r="AC2">
        <f>BDH("SMCI US Equity","EBITDA","1993-06-18","2026-05-02","Per=Y","Days=T","Dir=V")</f>
        <v>0</v>
      </c>
      <c r="AE2">
        <f>BDH("SMCI US Equity","NET_INCOME","1993-06-18","2026-05-02","Per=Y","Days=T","Dir=V")</f>
        <v>0</v>
      </c>
      <c r="AG2">
        <f>BDH("SMCI US Equity","IS_INT_EXPENSE","1993-06-18","2026-05-02","Per=Y","Days=T","Dir=V")</f>
        <v>0</v>
      </c>
      <c r="AI2">
        <f>BDH("SMCI US Equity","IS_DEPR_EXP","1993-06-18","2026-05-02","Per=Y","Days=T","Dir=V")</f>
        <v>0</v>
      </c>
      <c r="AK2">
        <f>BDH("SMCI US Equity","CF_CASH_FROM_OPER","1993-06-18","2026-05-02","Per=Y","Days=T","Dir=V")</f>
        <v>0</v>
      </c>
      <c r="AM2">
        <f>BDH("SMCI US Equity","CAPITAL_EXPEND","1993-06-18","2026-05-02","Per=Y","Days=T","Dir=V")</f>
        <v>0</v>
      </c>
      <c r="AO2">
        <f>BDH("SMCI US Equity","CF_FREE_CASH_FLOW","1993-06-18","2026-05-02","Per=Y","Days=T","Dir=V")</f>
        <v>0</v>
      </c>
      <c r="AQ2">
        <f>BDH("SMCI US Equity","PX_LAST","1993-06-18","2026-05-02","Per=M","Days=T","Dir=V")</f>
        <v>0</v>
      </c>
      <c r="AS2">
        <f>BDH("SMCI US Equity","CUR_MKT_CAP","1993-06-18","2026-05-02","Per=M","Days=T","Dir=V")</f>
        <v>0</v>
      </c>
      <c r="AU2">
        <f>BDH("SMCI US Equity","EQY_SH_OUT","1993-06-18","2026-05-02","Per=M","Days=T","Dir=V")</f>
        <v>0</v>
      </c>
      <c r="AW2">
        <f>BDH("SMCI US Equity","PX_VOLUME","1993-06-18","2026-05-02","Per=M","Days=T","Dir=V")</f>
        <v>0</v>
      </c>
      <c r="AY2">
        <f>BDH("SMCI US Equity","TURNOVER","1993-06-18","2026-05-02","Per=M","Days=T","Dir=V")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BDH("SMCIP US Equity","BS_TOT_ASSET","1993-06-18","2026-05-02","Per=Y","Days=T","Dir=V")</f>
        <v>0</v>
      </c>
      <c r="C2">
        <f>BDH("SMCIP US Equity","BS_TOT_LIAB2","1993-06-18","2026-05-02","Per=Y","Days=T","Dir=V")</f>
        <v>0</v>
      </c>
      <c r="E2">
        <f>BDH("SMCIP US Equity","SHORT_AND_LONG_TERM_DEBT","1993-06-18","2026-05-02","Per=Y","Days=T","Dir=V")</f>
        <v>0</v>
      </c>
      <c r="G2">
        <f>BDH("SMCIP US Equity","BS_ST_BORROW","1993-06-18","2026-05-02","Per=Y","Days=T","Dir=V")</f>
        <v>0</v>
      </c>
      <c r="I2">
        <f>BDH("SMCIP US Equity","BS_LT_BORROW","1993-06-18","2026-05-02","Per=Y","Days=T","Dir=V")</f>
        <v>0</v>
      </c>
      <c r="K2">
        <f>BDH("SMCIP US Equity","BS_CASH_NEAR_CASH_ITEM","1993-06-18","2026-05-02","Per=Y","Days=T","Dir=V")</f>
        <v>0</v>
      </c>
      <c r="M2">
        <f>BDH("SMCIP US Equity","BS_CUR_ASSET_REPORT","1993-06-18","2026-05-02","Per=Y","Days=T","Dir=V")</f>
        <v>0</v>
      </c>
      <c r="O2">
        <f>BDH("SMCIP US Equity","BS_CUR_LIAB","1993-06-18","2026-05-02","Per=Y","Days=T","Dir=V")</f>
        <v>0</v>
      </c>
      <c r="Q2">
        <f>BDH("SMCIP US Equity","BS_SHAREHOLDER_EQY_ENDING_PERIOD","1993-06-18","2026-05-02","Per=Y","Days=T","Dir=V")</f>
        <v>0</v>
      </c>
      <c r="S2">
        <f>BDH("SMCIP US Equity","BS_ACCT_NOTE_RCV","1993-06-18","2026-05-02","Per=Y","Days=T","Dir=V")</f>
        <v>0</v>
      </c>
      <c r="U2">
        <f>BDH("SMCIP US Equity","BS_INVENTORIES","1993-06-18","2026-05-02","Per=Y","Days=T","Dir=V")</f>
        <v>0</v>
      </c>
      <c r="W2">
        <f>BDH("SMCIP US Equity","WORKING_CAPITAL","1993-06-18","2026-05-02","Per=Y","Days=T","Dir=V")</f>
        <v>0</v>
      </c>
      <c r="Y2">
        <f>BDH("SMCIP US Equity","SALES_REV_TURN","1993-06-18","2026-05-02","Per=Y","Days=T","Dir=V")</f>
        <v>0</v>
      </c>
      <c r="AA2">
        <f>BDH("SMCIP US Equity","EBIT","1993-06-18","2026-05-02","Per=Y","Days=T","Dir=V")</f>
        <v>0</v>
      </c>
      <c r="AC2">
        <f>BDH("SMCIP US Equity","EBITDA","1993-06-18","2026-05-02","Per=Y","Days=T","Dir=V")</f>
        <v>0</v>
      </c>
      <c r="AE2">
        <f>BDH("SMCIP US Equity","NET_INCOME","1993-06-18","2026-05-02","Per=Y","Days=T","Dir=V")</f>
        <v>0</v>
      </c>
      <c r="AG2">
        <f>BDH("SMCIP US Equity","IS_INT_EXPENSE","1993-06-18","2026-05-02","Per=Y","Days=T","Dir=V")</f>
        <v>0</v>
      </c>
      <c r="AI2">
        <f>BDH("SMCIP US Equity","IS_DEPR_EXP","1993-06-18","2026-05-02","Per=Y","Days=T","Dir=V")</f>
        <v>0</v>
      </c>
      <c r="AK2">
        <f>BDH("SMCIP US Equity","CF_CASH_FROM_OPER","1993-06-18","2026-05-02","Per=Y","Days=T","Dir=V")</f>
        <v>0</v>
      </c>
      <c r="AM2">
        <f>BDH("SMCIP US Equity","CAPITAL_EXPEND","1993-06-18","2026-05-02","Per=Y","Days=T","Dir=V")</f>
        <v>0</v>
      </c>
      <c r="AO2">
        <f>BDH("SMCIP US Equity","CF_FREE_CASH_FLOW","1993-06-18","2026-05-02","Per=Y","Days=T","Dir=V")</f>
        <v>0</v>
      </c>
      <c r="AQ2">
        <f>BDH("SMCIP US Equity","PX_LAST","1993-06-18","2026-05-02","Per=M","Days=T","Dir=V")</f>
        <v>0</v>
      </c>
      <c r="AS2">
        <f>BDH("SMCIP US Equity","CUR_MKT_CAP","1993-06-18","2026-05-02","Per=M","Days=T","Dir=V")</f>
        <v>0</v>
      </c>
      <c r="AU2">
        <f>BDH("SMCIP US Equity","EQY_SH_OUT","1993-06-18","2026-05-02","Per=M","Days=T","Dir=V")</f>
        <v>0</v>
      </c>
      <c r="AW2">
        <f>BDH("SMCIP US Equity","PX_VOLUME","1993-06-18","2026-05-02","Per=M","Days=T","Dir=V")</f>
        <v>0</v>
      </c>
      <c r="AY2">
        <f>BDH("SMCIP US Equity","TURNOVER","1993-06-18","2026-05-02","Per=M","Days=T","Dir=V")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BDH("SMG US Equity","BS_TOT_ASSET","1993-06-18","2026-05-02","Per=Y","Days=T","Dir=V")</f>
        <v>0</v>
      </c>
      <c r="C2">
        <f>BDH("SMG US Equity","BS_TOT_LIAB2","1993-06-18","2026-05-02","Per=Y","Days=T","Dir=V")</f>
        <v>0</v>
      </c>
      <c r="E2">
        <f>BDH("SMG US Equity","SHORT_AND_LONG_TERM_DEBT","1993-06-18","2026-05-02","Per=Y","Days=T","Dir=V")</f>
        <v>0</v>
      </c>
      <c r="G2">
        <f>BDH("SMG US Equity","BS_ST_BORROW","1993-06-18","2026-05-02","Per=Y","Days=T","Dir=V")</f>
        <v>0</v>
      </c>
      <c r="I2">
        <f>BDH("SMG US Equity","BS_LT_BORROW","1993-06-18","2026-05-02","Per=Y","Days=T","Dir=V")</f>
        <v>0</v>
      </c>
      <c r="K2">
        <f>BDH("SMG US Equity","BS_CASH_NEAR_CASH_ITEM","1993-06-18","2026-05-02","Per=Y","Days=T","Dir=V")</f>
        <v>0</v>
      </c>
      <c r="M2">
        <f>BDH("SMG US Equity","BS_CUR_ASSET_REPORT","1993-06-18","2026-05-02","Per=Y","Days=T","Dir=V")</f>
        <v>0</v>
      </c>
      <c r="O2">
        <f>BDH("SMG US Equity","BS_CUR_LIAB","1993-06-18","2026-05-02","Per=Y","Days=T","Dir=V")</f>
        <v>0</v>
      </c>
      <c r="Q2">
        <f>BDH("SMG US Equity","BS_SHAREHOLDER_EQY_ENDING_PERIOD","1993-06-18","2026-05-02","Per=Y","Days=T","Dir=V")</f>
        <v>0</v>
      </c>
      <c r="S2">
        <f>BDH("SMG US Equity","BS_ACCT_NOTE_RCV","1993-06-18","2026-05-02","Per=Y","Days=T","Dir=V")</f>
        <v>0</v>
      </c>
      <c r="U2">
        <f>BDH("SMG US Equity","BS_INVENTORIES","1993-06-18","2026-05-02","Per=Y","Days=T","Dir=V")</f>
        <v>0</v>
      </c>
      <c r="W2">
        <f>BDH("SMG US Equity","WORKING_CAPITAL","1993-06-18","2026-05-02","Per=Y","Days=T","Dir=V")</f>
        <v>0</v>
      </c>
      <c r="Y2">
        <f>BDH("SMG US Equity","SALES_REV_TURN","1993-06-18","2026-05-02","Per=Y","Days=T","Dir=V")</f>
        <v>0</v>
      </c>
      <c r="AA2">
        <f>BDH("SMG US Equity","EBIT","1993-06-18","2026-05-02","Per=Y","Days=T","Dir=V")</f>
        <v>0</v>
      </c>
      <c r="AC2">
        <f>BDH("SMG US Equity","EBITDA","1993-06-18","2026-05-02","Per=Y","Days=T","Dir=V")</f>
        <v>0</v>
      </c>
      <c r="AE2">
        <f>BDH("SMG US Equity","NET_INCOME","1993-06-18","2026-05-02","Per=Y","Days=T","Dir=V")</f>
        <v>0</v>
      </c>
      <c r="AG2">
        <f>BDH("SMG US Equity","IS_INT_EXPENSE","1993-06-18","2026-05-02","Per=Y","Days=T","Dir=V")</f>
        <v>0</v>
      </c>
      <c r="AI2">
        <f>BDH("SMG US Equity","IS_DEPR_EXP","1993-06-18","2026-05-02","Per=Y","Days=T","Dir=V")</f>
        <v>0</v>
      </c>
      <c r="AK2">
        <f>BDH("SMG US Equity","CF_CASH_FROM_OPER","1993-06-18","2026-05-02","Per=Y","Days=T","Dir=V")</f>
        <v>0</v>
      </c>
      <c r="AM2">
        <f>BDH("SMG US Equity","CAPITAL_EXPEND","1993-06-18","2026-05-02","Per=Y","Days=T","Dir=V")</f>
        <v>0</v>
      </c>
      <c r="AO2">
        <f>BDH("SMG US Equity","CF_FREE_CASH_FLOW","1993-06-18","2026-05-02","Per=Y","Days=T","Dir=V")</f>
        <v>0</v>
      </c>
      <c r="AQ2">
        <f>BDH("SMG US Equity","PX_LAST","1993-06-18","2026-05-02","Per=M","Days=T","Dir=V")</f>
        <v>0</v>
      </c>
      <c r="AS2">
        <f>BDH("SMG US Equity","CUR_MKT_CAP","1993-06-18","2026-05-02","Per=M","Days=T","Dir=V")</f>
        <v>0</v>
      </c>
      <c r="AU2">
        <f>BDH("SMG US Equity","EQY_SH_OUT","1993-06-18","2026-05-02","Per=M","Days=T","Dir=V")</f>
        <v>0</v>
      </c>
      <c r="AW2">
        <f>BDH("SMG US Equity","PX_VOLUME","1993-06-18","2026-05-02","Per=M","Days=T","Dir=V")</f>
        <v>0</v>
      </c>
      <c r="AY2">
        <f>BDH("SMG US Equity","TURNOVER","1993-06-18","2026-05-02","Per=M","Days=T","Dir=V")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BDH("SMHI US Equity","BS_TOT_ASSET","1993-06-18","2026-05-02","Per=Y","Days=T","Dir=V")</f>
        <v>0</v>
      </c>
      <c r="C2">
        <f>BDH("SMHI US Equity","BS_TOT_LIAB2","1993-06-18","2026-05-02","Per=Y","Days=T","Dir=V")</f>
        <v>0</v>
      </c>
      <c r="E2">
        <f>BDH("SMHI US Equity","SHORT_AND_LONG_TERM_DEBT","1993-06-18","2026-05-02","Per=Y","Days=T","Dir=V")</f>
        <v>0</v>
      </c>
      <c r="G2">
        <f>BDH("SMHI US Equity","BS_ST_BORROW","1993-06-18","2026-05-02","Per=Y","Days=T","Dir=V")</f>
        <v>0</v>
      </c>
      <c r="I2">
        <f>BDH("SMHI US Equity","BS_LT_BORROW","1993-06-18","2026-05-02","Per=Y","Days=T","Dir=V")</f>
        <v>0</v>
      </c>
      <c r="K2">
        <f>BDH("SMHI US Equity","BS_CASH_NEAR_CASH_ITEM","1993-06-18","2026-05-02","Per=Y","Days=T","Dir=V")</f>
        <v>0</v>
      </c>
      <c r="M2">
        <f>BDH("SMHI US Equity","BS_CUR_ASSET_REPORT","1993-06-18","2026-05-02","Per=Y","Days=T","Dir=V")</f>
        <v>0</v>
      </c>
      <c r="O2">
        <f>BDH("SMHI US Equity","BS_CUR_LIAB","1993-06-18","2026-05-02","Per=Y","Days=T","Dir=V")</f>
        <v>0</v>
      </c>
      <c r="Q2">
        <f>BDH("SMHI US Equity","BS_SHAREHOLDER_EQY_ENDING_PERIOD","1993-06-18","2026-05-02","Per=Y","Days=T","Dir=V")</f>
        <v>0</v>
      </c>
      <c r="S2">
        <f>BDH("SMHI US Equity","BS_ACCT_NOTE_RCV","1993-06-18","2026-05-02","Per=Y","Days=T","Dir=V")</f>
        <v>0</v>
      </c>
      <c r="U2">
        <f>BDH("SMHI US Equity","BS_INVENTORIES","1993-06-18","2026-05-02","Per=Y","Days=T","Dir=V")</f>
        <v>0</v>
      </c>
      <c r="W2">
        <f>BDH("SMHI US Equity","WORKING_CAPITAL","1993-06-18","2026-05-02","Per=Y","Days=T","Dir=V")</f>
        <v>0</v>
      </c>
      <c r="Y2">
        <f>BDH("SMHI US Equity","SALES_REV_TURN","1993-06-18","2026-05-02","Per=Y","Days=T","Dir=V")</f>
        <v>0</v>
      </c>
      <c r="AA2">
        <f>BDH("SMHI US Equity","EBIT","1993-06-18","2026-05-02","Per=Y","Days=T","Dir=V")</f>
        <v>0</v>
      </c>
      <c r="AC2">
        <f>BDH("SMHI US Equity","EBITDA","1993-06-18","2026-05-02","Per=Y","Days=T","Dir=V")</f>
        <v>0</v>
      </c>
      <c r="AE2">
        <f>BDH("SMHI US Equity","NET_INCOME","1993-06-18","2026-05-02","Per=Y","Days=T","Dir=V")</f>
        <v>0</v>
      </c>
      <c r="AG2">
        <f>BDH("SMHI US Equity","IS_INT_EXPENSE","1993-06-18","2026-05-02","Per=Y","Days=T","Dir=V")</f>
        <v>0</v>
      </c>
      <c r="AI2">
        <f>BDH("SMHI US Equity","IS_DEPR_EXP","1993-06-18","2026-05-02","Per=Y","Days=T","Dir=V")</f>
        <v>0</v>
      </c>
      <c r="AK2">
        <f>BDH("SMHI US Equity","CF_CASH_FROM_OPER","1993-06-18","2026-05-02","Per=Y","Days=T","Dir=V")</f>
        <v>0</v>
      </c>
      <c r="AM2">
        <f>BDH("SMHI US Equity","CAPITAL_EXPEND","1993-06-18","2026-05-02","Per=Y","Days=T","Dir=V")</f>
        <v>0</v>
      </c>
      <c r="AO2">
        <f>BDH("SMHI US Equity","CF_FREE_CASH_FLOW","1993-06-18","2026-05-02","Per=Y","Days=T","Dir=V")</f>
        <v>0</v>
      </c>
      <c r="AQ2">
        <f>BDH("SMHI US Equity","PX_LAST","1993-06-18","2026-05-02","Per=M","Days=T","Dir=V")</f>
        <v>0</v>
      </c>
      <c r="AS2">
        <f>BDH("SMHI US Equity","CUR_MKT_CAP","1993-06-18","2026-05-02","Per=M","Days=T","Dir=V")</f>
        <v>0</v>
      </c>
      <c r="AU2">
        <f>BDH("SMHI US Equity","EQY_SH_OUT","1993-06-18","2026-05-02","Per=M","Days=T","Dir=V")</f>
        <v>0</v>
      </c>
      <c r="AW2">
        <f>BDH("SMHI US Equity","PX_VOLUME","1993-06-18","2026-05-02","Per=M","Days=T","Dir=V")</f>
        <v>0</v>
      </c>
      <c r="AY2">
        <f>BDH("SMHI US Equity","TURNOVER","1993-06-18","2026-05-02","Per=M","Days=T","Dir=V")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BDH("SMID US Equity","BS_TOT_ASSET","1993-06-18","2026-05-02","Per=Y","Days=T","Dir=V")</f>
        <v>0</v>
      </c>
      <c r="C2">
        <f>BDH("SMID US Equity","BS_TOT_LIAB2","1993-06-18","2026-05-02","Per=Y","Days=T","Dir=V")</f>
        <v>0</v>
      </c>
      <c r="E2">
        <f>BDH("SMID US Equity","SHORT_AND_LONG_TERM_DEBT","1993-06-18","2026-05-02","Per=Y","Days=T","Dir=V")</f>
        <v>0</v>
      </c>
      <c r="G2">
        <f>BDH("SMID US Equity","BS_ST_BORROW","1993-06-18","2026-05-02","Per=Y","Days=T","Dir=V")</f>
        <v>0</v>
      </c>
      <c r="I2">
        <f>BDH("SMID US Equity","BS_LT_BORROW","1993-06-18","2026-05-02","Per=Y","Days=T","Dir=V")</f>
        <v>0</v>
      </c>
      <c r="K2">
        <f>BDH("SMID US Equity","BS_CASH_NEAR_CASH_ITEM","1993-06-18","2026-05-02","Per=Y","Days=T","Dir=V")</f>
        <v>0</v>
      </c>
      <c r="M2">
        <f>BDH("SMID US Equity","BS_CUR_ASSET_REPORT","1993-06-18","2026-05-02","Per=Y","Days=T","Dir=V")</f>
        <v>0</v>
      </c>
      <c r="O2">
        <f>BDH("SMID US Equity","BS_CUR_LIAB","1993-06-18","2026-05-02","Per=Y","Days=T","Dir=V")</f>
        <v>0</v>
      </c>
      <c r="Q2">
        <f>BDH("SMID US Equity","BS_SHAREHOLDER_EQY_ENDING_PERIOD","1993-06-18","2026-05-02","Per=Y","Days=T","Dir=V")</f>
        <v>0</v>
      </c>
      <c r="S2">
        <f>BDH("SMID US Equity","BS_ACCT_NOTE_RCV","1993-06-18","2026-05-02","Per=Y","Days=T","Dir=V")</f>
        <v>0</v>
      </c>
      <c r="U2">
        <f>BDH("SMID US Equity","BS_INVENTORIES","1993-06-18","2026-05-02","Per=Y","Days=T","Dir=V")</f>
        <v>0</v>
      </c>
      <c r="W2">
        <f>BDH("SMID US Equity","WORKING_CAPITAL","1993-06-18","2026-05-02","Per=Y","Days=T","Dir=V")</f>
        <v>0</v>
      </c>
      <c r="Y2">
        <f>BDH("SMID US Equity","SALES_REV_TURN","1993-06-18","2026-05-02","Per=Y","Days=T","Dir=V")</f>
        <v>0</v>
      </c>
      <c r="AA2">
        <f>BDH("SMID US Equity","EBIT","1993-06-18","2026-05-02","Per=Y","Days=T","Dir=V")</f>
        <v>0</v>
      </c>
      <c r="AC2">
        <f>BDH("SMID US Equity","EBITDA","1993-06-18","2026-05-02","Per=Y","Days=T","Dir=V")</f>
        <v>0</v>
      </c>
      <c r="AE2">
        <f>BDH("SMID US Equity","NET_INCOME","1993-06-18","2026-05-02","Per=Y","Days=T","Dir=V")</f>
        <v>0</v>
      </c>
      <c r="AG2">
        <f>BDH("SMID US Equity","IS_INT_EXPENSE","1993-06-18","2026-05-02","Per=Y","Days=T","Dir=V")</f>
        <v>0</v>
      </c>
      <c r="AI2">
        <f>BDH("SMID US Equity","IS_DEPR_EXP","1993-06-18","2026-05-02","Per=Y","Days=T","Dir=V")</f>
        <v>0</v>
      </c>
      <c r="AK2">
        <f>BDH("SMID US Equity","CF_CASH_FROM_OPER","1993-06-18","2026-05-02","Per=Y","Days=T","Dir=V")</f>
        <v>0</v>
      </c>
      <c r="AM2">
        <f>BDH("SMID US Equity","CAPITAL_EXPEND","1993-06-18","2026-05-02","Per=Y","Days=T","Dir=V")</f>
        <v>0</v>
      </c>
      <c r="AO2">
        <f>BDH("SMID US Equity","CF_FREE_CASH_FLOW","1993-06-18","2026-05-02","Per=Y","Days=T","Dir=V")</f>
        <v>0</v>
      </c>
      <c r="AQ2">
        <f>BDH("SMID US Equity","PX_LAST","1993-06-18","2026-05-02","Per=M","Days=T","Dir=V")</f>
        <v>0</v>
      </c>
      <c r="AS2">
        <f>BDH("SMID US Equity","CUR_MKT_CAP","1993-06-18","2026-05-02","Per=M","Days=T","Dir=V")</f>
        <v>0</v>
      </c>
      <c r="AU2">
        <f>BDH("SMID US Equity","EQY_SH_OUT","1993-06-18","2026-05-02","Per=M","Days=T","Dir=V")</f>
        <v>0</v>
      </c>
      <c r="AW2">
        <f>BDH("SMID US Equity","PX_VOLUME","1993-06-18","2026-05-02","Per=M","Days=T","Dir=V")</f>
        <v>0</v>
      </c>
      <c r="AY2">
        <f>BDH("SMID US Equity","TURNOVER","1993-06-18","2026-05-02","Per=M","Days=T","Dir=V")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BDH("SMMT US Equity","BS_TOT_ASSET","1993-06-18","2026-05-02","Per=Y","Days=T","Dir=V")</f>
        <v>0</v>
      </c>
      <c r="C2">
        <f>BDH("SMMT US Equity","BS_TOT_LIAB2","1993-06-18","2026-05-02","Per=Y","Days=T","Dir=V")</f>
        <v>0</v>
      </c>
      <c r="E2">
        <f>BDH("SMMT US Equity","SHORT_AND_LONG_TERM_DEBT","1993-06-18","2026-05-02","Per=Y","Days=T","Dir=V")</f>
        <v>0</v>
      </c>
      <c r="G2">
        <f>BDH("SMMT US Equity","BS_ST_BORROW","1993-06-18","2026-05-02","Per=Y","Days=T","Dir=V")</f>
        <v>0</v>
      </c>
      <c r="I2">
        <f>BDH("SMMT US Equity","BS_LT_BORROW","1993-06-18","2026-05-02","Per=Y","Days=T","Dir=V")</f>
        <v>0</v>
      </c>
      <c r="K2">
        <f>BDH("SMMT US Equity","BS_CASH_NEAR_CASH_ITEM","1993-06-18","2026-05-02","Per=Y","Days=T","Dir=V")</f>
        <v>0</v>
      </c>
      <c r="M2">
        <f>BDH("SMMT US Equity","BS_CUR_ASSET_REPORT","1993-06-18","2026-05-02","Per=Y","Days=T","Dir=V")</f>
        <v>0</v>
      </c>
      <c r="O2">
        <f>BDH("SMMT US Equity","BS_CUR_LIAB","1993-06-18","2026-05-02","Per=Y","Days=T","Dir=V")</f>
        <v>0</v>
      </c>
      <c r="Q2">
        <f>BDH("SMMT US Equity","BS_SHAREHOLDER_EQY_ENDING_PERIOD","1993-06-18","2026-05-02","Per=Y","Days=T","Dir=V")</f>
        <v>0</v>
      </c>
      <c r="S2">
        <f>BDH("SMMT US Equity","BS_ACCT_NOTE_RCV","1993-06-18","2026-05-02","Per=Y","Days=T","Dir=V")</f>
        <v>0</v>
      </c>
      <c r="U2">
        <f>BDH("SMMT US Equity","BS_INVENTORIES","1993-06-18","2026-05-02","Per=Y","Days=T","Dir=V")</f>
        <v>0</v>
      </c>
      <c r="W2">
        <f>BDH("SMMT US Equity","WORKING_CAPITAL","1993-06-18","2026-05-02","Per=Y","Days=T","Dir=V")</f>
        <v>0</v>
      </c>
      <c r="Y2">
        <f>BDH("SMMT US Equity","SALES_REV_TURN","1993-06-18","2026-05-02","Per=Y","Days=T","Dir=V")</f>
        <v>0</v>
      </c>
      <c r="AA2">
        <f>BDH("SMMT US Equity","EBIT","1993-06-18","2026-05-02","Per=Y","Days=T","Dir=V")</f>
        <v>0</v>
      </c>
      <c r="AC2">
        <f>BDH("SMMT US Equity","EBITDA","1993-06-18","2026-05-02","Per=Y","Days=T","Dir=V")</f>
        <v>0</v>
      </c>
      <c r="AE2">
        <f>BDH("SMMT US Equity","NET_INCOME","1993-06-18","2026-05-02","Per=Y","Days=T","Dir=V")</f>
        <v>0</v>
      </c>
      <c r="AG2">
        <f>BDH("SMMT US Equity","IS_INT_EXPENSE","1993-06-18","2026-05-02","Per=Y","Days=T","Dir=V")</f>
        <v>0</v>
      </c>
      <c r="AI2">
        <f>BDH("SMMT US Equity","IS_DEPR_EXP","1993-06-18","2026-05-02","Per=Y","Days=T","Dir=V")</f>
        <v>0</v>
      </c>
      <c r="AK2">
        <f>BDH("SMMT US Equity","CF_CASH_FROM_OPER","1993-06-18","2026-05-02","Per=Y","Days=T","Dir=V")</f>
        <v>0</v>
      </c>
      <c r="AM2">
        <f>BDH("SMMT US Equity","CAPITAL_EXPEND","1993-06-18","2026-05-02","Per=Y","Days=T","Dir=V")</f>
        <v>0</v>
      </c>
      <c r="AO2">
        <f>BDH("SMMT US Equity","CF_FREE_CASH_FLOW","1993-06-18","2026-05-02","Per=Y","Days=T","Dir=V")</f>
        <v>0</v>
      </c>
      <c r="AQ2">
        <f>BDH("SMMT US Equity","PX_LAST","1993-06-18","2026-05-02","Per=M","Days=T","Dir=V")</f>
        <v>0</v>
      </c>
      <c r="AS2">
        <f>BDH("SMMT US Equity","CUR_MKT_CAP","1993-06-18","2026-05-02","Per=M","Days=T","Dir=V")</f>
        <v>0</v>
      </c>
      <c r="AU2">
        <f>BDH("SMMT US Equity","EQY_SH_OUT","1993-06-18","2026-05-02","Per=M","Days=T","Dir=V")</f>
        <v>0</v>
      </c>
      <c r="AW2">
        <f>BDH("SMMT US Equity","PX_VOLUME","1993-06-18","2026-05-02","Per=M","Days=T","Dir=V")</f>
        <v>0</v>
      </c>
      <c r="AY2">
        <f>BDH("SMMT US Equity","TURNOVER","1993-06-18","2026-05-02","Per=M","Days=T","Dir=V")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BDH("SMP US Equity","BS_TOT_ASSET","1993-06-18","2026-05-02","Per=Y","Days=T","Dir=V")</f>
        <v>0</v>
      </c>
      <c r="C2">
        <f>BDH("SMP US Equity","BS_TOT_LIAB2","1993-06-18","2026-05-02","Per=Y","Days=T","Dir=V")</f>
        <v>0</v>
      </c>
      <c r="E2">
        <f>BDH("SMP US Equity","SHORT_AND_LONG_TERM_DEBT","1993-06-18","2026-05-02","Per=Y","Days=T","Dir=V")</f>
        <v>0</v>
      </c>
      <c r="G2">
        <f>BDH("SMP US Equity","BS_ST_BORROW","1993-06-18","2026-05-02","Per=Y","Days=T","Dir=V")</f>
        <v>0</v>
      </c>
      <c r="I2">
        <f>BDH("SMP US Equity","BS_LT_BORROW","1993-06-18","2026-05-02","Per=Y","Days=T","Dir=V")</f>
        <v>0</v>
      </c>
      <c r="K2">
        <f>BDH("SMP US Equity","BS_CASH_NEAR_CASH_ITEM","1993-06-18","2026-05-02","Per=Y","Days=T","Dir=V")</f>
        <v>0</v>
      </c>
      <c r="M2">
        <f>BDH("SMP US Equity","BS_CUR_ASSET_REPORT","1993-06-18","2026-05-02","Per=Y","Days=T","Dir=V")</f>
        <v>0</v>
      </c>
      <c r="O2">
        <f>BDH("SMP US Equity","BS_CUR_LIAB","1993-06-18","2026-05-02","Per=Y","Days=T","Dir=V")</f>
        <v>0</v>
      </c>
      <c r="Q2">
        <f>BDH("SMP US Equity","BS_SHAREHOLDER_EQY_ENDING_PERIOD","1993-06-18","2026-05-02","Per=Y","Days=T","Dir=V")</f>
        <v>0</v>
      </c>
      <c r="S2">
        <f>BDH("SMP US Equity","BS_ACCT_NOTE_RCV","1993-06-18","2026-05-02","Per=Y","Days=T","Dir=V")</f>
        <v>0</v>
      </c>
      <c r="U2">
        <f>BDH("SMP US Equity","BS_INVENTORIES","1993-06-18","2026-05-02","Per=Y","Days=T","Dir=V")</f>
        <v>0</v>
      </c>
      <c r="W2">
        <f>BDH("SMP US Equity","WORKING_CAPITAL","1993-06-18","2026-05-02","Per=Y","Days=T","Dir=V")</f>
        <v>0</v>
      </c>
      <c r="Y2">
        <f>BDH("SMP US Equity","SALES_REV_TURN","1993-06-18","2026-05-02","Per=Y","Days=T","Dir=V")</f>
        <v>0</v>
      </c>
      <c r="AA2">
        <f>BDH("SMP US Equity","EBIT","1993-06-18","2026-05-02","Per=Y","Days=T","Dir=V")</f>
        <v>0</v>
      </c>
      <c r="AC2">
        <f>BDH("SMP US Equity","EBITDA","1993-06-18","2026-05-02","Per=Y","Days=T","Dir=V")</f>
        <v>0</v>
      </c>
      <c r="AE2">
        <f>BDH("SMP US Equity","NET_INCOME","1993-06-18","2026-05-02","Per=Y","Days=T","Dir=V")</f>
        <v>0</v>
      </c>
      <c r="AG2">
        <f>BDH("SMP US Equity","IS_INT_EXPENSE","1993-06-18","2026-05-02","Per=Y","Days=T","Dir=V")</f>
        <v>0</v>
      </c>
      <c r="AI2">
        <f>BDH("SMP US Equity","IS_DEPR_EXP","1993-06-18","2026-05-02","Per=Y","Days=T","Dir=V")</f>
        <v>0</v>
      </c>
      <c r="AK2">
        <f>BDH("SMP US Equity","CF_CASH_FROM_OPER","1993-06-18","2026-05-02","Per=Y","Days=T","Dir=V")</f>
        <v>0</v>
      </c>
      <c r="AM2">
        <f>BDH("SMP US Equity","CAPITAL_EXPEND","1993-06-18","2026-05-02","Per=Y","Days=T","Dir=V")</f>
        <v>0</v>
      </c>
      <c r="AO2">
        <f>BDH("SMP US Equity","CF_FREE_CASH_FLOW","1993-06-18","2026-05-02","Per=Y","Days=T","Dir=V")</f>
        <v>0</v>
      </c>
      <c r="AQ2">
        <f>BDH("SMP US Equity","PX_LAST","1993-06-18","2026-05-02","Per=M","Days=T","Dir=V")</f>
        <v>0</v>
      </c>
      <c r="AS2">
        <f>BDH("SMP US Equity","CUR_MKT_CAP","1993-06-18","2026-05-02","Per=M","Days=T","Dir=V")</f>
        <v>0</v>
      </c>
      <c r="AU2">
        <f>BDH("SMP US Equity","EQY_SH_OUT","1993-06-18","2026-05-02","Per=M","Days=T","Dir=V")</f>
        <v>0</v>
      </c>
      <c r="AW2">
        <f>BDH("SMP US Equity","PX_VOLUME","1993-06-18","2026-05-02","Per=M","Days=T","Dir=V")</f>
        <v>0</v>
      </c>
      <c r="AY2">
        <f>BDH("SMP US Equity","TURNOVER","1993-06-18","2026-05-02","Per=M","Days=T","Dir=V")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BDH("SMPL US Equity","BS_TOT_ASSET","1993-06-18","2026-05-02","Per=Y","Days=T","Dir=V")</f>
        <v>0</v>
      </c>
      <c r="C2">
        <f>BDH("SMPL US Equity","BS_TOT_LIAB2","1993-06-18","2026-05-02","Per=Y","Days=T","Dir=V")</f>
        <v>0</v>
      </c>
      <c r="E2">
        <f>BDH("SMPL US Equity","SHORT_AND_LONG_TERM_DEBT","1993-06-18","2026-05-02","Per=Y","Days=T","Dir=V")</f>
        <v>0</v>
      </c>
      <c r="G2">
        <f>BDH("SMPL US Equity","BS_ST_BORROW","1993-06-18","2026-05-02","Per=Y","Days=T","Dir=V")</f>
        <v>0</v>
      </c>
      <c r="I2">
        <f>BDH("SMPL US Equity","BS_LT_BORROW","1993-06-18","2026-05-02","Per=Y","Days=T","Dir=V")</f>
        <v>0</v>
      </c>
      <c r="K2">
        <f>BDH("SMPL US Equity","BS_CASH_NEAR_CASH_ITEM","1993-06-18","2026-05-02","Per=Y","Days=T","Dir=V")</f>
        <v>0</v>
      </c>
      <c r="M2">
        <f>BDH("SMPL US Equity","BS_CUR_ASSET_REPORT","1993-06-18","2026-05-02","Per=Y","Days=T","Dir=V")</f>
        <v>0</v>
      </c>
      <c r="O2">
        <f>BDH("SMPL US Equity","BS_CUR_LIAB","1993-06-18","2026-05-02","Per=Y","Days=T","Dir=V")</f>
        <v>0</v>
      </c>
      <c r="Q2">
        <f>BDH("SMPL US Equity","BS_SHAREHOLDER_EQY_ENDING_PERIOD","1993-06-18","2026-05-02","Per=Y","Days=T","Dir=V")</f>
        <v>0</v>
      </c>
      <c r="S2">
        <f>BDH("SMPL US Equity","BS_ACCT_NOTE_RCV","1993-06-18","2026-05-02","Per=Y","Days=T","Dir=V")</f>
        <v>0</v>
      </c>
      <c r="U2">
        <f>BDH("SMPL US Equity","BS_INVENTORIES","1993-06-18","2026-05-02","Per=Y","Days=T","Dir=V")</f>
        <v>0</v>
      </c>
      <c r="W2">
        <f>BDH("SMPL US Equity","WORKING_CAPITAL","1993-06-18","2026-05-02","Per=Y","Days=T","Dir=V")</f>
        <v>0</v>
      </c>
      <c r="Y2">
        <f>BDH("SMPL US Equity","SALES_REV_TURN","1993-06-18","2026-05-02","Per=Y","Days=T","Dir=V")</f>
        <v>0</v>
      </c>
      <c r="AA2">
        <f>BDH("SMPL US Equity","EBIT","1993-06-18","2026-05-02","Per=Y","Days=T","Dir=V")</f>
        <v>0</v>
      </c>
      <c r="AC2">
        <f>BDH("SMPL US Equity","EBITDA","1993-06-18","2026-05-02","Per=Y","Days=T","Dir=V")</f>
        <v>0</v>
      </c>
      <c r="AE2">
        <f>BDH("SMPL US Equity","NET_INCOME","1993-06-18","2026-05-02","Per=Y","Days=T","Dir=V")</f>
        <v>0</v>
      </c>
      <c r="AG2">
        <f>BDH("SMPL US Equity","IS_INT_EXPENSE","1993-06-18","2026-05-02","Per=Y","Days=T","Dir=V")</f>
        <v>0</v>
      </c>
      <c r="AI2">
        <f>BDH("SMPL US Equity","IS_DEPR_EXP","1993-06-18","2026-05-02","Per=Y","Days=T","Dir=V")</f>
        <v>0</v>
      </c>
      <c r="AK2">
        <f>BDH("SMPL US Equity","CF_CASH_FROM_OPER","1993-06-18","2026-05-02","Per=Y","Days=T","Dir=V")</f>
        <v>0</v>
      </c>
      <c r="AM2">
        <f>BDH("SMPL US Equity","CAPITAL_EXPEND","1993-06-18","2026-05-02","Per=Y","Days=T","Dir=V")</f>
        <v>0</v>
      </c>
      <c r="AO2">
        <f>BDH("SMPL US Equity","CF_FREE_CASH_FLOW","1993-06-18","2026-05-02","Per=Y","Days=T","Dir=V")</f>
        <v>0</v>
      </c>
      <c r="AQ2">
        <f>BDH("SMPL US Equity","PX_LAST","1993-06-18","2026-05-02","Per=M","Days=T","Dir=V")</f>
        <v>0</v>
      </c>
      <c r="AS2">
        <f>BDH("SMPL US Equity","CUR_MKT_CAP","1993-06-18","2026-05-02","Per=M","Days=T","Dir=V")</f>
        <v>0</v>
      </c>
      <c r="AU2">
        <f>BDH("SMPL US Equity","EQY_SH_OUT","1993-06-18","2026-05-02","Per=M","Days=T","Dir=V")</f>
        <v>0</v>
      </c>
      <c r="AW2">
        <f>BDH("SMPL US Equity","PX_VOLUME","1993-06-18","2026-05-02","Per=M","Days=T","Dir=V")</f>
        <v>0</v>
      </c>
      <c r="AY2">
        <f>BDH("SMPL US Equity","TURNOVER","1993-06-18","2026-05-02","Per=M","Days=T","Dir=V")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BDH("SMR US Equity","BS_TOT_ASSET","1993-06-18","2026-05-02","Per=Y","Days=T","Dir=V")</f>
        <v>0</v>
      </c>
      <c r="C2">
        <f>BDH("SMR US Equity","BS_TOT_LIAB2","1993-06-18","2026-05-02","Per=Y","Days=T","Dir=V")</f>
        <v>0</v>
      </c>
      <c r="E2">
        <f>BDH("SMR US Equity","SHORT_AND_LONG_TERM_DEBT","1993-06-18","2026-05-02","Per=Y","Days=T","Dir=V")</f>
        <v>0</v>
      </c>
      <c r="G2">
        <f>BDH("SMR US Equity","BS_ST_BORROW","1993-06-18","2026-05-02","Per=Y","Days=T","Dir=V")</f>
        <v>0</v>
      </c>
      <c r="I2">
        <f>BDH("SMR US Equity","BS_LT_BORROW","1993-06-18","2026-05-02","Per=Y","Days=T","Dir=V")</f>
        <v>0</v>
      </c>
      <c r="K2">
        <f>BDH("SMR US Equity","BS_CASH_NEAR_CASH_ITEM","1993-06-18","2026-05-02","Per=Y","Days=T","Dir=V")</f>
        <v>0</v>
      </c>
      <c r="M2">
        <f>BDH("SMR US Equity","BS_CUR_ASSET_REPORT","1993-06-18","2026-05-02","Per=Y","Days=T","Dir=V")</f>
        <v>0</v>
      </c>
      <c r="O2">
        <f>BDH("SMR US Equity","BS_CUR_LIAB","1993-06-18","2026-05-02","Per=Y","Days=T","Dir=V")</f>
        <v>0</v>
      </c>
      <c r="Q2">
        <f>BDH("SMR US Equity","BS_SHAREHOLDER_EQY_ENDING_PERIOD","1993-06-18","2026-05-02","Per=Y","Days=T","Dir=V")</f>
        <v>0</v>
      </c>
      <c r="S2">
        <f>BDH("SMR US Equity","BS_ACCT_NOTE_RCV","1993-06-18","2026-05-02","Per=Y","Days=T","Dir=V")</f>
        <v>0</v>
      </c>
      <c r="U2">
        <f>BDH("SMR US Equity","BS_INVENTORIES","1993-06-18","2026-05-02","Per=Y","Days=T","Dir=V")</f>
        <v>0</v>
      </c>
      <c r="W2">
        <f>BDH("SMR US Equity","WORKING_CAPITAL","1993-06-18","2026-05-02","Per=Y","Days=T","Dir=V")</f>
        <v>0</v>
      </c>
      <c r="Y2">
        <f>BDH("SMR US Equity","SALES_REV_TURN","1993-06-18","2026-05-02","Per=Y","Days=T","Dir=V")</f>
        <v>0</v>
      </c>
      <c r="AA2">
        <f>BDH("SMR US Equity","EBIT","1993-06-18","2026-05-02","Per=Y","Days=T","Dir=V")</f>
        <v>0</v>
      </c>
      <c r="AC2">
        <f>BDH("SMR US Equity","EBITDA","1993-06-18","2026-05-02","Per=Y","Days=T","Dir=V")</f>
        <v>0</v>
      </c>
      <c r="AE2">
        <f>BDH("SMR US Equity","NET_INCOME","1993-06-18","2026-05-02","Per=Y","Days=T","Dir=V")</f>
        <v>0</v>
      </c>
      <c r="AG2">
        <f>BDH("SMR US Equity","IS_INT_EXPENSE","1993-06-18","2026-05-02","Per=Y","Days=T","Dir=V")</f>
        <v>0</v>
      </c>
      <c r="AI2">
        <f>BDH("SMR US Equity","IS_DEPR_EXP","1993-06-18","2026-05-02","Per=Y","Days=T","Dir=V")</f>
        <v>0</v>
      </c>
      <c r="AK2">
        <f>BDH("SMR US Equity","CF_CASH_FROM_OPER","1993-06-18","2026-05-02","Per=Y","Days=T","Dir=V")</f>
        <v>0</v>
      </c>
      <c r="AM2">
        <f>BDH("SMR US Equity","CAPITAL_EXPEND","1993-06-18","2026-05-02","Per=Y","Days=T","Dir=V")</f>
        <v>0</v>
      </c>
      <c r="AO2">
        <f>BDH("SMR US Equity","CF_FREE_CASH_FLOW","1993-06-18","2026-05-02","Per=Y","Days=T","Dir=V")</f>
        <v>0</v>
      </c>
      <c r="AQ2">
        <f>BDH("SMR US Equity","PX_LAST","1993-06-18","2026-05-02","Per=M","Days=T","Dir=V")</f>
        <v>0</v>
      </c>
      <c r="AS2">
        <f>BDH("SMR US Equity","CUR_MKT_CAP","1993-06-18","2026-05-02","Per=M","Days=T","Dir=V")</f>
        <v>0</v>
      </c>
      <c r="AU2">
        <f>BDH("SMR US Equity","EQY_SH_OUT","1993-06-18","2026-05-02","Per=M","Days=T","Dir=V")</f>
        <v>0</v>
      </c>
      <c r="AW2">
        <f>BDH("SMR US Equity","PX_VOLUME","1993-06-18","2026-05-02","Per=M","Days=T","Dir=V")</f>
        <v>0</v>
      </c>
      <c r="AY2">
        <f>BDH("SMR US Equity","TURNOVER","1993-06-18","2026-05-02","Per=M","Days=T","Dir=V")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BDH("SMRT US Equity","BS_TOT_ASSET","1993-06-18","2026-05-02","Per=Y","Days=T","Dir=V")</f>
        <v>0</v>
      </c>
      <c r="C2">
        <f>BDH("SMRT US Equity","BS_TOT_LIAB2","1993-06-18","2026-05-02","Per=Y","Days=T","Dir=V")</f>
        <v>0</v>
      </c>
      <c r="E2">
        <f>BDH("SMRT US Equity","SHORT_AND_LONG_TERM_DEBT","1993-06-18","2026-05-02","Per=Y","Days=T","Dir=V")</f>
        <v>0</v>
      </c>
      <c r="G2">
        <f>BDH("SMRT US Equity","BS_ST_BORROW","1993-06-18","2026-05-02","Per=Y","Days=T","Dir=V")</f>
        <v>0</v>
      </c>
      <c r="I2">
        <f>BDH("SMRT US Equity","BS_LT_BORROW","1993-06-18","2026-05-02","Per=Y","Days=T","Dir=V")</f>
        <v>0</v>
      </c>
      <c r="K2">
        <f>BDH("SMRT US Equity","BS_CASH_NEAR_CASH_ITEM","1993-06-18","2026-05-02","Per=Y","Days=T","Dir=V")</f>
        <v>0</v>
      </c>
      <c r="M2">
        <f>BDH("SMRT US Equity","BS_CUR_ASSET_REPORT","1993-06-18","2026-05-02","Per=Y","Days=T","Dir=V")</f>
        <v>0</v>
      </c>
      <c r="O2">
        <f>BDH("SMRT US Equity","BS_CUR_LIAB","1993-06-18","2026-05-02","Per=Y","Days=T","Dir=V")</f>
        <v>0</v>
      </c>
      <c r="Q2">
        <f>BDH("SMRT US Equity","BS_SHAREHOLDER_EQY_ENDING_PERIOD","1993-06-18","2026-05-02","Per=Y","Days=T","Dir=V")</f>
        <v>0</v>
      </c>
      <c r="S2">
        <f>BDH("SMRT US Equity","BS_ACCT_NOTE_RCV","1993-06-18","2026-05-02","Per=Y","Days=T","Dir=V")</f>
        <v>0</v>
      </c>
      <c r="U2">
        <f>BDH("SMRT US Equity","BS_INVENTORIES","1993-06-18","2026-05-02","Per=Y","Days=T","Dir=V")</f>
        <v>0</v>
      </c>
      <c r="W2">
        <f>BDH("SMRT US Equity","WORKING_CAPITAL","1993-06-18","2026-05-02","Per=Y","Days=T","Dir=V")</f>
        <v>0</v>
      </c>
      <c r="Y2">
        <f>BDH("SMRT US Equity","SALES_REV_TURN","1993-06-18","2026-05-02","Per=Y","Days=T","Dir=V")</f>
        <v>0</v>
      </c>
      <c r="AA2">
        <f>BDH("SMRT US Equity","EBIT","1993-06-18","2026-05-02","Per=Y","Days=T","Dir=V")</f>
        <v>0</v>
      </c>
      <c r="AC2">
        <f>BDH("SMRT US Equity","EBITDA","1993-06-18","2026-05-02","Per=Y","Days=T","Dir=V")</f>
        <v>0</v>
      </c>
      <c r="AE2">
        <f>BDH("SMRT US Equity","NET_INCOME","1993-06-18","2026-05-02","Per=Y","Days=T","Dir=V")</f>
        <v>0</v>
      </c>
      <c r="AG2">
        <f>BDH("SMRT US Equity","IS_INT_EXPENSE","1993-06-18","2026-05-02","Per=Y","Days=T","Dir=V")</f>
        <v>0</v>
      </c>
      <c r="AI2">
        <f>BDH("SMRT US Equity","IS_DEPR_EXP","1993-06-18","2026-05-02","Per=Y","Days=T","Dir=V")</f>
        <v>0</v>
      </c>
      <c r="AK2">
        <f>BDH("SMRT US Equity","CF_CASH_FROM_OPER","1993-06-18","2026-05-02","Per=Y","Days=T","Dir=V")</f>
        <v>0</v>
      </c>
      <c r="AM2">
        <f>BDH("SMRT US Equity","CAPITAL_EXPEND","1993-06-18","2026-05-02","Per=Y","Days=T","Dir=V")</f>
        <v>0</v>
      </c>
      <c r="AO2">
        <f>BDH("SMRT US Equity","CF_FREE_CASH_FLOW","1993-06-18","2026-05-02","Per=Y","Days=T","Dir=V")</f>
        <v>0</v>
      </c>
      <c r="AQ2">
        <f>BDH("SMRT US Equity","PX_LAST","1993-06-18","2026-05-02","Per=M","Days=T","Dir=V")</f>
        <v>0</v>
      </c>
      <c r="AS2">
        <f>BDH("SMRT US Equity","CUR_MKT_CAP","1993-06-18","2026-05-02","Per=M","Days=T","Dir=V")</f>
        <v>0</v>
      </c>
      <c r="AU2">
        <f>BDH("SMRT US Equity","EQY_SH_OUT","1993-06-18","2026-05-02","Per=M","Days=T","Dir=V")</f>
        <v>0</v>
      </c>
      <c r="AW2">
        <f>BDH("SMRT US Equity","PX_VOLUME","1993-06-18","2026-05-02","Per=M","Days=T","Dir=V")</f>
        <v>0</v>
      </c>
      <c r="AY2">
        <f>BDH("SMRT US Equity","TURNOVER","1993-06-18","2026-05-02","Per=M","Days=T","Dir=V")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BDH("SMSI US Equity","BS_TOT_ASSET","1993-06-18","2026-05-02","Per=Y","Days=T","Dir=V")</f>
        <v>0</v>
      </c>
      <c r="C2">
        <f>BDH("SMSI US Equity","BS_TOT_LIAB2","1993-06-18","2026-05-02","Per=Y","Days=T","Dir=V")</f>
        <v>0</v>
      </c>
      <c r="E2">
        <f>BDH("SMSI US Equity","SHORT_AND_LONG_TERM_DEBT","1993-06-18","2026-05-02","Per=Y","Days=T","Dir=V")</f>
        <v>0</v>
      </c>
      <c r="G2">
        <f>BDH("SMSI US Equity","BS_ST_BORROW","1993-06-18","2026-05-02","Per=Y","Days=T","Dir=V")</f>
        <v>0</v>
      </c>
      <c r="I2">
        <f>BDH("SMSI US Equity","BS_LT_BORROW","1993-06-18","2026-05-02","Per=Y","Days=T","Dir=V")</f>
        <v>0</v>
      </c>
      <c r="K2">
        <f>BDH("SMSI US Equity","BS_CASH_NEAR_CASH_ITEM","1993-06-18","2026-05-02","Per=Y","Days=T","Dir=V")</f>
        <v>0</v>
      </c>
      <c r="M2">
        <f>BDH("SMSI US Equity","BS_CUR_ASSET_REPORT","1993-06-18","2026-05-02","Per=Y","Days=T","Dir=V")</f>
        <v>0</v>
      </c>
      <c r="O2">
        <f>BDH("SMSI US Equity","BS_CUR_LIAB","1993-06-18","2026-05-02","Per=Y","Days=T","Dir=V")</f>
        <v>0</v>
      </c>
      <c r="Q2">
        <f>BDH("SMSI US Equity","BS_SHAREHOLDER_EQY_ENDING_PERIOD","1993-06-18","2026-05-02","Per=Y","Days=T","Dir=V")</f>
        <v>0</v>
      </c>
      <c r="S2">
        <f>BDH("SMSI US Equity","BS_ACCT_NOTE_RCV","1993-06-18","2026-05-02","Per=Y","Days=T","Dir=V")</f>
        <v>0</v>
      </c>
      <c r="U2">
        <f>BDH("SMSI US Equity","BS_INVENTORIES","1993-06-18","2026-05-02","Per=Y","Days=T","Dir=V")</f>
        <v>0</v>
      </c>
      <c r="W2">
        <f>BDH("SMSI US Equity","WORKING_CAPITAL","1993-06-18","2026-05-02","Per=Y","Days=T","Dir=V")</f>
        <v>0</v>
      </c>
      <c r="Y2">
        <f>BDH("SMSI US Equity","SALES_REV_TURN","1993-06-18","2026-05-02","Per=Y","Days=T","Dir=V")</f>
        <v>0</v>
      </c>
      <c r="AA2">
        <f>BDH("SMSI US Equity","EBIT","1993-06-18","2026-05-02","Per=Y","Days=T","Dir=V")</f>
        <v>0</v>
      </c>
      <c r="AC2">
        <f>BDH("SMSI US Equity","EBITDA","1993-06-18","2026-05-02","Per=Y","Days=T","Dir=V")</f>
        <v>0</v>
      </c>
      <c r="AE2">
        <f>BDH("SMSI US Equity","NET_INCOME","1993-06-18","2026-05-02","Per=Y","Days=T","Dir=V")</f>
        <v>0</v>
      </c>
      <c r="AG2">
        <f>BDH("SMSI US Equity","IS_INT_EXPENSE","1993-06-18","2026-05-02","Per=Y","Days=T","Dir=V")</f>
        <v>0</v>
      </c>
      <c r="AI2">
        <f>BDH("SMSI US Equity","IS_DEPR_EXP","1993-06-18","2026-05-02","Per=Y","Days=T","Dir=V")</f>
        <v>0</v>
      </c>
      <c r="AK2">
        <f>BDH("SMSI US Equity","CF_CASH_FROM_OPER","1993-06-18","2026-05-02","Per=Y","Days=T","Dir=V")</f>
        <v>0</v>
      </c>
      <c r="AM2">
        <f>BDH("SMSI US Equity","CAPITAL_EXPEND","1993-06-18","2026-05-02","Per=Y","Days=T","Dir=V")</f>
        <v>0</v>
      </c>
      <c r="AO2">
        <f>BDH("SMSI US Equity","CF_FREE_CASH_FLOW","1993-06-18","2026-05-02","Per=Y","Days=T","Dir=V")</f>
        <v>0</v>
      </c>
      <c r="AQ2">
        <f>BDH("SMSI US Equity","PX_LAST","1993-06-18","2026-05-02","Per=M","Days=T","Dir=V")</f>
        <v>0</v>
      </c>
      <c r="AS2">
        <f>BDH("SMSI US Equity","CUR_MKT_CAP","1993-06-18","2026-05-02","Per=M","Days=T","Dir=V")</f>
        <v>0</v>
      </c>
      <c r="AU2">
        <f>BDH("SMSI US Equity","EQY_SH_OUT","1993-06-18","2026-05-02","Per=M","Days=T","Dir=V")</f>
        <v>0</v>
      </c>
      <c r="AW2">
        <f>BDH("SMSI US Equity","PX_VOLUME","1993-06-18","2026-05-02","Per=M","Days=T","Dir=V")</f>
        <v>0</v>
      </c>
      <c r="AY2">
        <f>BDH("SMSI US Equity","TURNOVER","1993-06-18","2026-05-02","Per=M","Days=T","Dir=V")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BDH("SMTC US Equity","BS_TOT_ASSET","1993-06-18","2026-05-02","Per=Y","Days=T","Dir=V")</f>
        <v>0</v>
      </c>
      <c r="C2">
        <f>BDH("SMTC US Equity","BS_TOT_LIAB2","1993-06-18","2026-05-02","Per=Y","Days=T","Dir=V")</f>
        <v>0</v>
      </c>
      <c r="E2">
        <f>BDH("SMTC US Equity","SHORT_AND_LONG_TERM_DEBT","1993-06-18","2026-05-02","Per=Y","Days=T","Dir=V")</f>
        <v>0</v>
      </c>
      <c r="G2">
        <f>BDH("SMTC US Equity","BS_ST_BORROW","1993-06-18","2026-05-02","Per=Y","Days=T","Dir=V")</f>
        <v>0</v>
      </c>
      <c r="I2">
        <f>BDH("SMTC US Equity","BS_LT_BORROW","1993-06-18","2026-05-02","Per=Y","Days=T","Dir=V")</f>
        <v>0</v>
      </c>
      <c r="K2">
        <f>BDH("SMTC US Equity","BS_CASH_NEAR_CASH_ITEM","1993-06-18","2026-05-02","Per=Y","Days=T","Dir=V")</f>
        <v>0</v>
      </c>
      <c r="M2">
        <f>BDH("SMTC US Equity","BS_CUR_ASSET_REPORT","1993-06-18","2026-05-02","Per=Y","Days=T","Dir=V")</f>
        <v>0</v>
      </c>
      <c r="O2">
        <f>BDH("SMTC US Equity","BS_CUR_LIAB","1993-06-18","2026-05-02","Per=Y","Days=T","Dir=V")</f>
        <v>0</v>
      </c>
      <c r="Q2">
        <f>BDH("SMTC US Equity","BS_SHAREHOLDER_EQY_ENDING_PERIOD","1993-06-18","2026-05-02","Per=Y","Days=T","Dir=V")</f>
        <v>0</v>
      </c>
      <c r="S2">
        <f>BDH("SMTC US Equity","BS_ACCT_NOTE_RCV","1993-06-18","2026-05-02","Per=Y","Days=T","Dir=V")</f>
        <v>0</v>
      </c>
      <c r="U2">
        <f>BDH("SMTC US Equity","BS_INVENTORIES","1993-06-18","2026-05-02","Per=Y","Days=T","Dir=V")</f>
        <v>0</v>
      </c>
      <c r="W2">
        <f>BDH("SMTC US Equity","WORKING_CAPITAL","1993-06-18","2026-05-02","Per=Y","Days=T","Dir=V")</f>
        <v>0</v>
      </c>
      <c r="Y2">
        <f>BDH("SMTC US Equity","SALES_REV_TURN","1993-06-18","2026-05-02","Per=Y","Days=T","Dir=V")</f>
        <v>0</v>
      </c>
      <c r="AA2">
        <f>BDH("SMTC US Equity","EBIT","1993-06-18","2026-05-02","Per=Y","Days=T","Dir=V")</f>
        <v>0</v>
      </c>
      <c r="AC2">
        <f>BDH("SMTC US Equity","EBITDA","1993-06-18","2026-05-02","Per=Y","Days=T","Dir=V")</f>
        <v>0</v>
      </c>
      <c r="AE2">
        <f>BDH("SMTC US Equity","NET_INCOME","1993-06-18","2026-05-02","Per=Y","Days=T","Dir=V")</f>
        <v>0</v>
      </c>
      <c r="AG2">
        <f>BDH("SMTC US Equity","IS_INT_EXPENSE","1993-06-18","2026-05-02","Per=Y","Days=T","Dir=V")</f>
        <v>0</v>
      </c>
      <c r="AI2">
        <f>BDH("SMTC US Equity","IS_DEPR_EXP","1993-06-18","2026-05-02","Per=Y","Days=T","Dir=V")</f>
        <v>0</v>
      </c>
      <c r="AK2">
        <f>BDH("SMTC US Equity","CF_CASH_FROM_OPER","1993-06-18","2026-05-02","Per=Y","Days=T","Dir=V")</f>
        <v>0</v>
      </c>
      <c r="AM2">
        <f>BDH("SMTC US Equity","CAPITAL_EXPEND","1993-06-18","2026-05-02","Per=Y","Days=T","Dir=V")</f>
        <v>0</v>
      </c>
      <c r="AO2">
        <f>BDH("SMTC US Equity","CF_FREE_CASH_FLOW","1993-06-18","2026-05-02","Per=Y","Days=T","Dir=V")</f>
        <v>0</v>
      </c>
      <c r="AQ2">
        <f>BDH("SMTC US Equity","PX_LAST","1993-06-18","2026-05-02","Per=M","Days=T","Dir=V")</f>
        <v>0</v>
      </c>
      <c r="AS2">
        <f>BDH("SMTC US Equity","CUR_MKT_CAP","1993-06-18","2026-05-02","Per=M","Days=T","Dir=V")</f>
        <v>0</v>
      </c>
      <c r="AU2">
        <f>BDH("SMTC US Equity","EQY_SH_OUT","1993-06-18","2026-05-02","Per=M","Days=T","Dir=V")</f>
        <v>0</v>
      </c>
      <c r="AW2">
        <f>BDH("SMTC US Equity","PX_VOLUME","1993-06-18","2026-05-02","Per=M","Days=T","Dir=V")</f>
        <v>0</v>
      </c>
      <c r="AY2">
        <f>BDH("SMTC US Equity","TURNOVER","1993-06-18","2026-05-02","Per=M","Days=T","Dir=V")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BDH("SMTI US Equity","BS_TOT_ASSET","1993-06-18","2026-05-02","Per=Y","Days=T","Dir=V")</f>
        <v>0</v>
      </c>
      <c r="C2">
        <f>BDH("SMTI US Equity","BS_TOT_LIAB2","1993-06-18","2026-05-02","Per=Y","Days=T","Dir=V")</f>
        <v>0</v>
      </c>
      <c r="E2">
        <f>BDH("SMTI US Equity","SHORT_AND_LONG_TERM_DEBT","1993-06-18","2026-05-02","Per=Y","Days=T","Dir=V")</f>
        <v>0</v>
      </c>
      <c r="G2">
        <f>BDH("SMTI US Equity","BS_ST_BORROW","1993-06-18","2026-05-02","Per=Y","Days=T","Dir=V")</f>
        <v>0</v>
      </c>
      <c r="I2">
        <f>BDH("SMTI US Equity","BS_LT_BORROW","1993-06-18","2026-05-02","Per=Y","Days=T","Dir=V")</f>
        <v>0</v>
      </c>
      <c r="K2">
        <f>BDH("SMTI US Equity","BS_CASH_NEAR_CASH_ITEM","1993-06-18","2026-05-02","Per=Y","Days=T","Dir=V")</f>
        <v>0</v>
      </c>
      <c r="M2">
        <f>BDH("SMTI US Equity","BS_CUR_ASSET_REPORT","1993-06-18","2026-05-02","Per=Y","Days=T","Dir=V")</f>
        <v>0</v>
      </c>
      <c r="O2">
        <f>BDH("SMTI US Equity","BS_CUR_LIAB","1993-06-18","2026-05-02","Per=Y","Days=T","Dir=V")</f>
        <v>0</v>
      </c>
      <c r="Q2">
        <f>BDH("SMTI US Equity","BS_SHAREHOLDER_EQY_ENDING_PERIOD","1993-06-18","2026-05-02","Per=Y","Days=T","Dir=V")</f>
        <v>0</v>
      </c>
      <c r="S2">
        <f>BDH("SMTI US Equity","BS_ACCT_NOTE_RCV","1993-06-18","2026-05-02","Per=Y","Days=T","Dir=V")</f>
        <v>0</v>
      </c>
      <c r="U2">
        <f>BDH("SMTI US Equity","BS_INVENTORIES","1993-06-18","2026-05-02","Per=Y","Days=T","Dir=V")</f>
        <v>0</v>
      </c>
      <c r="W2">
        <f>BDH("SMTI US Equity","WORKING_CAPITAL","1993-06-18","2026-05-02","Per=Y","Days=T","Dir=V")</f>
        <v>0</v>
      </c>
      <c r="Y2">
        <f>BDH("SMTI US Equity","SALES_REV_TURN","1993-06-18","2026-05-02","Per=Y","Days=T","Dir=V")</f>
        <v>0</v>
      </c>
      <c r="AA2">
        <f>BDH("SMTI US Equity","EBIT","1993-06-18","2026-05-02","Per=Y","Days=T","Dir=V")</f>
        <v>0</v>
      </c>
      <c r="AC2">
        <f>BDH("SMTI US Equity","EBITDA","1993-06-18","2026-05-02","Per=Y","Days=T","Dir=V")</f>
        <v>0</v>
      </c>
      <c r="AE2">
        <f>BDH("SMTI US Equity","NET_INCOME","1993-06-18","2026-05-02","Per=Y","Days=T","Dir=V")</f>
        <v>0</v>
      </c>
      <c r="AG2">
        <f>BDH("SMTI US Equity","IS_INT_EXPENSE","1993-06-18","2026-05-02","Per=Y","Days=T","Dir=V")</f>
        <v>0</v>
      </c>
      <c r="AI2">
        <f>BDH("SMTI US Equity","IS_DEPR_EXP","1993-06-18","2026-05-02","Per=Y","Days=T","Dir=V")</f>
        <v>0</v>
      </c>
      <c r="AK2">
        <f>BDH("SMTI US Equity","CF_CASH_FROM_OPER","1993-06-18","2026-05-02","Per=Y","Days=T","Dir=V")</f>
        <v>0</v>
      </c>
      <c r="AM2">
        <f>BDH("SMTI US Equity","CAPITAL_EXPEND","1993-06-18","2026-05-02","Per=Y","Days=T","Dir=V")</f>
        <v>0</v>
      </c>
      <c r="AO2">
        <f>BDH("SMTI US Equity","CF_FREE_CASH_FLOW","1993-06-18","2026-05-02","Per=Y","Days=T","Dir=V")</f>
        <v>0</v>
      </c>
      <c r="AQ2">
        <f>BDH("SMTI US Equity","PX_LAST","1993-06-18","2026-05-02","Per=M","Days=T","Dir=V")</f>
        <v>0</v>
      </c>
      <c r="AS2">
        <f>BDH("SMTI US Equity","CUR_MKT_CAP","1993-06-18","2026-05-02","Per=M","Days=T","Dir=V")</f>
        <v>0</v>
      </c>
      <c r="AU2">
        <f>BDH("SMTI US Equity","EQY_SH_OUT","1993-06-18","2026-05-02","Per=M","Days=T","Dir=V")</f>
        <v>0</v>
      </c>
      <c r="AW2">
        <f>BDH("SMTI US Equity","PX_VOLUME","1993-06-18","2026-05-02","Per=M","Days=T","Dir=V")</f>
        <v>0</v>
      </c>
      <c r="AY2">
        <f>BDH("SMTI US Equity","TURNOVER","1993-06-18","2026-05-02","Per=M","Days=T","Dir=V")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BDH("SMTK US Equity","BS_TOT_ASSET","1993-06-18","2026-05-02","Per=Y","Days=T","Dir=V")</f>
        <v>0</v>
      </c>
      <c r="C2">
        <f>BDH("SMTK US Equity","BS_TOT_LIAB2","1993-06-18","2026-05-02","Per=Y","Days=T","Dir=V")</f>
        <v>0</v>
      </c>
      <c r="E2">
        <f>BDH("SMTK US Equity","SHORT_AND_LONG_TERM_DEBT","1993-06-18","2026-05-02","Per=Y","Days=T","Dir=V")</f>
        <v>0</v>
      </c>
      <c r="G2">
        <f>BDH("SMTK US Equity","BS_ST_BORROW","1993-06-18","2026-05-02","Per=Y","Days=T","Dir=V")</f>
        <v>0</v>
      </c>
      <c r="I2">
        <f>BDH("SMTK US Equity","BS_LT_BORROW","1993-06-18","2026-05-02","Per=Y","Days=T","Dir=V")</f>
        <v>0</v>
      </c>
      <c r="K2">
        <f>BDH("SMTK US Equity","BS_CASH_NEAR_CASH_ITEM","1993-06-18","2026-05-02","Per=Y","Days=T","Dir=V")</f>
        <v>0</v>
      </c>
      <c r="M2">
        <f>BDH("SMTK US Equity","BS_CUR_ASSET_REPORT","1993-06-18","2026-05-02","Per=Y","Days=T","Dir=V")</f>
        <v>0</v>
      </c>
      <c r="O2">
        <f>BDH("SMTK US Equity","BS_CUR_LIAB","1993-06-18","2026-05-02","Per=Y","Days=T","Dir=V")</f>
        <v>0</v>
      </c>
      <c r="Q2">
        <f>BDH("SMTK US Equity","BS_SHAREHOLDER_EQY_ENDING_PERIOD","1993-06-18","2026-05-02","Per=Y","Days=T","Dir=V")</f>
        <v>0</v>
      </c>
      <c r="S2">
        <f>BDH("SMTK US Equity","BS_ACCT_NOTE_RCV","1993-06-18","2026-05-02","Per=Y","Days=T","Dir=V")</f>
        <v>0</v>
      </c>
      <c r="U2">
        <f>BDH("SMTK US Equity","BS_INVENTORIES","1993-06-18","2026-05-02","Per=Y","Days=T","Dir=V")</f>
        <v>0</v>
      </c>
      <c r="W2">
        <f>BDH("SMTK US Equity","WORKING_CAPITAL","1993-06-18","2026-05-02","Per=Y","Days=T","Dir=V")</f>
        <v>0</v>
      </c>
      <c r="Y2">
        <f>BDH("SMTK US Equity","SALES_REV_TURN","1993-06-18","2026-05-02","Per=Y","Days=T","Dir=V")</f>
        <v>0</v>
      </c>
      <c r="AA2">
        <f>BDH("SMTK US Equity","EBIT","1993-06-18","2026-05-02","Per=Y","Days=T","Dir=V")</f>
        <v>0</v>
      </c>
      <c r="AC2">
        <f>BDH("SMTK US Equity","EBITDA","1993-06-18","2026-05-02","Per=Y","Days=T","Dir=V")</f>
        <v>0</v>
      </c>
      <c r="AE2">
        <f>BDH("SMTK US Equity","NET_INCOME","1993-06-18","2026-05-02","Per=Y","Days=T","Dir=V")</f>
        <v>0</v>
      </c>
      <c r="AG2">
        <f>BDH("SMTK US Equity","IS_INT_EXPENSE","1993-06-18","2026-05-02","Per=Y","Days=T","Dir=V")</f>
        <v>0</v>
      </c>
      <c r="AI2">
        <f>BDH("SMTK US Equity","IS_DEPR_EXP","1993-06-18","2026-05-02","Per=Y","Days=T","Dir=V")</f>
        <v>0</v>
      </c>
      <c r="AK2">
        <f>BDH("SMTK US Equity","CF_CASH_FROM_OPER","1993-06-18","2026-05-02","Per=Y","Days=T","Dir=V")</f>
        <v>0</v>
      </c>
      <c r="AM2">
        <f>BDH("SMTK US Equity","CAPITAL_EXPEND","1993-06-18","2026-05-02","Per=Y","Days=T","Dir=V")</f>
        <v>0</v>
      </c>
      <c r="AO2">
        <f>BDH("SMTK US Equity","CF_FREE_CASH_FLOW","1993-06-18","2026-05-02","Per=Y","Days=T","Dir=V")</f>
        <v>0</v>
      </c>
      <c r="AQ2">
        <f>BDH("SMTK US Equity","PX_LAST","1993-06-18","2026-05-02","Per=M","Days=T","Dir=V")</f>
        <v>0</v>
      </c>
      <c r="AS2">
        <f>BDH("SMTK US Equity","CUR_MKT_CAP","1993-06-18","2026-05-02","Per=M","Days=T","Dir=V")</f>
        <v>0</v>
      </c>
      <c r="AU2">
        <f>BDH("SMTK US Equity","EQY_SH_OUT","1993-06-18","2026-05-02","Per=M","Days=T","Dir=V")</f>
        <v>0</v>
      </c>
      <c r="AW2">
        <f>BDH("SMTK US Equity","PX_VOLUME","1993-06-18","2026-05-02","Per=M","Days=T","Dir=V")</f>
        <v>0</v>
      </c>
      <c r="AY2">
        <f>BDH("SMTK US Equity","TURNOVER","1993-06-18","2026-05-02","Per=M","Days=T","Dir=V")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BDH("SMXT US Equity","BS_TOT_ASSET","1993-06-18","2026-05-02","Per=Y","Days=T","Dir=V")</f>
        <v>0</v>
      </c>
      <c r="C2">
        <f>BDH("SMXT US Equity","BS_TOT_LIAB2","1993-06-18","2026-05-02","Per=Y","Days=T","Dir=V")</f>
        <v>0</v>
      </c>
      <c r="E2">
        <f>BDH("SMXT US Equity","SHORT_AND_LONG_TERM_DEBT","1993-06-18","2026-05-02","Per=Y","Days=T","Dir=V")</f>
        <v>0</v>
      </c>
      <c r="G2">
        <f>BDH("SMXT US Equity","BS_ST_BORROW","1993-06-18","2026-05-02","Per=Y","Days=T","Dir=V")</f>
        <v>0</v>
      </c>
      <c r="I2">
        <f>BDH("SMXT US Equity","BS_LT_BORROW","1993-06-18","2026-05-02","Per=Y","Days=T","Dir=V")</f>
        <v>0</v>
      </c>
      <c r="K2">
        <f>BDH("SMXT US Equity","BS_CASH_NEAR_CASH_ITEM","1993-06-18","2026-05-02","Per=Y","Days=T","Dir=V")</f>
        <v>0</v>
      </c>
      <c r="M2">
        <f>BDH("SMXT US Equity","BS_CUR_ASSET_REPORT","1993-06-18","2026-05-02","Per=Y","Days=T","Dir=V")</f>
        <v>0</v>
      </c>
      <c r="O2">
        <f>BDH("SMXT US Equity","BS_CUR_LIAB","1993-06-18","2026-05-02","Per=Y","Days=T","Dir=V")</f>
        <v>0</v>
      </c>
      <c r="Q2">
        <f>BDH("SMXT US Equity","BS_SHAREHOLDER_EQY_ENDING_PERIOD","1993-06-18","2026-05-02","Per=Y","Days=T","Dir=V")</f>
        <v>0</v>
      </c>
      <c r="S2">
        <f>BDH("SMXT US Equity","BS_ACCT_NOTE_RCV","1993-06-18","2026-05-02","Per=Y","Days=T","Dir=V")</f>
        <v>0</v>
      </c>
      <c r="U2">
        <f>BDH("SMXT US Equity","BS_INVENTORIES","1993-06-18","2026-05-02","Per=Y","Days=T","Dir=V")</f>
        <v>0</v>
      </c>
      <c r="W2">
        <f>BDH("SMXT US Equity","WORKING_CAPITAL","1993-06-18","2026-05-02","Per=Y","Days=T","Dir=V")</f>
        <v>0</v>
      </c>
      <c r="Y2">
        <f>BDH("SMXT US Equity","SALES_REV_TURN","1993-06-18","2026-05-02","Per=Y","Days=T","Dir=V")</f>
        <v>0</v>
      </c>
      <c r="AA2">
        <f>BDH("SMXT US Equity","EBIT","1993-06-18","2026-05-02","Per=Y","Days=T","Dir=V")</f>
        <v>0</v>
      </c>
      <c r="AC2">
        <f>BDH("SMXT US Equity","EBITDA","1993-06-18","2026-05-02","Per=Y","Days=T","Dir=V")</f>
        <v>0</v>
      </c>
      <c r="AE2">
        <f>BDH("SMXT US Equity","NET_INCOME","1993-06-18","2026-05-02","Per=Y","Days=T","Dir=V")</f>
        <v>0</v>
      </c>
      <c r="AG2">
        <f>BDH("SMXT US Equity","IS_INT_EXPENSE","1993-06-18","2026-05-02","Per=Y","Days=T","Dir=V")</f>
        <v>0</v>
      </c>
      <c r="AI2">
        <f>BDH("SMXT US Equity","IS_DEPR_EXP","1993-06-18","2026-05-02","Per=Y","Days=T","Dir=V")</f>
        <v>0</v>
      </c>
      <c r="AK2">
        <f>BDH("SMXT US Equity","CF_CASH_FROM_OPER","1993-06-18","2026-05-02","Per=Y","Days=T","Dir=V")</f>
        <v>0</v>
      </c>
      <c r="AM2">
        <f>BDH("SMXT US Equity","CAPITAL_EXPEND","1993-06-18","2026-05-02","Per=Y","Days=T","Dir=V")</f>
        <v>0</v>
      </c>
      <c r="AO2">
        <f>BDH("SMXT US Equity","CF_FREE_CASH_FLOW","1993-06-18","2026-05-02","Per=Y","Days=T","Dir=V")</f>
        <v>0</v>
      </c>
      <c r="AQ2">
        <f>BDH("SMXT US Equity","PX_LAST","1993-06-18","2026-05-02","Per=M","Days=T","Dir=V")</f>
        <v>0</v>
      </c>
      <c r="AS2">
        <f>BDH("SMXT US Equity","CUR_MKT_CAP","1993-06-18","2026-05-02","Per=M","Days=T","Dir=V")</f>
        <v>0</v>
      </c>
      <c r="AU2">
        <f>BDH("SMXT US Equity","EQY_SH_OUT","1993-06-18","2026-05-02","Per=M","Days=T","Dir=V")</f>
        <v>0</v>
      </c>
      <c r="AW2">
        <f>BDH("SMXT US Equity","PX_VOLUME","1993-06-18","2026-05-02","Per=M","Days=T","Dir=V")</f>
        <v>0</v>
      </c>
      <c r="AY2">
        <f>BDH("SMXT US Equity","TURNOVER","1993-06-18","2026-05-02","Per=M","Days=T","Dir=V")</f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BDH("SN US Equity","BS_TOT_ASSET","1993-06-18","2026-05-02","Per=Y","Days=T","Dir=V")</f>
        <v>0</v>
      </c>
      <c r="C2">
        <f>BDH("SN US Equity","BS_TOT_LIAB2","1993-06-18","2026-05-02","Per=Y","Days=T","Dir=V")</f>
        <v>0</v>
      </c>
      <c r="E2">
        <f>BDH("SN US Equity","SHORT_AND_LONG_TERM_DEBT","1993-06-18","2026-05-02","Per=Y","Days=T","Dir=V")</f>
        <v>0</v>
      </c>
      <c r="G2">
        <f>BDH("SN US Equity","BS_ST_BORROW","1993-06-18","2026-05-02","Per=Y","Days=T","Dir=V")</f>
        <v>0</v>
      </c>
      <c r="I2">
        <f>BDH("SN US Equity","BS_LT_BORROW","1993-06-18","2026-05-02","Per=Y","Days=T","Dir=V")</f>
        <v>0</v>
      </c>
      <c r="K2">
        <f>BDH("SN US Equity","BS_CASH_NEAR_CASH_ITEM","1993-06-18","2026-05-02","Per=Y","Days=T","Dir=V")</f>
        <v>0</v>
      </c>
      <c r="M2">
        <f>BDH("SN US Equity","BS_CUR_ASSET_REPORT","1993-06-18","2026-05-02","Per=Y","Days=T","Dir=V")</f>
        <v>0</v>
      </c>
      <c r="O2">
        <f>BDH("SN US Equity","BS_CUR_LIAB","1993-06-18","2026-05-02","Per=Y","Days=T","Dir=V")</f>
        <v>0</v>
      </c>
      <c r="Q2">
        <f>BDH("SN US Equity","BS_SHAREHOLDER_EQY_ENDING_PERIOD","1993-06-18","2026-05-02","Per=Y","Days=T","Dir=V")</f>
        <v>0</v>
      </c>
      <c r="S2">
        <f>BDH("SN US Equity","BS_ACCT_NOTE_RCV","1993-06-18","2026-05-02","Per=Y","Days=T","Dir=V")</f>
        <v>0</v>
      </c>
      <c r="U2">
        <f>BDH("SN US Equity","BS_INVENTORIES","1993-06-18","2026-05-02","Per=Y","Days=T","Dir=V")</f>
        <v>0</v>
      </c>
      <c r="W2">
        <f>BDH("SN US Equity","WORKING_CAPITAL","1993-06-18","2026-05-02","Per=Y","Days=T","Dir=V")</f>
        <v>0</v>
      </c>
      <c r="Y2">
        <f>BDH("SN US Equity","SALES_REV_TURN","1993-06-18","2026-05-02","Per=Y","Days=T","Dir=V")</f>
        <v>0</v>
      </c>
      <c r="AA2">
        <f>BDH("SN US Equity","EBIT","1993-06-18","2026-05-02","Per=Y","Days=T","Dir=V")</f>
        <v>0</v>
      </c>
      <c r="AC2">
        <f>BDH("SN US Equity","EBITDA","1993-06-18","2026-05-02","Per=Y","Days=T","Dir=V")</f>
        <v>0</v>
      </c>
      <c r="AE2">
        <f>BDH("SN US Equity","NET_INCOME","1993-06-18","2026-05-02","Per=Y","Days=T","Dir=V")</f>
        <v>0</v>
      </c>
      <c r="AG2">
        <f>BDH("SN US Equity","IS_INT_EXPENSE","1993-06-18","2026-05-02","Per=Y","Days=T","Dir=V")</f>
        <v>0</v>
      </c>
      <c r="AI2">
        <f>BDH("SN US Equity","IS_DEPR_EXP","1993-06-18","2026-05-02","Per=Y","Days=T","Dir=V")</f>
        <v>0</v>
      </c>
      <c r="AK2">
        <f>BDH("SN US Equity","CF_CASH_FROM_OPER","1993-06-18","2026-05-02","Per=Y","Days=T","Dir=V")</f>
        <v>0</v>
      </c>
      <c r="AM2">
        <f>BDH("SN US Equity","CAPITAL_EXPEND","1993-06-18","2026-05-02","Per=Y","Days=T","Dir=V")</f>
        <v>0</v>
      </c>
      <c r="AO2">
        <f>BDH("SN US Equity","CF_FREE_CASH_FLOW","1993-06-18","2026-05-02","Per=Y","Days=T","Dir=V")</f>
        <v>0</v>
      </c>
      <c r="AQ2">
        <f>BDH("SN US Equity","PX_LAST","1993-06-18","2026-05-02","Per=M","Days=T","Dir=V")</f>
        <v>0</v>
      </c>
      <c r="AS2">
        <f>BDH("SN US Equity","CUR_MKT_CAP","1993-06-18","2026-05-02","Per=M","Days=T","Dir=V")</f>
        <v>0</v>
      </c>
      <c r="AU2">
        <f>BDH("SN US Equity","EQY_SH_OUT","1993-06-18","2026-05-02","Per=M","Days=T","Dir=V")</f>
        <v>0</v>
      </c>
      <c r="AW2">
        <f>BDH("SN US Equity","PX_VOLUME","1993-06-18","2026-05-02","Per=M","Days=T","Dir=V")</f>
        <v>0</v>
      </c>
      <c r="AY2">
        <f>BDH("SN US Equity","TURNOVER","1993-06-18","2026-05-02","Per=M","Days=T","Dir=V")</f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BDH("SNA US Equity","BS_TOT_ASSET","1993-06-18","2026-05-02","Per=Y","Days=T","Dir=V")</f>
        <v>0</v>
      </c>
      <c r="C2">
        <f>BDH("SNA US Equity","BS_TOT_LIAB2","1993-06-18","2026-05-02","Per=Y","Days=T","Dir=V")</f>
        <v>0</v>
      </c>
      <c r="E2">
        <f>BDH("SNA US Equity","SHORT_AND_LONG_TERM_DEBT","1993-06-18","2026-05-02","Per=Y","Days=T","Dir=V")</f>
        <v>0</v>
      </c>
      <c r="G2">
        <f>BDH("SNA US Equity","BS_ST_BORROW","1993-06-18","2026-05-02","Per=Y","Days=T","Dir=V")</f>
        <v>0</v>
      </c>
      <c r="I2">
        <f>BDH("SNA US Equity","BS_LT_BORROW","1993-06-18","2026-05-02","Per=Y","Days=T","Dir=V")</f>
        <v>0</v>
      </c>
      <c r="K2">
        <f>BDH("SNA US Equity","BS_CASH_NEAR_CASH_ITEM","1993-06-18","2026-05-02","Per=Y","Days=T","Dir=V")</f>
        <v>0</v>
      </c>
      <c r="M2">
        <f>BDH("SNA US Equity","BS_CUR_ASSET_REPORT","1993-06-18","2026-05-02","Per=Y","Days=T","Dir=V")</f>
        <v>0</v>
      </c>
      <c r="O2">
        <f>BDH("SNA US Equity","BS_CUR_LIAB","1993-06-18","2026-05-02","Per=Y","Days=T","Dir=V")</f>
        <v>0</v>
      </c>
      <c r="Q2">
        <f>BDH("SNA US Equity","BS_SHAREHOLDER_EQY_ENDING_PERIOD","1993-06-18","2026-05-02","Per=Y","Days=T","Dir=V")</f>
        <v>0</v>
      </c>
      <c r="S2">
        <f>BDH("SNA US Equity","BS_ACCT_NOTE_RCV","1993-06-18","2026-05-02","Per=Y","Days=T","Dir=V")</f>
        <v>0</v>
      </c>
      <c r="U2">
        <f>BDH("SNA US Equity","BS_INVENTORIES","1993-06-18","2026-05-02","Per=Y","Days=T","Dir=V")</f>
        <v>0</v>
      </c>
      <c r="W2">
        <f>BDH("SNA US Equity","WORKING_CAPITAL","1993-06-18","2026-05-02","Per=Y","Days=T","Dir=V")</f>
        <v>0</v>
      </c>
      <c r="Y2">
        <f>BDH("SNA US Equity","SALES_REV_TURN","1993-06-18","2026-05-02","Per=Y","Days=T","Dir=V")</f>
        <v>0</v>
      </c>
      <c r="AA2">
        <f>BDH("SNA US Equity","EBIT","1993-06-18","2026-05-02","Per=Y","Days=T","Dir=V")</f>
        <v>0</v>
      </c>
      <c r="AC2">
        <f>BDH("SNA US Equity","EBITDA","1993-06-18","2026-05-02","Per=Y","Days=T","Dir=V")</f>
        <v>0</v>
      </c>
      <c r="AE2">
        <f>BDH("SNA US Equity","NET_INCOME","1993-06-18","2026-05-02","Per=Y","Days=T","Dir=V")</f>
        <v>0</v>
      </c>
      <c r="AG2">
        <f>BDH("SNA US Equity","IS_INT_EXPENSE","1993-06-18","2026-05-02","Per=Y","Days=T","Dir=V")</f>
        <v>0</v>
      </c>
      <c r="AI2">
        <f>BDH("SNA US Equity","IS_DEPR_EXP","1993-06-18","2026-05-02","Per=Y","Days=T","Dir=V")</f>
        <v>0</v>
      </c>
      <c r="AK2">
        <f>BDH("SNA US Equity","CF_CASH_FROM_OPER","1993-06-18","2026-05-02","Per=Y","Days=T","Dir=V")</f>
        <v>0</v>
      </c>
      <c r="AM2">
        <f>BDH("SNA US Equity","CAPITAL_EXPEND","1993-06-18","2026-05-02","Per=Y","Days=T","Dir=V")</f>
        <v>0</v>
      </c>
      <c r="AO2">
        <f>BDH("SNA US Equity","CF_FREE_CASH_FLOW","1993-06-18","2026-05-02","Per=Y","Days=T","Dir=V")</f>
        <v>0</v>
      </c>
      <c r="AQ2">
        <f>BDH("SNA US Equity","PX_LAST","1993-06-18","2026-05-02","Per=M","Days=T","Dir=V")</f>
        <v>0</v>
      </c>
      <c r="AS2">
        <f>BDH("SNA US Equity","CUR_MKT_CAP","1993-06-18","2026-05-02","Per=M","Days=T","Dir=V")</f>
        <v>0</v>
      </c>
      <c r="AU2">
        <f>BDH("SNA US Equity","EQY_SH_OUT","1993-06-18","2026-05-02","Per=M","Days=T","Dir=V")</f>
        <v>0</v>
      </c>
      <c r="AW2">
        <f>BDH("SNA US Equity","PX_VOLUME","1993-06-18","2026-05-02","Per=M","Days=T","Dir=V")</f>
        <v>0</v>
      </c>
      <c r="AY2">
        <f>BDH("SNA US Equity","TURNOVER","1993-06-18","2026-05-02","Per=M","Days=T","Dir=V")</f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BDH("SNAL US Equity","BS_TOT_ASSET","1993-06-18","2026-05-02","Per=Y","Days=T","Dir=V")</f>
        <v>0</v>
      </c>
      <c r="C2">
        <f>BDH("SNAL US Equity","BS_TOT_LIAB2","1993-06-18","2026-05-02","Per=Y","Days=T","Dir=V")</f>
        <v>0</v>
      </c>
      <c r="E2">
        <f>BDH("SNAL US Equity","SHORT_AND_LONG_TERM_DEBT","1993-06-18","2026-05-02","Per=Y","Days=T","Dir=V")</f>
        <v>0</v>
      </c>
      <c r="G2">
        <f>BDH("SNAL US Equity","BS_ST_BORROW","1993-06-18","2026-05-02","Per=Y","Days=T","Dir=V")</f>
        <v>0</v>
      </c>
      <c r="I2">
        <f>BDH("SNAL US Equity","BS_LT_BORROW","1993-06-18","2026-05-02","Per=Y","Days=T","Dir=V")</f>
        <v>0</v>
      </c>
      <c r="K2">
        <f>BDH("SNAL US Equity","BS_CASH_NEAR_CASH_ITEM","1993-06-18","2026-05-02","Per=Y","Days=T","Dir=V")</f>
        <v>0</v>
      </c>
      <c r="M2">
        <f>BDH("SNAL US Equity","BS_CUR_ASSET_REPORT","1993-06-18","2026-05-02","Per=Y","Days=T","Dir=V")</f>
        <v>0</v>
      </c>
      <c r="O2">
        <f>BDH("SNAL US Equity","BS_CUR_LIAB","1993-06-18","2026-05-02","Per=Y","Days=T","Dir=V")</f>
        <v>0</v>
      </c>
      <c r="Q2">
        <f>BDH("SNAL US Equity","BS_SHAREHOLDER_EQY_ENDING_PERIOD","1993-06-18","2026-05-02","Per=Y","Days=T","Dir=V")</f>
        <v>0</v>
      </c>
      <c r="S2">
        <f>BDH("SNAL US Equity","BS_ACCT_NOTE_RCV","1993-06-18","2026-05-02","Per=Y","Days=T","Dir=V")</f>
        <v>0</v>
      </c>
      <c r="U2">
        <f>BDH("SNAL US Equity","BS_INVENTORIES","1993-06-18","2026-05-02","Per=Y","Days=T","Dir=V")</f>
        <v>0</v>
      </c>
      <c r="W2">
        <f>BDH("SNAL US Equity","WORKING_CAPITAL","1993-06-18","2026-05-02","Per=Y","Days=T","Dir=V")</f>
        <v>0</v>
      </c>
      <c r="Y2">
        <f>BDH("SNAL US Equity","SALES_REV_TURN","1993-06-18","2026-05-02","Per=Y","Days=T","Dir=V")</f>
        <v>0</v>
      </c>
      <c r="AA2">
        <f>BDH("SNAL US Equity","EBIT","1993-06-18","2026-05-02","Per=Y","Days=T","Dir=V")</f>
        <v>0</v>
      </c>
      <c r="AC2">
        <f>BDH("SNAL US Equity","EBITDA","1993-06-18","2026-05-02","Per=Y","Days=T","Dir=V")</f>
        <v>0</v>
      </c>
      <c r="AE2">
        <f>BDH("SNAL US Equity","NET_INCOME","1993-06-18","2026-05-02","Per=Y","Days=T","Dir=V")</f>
        <v>0</v>
      </c>
      <c r="AG2">
        <f>BDH("SNAL US Equity","IS_INT_EXPENSE","1993-06-18","2026-05-02","Per=Y","Days=T","Dir=V")</f>
        <v>0</v>
      </c>
      <c r="AI2">
        <f>BDH("SNAL US Equity","IS_DEPR_EXP","1993-06-18","2026-05-02","Per=Y","Days=T","Dir=V")</f>
        <v>0</v>
      </c>
      <c r="AK2">
        <f>BDH("SNAL US Equity","CF_CASH_FROM_OPER","1993-06-18","2026-05-02","Per=Y","Days=T","Dir=V")</f>
        <v>0</v>
      </c>
      <c r="AM2">
        <f>BDH("SNAL US Equity","CAPITAL_EXPEND","1993-06-18","2026-05-02","Per=Y","Days=T","Dir=V")</f>
        <v>0</v>
      </c>
      <c r="AO2">
        <f>BDH("SNAL US Equity","CF_FREE_CASH_FLOW","1993-06-18","2026-05-02","Per=Y","Days=T","Dir=V")</f>
        <v>0</v>
      </c>
      <c r="AQ2">
        <f>BDH("SNAL US Equity","PX_LAST","1993-06-18","2026-05-02","Per=M","Days=T","Dir=V")</f>
        <v>0</v>
      </c>
      <c r="AS2">
        <f>BDH("SNAL US Equity","CUR_MKT_CAP","1993-06-18","2026-05-02","Per=M","Days=T","Dir=V")</f>
        <v>0</v>
      </c>
      <c r="AU2">
        <f>BDH("SNAL US Equity","EQY_SH_OUT","1993-06-18","2026-05-02","Per=M","Days=T","Dir=V")</f>
        <v>0</v>
      </c>
      <c r="AW2">
        <f>BDH("SNAL US Equity","PX_VOLUME","1993-06-18","2026-05-02","Per=M","Days=T","Dir=V")</f>
        <v>0</v>
      </c>
      <c r="AY2">
        <f>BDH("SNAL US Equity","TURNOVER","1993-06-18","2026-05-02","Per=M","Days=T","Dir=V")</f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BDH("SNAP US Equity","BS_TOT_ASSET","1993-06-18","2026-05-02","Per=Y","Days=T","Dir=V")</f>
        <v>0</v>
      </c>
      <c r="C2">
        <f>BDH("SNAP US Equity","BS_TOT_LIAB2","1993-06-18","2026-05-02","Per=Y","Days=T","Dir=V")</f>
        <v>0</v>
      </c>
      <c r="E2">
        <f>BDH("SNAP US Equity","SHORT_AND_LONG_TERM_DEBT","1993-06-18","2026-05-02","Per=Y","Days=T","Dir=V")</f>
        <v>0</v>
      </c>
      <c r="G2">
        <f>BDH("SNAP US Equity","BS_ST_BORROW","1993-06-18","2026-05-02","Per=Y","Days=T","Dir=V")</f>
        <v>0</v>
      </c>
      <c r="I2">
        <f>BDH("SNAP US Equity","BS_LT_BORROW","1993-06-18","2026-05-02","Per=Y","Days=T","Dir=V")</f>
        <v>0</v>
      </c>
      <c r="K2">
        <f>BDH("SNAP US Equity","BS_CASH_NEAR_CASH_ITEM","1993-06-18","2026-05-02","Per=Y","Days=T","Dir=V")</f>
        <v>0</v>
      </c>
      <c r="M2">
        <f>BDH("SNAP US Equity","BS_CUR_ASSET_REPORT","1993-06-18","2026-05-02","Per=Y","Days=T","Dir=V")</f>
        <v>0</v>
      </c>
      <c r="O2">
        <f>BDH("SNAP US Equity","BS_CUR_LIAB","1993-06-18","2026-05-02","Per=Y","Days=T","Dir=V")</f>
        <v>0</v>
      </c>
      <c r="Q2">
        <f>BDH("SNAP US Equity","BS_SHAREHOLDER_EQY_ENDING_PERIOD","1993-06-18","2026-05-02","Per=Y","Days=T","Dir=V")</f>
        <v>0</v>
      </c>
      <c r="S2">
        <f>BDH("SNAP US Equity","BS_ACCT_NOTE_RCV","1993-06-18","2026-05-02","Per=Y","Days=T","Dir=V")</f>
        <v>0</v>
      </c>
      <c r="U2">
        <f>BDH("SNAP US Equity","BS_INVENTORIES","1993-06-18","2026-05-02","Per=Y","Days=T","Dir=V")</f>
        <v>0</v>
      </c>
      <c r="W2">
        <f>BDH("SNAP US Equity","WORKING_CAPITAL","1993-06-18","2026-05-02","Per=Y","Days=T","Dir=V")</f>
        <v>0</v>
      </c>
      <c r="Y2">
        <f>BDH("SNAP US Equity","SALES_REV_TURN","1993-06-18","2026-05-02","Per=Y","Days=T","Dir=V")</f>
        <v>0</v>
      </c>
      <c r="AA2">
        <f>BDH("SNAP US Equity","EBIT","1993-06-18","2026-05-02","Per=Y","Days=T","Dir=V")</f>
        <v>0</v>
      </c>
      <c r="AC2">
        <f>BDH("SNAP US Equity","EBITDA","1993-06-18","2026-05-02","Per=Y","Days=T","Dir=V")</f>
        <v>0</v>
      </c>
      <c r="AE2">
        <f>BDH("SNAP US Equity","NET_INCOME","1993-06-18","2026-05-02","Per=Y","Days=T","Dir=V")</f>
        <v>0</v>
      </c>
      <c r="AG2">
        <f>BDH("SNAP US Equity","IS_INT_EXPENSE","1993-06-18","2026-05-02","Per=Y","Days=T","Dir=V")</f>
        <v>0</v>
      </c>
      <c r="AI2">
        <f>BDH("SNAP US Equity","IS_DEPR_EXP","1993-06-18","2026-05-02","Per=Y","Days=T","Dir=V")</f>
        <v>0</v>
      </c>
      <c r="AK2">
        <f>BDH("SNAP US Equity","CF_CASH_FROM_OPER","1993-06-18","2026-05-02","Per=Y","Days=T","Dir=V")</f>
        <v>0</v>
      </c>
      <c r="AM2">
        <f>BDH("SNAP US Equity","CAPITAL_EXPEND","1993-06-18","2026-05-02","Per=Y","Days=T","Dir=V")</f>
        <v>0</v>
      </c>
      <c r="AO2">
        <f>BDH("SNAP US Equity","CF_FREE_CASH_FLOW","1993-06-18","2026-05-02","Per=Y","Days=T","Dir=V")</f>
        <v>0</v>
      </c>
      <c r="AQ2">
        <f>BDH("SNAP US Equity","PX_LAST","1993-06-18","2026-05-02","Per=M","Days=T","Dir=V")</f>
        <v>0</v>
      </c>
      <c r="AS2">
        <f>BDH("SNAP US Equity","CUR_MKT_CAP","1993-06-18","2026-05-02","Per=M","Days=T","Dir=V")</f>
        <v>0</v>
      </c>
      <c r="AU2">
        <f>BDH("SNAP US Equity","EQY_SH_OUT","1993-06-18","2026-05-02","Per=M","Days=T","Dir=V")</f>
        <v>0</v>
      </c>
      <c r="AW2">
        <f>BDH("SNAP US Equity","PX_VOLUME","1993-06-18","2026-05-02","Per=M","Days=T","Dir=V")</f>
        <v>0</v>
      </c>
      <c r="AY2">
        <f>BDH("SNAP US Equity","TURNOVER","1993-06-18","2026-05-02","Per=M","Days=T","Dir=V")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BDH("SND US Equity","BS_TOT_ASSET","1993-06-18","2026-05-02","Per=Y","Days=T","Dir=V")</f>
        <v>0</v>
      </c>
      <c r="C2">
        <f>BDH("SND US Equity","BS_TOT_LIAB2","1993-06-18","2026-05-02","Per=Y","Days=T","Dir=V")</f>
        <v>0</v>
      </c>
      <c r="E2">
        <f>BDH("SND US Equity","SHORT_AND_LONG_TERM_DEBT","1993-06-18","2026-05-02","Per=Y","Days=T","Dir=V")</f>
        <v>0</v>
      </c>
      <c r="G2">
        <f>BDH("SND US Equity","BS_ST_BORROW","1993-06-18","2026-05-02","Per=Y","Days=T","Dir=V")</f>
        <v>0</v>
      </c>
      <c r="I2">
        <f>BDH("SND US Equity","BS_LT_BORROW","1993-06-18","2026-05-02","Per=Y","Days=T","Dir=V")</f>
        <v>0</v>
      </c>
      <c r="K2">
        <f>BDH("SND US Equity","BS_CASH_NEAR_CASH_ITEM","1993-06-18","2026-05-02","Per=Y","Days=T","Dir=V")</f>
        <v>0</v>
      </c>
      <c r="M2">
        <f>BDH("SND US Equity","BS_CUR_ASSET_REPORT","1993-06-18","2026-05-02","Per=Y","Days=T","Dir=V")</f>
        <v>0</v>
      </c>
      <c r="O2">
        <f>BDH("SND US Equity","BS_CUR_LIAB","1993-06-18","2026-05-02","Per=Y","Days=T","Dir=V")</f>
        <v>0</v>
      </c>
      <c r="Q2">
        <f>BDH("SND US Equity","BS_SHAREHOLDER_EQY_ENDING_PERIOD","1993-06-18","2026-05-02","Per=Y","Days=T","Dir=V")</f>
        <v>0</v>
      </c>
      <c r="S2">
        <f>BDH("SND US Equity","BS_ACCT_NOTE_RCV","1993-06-18","2026-05-02","Per=Y","Days=T","Dir=V")</f>
        <v>0</v>
      </c>
      <c r="U2">
        <f>BDH("SND US Equity","BS_INVENTORIES","1993-06-18","2026-05-02","Per=Y","Days=T","Dir=V")</f>
        <v>0</v>
      </c>
      <c r="W2">
        <f>BDH("SND US Equity","WORKING_CAPITAL","1993-06-18","2026-05-02","Per=Y","Days=T","Dir=V")</f>
        <v>0</v>
      </c>
      <c r="Y2">
        <f>BDH("SND US Equity","SALES_REV_TURN","1993-06-18","2026-05-02","Per=Y","Days=T","Dir=V")</f>
        <v>0</v>
      </c>
      <c r="AA2">
        <f>BDH("SND US Equity","EBIT","1993-06-18","2026-05-02","Per=Y","Days=T","Dir=V")</f>
        <v>0</v>
      </c>
      <c r="AC2">
        <f>BDH("SND US Equity","EBITDA","1993-06-18","2026-05-02","Per=Y","Days=T","Dir=V")</f>
        <v>0</v>
      </c>
      <c r="AE2">
        <f>BDH("SND US Equity","NET_INCOME","1993-06-18","2026-05-02","Per=Y","Days=T","Dir=V")</f>
        <v>0</v>
      </c>
      <c r="AG2">
        <f>BDH("SND US Equity","IS_INT_EXPENSE","1993-06-18","2026-05-02","Per=Y","Days=T","Dir=V")</f>
        <v>0</v>
      </c>
      <c r="AI2">
        <f>BDH("SND US Equity","IS_DEPR_EXP","1993-06-18","2026-05-02","Per=Y","Days=T","Dir=V")</f>
        <v>0</v>
      </c>
      <c r="AK2">
        <f>BDH("SND US Equity","CF_CASH_FROM_OPER","1993-06-18","2026-05-02","Per=Y","Days=T","Dir=V")</f>
        <v>0</v>
      </c>
      <c r="AM2">
        <f>BDH("SND US Equity","CAPITAL_EXPEND","1993-06-18","2026-05-02","Per=Y","Days=T","Dir=V")</f>
        <v>0</v>
      </c>
      <c r="AO2">
        <f>BDH("SND US Equity","CF_FREE_CASH_FLOW","1993-06-18","2026-05-02","Per=Y","Days=T","Dir=V")</f>
        <v>0</v>
      </c>
      <c r="AQ2">
        <f>BDH("SND US Equity","PX_LAST","1993-06-18","2026-05-02","Per=M","Days=T","Dir=V")</f>
        <v>0</v>
      </c>
      <c r="AS2">
        <f>BDH("SND US Equity","CUR_MKT_CAP","1993-06-18","2026-05-02","Per=M","Days=T","Dir=V")</f>
        <v>0</v>
      </c>
      <c r="AU2">
        <f>BDH("SND US Equity","EQY_SH_OUT","1993-06-18","2026-05-02","Per=M","Days=T","Dir=V")</f>
        <v>0</v>
      </c>
      <c r="AW2">
        <f>BDH("SND US Equity","PX_VOLUME","1993-06-18","2026-05-02","Per=M","Days=T","Dir=V")</f>
        <v>0</v>
      </c>
      <c r="AY2">
        <f>BDH("SND US Equity","TURNOVER","1993-06-18","2026-05-02","Per=M","Days=T","Dir=V")</f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BDH("SNDA US Equity","BS_TOT_ASSET","1993-06-18","2026-05-02","Per=Y","Days=T","Dir=V")</f>
        <v>0</v>
      </c>
      <c r="C2">
        <f>BDH("SNDA US Equity","BS_TOT_LIAB2","1993-06-18","2026-05-02","Per=Y","Days=T","Dir=V")</f>
        <v>0</v>
      </c>
      <c r="E2">
        <f>BDH("SNDA US Equity","SHORT_AND_LONG_TERM_DEBT","1993-06-18","2026-05-02","Per=Y","Days=T","Dir=V")</f>
        <v>0</v>
      </c>
      <c r="G2">
        <f>BDH("SNDA US Equity","BS_ST_BORROW","1993-06-18","2026-05-02","Per=Y","Days=T","Dir=V")</f>
        <v>0</v>
      </c>
      <c r="I2">
        <f>BDH("SNDA US Equity","BS_LT_BORROW","1993-06-18","2026-05-02","Per=Y","Days=T","Dir=V")</f>
        <v>0</v>
      </c>
      <c r="K2">
        <f>BDH("SNDA US Equity","BS_CASH_NEAR_CASH_ITEM","1993-06-18","2026-05-02","Per=Y","Days=T","Dir=V")</f>
        <v>0</v>
      </c>
      <c r="M2">
        <f>BDH("SNDA US Equity","BS_CUR_ASSET_REPORT","1993-06-18","2026-05-02","Per=Y","Days=T","Dir=V")</f>
        <v>0</v>
      </c>
      <c r="O2">
        <f>BDH("SNDA US Equity","BS_CUR_LIAB","1993-06-18","2026-05-02","Per=Y","Days=T","Dir=V")</f>
        <v>0</v>
      </c>
      <c r="Q2">
        <f>BDH("SNDA US Equity","BS_SHAREHOLDER_EQY_ENDING_PERIOD","1993-06-18","2026-05-02","Per=Y","Days=T","Dir=V")</f>
        <v>0</v>
      </c>
      <c r="S2">
        <f>BDH("SNDA US Equity","BS_ACCT_NOTE_RCV","1993-06-18","2026-05-02","Per=Y","Days=T","Dir=V")</f>
        <v>0</v>
      </c>
      <c r="U2">
        <f>BDH("SNDA US Equity","BS_INVENTORIES","1993-06-18","2026-05-02","Per=Y","Days=T","Dir=V")</f>
        <v>0</v>
      </c>
      <c r="W2">
        <f>BDH("SNDA US Equity","WORKING_CAPITAL","1993-06-18","2026-05-02","Per=Y","Days=T","Dir=V")</f>
        <v>0</v>
      </c>
      <c r="Y2">
        <f>BDH("SNDA US Equity","SALES_REV_TURN","1993-06-18","2026-05-02","Per=Y","Days=T","Dir=V")</f>
        <v>0</v>
      </c>
      <c r="AA2">
        <f>BDH("SNDA US Equity","EBIT","1993-06-18","2026-05-02","Per=Y","Days=T","Dir=V")</f>
        <v>0</v>
      </c>
      <c r="AC2">
        <f>BDH("SNDA US Equity","EBITDA","1993-06-18","2026-05-02","Per=Y","Days=T","Dir=V")</f>
        <v>0</v>
      </c>
      <c r="AE2">
        <f>BDH("SNDA US Equity","NET_INCOME","1993-06-18","2026-05-02","Per=Y","Days=T","Dir=V")</f>
        <v>0</v>
      </c>
      <c r="AG2">
        <f>BDH("SNDA US Equity","IS_INT_EXPENSE","1993-06-18","2026-05-02","Per=Y","Days=T","Dir=V")</f>
        <v>0</v>
      </c>
      <c r="AI2">
        <f>BDH("SNDA US Equity","IS_DEPR_EXP","1993-06-18","2026-05-02","Per=Y","Days=T","Dir=V")</f>
        <v>0</v>
      </c>
      <c r="AK2">
        <f>BDH("SNDA US Equity","CF_CASH_FROM_OPER","1993-06-18","2026-05-02","Per=Y","Days=T","Dir=V")</f>
        <v>0</v>
      </c>
      <c r="AM2">
        <f>BDH("SNDA US Equity","CAPITAL_EXPEND","1993-06-18","2026-05-02","Per=Y","Days=T","Dir=V")</f>
        <v>0</v>
      </c>
      <c r="AO2">
        <f>BDH("SNDA US Equity","CF_FREE_CASH_FLOW","1993-06-18","2026-05-02","Per=Y","Days=T","Dir=V")</f>
        <v>0</v>
      </c>
      <c r="AQ2">
        <f>BDH("SNDA US Equity","PX_LAST","1993-06-18","2026-05-02","Per=M","Days=T","Dir=V")</f>
        <v>0</v>
      </c>
      <c r="AS2">
        <f>BDH("SNDA US Equity","CUR_MKT_CAP","1993-06-18","2026-05-02","Per=M","Days=T","Dir=V")</f>
        <v>0</v>
      </c>
      <c r="AU2">
        <f>BDH("SNDA US Equity","EQY_SH_OUT","1993-06-18","2026-05-02","Per=M","Days=T","Dir=V")</f>
        <v>0</v>
      </c>
      <c r="AW2">
        <f>BDH("SNDA US Equity","PX_VOLUME","1993-06-18","2026-05-02","Per=M","Days=T","Dir=V")</f>
        <v>0</v>
      </c>
      <c r="AY2">
        <f>BDH("SNDA US Equity","TURNOVER","1993-06-18","2026-05-02","Per=M","Days=T","Dir=V")</f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BDH("SNDK US Equity","BS_TOT_ASSET","1993-06-18","2026-05-02","Per=Y","Days=T","Dir=V")</f>
        <v>0</v>
      </c>
      <c r="C2">
        <f>BDH("SNDK US Equity","BS_TOT_LIAB2","1993-06-18","2026-05-02","Per=Y","Days=T","Dir=V")</f>
        <v>0</v>
      </c>
      <c r="E2">
        <f>BDH("SNDK US Equity","SHORT_AND_LONG_TERM_DEBT","1993-06-18","2026-05-02","Per=Y","Days=T","Dir=V")</f>
        <v>0</v>
      </c>
      <c r="G2">
        <f>BDH("SNDK US Equity","BS_ST_BORROW","1993-06-18","2026-05-02","Per=Y","Days=T","Dir=V")</f>
        <v>0</v>
      </c>
      <c r="I2">
        <f>BDH("SNDK US Equity","BS_LT_BORROW","1993-06-18","2026-05-02","Per=Y","Days=T","Dir=V")</f>
        <v>0</v>
      </c>
      <c r="K2">
        <f>BDH("SNDK US Equity","BS_CASH_NEAR_CASH_ITEM","1993-06-18","2026-05-02","Per=Y","Days=T","Dir=V")</f>
        <v>0</v>
      </c>
      <c r="M2">
        <f>BDH("SNDK US Equity","BS_CUR_ASSET_REPORT","1993-06-18","2026-05-02","Per=Y","Days=T","Dir=V")</f>
        <v>0</v>
      </c>
      <c r="O2">
        <f>BDH("SNDK US Equity","BS_CUR_LIAB","1993-06-18","2026-05-02","Per=Y","Days=T","Dir=V")</f>
        <v>0</v>
      </c>
      <c r="Q2">
        <f>BDH("SNDK US Equity","BS_SHAREHOLDER_EQY_ENDING_PERIOD","1993-06-18","2026-05-02","Per=Y","Days=T","Dir=V")</f>
        <v>0</v>
      </c>
      <c r="S2">
        <f>BDH("SNDK US Equity","BS_ACCT_NOTE_RCV","1993-06-18","2026-05-02","Per=Y","Days=T","Dir=V")</f>
        <v>0</v>
      </c>
      <c r="U2">
        <f>BDH("SNDK US Equity","BS_INVENTORIES","1993-06-18","2026-05-02","Per=Y","Days=T","Dir=V")</f>
        <v>0</v>
      </c>
      <c r="W2">
        <f>BDH("SNDK US Equity","WORKING_CAPITAL","1993-06-18","2026-05-02","Per=Y","Days=T","Dir=V")</f>
        <v>0</v>
      </c>
      <c r="Y2">
        <f>BDH("SNDK US Equity","SALES_REV_TURN","1993-06-18","2026-05-02","Per=Y","Days=T","Dir=V")</f>
        <v>0</v>
      </c>
      <c r="AA2">
        <f>BDH("SNDK US Equity","EBIT","1993-06-18","2026-05-02","Per=Y","Days=T","Dir=V")</f>
        <v>0</v>
      </c>
      <c r="AC2">
        <f>BDH("SNDK US Equity","EBITDA","1993-06-18","2026-05-02","Per=Y","Days=T","Dir=V")</f>
        <v>0</v>
      </c>
      <c r="AE2">
        <f>BDH("SNDK US Equity","NET_INCOME","1993-06-18","2026-05-02","Per=Y","Days=T","Dir=V")</f>
        <v>0</v>
      </c>
      <c r="AG2">
        <f>BDH("SNDK US Equity","IS_INT_EXPENSE","1993-06-18","2026-05-02","Per=Y","Days=T","Dir=V")</f>
        <v>0</v>
      </c>
      <c r="AI2">
        <f>BDH("SNDK US Equity","IS_DEPR_EXP","1993-06-18","2026-05-02","Per=Y","Days=T","Dir=V")</f>
        <v>0</v>
      </c>
      <c r="AK2">
        <f>BDH("SNDK US Equity","CF_CASH_FROM_OPER","1993-06-18","2026-05-02","Per=Y","Days=T","Dir=V")</f>
        <v>0</v>
      </c>
      <c r="AM2">
        <f>BDH("SNDK US Equity","CAPITAL_EXPEND","1993-06-18","2026-05-02","Per=Y","Days=T","Dir=V")</f>
        <v>0</v>
      </c>
      <c r="AO2">
        <f>BDH("SNDK US Equity","CF_FREE_CASH_FLOW","1993-06-18","2026-05-02","Per=Y","Days=T","Dir=V")</f>
        <v>0</v>
      </c>
      <c r="AQ2">
        <f>BDH("SNDK US Equity","PX_LAST","1993-06-18","2026-05-02","Per=M","Days=T","Dir=V")</f>
        <v>0</v>
      </c>
      <c r="AS2">
        <f>BDH("SNDK US Equity","CUR_MKT_CAP","1993-06-18","2026-05-02","Per=M","Days=T","Dir=V")</f>
        <v>0</v>
      </c>
      <c r="AU2">
        <f>BDH("SNDK US Equity","EQY_SH_OUT","1993-06-18","2026-05-02","Per=M","Days=T","Dir=V")</f>
        <v>0</v>
      </c>
      <c r="AW2">
        <f>BDH("SNDK US Equity","PX_VOLUME","1993-06-18","2026-05-02","Per=M","Days=T","Dir=V")</f>
        <v>0</v>
      </c>
      <c r="AY2">
        <f>BDH("SNDK US Equity","TURNOVER","1993-06-18","2026-05-02","Per=M","Days=T","Dir=V")</f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BDH("SNDR US Equity","BS_TOT_ASSET","1993-06-18","2026-05-02","Per=Y","Days=T","Dir=V")</f>
        <v>0</v>
      </c>
      <c r="C2">
        <f>BDH("SNDR US Equity","BS_TOT_LIAB2","1993-06-18","2026-05-02","Per=Y","Days=T","Dir=V")</f>
        <v>0</v>
      </c>
      <c r="E2">
        <f>BDH("SNDR US Equity","SHORT_AND_LONG_TERM_DEBT","1993-06-18","2026-05-02","Per=Y","Days=T","Dir=V")</f>
        <v>0</v>
      </c>
      <c r="G2">
        <f>BDH("SNDR US Equity","BS_ST_BORROW","1993-06-18","2026-05-02","Per=Y","Days=T","Dir=V")</f>
        <v>0</v>
      </c>
      <c r="I2">
        <f>BDH("SNDR US Equity","BS_LT_BORROW","1993-06-18","2026-05-02","Per=Y","Days=T","Dir=V")</f>
        <v>0</v>
      </c>
      <c r="K2">
        <f>BDH("SNDR US Equity","BS_CASH_NEAR_CASH_ITEM","1993-06-18","2026-05-02","Per=Y","Days=T","Dir=V")</f>
        <v>0</v>
      </c>
      <c r="M2">
        <f>BDH("SNDR US Equity","BS_CUR_ASSET_REPORT","1993-06-18","2026-05-02","Per=Y","Days=T","Dir=V")</f>
        <v>0</v>
      </c>
      <c r="O2">
        <f>BDH("SNDR US Equity","BS_CUR_LIAB","1993-06-18","2026-05-02","Per=Y","Days=T","Dir=V")</f>
        <v>0</v>
      </c>
      <c r="Q2">
        <f>BDH("SNDR US Equity","BS_SHAREHOLDER_EQY_ENDING_PERIOD","1993-06-18","2026-05-02","Per=Y","Days=T","Dir=V")</f>
        <v>0</v>
      </c>
      <c r="S2">
        <f>BDH("SNDR US Equity","BS_ACCT_NOTE_RCV","1993-06-18","2026-05-02","Per=Y","Days=T","Dir=V")</f>
        <v>0</v>
      </c>
      <c r="U2">
        <f>BDH("SNDR US Equity","BS_INVENTORIES","1993-06-18","2026-05-02","Per=Y","Days=T","Dir=V")</f>
        <v>0</v>
      </c>
      <c r="W2">
        <f>BDH("SNDR US Equity","WORKING_CAPITAL","1993-06-18","2026-05-02","Per=Y","Days=T","Dir=V")</f>
        <v>0</v>
      </c>
      <c r="Y2">
        <f>BDH("SNDR US Equity","SALES_REV_TURN","1993-06-18","2026-05-02","Per=Y","Days=T","Dir=V")</f>
        <v>0</v>
      </c>
      <c r="AA2">
        <f>BDH("SNDR US Equity","EBIT","1993-06-18","2026-05-02","Per=Y","Days=T","Dir=V")</f>
        <v>0</v>
      </c>
      <c r="AC2">
        <f>BDH("SNDR US Equity","EBITDA","1993-06-18","2026-05-02","Per=Y","Days=T","Dir=V")</f>
        <v>0</v>
      </c>
      <c r="AE2">
        <f>BDH("SNDR US Equity","NET_INCOME","1993-06-18","2026-05-02","Per=Y","Days=T","Dir=V")</f>
        <v>0</v>
      </c>
      <c r="AG2">
        <f>BDH("SNDR US Equity","IS_INT_EXPENSE","1993-06-18","2026-05-02","Per=Y","Days=T","Dir=V")</f>
        <v>0</v>
      </c>
      <c r="AI2">
        <f>BDH("SNDR US Equity","IS_DEPR_EXP","1993-06-18","2026-05-02","Per=Y","Days=T","Dir=V")</f>
        <v>0</v>
      </c>
      <c r="AK2">
        <f>BDH("SNDR US Equity","CF_CASH_FROM_OPER","1993-06-18","2026-05-02","Per=Y","Days=T","Dir=V")</f>
        <v>0</v>
      </c>
      <c r="AM2">
        <f>BDH("SNDR US Equity","CAPITAL_EXPEND","1993-06-18","2026-05-02","Per=Y","Days=T","Dir=V")</f>
        <v>0</v>
      </c>
      <c r="AO2">
        <f>BDH("SNDR US Equity","CF_FREE_CASH_FLOW","1993-06-18","2026-05-02","Per=Y","Days=T","Dir=V")</f>
        <v>0</v>
      </c>
      <c r="AQ2">
        <f>BDH("SNDR US Equity","PX_LAST","1993-06-18","2026-05-02","Per=M","Days=T","Dir=V")</f>
        <v>0</v>
      </c>
      <c r="AS2">
        <f>BDH("SNDR US Equity","CUR_MKT_CAP","1993-06-18","2026-05-02","Per=M","Days=T","Dir=V")</f>
        <v>0</v>
      </c>
      <c r="AU2">
        <f>BDH("SNDR US Equity","EQY_SH_OUT","1993-06-18","2026-05-02","Per=M","Days=T","Dir=V")</f>
        <v>0</v>
      </c>
      <c r="AW2">
        <f>BDH("SNDR US Equity","PX_VOLUME","1993-06-18","2026-05-02","Per=M","Days=T","Dir=V")</f>
        <v>0</v>
      </c>
      <c r="AY2">
        <f>BDH("SNDR US Equity","TURNOVER","1993-06-18","2026-05-02","Per=M","Days=T","Dir=V")</f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BDH("SNDX US Equity","BS_TOT_ASSET","1993-06-18","2026-05-02","Per=Y","Days=T","Dir=V")</f>
        <v>0</v>
      </c>
      <c r="C2">
        <f>BDH("SNDX US Equity","BS_TOT_LIAB2","1993-06-18","2026-05-02","Per=Y","Days=T","Dir=V")</f>
        <v>0</v>
      </c>
      <c r="E2">
        <f>BDH("SNDX US Equity","SHORT_AND_LONG_TERM_DEBT","1993-06-18","2026-05-02","Per=Y","Days=T","Dir=V")</f>
        <v>0</v>
      </c>
      <c r="G2">
        <f>BDH("SNDX US Equity","BS_ST_BORROW","1993-06-18","2026-05-02","Per=Y","Days=T","Dir=V")</f>
        <v>0</v>
      </c>
      <c r="I2">
        <f>BDH("SNDX US Equity","BS_LT_BORROW","1993-06-18","2026-05-02","Per=Y","Days=T","Dir=V")</f>
        <v>0</v>
      </c>
      <c r="K2">
        <f>BDH("SNDX US Equity","BS_CASH_NEAR_CASH_ITEM","1993-06-18","2026-05-02","Per=Y","Days=T","Dir=V")</f>
        <v>0</v>
      </c>
      <c r="M2">
        <f>BDH("SNDX US Equity","BS_CUR_ASSET_REPORT","1993-06-18","2026-05-02","Per=Y","Days=T","Dir=V")</f>
        <v>0</v>
      </c>
      <c r="O2">
        <f>BDH("SNDX US Equity","BS_CUR_LIAB","1993-06-18","2026-05-02","Per=Y","Days=T","Dir=V")</f>
        <v>0</v>
      </c>
      <c r="Q2">
        <f>BDH("SNDX US Equity","BS_SHAREHOLDER_EQY_ENDING_PERIOD","1993-06-18","2026-05-02","Per=Y","Days=T","Dir=V")</f>
        <v>0</v>
      </c>
      <c r="S2">
        <f>BDH("SNDX US Equity","BS_ACCT_NOTE_RCV","1993-06-18","2026-05-02","Per=Y","Days=T","Dir=V")</f>
        <v>0</v>
      </c>
      <c r="U2">
        <f>BDH("SNDX US Equity","BS_INVENTORIES","1993-06-18","2026-05-02","Per=Y","Days=T","Dir=V")</f>
        <v>0</v>
      </c>
      <c r="W2">
        <f>BDH("SNDX US Equity","WORKING_CAPITAL","1993-06-18","2026-05-02","Per=Y","Days=T","Dir=V")</f>
        <v>0</v>
      </c>
      <c r="Y2">
        <f>BDH("SNDX US Equity","SALES_REV_TURN","1993-06-18","2026-05-02","Per=Y","Days=T","Dir=V")</f>
        <v>0</v>
      </c>
      <c r="AA2">
        <f>BDH("SNDX US Equity","EBIT","1993-06-18","2026-05-02","Per=Y","Days=T","Dir=V")</f>
        <v>0</v>
      </c>
      <c r="AC2">
        <f>BDH("SNDX US Equity","EBITDA","1993-06-18","2026-05-02","Per=Y","Days=T","Dir=V")</f>
        <v>0</v>
      </c>
      <c r="AE2">
        <f>BDH("SNDX US Equity","NET_INCOME","1993-06-18","2026-05-02","Per=Y","Days=T","Dir=V")</f>
        <v>0</v>
      </c>
      <c r="AG2">
        <f>BDH("SNDX US Equity","IS_INT_EXPENSE","1993-06-18","2026-05-02","Per=Y","Days=T","Dir=V")</f>
        <v>0</v>
      </c>
      <c r="AI2">
        <f>BDH("SNDX US Equity","IS_DEPR_EXP","1993-06-18","2026-05-02","Per=Y","Days=T","Dir=V")</f>
        <v>0</v>
      </c>
      <c r="AK2">
        <f>BDH("SNDX US Equity","CF_CASH_FROM_OPER","1993-06-18","2026-05-02","Per=Y","Days=T","Dir=V")</f>
        <v>0</v>
      </c>
      <c r="AM2">
        <f>BDH("SNDX US Equity","CAPITAL_EXPEND","1993-06-18","2026-05-02","Per=Y","Days=T","Dir=V")</f>
        <v>0</v>
      </c>
      <c r="AO2">
        <f>BDH("SNDX US Equity","CF_FREE_CASH_FLOW","1993-06-18","2026-05-02","Per=Y","Days=T","Dir=V")</f>
        <v>0</v>
      </c>
      <c r="AQ2">
        <f>BDH("SNDX US Equity","PX_LAST","1993-06-18","2026-05-02","Per=M","Days=T","Dir=V")</f>
        <v>0</v>
      </c>
      <c r="AS2">
        <f>BDH("SNDX US Equity","CUR_MKT_CAP","1993-06-18","2026-05-02","Per=M","Days=T","Dir=V")</f>
        <v>0</v>
      </c>
      <c r="AU2">
        <f>BDH("SNDX US Equity","EQY_SH_OUT","1993-06-18","2026-05-02","Per=M","Days=T","Dir=V")</f>
        <v>0</v>
      </c>
      <c r="AW2">
        <f>BDH("SNDX US Equity","PX_VOLUME","1993-06-18","2026-05-02","Per=M","Days=T","Dir=V")</f>
        <v>0</v>
      </c>
      <c r="AY2">
        <f>BDH("SNDX US Equity","TURNOVER","1993-06-18","2026-05-02","Per=M","Days=T","Dir=V")</f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BDH("SNES US Equity","BS_TOT_ASSET","1993-06-18","2026-05-02","Per=Y","Days=T","Dir=V")</f>
        <v>0</v>
      </c>
      <c r="C2">
        <f>BDH("SNES US Equity","BS_TOT_LIAB2","1993-06-18","2026-05-02","Per=Y","Days=T","Dir=V")</f>
        <v>0</v>
      </c>
      <c r="E2">
        <f>BDH("SNES US Equity","SHORT_AND_LONG_TERM_DEBT","1993-06-18","2026-05-02","Per=Y","Days=T","Dir=V")</f>
        <v>0</v>
      </c>
      <c r="G2">
        <f>BDH("SNES US Equity","BS_ST_BORROW","1993-06-18","2026-05-02","Per=Y","Days=T","Dir=V")</f>
        <v>0</v>
      </c>
      <c r="I2">
        <f>BDH("SNES US Equity","BS_LT_BORROW","1993-06-18","2026-05-02","Per=Y","Days=T","Dir=V")</f>
        <v>0</v>
      </c>
      <c r="K2">
        <f>BDH("SNES US Equity","BS_CASH_NEAR_CASH_ITEM","1993-06-18","2026-05-02","Per=Y","Days=T","Dir=V")</f>
        <v>0</v>
      </c>
      <c r="M2">
        <f>BDH("SNES US Equity","BS_CUR_ASSET_REPORT","1993-06-18","2026-05-02","Per=Y","Days=T","Dir=V")</f>
        <v>0</v>
      </c>
      <c r="O2">
        <f>BDH("SNES US Equity","BS_CUR_LIAB","1993-06-18","2026-05-02","Per=Y","Days=T","Dir=V")</f>
        <v>0</v>
      </c>
      <c r="Q2">
        <f>BDH("SNES US Equity","BS_SHAREHOLDER_EQY_ENDING_PERIOD","1993-06-18","2026-05-02","Per=Y","Days=T","Dir=V")</f>
        <v>0</v>
      </c>
      <c r="S2">
        <f>BDH("SNES US Equity","BS_ACCT_NOTE_RCV","1993-06-18","2026-05-02","Per=Y","Days=T","Dir=V")</f>
        <v>0</v>
      </c>
      <c r="U2">
        <f>BDH("SNES US Equity","BS_INVENTORIES","1993-06-18","2026-05-02","Per=Y","Days=T","Dir=V")</f>
        <v>0</v>
      </c>
      <c r="W2">
        <f>BDH("SNES US Equity","WORKING_CAPITAL","1993-06-18","2026-05-02","Per=Y","Days=T","Dir=V")</f>
        <v>0</v>
      </c>
      <c r="Y2">
        <f>BDH("SNES US Equity","SALES_REV_TURN","1993-06-18","2026-05-02","Per=Y","Days=T","Dir=V")</f>
        <v>0</v>
      </c>
      <c r="AA2">
        <f>BDH("SNES US Equity","EBIT","1993-06-18","2026-05-02","Per=Y","Days=T","Dir=V")</f>
        <v>0</v>
      </c>
      <c r="AC2">
        <f>BDH("SNES US Equity","EBITDA","1993-06-18","2026-05-02","Per=Y","Days=T","Dir=V")</f>
        <v>0</v>
      </c>
      <c r="AE2">
        <f>BDH("SNES US Equity","NET_INCOME","1993-06-18","2026-05-02","Per=Y","Days=T","Dir=V")</f>
        <v>0</v>
      </c>
      <c r="AG2">
        <f>BDH("SNES US Equity","IS_INT_EXPENSE","1993-06-18","2026-05-02","Per=Y","Days=T","Dir=V")</f>
        <v>0</v>
      </c>
      <c r="AI2">
        <f>BDH("SNES US Equity","IS_DEPR_EXP","1993-06-18","2026-05-02","Per=Y","Days=T","Dir=V")</f>
        <v>0</v>
      </c>
      <c r="AK2">
        <f>BDH("SNES US Equity","CF_CASH_FROM_OPER","1993-06-18","2026-05-02","Per=Y","Days=T","Dir=V")</f>
        <v>0</v>
      </c>
      <c r="AM2">
        <f>BDH("SNES US Equity","CAPITAL_EXPEND","1993-06-18","2026-05-02","Per=Y","Days=T","Dir=V")</f>
        <v>0</v>
      </c>
      <c r="AO2">
        <f>BDH("SNES US Equity","CF_FREE_CASH_FLOW","1993-06-18","2026-05-02","Per=Y","Days=T","Dir=V")</f>
        <v>0</v>
      </c>
      <c r="AQ2">
        <f>BDH("SNES US Equity","PX_LAST","1993-06-18","2026-05-02","Per=M","Days=T","Dir=V")</f>
        <v>0</v>
      </c>
      <c r="AS2">
        <f>BDH("SNES US Equity","CUR_MKT_CAP","1993-06-18","2026-05-02","Per=M","Days=T","Dir=V")</f>
        <v>0</v>
      </c>
      <c r="AU2">
        <f>BDH("SNES US Equity","EQY_SH_OUT","1993-06-18","2026-05-02","Per=M","Days=T","Dir=V")</f>
        <v>0</v>
      </c>
      <c r="AW2">
        <f>BDH("SNES US Equity","PX_VOLUME","1993-06-18","2026-05-02","Per=M","Days=T","Dir=V")</f>
        <v>0</v>
      </c>
      <c r="AY2">
        <f>BDH("SNES US Equity","TURNOVER","1993-06-18","2026-05-02","Per=M","Days=T","Dir=V")</f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BDH("SNGX US Equity","BS_TOT_ASSET","1993-06-18","2026-05-02","Per=Y","Days=T","Dir=V")</f>
        <v>0</v>
      </c>
      <c r="C2">
        <f>BDH("SNGX US Equity","BS_TOT_LIAB2","1993-06-18","2026-05-02","Per=Y","Days=T","Dir=V")</f>
        <v>0</v>
      </c>
      <c r="E2">
        <f>BDH("SNGX US Equity","SHORT_AND_LONG_TERM_DEBT","1993-06-18","2026-05-02","Per=Y","Days=T","Dir=V")</f>
        <v>0</v>
      </c>
      <c r="G2">
        <f>BDH("SNGX US Equity","BS_ST_BORROW","1993-06-18","2026-05-02","Per=Y","Days=T","Dir=V")</f>
        <v>0</v>
      </c>
      <c r="I2">
        <f>BDH("SNGX US Equity","BS_LT_BORROW","1993-06-18","2026-05-02","Per=Y","Days=T","Dir=V")</f>
        <v>0</v>
      </c>
      <c r="K2">
        <f>BDH("SNGX US Equity","BS_CASH_NEAR_CASH_ITEM","1993-06-18","2026-05-02","Per=Y","Days=T","Dir=V")</f>
        <v>0</v>
      </c>
      <c r="M2">
        <f>BDH("SNGX US Equity","BS_CUR_ASSET_REPORT","1993-06-18","2026-05-02","Per=Y","Days=T","Dir=V")</f>
        <v>0</v>
      </c>
      <c r="O2">
        <f>BDH("SNGX US Equity","BS_CUR_LIAB","1993-06-18","2026-05-02","Per=Y","Days=T","Dir=V")</f>
        <v>0</v>
      </c>
      <c r="Q2">
        <f>BDH("SNGX US Equity","BS_SHAREHOLDER_EQY_ENDING_PERIOD","1993-06-18","2026-05-02","Per=Y","Days=T","Dir=V")</f>
        <v>0</v>
      </c>
      <c r="S2">
        <f>BDH("SNGX US Equity","BS_ACCT_NOTE_RCV","1993-06-18","2026-05-02","Per=Y","Days=T","Dir=V")</f>
        <v>0</v>
      </c>
      <c r="U2">
        <f>BDH("SNGX US Equity","BS_INVENTORIES","1993-06-18","2026-05-02","Per=Y","Days=T","Dir=V")</f>
        <v>0</v>
      </c>
      <c r="W2">
        <f>BDH("SNGX US Equity","WORKING_CAPITAL","1993-06-18","2026-05-02","Per=Y","Days=T","Dir=V")</f>
        <v>0</v>
      </c>
      <c r="Y2">
        <f>BDH("SNGX US Equity","SALES_REV_TURN","1993-06-18","2026-05-02","Per=Y","Days=T","Dir=V")</f>
        <v>0</v>
      </c>
      <c r="AA2">
        <f>BDH("SNGX US Equity","EBIT","1993-06-18","2026-05-02","Per=Y","Days=T","Dir=V")</f>
        <v>0</v>
      </c>
      <c r="AC2">
        <f>BDH("SNGX US Equity","EBITDA","1993-06-18","2026-05-02","Per=Y","Days=T","Dir=V")</f>
        <v>0</v>
      </c>
      <c r="AE2">
        <f>BDH("SNGX US Equity","NET_INCOME","1993-06-18","2026-05-02","Per=Y","Days=T","Dir=V")</f>
        <v>0</v>
      </c>
      <c r="AG2">
        <f>BDH("SNGX US Equity","IS_INT_EXPENSE","1993-06-18","2026-05-02","Per=Y","Days=T","Dir=V")</f>
        <v>0</v>
      </c>
      <c r="AI2">
        <f>BDH("SNGX US Equity","IS_DEPR_EXP","1993-06-18","2026-05-02","Per=Y","Days=T","Dir=V")</f>
        <v>0</v>
      </c>
      <c r="AK2">
        <f>BDH("SNGX US Equity","CF_CASH_FROM_OPER","1993-06-18","2026-05-02","Per=Y","Days=T","Dir=V")</f>
        <v>0</v>
      </c>
      <c r="AM2">
        <f>BDH("SNGX US Equity","CAPITAL_EXPEND","1993-06-18","2026-05-02","Per=Y","Days=T","Dir=V")</f>
        <v>0</v>
      </c>
      <c r="AO2">
        <f>BDH("SNGX US Equity","CF_FREE_CASH_FLOW","1993-06-18","2026-05-02","Per=Y","Days=T","Dir=V")</f>
        <v>0</v>
      </c>
      <c r="AQ2">
        <f>BDH("SNGX US Equity","PX_LAST","1993-06-18","2026-05-02","Per=M","Days=T","Dir=V")</f>
        <v>0</v>
      </c>
      <c r="AS2">
        <f>BDH("SNGX US Equity","CUR_MKT_CAP","1993-06-18","2026-05-02","Per=M","Days=T","Dir=V")</f>
        <v>0</v>
      </c>
      <c r="AU2">
        <f>BDH("SNGX US Equity","EQY_SH_OUT","1993-06-18","2026-05-02","Per=M","Days=T","Dir=V")</f>
        <v>0</v>
      </c>
      <c r="AW2">
        <f>BDH("SNGX US Equity","PX_VOLUME","1993-06-18","2026-05-02","Per=M","Days=T","Dir=V")</f>
        <v>0</v>
      </c>
      <c r="AY2">
        <f>BDH("SNGX US Equity","TURNOVER","1993-06-18","2026-05-02","Per=M","Days=T","Dir=V")</f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BDH("SNOA US Equity","BS_TOT_ASSET","1993-06-18","2026-05-02","Per=Y","Days=T","Dir=V")</f>
        <v>0</v>
      </c>
      <c r="C2">
        <f>BDH("SNOA US Equity","BS_TOT_LIAB2","1993-06-18","2026-05-02","Per=Y","Days=T","Dir=V")</f>
        <v>0</v>
      </c>
      <c r="E2">
        <f>BDH("SNOA US Equity","SHORT_AND_LONG_TERM_DEBT","1993-06-18","2026-05-02","Per=Y","Days=T","Dir=V")</f>
        <v>0</v>
      </c>
      <c r="G2">
        <f>BDH("SNOA US Equity","BS_ST_BORROW","1993-06-18","2026-05-02","Per=Y","Days=T","Dir=V")</f>
        <v>0</v>
      </c>
      <c r="I2">
        <f>BDH("SNOA US Equity","BS_LT_BORROW","1993-06-18","2026-05-02","Per=Y","Days=T","Dir=V")</f>
        <v>0</v>
      </c>
      <c r="K2">
        <f>BDH("SNOA US Equity","BS_CASH_NEAR_CASH_ITEM","1993-06-18","2026-05-02","Per=Y","Days=T","Dir=V")</f>
        <v>0</v>
      </c>
      <c r="M2">
        <f>BDH("SNOA US Equity","BS_CUR_ASSET_REPORT","1993-06-18","2026-05-02","Per=Y","Days=T","Dir=V")</f>
        <v>0</v>
      </c>
      <c r="O2">
        <f>BDH("SNOA US Equity","BS_CUR_LIAB","1993-06-18","2026-05-02","Per=Y","Days=T","Dir=V")</f>
        <v>0</v>
      </c>
      <c r="Q2">
        <f>BDH("SNOA US Equity","BS_SHAREHOLDER_EQY_ENDING_PERIOD","1993-06-18","2026-05-02","Per=Y","Days=T","Dir=V")</f>
        <v>0</v>
      </c>
      <c r="S2">
        <f>BDH("SNOA US Equity","BS_ACCT_NOTE_RCV","1993-06-18","2026-05-02","Per=Y","Days=T","Dir=V")</f>
        <v>0</v>
      </c>
      <c r="U2">
        <f>BDH("SNOA US Equity","BS_INVENTORIES","1993-06-18","2026-05-02","Per=Y","Days=T","Dir=V")</f>
        <v>0</v>
      </c>
      <c r="W2">
        <f>BDH("SNOA US Equity","WORKING_CAPITAL","1993-06-18","2026-05-02","Per=Y","Days=T","Dir=V")</f>
        <v>0</v>
      </c>
      <c r="Y2">
        <f>BDH("SNOA US Equity","SALES_REV_TURN","1993-06-18","2026-05-02","Per=Y","Days=T","Dir=V")</f>
        <v>0</v>
      </c>
      <c r="AA2">
        <f>BDH("SNOA US Equity","EBIT","1993-06-18","2026-05-02","Per=Y","Days=T","Dir=V")</f>
        <v>0</v>
      </c>
      <c r="AC2">
        <f>BDH("SNOA US Equity","EBITDA","1993-06-18","2026-05-02","Per=Y","Days=T","Dir=V")</f>
        <v>0</v>
      </c>
      <c r="AE2">
        <f>BDH("SNOA US Equity","NET_INCOME","1993-06-18","2026-05-02","Per=Y","Days=T","Dir=V")</f>
        <v>0</v>
      </c>
      <c r="AG2">
        <f>BDH("SNOA US Equity","IS_INT_EXPENSE","1993-06-18","2026-05-02","Per=Y","Days=T","Dir=V")</f>
        <v>0</v>
      </c>
      <c r="AI2">
        <f>BDH("SNOA US Equity","IS_DEPR_EXP","1993-06-18","2026-05-02","Per=Y","Days=T","Dir=V")</f>
        <v>0</v>
      </c>
      <c r="AK2">
        <f>BDH("SNOA US Equity","CF_CASH_FROM_OPER","1993-06-18","2026-05-02","Per=Y","Days=T","Dir=V")</f>
        <v>0</v>
      </c>
      <c r="AM2">
        <f>BDH("SNOA US Equity","CAPITAL_EXPEND","1993-06-18","2026-05-02","Per=Y","Days=T","Dir=V")</f>
        <v>0</v>
      </c>
      <c r="AO2">
        <f>BDH("SNOA US Equity","CF_FREE_CASH_FLOW","1993-06-18","2026-05-02","Per=Y","Days=T","Dir=V")</f>
        <v>0</v>
      </c>
      <c r="AQ2">
        <f>BDH("SNOA US Equity","PX_LAST","1993-06-18","2026-05-02","Per=M","Days=T","Dir=V")</f>
        <v>0</v>
      </c>
      <c r="AS2">
        <f>BDH("SNOA US Equity","CUR_MKT_CAP","1993-06-18","2026-05-02","Per=M","Days=T","Dir=V")</f>
        <v>0</v>
      </c>
      <c r="AU2">
        <f>BDH("SNOA US Equity","EQY_SH_OUT","1993-06-18","2026-05-02","Per=M","Days=T","Dir=V")</f>
        <v>0</v>
      </c>
      <c r="AW2">
        <f>BDH("SNOA US Equity","PX_VOLUME","1993-06-18","2026-05-02","Per=M","Days=T","Dir=V")</f>
        <v>0</v>
      </c>
      <c r="AY2">
        <f>BDH("SNOA US Equity","TURNOVER","1993-06-18","2026-05-02","Per=M","Days=T","Dir=V")</f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BDH("SNOW US Equity","BS_TOT_ASSET","1993-06-18","2026-05-02","Per=Y","Days=T","Dir=V")</f>
        <v>0</v>
      </c>
      <c r="C2">
        <f>BDH("SNOW US Equity","BS_TOT_LIAB2","1993-06-18","2026-05-02","Per=Y","Days=T","Dir=V")</f>
        <v>0</v>
      </c>
      <c r="E2">
        <f>BDH("SNOW US Equity","SHORT_AND_LONG_TERM_DEBT","1993-06-18","2026-05-02","Per=Y","Days=T","Dir=V")</f>
        <v>0</v>
      </c>
      <c r="G2">
        <f>BDH("SNOW US Equity","BS_ST_BORROW","1993-06-18","2026-05-02","Per=Y","Days=T","Dir=V")</f>
        <v>0</v>
      </c>
      <c r="I2">
        <f>BDH("SNOW US Equity","BS_LT_BORROW","1993-06-18","2026-05-02","Per=Y","Days=T","Dir=V")</f>
        <v>0</v>
      </c>
      <c r="K2">
        <f>BDH("SNOW US Equity","BS_CASH_NEAR_CASH_ITEM","1993-06-18","2026-05-02","Per=Y","Days=T","Dir=V")</f>
        <v>0</v>
      </c>
      <c r="M2">
        <f>BDH("SNOW US Equity","BS_CUR_ASSET_REPORT","1993-06-18","2026-05-02","Per=Y","Days=T","Dir=V")</f>
        <v>0</v>
      </c>
      <c r="O2">
        <f>BDH("SNOW US Equity","BS_CUR_LIAB","1993-06-18","2026-05-02","Per=Y","Days=T","Dir=V")</f>
        <v>0</v>
      </c>
      <c r="Q2">
        <f>BDH("SNOW US Equity","BS_SHAREHOLDER_EQY_ENDING_PERIOD","1993-06-18","2026-05-02","Per=Y","Days=T","Dir=V")</f>
        <v>0</v>
      </c>
      <c r="S2">
        <f>BDH("SNOW US Equity","BS_ACCT_NOTE_RCV","1993-06-18","2026-05-02","Per=Y","Days=T","Dir=V")</f>
        <v>0</v>
      </c>
      <c r="U2">
        <f>BDH("SNOW US Equity","BS_INVENTORIES","1993-06-18","2026-05-02","Per=Y","Days=T","Dir=V")</f>
        <v>0</v>
      </c>
      <c r="W2">
        <f>BDH("SNOW US Equity","WORKING_CAPITAL","1993-06-18","2026-05-02","Per=Y","Days=T","Dir=V")</f>
        <v>0</v>
      </c>
      <c r="Y2">
        <f>BDH("SNOW US Equity","SALES_REV_TURN","1993-06-18","2026-05-02","Per=Y","Days=T","Dir=V")</f>
        <v>0</v>
      </c>
      <c r="AA2">
        <f>BDH("SNOW US Equity","EBIT","1993-06-18","2026-05-02","Per=Y","Days=T","Dir=V")</f>
        <v>0</v>
      </c>
      <c r="AC2">
        <f>BDH("SNOW US Equity","EBITDA","1993-06-18","2026-05-02","Per=Y","Days=T","Dir=V")</f>
        <v>0</v>
      </c>
      <c r="AE2">
        <f>BDH("SNOW US Equity","NET_INCOME","1993-06-18","2026-05-02","Per=Y","Days=T","Dir=V")</f>
        <v>0</v>
      </c>
      <c r="AG2">
        <f>BDH("SNOW US Equity","IS_INT_EXPENSE","1993-06-18","2026-05-02","Per=Y","Days=T","Dir=V")</f>
        <v>0</v>
      </c>
      <c r="AI2">
        <f>BDH("SNOW US Equity","IS_DEPR_EXP","1993-06-18","2026-05-02","Per=Y","Days=T","Dir=V")</f>
        <v>0</v>
      </c>
      <c r="AK2">
        <f>BDH("SNOW US Equity","CF_CASH_FROM_OPER","1993-06-18","2026-05-02","Per=Y","Days=T","Dir=V")</f>
        <v>0</v>
      </c>
      <c r="AM2">
        <f>BDH("SNOW US Equity","CAPITAL_EXPEND","1993-06-18","2026-05-02","Per=Y","Days=T","Dir=V")</f>
        <v>0</v>
      </c>
      <c r="AO2">
        <f>BDH("SNOW US Equity","CF_FREE_CASH_FLOW","1993-06-18","2026-05-02","Per=Y","Days=T","Dir=V")</f>
        <v>0</v>
      </c>
      <c r="AQ2">
        <f>BDH("SNOW US Equity","PX_LAST","1993-06-18","2026-05-02","Per=M","Days=T","Dir=V")</f>
        <v>0</v>
      </c>
      <c r="AS2">
        <f>BDH("SNOW US Equity","CUR_MKT_CAP","1993-06-18","2026-05-02","Per=M","Days=T","Dir=V")</f>
        <v>0</v>
      </c>
      <c r="AU2">
        <f>BDH("SNOW US Equity","EQY_SH_OUT","1993-06-18","2026-05-02","Per=M","Days=T","Dir=V")</f>
        <v>0</v>
      </c>
      <c r="AW2">
        <f>BDH("SNOW US Equity","PX_VOLUME","1993-06-18","2026-05-02","Per=M","Days=T","Dir=V")</f>
        <v>0</v>
      </c>
      <c r="AY2">
        <f>BDH("SNOW US Equity","TURNOVER","1993-06-18","2026-05-02","Per=M","Days=T","Dir=V")</f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BDH("SNPS US Equity","BS_TOT_ASSET","1993-06-18","2026-05-02","Per=Y","Days=T","Dir=V")</f>
        <v>0</v>
      </c>
      <c r="C2">
        <f>BDH("SNPS US Equity","BS_TOT_LIAB2","1993-06-18","2026-05-02","Per=Y","Days=T","Dir=V")</f>
        <v>0</v>
      </c>
      <c r="E2">
        <f>BDH("SNPS US Equity","SHORT_AND_LONG_TERM_DEBT","1993-06-18","2026-05-02","Per=Y","Days=T","Dir=V")</f>
        <v>0</v>
      </c>
      <c r="G2">
        <f>BDH("SNPS US Equity","BS_ST_BORROW","1993-06-18","2026-05-02","Per=Y","Days=T","Dir=V")</f>
        <v>0</v>
      </c>
      <c r="I2">
        <f>BDH("SNPS US Equity","BS_LT_BORROW","1993-06-18","2026-05-02","Per=Y","Days=T","Dir=V")</f>
        <v>0</v>
      </c>
      <c r="K2">
        <f>BDH("SNPS US Equity","BS_CASH_NEAR_CASH_ITEM","1993-06-18","2026-05-02","Per=Y","Days=T","Dir=V")</f>
        <v>0</v>
      </c>
      <c r="M2">
        <f>BDH("SNPS US Equity","BS_CUR_ASSET_REPORT","1993-06-18","2026-05-02","Per=Y","Days=T","Dir=V")</f>
        <v>0</v>
      </c>
      <c r="O2">
        <f>BDH("SNPS US Equity","BS_CUR_LIAB","1993-06-18","2026-05-02","Per=Y","Days=T","Dir=V")</f>
        <v>0</v>
      </c>
      <c r="Q2">
        <f>BDH("SNPS US Equity","BS_SHAREHOLDER_EQY_ENDING_PERIOD","1993-06-18","2026-05-02","Per=Y","Days=T","Dir=V")</f>
        <v>0</v>
      </c>
      <c r="S2">
        <f>BDH("SNPS US Equity","BS_ACCT_NOTE_RCV","1993-06-18","2026-05-02","Per=Y","Days=T","Dir=V")</f>
        <v>0</v>
      </c>
      <c r="U2">
        <f>BDH("SNPS US Equity","BS_INVENTORIES","1993-06-18","2026-05-02","Per=Y","Days=T","Dir=V")</f>
        <v>0</v>
      </c>
      <c r="W2">
        <f>BDH("SNPS US Equity","WORKING_CAPITAL","1993-06-18","2026-05-02","Per=Y","Days=T","Dir=V")</f>
        <v>0</v>
      </c>
      <c r="Y2">
        <f>BDH("SNPS US Equity","SALES_REV_TURN","1993-06-18","2026-05-02","Per=Y","Days=T","Dir=V")</f>
        <v>0</v>
      </c>
      <c r="AA2">
        <f>BDH("SNPS US Equity","EBIT","1993-06-18","2026-05-02","Per=Y","Days=T","Dir=V")</f>
        <v>0</v>
      </c>
      <c r="AC2">
        <f>BDH("SNPS US Equity","EBITDA","1993-06-18","2026-05-02","Per=Y","Days=T","Dir=V")</f>
        <v>0</v>
      </c>
      <c r="AE2">
        <f>BDH("SNPS US Equity","NET_INCOME","1993-06-18","2026-05-02","Per=Y","Days=T","Dir=V")</f>
        <v>0</v>
      </c>
      <c r="AG2">
        <f>BDH("SNPS US Equity","IS_INT_EXPENSE","1993-06-18","2026-05-02","Per=Y","Days=T","Dir=V")</f>
        <v>0</v>
      </c>
      <c r="AI2">
        <f>BDH("SNPS US Equity","IS_DEPR_EXP","1993-06-18","2026-05-02","Per=Y","Days=T","Dir=V")</f>
        <v>0</v>
      </c>
      <c r="AK2">
        <f>BDH("SNPS US Equity","CF_CASH_FROM_OPER","1993-06-18","2026-05-02","Per=Y","Days=T","Dir=V")</f>
        <v>0</v>
      </c>
      <c r="AM2">
        <f>BDH("SNPS US Equity","CAPITAL_EXPEND","1993-06-18","2026-05-02","Per=Y","Days=T","Dir=V")</f>
        <v>0</v>
      </c>
      <c r="AO2">
        <f>BDH("SNPS US Equity","CF_FREE_CASH_FLOW","1993-06-18","2026-05-02","Per=Y","Days=T","Dir=V")</f>
        <v>0</v>
      </c>
      <c r="AQ2">
        <f>BDH("SNPS US Equity","PX_LAST","1993-06-18","2026-05-02","Per=M","Days=T","Dir=V")</f>
        <v>0</v>
      </c>
      <c r="AS2">
        <f>BDH("SNPS US Equity","CUR_MKT_CAP","1993-06-18","2026-05-02","Per=M","Days=T","Dir=V")</f>
        <v>0</v>
      </c>
      <c r="AU2">
        <f>BDH("SNPS US Equity","EQY_SH_OUT","1993-06-18","2026-05-02","Per=M","Days=T","Dir=V")</f>
        <v>0</v>
      </c>
      <c r="AW2">
        <f>BDH("SNPS US Equity","PX_VOLUME","1993-06-18","2026-05-02","Per=M","Days=T","Dir=V")</f>
        <v>0</v>
      </c>
      <c r="AY2">
        <f>BDH("SNPS US Equity","TURNOVER","1993-06-18","2026-05-02","Per=M","Days=T","Dir=V")</f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BDH("SNTI US Equity","BS_TOT_ASSET","1993-06-18","2026-05-02","Per=Y","Days=T","Dir=V")</f>
        <v>0</v>
      </c>
      <c r="C2">
        <f>BDH("SNTI US Equity","BS_TOT_LIAB2","1993-06-18","2026-05-02","Per=Y","Days=T","Dir=V")</f>
        <v>0</v>
      </c>
      <c r="E2">
        <f>BDH("SNTI US Equity","SHORT_AND_LONG_TERM_DEBT","1993-06-18","2026-05-02","Per=Y","Days=T","Dir=V")</f>
        <v>0</v>
      </c>
      <c r="G2">
        <f>BDH("SNTI US Equity","BS_ST_BORROW","1993-06-18","2026-05-02","Per=Y","Days=T","Dir=V")</f>
        <v>0</v>
      </c>
      <c r="I2">
        <f>BDH("SNTI US Equity","BS_LT_BORROW","1993-06-18","2026-05-02","Per=Y","Days=T","Dir=V")</f>
        <v>0</v>
      </c>
      <c r="K2">
        <f>BDH("SNTI US Equity","BS_CASH_NEAR_CASH_ITEM","1993-06-18","2026-05-02","Per=Y","Days=T","Dir=V")</f>
        <v>0</v>
      </c>
      <c r="M2">
        <f>BDH("SNTI US Equity","BS_CUR_ASSET_REPORT","1993-06-18","2026-05-02","Per=Y","Days=T","Dir=V")</f>
        <v>0</v>
      </c>
      <c r="O2">
        <f>BDH("SNTI US Equity","BS_CUR_LIAB","1993-06-18","2026-05-02","Per=Y","Days=T","Dir=V")</f>
        <v>0</v>
      </c>
      <c r="Q2">
        <f>BDH("SNTI US Equity","BS_SHAREHOLDER_EQY_ENDING_PERIOD","1993-06-18","2026-05-02","Per=Y","Days=T","Dir=V")</f>
        <v>0</v>
      </c>
      <c r="S2">
        <f>BDH("SNTI US Equity","BS_ACCT_NOTE_RCV","1993-06-18","2026-05-02","Per=Y","Days=T","Dir=V")</f>
        <v>0</v>
      </c>
      <c r="U2">
        <f>BDH("SNTI US Equity","BS_INVENTORIES","1993-06-18","2026-05-02","Per=Y","Days=T","Dir=V")</f>
        <v>0</v>
      </c>
      <c r="W2">
        <f>BDH("SNTI US Equity","WORKING_CAPITAL","1993-06-18","2026-05-02","Per=Y","Days=T","Dir=V")</f>
        <v>0</v>
      </c>
      <c r="Y2">
        <f>BDH("SNTI US Equity","SALES_REV_TURN","1993-06-18","2026-05-02","Per=Y","Days=T","Dir=V")</f>
        <v>0</v>
      </c>
      <c r="AA2">
        <f>BDH("SNTI US Equity","EBIT","1993-06-18","2026-05-02","Per=Y","Days=T","Dir=V")</f>
        <v>0</v>
      </c>
      <c r="AC2">
        <f>BDH("SNTI US Equity","EBITDA","1993-06-18","2026-05-02","Per=Y","Days=T","Dir=V")</f>
        <v>0</v>
      </c>
      <c r="AE2">
        <f>BDH("SNTI US Equity","NET_INCOME","1993-06-18","2026-05-02","Per=Y","Days=T","Dir=V")</f>
        <v>0</v>
      </c>
      <c r="AG2">
        <f>BDH("SNTI US Equity","IS_INT_EXPENSE","1993-06-18","2026-05-02","Per=Y","Days=T","Dir=V")</f>
        <v>0</v>
      </c>
      <c r="AI2">
        <f>BDH("SNTI US Equity","IS_DEPR_EXP","1993-06-18","2026-05-02","Per=Y","Days=T","Dir=V")</f>
        <v>0</v>
      </c>
      <c r="AK2">
        <f>BDH("SNTI US Equity","CF_CASH_FROM_OPER","1993-06-18","2026-05-02","Per=Y","Days=T","Dir=V")</f>
        <v>0</v>
      </c>
      <c r="AM2">
        <f>BDH("SNTI US Equity","CAPITAL_EXPEND","1993-06-18","2026-05-02","Per=Y","Days=T","Dir=V")</f>
        <v>0</v>
      </c>
      <c r="AO2">
        <f>BDH("SNTI US Equity","CF_FREE_CASH_FLOW","1993-06-18","2026-05-02","Per=Y","Days=T","Dir=V")</f>
        <v>0</v>
      </c>
      <c r="AQ2">
        <f>BDH("SNTI US Equity","PX_LAST","1993-06-18","2026-05-02","Per=M","Days=T","Dir=V")</f>
        <v>0</v>
      </c>
      <c r="AS2">
        <f>BDH("SNTI US Equity","CUR_MKT_CAP","1993-06-18","2026-05-02","Per=M","Days=T","Dir=V")</f>
        <v>0</v>
      </c>
      <c r="AU2">
        <f>BDH("SNTI US Equity","EQY_SH_OUT","1993-06-18","2026-05-02","Per=M","Days=T","Dir=V")</f>
        <v>0</v>
      </c>
      <c r="AW2">
        <f>BDH("SNTI US Equity","PX_VOLUME","1993-06-18","2026-05-02","Per=M","Days=T","Dir=V")</f>
        <v>0</v>
      </c>
      <c r="AY2">
        <f>BDH("SNTI US Equity","TURNOVER","1993-06-18","2026-05-02","Per=M","Days=T","Dir=V")</f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BDH("SNWV US Equity","BS_TOT_ASSET","1993-06-18","2026-05-02","Per=Y","Days=T","Dir=V")</f>
        <v>0</v>
      </c>
      <c r="C2">
        <f>BDH("SNWV US Equity","BS_TOT_LIAB2","1993-06-18","2026-05-02","Per=Y","Days=T","Dir=V")</f>
        <v>0</v>
      </c>
      <c r="E2">
        <f>BDH("SNWV US Equity","SHORT_AND_LONG_TERM_DEBT","1993-06-18","2026-05-02","Per=Y","Days=T","Dir=V")</f>
        <v>0</v>
      </c>
      <c r="G2">
        <f>BDH("SNWV US Equity","BS_ST_BORROW","1993-06-18","2026-05-02","Per=Y","Days=T","Dir=V")</f>
        <v>0</v>
      </c>
      <c r="I2">
        <f>BDH("SNWV US Equity","BS_LT_BORROW","1993-06-18","2026-05-02","Per=Y","Days=T","Dir=V")</f>
        <v>0</v>
      </c>
      <c r="K2">
        <f>BDH("SNWV US Equity","BS_CASH_NEAR_CASH_ITEM","1993-06-18","2026-05-02","Per=Y","Days=T","Dir=V")</f>
        <v>0</v>
      </c>
      <c r="M2">
        <f>BDH("SNWV US Equity","BS_CUR_ASSET_REPORT","1993-06-18","2026-05-02","Per=Y","Days=T","Dir=V")</f>
        <v>0</v>
      </c>
      <c r="O2">
        <f>BDH("SNWV US Equity","BS_CUR_LIAB","1993-06-18","2026-05-02","Per=Y","Days=T","Dir=V")</f>
        <v>0</v>
      </c>
      <c r="Q2">
        <f>BDH("SNWV US Equity","BS_SHAREHOLDER_EQY_ENDING_PERIOD","1993-06-18","2026-05-02","Per=Y","Days=T","Dir=V")</f>
        <v>0</v>
      </c>
      <c r="S2">
        <f>BDH("SNWV US Equity","BS_ACCT_NOTE_RCV","1993-06-18","2026-05-02","Per=Y","Days=T","Dir=V")</f>
        <v>0</v>
      </c>
      <c r="U2">
        <f>BDH("SNWV US Equity","BS_INVENTORIES","1993-06-18","2026-05-02","Per=Y","Days=T","Dir=V")</f>
        <v>0</v>
      </c>
      <c r="W2">
        <f>BDH("SNWV US Equity","WORKING_CAPITAL","1993-06-18","2026-05-02","Per=Y","Days=T","Dir=V")</f>
        <v>0</v>
      </c>
      <c r="Y2">
        <f>BDH("SNWV US Equity","SALES_REV_TURN","1993-06-18","2026-05-02","Per=Y","Days=T","Dir=V")</f>
        <v>0</v>
      </c>
      <c r="AA2">
        <f>BDH("SNWV US Equity","EBIT","1993-06-18","2026-05-02","Per=Y","Days=T","Dir=V")</f>
        <v>0</v>
      </c>
      <c r="AC2">
        <f>BDH("SNWV US Equity","EBITDA","1993-06-18","2026-05-02","Per=Y","Days=T","Dir=V")</f>
        <v>0</v>
      </c>
      <c r="AE2">
        <f>BDH("SNWV US Equity","NET_INCOME","1993-06-18","2026-05-02","Per=Y","Days=T","Dir=V")</f>
        <v>0</v>
      </c>
      <c r="AG2">
        <f>BDH("SNWV US Equity","IS_INT_EXPENSE","1993-06-18","2026-05-02","Per=Y","Days=T","Dir=V")</f>
        <v>0</v>
      </c>
      <c r="AI2">
        <f>BDH("SNWV US Equity","IS_DEPR_EXP","1993-06-18","2026-05-02","Per=Y","Days=T","Dir=V")</f>
        <v>0</v>
      </c>
      <c r="AK2">
        <f>BDH("SNWV US Equity","CF_CASH_FROM_OPER","1993-06-18","2026-05-02","Per=Y","Days=T","Dir=V")</f>
        <v>0</v>
      </c>
      <c r="AM2">
        <f>BDH("SNWV US Equity","CAPITAL_EXPEND","1993-06-18","2026-05-02","Per=Y","Days=T","Dir=V")</f>
        <v>0</v>
      </c>
      <c r="AO2">
        <f>BDH("SNWV US Equity","CF_FREE_CASH_FLOW","1993-06-18","2026-05-02","Per=Y","Days=T","Dir=V")</f>
        <v>0</v>
      </c>
      <c r="AQ2">
        <f>BDH("SNWV US Equity","PX_LAST","1993-06-18","2026-05-02","Per=M","Days=T","Dir=V")</f>
        <v>0</v>
      </c>
      <c r="AS2">
        <f>BDH("SNWV US Equity","CUR_MKT_CAP","1993-06-18","2026-05-02","Per=M","Days=T","Dir=V")</f>
        <v>0</v>
      </c>
      <c r="AU2">
        <f>BDH("SNWV US Equity","EQY_SH_OUT","1993-06-18","2026-05-02","Per=M","Days=T","Dir=V")</f>
        <v>0</v>
      </c>
      <c r="AW2">
        <f>BDH("SNWV US Equity","PX_VOLUME","1993-06-18","2026-05-02","Per=M","Days=T","Dir=V")</f>
        <v>0</v>
      </c>
      <c r="AY2">
        <f>BDH("SNWV US Equity","TURNOVER","1993-06-18","2026-05-02","Per=M","Days=T","Dir=V")</f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BDH("SNX US Equity","BS_TOT_ASSET","1993-06-18","2026-05-02","Per=Y","Days=T","Dir=V")</f>
        <v>0</v>
      </c>
      <c r="C2">
        <f>BDH("SNX US Equity","BS_TOT_LIAB2","1993-06-18","2026-05-02","Per=Y","Days=T","Dir=V")</f>
        <v>0</v>
      </c>
      <c r="E2">
        <f>BDH("SNX US Equity","SHORT_AND_LONG_TERM_DEBT","1993-06-18","2026-05-02","Per=Y","Days=T","Dir=V")</f>
        <v>0</v>
      </c>
      <c r="G2">
        <f>BDH("SNX US Equity","BS_ST_BORROW","1993-06-18","2026-05-02","Per=Y","Days=T","Dir=V")</f>
        <v>0</v>
      </c>
      <c r="I2">
        <f>BDH("SNX US Equity","BS_LT_BORROW","1993-06-18","2026-05-02","Per=Y","Days=T","Dir=V")</f>
        <v>0</v>
      </c>
      <c r="K2">
        <f>BDH("SNX US Equity","BS_CASH_NEAR_CASH_ITEM","1993-06-18","2026-05-02","Per=Y","Days=T","Dir=V")</f>
        <v>0</v>
      </c>
      <c r="M2">
        <f>BDH("SNX US Equity","BS_CUR_ASSET_REPORT","1993-06-18","2026-05-02","Per=Y","Days=T","Dir=V")</f>
        <v>0</v>
      </c>
      <c r="O2">
        <f>BDH("SNX US Equity","BS_CUR_LIAB","1993-06-18","2026-05-02","Per=Y","Days=T","Dir=V")</f>
        <v>0</v>
      </c>
      <c r="Q2">
        <f>BDH("SNX US Equity","BS_SHAREHOLDER_EQY_ENDING_PERIOD","1993-06-18","2026-05-02","Per=Y","Days=T","Dir=V")</f>
        <v>0</v>
      </c>
      <c r="S2">
        <f>BDH("SNX US Equity","BS_ACCT_NOTE_RCV","1993-06-18","2026-05-02","Per=Y","Days=T","Dir=V")</f>
        <v>0</v>
      </c>
      <c r="U2">
        <f>BDH("SNX US Equity","BS_INVENTORIES","1993-06-18","2026-05-02","Per=Y","Days=T","Dir=V")</f>
        <v>0</v>
      </c>
      <c r="W2">
        <f>BDH("SNX US Equity","WORKING_CAPITAL","1993-06-18","2026-05-02","Per=Y","Days=T","Dir=V")</f>
        <v>0</v>
      </c>
      <c r="Y2">
        <f>BDH("SNX US Equity","SALES_REV_TURN","1993-06-18","2026-05-02","Per=Y","Days=T","Dir=V")</f>
        <v>0</v>
      </c>
      <c r="AA2">
        <f>BDH("SNX US Equity","EBIT","1993-06-18","2026-05-02","Per=Y","Days=T","Dir=V")</f>
        <v>0</v>
      </c>
      <c r="AC2">
        <f>BDH("SNX US Equity","EBITDA","1993-06-18","2026-05-02","Per=Y","Days=T","Dir=V")</f>
        <v>0</v>
      </c>
      <c r="AE2">
        <f>BDH("SNX US Equity","NET_INCOME","1993-06-18","2026-05-02","Per=Y","Days=T","Dir=V")</f>
        <v>0</v>
      </c>
      <c r="AG2">
        <f>BDH("SNX US Equity","IS_INT_EXPENSE","1993-06-18","2026-05-02","Per=Y","Days=T","Dir=V")</f>
        <v>0</v>
      </c>
      <c r="AI2">
        <f>BDH("SNX US Equity","IS_DEPR_EXP","1993-06-18","2026-05-02","Per=Y","Days=T","Dir=V")</f>
        <v>0</v>
      </c>
      <c r="AK2">
        <f>BDH("SNX US Equity","CF_CASH_FROM_OPER","1993-06-18","2026-05-02","Per=Y","Days=T","Dir=V")</f>
        <v>0</v>
      </c>
      <c r="AM2">
        <f>BDH("SNX US Equity","CAPITAL_EXPEND","1993-06-18","2026-05-02","Per=Y","Days=T","Dir=V")</f>
        <v>0</v>
      </c>
      <c r="AO2">
        <f>BDH("SNX US Equity","CF_FREE_CASH_FLOW","1993-06-18","2026-05-02","Per=Y","Days=T","Dir=V")</f>
        <v>0</v>
      </c>
      <c r="AQ2">
        <f>BDH("SNX US Equity","PX_LAST","1993-06-18","2026-05-02","Per=M","Days=T","Dir=V")</f>
        <v>0</v>
      </c>
      <c r="AS2">
        <f>BDH("SNX US Equity","CUR_MKT_CAP","1993-06-18","2026-05-02","Per=M","Days=T","Dir=V")</f>
        <v>0</v>
      </c>
      <c r="AU2">
        <f>BDH("SNX US Equity","EQY_SH_OUT","1993-06-18","2026-05-02","Per=M","Days=T","Dir=V")</f>
        <v>0</v>
      </c>
      <c r="AW2">
        <f>BDH("SNX US Equity","PX_VOLUME","1993-06-18","2026-05-02","Per=M","Days=T","Dir=V")</f>
        <v>0</v>
      </c>
      <c r="AY2">
        <f>BDH("SNX US Equity","TURNOVER","1993-06-18","2026-05-02","Per=M","Days=T","Dir=V")</f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BDH("SO US Equity","BS_TOT_ASSET","1993-06-18","2026-05-02","Per=Y","Days=T","Dir=V")</f>
        <v>0</v>
      </c>
      <c r="C2">
        <f>BDH("SO US Equity","BS_TOT_LIAB2","1993-06-18","2026-05-02","Per=Y","Days=T","Dir=V")</f>
        <v>0</v>
      </c>
      <c r="E2">
        <f>BDH("SO US Equity","SHORT_AND_LONG_TERM_DEBT","1993-06-18","2026-05-02","Per=Y","Days=T","Dir=V")</f>
        <v>0</v>
      </c>
      <c r="G2">
        <f>BDH("SO US Equity","BS_ST_BORROW","1993-06-18","2026-05-02","Per=Y","Days=T","Dir=V")</f>
        <v>0</v>
      </c>
      <c r="I2">
        <f>BDH("SO US Equity","BS_LT_BORROW","1993-06-18","2026-05-02","Per=Y","Days=T","Dir=V")</f>
        <v>0</v>
      </c>
      <c r="K2">
        <f>BDH("SO US Equity","BS_CASH_NEAR_CASH_ITEM","1993-06-18","2026-05-02","Per=Y","Days=T","Dir=V")</f>
        <v>0</v>
      </c>
      <c r="M2">
        <f>BDH("SO US Equity","BS_CUR_ASSET_REPORT","1993-06-18","2026-05-02","Per=Y","Days=T","Dir=V")</f>
        <v>0</v>
      </c>
      <c r="O2">
        <f>BDH("SO US Equity","BS_CUR_LIAB","1993-06-18","2026-05-02","Per=Y","Days=T","Dir=V")</f>
        <v>0</v>
      </c>
      <c r="Q2">
        <f>BDH("SO US Equity","BS_SHAREHOLDER_EQY_ENDING_PERIOD","1993-06-18","2026-05-02","Per=Y","Days=T","Dir=V")</f>
        <v>0</v>
      </c>
      <c r="S2">
        <f>BDH("SO US Equity","BS_ACCT_NOTE_RCV","1993-06-18","2026-05-02","Per=Y","Days=T","Dir=V")</f>
        <v>0</v>
      </c>
      <c r="U2">
        <f>BDH("SO US Equity","BS_INVENTORIES","1993-06-18","2026-05-02","Per=Y","Days=T","Dir=V")</f>
        <v>0</v>
      </c>
      <c r="W2">
        <f>BDH("SO US Equity","WORKING_CAPITAL","1993-06-18","2026-05-02","Per=Y","Days=T","Dir=V")</f>
        <v>0</v>
      </c>
      <c r="Y2">
        <f>BDH("SO US Equity","SALES_REV_TURN","1993-06-18","2026-05-02","Per=Y","Days=T","Dir=V")</f>
        <v>0</v>
      </c>
      <c r="AA2">
        <f>BDH("SO US Equity","EBIT","1993-06-18","2026-05-02","Per=Y","Days=T","Dir=V")</f>
        <v>0</v>
      </c>
      <c r="AC2">
        <f>BDH("SO US Equity","EBITDA","1993-06-18","2026-05-02","Per=Y","Days=T","Dir=V")</f>
        <v>0</v>
      </c>
      <c r="AE2">
        <f>BDH("SO US Equity","NET_INCOME","1993-06-18","2026-05-02","Per=Y","Days=T","Dir=V")</f>
        <v>0</v>
      </c>
      <c r="AG2">
        <f>BDH("SO US Equity","IS_INT_EXPENSE","1993-06-18","2026-05-02","Per=Y","Days=T","Dir=V")</f>
        <v>0</v>
      </c>
      <c r="AI2">
        <f>BDH("SO US Equity","IS_DEPR_EXP","1993-06-18","2026-05-02","Per=Y","Days=T","Dir=V")</f>
        <v>0</v>
      </c>
      <c r="AK2">
        <f>BDH("SO US Equity","CF_CASH_FROM_OPER","1993-06-18","2026-05-02","Per=Y","Days=T","Dir=V")</f>
        <v>0</v>
      </c>
      <c r="AM2">
        <f>BDH("SO US Equity","CAPITAL_EXPEND","1993-06-18","2026-05-02","Per=Y","Days=T","Dir=V")</f>
        <v>0</v>
      </c>
      <c r="AO2">
        <f>BDH("SO US Equity","CF_FREE_CASH_FLOW","1993-06-18","2026-05-02","Per=Y","Days=T","Dir=V")</f>
        <v>0</v>
      </c>
      <c r="AQ2">
        <f>BDH("SO US Equity","PX_LAST","1993-06-18","2026-05-02","Per=M","Days=T","Dir=V")</f>
        <v>0</v>
      </c>
      <c r="AS2">
        <f>BDH("SO US Equity","CUR_MKT_CAP","1993-06-18","2026-05-02","Per=M","Days=T","Dir=V")</f>
        <v>0</v>
      </c>
      <c r="AU2">
        <f>BDH("SO US Equity","EQY_SH_OUT","1993-06-18","2026-05-02","Per=M","Days=T","Dir=V")</f>
        <v>0</v>
      </c>
      <c r="AW2">
        <f>BDH("SO US Equity","PX_VOLUME","1993-06-18","2026-05-02","Per=M","Days=T","Dir=V")</f>
        <v>0</v>
      </c>
      <c r="AY2">
        <f>BDH("SO US Equity","TURNOVER","1993-06-18","2026-05-02","Per=M","Days=T","Dir=V")</f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BDH("SOC US Equity","BS_TOT_ASSET","1993-06-18","2026-05-02","Per=Y","Days=T","Dir=V")</f>
        <v>0</v>
      </c>
      <c r="C2">
        <f>BDH("SOC US Equity","BS_TOT_LIAB2","1993-06-18","2026-05-02","Per=Y","Days=T","Dir=V")</f>
        <v>0</v>
      </c>
      <c r="E2">
        <f>BDH("SOC US Equity","SHORT_AND_LONG_TERM_DEBT","1993-06-18","2026-05-02","Per=Y","Days=T","Dir=V")</f>
        <v>0</v>
      </c>
      <c r="G2">
        <f>BDH("SOC US Equity","BS_ST_BORROW","1993-06-18","2026-05-02","Per=Y","Days=T","Dir=V")</f>
        <v>0</v>
      </c>
      <c r="I2">
        <f>BDH("SOC US Equity","BS_LT_BORROW","1993-06-18","2026-05-02","Per=Y","Days=T","Dir=V")</f>
        <v>0</v>
      </c>
      <c r="K2">
        <f>BDH("SOC US Equity","BS_CASH_NEAR_CASH_ITEM","1993-06-18","2026-05-02","Per=Y","Days=T","Dir=V")</f>
        <v>0</v>
      </c>
      <c r="M2">
        <f>BDH("SOC US Equity","BS_CUR_ASSET_REPORT","1993-06-18","2026-05-02","Per=Y","Days=T","Dir=V")</f>
        <v>0</v>
      </c>
      <c r="O2">
        <f>BDH("SOC US Equity","BS_CUR_LIAB","1993-06-18","2026-05-02","Per=Y","Days=T","Dir=V")</f>
        <v>0</v>
      </c>
      <c r="Q2">
        <f>BDH("SOC US Equity","BS_SHAREHOLDER_EQY_ENDING_PERIOD","1993-06-18","2026-05-02","Per=Y","Days=T","Dir=V")</f>
        <v>0</v>
      </c>
      <c r="S2">
        <f>BDH("SOC US Equity","BS_ACCT_NOTE_RCV","1993-06-18","2026-05-02","Per=Y","Days=T","Dir=V")</f>
        <v>0</v>
      </c>
      <c r="U2">
        <f>BDH("SOC US Equity","BS_INVENTORIES","1993-06-18","2026-05-02","Per=Y","Days=T","Dir=V")</f>
        <v>0</v>
      </c>
      <c r="W2">
        <f>BDH("SOC US Equity","WORKING_CAPITAL","1993-06-18","2026-05-02","Per=Y","Days=T","Dir=V")</f>
        <v>0</v>
      </c>
      <c r="Y2">
        <f>BDH("SOC US Equity","SALES_REV_TURN","1993-06-18","2026-05-02","Per=Y","Days=T","Dir=V")</f>
        <v>0</v>
      </c>
      <c r="AA2">
        <f>BDH("SOC US Equity","EBIT","1993-06-18","2026-05-02","Per=Y","Days=T","Dir=V")</f>
        <v>0</v>
      </c>
      <c r="AC2">
        <f>BDH("SOC US Equity","EBITDA","1993-06-18","2026-05-02","Per=Y","Days=T","Dir=V")</f>
        <v>0</v>
      </c>
      <c r="AE2">
        <f>BDH("SOC US Equity","NET_INCOME","1993-06-18","2026-05-02","Per=Y","Days=T","Dir=V")</f>
        <v>0</v>
      </c>
      <c r="AG2">
        <f>BDH("SOC US Equity","IS_INT_EXPENSE","1993-06-18","2026-05-02","Per=Y","Days=T","Dir=V")</f>
        <v>0</v>
      </c>
      <c r="AI2">
        <f>BDH("SOC US Equity","IS_DEPR_EXP","1993-06-18","2026-05-02","Per=Y","Days=T","Dir=V")</f>
        <v>0</v>
      </c>
      <c r="AK2">
        <f>BDH("SOC US Equity","CF_CASH_FROM_OPER","1993-06-18","2026-05-02","Per=Y","Days=T","Dir=V")</f>
        <v>0</v>
      </c>
      <c r="AM2">
        <f>BDH("SOC US Equity","CAPITAL_EXPEND","1993-06-18","2026-05-02","Per=Y","Days=T","Dir=V")</f>
        <v>0</v>
      </c>
      <c r="AO2">
        <f>BDH("SOC US Equity","CF_FREE_CASH_FLOW","1993-06-18","2026-05-02","Per=Y","Days=T","Dir=V")</f>
        <v>0</v>
      </c>
      <c r="AQ2">
        <f>BDH("SOC US Equity","PX_LAST","1993-06-18","2026-05-02","Per=M","Days=T","Dir=V")</f>
        <v>0</v>
      </c>
      <c r="AS2">
        <f>BDH("SOC US Equity","CUR_MKT_CAP","1993-06-18","2026-05-02","Per=M","Days=T","Dir=V")</f>
        <v>0</v>
      </c>
      <c r="AU2">
        <f>BDH("SOC US Equity","EQY_SH_OUT","1993-06-18","2026-05-02","Per=M","Days=T","Dir=V")</f>
        <v>0</v>
      </c>
      <c r="AW2">
        <f>BDH("SOC US Equity","PX_VOLUME","1993-06-18","2026-05-02","Per=M","Days=T","Dir=V")</f>
        <v>0</v>
      </c>
      <c r="AY2">
        <f>BDH("SOC US Equity","TURNOVER","1993-06-18","2026-05-02","Per=M","Days=T","Dir=V")</f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BDH("SOJC US Equity","BS_TOT_ASSET","1993-06-18","2026-05-02","Per=Y","Days=T","Dir=V")</f>
        <v>0</v>
      </c>
      <c r="C2">
        <f>BDH("SOJC US Equity","BS_TOT_LIAB2","1993-06-18","2026-05-02","Per=Y","Days=T","Dir=V")</f>
        <v>0</v>
      </c>
      <c r="E2">
        <f>BDH("SOJC US Equity","SHORT_AND_LONG_TERM_DEBT","1993-06-18","2026-05-02","Per=Y","Days=T","Dir=V")</f>
        <v>0</v>
      </c>
      <c r="G2">
        <f>BDH("SOJC US Equity","BS_ST_BORROW","1993-06-18","2026-05-02","Per=Y","Days=T","Dir=V")</f>
        <v>0</v>
      </c>
      <c r="I2">
        <f>BDH("SOJC US Equity","BS_LT_BORROW","1993-06-18","2026-05-02","Per=Y","Days=T","Dir=V")</f>
        <v>0</v>
      </c>
      <c r="K2">
        <f>BDH("SOJC US Equity","BS_CASH_NEAR_CASH_ITEM","1993-06-18","2026-05-02","Per=Y","Days=T","Dir=V")</f>
        <v>0</v>
      </c>
      <c r="M2">
        <f>BDH("SOJC US Equity","BS_CUR_ASSET_REPORT","1993-06-18","2026-05-02","Per=Y","Days=T","Dir=V")</f>
        <v>0</v>
      </c>
      <c r="O2">
        <f>BDH("SOJC US Equity","BS_CUR_LIAB","1993-06-18","2026-05-02","Per=Y","Days=T","Dir=V")</f>
        <v>0</v>
      </c>
      <c r="Q2">
        <f>BDH("SOJC US Equity","BS_SHAREHOLDER_EQY_ENDING_PERIOD","1993-06-18","2026-05-02","Per=Y","Days=T","Dir=V")</f>
        <v>0</v>
      </c>
      <c r="S2">
        <f>BDH("SOJC US Equity","BS_ACCT_NOTE_RCV","1993-06-18","2026-05-02","Per=Y","Days=T","Dir=V")</f>
        <v>0</v>
      </c>
      <c r="U2">
        <f>BDH("SOJC US Equity","BS_INVENTORIES","1993-06-18","2026-05-02","Per=Y","Days=T","Dir=V")</f>
        <v>0</v>
      </c>
      <c r="W2">
        <f>BDH("SOJC US Equity","WORKING_CAPITAL","1993-06-18","2026-05-02","Per=Y","Days=T","Dir=V")</f>
        <v>0</v>
      </c>
      <c r="Y2">
        <f>BDH("SOJC US Equity","SALES_REV_TURN","1993-06-18","2026-05-02","Per=Y","Days=T","Dir=V")</f>
        <v>0</v>
      </c>
      <c r="AA2">
        <f>BDH("SOJC US Equity","EBIT","1993-06-18","2026-05-02","Per=Y","Days=T","Dir=V")</f>
        <v>0</v>
      </c>
      <c r="AC2">
        <f>BDH("SOJC US Equity","EBITDA","1993-06-18","2026-05-02","Per=Y","Days=T","Dir=V")</f>
        <v>0</v>
      </c>
      <c r="AE2">
        <f>BDH("SOJC US Equity","NET_INCOME","1993-06-18","2026-05-02","Per=Y","Days=T","Dir=V")</f>
        <v>0</v>
      </c>
      <c r="AG2">
        <f>BDH("SOJC US Equity","IS_INT_EXPENSE","1993-06-18","2026-05-02","Per=Y","Days=T","Dir=V")</f>
        <v>0</v>
      </c>
      <c r="AI2">
        <f>BDH("SOJC US Equity","IS_DEPR_EXP","1993-06-18","2026-05-02","Per=Y","Days=T","Dir=V")</f>
        <v>0</v>
      </c>
      <c r="AK2">
        <f>BDH("SOJC US Equity","CF_CASH_FROM_OPER","1993-06-18","2026-05-02","Per=Y","Days=T","Dir=V")</f>
        <v>0</v>
      </c>
      <c r="AM2">
        <f>BDH("SOJC US Equity","CAPITAL_EXPEND","1993-06-18","2026-05-02","Per=Y","Days=T","Dir=V")</f>
        <v>0</v>
      </c>
      <c r="AO2">
        <f>BDH("SOJC US Equity","CF_FREE_CASH_FLOW","1993-06-18","2026-05-02","Per=Y","Days=T","Dir=V")</f>
        <v>0</v>
      </c>
      <c r="AQ2">
        <f>BDH("SOJC US Equity","PX_LAST","1993-06-18","2026-05-02","Per=M","Days=T","Dir=V")</f>
        <v>0</v>
      </c>
      <c r="AS2">
        <f>BDH("SOJC US Equity","CUR_MKT_CAP","1993-06-18","2026-05-02","Per=M","Days=T","Dir=V")</f>
        <v>0</v>
      </c>
      <c r="AU2">
        <f>BDH("SOJC US Equity","EQY_SH_OUT","1993-06-18","2026-05-02","Per=M","Days=T","Dir=V")</f>
        <v>0</v>
      </c>
      <c r="AW2">
        <f>BDH("SOJC US Equity","PX_VOLUME","1993-06-18","2026-05-02","Per=M","Days=T","Dir=V")</f>
        <v>0</v>
      </c>
      <c r="AY2">
        <f>BDH("SOJC US Equity","TURNOVER","1993-06-18","2026-05-02","Per=M","Days=T","Dir=V")</f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BDH("SOJD US Equity","BS_TOT_ASSET","1993-06-18","2026-05-02","Per=Y","Days=T","Dir=V")</f>
        <v>0</v>
      </c>
      <c r="C2">
        <f>BDH("SOJD US Equity","BS_TOT_LIAB2","1993-06-18","2026-05-02","Per=Y","Days=T","Dir=V")</f>
        <v>0</v>
      </c>
      <c r="E2">
        <f>BDH("SOJD US Equity","SHORT_AND_LONG_TERM_DEBT","1993-06-18","2026-05-02","Per=Y","Days=T","Dir=V")</f>
        <v>0</v>
      </c>
      <c r="G2">
        <f>BDH("SOJD US Equity","BS_ST_BORROW","1993-06-18","2026-05-02","Per=Y","Days=T","Dir=V")</f>
        <v>0</v>
      </c>
      <c r="I2">
        <f>BDH("SOJD US Equity","BS_LT_BORROW","1993-06-18","2026-05-02","Per=Y","Days=T","Dir=V")</f>
        <v>0</v>
      </c>
      <c r="K2">
        <f>BDH("SOJD US Equity","BS_CASH_NEAR_CASH_ITEM","1993-06-18","2026-05-02","Per=Y","Days=T","Dir=V")</f>
        <v>0</v>
      </c>
      <c r="M2">
        <f>BDH("SOJD US Equity","BS_CUR_ASSET_REPORT","1993-06-18","2026-05-02","Per=Y","Days=T","Dir=V")</f>
        <v>0</v>
      </c>
      <c r="O2">
        <f>BDH("SOJD US Equity","BS_CUR_LIAB","1993-06-18","2026-05-02","Per=Y","Days=T","Dir=V")</f>
        <v>0</v>
      </c>
      <c r="Q2">
        <f>BDH("SOJD US Equity","BS_SHAREHOLDER_EQY_ENDING_PERIOD","1993-06-18","2026-05-02","Per=Y","Days=T","Dir=V")</f>
        <v>0</v>
      </c>
      <c r="S2">
        <f>BDH("SOJD US Equity","BS_ACCT_NOTE_RCV","1993-06-18","2026-05-02","Per=Y","Days=T","Dir=V")</f>
        <v>0</v>
      </c>
      <c r="U2">
        <f>BDH("SOJD US Equity","BS_INVENTORIES","1993-06-18","2026-05-02","Per=Y","Days=T","Dir=V")</f>
        <v>0</v>
      </c>
      <c r="W2">
        <f>BDH("SOJD US Equity","WORKING_CAPITAL","1993-06-18","2026-05-02","Per=Y","Days=T","Dir=V")</f>
        <v>0</v>
      </c>
      <c r="Y2">
        <f>BDH("SOJD US Equity","SALES_REV_TURN","1993-06-18","2026-05-02","Per=Y","Days=T","Dir=V")</f>
        <v>0</v>
      </c>
      <c r="AA2">
        <f>BDH("SOJD US Equity","EBIT","1993-06-18","2026-05-02","Per=Y","Days=T","Dir=V")</f>
        <v>0</v>
      </c>
      <c r="AC2">
        <f>BDH("SOJD US Equity","EBITDA","1993-06-18","2026-05-02","Per=Y","Days=T","Dir=V")</f>
        <v>0</v>
      </c>
      <c r="AE2">
        <f>BDH("SOJD US Equity","NET_INCOME","1993-06-18","2026-05-02","Per=Y","Days=T","Dir=V")</f>
        <v>0</v>
      </c>
      <c r="AG2">
        <f>BDH("SOJD US Equity","IS_INT_EXPENSE","1993-06-18","2026-05-02","Per=Y","Days=T","Dir=V")</f>
        <v>0</v>
      </c>
      <c r="AI2">
        <f>BDH("SOJD US Equity","IS_DEPR_EXP","1993-06-18","2026-05-02","Per=Y","Days=T","Dir=V")</f>
        <v>0</v>
      </c>
      <c r="AK2">
        <f>BDH("SOJD US Equity","CF_CASH_FROM_OPER","1993-06-18","2026-05-02","Per=Y","Days=T","Dir=V")</f>
        <v>0</v>
      </c>
      <c r="AM2">
        <f>BDH("SOJD US Equity","CAPITAL_EXPEND","1993-06-18","2026-05-02","Per=Y","Days=T","Dir=V")</f>
        <v>0</v>
      </c>
      <c r="AO2">
        <f>BDH("SOJD US Equity","CF_FREE_CASH_FLOW","1993-06-18","2026-05-02","Per=Y","Days=T","Dir=V")</f>
        <v>0</v>
      </c>
      <c r="AQ2">
        <f>BDH("SOJD US Equity","PX_LAST","1993-06-18","2026-05-02","Per=M","Days=T","Dir=V")</f>
        <v>0</v>
      </c>
      <c r="AS2">
        <f>BDH("SOJD US Equity","CUR_MKT_CAP","1993-06-18","2026-05-02","Per=M","Days=T","Dir=V")</f>
        <v>0</v>
      </c>
      <c r="AU2">
        <f>BDH("SOJD US Equity","EQY_SH_OUT","1993-06-18","2026-05-02","Per=M","Days=T","Dir=V")</f>
        <v>0</v>
      </c>
      <c r="AW2">
        <f>BDH("SOJD US Equity","PX_VOLUME","1993-06-18","2026-05-02","Per=M","Days=T","Dir=V")</f>
        <v>0</v>
      </c>
      <c r="AY2">
        <f>BDH("SOJD US Equity","TURNOVER","1993-06-18","2026-05-02","Per=M","Days=T","Dir=V")</f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BDH("SOJE US Equity","BS_TOT_ASSET","1993-06-18","2026-05-02","Per=Y","Days=T","Dir=V")</f>
        <v>0</v>
      </c>
      <c r="C2">
        <f>BDH("SOJE US Equity","BS_TOT_LIAB2","1993-06-18","2026-05-02","Per=Y","Days=T","Dir=V")</f>
        <v>0</v>
      </c>
      <c r="E2">
        <f>BDH("SOJE US Equity","SHORT_AND_LONG_TERM_DEBT","1993-06-18","2026-05-02","Per=Y","Days=T","Dir=V")</f>
        <v>0</v>
      </c>
      <c r="G2">
        <f>BDH("SOJE US Equity","BS_ST_BORROW","1993-06-18","2026-05-02","Per=Y","Days=T","Dir=V")</f>
        <v>0</v>
      </c>
      <c r="I2">
        <f>BDH("SOJE US Equity","BS_LT_BORROW","1993-06-18","2026-05-02","Per=Y","Days=T","Dir=V")</f>
        <v>0</v>
      </c>
      <c r="K2">
        <f>BDH("SOJE US Equity","BS_CASH_NEAR_CASH_ITEM","1993-06-18","2026-05-02","Per=Y","Days=T","Dir=V")</f>
        <v>0</v>
      </c>
      <c r="M2">
        <f>BDH("SOJE US Equity","BS_CUR_ASSET_REPORT","1993-06-18","2026-05-02","Per=Y","Days=T","Dir=V")</f>
        <v>0</v>
      </c>
      <c r="O2">
        <f>BDH("SOJE US Equity","BS_CUR_LIAB","1993-06-18","2026-05-02","Per=Y","Days=T","Dir=V")</f>
        <v>0</v>
      </c>
      <c r="Q2">
        <f>BDH("SOJE US Equity","BS_SHAREHOLDER_EQY_ENDING_PERIOD","1993-06-18","2026-05-02","Per=Y","Days=T","Dir=V")</f>
        <v>0</v>
      </c>
      <c r="S2">
        <f>BDH("SOJE US Equity","BS_ACCT_NOTE_RCV","1993-06-18","2026-05-02","Per=Y","Days=T","Dir=V")</f>
        <v>0</v>
      </c>
      <c r="U2">
        <f>BDH("SOJE US Equity","BS_INVENTORIES","1993-06-18","2026-05-02","Per=Y","Days=T","Dir=V")</f>
        <v>0</v>
      </c>
      <c r="W2">
        <f>BDH("SOJE US Equity","WORKING_CAPITAL","1993-06-18","2026-05-02","Per=Y","Days=T","Dir=V")</f>
        <v>0</v>
      </c>
      <c r="Y2">
        <f>BDH("SOJE US Equity","SALES_REV_TURN","1993-06-18","2026-05-02","Per=Y","Days=T","Dir=V")</f>
        <v>0</v>
      </c>
      <c r="AA2">
        <f>BDH("SOJE US Equity","EBIT","1993-06-18","2026-05-02","Per=Y","Days=T","Dir=V")</f>
        <v>0</v>
      </c>
      <c r="AC2">
        <f>BDH("SOJE US Equity","EBITDA","1993-06-18","2026-05-02","Per=Y","Days=T","Dir=V")</f>
        <v>0</v>
      </c>
      <c r="AE2">
        <f>BDH("SOJE US Equity","NET_INCOME","1993-06-18","2026-05-02","Per=Y","Days=T","Dir=V")</f>
        <v>0</v>
      </c>
      <c r="AG2">
        <f>BDH("SOJE US Equity","IS_INT_EXPENSE","1993-06-18","2026-05-02","Per=Y","Days=T","Dir=V")</f>
        <v>0</v>
      </c>
      <c r="AI2">
        <f>BDH("SOJE US Equity","IS_DEPR_EXP","1993-06-18","2026-05-02","Per=Y","Days=T","Dir=V")</f>
        <v>0</v>
      </c>
      <c r="AK2">
        <f>BDH("SOJE US Equity","CF_CASH_FROM_OPER","1993-06-18","2026-05-02","Per=Y","Days=T","Dir=V")</f>
        <v>0</v>
      </c>
      <c r="AM2">
        <f>BDH("SOJE US Equity","CAPITAL_EXPEND","1993-06-18","2026-05-02","Per=Y","Days=T","Dir=V")</f>
        <v>0</v>
      </c>
      <c r="AO2">
        <f>BDH("SOJE US Equity","CF_FREE_CASH_FLOW","1993-06-18","2026-05-02","Per=Y","Days=T","Dir=V")</f>
        <v>0</v>
      </c>
      <c r="AQ2">
        <f>BDH("SOJE US Equity","PX_LAST","1993-06-18","2026-05-02","Per=M","Days=T","Dir=V")</f>
        <v>0</v>
      </c>
      <c r="AS2">
        <f>BDH("SOJE US Equity","CUR_MKT_CAP","1993-06-18","2026-05-02","Per=M","Days=T","Dir=V")</f>
        <v>0</v>
      </c>
      <c r="AU2">
        <f>BDH("SOJE US Equity","EQY_SH_OUT","1993-06-18","2026-05-02","Per=M","Days=T","Dir=V")</f>
        <v>0</v>
      </c>
      <c r="AW2">
        <f>BDH("SOJE US Equity","PX_VOLUME","1993-06-18","2026-05-02","Per=M","Days=T","Dir=V")</f>
        <v>0</v>
      </c>
      <c r="AY2">
        <f>BDH("SOJE US Equity","TURNOVER","1993-06-18","2026-05-02","Per=M","Days=T","Dir=V")</f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BDH("SOJF US Equity","BS_TOT_ASSET","1993-06-18","2026-05-02","Per=Y","Days=T","Dir=V")</f>
        <v>0</v>
      </c>
      <c r="C2">
        <f>BDH("SOJF US Equity","BS_TOT_LIAB2","1993-06-18","2026-05-02","Per=Y","Days=T","Dir=V")</f>
        <v>0</v>
      </c>
      <c r="E2">
        <f>BDH("SOJF US Equity","SHORT_AND_LONG_TERM_DEBT","1993-06-18","2026-05-02","Per=Y","Days=T","Dir=V")</f>
        <v>0</v>
      </c>
      <c r="G2">
        <f>BDH("SOJF US Equity","BS_ST_BORROW","1993-06-18","2026-05-02","Per=Y","Days=T","Dir=V")</f>
        <v>0</v>
      </c>
      <c r="I2">
        <f>BDH("SOJF US Equity","BS_LT_BORROW","1993-06-18","2026-05-02","Per=Y","Days=T","Dir=V")</f>
        <v>0</v>
      </c>
      <c r="K2">
        <f>BDH("SOJF US Equity","BS_CASH_NEAR_CASH_ITEM","1993-06-18","2026-05-02","Per=Y","Days=T","Dir=V")</f>
        <v>0</v>
      </c>
      <c r="M2">
        <f>BDH("SOJF US Equity","BS_CUR_ASSET_REPORT","1993-06-18","2026-05-02","Per=Y","Days=T","Dir=V")</f>
        <v>0</v>
      </c>
      <c r="O2">
        <f>BDH("SOJF US Equity","BS_CUR_LIAB","1993-06-18","2026-05-02","Per=Y","Days=T","Dir=V")</f>
        <v>0</v>
      </c>
      <c r="Q2">
        <f>BDH("SOJF US Equity","BS_SHAREHOLDER_EQY_ENDING_PERIOD","1993-06-18","2026-05-02","Per=Y","Days=T","Dir=V")</f>
        <v>0</v>
      </c>
      <c r="S2">
        <f>BDH("SOJF US Equity","BS_ACCT_NOTE_RCV","1993-06-18","2026-05-02","Per=Y","Days=T","Dir=V")</f>
        <v>0</v>
      </c>
      <c r="U2">
        <f>BDH("SOJF US Equity","BS_INVENTORIES","1993-06-18","2026-05-02","Per=Y","Days=T","Dir=V")</f>
        <v>0</v>
      </c>
      <c r="W2">
        <f>BDH("SOJF US Equity","WORKING_CAPITAL","1993-06-18","2026-05-02","Per=Y","Days=T","Dir=V")</f>
        <v>0</v>
      </c>
      <c r="Y2">
        <f>BDH("SOJF US Equity","SALES_REV_TURN","1993-06-18","2026-05-02","Per=Y","Days=T","Dir=V")</f>
        <v>0</v>
      </c>
      <c r="AA2">
        <f>BDH("SOJF US Equity","EBIT","1993-06-18","2026-05-02","Per=Y","Days=T","Dir=V")</f>
        <v>0</v>
      </c>
      <c r="AC2">
        <f>BDH("SOJF US Equity","EBITDA","1993-06-18","2026-05-02","Per=Y","Days=T","Dir=V")</f>
        <v>0</v>
      </c>
      <c r="AE2">
        <f>BDH("SOJF US Equity","NET_INCOME","1993-06-18","2026-05-02","Per=Y","Days=T","Dir=V")</f>
        <v>0</v>
      </c>
      <c r="AG2">
        <f>BDH("SOJF US Equity","IS_INT_EXPENSE","1993-06-18","2026-05-02","Per=Y","Days=T","Dir=V")</f>
        <v>0</v>
      </c>
      <c r="AI2">
        <f>BDH("SOJF US Equity","IS_DEPR_EXP","1993-06-18","2026-05-02","Per=Y","Days=T","Dir=V")</f>
        <v>0</v>
      </c>
      <c r="AK2">
        <f>BDH("SOJF US Equity","CF_CASH_FROM_OPER","1993-06-18","2026-05-02","Per=Y","Days=T","Dir=V")</f>
        <v>0</v>
      </c>
      <c r="AM2">
        <f>BDH("SOJF US Equity","CAPITAL_EXPEND","1993-06-18","2026-05-02","Per=Y","Days=T","Dir=V")</f>
        <v>0</v>
      </c>
      <c r="AO2">
        <f>BDH("SOJF US Equity","CF_FREE_CASH_FLOW","1993-06-18","2026-05-02","Per=Y","Days=T","Dir=V")</f>
        <v>0</v>
      </c>
      <c r="AQ2">
        <f>BDH("SOJF US Equity","PX_LAST","1993-06-18","2026-05-02","Per=M","Days=T","Dir=V")</f>
        <v>0</v>
      </c>
      <c r="AS2">
        <f>BDH("SOJF US Equity","CUR_MKT_CAP","1993-06-18","2026-05-02","Per=M","Days=T","Dir=V")</f>
        <v>0</v>
      </c>
      <c r="AU2">
        <f>BDH("SOJF US Equity","EQY_SH_OUT","1993-06-18","2026-05-02","Per=M","Days=T","Dir=V")</f>
        <v>0</v>
      </c>
      <c r="AW2">
        <f>BDH("SOJF US Equity","PX_VOLUME","1993-06-18","2026-05-02","Per=M","Days=T","Dir=V")</f>
        <v>0</v>
      </c>
      <c r="AY2">
        <f>BDH("SOJF US Equity","TURNOVER","1993-06-18","2026-05-02","Per=M","Days=T","Dir=V")</f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BDH("SOLS US Equity","BS_TOT_ASSET","1993-06-18","2026-05-02","Per=Y","Days=T","Dir=V")</f>
        <v>0</v>
      </c>
      <c r="C2">
        <f>BDH("SOLS US Equity","BS_TOT_LIAB2","1993-06-18","2026-05-02","Per=Y","Days=T","Dir=V")</f>
        <v>0</v>
      </c>
      <c r="E2">
        <f>BDH("SOLS US Equity","SHORT_AND_LONG_TERM_DEBT","1993-06-18","2026-05-02","Per=Y","Days=T","Dir=V")</f>
        <v>0</v>
      </c>
      <c r="G2">
        <f>BDH("SOLS US Equity","BS_ST_BORROW","1993-06-18","2026-05-02","Per=Y","Days=T","Dir=V")</f>
        <v>0</v>
      </c>
      <c r="I2">
        <f>BDH("SOLS US Equity","BS_LT_BORROW","1993-06-18","2026-05-02","Per=Y","Days=T","Dir=V")</f>
        <v>0</v>
      </c>
      <c r="K2">
        <f>BDH("SOLS US Equity","BS_CASH_NEAR_CASH_ITEM","1993-06-18","2026-05-02","Per=Y","Days=T","Dir=V")</f>
        <v>0</v>
      </c>
      <c r="M2">
        <f>BDH("SOLS US Equity","BS_CUR_ASSET_REPORT","1993-06-18","2026-05-02","Per=Y","Days=T","Dir=V")</f>
        <v>0</v>
      </c>
      <c r="O2">
        <f>BDH("SOLS US Equity","BS_CUR_LIAB","1993-06-18","2026-05-02","Per=Y","Days=T","Dir=V")</f>
        <v>0</v>
      </c>
      <c r="Q2">
        <f>BDH("SOLS US Equity","BS_SHAREHOLDER_EQY_ENDING_PERIOD","1993-06-18","2026-05-02","Per=Y","Days=T","Dir=V")</f>
        <v>0</v>
      </c>
      <c r="S2">
        <f>BDH("SOLS US Equity","BS_ACCT_NOTE_RCV","1993-06-18","2026-05-02","Per=Y","Days=T","Dir=V")</f>
        <v>0</v>
      </c>
      <c r="U2">
        <f>BDH("SOLS US Equity","BS_INVENTORIES","1993-06-18","2026-05-02","Per=Y","Days=T","Dir=V")</f>
        <v>0</v>
      </c>
      <c r="W2">
        <f>BDH("SOLS US Equity","WORKING_CAPITAL","1993-06-18","2026-05-02","Per=Y","Days=T","Dir=V")</f>
        <v>0</v>
      </c>
      <c r="Y2">
        <f>BDH("SOLS US Equity","SALES_REV_TURN","1993-06-18","2026-05-02","Per=Y","Days=T","Dir=V")</f>
        <v>0</v>
      </c>
      <c r="AA2">
        <f>BDH("SOLS US Equity","EBIT","1993-06-18","2026-05-02","Per=Y","Days=T","Dir=V")</f>
        <v>0</v>
      </c>
      <c r="AC2">
        <f>BDH("SOLS US Equity","EBITDA","1993-06-18","2026-05-02","Per=Y","Days=T","Dir=V")</f>
        <v>0</v>
      </c>
      <c r="AE2">
        <f>BDH("SOLS US Equity","NET_INCOME","1993-06-18","2026-05-02","Per=Y","Days=T","Dir=V")</f>
        <v>0</v>
      </c>
      <c r="AG2">
        <f>BDH("SOLS US Equity","IS_INT_EXPENSE","1993-06-18","2026-05-02","Per=Y","Days=T","Dir=V")</f>
        <v>0</v>
      </c>
      <c r="AI2">
        <f>BDH("SOLS US Equity","IS_DEPR_EXP","1993-06-18","2026-05-02","Per=Y","Days=T","Dir=V")</f>
        <v>0</v>
      </c>
      <c r="AK2">
        <f>BDH("SOLS US Equity","CF_CASH_FROM_OPER","1993-06-18","2026-05-02","Per=Y","Days=T","Dir=V")</f>
        <v>0</v>
      </c>
      <c r="AM2">
        <f>BDH("SOLS US Equity","CAPITAL_EXPEND","1993-06-18","2026-05-02","Per=Y","Days=T","Dir=V")</f>
        <v>0</v>
      </c>
      <c r="AO2">
        <f>BDH("SOLS US Equity","CF_FREE_CASH_FLOW","1993-06-18","2026-05-02","Per=Y","Days=T","Dir=V")</f>
        <v>0</v>
      </c>
      <c r="AQ2">
        <f>BDH("SOLS US Equity","PX_LAST","1993-06-18","2026-05-02","Per=M","Days=T","Dir=V")</f>
        <v>0</v>
      </c>
      <c r="AS2">
        <f>BDH("SOLS US Equity","CUR_MKT_CAP","1993-06-18","2026-05-02","Per=M","Days=T","Dir=V")</f>
        <v>0</v>
      </c>
      <c r="AU2">
        <f>BDH("SOLS US Equity","EQY_SH_OUT","1993-06-18","2026-05-02","Per=M","Days=T","Dir=V")</f>
        <v>0</v>
      </c>
      <c r="AW2">
        <f>BDH("SOLS US Equity","PX_VOLUME","1993-06-18","2026-05-02","Per=M","Days=T","Dir=V")</f>
        <v>0</v>
      </c>
      <c r="AY2">
        <f>BDH("SOLS US Equity","TURNOVER","1993-06-18","2026-05-02","Per=M","Days=T","Dir=V")</f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BDH("SOLV US Equity","BS_TOT_ASSET","1993-06-18","2026-05-02","Per=Y","Days=T","Dir=V")</f>
        <v>0</v>
      </c>
      <c r="C2">
        <f>BDH("SOLV US Equity","BS_TOT_LIAB2","1993-06-18","2026-05-02","Per=Y","Days=T","Dir=V")</f>
        <v>0</v>
      </c>
      <c r="E2">
        <f>BDH("SOLV US Equity","SHORT_AND_LONG_TERM_DEBT","1993-06-18","2026-05-02","Per=Y","Days=T","Dir=V")</f>
        <v>0</v>
      </c>
      <c r="G2">
        <f>BDH("SOLV US Equity","BS_ST_BORROW","1993-06-18","2026-05-02","Per=Y","Days=T","Dir=V")</f>
        <v>0</v>
      </c>
      <c r="I2">
        <f>BDH("SOLV US Equity","BS_LT_BORROW","1993-06-18","2026-05-02","Per=Y","Days=T","Dir=V")</f>
        <v>0</v>
      </c>
      <c r="K2">
        <f>BDH("SOLV US Equity","BS_CASH_NEAR_CASH_ITEM","1993-06-18","2026-05-02","Per=Y","Days=T","Dir=V")</f>
        <v>0</v>
      </c>
      <c r="M2">
        <f>BDH("SOLV US Equity","BS_CUR_ASSET_REPORT","1993-06-18","2026-05-02","Per=Y","Days=T","Dir=V")</f>
        <v>0</v>
      </c>
      <c r="O2">
        <f>BDH("SOLV US Equity","BS_CUR_LIAB","1993-06-18","2026-05-02","Per=Y","Days=T","Dir=V")</f>
        <v>0</v>
      </c>
      <c r="Q2">
        <f>BDH("SOLV US Equity","BS_SHAREHOLDER_EQY_ENDING_PERIOD","1993-06-18","2026-05-02","Per=Y","Days=T","Dir=V")</f>
        <v>0</v>
      </c>
      <c r="S2">
        <f>BDH("SOLV US Equity","BS_ACCT_NOTE_RCV","1993-06-18","2026-05-02","Per=Y","Days=T","Dir=V")</f>
        <v>0</v>
      </c>
      <c r="U2">
        <f>BDH("SOLV US Equity","BS_INVENTORIES","1993-06-18","2026-05-02","Per=Y","Days=T","Dir=V")</f>
        <v>0</v>
      </c>
      <c r="W2">
        <f>BDH("SOLV US Equity","WORKING_CAPITAL","1993-06-18","2026-05-02","Per=Y","Days=T","Dir=V")</f>
        <v>0</v>
      </c>
      <c r="Y2">
        <f>BDH("SOLV US Equity","SALES_REV_TURN","1993-06-18","2026-05-02","Per=Y","Days=T","Dir=V")</f>
        <v>0</v>
      </c>
      <c r="AA2">
        <f>BDH("SOLV US Equity","EBIT","1993-06-18","2026-05-02","Per=Y","Days=T","Dir=V")</f>
        <v>0</v>
      </c>
      <c r="AC2">
        <f>BDH("SOLV US Equity","EBITDA","1993-06-18","2026-05-02","Per=Y","Days=T","Dir=V")</f>
        <v>0</v>
      </c>
      <c r="AE2">
        <f>BDH("SOLV US Equity","NET_INCOME","1993-06-18","2026-05-02","Per=Y","Days=T","Dir=V")</f>
        <v>0</v>
      </c>
      <c r="AG2">
        <f>BDH("SOLV US Equity","IS_INT_EXPENSE","1993-06-18","2026-05-02","Per=Y","Days=T","Dir=V")</f>
        <v>0</v>
      </c>
      <c r="AI2">
        <f>BDH("SOLV US Equity","IS_DEPR_EXP","1993-06-18","2026-05-02","Per=Y","Days=T","Dir=V")</f>
        <v>0</v>
      </c>
      <c r="AK2">
        <f>BDH("SOLV US Equity","CF_CASH_FROM_OPER","1993-06-18","2026-05-02","Per=Y","Days=T","Dir=V")</f>
        <v>0</v>
      </c>
      <c r="AM2">
        <f>BDH("SOLV US Equity","CAPITAL_EXPEND","1993-06-18","2026-05-02","Per=Y","Days=T","Dir=V")</f>
        <v>0</v>
      </c>
      <c r="AO2">
        <f>BDH("SOLV US Equity","CF_FREE_CASH_FLOW","1993-06-18","2026-05-02","Per=Y","Days=T","Dir=V")</f>
        <v>0</v>
      </c>
      <c r="AQ2">
        <f>BDH("SOLV US Equity","PX_LAST","1993-06-18","2026-05-02","Per=M","Days=T","Dir=V")</f>
        <v>0</v>
      </c>
      <c r="AS2">
        <f>BDH("SOLV US Equity","CUR_MKT_CAP","1993-06-18","2026-05-02","Per=M","Days=T","Dir=V")</f>
        <v>0</v>
      </c>
      <c r="AU2">
        <f>BDH("SOLV US Equity","EQY_SH_OUT","1993-06-18","2026-05-02","Per=M","Days=T","Dir=V")</f>
        <v>0</v>
      </c>
      <c r="AW2">
        <f>BDH("SOLV US Equity","PX_VOLUME","1993-06-18","2026-05-02","Per=M","Days=T","Dir=V")</f>
        <v>0</v>
      </c>
      <c r="AY2">
        <f>BDH("SOLV US Equity","TURNOVER","1993-06-18","2026-05-02","Per=M","Days=T","Dir=V")</f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BDH("SOMN US Equity","BS_TOT_ASSET","1993-06-18","2026-05-02","Per=Y","Days=T","Dir=V")</f>
        <v>0</v>
      </c>
      <c r="C2">
        <f>BDH("SOMN US Equity","BS_TOT_LIAB2","1993-06-18","2026-05-02","Per=Y","Days=T","Dir=V")</f>
        <v>0</v>
      </c>
      <c r="E2">
        <f>BDH("SOMN US Equity","SHORT_AND_LONG_TERM_DEBT","1993-06-18","2026-05-02","Per=Y","Days=T","Dir=V")</f>
        <v>0</v>
      </c>
      <c r="G2">
        <f>BDH("SOMN US Equity","BS_ST_BORROW","1993-06-18","2026-05-02","Per=Y","Days=T","Dir=V")</f>
        <v>0</v>
      </c>
      <c r="I2">
        <f>BDH("SOMN US Equity","BS_LT_BORROW","1993-06-18","2026-05-02","Per=Y","Days=T","Dir=V")</f>
        <v>0</v>
      </c>
      <c r="K2">
        <f>BDH("SOMN US Equity","BS_CASH_NEAR_CASH_ITEM","1993-06-18","2026-05-02","Per=Y","Days=T","Dir=V")</f>
        <v>0</v>
      </c>
      <c r="M2">
        <f>BDH("SOMN US Equity","BS_CUR_ASSET_REPORT","1993-06-18","2026-05-02","Per=Y","Days=T","Dir=V")</f>
        <v>0</v>
      </c>
      <c r="O2">
        <f>BDH("SOMN US Equity","BS_CUR_LIAB","1993-06-18","2026-05-02","Per=Y","Days=T","Dir=V")</f>
        <v>0</v>
      </c>
      <c r="Q2">
        <f>BDH("SOMN US Equity","BS_SHAREHOLDER_EQY_ENDING_PERIOD","1993-06-18","2026-05-02","Per=Y","Days=T","Dir=V")</f>
        <v>0</v>
      </c>
      <c r="S2">
        <f>BDH("SOMN US Equity","BS_ACCT_NOTE_RCV","1993-06-18","2026-05-02","Per=Y","Days=T","Dir=V")</f>
        <v>0</v>
      </c>
      <c r="U2">
        <f>BDH("SOMN US Equity","BS_INVENTORIES","1993-06-18","2026-05-02","Per=Y","Days=T","Dir=V")</f>
        <v>0</v>
      </c>
      <c r="W2">
        <f>BDH("SOMN US Equity","WORKING_CAPITAL","1993-06-18","2026-05-02","Per=Y","Days=T","Dir=V")</f>
        <v>0</v>
      </c>
      <c r="Y2">
        <f>BDH("SOMN US Equity","SALES_REV_TURN","1993-06-18","2026-05-02","Per=Y","Days=T","Dir=V")</f>
        <v>0</v>
      </c>
      <c r="AA2">
        <f>BDH("SOMN US Equity","EBIT","1993-06-18","2026-05-02","Per=Y","Days=T","Dir=V")</f>
        <v>0</v>
      </c>
      <c r="AC2">
        <f>BDH("SOMN US Equity","EBITDA","1993-06-18","2026-05-02","Per=Y","Days=T","Dir=V")</f>
        <v>0</v>
      </c>
      <c r="AE2">
        <f>BDH("SOMN US Equity","NET_INCOME","1993-06-18","2026-05-02","Per=Y","Days=T","Dir=V")</f>
        <v>0</v>
      </c>
      <c r="AG2">
        <f>BDH("SOMN US Equity","IS_INT_EXPENSE","1993-06-18","2026-05-02","Per=Y","Days=T","Dir=V")</f>
        <v>0</v>
      </c>
      <c r="AI2">
        <f>BDH("SOMN US Equity","IS_DEPR_EXP","1993-06-18","2026-05-02","Per=Y","Days=T","Dir=V")</f>
        <v>0</v>
      </c>
      <c r="AK2">
        <f>BDH("SOMN US Equity","CF_CASH_FROM_OPER","1993-06-18","2026-05-02","Per=Y","Days=T","Dir=V")</f>
        <v>0</v>
      </c>
      <c r="AM2">
        <f>BDH("SOMN US Equity","CAPITAL_EXPEND","1993-06-18","2026-05-02","Per=Y","Days=T","Dir=V")</f>
        <v>0</v>
      </c>
      <c r="AO2">
        <f>BDH("SOMN US Equity","CF_FREE_CASH_FLOW","1993-06-18","2026-05-02","Per=Y","Days=T","Dir=V")</f>
        <v>0</v>
      </c>
      <c r="AQ2">
        <f>BDH("SOMN US Equity","PX_LAST","1993-06-18","2026-05-02","Per=M","Days=T","Dir=V")</f>
        <v>0</v>
      </c>
      <c r="AS2">
        <f>BDH("SOMN US Equity","CUR_MKT_CAP","1993-06-18","2026-05-02","Per=M","Days=T","Dir=V")</f>
        <v>0</v>
      </c>
      <c r="AU2">
        <f>BDH("SOMN US Equity","EQY_SH_OUT","1993-06-18","2026-05-02","Per=M","Days=T","Dir=V")</f>
        <v>0</v>
      </c>
      <c r="AW2">
        <f>BDH("SOMN US Equity","PX_VOLUME","1993-06-18","2026-05-02","Per=M","Days=T","Dir=V")</f>
        <v>0</v>
      </c>
      <c r="AY2">
        <f>BDH("SOMN US Equity","TURNOVER","1993-06-18","2026-05-02","Per=M","Days=T","Dir=V")</f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BDH("SON US Equity","BS_TOT_ASSET","1993-06-18","2026-05-02","Per=Y","Days=T","Dir=V")</f>
        <v>0</v>
      </c>
      <c r="C2">
        <f>BDH("SON US Equity","BS_TOT_LIAB2","1993-06-18","2026-05-02","Per=Y","Days=T","Dir=V")</f>
        <v>0</v>
      </c>
      <c r="E2">
        <f>BDH("SON US Equity","SHORT_AND_LONG_TERM_DEBT","1993-06-18","2026-05-02","Per=Y","Days=T","Dir=V")</f>
        <v>0</v>
      </c>
      <c r="G2">
        <f>BDH("SON US Equity","BS_ST_BORROW","1993-06-18","2026-05-02","Per=Y","Days=T","Dir=V")</f>
        <v>0</v>
      </c>
      <c r="I2">
        <f>BDH("SON US Equity","BS_LT_BORROW","1993-06-18","2026-05-02","Per=Y","Days=T","Dir=V")</f>
        <v>0</v>
      </c>
      <c r="K2">
        <f>BDH("SON US Equity","BS_CASH_NEAR_CASH_ITEM","1993-06-18","2026-05-02","Per=Y","Days=T","Dir=V")</f>
        <v>0</v>
      </c>
      <c r="M2">
        <f>BDH("SON US Equity","BS_CUR_ASSET_REPORT","1993-06-18","2026-05-02","Per=Y","Days=T","Dir=V")</f>
        <v>0</v>
      </c>
      <c r="O2">
        <f>BDH("SON US Equity","BS_CUR_LIAB","1993-06-18","2026-05-02","Per=Y","Days=T","Dir=V")</f>
        <v>0</v>
      </c>
      <c r="Q2">
        <f>BDH("SON US Equity","BS_SHAREHOLDER_EQY_ENDING_PERIOD","1993-06-18","2026-05-02","Per=Y","Days=T","Dir=V")</f>
        <v>0</v>
      </c>
      <c r="S2">
        <f>BDH("SON US Equity","BS_ACCT_NOTE_RCV","1993-06-18","2026-05-02","Per=Y","Days=T","Dir=V")</f>
        <v>0</v>
      </c>
      <c r="U2">
        <f>BDH("SON US Equity","BS_INVENTORIES","1993-06-18","2026-05-02","Per=Y","Days=T","Dir=V")</f>
        <v>0</v>
      </c>
      <c r="W2">
        <f>BDH("SON US Equity","WORKING_CAPITAL","1993-06-18","2026-05-02","Per=Y","Days=T","Dir=V")</f>
        <v>0</v>
      </c>
      <c r="Y2">
        <f>BDH("SON US Equity","SALES_REV_TURN","1993-06-18","2026-05-02","Per=Y","Days=T","Dir=V")</f>
        <v>0</v>
      </c>
      <c r="AA2">
        <f>BDH("SON US Equity","EBIT","1993-06-18","2026-05-02","Per=Y","Days=T","Dir=V")</f>
        <v>0</v>
      </c>
      <c r="AC2">
        <f>BDH("SON US Equity","EBITDA","1993-06-18","2026-05-02","Per=Y","Days=T","Dir=V")</f>
        <v>0</v>
      </c>
      <c r="AE2">
        <f>BDH("SON US Equity","NET_INCOME","1993-06-18","2026-05-02","Per=Y","Days=T","Dir=V")</f>
        <v>0</v>
      </c>
      <c r="AG2">
        <f>BDH("SON US Equity","IS_INT_EXPENSE","1993-06-18","2026-05-02","Per=Y","Days=T","Dir=V")</f>
        <v>0</v>
      </c>
      <c r="AI2">
        <f>BDH("SON US Equity","IS_DEPR_EXP","1993-06-18","2026-05-02","Per=Y","Days=T","Dir=V")</f>
        <v>0</v>
      </c>
      <c r="AK2">
        <f>BDH("SON US Equity","CF_CASH_FROM_OPER","1993-06-18","2026-05-02","Per=Y","Days=T","Dir=V")</f>
        <v>0</v>
      </c>
      <c r="AM2">
        <f>BDH("SON US Equity","CAPITAL_EXPEND","1993-06-18","2026-05-02","Per=Y","Days=T","Dir=V")</f>
        <v>0</v>
      </c>
      <c r="AO2">
        <f>BDH("SON US Equity","CF_FREE_CASH_FLOW","1993-06-18","2026-05-02","Per=Y","Days=T","Dir=V")</f>
        <v>0</v>
      </c>
      <c r="AQ2">
        <f>BDH("SON US Equity","PX_LAST","1993-06-18","2026-05-02","Per=M","Days=T","Dir=V")</f>
        <v>0</v>
      </c>
      <c r="AS2">
        <f>BDH("SON US Equity","CUR_MKT_CAP","1993-06-18","2026-05-02","Per=M","Days=T","Dir=V")</f>
        <v>0</v>
      </c>
      <c r="AU2">
        <f>BDH("SON US Equity","EQY_SH_OUT","1993-06-18","2026-05-02","Per=M","Days=T","Dir=V")</f>
        <v>0</v>
      </c>
      <c r="AW2">
        <f>BDH("SON US Equity","PX_VOLUME","1993-06-18","2026-05-02","Per=M","Days=T","Dir=V")</f>
        <v>0</v>
      </c>
      <c r="AY2">
        <f>BDH("SON US Equity","TURNOVER","1993-06-18","2026-05-02","Per=M","Days=T","Dir=V")</f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BDH("SONM US Equity","BS_TOT_ASSET","1993-06-18","2026-05-02","Per=Y","Days=T","Dir=V")</f>
        <v>0</v>
      </c>
      <c r="C2">
        <f>BDH("SONM US Equity","BS_TOT_LIAB2","1993-06-18","2026-05-02","Per=Y","Days=T","Dir=V")</f>
        <v>0</v>
      </c>
      <c r="E2">
        <f>BDH("SONM US Equity","SHORT_AND_LONG_TERM_DEBT","1993-06-18","2026-05-02","Per=Y","Days=T","Dir=V")</f>
        <v>0</v>
      </c>
      <c r="G2">
        <f>BDH("SONM US Equity","BS_ST_BORROW","1993-06-18","2026-05-02","Per=Y","Days=T","Dir=V")</f>
        <v>0</v>
      </c>
      <c r="I2">
        <f>BDH("SONM US Equity","BS_LT_BORROW","1993-06-18","2026-05-02","Per=Y","Days=T","Dir=V")</f>
        <v>0</v>
      </c>
      <c r="K2">
        <f>BDH("SONM US Equity","BS_CASH_NEAR_CASH_ITEM","1993-06-18","2026-05-02","Per=Y","Days=T","Dir=V")</f>
        <v>0</v>
      </c>
      <c r="M2">
        <f>BDH("SONM US Equity","BS_CUR_ASSET_REPORT","1993-06-18","2026-05-02","Per=Y","Days=T","Dir=V")</f>
        <v>0</v>
      </c>
      <c r="O2">
        <f>BDH("SONM US Equity","BS_CUR_LIAB","1993-06-18","2026-05-02","Per=Y","Days=T","Dir=V")</f>
        <v>0</v>
      </c>
      <c r="Q2">
        <f>BDH("SONM US Equity","BS_SHAREHOLDER_EQY_ENDING_PERIOD","1993-06-18","2026-05-02","Per=Y","Days=T","Dir=V")</f>
        <v>0</v>
      </c>
      <c r="S2">
        <f>BDH("SONM US Equity","BS_ACCT_NOTE_RCV","1993-06-18","2026-05-02","Per=Y","Days=T","Dir=V")</f>
        <v>0</v>
      </c>
      <c r="U2">
        <f>BDH("SONM US Equity","BS_INVENTORIES","1993-06-18","2026-05-02","Per=Y","Days=T","Dir=V")</f>
        <v>0</v>
      </c>
      <c r="W2">
        <f>BDH("SONM US Equity","WORKING_CAPITAL","1993-06-18","2026-05-02","Per=Y","Days=T","Dir=V")</f>
        <v>0</v>
      </c>
      <c r="Y2">
        <f>BDH("SONM US Equity","SALES_REV_TURN","1993-06-18","2026-05-02","Per=Y","Days=T","Dir=V")</f>
        <v>0</v>
      </c>
      <c r="AA2">
        <f>BDH("SONM US Equity","EBIT","1993-06-18","2026-05-02","Per=Y","Days=T","Dir=V")</f>
        <v>0</v>
      </c>
      <c r="AC2">
        <f>BDH("SONM US Equity","EBITDA","1993-06-18","2026-05-02","Per=Y","Days=T","Dir=V")</f>
        <v>0</v>
      </c>
      <c r="AE2">
        <f>BDH("SONM US Equity","NET_INCOME","1993-06-18","2026-05-02","Per=Y","Days=T","Dir=V")</f>
        <v>0</v>
      </c>
      <c r="AG2">
        <f>BDH("SONM US Equity","IS_INT_EXPENSE","1993-06-18","2026-05-02","Per=Y","Days=T","Dir=V")</f>
        <v>0</v>
      </c>
      <c r="AI2">
        <f>BDH("SONM US Equity","IS_DEPR_EXP","1993-06-18","2026-05-02","Per=Y","Days=T","Dir=V")</f>
        <v>0</v>
      </c>
      <c r="AK2">
        <f>BDH("SONM US Equity","CF_CASH_FROM_OPER","1993-06-18","2026-05-02","Per=Y","Days=T","Dir=V")</f>
        <v>0</v>
      </c>
      <c r="AM2">
        <f>BDH("SONM US Equity","CAPITAL_EXPEND","1993-06-18","2026-05-02","Per=Y","Days=T","Dir=V")</f>
        <v>0</v>
      </c>
      <c r="AO2">
        <f>BDH("SONM US Equity","CF_FREE_CASH_FLOW","1993-06-18","2026-05-02","Per=Y","Days=T","Dir=V")</f>
        <v>0</v>
      </c>
      <c r="AQ2">
        <f>BDH("SONM US Equity","PX_LAST","1993-06-18","2026-05-02","Per=M","Days=T","Dir=V")</f>
        <v>0</v>
      </c>
      <c r="AS2">
        <f>BDH("SONM US Equity","CUR_MKT_CAP","1993-06-18","2026-05-02","Per=M","Days=T","Dir=V")</f>
        <v>0</v>
      </c>
      <c r="AU2">
        <f>BDH("SONM US Equity","EQY_SH_OUT","1993-06-18","2026-05-02","Per=M","Days=T","Dir=V")</f>
        <v>0</v>
      </c>
      <c r="AW2">
        <f>BDH("SONM US Equity","PX_VOLUME","1993-06-18","2026-05-02","Per=M","Days=T","Dir=V")</f>
        <v>0</v>
      </c>
      <c r="AY2">
        <f>BDH("SONM US Equity","TURNOVER","1993-06-18","2026-05-02","Per=M","Days=T","Dir=V")</f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BDH("SONO US Equity","BS_TOT_ASSET","1993-06-18","2026-05-02","Per=Y","Days=T","Dir=V")</f>
        <v>0</v>
      </c>
      <c r="C2">
        <f>BDH("SONO US Equity","BS_TOT_LIAB2","1993-06-18","2026-05-02","Per=Y","Days=T","Dir=V")</f>
        <v>0</v>
      </c>
      <c r="E2">
        <f>BDH("SONO US Equity","SHORT_AND_LONG_TERM_DEBT","1993-06-18","2026-05-02","Per=Y","Days=T","Dir=V")</f>
        <v>0</v>
      </c>
      <c r="G2">
        <f>BDH("SONO US Equity","BS_ST_BORROW","1993-06-18","2026-05-02","Per=Y","Days=T","Dir=V")</f>
        <v>0</v>
      </c>
      <c r="I2">
        <f>BDH("SONO US Equity","BS_LT_BORROW","1993-06-18","2026-05-02","Per=Y","Days=T","Dir=V")</f>
        <v>0</v>
      </c>
      <c r="K2">
        <f>BDH("SONO US Equity","BS_CASH_NEAR_CASH_ITEM","1993-06-18","2026-05-02","Per=Y","Days=T","Dir=V")</f>
        <v>0</v>
      </c>
      <c r="M2">
        <f>BDH("SONO US Equity","BS_CUR_ASSET_REPORT","1993-06-18","2026-05-02","Per=Y","Days=T","Dir=V")</f>
        <v>0</v>
      </c>
      <c r="O2">
        <f>BDH("SONO US Equity","BS_CUR_LIAB","1993-06-18","2026-05-02","Per=Y","Days=T","Dir=V")</f>
        <v>0</v>
      </c>
      <c r="Q2">
        <f>BDH("SONO US Equity","BS_SHAREHOLDER_EQY_ENDING_PERIOD","1993-06-18","2026-05-02","Per=Y","Days=T","Dir=V")</f>
        <v>0</v>
      </c>
      <c r="S2">
        <f>BDH("SONO US Equity","BS_ACCT_NOTE_RCV","1993-06-18","2026-05-02","Per=Y","Days=T","Dir=V")</f>
        <v>0</v>
      </c>
      <c r="U2">
        <f>BDH("SONO US Equity","BS_INVENTORIES","1993-06-18","2026-05-02","Per=Y","Days=T","Dir=V")</f>
        <v>0</v>
      </c>
      <c r="W2">
        <f>BDH("SONO US Equity","WORKING_CAPITAL","1993-06-18","2026-05-02","Per=Y","Days=T","Dir=V")</f>
        <v>0</v>
      </c>
      <c r="Y2">
        <f>BDH("SONO US Equity","SALES_REV_TURN","1993-06-18","2026-05-02","Per=Y","Days=T","Dir=V")</f>
        <v>0</v>
      </c>
      <c r="AA2">
        <f>BDH("SONO US Equity","EBIT","1993-06-18","2026-05-02","Per=Y","Days=T","Dir=V")</f>
        <v>0</v>
      </c>
      <c r="AC2">
        <f>BDH("SONO US Equity","EBITDA","1993-06-18","2026-05-02","Per=Y","Days=T","Dir=V")</f>
        <v>0</v>
      </c>
      <c r="AE2">
        <f>BDH("SONO US Equity","NET_INCOME","1993-06-18","2026-05-02","Per=Y","Days=T","Dir=V")</f>
        <v>0</v>
      </c>
      <c r="AG2">
        <f>BDH("SONO US Equity","IS_INT_EXPENSE","1993-06-18","2026-05-02","Per=Y","Days=T","Dir=V")</f>
        <v>0</v>
      </c>
      <c r="AI2">
        <f>BDH("SONO US Equity","IS_DEPR_EXP","1993-06-18","2026-05-02","Per=Y","Days=T","Dir=V")</f>
        <v>0</v>
      </c>
      <c r="AK2">
        <f>BDH("SONO US Equity","CF_CASH_FROM_OPER","1993-06-18","2026-05-02","Per=Y","Days=T","Dir=V")</f>
        <v>0</v>
      </c>
      <c r="AM2">
        <f>BDH("SONO US Equity","CAPITAL_EXPEND","1993-06-18","2026-05-02","Per=Y","Days=T","Dir=V")</f>
        <v>0</v>
      </c>
      <c r="AO2">
        <f>BDH("SONO US Equity","CF_FREE_CASH_FLOW","1993-06-18","2026-05-02","Per=Y","Days=T","Dir=V")</f>
        <v>0</v>
      </c>
      <c r="AQ2">
        <f>BDH("SONO US Equity","PX_LAST","1993-06-18","2026-05-02","Per=M","Days=T","Dir=V")</f>
        <v>0</v>
      </c>
      <c r="AS2">
        <f>BDH("SONO US Equity","CUR_MKT_CAP","1993-06-18","2026-05-02","Per=M","Days=T","Dir=V")</f>
        <v>0</v>
      </c>
      <c r="AU2">
        <f>BDH("SONO US Equity","EQY_SH_OUT","1993-06-18","2026-05-02","Per=M","Days=T","Dir=V")</f>
        <v>0</v>
      </c>
      <c r="AW2">
        <f>BDH("SONO US Equity","PX_VOLUME","1993-06-18","2026-05-02","Per=M","Days=T","Dir=V")</f>
        <v>0</v>
      </c>
      <c r="AY2">
        <f>BDH("SONO US Equity","TURNOVER","1993-06-18","2026-05-02","Per=M","Days=T","Dir=V")</f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BDH("SOTK US Equity","BS_TOT_ASSET","1993-06-18","2026-05-02","Per=Y","Days=T","Dir=V")</f>
        <v>0</v>
      </c>
      <c r="C2">
        <f>BDH("SOTK US Equity","BS_TOT_LIAB2","1993-06-18","2026-05-02","Per=Y","Days=T","Dir=V")</f>
        <v>0</v>
      </c>
      <c r="E2">
        <f>BDH("SOTK US Equity","SHORT_AND_LONG_TERM_DEBT","1993-06-18","2026-05-02","Per=Y","Days=T","Dir=V")</f>
        <v>0</v>
      </c>
      <c r="G2">
        <f>BDH("SOTK US Equity","BS_ST_BORROW","1993-06-18","2026-05-02","Per=Y","Days=T","Dir=V")</f>
        <v>0</v>
      </c>
      <c r="I2">
        <f>BDH("SOTK US Equity","BS_LT_BORROW","1993-06-18","2026-05-02","Per=Y","Days=T","Dir=V")</f>
        <v>0</v>
      </c>
      <c r="K2">
        <f>BDH("SOTK US Equity","BS_CASH_NEAR_CASH_ITEM","1993-06-18","2026-05-02","Per=Y","Days=T","Dir=V")</f>
        <v>0</v>
      </c>
      <c r="M2">
        <f>BDH("SOTK US Equity","BS_CUR_ASSET_REPORT","1993-06-18","2026-05-02","Per=Y","Days=T","Dir=V")</f>
        <v>0</v>
      </c>
      <c r="O2">
        <f>BDH("SOTK US Equity","BS_CUR_LIAB","1993-06-18","2026-05-02","Per=Y","Days=T","Dir=V")</f>
        <v>0</v>
      </c>
      <c r="Q2">
        <f>BDH("SOTK US Equity","BS_SHAREHOLDER_EQY_ENDING_PERIOD","1993-06-18","2026-05-02","Per=Y","Days=T","Dir=V")</f>
        <v>0</v>
      </c>
      <c r="S2">
        <f>BDH("SOTK US Equity","BS_ACCT_NOTE_RCV","1993-06-18","2026-05-02","Per=Y","Days=T","Dir=V")</f>
        <v>0</v>
      </c>
      <c r="U2">
        <f>BDH("SOTK US Equity","BS_INVENTORIES","1993-06-18","2026-05-02","Per=Y","Days=T","Dir=V")</f>
        <v>0</v>
      </c>
      <c r="W2">
        <f>BDH("SOTK US Equity","WORKING_CAPITAL","1993-06-18","2026-05-02","Per=Y","Days=T","Dir=V")</f>
        <v>0</v>
      </c>
      <c r="Y2">
        <f>BDH("SOTK US Equity","SALES_REV_TURN","1993-06-18","2026-05-02","Per=Y","Days=T","Dir=V")</f>
        <v>0</v>
      </c>
      <c r="AA2">
        <f>BDH("SOTK US Equity","EBIT","1993-06-18","2026-05-02","Per=Y","Days=T","Dir=V")</f>
        <v>0</v>
      </c>
      <c r="AC2">
        <f>BDH("SOTK US Equity","EBITDA","1993-06-18","2026-05-02","Per=Y","Days=T","Dir=V")</f>
        <v>0</v>
      </c>
      <c r="AE2">
        <f>BDH("SOTK US Equity","NET_INCOME","1993-06-18","2026-05-02","Per=Y","Days=T","Dir=V")</f>
        <v>0</v>
      </c>
      <c r="AG2">
        <f>BDH("SOTK US Equity","IS_INT_EXPENSE","1993-06-18","2026-05-02","Per=Y","Days=T","Dir=V")</f>
        <v>0</v>
      </c>
      <c r="AI2">
        <f>BDH("SOTK US Equity","IS_DEPR_EXP","1993-06-18","2026-05-02","Per=Y","Days=T","Dir=V")</f>
        <v>0</v>
      </c>
      <c r="AK2">
        <f>BDH("SOTK US Equity","CF_CASH_FROM_OPER","1993-06-18","2026-05-02","Per=Y","Days=T","Dir=V")</f>
        <v>0</v>
      </c>
      <c r="AM2">
        <f>BDH("SOTK US Equity","CAPITAL_EXPEND","1993-06-18","2026-05-02","Per=Y","Days=T","Dir=V")</f>
        <v>0</v>
      </c>
      <c r="AO2">
        <f>BDH("SOTK US Equity","CF_FREE_CASH_FLOW","1993-06-18","2026-05-02","Per=Y","Days=T","Dir=V")</f>
        <v>0</v>
      </c>
      <c r="AQ2">
        <f>BDH("SOTK US Equity","PX_LAST","1993-06-18","2026-05-02","Per=M","Days=T","Dir=V")</f>
        <v>0</v>
      </c>
      <c r="AS2">
        <f>BDH("SOTK US Equity","CUR_MKT_CAP","1993-06-18","2026-05-02","Per=M","Days=T","Dir=V")</f>
        <v>0</v>
      </c>
      <c r="AU2">
        <f>BDH("SOTK US Equity","EQY_SH_OUT","1993-06-18","2026-05-02","Per=M","Days=T","Dir=V")</f>
        <v>0</v>
      </c>
      <c r="AW2">
        <f>BDH("SOTK US Equity","PX_VOLUME","1993-06-18","2026-05-02","Per=M","Days=T","Dir=V")</f>
        <v>0</v>
      </c>
      <c r="AY2">
        <f>BDH("SOTK US Equity","TURNOVER","1993-06-18","2026-05-02","Per=M","Days=T","Dir=V")</f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BDH("SOUN US Equity","BS_TOT_ASSET","1993-06-18","2026-05-02","Per=Y","Days=T","Dir=V")</f>
        <v>0</v>
      </c>
      <c r="C2">
        <f>BDH("SOUN US Equity","BS_TOT_LIAB2","1993-06-18","2026-05-02","Per=Y","Days=T","Dir=V")</f>
        <v>0</v>
      </c>
      <c r="E2">
        <f>BDH("SOUN US Equity","SHORT_AND_LONG_TERM_DEBT","1993-06-18","2026-05-02","Per=Y","Days=T","Dir=V")</f>
        <v>0</v>
      </c>
      <c r="G2">
        <f>BDH("SOUN US Equity","BS_ST_BORROW","1993-06-18","2026-05-02","Per=Y","Days=T","Dir=V")</f>
        <v>0</v>
      </c>
      <c r="I2">
        <f>BDH("SOUN US Equity","BS_LT_BORROW","1993-06-18","2026-05-02","Per=Y","Days=T","Dir=V")</f>
        <v>0</v>
      </c>
      <c r="K2">
        <f>BDH("SOUN US Equity","BS_CASH_NEAR_CASH_ITEM","1993-06-18","2026-05-02","Per=Y","Days=T","Dir=V")</f>
        <v>0</v>
      </c>
      <c r="M2">
        <f>BDH("SOUN US Equity","BS_CUR_ASSET_REPORT","1993-06-18","2026-05-02","Per=Y","Days=T","Dir=V")</f>
        <v>0</v>
      </c>
      <c r="O2">
        <f>BDH("SOUN US Equity","BS_CUR_LIAB","1993-06-18","2026-05-02","Per=Y","Days=T","Dir=V")</f>
        <v>0</v>
      </c>
      <c r="Q2">
        <f>BDH("SOUN US Equity","BS_SHAREHOLDER_EQY_ENDING_PERIOD","1993-06-18","2026-05-02","Per=Y","Days=T","Dir=V")</f>
        <v>0</v>
      </c>
      <c r="S2">
        <f>BDH("SOUN US Equity","BS_ACCT_NOTE_RCV","1993-06-18","2026-05-02","Per=Y","Days=T","Dir=V")</f>
        <v>0</v>
      </c>
      <c r="U2">
        <f>BDH("SOUN US Equity","BS_INVENTORIES","1993-06-18","2026-05-02","Per=Y","Days=T","Dir=V")</f>
        <v>0</v>
      </c>
      <c r="W2">
        <f>BDH("SOUN US Equity","WORKING_CAPITAL","1993-06-18","2026-05-02","Per=Y","Days=T","Dir=V")</f>
        <v>0</v>
      </c>
      <c r="Y2">
        <f>BDH("SOUN US Equity","SALES_REV_TURN","1993-06-18","2026-05-02","Per=Y","Days=T","Dir=V")</f>
        <v>0</v>
      </c>
      <c r="AA2">
        <f>BDH("SOUN US Equity","EBIT","1993-06-18","2026-05-02","Per=Y","Days=T","Dir=V")</f>
        <v>0</v>
      </c>
      <c r="AC2">
        <f>BDH("SOUN US Equity","EBITDA","1993-06-18","2026-05-02","Per=Y","Days=T","Dir=V")</f>
        <v>0</v>
      </c>
      <c r="AE2">
        <f>BDH("SOUN US Equity","NET_INCOME","1993-06-18","2026-05-02","Per=Y","Days=T","Dir=V")</f>
        <v>0</v>
      </c>
      <c r="AG2">
        <f>BDH("SOUN US Equity","IS_INT_EXPENSE","1993-06-18","2026-05-02","Per=Y","Days=T","Dir=V")</f>
        <v>0</v>
      </c>
      <c r="AI2">
        <f>BDH("SOUN US Equity","IS_DEPR_EXP","1993-06-18","2026-05-02","Per=Y","Days=T","Dir=V")</f>
        <v>0</v>
      </c>
      <c r="AK2">
        <f>BDH("SOUN US Equity","CF_CASH_FROM_OPER","1993-06-18","2026-05-02","Per=Y","Days=T","Dir=V")</f>
        <v>0</v>
      </c>
      <c r="AM2">
        <f>BDH("SOUN US Equity","CAPITAL_EXPEND","1993-06-18","2026-05-02","Per=Y","Days=T","Dir=V")</f>
        <v>0</v>
      </c>
      <c r="AO2">
        <f>BDH("SOUN US Equity","CF_FREE_CASH_FLOW","1993-06-18","2026-05-02","Per=Y","Days=T","Dir=V")</f>
        <v>0</v>
      </c>
      <c r="AQ2">
        <f>BDH("SOUN US Equity","PX_LAST","1993-06-18","2026-05-02","Per=M","Days=T","Dir=V")</f>
        <v>0</v>
      </c>
      <c r="AS2">
        <f>BDH("SOUN US Equity","CUR_MKT_CAP","1993-06-18","2026-05-02","Per=M","Days=T","Dir=V")</f>
        <v>0</v>
      </c>
      <c r="AU2">
        <f>BDH("SOUN US Equity","EQY_SH_OUT","1993-06-18","2026-05-02","Per=M","Days=T","Dir=V")</f>
        <v>0</v>
      </c>
      <c r="AW2">
        <f>BDH("SOUN US Equity","PX_VOLUME","1993-06-18","2026-05-02","Per=M","Days=T","Dir=V")</f>
        <v>0</v>
      </c>
      <c r="AY2">
        <f>BDH("SOUN US Equity","TURNOVER","1993-06-18","2026-05-02","Per=M","Days=T","Dir=V")</f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BDH("SOUNW US Equity","BS_TOT_ASSET","1993-06-18","2026-05-02","Per=Y","Days=T","Dir=V")</f>
        <v>0</v>
      </c>
      <c r="C2">
        <f>BDH("SOUNW US Equity","BS_TOT_LIAB2","1993-06-18","2026-05-02","Per=Y","Days=T","Dir=V")</f>
        <v>0</v>
      </c>
      <c r="E2">
        <f>BDH("SOUNW US Equity","SHORT_AND_LONG_TERM_DEBT","1993-06-18","2026-05-02","Per=Y","Days=T","Dir=V")</f>
        <v>0</v>
      </c>
      <c r="G2">
        <f>BDH("SOUNW US Equity","BS_ST_BORROW","1993-06-18","2026-05-02","Per=Y","Days=T","Dir=V")</f>
        <v>0</v>
      </c>
      <c r="I2">
        <f>BDH("SOUNW US Equity","BS_LT_BORROW","1993-06-18","2026-05-02","Per=Y","Days=T","Dir=V")</f>
        <v>0</v>
      </c>
      <c r="K2">
        <f>BDH("SOUNW US Equity","BS_CASH_NEAR_CASH_ITEM","1993-06-18","2026-05-02","Per=Y","Days=T","Dir=V")</f>
        <v>0</v>
      </c>
      <c r="M2">
        <f>BDH("SOUNW US Equity","BS_CUR_ASSET_REPORT","1993-06-18","2026-05-02","Per=Y","Days=T","Dir=V")</f>
        <v>0</v>
      </c>
      <c r="O2">
        <f>BDH("SOUNW US Equity","BS_CUR_LIAB","1993-06-18","2026-05-02","Per=Y","Days=T","Dir=V")</f>
        <v>0</v>
      </c>
      <c r="Q2">
        <f>BDH("SOUNW US Equity","BS_SHAREHOLDER_EQY_ENDING_PERIOD","1993-06-18","2026-05-02","Per=Y","Days=T","Dir=V")</f>
        <v>0</v>
      </c>
      <c r="S2">
        <f>BDH("SOUNW US Equity","BS_ACCT_NOTE_RCV","1993-06-18","2026-05-02","Per=Y","Days=T","Dir=V")</f>
        <v>0</v>
      </c>
      <c r="U2">
        <f>BDH("SOUNW US Equity","BS_INVENTORIES","1993-06-18","2026-05-02","Per=Y","Days=T","Dir=V")</f>
        <v>0</v>
      </c>
      <c r="W2">
        <f>BDH("SOUNW US Equity","WORKING_CAPITAL","1993-06-18","2026-05-02","Per=Y","Days=T","Dir=V")</f>
        <v>0</v>
      </c>
      <c r="Y2">
        <f>BDH("SOUNW US Equity","SALES_REV_TURN","1993-06-18","2026-05-02","Per=Y","Days=T","Dir=V")</f>
        <v>0</v>
      </c>
      <c r="AA2">
        <f>BDH("SOUNW US Equity","EBIT","1993-06-18","2026-05-02","Per=Y","Days=T","Dir=V")</f>
        <v>0</v>
      </c>
      <c r="AC2">
        <f>BDH("SOUNW US Equity","EBITDA","1993-06-18","2026-05-02","Per=Y","Days=T","Dir=V")</f>
        <v>0</v>
      </c>
      <c r="AE2">
        <f>BDH("SOUNW US Equity","NET_INCOME","1993-06-18","2026-05-02","Per=Y","Days=T","Dir=V")</f>
        <v>0</v>
      </c>
      <c r="AG2">
        <f>BDH("SOUNW US Equity","IS_INT_EXPENSE","1993-06-18","2026-05-02","Per=Y","Days=T","Dir=V")</f>
        <v>0</v>
      </c>
      <c r="AI2">
        <f>BDH("SOUNW US Equity","IS_DEPR_EXP","1993-06-18","2026-05-02","Per=Y","Days=T","Dir=V")</f>
        <v>0</v>
      </c>
      <c r="AK2">
        <f>BDH("SOUNW US Equity","CF_CASH_FROM_OPER","1993-06-18","2026-05-02","Per=Y","Days=T","Dir=V")</f>
        <v>0</v>
      </c>
      <c r="AM2">
        <f>BDH("SOUNW US Equity","CAPITAL_EXPEND","1993-06-18","2026-05-02","Per=Y","Days=T","Dir=V")</f>
        <v>0</v>
      </c>
      <c r="AO2">
        <f>BDH("SOUNW US Equity","CF_FREE_CASH_FLOW","1993-06-18","2026-05-02","Per=Y","Days=T","Dir=V")</f>
        <v>0</v>
      </c>
      <c r="AQ2">
        <f>BDH("SOUNW US Equity","PX_LAST","1993-06-18","2026-05-02","Per=M","Days=T","Dir=V")</f>
        <v>0</v>
      </c>
      <c r="AS2">
        <f>BDH("SOUNW US Equity","CUR_MKT_CAP","1993-06-18","2026-05-02","Per=M","Days=T","Dir=V")</f>
        <v>0</v>
      </c>
      <c r="AU2">
        <f>BDH("SOUNW US Equity","EQY_SH_OUT","1993-06-18","2026-05-02","Per=M","Days=T","Dir=V")</f>
        <v>0</v>
      </c>
      <c r="AW2">
        <f>BDH("SOUNW US Equity","PX_VOLUME","1993-06-18","2026-05-02","Per=M","Days=T","Dir=V")</f>
        <v>0</v>
      </c>
      <c r="AY2">
        <f>BDH("SOUNW US Equity","TURNOVER","1993-06-18","2026-05-02","Per=M","Days=T","Dir=V")</f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BDH("SOWG US Equity","BS_TOT_ASSET","1993-06-18","2026-05-02","Per=Y","Days=T","Dir=V")</f>
        <v>0</v>
      </c>
      <c r="C2">
        <f>BDH("SOWG US Equity","BS_TOT_LIAB2","1993-06-18","2026-05-02","Per=Y","Days=T","Dir=V")</f>
        <v>0</v>
      </c>
      <c r="E2">
        <f>BDH("SOWG US Equity","SHORT_AND_LONG_TERM_DEBT","1993-06-18","2026-05-02","Per=Y","Days=T","Dir=V")</f>
        <v>0</v>
      </c>
      <c r="G2">
        <f>BDH("SOWG US Equity","BS_ST_BORROW","1993-06-18","2026-05-02","Per=Y","Days=T","Dir=V")</f>
        <v>0</v>
      </c>
      <c r="I2">
        <f>BDH("SOWG US Equity","BS_LT_BORROW","1993-06-18","2026-05-02","Per=Y","Days=T","Dir=V")</f>
        <v>0</v>
      </c>
      <c r="K2">
        <f>BDH("SOWG US Equity","BS_CASH_NEAR_CASH_ITEM","1993-06-18","2026-05-02","Per=Y","Days=T","Dir=V")</f>
        <v>0</v>
      </c>
      <c r="M2">
        <f>BDH("SOWG US Equity","BS_CUR_ASSET_REPORT","1993-06-18","2026-05-02","Per=Y","Days=T","Dir=V")</f>
        <v>0</v>
      </c>
      <c r="O2">
        <f>BDH("SOWG US Equity","BS_CUR_LIAB","1993-06-18","2026-05-02","Per=Y","Days=T","Dir=V")</f>
        <v>0</v>
      </c>
      <c r="Q2">
        <f>BDH("SOWG US Equity","BS_SHAREHOLDER_EQY_ENDING_PERIOD","1993-06-18","2026-05-02","Per=Y","Days=T","Dir=V")</f>
        <v>0</v>
      </c>
      <c r="S2">
        <f>BDH("SOWG US Equity","BS_ACCT_NOTE_RCV","1993-06-18","2026-05-02","Per=Y","Days=T","Dir=V")</f>
        <v>0</v>
      </c>
      <c r="U2">
        <f>BDH("SOWG US Equity","BS_INVENTORIES","1993-06-18","2026-05-02","Per=Y","Days=T","Dir=V")</f>
        <v>0</v>
      </c>
      <c r="W2">
        <f>BDH("SOWG US Equity","WORKING_CAPITAL","1993-06-18","2026-05-02","Per=Y","Days=T","Dir=V")</f>
        <v>0</v>
      </c>
      <c r="Y2">
        <f>BDH("SOWG US Equity","SALES_REV_TURN","1993-06-18","2026-05-02","Per=Y","Days=T","Dir=V")</f>
        <v>0</v>
      </c>
      <c r="AA2">
        <f>BDH("SOWG US Equity","EBIT","1993-06-18","2026-05-02","Per=Y","Days=T","Dir=V")</f>
        <v>0</v>
      </c>
      <c r="AC2">
        <f>BDH("SOWG US Equity","EBITDA","1993-06-18","2026-05-02","Per=Y","Days=T","Dir=V")</f>
        <v>0</v>
      </c>
      <c r="AE2">
        <f>BDH("SOWG US Equity","NET_INCOME","1993-06-18","2026-05-02","Per=Y","Days=T","Dir=V")</f>
        <v>0</v>
      </c>
      <c r="AG2">
        <f>BDH("SOWG US Equity","IS_INT_EXPENSE","1993-06-18","2026-05-02","Per=Y","Days=T","Dir=V")</f>
        <v>0</v>
      </c>
      <c r="AI2">
        <f>BDH("SOWG US Equity","IS_DEPR_EXP","1993-06-18","2026-05-02","Per=Y","Days=T","Dir=V")</f>
        <v>0</v>
      </c>
      <c r="AK2">
        <f>BDH("SOWG US Equity","CF_CASH_FROM_OPER","1993-06-18","2026-05-02","Per=Y","Days=T","Dir=V")</f>
        <v>0</v>
      </c>
      <c r="AM2">
        <f>BDH("SOWG US Equity","CAPITAL_EXPEND","1993-06-18","2026-05-02","Per=Y","Days=T","Dir=V")</f>
        <v>0</v>
      </c>
      <c r="AO2">
        <f>BDH("SOWG US Equity","CF_FREE_CASH_FLOW","1993-06-18","2026-05-02","Per=Y","Days=T","Dir=V")</f>
        <v>0</v>
      </c>
      <c r="AQ2">
        <f>BDH("SOWG US Equity","PX_LAST","1993-06-18","2026-05-02","Per=M","Days=T","Dir=V")</f>
        <v>0</v>
      </c>
      <c r="AS2">
        <f>BDH("SOWG US Equity","CUR_MKT_CAP","1993-06-18","2026-05-02","Per=M","Days=T","Dir=V")</f>
        <v>0</v>
      </c>
      <c r="AU2">
        <f>BDH("SOWG US Equity","EQY_SH_OUT","1993-06-18","2026-05-02","Per=M","Days=T","Dir=V")</f>
        <v>0</v>
      </c>
      <c r="AW2">
        <f>BDH("SOWG US Equity","PX_VOLUME","1993-06-18","2026-05-02","Per=M","Days=T","Dir=V")</f>
        <v>0</v>
      </c>
      <c r="AY2">
        <f>BDH("SOWG US Equity","TURNOVER","1993-06-18","2026-05-02","Per=M","Days=T","Dir=V")</f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BDH("SPAI US Equity","BS_TOT_ASSET","1993-06-18","2026-05-02","Per=Y","Days=T","Dir=V")</f>
        <v>0</v>
      </c>
      <c r="C2">
        <f>BDH("SPAI US Equity","BS_TOT_LIAB2","1993-06-18","2026-05-02","Per=Y","Days=T","Dir=V")</f>
        <v>0</v>
      </c>
      <c r="E2">
        <f>BDH("SPAI US Equity","SHORT_AND_LONG_TERM_DEBT","1993-06-18","2026-05-02","Per=Y","Days=T","Dir=V")</f>
        <v>0</v>
      </c>
      <c r="G2">
        <f>BDH("SPAI US Equity","BS_ST_BORROW","1993-06-18","2026-05-02","Per=Y","Days=T","Dir=V")</f>
        <v>0</v>
      </c>
      <c r="I2">
        <f>BDH("SPAI US Equity","BS_LT_BORROW","1993-06-18","2026-05-02","Per=Y","Days=T","Dir=V")</f>
        <v>0</v>
      </c>
      <c r="K2">
        <f>BDH("SPAI US Equity","BS_CASH_NEAR_CASH_ITEM","1993-06-18","2026-05-02","Per=Y","Days=T","Dir=V")</f>
        <v>0</v>
      </c>
      <c r="M2">
        <f>BDH("SPAI US Equity","BS_CUR_ASSET_REPORT","1993-06-18","2026-05-02","Per=Y","Days=T","Dir=V")</f>
        <v>0</v>
      </c>
      <c r="O2">
        <f>BDH("SPAI US Equity","BS_CUR_LIAB","1993-06-18","2026-05-02","Per=Y","Days=T","Dir=V")</f>
        <v>0</v>
      </c>
      <c r="Q2">
        <f>BDH("SPAI US Equity","BS_SHAREHOLDER_EQY_ENDING_PERIOD","1993-06-18","2026-05-02","Per=Y","Days=T","Dir=V")</f>
        <v>0</v>
      </c>
      <c r="S2">
        <f>BDH("SPAI US Equity","BS_ACCT_NOTE_RCV","1993-06-18","2026-05-02","Per=Y","Days=T","Dir=V")</f>
        <v>0</v>
      </c>
      <c r="U2">
        <f>BDH("SPAI US Equity","BS_INVENTORIES","1993-06-18","2026-05-02","Per=Y","Days=T","Dir=V")</f>
        <v>0</v>
      </c>
      <c r="W2">
        <f>BDH("SPAI US Equity","WORKING_CAPITAL","1993-06-18","2026-05-02","Per=Y","Days=T","Dir=V")</f>
        <v>0</v>
      </c>
      <c r="Y2">
        <f>BDH("SPAI US Equity","SALES_REV_TURN","1993-06-18","2026-05-02","Per=Y","Days=T","Dir=V")</f>
        <v>0</v>
      </c>
      <c r="AA2">
        <f>BDH("SPAI US Equity","EBIT","1993-06-18","2026-05-02","Per=Y","Days=T","Dir=V")</f>
        <v>0</v>
      </c>
      <c r="AC2">
        <f>BDH("SPAI US Equity","EBITDA","1993-06-18","2026-05-02","Per=Y","Days=T","Dir=V")</f>
        <v>0</v>
      </c>
      <c r="AE2">
        <f>BDH("SPAI US Equity","NET_INCOME","1993-06-18","2026-05-02","Per=Y","Days=T","Dir=V")</f>
        <v>0</v>
      </c>
      <c r="AG2">
        <f>BDH("SPAI US Equity","IS_INT_EXPENSE","1993-06-18","2026-05-02","Per=Y","Days=T","Dir=V")</f>
        <v>0</v>
      </c>
      <c r="AI2">
        <f>BDH("SPAI US Equity","IS_DEPR_EXP","1993-06-18","2026-05-02","Per=Y","Days=T","Dir=V")</f>
        <v>0</v>
      </c>
      <c r="AK2">
        <f>BDH("SPAI US Equity","CF_CASH_FROM_OPER","1993-06-18","2026-05-02","Per=Y","Days=T","Dir=V")</f>
        <v>0</v>
      </c>
      <c r="AM2">
        <f>BDH("SPAI US Equity","CAPITAL_EXPEND","1993-06-18","2026-05-02","Per=Y","Days=T","Dir=V")</f>
        <v>0</v>
      </c>
      <c r="AO2">
        <f>BDH("SPAI US Equity","CF_FREE_CASH_FLOW","1993-06-18","2026-05-02","Per=Y","Days=T","Dir=V")</f>
        <v>0</v>
      </c>
      <c r="AQ2">
        <f>BDH("SPAI US Equity","PX_LAST","1993-06-18","2026-05-02","Per=M","Days=T","Dir=V")</f>
        <v>0</v>
      </c>
      <c r="AS2">
        <f>BDH("SPAI US Equity","CUR_MKT_CAP","1993-06-18","2026-05-02","Per=M","Days=T","Dir=V")</f>
        <v>0</v>
      </c>
      <c r="AU2">
        <f>BDH("SPAI US Equity","EQY_SH_OUT","1993-06-18","2026-05-02","Per=M","Days=T","Dir=V")</f>
        <v>0</v>
      </c>
      <c r="AW2">
        <f>BDH("SPAI US Equity","PX_VOLUME","1993-06-18","2026-05-02","Per=M","Days=T","Dir=V")</f>
        <v>0</v>
      </c>
      <c r="AY2">
        <f>BDH("SPAI US Equity","TURNOVER","1993-06-18","2026-05-02","Per=M","Days=T","Dir=V")</f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BDH("SPCE US Equity","BS_TOT_ASSET","1993-06-18","2026-05-02","Per=Y","Days=T","Dir=V")</f>
        <v>0</v>
      </c>
      <c r="C2">
        <f>BDH("SPCE US Equity","BS_TOT_LIAB2","1993-06-18","2026-05-02","Per=Y","Days=T","Dir=V")</f>
        <v>0</v>
      </c>
      <c r="E2">
        <f>BDH("SPCE US Equity","SHORT_AND_LONG_TERM_DEBT","1993-06-18","2026-05-02","Per=Y","Days=T","Dir=V")</f>
        <v>0</v>
      </c>
      <c r="G2">
        <f>BDH("SPCE US Equity","BS_ST_BORROW","1993-06-18","2026-05-02","Per=Y","Days=T","Dir=V")</f>
        <v>0</v>
      </c>
      <c r="I2">
        <f>BDH("SPCE US Equity","BS_LT_BORROW","1993-06-18","2026-05-02","Per=Y","Days=T","Dir=V")</f>
        <v>0</v>
      </c>
      <c r="K2">
        <f>BDH("SPCE US Equity","BS_CASH_NEAR_CASH_ITEM","1993-06-18","2026-05-02","Per=Y","Days=T","Dir=V")</f>
        <v>0</v>
      </c>
      <c r="M2">
        <f>BDH("SPCE US Equity","BS_CUR_ASSET_REPORT","1993-06-18","2026-05-02","Per=Y","Days=T","Dir=V")</f>
        <v>0</v>
      </c>
      <c r="O2">
        <f>BDH("SPCE US Equity","BS_CUR_LIAB","1993-06-18","2026-05-02","Per=Y","Days=T","Dir=V")</f>
        <v>0</v>
      </c>
      <c r="Q2">
        <f>BDH("SPCE US Equity","BS_SHAREHOLDER_EQY_ENDING_PERIOD","1993-06-18","2026-05-02","Per=Y","Days=T","Dir=V")</f>
        <v>0</v>
      </c>
      <c r="S2">
        <f>BDH("SPCE US Equity","BS_ACCT_NOTE_RCV","1993-06-18","2026-05-02","Per=Y","Days=T","Dir=V")</f>
        <v>0</v>
      </c>
      <c r="U2">
        <f>BDH("SPCE US Equity","BS_INVENTORIES","1993-06-18","2026-05-02","Per=Y","Days=T","Dir=V")</f>
        <v>0</v>
      </c>
      <c r="W2">
        <f>BDH("SPCE US Equity","WORKING_CAPITAL","1993-06-18","2026-05-02","Per=Y","Days=T","Dir=V")</f>
        <v>0</v>
      </c>
      <c r="Y2">
        <f>BDH("SPCE US Equity","SALES_REV_TURN","1993-06-18","2026-05-02","Per=Y","Days=T","Dir=V")</f>
        <v>0</v>
      </c>
      <c r="AA2">
        <f>BDH("SPCE US Equity","EBIT","1993-06-18","2026-05-02","Per=Y","Days=T","Dir=V")</f>
        <v>0</v>
      </c>
      <c r="AC2">
        <f>BDH("SPCE US Equity","EBITDA","1993-06-18","2026-05-02","Per=Y","Days=T","Dir=V")</f>
        <v>0</v>
      </c>
      <c r="AE2">
        <f>BDH("SPCE US Equity","NET_INCOME","1993-06-18","2026-05-02","Per=Y","Days=T","Dir=V")</f>
        <v>0</v>
      </c>
      <c r="AG2">
        <f>BDH("SPCE US Equity","IS_INT_EXPENSE","1993-06-18","2026-05-02","Per=Y","Days=T","Dir=V")</f>
        <v>0</v>
      </c>
      <c r="AI2">
        <f>BDH("SPCE US Equity","IS_DEPR_EXP","1993-06-18","2026-05-02","Per=Y","Days=T","Dir=V")</f>
        <v>0</v>
      </c>
      <c r="AK2">
        <f>BDH("SPCE US Equity","CF_CASH_FROM_OPER","1993-06-18","2026-05-02","Per=Y","Days=T","Dir=V")</f>
        <v>0</v>
      </c>
      <c r="AM2">
        <f>BDH("SPCE US Equity","CAPITAL_EXPEND","1993-06-18","2026-05-02","Per=Y","Days=T","Dir=V")</f>
        <v>0</v>
      </c>
      <c r="AO2">
        <f>BDH("SPCE US Equity","CF_FREE_CASH_FLOW","1993-06-18","2026-05-02","Per=Y","Days=T","Dir=V")</f>
        <v>0</v>
      </c>
      <c r="AQ2">
        <f>BDH("SPCE US Equity","PX_LAST","1993-06-18","2026-05-02","Per=M","Days=T","Dir=V")</f>
        <v>0</v>
      </c>
      <c r="AS2">
        <f>BDH("SPCE US Equity","CUR_MKT_CAP","1993-06-18","2026-05-02","Per=M","Days=T","Dir=V")</f>
        <v>0</v>
      </c>
      <c r="AU2">
        <f>BDH("SPCE US Equity","EQY_SH_OUT","1993-06-18","2026-05-02","Per=M","Days=T","Dir=V")</f>
        <v>0</v>
      </c>
      <c r="AW2">
        <f>BDH("SPCE US Equity","PX_VOLUME","1993-06-18","2026-05-02","Per=M","Days=T","Dir=V")</f>
        <v>0</v>
      </c>
      <c r="AY2">
        <f>BDH("SPCE US Equity","TURNOVER","1993-06-18","2026-05-02","Per=M","Days=T","Dir=V")</f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BDH("SPCX US Equity","BS_TOT_ASSET","1993-06-18","2026-05-02","Per=Y","Days=T","Dir=V")</f>
        <v>0</v>
      </c>
      <c r="C2">
        <f>BDH("SPCX US Equity","BS_TOT_LIAB2","1993-06-18","2026-05-02","Per=Y","Days=T","Dir=V")</f>
        <v>0</v>
      </c>
      <c r="E2">
        <f>BDH("SPCX US Equity","SHORT_AND_LONG_TERM_DEBT","1993-06-18","2026-05-02","Per=Y","Days=T","Dir=V")</f>
        <v>0</v>
      </c>
      <c r="G2">
        <f>BDH("SPCX US Equity","BS_ST_BORROW","1993-06-18","2026-05-02","Per=Y","Days=T","Dir=V")</f>
        <v>0</v>
      </c>
      <c r="I2">
        <f>BDH("SPCX US Equity","BS_LT_BORROW","1993-06-18","2026-05-02","Per=Y","Days=T","Dir=V")</f>
        <v>0</v>
      </c>
      <c r="K2">
        <f>BDH("SPCX US Equity","BS_CASH_NEAR_CASH_ITEM","1993-06-18","2026-05-02","Per=Y","Days=T","Dir=V")</f>
        <v>0</v>
      </c>
      <c r="M2">
        <f>BDH("SPCX US Equity","BS_CUR_ASSET_REPORT","1993-06-18","2026-05-02","Per=Y","Days=T","Dir=V")</f>
        <v>0</v>
      </c>
      <c r="O2">
        <f>BDH("SPCX US Equity","BS_CUR_LIAB","1993-06-18","2026-05-02","Per=Y","Days=T","Dir=V")</f>
        <v>0</v>
      </c>
      <c r="Q2">
        <f>BDH("SPCX US Equity","BS_SHAREHOLDER_EQY_ENDING_PERIOD","1993-06-18","2026-05-02","Per=Y","Days=T","Dir=V")</f>
        <v>0</v>
      </c>
      <c r="S2">
        <f>BDH("SPCX US Equity","BS_ACCT_NOTE_RCV","1993-06-18","2026-05-02","Per=Y","Days=T","Dir=V")</f>
        <v>0</v>
      </c>
      <c r="U2">
        <f>BDH("SPCX US Equity","BS_INVENTORIES","1993-06-18","2026-05-02","Per=Y","Days=T","Dir=V")</f>
        <v>0</v>
      </c>
      <c r="W2">
        <f>BDH("SPCX US Equity","WORKING_CAPITAL","1993-06-18","2026-05-02","Per=Y","Days=T","Dir=V")</f>
        <v>0</v>
      </c>
      <c r="Y2">
        <f>BDH("SPCX US Equity","SALES_REV_TURN","1993-06-18","2026-05-02","Per=Y","Days=T","Dir=V")</f>
        <v>0</v>
      </c>
      <c r="AA2">
        <f>BDH("SPCX US Equity","EBIT","1993-06-18","2026-05-02","Per=Y","Days=T","Dir=V")</f>
        <v>0</v>
      </c>
      <c r="AC2">
        <f>BDH("SPCX US Equity","EBITDA","1993-06-18","2026-05-02","Per=Y","Days=T","Dir=V")</f>
        <v>0</v>
      </c>
      <c r="AE2">
        <f>BDH("SPCX US Equity","NET_INCOME","1993-06-18","2026-05-02","Per=Y","Days=T","Dir=V")</f>
        <v>0</v>
      </c>
      <c r="AG2">
        <f>BDH("SPCX US Equity","IS_INT_EXPENSE","1993-06-18","2026-05-02","Per=Y","Days=T","Dir=V")</f>
        <v>0</v>
      </c>
      <c r="AI2">
        <f>BDH("SPCX US Equity","IS_DEPR_EXP","1993-06-18","2026-05-02","Per=Y","Days=T","Dir=V")</f>
        <v>0</v>
      </c>
      <c r="AK2">
        <f>BDH("SPCX US Equity","CF_CASH_FROM_OPER","1993-06-18","2026-05-02","Per=Y","Days=T","Dir=V")</f>
        <v>0</v>
      </c>
      <c r="AM2">
        <f>BDH("SPCX US Equity","CAPITAL_EXPEND","1993-06-18","2026-05-02","Per=Y","Days=T","Dir=V")</f>
        <v>0</v>
      </c>
      <c r="AO2">
        <f>BDH("SPCX US Equity","CF_FREE_CASH_FLOW","1993-06-18","2026-05-02","Per=Y","Days=T","Dir=V")</f>
        <v>0</v>
      </c>
      <c r="AQ2">
        <f>BDH("SPCX US Equity","PX_LAST","1993-06-18","2026-05-02","Per=M","Days=T","Dir=V")</f>
        <v>0</v>
      </c>
      <c r="AS2">
        <f>BDH("SPCX US Equity","CUR_MKT_CAP","1993-06-18","2026-05-02","Per=M","Days=T","Dir=V")</f>
        <v>0</v>
      </c>
      <c r="AU2">
        <f>BDH("SPCX US Equity","EQY_SH_OUT","1993-06-18","2026-05-02","Per=M","Days=T","Dir=V")</f>
        <v>0</v>
      </c>
      <c r="AW2">
        <f>BDH("SPCX US Equity","PX_VOLUME","1993-06-18","2026-05-02","Per=M","Days=T","Dir=V")</f>
        <v>0</v>
      </c>
      <c r="AY2">
        <f>BDH("SPCX US Equity","TURNOVER","1993-06-18","2026-05-02","Per=M","Days=T","Dir=V")</f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BDH("SPH US Equity","BS_TOT_ASSET","1993-06-18","2026-05-02","Per=Y","Days=T","Dir=V")</f>
        <v>0</v>
      </c>
      <c r="C2">
        <f>BDH("SPH US Equity","BS_TOT_LIAB2","1993-06-18","2026-05-02","Per=Y","Days=T","Dir=V")</f>
        <v>0</v>
      </c>
      <c r="E2">
        <f>BDH("SPH US Equity","SHORT_AND_LONG_TERM_DEBT","1993-06-18","2026-05-02","Per=Y","Days=T","Dir=V")</f>
        <v>0</v>
      </c>
      <c r="G2">
        <f>BDH("SPH US Equity","BS_ST_BORROW","1993-06-18","2026-05-02","Per=Y","Days=T","Dir=V")</f>
        <v>0</v>
      </c>
      <c r="I2">
        <f>BDH("SPH US Equity","BS_LT_BORROW","1993-06-18","2026-05-02","Per=Y","Days=T","Dir=V")</f>
        <v>0</v>
      </c>
      <c r="K2">
        <f>BDH("SPH US Equity","BS_CASH_NEAR_CASH_ITEM","1993-06-18","2026-05-02","Per=Y","Days=T","Dir=V")</f>
        <v>0</v>
      </c>
      <c r="M2">
        <f>BDH("SPH US Equity","BS_CUR_ASSET_REPORT","1993-06-18","2026-05-02","Per=Y","Days=T","Dir=V")</f>
        <v>0</v>
      </c>
      <c r="O2">
        <f>BDH("SPH US Equity","BS_CUR_LIAB","1993-06-18","2026-05-02","Per=Y","Days=T","Dir=V")</f>
        <v>0</v>
      </c>
      <c r="Q2">
        <f>BDH("SPH US Equity","BS_SHAREHOLDER_EQY_ENDING_PERIOD","1993-06-18","2026-05-02","Per=Y","Days=T","Dir=V")</f>
        <v>0</v>
      </c>
      <c r="S2">
        <f>BDH("SPH US Equity","BS_ACCT_NOTE_RCV","1993-06-18","2026-05-02","Per=Y","Days=T","Dir=V")</f>
        <v>0</v>
      </c>
      <c r="U2">
        <f>BDH("SPH US Equity","BS_INVENTORIES","1993-06-18","2026-05-02","Per=Y","Days=T","Dir=V")</f>
        <v>0</v>
      </c>
      <c r="W2">
        <f>BDH("SPH US Equity","WORKING_CAPITAL","1993-06-18","2026-05-02","Per=Y","Days=T","Dir=V")</f>
        <v>0</v>
      </c>
      <c r="Y2">
        <f>BDH("SPH US Equity","SALES_REV_TURN","1993-06-18","2026-05-02","Per=Y","Days=T","Dir=V")</f>
        <v>0</v>
      </c>
      <c r="AA2">
        <f>BDH("SPH US Equity","EBIT","1993-06-18","2026-05-02","Per=Y","Days=T","Dir=V")</f>
        <v>0</v>
      </c>
      <c r="AC2">
        <f>BDH("SPH US Equity","EBITDA","1993-06-18","2026-05-02","Per=Y","Days=T","Dir=V")</f>
        <v>0</v>
      </c>
      <c r="AE2">
        <f>BDH("SPH US Equity","NET_INCOME","1993-06-18","2026-05-02","Per=Y","Days=T","Dir=V")</f>
        <v>0</v>
      </c>
      <c r="AG2">
        <f>BDH("SPH US Equity","IS_INT_EXPENSE","1993-06-18","2026-05-02","Per=Y","Days=T","Dir=V")</f>
        <v>0</v>
      </c>
      <c r="AI2">
        <f>BDH("SPH US Equity","IS_DEPR_EXP","1993-06-18","2026-05-02","Per=Y","Days=T","Dir=V")</f>
        <v>0</v>
      </c>
      <c r="AK2">
        <f>BDH("SPH US Equity","CF_CASH_FROM_OPER","1993-06-18","2026-05-02","Per=Y","Days=T","Dir=V")</f>
        <v>0</v>
      </c>
      <c r="AM2">
        <f>BDH("SPH US Equity","CAPITAL_EXPEND","1993-06-18","2026-05-02","Per=Y","Days=T","Dir=V")</f>
        <v>0</v>
      </c>
      <c r="AO2">
        <f>BDH("SPH US Equity","CF_FREE_CASH_FLOW","1993-06-18","2026-05-02","Per=Y","Days=T","Dir=V")</f>
        <v>0</v>
      </c>
      <c r="AQ2">
        <f>BDH("SPH US Equity","PX_LAST","1993-06-18","2026-05-02","Per=M","Days=T","Dir=V")</f>
        <v>0</v>
      </c>
      <c r="AS2">
        <f>BDH("SPH US Equity","CUR_MKT_CAP","1993-06-18","2026-05-02","Per=M","Days=T","Dir=V")</f>
        <v>0</v>
      </c>
      <c r="AU2">
        <f>BDH("SPH US Equity","EQY_SH_OUT","1993-06-18","2026-05-02","Per=M","Days=T","Dir=V")</f>
        <v>0</v>
      </c>
      <c r="AW2">
        <f>BDH("SPH US Equity","PX_VOLUME","1993-06-18","2026-05-02","Per=M","Days=T","Dir=V")</f>
        <v>0</v>
      </c>
      <c r="AY2">
        <f>BDH("SPH US Equity","TURNOVER","1993-06-18","2026-05-02","Per=M","Days=T","Dir=V")</f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BDH("SPHR US Equity","BS_TOT_ASSET","1993-06-18","2026-05-02","Per=Y","Days=T","Dir=V")</f>
        <v>0</v>
      </c>
      <c r="C2">
        <f>BDH("SPHR US Equity","BS_TOT_LIAB2","1993-06-18","2026-05-02","Per=Y","Days=T","Dir=V")</f>
        <v>0</v>
      </c>
      <c r="E2">
        <f>BDH("SPHR US Equity","SHORT_AND_LONG_TERM_DEBT","1993-06-18","2026-05-02","Per=Y","Days=T","Dir=V")</f>
        <v>0</v>
      </c>
      <c r="G2">
        <f>BDH("SPHR US Equity","BS_ST_BORROW","1993-06-18","2026-05-02","Per=Y","Days=T","Dir=V")</f>
        <v>0</v>
      </c>
      <c r="I2">
        <f>BDH("SPHR US Equity","BS_LT_BORROW","1993-06-18","2026-05-02","Per=Y","Days=T","Dir=V")</f>
        <v>0</v>
      </c>
      <c r="K2">
        <f>BDH("SPHR US Equity","BS_CASH_NEAR_CASH_ITEM","1993-06-18","2026-05-02","Per=Y","Days=T","Dir=V")</f>
        <v>0</v>
      </c>
      <c r="M2">
        <f>BDH("SPHR US Equity","BS_CUR_ASSET_REPORT","1993-06-18","2026-05-02","Per=Y","Days=T","Dir=V")</f>
        <v>0</v>
      </c>
      <c r="O2">
        <f>BDH("SPHR US Equity","BS_CUR_LIAB","1993-06-18","2026-05-02","Per=Y","Days=T","Dir=V")</f>
        <v>0</v>
      </c>
      <c r="Q2">
        <f>BDH("SPHR US Equity","BS_SHAREHOLDER_EQY_ENDING_PERIOD","1993-06-18","2026-05-02","Per=Y","Days=T","Dir=V")</f>
        <v>0</v>
      </c>
      <c r="S2">
        <f>BDH("SPHR US Equity","BS_ACCT_NOTE_RCV","1993-06-18","2026-05-02","Per=Y","Days=T","Dir=V")</f>
        <v>0</v>
      </c>
      <c r="U2">
        <f>BDH("SPHR US Equity","BS_INVENTORIES","1993-06-18","2026-05-02","Per=Y","Days=T","Dir=V")</f>
        <v>0</v>
      </c>
      <c r="W2">
        <f>BDH("SPHR US Equity","WORKING_CAPITAL","1993-06-18","2026-05-02","Per=Y","Days=T","Dir=V")</f>
        <v>0</v>
      </c>
      <c r="Y2">
        <f>BDH("SPHR US Equity","SALES_REV_TURN","1993-06-18","2026-05-02","Per=Y","Days=T","Dir=V")</f>
        <v>0</v>
      </c>
      <c r="AA2">
        <f>BDH("SPHR US Equity","EBIT","1993-06-18","2026-05-02","Per=Y","Days=T","Dir=V")</f>
        <v>0</v>
      </c>
      <c r="AC2">
        <f>BDH("SPHR US Equity","EBITDA","1993-06-18","2026-05-02","Per=Y","Days=T","Dir=V")</f>
        <v>0</v>
      </c>
      <c r="AE2">
        <f>BDH("SPHR US Equity","NET_INCOME","1993-06-18","2026-05-02","Per=Y","Days=T","Dir=V")</f>
        <v>0</v>
      </c>
      <c r="AG2">
        <f>BDH("SPHR US Equity","IS_INT_EXPENSE","1993-06-18","2026-05-02","Per=Y","Days=T","Dir=V")</f>
        <v>0</v>
      </c>
      <c r="AI2">
        <f>BDH("SPHR US Equity","IS_DEPR_EXP","1993-06-18","2026-05-02","Per=Y","Days=T","Dir=V")</f>
        <v>0</v>
      </c>
      <c r="AK2">
        <f>BDH("SPHR US Equity","CF_CASH_FROM_OPER","1993-06-18","2026-05-02","Per=Y","Days=T","Dir=V")</f>
        <v>0</v>
      </c>
      <c r="AM2">
        <f>BDH("SPHR US Equity","CAPITAL_EXPEND","1993-06-18","2026-05-02","Per=Y","Days=T","Dir=V")</f>
        <v>0</v>
      </c>
      <c r="AO2">
        <f>BDH("SPHR US Equity","CF_FREE_CASH_FLOW","1993-06-18","2026-05-02","Per=Y","Days=T","Dir=V")</f>
        <v>0</v>
      </c>
      <c r="AQ2">
        <f>BDH("SPHR US Equity","PX_LAST","1993-06-18","2026-05-02","Per=M","Days=T","Dir=V")</f>
        <v>0</v>
      </c>
      <c r="AS2">
        <f>BDH("SPHR US Equity","CUR_MKT_CAP","1993-06-18","2026-05-02","Per=M","Days=T","Dir=V")</f>
        <v>0</v>
      </c>
      <c r="AU2">
        <f>BDH("SPHR US Equity","EQY_SH_OUT","1993-06-18","2026-05-02","Per=M","Days=T","Dir=V")</f>
        <v>0</v>
      </c>
      <c r="AW2">
        <f>BDH("SPHR US Equity","PX_VOLUME","1993-06-18","2026-05-02","Per=M","Days=T","Dir=V")</f>
        <v>0</v>
      </c>
      <c r="AY2">
        <f>BDH("SPHR US Equity","TURNOVER","1993-06-18","2026-05-02","Per=M","Days=T","Dir=V")</f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BDH("SPIR US Equity","BS_TOT_ASSET","1993-06-18","2026-05-02","Per=Y","Days=T","Dir=V")</f>
        <v>0</v>
      </c>
      <c r="C2">
        <f>BDH("SPIR US Equity","BS_TOT_LIAB2","1993-06-18","2026-05-02","Per=Y","Days=T","Dir=V")</f>
        <v>0</v>
      </c>
      <c r="E2">
        <f>BDH("SPIR US Equity","SHORT_AND_LONG_TERM_DEBT","1993-06-18","2026-05-02","Per=Y","Days=T","Dir=V")</f>
        <v>0</v>
      </c>
      <c r="G2">
        <f>BDH("SPIR US Equity","BS_ST_BORROW","1993-06-18","2026-05-02","Per=Y","Days=T","Dir=V")</f>
        <v>0</v>
      </c>
      <c r="I2">
        <f>BDH("SPIR US Equity","BS_LT_BORROW","1993-06-18","2026-05-02","Per=Y","Days=T","Dir=V")</f>
        <v>0</v>
      </c>
      <c r="K2">
        <f>BDH("SPIR US Equity","BS_CASH_NEAR_CASH_ITEM","1993-06-18","2026-05-02","Per=Y","Days=T","Dir=V")</f>
        <v>0</v>
      </c>
      <c r="M2">
        <f>BDH("SPIR US Equity","BS_CUR_ASSET_REPORT","1993-06-18","2026-05-02","Per=Y","Days=T","Dir=V")</f>
        <v>0</v>
      </c>
      <c r="O2">
        <f>BDH("SPIR US Equity","BS_CUR_LIAB","1993-06-18","2026-05-02","Per=Y","Days=T","Dir=V")</f>
        <v>0</v>
      </c>
      <c r="Q2">
        <f>BDH("SPIR US Equity","BS_SHAREHOLDER_EQY_ENDING_PERIOD","1993-06-18","2026-05-02","Per=Y","Days=T","Dir=V")</f>
        <v>0</v>
      </c>
      <c r="S2">
        <f>BDH("SPIR US Equity","BS_ACCT_NOTE_RCV","1993-06-18","2026-05-02","Per=Y","Days=T","Dir=V")</f>
        <v>0</v>
      </c>
      <c r="U2">
        <f>BDH("SPIR US Equity","BS_INVENTORIES","1993-06-18","2026-05-02","Per=Y","Days=T","Dir=V")</f>
        <v>0</v>
      </c>
      <c r="W2">
        <f>BDH("SPIR US Equity","WORKING_CAPITAL","1993-06-18","2026-05-02","Per=Y","Days=T","Dir=V")</f>
        <v>0</v>
      </c>
      <c r="Y2">
        <f>BDH("SPIR US Equity","SALES_REV_TURN","1993-06-18","2026-05-02","Per=Y","Days=T","Dir=V")</f>
        <v>0</v>
      </c>
      <c r="AA2">
        <f>BDH("SPIR US Equity","EBIT","1993-06-18","2026-05-02","Per=Y","Days=T","Dir=V")</f>
        <v>0</v>
      </c>
      <c r="AC2">
        <f>BDH("SPIR US Equity","EBITDA","1993-06-18","2026-05-02","Per=Y","Days=T","Dir=V")</f>
        <v>0</v>
      </c>
      <c r="AE2">
        <f>BDH("SPIR US Equity","NET_INCOME","1993-06-18","2026-05-02","Per=Y","Days=T","Dir=V")</f>
        <v>0</v>
      </c>
      <c r="AG2">
        <f>BDH("SPIR US Equity","IS_INT_EXPENSE","1993-06-18","2026-05-02","Per=Y","Days=T","Dir=V")</f>
        <v>0</v>
      </c>
      <c r="AI2">
        <f>BDH("SPIR US Equity","IS_DEPR_EXP","1993-06-18","2026-05-02","Per=Y","Days=T","Dir=V")</f>
        <v>0</v>
      </c>
      <c r="AK2">
        <f>BDH("SPIR US Equity","CF_CASH_FROM_OPER","1993-06-18","2026-05-02","Per=Y","Days=T","Dir=V")</f>
        <v>0</v>
      </c>
      <c r="AM2">
        <f>BDH("SPIR US Equity","CAPITAL_EXPEND","1993-06-18","2026-05-02","Per=Y","Days=T","Dir=V")</f>
        <v>0</v>
      </c>
      <c r="AO2">
        <f>BDH("SPIR US Equity","CF_FREE_CASH_FLOW","1993-06-18","2026-05-02","Per=Y","Days=T","Dir=V")</f>
        <v>0</v>
      </c>
      <c r="AQ2">
        <f>BDH("SPIR US Equity","PX_LAST","1993-06-18","2026-05-02","Per=M","Days=T","Dir=V")</f>
        <v>0</v>
      </c>
      <c r="AS2">
        <f>BDH("SPIR US Equity","CUR_MKT_CAP","1993-06-18","2026-05-02","Per=M","Days=T","Dir=V")</f>
        <v>0</v>
      </c>
      <c r="AU2">
        <f>BDH("SPIR US Equity","EQY_SH_OUT","1993-06-18","2026-05-02","Per=M","Days=T","Dir=V")</f>
        <v>0</v>
      </c>
      <c r="AW2">
        <f>BDH("SPIR US Equity","PX_VOLUME","1993-06-18","2026-05-02","Per=M","Days=T","Dir=V")</f>
        <v>0</v>
      </c>
      <c r="AY2">
        <f>BDH("SPIR US Equity","TURNOVER","1993-06-18","2026-05-02","Per=M","Days=T","Dir=V")</f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BDH("SPOK US Equity","BS_TOT_ASSET","1993-06-18","2026-05-02","Per=Y","Days=T","Dir=V")</f>
        <v>0</v>
      </c>
      <c r="C2">
        <f>BDH("SPOK US Equity","BS_TOT_LIAB2","1993-06-18","2026-05-02","Per=Y","Days=T","Dir=V")</f>
        <v>0</v>
      </c>
      <c r="E2">
        <f>BDH("SPOK US Equity","SHORT_AND_LONG_TERM_DEBT","1993-06-18","2026-05-02","Per=Y","Days=T","Dir=V")</f>
        <v>0</v>
      </c>
      <c r="G2">
        <f>BDH("SPOK US Equity","BS_ST_BORROW","1993-06-18","2026-05-02","Per=Y","Days=T","Dir=V")</f>
        <v>0</v>
      </c>
      <c r="I2">
        <f>BDH("SPOK US Equity","BS_LT_BORROW","1993-06-18","2026-05-02","Per=Y","Days=T","Dir=V")</f>
        <v>0</v>
      </c>
      <c r="K2">
        <f>BDH("SPOK US Equity","BS_CASH_NEAR_CASH_ITEM","1993-06-18","2026-05-02","Per=Y","Days=T","Dir=V")</f>
        <v>0</v>
      </c>
      <c r="M2">
        <f>BDH("SPOK US Equity","BS_CUR_ASSET_REPORT","1993-06-18","2026-05-02","Per=Y","Days=T","Dir=V")</f>
        <v>0</v>
      </c>
      <c r="O2">
        <f>BDH("SPOK US Equity","BS_CUR_LIAB","1993-06-18","2026-05-02","Per=Y","Days=T","Dir=V")</f>
        <v>0</v>
      </c>
      <c r="Q2">
        <f>BDH("SPOK US Equity","BS_SHAREHOLDER_EQY_ENDING_PERIOD","1993-06-18","2026-05-02","Per=Y","Days=T","Dir=V")</f>
        <v>0</v>
      </c>
      <c r="S2">
        <f>BDH("SPOK US Equity","BS_ACCT_NOTE_RCV","1993-06-18","2026-05-02","Per=Y","Days=T","Dir=V")</f>
        <v>0</v>
      </c>
      <c r="U2">
        <f>BDH("SPOK US Equity","BS_INVENTORIES","1993-06-18","2026-05-02","Per=Y","Days=T","Dir=V")</f>
        <v>0</v>
      </c>
      <c r="W2">
        <f>BDH("SPOK US Equity","WORKING_CAPITAL","1993-06-18","2026-05-02","Per=Y","Days=T","Dir=V")</f>
        <v>0</v>
      </c>
      <c r="Y2">
        <f>BDH("SPOK US Equity","SALES_REV_TURN","1993-06-18","2026-05-02","Per=Y","Days=T","Dir=V")</f>
        <v>0</v>
      </c>
      <c r="AA2">
        <f>BDH("SPOK US Equity","EBIT","1993-06-18","2026-05-02","Per=Y","Days=T","Dir=V")</f>
        <v>0</v>
      </c>
      <c r="AC2">
        <f>BDH("SPOK US Equity","EBITDA","1993-06-18","2026-05-02","Per=Y","Days=T","Dir=V")</f>
        <v>0</v>
      </c>
      <c r="AE2">
        <f>BDH("SPOK US Equity","NET_INCOME","1993-06-18","2026-05-02","Per=Y","Days=T","Dir=V")</f>
        <v>0</v>
      </c>
      <c r="AG2">
        <f>BDH("SPOK US Equity","IS_INT_EXPENSE","1993-06-18","2026-05-02","Per=Y","Days=T","Dir=V")</f>
        <v>0</v>
      </c>
      <c r="AI2">
        <f>BDH("SPOK US Equity","IS_DEPR_EXP","1993-06-18","2026-05-02","Per=Y","Days=T","Dir=V")</f>
        <v>0</v>
      </c>
      <c r="AK2">
        <f>BDH("SPOK US Equity","CF_CASH_FROM_OPER","1993-06-18","2026-05-02","Per=Y","Days=T","Dir=V")</f>
        <v>0</v>
      </c>
      <c r="AM2">
        <f>BDH("SPOK US Equity","CAPITAL_EXPEND","1993-06-18","2026-05-02","Per=Y","Days=T","Dir=V")</f>
        <v>0</v>
      </c>
      <c r="AO2">
        <f>BDH("SPOK US Equity","CF_FREE_CASH_FLOW","1993-06-18","2026-05-02","Per=Y","Days=T","Dir=V")</f>
        <v>0</v>
      </c>
      <c r="AQ2">
        <f>BDH("SPOK US Equity","PX_LAST","1993-06-18","2026-05-02","Per=M","Days=T","Dir=V")</f>
        <v>0</v>
      </c>
      <c r="AS2">
        <f>BDH("SPOK US Equity","CUR_MKT_CAP","1993-06-18","2026-05-02","Per=M","Days=T","Dir=V")</f>
        <v>0</v>
      </c>
      <c r="AU2">
        <f>BDH("SPOK US Equity","EQY_SH_OUT","1993-06-18","2026-05-02","Per=M","Days=T","Dir=V")</f>
        <v>0</v>
      </c>
      <c r="AW2">
        <f>BDH("SPOK US Equity","PX_VOLUME","1993-06-18","2026-05-02","Per=M","Days=T","Dir=V")</f>
        <v>0</v>
      </c>
      <c r="AY2">
        <f>BDH("SPOK US Equity","TURNOVER","1993-06-18","2026-05-02","Per=M","Days=T","Dir=V")</f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BDH("SPRB US Equity","BS_TOT_ASSET","1993-06-18","2026-05-02","Per=Y","Days=T","Dir=V")</f>
        <v>0</v>
      </c>
      <c r="C2">
        <f>BDH("SPRB US Equity","BS_TOT_LIAB2","1993-06-18","2026-05-02","Per=Y","Days=T","Dir=V")</f>
        <v>0</v>
      </c>
      <c r="E2">
        <f>BDH("SPRB US Equity","SHORT_AND_LONG_TERM_DEBT","1993-06-18","2026-05-02","Per=Y","Days=T","Dir=V")</f>
        <v>0</v>
      </c>
      <c r="G2">
        <f>BDH("SPRB US Equity","BS_ST_BORROW","1993-06-18","2026-05-02","Per=Y","Days=T","Dir=V")</f>
        <v>0</v>
      </c>
      <c r="I2">
        <f>BDH("SPRB US Equity","BS_LT_BORROW","1993-06-18","2026-05-02","Per=Y","Days=T","Dir=V")</f>
        <v>0</v>
      </c>
      <c r="K2">
        <f>BDH("SPRB US Equity","BS_CASH_NEAR_CASH_ITEM","1993-06-18","2026-05-02","Per=Y","Days=T","Dir=V")</f>
        <v>0</v>
      </c>
      <c r="M2">
        <f>BDH("SPRB US Equity","BS_CUR_ASSET_REPORT","1993-06-18","2026-05-02","Per=Y","Days=T","Dir=V")</f>
        <v>0</v>
      </c>
      <c r="O2">
        <f>BDH("SPRB US Equity","BS_CUR_LIAB","1993-06-18","2026-05-02","Per=Y","Days=T","Dir=V")</f>
        <v>0</v>
      </c>
      <c r="Q2">
        <f>BDH("SPRB US Equity","BS_SHAREHOLDER_EQY_ENDING_PERIOD","1993-06-18","2026-05-02","Per=Y","Days=T","Dir=V")</f>
        <v>0</v>
      </c>
      <c r="S2">
        <f>BDH("SPRB US Equity","BS_ACCT_NOTE_RCV","1993-06-18","2026-05-02","Per=Y","Days=T","Dir=V")</f>
        <v>0</v>
      </c>
      <c r="U2">
        <f>BDH("SPRB US Equity","BS_INVENTORIES","1993-06-18","2026-05-02","Per=Y","Days=T","Dir=V")</f>
        <v>0</v>
      </c>
      <c r="W2">
        <f>BDH("SPRB US Equity","WORKING_CAPITAL","1993-06-18","2026-05-02","Per=Y","Days=T","Dir=V")</f>
        <v>0</v>
      </c>
      <c r="Y2">
        <f>BDH("SPRB US Equity","SALES_REV_TURN","1993-06-18","2026-05-02","Per=Y","Days=T","Dir=V")</f>
        <v>0</v>
      </c>
      <c r="AA2">
        <f>BDH("SPRB US Equity","EBIT","1993-06-18","2026-05-02","Per=Y","Days=T","Dir=V")</f>
        <v>0</v>
      </c>
      <c r="AC2">
        <f>BDH("SPRB US Equity","EBITDA","1993-06-18","2026-05-02","Per=Y","Days=T","Dir=V")</f>
        <v>0</v>
      </c>
      <c r="AE2">
        <f>BDH("SPRB US Equity","NET_INCOME","1993-06-18","2026-05-02","Per=Y","Days=T","Dir=V")</f>
        <v>0</v>
      </c>
      <c r="AG2">
        <f>BDH("SPRB US Equity","IS_INT_EXPENSE","1993-06-18","2026-05-02","Per=Y","Days=T","Dir=V")</f>
        <v>0</v>
      </c>
      <c r="AI2">
        <f>BDH("SPRB US Equity","IS_DEPR_EXP","1993-06-18","2026-05-02","Per=Y","Days=T","Dir=V")</f>
        <v>0</v>
      </c>
      <c r="AK2">
        <f>BDH("SPRB US Equity","CF_CASH_FROM_OPER","1993-06-18","2026-05-02","Per=Y","Days=T","Dir=V")</f>
        <v>0</v>
      </c>
      <c r="AM2">
        <f>BDH("SPRB US Equity","CAPITAL_EXPEND","1993-06-18","2026-05-02","Per=Y","Days=T","Dir=V")</f>
        <v>0</v>
      </c>
      <c r="AO2">
        <f>BDH("SPRB US Equity","CF_FREE_CASH_FLOW","1993-06-18","2026-05-02","Per=Y","Days=T","Dir=V")</f>
        <v>0</v>
      </c>
      <c r="AQ2">
        <f>BDH("SPRB US Equity","PX_LAST","1993-06-18","2026-05-02","Per=M","Days=T","Dir=V")</f>
        <v>0</v>
      </c>
      <c r="AS2">
        <f>BDH("SPRB US Equity","CUR_MKT_CAP","1993-06-18","2026-05-02","Per=M","Days=T","Dir=V")</f>
        <v>0</v>
      </c>
      <c r="AU2">
        <f>BDH("SPRB US Equity","EQY_SH_OUT","1993-06-18","2026-05-02","Per=M","Days=T","Dir=V")</f>
        <v>0</v>
      </c>
      <c r="AW2">
        <f>BDH("SPRB US Equity","PX_VOLUME","1993-06-18","2026-05-02","Per=M","Days=T","Dir=V")</f>
        <v>0</v>
      </c>
      <c r="AY2">
        <f>BDH("SPRB US Equity","TURNOVER","1993-06-18","2026-05-02","Per=M","Days=T","Dir=V")</f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BDH("SPRO US Equity","BS_TOT_ASSET","1993-06-18","2026-05-02","Per=Y","Days=T","Dir=V")</f>
        <v>0</v>
      </c>
      <c r="C2">
        <f>BDH("SPRO US Equity","BS_TOT_LIAB2","1993-06-18","2026-05-02","Per=Y","Days=T","Dir=V")</f>
        <v>0</v>
      </c>
      <c r="E2">
        <f>BDH("SPRO US Equity","SHORT_AND_LONG_TERM_DEBT","1993-06-18","2026-05-02","Per=Y","Days=T","Dir=V")</f>
        <v>0</v>
      </c>
      <c r="G2">
        <f>BDH("SPRO US Equity","BS_ST_BORROW","1993-06-18","2026-05-02","Per=Y","Days=T","Dir=V")</f>
        <v>0</v>
      </c>
      <c r="I2">
        <f>BDH("SPRO US Equity","BS_LT_BORROW","1993-06-18","2026-05-02","Per=Y","Days=T","Dir=V")</f>
        <v>0</v>
      </c>
      <c r="K2">
        <f>BDH("SPRO US Equity","BS_CASH_NEAR_CASH_ITEM","1993-06-18","2026-05-02","Per=Y","Days=T","Dir=V")</f>
        <v>0</v>
      </c>
      <c r="M2">
        <f>BDH("SPRO US Equity","BS_CUR_ASSET_REPORT","1993-06-18","2026-05-02","Per=Y","Days=T","Dir=V")</f>
        <v>0</v>
      </c>
      <c r="O2">
        <f>BDH("SPRO US Equity","BS_CUR_LIAB","1993-06-18","2026-05-02","Per=Y","Days=T","Dir=V")</f>
        <v>0</v>
      </c>
      <c r="Q2">
        <f>BDH("SPRO US Equity","BS_SHAREHOLDER_EQY_ENDING_PERIOD","1993-06-18","2026-05-02","Per=Y","Days=T","Dir=V")</f>
        <v>0</v>
      </c>
      <c r="S2">
        <f>BDH("SPRO US Equity","BS_ACCT_NOTE_RCV","1993-06-18","2026-05-02","Per=Y","Days=T","Dir=V")</f>
        <v>0</v>
      </c>
      <c r="U2">
        <f>BDH("SPRO US Equity","BS_INVENTORIES","1993-06-18","2026-05-02","Per=Y","Days=T","Dir=V")</f>
        <v>0</v>
      </c>
      <c r="W2">
        <f>BDH("SPRO US Equity","WORKING_CAPITAL","1993-06-18","2026-05-02","Per=Y","Days=T","Dir=V")</f>
        <v>0</v>
      </c>
      <c r="Y2">
        <f>BDH("SPRO US Equity","SALES_REV_TURN","1993-06-18","2026-05-02","Per=Y","Days=T","Dir=V")</f>
        <v>0</v>
      </c>
      <c r="AA2">
        <f>BDH("SPRO US Equity","EBIT","1993-06-18","2026-05-02","Per=Y","Days=T","Dir=V")</f>
        <v>0</v>
      </c>
      <c r="AC2">
        <f>BDH("SPRO US Equity","EBITDA","1993-06-18","2026-05-02","Per=Y","Days=T","Dir=V")</f>
        <v>0</v>
      </c>
      <c r="AE2">
        <f>BDH("SPRO US Equity","NET_INCOME","1993-06-18","2026-05-02","Per=Y","Days=T","Dir=V")</f>
        <v>0</v>
      </c>
      <c r="AG2">
        <f>BDH("SPRO US Equity","IS_INT_EXPENSE","1993-06-18","2026-05-02","Per=Y","Days=T","Dir=V")</f>
        <v>0</v>
      </c>
      <c r="AI2">
        <f>BDH("SPRO US Equity","IS_DEPR_EXP","1993-06-18","2026-05-02","Per=Y","Days=T","Dir=V")</f>
        <v>0</v>
      </c>
      <c r="AK2">
        <f>BDH("SPRO US Equity","CF_CASH_FROM_OPER","1993-06-18","2026-05-02","Per=Y","Days=T","Dir=V")</f>
        <v>0</v>
      </c>
      <c r="AM2">
        <f>BDH("SPRO US Equity","CAPITAL_EXPEND","1993-06-18","2026-05-02","Per=Y","Days=T","Dir=V")</f>
        <v>0</v>
      </c>
      <c r="AO2">
        <f>BDH("SPRO US Equity","CF_FREE_CASH_FLOW","1993-06-18","2026-05-02","Per=Y","Days=T","Dir=V")</f>
        <v>0</v>
      </c>
      <c r="AQ2">
        <f>BDH("SPRO US Equity","PX_LAST","1993-06-18","2026-05-02","Per=M","Days=T","Dir=V")</f>
        <v>0</v>
      </c>
      <c r="AS2">
        <f>BDH("SPRO US Equity","CUR_MKT_CAP","1993-06-18","2026-05-02","Per=M","Days=T","Dir=V")</f>
        <v>0</v>
      </c>
      <c r="AU2">
        <f>BDH("SPRO US Equity","EQY_SH_OUT","1993-06-18","2026-05-02","Per=M","Days=T","Dir=V")</f>
        <v>0</v>
      </c>
      <c r="AW2">
        <f>BDH("SPRO US Equity","PX_VOLUME","1993-06-18","2026-05-02","Per=M","Days=T","Dir=V")</f>
        <v>0</v>
      </c>
      <c r="AY2">
        <f>BDH("SPRO US Equity","TURNOVER","1993-06-18","2026-05-02","Per=M","Days=T","Dir=V")</f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BDH("SPRU US Equity","BS_TOT_ASSET","1993-06-18","2026-05-02","Per=Y","Days=T","Dir=V")</f>
        <v>0</v>
      </c>
      <c r="C2">
        <f>BDH("SPRU US Equity","BS_TOT_LIAB2","1993-06-18","2026-05-02","Per=Y","Days=T","Dir=V")</f>
        <v>0</v>
      </c>
      <c r="E2">
        <f>BDH("SPRU US Equity","SHORT_AND_LONG_TERM_DEBT","1993-06-18","2026-05-02","Per=Y","Days=T","Dir=V")</f>
        <v>0</v>
      </c>
      <c r="G2">
        <f>BDH("SPRU US Equity","BS_ST_BORROW","1993-06-18","2026-05-02","Per=Y","Days=T","Dir=V")</f>
        <v>0</v>
      </c>
      <c r="I2">
        <f>BDH("SPRU US Equity","BS_LT_BORROW","1993-06-18","2026-05-02","Per=Y","Days=T","Dir=V")</f>
        <v>0</v>
      </c>
      <c r="K2">
        <f>BDH("SPRU US Equity","BS_CASH_NEAR_CASH_ITEM","1993-06-18","2026-05-02","Per=Y","Days=T","Dir=V")</f>
        <v>0</v>
      </c>
      <c r="M2">
        <f>BDH("SPRU US Equity","BS_CUR_ASSET_REPORT","1993-06-18","2026-05-02","Per=Y","Days=T","Dir=V")</f>
        <v>0</v>
      </c>
      <c r="O2">
        <f>BDH("SPRU US Equity","BS_CUR_LIAB","1993-06-18","2026-05-02","Per=Y","Days=T","Dir=V")</f>
        <v>0</v>
      </c>
      <c r="Q2">
        <f>BDH("SPRU US Equity","BS_SHAREHOLDER_EQY_ENDING_PERIOD","1993-06-18","2026-05-02","Per=Y","Days=T","Dir=V")</f>
        <v>0</v>
      </c>
      <c r="S2">
        <f>BDH("SPRU US Equity","BS_ACCT_NOTE_RCV","1993-06-18","2026-05-02","Per=Y","Days=T","Dir=V")</f>
        <v>0</v>
      </c>
      <c r="U2">
        <f>BDH("SPRU US Equity","BS_INVENTORIES","1993-06-18","2026-05-02","Per=Y","Days=T","Dir=V")</f>
        <v>0</v>
      </c>
      <c r="W2">
        <f>BDH("SPRU US Equity","WORKING_CAPITAL","1993-06-18","2026-05-02","Per=Y","Days=T","Dir=V")</f>
        <v>0</v>
      </c>
      <c r="Y2">
        <f>BDH("SPRU US Equity","SALES_REV_TURN","1993-06-18","2026-05-02","Per=Y","Days=T","Dir=V")</f>
        <v>0</v>
      </c>
      <c r="AA2">
        <f>BDH("SPRU US Equity","EBIT","1993-06-18","2026-05-02","Per=Y","Days=T","Dir=V")</f>
        <v>0</v>
      </c>
      <c r="AC2">
        <f>BDH("SPRU US Equity","EBITDA","1993-06-18","2026-05-02","Per=Y","Days=T","Dir=V")</f>
        <v>0</v>
      </c>
      <c r="AE2">
        <f>BDH("SPRU US Equity","NET_INCOME","1993-06-18","2026-05-02","Per=Y","Days=T","Dir=V")</f>
        <v>0</v>
      </c>
      <c r="AG2">
        <f>BDH("SPRU US Equity","IS_INT_EXPENSE","1993-06-18","2026-05-02","Per=Y","Days=T","Dir=V")</f>
        <v>0</v>
      </c>
      <c r="AI2">
        <f>BDH("SPRU US Equity","IS_DEPR_EXP","1993-06-18","2026-05-02","Per=Y","Days=T","Dir=V")</f>
        <v>0</v>
      </c>
      <c r="AK2">
        <f>BDH("SPRU US Equity","CF_CASH_FROM_OPER","1993-06-18","2026-05-02","Per=Y","Days=T","Dir=V")</f>
        <v>0</v>
      </c>
      <c r="AM2">
        <f>BDH("SPRU US Equity","CAPITAL_EXPEND","1993-06-18","2026-05-02","Per=Y","Days=T","Dir=V")</f>
        <v>0</v>
      </c>
      <c r="AO2">
        <f>BDH("SPRU US Equity","CF_FREE_CASH_FLOW","1993-06-18","2026-05-02","Per=Y","Days=T","Dir=V")</f>
        <v>0</v>
      </c>
      <c r="AQ2">
        <f>BDH("SPRU US Equity","PX_LAST","1993-06-18","2026-05-02","Per=M","Days=T","Dir=V")</f>
        <v>0</v>
      </c>
      <c r="AS2">
        <f>BDH("SPRU US Equity","CUR_MKT_CAP","1993-06-18","2026-05-02","Per=M","Days=T","Dir=V")</f>
        <v>0</v>
      </c>
      <c r="AU2">
        <f>BDH("SPRU US Equity","EQY_SH_OUT","1993-06-18","2026-05-02","Per=M","Days=T","Dir=V")</f>
        <v>0</v>
      </c>
      <c r="AW2">
        <f>BDH("SPRU US Equity","PX_VOLUME","1993-06-18","2026-05-02","Per=M","Days=T","Dir=V")</f>
        <v>0</v>
      </c>
      <c r="AY2">
        <f>BDH("SPRU US Equity","TURNOVER","1993-06-18","2026-05-02","Per=M","Days=T","Dir=V")</f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BDH("SPRY US Equity","BS_TOT_ASSET","1993-06-18","2026-05-02","Per=Y","Days=T","Dir=V")</f>
        <v>0</v>
      </c>
      <c r="C2">
        <f>BDH("SPRY US Equity","BS_TOT_LIAB2","1993-06-18","2026-05-02","Per=Y","Days=T","Dir=V")</f>
        <v>0</v>
      </c>
      <c r="E2">
        <f>BDH("SPRY US Equity","SHORT_AND_LONG_TERM_DEBT","1993-06-18","2026-05-02","Per=Y","Days=T","Dir=V")</f>
        <v>0</v>
      </c>
      <c r="G2">
        <f>BDH("SPRY US Equity","BS_ST_BORROW","1993-06-18","2026-05-02","Per=Y","Days=T","Dir=V")</f>
        <v>0</v>
      </c>
      <c r="I2">
        <f>BDH("SPRY US Equity","BS_LT_BORROW","1993-06-18","2026-05-02","Per=Y","Days=T","Dir=V")</f>
        <v>0</v>
      </c>
      <c r="K2">
        <f>BDH("SPRY US Equity","BS_CASH_NEAR_CASH_ITEM","1993-06-18","2026-05-02","Per=Y","Days=T","Dir=V")</f>
        <v>0</v>
      </c>
      <c r="M2">
        <f>BDH("SPRY US Equity","BS_CUR_ASSET_REPORT","1993-06-18","2026-05-02","Per=Y","Days=T","Dir=V")</f>
        <v>0</v>
      </c>
      <c r="O2">
        <f>BDH("SPRY US Equity","BS_CUR_LIAB","1993-06-18","2026-05-02","Per=Y","Days=T","Dir=V")</f>
        <v>0</v>
      </c>
      <c r="Q2">
        <f>BDH("SPRY US Equity","BS_SHAREHOLDER_EQY_ENDING_PERIOD","1993-06-18","2026-05-02","Per=Y","Days=T","Dir=V")</f>
        <v>0</v>
      </c>
      <c r="S2">
        <f>BDH("SPRY US Equity","BS_ACCT_NOTE_RCV","1993-06-18","2026-05-02","Per=Y","Days=T","Dir=V")</f>
        <v>0</v>
      </c>
      <c r="U2">
        <f>BDH("SPRY US Equity","BS_INVENTORIES","1993-06-18","2026-05-02","Per=Y","Days=T","Dir=V")</f>
        <v>0</v>
      </c>
      <c r="W2">
        <f>BDH("SPRY US Equity","WORKING_CAPITAL","1993-06-18","2026-05-02","Per=Y","Days=T","Dir=V")</f>
        <v>0</v>
      </c>
      <c r="Y2">
        <f>BDH("SPRY US Equity","SALES_REV_TURN","1993-06-18","2026-05-02","Per=Y","Days=T","Dir=V")</f>
        <v>0</v>
      </c>
      <c r="AA2">
        <f>BDH("SPRY US Equity","EBIT","1993-06-18","2026-05-02","Per=Y","Days=T","Dir=V")</f>
        <v>0</v>
      </c>
      <c r="AC2">
        <f>BDH("SPRY US Equity","EBITDA","1993-06-18","2026-05-02","Per=Y","Days=T","Dir=V")</f>
        <v>0</v>
      </c>
      <c r="AE2">
        <f>BDH("SPRY US Equity","NET_INCOME","1993-06-18","2026-05-02","Per=Y","Days=T","Dir=V")</f>
        <v>0</v>
      </c>
      <c r="AG2">
        <f>BDH("SPRY US Equity","IS_INT_EXPENSE","1993-06-18","2026-05-02","Per=Y","Days=T","Dir=V")</f>
        <v>0</v>
      </c>
      <c r="AI2">
        <f>BDH("SPRY US Equity","IS_DEPR_EXP","1993-06-18","2026-05-02","Per=Y","Days=T","Dir=V")</f>
        <v>0</v>
      </c>
      <c r="AK2">
        <f>BDH("SPRY US Equity","CF_CASH_FROM_OPER","1993-06-18","2026-05-02","Per=Y","Days=T","Dir=V")</f>
        <v>0</v>
      </c>
      <c r="AM2">
        <f>BDH("SPRY US Equity","CAPITAL_EXPEND","1993-06-18","2026-05-02","Per=Y","Days=T","Dir=V")</f>
        <v>0</v>
      </c>
      <c r="AO2">
        <f>BDH("SPRY US Equity","CF_FREE_CASH_FLOW","1993-06-18","2026-05-02","Per=Y","Days=T","Dir=V")</f>
        <v>0</v>
      </c>
      <c r="AQ2">
        <f>BDH("SPRY US Equity","PX_LAST","1993-06-18","2026-05-02","Per=M","Days=T","Dir=V")</f>
        <v>0</v>
      </c>
      <c r="AS2">
        <f>BDH("SPRY US Equity","CUR_MKT_CAP","1993-06-18","2026-05-02","Per=M","Days=T","Dir=V")</f>
        <v>0</v>
      </c>
      <c r="AU2">
        <f>BDH("SPRY US Equity","EQY_SH_OUT","1993-06-18","2026-05-02","Per=M","Days=T","Dir=V")</f>
        <v>0</v>
      </c>
      <c r="AW2">
        <f>BDH("SPRY US Equity","PX_VOLUME","1993-06-18","2026-05-02","Per=M","Days=T","Dir=V")</f>
        <v>0</v>
      </c>
      <c r="AY2">
        <f>BDH("SPRY US Equity","TURNOVER","1993-06-18","2026-05-02","Per=M","Days=T","Dir=V")</f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BDH("SPSC US Equity","BS_TOT_ASSET","1993-06-18","2026-05-02","Per=Y","Days=T","Dir=V")</f>
        <v>0</v>
      </c>
      <c r="C2">
        <f>BDH("SPSC US Equity","BS_TOT_LIAB2","1993-06-18","2026-05-02","Per=Y","Days=T","Dir=V")</f>
        <v>0</v>
      </c>
      <c r="E2">
        <f>BDH("SPSC US Equity","SHORT_AND_LONG_TERM_DEBT","1993-06-18","2026-05-02","Per=Y","Days=T","Dir=V")</f>
        <v>0</v>
      </c>
      <c r="G2">
        <f>BDH("SPSC US Equity","BS_ST_BORROW","1993-06-18","2026-05-02","Per=Y","Days=T","Dir=V")</f>
        <v>0</v>
      </c>
      <c r="I2">
        <f>BDH("SPSC US Equity","BS_LT_BORROW","1993-06-18","2026-05-02","Per=Y","Days=T","Dir=V")</f>
        <v>0</v>
      </c>
      <c r="K2">
        <f>BDH("SPSC US Equity","BS_CASH_NEAR_CASH_ITEM","1993-06-18","2026-05-02","Per=Y","Days=T","Dir=V")</f>
        <v>0</v>
      </c>
      <c r="M2">
        <f>BDH("SPSC US Equity","BS_CUR_ASSET_REPORT","1993-06-18","2026-05-02","Per=Y","Days=T","Dir=V")</f>
        <v>0</v>
      </c>
      <c r="O2">
        <f>BDH("SPSC US Equity","BS_CUR_LIAB","1993-06-18","2026-05-02","Per=Y","Days=T","Dir=V")</f>
        <v>0</v>
      </c>
      <c r="Q2">
        <f>BDH("SPSC US Equity","BS_SHAREHOLDER_EQY_ENDING_PERIOD","1993-06-18","2026-05-02","Per=Y","Days=T","Dir=V")</f>
        <v>0</v>
      </c>
      <c r="S2">
        <f>BDH("SPSC US Equity","BS_ACCT_NOTE_RCV","1993-06-18","2026-05-02","Per=Y","Days=T","Dir=V")</f>
        <v>0</v>
      </c>
      <c r="U2">
        <f>BDH("SPSC US Equity","BS_INVENTORIES","1993-06-18","2026-05-02","Per=Y","Days=T","Dir=V")</f>
        <v>0</v>
      </c>
      <c r="W2">
        <f>BDH("SPSC US Equity","WORKING_CAPITAL","1993-06-18","2026-05-02","Per=Y","Days=T","Dir=V")</f>
        <v>0</v>
      </c>
      <c r="Y2">
        <f>BDH("SPSC US Equity","SALES_REV_TURN","1993-06-18","2026-05-02","Per=Y","Days=T","Dir=V")</f>
        <v>0</v>
      </c>
      <c r="AA2">
        <f>BDH("SPSC US Equity","EBIT","1993-06-18","2026-05-02","Per=Y","Days=T","Dir=V")</f>
        <v>0</v>
      </c>
      <c r="AC2">
        <f>BDH("SPSC US Equity","EBITDA","1993-06-18","2026-05-02","Per=Y","Days=T","Dir=V")</f>
        <v>0</v>
      </c>
      <c r="AE2">
        <f>BDH("SPSC US Equity","NET_INCOME","1993-06-18","2026-05-02","Per=Y","Days=T","Dir=V")</f>
        <v>0</v>
      </c>
      <c r="AG2">
        <f>BDH("SPSC US Equity","IS_INT_EXPENSE","1993-06-18","2026-05-02","Per=Y","Days=T","Dir=V")</f>
        <v>0</v>
      </c>
      <c r="AI2">
        <f>BDH("SPSC US Equity","IS_DEPR_EXP","1993-06-18","2026-05-02","Per=Y","Days=T","Dir=V")</f>
        <v>0</v>
      </c>
      <c r="AK2">
        <f>BDH("SPSC US Equity","CF_CASH_FROM_OPER","1993-06-18","2026-05-02","Per=Y","Days=T","Dir=V")</f>
        <v>0</v>
      </c>
      <c r="AM2">
        <f>BDH("SPSC US Equity","CAPITAL_EXPEND","1993-06-18","2026-05-02","Per=Y","Days=T","Dir=V")</f>
        <v>0</v>
      </c>
      <c r="AO2">
        <f>BDH("SPSC US Equity","CF_FREE_CASH_FLOW","1993-06-18","2026-05-02","Per=Y","Days=T","Dir=V")</f>
        <v>0</v>
      </c>
      <c r="AQ2">
        <f>BDH("SPSC US Equity","PX_LAST","1993-06-18","2026-05-02","Per=M","Days=T","Dir=V")</f>
        <v>0</v>
      </c>
      <c r="AS2">
        <f>BDH("SPSC US Equity","CUR_MKT_CAP","1993-06-18","2026-05-02","Per=M","Days=T","Dir=V")</f>
        <v>0</v>
      </c>
      <c r="AU2">
        <f>BDH("SPSC US Equity","EQY_SH_OUT","1993-06-18","2026-05-02","Per=M","Days=T","Dir=V")</f>
        <v>0</v>
      </c>
      <c r="AW2">
        <f>BDH("SPSC US Equity","PX_VOLUME","1993-06-18","2026-05-02","Per=M","Days=T","Dir=V")</f>
        <v>0</v>
      </c>
      <c r="AY2">
        <f>BDH("SPSC US Equity","TURNOVER","1993-06-18","2026-05-02","Per=M","Days=T","Dir=V")</f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BDH("SPT US Equity","BS_TOT_ASSET","1993-06-18","2026-05-02","Per=Y","Days=T","Dir=V")</f>
        <v>0</v>
      </c>
      <c r="C2">
        <f>BDH("SPT US Equity","BS_TOT_LIAB2","1993-06-18","2026-05-02","Per=Y","Days=T","Dir=V")</f>
        <v>0</v>
      </c>
      <c r="E2">
        <f>BDH("SPT US Equity","SHORT_AND_LONG_TERM_DEBT","1993-06-18","2026-05-02","Per=Y","Days=T","Dir=V")</f>
        <v>0</v>
      </c>
      <c r="G2">
        <f>BDH("SPT US Equity","BS_ST_BORROW","1993-06-18","2026-05-02","Per=Y","Days=T","Dir=V")</f>
        <v>0</v>
      </c>
      <c r="I2">
        <f>BDH("SPT US Equity","BS_LT_BORROW","1993-06-18","2026-05-02","Per=Y","Days=T","Dir=V")</f>
        <v>0</v>
      </c>
      <c r="K2">
        <f>BDH("SPT US Equity","BS_CASH_NEAR_CASH_ITEM","1993-06-18","2026-05-02","Per=Y","Days=T","Dir=V")</f>
        <v>0</v>
      </c>
      <c r="M2">
        <f>BDH("SPT US Equity","BS_CUR_ASSET_REPORT","1993-06-18","2026-05-02","Per=Y","Days=T","Dir=V")</f>
        <v>0</v>
      </c>
      <c r="O2">
        <f>BDH("SPT US Equity","BS_CUR_LIAB","1993-06-18","2026-05-02","Per=Y","Days=T","Dir=V")</f>
        <v>0</v>
      </c>
      <c r="Q2">
        <f>BDH("SPT US Equity","BS_SHAREHOLDER_EQY_ENDING_PERIOD","1993-06-18","2026-05-02","Per=Y","Days=T","Dir=V")</f>
        <v>0</v>
      </c>
      <c r="S2">
        <f>BDH("SPT US Equity","BS_ACCT_NOTE_RCV","1993-06-18","2026-05-02","Per=Y","Days=T","Dir=V")</f>
        <v>0</v>
      </c>
      <c r="U2">
        <f>BDH("SPT US Equity","BS_INVENTORIES","1993-06-18","2026-05-02","Per=Y","Days=T","Dir=V")</f>
        <v>0</v>
      </c>
      <c r="W2">
        <f>BDH("SPT US Equity","WORKING_CAPITAL","1993-06-18","2026-05-02","Per=Y","Days=T","Dir=V")</f>
        <v>0</v>
      </c>
      <c r="Y2">
        <f>BDH("SPT US Equity","SALES_REV_TURN","1993-06-18","2026-05-02","Per=Y","Days=T","Dir=V")</f>
        <v>0</v>
      </c>
      <c r="AA2">
        <f>BDH("SPT US Equity","EBIT","1993-06-18","2026-05-02","Per=Y","Days=T","Dir=V")</f>
        <v>0</v>
      </c>
      <c r="AC2">
        <f>BDH("SPT US Equity","EBITDA","1993-06-18","2026-05-02","Per=Y","Days=T","Dir=V")</f>
        <v>0</v>
      </c>
      <c r="AE2">
        <f>BDH("SPT US Equity","NET_INCOME","1993-06-18","2026-05-02","Per=Y","Days=T","Dir=V")</f>
        <v>0</v>
      </c>
      <c r="AG2">
        <f>BDH("SPT US Equity","IS_INT_EXPENSE","1993-06-18","2026-05-02","Per=Y","Days=T","Dir=V")</f>
        <v>0</v>
      </c>
      <c r="AI2">
        <f>BDH("SPT US Equity","IS_DEPR_EXP","1993-06-18","2026-05-02","Per=Y","Days=T","Dir=V")</f>
        <v>0</v>
      </c>
      <c r="AK2">
        <f>BDH("SPT US Equity","CF_CASH_FROM_OPER","1993-06-18","2026-05-02","Per=Y","Days=T","Dir=V")</f>
        <v>0</v>
      </c>
      <c r="AM2">
        <f>BDH("SPT US Equity","CAPITAL_EXPEND","1993-06-18","2026-05-02","Per=Y","Days=T","Dir=V")</f>
        <v>0</v>
      </c>
      <c r="AO2">
        <f>BDH("SPT US Equity","CF_FREE_CASH_FLOW","1993-06-18","2026-05-02","Per=Y","Days=T","Dir=V")</f>
        <v>0</v>
      </c>
      <c r="AQ2">
        <f>BDH("SPT US Equity","PX_LAST","1993-06-18","2026-05-02","Per=M","Days=T","Dir=V")</f>
        <v>0</v>
      </c>
      <c r="AS2">
        <f>BDH("SPT US Equity","CUR_MKT_CAP","1993-06-18","2026-05-02","Per=M","Days=T","Dir=V")</f>
        <v>0</v>
      </c>
      <c r="AU2">
        <f>BDH("SPT US Equity","EQY_SH_OUT","1993-06-18","2026-05-02","Per=M","Days=T","Dir=V")</f>
        <v>0</v>
      </c>
      <c r="AW2">
        <f>BDH("SPT US Equity","PX_VOLUME","1993-06-18","2026-05-02","Per=M","Days=T","Dir=V")</f>
        <v>0</v>
      </c>
      <c r="AY2">
        <f>BDH("SPT US Equity","TURNOVER","1993-06-18","2026-05-02","Per=M","Days=T","Dir=V")</f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BDH("SPTX US Equity","BS_TOT_ASSET","1993-06-18","2026-05-02","Per=Y","Days=T","Dir=V")</f>
        <v>0</v>
      </c>
      <c r="C2">
        <f>BDH("SPTX US Equity","BS_TOT_LIAB2","1993-06-18","2026-05-02","Per=Y","Days=T","Dir=V")</f>
        <v>0</v>
      </c>
      <c r="E2">
        <f>BDH("SPTX US Equity","SHORT_AND_LONG_TERM_DEBT","1993-06-18","2026-05-02","Per=Y","Days=T","Dir=V")</f>
        <v>0</v>
      </c>
      <c r="G2">
        <f>BDH("SPTX US Equity","BS_ST_BORROW","1993-06-18","2026-05-02","Per=Y","Days=T","Dir=V")</f>
        <v>0</v>
      </c>
      <c r="I2">
        <f>BDH("SPTX US Equity","BS_LT_BORROW","1993-06-18","2026-05-02","Per=Y","Days=T","Dir=V")</f>
        <v>0</v>
      </c>
      <c r="K2">
        <f>BDH("SPTX US Equity","BS_CASH_NEAR_CASH_ITEM","1993-06-18","2026-05-02","Per=Y","Days=T","Dir=V")</f>
        <v>0</v>
      </c>
      <c r="M2">
        <f>BDH("SPTX US Equity","BS_CUR_ASSET_REPORT","1993-06-18","2026-05-02","Per=Y","Days=T","Dir=V")</f>
        <v>0</v>
      </c>
      <c r="O2">
        <f>BDH("SPTX US Equity","BS_CUR_LIAB","1993-06-18","2026-05-02","Per=Y","Days=T","Dir=V")</f>
        <v>0</v>
      </c>
      <c r="Q2">
        <f>BDH("SPTX US Equity","BS_SHAREHOLDER_EQY_ENDING_PERIOD","1993-06-18","2026-05-02","Per=Y","Days=T","Dir=V")</f>
        <v>0</v>
      </c>
      <c r="S2">
        <f>BDH("SPTX US Equity","BS_ACCT_NOTE_RCV","1993-06-18","2026-05-02","Per=Y","Days=T","Dir=V")</f>
        <v>0</v>
      </c>
      <c r="U2">
        <f>BDH("SPTX US Equity","BS_INVENTORIES","1993-06-18","2026-05-02","Per=Y","Days=T","Dir=V")</f>
        <v>0</v>
      </c>
      <c r="W2">
        <f>BDH("SPTX US Equity","WORKING_CAPITAL","1993-06-18","2026-05-02","Per=Y","Days=T","Dir=V")</f>
        <v>0</v>
      </c>
      <c r="Y2">
        <f>BDH("SPTX US Equity","SALES_REV_TURN","1993-06-18","2026-05-02","Per=Y","Days=T","Dir=V")</f>
        <v>0</v>
      </c>
      <c r="AA2">
        <f>BDH("SPTX US Equity","EBIT","1993-06-18","2026-05-02","Per=Y","Days=T","Dir=V")</f>
        <v>0</v>
      </c>
      <c r="AC2">
        <f>BDH("SPTX US Equity","EBITDA","1993-06-18","2026-05-02","Per=Y","Days=T","Dir=V")</f>
        <v>0</v>
      </c>
      <c r="AE2">
        <f>BDH("SPTX US Equity","NET_INCOME","1993-06-18","2026-05-02","Per=Y","Days=T","Dir=V")</f>
        <v>0</v>
      </c>
      <c r="AG2">
        <f>BDH("SPTX US Equity","IS_INT_EXPENSE","1993-06-18","2026-05-02","Per=Y","Days=T","Dir=V")</f>
        <v>0</v>
      </c>
      <c r="AI2">
        <f>BDH("SPTX US Equity","IS_DEPR_EXP","1993-06-18","2026-05-02","Per=Y","Days=T","Dir=V")</f>
        <v>0</v>
      </c>
      <c r="AK2">
        <f>BDH("SPTX US Equity","CF_CASH_FROM_OPER","1993-06-18","2026-05-02","Per=Y","Days=T","Dir=V")</f>
        <v>0</v>
      </c>
      <c r="AM2">
        <f>BDH("SPTX US Equity","CAPITAL_EXPEND","1993-06-18","2026-05-02","Per=Y","Days=T","Dir=V")</f>
        <v>0</v>
      </c>
      <c r="AO2">
        <f>BDH("SPTX US Equity","CF_FREE_CASH_FLOW","1993-06-18","2026-05-02","Per=Y","Days=T","Dir=V")</f>
        <v>0</v>
      </c>
      <c r="AQ2">
        <f>BDH("SPTX US Equity","PX_LAST","1993-06-18","2026-05-02","Per=M","Days=T","Dir=V")</f>
        <v>0</v>
      </c>
      <c r="AS2">
        <f>BDH("SPTX US Equity","CUR_MKT_CAP","1993-06-18","2026-05-02","Per=M","Days=T","Dir=V")</f>
        <v>0</v>
      </c>
      <c r="AU2">
        <f>BDH("SPTX US Equity","EQY_SH_OUT","1993-06-18","2026-05-02","Per=M","Days=T","Dir=V")</f>
        <v>0</v>
      </c>
      <c r="AW2">
        <f>BDH("SPTX US Equity","PX_VOLUME","1993-06-18","2026-05-02","Per=M","Days=T","Dir=V")</f>
        <v>0</v>
      </c>
      <c r="AY2">
        <f>BDH("SPTX US Equity","TURNOVER","1993-06-18","2026-05-02","Per=M","Days=T","Dir=V")</f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BDH("SPWH US Equity","BS_TOT_ASSET","1993-06-18","2026-05-02","Per=Y","Days=T","Dir=V")</f>
        <v>0</v>
      </c>
      <c r="C2">
        <f>BDH("SPWH US Equity","BS_TOT_LIAB2","1993-06-18","2026-05-02","Per=Y","Days=T","Dir=V")</f>
        <v>0</v>
      </c>
      <c r="E2">
        <f>BDH("SPWH US Equity","SHORT_AND_LONG_TERM_DEBT","1993-06-18","2026-05-02","Per=Y","Days=T","Dir=V")</f>
        <v>0</v>
      </c>
      <c r="G2">
        <f>BDH("SPWH US Equity","BS_ST_BORROW","1993-06-18","2026-05-02","Per=Y","Days=T","Dir=V")</f>
        <v>0</v>
      </c>
      <c r="I2">
        <f>BDH("SPWH US Equity","BS_LT_BORROW","1993-06-18","2026-05-02","Per=Y","Days=T","Dir=V")</f>
        <v>0</v>
      </c>
      <c r="K2">
        <f>BDH("SPWH US Equity","BS_CASH_NEAR_CASH_ITEM","1993-06-18","2026-05-02","Per=Y","Days=T","Dir=V")</f>
        <v>0</v>
      </c>
      <c r="M2">
        <f>BDH("SPWH US Equity","BS_CUR_ASSET_REPORT","1993-06-18","2026-05-02","Per=Y","Days=T","Dir=V")</f>
        <v>0</v>
      </c>
      <c r="O2">
        <f>BDH("SPWH US Equity","BS_CUR_LIAB","1993-06-18","2026-05-02","Per=Y","Days=T","Dir=V")</f>
        <v>0</v>
      </c>
      <c r="Q2">
        <f>BDH("SPWH US Equity","BS_SHAREHOLDER_EQY_ENDING_PERIOD","1993-06-18","2026-05-02","Per=Y","Days=T","Dir=V")</f>
        <v>0</v>
      </c>
      <c r="S2">
        <f>BDH("SPWH US Equity","BS_ACCT_NOTE_RCV","1993-06-18","2026-05-02","Per=Y","Days=T","Dir=V")</f>
        <v>0</v>
      </c>
      <c r="U2">
        <f>BDH("SPWH US Equity","BS_INVENTORIES","1993-06-18","2026-05-02","Per=Y","Days=T","Dir=V")</f>
        <v>0</v>
      </c>
      <c r="W2">
        <f>BDH("SPWH US Equity","WORKING_CAPITAL","1993-06-18","2026-05-02","Per=Y","Days=T","Dir=V")</f>
        <v>0</v>
      </c>
      <c r="Y2">
        <f>BDH("SPWH US Equity","SALES_REV_TURN","1993-06-18","2026-05-02","Per=Y","Days=T","Dir=V")</f>
        <v>0</v>
      </c>
      <c r="AA2">
        <f>BDH("SPWH US Equity","EBIT","1993-06-18","2026-05-02","Per=Y","Days=T","Dir=V")</f>
        <v>0</v>
      </c>
      <c r="AC2">
        <f>BDH("SPWH US Equity","EBITDA","1993-06-18","2026-05-02","Per=Y","Days=T","Dir=V")</f>
        <v>0</v>
      </c>
      <c r="AE2">
        <f>BDH("SPWH US Equity","NET_INCOME","1993-06-18","2026-05-02","Per=Y","Days=T","Dir=V")</f>
        <v>0</v>
      </c>
      <c r="AG2">
        <f>BDH("SPWH US Equity","IS_INT_EXPENSE","1993-06-18","2026-05-02","Per=Y","Days=T","Dir=V")</f>
        <v>0</v>
      </c>
      <c r="AI2">
        <f>BDH("SPWH US Equity","IS_DEPR_EXP","1993-06-18","2026-05-02","Per=Y","Days=T","Dir=V")</f>
        <v>0</v>
      </c>
      <c r="AK2">
        <f>BDH("SPWH US Equity","CF_CASH_FROM_OPER","1993-06-18","2026-05-02","Per=Y","Days=T","Dir=V")</f>
        <v>0</v>
      </c>
      <c r="AM2">
        <f>BDH("SPWH US Equity","CAPITAL_EXPEND","1993-06-18","2026-05-02","Per=Y","Days=T","Dir=V")</f>
        <v>0</v>
      </c>
      <c r="AO2">
        <f>BDH("SPWH US Equity","CF_FREE_CASH_FLOW","1993-06-18","2026-05-02","Per=Y","Days=T","Dir=V")</f>
        <v>0</v>
      </c>
      <c r="AQ2">
        <f>BDH("SPWH US Equity","PX_LAST","1993-06-18","2026-05-02","Per=M","Days=T","Dir=V")</f>
        <v>0</v>
      </c>
      <c r="AS2">
        <f>BDH("SPWH US Equity","CUR_MKT_CAP","1993-06-18","2026-05-02","Per=M","Days=T","Dir=V")</f>
        <v>0</v>
      </c>
      <c r="AU2">
        <f>BDH("SPWH US Equity","EQY_SH_OUT","1993-06-18","2026-05-02","Per=M","Days=T","Dir=V")</f>
        <v>0</v>
      </c>
      <c r="AW2">
        <f>BDH("SPWH US Equity","PX_VOLUME","1993-06-18","2026-05-02","Per=M","Days=T","Dir=V")</f>
        <v>0</v>
      </c>
      <c r="AY2">
        <f>BDH("SPWH US Equity","TURNOVER","1993-06-18","2026-05-02","Per=M","Days=T","Dir=V")</f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BDH("SPWR US Equity","BS_TOT_ASSET","1993-06-18","2026-05-02","Per=Y","Days=T","Dir=V")</f>
        <v>0</v>
      </c>
      <c r="C2">
        <f>BDH("SPWR US Equity","BS_TOT_LIAB2","1993-06-18","2026-05-02","Per=Y","Days=T","Dir=V")</f>
        <v>0</v>
      </c>
      <c r="E2">
        <f>BDH("SPWR US Equity","SHORT_AND_LONG_TERM_DEBT","1993-06-18","2026-05-02","Per=Y","Days=T","Dir=V")</f>
        <v>0</v>
      </c>
      <c r="G2">
        <f>BDH("SPWR US Equity","BS_ST_BORROW","1993-06-18","2026-05-02","Per=Y","Days=T","Dir=V")</f>
        <v>0</v>
      </c>
      <c r="I2">
        <f>BDH("SPWR US Equity","BS_LT_BORROW","1993-06-18","2026-05-02","Per=Y","Days=T","Dir=V")</f>
        <v>0</v>
      </c>
      <c r="K2">
        <f>BDH("SPWR US Equity","BS_CASH_NEAR_CASH_ITEM","1993-06-18","2026-05-02","Per=Y","Days=T","Dir=V")</f>
        <v>0</v>
      </c>
      <c r="M2">
        <f>BDH("SPWR US Equity","BS_CUR_ASSET_REPORT","1993-06-18","2026-05-02","Per=Y","Days=T","Dir=V")</f>
        <v>0</v>
      </c>
      <c r="O2">
        <f>BDH("SPWR US Equity","BS_CUR_LIAB","1993-06-18","2026-05-02","Per=Y","Days=T","Dir=V")</f>
        <v>0</v>
      </c>
      <c r="Q2">
        <f>BDH("SPWR US Equity","BS_SHAREHOLDER_EQY_ENDING_PERIOD","1993-06-18","2026-05-02","Per=Y","Days=T","Dir=V")</f>
        <v>0</v>
      </c>
      <c r="S2">
        <f>BDH("SPWR US Equity","BS_ACCT_NOTE_RCV","1993-06-18","2026-05-02","Per=Y","Days=T","Dir=V")</f>
        <v>0</v>
      </c>
      <c r="U2">
        <f>BDH("SPWR US Equity","BS_INVENTORIES","1993-06-18","2026-05-02","Per=Y","Days=T","Dir=V")</f>
        <v>0</v>
      </c>
      <c r="W2">
        <f>BDH("SPWR US Equity","WORKING_CAPITAL","1993-06-18","2026-05-02","Per=Y","Days=T","Dir=V")</f>
        <v>0</v>
      </c>
      <c r="Y2">
        <f>BDH("SPWR US Equity","SALES_REV_TURN","1993-06-18","2026-05-02","Per=Y","Days=T","Dir=V")</f>
        <v>0</v>
      </c>
      <c r="AA2">
        <f>BDH("SPWR US Equity","EBIT","1993-06-18","2026-05-02","Per=Y","Days=T","Dir=V")</f>
        <v>0</v>
      </c>
      <c r="AC2">
        <f>BDH("SPWR US Equity","EBITDA","1993-06-18","2026-05-02","Per=Y","Days=T","Dir=V")</f>
        <v>0</v>
      </c>
      <c r="AE2">
        <f>BDH("SPWR US Equity","NET_INCOME","1993-06-18","2026-05-02","Per=Y","Days=T","Dir=V")</f>
        <v>0</v>
      </c>
      <c r="AG2">
        <f>BDH("SPWR US Equity","IS_INT_EXPENSE","1993-06-18","2026-05-02","Per=Y","Days=T","Dir=V")</f>
        <v>0</v>
      </c>
      <c r="AI2">
        <f>BDH("SPWR US Equity","IS_DEPR_EXP","1993-06-18","2026-05-02","Per=Y","Days=T","Dir=V")</f>
        <v>0</v>
      </c>
      <c r="AK2">
        <f>BDH("SPWR US Equity","CF_CASH_FROM_OPER","1993-06-18","2026-05-02","Per=Y","Days=T","Dir=V")</f>
        <v>0</v>
      </c>
      <c r="AM2">
        <f>BDH("SPWR US Equity","CAPITAL_EXPEND","1993-06-18","2026-05-02","Per=Y","Days=T","Dir=V")</f>
        <v>0</v>
      </c>
      <c r="AO2">
        <f>BDH("SPWR US Equity","CF_FREE_CASH_FLOW","1993-06-18","2026-05-02","Per=Y","Days=T","Dir=V")</f>
        <v>0</v>
      </c>
      <c r="AQ2">
        <f>BDH("SPWR US Equity","PX_LAST","1993-06-18","2026-05-02","Per=M","Days=T","Dir=V")</f>
        <v>0</v>
      </c>
      <c r="AS2">
        <f>BDH("SPWR US Equity","CUR_MKT_CAP","1993-06-18","2026-05-02","Per=M","Days=T","Dir=V")</f>
        <v>0</v>
      </c>
      <c r="AU2">
        <f>BDH("SPWR US Equity","EQY_SH_OUT","1993-06-18","2026-05-02","Per=M","Days=T","Dir=V")</f>
        <v>0</v>
      </c>
      <c r="AW2">
        <f>BDH("SPWR US Equity","PX_VOLUME","1993-06-18","2026-05-02","Per=M","Days=T","Dir=V")</f>
        <v>0</v>
      </c>
      <c r="AY2">
        <f>BDH("SPWR US Equity","TURNOVER","1993-06-18","2026-05-02","Per=M","Days=T","Dir=V")</f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BDH("SPWRW US Equity","BS_TOT_ASSET","1993-06-18","2026-05-02","Per=Y","Days=T","Dir=V")</f>
        <v>0</v>
      </c>
      <c r="C2">
        <f>BDH("SPWRW US Equity","BS_TOT_LIAB2","1993-06-18","2026-05-02","Per=Y","Days=T","Dir=V")</f>
        <v>0</v>
      </c>
      <c r="E2">
        <f>BDH("SPWRW US Equity","SHORT_AND_LONG_TERM_DEBT","1993-06-18","2026-05-02","Per=Y","Days=T","Dir=V")</f>
        <v>0</v>
      </c>
      <c r="G2">
        <f>BDH("SPWRW US Equity","BS_ST_BORROW","1993-06-18","2026-05-02","Per=Y","Days=T","Dir=V")</f>
        <v>0</v>
      </c>
      <c r="I2">
        <f>BDH("SPWRW US Equity","BS_LT_BORROW","1993-06-18","2026-05-02","Per=Y","Days=T","Dir=V")</f>
        <v>0</v>
      </c>
      <c r="K2">
        <f>BDH("SPWRW US Equity","BS_CASH_NEAR_CASH_ITEM","1993-06-18","2026-05-02","Per=Y","Days=T","Dir=V")</f>
        <v>0</v>
      </c>
      <c r="M2">
        <f>BDH("SPWRW US Equity","BS_CUR_ASSET_REPORT","1993-06-18","2026-05-02","Per=Y","Days=T","Dir=V")</f>
        <v>0</v>
      </c>
      <c r="O2">
        <f>BDH("SPWRW US Equity","BS_CUR_LIAB","1993-06-18","2026-05-02","Per=Y","Days=T","Dir=V")</f>
        <v>0</v>
      </c>
      <c r="Q2">
        <f>BDH("SPWRW US Equity","BS_SHAREHOLDER_EQY_ENDING_PERIOD","1993-06-18","2026-05-02","Per=Y","Days=T","Dir=V")</f>
        <v>0</v>
      </c>
      <c r="S2">
        <f>BDH("SPWRW US Equity","BS_ACCT_NOTE_RCV","1993-06-18","2026-05-02","Per=Y","Days=T","Dir=V")</f>
        <v>0</v>
      </c>
      <c r="U2">
        <f>BDH("SPWRW US Equity","BS_INVENTORIES","1993-06-18","2026-05-02","Per=Y","Days=T","Dir=V")</f>
        <v>0</v>
      </c>
      <c r="W2">
        <f>BDH("SPWRW US Equity","WORKING_CAPITAL","1993-06-18","2026-05-02","Per=Y","Days=T","Dir=V")</f>
        <v>0</v>
      </c>
      <c r="Y2">
        <f>BDH("SPWRW US Equity","SALES_REV_TURN","1993-06-18","2026-05-02","Per=Y","Days=T","Dir=V")</f>
        <v>0</v>
      </c>
      <c r="AA2">
        <f>BDH("SPWRW US Equity","EBIT","1993-06-18","2026-05-02","Per=Y","Days=T","Dir=V")</f>
        <v>0</v>
      </c>
      <c r="AC2">
        <f>BDH("SPWRW US Equity","EBITDA","1993-06-18","2026-05-02","Per=Y","Days=T","Dir=V")</f>
        <v>0</v>
      </c>
      <c r="AE2">
        <f>BDH("SPWRW US Equity","NET_INCOME","1993-06-18","2026-05-02","Per=Y","Days=T","Dir=V")</f>
        <v>0</v>
      </c>
      <c r="AG2">
        <f>BDH("SPWRW US Equity","IS_INT_EXPENSE","1993-06-18","2026-05-02","Per=Y","Days=T","Dir=V")</f>
        <v>0</v>
      </c>
      <c r="AI2">
        <f>BDH("SPWRW US Equity","IS_DEPR_EXP","1993-06-18","2026-05-02","Per=Y","Days=T","Dir=V")</f>
        <v>0</v>
      </c>
      <c r="AK2">
        <f>BDH("SPWRW US Equity","CF_CASH_FROM_OPER","1993-06-18","2026-05-02","Per=Y","Days=T","Dir=V")</f>
        <v>0</v>
      </c>
      <c r="AM2">
        <f>BDH("SPWRW US Equity","CAPITAL_EXPEND","1993-06-18","2026-05-02","Per=Y","Days=T","Dir=V")</f>
        <v>0</v>
      </c>
      <c r="AO2">
        <f>BDH("SPWRW US Equity","CF_FREE_CASH_FLOW","1993-06-18","2026-05-02","Per=Y","Days=T","Dir=V")</f>
        <v>0</v>
      </c>
      <c r="AQ2">
        <f>BDH("SPWRW US Equity","PX_LAST","1993-06-18","2026-05-02","Per=M","Days=T","Dir=V")</f>
        <v>0</v>
      </c>
      <c r="AS2">
        <f>BDH("SPWRW US Equity","CUR_MKT_CAP","1993-06-18","2026-05-02","Per=M","Days=T","Dir=V")</f>
        <v>0</v>
      </c>
      <c r="AU2">
        <f>BDH("SPWRW US Equity","EQY_SH_OUT","1993-06-18","2026-05-02","Per=M","Days=T","Dir=V")</f>
        <v>0</v>
      </c>
      <c r="AW2">
        <f>BDH("SPWRW US Equity","PX_VOLUME","1993-06-18","2026-05-02","Per=M","Days=T","Dir=V")</f>
        <v>0</v>
      </c>
      <c r="AY2">
        <f>BDH("SPWRW US Equity","TURNOVER","1993-06-18","2026-05-02","Per=M","Days=T","Dir=V")</f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BDH("SPXC US Equity","BS_TOT_ASSET","1993-06-18","2026-05-02","Per=Y","Days=T","Dir=V")</f>
        <v>0</v>
      </c>
      <c r="C2">
        <f>BDH("SPXC US Equity","BS_TOT_LIAB2","1993-06-18","2026-05-02","Per=Y","Days=T","Dir=V")</f>
        <v>0</v>
      </c>
      <c r="E2">
        <f>BDH("SPXC US Equity","SHORT_AND_LONG_TERM_DEBT","1993-06-18","2026-05-02","Per=Y","Days=T","Dir=V")</f>
        <v>0</v>
      </c>
      <c r="G2">
        <f>BDH("SPXC US Equity","BS_ST_BORROW","1993-06-18","2026-05-02","Per=Y","Days=T","Dir=V")</f>
        <v>0</v>
      </c>
      <c r="I2">
        <f>BDH("SPXC US Equity","BS_LT_BORROW","1993-06-18","2026-05-02","Per=Y","Days=T","Dir=V")</f>
        <v>0</v>
      </c>
      <c r="K2">
        <f>BDH("SPXC US Equity","BS_CASH_NEAR_CASH_ITEM","1993-06-18","2026-05-02","Per=Y","Days=T","Dir=V")</f>
        <v>0</v>
      </c>
      <c r="M2">
        <f>BDH("SPXC US Equity","BS_CUR_ASSET_REPORT","1993-06-18","2026-05-02","Per=Y","Days=T","Dir=V")</f>
        <v>0</v>
      </c>
      <c r="O2">
        <f>BDH("SPXC US Equity","BS_CUR_LIAB","1993-06-18","2026-05-02","Per=Y","Days=T","Dir=V")</f>
        <v>0</v>
      </c>
      <c r="Q2">
        <f>BDH("SPXC US Equity","BS_SHAREHOLDER_EQY_ENDING_PERIOD","1993-06-18","2026-05-02","Per=Y","Days=T","Dir=V")</f>
        <v>0</v>
      </c>
      <c r="S2">
        <f>BDH("SPXC US Equity","BS_ACCT_NOTE_RCV","1993-06-18","2026-05-02","Per=Y","Days=T","Dir=V")</f>
        <v>0</v>
      </c>
      <c r="U2">
        <f>BDH("SPXC US Equity","BS_INVENTORIES","1993-06-18","2026-05-02","Per=Y","Days=T","Dir=V")</f>
        <v>0</v>
      </c>
      <c r="W2">
        <f>BDH("SPXC US Equity","WORKING_CAPITAL","1993-06-18","2026-05-02","Per=Y","Days=T","Dir=V")</f>
        <v>0</v>
      </c>
      <c r="Y2">
        <f>BDH("SPXC US Equity","SALES_REV_TURN","1993-06-18","2026-05-02","Per=Y","Days=T","Dir=V")</f>
        <v>0</v>
      </c>
      <c r="AA2">
        <f>BDH("SPXC US Equity","EBIT","1993-06-18","2026-05-02","Per=Y","Days=T","Dir=V")</f>
        <v>0</v>
      </c>
      <c r="AC2">
        <f>BDH("SPXC US Equity","EBITDA","1993-06-18","2026-05-02","Per=Y","Days=T","Dir=V")</f>
        <v>0</v>
      </c>
      <c r="AE2">
        <f>BDH("SPXC US Equity","NET_INCOME","1993-06-18","2026-05-02","Per=Y","Days=T","Dir=V")</f>
        <v>0</v>
      </c>
      <c r="AG2">
        <f>BDH("SPXC US Equity","IS_INT_EXPENSE","1993-06-18","2026-05-02","Per=Y","Days=T","Dir=V")</f>
        <v>0</v>
      </c>
      <c r="AI2">
        <f>BDH("SPXC US Equity","IS_DEPR_EXP","1993-06-18","2026-05-02","Per=Y","Days=T","Dir=V")</f>
        <v>0</v>
      </c>
      <c r="AK2">
        <f>BDH("SPXC US Equity","CF_CASH_FROM_OPER","1993-06-18","2026-05-02","Per=Y","Days=T","Dir=V")</f>
        <v>0</v>
      </c>
      <c r="AM2">
        <f>BDH("SPXC US Equity","CAPITAL_EXPEND","1993-06-18","2026-05-02","Per=Y","Days=T","Dir=V")</f>
        <v>0</v>
      </c>
      <c r="AO2">
        <f>BDH("SPXC US Equity","CF_FREE_CASH_FLOW","1993-06-18","2026-05-02","Per=Y","Days=T","Dir=V")</f>
        <v>0</v>
      </c>
      <c r="AQ2">
        <f>BDH("SPXC US Equity","PX_LAST","1993-06-18","2026-05-02","Per=M","Days=T","Dir=V")</f>
        <v>0</v>
      </c>
      <c r="AS2">
        <f>BDH("SPXC US Equity","CUR_MKT_CAP","1993-06-18","2026-05-02","Per=M","Days=T","Dir=V")</f>
        <v>0</v>
      </c>
      <c r="AU2">
        <f>BDH("SPXC US Equity","EQY_SH_OUT","1993-06-18","2026-05-02","Per=M","Days=T","Dir=V")</f>
        <v>0</v>
      </c>
      <c r="AW2">
        <f>BDH("SPXC US Equity","PX_VOLUME","1993-06-18","2026-05-02","Per=M","Days=T","Dir=V")</f>
        <v>0</v>
      </c>
      <c r="AY2">
        <f>BDH("SPXC US Equity","TURNOVER","1993-06-18","2026-05-02","Per=M","Days=T","Dir=V")</f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BDH("SR US Equity","BS_TOT_ASSET","1993-06-18","2026-05-02","Per=Y","Days=T","Dir=V")</f>
        <v>0</v>
      </c>
      <c r="C2">
        <f>BDH("SR US Equity","BS_TOT_LIAB2","1993-06-18","2026-05-02","Per=Y","Days=T","Dir=V")</f>
        <v>0</v>
      </c>
      <c r="E2">
        <f>BDH("SR US Equity","SHORT_AND_LONG_TERM_DEBT","1993-06-18","2026-05-02","Per=Y","Days=T","Dir=V")</f>
        <v>0</v>
      </c>
      <c r="G2">
        <f>BDH("SR US Equity","BS_ST_BORROW","1993-06-18","2026-05-02","Per=Y","Days=T","Dir=V")</f>
        <v>0</v>
      </c>
      <c r="I2">
        <f>BDH("SR US Equity","BS_LT_BORROW","1993-06-18","2026-05-02","Per=Y","Days=T","Dir=V")</f>
        <v>0</v>
      </c>
      <c r="K2">
        <f>BDH("SR US Equity","BS_CASH_NEAR_CASH_ITEM","1993-06-18","2026-05-02","Per=Y","Days=T","Dir=V")</f>
        <v>0</v>
      </c>
      <c r="M2">
        <f>BDH("SR US Equity","BS_CUR_ASSET_REPORT","1993-06-18","2026-05-02","Per=Y","Days=T","Dir=V")</f>
        <v>0</v>
      </c>
      <c r="O2">
        <f>BDH("SR US Equity","BS_CUR_LIAB","1993-06-18","2026-05-02","Per=Y","Days=T","Dir=V")</f>
        <v>0</v>
      </c>
      <c r="Q2">
        <f>BDH("SR US Equity","BS_SHAREHOLDER_EQY_ENDING_PERIOD","1993-06-18","2026-05-02","Per=Y","Days=T","Dir=V")</f>
        <v>0</v>
      </c>
      <c r="S2">
        <f>BDH("SR US Equity","BS_ACCT_NOTE_RCV","1993-06-18","2026-05-02","Per=Y","Days=T","Dir=V")</f>
        <v>0</v>
      </c>
      <c r="U2">
        <f>BDH("SR US Equity","BS_INVENTORIES","1993-06-18","2026-05-02","Per=Y","Days=T","Dir=V")</f>
        <v>0</v>
      </c>
      <c r="W2">
        <f>BDH("SR US Equity","WORKING_CAPITAL","1993-06-18","2026-05-02","Per=Y","Days=T","Dir=V")</f>
        <v>0</v>
      </c>
      <c r="Y2">
        <f>BDH("SR US Equity","SALES_REV_TURN","1993-06-18","2026-05-02","Per=Y","Days=T","Dir=V")</f>
        <v>0</v>
      </c>
      <c r="AA2">
        <f>BDH("SR US Equity","EBIT","1993-06-18","2026-05-02","Per=Y","Days=T","Dir=V")</f>
        <v>0</v>
      </c>
      <c r="AC2">
        <f>BDH("SR US Equity","EBITDA","1993-06-18","2026-05-02","Per=Y","Days=T","Dir=V")</f>
        <v>0</v>
      </c>
      <c r="AE2">
        <f>BDH("SR US Equity","NET_INCOME","1993-06-18","2026-05-02","Per=Y","Days=T","Dir=V")</f>
        <v>0</v>
      </c>
      <c r="AG2">
        <f>BDH("SR US Equity","IS_INT_EXPENSE","1993-06-18","2026-05-02","Per=Y","Days=T","Dir=V")</f>
        <v>0</v>
      </c>
      <c r="AI2">
        <f>BDH("SR US Equity","IS_DEPR_EXP","1993-06-18","2026-05-02","Per=Y","Days=T","Dir=V")</f>
        <v>0</v>
      </c>
      <c r="AK2">
        <f>BDH("SR US Equity","CF_CASH_FROM_OPER","1993-06-18","2026-05-02","Per=Y","Days=T","Dir=V")</f>
        <v>0</v>
      </c>
      <c r="AM2">
        <f>BDH("SR US Equity","CAPITAL_EXPEND","1993-06-18","2026-05-02","Per=Y","Days=T","Dir=V")</f>
        <v>0</v>
      </c>
      <c r="AO2">
        <f>BDH("SR US Equity","CF_FREE_CASH_FLOW","1993-06-18","2026-05-02","Per=Y","Days=T","Dir=V")</f>
        <v>0</v>
      </c>
      <c r="AQ2">
        <f>BDH("SR US Equity","PX_LAST","1993-06-18","2026-05-02","Per=M","Days=T","Dir=V")</f>
        <v>0</v>
      </c>
      <c r="AS2">
        <f>BDH("SR US Equity","CUR_MKT_CAP","1993-06-18","2026-05-02","Per=M","Days=T","Dir=V")</f>
        <v>0</v>
      </c>
      <c r="AU2">
        <f>BDH("SR US Equity","EQY_SH_OUT","1993-06-18","2026-05-02","Per=M","Days=T","Dir=V")</f>
        <v>0</v>
      </c>
      <c r="AW2">
        <f>BDH("SR US Equity","PX_VOLUME","1993-06-18","2026-05-02","Per=M","Days=T","Dir=V")</f>
        <v>0</v>
      </c>
      <c r="AY2">
        <f>BDH("SR US Equity","TURNOVER","1993-06-18","2026-05-02","Per=M","Days=T","Dir=V")</f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BDH("SRE US Equity","BS_TOT_ASSET","1993-06-18","2026-05-02","Per=Y","Days=T","Dir=V")</f>
        <v>0</v>
      </c>
      <c r="C2">
        <f>BDH("SRE US Equity","BS_TOT_LIAB2","1993-06-18","2026-05-02","Per=Y","Days=T","Dir=V")</f>
        <v>0</v>
      </c>
      <c r="E2">
        <f>BDH("SRE US Equity","SHORT_AND_LONG_TERM_DEBT","1993-06-18","2026-05-02","Per=Y","Days=T","Dir=V")</f>
        <v>0</v>
      </c>
      <c r="G2">
        <f>BDH("SRE US Equity","BS_ST_BORROW","1993-06-18","2026-05-02","Per=Y","Days=T","Dir=V")</f>
        <v>0</v>
      </c>
      <c r="I2">
        <f>BDH("SRE US Equity","BS_LT_BORROW","1993-06-18","2026-05-02","Per=Y","Days=T","Dir=V")</f>
        <v>0</v>
      </c>
      <c r="K2">
        <f>BDH("SRE US Equity","BS_CASH_NEAR_CASH_ITEM","1993-06-18","2026-05-02","Per=Y","Days=T","Dir=V")</f>
        <v>0</v>
      </c>
      <c r="M2">
        <f>BDH("SRE US Equity","BS_CUR_ASSET_REPORT","1993-06-18","2026-05-02","Per=Y","Days=T","Dir=V")</f>
        <v>0</v>
      </c>
      <c r="O2">
        <f>BDH("SRE US Equity","BS_CUR_LIAB","1993-06-18","2026-05-02","Per=Y","Days=T","Dir=V")</f>
        <v>0</v>
      </c>
      <c r="Q2">
        <f>BDH("SRE US Equity","BS_SHAREHOLDER_EQY_ENDING_PERIOD","1993-06-18","2026-05-02","Per=Y","Days=T","Dir=V")</f>
        <v>0</v>
      </c>
      <c r="S2">
        <f>BDH("SRE US Equity","BS_ACCT_NOTE_RCV","1993-06-18","2026-05-02","Per=Y","Days=T","Dir=V")</f>
        <v>0</v>
      </c>
      <c r="U2">
        <f>BDH("SRE US Equity","BS_INVENTORIES","1993-06-18","2026-05-02","Per=Y","Days=T","Dir=V")</f>
        <v>0</v>
      </c>
      <c r="W2">
        <f>BDH("SRE US Equity","WORKING_CAPITAL","1993-06-18","2026-05-02","Per=Y","Days=T","Dir=V")</f>
        <v>0</v>
      </c>
      <c r="Y2">
        <f>BDH("SRE US Equity","SALES_REV_TURN","1993-06-18","2026-05-02","Per=Y","Days=T","Dir=V")</f>
        <v>0</v>
      </c>
      <c r="AA2">
        <f>BDH("SRE US Equity","EBIT","1993-06-18","2026-05-02","Per=Y","Days=T","Dir=V")</f>
        <v>0</v>
      </c>
      <c r="AC2">
        <f>BDH("SRE US Equity","EBITDA","1993-06-18","2026-05-02","Per=Y","Days=T","Dir=V")</f>
        <v>0</v>
      </c>
      <c r="AE2">
        <f>BDH("SRE US Equity","NET_INCOME","1993-06-18","2026-05-02","Per=Y","Days=T","Dir=V")</f>
        <v>0</v>
      </c>
      <c r="AG2">
        <f>BDH("SRE US Equity","IS_INT_EXPENSE","1993-06-18","2026-05-02","Per=Y","Days=T","Dir=V")</f>
        <v>0</v>
      </c>
      <c r="AI2">
        <f>BDH("SRE US Equity","IS_DEPR_EXP","1993-06-18","2026-05-02","Per=Y","Days=T","Dir=V")</f>
        <v>0</v>
      </c>
      <c r="AK2">
        <f>BDH("SRE US Equity","CF_CASH_FROM_OPER","1993-06-18","2026-05-02","Per=Y","Days=T","Dir=V")</f>
        <v>0</v>
      </c>
      <c r="AM2">
        <f>BDH("SRE US Equity","CAPITAL_EXPEND","1993-06-18","2026-05-02","Per=Y","Days=T","Dir=V")</f>
        <v>0</v>
      </c>
      <c r="AO2">
        <f>BDH("SRE US Equity","CF_FREE_CASH_FLOW","1993-06-18","2026-05-02","Per=Y","Days=T","Dir=V")</f>
        <v>0</v>
      </c>
      <c r="AQ2">
        <f>BDH("SRE US Equity","PX_LAST","1993-06-18","2026-05-02","Per=M","Days=T","Dir=V")</f>
        <v>0</v>
      </c>
      <c r="AS2">
        <f>BDH("SRE US Equity","CUR_MKT_CAP","1993-06-18","2026-05-02","Per=M","Days=T","Dir=V")</f>
        <v>0</v>
      </c>
      <c r="AU2">
        <f>BDH("SRE US Equity","EQY_SH_OUT","1993-06-18","2026-05-02","Per=M","Days=T","Dir=V")</f>
        <v>0</v>
      </c>
      <c r="AW2">
        <f>BDH("SRE US Equity","PX_VOLUME","1993-06-18","2026-05-02","Per=M","Days=T","Dir=V")</f>
        <v>0</v>
      </c>
      <c r="AY2">
        <f>BDH("SRE US Equity","TURNOVER","1993-06-18","2026-05-02","Per=M","Days=T","Dir=V")</f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BDH("SREA US Equity","BS_TOT_ASSET","1993-06-18","2026-05-02","Per=Y","Days=T","Dir=V")</f>
        <v>0</v>
      </c>
      <c r="C2">
        <f>BDH("SREA US Equity","BS_TOT_LIAB2","1993-06-18","2026-05-02","Per=Y","Days=T","Dir=V")</f>
        <v>0</v>
      </c>
      <c r="E2">
        <f>BDH("SREA US Equity","SHORT_AND_LONG_TERM_DEBT","1993-06-18","2026-05-02","Per=Y","Days=T","Dir=V")</f>
        <v>0</v>
      </c>
      <c r="G2">
        <f>BDH("SREA US Equity","BS_ST_BORROW","1993-06-18","2026-05-02","Per=Y","Days=T","Dir=V")</f>
        <v>0</v>
      </c>
      <c r="I2">
        <f>BDH("SREA US Equity","BS_LT_BORROW","1993-06-18","2026-05-02","Per=Y","Days=T","Dir=V")</f>
        <v>0</v>
      </c>
      <c r="K2">
        <f>BDH("SREA US Equity","BS_CASH_NEAR_CASH_ITEM","1993-06-18","2026-05-02","Per=Y","Days=T","Dir=V")</f>
        <v>0</v>
      </c>
      <c r="M2">
        <f>BDH("SREA US Equity","BS_CUR_ASSET_REPORT","1993-06-18","2026-05-02","Per=Y","Days=T","Dir=V")</f>
        <v>0</v>
      </c>
      <c r="O2">
        <f>BDH("SREA US Equity","BS_CUR_LIAB","1993-06-18","2026-05-02","Per=Y","Days=T","Dir=V")</f>
        <v>0</v>
      </c>
      <c r="Q2">
        <f>BDH("SREA US Equity","BS_SHAREHOLDER_EQY_ENDING_PERIOD","1993-06-18","2026-05-02","Per=Y","Days=T","Dir=V")</f>
        <v>0</v>
      </c>
      <c r="S2">
        <f>BDH("SREA US Equity","BS_ACCT_NOTE_RCV","1993-06-18","2026-05-02","Per=Y","Days=T","Dir=V")</f>
        <v>0</v>
      </c>
      <c r="U2">
        <f>BDH("SREA US Equity","BS_INVENTORIES","1993-06-18","2026-05-02","Per=Y","Days=T","Dir=V")</f>
        <v>0</v>
      </c>
      <c r="W2">
        <f>BDH("SREA US Equity","WORKING_CAPITAL","1993-06-18","2026-05-02","Per=Y","Days=T","Dir=V")</f>
        <v>0</v>
      </c>
      <c r="Y2">
        <f>BDH("SREA US Equity","SALES_REV_TURN","1993-06-18","2026-05-02","Per=Y","Days=T","Dir=V")</f>
        <v>0</v>
      </c>
      <c r="AA2">
        <f>BDH("SREA US Equity","EBIT","1993-06-18","2026-05-02","Per=Y","Days=T","Dir=V")</f>
        <v>0</v>
      </c>
      <c r="AC2">
        <f>BDH("SREA US Equity","EBITDA","1993-06-18","2026-05-02","Per=Y","Days=T","Dir=V")</f>
        <v>0</v>
      </c>
      <c r="AE2">
        <f>BDH("SREA US Equity","NET_INCOME","1993-06-18","2026-05-02","Per=Y","Days=T","Dir=V")</f>
        <v>0</v>
      </c>
      <c r="AG2">
        <f>BDH("SREA US Equity","IS_INT_EXPENSE","1993-06-18","2026-05-02","Per=Y","Days=T","Dir=V")</f>
        <v>0</v>
      </c>
      <c r="AI2">
        <f>BDH("SREA US Equity","IS_DEPR_EXP","1993-06-18","2026-05-02","Per=Y","Days=T","Dir=V")</f>
        <v>0</v>
      </c>
      <c r="AK2">
        <f>BDH("SREA US Equity","CF_CASH_FROM_OPER","1993-06-18","2026-05-02","Per=Y","Days=T","Dir=V")</f>
        <v>0</v>
      </c>
      <c r="AM2">
        <f>BDH("SREA US Equity","CAPITAL_EXPEND","1993-06-18","2026-05-02","Per=Y","Days=T","Dir=V")</f>
        <v>0</v>
      </c>
      <c r="AO2">
        <f>BDH("SREA US Equity","CF_FREE_CASH_FLOW","1993-06-18","2026-05-02","Per=Y","Days=T","Dir=V")</f>
        <v>0</v>
      </c>
      <c r="AQ2">
        <f>BDH("SREA US Equity","PX_LAST","1993-06-18","2026-05-02","Per=M","Days=T","Dir=V")</f>
        <v>0</v>
      </c>
      <c r="AS2">
        <f>BDH("SREA US Equity","CUR_MKT_CAP","1993-06-18","2026-05-02","Per=M","Days=T","Dir=V")</f>
        <v>0</v>
      </c>
      <c r="AU2">
        <f>BDH("SREA US Equity","EQY_SH_OUT","1993-06-18","2026-05-02","Per=M","Days=T","Dir=V")</f>
        <v>0</v>
      </c>
      <c r="AW2">
        <f>BDH("SREA US Equity","PX_VOLUME","1993-06-18","2026-05-02","Per=M","Days=T","Dir=V")</f>
        <v>0</v>
      </c>
      <c r="AY2">
        <f>BDH("SREA US Equity","TURNOVER","1993-06-18","2026-05-02","Per=M","Days=T","Dir=V")</f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BDH("SRFM US Equity","BS_TOT_ASSET","1993-06-18","2026-05-02","Per=Y","Days=T","Dir=V")</f>
        <v>0</v>
      </c>
      <c r="C2">
        <f>BDH("SRFM US Equity","BS_TOT_LIAB2","1993-06-18","2026-05-02","Per=Y","Days=T","Dir=V")</f>
        <v>0</v>
      </c>
      <c r="E2">
        <f>BDH("SRFM US Equity","SHORT_AND_LONG_TERM_DEBT","1993-06-18","2026-05-02","Per=Y","Days=T","Dir=V")</f>
        <v>0</v>
      </c>
      <c r="G2">
        <f>BDH("SRFM US Equity","BS_ST_BORROW","1993-06-18","2026-05-02","Per=Y","Days=T","Dir=V")</f>
        <v>0</v>
      </c>
      <c r="I2">
        <f>BDH("SRFM US Equity","BS_LT_BORROW","1993-06-18","2026-05-02","Per=Y","Days=T","Dir=V")</f>
        <v>0</v>
      </c>
      <c r="K2">
        <f>BDH("SRFM US Equity","BS_CASH_NEAR_CASH_ITEM","1993-06-18","2026-05-02","Per=Y","Days=T","Dir=V")</f>
        <v>0</v>
      </c>
      <c r="M2">
        <f>BDH("SRFM US Equity","BS_CUR_ASSET_REPORT","1993-06-18","2026-05-02","Per=Y","Days=T","Dir=V")</f>
        <v>0</v>
      </c>
      <c r="O2">
        <f>BDH("SRFM US Equity","BS_CUR_LIAB","1993-06-18","2026-05-02","Per=Y","Days=T","Dir=V")</f>
        <v>0</v>
      </c>
      <c r="Q2">
        <f>BDH("SRFM US Equity","BS_SHAREHOLDER_EQY_ENDING_PERIOD","1993-06-18","2026-05-02","Per=Y","Days=T","Dir=V")</f>
        <v>0</v>
      </c>
      <c r="S2">
        <f>BDH("SRFM US Equity","BS_ACCT_NOTE_RCV","1993-06-18","2026-05-02","Per=Y","Days=T","Dir=V")</f>
        <v>0</v>
      </c>
      <c r="U2">
        <f>BDH("SRFM US Equity","BS_INVENTORIES","1993-06-18","2026-05-02","Per=Y","Days=T","Dir=V")</f>
        <v>0</v>
      </c>
      <c r="W2">
        <f>BDH("SRFM US Equity","WORKING_CAPITAL","1993-06-18","2026-05-02","Per=Y","Days=T","Dir=V")</f>
        <v>0</v>
      </c>
      <c r="Y2">
        <f>BDH("SRFM US Equity","SALES_REV_TURN","1993-06-18","2026-05-02","Per=Y","Days=T","Dir=V")</f>
        <v>0</v>
      </c>
      <c r="AA2">
        <f>BDH("SRFM US Equity","EBIT","1993-06-18","2026-05-02","Per=Y","Days=T","Dir=V")</f>
        <v>0</v>
      </c>
      <c r="AC2">
        <f>BDH("SRFM US Equity","EBITDA","1993-06-18","2026-05-02","Per=Y","Days=T","Dir=V")</f>
        <v>0</v>
      </c>
      <c r="AE2">
        <f>BDH("SRFM US Equity","NET_INCOME","1993-06-18","2026-05-02","Per=Y","Days=T","Dir=V")</f>
        <v>0</v>
      </c>
      <c r="AG2">
        <f>BDH("SRFM US Equity","IS_INT_EXPENSE","1993-06-18","2026-05-02","Per=Y","Days=T","Dir=V")</f>
        <v>0</v>
      </c>
      <c r="AI2">
        <f>BDH("SRFM US Equity","IS_DEPR_EXP","1993-06-18","2026-05-02","Per=Y","Days=T","Dir=V")</f>
        <v>0</v>
      </c>
      <c r="AK2">
        <f>BDH("SRFM US Equity","CF_CASH_FROM_OPER","1993-06-18","2026-05-02","Per=Y","Days=T","Dir=V")</f>
        <v>0</v>
      </c>
      <c r="AM2">
        <f>BDH("SRFM US Equity","CAPITAL_EXPEND","1993-06-18","2026-05-02","Per=Y","Days=T","Dir=V")</f>
        <v>0</v>
      </c>
      <c r="AO2">
        <f>BDH("SRFM US Equity","CF_FREE_CASH_FLOW","1993-06-18","2026-05-02","Per=Y","Days=T","Dir=V")</f>
        <v>0</v>
      </c>
      <c r="AQ2">
        <f>BDH("SRFM US Equity","PX_LAST","1993-06-18","2026-05-02","Per=M","Days=T","Dir=V")</f>
        <v>0</v>
      </c>
      <c r="AS2">
        <f>BDH("SRFM US Equity","CUR_MKT_CAP","1993-06-18","2026-05-02","Per=M","Days=T","Dir=V")</f>
        <v>0</v>
      </c>
      <c r="AU2">
        <f>BDH("SRFM US Equity","EQY_SH_OUT","1993-06-18","2026-05-02","Per=M","Days=T","Dir=V")</f>
        <v>0</v>
      </c>
      <c r="AW2">
        <f>BDH("SRFM US Equity","PX_VOLUME","1993-06-18","2026-05-02","Per=M","Days=T","Dir=V")</f>
        <v>0</v>
      </c>
      <c r="AY2">
        <f>BDH("SRFM US Equity","TURNOVER","1993-06-18","2026-05-02","Per=M","Days=T","Dir=V")</f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BDH("SRI US Equity","BS_TOT_ASSET","1993-06-18","2026-05-02","Per=Y","Days=T","Dir=V")</f>
        <v>0</v>
      </c>
      <c r="C2">
        <f>BDH("SRI US Equity","BS_TOT_LIAB2","1993-06-18","2026-05-02","Per=Y","Days=T","Dir=V")</f>
        <v>0</v>
      </c>
      <c r="E2">
        <f>BDH("SRI US Equity","SHORT_AND_LONG_TERM_DEBT","1993-06-18","2026-05-02","Per=Y","Days=T","Dir=V")</f>
        <v>0</v>
      </c>
      <c r="G2">
        <f>BDH("SRI US Equity","BS_ST_BORROW","1993-06-18","2026-05-02","Per=Y","Days=T","Dir=V")</f>
        <v>0</v>
      </c>
      <c r="I2">
        <f>BDH("SRI US Equity","BS_LT_BORROW","1993-06-18","2026-05-02","Per=Y","Days=T","Dir=V")</f>
        <v>0</v>
      </c>
      <c r="K2">
        <f>BDH("SRI US Equity","BS_CASH_NEAR_CASH_ITEM","1993-06-18","2026-05-02","Per=Y","Days=T","Dir=V")</f>
        <v>0</v>
      </c>
      <c r="M2">
        <f>BDH("SRI US Equity","BS_CUR_ASSET_REPORT","1993-06-18","2026-05-02","Per=Y","Days=T","Dir=V")</f>
        <v>0</v>
      </c>
      <c r="O2">
        <f>BDH("SRI US Equity","BS_CUR_LIAB","1993-06-18","2026-05-02","Per=Y","Days=T","Dir=V")</f>
        <v>0</v>
      </c>
      <c r="Q2">
        <f>BDH("SRI US Equity","BS_SHAREHOLDER_EQY_ENDING_PERIOD","1993-06-18","2026-05-02","Per=Y","Days=T","Dir=V")</f>
        <v>0</v>
      </c>
      <c r="S2">
        <f>BDH("SRI US Equity","BS_ACCT_NOTE_RCV","1993-06-18","2026-05-02","Per=Y","Days=T","Dir=V")</f>
        <v>0</v>
      </c>
      <c r="U2">
        <f>BDH("SRI US Equity","BS_INVENTORIES","1993-06-18","2026-05-02","Per=Y","Days=T","Dir=V")</f>
        <v>0</v>
      </c>
      <c r="W2">
        <f>BDH("SRI US Equity","WORKING_CAPITAL","1993-06-18","2026-05-02","Per=Y","Days=T","Dir=V")</f>
        <v>0</v>
      </c>
      <c r="Y2">
        <f>BDH("SRI US Equity","SALES_REV_TURN","1993-06-18","2026-05-02","Per=Y","Days=T","Dir=V")</f>
        <v>0</v>
      </c>
      <c r="AA2">
        <f>BDH("SRI US Equity","EBIT","1993-06-18","2026-05-02","Per=Y","Days=T","Dir=V")</f>
        <v>0</v>
      </c>
      <c r="AC2">
        <f>BDH("SRI US Equity","EBITDA","1993-06-18","2026-05-02","Per=Y","Days=T","Dir=V")</f>
        <v>0</v>
      </c>
      <c r="AE2">
        <f>BDH("SRI US Equity","NET_INCOME","1993-06-18","2026-05-02","Per=Y","Days=T","Dir=V")</f>
        <v>0</v>
      </c>
      <c r="AG2">
        <f>BDH("SRI US Equity","IS_INT_EXPENSE","1993-06-18","2026-05-02","Per=Y","Days=T","Dir=V")</f>
        <v>0</v>
      </c>
      <c r="AI2">
        <f>BDH("SRI US Equity","IS_DEPR_EXP","1993-06-18","2026-05-02","Per=Y","Days=T","Dir=V")</f>
        <v>0</v>
      </c>
      <c r="AK2">
        <f>BDH("SRI US Equity","CF_CASH_FROM_OPER","1993-06-18","2026-05-02","Per=Y","Days=T","Dir=V")</f>
        <v>0</v>
      </c>
      <c r="AM2">
        <f>BDH("SRI US Equity","CAPITAL_EXPEND","1993-06-18","2026-05-02","Per=Y","Days=T","Dir=V")</f>
        <v>0</v>
      </c>
      <c r="AO2">
        <f>BDH("SRI US Equity","CF_FREE_CASH_FLOW","1993-06-18","2026-05-02","Per=Y","Days=T","Dir=V")</f>
        <v>0</v>
      </c>
      <c r="AQ2">
        <f>BDH("SRI US Equity","PX_LAST","1993-06-18","2026-05-02","Per=M","Days=T","Dir=V")</f>
        <v>0</v>
      </c>
      <c r="AS2">
        <f>BDH("SRI US Equity","CUR_MKT_CAP","1993-06-18","2026-05-02","Per=M","Days=T","Dir=V")</f>
        <v>0</v>
      </c>
      <c r="AU2">
        <f>BDH("SRI US Equity","EQY_SH_OUT","1993-06-18","2026-05-02","Per=M","Days=T","Dir=V")</f>
        <v>0</v>
      </c>
      <c r="AW2">
        <f>BDH("SRI US Equity","PX_VOLUME","1993-06-18","2026-05-02","Per=M","Days=T","Dir=V")</f>
        <v>0</v>
      </c>
      <c r="AY2">
        <f>BDH("SRI US Equity","TURNOVER","1993-06-18","2026-05-02","Per=M","Days=T","Dir=V")</f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BDH("SRJN US Equity","BS_TOT_ASSET","1993-06-18","2026-05-02","Per=Y","Days=T","Dir=V")</f>
        <v>0</v>
      </c>
      <c r="C2">
        <f>BDH("SRJN US Equity","BS_TOT_LIAB2","1993-06-18","2026-05-02","Per=Y","Days=T","Dir=V")</f>
        <v>0</v>
      </c>
      <c r="E2">
        <f>BDH("SRJN US Equity","SHORT_AND_LONG_TERM_DEBT","1993-06-18","2026-05-02","Per=Y","Days=T","Dir=V")</f>
        <v>0</v>
      </c>
      <c r="G2">
        <f>BDH("SRJN US Equity","BS_ST_BORROW","1993-06-18","2026-05-02","Per=Y","Days=T","Dir=V")</f>
        <v>0</v>
      </c>
      <c r="I2">
        <f>BDH("SRJN US Equity","BS_LT_BORROW","1993-06-18","2026-05-02","Per=Y","Days=T","Dir=V")</f>
        <v>0</v>
      </c>
      <c r="K2">
        <f>BDH("SRJN US Equity","BS_CASH_NEAR_CASH_ITEM","1993-06-18","2026-05-02","Per=Y","Days=T","Dir=V")</f>
        <v>0</v>
      </c>
      <c r="M2">
        <f>BDH("SRJN US Equity","BS_CUR_ASSET_REPORT","1993-06-18","2026-05-02","Per=Y","Days=T","Dir=V")</f>
        <v>0</v>
      </c>
      <c r="O2">
        <f>BDH("SRJN US Equity","BS_CUR_LIAB","1993-06-18","2026-05-02","Per=Y","Days=T","Dir=V")</f>
        <v>0</v>
      </c>
      <c r="Q2">
        <f>BDH("SRJN US Equity","BS_SHAREHOLDER_EQY_ENDING_PERIOD","1993-06-18","2026-05-02","Per=Y","Days=T","Dir=V")</f>
        <v>0</v>
      </c>
      <c r="S2">
        <f>BDH("SRJN US Equity","BS_ACCT_NOTE_RCV","1993-06-18","2026-05-02","Per=Y","Days=T","Dir=V")</f>
        <v>0</v>
      </c>
      <c r="U2">
        <f>BDH("SRJN US Equity","BS_INVENTORIES","1993-06-18","2026-05-02","Per=Y","Days=T","Dir=V")</f>
        <v>0</v>
      </c>
      <c r="W2">
        <f>BDH("SRJN US Equity","WORKING_CAPITAL","1993-06-18","2026-05-02","Per=Y","Days=T","Dir=V")</f>
        <v>0</v>
      </c>
      <c r="Y2">
        <f>BDH("SRJN US Equity","SALES_REV_TURN","1993-06-18","2026-05-02","Per=Y","Days=T","Dir=V")</f>
        <v>0</v>
      </c>
      <c r="AA2">
        <f>BDH("SRJN US Equity","EBIT","1993-06-18","2026-05-02","Per=Y","Days=T","Dir=V")</f>
        <v>0</v>
      </c>
      <c r="AC2">
        <f>BDH("SRJN US Equity","EBITDA","1993-06-18","2026-05-02","Per=Y","Days=T","Dir=V")</f>
        <v>0</v>
      </c>
      <c r="AE2">
        <f>BDH("SRJN US Equity","NET_INCOME","1993-06-18","2026-05-02","Per=Y","Days=T","Dir=V")</f>
        <v>0</v>
      </c>
      <c r="AG2">
        <f>BDH("SRJN US Equity","IS_INT_EXPENSE","1993-06-18","2026-05-02","Per=Y","Days=T","Dir=V")</f>
        <v>0</v>
      </c>
      <c r="AI2">
        <f>BDH("SRJN US Equity","IS_DEPR_EXP","1993-06-18","2026-05-02","Per=Y","Days=T","Dir=V")</f>
        <v>0</v>
      </c>
      <c r="AK2">
        <f>BDH("SRJN US Equity","CF_CASH_FROM_OPER","1993-06-18","2026-05-02","Per=Y","Days=T","Dir=V")</f>
        <v>0</v>
      </c>
      <c r="AM2">
        <f>BDH("SRJN US Equity","CAPITAL_EXPEND","1993-06-18","2026-05-02","Per=Y","Days=T","Dir=V")</f>
        <v>0</v>
      </c>
      <c r="AO2">
        <f>BDH("SRJN US Equity","CF_FREE_CASH_FLOW","1993-06-18","2026-05-02","Per=Y","Days=T","Dir=V")</f>
        <v>0</v>
      </c>
      <c r="AQ2">
        <f>BDH("SRJN US Equity","PX_LAST","1993-06-18","2026-05-02","Per=M","Days=T","Dir=V")</f>
        <v>0</v>
      </c>
      <c r="AS2">
        <f>BDH("SRJN US Equity","CUR_MKT_CAP","1993-06-18","2026-05-02","Per=M","Days=T","Dir=V")</f>
        <v>0</v>
      </c>
      <c r="AU2">
        <f>BDH("SRJN US Equity","EQY_SH_OUT","1993-06-18","2026-05-02","Per=M","Days=T","Dir=V")</f>
        <v>0</v>
      </c>
      <c r="AW2">
        <f>BDH("SRJN US Equity","PX_VOLUME","1993-06-18","2026-05-02","Per=M","Days=T","Dir=V")</f>
        <v>0</v>
      </c>
      <c r="AY2">
        <f>BDH("SRJN US Equity","TURNOVER","1993-06-18","2026-05-02","Per=M","Days=T","Dir=V")</f>
        <v>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BDH("SRPT US Equity","BS_TOT_ASSET","1993-06-18","2026-05-02","Per=Y","Days=T","Dir=V")</f>
        <v>0</v>
      </c>
      <c r="C2">
        <f>BDH("SRPT US Equity","BS_TOT_LIAB2","1993-06-18","2026-05-02","Per=Y","Days=T","Dir=V")</f>
        <v>0</v>
      </c>
      <c r="E2">
        <f>BDH("SRPT US Equity","SHORT_AND_LONG_TERM_DEBT","1993-06-18","2026-05-02","Per=Y","Days=T","Dir=V")</f>
        <v>0</v>
      </c>
      <c r="G2">
        <f>BDH("SRPT US Equity","BS_ST_BORROW","1993-06-18","2026-05-02","Per=Y","Days=T","Dir=V")</f>
        <v>0</v>
      </c>
      <c r="I2">
        <f>BDH("SRPT US Equity","BS_LT_BORROW","1993-06-18","2026-05-02","Per=Y","Days=T","Dir=V")</f>
        <v>0</v>
      </c>
      <c r="K2">
        <f>BDH("SRPT US Equity","BS_CASH_NEAR_CASH_ITEM","1993-06-18","2026-05-02","Per=Y","Days=T","Dir=V")</f>
        <v>0</v>
      </c>
      <c r="M2">
        <f>BDH("SRPT US Equity","BS_CUR_ASSET_REPORT","1993-06-18","2026-05-02","Per=Y","Days=T","Dir=V")</f>
        <v>0</v>
      </c>
      <c r="O2">
        <f>BDH("SRPT US Equity","BS_CUR_LIAB","1993-06-18","2026-05-02","Per=Y","Days=T","Dir=V")</f>
        <v>0</v>
      </c>
      <c r="Q2">
        <f>BDH("SRPT US Equity","BS_SHAREHOLDER_EQY_ENDING_PERIOD","1993-06-18","2026-05-02","Per=Y","Days=T","Dir=V")</f>
        <v>0</v>
      </c>
      <c r="S2">
        <f>BDH("SRPT US Equity","BS_ACCT_NOTE_RCV","1993-06-18","2026-05-02","Per=Y","Days=T","Dir=V")</f>
        <v>0</v>
      </c>
      <c r="U2">
        <f>BDH("SRPT US Equity","BS_INVENTORIES","1993-06-18","2026-05-02","Per=Y","Days=T","Dir=V")</f>
        <v>0</v>
      </c>
      <c r="W2">
        <f>BDH("SRPT US Equity","WORKING_CAPITAL","1993-06-18","2026-05-02","Per=Y","Days=T","Dir=V")</f>
        <v>0</v>
      </c>
      <c r="Y2">
        <f>BDH("SRPT US Equity","SALES_REV_TURN","1993-06-18","2026-05-02","Per=Y","Days=T","Dir=V")</f>
        <v>0</v>
      </c>
      <c r="AA2">
        <f>BDH("SRPT US Equity","EBIT","1993-06-18","2026-05-02","Per=Y","Days=T","Dir=V")</f>
        <v>0</v>
      </c>
      <c r="AC2">
        <f>BDH("SRPT US Equity","EBITDA","1993-06-18","2026-05-02","Per=Y","Days=T","Dir=V")</f>
        <v>0</v>
      </c>
      <c r="AE2">
        <f>BDH("SRPT US Equity","NET_INCOME","1993-06-18","2026-05-02","Per=Y","Days=T","Dir=V")</f>
        <v>0</v>
      </c>
      <c r="AG2">
        <f>BDH("SRPT US Equity","IS_INT_EXPENSE","1993-06-18","2026-05-02","Per=Y","Days=T","Dir=V")</f>
        <v>0</v>
      </c>
      <c r="AI2">
        <f>BDH("SRPT US Equity","IS_DEPR_EXP","1993-06-18","2026-05-02","Per=Y","Days=T","Dir=V")</f>
        <v>0</v>
      </c>
      <c r="AK2">
        <f>BDH("SRPT US Equity","CF_CASH_FROM_OPER","1993-06-18","2026-05-02","Per=Y","Days=T","Dir=V")</f>
        <v>0</v>
      </c>
      <c r="AM2">
        <f>BDH("SRPT US Equity","CAPITAL_EXPEND","1993-06-18","2026-05-02","Per=Y","Days=T","Dir=V")</f>
        <v>0</v>
      </c>
      <c r="AO2">
        <f>BDH("SRPT US Equity","CF_FREE_CASH_FLOW","1993-06-18","2026-05-02","Per=Y","Days=T","Dir=V")</f>
        <v>0</v>
      </c>
      <c r="AQ2">
        <f>BDH("SRPT US Equity","PX_LAST","1993-06-18","2026-05-02","Per=M","Days=T","Dir=V")</f>
        <v>0</v>
      </c>
      <c r="AS2">
        <f>BDH("SRPT US Equity","CUR_MKT_CAP","1993-06-18","2026-05-02","Per=M","Days=T","Dir=V")</f>
        <v>0</v>
      </c>
      <c r="AU2">
        <f>BDH("SRPT US Equity","EQY_SH_OUT","1993-06-18","2026-05-02","Per=M","Days=T","Dir=V")</f>
        <v>0</v>
      </c>
      <c r="AW2">
        <f>BDH("SRPT US Equity","PX_VOLUME","1993-06-18","2026-05-02","Per=M","Days=T","Dir=V")</f>
        <v>0</v>
      </c>
      <c r="AY2">
        <f>BDH("SRPT US Equity","TURNOVER","1993-06-18","2026-05-02","Per=M","Days=T","Dir=V")</f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BDH("SRRK US Equity","BS_TOT_ASSET","1993-06-18","2026-05-02","Per=Y","Days=T","Dir=V")</f>
        <v>0</v>
      </c>
      <c r="C2">
        <f>BDH("SRRK US Equity","BS_TOT_LIAB2","1993-06-18","2026-05-02","Per=Y","Days=T","Dir=V")</f>
        <v>0</v>
      </c>
      <c r="E2">
        <f>BDH("SRRK US Equity","SHORT_AND_LONG_TERM_DEBT","1993-06-18","2026-05-02","Per=Y","Days=T","Dir=V")</f>
        <v>0</v>
      </c>
      <c r="G2">
        <f>BDH("SRRK US Equity","BS_ST_BORROW","1993-06-18","2026-05-02","Per=Y","Days=T","Dir=V")</f>
        <v>0</v>
      </c>
      <c r="I2">
        <f>BDH("SRRK US Equity","BS_LT_BORROW","1993-06-18","2026-05-02","Per=Y","Days=T","Dir=V")</f>
        <v>0</v>
      </c>
      <c r="K2">
        <f>BDH("SRRK US Equity","BS_CASH_NEAR_CASH_ITEM","1993-06-18","2026-05-02","Per=Y","Days=T","Dir=V")</f>
        <v>0</v>
      </c>
      <c r="M2">
        <f>BDH("SRRK US Equity","BS_CUR_ASSET_REPORT","1993-06-18","2026-05-02","Per=Y","Days=T","Dir=V")</f>
        <v>0</v>
      </c>
      <c r="O2">
        <f>BDH("SRRK US Equity","BS_CUR_LIAB","1993-06-18","2026-05-02","Per=Y","Days=T","Dir=V")</f>
        <v>0</v>
      </c>
      <c r="Q2">
        <f>BDH("SRRK US Equity","BS_SHAREHOLDER_EQY_ENDING_PERIOD","1993-06-18","2026-05-02","Per=Y","Days=T","Dir=V")</f>
        <v>0</v>
      </c>
      <c r="S2">
        <f>BDH("SRRK US Equity","BS_ACCT_NOTE_RCV","1993-06-18","2026-05-02","Per=Y","Days=T","Dir=V")</f>
        <v>0</v>
      </c>
      <c r="U2">
        <f>BDH("SRRK US Equity","BS_INVENTORIES","1993-06-18","2026-05-02","Per=Y","Days=T","Dir=V")</f>
        <v>0</v>
      </c>
      <c r="W2">
        <f>BDH("SRRK US Equity","WORKING_CAPITAL","1993-06-18","2026-05-02","Per=Y","Days=T","Dir=V")</f>
        <v>0</v>
      </c>
      <c r="Y2">
        <f>BDH("SRRK US Equity","SALES_REV_TURN","1993-06-18","2026-05-02","Per=Y","Days=T","Dir=V")</f>
        <v>0</v>
      </c>
      <c r="AA2">
        <f>BDH("SRRK US Equity","EBIT","1993-06-18","2026-05-02","Per=Y","Days=T","Dir=V")</f>
        <v>0</v>
      </c>
      <c r="AC2">
        <f>BDH("SRRK US Equity","EBITDA","1993-06-18","2026-05-02","Per=Y","Days=T","Dir=V")</f>
        <v>0</v>
      </c>
      <c r="AE2">
        <f>BDH("SRRK US Equity","NET_INCOME","1993-06-18","2026-05-02","Per=Y","Days=T","Dir=V")</f>
        <v>0</v>
      </c>
      <c r="AG2">
        <f>BDH("SRRK US Equity","IS_INT_EXPENSE","1993-06-18","2026-05-02","Per=Y","Days=T","Dir=V")</f>
        <v>0</v>
      </c>
      <c r="AI2">
        <f>BDH("SRRK US Equity","IS_DEPR_EXP","1993-06-18","2026-05-02","Per=Y","Days=T","Dir=V")</f>
        <v>0</v>
      </c>
      <c r="AK2">
        <f>BDH("SRRK US Equity","CF_CASH_FROM_OPER","1993-06-18","2026-05-02","Per=Y","Days=T","Dir=V")</f>
        <v>0</v>
      </c>
      <c r="AM2">
        <f>BDH("SRRK US Equity","CAPITAL_EXPEND","1993-06-18","2026-05-02","Per=Y","Days=T","Dir=V")</f>
        <v>0</v>
      </c>
      <c r="AO2">
        <f>BDH("SRRK US Equity","CF_FREE_CASH_FLOW","1993-06-18","2026-05-02","Per=Y","Days=T","Dir=V")</f>
        <v>0</v>
      </c>
      <c r="AQ2">
        <f>BDH("SRRK US Equity","PX_LAST","1993-06-18","2026-05-02","Per=M","Days=T","Dir=V")</f>
        <v>0</v>
      </c>
      <c r="AS2">
        <f>BDH("SRRK US Equity","CUR_MKT_CAP","1993-06-18","2026-05-02","Per=M","Days=T","Dir=V")</f>
        <v>0</v>
      </c>
      <c r="AU2">
        <f>BDH("SRRK US Equity","EQY_SH_OUT","1993-06-18","2026-05-02","Per=M","Days=T","Dir=V")</f>
        <v>0</v>
      </c>
      <c r="AW2">
        <f>BDH("SRRK US Equity","PX_VOLUME","1993-06-18","2026-05-02","Per=M","Days=T","Dir=V")</f>
        <v>0</v>
      </c>
      <c r="AY2">
        <f>BDH("SRRK US Equity","TURNOVER","1993-06-18","2026-05-02","Per=M","Days=T","Dir=V")</f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BDH("SRTA US Equity","BS_TOT_ASSET","1993-06-18","2026-05-02","Per=Y","Days=T","Dir=V")</f>
        <v>0</v>
      </c>
      <c r="C2">
        <f>BDH("SRTA US Equity","BS_TOT_LIAB2","1993-06-18","2026-05-02","Per=Y","Days=T","Dir=V")</f>
        <v>0</v>
      </c>
      <c r="E2">
        <f>BDH("SRTA US Equity","SHORT_AND_LONG_TERM_DEBT","1993-06-18","2026-05-02","Per=Y","Days=T","Dir=V")</f>
        <v>0</v>
      </c>
      <c r="G2">
        <f>BDH("SRTA US Equity","BS_ST_BORROW","1993-06-18","2026-05-02","Per=Y","Days=T","Dir=V")</f>
        <v>0</v>
      </c>
      <c r="I2">
        <f>BDH("SRTA US Equity","BS_LT_BORROW","1993-06-18","2026-05-02","Per=Y","Days=T","Dir=V")</f>
        <v>0</v>
      </c>
      <c r="K2">
        <f>BDH("SRTA US Equity","BS_CASH_NEAR_CASH_ITEM","1993-06-18","2026-05-02","Per=Y","Days=T","Dir=V")</f>
        <v>0</v>
      </c>
      <c r="M2">
        <f>BDH("SRTA US Equity","BS_CUR_ASSET_REPORT","1993-06-18","2026-05-02","Per=Y","Days=T","Dir=V")</f>
        <v>0</v>
      </c>
      <c r="O2">
        <f>BDH("SRTA US Equity","BS_CUR_LIAB","1993-06-18","2026-05-02","Per=Y","Days=T","Dir=V")</f>
        <v>0</v>
      </c>
      <c r="Q2">
        <f>BDH("SRTA US Equity","BS_SHAREHOLDER_EQY_ENDING_PERIOD","1993-06-18","2026-05-02","Per=Y","Days=T","Dir=V")</f>
        <v>0</v>
      </c>
      <c r="S2">
        <f>BDH("SRTA US Equity","BS_ACCT_NOTE_RCV","1993-06-18","2026-05-02","Per=Y","Days=T","Dir=V")</f>
        <v>0</v>
      </c>
      <c r="U2">
        <f>BDH("SRTA US Equity","BS_INVENTORIES","1993-06-18","2026-05-02","Per=Y","Days=T","Dir=V")</f>
        <v>0</v>
      </c>
      <c r="W2">
        <f>BDH("SRTA US Equity","WORKING_CAPITAL","1993-06-18","2026-05-02","Per=Y","Days=T","Dir=V")</f>
        <v>0</v>
      </c>
      <c r="Y2">
        <f>BDH("SRTA US Equity","SALES_REV_TURN","1993-06-18","2026-05-02","Per=Y","Days=T","Dir=V")</f>
        <v>0</v>
      </c>
      <c r="AA2">
        <f>BDH("SRTA US Equity","EBIT","1993-06-18","2026-05-02","Per=Y","Days=T","Dir=V")</f>
        <v>0</v>
      </c>
      <c r="AC2">
        <f>BDH("SRTA US Equity","EBITDA","1993-06-18","2026-05-02","Per=Y","Days=T","Dir=V")</f>
        <v>0</v>
      </c>
      <c r="AE2">
        <f>BDH("SRTA US Equity","NET_INCOME","1993-06-18","2026-05-02","Per=Y","Days=T","Dir=V")</f>
        <v>0</v>
      </c>
      <c r="AG2">
        <f>BDH("SRTA US Equity","IS_INT_EXPENSE","1993-06-18","2026-05-02","Per=Y","Days=T","Dir=V")</f>
        <v>0</v>
      </c>
      <c r="AI2">
        <f>BDH("SRTA US Equity","IS_DEPR_EXP","1993-06-18","2026-05-02","Per=Y","Days=T","Dir=V")</f>
        <v>0</v>
      </c>
      <c r="AK2">
        <f>BDH("SRTA US Equity","CF_CASH_FROM_OPER","1993-06-18","2026-05-02","Per=Y","Days=T","Dir=V")</f>
        <v>0</v>
      </c>
      <c r="AM2">
        <f>BDH("SRTA US Equity","CAPITAL_EXPEND","1993-06-18","2026-05-02","Per=Y","Days=T","Dir=V")</f>
        <v>0</v>
      </c>
      <c r="AO2">
        <f>BDH("SRTA US Equity","CF_FREE_CASH_FLOW","1993-06-18","2026-05-02","Per=Y","Days=T","Dir=V")</f>
        <v>0</v>
      </c>
      <c r="AQ2">
        <f>BDH("SRTA US Equity","PX_LAST","1993-06-18","2026-05-02","Per=M","Days=T","Dir=V")</f>
        <v>0</v>
      </c>
      <c r="AS2">
        <f>BDH("SRTA US Equity","CUR_MKT_CAP","1993-06-18","2026-05-02","Per=M","Days=T","Dir=V")</f>
        <v>0</v>
      </c>
      <c r="AU2">
        <f>BDH("SRTA US Equity","EQY_SH_OUT","1993-06-18","2026-05-02","Per=M","Days=T","Dir=V")</f>
        <v>0</v>
      </c>
      <c r="AW2">
        <f>BDH("SRTA US Equity","PX_VOLUME","1993-06-18","2026-05-02","Per=M","Days=T","Dir=V")</f>
        <v>0</v>
      </c>
      <c r="AY2">
        <f>BDH("SRTA US Equity","TURNOVER","1993-06-18","2026-05-02","Per=M","Days=T","Dir=V")</f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BDH("SRTS US Equity","BS_TOT_ASSET","1993-06-18","2026-05-02","Per=Y","Days=T","Dir=V")</f>
        <v>0</v>
      </c>
      <c r="C2">
        <f>BDH("SRTS US Equity","BS_TOT_LIAB2","1993-06-18","2026-05-02","Per=Y","Days=T","Dir=V")</f>
        <v>0</v>
      </c>
      <c r="E2">
        <f>BDH("SRTS US Equity","SHORT_AND_LONG_TERM_DEBT","1993-06-18","2026-05-02","Per=Y","Days=T","Dir=V")</f>
        <v>0</v>
      </c>
      <c r="G2">
        <f>BDH("SRTS US Equity","BS_ST_BORROW","1993-06-18","2026-05-02","Per=Y","Days=T","Dir=V")</f>
        <v>0</v>
      </c>
      <c r="I2">
        <f>BDH("SRTS US Equity","BS_LT_BORROW","1993-06-18","2026-05-02","Per=Y","Days=T","Dir=V")</f>
        <v>0</v>
      </c>
      <c r="K2">
        <f>BDH("SRTS US Equity","BS_CASH_NEAR_CASH_ITEM","1993-06-18","2026-05-02","Per=Y","Days=T","Dir=V")</f>
        <v>0</v>
      </c>
      <c r="M2">
        <f>BDH("SRTS US Equity","BS_CUR_ASSET_REPORT","1993-06-18","2026-05-02","Per=Y","Days=T","Dir=V")</f>
        <v>0</v>
      </c>
      <c r="O2">
        <f>BDH("SRTS US Equity","BS_CUR_LIAB","1993-06-18","2026-05-02","Per=Y","Days=T","Dir=V")</f>
        <v>0</v>
      </c>
      <c r="Q2">
        <f>BDH("SRTS US Equity","BS_SHAREHOLDER_EQY_ENDING_PERIOD","1993-06-18","2026-05-02","Per=Y","Days=T","Dir=V")</f>
        <v>0</v>
      </c>
      <c r="S2">
        <f>BDH("SRTS US Equity","BS_ACCT_NOTE_RCV","1993-06-18","2026-05-02","Per=Y","Days=T","Dir=V")</f>
        <v>0</v>
      </c>
      <c r="U2">
        <f>BDH("SRTS US Equity","BS_INVENTORIES","1993-06-18","2026-05-02","Per=Y","Days=T","Dir=V")</f>
        <v>0</v>
      </c>
      <c r="W2">
        <f>BDH("SRTS US Equity","WORKING_CAPITAL","1993-06-18","2026-05-02","Per=Y","Days=T","Dir=V")</f>
        <v>0</v>
      </c>
      <c r="Y2">
        <f>BDH("SRTS US Equity","SALES_REV_TURN","1993-06-18","2026-05-02","Per=Y","Days=T","Dir=V")</f>
        <v>0</v>
      </c>
      <c r="AA2">
        <f>BDH("SRTS US Equity","EBIT","1993-06-18","2026-05-02","Per=Y","Days=T","Dir=V")</f>
        <v>0</v>
      </c>
      <c r="AC2">
        <f>BDH("SRTS US Equity","EBITDA","1993-06-18","2026-05-02","Per=Y","Days=T","Dir=V")</f>
        <v>0</v>
      </c>
      <c r="AE2">
        <f>BDH("SRTS US Equity","NET_INCOME","1993-06-18","2026-05-02","Per=Y","Days=T","Dir=V")</f>
        <v>0</v>
      </c>
      <c r="AG2">
        <f>BDH("SRTS US Equity","IS_INT_EXPENSE","1993-06-18","2026-05-02","Per=Y","Days=T","Dir=V")</f>
        <v>0</v>
      </c>
      <c r="AI2">
        <f>BDH("SRTS US Equity","IS_DEPR_EXP","1993-06-18","2026-05-02","Per=Y","Days=T","Dir=V")</f>
        <v>0</v>
      </c>
      <c r="AK2">
        <f>BDH("SRTS US Equity","CF_CASH_FROM_OPER","1993-06-18","2026-05-02","Per=Y","Days=T","Dir=V")</f>
        <v>0</v>
      </c>
      <c r="AM2">
        <f>BDH("SRTS US Equity","CAPITAL_EXPEND","1993-06-18","2026-05-02","Per=Y","Days=T","Dir=V")</f>
        <v>0</v>
      </c>
      <c r="AO2">
        <f>BDH("SRTS US Equity","CF_FREE_CASH_FLOW","1993-06-18","2026-05-02","Per=Y","Days=T","Dir=V")</f>
        <v>0</v>
      </c>
      <c r="AQ2">
        <f>BDH("SRTS US Equity","PX_LAST","1993-06-18","2026-05-02","Per=M","Days=T","Dir=V")</f>
        <v>0</v>
      </c>
      <c r="AS2">
        <f>BDH("SRTS US Equity","CUR_MKT_CAP","1993-06-18","2026-05-02","Per=M","Days=T","Dir=V")</f>
        <v>0</v>
      </c>
      <c r="AU2">
        <f>BDH("SRTS US Equity","EQY_SH_OUT","1993-06-18","2026-05-02","Per=M","Days=T","Dir=V")</f>
        <v>0</v>
      </c>
      <c r="AW2">
        <f>BDH("SRTS US Equity","PX_VOLUME","1993-06-18","2026-05-02","Per=M","Days=T","Dir=V")</f>
        <v>0</v>
      </c>
      <c r="AY2">
        <f>BDH("SRTS US Equity","TURNOVER","1993-06-18","2026-05-02","Per=M","Days=T","Dir=V")</f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BDH("SRZN US Equity","BS_TOT_ASSET","1993-06-18","2026-05-02","Per=Y","Days=T","Dir=V")</f>
        <v>0</v>
      </c>
      <c r="C2">
        <f>BDH("SRZN US Equity","BS_TOT_LIAB2","1993-06-18","2026-05-02","Per=Y","Days=T","Dir=V")</f>
        <v>0</v>
      </c>
      <c r="E2">
        <f>BDH("SRZN US Equity","SHORT_AND_LONG_TERM_DEBT","1993-06-18","2026-05-02","Per=Y","Days=T","Dir=V")</f>
        <v>0</v>
      </c>
      <c r="G2">
        <f>BDH("SRZN US Equity","BS_ST_BORROW","1993-06-18","2026-05-02","Per=Y","Days=T","Dir=V")</f>
        <v>0</v>
      </c>
      <c r="I2">
        <f>BDH("SRZN US Equity","BS_LT_BORROW","1993-06-18","2026-05-02","Per=Y","Days=T","Dir=V")</f>
        <v>0</v>
      </c>
      <c r="K2">
        <f>BDH("SRZN US Equity","BS_CASH_NEAR_CASH_ITEM","1993-06-18","2026-05-02","Per=Y","Days=T","Dir=V")</f>
        <v>0</v>
      </c>
      <c r="M2">
        <f>BDH("SRZN US Equity","BS_CUR_ASSET_REPORT","1993-06-18","2026-05-02","Per=Y","Days=T","Dir=V")</f>
        <v>0</v>
      </c>
      <c r="O2">
        <f>BDH("SRZN US Equity","BS_CUR_LIAB","1993-06-18","2026-05-02","Per=Y","Days=T","Dir=V")</f>
        <v>0</v>
      </c>
      <c r="Q2">
        <f>BDH("SRZN US Equity","BS_SHAREHOLDER_EQY_ENDING_PERIOD","1993-06-18","2026-05-02","Per=Y","Days=T","Dir=V")</f>
        <v>0</v>
      </c>
      <c r="S2">
        <f>BDH("SRZN US Equity","BS_ACCT_NOTE_RCV","1993-06-18","2026-05-02","Per=Y","Days=T","Dir=V")</f>
        <v>0</v>
      </c>
      <c r="U2">
        <f>BDH("SRZN US Equity","BS_INVENTORIES","1993-06-18","2026-05-02","Per=Y","Days=T","Dir=V")</f>
        <v>0</v>
      </c>
      <c r="W2">
        <f>BDH("SRZN US Equity","WORKING_CAPITAL","1993-06-18","2026-05-02","Per=Y","Days=T","Dir=V")</f>
        <v>0</v>
      </c>
      <c r="Y2">
        <f>BDH("SRZN US Equity","SALES_REV_TURN","1993-06-18","2026-05-02","Per=Y","Days=T","Dir=V")</f>
        <v>0</v>
      </c>
      <c r="AA2">
        <f>BDH("SRZN US Equity","EBIT","1993-06-18","2026-05-02","Per=Y","Days=T","Dir=V")</f>
        <v>0</v>
      </c>
      <c r="AC2">
        <f>BDH("SRZN US Equity","EBITDA","1993-06-18","2026-05-02","Per=Y","Days=T","Dir=V")</f>
        <v>0</v>
      </c>
      <c r="AE2">
        <f>BDH("SRZN US Equity","NET_INCOME","1993-06-18","2026-05-02","Per=Y","Days=T","Dir=V")</f>
        <v>0</v>
      </c>
      <c r="AG2">
        <f>BDH("SRZN US Equity","IS_INT_EXPENSE","1993-06-18","2026-05-02","Per=Y","Days=T","Dir=V")</f>
        <v>0</v>
      </c>
      <c r="AI2">
        <f>BDH("SRZN US Equity","IS_DEPR_EXP","1993-06-18","2026-05-02","Per=Y","Days=T","Dir=V")</f>
        <v>0</v>
      </c>
      <c r="AK2">
        <f>BDH("SRZN US Equity","CF_CASH_FROM_OPER","1993-06-18","2026-05-02","Per=Y","Days=T","Dir=V")</f>
        <v>0</v>
      </c>
      <c r="AM2">
        <f>BDH("SRZN US Equity","CAPITAL_EXPEND","1993-06-18","2026-05-02","Per=Y","Days=T","Dir=V")</f>
        <v>0</v>
      </c>
      <c r="AO2">
        <f>BDH("SRZN US Equity","CF_FREE_CASH_FLOW","1993-06-18","2026-05-02","Per=Y","Days=T","Dir=V")</f>
        <v>0</v>
      </c>
      <c r="AQ2">
        <f>BDH("SRZN US Equity","PX_LAST","1993-06-18","2026-05-02","Per=M","Days=T","Dir=V")</f>
        <v>0</v>
      </c>
      <c r="AS2">
        <f>BDH("SRZN US Equity","CUR_MKT_CAP","1993-06-18","2026-05-02","Per=M","Days=T","Dir=V")</f>
        <v>0</v>
      </c>
      <c r="AU2">
        <f>BDH("SRZN US Equity","EQY_SH_OUT","1993-06-18","2026-05-02","Per=M","Days=T","Dir=V")</f>
        <v>0</v>
      </c>
      <c r="AW2">
        <f>BDH("SRZN US Equity","PX_VOLUME","1993-06-18","2026-05-02","Per=M","Days=T","Dir=V")</f>
        <v>0</v>
      </c>
      <c r="AY2">
        <f>BDH("SRZN US Equity","TURNOVER","1993-06-18","2026-05-02","Per=M","Days=T","Dir=V")</f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BDH("SSD US Equity","BS_TOT_ASSET","1993-06-18","2026-05-02","Per=Y","Days=T","Dir=V")</f>
        <v>0</v>
      </c>
      <c r="C2">
        <f>BDH("SSD US Equity","BS_TOT_LIAB2","1993-06-18","2026-05-02","Per=Y","Days=T","Dir=V")</f>
        <v>0</v>
      </c>
      <c r="E2">
        <f>BDH("SSD US Equity","SHORT_AND_LONG_TERM_DEBT","1993-06-18","2026-05-02","Per=Y","Days=T","Dir=V")</f>
        <v>0</v>
      </c>
      <c r="G2">
        <f>BDH("SSD US Equity","BS_ST_BORROW","1993-06-18","2026-05-02","Per=Y","Days=T","Dir=V")</f>
        <v>0</v>
      </c>
      <c r="I2">
        <f>BDH("SSD US Equity","BS_LT_BORROW","1993-06-18","2026-05-02","Per=Y","Days=T","Dir=V")</f>
        <v>0</v>
      </c>
      <c r="K2">
        <f>BDH("SSD US Equity","BS_CASH_NEAR_CASH_ITEM","1993-06-18","2026-05-02","Per=Y","Days=T","Dir=V")</f>
        <v>0</v>
      </c>
      <c r="M2">
        <f>BDH("SSD US Equity","BS_CUR_ASSET_REPORT","1993-06-18","2026-05-02","Per=Y","Days=T","Dir=V")</f>
        <v>0</v>
      </c>
      <c r="O2">
        <f>BDH("SSD US Equity","BS_CUR_LIAB","1993-06-18","2026-05-02","Per=Y","Days=T","Dir=V")</f>
        <v>0</v>
      </c>
      <c r="Q2">
        <f>BDH("SSD US Equity","BS_SHAREHOLDER_EQY_ENDING_PERIOD","1993-06-18","2026-05-02","Per=Y","Days=T","Dir=V")</f>
        <v>0</v>
      </c>
      <c r="S2">
        <f>BDH("SSD US Equity","BS_ACCT_NOTE_RCV","1993-06-18","2026-05-02","Per=Y","Days=T","Dir=V")</f>
        <v>0</v>
      </c>
      <c r="U2">
        <f>BDH("SSD US Equity","BS_INVENTORIES","1993-06-18","2026-05-02","Per=Y","Days=T","Dir=V")</f>
        <v>0</v>
      </c>
      <c r="W2">
        <f>BDH("SSD US Equity","WORKING_CAPITAL","1993-06-18","2026-05-02","Per=Y","Days=T","Dir=V")</f>
        <v>0</v>
      </c>
      <c r="Y2">
        <f>BDH("SSD US Equity","SALES_REV_TURN","1993-06-18","2026-05-02","Per=Y","Days=T","Dir=V")</f>
        <v>0</v>
      </c>
      <c r="AA2">
        <f>BDH("SSD US Equity","EBIT","1993-06-18","2026-05-02","Per=Y","Days=T","Dir=V")</f>
        <v>0</v>
      </c>
      <c r="AC2">
        <f>BDH("SSD US Equity","EBITDA","1993-06-18","2026-05-02","Per=Y","Days=T","Dir=V")</f>
        <v>0</v>
      </c>
      <c r="AE2">
        <f>BDH("SSD US Equity","NET_INCOME","1993-06-18","2026-05-02","Per=Y","Days=T","Dir=V")</f>
        <v>0</v>
      </c>
      <c r="AG2">
        <f>BDH("SSD US Equity","IS_INT_EXPENSE","1993-06-18","2026-05-02","Per=Y","Days=T","Dir=V")</f>
        <v>0</v>
      </c>
      <c r="AI2">
        <f>BDH("SSD US Equity","IS_DEPR_EXP","1993-06-18","2026-05-02","Per=Y","Days=T","Dir=V")</f>
        <v>0</v>
      </c>
      <c r="AK2">
        <f>BDH("SSD US Equity","CF_CASH_FROM_OPER","1993-06-18","2026-05-02","Per=Y","Days=T","Dir=V")</f>
        <v>0</v>
      </c>
      <c r="AM2">
        <f>BDH("SSD US Equity","CAPITAL_EXPEND","1993-06-18","2026-05-02","Per=Y","Days=T","Dir=V")</f>
        <v>0</v>
      </c>
      <c r="AO2">
        <f>BDH("SSD US Equity","CF_FREE_CASH_FLOW","1993-06-18","2026-05-02","Per=Y","Days=T","Dir=V")</f>
        <v>0</v>
      </c>
      <c r="AQ2">
        <f>BDH("SSD US Equity","PX_LAST","1993-06-18","2026-05-02","Per=M","Days=T","Dir=V")</f>
        <v>0</v>
      </c>
      <c r="AS2">
        <f>BDH("SSD US Equity","CUR_MKT_CAP","1993-06-18","2026-05-02","Per=M","Days=T","Dir=V")</f>
        <v>0</v>
      </c>
      <c r="AU2">
        <f>BDH("SSD US Equity","EQY_SH_OUT","1993-06-18","2026-05-02","Per=M","Days=T","Dir=V")</f>
        <v>0</v>
      </c>
      <c r="AW2">
        <f>BDH("SSD US Equity","PX_VOLUME","1993-06-18","2026-05-02","Per=M","Days=T","Dir=V")</f>
        <v>0</v>
      </c>
      <c r="AY2">
        <f>BDH("SSD US Equity","TURNOVER","1993-06-18","2026-05-02","Per=M","Days=T","Dir=V")</f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BDH("SSNC US Equity","BS_TOT_ASSET","1993-06-18","2026-05-02","Per=Y","Days=T","Dir=V")</f>
        <v>0</v>
      </c>
      <c r="C2">
        <f>BDH("SSNC US Equity","BS_TOT_LIAB2","1993-06-18","2026-05-02","Per=Y","Days=T","Dir=V")</f>
        <v>0</v>
      </c>
      <c r="E2">
        <f>BDH("SSNC US Equity","SHORT_AND_LONG_TERM_DEBT","1993-06-18","2026-05-02","Per=Y","Days=T","Dir=V")</f>
        <v>0</v>
      </c>
      <c r="G2">
        <f>BDH("SSNC US Equity","BS_ST_BORROW","1993-06-18","2026-05-02","Per=Y","Days=T","Dir=V")</f>
        <v>0</v>
      </c>
      <c r="I2">
        <f>BDH("SSNC US Equity","BS_LT_BORROW","1993-06-18","2026-05-02","Per=Y","Days=T","Dir=V")</f>
        <v>0</v>
      </c>
      <c r="K2">
        <f>BDH("SSNC US Equity","BS_CASH_NEAR_CASH_ITEM","1993-06-18","2026-05-02","Per=Y","Days=T","Dir=V")</f>
        <v>0</v>
      </c>
      <c r="M2">
        <f>BDH("SSNC US Equity","BS_CUR_ASSET_REPORT","1993-06-18","2026-05-02","Per=Y","Days=T","Dir=V")</f>
        <v>0</v>
      </c>
      <c r="O2">
        <f>BDH("SSNC US Equity","BS_CUR_LIAB","1993-06-18","2026-05-02","Per=Y","Days=T","Dir=V")</f>
        <v>0</v>
      </c>
      <c r="Q2">
        <f>BDH("SSNC US Equity","BS_SHAREHOLDER_EQY_ENDING_PERIOD","1993-06-18","2026-05-02","Per=Y","Days=T","Dir=V")</f>
        <v>0</v>
      </c>
      <c r="S2">
        <f>BDH("SSNC US Equity","BS_ACCT_NOTE_RCV","1993-06-18","2026-05-02","Per=Y","Days=T","Dir=V")</f>
        <v>0</v>
      </c>
      <c r="U2">
        <f>BDH("SSNC US Equity","BS_INVENTORIES","1993-06-18","2026-05-02","Per=Y","Days=T","Dir=V")</f>
        <v>0</v>
      </c>
      <c r="W2">
        <f>BDH("SSNC US Equity","WORKING_CAPITAL","1993-06-18","2026-05-02","Per=Y","Days=T","Dir=V")</f>
        <v>0</v>
      </c>
      <c r="Y2">
        <f>BDH("SSNC US Equity","SALES_REV_TURN","1993-06-18","2026-05-02","Per=Y","Days=T","Dir=V")</f>
        <v>0</v>
      </c>
      <c r="AA2">
        <f>BDH("SSNC US Equity","EBIT","1993-06-18","2026-05-02","Per=Y","Days=T","Dir=V")</f>
        <v>0</v>
      </c>
      <c r="AC2">
        <f>BDH("SSNC US Equity","EBITDA","1993-06-18","2026-05-02","Per=Y","Days=T","Dir=V")</f>
        <v>0</v>
      </c>
      <c r="AE2">
        <f>BDH("SSNC US Equity","NET_INCOME","1993-06-18","2026-05-02","Per=Y","Days=T","Dir=V")</f>
        <v>0</v>
      </c>
      <c r="AG2">
        <f>BDH("SSNC US Equity","IS_INT_EXPENSE","1993-06-18","2026-05-02","Per=Y","Days=T","Dir=V")</f>
        <v>0</v>
      </c>
      <c r="AI2">
        <f>BDH("SSNC US Equity","IS_DEPR_EXP","1993-06-18","2026-05-02","Per=Y","Days=T","Dir=V")</f>
        <v>0</v>
      </c>
      <c r="AK2">
        <f>BDH("SSNC US Equity","CF_CASH_FROM_OPER","1993-06-18","2026-05-02","Per=Y","Days=T","Dir=V")</f>
        <v>0</v>
      </c>
      <c r="AM2">
        <f>BDH("SSNC US Equity","CAPITAL_EXPEND","1993-06-18","2026-05-02","Per=Y","Days=T","Dir=V")</f>
        <v>0</v>
      </c>
      <c r="AO2">
        <f>BDH("SSNC US Equity","CF_FREE_CASH_FLOW","1993-06-18","2026-05-02","Per=Y","Days=T","Dir=V")</f>
        <v>0</v>
      </c>
      <c r="AQ2">
        <f>BDH("SSNC US Equity","PX_LAST","1993-06-18","2026-05-02","Per=M","Days=T","Dir=V")</f>
        <v>0</v>
      </c>
      <c r="AS2">
        <f>BDH("SSNC US Equity","CUR_MKT_CAP","1993-06-18","2026-05-02","Per=M","Days=T","Dir=V")</f>
        <v>0</v>
      </c>
      <c r="AU2">
        <f>BDH("SSNC US Equity","EQY_SH_OUT","1993-06-18","2026-05-02","Per=M","Days=T","Dir=V")</f>
        <v>0</v>
      </c>
      <c r="AW2">
        <f>BDH("SSNC US Equity","PX_VOLUME","1993-06-18","2026-05-02","Per=M","Days=T","Dir=V")</f>
        <v>0</v>
      </c>
      <c r="AY2">
        <f>BDH("SSNC US Equity","TURNOVER","1993-06-18","2026-05-02","Per=M","Days=T","Dir=V")</f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BDH("SSP US Equity","BS_TOT_ASSET","1993-06-18","2026-05-02","Per=Y","Days=T","Dir=V")</f>
        <v>0</v>
      </c>
      <c r="C2">
        <f>BDH("SSP US Equity","BS_TOT_LIAB2","1993-06-18","2026-05-02","Per=Y","Days=T","Dir=V")</f>
        <v>0</v>
      </c>
      <c r="E2">
        <f>BDH("SSP US Equity","SHORT_AND_LONG_TERM_DEBT","1993-06-18","2026-05-02","Per=Y","Days=T","Dir=V")</f>
        <v>0</v>
      </c>
      <c r="G2">
        <f>BDH("SSP US Equity","BS_ST_BORROW","1993-06-18","2026-05-02","Per=Y","Days=T","Dir=V")</f>
        <v>0</v>
      </c>
      <c r="I2">
        <f>BDH("SSP US Equity","BS_LT_BORROW","1993-06-18","2026-05-02","Per=Y","Days=T","Dir=V")</f>
        <v>0</v>
      </c>
      <c r="K2">
        <f>BDH("SSP US Equity","BS_CASH_NEAR_CASH_ITEM","1993-06-18","2026-05-02","Per=Y","Days=T","Dir=V")</f>
        <v>0</v>
      </c>
      <c r="M2">
        <f>BDH("SSP US Equity","BS_CUR_ASSET_REPORT","1993-06-18","2026-05-02","Per=Y","Days=T","Dir=V")</f>
        <v>0</v>
      </c>
      <c r="O2">
        <f>BDH("SSP US Equity","BS_CUR_LIAB","1993-06-18","2026-05-02","Per=Y","Days=T","Dir=V")</f>
        <v>0</v>
      </c>
      <c r="Q2">
        <f>BDH("SSP US Equity","BS_SHAREHOLDER_EQY_ENDING_PERIOD","1993-06-18","2026-05-02","Per=Y","Days=T","Dir=V")</f>
        <v>0</v>
      </c>
      <c r="S2">
        <f>BDH("SSP US Equity","BS_ACCT_NOTE_RCV","1993-06-18","2026-05-02","Per=Y","Days=T","Dir=V")</f>
        <v>0</v>
      </c>
      <c r="U2">
        <f>BDH("SSP US Equity","BS_INVENTORIES","1993-06-18","2026-05-02","Per=Y","Days=T","Dir=V")</f>
        <v>0</v>
      </c>
      <c r="W2">
        <f>BDH("SSP US Equity","WORKING_CAPITAL","1993-06-18","2026-05-02","Per=Y","Days=T","Dir=V")</f>
        <v>0</v>
      </c>
      <c r="Y2">
        <f>BDH("SSP US Equity","SALES_REV_TURN","1993-06-18","2026-05-02","Per=Y","Days=T","Dir=V")</f>
        <v>0</v>
      </c>
      <c r="AA2">
        <f>BDH("SSP US Equity","EBIT","1993-06-18","2026-05-02","Per=Y","Days=T","Dir=V")</f>
        <v>0</v>
      </c>
      <c r="AC2">
        <f>BDH("SSP US Equity","EBITDA","1993-06-18","2026-05-02","Per=Y","Days=T","Dir=V")</f>
        <v>0</v>
      </c>
      <c r="AE2">
        <f>BDH("SSP US Equity","NET_INCOME","1993-06-18","2026-05-02","Per=Y","Days=T","Dir=V")</f>
        <v>0</v>
      </c>
      <c r="AG2">
        <f>BDH("SSP US Equity","IS_INT_EXPENSE","1993-06-18","2026-05-02","Per=Y","Days=T","Dir=V")</f>
        <v>0</v>
      </c>
      <c r="AI2">
        <f>BDH("SSP US Equity","IS_DEPR_EXP","1993-06-18","2026-05-02","Per=Y","Days=T","Dir=V")</f>
        <v>0</v>
      </c>
      <c r="AK2">
        <f>BDH("SSP US Equity","CF_CASH_FROM_OPER","1993-06-18","2026-05-02","Per=Y","Days=T","Dir=V")</f>
        <v>0</v>
      </c>
      <c r="AM2">
        <f>BDH("SSP US Equity","CAPITAL_EXPEND","1993-06-18","2026-05-02","Per=Y","Days=T","Dir=V")</f>
        <v>0</v>
      </c>
      <c r="AO2">
        <f>BDH("SSP US Equity","CF_FREE_CASH_FLOW","1993-06-18","2026-05-02","Per=Y","Days=T","Dir=V")</f>
        <v>0</v>
      </c>
      <c r="AQ2">
        <f>BDH("SSP US Equity","PX_LAST","1993-06-18","2026-05-02","Per=M","Days=T","Dir=V")</f>
        <v>0</v>
      </c>
      <c r="AS2">
        <f>BDH("SSP US Equity","CUR_MKT_CAP","1993-06-18","2026-05-02","Per=M","Days=T","Dir=V")</f>
        <v>0</v>
      </c>
      <c r="AU2">
        <f>BDH("SSP US Equity","EQY_SH_OUT","1993-06-18","2026-05-02","Per=M","Days=T","Dir=V")</f>
        <v>0</v>
      </c>
      <c r="AW2">
        <f>BDH("SSP US Equity","PX_VOLUME","1993-06-18","2026-05-02","Per=M","Days=T","Dir=V")</f>
        <v>0</v>
      </c>
      <c r="AY2">
        <f>BDH("SSP US Equity","TURNOVER","1993-06-18","2026-05-02","Per=M","Days=T","Dir=V")</f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BDH("SST US Equity","BS_TOT_ASSET","1993-06-18","2026-05-02","Per=Y","Days=T","Dir=V")</f>
        <v>0</v>
      </c>
      <c r="C2">
        <f>BDH("SST US Equity","BS_TOT_LIAB2","1993-06-18","2026-05-02","Per=Y","Days=T","Dir=V")</f>
        <v>0</v>
      </c>
      <c r="E2">
        <f>BDH("SST US Equity","SHORT_AND_LONG_TERM_DEBT","1993-06-18","2026-05-02","Per=Y","Days=T","Dir=V")</f>
        <v>0</v>
      </c>
      <c r="G2">
        <f>BDH("SST US Equity","BS_ST_BORROW","1993-06-18","2026-05-02","Per=Y","Days=T","Dir=V")</f>
        <v>0</v>
      </c>
      <c r="I2">
        <f>BDH("SST US Equity","BS_LT_BORROW","1993-06-18","2026-05-02","Per=Y","Days=T","Dir=V")</f>
        <v>0</v>
      </c>
      <c r="K2">
        <f>BDH("SST US Equity","BS_CASH_NEAR_CASH_ITEM","1993-06-18","2026-05-02","Per=Y","Days=T","Dir=V")</f>
        <v>0</v>
      </c>
      <c r="M2">
        <f>BDH("SST US Equity","BS_CUR_ASSET_REPORT","1993-06-18","2026-05-02","Per=Y","Days=T","Dir=V")</f>
        <v>0</v>
      </c>
      <c r="O2">
        <f>BDH("SST US Equity","BS_CUR_LIAB","1993-06-18","2026-05-02","Per=Y","Days=T","Dir=V")</f>
        <v>0</v>
      </c>
      <c r="Q2">
        <f>BDH("SST US Equity","BS_SHAREHOLDER_EQY_ENDING_PERIOD","1993-06-18","2026-05-02","Per=Y","Days=T","Dir=V")</f>
        <v>0</v>
      </c>
      <c r="S2">
        <f>BDH("SST US Equity","BS_ACCT_NOTE_RCV","1993-06-18","2026-05-02","Per=Y","Days=T","Dir=V")</f>
        <v>0</v>
      </c>
      <c r="U2">
        <f>BDH("SST US Equity","BS_INVENTORIES","1993-06-18","2026-05-02","Per=Y","Days=T","Dir=V")</f>
        <v>0</v>
      </c>
      <c r="W2">
        <f>BDH("SST US Equity","WORKING_CAPITAL","1993-06-18","2026-05-02","Per=Y","Days=T","Dir=V")</f>
        <v>0</v>
      </c>
      <c r="Y2">
        <f>BDH("SST US Equity","SALES_REV_TURN","1993-06-18","2026-05-02","Per=Y","Days=T","Dir=V")</f>
        <v>0</v>
      </c>
      <c r="AA2">
        <f>BDH("SST US Equity","EBIT","1993-06-18","2026-05-02","Per=Y","Days=T","Dir=V")</f>
        <v>0</v>
      </c>
      <c r="AC2">
        <f>BDH("SST US Equity","EBITDA","1993-06-18","2026-05-02","Per=Y","Days=T","Dir=V")</f>
        <v>0</v>
      </c>
      <c r="AE2">
        <f>BDH("SST US Equity","NET_INCOME","1993-06-18","2026-05-02","Per=Y","Days=T","Dir=V")</f>
        <v>0</v>
      </c>
      <c r="AG2">
        <f>BDH("SST US Equity","IS_INT_EXPENSE","1993-06-18","2026-05-02","Per=Y","Days=T","Dir=V")</f>
        <v>0</v>
      </c>
      <c r="AI2">
        <f>BDH("SST US Equity","IS_DEPR_EXP","1993-06-18","2026-05-02","Per=Y","Days=T","Dir=V")</f>
        <v>0</v>
      </c>
      <c r="AK2">
        <f>BDH("SST US Equity","CF_CASH_FROM_OPER","1993-06-18","2026-05-02","Per=Y","Days=T","Dir=V")</f>
        <v>0</v>
      </c>
      <c r="AM2">
        <f>BDH("SST US Equity","CAPITAL_EXPEND","1993-06-18","2026-05-02","Per=Y","Days=T","Dir=V")</f>
        <v>0</v>
      </c>
      <c r="AO2">
        <f>BDH("SST US Equity","CF_FREE_CASH_FLOW","1993-06-18","2026-05-02","Per=Y","Days=T","Dir=V")</f>
        <v>0</v>
      </c>
      <c r="AQ2">
        <f>BDH("SST US Equity","PX_LAST","1993-06-18","2026-05-02","Per=M","Days=T","Dir=V")</f>
        <v>0</v>
      </c>
      <c r="AS2">
        <f>BDH("SST US Equity","CUR_MKT_CAP","1993-06-18","2026-05-02","Per=M","Days=T","Dir=V")</f>
        <v>0</v>
      </c>
      <c r="AU2">
        <f>BDH("SST US Equity","EQY_SH_OUT","1993-06-18","2026-05-02","Per=M","Days=T","Dir=V")</f>
        <v>0</v>
      </c>
      <c r="AW2">
        <f>BDH("SST US Equity","PX_VOLUME","1993-06-18","2026-05-02","Per=M","Days=T","Dir=V")</f>
        <v>0</v>
      </c>
      <c r="AY2">
        <f>BDH("SST US Equity","TURNOVER","1993-06-18","2026-05-02","Per=M","Days=T","Dir=V")</f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BDH("SSTI US Equity","BS_TOT_ASSET","1993-06-18","2026-05-02","Per=Y","Days=T","Dir=V")</f>
        <v>0</v>
      </c>
      <c r="C2">
        <f>BDH("SSTI US Equity","BS_TOT_LIAB2","1993-06-18","2026-05-02","Per=Y","Days=T","Dir=V")</f>
        <v>0</v>
      </c>
      <c r="E2">
        <f>BDH("SSTI US Equity","SHORT_AND_LONG_TERM_DEBT","1993-06-18","2026-05-02","Per=Y","Days=T","Dir=V")</f>
        <v>0</v>
      </c>
      <c r="G2">
        <f>BDH("SSTI US Equity","BS_ST_BORROW","1993-06-18","2026-05-02","Per=Y","Days=T","Dir=V")</f>
        <v>0</v>
      </c>
      <c r="I2">
        <f>BDH("SSTI US Equity","BS_LT_BORROW","1993-06-18","2026-05-02","Per=Y","Days=T","Dir=V")</f>
        <v>0</v>
      </c>
      <c r="K2">
        <f>BDH("SSTI US Equity","BS_CASH_NEAR_CASH_ITEM","1993-06-18","2026-05-02","Per=Y","Days=T","Dir=V")</f>
        <v>0</v>
      </c>
      <c r="M2">
        <f>BDH("SSTI US Equity","BS_CUR_ASSET_REPORT","1993-06-18","2026-05-02","Per=Y","Days=T","Dir=V")</f>
        <v>0</v>
      </c>
      <c r="O2">
        <f>BDH("SSTI US Equity","BS_CUR_LIAB","1993-06-18","2026-05-02","Per=Y","Days=T","Dir=V")</f>
        <v>0</v>
      </c>
      <c r="Q2">
        <f>BDH("SSTI US Equity","BS_SHAREHOLDER_EQY_ENDING_PERIOD","1993-06-18","2026-05-02","Per=Y","Days=T","Dir=V")</f>
        <v>0</v>
      </c>
      <c r="S2">
        <f>BDH("SSTI US Equity","BS_ACCT_NOTE_RCV","1993-06-18","2026-05-02","Per=Y","Days=T","Dir=V")</f>
        <v>0</v>
      </c>
      <c r="U2">
        <f>BDH("SSTI US Equity","BS_INVENTORIES","1993-06-18","2026-05-02","Per=Y","Days=T","Dir=V")</f>
        <v>0</v>
      </c>
      <c r="W2">
        <f>BDH("SSTI US Equity","WORKING_CAPITAL","1993-06-18","2026-05-02","Per=Y","Days=T","Dir=V")</f>
        <v>0</v>
      </c>
      <c r="Y2">
        <f>BDH("SSTI US Equity","SALES_REV_TURN","1993-06-18","2026-05-02","Per=Y","Days=T","Dir=V")</f>
        <v>0</v>
      </c>
      <c r="AA2">
        <f>BDH("SSTI US Equity","EBIT","1993-06-18","2026-05-02","Per=Y","Days=T","Dir=V")</f>
        <v>0</v>
      </c>
      <c r="AC2">
        <f>BDH("SSTI US Equity","EBITDA","1993-06-18","2026-05-02","Per=Y","Days=T","Dir=V")</f>
        <v>0</v>
      </c>
      <c r="AE2">
        <f>BDH("SSTI US Equity","NET_INCOME","1993-06-18","2026-05-02","Per=Y","Days=T","Dir=V")</f>
        <v>0</v>
      </c>
      <c r="AG2">
        <f>BDH("SSTI US Equity","IS_INT_EXPENSE","1993-06-18","2026-05-02","Per=Y","Days=T","Dir=V")</f>
        <v>0</v>
      </c>
      <c r="AI2">
        <f>BDH("SSTI US Equity","IS_DEPR_EXP","1993-06-18","2026-05-02","Per=Y","Days=T","Dir=V")</f>
        <v>0</v>
      </c>
      <c r="AK2">
        <f>BDH("SSTI US Equity","CF_CASH_FROM_OPER","1993-06-18","2026-05-02","Per=Y","Days=T","Dir=V")</f>
        <v>0</v>
      </c>
      <c r="AM2">
        <f>BDH("SSTI US Equity","CAPITAL_EXPEND","1993-06-18","2026-05-02","Per=Y","Days=T","Dir=V")</f>
        <v>0</v>
      </c>
      <c r="AO2">
        <f>BDH("SSTI US Equity","CF_FREE_CASH_FLOW","1993-06-18","2026-05-02","Per=Y","Days=T","Dir=V")</f>
        <v>0</v>
      </c>
      <c r="AQ2">
        <f>BDH("SSTI US Equity","PX_LAST","1993-06-18","2026-05-02","Per=M","Days=T","Dir=V")</f>
        <v>0</v>
      </c>
      <c r="AS2">
        <f>BDH("SSTI US Equity","CUR_MKT_CAP","1993-06-18","2026-05-02","Per=M","Days=T","Dir=V")</f>
        <v>0</v>
      </c>
      <c r="AU2">
        <f>BDH("SSTI US Equity","EQY_SH_OUT","1993-06-18","2026-05-02","Per=M","Days=T","Dir=V")</f>
        <v>0</v>
      </c>
      <c r="AW2">
        <f>BDH("SSTI US Equity","PX_VOLUME","1993-06-18","2026-05-02","Per=M","Days=T","Dir=V")</f>
        <v>0</v>
      </c>
      <c r="AY2">
        <f>BDH("SSTI US Equity","TURNOVER","1993-06-18","2026-05-02","Per=M","Days=T","Dir=V")</f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BDH("SSTK US Equity","BS_TOT_ASSET","1993-06-18","2026-05-02","Per=Y","Days=T","Dir=V")</f>
        <v>0</v>
      </c>
      <c r="C2">
        <f>BDH("SSTK US Equity","BS_TOT_LIAB2","1993-06-18","2026-05-02","Per=Y","Days=T","Dir=V")</f>
        <v>0</v>
      </c>
      <c r="E2">
        <f>BDH("SSTK US Equity","SHORT_AND_LONG_TERM_DEBT","1993-06-18","2026-05-02","Per=Y","Days=T","Dir=V")</f>
        <v>0</v>
      </c>
      <c r="G2">
        <f>BDH("SSTK US Equity","BS_ST_BORROW","1993-06-18","2026-05-02","Per=Y","Days=T","Dir=V")</f>
        <v>0</v>
      </c>
      <c r="I2">
        <f>BDH("SSTK US Equity","BS_LT_BORROW","1993-06-18","2026-05-02","Per=Y","Days=T","Dir=V")</f>
        <v>0</v>
      </c>
      <c r="K2">
        <f>BDH("SSTK US Equity","BS_CASH_NEAR_CASH_ITEM","1993-06-18","2026-05-02","Per=Y","Days=T","Dir=V")</f>
        <v>0</v>
      </c>
      <c r="M2">
        <f>BDH("SSTK US Equity","BS_CUR_ASSET_REPORT","1993-06-18","2026-05-02","Per=Y","Days=T","Dir=V")</f>
        <v>0</v>
      </c>
      <c r="O2">
        <f>BDH("SSTK US Equity","BS_CUR_LIAB","1993-06-18","2026-05-02","Per=Y","Days=T","Dir=V")</f>
        <v>0</v>
      </c>
      <c r="Q2">
        <f>BDH("SSTK US Equity","BS_SHAREHOLDER_EQY_ENDING_PERIOD","1993-06-18","2026-05-02","Per=Y","Days=T","Dir=V")</f>
        <v>0</v>
      </c>
      <c r="S2">
        <f>BDH("SSTK US Equity","BS_ACCT_NOTE_RCV","1993-06-18","2026-05-02","Per=Y","Days=T","Dir=V")</f>
        <v>0</v>
      </c>
      <c r="U2">
        <f>BDH("SSTK US Equity","BS_INVENTORIES","1993-06-18","2026-05-02","Per=Y","Days=T","Dir=V")</f>
        <v>0</v>
      </c>
      <c r="W2">
        <f>BDH("SSTK US Equity","WORKING_CAPITAL","1993-06-18","2026-05-02","Per=Y","Days=T","Dir=V")</f>
        <v>0</v>
      </c>
      <c r="Y2">
        <f>BDH("SSTK US Equity","SALES_REV_TURN","1993-06-18","2026-05-02","Per=Y","Days=T","Dir=V")</f>
        <v>0</v>
      </c>
      <c r="AA2">
        <f>BDH("SSTK US Equity","EBIT","1993-06-18","2026-05-02","Per=Y","Days=T","Dir=V")</f>
        <v>0</v>
      </c>
      <c r="AC2">
        <f>BDH("SSTK US Equity","EBITDA","1993-06-18","2026-05-02","Per=Y","Days=T","Dir=V")</f>
        <v>0</v>
      </c>
      <c r="AE2">
        <f>BDH("SSTK US Equity","NET_INCOME","1993-06-18","2026-05-02","Per=Y","Days=T","Dir=V")</f>
        <v>0</v>
      </c>
      <c r="AG2">
        <f>BDH("SSTK US Equity","IS_INT_EXPENSE","1993-06-18","2026-05-02","Per=Y","Days=T","Dir=V")</f>
        <v>0</v>
      </c>
      <c r="AI2">
        <f>BDH("SSTK US Equity","IS_DEPR_EXP","1993-06-18","2026-05-02","Per=Y","Days=T","Dir=V")</f>
        <v>0</v>
      </c>
      <c r="AK2">
        <f>BDH("SSTK US Equity","CF_CASH_FROM_OPER","1993-06-18","2026-05-02","Per=Y","Days=T","Dir=V")</f>
        <v>0</v>
      </c>
      <c r="AM2">
        <f>BDH("SSTK US Equity","CAPITAL_EXPEND","1993-06-18","2026-05-02","Per=Y","Days=T","Dir=V")</f>
        <v>0</v>
      </c>
      <c r="AO2">
        <f>BDH("SSTK US Equity","CF_FREE_CASH_FLOW","1993-06-18","2026-05-02","Per=Y","Days=T","Dir=V")</f>
        <v>0</v>
      </c>
      <c r="AQ2">
        <f>BDH("SSTK US Equity","PX_LAST","1993-06-18","2026-05-02","Per=M","Days=T","Dir=V")</f>
        <v>0</v>
      </c>
      <c r="AS2">
        <f>BDH("SSTK US Equity","CUR_MKT_CAP","1993-06-18","2026-05-02","Per=M","Days=T","Dir=V")</f>
        <v>0</v>
      </c>
      <c r="AU2">
        <f>BDH("SSTK US Equity","EQY_SH_OUT","1993-06-18","2026-05-02","Per=M","Days=T","Dir=V")</f>
        <v>0</v>
      </c>
      <c r="AW2">
        <f>BDH("SSTK US Equity","PX_VOLUME","1993-06-18","2026-05-02","Per=M","Days=T","Dir=V")</f>
        <v>0</v>
      </c>
      <c r="AY2">
        <f>BDH("SSTK US Equity","TURNOVER","1993-06-18","2026-05-02","Per=M","Days=T","Dir=V")</f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BDH("SSYS US Equity","BS_TOT_ASSET","1993-06-18","2026-05-02","Per=Y","Days=T","Dir=V")</f>
        <v>0</v>
      </c>
      <c r="C2">
        <f>BDH("SSYS US Equity","BS_TOT_LIAB2","1993-06-18","2026-05-02","Per=Y","Days=T","Dir=V")</f>
        <v>0</v>
      </c>
      <c r="E2">
        <f>BDH("SSYS US Equity","SHORT_AND_LONG_TERM_DEBT","1993-06-18","2026-05-02","Per=Y","Days=T","Dir=V")</f>
        <v>0</v>
      </c>
      <c r="G2">
        <f>BDH("SSYS US Equity","BS_ST_BORROW","1993-06-18","2026-05-02","Per=Y","Days=T","Dir=V")</f>
        <v>0</v>
      </c>
      <c r="I2">
        <f>BDH("SSYS US Equity","BS_LT_BORROW","1993-06-18","2026-05-02","Per=Y","Days=T","Dir=V")</f>
        <v>0</v>
      </c>
      <c r="K2">
        <f>BDH("SSYS US Equity","BS_CASH_NEAR_CASH_ITEM","1993-06-18","2026-05-02","Per=Y","Days=T","Dir=V")</f>
        <v>0</v>
      </c>
      <c r="M2">
        <f>BDH("SSYS US Equity","BS_CUR_ASSET_REPORT","1993-06-18","2026-05-02","Per=Y","Days=T","Dir=V")</f>
        <v>0</v>
      </c>
      <c r="O2">
        <f>BDH("SSYS US Equity","BS_CUR_LIAB","1993-06-18","2026-05-02","Per=Y","Days=T","Dir=V")</f>
        <v>0</v>
      </c>
      <c r="Q2">
        <f>BDH("SSYS US Equity","BS_SHAREHOLDER_EQY_ENDING_PERIOD","1993-06-18","2026-05-02","Per=Y","Days=T","Dir=V")</f>
        <v>0</v>
      </c>
      <c r="S2">
        <f>BDH("SSYS US Equity","BS_ACCT_NOTE_RCV","1993-06-18","2026-05-02","Per=Y","Days=T","Dir=V")</f>
        <v>0</v>
      </c>
      <c r="U2">
        <f>BDH("SSYS US Equity","BS_INVENTORIES","1993-06-18","2026-05-02","Per=Y","Days=T","Dir=V")</f>
        <v>0</v>
      </c>
      <c r="W2">
        <f>BDH("SSYS US Equity","WORKING_CAPITAL","1993-06-18","2026-05-02","Per=Y","Days=T","Dir=V")</f>
        <v>0</v>
      </c>
      <c r="Y2">
        <f>BDH("SSYS US Equity","SALES_REV_TURN","1993-06-18","2026-05-02","Per=Y","Days=T","Dir=V")</f>
        <v>0</v>
      </c>
      <c r="AA2">
        <f>BDH("SSYS US Equity","EBIT","1993-06-18","2026-05-02","Per=Y","Days=T","Dir=V")</f>
        <v>0</v>
      </c>
      <c r="AC2">
        <f>BDH("SSYS US Equity","EBITDA","1993-06-18","2026-05-02","Per=Y","Days=T","Dir=V")</f>
        <v>0</v>
      </c>
      <c r="AE2">
        <f>BDH("SSYS US Equity","NET_INCOME","1993-06-18","2026-05-02","Per=Y","Days=T","Dir=V")</f>
        <v>0</v>
      </c>
      <c r="AG2">
        <f>BDH("SSYS US Equity","IS_INT_EXPENSE","1993-06-18","2026-05-02","Per=Y","Days=T","Dir=V")</f>
        <v>0</v>
      </c>
      <c r="AI2">
        <f>BDH("SSYS US Equity","IS_DEPR_EXP","1993-06-18","2026-05-02","Per=Y","Days=T","Dir=V")</f>
        <v>0</v>
      </c>
      <c r="AK2">
        <f>BDH("SSYS US Equity","CF_CASH_FROM_OPER","1993-06-18","2026-05-02","Per=Y","Days=T","Dir=V")</f>
        <v>0</v>
      </c>
      <c r="AM2">
        <f>BDH("SSYS US Equity","CAPITAL_EXPEND","1993-06-18","2026-05-02","Per=Y","Days=T","Dir=V")</f>
        <v>0</v>
      </c>
      <c r="AO2">
        <f>BDH("SSYS US Equity","CF_FREE_CASH_FLOW","1993-06-18","2026-05-02","Per=Y","Days=T","Dir=V")</f>
        <v>0</v>
      </c>
      <c r="AQ2">
        <f>BDH("SSYS US Equity","PX_LAST","1993-06-18","2026-05-02","Per=M","Days=T","Dir=V")</f>
        <v>0</v>
      </c>
      <c r="AS2">
        <f>BDH("SSYS US Equity","CUR_MKT_CAP","1993-06-18","2026-05-02","Per=M","Days=T","Dir=V")</f>
        <v>0</v>
      </c>
      <c r="AU2">
        <f>BDH("SSYS US Equity","EQY_SH_OUT","1993-06-18","2026-05-02","Per=M","Days=T","Dir=V")</f>
        <v>0</v>
      </c>
      <c r="AW2">
        <f>BDH("SSYS US Equity","PX_VOLUME","1993-06-18","2026-05-02","Per=M","Days=T","Dir=V")</f>
        <v>0</v>
      </c>
      <c r="AY2">
        <f>BDH("SSYS US Equity","TURNOVER","1993-06-18","2026-05-02","Per=M","Days=T","Dir=V")</f>
        <v>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BDH("STAA US Equity","BS_TOT_ASSET","1993-06-18","2026-05-02","Per=Y","Days=T","Dir=V")</f>
        <v>0</v>
      </c>
      <c r="C2">
        <f>BDH("STAA US Equity","BS_TOT_LIAB2","1993-06-18","2026-05-02","Per=Y","Days=T","Dir=V")</f>
        <v>0</v>
      </c>
      <c r="E2">
        <f>BDH("STAA US Equity","SHORT_AND_LONG_TERM_DEBT","1993-06-18","2026-05-02","Per=Y","Days=T","Dir=V")</f>
        <v>0</v>
      </c>
      <c r="G2">
        <f>BDH("STAA US Equity","BS_ST_BORROW","1993-06-18","2026-05-02","Per=Y","Days=T","Dir=V")</f>
        <v>0</v>
      </c>
      <c r="I2">
        <f>BDH("STAA US Equity","BS_LT_BORROW","1993-06-18","2026-05-02","Per=Y","Days=T","Dir=V")</f>
        <v>0</v>
      </c>
      <c r="K2">
        <f>BDH("STAA US Equity","BS_CASH_NEAR_CASH_ITEM","1993-06-18","2026-05-02","Per=Y","Days=T","Dir=V")</f>
        <v>0</v>
      </c>
      <c r="M2">
        <f>BDH("STAA US Equity","BS_CUR_ASSET_REPORT","1993-06-18","2026-05-02","Per=Y","Days=T","Dir=V")</f>
        <v>0</v>
      </c>
      <c r="O2">
        <f>BDH("STAA US Equity","BS_CUR_LIAB","1993-06-18","2026-05-02","Per=Y","Days=T","Dir=V")</f>
        <v>0</v>
      </c>
      <c r="Q2">
        <f>BDH("STAA US Equity","BS_SHAREHOLDER_EQY_ENDING_PERIOD","1993-06-18","2026-05-02","Per=Y","Days=T","Dir=V")</f>
        <v>0</v>
      </c>
      <c r="S2">
        <f>BDH("STAA US Equity","BS_ACCT_NOTE_RCV","1993-06-18","2026-05-02","Per=Y","Days=T","Dir=V")</f>
        <v>0</v>
      </c>
      <c r="U2">
        <f>BDH("STAA US Equity","BS_INVENTORIES","1993-06-18","2026-05-02","Per=Y","Days=T","Dir=V")</f>
        <v>0</v>
      </c>
      <c r="W2">
        <f>BDH("STAA US Equity","WORKING_CAPITAL","1993-06-18","2026-05-02","Per=Y","Days=T","Dir=V")</f>
        <v>0</v>
      </c>
      <c r="Y2">
        <f>BDH("STAA US Equity","SALES_REV_TURN","1993-06-18","2026-05-02","Per=Y","Days=T","Dir=V")</f>
        <v>0</v>
      </c>
      <c r="AA2">
        <f>BDH("STAA US Equity","EBIT","1993-06-18","2026-05-02","Per=Y","Days=T","Dir=V")</f>
        <v>0</v>
      </c>
      <c r="AC2">
        <f>BDH("STAA US Equity","EBITDA","1993-06-18","2026-05-02","Per=Y","Days=T","Dir=V")</f>
        <v>0</v>
      </c>
      <c r="AE2">
        <f>BDH("STAA US Equity","NET_INCOME","1993-06-18","2026-05-02","Per=Y","Days=T","Dir=V")</f>
        <v>0</v>
      </c>
      <c r="AG2">
        <f>BDH("STAA US Equity","IS_INT_EXPENSE","1993-06-18","2026-05-02","Per=Y","Days=T","Dir=V")</f>
        <v>0</v>
      </c>
      <c r="AI2">
        <f>BDH("STAA US Equity","IS_DEPR_EXP","1993-06-18","2026-05-02","Per=Y","Days=T","Dir=V")</f>
        <v>0</v>
      </c>
      <c r="AK2">
        <f>BDH("STAA US Equity","CF_CASH_FROM_OPER","1993-06-18","2026-05-02","Per=Y","Days=T","Dir=V")</f>
        <v>0</v>
      </c>
      <c r="AM2">
        <f>BDH("STAA US Equity","CAPITAL_EXPEND","1993-06-18","2026-05-02","Per=Y","Days=T","Dir=V")</f>
        <v>0</v>
      </c>
      <c r="AO2">
        <f>BDH("STAA US Equity","CF_FREE_CASH_FLOW","1993-06-18","2026-05-02","Per=Y","Days=T","Dir=V")</f>
        <v>0</v>
      </c>
      <c r="AQ2">
        <f>BDH("STAA US Equity","PX_LAST","1993-06-18","2026-05-02","Per=M","Days=T","Dir=V")</f>
        <v>0</v>
      </c>
      <c r="AS2">
        <f>BDH("STAA US Equity","CUR_MKT_CAP","1993-06-18","2026-05-02","Per=M","Days=T","Dir=V")</f>
        <v>0</v>
      </c>
      <c r="AU2">
        <f>BDH("STAA US Equity","EQY_SH_OUT","1993-06-18","2026-05-02","Per=M","Days=T","Dir=V")</f>
        <v>0</v>
      </c>
      <c r="AW2">
        <f>BDH("STAA US Equity","PX_VOLUME","1993-06-18","2026-05-02","Per=M","Days=T","Dir=V")</f>
        <v>0</v>
      </c>
      <c r="AY2">
        <f>BDH("STAA US Equity","TURNOVER","1993-06-18","2026-05-02","Per=M","Days=T","Dir=V")</f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BDH("STE US Equity","BS_TOT_ASSET","1993-06-18","2026-05-02","Per=Y","Days=T","Dir=V")</f>
        <v>0</v>
      </c>
      <c r="C2">
        <f>BDH("STE US Equity","BS_TOT_LIAB2","1993-06-18","2026-05-02","Per=Y","Days=T","Dir=V")</f>
        <v>0</v>
      </c>
      <c r="E2">
        <f>BDH("STE US Equity","SHORT_AND_LONG_TERM_DEBT","1993-06-18","2026-05-02","Per=Y","Days=T","Dir=V")</f>
        <v>0</v>
      </c>
      <c r="G2">
        <f>BDH("STE US Equity","BS_ST_BORROW","1993-06-18","2026-05-02","Per=Y","Days=T","Dir=V")</f>
        <v>0</v>
      </c>
      <c r="I2">
        <f>BDH("STE US Equity","BS_LT_BORROW","1993-06-18","2026-05-02","Per=Y","Days=T","Dir=V")</f>
        <v>0</v>
      </c>
      <c r="K2">
        <f>BDH("STE US Equity","BS_CASH_NEAR_CASH_ITEM","1993-06-18","2026-05-02","Per=Y","Days=T","Dir=V")</f>
        <v>0</v>
      </c>
      <c r="M2">
        <f>BDH("STE US Equity","BS_CUR_ASSET_REPORT","1993-06-18","2026-05-02","Per=Y","Days=T","Dir=V")</f>
        <v>0</v>
      </c>
      <c r="O2">
        <f>BDH("STE US Equity","BS_CUR_LIAB","1993-06-18","2026-05-02","Per=Y","Days=T","Dir=V")</f>
        <v>0</v>
      </c>
      <c r="Q2">
        <f>BDH("STE US Equity","BS_SHAREHOLDER_EQY_ENDING_PERIOD","1993-06-18","2026-05-02","Per=Y","Days=T","Dir=V")</f>
        <v>0</v>
      </c>
      <c r="S2">
        <f>BDH("STE US Equity","BS_ACCT_NOTE_RCV","1993-06-18","2026-05-02","Per=Y","Days=T","Dir=V")</f>
        <v>0</v>
      </c>
      <c r="U2">
        <f>BDH("STE US Equity","BS_INVENTORIES","1993-06-18","2026-05-02","Per=Y","Days=T","Dir=V")</f>
        <v>0</v>
      </c>
      <c r="W2">
        <f>BDH("STE US Equity","WORKING_CAPITAL","1993-06-18","2026-05-02","Per=Y","Days=T","Dir=V")</f>
        <v>0</v>
      </c>
      <c r="Y2">
        <f>BDH("STE US Equity","SALES_REV_TURN","1993-06-18","2026-05-02","Per=Y","Days=T","Dir=V")</f>
        <v>0</v>
      </c>
      <c r="AA2">
        <f>BDH("STE US Equity","EBIT","1993-06-18","2026-05-02","Per=Y","Days=T","Dir=V")</f>
        <v>0</v>
      </c>
      <c r="AC2">
        <f>BDH("STE US Equity","EBITDA","1993-06-18","2026-05-02","Per=Y","Days=T","Dir=V")</f>
        <v>0</v>
      </c>
      <c r="AE2">
        <f>BDH("STE US Equity","NET_INCOME","1993-06-18","2026-05-02","Per=Y","Days=T","Dir=V")</f>
        <v>0</v>
      </c>
      <c r="AG2">
        <f>BDH("STE US Equity","IS_INT_EXPENSE","1993-06-18","2026-05-02","Per=Y","Days=T","Dir=V")</f>
        <v>0</v>
      </c>
      <c r="AI2">
        <f>BDH("STE US Equity","IS_DEPR_EXP","1993-06-18","2026-05-02","Per=Y","Days=T","Dir=V")</f>
        <v>0</v>
      </c>
      <c r="AK2">
        <f>BDH("STE US Equity","CF_CASH_FROM_OPER","1993-06-18","2026-05-02","Per=Y","Days=T","Dir=V")</f>
        <v>0</v>
      </c>
      <c r="AM2">
        <f>BDH("STE US Equity","CAPITAL_EXPEND","1993-06-18","2026-05-02","Per=Y","Days=T","Dir=V")</f>
        <v>0</v>
      </c>
      <c r="AO2">
        <f>BDH("STE US Equity","CF_FREE_CASH_FLOW","1993-06-18","2026-05-02","Per=Y","Days=T","Dir=V")</f>
        <v>0</v>
      </c>
      <c r="AQ2">
        <f>BDH("STE US Equity","PX_LAST","1993-06-18","2026-05-02","Per=M","Days=T","Dir=V")</f>
        <v>0</v>
      </c>
      <c r="AS2">
        <f>BDH("STE US Equity","CUR_MKT_CAP","1993-06-18","2026-05-02","Per=M","Days=T","Dir=V")</f>
        <v>0</v>
      </c>
      <c r="AU2">
        <f>BDH("STE US Equity","EQY_SH_OUT","1993-06-18","2026-05-02","Per=M","Days=T","Dir=V")</f>
        <v>0</v>
      </c>
      <c r="AW2">
        <f>BDH("STE US Equity","PX_VOLUME","1993-06-18","2026-05-02","Per=M","Days=T","Dir=V")</f>
        <v>0</v>
      </c>
      <c r="AY2">
        <f>BDH("STE US Equity","TURNOVER","1993-06-18","2026-05-02","Per=M","Days=T","Dir=V")</f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BDH("STEM US Equity","BS_TOT_ASSET","1993-06-18","2026-05-02","Per=Y","Days=T","Dir=V")</f>
        <v>0</v>
      </c>
      <c r="C2">
        <f>BDH("STEM US Equity","BS_TOT_LIAB2","1993-06-18","2026-05-02","Per=Y","Days=T","Dir=V")</f>
        <v>0</v>
      </c>
      <c r="E2">
        <f>BDH("STEM US Equity","SHORT_AND_LONG_TERM_DEBT","1993-06-18","2026-05-02","Per=Y","Days=T","Dir=V")</f>
        <v>0</v>
      </c>
      <c r="G2">
        <f>BDH("STEM US Equity","BS_ST_BORROW","1993-06-18","2026-05-02","Per=Y","Days=T","Dir=V")</f>
        <v>0</v>
      </c>
      <c r="I2">
        <f>BDH("STEM US Equity","BS_LT_BORROW","1993-06-18","2026-05-02","Per=Y","Days=T","Dir=V")</f>
        <v>0</v>
      </c>
      <c r="K2">
        <f>BDH("STEM US Equity","BS_CASH_NEAR_CASH_ITEM","1993-06-18","2026-05-02","Per=Y","Days=T","Dir=V")</f>
        <v>0</v>
      </c>
      <c r="M2">
        <f>BDH("STEM US Equity","BS_CUR_ASSET_REPORT","1993-06-18","2026-05-02","Per=Y","Days=T","Dir=V")</f>
        <v>0</v>
      </c>
      <c r="O2">
        <f>BDH("STEM US Equity","BS_CUR_LIAB","1993-06-18","2026-05-02","Per=Y","Days=T","Dir=V")</f>
        <v>0</v>
      </c>
      <c r="Q2">
        <f>BDH("STEM US Equity","BS_SHAREHOLDER_EQY_ENDING_PERIOD","1993-06-18","2026-05-02","Per=Y","Days=T","Dir=V")</f>
        <v>0</v>
      </c>
      <c r="S2">
        <f>BDH("STEM US Equity","BS_ACCT_NOTE_RCV","1993-06-18","2026-05-02","Per=Y","Days=T","Dir=V")</f>
        <v>0</v>
      </c>
      <c r="U2">
        <f>BDH("STEM US Equity","BS_INVENTORIES","1993-06-18","2026-05-02","Per=Y","Days=T","Dir=V")</f>
        <v>0</v>
      </c>
      <c r="W2">
        <f>BDH("STEM US Equity","WORKING_CAPITAL","1993-06-18","2026-05-02","Per=Y","Days=T","Dir=V")</f>
        <v>0</v>
      </c>
      <c r="Y2">
        <f>BDH("STEM US Equity","SALES_REV_TURN","1993-06-18","2026-05-02","Per=Y","Days=T","Dir=V")</f>
        <v>0</v>
      </c>
      <c r="AA2">
        <f>BDH("STEM US Equity","EBIT","1993-06-18","2026-05-02","Per=Y","Days=T","Dir=V")</f>
        <v>0</v>
      </c>
      <c r="AC2">
        <f>BDH("STEM US Equity","EBITDA","1993-06-18","2026-05-02","Per=Y","Days=T","Dir=V")</f>
        <v>0</v>
      </c>
      <c r="AE2">
        <f>BDH("STEM US Equity","NET_INCOME","1993-06-18","2026-05-02","Per=Y","Days=T","Dir=V")</f>
        <v>0</v>
      </c>
      <c r="AG2">
        <f>BDH("STEM US Equity","IS_INT_EXPENSE","1993-06-18","2026-05-02","Per=Y","Days=T","Dir=V")</f>
        <v>0</v>
      </c>
      <c r="AI2">
        <f>BDH("STEM US Equity","IS_DEPR_EXP","1993-06-18","2026-05-02","Per=Y","Days=T","Dir=V")</f>
        <v>0</v>
      </c>
      <c r="AK2">
        <f>BDH("STEM US Equity","CF_CASH_FROM_OPER","1993-06-18","2026-05-02","Per=Y","Days=T","Dir=V")</f>
        <v>0</v>
      </c>
      <c r="AM2">
        <f>BDH("STEM US Equity","CAPITAL_EXPEND","1993-06-18","2026-05-02","Per=Y","Days=T","Dir=V")</f>
        <v>0</v>
      </c>
      <c r="AO2">
        <f>BDH("STEM US Equity","CF_FREE_CASH_FLOW","1993-06-18","2026-05-02","Per=Y","Days=T","Dir=V")</f>
        <v>0</v>
      </c>
      <c r="AQ2">
        <f>BDH("STEM US Equity","PX_LAST","1993-06-18","2026-05-02","Per=M","Days=T","Dir=V")</f>
        <v>0</v>
      </c>
      <c r="AS2">
        <f>BDH("STEM US Equity","CUR_MKT_CAP","1993-06-18","2026-05-02","Per=M","Days=T","Dir=V")</f>
        <v>0</v>
      </c>
      <c r="AU2">
        <f>BDH("STEM US Equity","EQY_SH_OUT","1993-06-18","2026-05-02","Per=M","Days=T","Dir=V")</f>
        <v>0</v>
      </c>
      <c r="AW2">
        <f>BDH("STEM US Equity","PX_VOLUME","1993-06-18","2026-05-02","Per=M","Days=T","Dir=V")</f>
        <v>0</v>
      </c>
      <c r="AY2">
        <f>BDH("STEM US Equity","TURNOVER","1993-06-18","2026-05-02","Per=M","Days=T","Dir=V")</f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BDH("STIM US Equity","BS_TOT_ASSET","1993-06-18","2026-05-02","Per=Y","Days=T","Dir=V")</f>
        <v>0</v>
      </c>
      <c r="C2">
        <f>BDH("STIM US Equity","BS_TOT_LIAB2","1993-06-18","2026-05-02","Per=Y","Days=T","Dir=V")</f>
        <v>0</v>
      </c>
      <c r="E2">
        <f>BDH("STIM US Equity","SHORT_AND_LONG_TERM_DEBT","1993-06-18","2026-05-02","Per=Y","Days=T","Dir=V")</f>
        <v>0</v>
      </c>
      <c r="G2">
        <f>BDH("STIM US Equity","BS_ST_BORROW","1993-06-18","2026-05-02","Per=Y","Days=T","Dir=V")</f>
        <v>0</v>
      </c>
      <c r="I2">
        <f>BDH("STIM US Equity","BS_LT_BORROW","1993-06-18","2026-05-02","Per=Y","Days=T","Dir=V")</f>
        <v>0</v>
      </c>
      <c r="K2">
        <f>BDH("STIM US Equity","BS_CASH_NEAR_CASH_ITEM","1993-06-18","2026-05-02","Per=Y","Days=T","Dir=V")</f>
        <v>0</v>
      </c>
      <c r="M2">
        <f>BDH("STIM US Equity","BS_CUR_ASSET_REPORT","1993-06-18","2026-05-02","Per=Y","Days=T","Dir=V")</f>
        <v>0</v>
      </c>
      <c r="O2">
        <f>BDH("STIM US Equity","BS_CUR_LIAB","1993-06-18","2026-05-02","Per=Y","Days=T","Dir=V")</f>
        <v>0</v>
      </c>
      <c r="Q2">
        <f>BDH("STIM US Equity","BS_SHAREHOLDER_EQY_ENDING_PERIOD","1993-06-18","2026-05-02","Per=Y","Days=T","Dir=V")</f>
        <v>0</v>
      </c>
      <c r="S2">
        <f>BDH("STIM US Equity","BS_ACCT_NOTE_RCV","1993-06-18","2026-05-02","Per=Y","Days=T","Dir=V")</f>
        <v>0</v>
      </c>
      <c r="U2">
        <f>BDH("STIM US Equity","BS_INVENTORIES","1993-06-18","2026-05-02","Per=Y","Days=T","Dir=V")</f>
        <v>0</v>
      </c>
      <c r="W2">
        <f>BDH("STIM US Equity","WORKING_CAPITAL","1993-06-18","2026-05-02","Per=Y","Days=T","Dir=V")</f>
        <v>0</v>
      </c>
      <c r="Y2">
        <f>BDH("STIM US Equity","SALES_REV_TURN","1993-06-18","2026-05-02","Per=Y","Days=T","Dir=V")</f>
        <v>0</v>
      </c>
      <c r="AA2">
        <f>BDH("STIM US Equity","EBIT","1993-06-18","2026-05-02","Per=Y","Days=T","Dir=V")</f>
        <v>0</v>
      </c>
      <c r="AC2">
        <f>BDH("STIM US Equity","EBITDA","1993-06-18","2026-05-02","Per=Y","Days=T","Dir=V")</f>
        <v>0</v>
      </c>
      <c r="AE2">
        <f>BDH("STIM US Equity","NET_INCOME","1993-06-18","2026-05-02","Per=Y","Days=T","Dir=V")</f>
        <v>0</v>
      </c>
      <c r="AG2">
        <f>BDH("STIM US Equity","IS_INT_EXPENSE","1993-06-18","2026-05-02","Per=Y","Days=T","Dir=V")</f>
        <v>0</v>
      </c>
      <c r="AI2">
        <f>BDH("STIM US Equity","IS_DEPR_EXP","1993-06-18","2026-05-02","Per=Y","Days=T","Dir=V")</f>
        <v>0</v>
      </c>
      <c r="AK2">
        <f>BDH("STIM US Equity","CF_CASH_FROM_OPER","1993-06-18","2026-05-02","Per=Y","Days=T","Dir=V")</f>
        <v>0</v>
      </c>
      <c r="AM2">
        <f>BDH("STIM US Equity","CAPITAL_EXPEND","1993-06-18","2026-05-02","Per=Y","Days=T","Dir=V")</f>
        <v>0</v>
      </c>
      <c r="AO2">
        <f>BDH("STIM US Equity","CF_FREE_CASH_FLOW","1993-06-18","2026-05-02","Per=Y","Days=T","Dir=V")</f>
        <v>0</v>
      </c>
      <c r="AQ2">
        <f>BDH("STIM US Equity","PX_LAST","1993-06-18","2026-05-02","Per=M","Days=T","Dir=V")</f>
        <v>0</v>
      </c>
      <c r="AS2">
        <f>BDH("STIM US Equity","CUR_MKT_CAP","1993-06-18","2026-05-02","Per=M","Days=T","Dir=V")</f>
        <v>0</v>
      </c>
      <c r="AU2">
        <f>BDH("STIM US Equity","EQY_SH_OUT","1993-06-18","2026-05-02","Per=M","Days=T","Dir=V")</f>
        <v>0</v>
      </c>
      <c r="AW2">
        <f>BDH("STIM US Equity","PX_VOLUME","1993-06-18","2026-05-02","Per=M","Days=T","Dir=V")</f>
        <v>0</v>
      </c>
      <c r="AY2">
        <f>BDH("STIM US Equity","TURNOVER","1993-06-18","2026-05-02","Per=M","Days=T","Dir=V")</f>
        <v>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BDH("STKS US Equity","BS_TOT_ASSET","1993-06-18","2026-05-02","Per=Y","Days=T","Dir=V")</f>
        <v>0</v>
      </c>
      <c r="C2">
        <f>BDH("STKS US Equity","BS_TOT_LIAB2","1993-06-18","2026-05-02","Per=Y","Days=T","Dir=V")</f>
        <v>0</v>
      </c>
      <c r="E2">
        <f>BDH("STKS US Equity","SHORT_AND_LONG_TERM_DEBT","1993-06-18","2026-05-02","Per=Y","Days=T","Dir=V")</f>
        <v>0</v>
      </c>
      <c r="G2">
        <f>BDH("STKS US Equity","BS_ST_BORROW","1993-06-18","2026-05-02","Per=Y","Days=T","Dir=V")</f>
        <v>0</v>
      </c>
      <c r="I2">
        <f>BDH("STKS US Equity","BS_LT_BORROW","1993-06-18","2026-05-02","Per=Y","Days=T","Dir=V")</f>
        <v>0</v>
      </c>
      <c r="K2">
        <f>BDH("STKS US Equity","BS_CASH_NEAR_CASH_ITEM","1993-06-18","2026-05-02","Per=Y","Days=T","Dir=V")</f>
        <v>0</v>
      </c>
      <c r="M2">
        <f>BDH("STKS US Equity","BS_CUR_ASSET_REPORT","1993-06-18","2026-05-02","Per=Y","Days=T","Dir=V")</f>
        <v>0</v>
      </c>
      <c r="O2">
        <f>BDH("STKS US Equity","BS_CUR_LIAB","1993-06-18","2026-05-02","Per=Y","Days=T","Dir=V")</f>
        <v>0</v>
      </c>
      <c r="Q2">
        <f>BDH("STKS US Equity","BS_SHAREHOLDER_EQY_ENDING_PERIOD","1993-06-18","2026-05-02","Per=Y","Days=T","Dir=V")</f>
        <v>0</v>
      </c>
      <c r="S2">
        <f>BDH("STKS US Equity","BS_ACCT_NOTE_RCV","1993-06-18","2026-05-02","Per=Y","Days=T","Dir=V")</f>
        <v>0</v>
      </c>
      <c r="U2">
        <f>BDH("STKS US Equity","BS_INVENTORIES","1993-06-18","2026-05-02","Per=Y","Days=T","Dir=V")</f>
        <v>0</v>
      </c>
      <c r="W2">
        <f>BDH("STKS US Equity","WORKING_CAPITAL","1993-06-18","2026-05-02","Per=Y","Days=T","Dir=V")</f>
        <v>0</v>
      </c>
      <c r="Y2">
        <f>BDH("STKS US Equity","SALES_REV_TURN","1993-06-18","2026-05-02","Per=Y","Days=T","Dir=V")</f>
        <v>0</v>
      </c>
      <c r="AA2">
        <f>BDH("STKS US Equity","EBIT","1993-06-18","2026-05-02","Per=Y","Days=T","Dir=V")</f>
        <v>0</v>
      </c>
      <c r="AC2">
        <f>BDH("STKS US Equity","EBITDA","1993-06-18","2026-05-02","Per=Y","Days=T","Dir=V")</f>
        <v>0</v>
      </c>
      <c r="AE2">
        <f>BDH("STKS US Equity","NET_INCOME","1993-06-18","2026-05-02","Per=Y","Days=T","Dir=V")</f>
        <v>0</v>
      </c>
      <c r="AG2">
        <f>BDH("STKS US Equity","IS_INT_EXPENSE","1993-06-18","2026-05-02","Per=Y","Days=T","Dir=V")</f>
        <v>0</v>
      </c>
      <c r="AI2">
        <f>BDH("STKS US Equity","IS_DEPR_EXP","1993-06-18","2026-05-02","Per=Y","Days=T","Dir=V")</f>
        <v>0</v>
      </c>
      <c r="AK2">
        <f>BDH("STKS US Equity","CF_CASH_FROM_OPER","1993-06-18","2026-05-02","Per=Y","Days=T","Dir=V")</f>
        <v>0</v>
      </c>
      <c r="AM2">
        <f>BDH("STKS US Equity","CAPITAL_EXPEND","1993-06-18","2026-05-02","Per=Y","Days=T","Dir=V")</f>
        <v>0</v>
      </c>
      <c r="AO2">
        <f>BDH("STKS US Equity","CF_FREE_CASH_FLOW","1993-06-18","2026-05-02","Per=Y","Days=T","Dir=V")</f>
        <v>0</v>
      </c>
      <c r="AQ2">
        <f>BDH("STKS US Equity","PX_LAST","1993-06-18","2026-05-02","Per=M","Days=T","Dir=V")</f>
        <v>0</v>
      </c>
      <c r="AS2">
        <f>BDH("STKS US Equity","CUR_MKT_CAP","1993-06-18","2026-05-02","Per=M","Days=T","Dir=V")</f>
        <v>0</v>
      </c>
      <c r="AU2">
        <f>BDH("STKS US Equity","EQY_SH_OUT","1993-06-18","2026-05-02","Per=M","Days=T","Dir=V")</f>
        <v>0</v>
      </c>
      <c r="AW2">
        <f>BDH("STKS US Equity","PX_VOLUME","1993-06-18","2026-05-02","Per=M","Days=T","Dir=V")</f>
        <v>0</v>
      </c>
      <c r="AY2">
        <f>BDH("STKS US Equity","TURNOVER","1993-06-18","2026-05-02","Per=M","Days=T","Dir=V")</f>
        <v>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BDH("STLD US Equity","BS_TOT_ASSET","1993-06-18","2026-05-02","Per=Y","Days=T","Dir=V")</f>
        <v>0</v>
      </c>
      <c r="C2">
        <f>BDH("STLD US Equity","BS_TOT_LIAB2","1993-06-18","2026-05-02","Per=Y","Days=T","Dir=V")</f>
        <v>0</v>
      </c>
      <c r="E2">
        <f>BDH("STLD US Equity","SHORT_AND_LONG_TERM_DEBT","1993-06-18","2026-05-02","Per=Y","Days=T","Dir=V")</f>
        <v>0</v>
      </c>
      <c r="G2">
        <f>BDH("STLD US Equity","BS_ST_BORROW","1993-06-18","2026-05-02","Per=Y","Days=T","Dir=V")</f>
        <v>0</v>
      </c>
      <c r="I2">
        <f>BDH("STLD US Equity","BS_LT_BORROW","1993-06-18","2026-05-02","Per=Y","Days=T","Dir=V")</f>
        <v>0</v>
      </c>
      <c r="K2">
        <f>BDH("STLD US Equity","BS_CASH_NEAR_CASH_ITEM","1993-06-18","2026-05-02","Per=Y","Days=T","Dir=V")</f>
        <v>0</v>
      </c>
      <c r="M2">
        <f>BDH("STLD US Equity","BS_CUR_ASSET_REPORT","1993-06-18","2026-05-02","Per=Y","Days=T","Dir=V")</f>
        <v>0</v>
      </c>
      <c r="O2">
        <f>BDH("STLD US Equity","BS_CUR_LIAB","1993-06-18","2026-05-02","Per=Y","Days=T","Dir=V")</f>
        <v>0</v>
      </c>
      <c r="Q2">
        <f>BDH("STLD US Equity","BS_SHAREHOLDER_EQY_ENDING_PERIOD","1993-06-18","2026-05-02","Per=Y","Days=T","Dir=V")</f>
        <v>0</v>
      </c>
      <c r="S2">
        <f>BDH("STLD US Equity","BS_ACCT_NOTE_RCV","1993-06-18","2026-05-02","Per=Y","Days=T","Dir=V")</f>
        <v>0</v>
      </c>
      <c r="U2">
        <f>BDH("STLD US Equity","BS_INVENTORIES","1993-06-18","2026-05-02","Per=Y","Days=T","Dir=V")</f>
        <v>0</v>
      </c>
      <c r="W2">
        <f>BDH("STLD US Equity","WORKING_CAPITAL","1993-06-18","2026-05-02","Per=Y","Days=T","Dir=V")</f>
        <v>0</v>
      </c>
      <c r="Y2">
        <f>BDH("STLD US Equity","SALES_REV_TURN","1993-06-18","2026-05-02","Per=Y","Days=T","Dir=V")</f>
        <v>0</v>
      </c>
      <c r="AA2">
        <f>BDH("STLD US Equity","EBIT","1993-06-18","2026-05-02","Per=Y","Days=T","Dir=V")</f>
        <v>0</v>
      </c>
      <c r="AC2">
        <f>BDH("STLD US Equity","EBITDA","1993-06-18","2026-05-02","Per=Y","Days=T","Dir=V")</f>
        <v>0</v>
      </c>
      <c r="AE2">
        <f>BDH("STLD US Equity","NET_INCOME","1993-06-18","2026-05-02","Per=Y","Days=T","Dir=V")</f>
        <v>0</v>
      </c>
      <c r="AG2">
        <f>BDH("STLD US Equity","IS_INT_EXPENSE","1993-06-18","2026-05-02","Per=Y","Days=T","Dir=V")</f>
        <v>0</v>
      </c>
      <c r="AI2">
        <f>BDH("STLD US Equity","IS_DEPR_EXP","1993-06-18","2026-05-02","Per=Y","Days=T","Dir=V")</f>
        <v>0</v>
      </c>
      <c r="AK2">
        <f>BDH("STLD US Equity","CF_CASH_FROM_OPER","1993-06-18","2026-05-02","Per=Y","Days=T","Dir=V")</f>
        <v>0</v>
      </c>
      <c r="AM2">
        <f>BDH("STLD US Equity","CAPITAL_EXPEND","1993-06-18","2026-05-02","Per=Y","Days=T","Dir=V")</f>
        <v>0</v>
      </c>
      <c r="AO2">
        <f>BDH("STLD US Equity","CF_FREE_CASH_FLOW","1993-06-18","2026-05-02","Per=Y","Days=T","Dir=V")</f>
        <v>0</v>
      </c>
      <c r="AQ2">
        <f>BDH("STLD US Equity","PX_LAST","1993-06-18","2026-05-02","Per=M","Days=T","Dir=V")</f>
        <v>0</v>
      </c>
      <c r="AS2">
        <f>BDH("STLD US Equity","CUR_MKT_CAP","1993-06-18","2026-05-02","Per=M","Days=T","Dir=V")</f>
        <v>0</v>
      </c>
      <c r="AU2">
        <f>BDH("STLD US Equity","EQY_SH_OUT","1993-06-18","2026-05-02","Per=M","Days=T","Dir=V")</f>
        <v>0</v>
      </c>
      <c r="AW2">
        <f>BDH("STLD US Equity","PX_VOLUME","1993-06-18","2026-05-02","Per=M","Days=T","Dir=V")</f>
        <v>0</v>
      </c>
      <c r="AY2">
        <f>BDH("STLD US Equity","TURNOVER","1993-06-18","2026-05-02","Per=M","Days=T","Dir=V")</f>
        <v>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BDH("STLN US Equity","BS_TOT_ASSET","1993-06-18","2026-05-02","Per=Y","Days=T","Dir=V")</f>
        <v>0</v>
      </c>
      <c r="C2">
        <f>BDH("STLN US Equity","BS_TOT_LIAB2","1993-06-18","2026-05-02","Per=Y","Days=T","Dir=V")</f>
        <v>0</v>
      </c>
      <c r="E2">
        <f>BDH("STLN US Equity","SHORT_AND_LONG_TERM_DEBT","1993-06-18","2026-05-02","Per=Y","Days=T","Dir=V")</f>
        <v>0</v>
      </c>
      <c r="G2">
        <f>BDH("STLN US Equity","BS_ST_BORROW","1993-06-18","2026-05-02","Per=Y","Days=T","Dir=V")</f>
        <v>0</v>
      </c>
      <c r="I2">
        <f>BDH("STLN US Equity","BS_LT_BORROW","1993-06-18","2026-05-02","Per=Y","Days=T","Dir=V")</f>
        <v>0</v>
      </c>
      <c r="K2">
        <f>BDH("STLN US Equity","BS_CASH_NEAR_CASH_ITEM","1993-06-18","2026-05-02","Per=Y","Days=T","Dir=V")</f>
        <v>0</v>
      </c>
      <c r="M2">
        <f>BDH("STLN US Equity","BS_CUR_ASSET_REPORT","1993-06-18","2026-05-02","Per=Y","Days=T","Dir=V")</f>
        <v>0</v>
      </c>
      <c r="O2">
        <f>BDH("STLN US Equity","BS_CUR_LIAB","1993-06-18","2026-05-02","Per=Y","Days=T","Dir=V")</f>
        <v>0</v>
      </c>
      <c r="Q2">
        <f>BDH("STLN US Equity","BS_SHAREHOLDER_EQY_ENDING_PERIOD","1993-06-18","2026-05-02","Per=Y","Days=T","Dir=V")</f>
        <v>0</v>
      </c>
      <c r="S2">
        <f>BDH("STLN US Equity","BS_ACCT_NOTE_RCV","1993-06-18","2026-05-02","Per=Y","Days=T","Dir=V")</f>
        <v>0</v>
      </c>
      <c r="U2">
        <f>BDH("STLN US Equity","BS_INVENTORIES","1993-06-18","2026-05-02","Per=Y","Days=T","Dir=V")</f>
        <v>0</v>
      </c>
      <c r="W2">
        <f>BDH("STLN US Equity","WORKING_CAPITAL","1993-06-18","2026-05-02","Per=Y","Days=T","Dir=V")</f>
        <v>0</v>
      </c>
      <c r="Y2">
        <f>BDH("STLN US Equity","SALES_REV_TURN","1993-06-18","2026-05-02","Per=Y","Days=T","Dir=V")</f>
        <v>0</v>
      </c>
      <c r="AA2">
        <f>BDH("STLN US Equity","EBIT","1993-06-18","2026-05-02","Per=Y","Days=T","Dir=V")</f>
        <v>0</v>
      </c>
      <c r="AC2">
        <f>BDH("STLN US Equity","EBITDA","1993-06-18","2026-05-02","Per=Y","Days=T","Dir=V")</f>
        <v>0</v>
      </c>
      <c r="AE2">
        <f>BDH("STLN US Equity","NET_INCOME","1993-06-18","2026-05-02","Per=Y","Days=T","Dir=V")</f>
        <v>0</v>
      </c>
      <c r="AG2">
        <f>BDH("STLN US Equity","IS_INT_EXPENSE","1993-06-18","2026-05-02","Per=Y","Days=T","Dir=V")</f>
        <v>0</v>
      </c>
      <c r="AI2">
        <f>BDH("STLN US Equity","IS_DEPR_EXP","1993-06-18","2026-05-02","Per=Y","Days=T","Dir=V")</f>
        <v>0</v>
      </c>
      <c r="AK2">
        <f>BDH("STLN US Equity","CF_CASH_FROM_OPER","1993-06-18","2026-05-02","Per=Y","Days=T","Dir=V")</f>
        <v>0</v>
      </c>
      <c r="AM2">
        <f>BDH("STLN US Equity","CAPITAL_EXPEND","1993-06-18","2026-05-02","Per=Y","Days=T","Dir=V")</f>
        <v>0</v>
      </c>
      <c r="AO2">
        <f>BDH("STLN US Equity","CF_FREE_CASH_FLOW","1993-06-18","2026-05-02","Per=Y","Days=T","Dir=V")</f>
        <v>0</v>
      </c>
      <c r="AQ2">
        <f>BDH("STLN US Equity","PX_LAST","1993-06-18","2026-05-02","Per=M","Days=T","Dir=V")</f>
        <v>0</v>
      </c>
      <c r="AS2">
        <f>BDH("STLN US Equity","CUR_MKT_CAP","1993-06-18","2026-05-02","Per=M","Days=T","Dir=V")</f>
        <v>0</v>
      </c>
      <c r="AU2">
        <f>BDH("STLN US Equity","EQY_SH_OUT","1993-06-18","2026-05-02","Per=M","Days=T","Dir=V")</f>
        <v>0</v>
      </c>
      <c r="AW2">
        <f>BDH("STLN US Equity","PX_VOLUME","1993-06-18","2026-05-02","Per=M","Days=T","Dir=V")</f>
        <v>0</v>
      </c>
      <c r="AY2">
        <f>BDH("STLN US Equity","TURNOVER","1993-06-18","2026-05-02","Per=M","Days=T","Dir=V")</f>
        <v>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BDH("STLNW US Equity","BS_TOT_ASSET","1993-06-18","2026-05-02","Per=Y","Days=T","Dir=V")</f>
        <v>0</v>
      </c>
      <c r="C2">
        <f>BDH("STLNW US Equity","BS_TOT_LIAB2","1993-06-18","2026-05-02","Per=Y","Days=T","Dir=V")</f>
        <v>0</v>
      </c>
      <c r="E2">
        <f>BDH("STLNW US Equity","SHORT_AND_LONG_TERM_DEBT","1993-06-18","2026-05-02","Per=Y","Days=T","Dir=V")</f>
        <v>0</v>
      </c>
      <c r="G2">
        <f>BDH("STLNW US Equity","BS_ST_BORROW","1993-06-18","2026-05-02","Per=Y","Days=T","Dir=V")</f>
        <v>0</v>
      </c>
      <c r="I2">
        <f>BDH("STLNW US Equity","BS_LT_BORROW","1993-06-18","2026-05-02","Per=Y","Days=T","Dir=V")</f>
        <v>0</v>
      </c>
      <c r="K2">
        <f>BDH("STLNW US Equity","BS_CASH_NEAR_CASH_ITEM","1993-06-18","2026-05-02","Per=Y","Days=T","Dir=V")</f>
        <v>0</v>
      </c>
      <c r="M2">
        <f>BDH("STLNW US Equity","BS_CUR_ASSET_REPORT","1993-06-18","2026-05-02","Per=Y","Days=T","Dir=V")</f>
        <v>0</v>
      </c>
      <c r="O2">
        <f>BDH("STLNW US Equity","BS_CUR_LIAB","1993-06-18","2026-05-02","Per=Y","Days=T","Dir=V")</f>
        <v>0</v>
      </c>
      <c r="Q2">
        <f>BDH("STLNW US Equity","BS_SHAREHOLDER_EQY_ENDING_PERIOD","1993-06-18","2026-05-02","Per=Y","Days=T","Dir=V")</f>
        <v>0</v>
      </c>
      <c r="S2">
        <f>BDH("STLNW US Equity","BS_ACCT_NOTE_RCV","1993-06-18","2026-05-02","Per=Y","Days=T","Dir=V")</f>
        <v>0</v>
      </c>
      <c r="U2">
        <f>BDH("STLNW US Equity","BS_INVENTORIES","1993-06-18","2026-05-02","Per=Y","Days=T","Dir=V")</f>
        <v>0</v>
      </c>
      <c r="W2">
        <f>BDH("STLNW US Equity","WORKING_CAPITAL","1993-06-18","2026-05-02","Per=Y","Days=T","Dir=V")</f>
        <v>0</v>
      </c>
      <c r="Y2">
        <f>BDH("STLNW US Equity","SALES_REV_TURN","1993-06-18","2026-05-02","Per=Y","Days=T","Dir=V")</f>
        <v>0</v>
      </c>
      <c r="AA2">
        <f>BDH("STLNW US Equity","EBIT","1993-06-18","2026-05-02","Per=Y","Days=T","Dir=V")</f>
        <v>0</v>
      </c>
      <c r="AC2">
        <f>BDH("STLNW US Equity","EBITDA","1993-06-18","2026-05-02","Per=Y","Days=T","Dir=V")</f>
        <v>0</v>
      </c>
      <c r="AE2">
        <f>BDH("STLNW US Equity","NET_INCOME","1993-06-18","2026-05-02","Per=Y","Days=T","Dir=V")</f>
        <v>0</v>
      </c>
      <c r="AG2">
        <f>BDH("STLNW US Equity","IS_INT_EXPENSE","1993-06-18","2026-05-02","Per=Y","Days=T","Dir=V")</f>
        <v>0</v>
      </c>
      <c r="AI2">
        <f>BDH("STLNW US Equity","IS_DEPR_EXP","1993-06-18","2026-05-02","Per=Y","Days=T","Dir=V")</f>
        <v>0</v>
      </c>
      <c r="AK2">
        <f>BDH("STLNW US Equity","CF_CASH_FROM_OPER","1993-06-18","2026-05-02","Per=Y","Days=T","Dir=V")</f>
        <v>0</v>
      </c>
      <c r="AM2">
        <f>BDH("STLNW US Equity","CAPITAL_EXPEND","1993-06-18","2026-05-02","Per=Y","Days=T","Dir=V")</f>
        <v>0</v>
      </c>
      <c r="AO2">
        <f>BDH("STLNW US Equity","CF_FREE_CASH_FLOW","1993-06-18","2026-05-02","Per=Y","Days=T","Dir=V")</f>
        <v>0</v>
      </c>
      <c r="AQ2">
        <f>BDH("STLNW US Equity","PX_LAST","1993-06-18","2026-05-02","Per=M","Days=T","Dir=V")</f>
        <v>0</v>
      </c>
      <c r="AS2">
        <f>BDH("STLNW US Equity","CUR_MKT_CAP","1993-06-18","2026-05-02","Per=M","Days=T","Dir=V")</f>
        <v>0</v>
      </c>
      <c r="AU2">
        <f>BDH("STLNW US Equity","EQY_SH_OUT","1993-06-18","2026-05-02","Per=M","Days=T","Dir=V")</f>
        <v>0</v>
      </c>
      <c r="AW2">
        <f>BDH("STLNW US Equity","PX_VOLUME","1993-06-18","2026-05-02","Per=M","Days=T","Dir=V")</f>
        <v>0</v>
      </c>
      <c r="AY2">
        <f>BDH("STLNW US Equity","TURNOVER","1993-06-18","2026-05-02","Per=M","Days=T","Dir=V")</f>
        <v>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BDH("STOK US Equity","BS_TOT_ASSET","1993-06-18","2026-05-02","Per=Y","Days=T","Dir=V")</f>
        <v>0</v>
      </c>
      <c r="C2">
        <f>BDH("STOK US Equity","BS_TOT_LIAB2","1993-06-18","2026-05-02","Per=Y","Days=T","Dir=V")</f>
        <v>0</v>
      </c>
      <c r="E2">
        <f>BDH("STOK US Equity","SHORT_AND_LONG_TERM_DEBT","1993-06-18","2026-05-02","Per=Y","Days=T","Dir=V")</f>
        <v>0</v>
      </c>
      <c r="G2">
        <f>BDH("STOK US Equity","BS_ST_BORROW","1993-06-18","2026-05-02","Per=Y","Days=T","Dir=V")</f>
        <v>0</v>
      </c>
      <c r="I2">
        <f>BDH("STOK US Equity","BS_LT_BORROW","1993-06-18","2026-05-02","Per=Y","Days=T","Dir=V")</f>
        <v>0</v>
      </c>
      <c r="K2">
        <f>BDH("STOK US Equity","BS_CASH_NEAR_CASH_ITEM","1993-06-18","2026-05-02","Per=Y","Days=T","Dir=V")</f>
        <v>0</v>
      </c>
      <c r="M2">
        <f>BDH("STOK US Equity","BS_CUR_ASSET_REPORT","1993-06-18","2026-05-02","Per=Y","Days=T","Dir=V")</f>
        <v>0</v>
      </c>
      <c r="O2">
        <f>BDH("STOK US Equity","BS_CUR_LIAB","1993-06-18","2026-05-02","Per=Y","Days=T","Dir=V")</f>
        <v>0</v>
      </c>
      <c r="Q2">
        <f>BDH("STOK US Equity","BS_SHAREHOLDER_EQY_ENDING_PERIOD","1993-06-18","2026-05-02","Per=Y","Days=T","Dir=V")</f>
        <v>0</v>
      </c>
      <c r="S2">
        <f>BDH("STOK US Equity","BS_ACCT_NOTE_RCV","1993-06-18","2026-05-02","Per=Y","Days=T","Dir=V")</f>
        <v>0</v>
      </c>
      <c r="U2">
        <f>BDH("STOK US Equity","BS_INVENTORIES","1993-06-18","2026-05-02","Per=Y","Days=T","Dir=V")</f>
        <v>0</v>
      </c>
      <c r="W2">
        <f>BDH("STOK US Equity","WORKING_CAPITAL","1993-06-18","2026-05-02","Per=Y","Days=T","Dir=V")</f>
        <v>0</v>
      </c>
      <c r="Y2">
        <f>BDH("STOK US Equity","SALES_REV_TURN","1993-06-18","2026-05-02","Per=Y","Days=T","Dir=V")</f>
        <v>0</v>
      </c>
      <c r="AA2">
        <f>BDH("STOK US Equity","EBIT","1993-06-18","2026-05-02","Per=Y","Days=T","Dir=V")</f>
        <v>0</v>
      </c>
      <c r="AC2">
        <f>BDH("STOK US Equity","EBITDA","1993-06-18","2026-05-02","Per=Y","Days=T","Dir=V")</f>
        <v>0</v>
      </c>
      <c r="AE2">
        <f>BDH("STOK US Equity","NET_INCOME","1993-06-18","2026-05-02","Per=Y","Days=T","Dir=V")</f>
        <v>0</v>
      </c>
      <c r="AG2">
        <f>BDH("STOK US Equity","IS_INT_EXPENSE","1993-06-18","2026-05-02","Per=Y","Days=T","Dir=V")</f>
        <v>0</v>
      </c>
      <c r="AI2">
        <f>BDH("STOK US Equity","IS_DEPR_EXP","1993-06-18","2026-05-02","Per=Y","Days=T","Dir=V")</f>
        <v>0</v>
      </c>
      <c r="AK2">
        <f>BDH("STOK US Equity","CF_CASH_FROM_OPER","1993-06-18","2026-05-02","Per=Y","Days=T","Dir=V")</f>
        <v>0</v>
      </c>
      <c r="AM2">
        <f>BDH("STOK US Equity","CAPITAL_EXPEND","1993-06-18","2026-05-02","Per=Y","Days=T","Dir=V")</f>
        <v>0</v>
      </c>
      <c r="AO2">
        <f>BDH("STOK US Equity","CF_FREE_CASH_FLOW","1993-06-18","2026-05-02","Per=Y","Days=T","Dir=V")</f>
        <v>0</v>
      </c>
      <c r="AQ2">
        <f>BDH("STOK US Equity","PX_LAST","1993-06-18","2026-05-02","Per=M","Days=T","Dir=V")</f>
        <v>0</v>
      </c>
      <c r="AS2">
        <f>BDH("STOK US Equity","CUR_MKT_CAP","1993-06-18","2026-05-02","Per=M","Days=T","Dir=V")</f>
        <v>0</v>
      </c>
      <c r="AU2">
        <f>BDH("STOK US Equity","EQY_SH_OUT","1993-06-18","2026-05-02","Per=M","Days=T","Dir=V")</f>
        <v>0</v>
      </c>
      <c r="AW2">
        <f>BDH("STOK US Equity","PX_VOLUME","1993-06-18","2026-05-02","Per=M","Days=T","Dir=V")</f>
        <v>0</v>
      </c>
      <c r="AY2">
        <f>BDH("STOK US Equity","TURNOVER","1993-06-18","2026-05-02","Per=M","Days=T","Dir=V")</f>
        <v>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BDH("STRC US Equity","BS_TOT_ASSET","1993-06-18","2026-05-02","Per=Y","Days=T","Dir=V")</f>
        <v>0</v>
      </c>
      <c r="C2">
        <f>BDH("STRC US Equity","BS_TOT_LIAB2","1993-06-18","2026-05-02","Per=Y","Days=T","Dir=V")</f>
        <v>0</v>
      </c>
      <c r="E2">
        <f>BDH("STRC US Equity","SHORT_AND_LONG_TERM_DEBT","1993-06-18","2026-05-02","Per=Y","Days=T","Dir=V")</f>
        <v>0</v>
      </c>
      <c r="G2">
        <f>BDH("STRC US Equity","BS_ST_BORROW","1993-06-18","2026-05-02","Per=Y","Days=T","Dir=V")</f>
        <v>0</v>
      </c>
      <c r="I2">
        <f>BDH("STRC US Equity","BS_LT_BORROW","1993-06-18","2026-05-02","Per=Y","Days=T","Dir=V")</f>
        <v>0</v>
      </c>
      <c r="K2">
        <f>BDH("STRC US Equity","BS_CASH_NEAR_CASH_ITEM","1993-06-18","2026-05-02","Per=Y","Days=T","Dir=V")</f>
        <v>0</v>
      </c>
      <c r="M2">
        <f>BDH("STRC US Equity","BS_CUR_ASSET_REPORT","1993-06-18","2026-05-02","Per=Y","Days=T","Dir=V")</f>
        <v>0</v>
      </c>
      <c r="O2">
        <f>BDH("STRC US Equity","BS_CUR_LIAB","1993-06-18","2026-05-02","Per=Y","Days=T","Dir=V")</f>
        <v>0</v>
      </c>
      <c r="Q2">
        <f>BDH("STRC US Equity","BS_SHAREHOLDER_EQY_ENDING_PERIOD","1993-06-18","2026-05-02","Per=Y","Days=T","Dir=V")</f>
        <v>0</v>
      </c>
      <c r="S2">
        <f>BDH("STRC US Equity","BS_ACCT_NOTE_RCV","1993-06-18","2026-05-02","Per=Y","Days=T","Dir=V")</f>
        <v>0</v>
      </c>
      <c r="U2">
        <f>BDH("STRC US Equity","BS_INVENTORIES","1993-06-18","2026-05-02","Per=Y","Days=T","Dir=V")</f>
        <v>0</v>
      </c>
      <c r="W2">
        <f>BDH("STRC US Equity","WORKING_CAPITAL","1993-06-18","2026-05-02","Per=Y","Days=T","Dir=V")</f>
        <v>0</v>
      </c>
      <c r="Y2">
        <f>BDH("STRC US Equity","SALES_REV_TURN","1993-06-18","2026-05-02","Per=Y","Days=T","Dir=V")</f>
        <v>0</v>
      </c>
      <c r="AA2">
        <f>BDH("STRC US Equity","EBIT","1993-06-18","2026-05-02","Per=Y","Days=T","Dir=V")</f>
        <v>0</v>
      </c>
      <c r="AC2">
        <f>BDH("STRC US Equity","EBITDA","1993-06-18","2026-05-02","Per=Y","Days=T","Dir=V")</f>
        <v>0</v>
      </c>
      <c r="AE2">
        <f>BDH("STRC US Equity","NET_INCOME","1993-06-18","2026-05-02","Per=Y","Days=T","Dir=V")</f>
        <v>0</v>
      </c>
      <c r="AG2">
        <f>BDH("STRC US Equity","IS_INT_EXPENSE","1993-06-18","2026-05-02","Per=Y","Days=T","Dir=V")</f>
        <v>0</v>
      </c>
      <c r="AI2">
        <f>BDH("STRC US Equity","IS_DEPR_EXP","1993-06-18","2026-05-02","Per=Y","Days=T","Dir=V")</f>
        <v>0</v>
      </c>
      <c r="AK2">
        <f>BDH("STRC US Equity","CF_CASH_FROM_OPER","1993-06-18","2026-05-02","Per=Y","Days=T","Dir=V")</f>
        <v>0</v>
      </c>
      <c r="AM2">
        <f>BDH("STRC US Equity","CAPITAL_EXPEND","1993-06-18","2026-05-02","Per=Y","Days=T","Dir=V")</f>
        <v>0</v>
      </c>
      <c r="AO2">
        <f>BDH("STRC US Equity","CF_FREE_CASH_FLOW","1993-06-18","2026-05-02","Per=Y","Days=T","Dir=V")</f>
        <v>0</v>
      </c>
      <c r="AQ2">
        <f>BDH("STRC US Equity","PX_LAST","1993-06-18","2026-05-02","Per=M","Days=T","Dir=V")</f>
        <v>0</v>
      </c>
      <c r="AS2">
        <f>BDH("STRC US Equity","CUR_MKT_CAP","1993-06-18","2026-05-02","Per=M","Days=T","Dir=V")</f>
        <v>0</v>
      </c>
      <c r="AU2">
        <f>BDH("STRC US Equity","EQY_SH_OUT","1993-06-18","2026-05-02","Per=M","Days=T","Dir=V")</f>
        <v>0</v>
      </c>
      <c r="AW2">
        <f>BDH("STRC US Equity","PX_VOLUME","1993-06-18","2026-05-02","Per=M","Days=T","Dir=V")</f>
        <v>0</v>
      </c>
      <c r="AY2">
        <f>BDH("STRC US Equity","TURNOVER","1993-06-18","2026-05-02","Per=M","Days=T","Dir=V")</f>
        <v>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BDH("STRD US Equity","BS_TOT_ASSET","1993-06-18","2026-05-02","Per=Y","Days=T","Dir=V")</f>
        <v>0</v>
      </c>
      <c r="C2">
        <f>BDH("STRD US Equity","BS_TOT_LIAB2","1993-06-18","2026-05-02","Per=Y","Days=T","Dir=V")</f>
        <v>0</v>
      </c>
      <c r="E2">
        <f>BDH("STRD US Equity","SHORT_AND_LONG_TERM_DEBT","1993-06-18","2026-05-02","Per=Y","Days=T","Dir=V")</f>
        <v>0</v>
      </c>
      <c r="G2">
        <f>BDH("STRD US Equity","BS_ST_BORROW","1993-06-18","2026-05-02","Per=Y","Days=T","Dir=V")</f>
        <v>0</v>
      </c>
      <c r="I2">
        <f>BDH("STRD US Equity","BS_LT_BORROW","1993-06-18","2026-05-02","Per=Y","Days=T","Dir=V")</f>
        <v>0</v>
      </c>
      <c r="K2">
        <f>BDH("STRD US Equity","BS_CASH_NEAR_CASH_ITEM","1993-06-18","2026-05-02","Per=Y","Days=T","Dir=V")</f>
        <v>0</v>
      </c>
      <c r="M2">
        <f>BDH("STRD US Equity","BS_CUR_ASSET_REPORT","1993-06-18","2026-05-02","Per=Y","Days=T","Dir=V")</f>
        <v>0</v>
      </c>
      <c r="O2">
        <f>BDH("STRD US Equity","BS_CUR_LIAB","1993-06-18","2026-05-02","Per=Y","Days=T","Dir=V")</f>
        <v>0</v>
      </c>
      <c r="Q2">
        <f>BDH("STRD US Equity","BS_SHAREHOLDER_EQY_ENDING_PERIOD","1993-06-18","2026-05-02","Per=Y","Days=T","Dir=V")</f>
        <v>0</v>
      </c>
      <c r="S2">
        <f>BDH("STRD US Equity","BS_ACCT_NOTE_RCV","1993-06-18","2026-05-02","Per=Y","Days=T","Dir=V")</f>
        <v>0</v>
      </c>
      <c r="U2">
        <f>BDH("STRD US Equity","BS_INVENTORIES","1993-06-18","2026-05-02","Per=Y","Days=T","Dir=V")</f>
        <v>0</v>
      </c>
      <c r="W2">
        <f>BDH("STRD US Equity","WORKING_CAPITAL","1993-06-18","2026-05-02","Per=Y","Days=T","Dir=V")</f>
        <v>0</v>
      </c>
      <c r="Y2">
        <f>BDH("STRD US Equity","SALES_REV_TURN","1993-06-18","2026-05-02","Per=Y","Days=T","Dir=V")</f>
        <v>0</v>
      </c>
      <c r="AA2">
        <f>BDH("STRD US Equity","EBIT","1993-06-18","2026-05-02","Per=Y","Days=T","Dir=V")</f>
        <v>0</v>
      </c>
      <c r="AC2">
        <f>BDH("STRD US Equity","EBITDA","1993-06-18","2026-05-02","Per=Y","Days=T","Dir=V")</f>
        <v>0</v>
      </c>
      <c r="AE2">
        <f>BDH("STRD US Equity","NET_INCOME","1993-06-18","2026-05-02","Per=Y","Days=T","Dir=V")</f>
        <v>0</v>
      </c>
      <c r="AG2">
        <f>BDH("STRD US Equity","IS_INT_EXPENSE","1993-06-18","2026-05-02","Per=Y","Days=T","Dir=V")</f>
        <v>0</v>
      </c>
      <c r="AI2">
        <f>BDH("STRD US Equity","IS_DEPR_EXP","1993-06-18","2026-05-02","Per=Y","Days=T","Dir=V")</f>
        <v>0</v>
      </c>
      <c r="AK2">
        <f>BDH("STRD US Equity","CF_CASH_FROM_OPER","1993-06-18","2026-05-02","Per=Y","Days=T","Dir=V")</f>
        <v>0</v>
      </c>
      <c r="AM2">
        <f>BDH("STRD US Equity","CAPITAL_EXPEND","1993-06-18","2026-05-02","Per=Y","Days=T","Dir=V")</f>
        <v>0</v>
      </c>
      <c r="AO2">
        <f>BDH("STRD US Equity","CF_FREE_CASH_FLOW","1993-06-18","2026-05-02","Per=Y","Days=T","Dir=V")</f>
        <v>0</v>
      </c>
      <c r="AQ2">
        <f>BDH("STRD US Equity","PX_LAST","1993-06-18","2026-05-02","Per=M","Days=T","Dir=V")</f>
        <v>0</v>
      </c>
      <c r="AS2">
        <f>BDH("STRD US Equity","CUR_MKT_CAP","1993-06-18","2026-05-02","Per=M","Days=T","Dir=V")</f>
        <v>0</v>
      </c>
      <c r="AU2">
        <f>BDH("STRD US Equity","EQY_SH_OUT","1993-06-18","2026-05-02","Per=M","Days=T","Dir=V")</f>
        <v>0</v>
      </c>
      <c r="AW2">
        <f>BDH("STRD US Equity","PX_VOLUME","1993-06-18","2026-05-02","Per=M","Days=T","Dir=V")</f>
        <v>0</v>
      </c>
      <c r="AY2">
        <f>BDH("STRD US Equity","TURNOVER","1993-06-18","2026-05-02","Per=M","Days=T","Dir=V")</f>
        <v>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BDH("STRF US Equity","BS_TOT_ASSET","1993-06-18","2026-05-02","Per=Y","Days=T","Dir=V")</f>
        <v>0</v>
      </c>
      <c r="C2">
        <f>BDH("STRF US Equity","BS_TOT_LIAB2","1993-06-18","2026-05-02","Per=Y","Days=T","Dir=V")</f>
        <v>0</v>
      </c>
      <c r="E2">
        <f>BDH("STRF US Equity","SHORT_AND_LONG_TERM_DEBT","1993-06-18","2026-05-02","Per=Y","Days=T","Dir=V")</f>
        <v>0</v>
      </c>
      <c r="G2">
        <f>BDH("STRF US Equity","BS_ST_BORROW","1993-06-18","2026-05-02","Per=Y","Days=T","Dir=V")</f>
        <v>0</v>
      </c>
      <c r="I2">
        <f>BDH("STRF US Equity","BS_LT_BORROW","1993-06-18","2026-05-02","Per=Y","Days=T","Dir=V")</f>
        <v>0</v>
      </c>
      <c r="K2">
        <f>BDH("STRF US Equity","BS_CASH_NEAR_CASH_ITEM","1993-06-18","2026-05-02","Per=Y","Days=T","Dir=V")</f>
        <v>0</v>
      </c>
      <c r="M2">
        <f>BDH("STRF US Equity","BS_CUR_ASSET_REPORT","1993-06-18","2026-05-02","Per=Y","Days=T","Dir=V")</f>
        <v>0</v>
      </c>
      <c r="O2">
        <f>BDH("STRF US Equity","BS_CUR_LIAB","1993-06-18","2026-05-02","Per=Y","Days=T","Dir=V")</f>
        <v>0</v>
      </c>
      <c r="Q2">
        <f>BDH("STRF US Equity","BS_SHAREHOLDER_EQY_ENDING_PERIOD","1993-06-18","2026-05-02","Per=Y","Days=T","Dir=V")</f>
        <v>0</v>
      </c>
      <c r="S2">
        <f>BDH("STRF US Equity","BS_ACCT_NOTE_RCV","1993-06-18","2026-05-02","Per=Y","Days=T","Dir=V")</f>
        <v>0</v>
      </c>
      <c r="U2">
        <f>BDH("STRF US Equity","BS_INVENTORIES","1993-06-18","2026-05-02","Per=Y","Days=T","Dir=V")</f>
        <v>0</v>
      </c>
      <c r="W2">
        <f>BDH("STRF US Equity","WORKING_CAPITAL","1993-06-18","2026-05-02","Per=Y","Days=T","Dir=V")</f>
        <v>0</v>
      </c>
      <c r="Y2">
        <f>BDH("STRF US Equity","SALES_REV_TURN","1993-06-18","2026-05-02","Per=Y","Days=T","Dir=V")</f>
        <v>0</v>
      </c>
      <c r="AA2">
        <f>BDH("STRF US Equity","EBIT","1993-06-18","2026-05-02","Per=Y","Days=T","Dir=V")</f>
        <v>0</v>
      </c>
      <c r="AC2">
        <f>BDH("STRF US Equity","EBITDA","1993-06-18","2026-05-02","Per=Y","Days=T","Dir=V")</f>
        <v>0</v>
      </c>
      <c r="AE2">
        <f>BDH("STRF US Equity","NET_INCOME","1993-06-18","2026-05-02","Per=Y","Days=T","Dir=V")</f>
        <v>0</v>
      </c>
      <c r="AG2">
        <f>BDH("STRF US Equity","IS_INT_EXPENSE","1993-06-18","2026-05-02","Per=Y","Days=T","Dir=V")</f>
        <v>0</v>
      </c>
      <c r="AI2">
        <f>BDH("STRF US Equity","IS_DEPR_EXP","1993-06-18","2026-05-02","Per=Y","Days=T","Dir=V")</f>
        <v>0</v>
      </c>
      <c r="AK2">
        <f>BDH("STRF US Equity","CF_CASH_FROM_OPER","1993-06-18","2026-05-02","Per=Y","Days=T","Dir=V")</f>
        <v>0</v>
      </c>
      <c r="AM2">
        <f>BDH("STRF US Equity","CAPITAL_EXPEND","1993-06-18","2026-05-02","Per=Y","Days=T","Dir=V")</f>
        <v>0</v>
      </c>
      <c r="AO2">
        <f>BDH("STRF US Equity","CF_FREE_CASH_FLOW","1993-06-18","2026-05-02","Per=Y","Days=T","Dir=V")</f>
        <v>0</v>
      </c>
      <c r="AQ2">
        <f>BDH("STRF US Equity","PX_LAST","1993-06-18","2026-05-02","Per=M","Days=T","Dir=V")</f>
        <v>0</v>
      </c>
      <c r="AS2">
        <f>BDH("STRF US Equity","CUR_MKT_CAP","1993-06-18","2026-05-02","Per=M","Days=T","Dir=V")</f>
        <v>0</v>
      </c>
      <c r="AU2">
        <f>BDH("STRF US Equity","EQY_SH_OUT","1993-06-18","2026-05-02","Per=M","Days=T","Dir=V")</f>
        <v>0</v>
      </c>
      <c r="AW2">
        <f>BDH("STRF US Equity","PX_VOLUME","1993-06-18","2026-05-02","Per=M","Days=T","Dir=V")</f>
        <v>0</v>
      </c>
      <c r="AY2">
        <f>BDH("STRF US Equity","TURNOVER","1993-06-18","2026-05-02","Per=M","Days=T","Dir=V")</f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BDH("STRK US Equity","BS_TOT_ASSET","1993-06-18","2026-05-02","Per=Y","Days=T","Dir=V")</f>
        <v>0</v>
      </c>
      <c r="C2">
        <f>BDH("STRK US Equity","BS_TOT_LIAB2","1993-06-18","2026-05-02","Per=Y","Days=T","Dir=V")</f>
        <v>0</v>
      </c>
      <c r="E2">
        <f>BDH("STRK US Equity","SHORT_AND_LONG_TERM_DEBT","1993-06-18","2026-05-02","Per=Y","Days=T","Dir=V")</f>
        <v>0</v>
      </c>
      <c r="G2">
        <f>BDH("STRK US Equity","BS_ST_BORROW","1993-06-18","2026-05-02","Per=Y","Days=T","Dir=V")</f>
        <v>0</v>
      </c>
      <c r="I2">
        <f>BDH("STRK US Equity","BS_LT_BORROW","1993-06-18","2026-05-02","Per=Y","Days=T","Dir=V")</f>
        <v>0</v>
      </c>
      <c r="K2">
        <f>BDH("STRK US Equity","BS_CASH_NEAR_CASH_ITEM","1993-06-18","2026-05-02","Per=Y","Days=T","Dir=V")</f>
        <v>0</v>
      </c>
      <c r="M2">
        <f>BDH("STRK US Equity","BS_CUR_ASSET_REPORT","1993-06-18","2026-05-02","Per=Y","Days=T","Dir=V")</f>
        <v>0</v>
      </c>
      <c r="O2">
        <f>BDH("STRK US Equity","BS_CUR_LIAB","1993-06-18","2026-05-02","Per=Y","Days=T","Dir=V")</f>
        <v>0</v>
      </c>
      <c r="Q2">
        <f>BDH("STRK US Equity","BS_SHAREHOLDER_EQY_ENDING_PERIOD","1993-06-18","2026-05-02","Per=Y","Days=T","Dir=V")</f>
        <v>0</v>
      </c>
      <c r="S2">
        <f>BDH("STRK US Equity","BS_ACCT_NOTE_RCV","1993-06-18","2026-05-02","Per=Y","Days=T","Dir=V")</f>
        <v>0</v>
      </c>
      <c r="U2">
        <f>BDH("STRK US Equity","BS_INVENTORIES","1993-06-18","2026-05-02","Per=Y","Days=T","Dir=V")</f>
        <v>0</v>
      </c>
      <c r="W2">
        <f>BDH("STRK US Equity","WORKING_CAPITAL","1993-06-18","2026-05-02","Per=Y","Days=T","Dir=V")</f>
        <v>0</v>
      </c>
      <c r="Y2">
        <f>BDH("STRK US Equity","SALES_REV_TURN","1993-06-18","2026-05-02","Per=Y","Days=T","Dir=V")</f>
        <v>0</v>
      </c>
      <c r="AA2">
        <f>BDH("STRK US Equity","EBIT","1993-06-18","2026-05-02","Per=Y","Days=T","Dir=V")</f>
        <v>0</v>
      </c>
      <c r="AC2">
        <f>BDH("STRK US Equity","EBITDA","1993-06-18","2026-05-02","Per=Y","Days=T","Dir=V")</f>
        <v>0</v>
      </c>
      <c r="AE2">
        <f>BDH("STRK US Equity","NET_INCOME","1993-06-18","2026-05-02","Per=Y","Days=T","Dir=V")</f>
        <v>0</v>
      </c>
      <c r="AG2">
        <f>BDH("STRK US Equity","IS_INT_EXPENSE","1993-06-18","2026-05-02","Per=Y","Days=T","Dir=V")</f>
        <v>0</v>
      </c>
      <c r="AI2">
        <f>BDH("STRK US Equity","IS_DEPR_EXP","1993-06-18","2026-05-02","Per=Y","Days=T","Dir=V")</f>
        <v>0</v>
      </c>
      <c r="AK2">
        <f>BDH("STRK US Equity","CF_CASH_FROM_OPER","1993-06-18","2026-05-02","Per=Y","Days=T","Dir=V")</f>
        <v>0</v>
      </c>
      <c r="AM2">
        <f>BDH("STRK US Equity","CAPITAL_EXPEND","1993-06-18","2026-05-02","Per=Y","Days=T","Dir=V")</f>
        <v>0</v>
      </c>
      <c r="AO2">
        <f>BDH("STRK US Equity","CF_FREE_CASH_FLOW","1993-06-18","2026-05-02","Per=Y","Days=T","Dir=V")</f>
        <v>0</v>
      </c>
      <c r="AQ2">
        <f>BDH("STRK US Equity","PX_LAST","1993-06-18","2026-05-02","Per=M","Days=T","Dir=V")</f>
        <v>0</v>
      </c>
      <c r="AS2">
        <f>BDH("STRK US Equity","CUR_MKT_CAP","1993-06-18","2026-05-02","Per=M","Days=T","Dir=V")</f>
        <v>0</v>
      </c>
      <c r="AU2">
        <f>BDH("STRK US Equity","EQY_SH_OUT","1993-06-18","2026-05-02","Per=M","Days=T","Dir=V")</f>
        <v>0</v>
      </c>
      <c r="AW2">
        <f>BDH("STRK US Equity","PX_VOLUME","1993-06-18","2026-05-02","Per=M","Days=T","Dir=V")</f>
        <v>0</v>
      </c>
      <c r="AY2">
        <f>BDH("STRK US Equity","TURNOVER","1993-06-18","2026-05-02","Per=M","Days=T","Dir=V")</f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BDH("STRL US Equity","BS_TOT_ASSET","1993-06-18","2026-05-02","Per=Y","Days=T","Dir=V")</f>
        <v>0</v>
      </c>
      <c r="C2">
        <f>BDH("STRL US Equity","BS_TOT_LIAB2","1993-06-18","2026-05-02","Per=Y","Days=T","Dir=V")</f>
        <v>0</v>
      </c>
      <c r="E2">
        <f>BDH("STRL US Equity","SHORT_AND_LONG_TERM_DEBT","1993-06-18","2026-05-02","Per=Y","Days=T","Dir=V")</f>
        <v>0</v>
      </c>
      <c r="G2">
        <f>BDH("STRL US Equity","BS_ST_BORROW","1993-06-18","2026-05-02","Per=Y","Days=T","Dir=V")</f>
        <v>0</v>
      </c>
      <c r="I2">
        <f>BDH("STRL US Equity","BS_LT_BORROW","1993-06-18","2026-05-02","Per=Y","Days=T","Dir=V")</f>
        <v>0</v>
      </c>
      <c r="K2">
        <f>BDH("STRL US Equity","BS_CASH_NEAR_CASH_ITEM","1993-06-18","2026-05-02","Per=Y","Days=T","Dir=V")</f>
        <v>0</v>
      </c>
      <c r="M2">
        <f>BDH("STRL US Equity","BS_CUR_ASSET_REPORT","1993-06-18","2026-05-02","Per=Y","Days=T","Dir=V")</f>
        <v>0</v>
      </c>
      <c r="O2">
        <f>BDH("STRL US Equity","BS_CUR_LIAB","1993-06-18","2026-05-02","Per=Y","Days=T","Dir=V")</f>
        <v>0</v>
      </c>
      <c r="Q2">
        <f>BDH("STRL US Equity","BS_SHAREHOLDER_EQY_ENDING_PERIOD","1993-06-18","2026-05-02","Per=Y","Days=T","Dir=V")</f>
        <v>0</v>
      </c>
      <c r="S2">
        <f>BDH("STRL US Equity","BS_ACCT_NOTE_RCV","1993-06-18","2026-05-02","Per=Y","Days=T","Dir=V")</f>
        <v>0</v>
      </c>
      <c r="U2">
        <f>BDH("STRL US Equity","BS_INVENTORIES","1993-06-18","2026-05-02","Per=Y","Days=T","Dir=V")</f>
        <v>0</v>
      </c>
      <c r="W2">
        <f>BDH("STRL US Equity","WORKING_CAPITAL","1993-06-18","2026-05-02","Per=Y","Days=T","Dir=V")</f>
        <v>0</v>
      </c>
      <c r="Y2">
        <f>BDH("STRL US Equity","SALES_REV_TURN","1993-06-18","2026-05-02","Per=Y","Days=T","Dir=V")</f>
        <v>0</v>
      </c>
      <c r="AA2">
        <f>BDH("STRL US Equity","EBIT","1993-06-18","2026-05-02","Per=Y","Days=T","Dir=V")</f>
        <v>0</v>
      </c>
      <c r="AC2">
        <f>BDH("STRL US Equity","EBITDA","1993-06-18","2026-05-02","Per=Y","Days=T","Dir=V")</f>
        <v>0</v>
      </c>
      <c r="AE2">
        <f>BDH("STRL US Equity","NET_INCOME","1993-06-18","2026-05-02","Per=Y","Days=T","Dir=V")</f>
        <v>0</v>
      </c>
      <c r="AG2">
        <f>BDH("STRL US Equity","IS_INT_EXPENSE","1993-06-18","2026-05-02","Per=Y","Days=T","Dir=V")</f>
        <v>0</v>
      </c>
      <c r="AI2">
        <f>BDH("STRL US Equity","IS_DEPR_EXP","1993-06-18","2026-05-02","Per=Y","Days=T","Dir=V")</f>
        <v>0</v>
      </c>
      <c r="AK2">
        <f>BDH("STRL US Equity","CF_CASH_FROM_OPER","1993-06-18","2026-05-02","Per=Y","Days=T","Dir=V")</f>
        <v>0</v>
      </c>
      <c r="AM2">
        <f>BDH("STRL US Equity","CAPITAL_EXPEND","1993-06-18","2026-05-02","Per=Y","Days=T","Dir=V")</f>
        <v>0</v>
      </c>
      <c r="AO2">
        <f>BDH("STRL US Equity","CF_FREE_CASH_FLOW","1993-06-18","2026-05-02","Per=Y","Days=T","Dir=V")</f>
        <v>0</v>
      </c>
      <c r="AQ2">
        <f>BDH("STRL US Equity","PX_LAST","1993-06-18","2026-05-02","Per=M","Days=T","Dir=V")</f>
        <v>0</v>
      </c>
      <c r="AS2">
        <f>BDH("STRL US Equity","CUR_MKT_CAP","1993-06-18","2026-05-02","Per=M","Days=T","Dir=V")</f>
        <v>0</v>
      </c>
      <c r="AU2">
        <f>BDH("STRL US Equity","EQY_SH_OUT","1993-06-18","2026-05-02","Per=M","Days=T","Dir=V")</f>
        <v>0</v>
      </c>
      <c r="AW2">
        <f>BDH("STRL US Equity","PX_VOLUME","1993-06-18","2026-05-02","Per=M","Days=T","Dir=V")</f>
        <v>0</v>
      </c>
      <c r="AY2">
        <f>BDH("STRL US Equity","TURNOVER","1993-06-18","2026-05-02","Per=M","Days=T","Dir=V")</f>
        <v>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BDH("STRO US Equity","BS_TOT_ASSET","1993-06-18","2026-05-02","Per=Y","Days=T","Dir=V")</f>
        <v>0</v>
      </c>
      <c r="C2">
        <f>BDH("STRO US Equity","BS_TOT_LIAB2","1993-06-18","2026-05-02","Per=Y","Days=T","Dir=V")</f>
        <v>0</v>
      </c>
      <c r="E2">
        <f>BDH("STRO US Equity","SHORT_AND_LONG_TERM_DEBT","1993-06-18","2026-05-02","Per=Y","Days=T","Dir=V")</f>
        <v>0</v>
      </c>
      <c r="G2">
        <f>BDH("STRO US Equity","BS_ST_BORROW","1993-06-18","2026-05-02","Per=Y","Days=T","Dir=V")</f>
        <v>0</v>
      </c>
      <c r="I2">
        <f>BDH("STRO US Equity","BS_LT_BORROW","1993-06-18","2026-05-02","Per=Y","Days=T","Dir=V")</f>
        <v>0</v>
      </c>
      <c r="K2">
        <f>BDH("STRO US Equity","BS_CASH_NEAR_CASH_ITEM","1993-06-18","2026-05-02","Per=Y","Days=T","Dir=V")</f>
        <v>0</v>
      </c>
      <c r="M2">
        <f>BDH("STRO US Equity","BS_CUR_ASSET_REPORT","1993-06-18","2026-05-02","Per=Y","Days=T","Dir=V")</f>
        <v>0</v>
      </c>
      <c r="O2">
        <f>BDH("STRO US Equity","BS_CUR_LIAB","1993-06-18","2026-05-02","Per=Y","Days=T","Dir=V")</f>
        <v>0</v>
      </c>
      <c r="Q2">
        <f>BDH("STRO US Equity","BS_SHAREHOLDER_EQY_ENDING_PERIOD","1993-06-18","2026-05-02","Per=Y","Days=T","Dir=V")</f>
        <v>0</v>
      </c>
      <c r="S2">
        <f>BDH("STRO US Equity","BS_ACCT_NOTE_RCV","1993-06-18","2026-05-02","Per=Y","Days=T","Dir=V")</f>
        <v>0</v>
      </c>
      <c r="U2">
        <f>BDH("STRO US Equity","BS_INVENTORIES","1993-06-18","2026-05-02","Per=Y","Days=T","Dir=V")</f>
        <v>0</v>
      </c>
      <c r="W2">
        <f>BDH("STRO US Equity","WORKING_CAPITAL","1993-06-18","2026-05-02","Per=Y","Days=T","Dir=V")</f>
        <v>0</v>
      </c>
      <c r="Y2">
        <f>BDH("STRO US Equity","SALES_REV_TURN","1993-06-18","2026-05-02","Per=Y","Days=T","Dir=V")</f>
        <v>0</v>
      </c>
      <c r="AA2">
        <f>BDH("STRO US Equity","EBIT","1993-06-18","2026-05-02","Per=Y","Days=T","Dir=V")</f>
        <v>0</v>
      </c>
      <c r="AC2">
        <f>BDH("STRO US Equity","EBITDA","1993-06-18","2026-05-02","Per=Y","Days=T","Dir=V")</f>
        <v>0</v>
      </c>
      <c r="AE2">
        <f>BDH("STRO US Equity","NET_INCOME","1993-06-18","2026-05-02","Per=Y","Days=T","Dir=V")</f>
        <v>0</v>
      </c>
      <c r="AG2">
        <f>BDH("STRO US Equity","IS_INT_EXPENSE","1993-06-18","2026-05-02","Per=Y","Days=T","Dir=V")</f>
        <v>0</v>
      </c>
      <c r="AI2">
        <f>BDH("STRO US Equity","IS_DEPR_EXP","1993-06-18","2026-05-02","Per=Y","Days=T","Dir=V")</f>
        <v>0</v>
      </c>
      <c r="AK2">
        <f>BDH("STRO US Equity","CF_CASH_FROM_OPER","1993-06-18","2026-05-02","Per=Y","Days=T","Dir=V")</f>
        <v>0</v>
      </c>
      <c r="AM2">
        <f>BDH("STRO US Equity","CAPITAL_EXPEND","1993-06-18","2026-05-02","Per=Y","Days=T","Dir=V")</f>
        <v>0</v>
      </c>
      <c r="AO2">
        <f>BDH("STRO US Equity","CF_FREE_CASH_FLOW","1993-06-18","2026-05-02","Per=Y","Days=T","Dir=V")</f>
        <v>0</v>
      </c>
      <c r="AQ2">
        <f>BDH("STRO US Equity","PX_LAST","1993-06-18","2026-05-02","Per=M","Days=T","Dir=V")</f>
        <v>0</v>
      </c>
      <c r="AS2">
        <f>BDH("STRO US Equity","CUR_MKT_CAP","1993-06-18","2026-05-02","Per=M","Days=T","Dir=V")</f>
        <v>0</v>
      </c>
      <c r="AU2">
        <f>BDH("STRO US Equity","EQY_SH_OUT","1993-06-18","2026-05-02","Per=M","Days=T","Dir=V")</f>
        <v>0</v>
      </c>
      <c r="AW2">
        <f>BDH("STRO US Equity","PX_VOLUME","1993-06-18","2026-05-02","Per=M","Days=T","Dir=V")</f>
        <v>0</v>
      </c>
      <c r="AY2">
        <f>BDH("STRO US Equity","TURNOVER","1993-06-18","2026-05-02","Per=M","Days=T","Dir=V")</f>
        <v>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BDH("STRR US Equity","BS_TOT_ASSET","1993-06-18","2026-05-02","Per=Y","Days=T","Dir=V")</f>
        <v>0</v>
      </c>
      <c r="C2">
        <f>BDH("STRR US Equity","BS_TOT_LIAB2","1993-06-18","2026-05-02","Per=Y","Days=T","Dir=V")</f>
        <v>0</v>
      </c>
      <c r="E2">
        <f>BDH("STRR US Equity","SHORT_AND_LONG_TERM_DEBT","1993-06-18","2026-05-02","Per=Y","Days=T","Dir=V")</f>
        <v>0</v>
      </c>
      <c r="G2">
        <f>BDH("STRR US Equity","BS_ST_BORROW","1993-06-18","2026-05-02","Per=Y","Days=T","Dir=V")</f>
        <v>0</v>
      </c>
      <c r="I2">
        <f>BDH("STRR US Equity","BS_LT_BORROW","1993-06-18","2026-05-02","Per=Y","Days=T","Dir=V")</f>
        <v>0</v>
      </c>
      <c r="K2">
        <f>BDH("STRR US Equity","BS_CASH_NEAR_CASH_ITEM","1993-06-18","2026-05-02","Per=Y","Days=T","Dir=V")</f>
        <v>0</v>
      </c>
      <c r="M2">
        <f>BDH("STRR US Equity","BS_CUR_ASSET_REPORT","1993-06-18","2026-05-02","Per=Y","Days=T","Dir=V")</f>
        <v>0</v>
      </c>
      <c r="O2">
        <f>BDH("STRR US Equity","BS_CUR_LIAB","1993-06-18","2026-05-02","Per=Y","Days=T","Dir=V")</f>
        <v>0</v>
      </c>
      <c r="Q2">
        <f>BDH("STRR US Equity","BS_SHAREHOLDER_EQY_ENDING_PERIOD","1993-06-18","2026-05-02","Per=Y","Days=T","Dir=V")</f>
        <v>0</v>
      </c>
      <c r="S2">
        <f>BDH("STRR US Equity","BS_ACCT_NOTE_RCV","1993-06-18","2026-05-02","Per=Y","Days=T","Dir=V")</f>
        <v>0</v>
      </c>
      <c r="U2">
        <f>BDH("STRR US Equity","BS_INVENTORIES","1993-06-18","2026-05-02","Per=Y","Days=T","Dir=V")</f>
        <v>0</v>
      </c>
      <c r="W2">
        <f>BDH("STRR US Equity","WORKING_CAPITAL","1993-06-18","2026-05-02","Per=Y","Days=T","Dir=V")</f>
        <v>0</v>
      </c>
      <c r="Y2">
        <f>BDH("STRR US Equity","SALES_REV_TURN","1993-06-18","2026-05-02","Per=Y","Days=T","Dir=V")</f>
        <v>0</v>
      </c>
      <c r="AA2">
        <f>BDH("STRR US Equity","EBIT","1993-06-18","2026-05-02","Per=Y","Days=T","Dir=V")</f>
        <v>0</v>
      </c>
      <c r="AC2">
        <f>BDH("STRR US Equity","EBITDA","1993-06-18","2026-05-02","Per=Y","Days=T","Dir=V")</f>
        <v>0</v>
      </c>
      <c r="AE2">
        <f>BDH("STRR US Equity","NET_INCOME","1993-06-18","2026-05-02","Per=Y","Days=T","Dir=V")</f>
        <v>0</v>
      </c>
      <c r="AG2">
        <f>BDH("STRR US Equity","IS_INT_EXPENSE","1993-06-18","2026-05-02","Per=Y","Days=T","Dir=V")</f>
        <v>0</v>
      </c>
      <c r="AI2">
        <f>BDH("STRR US Equity","IS_DEPR_EXP","1993-06-18","2026-05-02","Per=Y","Days=T","Dir=V")</f>
        <v>0</v>
      </c>
      <c r="AK2">
        <f>BDH("STRR US Equity","CF_CASH_FROM_OPER","1993-06-18","2026-05-02","Per=Y","Days=T","Dir=V")</f>
        <v>0</v>
      </c>
      <c r="AM2">
        <f>BDH("STRR US Equity","CAPITAL_EXPEND","1993-06-18","2026-05-02","Per=Y","Days=T","Dir=V")</f>
        <v>0</v>
      </c>
      <c r="AO2">
        <f>BDH("STRR US Equity","CF_FREE_CASH_FLOW","1993-06-18","2026-05-02","Per=Y","Days=T","Dir=V")</f>
        <v>0</v>
      </c>
      <c r="AQ2">
        <f>BDH("STRR US Equity","PX_LAST","1993-06-18","2026-05-02","Per=M","Days=T","Dir=V")</f>
        <v>0</v>
      </c>
      <c r="AS2">
        <f>BDH("STRR US Equity","CUR_MKT_CAP","1993-06-18","2026-05-02","Per=M","Days=T","Dir=V")</f>
        <v>0</v>
      </c>
      <c r="AU2">
        <f>BDH("STRR US Equity","EQY_SH_OUT","1993-06-18","2026-05-02","Per=M","Days=T","Dir=V")</f>
        <v>0</v>
      </c>
      <c r="AW2">
        <f>BDH("STRR US Equity","PX_VOLUME","1993-06-18","2026-05-02","Per=M","Days=T","Dir=V")</f>
        <v>0</v>
      </c>
      <c r="AY2">
        <f>BDH("STRR US Equity","TURNOVER","1993-06-18","2026-05-02","Per=M","Days=T","Dir=V")</f>
        <v>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BDH("STRRP US Equity","BS_TOT_ASSET","1993-06-18","2026-05-02","Per=Y","Days=T","Dir=V")</f>
        <v>0</v>
      </c>
      <c r="C2">
        <f>BDH("STRRP US Equity","BS_TOT_LIAB2","1993-06-18","2026-05-02","Per=Y","Days=T","Dir=V")</f>
        <v>0</v>
      </c>
      <c r="E2">
        <f>BDH("STRRP US Equity","SHORT_AND_LONG_TERM_DEBT","1993-06-18","2026-05-02","Per=Y","Days=T","Dir=V")</f>
        <v>0</v>
      </c>
      <c r="G2">
        <f>BDH("STRRP US Equity","BS_ST_BORROW","1993-06-18","2026-05-02","Per=Y","Days=T","Dir=V")</f>
        <v>0</v>
      </c>
      <c r="I2">
        <f>BDH("STRRP US Equity","BS_LT_BORROW","1993-06-18","2026-05-02","Per=Y","Days=T","Dir=V")</f>
        <v>0</v>
      </c>
      <c r="K2">
        <f>BDH("STRRP US Equity","BS_CASH_NEAR_CASH_ITEM","1993-06-18","2026-05-02","Per=Y","Days=T","Dir=V")</f>
        <v>0</v>
      </c>
      <c r="M2">
        <f>BDH("STRRP US Equity","BS_CUR_ASSET_REPORT","1993-06-18","2026-05-02","Per=Y","Days=T","Dir=V")</f>
        <v>0</v>
      </c>
      <c r="O2">
        <f>BDH("STRRP US Equity","BS_CUR_LIAB","1993-06-18","2026-05-02","Per=Y","Days=T","Dir=V")</f>
        <v>0</v>
      </c>
      <c r="Q2">
        <f>BDH("STRRP US Equity","BS_SHAREHOLDER_EQY_ENDING_PERIOD","1993-06-18","2026-05-02","Per=Y","Days=T","Dir=V")</f>
        <v>0</v>
      </c>
      <c r="S2">
        <f>BDH("STRRP US Equity","BS_ACCT_NOTE_RCV","1993-06-18","2026-05-02","Per=Y","Days=T","Dir=V")</f>
        <v>0</v>
      </c>
      <c r="U2">
        <f>BDH("STRRP US Equity","BS_INVENTORIES","1993-06-18","2026-05-02","Per=Y","Days=T","Dir=V")</f>
        <v>0</v>
      </c>
      <c r="W2">
        <f>BDH("STRRP US Equity","WORKING_CAPITAL","1993-06-18","2026-05-02","Per=Y","Days=T","Dir=V")</f>
        <v>0</v>
      </c>
      <c r="Y2">
        <f>BDH("STRRP US Equity","SALES_REV_TURN","1993-06-18","2026-05-02","Per=Y","Days=T","Dir=V")</f>
        <v>0</v>
      </c>
      <c r="AA2">
        <f>BDH("STRRP US Equity","EBIT","1993-06-18","2026-05-02","Per=Y","Days=T","Dir=V")</f>
        <v>0</v>
      </c>
      <c r="AC2">
        <f>BDH("STRRP US Equity","EBITDA","1993-06-18","2026-05-02","Per=Y","Days=T","Dir=V")</f>
        <v>0</v>
      </c>
      <c r="AE2">
        <f>BDH("STRRP US Equity","NET_INCOME","1993-06-18","2026-05-02","Per=Y","Days=T","Dir=V")</f>
        <v>0</v>
      </c>
      <c r="AG2">
        <f>BDH("STRRP US Equity","IS_INT_EXPENSE","1993-06-18","2026-05-02","Per=Y","Days=T","Dir=V")</f>
        <v>0</v>
      </c>
      <c r="AI2">
        <f>BDH("STRRP US Equity","IS_DEPR_EXP","1993-06-18","2026-05-02","Per=Y","Days=T","Dir=V")</f>
        <v>0</v>
      </c>
      <c r="AK2">
        <f>BDH("STRRP US Equity","CF_CASH_FROM_OPER","1993-06-18","2026-05-02","Per=Y","Days=T","Dir=V")</f>
        <v>0</v>
      </c>
      <c r="AM2">
        <f>BDH("STRRP US Equity","CAPITAL_EXPEND","1993-06-18","2026-05-02","Per=Y","Days=T","Dir=V")</f>
        <v>0</v>
      </c>
      <c r="AO2">
        <f>BDH("STRRP US Equity","CF_FREE_CASH_FLOW","1993-06-18","2026-05-02","Per=Y","Days=T","Dir=V")</f>
        <v>0</v>
      </c>
      <c r="AQ2">
        <f>BDH("STRRP US Equity","PX_LAST","1993-06-18","2026-05-02","Per=M","Days=T","Dir=V")</f>
        <v>0</v>
      </c>
      <c r="AS2">
        <f>BDH("STRRP US Equity","CUR_MKT_CAP","1993-06-18","2026-05-02","Per=M","Days=T","Dir=V")</f>
        <v>0</v>
      </c>
      <c r="AU2">
        <f>BDH("STRRP US Equity","EQY_SH_OUT","1993-06-18","2026-05-02","Per=M","Days=T","Dir=V")</f>
        <v>0</v>
      </c>
      <c r="AW2">
        <f>BDH("STRRP US Equity","PX_VOLUME","1993-06-18","2026-05-02","Per=M","Days=T","Dir=V")</f>
        <v>0</v>
      </c>
      <c r="AY2">
        <f>BDH("STRRP US Equity","TURNOVER","1993-06-18","2026-05-02","Per=M","Days=T","Dir=V")</f>
        <v>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BDH("STRT US Equity","BS_TOT_ASSET","1993-06-18","2026-05-02","Per=Y","Days=T","Dir=V")</f>
        <v>0</v>
      </c>
      <c r="C2">
        <f>BDH("STRT US Equity","BS_TOT_LIAB2","1993-06-18","2026-05-02","Per=Y","Days=T","Dir=V")</f>
        <v>0</v>
      </c>
      <c r="E2">
        <f>BDH("STRT US Equity","SHORT_AND_LONG_TERM_DEBT","1993-06-18","2026-05-02","Per=Y","Days=T","Dir=V")</f>
        <v>0</v>
      </c>
      <c r="G2">
        <f>BDH("STRT US Equity","BS_ST_BORROW","1993-06-18","2026-05-02","Per=Y","Days=T","Dir=V")</f>
        <v>0</v>
      </c>
      <c r="I2">
        <f>BDH("STRT US Equity","BS_LT_BORROW","1993-06-18","2026-05-02","Per=Y","Days=T","Dir=V")</f>
        <v>0</v>
      </c>
      <c r="K2">
        <f>BDH("STRT US Equity","BS_CASH_NEAR_CASH_ITEM","1993-06-18","2026-05-02","Per=Y","Days=T","Dir=V")</f>
        <v>0</v>
      </c>
      <c r="M2">
        <f>BDH("STRT US Equity","BS_CUR_ASSET_REPORT","1993-06-18","2026-05-02","Per=Y","Days=T","Dir=V")</f>
        <v>0</v>
      </c>
      <c r="O2">
        <f>BDH("STRT US Equity","BS_CUR_LIAB","1993-06-18","2026-05-02","Per=Y","Days=T","Dir=V")</f>
        <v>0</v>
      </c>
      <c r="Q2">
        <f>BDH("STRT US Equity","BS_SHAREHOLDER_EQY_ENDING_PERIOD","1993-06-18","2026-05-02","Per=Y","Days=T","Dir=V")</f>
        <v>0</v>
      </c>
      <c r="S2">
        <f>BDH("STRT US Equity","BS_ACCT_NOTE_RCV","1993-06-18","2026-05-02","Per=Y","Days=T","Dir=V")</f>
        <v>0</v>
      </c>
      <c r="U2">
        <f>BDH("STRT US Equity","BS_INVENTORIES","1993-06-18","2026-05-02","Per=Y","Days=T","Dir=V")</f>
        <v>0</v>
      </c>
      <c r="W2">
        <f>BDH("STRT US Equity","WORKING_CAPITAL","1993-06-18","2026-05-02","Per=Y","Days=T","Dir=V")</f>
        <v>0</v>
      </c>
      <c r="Y2">
        <f>BDH("STRT US Equity","SALES_REV_TURN","1993-06-18","2026-05-02","Per=Y","Days=T","Dir=V")</f>
        <v>0</v>
      </c>
      <c r="AA2">
        <f>BDH("STRT US Equity","EBIT","1993-06-18","2026-05-02","Per=Y","Days=T","Dir=V")</f>
        <v>0</v>
      </c>
      <c r="AC2">
        <f>BDH("STRT US Equity","EBITDA","1993-06-18","2026-05-02","Per=Y","Days=T","Dir=V")</f>
        <v>0</v>
      </c>
      <c r="AE2">
        <f>BDH("STRT US Equity","NET_INCOME","1993-06-18","2026-05-02","Per=Y","Days=T","Dir=V")</f>
        <v>0</v>
      </c>
      <c r="AG2">
        <f>BDH("STRT US Equity","IS_INT_EXPENSE","1993-06-18","2026-05-02","Per=Y","Days=T","Dir=V")</f>
        <v>0</v>
      </c>
      <c r="AI2">
        <f>BDH("STRT US Equity","IS_DEPR_EXP","1993-06-18","2026-05-02","Per=Y","Days=T","Dir=V")</f>
        <v>0</v>
      </c>
      <c r="AK2">
        <f>BDH("STRT US Equity","CF_CASH_FROM_OPER","1993-06-18","2026-05-02","Per=Y","Days=T","Dir=V")</f>
        <v>0</v>
      </c>
      <c r="AM2">
        <f>BDH("STRT US Equity","CAPITAL_EXPEND","1993-06-18","2026-05-02","Per=Y","Days=T","Dir=V")</f>
        <v>0</v>
      </c>
      <c r="AO2">
        <f>BDH("STRT US Equity","CF_FREE_CASH_FLOW","1993-06-18","2026-05-02","Per=Y","Days=T","Dir=V")</f>
        <v>0</v>
      </c>
      <c r="AQ2">
        <f>BDH("STRT US Equity","PX_LAST","1993-06-18","2026-05-02","Per=M","Days=T","Dir=V")</f>
        <v>0</v>
      </c>
      <c r="AS2">
        <f>BDH("STRT US Equity","CUR_MKT_CAP","1993-06-18","2026-05-02","Per=M","Days=T","Dir=V")</f>
        <v>0</v>
      </c>
      <c r="AU2">
        <f>BDH("STRT US Equity","EQY_SH_OUT","1993-06-18","2026-05-02","Per=M","Days=T","Dir=V")</f>
        <v>0</v>
      </c>
      <c r="AW2">
        <f>BDH("STRT US Equity","PX_VOLUME","1993-06-18","2026-05-02","Per=M","Days=T","Dir=V")</f>
        <v>0</v>
      </c>
      <c r="AY2">
        <f>BDH("STRT US Equity","TURNOVER","1993-06-18","2026-05-02","Per=M","Days=T","Dir=V")</f>
        <v>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BDH("STRZ US Equity","BS_TOT_ASSET","1993-06-18","2026-05-02","Per=Y","Days=T","Dir=V")</f>
        <v>0</v>
      </c>
      <c r="C2">
        <f>BDH("STRZ US Equity","BS_TOT_LIAB2","1993-06-18","2026-05-02","Per=Y","Days=T","Dir=V")</f>
        <v>0</v>
      </c>
      <c r="E2">
        <f>BDH("STRZ US Equity","SHORT_AND_LONG_TERM_DEBT","1993-06-18","2026-05-02","Per=Y","Days=T","Dir=V")</f>
        <v>0</v>
      </c>
      <c r="G2">
        <f>BDH("STRZ US Equity","BS_ST_BORROW","1993-06-18","2026-05-02","Per=Y","Days=T","Dir=V")</f>
        <v>0</v>
      </c>
      <c r="I2">
        <f>BDH("STRZ US Equity","BS_LT_BORROW","1993-06-18","2026-05-02","Per=Y","Days=T","Dir=V")</f>
        <v>0</v>
      </c>
      <c r="K2">
        <f>BDH("STRZ US Equity","BS_CASH_NEAR_CASH_ITEM","1993-06-18","2026-05-02","Per=Y","Days=T","Dir=V")</f>
        <v>0</v>
      </c>
      <c r="M2">
        <f>BDH("STRZ US Equity","BS_CUR_ASSET_REPORT","1993-06-18","2026-05-02","Per=Y","Days=T","Dir=V")</f>
        <v>0</v>
      </c>
      <c r="O2">
        <f>BDH("STRZ US Equity","BS_CUR_LIAB","1993-06-18","2026-05-02","Per=Y","Days=T","Dir=V")</f>
        <v>0</v>
      </c>
      <c r="Q2">
        <f>BDH("STRZ US Equity","BS_SHAREHOLDER_EQY_ENDING_PERIOD","1993-06-18","2026-05-02","Per=Y","Days=T","Dir=V")</f>
        <v>0</v>
      </c>
      <c r="S2">
        <f>BDH("STRZ US Equity","BS_ACCT_NOTE_RCV","1993-06-18","2026-05-02","Per=Y","Days=T","Dir=V")</f>
        <v>0</v>
      </c>
      <c r="U2">
        <f>BDH("STRZ US Equity","BS_INVENTORIES","1993-06-18","2026-05-02","Per=Y","Days=T","Dir=V")</f>
        <v>0</v>
      </c>
      <c r="W2">
        <f>BDH("STRZ US Equity","WORKING_CAPITAL","1993-06-18","2026-05-02","Per=Y","Days=T","Dir=V")</f>
        <v>0</v>
      </c>
      <c r="Y2">
        <f>BDH("STRZ US Equity","SALES_REV_TURN","1993-06-18","2026-05-02","Per=Y","Days=T","Dir=V")</f>
        <v>0</v>
      </c>
      <c r="AA2">
        <f>BDH("STRZ US Equity","EBIT","1993-06-18","2026-05-02","Per=Y","Days=T","Dir=V")</f>
        <v>0</v>
      </c>
      <c r="AC2">
        <f>BDH("STRZ US Equity","EBITDA","1993-06-18","2026-05-02","Per=Y","Days=T","Dir=V")</f>
        <v>0</v>
      </c>
      <c r="AE2">
        <f>BDH("STRZ US Equity","NET_INCOME","1993-06-18","2026-05-02","Per=Y","Days=T","Dir=V")</f>
        <v>0</v>
      </c>
      <c r="AG2">
        <f>BDH("STRZ US Equity","IS_INT_EXPENSE","1993-06-18","2026-05-02","Per=Y","Days=T","Dir=V")</f>
        <v>0</v>
      </c>
      <c r="AI2">
        <f>BDH("STRZ US Equity","IS_DEPR_EXP","1993-06-18","2026-05-02","Per=Y","Days=T","Dir=V")</f>
        <v>0</v>
      </c>
      <c r="AK2">
        <f>BDH("STRZ US Equity","CF_CASH_FROM_OPER","1993-06-18","2026-05-02","Per=Y","Days=T","Dir=V")</f>
        <v>0</v>
      </c>
      <c r="AM2">
        <f>BDH("STRZ US Equity","CAPITAL_EXPEND","1993-06-18","2026-05-02","Per=Y","Days=T","Dir=V")</f>
        <v>0</v>
      </c>
      <c r="AO2">
        <f>BDH("STRZ US Equity","CF_FREE_CASH_FLOW","1993-06-18","2026-05-02","Per=Y","Days=T","Dir=V")</f>
        <v>0</v>
      </c>
      <c r="AQ2">
        <f>BDH("STRZ US Equity","PX_LAST","1993-06-18","2026-05-02","Per=M","Days=T","Dir=V")</f>
        <v>0</v>
      </c>
      <c r="AS2">
        <f>BDH("STRZ US Equity","CUR_MKT_CAP","1993-06-18","2026-05-02","Per=M","Days=T","Dir=V")</f>
        <v>0</v>
      </c>
      <c r="AU2">
        <f>BDH("STRZ US Equity","EQY_SH_OUT","1993-06-18","2026-05-02","Per=M","Days=T","Dir=V")</f>
        <v>0</v>
      </c>
      <c r="AW2">
        <f>BDH("STRZ US Equity","PX_VOLUME","1993-06-18","2026-05-02","Per=M","Days=T","Dir=V")</f>
        <v>0</v>
      </c>
      <c r="AY2">
        <f>BDH("STRZ US Equity","TURNOVER","1993-06-18","2026-05-02","Per=M","Days=T","Dir=V")</f>
        <v>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BDH("STTK US Equity","BS_TOT_ASSET","1993-06-18","2026-05-02","Per=Y","Days=T","Dir=V")</f>
        <v>0</v>
      </c>
      <c r="C2">
        <f>BDH("STTK US Equity","BS_TOT_LIAB2","1993-06-18","2026-05-02","Per=Y","Days=T","Dir=V")</f>
        <v>0</v>
      </c>
      <c r="E2">
        <f>BDH("STTK US Equity","SHORT_AND_LONG_TERM_DEBT","1993-06-18","2026-05-02","Per=Y","Days=T","Dir=V")</f>
        <v>0</v>
      </c>
      <c r="G2">
        <f>BDH("STTK US Equity","BS_ST_BORROW","1993-06-18","2026-05-02","Per=Y","Days=T","Dir=V")</f>
        <v>0</v>
      </c>
      <c r="I2">
        <f>BDH("STTK US Equity","BS_LT_BORROW","1993-06-18","2026-05-02","Per=Y","Days=T","Dir=V")</f>
        <v>0</v>
      </c>
      <c r="K2">
        <f>BDH("STTK US Equity","BS_CASH_NEAR_CASH_ITEM","1993-06-18","2026-05-02","Per=Y","Days=T","Dir=V")</f>
        <v>0</v>
      </c>
      <c r="M2">
        <f>BDH("STTK US Equity","BS_CUR_ASSET_REPORT","1993-06-18","2026-05-02","Per=Y","Days=T","Dir=V")</f>
        <v>0</v>
      </c>
      <c r="O2">
        <f>BDH("STTK US Equity","BS_CUR_LIAB","1993-06-18","2026-05-02","Per=Y","Days=T","Dir=V")</f>
        <v>0</v>
      </c>
      <c r="Q2">
        <f>BDH("STTK US Equity","BS_SHAREHOLDER_EQY_ENDING_PERIOD","1993-06-18","2026-05-02","Per=Y","Days=T","Dir=V")</f>
        <v>0</v>
      </c>
      <c r="S2">
        <f>BDH("STTK US Equity","BS_ACCT_NOTE_RCV","1993-06-18","2026-05-02","Per=Y","Days=T","Dir=V")</f>
        <v>0</v>
      </c>
      <c r="U2">
        <f>BDH("STTK US Equity","BS_INVENTORIES","1993-06-18","2026-05-02","Per=Y","Days=T","Dir=V")</f>
        <v>0</v>
      </c>
      <c r="W2">
        <f>BDH("STTK US Equity","WORKING_CAPITAL","1993-06-18","2026-05-02","Per=Y","Days=T","Dir=V")</f>
        <v>0</v>
      </c>
      <c r="Y2">
        <f>BDH("STTK US Equity","SALES_REV_TURN","1993-06-18","2026-05-02","Per=Y","Days=T","Dir=V")</f>
        <v>0</v>
      </c>
      <c r="AA2">
        <f>BDH("STTK US Equity","EBIT","1993-06-18","2026-05-02","Per=Y","Days=T","Dir=V")</f>
        <v>0</v>
      </c>
      <c r="AC2">
        <f>BDH("STTK US Equity","EBITDA","1993-06-18","2026-05-02","Per=Y","Days=T","Dir=V")</f>
        <v>0</v>
      </c>
      <c r="AE2">
        <f>BDH("STTK US Equity","NET_INCOME","1993-06-18","2026-05-02","Per=Y","Days=T","Dir=V")</f>
        <v>0</v>
      </c>
      <c r="AG2">
        <f>BDH("STTK US Equity","IS_INT_EXPENSE","1993-06-18","2026-05-02","Per=Y","Days=T","Dir=V")</f>
        <v>0</v>
      </c>
      <c r="AI2">
        <f>BDH("STTK US Equity","IS_DEPR_EXP","1993-06-18","2026-05-02","Per=Y","Days=T","Dir=V")</f>
        <v>0</v>
      </c>
      <c r="AK2">
        <f>BDH("STTK US Equity","CF_CASH_FROM_OPER","1993-06-18","2026-05-02","Per=Y","Days=T","Dir=V")</f>
        <v>0</v>
      </c>
      <c r="AM2">
        <f>BDH("STTK US Equity","CAPITAL_EXPEND","1993-06-18","2026-05-02","Per=Y","Days=T","Dir=V")</f>
        <v>0</v>
      </c>
      <c r="AO2">
        <f>BDH("STTK US Equity","CF_FREE_CASH_FLOW","1993-06-18","2026-05-02","Per=Y","Days=T","Dir=V")</f>
        <v>0</v>
      </c>
      <c r="AQ2">
        <f>BDH("STTK US Equity","PX_LAST","1993-06-18","2026-05-02","Per=M","Days=T","Dir=V")</f>
        <v>0</v>
      </c>
      <c r="AS2">
        <f>BDH("STTK US Equity","CUR_MKT_CAP","1993-06-18","2026-05-02","Per=M","Days=T","Dir=V")</f>
        <v>0</v>
      </c>
      <c r="AU2">
        <f>BDH("STTK US Equity","EQY_SH_OUT","1993-06-18","2026-05-02","Per=M","Days=T","Dir=V")</f>
        <v>0</v>
      </c>
      <c r="AW2">
        <f>BDH("STTK US Equity","PX_VOLUME","1993-06-18","2026-05-02","Per=M","Days=T","Dir=V")</f>
        <v>0</v>
      </c>
      <c r="AY2">
        <f>BDH("STTK US Equity","TURNOVER","1993-06-18","2026-05-02","Per=M","Days=T","Dir=V")</f>
        <v>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BDH("STUB US Equity","BS_TOT_ASSET","1993-06-18","2026-05-02","Per=Y","Days=T","Dir=V")</f>
        <v>0</v>
      </c>
      <c r="C2">
        <f>BDH("STUB US Equity","BS_TOT_LIAB2","1993-06-18","2026-05-02","Per=Y","Days=T","Dir=V")</f>
        <v>0</v>
      </c>
      <c r="E2">
        <f>BDH("STUB US Equity","SHORT_AND_LONG_TERM_DEBT","1993-06-18","2026-05-02","Per=Y","Days=T","Dir=V")</f>
        <v>0</v>
      </c>
      <c r="G2">
        <f>BDH("STUB US Equity","BS_ST_BORROW","1993-06-18","2026-05-02","Per=Y","Days=T","Dir=V")</f>
        <v>0</v>
      </c>
      <c r="I2">
        <f>BDH("STUB US Equity","BS_LT_BORROW","1993-06-18","2026-05-02","Per=Y","Days=T","Dir=V")</f>
        <v>0</v>
      </c>
      <c r="K2">
        <f>BDH("STUB US Equity","BS_CASH_NEAR_CASH_ITEM","1993-06-18","2026-05-02","Per=Y","Days=T","Dir=V")</f>
        <v>0</v>
      </c>
      <c r="M2">
        <f>BDH("STUB US Equity","BS_CUR_ASSET_REPORT","1993-06-18","2026-05-02","Per=Y","Days=T","Dir=V")</f>
        <v>0</v>
      </c>
      <c r="O2">
        <f>BDH("STUB US Equity","BS_CUR_LIAB","1993-06-18","2026-05-02","Per=Y","Days=T","Dir=V")</f>
        <v>0</v>
      </c>
      <c r="Q2">
        <f>BDH("STUB US Equity","BS_SHAREHOLDER_EQY_ENDING_PERIOD","1993-06-18","2026-05-02","Per=Y","Days=T","Dir=V")</f>
        <v>0</v>
      </c>
      <c r="S2">
        <f>BDH("STUB US Equity","BS_ACCT_NOTE_RCV","1993-06-18","2026-05-02","Per=Y","Days=T","Dir=V")</f>
        <v>0</v>
      </c>
      <c r="U2">
        <f>BDH("STUB US Equity","BS_INVENTORIES","1993-06-18","2026-05-02","Per=Y","Days=T","Dir=V")</f>
        <v>0</v>
      </c>
      <c r="W2">
        <f>BDH("STUB US Equity","WORKING_CAPITAL","1993-06-18","2026-05-02","Per=Y","Days=T","Dir=V")</f>
        <v>0</v>
      </c>
      <c r="Y2">
        <f>BDH("STUB US Equity","SALES_REV_TURN","1993-06-18","2026-05-02","Per=Y","Days=T","Dir=V")</f>
        <v>0</v>
      </c>
      <c r="AA2">
        <f>BDH("STUB US Equity","EBIT","1993-06-18","2026-05-02","Per=Y","Days=T","Dir=V")</f>
        <v>0</v>
      </c>
      <c r="AC2">
        <f>BDH("STUB US Equity","EBITDA","1993-06-18","2026-05-02","Per=Y","Days=T","Dir=V")</f>
        <v>0</v>
      </c>
      <c r="AE2">
        <f>BDH("STUB US Equity","NET_INCOME","1993-06-18","2026-05-02","Per=Y","Days=T","Dir=V")</f>
        <v>0</v>
      </c>
      <c r="AG2">
        <f>BDH("STUB US Equity","IS_INT_EXPENSE","1993-06-18","2026-05-02","Per=Y","Days=T","Dir=V")</f>
        <v>0</v>
      </c>
      <c r="AI2">
        <f>BDH("STUB US Equity","IS_DEPR_EXP","1993-06-18","2026-05-02","Per=Y","Days=T","Dir=V")</f>
        <v>0</v>
      </c>
      <c r="AK2">
        <f>BDH("STUB US Equity","CF_CASH_FROM_OPER","1993-06-18","2026-05-02","Per=Y","Days=T","Dir=V")</f>
        <v>0</v>
      </c>
      <c r="AM2">
        <f>BDH("STUB US Equity","CAPITAL_EXPEND","1993-06-18","2026-05-02","Per=Y","Days=T","Dir=V")</f>
        <v>0</v>
      </c>
      <c r="AO2">
        <f>BDH("STUB US Equity","CF_FREE_CASH_FLOW","1993-06-18","2026-05-02","Per=Y","Days=T","Dir=V")</f>
        <v>0</v>
      </c>
      <c r="AQ2">
        <f>BDH("STUB US Equity","PX_LAST","1993-06-18","2026-05-02","Per=M","Days=T","Dir=V")</f>
        <v>0</v>
      </c>
      <c r="AS2">
        <f>BDH("STUB US Equity","CUR_MKT_CAP","1993-06-18","2026-05-02","Per=M","Days=T","Dir=V")</f>
        <v>0</v>
      </c>
      <c r="AU2">
        <f>BDH("STUB US Equity","EQY_SH_OUT","1993-06-18","2026-05-02","Per=M","Days=T","Dir=V")</f>
        <v>0</v>
      </c>
      <c r="AW2">
        <f>BDH("STUB US Equity","PX_VOLUME","1993-06-18","2026-05-02","Per=M","Days=T","Dir=V")</f>
        <v>0</v>
      </c>
      <c r="AY2">
        <f>BDH("STUB US Equity","TURNOVER","1993-06-18","2026-05-02","Per=M","Days=T","Dir=V")</f>
        <v>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BDH("STXS US Equity","BS_TOT_ASSET","1993-06-18","2026-05-02","Per=Y","Days=T","Dir=V")</f>
        <v>0</v>
      </c>
      <c r="C2">
        <f>BDH("STXS US Equity","BS_TOT_LIAB2","1993-06-18","2026-05-02","Per=Y","Days=T","Dir=V")</f>
        <v>0</v>
      </c>
      <c r="E2">
        <f>BDH("STXS US Equity","SHORT_AND_LONG_TERM_DEBT","1993-06-18","2026-05-02","Per=Y","Days=T","Dir=V")</f>
        <v>0</v>
      </c>
      <c r="G2">
        <f>BDH("STXS US Equity","BS_ST_BORROW","1993-06-18","2026-05-02","Per=Y","Days=T","Dir=V")</f>
        <v>0</v>
      </c>
      <c r="I2">
        <f>BDH("STXS US Equity","BS_LT_BORROW","1993-06-18","2026-05-02","Per=Y","Days=T","Dir=V")</f>
        <v>0</v>
      </c>
      <c r="K2">
        <f>BDH("STXS US Equity","BS_CASH_NEAR_CASH_ITEM","1993-06-18","2026-05-02","Per=Y","Days=T","Dir=V")</f>
        <v>0</v>
      </c>
      <c r="M2">
        <f>BDH("STXS US Equity","BS_CUR_ASSET_REPORT","1993-06-18","2026-05-02","Per=Y","Days=T","Dir=V")</f>
        <v>0</v>
      </c>
      <c r="O2">
        <f>BDH("STXS US Equity","BS_CUR_LIAB","1993-06-18","2026-05-02","Per=Y","Days=T","Dir=V")</f>
        <v>0</v>
      </c>
      <c r="Q2">
        <f>BDH("STXS US Equity","BS_SHAREHOLDER_EQY_ENDING_PERIOD","1993-06-18","2026-05-02","Per=Y","Days=T","Dir=V")</f>
        <v>0</v>
      </c>
      <c r="S2">
        <f>BDH("STXS US Equity","BS_ACCT_NOTE_RCV","1993-06-18","2026-05-02","Per=Y","Days=T","Dir=V")</f>
        <v>0</v>
      </c>
      <c r="U2">
        <f>BDH("STXS US Equity","BS_INVENTORIES","1993-06-18","2026-05-02","Per=Y","Days=T","Dir=V")</f>
        <v>0</v>
      </c>
      <c r="W2">
        <f>BDH("STXS US Equity","WORKING_CAPITAL","1993-06-18","2026-05-02","Per=Y","Days=T","Dir=V")</f>
        <v>0</v>
      </c>
      <c r="Y2">
        <f>BDH("STXS US Equity","SALES_REV_TURN","1993-06-18","2026-05-02","Per=Y","Days=T","Dir=V")</f>
        <v>0</v>
      </c>
      <c r="AA2">
        <f>BDH("STXS US Equity","EBIT","1993-06-18","2026-05-02","Per=Y","Days=T","Dir=V")</f>
        <v>0</v>
      </c>
      <c r="AC2">
        <f>BDH("STXS US Equity","EBITDA","1993-06-18","2026-05-02","Per=Y","Days=T","Dir=V")</f>
        <v>0</v>
      </c>
      <c r="AE2">
        <f>BDH("STXS US Equity","NET_INCOME","1993-06-18","2026-05-02","Per=Y","Days=T","Dir=V")</f>
        <v>0</v>
      </c>
      <c r="AG2">
        <f>BDH("STXS US Equity","IS_INT_EXPENSE","1993-06-18","2026-05-02","Per=Y","Days=T","Dir=V")</f>
        <v>0</v>
      </c>
      <c r="AI2">
        <f>BDH("STXS US Equity","IS_DEPR_EXP","1993-06-18","2026-05-02","Per=Y","Days=T","Dir=V")</f>
        <v>0</v>
      </c>
      <c r="AK2">
        <f>BDH("STXS US Equity","CF_CASH_FROM_OPER","1993-06-18","2026-05-02","Per=Y","Days=T","Dir=V")</f>
        <v>0</v>
      </c>
      <c r="AM2">
        <f>BDH("STXS US Equity","CAPITAL_EXPEND","1993-06-18","2026-05-02","Per=Y","Days=T","Dir=V")</f>
        <v>0</v>
      </c>
      <c r="AO2">
        <f>BDH("STXS US Equity","CF_FREE_CASH_FLOW","1993-06-18","2026-05-02","Per=Y","Days=T","Dir=V")</f>
        <v>0</v>
      </c>
      <c r="AQ2">
        <f>BDH("STXS US Equity","PX_LAST","1993-06-18","2026-05-02","Per=M","Days=T","Dir=V")</f>
        <v>0</v>
      </c>
      <c r="AS2">
        <f>BDH("STXS US Equity","CUR_MKT_CAP","1993-06-18","2026-05-02","Per=M","Days=T","Dir=V")</f>
        <v>0</v>
      </c>
      <c r="AU2">
        <f>BDH("STXS US Equity","EQY_SH_OUT","1993-06-18","2026-05-02","Per=M","Days=T","Dir=V")</f>
        <v>0</v>
      </c>
      <c r="AW2">
        <f>BDH("STXS US Equity","PX_VOLUME","1993-06-18","2026-05-02","Per=M","Days=T","Dir=V")</f>
        <v>0</v>
      </c>
      <c r="AY2">
        <f>BDH("STXS US Equity","TURNOVER","1993-06-18","2026-05-02","Per=M","Days=T","Dir=V")</f>
        <v>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BDH("STZ US Equity","BS_TOT_ASSET","1993-06-18","2026-05-02","Per=Y","Days=T","Dir=V")</f>
        <v>0</v>
      </c>
      <c r="C2">
        <f>BDH("STZ US Equity","BS_TOT_LIAB2","1993-06-18","2026-05-02","Per=Y","Days=T","Dir=V")</f>
        <v>0</v>
      </c>
      <c r="E2">
        <f>BDH("STZ US Equity","SHORT_AND_LONG_TERM_DEBT","1993-06-18","2026-05-02","Per=Y","Days=T","Dir=V")</f>
        <v>0</v>
      </c>
      <c r="G2">
        <f>BDH("STZ US Equity","BS_ST_BORROW","1993-06-18","2026-05-02","Per=Y","Days=T","Dir=V")</f>
        <v>0</v>
      </c>
      <c r="I2">
        <f>BDH("STZ US Equity","BS_LT_BORROW","1993-06-18","2026-05-02","Per=Y","Days=T","Dir=V")</f>
        <v>0</v>
      </c>
      <c r="K2">
        <f>BDH("STZ US Equity","BS_CASH_NEAR_CASH_ITEM","1993-06-18","2026-05-02","Per=Y","Days=T","Dir=V")</f>
        <v>0</v>
      </c>
      <c r="M2">
        <f>BDH("STZ US Equity","BS_CUR_ASSET_REPORT","1993-06-18","2026-05-02","Per=Y","Days=T","Dir=V")</f>
        <v>0</v>
      </c>
      <c r="O2">
        <f>BDH("STZ US Equity","BS_CUR_LIAB","1993-06-18","2026-05-02","Per=Y","Days=T","Dir=V")</f>
        <v>0</v>
      </c>
      <c r="Q2">
        <f>BDH("STZ US Equity","BS_SHAREHOLDER_EQY_ENDING_PERIOD","1993-06-18","2026-05-02","Per=Y","Days=T","Dir=V")</f>
        <v>0</v>
      </c>
      <c r="S2">
        <f>BDH("STZ US Equity","BS_ACCT_NOTE_RCV","1993-06-18","2026-05-02","Per=Y","Days=T","Dir=V")</f>
        <v>0</v>
      </c>
      <c r="U2">
        <f>BDH("STZ US Equity","BS_INVENTORIES","1993-06-18","2026-05-02","Per=Y","Days=T","Dir=V")</f>
        <v>0</v>
      </c>
      <c r="W2">
        <f>BDH("STZ US Equity","WORKING_CAPITAL","1993-06-18","2026-05-02","Per=Y","Days=T","Dir=V")</f>
        <v>0</v>
      </c>
      <c r="Y2">
        <f>BDH("STZ US Equity","SALES_REV_TURN","1993-06-18","2026-05-02","Per=Y","Days=T","Dir=V")</f>
        <v>0</v>
      </c>
      <c r="AA2">
        <f>BDH("STZ US Equity","EBIT","1993-06-18","2026-05-02","Per=Y","Days=T","Dir=V")</f>
        <v>0</v>
      </c>
      <c r="AC2">
        <f>BDH("STZ US Equity","EBITDA","1993-06-18","2026-05-02","Per=Y","Days=T","Dir=V")</f>
        <v>0</v>
      </c>
      <c r="AE2">
        <f>BDH("STZ US Equity","NET_INCOME","1993-06-18","2026-05-02","Per=Y","Days=T","Dir=V")</f>
        <v>0</v>
      </c>
      <c r="AG2">
        <f>BDH("STZ US Equity","IS_INT_EXPENSE","1993-06-18","2026-05-02","Per=Y","Days=T","Dir=V")</f>
        <v>0</v>
      </c>
      <c r="AI2">
        <f>BDH("STZ US Equity","IS_DEPR_EXP","1993-06-18","2026-05-02","Per=Y","Days=T","Dir=V")</f>
        <v>0</v>
      </c>
      <c r="AK2">
        <f>BDH("STZ US Equity","CF_CASH_FROM_OPER","1993-06-18","2026-05-02","Per=Y","Days=T","Dir=V")</f>
        <v>0</v>
      </c>
      <c r="AM2">
        <f>BDH("STZ US Equity","CAPITAL_EXPEND","1993-06-18","2026-05-02","Per=Y","Days=T","Dir=V")</f>
        <v>0</v>
      </c>
      <c r="AO2">
        <f>BDH("STZ US Equity","CF_FREE_CASH_FLOW","1993-06-18","2026-05-02","Per=Y","Days=T","Dir=V")</f>
        <v>0</v>
      </c>
      <c r="AQ2">
        <f>BDH("STZ US Equity","PX_LAST","1993-06-18","2026-05-02","Per=M","Days=T","Dir=V")</f>
        <v>0</v>
      </c>
      <c r="AS2">
        <f>BDH("STZ US Equity","CUR_MKT_CAP","1993-06-18","2026-05-02","Per=M","Days=T","Dir=V")</f>
        <v>0</v>
      </c>
      <c r="AU2">
        <f>BDH("STZ US Equity","EQY_SH_OUT","1993-06-18","2026-05-02","Per=M","Days=T","Dir=V")</f>
        <v>0</v>
      </c>
      <c r="AW2">
        <f>BDH("STZ US Equity","PX_VOLUME","1993-06-18","2026-05-02","Per=M","Days=T","Dir=V")</f>
        <v>0</v>
      </c>
      <c r="AY2">
        <f>BDH("STZ US Equity","TURNOVER","1993-06-18","2026-05-02","Per=M","Days=T","Dir=V")</f>
        <v>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BDH("SUJA US Equity","BS_TOT_ASSET","1993-06-18","2026-05-02","Per=Y","Days=T","Dir=V")</f>
        <v>0</v>
      </c>
      <c r="C2">
        <f>BDH("SUJA US Equity","BS_TOT_LIAB2","1993-06-18","2026-05-02","Per=Y","Days=T","Dir=V")</f>
        <v>0</v>
      </c>
      <c r="E2">
        <f>BDH("SUJA US Equity","SHORT_AND_LONG_TERM_DEBT","1993-06-18","2026-05-02","Per=Y","Days=T","Dir=V")</f>
        <v>0</v>
      </c>
      <c r="G2">
        <f>BDH("SUJA US Equity","BS_ST_BORROW","1993-06-18","2026-05-02","Per=Y","Days=T","Dir=V")</f>
        <v>0</v>
      </c>
      <c r="I2">
        <f>BDH("SUJA US Equity","BS_LT_BORROW","1993-06-18","2026-05-02","Per=Y","Days=T","Dir=V")</f>
        <v>0</v>
      </c>
      <c r="K2">
        <f>BDH("SUJA US Equity","BS_CASH_NEAR_CASH_ITEM","1993-06-18","2026-05-02","Per=Y","Days=T","Dir=V")</f>
        <v>0</v>
      </c>
      <c r="M2">
        <f>BDH("SUJA US Equity","BS_CUR_ASSET_REPORT","1993-06-18","2026-05-02","Per=Y","Days=T","Dir=V")</f>
        <v>0</v>
      </c>
      <c r="O2">
        <f>BDH("SUJA US Equity","BS_CUR_LIAB","1993-06-18","2026-05-02","Per=Y","Days=T","Dir=V")</f>
        <v>0</v>
      </c>
      <c r="Q2">
        <f>BDH("SUJA US Equity","BS_SHAREHOLDER_EQY_ENDING_PERIOD","1993-06-18","2026-05-02","Per=Y","Days=T","Dir=V")</f>
        <v>0</v>
      </c>
      <c r="S2">
        <f>BDH("SUJA US Equity","BS_ACCT_NOTE_RCV","1993-06-18","2026-05-02","Per=Y","Days=T","Dir=V")</f>
        <v>0</v>
      </c>
      <c r="U2">
        <f>BDH("SUJA US Equity","BS_INVENTORIES","1993-06-18","2026-05-02","Per=Y","Days=T","Dir=V")</f>
        <v>0</v>
      </c>
      <c r="W2">
        <f>BDH("SUJA US Equity","WORKING_CAPITAL","1993-06-18","2026-05-02","Per=Y","Days=T","Dir=V")</f>
        <v>0</v>
      </c>
      <c r="Y2">
        <f>BDH("SUJA US Equity","SALES_REV_TURN","1993-06-18","2026-05-02","Per=Y","Days=T","Dir=V")</f>
        <v>0</v>
      </c>
      <c r="AA2">
        <f>BDH("SUJA US Equity","EBIT","1993-06-18","2026-05-02","Per=Y","Days=T","Dir=V")</f>
        <v>0</v>
      </c>
      <c r="AC2">
        <f>BDH("SUJA US Equity","EBITDA","1993-06-18","2026-05-02","Per=Y","Days=T","Dir=V")</f>
        <v>0</v>
      </c>
      <c r="AE2">
        <f>BDH("SUJA US Equity","NET_INCOME","1993-06-18","2026-05-02","Per=Y","Days=T","Dir=V")</f>
        <v>0</v>
      </c>
      <c r="AG2">
        <f>BDH("SUJA US Equity","IS_INT_EXPENSE","1993-06-18","2026-05-02","Per=Y","Days=T","Dir=V")</f>
        <v>0</v>
      </c>
      <c r="AI2">
        <f>BDH("SUJA US Equity","IS_DEPR_EXP","1993-06-18","2026-05-02","Per=Y","Days=T","Dir=V")</f>
        <v>0</v>
      </c>
      <c r="AK2">
        <f>BDH("SUJA US Equity","CF_CASH_FROM_OPER","1993-06-18","2026-05-02","Per=Y","Days=T","Dir=V")</f>
        <v>0</v>
      </c>
      <c r="AM2">
        <f>BDH("SUJA US Equity","CAPITAL_EXPEND","1993-06-18","2026-05-02","Per=Y","Days=T","Dir=V")</f>
        <v>0</v>
      </c>
      <c r="AO2">
        <f>BDH("SUJA US Equity","CF_FREE_CASH_FLOW","1993-06-18","2026-05-02","Per=Y","Days=T","Dir=V")</f>
        <v>0</v>
      </c>
      <c r="AQ2">
        <f>BDH("SUJA US Equity","PX_LAST","1993-06-18","2026-05-02","Per=M","Days=T","Dir=V")</f>
        <v>0</v>
      </c>
      <c r="AS2">
        <f>BDH("SUJA US Equity","CUR_MKT_CAP","1993-06-18","2026-05-02","Per=M","Days=T","Dir=V")</f>
        <v>0</v>
      </c>
      <c r="AU2">
        <f>BDH("SUJA US Equity","EQY_SH_OUT","1993-06-18","2026-05-02","Per=M","Days=T","Dir=V")</f>
        <v>0</v>
      </c>
      <c r="AW2">
        <f>BDH("SUJA US Equity","PX_VOLUME","1993-06-18","2026-05-02","Per=M","Days=T","Dir=V")</f>
        <v>0</v>
      </c>
      <c r="AY2">
        <f>BDH("SUJA US Equity","TURNOVER","1993-06-18","2026-05-02","Per=M","Days=T","Dir=V")</f>
        <v>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BDH("SUN US Equity","BS_TOT_ASSET","1993-06-18","2026-05-02","Per=Y","Days=T","Dir=V")</f>
        <v>0</v>
      </c>
      <c r="C2">
        <f>BDH("SUN US Equity","BS_TOT_LIAB2","1993-06-18","2026-05-02","Per=Y","Days=T","Dir=V")</f>
        <v>0</v>
      </c>
      <c r="E2">
        <f>BDH("SUN US Equity","SHORT_AND_LONG_TERM_DEBT","1993-06-18","2026-05-02","Per=Y","Days=T","Dir=V")</f>
        <v>0</v>
      </c>
      <c r="G2">
        <f>BDH("SUN US Equity","BS_ST_BORROW","1993-06-18","2026-05-02","Per=Y","Days=T","Dir=V")</f>
        <v>0</v>
      </c>
      <c r="I2">
        <f>BDH("SUN US Equity","BS_LT_BORROW","1993-06-18","2026-05-02","Per=Y","Days=T","Dir=V")</f>
        <v>0</v>
      </c>
      <c r="K2">
        <f>BDH("SUN US Equity","BS_CASH_NEAR_CASH_ITEM","1993-06-18","2026-05-02","Per=Y","Days=T","Dir=V")</f>
        <v>0</v>
      </c>
      <c r="M2">
        <f>BDH("SUN US Equity","BS_CUR_ASSET_REPORT","1993-06-18","2026-05-02","Per=Y","Days=T","Dir=V")</f>
        <v>0</v>
      </c>
      <c r="O2">
        <f>BDH("SUN US Equity","BS_CUR_LIAB","1993-06-18","2026-05-02","Per=Y","Days=T","Dir=V")</f>
        <v>0</v>
      </c>
      <c r="Q2">
        <f>BDH("SUN US Equity","BS_SHAREHOLDER_EQY_ENDING_PERIOD","1993-06-18","2026-05-02","Per=Y","Days=T","Dir=V")</f>
        <v>0</v>
      </c>
      <c r="S2">
        <f>BDH("SUN US Equity","BS_ACCT_NOTE_RCV","1993-06-18","2026-05-02","Per=Y","Days=T","Dir=V")</f>
        <v>0</v>
      </c>
      <c r="U2">
        <f>BDH("SUN US Equity","BS_INVENTORIES","1993-06-18","2026-05-02","Per=Y","Days=T","Dir=V")</f>
        <v>0</v>
      </c>
      <c r="W2">
        <f>BDH("SUN US Equity","WORKING_CAPITAL","1993-06-18","2026-05-02","Per=Y","Days=T","Dir=V")</f>
        <v>0</v>
      </c>
      <c r="Y2">
        <f>BDH("SUN US Equity","SALES_REV_TURN","1993-06-18","2026-05-02","Per=Y","Days=T","Dir=V")</f>
        <v>0</v>
      </c>
      <c r="AA2">
        <f>BDH("SUN US Equity","EBIT","1993-06-18","2026-05-02","Per=Y","Days=T","Dir=V")</f>
        <v>0</v>
      </c>
      <c r="AC2">
        <f>BDH("SUN US Equity","EBITDA","1993-06-18","2026-05-02","Per=Y","Days=T","Dir=V")</f>
        <v>0</v>
      </c>
      <c r="AE2">
        <f>BDH("SUN US Equity","NET_INCOME","1993-06-18","2026-05-02","Per=Y","Days=T","Dir=V")</f>
        <v>0</v>
      </c>
      <c r="AG2">
        <f>BDH("SUN US Equity","IS_INT_EXPENSE","1993-06-18","2026-05-02","Per=Y","Days=T","Dir=V")</f>
        <v>0</v>
      </c>
      <c r="AI2">
        <f>BDH("SUN US Equity","IS_DEPR_EXP","1993-06-18","2026-05-02","Per=Y","Days=T","Dir=V")</f>
        <v>0</v>
      </c>
      <c r="AK2">
        <f>BDH("SUN US Equity","CF_CASH_FROM_OPER","1993-06-18","2026-05-02","Per=Y","Days=T","Dir=V")</f>
        <v>0</v>
      </c>
      <c r="AM2">
        <f>BDH("SUN US Equity","CAPITAL_EXPEND","1993-06-18","2026-05-02","Per=Y","Days=T","Dir=V")</f>
        <v>0</v>
      </c>
      <c r="AO2">
        <f>BDH("SUN US Equity","CF_FREE_CASH_FLOW","1993-06-18","2026-05-02","Per=Y","Days=T","Dir=V")</f>
        <v>0</v>
      </c>
      <c r="AQ2">
        <f>BDH("SUN US Equity","PX_LAST","1993-06-18","2026-05-02","Per=M","Days=T","Dir=V")</f>
        <v>0</v>
      </c>
      <c r="AS2">
        <f>BDH("SUN US Equity","CUR_MKT_CAP","1993-06-18","2026-05-02","Per=M","Days=T","Dir=V")</f>
        <v>0</v>
      </c>
      <c r="AU2">
        <f>BDH("SUN US Equity","EQY_SH_OUT","1993-06-18","2026-05-02","Per=M","Days=T","Dir=V")</f>
        <v>0</v>
      </c>
      <c r="AW2">
        <f>BDH("SUN US Equity","PX_VOLUME","1993-06-18","2026-05-02","Per=M","Days=T","Dir=V")</f>
        <v>0</v>
      </c>
      <c r="AY2">
        <f>BDH("SUN US Equity","TURNOVER","1993-06-18","2026-05-02","Per=M","Days=T","Dir=V")</f>
        <v>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BDH("SUNE US Equity","BS_TOT_ASSET","1993-06-18","2026-05-02","Per=Y","Days=T","Dir=V")</f>
        <v>0</v>
      </c>
      <c r="C2">
        <f>BDH("SUNE US Equity","BS_TOT_LIAB2","1993-06-18","2026-05-02","Per=Y","Days=T","Dir=V")</f>
        <v>0</v>
      </c>
      <c r="E2">
        <f>BDH("SUNE US Equity","SHORT_AND_LONG_TERM_DEBT","1993-06-18","2026-05-02","Per=Y","Days=T","Dir=V")</f>
        <v>0</v>
      </c>
      <c r="G2">
        <f>BDH("SUNE US Equity","BS_ST_BORROW","1993-06-18","2026-05-02","Per=Y","Days=T","Dir=V")</f>
        <v>0</v>
      </c>
      <c r="I2">
        <f>BDH("SUNE US Equity","BS_LT_BORROW","1993-06-18","2026-05-02","Per=Y","Days=T","Dir=V")</f>
        <v>0</v>
      </c>
      <c r="K2">
        <f>BDH("SUNE US Equity","BS_CASH_NEAR_CASH_ITEM","1993-06-18","2026-05-02","Per=Y","Days=T","Dir=V")</f>
        <v>0</v>
      </c>
      <c r="M2">
        <f>BDH("SUNE US Equity","BS_CUR_ASSET_REPORT","1993-06-18","2026-05-02","Per=Y","Days=T","Dir=V")</f>
        <v>0</v>
      </c>
      <c r="O2">
        <f>BDH("SUNE US Equity","BS_CUR_LIAB","1993-06-18","2026-05-02","Per=Y","Days=T","Dir=V")</f>
        <v>0</v>
      </c>
      <c r="Q2">
        <f>BDH("SUNE US Equity","BS_SHAREHOLDER_EQY_ENDING_PERIOD","1993-06-18","2026-05-02","Per=Y","Days=T","Dir=V")</f>
        <v>0</v>
      </c>
      <c r="S2">
        <f>BDH("SUNE US Equity","BS_ACCT_NOTE_RCV","1993-06-18","2026-05-02","Per=Y","Days=T","Dir=V")</f>
        <v>0</v>
      </c>
      <c r="U2">
        <f>BDH("SUNE US Equity","BS_INVENTORIES","1993-06-18","2026-05-02","Per=Y","Days=T","Dir=V")</f>
        <v>0</v>
      </c>
      <c r="W2">
        <f>BDH("SUNE US Equity","WORKING_CAPITAL","1993-06-18","2026-05-02","Per=Y","Days=T","Dir=V")</f>
        <v>0</v>
      </c>
      <c r="Y2">
        <f>BDH("SUNE US Equity","SALES_REV_TURN","1993-06-18","2026-05-02","Per=Y","Days=T","Dir=V")</f>
        <v>0</v>
      </c>
      <c r="AA2">
        <f>BDH("SUNE US Equity","EBIT","1993-06-18","2026-05-02","Per=Y","Days=T","Dir=V")</f>
        <v>0</v>
      </c>
      <c r="AC2">
        <f>BDH("SUNE US Equity","EBITDA","1993-06-18","2026-05-02","Per=Y","Days=T","Dir=V")</f>
        <v>0</v>
      </c>
      <c r="AE2">
        <f>BDH("SUNE US Equity","NET_INCOME","1993-06-18","2026-05-02","Per=Y","Days=T","Dir=V")</f>
        <v>0</v>
      </c>
      <c r="AG2">
        <f>BDH("SUNE US Equity","IS_INT_EXPENSE","1993-06-18","2026-05-02","Per=Y","Days=T","Dir=V")</f>
        <v>0</v>
      </c>
      <c r="AI2">
        <f>BDH("SUNE US Equity","IS_DEPR_EXP","1993-06-18","2026-05-02","Per=Y","Days=T","Dir=V")</f>
        <v>0</v>
      </c>
      <c r="AK2">
        <f>BDH("SUNE US Equity","CF_CASH_FROM_OPER","1993-06-18","2026-05-02","Per=Y","Days=T","Dir=V")</f>
        <v>0</v>
      </c>
      <c r="AM2">
        <f>BDH("SUNE US Equity","CAPITAL_EXPEND","1993-06-18","2026-05-02","Per=Y","Days=T","Dir=V")</f>
        <v>0</v>
      </c>
      <c r="AO2">
        <f>BDH("SUNE US Equity","CF_FREE_CASH_FLOW","1993-06-18","2026-05-02","Per=Y","Days=T","Dir=V")</f>
        <v>0</v>
      </c>
      <c r="AQ2">
        <f>BDH("SUNE US Equity","PX_LAST","1993-06-18","2026-05-02","Per=M","Days=T","Dir=V")</f>
        <v>0</v>
      </c>
      <c r="AS2">
        <f>BDH("SUNE US Equity","CUR_MKT_CAP","1993-06-18","2026-05-02","Per=M","Days=T","Dir=V")</f>
        <v>0</v>
      </c>
      <c r="AU2">
        <f>BDH("SUNE US Equity","EQY_SH_OUT","1993-06-18","2026-05-02","Per=M","Days=T","Dir=V")</f>
        <v>0</v>
      </c>
      <c r="AW2">
        <f>BDH("SUNE US Equity","PX_VOLUME","1993-06-18","2026-05-02","Per=M","Days=T","Dir=V")</f>
        <v>0</v>
      </c>
      <c r="AY2">
        <f>BDH("SUNE US Equity","TURNOVER","1993-06-18","2026-05-02","Per=M","Days=T","Dir=V")</f>
        <v>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BDH("SUPN US Equity","BS_TOT_ASSET","1993-06-18","2026-05-02","Per=Y","Days=T","Dir=V")</f>
        <v>0</v>
      </c>
      <c r="C2">
        <f>BDH("SUPN US Equity","BS_TOT_LIAB2","1993-06-18","2026-05-02","Per=Y","Days=T","Dir=V")</f>
        <v>0</v>
      </c>
      <c r="E2">
        <f>BDH("SUPN US Equity","SHORT_AND_LONG_TERM_DEBT","1993-06-18","2026-05-02","Per=Y","Days=T","Dir=V")</f>
        <v>0</v>
      </c>
      <c r="G2">
        <f>BDH("SUPN US Equity","BS_ST_BORROW","1993-06-18","2026-05-02","Per=Y","Days=T","Dir=V")</f>
        <v>0</v>
      </c>
      <c r="I2">
        <f>BDH("SUPN US Equity","BS_LT_BORROW","1993-06-18","2026-05-02","Per=Y","Days=T","Dir=V")</f>
        <v>0</v>
      </c>
      <c r="K2">
        <f>BDH("SUPN US Equity","BS_CASH_NEAR_CASH_ITEM","1993-06-18","2026-05-02","Per=Y","Days=T","Dir=V")</f>
        <v>0</v>
      </c>
      <c r="M2">
        <f>BDH("SUPN US Equity","BS_CUR_ASSET_REPORT","1993-06-18","2026-05-02","Per=Y","Days=T","Dir=V")</f>
        <v>0</v>
      </c>
      <c r="O2">
        <f>BDH("SUPN US Equity","BS_CUR_LIAB","1993-06-18","2026-05-02","Per=Y","Days=T","Dir=V")</f>
        <v>0</v>
      </c>
      <c r="Q2">
        <f>BDH("SUPN US Equity","BS_SHAREHOLDER_EQY_ENDING_PERIOD","1993-06-18","2026-05-02","Per=Y","Days=T","Dir=V")</f>
        <v>0</v>
      </c>
      <c r="S2">
        <f>BDH("SUPN US Equity","BS_ACCT_NOTE_RCV","1993-06-18","2026-05-02","Per=Y","Days=T","Dir=V")</f>
        <v>0</v>
      </c>
      <c r="U2">
        <f>BDH("SUPN US Equity","BS_INVENTORIES","1993-06-18","2026-05-02","Per=Y","Days=T","Dir=V")</f>
        <v>0</v>
      </c>
      <c r="W2">
        <f>BDH("SUPN US Equity","WORKING_CAPITAL","1993-06-18","2026-05-02","Per=Y","Days=T","Dir=V")</f>
        <v>0</v>
      </c>
      <c r="Y2">
        <f>BDH("SUPN US Equity","SALES_REV_TURN","1993-06-18","2026-05-02","Per=Y","Days=T","Dir=V")</f>
        <v>0</v>
      </c>
      <c r="AA2">
        <f>BDH("SUPN US Equity","EBIT","1993-06-18","2026-05-02","Per=Y","Days=T","Dir=V")</f>
        <v>0</v>
      </c>
      <c r="AC2">
        <f>BDH("SUPN US Equity","EBITDA","1993-06-18","2026-05-02","Per=Y","Days=T","Dir=V")</f>
        <v>0</v>
      </c>
      <c r="AE2">
        <f>BDH("SUPN US Equity","NET_INCOME","1993-06-18","2026-05-02","Per=Y","Days=T","Dir=V")</f>
        <v>0</v>
      </c>
      <c r="AG2">
        <f>BDH("SUPN US Equity","IS_INT_EXPENSE","1993-06-18","2026-05-02","Per=Y","Days=T","Dir=V")</f>
        <v>0</v>
      </c>
      <c r="AI2">
        <f>BDH("SUPN US Equity","IS_DEPR_EXP","1993-06-18","2026-05-02","Per=Y","Days=T","Dir=V")</f>
        <v>0</v>
      </c>
      <c r="AK2">
        <f>BDH("SUPN US Equity","CF_CASH_FROM_OPER","1993-06-18","2026-05-02","Per=Y","Days=T","Dir=V")</f>
        <v>0</v>
      </c>
      <c r="AM2">
        <f>BDH("SUPN US Equity","CAPITAL_EXPEND","1993-06-18","2026-05-02","Per=Y","Days=T","Dir=V")</f>
        <v>0</v>
      </c>
      <c r="AO2">
        <f>BDH("SUPN US Equity","CF_FREE_CASH_FLOW","1993-06-18","2026-05-02","Per=Y","Days=T","Dir=V")</f>
        <v>0</v>
      </c>
      <c r="AQ2">
        <f>BDH("SUPN US Equity","PX_LAST","1993-06-18","2026-05-02","Per=M","Days=T","Dir=V")</f>
        <v>0</v>
      </c>
      <c r="AS2">
        <f>BDH("SUPN US Equity","CUR_MKT_CAP","1993-06-18","2026-05-02","Per=M","Days=T","Dir=V")</f>
        <v>0</v>
      </c>
      <c r="AU2">
        <f>BDH("SUPN US Equity","EQY_SH_OUT","1993-06-18","2026-05-02","Per=M","Days=T","Dir=V")</f>
        <v>0</v>
      </c>
      <c r="AW2">
        <f>BDH("SUPN US Equity","PX_VOLUME","1993-06-18","2026-05-02","Per=M","Days=T","Dir=V")</f>
        <v>0</v>
      </c>
      <c r="AY2">
        <f>BDH("SUPN US Equity","TURNOVER","1993-06-18","2026-05-02","Per=M","Days=T","Dir=V")</f>
        <v>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BDH("SURG US Equity","BS_TOT_ASSET","1993-06-18","2026-05-02","Per=Y","Days=T","Dir=V")</f>
        <v>0</v>
      </c>
      <c r="C2">
        <f>BDH("SURG US Equity","BS_TOT_LIAB2","1993-06-18","2026-05-02","Per=Y","Days=T","Dir=V")</f>
        <v>0</v>
      </c>
      <c r="E2">
        <f>BDH("SURG US Equity","SHORT_AND_LONG_TERM_DEBT","1993-06-18","2026-05-02","Per=Y","Days=T","Dir=V")</f>
        <v>0</v>
      </c>
      <c r="G2">
        <f>BDH("SURG US Equity","BS_ST_BORROW","1993-06-18","2026-05-02","Per=Y","Days=T","Dir=V")</f>
        <v>0</v>
      </c>
      <c r="I2">
        <f>BDH("SURG US Equity","BS_LT_BORROW","1993-06-18","2026-05-02","Per=Y","Days=T","Dir=V")</f>
        <v>0</v>
      </c>
      <c r="K2">
        <f>BDH("SURG US Equity","BS_CASH_NEAR_CASH_ITEM","1993-06-18","2026-05-02","Per=Y","Days=T","Dir=V")</f>
        <v>0</v>
      </c>
      <c r="M2">
        <f>BDH("SURG US Equity","BS_CUR_ASSET_REPORT","1993-06-18","2026-05-02","Per=Y","Days=T","Dir=V")</f>
        <v>0</v>
      </c>
      <c r="O2">
        <f>BDH("SURG US Equity","BS_CUR_LIAB","1993-06-18","2026-05-02","Per=Y","Days=T","Dir=V")</f>
        <v>0</v>
      </c>
      <c r="Q2">
        <f>BDH("SURG US Equity","BS_SHAREHOLDER_EQY_ENDING_PERIOD","1993-06-18","2026-05-02","Per=Y","Days=T","Dir=V")</f>
        <v>0</v>
      </c>
      <c r="S2">
        <f>BDH("SURG US Equity","BS_ACCT_NOTE_RCV","1993-06-18","2026-05-02","Per=Y","Days=T","Dir=V")</f>
        <v>0</v>
      </c>
      <c r="U2">
        <f>BDH("SURG US Equity","BS_INVENTORIES","1993-06-18","2026-05-02","Per=Y","Days=T","Dir=V")</f>
        <v>0</v>
      </c>
      <c r="W2">
        <f>BDH("SURG US Equity","WORKING_CAPITAL","1993-06-18","2026-05-02","Per=Y","Days=T","Dir=V")</f>
        <v>0</v>
      </c>
      <c r="Y2">
        <f>BDH("SURG US Equity","SALES_REV_TURN","1993-06-18","2026-05-02","Per=Y","Days=T","Dir=V")</f>
        <v>0</v>
      </c>
      <c r="AA2">
        <f>BDH("SURG US Equity","EBIT","1993-06-18","2026-05-02","Per=Y","Days=T","Dir=V")</f>
        <v>0</v>
      </c>
      <c r="AC2">
        <f>BDH("SURG US Equity","EBITDA","1993-06-18","2026-05-02","Per=Y","Days=T","Dir=V")</f>
        <v>0</v>
      </c>
      <c r="AE2">
        <f>BDH("SURG US Equity","NET_INCOME","1993-06-18","2026-05-02","Per=Y","Days=T","Dir=V")</f>
        <v>0</v>
      </c>
      <c r="AG2">
        <f>BDH("SURG US Equity","IS_INT_EXPENSE","1993-06-18","2026-05-02","Per=Y","Days=T","Dir=V")</f>
        <v>0</v>
      </c>
      <c r="AI2">
        <f>BDH("SURG US Equity","IS_DEPR_EXP","1993-06-18","2026-05-02","Per=Y","Days=T","Dir=V")</f>
        <v>0</v>
      </c>
      <c r="AK2">
        <f>BDH("SURG US Equity","CF_CASH_FROM_OPER","1993-06-18","2026-05-02","Per=Y","Days=T","Dir=V")</f>
        <v>0</v>
      </c>
      <c r="AM2">
        <f>BDH("SURG US Equity","CAPITAL_EXPEND","1993-06-18","2026-05-02","Per=Y","Days=T","Dir=V")</f>
        <v>0</v>
      </c>
      <c r="AO2">
        <f>BDH("SURG US Equity","CF_FREE_CASH_FLOW","1993-06-18","2026-05-02","Per=Y","Days=T","Dir=V")</f>
        <v>0</v>
      </c>
      <c r="AQ2">
        <f>BDH("SURG US Equity","PX_LAST","1993-06-18","2026-05-02","Per=M","Days=T","Dir=V")</f>
        <v>0</v>
      </c>
      <c r="AS2">
        <f>BDH("SURG US Equity","CUR_MKT_CAP","1993-06-18","2026-05-02","Per=M","Days=T","Dir=V")</f>
        <v>0</v>
      </c>
      <c r="AU2">
        <f>BDH("SURG US Equity","EQY_SH_OUT","1993-06-18","2026-05-02","Per=M","Days=T","Dir=V")</f>
        <v>0</v>
      </c>
      <c r="AW2">
        <f>BDH("SURG US Equity","PX_VOLUME","1993-06-18","2026-05-02","Per=M","Days=T","Dir=V")</f>
        <v>0</v>
      </c>
      <c r="AY2">
        <f>BDH("SURG US Equity","TURNOVER","1993-06-18","2026-05-02","Per=M","Days=T","Dir=V")</f>
        <v>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BDH("SVCO US Equity","BS_TOT_ASSET","1993-06-18","2026-05-02","Per=Y","Days=T","Dir=V")</f>
        <v>0</v>
      </c>
      <c r="C2">
        <f>BDH("SVCO US Equity","BS_TOT_LIAB2","1993-06-18","2026-05-02","Per=Y","Days=T","Dir=V")</f>
        <v>0</v>
      </c>
      <c r="E2">
        <f>BDH("SVCO US Equity","SHORT_AND_LONG_TERM_DEBT","1993-06-18","2026-05-02","Per=Y","Days=T","Dir=V")</f>
        <v>0</v>
      </c>
      <c r="G2">
        <f>BDH("SVCO US Equity","BS_ST_BORROW","1993-06-18","2026-05-02","Per=Y","Days=T","Dir=V")</f>
        <v>0</v>
      </c>
      <c r="I2">
        <f>BDH("SVCO US Equity","BS_LT_BORROW","1993-06-18","2026-05-02","Per=Y","Days=T","Dir=V")</f>
        <v>0</v>
      </c>
      <c r="K2">
        <f>BDH("SVCO US Equity","BS_CASH_NEAR_CASH_ITEM","1993-06-18","2026-05-02","Per=Y","Days=T","Dir=V")</f>
        <v>0</v>
      </c>
      <c r="M2">
        <f>BDH("SVCO US Equity","BS_CUR_ASSET_REPORT","1993-06-18","2026-05-02","Per=Y","Days=T","Dir=V")</f>
        <v>0</v>
      </c>
      <c r="O2">
        <f>BDH("SVCO US Equity","BS_CUR_LIAB","1993-06-18","2026-05-02","Per=Y","Days=T","Dir=V")</f>
        <v>0</v>
      </c>
      <c r="Q2">
        <f>BDH("SVCO US Equity","BS_SHAREHOLDER_EQY_ENDING_PERIOD","1993-06-18","2026-05-02","Per=Y","Days=T","Dir=V")</f>
        <v>0</v>
      </c>
      <c r="S2">
        <f>BDH("SVCO US Equity","BS_ACCT_NOTE_RCV","1993-06-18","2026-05-02","Per=Y","Days=T","Dir=V")</f>
        <v>0</v>
      </c>
      <c r="U2">
        <f>BDH("SVCO US Equity","BS_INVENTORIES","1993-06-18","2026-05-02","Per=Y","Days=T","Dir=V")</f>
        <v>0</v>
      </c>
      <c r="W2">
        <f>BDH("SVCO US Equity","WORKING_CAPITAL","1993-06-18","2026-05-02","Per=Y","Days=T","Dir=V")</f>
        <v>0</v>
      </c>
      <c r="Y2">
        <f>BDH("SVCO US Equity","SALES_REV_TURN","1993-06-18","2026-05-02","Per=Y","Days=T","Dir=V")</f>
        <v>0</v>
      </c>
      <c r="AA2">
        <f>BDH("SVCO US Equity","EBIT","1993-06-18","2026-05-02","Per=Y","Days=T","Dir=V")</f>
        <v>0</v>
      </c>
      <c r="AC2">
        <f>BDH("SVCO US Equity","EBITDA","1993-06-18","2026-05-02","Per=Y","Days=T","Dir=V")</f>
        <v>0</v>
      </c>
      <c r="AE2">
        <f>BDH("SVCO US Equity","NET_INCOME","1993-06-18","2026-05-02","Per=Y","Days=T","Dir=V")</f>
        <v>0</v>
      </c>
      <c r="AG2">
        <f>BDH("SVCO US Equity","IS_INT_EXPENSE","1993-06-18","2026-05-02","Per=Y","Days=T","Dir=V")</f>
        <v>0</v>
      </c>
      <c r="AI2">
        <f>BDH("SVCO US Equity","IS_DEPR_EXP","1993-06-18","2026-05-02","Per=Y","Days=T","Dir=V")</f>
        <v>0</v>
      </c>
      <c r="AK2">
        <f>BDH("SVCO US Equity","CF_CASH_FROM_OPER","1993-06-18","2026-05-02","Per=Y","Days=T","Dir=V")</f>
        <v>0</v>
      </c>
      <c r="AM2">
        <f>BDH("SVCO US Equity","CAPITAL_EXPEND","1993-06-18","2026-05-02","Per=Y","Days=T","Dir=V")</f>
        <v>0</v>
      </c>
      <c r="AO2">
        <f>BDH("SVCO US Equity","CF_FREE_CASH_FLOW","1993-06-18","2026-05-02","Per=Y","Days=T","Dir=V")</f>
        <v>0</v>
      </c>
      <c r="AQ2">
        <f>BDH("SVCO US Equity","PX_LAST","1993-06-18","2026-05-02","Per=M","Days=T","Dir=V")</f>
        <v>0</v>
      </c>
      <c r="AS2">
        <f>BDH("SVCO US Equity","CUR_MKT_CAP","1993-06-18","2026-05-02","Per=M","Days=T","Dir=V")</f>
        <v>0</v>
      </c>
      <c r="AU2">
        <f>BDH("SVCO US Equity","EQY_SH_OUT","1993-06-18","2026-05-02","Per=M","Days=T","Dir=V")</f>
        <v>0</v>
      </c>
      <c r="AW2">
        <f>BDH("SVCO US Equity","PX_VOLUME","1993-06-18","2026-05-02","Per=M","Days=T","Dir=V")</f>
        <v>0</v>
      </c>
      <c r="AY2">
        <f>BDH("SVCO US Equity","TURNOVER","1993-06-18","2026-05-02","Per=M","Days=T","Dir=V")</f>
        <v>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BDH("SVRA US Equity","BS_TOT_ASSET","1993-06-18","2026-05-02","Per=Y","Days=T","Dir=V")</f>
        <v>0</v>
      </c>
      <c r="C2">
        <f>BDH("SVRA US Equity","BS_TOT_LIAB2","1993-06-18","2026-05-02","Per=Y","Days=T","Dir=V")</f>
        <v>0</v>
      </c>
      <c r="E2">
        <f>BDH("SVRA US Equity","SHORT_AND_LONG_TERM_DEBT","1993-06-18","2026-05-02","Per=Y","Days=T","Dir=V")</f>
        <v>0</v>
      </c>
      <c r="G2">
        <f>BDH("SVRA US Equity","BS_ST_BORROW","1993-06-18","2026-05-02","Per=Y","Days=T","Dir=V")</f>
        <v>0</v>
      </c>
      <c r="I2">
        <f>BDH("SVRA US Equity","BS_LT_BORROW","1993-06-18","2026-05-02","Per=Y","Days=T","Dir=V")</f>
        <v>0</v>
      </c>
      <c r="K2">
        <f>BDH("SVRA US Equity","BS_CASH_NEAR_CASH_ITEM","1993-06-18","2026-05-02","Per=Y","Days=T","Dir=V")</f>
        <v>0</v>
      </c>
      <c r="M2">
        <f>BDH("SVRA US Equity","BS_CUR_ASSET_REPORT","1993-06-18","2026-05-02","Per=Y","Days=T","Dir=V")</f>
        <v>0</v>
      </c>
      <c r="O2">
        <f>BDH("SVRA US Equity","BS_CUR_LIAB","1993-06-18","2026-05-02","Per=Y","Days=T","Dir=V")</f>
        <v>0</v>
      </c>
      <c r="Q2">
        <f>BDH("SVRA US Equity","BS_SHAREHOLDER_EQY_ENDING_PERIOD","1993-06-18","2026-05-02","Per=Y","Days=T","Dir=V")</f>
        <v>0</v>
      </c>
      <c r="S2">
        <f>BDH("SVRA US Equity","BS_ACCT_NOTE_RCV","1993-06-18","2026-05-02","Per=Y","Days=T","Dir=V")</f>
        <v>0</v>
      </c>
      <c r="U2">
        <f>BDH("SVRA US Equity","BS_INVENTORIES","1993-06-18","2026-05-02","Per=Y","Days=T","Dir=V")</f>
        <v>0</v>
      </c>
      <c r="W2">
        <f>BDH("SVRA US Equity","WORKING_CAPITAL","1993-06-18","2026-05-02","Per=Y","Days=T","Dir=V")</f>
        <v>0</v>
      </c>
      <c r="Y2">
        <f>BDH("SVRA US Equity","SALES_REV_TURN","1993-06-18","2026-05-02","Per=Y","Days=T","Dir=V")</f>
        <v>0</v>
      </c>
      <c r="AA2">
        <f>BDH("SVRA US Equity","EBIT","1993-06-18","2026-05-02","Per=Y","Days=T","Dir=V")</f>
        <v>0</v>
      </c>
      <c r="AC2">
        <f>BDH("SVRA US Equity","EBITDA","1993-06-18","2026-05-02","Per=Y","Days=T","Dir=V")</f>
        <v>0</v>
      </c>
      <c r="AE2">
        <f>BDH("SVRA US Equity","NET_INCOME","1993-06-18","2026-05-02","Per=Y","Days=T","Dir=V")</f>
        <v>0</v>
      </c>
      <c r="AG2">
        <f>BDH("SVRA US Equity","IS_INT_EXPENSE","1993-06-18","2026-05-02","Per=Y","Days=T","Dir=V")</f>
        <v>0</v>
      </c>
      <c r="AI2">
        <f>BDH("SVRA US Equity","IS_DEPR_EXP","1993-06-18","2026-05-02","Per=Y","Days=T","Dir=V")</f>
        <v>0</v>
      </c>
      <c r="AK2">
        <f>BDH("SVRA US Equity","CF_CASH_FROM_OPER","1993-06-18","2026-05-02","Per=Y","Days=T","Dir=V")</f>
        <v>0</v>
      </c>
      <c r="AM2">
        <f>BDH("SVRA US Equity","CAPITAL_EXPEND","1993-06-18","2026-05-02","Per=Y","Days=T","Dir=V")</f>
        <v>0</v>
      </c>
      <c r="AO2">
        <f>BDH("SVRA US Equity","CF_FREE_CASH_FLOW","1993-06-18","2026-05-02","Per=Y","Days=T","Dir=V")</f>
        <v>0</v>
      </c>
      <c r="AQ2">
        <f>BDH("SVRA US Equity","PX_LAST","1993-06-18","2026-05-02","Per=M","Days=T","Dir=V")</f>
        <v>0</v>
      </c>
      <c r="AS2">
        <f>BDH("SVRA US Equity","CUR_MKT_CAP","1993-06-18","2026-05-02","Per=M","Days=T","Dir=V")</f>
        <v>0</v>
      </c>
      <c r="AU2">
        <f>BDH("SVRA US Equity","EQY_SH_OUT","1993-06-18","2026-05-02","Per=M","Days=T","Dir=V")</f>
        <v>0</v>
      </c>
      <c r="AW2">
        <f>BDH("SVRA US Equity","PX_VOLUME","1993-06-18","2026-05-02","Per=M","Days=T","Dir=V")</f>
        <v>0</v>
      </c>
      <c r="AY2">
        <f>BDH("SVRA US Equity","TURNOVER","1993-06-18","2026-05-02","Per=M","Days=T","Dir=V")</f>
        <v>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BDH("SVV US Equity","BS_TOT_ASSET","1993-06-18","2026-05-02","Per=Y","Days=T","Dir=V")</f>
        <v>0</v>
      </c>
      <c r="C2">
        <f>BDH("SVV US Equity","BS_TOT_LIAB2","1993-06-18","2026-05-02","Per=Y","Days=T","Dir=V")</f>
        <v>0</v>
      </c>
      <c r="E2">
        <f>BDH("SVV US Equity","SHORT_AND_LONG_TERM_DEBT","1993-06-18","2026-05-02","Per=Y","Days=T","Dir=V")</f>
        <v>0</v>
      </c>
      <c r="G2">
        <f>BDH("SVV US Equity","BS_ST_BORROW","1993-06-18","2026-05-02","Per=Y","Days=T","Dir=V")</f>
        <v>0</v>
      </c>
      <c r="I2">
        <f>BDH("SVV US Equity","BS_LT_BORROW","1993-06-18","2026-05-02","Per=Y","Days=T","Dir=V")</f>
        <v>0</v>
      </c>
      <c r="K2">
        <f>BDH("SVV US Equity","BS_CASH_NEAR_CASH_ITEM","1993-06-18","2026-05-02","Per=Y","Days=T","Dir=V")</f>
        <v>0</v>
      </c>
      <c r="M2">
        <f>BDH("SVV US Equity","BS_CUR_ASSET_REPORT","1993-06-18","2026-05-02","Per=Y","Days=T","Dir=V")</f>
        <v>0</v>
      </c>
      <c r="O2">
        <f>BDH("SVV US Equity","BS_CUR_LIAB","1993-06-18","2026-05-02","Per=Y","Days=T","Dir=V")</f>
        <v>0</v>
      </c>
      <c r="Q2">
        <f>BDH("SVV US Equity","BS_SHAREHOLDER_EQY_ENDING_PERIOD","1993-06-18","2026-05-02","Per=Y","Days=T","Dir=V")</f>
        <v>0</v>
      </c>
      <c r="S2">
        <f>BDH("SVV US Equity","BS_ACCT_NOTE_RCV","1993-06-18","2026-05-02","Per=Y","Days=T","Dir=V")</f>
        <v>0</v>
      </c>
      <c r="U2">
        <f>BDH("SVV US Equity","BS_INVENTORIES","1993-06-18","2026-05-02","Per=Y","Days=T","Dir=V")</f>
        <v>0</v>
      </c>
      <c r="W2">
        <f>BDH("SVV US Equity","WORKING_CAPITAL","1993-06-18","2026-05-02","Per=Y","Days=T","Dir=V")</f>
        <v>0</v>
      </c>
      <c r="Y2">
        <f>BDH("SVV US Equity","SALES_REV_TURN","1993-06-18","2026-05-02","Per=Y","Days=T","Dir=V")</f>
        <v>0</v>
      </c>
      <c r="AA2">
        <f>BDH("SVV US Equity","EBIT","1993-06-18","2026-05-02","Per=Y","Days=T","Dir=V")</f>
        <v>0</v>
      </c>
      <c r="AC2">
        <f>BDH("SVV US Equity","EBITDA","1993-06-18","2026-05-02","Per=Y","Days=T","Dir=V")</f>
        <v>0</v>
      </c>
      <c r="AE2">
        <f>BDH("SVV US Equity","NET_INCOME","1993-06-18","2026-05-02","Per=Y","Days=T","Dir=V")</f>
        <v>0</v>
      </c>
      <c r="AG2">
        <f>BDH("SVV US Equity","IS_INT_EXPENSE","1993-06-18","2026-05-02","Per=Y","Days=T","Dir=V")</f>
        <v>0</v>
      </c>
      <c r="AI2">
        <f>BDH("SVV US Equity","IS_DEPR_EXP","1993-06-18","2026-05-02","Per=Y","Days=T","Dir=V")</f>
        <v>0</v>
      </c>
      <c r="AK2">
        <f>BDH("SVV US Equity","CF_CASH_FROM_OPER","1993-06-18","2026-05-02","Per=Y","Days=T","Dir=V")</f>
        <v>0</v>
      </c>
      <c r="AM2">
        <f>BDH("SVV US Equity","CAPITAL_EXPEND","1993-06-18","2026-05-02","Per=Y","Days=T","Dir=V")</f>
        <v>0</v>
      </c>
      <c r="AO2">
        <f>BDH("SVV US Equity","CF_FREE_CASH_FLOW","1993-06-18","2026-05-02","Per=Y","Days=T","Dir=V")</f>
        <v>0</v>
      </c>
      <c r="AQ2">
        <f>BDH("SVV US Equity","PX_LAST","1993-06-18","2026-05-02","Per=M","Days=T","Dir=V")</f>
        <v>0</v>
      </c>
      <c r="AS2">
        <f>BDH("SVV US Equity","CUR_MKT_CAP","1993-06-18","2026-05-02","Per=M","Days=T","Dir=V")</f>
        <v>0</v>
      </c>
      <c r="AU2">
        <f>BDH("SVV US Equity","EQY_SH_OUT","1993-06-18","2026-05-02","Per=M","Days=T","Dir=V")</f>
        <v>0</v>
      </c>
      <c r="AW2">
        <f>BDH("SVV US Equity","PX_VOLUME","1993-06-18","2026-05-02","Per=M","Days=T","Dir=V")</f>
        <v>0</v>
      </c>
      <c r="AY2">
        <f>BDH("SVV US Equity","TURNOVER","1993-06-18","2026-05-02","Per=M","Days=T","Dir=V")</f>
        <v>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BDH("SWAG US Equity","BS_TOT_ASSET","1993-06-18","2026-05-02","Per=Y","Days=T","Dir=V")</f>
        <v>0</v>
      </c>
      <c r="C2">
        <f>BDH("SWAG US Equity","BS_TOT_LIAB2","1993-06-18","2026-05-02","Per=Y","Days=T","Dir=V")</f>
        <v>0</v>
      </c>
      <c r="E2">
        <f>BDH("SWAG US Equity","SHORT_AND_LONG_TERM_DEBT","1993-06-18","2026-05-02","Per=Y","Days=T","Dir=V")</f>
        <v>0</v>
      </c>
      <c r="G2">
        <f>BDH("SWAG US Equity","BS_ST_BORROW","1993-06-18","2026-05-02","Per=Y","Days=T","Dir=V")</f>
        <v>0</v>
      </c>
      <c r="I2">
        <f>BDH("SWAG US Equity","BS_LT_BORROW","1993-06-18","2026-05-02","Per=Y","Days=T","Dir=V")</f>
        <v>0</v>
      </c>
      <c r="K2">
        <f>BDH("SWAG US Equity","BS_CASH_NEAR_CASH_ITEM","1993-06-18","2026-05-02","Per=Y","Days=T","Dir=V")</f>
        <v>0</v>
      </c>
      <c r="M2">
        <f>BDH("SWAG US Equity","BS_CUR_ASSET_REPORT","1993-06-18","2026-05-02","Per=Y","Days=T","Dir=V")</f>
        <v>0</v>
      </c>
      <c r="O2">
        <f>BDH("SWAG US Equity","BS_CUR_LIAB","1993-06-18","2026-05-02","Per=Y","Days=T","Dir=V")</f>
        <v>0</v>
      </c>
      <c r="Q2">
        <f>BDH("SWAG US Equity","BS_SHAREHOLDER_EQY_ENDING_PERIOD","1993-06-18","2026-05-02","Per=Y","Days=T","Dir=V")</f>
        <v>0</v>
      </c>
      <c r="S2">
        <f>BDH("SWAG US Equity","BS_ACCT_NOTE_RCV","1993-06-18","2026-05-02","Per=Y","Days=T","Dir=V")</f>
        <v>0</v>
      </c>
      <c r="U2">
        <f>BDH("SWAG US Equity","BS_INVENTORIES","1993-06-18","2026-05-02","Per=Y","Days=T","Dir=V")</f>
        <v>0</v>
      </c>
      <c r="W2">
        <f>BDH("SWAG US Equity","WORKING_CAPITAL","1993-06-18","2026-05-02","Per=Y","Days=T","Dir=V")</f>
        <v>0</v>
      </c>
      <c r="Y2">
        <f>BDH("SWAG US Equity","SALES_REV_TURN","1993-06-18","2026-05-02","Per=Y","Days=T","Dir=V")</f>
        <v>0</v>
      </c>
      <c r="AA2">
        <f>BDH("SWAG US Equity","EBIT","1993-06-18","2026-05-02","Per=Y","Days=T","Dir=V")</f>
        <v>0</v>
      </c>
      <c r="AC2">
        <f>BDH("SWAG US Equity","EBITDA","1993-06-18","2026-05-02","Per=Y","Days=T","Dir=V")</f>
        <v>0</v>
      </c>
      <c r="AE2">
        <f>BDH("SWAG US Equity","NET_INCOME","1993-06-18","2026-05-02","Per=Y","Days=T","Dir=V")</f>
        <v>0</v>
      </c>
      <c r="AG2">
        <f>BDH("SWAG US Equity","IS_INT_EXPENSE","1993-06-18","2026-05-02","Per=Y","Days=T","Dir=V")</f>
        <v>0</v>
      </c>
      <c r="AI2">
        <f>BDH("SWAG US Equity","IS_DEPR_EXP","1993-06-18","2026-05-02","Per=Y","Days=T","Dir=V")</f>
        <v>0</v>
      </c>
      <c r="AK2">
        <f>BDH("SWAG US Equity","CF_CASH_FROM_OPER","1993-06-18","2026-05-02","Per=Y","Days=T","Dir=V")</f>
        <v>0</v>
      </c>
      <c r="AM2">
        <f>BDH("SWAG US Equity","CAPITAL_EXPEND","1993-06-18","2026-05-02","Per=Y","Days=T","Dir=V")</f>
        <v>0</v>
      </c>
      <c r="AO2">
        <f>BDH("SWAG US Equity","CF_FREE_CASH_FLOW","1993-06-18","2026-05-02","Per=Y","Days=T","Dir=V")</f>
        <v>0</v>
      </c>
      <c r="AQ2">
        <f>BDH("SWAG US Equity","PX_LAST","1993-06-18","2026-05-02","Per=M","Days=T","Dir=V")</f>
        <v>0</v>
      </c>
      <c r="AS2">
        <f>BDH("SWAG US Equity","CUR_MKT_CAP","1993-06-18","2026-05-02","Per=M","Days=T","Dir=V")</f>
        <v>0</v>
      </c>
      <c r="AU2">
        <f>BDH("SWAG US Equity","EQY_SH_OUT","1993-06-18","2026-05-02","Per=M","Days=T","Dir=V")</f>
        <v>0</v>
      </c>
      <c r="AW2">
        <f>BDH("SWAG US Equity","PX_VOLUME","1993-06-18","2026-05-02","Per=M","Days=T","Dir=V")</f>
        <v>0</v>
      </c>
      <c r="AY2">
        <f>BDH("SWAG US Equity","TURNOVER","1993-06-18","2026-05-02","Per=M","Days=T","Dir=V")</f>
        <v>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BDH("SWAGW US Equity","BS_TOT_ASSET","1993-06-18","2026-05-02","Per=Y","Days=T","Dir=V")</f>
        <v>0</v>
      </c>
      <c r="C2">
        <f>BDH("SWAGW US Equity","BS_TOT_LIAB2","1993-06-18","2026-05-02","Per=Y","Days=T","Dir=V")</f>
        <v>0</v>
      </c>
      <c r="E2">
        <f>BDH("SWAGW US Equity","SHORT_AND_LONG_TERM_DEBT","1993-06-18","2026-05-02","Per=Y","Days=T","Dir=V")</f>
        <v>0</v>
      </c>
      <c r="G2">
        <f>BDH("SWAGW US Equity","BS_ST_BORROW","1993-06-18","2026-05-02","Per=Y","Days=T","Dir=V")</f>
        <v>0</v>
      </c>
      <c r="I2">
        <f>BDH("SWAGW US Equity","BS_LT_BORROW","1993-06-18","2026-05-02","Per=Y","Days=T","Dir=V")</f>
        <v>0</v>
      </c>
      <c r="K2">
        <f>BDH("SWAGW US Equity","BS_CASH_NEAR_CASH_ITEM","1993-06-18","2026-05-02","Per=Y","Days=T","Dir=V")</f>
        <v>0</v>
      </c>
      <c r="M2">
        <f>BDH("SWAGW US Equity","BS_CUR_ASSET_REPORT","1993-06-18","2026-05-02","Per=Y","Days=T","Dir=V")</f>
        <v>0</v>
      </c>
      <c r="O2">
        <f>BDH("SWAGW US Equity","BS_CUR_LIAB","1993-06-18","2026-05-02","Per=Y","Days=T","Dir=V")</f>
        <v>0</v>
      </c>
      <c r="Q2">
        <f>BDH("SWAGW US Equity","BS_SHAREHOLDER_EQY_ENDING_PERIOD","1993-06-18","2026-05-02","Per=Y","Days=T","Dir=V")</f>
        <v>0</v>
      </c>
      <c r="S2">
        <f>BDH("SWAGW US Equity","BS_ACCT_NOTE_RCV","1993-06-18","2026-05-02","Per=Y","Days=T","Dir=V")</f>
        <v>0</v>
      </c>
      <c r="U2">
        <f>BDH("SWAGW US Equity","BS_INVENTORIES","1993-06-18","2026-05-02","Per=Y","Days=T","Dir=V")</f>
        <v>0</v>
      </c>
      <c r="W2">
        <f>BDH("SWAGW US Equity","WORKING_CAPITAL","1993-06-18","2026-05-02","Per=Y","Days=T","Dir=V")</f>
        <v>0</v>
      </c>
      <c r="Y2">
        <f>BDH("SWAGW US Equity","SALES_REV_TURN","1993-06-18","2026-05-02","Per=Y","Days=T","Dir=V")</f>
        <v>0</v>
      </c>
      <c r="AA2">
        <f>BDH("SWAGW US Equity","EBIT","1993-06-18","2026-05-02","Per=Y","Days=T","Dir=V")</f>
        <v>0</v>
      </c>
      <c r="AC2">
        <f>BDH("SWAGW US Equity","EBITDA","1993-06-18","2026-05-02","Per=Y","Days=T","Dir=V")</f>
        <v>0</v>
      </c>
      <c r="AE2">
        <f>BDH("SWAGW US Equity","NET_INCOME","1993-06-18","2026-05-02","Per=Y","Days=T","Dir=V")</f>
        <v>0</v>
      </c>
      <c r="AG2">
        <f>BDH("SWAGW US Equity","IS_INT_EXPENSE","1993-06-18","2026-05-02","Per=Y","Days=T","Dir=V")</f>
        <v>0</v>
      </c>
      <c r="AI2">
        <f>BDH("SWAGW US Equity","IS_DEPR_EXP","1993-06-18","2026-05-02","Per=Y","Days=T","Dir=V")</f>
        <v>0</v>
      </c>
      <c r="AK2">
        <f>BDH("SWAGW US Equity","CF_CASH_FROM_OPER","1993-06-18","2026-05-02","Per=Y","Days=T","Dir=V")</f>
        <v>0</v>
      </c>
      <c r="AM2">
        <f>BDH("SWAGW US Equity","CAPITAL_EXPEND","1993-06-18","2026-05-02","Per=Y","Days=T","Dir=V")</f>
        <v>0</v>
      </c>
      <c r="AO2">
        <f>BDH("SWAGW US Equity","CF_FREE_CASH_FLOW","1993-06-18","2026-05-02","Per=Y","Days=T","Dir=V")</f>
        <v>0</v>
      </c>
      <c r="AQ2">
        <f>BDH("SWAGW US Equity","PX_LAST","1993-06-18","2026-05-02","Per=M","Days=T","Dir=V")</f>
        <v>0</v>
      </c>
      <c r="AS2">
        <f>BDH("SWAGW US Equity","CUR_MKT_CAP","1993-06-18","2026-05-02","Per=M","Days=T","Dir=V")</f>
        <v>0</v>
      </c>
      <c r="AU2">
        <f>BDH("SWAGW US Equity","EQY_SH_OUT","1993-06-18","2026-05-02","Per=M","Days=T","Dir=V")</f>
        <v>0</v>
      </c>
      <c r="AW2">
        <f>BDH("SWAGW US Equity","PX_VOLUME","1993-06-18","2026-05-02","Per=M","Days=T","Dir=V")</f>
        <v>0</v>
      </c>
      <c r="AY2">
        <f>BDH("SWAGW US Equity","TURNOVER","1993-06-18","2026-05-02","Per=M","Days=T","Dir=V")</f>
        <v>0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BDH("SWBI US Equity","BS_TOT_ASSET","1993-06-18","2026-05-02","Per=Y","Days=T","Dir=V")</f>
        <v>0</v>
      </c>
      <c r="C2">
        <f>BDH("SWBI US Equity","BS_TOT_LIAB2","1993-06-18","2026-05-02","Per=Y","Days=T","Dir=V")</f>
        <v>0</v>
      </c>
      <c r="E2">
        <f>BDH("SWBI US Equity","SHORT_AND_LONG_TERM_DEBT","1993-06-18","2026-05-02","Per=Y","Days=T","Dir=V")</f>
        <v>0</v>
      </c>
      <c r="G2">
        <f>BDH("SWBI US Equity","BS_ST_BORROW","1993-06-18","2026-05-02","Per=Y","Days=T","Dir=V")</f>
        <v>0</v>
      </c>
      <c r="I2">
        <f>BDH("SWBI US Equity","BS_LT_BORROW","1993-06-18","2026-05-02","Per=Y","Days=T","Dir=V")</f>
        <v>0</v>
      </c>
      <c r="K2">
        <f>BDH("SWBI US Equity","BS_CASH_NEAR_CASH_ITEM","1993-06-18","2026-05-02","Per=Y","Days=T","Dir=V")</f>
        <v>0</v>
      </c>
      <c r="M2">
        <f>BDH("SWBI US Equity","BS_CUR_ASSET_REPORT","1993-06-18","2026-05-02","Per=Y","Days=T","Dir=V")</f>
        <v>0</v>
      </c>
      <c r="O2">
        <f>BDH("SWBI US Equity","BS_CUR_LIAB","1993-06-18","2026-05-02","Per=Y","Days=T","Dir=V")</f>
        <v>0</v>
      </c>
      <c r="Q2">
        <f>BDH("SWBI US Equity","BS_SHAREHOLDER_EQY_ENDING_PERIOD","1993-06-18","2026-05-02","Per=Y","Days=T","Dir=V")</f>
        <v>0</v>
      </c>
      <c r="S2">
        <f>BDH("SWBI US Equity","BS_ACCT_NOTE_RCV","1993-06-18","2026-05-02","Per=Y","Days=T","Dir=V")</f>
        <v>0</v>
      </c>
      <c r="U2">
        <f>BDH("SWBI US Equity","BS_INVENTORIES","1993-06-18","2026-05-02","Per=Y","Days=T","Dir=V")</f>
        <v>0</v>
      </c>
      <c r="W2">
        <f>BDH("SWBI US Equity","WORKING_CAPITAL","1993-06-18","2026-05-02","Per=Y","Days=T","Dir=V")</f>
        <v>0</v>
      </c>
      <c r="Y2">
        <f>BDH("SWBI US Equity","SALES_REV_TURN","1993-06-18","2026-05-02","Per=Y","Days=T","Dir=V")</f>
        <v>0</v>
      </c>
      <c r="AA2">
        <f>BDH("SWBI US Equity","EBIT","1993-06-18","2026-05-02","Per=Y","Days=T","Dir=V")</f>
        <v>0</v>
      </c>
      <c r="AC2">
        <f>BDH("SWBI US Equity","EBITDA","1993-06-18","2026-05-02","Per=Y","Days=T","Dir=V")</f>
        <v>0</v>
      </c>
      <c r="AE2">
        <f>BDH("SWBI US Equity","NET_INCOME","1993-06-18","2026-05-02","Per=Y","Days=T","Dir=V")</f>
        <v>0</v>
      </c>
      <c r="AG2">
        <f>BDH("SWBI US Equity","IS_INT_EXPENSE","1993-06-18","2026-05-02","Per=Y","Days=T","Dir=V")</f>
        <v>0</v>
      </c>
      <c r="AI2">
        <f>BDH("SWBI US Equity","IS_DEPR_EXP","1993-06-18","2026-05-02","Per=Y","Days=T","Dir=V")</f>
        <v>0</v>
      </c>
      <c r="AK2">
        <f>BDH("SWBI US Equity","CF_CASH_FROM_OPER","1993-06-18","2026-05-02","Per=Y","Days=T","Dir=V")</f>
        <v>0</v>
      </c>
      <c r="AM2">
        <f>BDH("SWBI US Equity","CAPITAL_EXPEND","1993-06-18","2026-05-02","Per=Y","Days=T","Dir=V")</f>
        <v>0</v>
      </c>
      <c r="AO2">
        <f>BDH("SWBI US Equity","CF_FREE_CASH_FLOW","1993-06-18","2026-05-02","Per=Y","Days=T","Dir=V")</f>
        <v>0</v>
      </c>
      <c r="AQ2">
        <f>BDH("SWBI US Equity","PX_LAST","1993-06-18","2026-05-02","Per=M","Days=T","Dir=V")</f>
        <v>0</v>
      </c>
      <c r="AS2">
        <f>BDH("SWBI US Equity","CUR_MKT_CAP","1993-06-18","2026-05-02","Per=M","Days=T","Dir=V")</f>
        <v>0</v>
      </c>
      <c r="AU2">
        <f>BDH("SWBI US Equity","EQY_SH_OUT","1993-06-18","2026-05-02","Per=M","Days=T","Dir=V")</f>
        <v>0</v>
      </c>
      <c r="AW2">
        <f>BDH("SWBI US Equity","PX_VOLUME","1993-06-18","2026-05-02","Per=M","Days=T","Dir=V")</f>
        <v>0</v>
      </c>
      <c r="AY2">
        <f>BDH("SWBI US Equity","TURNOVER","1993-06-18","2026-05-02","Per=M","Days=T","Dir=V")</f>
        <v>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BDH("SWIM US Equity","BS_TOT_ASSET","1993-06-18","2026-05-02","Per=Y","Days=T","Dir=V")</f>
        <v>0</v>
      </c>
      <c r="C2">
        <f>BDH("SWIM US Equity","BS_TOT_LIAB2","1993-06-18","2026-05-02","Per=Y","Days=T","Dir=V")</f>
        <v>0</v>
      </c>
      <c r="E2">
        <f>BDH("SWIM US Equity","SHORT_AND_LONG_TERM_DEBT","1993-06-18","2026-05-02","Per=Y","Days=T","Dir=V")</f>
        <v>0</v>
      </c>
      <c r="G2">
        <f>BDH("SWIM US Equity","BS_ST_BORROW","1993-06-18","2026-05-02","Per=Y","Days=T","Dir=V")</f>
        <v>0</v>
      </c>
      <c r="I2">
        <f>BDH("SWIM US Equity","BS_LT_BORROW","1993-06-18","2026-05-02","Per=Y","Days=T","Dir=V")</f>
        <v>0</v>
      </c>
      <c r="K2">
        <f>BDH("SWIM US Equity","BS_CASH_NEAR_CASH_ITEM","1993-06-18","2026-05-02","Per=Y","Days=T","Dir=V")</f>
        <v>0</v>
      </c>
      <c r="M2">
        <f>BDH("SWIM US Equity","BS_CUR_ASSET_REPORT","1993-06-18","2026-05-02","Per=Y","Days=T","Dir=V")</f>
        <v>0</v>
      </c>
      <c r="O2">
        <f>BDH("SWIM US Equity","BS_CUR_LIAB","1993-06-18","2026-05-02","Per=Y","Days=T","Dir=V")</f>
        <v>0</v>
      </c>
      <c r="Q2">
        <f>BDH("SWIM US Equity","BS_SHAREHOLDER_EQY_ENDING_PERIOD","1993-06-18","2026-05-02","Per=Y","Days=T","Dir=V")</f>
        <v>0</v>
      </c>
      <c r="S2">
        <f>BDH("SWIM US Equity","BS_ACCT_NOTE_RCV","1993-06-18","2026-05-02","Per=Y","Days=T","Dir=V")</f>
        <v>0</v>
      </c>
      <c r="U2">
        <f>BDH("SWIM US Equity","BS_INVENTORIES","1993-06-18","2026-05-02","Per=Y","Days=T","Dir=V")</f>
        <v>0</v>
      </c>
      <c r="W2">
        <f>BDH("SWIM US Equity","WORKING_CAPITAL","1993-06-18","2026-05-02","Per=Y","Days=T","Dir=V")</f>
        <v>0</v>
      </c>
      <c r="Y2">
        <f>BDH("SWIM US Equity","SALES_REV_TURN","1993-06-18","2026-05-02","Per=Y","Days=T","Dir=V")</f>
        <v>0</v>
      </c>
      <c r="AA2">
        <f>BDH("SWIM US Equity","EBIT","1993-06-18","2026-05-02","Per=Y","Days=T","Dir=V")</f>
        <v>0</v>
      </c>
      <c r="AC2">
        <f>BDH("SWIM US Equity","EBITDA","1993-06-18","2026-05-02","Per=Y","Days=T","Dir=V")</f>
        <v>0</v>
      </c>
      <c r="AE2">
        <f>BDH("SWIM US Equity","NET_INCOME","1993-06-18","2026-05-02","Per=Y","Days=T","Dir=V")</f>
        <v>0</v>
      </c>
      <c r="AG2">
        <f>BDH("SWIM US Equity","IS_INT_EXPENSE","1993-06-18","2026-05-02","Per=Y","Days=T","Dir=V")</f>
        <v>0</v>
      </c>
      <c r="AI2">
        <f>BDH("SWIM US Equity","IS_DEPR_EXP","1993-06-18","2026-05-02","Per=Y","Days=T","Dir=V")</f>
        <v>0</v>
      </c>
      <c r="AK2">
        <f>BDH("SWIM US Equity","CF_CASH_FROM_OPER","1993-06-18","2026-05-02","Per=Y","Days=T","Dir=V")</f>
        <v>0</v>
      </c>
      <c r="AM2">
        <f>BDH("SWIM US Equity","CAPITAL_EXPEND","1993-06-18","2026-05-02","Per=Y","Days=T","Dir=V")</f>
        <v>0</v>
      </c>
      <c r="AO2">
        <f>BDH("SWIM US Equity","CF_FREE_CASH_FLOW","1993-06-18","2026-05-02","Per=Y","Days=T","Dir=V")</f>
        <v>0</v>
      </c>
      <c r="AQ2">
        <f>BDH("SWIM US Equity","PX_LAST","1993-06-18","2026-05-02","Per=M","Days=T","Dir=V")</f>
        <v>0</v>
      </c>
      <c r="AS2">
        <f>BDH("SWIM US Equity","CUR_MKT_CAP","1993-06-18","2026-05-02","Per=M","Days=T","Dir=V")</f>
        <v>0</v>
      </c>
      <c r="AU2">
        <f>BDH("SWIM US Equity","EQY_SH_OUT","1993-06-18","2026-05-02","Per=M","Days=T","Dir=V")</f>
        <v>0</v>
      </c>
      <c r="AW2">
        <f>BDH("SWIM US Equity","PX_VOLUME","1993-06-18","2026-05-02","Per=M","Days=T","Dir=V")</f>
        <v>0</v>
      </c>
      <c r="AY2">
        <f>BDH("SWIM US Equity","TURNOVER","1993-06-18","2026-05-02","Per=M","Days=T","Dir=V")</f>
        <v>0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BDH("SWK US Equity","BS_TOT_ASSET","1993-06-18","2026-05-02","Per=Y","Days=T","Dir=V")</f>
        <v>0</v>
      </c>
      <c r="C2">
        <f>BDH("SWK US Equity","BS_TOT_LIAB2","1993-06-18","2026-05-02","Per=Y","Days=T","Dir=V")</f>
        <v>0</v>
      </c>
      <c r="E2">
        <f>BDH("SWK US Equity","SHORT_AND_LONG_TERM_DEBT","1993-06-18","2026-05-02","Per=Y","Days=T","Dir=V")</f>
        <v>0</v>
      </c>
      <c r="G2">
        <f>BDH("SWK US Equity","BS_ST_BORROW","1993-06-18","2026-05-02","Per=Y","Days=T","Dir=V")</f>
        <v>0</v>
      </c>
      <c r="I2">
        <f>BDH("SWK US Equity","BS_LT_BORROW","1993-06-18","2026-05-02","Per=Y","Days=T","Dir=V")</f>
        <v>0</v>
      </c>
      <c r="K2">
        <f>BDH("SWK US Equity","BS_CASH_NEAR_CASH_ITEM","1993-06-18","2026-05-02","Per=Y","Days=T","Dir=V")</f>
        <v>0</v>
      </c>
      <c r="M2">
        <f>BDH("SWK US Equity","BS_CUR_ASSET_REPORT","1993-06-18","2026-05-02","Per=Y","Days=T","Dir=V")</f>
        <v>0</v>
      </c>
      <c r="O2">
        <f>BDH("SWK US Equity","BS_CUR_LIAB","1993-06-18","2026-05-02","Per=Y","Days=T","Dir=V")</f>
        <v>0</v>
      </c>
      <c r="Q2">
        <f>BDH("SWK US Equity","BS_SHAREHOLDER_EQY_ENDING_PERIOD","1993-06-18","2026-05-02","Per=Y","Days=T","Dir=V")</f>
        <v>0</v>
      </c>
      <c r="S2">
        <f>BDH("SWK US Equity","BS_ACCT_NOTE_RCV","1993-06-18","2026-05-02","Per=Y","Days=T","Dir=V")</f>
        <v>0</v>
      </c>
      <c r="U2">
        <f>BDH("SWK US Equity","BS_INVENTORIES","1993-06-18","2026-05-02","Per=Y","Days=T","Dir=V")</f>
        <v>0</v>
      </c>
      <c r="W2">
        <f>BDH("SWK US Equity","WORKING_CAPITAL","1993-06-18","2026-05-02","Per=Y","Days=T","Dir=V")</f>
        <v>0</v>
      </c>
      <c r="Y2">
        <f>BDH("SWK US Equity","SALES_REV_TURN","1993-06-18","2026-05-02","Per=Y","Days=T","Dir=V")</f>
        <v>0</v>
      </c>
      <c r="AA2">
        <f>BDH("SWK US Equity","EBIT","1993-06-18","2026-05-02","Per=Y","Days=T","Dir=V")</f>
        <v>0</v>
      </c>
      <c r="AC2">
        <f>BDH("SWK US Equity","EBITDA","1993-06-18","2026-05-02","Per=Y","Days=T","Dir=V")</f>
        <v>0</v>
      </c>
      <c r="AE2">
        <f>BDH("SWK US Equity","NET_INCOME","1993-06-18","2026-05-02","Per=Y","Days=T","Dir=V")</f>
        <v>0</v>
      </c>
      <c r="AG2">
        <f>BDH("SWK US Equity","IS_INT_EXPENSE","1993-06-18","2026-05-02","Per=Y","Days=T","Dir=V")</f>
        <v>0</v>
      </c>
      <c r="AI2">
        <f>BDH("SWK US Equity","IS_DEPR_EXP","1993-06-18","2026-05-02","Per=Y","Days=T","Dir=V")</f>
        <v>0</v>
      </c>
      <c r="AK2">
        <f>BDH("SWK US Equity","CF_CASH_FROM_OPER","1993-06-18","2026-05-02","Per=Y","Days=T","Dir=V")</f>
        <v>0</v>
      </c>
      <c r="AM2">
        <f>BDH("SWK US Equity","CAPITAL_EXPEND","1993-06-18","2026-05-02","Per=Y","Days=T","Dir=V")</f>
        <v>0</v>
      </c>
      <c r="AO2">
        <f>BDH("SWK US Equity","CF_FREE_CASH_FLOW","1993-06-18","2026-05-02","Per=Y","Days=T","Dir=V")</f>
        <v>0</v>
      </c>
      <c r="AQ2">
        <f>BDH("SWK US Equity","PX_LAST","1993-06-18","2026-05-02","Per=M","Days=T","Dir=V")</f>
        <v>0</v>
      </c>
      <c r="AS2">
        <f>BDH("SWK US Equity","CUR_MKT_CAP","1993-06-18","2026-05-02","Per=M","Days=T","Dir=V")</f>
        <v>0</v>
      </c>
      <c r="AU2">
        <f>BDH("SWK US Equity","EQY_SH_OUT","1993-06-18","2026-05-02","Per=M","Days=T","Dir=V")</f>
        <v>0</v>
      </c>
      <c r="AW2">
        <f>BDH("SWK US Equity","PX_VOLUME","1993-06-18","2026-05-02","Per=M","Days=T","Dir=V")</f>
        <v>0</v>
      </c>
      <c r="AY2">
        <f>BDH("SWK US Equity","TURNOVER","1993-06-18","2026-05-02","Per=M","Days=T","Dir=V")</f>
        <v>0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BDH("SWKS US Equity","BS_TOT_ASSET","1993-06-18","2026-05-02","Per=Y","Days=T","Dir=V")</f>
        <v>0</v>
      </c>
      <c r="C2">
        <f>BDH("SWKS US Equity","BS_TOT_LIAB2","1993-06-18","2026-05-02","Per=Y","Days=T","Dir=V")</f>
        <v>0</v>
      </c>
      <c r="E2">
        <f>BDH("SWKS US Equity","SHORT_AND_LONG_TERM_DEBT","1993-06-18","2026-05-02","Per=Y","Days=T","Dir=V")</f>
        <v>0</v>
      </c>
      <c r="G2">
        <f>BDH("SWKS US Equity","BS_ST_BORROW","1993-06-18","2026-05-02","Per=Y","Days=T","Dir=V")</f>
        <v>0</v>
      </c>
      <c r="I2">
        <f>BDH("SWKS US Equity","BS_LT_BORROW","1993-06-18","2026-05-02","Per=Y","Days=T","Dir=V")</f>
        <v>0</v>
      </c>
      <c r="K2">
        <f>BDH("SWKS US Equity","BS_CASH_NEAR_CASH_ITEM","1993-06-18","2026-05-02","Per=Y","Days=T","Dir=V")</f>
        <v>0</v>
      </c>
      <c r="M2">
        <f>BDH("SWKS US Equity","BS_CUR_ASSET_REPORT","1993-06-18","2026-05-02","Per=Y","Days=T","Dir=V")</f>
        <v>0</v>
      </c>
      <c r="O2">
        <f>BDH("SWKS US Equity","BS_CUR_LIAB","1993-06-18","2026-05-02","Per=Y","Days=T","Dir=V")</f>
        <v>0</v>
      </c>
      <c r="Q2">
        <f>BDH("SWKS US Equity","BS_SHAREHOLDER_EQY_ENDING_PERIOD","1993-06-18","2026-05-02","Per=Y","Days=T","Dir=V")</f>
        <v>0</v>
      </c>
      <c r="S2">
        <f>BDH("SWKS US Equity","BS_ACCT_NOTE_RCV","1993-06-18","2026-05-02","Per=Y","Days=T","Dir=V")</f>
        <v>0</v>
      </c>
      <c r="U2">
        <f>BDH("SWKS US Equity","BS_INVENTORIES","1993-06-18","2026-05-02","Per=Y","Days=T","Dir=V")</f>
        <v>0</v>
      </c>
      <c r="W2">
        <f>BDH("SWKS US Equity","WORKING_CAPITAL","1993-06-18","2026-05-02","Per=Y","Days=T","Dir=V")</f>
        <v>0</v>
      </c>
      <c r="Y2">
        <f>BDH("SWKS US Equity","SALES_REV_TURN","1993-06-18","2026-05-02","Per=Y","Days=T","Dir=V")</f>
        <v>0</v>
      </c>
      <c r="AA2">
        <f>BDH("SWKS US Equity","EBIT","1993-06-18","2026-05-02","Per=Y","Days=T","Dir=V")</f>
        <v>0</v>
      </c>
      <c r="AC2">
        <f>BDH("SWKS US Equity","EBITDA","1993-06-18","2026-05-02","Per=Y","Days=T","Dir=V")</f>
        <v>0</v>
      </c>
      <c r="AE2">
        <f>BDH("SWKS US Equity","NET_INCOME","1993-06-18","2026-05-02","Per=Y","Days=T","Dir=V")</f>
        <v>0</v>
      </c>
      <c r="AG2">
        <f>BDH("SWKS US Equity","IS_INT_EXPENSE","1993-06-18","2026-05-02","Per=Y","Days=T","Dir=V")</f>
        <v>0</v>
      </c>
      <c r="AI2">
        <f>BDH("SWKS US Equity","IS_DEPR_EXP","1993-06-18","2026-05-02","Per=Y","Days=T","Dir=V")</f>
        <v>0</v>
      </c>
      <c r="AK2">
        <f>BDH("SWKS US Equity","CF_CASH_FROM_OPER","1993-06-18","2026-05-02","Per=Y","Days=T","Dir=V")</f>
        <v>0</v>
      </c>
      <c r="AM2">
        <f>BDH("SWKS US Equity","CAPITAL_EXPEND","1993-06-18","2026-05-02","Per=Y","Days=T","Dir=V")</f>
        <v>0</v>
      </c>
      <c r="AO2">
        <f>BDH("SWKS US Equity","CF_FREE_CASH_FLOW","1993-06-18","2026-05-02","Per=Y","Days=T","Dir=V")</f>
        <v>0</v>
      </c>
      <c r="AQ2">
        <f>BDH("SWKS US Equity","PX_LAST","1993-06-18","2026-05-02","Per=M","Days=T","Dir=V")</f>
        <v>0</v>
      </c>
      <c r="AS2">
        <f>BDH("SWKS US Equity","CUR_MKT_CAP","1993-06-18","2026-05-02","Per=M","Days=T","Dir=V")</f>
        <v>0</v>
      </c>
      <c r="AU2">
        <f>BDH("SWKS US Equity","EQY_SH_OUT","1993-06-18","2026-05-02","Per=M","Days=T","Dir=V")</f>
        <v>0</v>
      </c>
      <c r="AW2">
        <f>BDH("SWKS US Equity","PX_VOLUME","1993-06-18","2026-05-02","Per=M","Days=T","Dir=V")</f>
        <v>0</v>
      </c>
      <c r="AY2">
        <f>BDH("SWKS US Equity","TURNOVER","1993-06-18","2026-05-02","Per=M","Days=T","Dir=V")</f>
        <v>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BDH("SWMR US Equity","BS_TOT_ASSET","1993-06-18","2026-05-02","Per=Y","Days=T","Dir=V")</f>
        <v>0</v>
      </c>
      <c r="C2">
        <f>BDH("SWMR US Equity","BS_TOT_LIAB2","1993-06-18","2026-05-02","Per=Y","Days=T","Dir=V")</f>
        <v>0</v>
      </c>
      <c r="E2">
        <f>BDH("SWMR US Equity","SHORT_AND_LONG_TERM_DEBT","1993-06-18","2026-05-02","Per=Y","Days=T","Dir=V")</f>
        <v>0</v>
      </c>
      <c r="G2">
        <f>BDH("SWMR US Equity","BS_ST_BORROW","1993-06-18","2026-05-02","Per=Y","Days=T","Dir=V")</f>
        <v>0</v>
      </c>
      <c r="I2">
        <f>BDH("SWMR US Equity","BS_LT_BORROW","1993-06-18","2026-05-02","Per=Y","Days=T","Dir=V")</f>
        <v>0</v>
      </c>
      <c r="K2">
        <f>BDH("SWMR US Equity","BS_CASH_NEAR_CASH_ITEM","1993-06-18","2026-05-02","Per=Y","Days=T","Dir=V")</f>
        <v>0</v>
      </c>
      <c r="M2">
        <f>BDH("SWMR US Equity","BS_CUR_ASSET_REPORT","1993-06-18","2026-05-02","Per=Y","Days=T","Dir=V")</f>
        <v>0</v>
      </c>
      <c r="O2">
        <f>BDH("SWMR US Equity","BS_CUR_LIAB","1993-06-18","2026-05-02","Per=Y","Days=T","Dir=V")</f>
        <v>0</v>
      </c>
      <c r="Q2">
        <f>BDH("SWMR US Equity","BS_SHAREHOLDER_EQY_ENDING_PERIOD","1993-06-18","2026-05-02","Per=Y","Days=T","Dir=V")</f>
        <v>0</v>
      </c>
      <c r="S2">
        <f>BDH("SWMR US Equity","BS_ACCT_NOTE_RCV","1993-06-18","2026-05-02","Per=Y","Days=T","Dir=V")</f>
        <v>0</v>
      </c>
      <c r="U2">
        <f>BDH("SWMR US Equity","BS_INVENTORIES","1993-06-18","2026-05-02","Per=Y","Days=T","Dir=V")</f>
        <v>0</v>
      </c>
      <c r="W2">
        <f>BDH("SWMR US Equity","WORKING_CAPITAL","1993-06-18","2026-05-02","Per=Y","Days=T","Dir=V")</f>
        <v>0</v>
      </c>
      <c r="Y2">
        <f>BDH("SWMR US Equity","SALES_REV_TURN","1993-06-18","2026-05-02","Per=Y","Days=T","Dir=V")</f>
        <v>0</v>
      </c>
      <c r="AA2">
        <f>BDH("SWMR US Equity","EBIT","1993-06-18","2026-05-02","Per=Y","Days=T","Dir=V")</f>
        <v>0</v>
      </c>
      <c r="AC2">
        <f>BDH("SWMR US Equity","EBITDA","1993-06-18","2026-05-02","Per=Y","Days=T","Dir=V")</f>
        <v>0</v>
      </c>
      <c r="AE2">
        <f>BDH("SWMR US Equity","NET_INCOME","1993-06-18","2026-05-02","Per=Y","Days=T","Dir=V")</f>
        <v>0</v>
      </c>
      <c r="AG2">
        <f>BDH("SWMR US Equity","IS_INT_EXPENSE","1993-06-18","2026-05-02","Per=Y","Days=T","Dir=V")</f>
        <v>0</v>
      </c>
      <c r="AI2">
        <f>BDH("SWMR US Equity","IS_DEPR_EXP","1993-06-18","2026-05-02","Per=Y","Days=T","Dir=V")</f>
        <v>0</v>
      </c>
      <c r="AK2">
        <f>BDH("SWMR US Equity","CF_CASH_FROM_OPER","1993-06-18","2026-05-02","Per=Y","Days=T","Dir=V")</f>
        <v>0</v>
      </c>
      <c r="AM2">
        <f>BDH("SWMR US Equity","CAPITAL_EXPEND","1993-06-18","2026-05-02","Per=Y","Days=T","Dir=V")</f>
        <v>0</v>
      </c>
      <c r="AO2">
        <f>BDH("SWMR US Equity","CF_FREE_CASH_FLOW","1993-06-18","2026-05-02","Per=Y","Days=T","Dir=V")</f>
        <v>0</v>
      </c>
      <c r="AQ2">
        <f>BDH("SWMR US Equity","PX_LAST","1993-06-18","2026-05-02","Per=M","Days=T","Dir=V")</f>
        <v>0</v>
      </c>
      <c r="AS2">
        <f>BDH("SWMR US Equity","CUR_MKT_CAP","1993-06-18","2026-05-02","Per=M","Days=T","Dir=V")</f>
        <v>0</v>
      </c>
      <c r="AU2">
        <f>BDH("SWMR US Equity","EQY_SH_OUT","1993-06-18","2026-05-02","Per=M","Days=T","Dir=V")</f>
        <v>0</v>
      </c>
      <c r="AW2">
        <f>BDH("SWMR US Equity","PX_VOLUME","1993-06-18","2026-05-02","Per=M","Days=T","Dir=V")</f>
        <v>0</v>
      </c>
      <c r="AY2">
        <f>BDH("SWMR US Equity","TURNOVER","1993-06-18","2026-05-02","Per=M","Days=T","Dir=V")</f>
        <v>0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BDH("SWX US Equity","BS_TOT_ASSET","1993-06-18","2026-05-02","Per=Y","Days=T","Dir=V")</f>
        <v>0</v>
      </c>
      <c r="C2">
        <f>BDH("SWX US Equity","BS_TOT_LIAB2","1993-06-18","2026-05-02","Per=Y","Days=T","Dir=V")</f>
        <v>0</v>
      </c>
      <c r="E2">
        <f>BDH("SWX US Equity","SHORT_AND_LONG_TERM_DEBT","1993-06-18","2026-05-02","Per=Y","Days=T","Dir=V")</f>
        <v>0</v>
      </c>
      <c r="G2">
        <f>BDH("SWX US Equity","BS_ST_BORROW","1993-06-18","2026-05-02","Per=Y","Days=T","Dir=V")</f>
        <v>0</v>
      </c>
      <c r="I2">
        <f>BDH("SWX US Equity","BS_LT_BORROW","1993-06-18","2026-05-02","Per=Y","Days=T","Dir=V")</f>
        <v>0</v>
      </c>
      <c r="K2">
        <f>BDH("SWX US Equity","BS_CASH_NEAR_CASH_ITEM","1993-06-18","2026-05-02","Per=Y","Days=T","Dir=V")</f>
        <v>0</v>
      </c>
      <c r="M2">
        <f>BDH("SWX US Equity","BS_CUR_ASSET_REPORT","1993-06-18","2026-05-02","Per=Y","Days=T","Dir=V")</f>
        <v>0</v>
      </c>
      <c r="O2">
        <f>BDH("SWX US Equity","BS_CUR_LIAB","1993-06-18","2026-05-02","Per=Y","Days=T","Dir=V")</f>
        <v>0</v>
      </c>
      <c r="Q2">
        <f>BDH("SWX US Equity","BS_SHAREHOLDER_EQY_ENDING_PERIOD","1993-06-18","2026-05-02","Per=Y","Days=T","Dir=V")</f>
        <v>0</v>
      </c>
      <c r="S2">
        <f>BDH("SWX US Equity","BS_ACCT_NOTE_RCV","1993-06-18","2026-05-02","Per=Y","Days=T","Dir=V")</f>
        <v>0</v>
      </c>
      <c r="U2">
        <f>BDH("SWX US Equity","BS_INVENTORIES","1993-06-18","2026-05-02","Per=Y","Days=T","Dir=V")</f>
        <v>0</v>
      </c>
      <c r="W2">
        <f>BDH("SWX US Equity","WORKING_CAPITAL","1993-06-18","2026-05-02","Per=Y","Days=T","Dir=V")</f>
        <v>0</v>
      </c>
      <c r="Y2">
        <f>BDH("SWX US Equity","SALES_REV_TURN","1993-06-18","2026-05-02","Per=Y","Days=T","Dir=V")</f>
        <v>0</v>
      </c>
      <c r="AA2">
        <f>BDH("SWX US Equity","EBIT","1993-06-18","2026-05-02","Per=Y","Days=T","Dir=V")</f>
        <v>0</v>
      </c>
      <c r="AC2">
        <f>BDH("SWX US Equity","EBITDA","1993-06-18","2026-05-02","Per=Y","Days=T","Dir=V")</f>
        <v>0</v>
      </c>
      <c r="AE2">
        <f>BDH("SWX US Equity","NET_INCOME","1993-06-18","2026-05-02","Per=Y","Days=T","Dir=V")</f>
        <v>0</v>
      </c>
      <c r="AG2">
        <f>BDH("SWX US Equity","IS_INT_EXPENSE","1993-06-18","2026-05-02","Per=Y","Days=T","Dir=V")</f>
        <v>0</v>
      </c>
      <c r="AI2">
        <f>BDH("SWX US Equity","IS_DEPR_EXP","1993-06-18","2026-05-02","Per=Y","Days=T","Dir=V")</f>
        <v>0</v>
      </c>
      <c r="AK2">
        <f>BDH("SWX US Equity","CF_CASH_FROM_OPER","1993-06-18","2026-05-02","Per=Y","Days=T","Dir=V")</f>
        <v>0</v>
      </c>
      <c r="AM2">
        <f>BDH("SWX US Equity","CAPITAL_EXPEND","1993-06-18","2026-05-02","Per=Y","Days=T","Dir=V")</f>
        <v>0</v>
      </c>
      <c r="AO2">
        <f>BDH("SWX US Equity","CF_FREE_CASH_FLOW","1993-06-18","2026-05-02","Per=Y","Days=T","Dir=V")</f>
        <v>0</v>
      </c>
      <c r="AQ2">
        <f>BDH("SWX US Equity","PX_LAST","1993-06-18","2026-05-02","Per=M","Days=T","Dir=V")</f>
        <v>0</v>
      </c>
      <c r="AS2">
        <f>BDH("SWX US Equity","CUR_MKT_CAP","1993-06-18","2026-05-02","Per=M","Days=T","Dir=V")</f>
        <v>0</v>
      </c>
      <c r="AU2">
        <f>BDH("SWX US Equity","EQY_SH_OUT","1993-06-18","2026-05-02","Per=M","Days=T","Dir=V")</f>
        <v>0</v>
      </c>
      <c r="AW2">
        <f>BDH("SWX US Equity","PX_VOLUME","1993-06-18","2026-05-02","Per=M","Days=T","Dir=V")</f>
        <v>0</v>
      </c>
      <c r="AY2">
        <f>BDH("SWX US Equity","TURNOVER","1993-06-18","2026-05-02","Per=M","Days=T","Dir=V")</f>
        <v>0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BDH("SXC US Equity","BS_TOT_ASSET","1993-06-18","2026-05-02","Per=Y","Days=T","Dir=V")</f>
        <v>0</v>
      </c>
      <c r="C2">
        <f>BDH("SXC US Equity","BS_TOT_LIAB2","1993-06-18","2026-05-02","Per=Y","Days=T","Dir=V")</f>
        <v>0</v>
      </c>
      <c r="E2">
        <f>BDH("SXC US Equity","SHORT_AND_LONG_TERM_DEBT","1993-06-18","2026-05-02","Per=Y","Days=T","Dir=V")</f>
        <v>0</v>
      </c>
      <c r="G2">
        <f>BDH("SXC US Equity","BS_ST_BORROW","1993-06-18","2026-05-02","Per=Y","Days=T","Dir=V")</f>
        <v>0</v>
      </c>
      <c r="I2">
        <f>BDH("SXC US Equity","BS_LT_BORROW","1993-06-18","2026-05-02","Per=Y","Days=T","Dir=V")</f>
        <v>0</v>
      </c>
      <c r="K2">
        <f>BDH("SXC US Equity","BS_CASH_NEAR_CASH_ITEM","1993-06-18","2026-05-02","Per=Y","Days=T","Dir=V")</f>
        <v>0</v>
      </c>
      <c r="M2">
        <f>BDH("SXC US Equity","BS_CUR_ASSET_REPORT","1993-06-18","2026-05-02","Per=Y","Days=T","Dir=V")</f>
        <v>0</v>
      </c>
      <c r="O2">
        <f>BDH("SXC US Equity","BS_CUR_LIAB","1993-06-18","2026-05-02","Per=Y","Days=T","Dir=V")</f>
        <v>0</v>
      </c>
      <c r="Q2">
        <f>BDH("SXC US Equity","BS_SHAREHOLDER_EQY_ENDING_PERIOD","1993-06-18","2026-05-02","Per=Y","Days=T","Dir=V")</f>
        <v>0</v>
      </c>
      <c r="S2">
        <f>BDH("SXC US Equity","BS_ACCT_NOTE_RCV","1993-06-18","2026-05-02","Per=Y","Days=T","Dir=V")</f>
        <v>0</v>
      </c>
      <c r="U2">
        <f>BDH("SXC US Equity","BS_INVENTORIES","1993-06-18","2026-05-02","Per=Y","Days=T","Dir=V")</f>
        <v>0</v>
      </c>
      <c r="W2">
        <f>BDH("SXC US Equity","WORKING_CAPITAL","1993-06-18","2026-05-02","Per=Y","Days=T","Dir=V")</f>
        <v>0</v>
      </c>
      <c r="Y2">
        <f>BDH("SXC US Equity","SALES_REV_TURN","1993-06-18","2026-05-02","Per=Y","Days=T","Dir=V")</f>
        <v>0</v>
      </c>
      <c r="AA2">
        <f>BDH("SXC US Equity","EBIT","1993-06-18","2026-05-02","Per=Y","Days=T","Dir=V")</f>
        <v>0</v>
      </c>
      <c r="AC2">
        <f>BDH("SXC US Equity","EBITDA","1993-06-18","2026-05-02","Per=Y","Days=T","Dir=V")</f>
        <v>0</v>
      </c>
      <c r="AE2">
        <f>BDH("SXC US Equity","NET_INCOME","1993-06-18","2026-05-02","Per=Y","Days=T","Dir=V")</f>
        <v>0</v>
      </c>
      <c r="AG2">
        <f>BDH("SXC US Equity","IS_INT_EXPENSE","1993-06-18","2026-05-02","Per=Y","Days=T","Dir=V")</f>
        <v>0</v>
      </c>
      <c r="AI2">
        <f>BDH("SXC US Equity","IS_DEPR_EXP","1993-06-18","2026-05-02","Per=Y","Days=T","Dir=V")</f>
        <v>0</v>
      </c>
      <c r="AK2">
        <f>BDH("SXC US Equity","CF_CASH_FROM_OPER","1993-06-18","2026-05-02","Per=Y","Days=T","Dir=V")</f>
        <v>0</v>
      </c>
      <c r="AM2">
        <f>BDH("SXC US Equity","CAPITAL_EXPEND","1993-06-18","2026-05-02","Per=Y","Days=T","Dir=V")</f>
        <v>0</v>
      </c>
      <c r="AO2">
        <f>BDH("SXC US Equity","CF_FREE_CASH_FLOW","1993-06-18","2026-05-02","Per=Y","Days=T","Dir=V")</f>
        <v>0</v>
      </c>
      <c r="AQ2">
        <f>BDH("SXC US Equity","PX_LAST","1993-06-18","2026-05-02","Per=M","Days=T","Dir=V")</f>
        <v>0</v>
      </c>
      <c r="AS2">
        <f>BDH("SXC US Equity","CUR_MKT_CAP","1993-06-18","2026-05-02","Per=M","Days=T","Dir=V")</f>
        <v>0</v>
      </c>
      <c r="AU2">
        <f>BDH("SXC US Equity","EQY_SH_OUT","1993-06-18","2026-05-02","Per=M","Days=T","Dir=V")</f>
        <v>0</v>
      </c>
      <c r="AW2">
        <f>BDH("SXC US Equity","PX_VOLUME","1993-06-18","2026-05-02","Per=M","Days=T","Dir=V")</f>
        <v>0</v>
      </c>
      <c r="AY2">
        <f>BDH("SXC US Equity","TURNOVER","1993-06-18","2026-05-02","Per=M","Days=T","Dir=V")</f>
        <v>0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BDH("SXI US Equity","BS_TOT_ASSET","1993-06-18","2026-05-02","Per=Y","Days=T","Dir=V")</f>
        <v>0</v>
      </c>
      <c r="C2">
        <f>BDH("SXI US Equity","BS_TOT_LIAB2","1993-06-18","2026-05-02","Per=Y","Days=T","Dir=V")</f>
        <v>0</v>
      </c>
      <c r="E2">
        <f>BDH("SXI US Equity","SHORT_AND_LONG_TERM_DEBT","1993-06-18","2026-05-02","Per=Y","Days=T","Dir=V")</f>
        <v>0</v>
      </c>
      <c r="G2">
        <f>BDH("SXI US Equity","BS_ST_BORROW","1993-06-18","2026-05-02","Per=Y","Days=T","Dir=V")</f>
        <v>0</v>
      </c>
      <c r="I2">
        <f>BDH("SXI US Equity","BS_LT_BORROW","1993-06-18","2026-05-02","Per=Y","Days=T","Dir=V")</f>
        <v>0</v>
      </c>
      <c r="K2">
        <f>BDH("SXI US Equity","BS_CASH_NEAR_CASH_ITEM","1993-06-18","2026-05-02","Per=Y","Days=T","Dir=V")</f>
        <v>0</v>
      </c>
      <c r="M2">
        <f>BDH("SXI US Equity","BS_CUR_ASSET_REPORT","1993-06-18","2026-05-02","Per=Y","Days=T","Dir=V")</f>
        <v>0</v>
      </c>
      <c r="O2">
        <f>BDH("SXI US Equity","BS_CUR_LIAB","1993-06-18","2026-05-02","Per=Y","Days=T","Dir=V")</f>
        <v>0</v>
      </c>
      <c r="Q2">
        <f>BDH("SXI US Equity","BS_SHAREHOLDER_EQY_ENDING_PERIOD","1993-06-18","2026-05-02","Per=Y","Days=T","Dir=V")</f>
        <v>0</v>
      </c>
      <c r="S2">
        <f>BDH("SXI US Equity","BS_ACCT_NOTE_RCV","1993-06-18","2026-05-02","Per=Y","Days=T","Dir=V")</f>
        <v>0</v>
      </c>
      <c r="U2">
        <f>BDH("SXI US Equity","BS_INVENTORIES","1993-06-18","2026-05-02","Per=Y","Days=T","Dir=V")</f>
        <v>0</v>
      </c>
      <c r="W2">
        <f>BDH("SXI US Equity","WORKING_CAPITAL","1993-06-18","2026-05-02","Per=Y","Days=T","Dir=V")</f>
        <v>0</v>
      </c>
      <c r="Y2">
        <f>BDH("SXI US Equity","SALES_REV_TURN","1993-06-18","2026-05-02","Per=Y","Days=T","Dir=V")</f>
        <v>0</v>
      </c>
      <c r="AA2">
        <f>BDH("SXI US Equity","EBIT","1993-06-18","2026-05-02","Per=Y","Days=T","Dir=V")</f>
        <v>0</v>
      </c>
      <c r="AC2">
        <f>BDH("SXI US Equity","EBITDA","1993-06-18","2026-05-02","Per=Y","Days=T","Dir=V")</f>
        <v>0</v>
      </c>
      <c r="AE2">
        <f>BDH("SXI US Equity","NET_INCOME","1993-06-18","2026-05-02","Per=Y","Days=T","Dir=V")</f>
        <v>0</v>
      </c>
      <c r="AG2">
        <f>BDH("SXI US Equity","IS_INT_EXPENSE","1993-06-18","2026-05-02","Per=Y","Days=T","Dir=V")</f>
        <v>0</v>
      </c>
      <c r="AI2">
        <f>BDH("SXI US Equity","IS_DEPR_EXP","1993-06-18","2026-05-02","Per=Y","Days=T","Dir=V")</f>
        <v>0</v>
      </c>
      <c r="AK2">
        <f>BDH("SXI US Equity","CF_CASH_FROM_OPER","1993-06-18","2026-05-02","Per=Y","Days=T","Dir=V")</f>
        <v>0</v>
      </c>
      <c r="AM2">
        <f>BDH("SXI US Equity","CAPITAL_EXPEND","1993-06-18","2026-05-02","Per=Y","Days=T","Dir=V")</f>
        <v>0</v>
      </c>
      <c r="AO2">
        <f>BDH("SXI US Equity","CF_FREE_CASH_FLOW","1993-06-18","2026-05-02","Per=Y","Days=T","Dir=V")</f>
        <v>0</v>
      </c>
      <c r="AQ2">
        <f>BDH("SXI US Equity","PX_LAST","1993-06-18","2026-05-02","Per=M","Days=T","Dir=V")</f>
        <v>0</v>
      </c>
      <c r="AS2">
        <f>BDH("SXI US Equity","CUR_MKT_CAP","1993-06-18","2026-05-02","Per=M","Days=T","Dir=V")</f>
        <v>0</v>
      </c>
      <c r="AU2">
        <f>BDH("SXI US Equity","EQY_SH_OUT","1993-06-18","2026-05-02","Per=M","Days=T","Dir=V")</f>
        <v>0</v>
      </c>
      <c r="AW2">
        <f>BDH("SXI US Equity","PX_VOLUME","1993-06-18","2026-05-02","Per=M","Days=T","Dir=V")</f>
        <v>0</v>
      </c>
      <c r="AY2">
        <f>BDH("SXI US Equity","TURNOVER","1993-06-18","2026-05-02","Per=M","Days=T","Dir=V")</f>
        <v>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BDH("SXT US Equity","BS_TOT_ASSET","1993-06-18","2026-05-02","Per=Y","Days=T","Dir=V")</f>
        <v>0</v>
      </c>
      <c r="C2">
        <f>BDH("SXT US Equity","BS_TOT_LIAB2","1993-06-18","2026-05-02","Per=Y","Days=T","Dir=V")</f>
        <v>0</v>
      </c>
      <c r="E2">
        <f>BDH("SXT US Equity","SHORT_AND_LONG_TERM_DEBT","1993-06-18","2026-05-02","Per=Y","Days=T","Dir=V")</f>
        <v>0</v>
      </c>
      <c r="G2">
        <f>BDH("SXT US Equity","BS_ST_BORROW","1993-06-18","2026-05-02","Per=Y","Days=T","Dir=V")</f>
        <v>0</v>
      </c>
      <c r="I2">
        <f>BDH("SXT US Equity","BS_LT_BORROW","1993-06-18","2026-05-02","Per=Y","Days=T","Dir=V")</f>
        <v>0</v>
      </c>
      <c r="K2">
        <f>BDH("SXT US Equity","BS_CASH_NEAR_CASH_ITEM","1993-06-18","2026-05-02","Per=Y","Days=T","Dir=V")</f>
        <v>0</v>
      </c>
      <c r="M2">
        <f>BDH("SXT US Equity","BS_CUR_ASSET_REPORT","1993-06-18","2026-05-02","Per=Y","Days=T","Dir=V")</f>
        <v>0</v>
      </c>
      <c r="O2">
        <f>BDH("SXT US Equity","BS_CUR_LIAB","1993-06-18","2026-05-02","Per=Y","Days=T","Dir=V")</f>
        <v>0</v>
      </c>
      <c r="Q2">
        <f>BDH("SXT US Equity","BS_SHAREHOLDER_EQY_ENDING_PERIOD","1993-06-18","2026-05-02","Per=Y","Days=T","Dir=V")</f>
        <v>0</v>
      </c>
      <c r="S2">
        <f>BDH("SXT US Equity","BS_ACCT_NOTE_RCV","1993-06-18","2026-05-02","Per=Y","Days=T","Dir=V")</f>
        <v>0</v>
      </c>
      <c r="U2">
        <f>BDH("SXT US Equity","BS_INVENTORIES","1993-06-18","2026-05-02","Per=Y","Days=T","Dir=V")</f>
        <v>0</v>
      </c>
      <c r="W2">
        <f>BDH("SXT US Equity","WORKING_CAPITAL","1993-06-18","2026-05-02","Per=Y","Days=T","Dir=V")</f>
        <v>0</v>
      </c>
      <c r="Y2">
        <f>BDH("SXT US Equity","SALES_REV_TURN","1993-06-18","2026-05-02","Per=Y","Days=T","Dir=V")</f>
        <v>0</v>
      </c>
      <c r="AA2">
        <f>BDH("SXT US Equity","EBIT","1993-06-18","2026-05-02","Per=Y","Days=T","Dir=V")</f>
        <v>0</v>
      </c>
      <c r="AC2">
        <f>BDH("SXT US Equity","EBITDA","1993-06-18","2026-05-02","Per=Y","Days=T","Dir=V")</f>
        <v>0</v>
      </c>
      <c r="AE2">
        <f>BDH("SXT US Equity","NET_INCOME","1993-06-18","2026-05-02","Per=Y","Days=T","Dir=V")</f>
        <v>0</v>
      </c>
      <c r="AG2">
        <f>BDH("SXT US Equity","IS_INT_EXPENSE","1993-06-18","2026-05-02","Per=Y","Days=T","Dir=V")</f>
        <v>0</v>
      </c>
      <c r="AI2">
        <f>BDH("SXT US Equity","IS_DEPR_EXP","1993-06-18","2026-05-02","Per=Y","Days=T","Dir=V")</f>
        <v>0</v>
      </c>
      <c r="AK2">
        <f>BDH("SXT US Equity","CF_CASH_FROM_OPER","1993-06-18","2026-05-02","Per=Y","Days=T","Dir=V")</f>
        <v>0</v>
      </c>
      <c r="AM2">
        <f>BDH("SXT US Equity","CAPITAL_EXPEND","1993-06-18","2026-05-02","Per=Y","Days=T","Dir=V")</f>
        <v>0</v>
      </c>
      <c r="AO2">
        <f>BDH("SXT US Equity","CF_FREE_CASH_FLOW","1993-06-18","2026-05-02","Per=Y","Days=T","Dir=V")</f>
        <v>0</v>
      </c>
      <c r="AQ2">
        <f>BDH("SXT US Equity","PX_LAST","1993-06-18","2026-05-02","Per=M","Days=T","Dir=V")</f>
        <v>0</v>
      </c>
      <c r="AS2">
        <f>BDH("SXT US Equity","CUR_MKT_CAP","1993-06-18","2026-05-02","Per=M","Days=T","Dir=V")</f>
        <v>0</v>
      </c>
      <c r="AU2">
        <f>BDH("SXT US Equity","EQY_SH_OUT","1993-06-18","2026-05-02","Per=M","Days=T","Dir=V")</f>
        <v>0</v>
      </c>
      <c r="AW2">
        <f>BDH("SXT US Equity","PX_VOLUME","1993-06-18","2026-05-02","Per=M","Days=T","Dir=V")</f>
        <v>0</v>
      </c>
      <c r="AY2">
        <f>BDH("SXT US Equity","TURNOVER","1993-06-18","2026-05-02","Per=M","Days=T","Dir=V")</f>
        <v>0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BDH("SXTP US Equity","BS_TOT_ASSET","1993-06-18","2026-05-02","Per=Y","Days=T","Dir=V")</f>
        <v>0</v>
      </c>
      <c r="C2">
        <f>BDH("SXTP US Equity","BS_TOT_LIAB2","1993-06-18","2026-05-02","Per=Y","Days=T","Dir=V")</f>
        <v>0</v>
      </c>
      <c r="E2">
        <f>BDH("SXTP US Equity","SHORT_AND_LONG_TERM_DEBT","1993-06-18","2026-05-02","Per=Y","Days=T","Dir=V")</f>
        <v>0</v>
      </c>
      <c r="G2">
        <f>BDH("SXTP US Equity","BS_ST_BORROW","1993-06-18","2026-05-02","Per=Y","Days=T","Dir=V")</f>
        <v>0</v>
      </c>
      <c r="I2">
        <f>BDH("SXTP US Equity","BS_LT_BORROW","1993-06-18","2026-05-02","Per=Y","Days=T","Dir=V")</f>
        <v>0</v>
      </c>
      <c r="K2">
        <f>BDH("SXTP US Equity","BS_CASH_NEAR_CASH_ITEM","1993-06-18","2026-05-02","Per=Y","Days=T","Dir=V")</f>
        <v>0</v>
      </c>
      <c r="M2">
        <f>BDH("SXTP US Equity","BS_CUR_ASSET_REPORT","1993-06-18","2026-05-02","Per=Y","Days=T","Dir=V")</f>
        <v>0</v>
      </c>
      <c r="O2">
        <f>BDH("SXTP US Equity","BS_CUR_LIAB","1993-06-18","2026-05-02","Per=Y","Days=T","Dir=V")</f>
        <v>0</v>
      </c>
      <c r="Q2">
        <f>BDH("SXTP US Equity","BS_SHAREHOLDER_EQY_ENDING_PERIOD","1993-06-18","2026-05-02","Per=Y","Days=T","Dir=V")</f>
        <v>0</v>
      </c>
      <c r="S2">
        <f>BDH("SXTP US Equity","BS_ACCT_NOTE_RCV","1993-06-18","2026-05-02","Per=Y","Days=T","Dir=V")</f>
        <v>0</v>
      </c>
      <c r="U2">
        <f>BDH("SXTP US Equity","BS_INVENTORIES","1993-06-18","2026-05-02","Per=Y","Days=T","Dir=V")</f>
        <v>0</v>
      </c>
      <c r="W2">
        <f>BDH("SXTP US Equity","WORKING_CAPITAL","1993-06-18","2026-05-02","Per=Y","Days=T","Dir=V")</f>
        <v>0</v>
      </c>
      <c r="Y2">
        <f>BDH("SXTP US Equity","SALES_REV_TURN","1993-06-18","2026-05-02","Per=Y","Days=T","Dir=V")</f>
        <v>0</v>
      </c>
      <c r="AA2">
        <f>BDH("SXTP US Equity","EBIT","1993-06-18","2026-05-02","Per=Y","Days=T","Dir=V")</f>
        <v>0</v>
      </c>
      <c r="AC2">
        <f>BDH("SXTP US Equity","EBITDA","1993-06-18","2026-05-02","Per=Y","Days=T","Dir=V")</f>
        <v>0</v>
      </c>
      <c r="AE2">
        <f>BDH("SXTP US Equity","NET_INCOME","1993-06-18","2026-05-02","Per=Y","Days=T","Dir=V")</f>
        <v>0</v>
      </c>
      <c r="AG2">
        <f>BDH("SXTP US Equity","IS_INT_EXPENSE","1993-06-18","2026-05-02","Per=Y","Days=T","Dir=V")</f>
        <v>0</v>
      </c>
      <c r="AI2">
        <f>BDH("SXTP US Equity","IS_DEPR_EXP","1993-06-18","2026-05-02","Per=Y","Days=T","Dir=V")</f>
        <v>0</v>
      </c>
      <c r="AK2">
        <f>BDH("SXTP US Equity","CF_CASH_FROM_OPER","1993-06-18","2026-05-02","Per=Y","Days=T","Dir=V")</f>
        <v>0</v>
      </c>
      <c r="AM2">
        <f>BDH("SXTP US Equity","CAPITAL_EXPEND","1993-06-18","2026-05-02","Per=Y","Days=T","Dir=V")</f>
        <v>0</v>
      </c>
      <c r="AO2">
        <f>BDH("SXTP US Equity","CF_FREE_CASH_FLOW","1993-06-18","2026-05-02","Per=Y","Days=T","Dir=V")</f>
        <v>0</v>
      </c>
      <c r="AQ2">
        <f>BDH("SXTP US Equity","PX_LAST","1993-06-18","2026-05-02","Per=M","Days=T","Dir=V")</f>
        <v>0</v>
      </c>
      <c r="AS2">
        <f>BDH("SXTP US Equity","CUR_MKT_CAP","1993-06-18","2026-05-02","Per=M","Days=T","Dir=V")</f>
        <v>0</v>
      </c>
      <c r="AU2">
        <f>BDH("SXTP US Equity","EQY_SH_OUT","1993-06-18","2026-05-02","Per=M","Days=T","Dir=V")</f>
        <v>0</v>
      </c>
      <c r="AW2">
        <f>BDH("SXTP US Equity","PX_VOLUME","1993-06-18","2026-05-02","Per=M","Days=T","Dir=V")</f>
        <v>0</v>
      </c>
      <c r="AY2">
        <f>BDH("SXTP US Equity","TURNOVER","1993-06-18","2026-05-02","Per=M","Days=T","Dir=V")</f>
        <v>0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BDH("SXTPW US Equity","BS_TOT_ASSET","1993-06-18","2026-05-02","Per=Y","Days=T","Dir=V")</f>
        <v>0</v>
      </c>
      <c r="C2">
        <f>BDH("SXTPW US Equity","BS_TOT_LIAB2","1993-06-18","2026-05-02","Per=Y","Days=T","Dir=V")</f>
        <v>0</v>
      </c>
      <c r="E2">
        <f>BDH("SXTPW US Equity","SHORT_AND_LONG_TERM_DEBT","1993-06-18","2026-05-02","Per=Y","Days=T","Dir=V")</f>
        <v>0</v>
      </c>
      <c r="G2">
        <f>BDH("SXTPW US Equity","BS_ST_BORROW","1993-06-18","2026-05-02","Per=Y","Days=T","Dir=V")</f>
        <v>0</v>
      </c>
      <c r="I2">
        <f>BDH("SXTPW US Equity","BS_LT_BORROW","1993-06-18","2026-05-02","Per=Y","Days=T","Dir=V")</f>
        <v>0</v>
      </c>
      <c r="K2">
        <f>BDH("SXTPW US Equity","BS_CASH_NEAR_CASH_ITEM","1993-06-18","2026-05-02","Per=Y","Days=T","Dir=V")</f>
        <v>0</v>
      </c>
      <c r="M2">
        <f>BDH("SXTPW US Equity","BS_CUR_ASSET_REPORT","1993-06-18","2026-05-02","Per=Y","Days=T","Dir=V")</f>
        <v>0</v>
      </c>
      <c r="O2">
        <f>BDH("SXTPW US Equity","BS_CUR_LIAB","1993-06-18","2026-05-02","Per=Y","Days=T","Dir=V")</f>
        <v>0</v>
      </c>
      <c r="Q2">
        <f>BDH("SXTPW US Equity","BS_SHAREHOLDER_EQY_ENDING_PERIOD","1993-06-18","2026-05-02","Per=Y","Days=T","Dir=V")</f>
        <v>0</v>
      </c>
      <c r="S2">
        <f>BDH("SXTPW US Equity","BS_ACCT_NOTE_RCV","1993-06-18","2026-05-02","Per=Y","Days=T","Dir=V")</f>
        <v>0</v>
      </c>
      <c r="U2">
        <f>BDH("SXTPW US Equity","BS_INVENTORIES","1993-06-18","2026-05-02","Per=Y","Days=T","Dir=V")</f>
        <v>0</v>
      </c>
      <c r="W2">
        <f>BDH("SXTPW US Equity","WORKING_CAPITAL","1993-06-18","2026-05-02","Per=Y","Days=T","Dir=V")</f>
        <v>0</v>
      </c>
      <c r="Y2">
        <f>BDH("SXTPW US Equity","SALES_REV_TURN","1993-06-18","2026-05-02","Per=Y","Days=T","Dir=V")</f>
        <v>0</v>
      </c>
      <c r="AA2">
        <f>BDH("SXTPW US Equity","EBIT","1993-06-18","2026-05-02","Per=Y","Days=T","Dir=V")</f>
        <v>0</v>
      </c>
      <c r="AC2">
        <f>BDH("SXTPW US Equity","EBITDA","1993-06-18","2026-05-02","Per=Y","Days=T","Dir=V")</f>
        <v>0</v>
      </c>
      <c r="AE2">
        <f>BDH("SXTPW US Equity","NET_INCOME","1993-06-18","2026-05-02","Per=Y","Days=T","Dir=V")</f>
        <v>0</v>
      </c>
      <c r="AG2">
        <f>BDH("SXTPW US Equity","IS_INT_EXPENSE","1993-06-18","2026-05-02","Per=Y","Days=T","Dir=V")</f>
        <v>0</v>
      </c>
      <c r="AI2">
        <f>BDH("SXTPW US Equity","IS_DEPR_EXP","1993-06-18","2026-05-02","Per=Y","Days=T","Dir=V")</f>
        <v>0</v>
      </c>
      <c r="AK2">
        <f>BDH("SXTPW US Equity","CF_CASH_FROM_OPER","1993-06-18","2026-05-02","Per=Y","Days=T","Dir=V")</f>
        <v>0</v>
      </c>
      <c r="AM2">
        <f>BDH("SXTPW US Equity","CAPITAL_EXPEND","1993-06-18","2026-05-02","Per=Y","Days=T","Dir=V")</f>
        <v>0</v>
      </c>
      <c r="AO2">
        <f>BDH("SXTPW US Equity","CF_FREE_CASH_FLOW","1993-06-18","2026-05-02","Per=Y","Days=T","Dir=V")</f>
        <v>0</v>
      </c>
      <c r="AQ2">
        <f>BDH("SXTPW US Equity","PX_LAST","1993-06-18","2026-05-02","Per=M","Days=T","Dir=V")</f>
        <v>0</v>
      </c>
      <c r="AS2">
        <f>BDH("SXTPW US Equity","CUR_MKT_CAP","1993-06-18","2026-05-02","Per=M","Days=T","Dir=V")</f>
        <v>0</v>
      </c>
      <c r="AU2">
        <f>BDH("SXTPW US Equity","EQY_SH_OUT","1993-06-18","2026-05-02","Per=M","Days=T","Dir=V")</f>
        <v>0</v>
      </c>
      <c r="AW2">
        <f>BDH("SXTPW US Equity","PX_VOLUME","1993-06-18","2026-05-02","Per=M","Days=T","Dir=V")</f>
        <v>0</v>
      </c>
      <c r="AY2">
        <f>BDH("SXTPW US Equity","TURNOVER","1993-06-18","2026-05-02","Per=M","Days=T","Dir=V")</f>
        <v>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BDH("SYK US Equity","BS_TOT_ASSET","1993-06-18","2026-05-02","Per=Y","Days=T","Dir=V")</f>
        <v>0</v>
      </c>
      <c r="C2">
        <f>BDH("SYK US Equity","BS_TOT_LIAB2","1993-06-18","2026-05-02","Per=Y","Days=T","Dir=V")</f>
        <v>0</v>
      </c>
      <c r="E2">
        <f>BDH("SYK US Equity","SHORT_AND_LONG_TERM_DEBT","1993-06-18","2026-05-02","Per=Y","Days=T","Dir=V")</f>
        <v>0</v>
      </c>
      <c r="G2">
        <f>BDH("SYK US Equity","BS_ST_BORROW","1993-06-18","2026-05-02","Per=Y","Days=T","Dir=V")</f>
        <v>0</v>
      </c>
      <c r="I2">
        <f>BDH("SYK US Equity","BS_LT_BORROW","1993-06-18","2026-05-02","Per=Y","Days=T","Dir=V")</f>
        <v>0</v>
      </c>
      <c r="K2">
        <f>BDH("SYK US Equity","BS_CASH_NEAR_CASH_ITEM","1993-06-18","2026-05-02","Per=Y","Days=T","Dir=V")</f>
        <v>0</v>
      </c>
      <c r="M2">
        <f>BDH("SYK US Equity","BS_CUR_ASSET_REPORT","1993-06-18","2026-05-02","Per=Y","Days=T","Dir=V")</f>
        <v>0</v>
      </c>
      <c r="O2">
        <f>BDH("SYK US Equity","BS_CUR_LIAB","1993-06-18","2026-05-02","Per=Y","Days=T","Dir=V")</f>
        <v>0</v>
      </c>
      <c r="Q2">
        <f>BDH("SYK US Equity","BS_SHAREHOLDER_EQY_ENDING_PERIOD","1993-06-18","2026-05-02","Per=Y","Days=T","Dir=V")</f>
        <v>0</v>
      </c>
      <c r="S2">
        <f>BDH("SYK US Equity","BS_ACCT_NOTE_RCV","1993-06-18","2026-05-02","Per=Y","Days=T","Dir=V")</f>
        <v>0</v>
      </c>
      <c r="U2">
        <f>BDH("SYK US Equity","BS_INVENTORIES","1993-06-18","2026-05-02","Per=Y","Days=T","Dir=V")</f>
        <v>0</v>
      </c>
      <c r="W2">
        <f>BDH("SYK US Equity","WORKING_CAPITAL","1993-06-18","2026-05-02","Per=Y","Days=T","Dir=V")</f>
        <v>0</v>
      </c>
      <c r="Y2">
        <f>BDH("SYK US Equity","SALES_REV_TURN","1993-06-18","2026-05-02","Per=Y","Days=T","Dir=V")</f>
        <v>0</v>
      </c>
      <c r="AA2">
        <f>BDH("SYK US Equity","EBIT","1993-06-18","2026-05-02","Per=Y","Days=T","Dir=V")</f>
        <v>0</v>
      </c>
      <c r="AC2">
        <f>BDH("SYK US Equity","EBITDA","1993-06-18","2026-05-02","Per=Y","Days=T","Dir=V")</f>
        <v>0</v>
      </c>
      <c r="AE2">
        <f>BDH("SYK US Equity","NET_INCOME","1993-06-18","2026-05-02","Per=Y","Days=T","Dir=V")</f>
        <v>0</v>
      </c>
      <c r="AG2">
        <f>BDH("SYK US Equity","IS_INT_EXPENSE","1993-06-18","2026-05-02","Per=Y","Days=T","Dir=V")</f>
        <v>0</v>
      </c>
      <c r="AI2">
        <f>BDH("SYK US Equity","IS_DEPR_EXP","1993-06-18","2026-05-02","Per=Y","Days=T","Dir=V")</f>
        <v>0</v>
      </c>
      <c r="AK2">
        <f>BDH("SYK US Equity","CF_CASH_FROM_OPER","1993-06-18","2026-05-02","Per=Y","Days=T","Dir=V")</f>
        <v>0</v>
      </c>
      <c r="AM2">
        <f>BDH("SYK US Equity","CAPITAL_EXPEND","1993-06-18","2026-05-02","Per=Y","Days=T","Dir=V")</f>
        <v>0</v>
      </c>
      <c r="AO2">
        <f>BDH("SYK US Equity","CF_FREE_CASH_FLOW","1993-06-18","2026-05-02","Per=Y","Days=T","Dir=V")</f>
        <v>0</v>
      </c>
      <c r="AQ2">
        <f>BDH("SYK US Equity","PX_LAST","1993-06-18","2026-05-02","Per=M","Days=T","Dir=V")</f>
        <v>0</v>
      </c>
      <c r="AS2">
        <f>BDH("SYK US Equity","CUR_MKT_CAP","1993-06-18","2026-05-02","Per=M","Days=T","Dir=V")</f>
        <v>0</v>
      </c>
      <c r="AU2">
        <f>BDH("SYK US Equity","EQY_SH_OUT","1993-06-18","2026-05-02","Per=M","Days=T","Dir=V")</f>
        <v>0</v>
      </c>
      <c r="AW2">
        <f>BDH("SYK US Equity","PX_VOLUME","1993-06-18","2026-05-02","Per=M","Days=T","Dir=V")</f>
        <v>0</v>
      </c>
      <c r="AY2">
        <f>BDH("SYK US Equity","TURNOVER","1993-06-18","2026-05-02","Per=M","Days=T","Dir=V")</f>
        <v>0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BDH("SYM US Equity","BS_TOT_ASSET","1993-06-18","2026-05-02","Per=Y","Days=T","Dir=V")</f>
        <v>0</v>
      </c>
      <c r="C2">
        <f>BDH("SYM US Equity","BS_TOT_LIAB2","1993-06-18","2026-05-02","Per=Y","Days=T","Dir=V")</f>
        <v>0</v>
      </c>
      <c r="E2">
        <f>BDH("SYM US Equity","SHORT_AND_LONG_TERM_DEBT","1993-06-18","2026-05-02","Per=Y","Days=T","Dir=V")</f>
        <v>0</v>
      </c>
      <c r="G2">
        <f>BDH("SYM US Equity","BS_ST_BORROW","1993-06-18","2026-05-02","Per=Y","Days=T","Dir=V")</f>
        <v>0</v>
      </c>
      <c r="I2">
        <f>BDH("SYM US Equity","BS_LT_BORROW","1993-06-18","2026-05-02","Per=Y","Days=T","Dir=V")</f>
        <v>0</v>
      </c>
      <c r="K2">
        <f>BDH("SYM US Equity","BS_CASH_NEAR_CASH_ITEM","1993-06-18","2026-05-02","Per=Y","Days=T","Dir=V")</f>
        <v>0</v>
      </c>
      <c r="M2">
        <f>BDH("SYM US Equity","BS_CUR_ASSET_REPORT","1993-06-18","2026-05-02","Per=Y","Days=T","Dir=V")</f>
        <v>0</v>
      </c>
      <c r="O2">
        <f>BDH("SYM US Equity","BS_CUR_LIAB","1993-06-18","2026-05-02","Per=Y","Days=T","Dir=V")</f>
        <v>0</v>
      </c>
      <c r="Q2">
        <f>BDH("SYM US Equity","BS_SHAREHOLDER_EQY_ENDING_PERIOD","1993-06-18","2026-05-02","Per=Y","Days=T","Dir=V")</f>
        <v>0</v>
      </c>
      <c r="S2">
        <f>BDH("SYM US Equity","BS_ACCT_NOTE_RCV","1993-06-18","2026-05-02","Per=Y","Days=T","Dir=V")</f>
        <v>0</v>
      </c>
      <c r="U2">
        <f>BDH("SYM US Equity","BS_INVENTORIES","1993-06-18","2026-05-02","Per=Y","Days=T","Dir=V")</f>
        <v>0</v>
      </c>
      <c r="W2">
        <f>BDH("SYM US Equity","WORKING_CAPITAL","1993-06-18","2026-05-02","Per=Y","Days=T","Dir=V")</f>
        <v>0</v>
      </c>
      <c r="Y2">
        <f>BDH("SYM US Equity","SALES_REV_TURN","1993-06-18","2026-05-02","Per=Y","Days=T","Dir=V")</f>
        <v>0</v>
      </c>
      <c r="AA2">
        <f>BDH("SYM US Equity","EBIT","1993-06-18","2026-05-02","Per=Y","Days=T","Dir=V")</f>
        <v>0</v>
      </c>
      <c r="AC2">
        <f>BDH("SYM US Equity","EBITDA","1993-06-18","2026-05-02","Per=Y","Days=T","Dir=V")</f>
        <v>0</v>
      </c>
      <c r="AE2">
        <f>BDH("SYM US Equity","NET_INCOME","1993-06-18","2026-05-02","Per=Y","Days=T","Dir=V")</f>
        <v>0</v>
      </c>
      <c r="AG2">
        <f>BDH("SYM US Equity","IS_INT_EXPENSE","1993-06-18","2026-05-02","Per=Y","Days=T","Dir=V")</f>
        <v>0</v>
      </c>
      <c r="AI2">
        <f>BDH("SYM US Equity","IS_DEPR_EXP","1993-06-18","2026-05-02","Per=Y","Days=T","Dir=V")</f>
        <v>0</v>
      </c>
      <c r="AK2">
        <f>BDH("SYM US Equity","CF_CASH_FROM_OPER","1993-06-18","2026-05-02","Per=Y","Days=T","Dir=V")</f>
        <v>0</v>
      </c>
      <c r="AM2">
        <f>BDH("SYM US Equity","CAPITAL_EXPEND","1993-06-18","2026-05-02","Per=Y","Days=T","Dir=V")</f>
        <v>0</v>
      </c>
      <c r="AO2">
        <f>BDH("SYM US Equity","CF_FREE_CASH_FLOW","1993-06-18","2026-05-02","Per=Y","Days=T","Dir=V")</f>
        <v>0</v>
      </c>
      <c r="AQ2">
        <f>BDH("SYM US Equity","PX_LAST","1993-06-18","2026-05-02","Per=M","Days=T","Dir=V")</f>
        <v>0</v>
      </c>
      <c r="AS2">
        <f>BDH("SYM US Equity","CUR_MKT_CAP","1993-06-18","2026-05-02","Per=M","Days=T","Dir=V")</f>
        <v>0</v>
      </c>
      <c r="AU2">
        <f>BDH("SYM US Equity","EQY_SH_OUT","1993-06-18","2026-05-02","Per=M","Days=T","Dir=V")</f>
        <v>0</v>
      </c>
      <c r="AW2">
        <f>BDH("SYM US Equity","PX_VOLUME","1993-06-18","2026-05-02","Per=M","Days=T","Dir=V")</f>
        <v>0</v>
      </c>
      <c r="AY2">
        <f>BDH("SYM US Equity","TURNOVER","1993-06-18","2026-05-02","Per=M","Days=T","Dir=V")</f>
        <v>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BDH("SYNA US Equity","BS_TOT_ASSET","1993-06-18","2026-05-02","Per=Y","Days=T","Dir=V")</f>
        <v>0</v>
      </c>
      <c r="C2">
        <f>BDH("SYNA US Equity","BS_TOT_LIAB2","1993-06-18","2026-05-02","Per=Y","Days=T","Dir=V")</f>
        <v>0</v>
      </c>
      <c r="E2">
        <f>BDH("SYNA US Equity","SHORT_AND_LONG_TERM_DEBT","1993-06-18","2026-05-02","Per=Y","Days=T","Dir=V")</f>
        <v>0</v>
      </c>
      <c r="G2">
        <f>BDH("SYNA US Equity","BS_ST_BORROW","1993-06-18","2026-05-02","Per=Y","Days=T","Dir=V")</f>
        <v>0</v>
      </c>
      <c r="I2">
        <f>BDH("SYNA US Equity","BS_LT_BORROW","1993-06-18","2026-05-02","Per=Y","Days=T","Dir=V")</f>
        <v>0</v>
      </c>
      <c r="K2">
        <f>BDH("SYNA US Equity","BS_CASH_NEAR_CASH_ITEM","1993-06-18","2026-05-02","Per=Y","Days=T","Dir=V")</f>
        <v>0</v>
      </c>
      <c r="M2">
        <f>BDH("SYNA US Equity","BS_CUR_ASSET_REPORT","1993-06-18","2026-05-02","Per=Y","Days=T","Dir=V")</f>
        <v>0</v>
      </c>
      <c r="O2">
        <f>BDH("SYNA US Equity","BS_CUR_LIAB","1993-06-18","2026-05-02","Per=Y","Days=T","Dir=V")</f>
        <v>0</v>
      </c>
      <c r="Q2">
        <f>BDH("SYNA US Equity","BS_SHAREHOLDER_EQY_ENDING_PERIOD","1993-06-18","2026-05-02","Per=Y","Days=T","Dir=V")</f>
        <v>0</v>
      </c>
      <c r="S2">
        <f>BDH("SYNA US Equity","BS_ACCT_NOTE_RCV","1993-06-18","2026-05-02","Per=Y","Days=T","Dir=V")</f>
        <v>0</v>
      </c>
      <c r="U2">
        <f>BDH("SYNA US Equity","BS_INVENTORIES","1993-06-18","2026-05-02","Per=Y","Days=T","Dir=V")</f>
        <v>0</v>
      </c>
      <c r="W2">
        <f>BDH("SYNA US Equity","WORKING_CAPITAL","1993-06-18","2026-05-02","Per=Y","Days=T","Dir=V")</f>
        <v>0</v>
      </c>
      <c r="Y2">
        <f>BDH("SYNA US Equity","SALES_REV_TURN","1993-06-18","2026-05-02","Per=Y","Days=T","Dir=V")</f>
        <v>0</v>
      </c>
      <c r="AA2">
        <f>BDH("SYNA US Equity","EBIT","1993-06-18","2026-05-02","Per=Y","Days=T","Dir=V")</f>
        <v>0</v>
      </c>
      <c r="AC2">
        <f>BDH("SYNA US Equity","EBITDA","1993-06-18","2026-05-02","Per=Y","Days=T","Dir=V")</f>
        <v>0</v>
      </c>
      <c r="AE2">
        <f>BDH("SYNA US Equity","NET_INCOME","1993-06-18","2026-05-02","Per=Y","Days=T","Dir=V")</f>
        <v>0</v>
      </c>
      <c r="AG2">
        <f>BDH("SYNA US Equity","IS_INT_EXPENSE","1993-06-18","2026-05-02","Per=Y","Days=T","Dir=V")</f>
        <v>0</v>
      </c>
      <c r="AI2">
        <f>BDH("SYNA US Equity","IS_DEPR_EXP","1993-06-18","2026-05-02","Per=Y","Days=T","Dir=V")</f>
        <v>0</v>
      </c>
      <c r="AK2">
        <f>BDH("SYNA US Equity","CF_CASH_FROM_OPER","1993-06-18","2026-05-02","Per=Y","Days=T","Dir=V")</f>
        <v>0</v>
      </c>
      <c r="AM2">
        <f>BDH("SYNA US Equity","CAPITAL_EXPEND","1993-06-18","2026-05-02","Per=Y","Days=T","Dir=V")</f>
        <v>0</v>
      </c>
      <c r="AO2">
        <f>BDH("SYNA US Equity","CF_FREE_CASH_FLOW","1993-06-18","2026-05-02","Per=Y","Days=T","Dir=V")</f>
        <v>0</v>
      </c>
      <c r="AQ2">
        <f>BDH("SYNA US Equity","PX_LAST","1993-06-18","2026-05-02","Per=M","Days=T","Dir=V")</f>
        <v>0</v>
      </c>
      <c r="AS2">
        <f>BDH("SYNA US Equity","CUR_MKT_CAP","1993-06-18","2026-05-02","Per=M","Days=T","Dir=V")</f>
        <v>0</v>
      </c>
      <c r="AU2">
        <f>BDH("SYNA US Equity","EQY_SH_OUT","1993-06-18","2026-05-02","Per=M","Days=T","Dir=V")</f>
        <v>0</v>
      </c>
      <c r="AW2">
        <f>BDH("SYNA US Equity","PX_VOLUME","1993-06-18","2026-05-02","Per=M","Days=T","Dir=V")</f>
        <v>0</v>
      </c>
      <c r="AY2">
        <f>BDH("SYNA US Equity","TURNOVER","1993-06-18","2026-05-02","Per=M","Days=T","Dir=V")</f>
        <v>0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BDH("SYPR US Equity","BS_TOT_ASSET","1993-06-18","2026-05-02","Per=Y","Days=T","Dir=V")</f>
        <v>0</v>
      </c>
      <c r="C2">
        <f>BDH("SYPR US Equity","BS_TOT_LIAB2","1993-06-18","2026-05-02","Per=Y","Days=T","Dir=V")</f>
        <v>0</v>
      </c>
      <c r="E2">
        <f>BDH("SYPR US Equity","SHORT_AND_LONG_TERM_DEBT","1993-06-18","2026-05-02","Per=Y","Days=T","Dir=V")</f>
        <v>0</v>
      </c>
      <c r="G2">
        <f>BDH("SYPR US Equity","BS_ST_BORROW","1993-06-18","2026-05-02","Per=Y","Days=T","Dir=V")</f>
        <v>0</v>
      </c>
      <c r="I2">
        <f>BDH("SYPR US Equity","BS_LT_BORROW","1993-06-18","2026-05-02","Per=Y","Days=T","Dir=V")</f>
        <v>0</v>
      </c>
      <c r="K2">
        <f>BDH("SYPR US Equity","BS_CASH_NEAR_CASH_ITEM","1993-06-18","2026-05-02","Per=Y","Days=T","Dir=V")</f>
        <v>0</v>
      </c>
      <c r="M2">
        <f>BDH("SYPR US Equity","BS_CUR_ASSET_REPORT","1993-06-18","2026-05-02","Per=Y","Days=T","Dir=V")</f>
        <v>0</v>
      </c>
      <c r="O2">
        <f>BDH("SYPR US Equity","BS_CUR_LIAB","1993-06-18","2026-05-02","Per=Y","Days=T","Dir=V")</f>
        <v>0</v>
      </c>
      <c r="Q2">
        <f>BDH("SYPR US Equity","BS_SHAREHOLDER_EQY_ENDING_PERIOD","1993-06-18","2026-05-02","Per=Y","Days=T","Dir=V")</f>
        <v>0</v>
      </c>
      <c r="S2">
        <f>BDH("SYPR US Equity","BS_ACCT_NOTE_RCV","1993-06-18","2026-05-02","Per=Y","Days=T","Dir=V")</f>
        <v>0</v>
      </c>
      <c r="U2">
        <f>BDH("SYPR US Equity","BS_INVENTORIES","1993-06-18","2026-05-02","Per=Y","Days=T","Dir=V")</f>
        <v>0</v>
      </c>
      <c r="W2">
        <f>BDH("SYPR US Equity","WORKING_CAPITAL","1993-06-18","2026-05-02","Per=Y","Days=T","Dir=V")</f>
        <v>0</v>
      </c>
      <c r="Y2">
        <f>BDH("SYPR US Equity","SALES_REV_TURN","1993-06-18","2026-05-02","Per=Y","Days=T","Dir=V")</f>
        <v>0</v>
      </c>
      <c r="AA2">
        <f>BDH("SYPR US Equity","EBIT","1993-06-18","2026-05-02","Per=Y","Days=T","Dir=V")</f>
        <v>0</v>
      </c>
      <c r="AC2">
        <f>BDH("SYPR US Equity","EBITDA","1993-06-18","2026-05-02","Per=Y","Days=T","Dir=V")</f>
        <v>0</v>
      </c>
      <c r="AE2">
        <f>BDH("SYPR US Equity","NET_INCOME","1993-06-18","2026-05-02","Per=Y","Days=T","Dir=V")</f>
        <v>0</v>
      </c>
      <c r="AG2">
        <f>BDH("SYPR US Equity","IS_INT_EXPENSE","1993-06-18","2026-05-02","Per=Y","Days=T","Dir=V")</f>
        <v>0</v>
      </c>
      <c r="AI2">
        <f>BDH("SYPR US Equity","IS_DEPR_EXP","1993-06-18","2026-05-02","Per=Y","Days=T","Dir=V")</f>
        <v>0</v>
      </c>
      <c r="AK2">
        <f>BDH("SYPR US Equity","CF_CASH_FROM_OPER","1993-06-18","2026-05-02","Per=Y","Days=T","Dir=V")</f>
        <v>0</v>
      </c>
      <c r="AM2">
        <f>BDH("SYPR US Equity","CAPITAL_EXPEND","1993-06-18","2026-05-02","Per=Y","Days=T","Dir=V")</f>
        <v>0</v>
      </c>
      <c r="AO2">
        <f>BDH("SYPR US Equity","CF_FREE_CASH_FLOW","1993-06-18","2026-05-02","Per=Y","Days=T","Dir=V")</f>
        <v>0</v>
      </c>
      <c r="AQ2">
        <f>BDH("SYPR US Equity","PX_LAST","1993-06-18","2026-05-02","Per=M","Days=T","Dir=V")</f>
        <v>0</v>
      </c>
      <c r="AS2">
        <f>BDH("SYPR US Equity","CUR_MKT_CAP","1993-06-18","2026-05-02","Per=M","Days=T","Dir=V")</f>
        <v>0</v>
      </c>
      <c r="AU2">
        <f>BDH("SYPR US Equity","EQY_SH_OUT","1993-06-18","2026-05-02","Per=M","Days=T","Dir=V")</f>
        <v>0</v>
      </c>
      <c r="AW2">
        <f>BDH("SYPR US Equity","PX_VOLUME","1993-06-18","2026-05-02","Per=M","Days=T","Dir=V")</f>
        <v>0</v>
      </c>
      <c r="AY2">
        <f>BDH("SYPR US Equity","TURNOVER","1993-06-18","2026-05-02","Per=M","Days=T","Dir=V")</f>
        <v>0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BDH("SYRE US Equity","BS_TOT_ASSET","1993-06-18","2026-05-02","Per=Y","Days=T","Dir=V")</f>
        <v>0</v>
      </c>
      <c r="C2">
        <f>BDH("SYRE US Equity","BS_TOT_LIAB2","1993-06-18","2026-05-02","Per=Y","Days=T","Dir=V")</f>
        <v>0</v>
      </c>
      <c r="E2">
        <f>BDH("SYRE US Equity","SHORT_AND_LONG_TERM_DEBT","1993-06-18","2026-05-02","Per=Y","Days=T","Dir=V")</f>
        <v>0</v>
      </c>
      <c r="G2">
        <f>BDH("SYRE US Equity","BS_ST_BORROW","1993-06-18","2026-05-02","Per=Y","Days=T","Dir=V")</f>
        <v>0</v>
      </c>
      <c r="I2">
        <f>BDH("SYRE US Equity","BS_LT_BORROW","1993-06-18","2026-05-02","Per=Y","Days=T","Dir=V")</f>
        <v>0</v>
      </c>
      <c r="K2">
        <f>BDH("SYRE US Equity","BS_CASH_NEAR_CASH_ITEM","1993-06-18","2026-05-02","Per=Y","Days=T","Dir=V")</f>
        <v>0</v>
      </c>
      <c r="M2">
        <f>BDH("SYRE US Equity","BS_CUR_ASSET_REPORT","1993-06-18","2026-05-02","Per=Y","Days=T","Dir=V")</f>
        <v>0</v>
      </c>
      <c r="O2">
        <f>BDH("SYRE US Equity","BS_CUR_LIAB","1993-06-18","2026-05-02","Per=Y","Days=T","Dir=V")</f>
        <v>0</v>
      </c>
      <c r="Q2">
        <f>BDH("SYRE US Equity","BS_SHAREHOLDER_EQY_ENDING_PERIOD","1993-06-18","2026-05-02","Per=Y","Days=T","Dir=V")</f>
        <v>0</v>
      </c>
      <c r="S2">
        <f>BDH("SYRE US Equity","BS_ACCT_NOTE_RCV","1993-06-18","2026-05-02","Per=Y","Days=T","Dir=V")</f>
        <v>0</v>
      </c>
      <c r="U2">
        <f>BDH("SYRE US Equity","BS_INVENTORIES","1993-06-18","2026-05-02","Per=Y","Days=T","Dir=V")</f>
        <v>0</v>
      </c>
      <c r="W2">
        <f>BDH("SYRE US Equity","WORKING_CAPITAL","1993-06-18","2026-05-02","Per=Y","Days=T","Dir=V")</f>
        <v>0</v>
      </c>
      <c r="Y2">
        <f>BDH("SYRE US Equity","SALES_REV_TURN","1993-06-18","2026-05-02","Per=Y","Days=T","Dir=V")</f>
        <v>0</v>
      </c>
      <c r="AA2">
        <f>BDH("SYRE US Equity","EBIT","1993-06-18","2026-05-02","Per=Y","Days=T","Dir=V")</f>
        <v>0</v>
      </c>
      <c r="AC2">
        <f>BDH("SYRE US Equity","EBITDA","1993-06-18","2026-05-02","Per=Y","Days=T","Dir=V")</f>
        <v>0</v>
      </c>
      <c r="AE2">
        <f>BDH("SYRE US Equity","NET_INCOME","1993-06-18","2026-05-02","Per=Y","Days=T","Dir=V")</f>
        <v>0</v>
      </c>
      <c r="AG2">
        <f>BDH("SYRE US Equity","IS_INT_EXPENSE","1993-06-18","2026-05-02","Per=Y","Days=T","Dir=V")</f>
        <v>0</v>
      </c>
      <c r="AI2">
        <f>BDH("SYRE US Equity","IS_DEPR_EXP","1993-06-18","2026-05-02","Per=Y","Days=T","Dir=V")</f>
        <v>0</v>
      </c>
      <c r="AK2">
        <f>BDH("SYRE US Equity","CF_CASH_FROM_OPER","1993-06-18","2026-05-02","Per=Y","Days=T","Dir=V")</f>
        <v>0</v>
      </c>
      <c r="AM2">
        <f>BDH("SYRE US Equity","CAPITAL_EXPEND","1993-06-18","2026-05-02","Per=Y","Days=T","Dir=V")</f>
        <v>0</v>
      </c>
      <c r="AO2">
        <f>BDH("SYRE US Equity","CF_FREE_CASH_FLOW","1993-06-18","2026-05-02","Per=Y","Days=T","Dir=V")</f>
        <v>0</v>
      </c>
      <c r="AQ2">
        <f>BDH("SYRE US Equity","PX_LAST","1993-06-18","2026-05-02","Per=M","Days=T","Dir=V")</f>
        <v>0</v>
      </c>
      <c r="AS2">
        <f>BDH("SYRE US Equity","CUR_MKT_CAP","1993-06-18","2026-05-02","Per=M","Days=T","Dir=V")</f>
        <v>0</v>
      </c>
      <c r="AU2">
        <f>BDH("SYRE US Equity","EQY_SH_OUT","1993-06-18","2026-05-02","Per=M","Days=T","Dir=V")</f>
        <v>0</v>
      </c>
      <c r="AW2">
        <f>BDH("SYRE US Equity","PX_VOLUME","1993-06-18","2026-05-02","Per=M","Days=T","Dir=V")</f>
        <v>0</v>
      </c>
      <c r="AY2">
        <f>BDH("SYRE US Equity","TURNOVER","1993-06-18","2026-05-02","Per=M","Days=T","Dir=V")</f>
        <v>0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BDH("SYY US Equity","BS_TOT_ASSET","1993-06-18","2026-05-02","Per=Y","Days=T","Dir=V")</f>
        <v>0</v>
      </c>
      <c r="C2">
        <f>BDH("SYY US Equity","BS_TOT_LIAB2","1993-06-18","2026-05-02","Per=Y","Days=T","Dir=V")</f>
        <v>0</v>
      </c>
      <c r="E2">
        <f>BDH("SYY US Equity","SHORT_AND_LONG_TERM_DEBT","1993-06-18","2026-05-02","Per=Y","Days=T","Dir=V")</f>
        <v>0</v>
      </c>
      <c r="G2">
        <f>BDH("SYY US Equity","BS_ST_BORROW","1993-06-18","2026-05-02","Per=Y","Days=T","Dir=V")</f>
        <v>0</v>
      </c>
      <c r="I2">
        <f>BDH("SYY US Equity","BS_LT_BORROW","1993-06-18","2026-05-02","Per=Y","Days=T","Dir=V")</f>
        <v>0</v>
      </c>
      <c r="K2">
        <f>BDH("SYY US Equity","BS_CASH_NEAR_CASH_ITEM","1993-06-18","2026-05-02","Per=Y","Days=T","Dir=V")</f>
        <v>0</v>
      </c>
      <c r="M2">
        <f>BDH("SYY US Equity","BS_CUR_ASSET_REPORT","1993-06-18","2026-05-02","Per=Y","Days=T","Dir=V")</f>
        <v>0</v>
      </c>
      <c r="O2">
        <f>BDH("SYY US Equity","BS_CUR_LIAB","1993-06-18","2026-05-02","Per=Y","Days=T","Dir=V")</f>
        <v>0</v>
      </c>
      <c r="Q2">
        <f>BDH("SYY US Equity","BS_SHAREHOLDER_EQY_ENDING_PERIOD","1993-06-18","2026-05-02","Per=Y","Days=T","Dir=V")</f>
        <v>0</v>
      </c>
      <c r="S2">
        <f>BDH("SYY US Equity","BS_ACCT_NOTE_RCV","1993-06-18","2026-05-02","Per=Y","Days=T","Dir=V")</f>
        <v>0</v>
      </c>
      <c r="U2">
        <f>BDH("SYY US Equity","BS_INVENTORIES","1993-06-18","2026-05-02","Per=Y","Days=T","Dir=V")</f>
        <v>0</v>
      </c>
      <c r="W2">
        <f>BDH("SYY US Equity","WORKING_CAPITAL","1993-06-18","2026-05-02","Per=Y","Days=T","Dir=V")</f>
        <v>0</v>
      </c>
      <c r="Y2">
        <f>BDH("SYY US Equity","SALES_REV_TURN","1993-06-18","2026-05-02","Per=Y","Days=T","Dir=V")</f>
        <v>0</v>
      </c>
      <c r="AA2">
        <f>BDH("SYY US Equity","EBIT","1993-06-18","2026-05-02","Per=Y","Days=T","Dir=V")</f>
        <v>0</v>
      </c>
      <c r="AC2">
        <f>BDH("SYY US Equity","EBITDA","1993-06-18","2026-05-02","Per=Y","Days=T","Dir=V")</f>
        <v>0</v>
      </c>
      <c r="AE2">
        <f>BDH("SYY US Equity","NET_INCOME","1993-06-18","2026-05-02","Per=Y","Days=T","Dir=V")</f>
        <v>0</v>
      </c>
      <c r="AG2">
        <f>BDH("SYY US Equity","IS_INT_EXPENSE","1993-06-18","2026-05-02","Per=Y","Days=T","Dir=V")</f>
        <v>0</v>
      </c>
      <c r="AI2">
        <f>BDH("SYY US Equity","IS_DEPR_EXP","1993-06-18","2026-05-02","Per=Y","Days=T","Dir=V")</f>
        <v>0</v>
      </c>
      <c r="AK2">
        <f>BDH("SYY US Equity","CF_CASH_FROM_OPER","1993-06-18","2026-05-02","Per=Y","Days=T","Dir=V")</f>
        <v>0</v>
      </c>
      <c r="AM2">
        <f>BDH("SYY US Equity","CAPITAL_EXPEND","1993-06-18","2026-05-02","Per=Y","Days=T","Dir=V")</f>
        <v>0</v>
      </c>
      <c r="AO2">
        <f>BDH("SYY US Equity","CF_FREE_CASH_FLOW","1993-06-18","2026-05-02","Per=Y","Days=T","Dir=V")</f>
        <v>0</v>
      </c>
      <c r="AQ2">
        <f>BDH("SYY US Equity","PX_LAST","1993-06-18","2026-05-02","Per=M","Days=T","Dir=V")</f>
        <v>0</v>
      </c>
      <c r="AS2">
        <f>BDH("SYY US Equity","CUR_MKT_CAP","1993-06-18","2026-05-02","Per=M","Days=T","Dir=V")</f>
        <v>0</v>
      </c>
      <c r="AU2">
        <f>BDH("SYY US Equity","EQY_SH_OUT","1993-06-18","2026-05-02","Per=M","Days=T","Dir=V")</f>
        <v>0</v>
      </c>
      <c r="AW2">
        <f>BDH("SYY US Equity","PX_VOLUME","1993-06-18","2026-05-02","Per=M","Days=T","Dir=V")</f>
        <v>0</v>
      </c>
      <c r="AY2">
        <f>BDH("SYY US Equity","TURNOVER","1993-06-18","2026-05-02","Per=M","Days=T","Dir=V")</f>
        <v>0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 US Equity","BS_TOT_ASSET","1993-06-18","2026-05-02","Per=Y","Days=T","Dir=V")</f>
        <v>0</v>
      </c>
      <c r="C2">
        <f>BDH("T US Equity","BS_TOT_LIAB2","1993-06-18","2026-05-02","Per=Y","Days=T","Dir=V")</f>
        <v>0</v>
      </c>
      <c r="E2">
        <f>BDH("T US Equity","SHORT_AND_LONG_TERM_DEBT","1993-06-18","2026-05-02","Per=Y","Days=T","Dir=V")</f>
        <v>0</v>
      </c>
      <c r="G2">
        <f>BDH("T US Equity","BS_ST_BORROW","1993-06-18","2026-05-02","Per=Y","Days=T","Dir=V")</f>
        <v>0</v>
      </c>
      <c r="I2">
        <f>BDH("T US Equity","BS_LT_BORROW","1993-06-18","2026-05-02","Per=Y","Days=T","Dir=V")</f>
        <v>0</v>
      </c>
      <c r="K2">
        <f>BDH("T US Equity","BS_CASH_NEAR_CASH_ITEM","1993-06-18","2026-05-02","Per=Y","Days=T","Dir=V")</f>
        <v>0</v>
      </c>
      <c r="M2">
        <f>BDH("T US Equity","BS_CUR_ASSET_REPORT","1993-06-18","2026-05-02","Per=Y","Days=T","Dir=V")</f>
        <v>0</v>
      </c>
      <c r="O2">
        <f>BDH("T US Equity","BS_CUR_LIAB","1993-06-18","2026-05-02","Per=Y","Days=T","Dir=V")</f>
        <v>0</v>
      </c>
      <c r="Q2">
        <f>BDH("T US Equity","BS_SHAREHOLDER_EQY_ENDING_PERIOD","1993-06-18","2026-05-02","Per=Y","Days=T","Dir=V")</f>
        <v>0</v>
      </c>
      <c r="S2">
        <f>BDH("T US Equity","BS_ACCT_NOTE_RCV","1993-06-18","2026-05-02","Per=Y","Days=T","Dir=V")</f>
        <v>0</v>
      </c>
      <c r="U2">
        <f>BDH("T US Equity","BS_INVENTORIES","1993-06-18","2026-05-02","Per=Y","Days=T","Dir=V")</f>
        <v>0</v>
      </c>
      <c r="W2">
        <f>BDH("T US Equity","WORKING_CAPITAL","1993-06-18","2026-05-02","Per=Y","Days=T","Dir=V")</f>
        <v>0</v>
      </c>
      <c r="Y2">
        <f>BDH("T US Equity","SALES_REV_TURN","1993-06-18","2026-05-02","Per=Y","Days=T","Dir=V")</f>
        <v>0</v>
      </c>
      <c r="AA2">
        <f>BDH("T US Equity","EBIT","1993-06-18","2026-05-02","Per=Y","Days=T","Dir=V")</f>
        <v>0</v>
      </c>
      <c r="AC2">
        <f>BDH("T US Equity","EBITDA","1993-06-18","2026-05-02","Per=Y","Days=T","Dir=V")</f>
        <v>0</v>
      </c>
      <c r="AE2">
        <f>BDH("T US Equity","NET_INCOME","1993-06-18","2026-05-02","Per=Y","Days=T","Dir=V")</f>
        <v>0</v>
      </c>
      <c r="AG2">
        <f>BDH("T US Equity","IS_INT_EXPENSE","1993-06-18","2026-05-02","Per=Y","Days=T","Dir=V")</f>
        <v>0</v>
      </c>
      <c r="AI2">
        <f>BDH("T US Equity","IS_DEPR_EXP","1993-06-18","2026-05-02","Per=Y","Days=T","Dir=V")</f>
        <v>0</v>
      </c>
      <c r="AK2">
        <f>BDH("T US Equity","CF_CASH_FROM_OPER","1993-06-18","2026-05-02","Per=Y","Days=T","Dir=V")</f>
        <v>0</v>
      </c>
      <c r="AM2">
        <f>BDH("T US Equity","CAPITAL_EXPEND","1993-06-18","2026-05-02","Per=Y","Days=T","Dir=V")</f>
        <v>0</v>
      </c>
      <c r="AO2">
        <f>BDH("T US Equity","CF_FREE_CASH_FLOW","1993-06-18","2026-05-02","Per=Y","Days=T","Dir=V")</f>
        <v>0</v>
      </c>
      <c r="AQ2">
        <f>BDH("T US Equity","PX_LAST","1993-06-18","2026-05-02","Per=M","Days=T","Dir=V")</f>
        <v>0</v>
      </c>
      <c r="AS2">
        <f>BDH("T US Equity","CUR_MKT_CAP","1993-06-18","2026-05-02","Per=M","Days=T","Dir=V")</f>
        <v>0</v>
      </c>
      <c r="AU2">
        <f>BDH("T US Equity","EQY_SH_OUT","1993-06-18","2026-05-02","Per=M","Days=T","Dir=V")</f>
        <v>0</v>
      </c>
      <c r="AW2">
        <f>BDH("T US Equity","PX_VOLUME","1993-06-18","2026-05-02","Per=M","Days=T","Dir=V")</f>
        <v>0</v>
      </c>
      <c r="AY2">
        <f>BDH("T US Equity","TURNOVER","1993-06-18","2026-05-02","Per=M","Days=T","Dir=V")</f>
        <v>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BDH("TACT US Equity","BS_TOT_ASSET","1993-06-18","2026-05-02","Per=Y","Days=T","Dir=V")</f>
        <v>0</v>
      </c>
      <c r="C2">
        <f>BDH("TACT US Equity","BS_TOT_LIAB2","1993-06-18","2026-05-02","Per=Y","Days=T","Dir=V")</f>
        <v>0</v>
      </c>
      <c r="E2">
        <f>BDH("TACT US Equity","SHORT_AND_LONG_TERM_DEBT","1993-06-18","2026-05-02","Per=Y","Days=T","Dir=V")</f>
        <v>0</v>
      </c>
      <c r="G2">
        <f>BDH("TACT US Equity","BS_ST_BORROW","1993-06-18","2026-05-02","Per=Y","Days=T","Dir=V")</f>
        <v>0</v>
      </c>
      <c r="I2">
        <f>BDH("TACT US Equity","BS_LT_BORROW","1993-06-18","2026-05-02","Per=Y","Days=T","Dir=V")</f>
        <v>0</v>
      </c>
      <c r="K2">
        <f>BDH("TACT US Equity","BS_CASH_NEAR_CASH_ITEM","1993-06-18","2026-05-02","Per=Y","Days=T","Dir=V")</f>
        <v>0</v>
      </c>
      <c r="M2">
        <f>BDH("TACT US Equity","BS_CUR_ASSET_REPORT","1993-06-18","2026-05-02","Per=Y","Days=T","Dir=V")</f>
        <v>0</v>
      </c>
      <c r="O2">
        <f>BDH("TACT US Equity","BS_CUR_LIAB","1993-06-18","2026-05-02","Per=Y","Days=T","Dir=V")</f>
        <v>0</v>
      </c>
      <c r="Q2">
        <f>BDH("TACT US Equity","BS_SHAREHOLDER_EQY_ENDING_PERIOD","1993-06-18","2026-05-02","Per=Y","Days=T","Dir=V")</f>
        <v>0</v>
      </c>
      <c r="S2">
        <f>BDH("TACT US Equity","BS_ACCT_NOTE_RCV","1993-06-18","2026-05-02","Per=Y","Days=T","Dir=V")</f>
        <v>0</v>
      </c>
      <c r="U2">
        <f>BDH("TACT US Equity","BS_INVENTORIES","1993-06-18","2026-05-02","Per=Y","Days=T","Dir=V")</f>
        <v>0</v>
      </c>
      <c r="W2">
        <f>BDH("TACT US Equity","WORKING_CAPITAL","1993-06-18","2026-05-02","Per=Y","Days=T","Dir=V")</f>
        <v>0</v>
      </c>
      <c r="Y2">
        <f>BDH("TACT US Equity","SALES_REV_TURN","1993-06-18","2026-05-02","Per=Y","Days=T","Dir=V")</f>
        <v>0</v>
      </c>
      <c r="AA2">
        <f>BDH("TACT US Equity","EBIT","1993-06-18","2026-05-02","Per=Y","Days=T","Dir=V")</f>
        <v>0</v>
      </c>
      <c r="AC2">
        <f>BDH("TACT US Equity","EBITDA","1993-06-18","2026-05-02","Per=Y","Days=T","Dir=V")</f>
        <v>0</v>
      </c>
      <c r="AE2">
        <f>BDH("TACT US Equity","NET_INCOME","1993-06-18","2026-05-02","Per=Y","Days=T","Dir=V")</f>
        <v>0</v>
      </c>
      <c r="AG2">
        <f>BDH("TACT US Equity","IS_INT_EXPENSE","1993-06-18","2026-05-02","Per=Y","Days=T","Dir=V")</f>
        <v>0</v>
      </c>
      <c r="AI2">
        <f>BDH("TACT US Equity","IS_DEPR_EXP","1993-06-18","2026-05-02","Per=Y","Days=T","Dir=V")</f>
        <v>0</v>
      </c>
      <c r="AK2">
        <f>BDH("TACT US Equity","CF_CASH_FROM_OPER","1993-06-18","2026-05-02","Per=Y","Days=T","Dir=V")</f>
        <v>0</v>
      </c>
      <c r="AM2">
        <f>BDH("TACT US Equity","CAPITAL_EXPEND","1993-06-18","2026-05-02","Per=Y","Days=T","Dir=V")</f>
        <v>0</v>
      </c>
      <c r="AO2">
        <f>BDH("TACT US Equity","CF_FREE_CASH_FLOW","1993-06-18","2026-05-02","Per=Y","Days=T","Dir=V")</f>
        <v>0</v>
      </c>
      <c r="AQ2">
        <f>BDH("TACT US Equity","PX_LAST","1993-06-18","2026-05-02","Per=M","Days=T","Dir=V")</f>
        <v>0</v>
      </c>
      <c r="AS2">
        <f>BDH("TACT US Equity","CUR_MKT_CAP","1993-06-18","2026-05-02","Per=M","Days=T","Dir=V")</f>
        <v>0</v>
      </c>
      <c r="AU2">
        <f>BDH("TACT US Equity","EQY_SH_OUT","1993-06-18","2026-05-02","Per=M","Days=T","Dir=V")</f>
        <v>0</v>
      </c>
      <c r="AW2">
        <f>BDH("TACT US Equity","PX_VOLUME","1993-06-18","2026-05-02","Per=M","Days=T","Dir=V")</f>
        <v>0</v>
      </c>
      <c r="AY2">
        <f>BDH("TACT US Equity","TURNOVER","1993-06-18","2026-05-02","Per=M","Days=T","Dir=V")</f>
        <v>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BDH("TALO US Equity","BS_TOT_ASSET","1993-06-18","2026-05-02","Per=Y","Days=T","Dir=V")</f>
        <v>0</v>
      </c>
      <c r="C2">
        <f>BDH("TALO US Equity","BS_TOT_LIAB2","1993-06-18","2026-05-02","Per=Y","Days=T","Dir=V")</f>
        <v>0</v>
      </c>
      <c r="E2">
        <f>BDH("TALO US Equity","SHORT_AND_LONG_TERM_DEBT","1993-06-18","2026-05-02","Per=Y","Days=T","Dir=V")</f>
        <v>0</v>
      </c>
      <c r="G2">
        <f>BDH("TALO US Equity","BS_ST_BORROW","1993-06-18","2026-05-02","Per=Y","Days=T","Dir=V")</f>
        <v>0</v>
      </c>
      <c r="I2">
        <f>BDH("TALO US Equity","BS_LT_BORROW","1993-06-18","2026-05-02","Per=Y","Days=T","Dir=V")</f>
        <v>0</v>
      </c>
      <c r="K2">
        <f>BDH("TALO US Equity","BS_CASH_NEAR_CASH_ITEM","1993-06-18","2026-05-02","Per=Y","Days=T","Dir=V")</f>
        <v>0</v>
      </c>
      <c r="M2">
        <f>BDH("TALO US Equity","BS_CUR_ASSET_REPORT","1993-06-18","2026-05-02","Per=Y","Days=T","Dir=V")</f>
        <v>0</v>
      </c>
      <c r="O2">
        <f>BDH("TALO US Equity","BS_CUR_LIAB","1993-06-18","2026-05-02","Per=Y","Days=T","Dir=V")</f>
        <v>0</v>
      </c>
      <c r="Q2">
        <f>BDH("TALO US Equity","BS_SHAREHOLDER_EQY_ENDING_PERIOD","1993-06-18","2026-05-02","Per=Y","Days=T","Dir=V")</f>
        <v>0</v>
      </c>
      <c r="S2">
        <f>BDH("TALO US Equity","BS_ACCT_NOTE_RCV","1993-06-18","2026-05-02","Per=Y","Days=T","Dir=V")</f>
        <v>0</v>
      </c>
      <c r="U2">
        <f>BDH("TALO US Equity","BS_INVENTORIES","1993-06-18","2026-05-02","Per=Y","Days=T","Dir=V")</f>
        <v>0</v>
      </c>
      <c r="W2">
        <f>BDH("TALO US Equity","WORKING_CAPITAL","1993-06-18","2026-05-02","Per=Y","Days=T","Dir=V")</f>
        <v>0</v>
      </c>
      <c r="Y2">
        <f>BDH("TALO US Equity","SALES_REV_TURN","1993-06-18","2026-05-02","Per=Y","Days=T","Dir=V")</f>
        <v>0</v>
      </c>
      <c r="AA2">
        <f>BDH("TALO US Equity","EBIT","1993-06-18","2026-05-02","Per=Y","Days=T","Dir=V")</f>
        <v>0</v>
      </c>
      <c r="AC2">
        <f>BDH("TALO US Equity","EBITDA","1993-06-18","2026-05-02","Per=Y","Days=T","Dir=V")</f>
        <v>0</v>
      </c>
      <c r="AE2">
        <f>BDH("TALO US Equity","NET_INCOME","1993-06-18","2026-05-02","Per=Y","Days=T","Dir=V")</f>
        <v>0</v>
      </c>
      <c r="AG2">
        <f>BDH("TALO US Equity","IS_INT_EXPENSE","1993-06-18","2026-05-02","Per=Y","Days=T","Dir=V")</f>
        <v>0</v>
      </c>
      <c r="AI2">
        <f>BDH("TALO US Equity","IS_DEPR_EXP","1993-06-18","2026-05-02","Per=Y","Days=T","Dir=V")</f>
        <v>0</v>
      </c>
      <c r="AK2">
        <f>BDH("TALO US Equity","CF_CASH_FROM_OPER","1993-06-18","2026-05-02","Per=Y","Days=T","Dir=V")</f>
        <v>0</v>
      </c>
      <c r="AM2">
        <f>BDH("TALO US Equity","CAPITAL_EXPEND","1993-06-18","2026-05-02","Per=Y","Days=T","Dir=V")</f>
        <v>0</v>
      </c>
      <c r="AO2">
        <f>BDH("TALO US Equity","CF_FREE_CASH_FLOW","1993-06-18","2026-05-02","Per=Y","Days=T","Dir=V")</f>
        <v>0</v>
      </c>
      <c r="AQ2">
        <f>BDH("TALO US Equity","PX_LAST","1993-06-18","2026-05-02","Per=M","Days=T","Dir=V")</f>
        <v>0</v>
      </c>
      <c r="AS2">
        <f>BDH("TALO US Equity","CUR_MKT_CAP","1993-06-18","2026-05-02","Per=M","Days=T","Dir=V")</f>
        <v>0</v>
      </c>
      <c r="AU2">
        <f>BDH("TALO US Equity","EQY_SH_OUT","1993-06-18","2026-05-02","Per=M","Days=T","Dir=V")</f>
        <v>0</v>
      </c>
      <c r="AW2">
        <f>BDH("TALO US Equity","PX_VOLUME","1993-06-18","2026-05-02","Per=M","Days=T","Dir=V")</f>
        <v>0</v>
      </c>
      <c r="AY2">
        <f>BDH("TALO US Equity","TURNOVER","1993-06-18","2026-05-02","Per=M","Days=T","Dir=V")</f>
        <v>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BDH("TARA US Equity","BS_TOT_ASSET","1993-06-18","2026-05-02","Per=Y","Days=T","Dir=V")</f>
        <v>0</v>
      </c>
      <c r="C2">
        <f>BDH("TARA US Equity","BS_TOT_LIAB2","1993-06-18","2026-05-02","Per=Y","Days=T","Dir=V")</f>
        <v>0</v>
      </c>
      <c r="E2">
        <f>BDH("TARA US Equity","SHORT_AND_LONG_TERM_DEBT","1993-06-18","2026-05-02","Per=Y","Days=T","Dir=V")</f>
        <v>0</v>
      </c>
      <c r="G2">
        <f>BDH("TARA US Equity","BS_ST_BORROW","1993-06-18","2026-05-02","Per=Y","Days=T","Dir=V")</f>
        <v>0</v>
      </c>
      <c r="I2">
        <f>BDH("TARA US Equity","BS_LT_BORROW","1993-06-18","2026-05-02","Per=Y","Days=T","Dir=V")</f>
        <v>0</v>
      </c>
      <c r="K2">
        <f>BDH("TARA US Equity","BS_CASH_NEAR_CASH_ITEM","1993-06-18","2026-05-02","Per=Y","Days=T","Dir=V")</f>
        <v>0</v>
      </c>
      <c r="M2">
        <f>BDH("TARA US Equity","BS_CUR_ASSET_REPORT","1993-06-18","2026-05-02","Per=Y","Days=T","Dir=V")</f>
        <v>0</v>
      </c>
      <c r="O2">
        <f>BDH("TARA US Equity","BS_CUR_LIAB","1993-06-18","2026-05-02","Per=Y","Days=T","Dir=V")</f>
        <v>0</v>
      </c>
      <c r="Q2">
        <f>BDH("TARA US Equity","BS_SHAREHOLDER_EQY_ENDING_PERIOD","1993-06-18","2026-05-02","Per=Y","Days=T","Dir=V")</f>
        <v>0</v>
      </c>
      <c r="S2">
        <f>BDH("TARA US Equity","BS_ACCT_NOTE_RCV","1993-06-18","2026-05-02","Per=Y","Days=T","Dir=V")</f>
        <v>0</v>
      </c>
      <c r="U2">
        <f>BDH("TARA US Equity","BS_INVENTORIES","1993-06-18","2026-05-02","Per=Y","Days=T","Dir=V")</f>
        <v>0</v>
      </c>
      <c r="W2">
        <f>BDH("TARA US Equity","WORKING_CAPITAL","1993-06-18","2026-05-02","Per=Y","Days=T","Dir=V")</f>
        <v>0</v>
      </c>
      <c r="Y2">
        <f>BDH("TARA US Equity","SALES_REV_TURN","1993-06-18","2026-05-02","Per=Y","Days=T","Dir=V")</f>
        <v>0</v>
      </c>
      <c r="AA2">
        <f>BDH("TARA US Equity","EBIT","1993-06-18","2026-05-02","Per=Y","Days=T","Dir=V")</f>
        <v>0</v>
      </c>
      <c r="AC2">
        <f>BDH("TARA US Equity","EBITDA","1993-06-18","2026-05-02","Per=Y","Days=T","Dir=V")</f>
        <v>0</v>
      </c>
      <c r="AE2">
        <f>BDH("TARA US Equity","NET_INCOME","1993-06-18","2026-05-02","Per=Y","Days=T","Dir=V")</f>
        <v>0</v>
      </c>
      <c r="AG2">
        <f>BDH("TARA US Equity","IS_INT_EXPENSE","1993-06-18","2026-05-02","Per=Y","Days=T","Dir=V")</f>
        <v>0</v>
      </c>
      <c r="AI2">
        <f>BDH("TARA US Equity","IS_DEPR_EXP","1993-06-18","2026-05-02","Per=Y","Days=T","Dir=V")</f>
        <v>0</v>
      </c>
      <c r="AK2">
        <f>BDH("TARA US Equity","CF_CASH_FROM_OPER","1993-06-18","2026-05-02","Per=Y","Days=T","Dir=V")</f>
        <v>0</v>
      </c>
      <c r="AM2">
        <f>BDH("TARA US Equity","CAPITAL_EXPEND","1993-06-18","2026-05-02","Per=Y","Days=T","Dir=V")</f>
        <v>0</v>
      </c>
      <c r="AO2">
        <f>BDH("TARA US Equity","CF_FREE_CASH_FLOW","1993-06-18","2026-05-02","Per=Y","Days=T","Dir=V")</f>
        <v>0</v>
      </c>
      <c r="AQ2">
        <f>BDH("TARA US Equity","PX_LAST","1993-06-18","2026-05-02","Per=M","Days=T","Dir=V")</f>
        <v>0</v>
      </c>
      <c r="AS2">
        <f>BDH("TARA US Equity","CUR_MKT_CAP","1993-06-18","2026-05-02","Per=M","Days=T","Dir=V")</f>
        <v>0</v>
      </c>
      <c r="AU2">
        <f>BDH("TARA US Equity","EQY_SH_OUT","1993-06-18","2026-05-02","Per=M","Days=T","Dir=V")</f>
        <v>0</v>
      </c>
      <c r="AW2">
        <f>BDH("TARA US Equity","PX_VOLUME","1993-06-18","2026-05-02","Per=M","Days=T","Dir=V")</f>
        <v>0</v>
      </c>
      <c r="AY2">
        <f>BDH("TARA US Equity","TURNOVER","1993-06-18","2026-05-02","Per=M","Days=T","Dir=V")</f>
        <v>0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BDH("TARS US Equity","BS_TOT_ASSET","1993-06-18","2026-05-02","Per=Y","Days=T","Dir=V")</f>
        <v>0</v>
      </c>
      <c r="C2">
        <f>BDH("TARS US Equity","BS_TOT_LIAB2","1993-06-18","2026-05-02","Per=Y","Days=T","Dir=V")</f>
        <v>0</v>
      </c>
      <c r="E2">
        <f>BDH("TARS US Equity","SHORT_AND_LONG_TERM_DEBT","1993-06-18","2026-05-02","Per=Y","Days=T","Dir=V")</f>
        <v>0</v>
      </c>
      <c r="G2">
        <f>BDH("TARS US Equity","BS_ST_BORROW","1993-06-18","2026-05-02","Per=Y","Days=T","Dir=V")</f>
        <v>0</v>
      </c>
      <c r="I2">
        <f>BDH("TARS US Equity","BS_LT_BORROW","1993-06-18","2026-05-02","Per=Y","Days=T","Dir=V")</f>
        <v>0</v>
      </c>
      <c r="K2">
        <f>BDH("TARS US Equity","BS_CASH_NEAR_CASH_ITEM","1993-06-18","2026-05-02","Per=Y","Days=T","Dir=V")</f>
        <v>0</v>
      </c>
      <c r="M2">
        <f>BDH("TARS US Equity","BS_CUR_ASSET_REPORT","1993-06-18","2026-05-02","Per=Y","Days=T","Dir=V")</f>
        <v>0</v>
      </c>
      <c r="O2">
        <f>BDH("TARS US Equity","BS_CUR_LIAB","1993-06-18","2026-05-02","Per=Y","Days=T","Dir=V")</f>
        <v>0</v>
      </c>
      <c r="Q2">
        <f>BDH("TARS US Equity","BS_SHAREHOLDER_EQY_ENDING_PERIOD","1993-06-18","2026-05-02","Per=Y","Days=T","Dir=V")</f>
        <v>0</v>
      </c>
      <c r="S2">
        <f>BDH("TARS US Equity","BS_ACCT_NOTE_RCV","1993-06-18","2026-05-02","Per=Y","Days=T","Dir=V")</f>
        <v>0</v>
      </c>
      <c r="U2">
        <f>BDH("TARS US Equity","BS_INVENTORIES","1993-06-18","2026-05-02","Per=Y","Days=T","Dir=V")</f>
        <v>0</v>
      </c>
      <c r="W2">
        <f>BDH("TARS US Equity","WORKING_CAPITAL","1993-06-18","2026-05-02","Per=Y","Days=T","Dir=V")</f>
        <v>0</v>
      </c>
      <c r="Y2">
        <f>BDH("TARS US Equity","SALES_REV_TURN","1993-06-18","2026-05-02","Per=Y","Days=T","Dir=V")</f>
        <v>0</v>
      </c>
      <c r="AA2">
        <f>BDH("TARS US Equity","EBIT","1993-06-18","2026-05-02","Per=Y","Days=T","Dir=V")</f>
        <v>0</v>
      </c>
      <c r="AC2">
        <f>BDH("TARS US Equity","EBITDA","1993-06-18","2026-05-02","Per=Y","Days=T","Dir=V")</f>
        <v>0</v>
      </c>
      <c r="AE2">
        <f>BDH("TARS US Equity","NET_INCOME","1993-06-18","2026-05-02","Per=Y","Days=T","Dir=V")</f>
        <v>0</v>
      </c>
      <c r="AG2">
        <f>BDH("TARS US Equity","IS_INT_EXPENSE","1993-06-18","2026-05-02","Per=Y","Days=T","Dir=V")</f>
        <v>0</v>
      </c>
      <c r="AI2">
        <f>BDH("TARS US Equity","IS_DEPR_EXP","1993-06-18","2026-05-02","Per=Y","Days=T","Dir=V")</f>
        <v>0</v>
      </c>
      <c r="AK2">
        <f>BDH("TARS US Equity","CF_CASH_FROM_OPER","1993-06-18","2026-05-02","Per=Y","Days=T","Dir=V")</f>
        <v>0</v>
      </c>
      <c r="AM2">
        <f>BDH("TARS US Equity","CAPITAL_EXPEND","1993-06-18","2026-05-02","Per=Y","Days=T","Dir=V")</f>
        <v>0</v>
      </c>
      <c r="AO2">
        <f>BDH("TARS US Equity","CF_FREE_CASH_FLOW","1993-06-18","2026-05-02","Per=Y","Days=T","Dir=V")</f>
        <v>0</v>
      </c>
      <c r="AQ2">
        <f>BDH("TARS US Equity","PX_LAST","1993-06-18","2026-05-02","Per=M","Days=T","Dir=V")</f>
        <v>0</v>
      </c>
      <c r="AS2">
        <f>BDH("TARS US Equity","CUR_MKT_CAP","1993-06-18","2026-05-02","Per=M","Days=T","Dir=V")</f>
        <v>0</v>
      </c>
      <c r="AU2">
        <f>BDH("TARS US Equity","EQY_SH_OUT","1993-06-18","2026-05-02","Per=M","Days=T","Dir=V")</f>
        <v>0</v>
      </c>
      <c r="AW2">
        <f>BDH("TARS US Equity","PX_VOLUME","1993-06-18","2026-05-02","Per=M","Days=T","Dir=V")</f>
        <v>0</v>
      </c>
      <c r="AY2">
        <f>BDH("TARS US Equity","TURNOVER","1993-06-18","2026-05-02","Per=M","Days=T","Dir=V")</f>
        <v>0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BDH("TASK US Equity","BS_TOT_ASSET","1993-06-18","2026-05-02","Per=Y","Days=T","Dir=V")</f>
        <v>0</v>
      </c>
      <c r="C2">
        <f>BDH("TASK US Equity","BS_TOT_LIAB2","1993-06-18","2026-05-02","Per=Y","Days=T","Dir=V")</f>
        <v>0</v>
      </c>
      <c r="E2">
        <f>BDH("TASK US Equity","SHORT_AND_LONG_TERM_DEBT","1993-06-18","2026-05-02","Per=Y","Days=T","Dir=V")</f>
        <v>0</v>
      </c>
      <c r="G2">
        <f>BDH("TASK US Equity","BS_ST_BORROW","1993-06-18","2026-05-02","Per=Y","Days=T","Dir=V")</f>
        <v>0</v>
      </c>
      <c r="I2">
        <f>BDH("TASK US Equity","BS_LT_BORROW","1993-06-18","2026-05-02","Per=Y","Days=T","Dir=V")</f>
        <v>0</v>
      </c>
      <c r="K2">
        <f>BDH("TASK US Equity","BS_CASH_NEAR_CASH_ITEM","1993-06-18","2026-05-02","Per=Y","Days=T","Dir=V")</f>
        <v>0</v>
      </c>
      <c r="M2">
        <f>BDH("TASK US Equity","BS_CUR_ASSET_REPORT","1993-06-18","2026-05-02","Per=Y","Days=T","Dir=V")</f>
        <v>0</v>
      </c>
      <c r="O2">
        <f>BDH("TASK US Equity","BS_CUR_LIAB","1993-06-18","2026-05-02","Per=Y","Days=T","Dir=V")</f>
        <v>0</v>
      </c>
      <c r="Q2">
        <f>BDH("TASK US Equity","BS_SHAREHOLDER_EQY_ENDING_PERIOD","1993-06-18","2026-05-02","Per=Y","Days=T","Dir=V")</f>
        <v>0</v>
      </c>
      <c r="S2">
        <f>BDH("TASK US Equity","BS_ACCT_NOTE_RCV","1993-06-18","2026-05-02","Per=Y","Days=T","Dir=V")</f>
        <v>0</v>
      </c>
      <c r="U2">
        <f>BDH("TASK US Equity","BS_INVENTORIES","1993-06-18","2026-05-02","Per=Y","Days=T","Dir=V")</f>
        <v>0</v>
      </c>
      <c r="W2">
        <f>BDH("TASK US Equity","WORKING_CAPITAL","1993-06-18","2026-05-02","Per=Y","Days=T","Dir=V")</f>
        <v>0</v>
      </c>
      <c r="Y2">
        <f>BDH("TASK US Equity","SALES_REV_TURN","1993-06-18","2026-05-02","Per=Y","Days=T","Dir=V")</f>
        <v>0</v>
      </c>
      <c r="AA2">
        <f>BDH("TASK US Equity","EBIT","1993-06-18","2026-05-02","Per=Y","Days=T","Dir=V")</f>
        <v>0</v>
      </c>
      <c r="AC2">
        <f>BDH("TASK US Equity","EBITDA","1993-06-18","2026-05-02","Per=Y","Days=T","Dir=V")</f>
        <v>0</v>
      </c>
      <c r="AE2">
        <f>BDH("TASK US Equity","NET_INCOME","1993-06-18","2026-05-02","Per=Y","Days=T","Dir=V")</f>
        <v>0</v>
      </c>
      <c r="AG2">
        <f>BDH("TASK US Equity","IS_INT_EXPENSE","1993-06-18","2026-05-02","Per=Y","Days=T","Dir=V")</f>
        <v>0</v>
      </c>
      <c r="AI2">
        <f>BDH("TASK US Equity","IS_DEPR_EXP","1993-06-18","2026-05-02","Per=Y","Days=T","Dir=V")</f>
        <v>0</v>
      </c>
      <c r="AK2">
        <f>BDH("TASK US Equity","CF_CASH_FROM_OPER","1993-06-18","2026-05-02","Per=Y","Days=T","Dir=V")</f>
        <v>0</v>
      </c>
      <c r="AM2">
        <f>BDH("TASK US Equity","CAPITAL_EXPEND","1993-06-18","2026-05-02","Per=Y","Days=T","Dir=V")</f>
        <v>0</v>
      </c>
      <c r="AO2">
        <f>BDH("TASK US Equity","CF_FREE_CASH_FLOW","1993-06-18","2026-05-02","Per=Y","Days=T","Dir=V")</f>
        <v>0</v>
      </c>
      <c r="AQ2">
        <f>BDH("TASK US Equity","PX_LAST","1993-06-18","2026-05-02","Per=M","Days=T","Dir=V")</f>
        <v>0</v>
      </c>
      <c r="AS2">
        <f>BDH("TASK US Equity","CUR_MKT_CAP","1993-06-18","2026-05-02","Per=M","Days=T","Dir=V")</f>
        <v>0</v>
      </c>
      <c r="AU2">
        <f>BDH("TASK US Equity","EQY_SH_OUT","1993-06-18","2026-05-02","Per=M","Days=T","Dir=V")</f>
        <v>0</v>
      </c>
      <c r="AW2">
        <f>BDH("TASK US Equity","PX_VOLUME","1993-06-18","2026-05-02","Per=M","Days=T","Dir=V")</f>
        <v>0</v>
      </c>
      <c r="AY2">
        <f>BDH("TASK US Equity","TURNOVER","1993-06-18","2026-05-02","Per=M","Days=T","Dir=V")</f>
        <v>0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BDH("TAYD US Equity","BS_TOT_ASSET","1993-06-18","2026-05-02","Per=Y","Days=T","Dir=V")</f>
        <v>0</v>
      </c>
      <c r="C2">
        <f>BDH("TAYD US Equity","BS_TOT_LIAB2","1993-06-18","2026-05-02","Per=Y","Days=T","Dir=V")</f>
        <v>0</v>
      </c>
      <c r="E2">
        <f>BDH("TAYD US Equity","SHORT_AND_LONG_TERM_DEBT","1993-06-18","2026-05-02","Per=Y","Days=T","Dir=V")</f>
        <v>0</v>
      </c>
      <c r="G2">
        <f>BDH("TAYD US Equity","BS_ST_BORROW","1993-06-18","2026-05-02","Per=Y","Days=T","Dir=V")</f>
        <v>0</v>
      </c>
      <c r="I2">
        <f>BDH("TAYD US Equity","BS_LT_BORROW","1993-06-18","2026-05-02","Per=Y","Days=T","Dir=V")</f>
        <v>0</v>
      </c>
      <c r="K2">
        <f>BDH("TAYD US Equity","BS_CASH_NEAR_CASH_ITEM","1993-06-18","2026-05-02","Per=Y","Days=T","Dir=V")</f>
        <v>0</v>
      </c>
      <c r="M2">
        <f>BDH("TAYD US Equity","BS_CUR_ASSET_REPORT","1993-06-18","2026-05-02","Per=Y","Days=T","Dir=V")</f>
        <v>0</v>
      </c>
      <c r="O2">
        <f>BDH("TAYD US Equity","BS_CUR_LIAB","1993-06-18","2026-05-02","Per=Y","Days=T","Dir=V")</f>
        <v>0</v>
      </c>
      <c r="Q2">
        <f>BDH("TAYD US Equity","BS_SHAREHOLDER_EQY_ENDING_PERIOD","1993-06-18","2026-05-02","Per=Y","Days=T","Dir=V")</f>
        <v>0</v>
      </c>
      <c r="S2">
        <f>BDH("TAYD US Equity","BS_ACCT_NOTE_RCV","1993-06-18","2026-05-02","Per=Y","Days=T","Dir=V")</f>
        <v>0</v>
      </c>
      <c r="U2">
        <f>BDH("TAYD US Equity","BS_INVENTORIES","1993-06-18","2026-05-02","Per=Y","Days=T","Dir=V")</f>
        <v>0</v>
      </c>
      <c r="W2">
        <f>BDH("TAYD US Equity","WORKING_CAPITAL","1993-06-18","2026-05-02","Per=Y","Days=T","Dir=V")</f>
        <v>0</v>
      </c>
      <c r="Y2">
        <f>BDH("TAYD US Equity","SALES_REV_TURN","1993-06-18","2026-05-02","Per=Y","Days=T","Dir=V")</f>
        <v>0</v>
      </c>
      <c r="AA2">
        <f>BDH("TAYD US Equity","EBIT","1993-06-18","2026-05-02","Per=Y","Days=T","Dir=V")</f>
        <v>0</v>
      </c>
      <c r="AC2">
        <f>BDH("TAYD US Equity","EBITDA","1993-06-18","2026-05-02","Per=Y","Days=T","Dir=V")</f>
        <v>0</v>
      </c>
      <c r="AE2">
        <f>BDH("TAYD US Equity","NET_INCOME","1993-06-18","2026-05-02","Per=Y","Days=T","Dir=V")</f>
        <v>0</v>
      </c>
      <c r="AG2">
        <f>BDH("TAYD US Equity","IS_INT_EXPENSE","1993-06-18","2026-05-02","Per=Y","Days=T","Dir=V")</f>
        <v>0</v>
      </c>
      <c r="AI2">
        <f>BDH("TAYD US Equity","IS_DEPR_EXP","1993-06-18","2026-05-02","Per=Y","Days=T","Dir=V")</f>
        <v>0</v>
      </c>
      <c r="AK2">
        <f>BDH("TAYD US Equity","CF_CASH_FROM_OPER","1993-06-18","2026-05-02","Per=Y","Days=T","Dir=V")</f>
        <v>0</v>
      </c>
      <c r="AM2">
        <f>BDH("TAYD US Equity","CAPITAL_EXPEND","1993-06-18","2026-05-02","Per=Y","Days=T","Dir=V")</f>
        <v>0</v>
      </c>
      <c r="AO2">
        <f>BDH("TAYD US Equity","CF_FREE_CASH_FLOW","1993-06-18","2026-05-02","Per=Y","Days=T","Dir=V")</f>
        <v>0</v>
      </c>
      <c r="AQ2">
        <f>BDH("TAYD US Equity","PX_LAST","1993-06-18","2026-05-02","Per=M","Days=T","Dir=V")</f>
        <v>0</v>
      </c>
      <c r="AS2">
        <f>BDH("TAYD US Equity","CUR_MKT_CAP","1993-06-18","2026-05-02","Per=M","Days=T","Dir=V")</f>
        <v>0</v>
      </c>
      <c r="AU2">
        <f>BDH("TAYD US Equity","EQY_SH_OUT","1993-06-18","2026-05-02","Per=M","Days=T","Dir=V")</f>
        <v>0</v>
      </c>
      <c r="AW2">
        <f>BDH("TAYD US Equity","PX_VOLUME","1993-06-18","2026-05-02","Per=M","Days=T","Dir=V")</f>
        <v>0</v>
      </c>
      <c r="AY2">
        <f>BDH("TAYD US Equity","TURNOVER","1993-06-18","2026-05-02","Per=M","Days=T","Dir=V")</f>
        <v>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BDH("TBB US Equity","BS_TOT_ASSET","1993-06-18","2026-05-02","Per=Y","Days=T","Dir=V")</f>
        <v>0</v>
      </c>
      <c r="C2">
        <f>BDH("TBB US Equity","BS_TOT_LIAB2","1993-06-18","2026-05-02","Per=Y","Days=T","Dir=V")</f>
        <v>0</v>
      </c>
      <c r="E2">
        <f>BDH("TBB US Equity","SHORT_AND_LONG_TERM_DEBT","1993-06-18","2026-05-02","Per=Y","Days=T","Dir=V")</f>
        <v>0</v>
      </c>
      <c r="G2">
        <f>BDH("TBB US Equity","BS_ST_BORROW","1993-06-18","2026-05-02","Per=Y","Days=T","Dir=V")</f>
        <v>0</v>
      </c>
      <c r="I2">
        <f>BDH("TBB US Equity","BS_LT_BORROW","1993-06-18","2026-05-02","Per=Y","Days=T","Dir=V")</f>
        <v>0</v>
      </c>
      <c r="K2">
        <f>BDH("TBB US Equity","BS_CASH_NEAR_CASH_ITEM","1993-06-18","2026-05-02","Per=Y","Days=T","Dir=V")</f>
        <v>0</v>
      </c>
      <c r="M2">
        <f>BDH("TBB US Equity","BS_CUR_ASSET_REPORT","1993-06-18","2026-05-02","Per=Y","Days=T","Dir=V")</f>
        <v>0</v>
      </c>
      <c r="O2">
        <f>BDH("TBB US Equity","BS_CUR_LIAB","1993-06-18","2026-05-02","Per=Y","Days=T","Dir=V")</f>
        <v>0</v>
      </c>
      <c r="Q2">
        <f>BDH("TBB US Equity","BS_SHAREHOLDER_EQY_ENDING_PERIOD","1993-06-18","2026-05-02","Per=Y","Days=T","Dir=V")</f>
        <v>0</v>
      </c>
      <c r="S2">
        <f>BDH("TBB US Equity","BS_ACCT_NOTE_RCV","1993-06-18","2026-05-02","Per=Y","Days=T","Dir=V")</f>
        <v>0</v>
      </c>
      <c r="U2">
        <f>BDH("TBB US Equity","BS_INVENTORIES","1993-06-18","2026-05-02","Per=Y","Days=T","Dir=V")</f>
        <v>0</v>
      </c>
      <c r="W2">
        <f>BDH("TBB US Equity","WORKING_CAPITAL","1993-06-18","2026-05-02","Per=Y","Days=T","Dir=V")</f>
        <v>0</v>
      </c>
      <c r="Y2">
        <f>BDH("TBB US Equity","SALES_REV_TURN","1993-06-18","2026-05-02","Per=Y","Days=T","Dir=V")</f>
        <v>0</v>
      </c>
      <c r="AA2">
        <f>BDH("TBB US Equity","EBIT","1993-06-18","2026-05-02","Per=Y","Days=T","Dir=V")</f>
        <v>0</v>
      </c>
      <c r="AC2">
        <f>BDH("TBB US Equity","EBITDA","1993-06-18","2026-05-02","Per=Y","Days=T","Dir=V")</f>
        <v>0</v>
      </c>
      <c r="AE2">
        <f>BDH("TBB US Equity","NET_INCOME","1993-06-18","2026-05-02","Per=Y","Days=T","Dir=V")</f>
        <v>0</v>
      </c>
      <c r="AG2">
        <f>BDH("TBB US Equity","IS_INT_EXPENSE","1993-06-18","2026-05-02","Per=Y","Days=T","Dir=V")</f>
        <v>0</v>
      </c>
      <c r="AI2">
        <f>BDH("TBB US Equity","IS_DEPR_EXP","1993-06-18","2026-05-02","Per=Y","Days=T","Dir=V")</f>
        <v>0</v>
      </c>
      <c r="AK2">
        <f>BDH("TBB US Equity","CF_CASH_FROM_OPER","1993-06-18","2026-05-02","Per=Y","Days=T","Dir=V")</f>
        <v>0</v>
      </c>
      <c r="AM2">
        <f>BDH("TBB US Equity","CAPITAL_EXPEND","1993-06-18","2026-05-02","Per=Y","Days=T","Dir=V")</f>
        <v>0</v>
      </c>
      <c r="AO2">
        <f>BDH("TBB US Equity","CF_FREE_CASH_FLOW","1993-06-18","2026-05-02","Per=Y","Days=T","Dir=V")</f>
        <v>0</v>
      </c>
      <c r="AQ2">
        <f>BDH("TBB US Equity","PX_LAST","1993-06-18","2026-05-02","Per=M","Days=T","Dir=V")</f>
        <v>0</v>
      </c>
      <c r="AS2">
        <f>BDH("TBB US Equity","CUR_MKT_CAP","1993-06-18","2026-05-02","Per=M","Days=T","Dir=V")</f>
        <v>0</v>
      </c>
      <c r="AU2">
        <f>BDH("TBB US Equity","EQY_SH_OUT","1993-06-18","2026-05-02","Per=M","Days=T","Dir=V")</f>
        <v>0</v>
      </c>
      <c r="AW2">
        <f>BDH("TBB US Equity","PX_VOLUME","1993-06-18","2026-05-02","Per=M","Days=T","Dir=V")</f>
        <v>0</v>
      </c>
      <c r="AY2">
        <f>BDH("TBB US Equity","TURNOVER","1993-06-18","2026-05-02","Per=M","Days=T","Dir=V")</f>
        <v>0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BDH("TBCH US Equity","BS_TOT_ASSET","1993-06-18","2026-05-02","Per=Y","Days=T","Dir=V")</f>
        <v>0</v>
      </c>
      <c r="C2">
        <f>BDH("TBCH US Equity","BS_TOT_LIAB2","1993-06-18","2026-05-02","Per=Y","Days=T","Dir=V")</f>
        <v>0</v>
      </c>
      <c r="E2">
        <f>BDH("TBCH US Equity","SHORT_AND_LONG_TERM_DEBT","1993-06-18","2026-05-02","Per=Y","Days=T","Dir=V")</f>
        <v>0</v>
      </c>
      <c r="G2">
        <f>BDH("TBCH US Equity","BS_ST_BORROW","1993-06-18","2026-05-02","Per=Y","Days=T","Dir=V")</f>
        <v>0</v>
      </c>
      <c r="I2">
        <f>BDH("TBCH US Equity","BS_LT_BORROW","1993-06-18","2026-05-02","Per=Y","Days=T","Dir=V")</f>
        <v>0</v>
      </c>
      <c r="K2">
        <f>BDH("TBCH US Equity","BS_CASH_NEAR_CASH_ITEM","1993-06-18","2026-05-02","Per=Y","Days=T","Dir=V")</f>
        <v>0</v>
      </c>
      <c r="M2">
        <f>BDH("TBCH US Equity","BS_CUR_ASSET_REPORT","1993-06-18","2026-05-02","Per=Y","Days=T","Dir=V")</f>
        <v>0</v>
      </c>
      <c r="O2">
        <f>BDH("TBCH US Equity","BS_CUR_LIAB","1993-06-18","2026-05-02","Per=Y","Days=T","Dir=V")</f>
        <v>0</v>
      </c>
      <c r="Q2">
        <f>BDH("TBCH US Equity","BS_SHAREHOLDER_EQY_ENDING_PERIOD","1993-06-18","2026-05-02","Per=Y","Days=T","Dir=V")</f>
        <v>0</v>
      </c>
      <c r="S2">
        <f>BDH("TBCH US Equity","BS_ACCT_NOTE_RCV","1993-06-18","2026-05-02","Per=Y","Days=T","Dir=V")</f>
        <v>0</v>
      </c>
      <c r="U2">
        <f>BDH("TBCH US Equity","BS_INVENTORIES","1993-06-18","2026-05-02","Per=Y","Days=T","Dir=V")</f>
        <v>0</v>
      </c>
      <c r="W2">
        <f>BDH("TBCH US Equity","WORKING_CAPITAL","1993-06-18","2026-05-02","Per=Y","Days=T","Dir=V")</f>
        <v>0</v>
      </c>
      <c r="Y2">
        <f>BDH("TBCH US Equity","SALES_REV_TURN","1993-06-18","2026-05-02","Per=Y","Days=T","Dir=V")</f>
        <v>0</v>
      </c>
      <c r="AA2">
        <f>BDH("TBCH US Equity","EBIT","1993-06-18","2026-05-02","Per=Y","Days=T","Dir=V")</f>
        <v>0</v>
      </c>
      <c r="AC2">
        <f>BDH("TBCH US Equity","EBITDA","1993-06-18","2026-05-02","Per=Y","Days=T","Dir=V")</f>
        <v>0</v>
      </c>
      <c r="AE2">
        <f>BDH("TBCH US Equity","NET_INCOME","1993-06-18","2026-05-02","Per=Y","Days=T","Dir=V")</f>
        <v>0</v>
      </c>
      <c r="AG2">
        <f>BDH("TBCH US Equity","IS_INT_EXPENSE","1993-06-18","2026-05-02","Per=Y","Days=T","Dir=V")</f>
        <v>0</v>
      </c>
      <c r="AI2">
        <f>BDH("TBCH US Equity","IS_DEPR_EXP","1993-06-18","2026-05-02","Per=Y","Days=T","Dir=V")</f>
        <v>0</v>
      </c>
      <c r="AK2">
        <f>BDH("TBCH US Equity","CF_CASH_FROM_OPER","1993-06-18","2026-05-02","Per=Y","Days=T","Dir=V")</f>
        <v>0</v>
      </c>
      <c r="AM2">
        <f>BDH("TBCH US Equity","CAPITAL_EXPEND","1993-06-18","2026-05-02","Per=Y","Days=T","Dir=V")</f>
        <v>0</v>
      </c>
      <c r="AO2">
        <f>BDH("TBCH US Equity","CF_FREE_CASH_FLOW","1993-06-18","2026-05-02","Per=Y","Days=T","Dir=V")</f>
        <v>0</v>
      </c>
      <c r="AQ2">
        <f>BDH("TBCH US Equity","PX_LAST","1993-06-18","2026-05-02","Per=M","Days=T","Dir=V")</f>
        <v>0</v>
      </c>
      <c r="AS2">
        <f>BDH("TBCH US Equity","CUR_MKT_CAP","1993-06-18","2026-05-02","Per=M","Days=T","Dir=V")</f>
        <v>0</v>
      </c>
      <c r="AU2">
        <f>BDH("TBCH US Equity","EQY_SH_OUT","1993-06-18","2026-05-02","Per=M","Days=T","Dir=V")</f>
        <v>0</v>
      </c>
      <c r="AW2">
        <f>BDH("TBCH US Equity","PX_VOLUME","1993-06-18","2026-05-02","Per=M","Days=T","Dir=V")</f>
        <v>0</v>
      </c>
      <c r="AY2">
        <f>BDH("TBCH US Equity","TURNOVER","1993-06-18","2026-05-02","Per=M","Days=T","Dir=V")</f>
        <v>0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BDH("TBI US Equity","BS_TOT_ASSET","1993-06-18","2026-05-02","Per=Y","Days=T","Dir=V")</f>
        <v>0</v>
      </c>
      <c r="C2">
        <f>BDH("TBI US Equity","BS_TOT_LIAB2","1993-06-18","2026-05-02","Per=Y","Days=T","Dir=V")</f>
        <v>0</v>
      </c>
      <c r="E2">
        <f>BDH("TBI US Equity","SHORT_AND_LONG_TERM_DEBT","1993-06-18","2026-05-02","Per=Y","Days=T","Dir=V")</f>
        <v>0</v>
      </c>
      <c r="G2">
        <f>BDH("TBI US Equity","BS_ST_BORROW","1993-06-18","2026-05-02","Per=Y","Days=T","Dir=V")</f>
        <v>0</v>
      </c>
      <c r="I2">
        <f>BDH("TBI US Equity","BS_LT_BORROW","1993-06-18","2026-05-02","Per=Y","Days=T","Dir=V")</f>
        <v>0</v>
      </c>
      <c r="K2">
        <f>BDH("TBI US Equity","BS_CASH_NEAR_CASH_ITEM","1993-06-18","2026-05-02","Per=Y","Days=T","Dir=V")</f>
        <v>0</v>
      </c>
      <c r="M2">
        <f>BDH("TBI US Equity","BS_CUR_ASSET_REPORT","1993-06-18","2026-05-02","Per=Y","Days=T","Dir=V")</f>
        <v>0</v>
      </c>
      <c r="O2">
        <f>BDH("TBI US Equity","BS_CUR_LIAB","1993-06-18","2026-05-02","Per=Y","Days=T","Dir=V")</f>
        <v>0</v>
      </c>
      <c r="Q2">
        <f>BDH("TBI US Equity","BS_SHAREHOLDER_EQY_ENDING_PERIOD","1993-06-18","2026-05-02","Per=Y","Days=T","Dir=V")</f>
        <v>0</v>
      </c>
      <c r="S2">
        <f>BDH("TBI US Equity","BS_ACCT_NOTE_RCV","1993-06-18","2026-05-02","Per=Y","Days=T","Dir=V")</f>
        <v>0</v>
      </c>
      <c r="U2">
        <f>BDH("TBI US Equity","BS_INVENTORIES","1993-06-18","2026-05-02","Per=Y","Days=T","Dir=V")</f>
        <v>0</v>
      </c>
      <c r="W2">
        <f>BDH("TBI US Equity","WORKING_CAPITAL","1993-06-18","2026-05-02","Per=Y","Days=T","Dir=V")</f>
        <v>0</v>
      </c>
      <c r="Y2">
        <f>BDH("TBI US Equity","SALES_REV_TURN","1993-06-18","2026-05-02","Per=Y","Days=T","Dir=V")</f>
        <v>0</v>
      </c>
      <c r="AA2">
        <f>BDH("TBI US Equity","EBIT","1993-06-18","2026-05-02","Per=Y","Days=T","Dir=V")</f>
        <v>0</v>
      </c>
      <c r="AC2">
        <f>BDH("TBI US Equity","EBITDA","1993-06-18","2026-05-02","Per=Y","Days=T","Dir=V")</f>
        <v>0</v>
      </c>
      <c r="AE2">
        <f>BDH("TBI US Equity","NET_INCOME","1993-06-18","2026-05-02","Per=Y","Days=T","Dir=V")</f>
        <v>0</v>
      </c>
      <c r="AG2">
        <f>BDH("TBI US Equity","IS_INT_EXPENSE","1993-06-18","2026-05-02","Per=Y","Days=T","Dir=V")</f>
        <v>0</v>
      </c>
      <c r="AI2">
        <f>BDH("TBI US Equity","IS_DEPR_EXP","1993-06-18","2026-05-02","Per=Y","Days=T","Dir=V")</f>
        <v>0</v>
      </c>
      <c r="AK2">
        <f>BDH("TBI US Equity","CF_CASH_FROM_OPER","1993-06-18","2026-05-02","Per=Y","Days=T","Dir=V")</f>
        <v>0</v>
      </c>
      <c r="AM2">
        <f>BDH("TBI US Equity","CAPITAL_EXPEND","1993-06-18","2026-05-02","Per=Y","Days=T","Dir=V")</f>
        <v>0</v>
      </c>
      <c r="AO2">
        <f>BDH("TBI US Equity","CF_FREE_CASH_FLOW","1993-06-18","2026-05-02","Per=Y","Days=T","Dir=V")</f>
        <v>0</v>
      </c>
      <c r="AQ2">
        <f>BDH("TBI US Equity","PX_LAST","1993-06-18","2026-05-02","Per=M","Days=T","Dir=V")</f>
        <v>0</v>
      </c>
      <c r="AS2">
        <f>BDH("TBI US Equity","CUR_MKT_CAP","1993-06-18","2026-05-02","Per=M","Days=T","Dir=V")</f>
        <v>0</v>
      </c>
      <c r="AU2">
        <f>BDH("TBI US Equity","EQY_SH_OUT","1993-06-18","2026-05-02","Per=M","Days=T","Dir=V")</f>
        <v>0</v>
      </c>
      <c r="AW2">
        <f>BDH("TBI US Equity","PX_VOLUME","1993-06-18","2026-05-02","Per=M","Days=T","Dir=V")</f>
        <v>0</v>
      </c>
      <c r="AY2">
        <f>BDH("TBI US Equity","TURNOVER","1993-06-18","2026-05-02","Per=M","Days=T","Dir=V")</f>
        <v>0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BDH("TCMD US Equity","BS_TOT_ASSET","1993-06-18","2026-05-02","Per=Y","Days=T","Dir=V")</f>
        <v>0</v>
      </c>
      <c r="C2">
        <f>BDH("TCMD US Equity","BS_TOT_LIAB2","1993-06-18","2026-05-02","Per=Y","Days=T","Dir=V")</f>
        <v>0</v>
      </c>
      <c r="E2">
        <f>BDH("TCMD US Equity","SHORT_AND_LONG_TERM_DEBT","1993-06-18","2026-05-02","Per=Y","Days=T","Dir=V")</f>
        <v>0</v>
      </c>
      <c r="G2">
        <f>BDH("TCMD US Equity","BS_ST_BORROW","1993-06-18","2026-05-02","Per=Y","Days=T","Dir=V")</f>
        <v>0</v>
      </c>
      <c r="I2">
        <f>BDH("TCMD US Equity","BS_LT_BORROW","1993-06-18","2026-05-02","Per=Y","Days=T","Dir=V")</f>
        <v>0</v>
      </c>
      <c r="K2">
        <f>BDH("TCMD US Equity","BS_CASH_NEAR_CASH_ITEM","1993-06-18","2026-05-02","Per=Y","Days=T","Dir=V")</f>
        <v>0</v>
      </c>
      <c r="M2">
        <f>BDH("TCMD US Equity","BS_CUR_ASSET_REPORT","1993-06-18","2026-05-02","Per=Y","Days=T","Dir=V")</f>
        <v>0</v>
      </c>
      <c r="O2">
        <f>BDH("TCMD US Equity","BS_CUR_LIAB","1993-06-18","2026-05-02","Per=Y","Days=T","Dir=V")</f>
        <v>0</v>
      </c>
      <c r="Q2">
        <f>BDH("TCMD US Equity","BS_SHAREHOLDER_EQY_ENDING_PERIOD","1993-06-18","2026-05-02","Per=Y","Days=T","Dir=V")</f>
        <v>0</v>
      </c>
      <c r="S2">
        <f>BDH("TCMD US Equity","BS_ACCT_NOTE_RCV","1993-06-18","2026-05-02","Per=Y","Days=T","Dir=V")</f>
        <v>0</v>
      </c>
      <c r="U2">
        <f>BDH("TCMD US Equity","BS_INVENTORIES","1993-06-18","2026-05-02","Per=Y","Days=T","Dir=V")</f>
        <v>0</v>
      </c>
      <c r="W2">
        <f>BDH("TCMD US Equity","WORKING_CAPITAL","1993-06-18","2026-05-02","Per=Y","Days=T","Dir=V")</f>
        <v>0</v>
      </c>
      <c r="Y2">
        <f>BDH("TCMD US Equity","SALES_REV_TURN","1993-06-18","2026-05-02","Per=Y","Days=T","Dir=V")</f>
        <v>0</v>
      </c>
      <c r="AA2">
        <f>BDH("TCMD US Equity","EBIT","1993-06-18","2026-05-02","Per=Y","Days=T","Dir=V")</f>
        <v>0</v>
      </c>
      <c r="AC2">
        <f>BDH("TCMD US Equity","EBITDA","1993-06-18","2026-05-02","Per=Y","Days=T","Dir=V")</f>
        <v>0</v>
      </c>
      <c r="AE2">
        <f>BDH("TCMD US Equity","NET_INCOME","1993-06-18","2026-05-02","Per=Y","Days=T","Dir=V")</f>
        <v>0</v>
      </c>
      <c r="AG2">
        <f>BDH("TCMD US Equity","IS_INT_EXPENSE","1993-06-18","2026-05-02","Per=Y","Days=T","Dir=V")</f>
        <v>0</v>
      </c>
      <c r="AI2">
        <f>BDH("TCMD US Equity","IS_DEPR_EXP","1993-06-18","2026-05-02","Per=Y","Days=T","Dir=V")</f>
        <v>0</v>
      </c>
      <c r="AK2">
        <f>BDH("TCMD US Equity","CF_CASH_FROM_OPER","1993-06-18","2026-05-02","Per=Y","Days=T","Dir=V")</f>
        <v>0</v>
      </c>
      <c r="AM2">
        <f>BDH("TCMD US Equity","CAPITAL_EXPEND","1993-06-18","2026-05-02","Per=Y","Days=T","Dir=V")</f>
        <v>0</v>
      </c>
      <c r="AO2">
        <f>BDH("TCMD US Equity","CF_FREE_CASH_FLOW","1993-06-18","2026-05-02","Per=Y","Days=T","Dir=V")</f>
        <v>0</v>
      </c>
      <c r="AQ2">
        <f>BDH("TCMD US Equity","PX_LAST","1993-06-18","2026-05-02","Per=M","Days=T","Dir=V")</f>
        <v>0</v>
      </c>
      <c r="AS2">
        <f>BDH("TCMD US Equity","CUR_MKT_CAP","1993-06-18","2026-05-02","Per=M","Days=T","Dir=V")</f>
        <v>0</v>
      </c>
      <c r="AU2">
        <f>BDH("TCMD US Equity","EQY_SH_OUT","1993-06-18","2026-05-02","Per=M","Days=T","Dir=V")</f>
        <v>0</v>
      </c>
      <c r="AW2">
        <f>BDH("TCMD US Equity","PX_VOLUME","1993-06-18","2026-05-02","Per=M","Days=T","Dir=V")</f>
        <v>0</v>
      </c>
      <c r="AY2">
        <f>BDH("TCMD US Equity","TURNOVER","1993-06-18","2026-05-02","Per=M","Days=T","Dir=V")</f>
        <v>0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BDH("TCRT US Equity","BS_TOT_ASSET","1993-06-18","2026-05-02","Per=Y","Days=T","Dir=V")</f>
        <v>0</v>
      </c>
      <c r="C2">
        <f>BDH("TCRT US Equity","BS_TOT_LIAB2","1993-06-18","2026-05-02","Per=Y","Days=T","Dir=V")</f>
        <v>0</v>
      </c>
      <c r="E2">
        <f>BDH("TCRT US Equity","SHORT_AND_LONG_TERM_DEBT","1993-06-18","2026-05-02","Per=Y","Days=T","Dir=V")</f>
        <v>0</v>
      </c>
      <c r="G2">
        <f>BDH("TCRT US Equity","BS_ST_BORROW","1993-06-18","2026-05-02","Per=Y","Days=T","Dir=V")</f>
        <v>0</v>
      </c>
      <c r="I2">
        <f>BDH("TCRT US Equity","BS_LT_BORROW","1993-06-18","2026-05-02","Per=Y","Days=T","Dir=V")</f>
        <v>0</v>
      </c>
      <c r="K2">
        <f>BDH("TCRT US Equity","BS_CASH_NEAR_CASH_ITEM","1993-06-18","2026-05-02","Per=Y","Days=T","Dir=V")</f>
        <v>0</v>
      </c>
      <c r="M2">
        <f>BDH("TCRT US Equity","BS_CUR_ASSET_REPORT","1993-06-18","2026-05-02","Per=Y","Days=T","Dir=V")</f>
        <v>0</v>
      </c>
      <c r="O2">
        <f>BDH("TCRT US Equity","BS_CUR_LIAB","1993-06-18","2026-05-02","Per=Y","Days=T","Dir=V")</f>
        <v>0</v>
      </c>
      <c r="Q2">
        <f>BDH("TCRT US Equity","BS_SHAREHOLDER_EQY_ENDING_PERIOD","1993-06-18","2026-05-02","Per=Y","Days=T","Dir=V")</f>
        <v>0</v>
      </c>
      <c r="S2">
        <f>BDH("TCRT US Equity","BS_ACCT_NOTE_RCV","1993-06-18","2026-05-02","Per=Y","Days=T","Dir=V")</f>
        <v>0</v>
      </c>
      <c r="U2">
        <f>BDH("TCRT US Equity","BS_INVENTORIES","1993-06-18","2026-05-02","Per=Y","Days=T","Dir=V")</f>
        <v>0</v>
      </c>
      <c r="W2">
        <f>BDH("TCRT US Equity","WORKING_CAPITAL","1993-06-18","2026-05-02","Per=Y","Days=T","Dir=V")</f>
        <v>0</v>
      </c>
      <c r="Y2">
        <f>BDH("TCRT US Equity","SALES_REV_TURN","1993-06-18","2026-05-02","Per=Y","Days=T","Dir=V")</f>
        <v>0</v>
      </c>
      <c r="AA2">
        <f>BDH("TCRT US Equity","EBIT","1993-06-18","2026-05-02","Per=Y","Days=T","Dir=V")</f>
        <v>0</v>
      </c>
      <c r="AC2">
        <f>BDH("TCRT US Equity","EBITDA","1993-06-18","2026-05-02","Per=Y","Days=T","Dir=V")</f>
        <v>0</v>
      </c>
      <c r="AE2">
        <f>BDH("TCRT US Equity","NET_INCOME","1993-06-18","2026-05-02","Per=Y","Days=T","Dir=V")</f>
        <v>0</v>
      </c>
      <c r="AG2">
        <f>BDH("TCRT US Equity","IS_INT_EXPENSE","1993-06-18","2026-05-02","Per=Y","Days=T","Dir=V")</f>
        <v>0</v>
      </c>
      <c r="AI2">
        <f>BDH("TCRT US Equity","IS_DEPR_EXP","1993-06-18","2026-05-02","Per=Y","Days=T","Dir=V")</f>
        <v>0</v>
      </c>
      <c r="AK2">
        <f>BDH("TCRT US Equity","CF_CASH_FROM_OPER","1993-06-18","2026-05-02","Per=Y","Days=T","Dir=V")</f>
        <v>0</v>
      </c>
      <c r="AM2">
        <f>BDH("TCRT US Equity","CAPITAL_EXPEND","1993-06-18","2026-05-02","Per=Y","Days=T","Dir=V")</f>
        <v>0</v>
      </c>
      <c r="AO2">
        <f>BDH("TCRT US Equity","CF_FREE_CASH_FLOW","1993-06-18","2026-05-02","Per=Y","Days=T","Dir=V")</f>
        <v>0</v>
      </c>
      <c r="AQ2">
        <f>BDH("TCRT US Equity","PX_LAST","1993-06-18","2026-05-02","Per=M","Days=T","Dir=V")</f>
        <v>0</v>
      </c>
      <c r="AS2">
        <f>BDH("TCRT US Equity","CUR_MKT_CAP","1993-06-18","2026-05-02","Per=M","Days=T","Dir=V")</f>
        <v>0</v>
      </c>
      <c r="AU2">
        <f>BDH("TCRT US Equity","EQY_SH_OUT","1993-06-18","2026-05-02","Per=M","Days=T","Dir=V")</f>
        <v>0</v>
      </c>
      <c r="AW2">
        <f>BDH("TCRT US Equity","PX_VOLUME","1993-06-18","2026-05-02","Per=M","Days=T","Dir=V")</f>
        <v>0</v>
      </c>
      <c r="AY2">
        <f>BDH("TCRT US Equity","TURNOVER","1993-06-18","2026-05-02","Per=M","Days=T","Dir=V")</f>
        <v>0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BDH("TCRX US Equity","BS_TOT_ASSET","1993-06-18","2026-05-02","Per=Y","Days=T","Dir=V")</f>
        <v>0</v>
      </c>
      <c r="C2">
        <f>BDH("TCRX US Equity","BS_TOT_LIAB2","1993-06-18","2026-05-02","Per=Y","Days=T","Dir=V")</f>
        <v>0</v>
      </c>
      <c r="E2">
        <f>BDH("TCRX US Equity","SHORT_AND_LONG_TERM_DEBT","1993-06-18","2026-05-02","Per=Y","Days=T","Dir=V")</f>
        <v>0</v>
      </c>
      <c r="G2">
        <f>BDH("TCRX US Equity","BS_ST_BORROW","1993-06-18","2026-05-02","Per=Y","Days=T","Dir=V")</f>
        <v>0</v>
      </c>
      <c r="I2">
        <f>BDH("TCRX US Equity","BS_LT_BORROW","1993-06-18","2026-05-02","Per=Y","Days=T","Dir=V")</f>
        <v>0</v>
      </c>
      <c r="K2">
        <f>BDH("TCRX US Equity","BS_CASH_NEAR_CASH_ITEM","1993-06-18","2026-05-02","Per=Y","Days=T","Dir=V")</f>
        <v>0</v>
      </c>
      <c r="M2">
        <f>BDH("TCRX US Equity","BS_CUR_ASSET_REPORT","1993-06-18","2026-05-02","Per=Y","Days=T","Dir=V")</f>
        <v>0</v>
      </c>
      <c r="O2">
        <f>BDH("TCRX US Equity","BS_CUR_LIAB","1993-06-18","2026-05-02","Per=Y","Days=T","Dir=V")</f>
        <v>0</v>
      </c>
      <c r="Q2">
        <f>BDH("TCRX US Equity","BS_SHAREHOLDER_EQY_ENDING_PERIOD","1993-06-18","2026-05-02","Per=Y","Days=T","Dir=V")</f>
        <v>0</v>
      </c>
      <c r="S2">
        <f>BDH("TCRX US Equity","BS_ACCT_NOTE_RCV","1993-06-18","2026-05-02","Per=Y","Days=T","Dir=V")</f>
        <v>0</v>
      </c>
      <c r="U2">
        <f>BDH("TCRX US Equity","BS_INVENTORIES","1993-06-18","2026-05-02","Per=Y","Days=T","Dir=V")</f>
        <v>0</v>
      </c>
      <c r="W2">
        <f>BDH("TCRX US Equity","WORKING_CAPITAL","1993-06-18","2026-05-02","Per=Y","Days=T","Dir=V")</f>
        <v>0</v>
      </c>
      <c r="Y2">
        <f>BDH("TCRX US Equity","SALES_REV_TURN","1993-06-18","2026-05-02","Per=Y","Days=T","Dir=V")</f>
        <v>0</v>
      </c>
      <c r="AA2">
        <f>BDH("TCRX US Equity","EBIT","1993-06-18","2026-05-02","Per=Y","Days=T","Dir=V")</f>
        <v>0</v>
      </c>
      <c r="AC2">
        <f>BDH("TCRX US Equity","EBITDA","1993-06-18","2026-05-02","Per=Y","Days=T","Dir=V")</f>
        <v>0</v>
      </c>
      <c r="AE2">
        <f>BDH("TCRX US Equity","NET_INCOME","1993-06-18","2026-05-02","Per=Y","Days=T","Dir=V")</f>
        <v>0</v>
      </c>
      <c r="AG2">
        <f>BDH("TCRX US Equity","IS_INT_EXPENSE","1993-06-18","2026-05-02","Per=Y","Days=T","Dir=V")</f>
        <v>0</v>
      </c>
      <c r="AI2">
        <f>BDH("TCRX US Equity","IS_DEPR_EXP","1993-06-18","2026-05-02","Per=Y","Days=T","Dir=V")</f>
        <v>0</v>
      </c>
      <c r="AK2">
        <f>BDH("TCRX US Equity","CF_CASH_FROM_OPER","1993-06-18","2026-05-02","Per=Y","Days=T","Dir=V")</f>
        <v>0</v>
      </c>
      <c r="AM2">
        <f>BDH("TCRX US Equity","CAPITAL_EXPEND","1993-06-18","2026-05-02","Per=Y","Days=T","Dir=V")</f>
        <v>0</v>
      </c>
      <c r="AO2">
        <f>BDH("TCRX US Equity","CF_FREE_CASH_FLOW","1993-06-18","2026-05-02","Per=Y","Days=T","Dir=V")</f>
        <v>0</v>
      </c>
      <c r="AQ2">
        <f>BDH("TCRX US Equity","PX_LAST","1993-06-18","2026-05-02","Per=M","Days=T","Dir=V")</f>
        <v>0</v>
      </c>
      <c r="AS2">
        <f>BDH("TCRX US Equity","CUR_MKT_CAP","1993-06-18","2026-05-02","Per=M","Days=T","Dir=V")</f>
        <v>0</v>
      </c>
      <c r="AU2">
        <f>BDH("TCRX US Equity","EQY_SH_OUT","1993-06-18","2026-05-02","Per=M","Days=T","Dir=V")</f>
        <v>0</v>
      </c>
      <c r="AW2">
        <f>BDH("TCRX US Equity","PX_VOLUME","1993-06-18","2026-05-02","Per=M","Days=T","Dir=V")</f>
        <v>0</v>
      </c>
      <c r="AY2">
        <f>BDH("TCRX US Equity","TURNOVER","1993-06-18","2026-05-02","Per=M","Days=T","Dir=V")</f>
        <v>0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BDH("TDAY US Equity","BS_TOT_ASSET","1993-06-18","2026-05-02","Per=Y","Days=T","Dir=V")</f>
        <v>0</v>
      </c>
      <c r="C2">
        <f>BDH("TDAY US Equity","BS_TOT_LIAB2","1993-06-18","2026-05-02","Per=Y","Days=T","Dir=V")</f>
        <v>0</v>
      </c>
      <c r="E2">
        <f>BDH("TDAY US Equity","SHORT_AND_LONG_TERM_DEBT","1993-06-18","2026-05-02","Per=Y","Days=T","Dir=V")</f>
        <v>0</v>
      </c>
      <c r="G2">
        <f>BDH("TDAY US Equity","BS_ST_BORROW","1993-06-18","2026-05-02","Per=Y","Days=T","Dir=V")</f>
        <v>0</v>
      </c>
      <c r="I2">
        <f>BDH("TDAY US Equity","BS_LT_BORROW","1993-06-18","2026-05-02","Per=Y","Days=T","Dir=V")</f>
        <v>0</v>
      </c>
      <c r="K2">
        <f>BDH("TDAY US Equity","BS_CASH_NEAR_CASH_ITEM","1993-06-18","2026-05-02","Per=Y","Days=T","Dir=V")</f>
        <v>0</v>
      </c>
      <c r="M2">
        <f>BDH("TDAY US Equity","BS_CUR_ASSET_REPORT","1993-06-18","2026-05-02","Per=Y","Days=T","Dir=V")</f>
        <v>0</v>
      </c>
      <c r="O2">
        <f>BDH("TDAY US Equity","BS_CUR_LIAB","1993-06-18","2026-05-02","Per=Y","Days=T","Dir=V")</f>
        <v>0</v>
      </c>
      <c r="Q2">
        <f>BDH("TDAY US Equity","BS_SHAREHOLDER_EQY_ENDING_PERIOD","1993-06-18","2026-05-02","Per=Y","Days=T","Dir=V")</f>
        <v>0</v>
      </c>
      <c r="S2">
        <f>BDH("TDAY US Equity","BS_ACCT_NOTE_RCV","1993-06-18","2026-05-02","Per=Y","Days=T","Dir=V")</f>
        <v>0</v>
      </c>
      <c r="U2">
        <f>BDH("TDAY US Equity","BS_INVENTORIES","1993-06-18","2026-05-02","Per=Y","Days=T","Dir=V")</f>
        <v>0</v>
      </c>
      <c r="W2">
        <f>BDH("TDAY US Equity","WORKING_CAPITAL","1993-06-18","2026-05-02","Per=Y","Days=T","Dir=V")</f>
        <v>0</v>
      </c>
      <c r="Y2">
        <f>BDH("TDAY US Equity","SALES_REV_TURN","1993-06-18","2026-05-02","Per=Y","Days=T","Dir=V")</f>
        <v>0</v>
      </c>
      <c r="AA2">
        <f>BDH("TDAY US Equity","EBIT","1993-06-18","2026-05-02","Per=Y","Days=T","Dir=V")</f>
        <v>0</v>
      </c>
      <c r="AC2">
        <f>BDH("TDAY US Equity","EBITDA","1993-06-18","2026-05-02","Per=Y","Days=T","Dir=V")</f>
        <v>0</v>
      </c>
      <c r="AE2">
        <f>BDH("TDAY US Equity","NET_INCOME","1993-06-18","2026-05-02","Per=Y","Days=T","Dir=V")</f>
        <v>0</v>
      </c>
      <c r="AG2">
        <f>BDH("TDAY US Equity","IS_INT_EXPENSE","1993-06-18","2026-05-02","Per=Y","Days=T","Dir=V")</f>
        <v>0</v>
      </c>
      <c r="AI2">
        <f>BDH("TDAY US Equity","IS_DEPR_EXP","1993-06-18","2026-05-02","Per=Y","Days=T","Dir=V")</f>
        <v>0</v>
      </c>
      <c r="AK2">
        <f>BDH("TDAY US Equity","CF_CASH_FROM_OPER","1993-06-18","2026-05-02","Per=Y","Days=T","Dir=V")</f>
        <v>0</v>
      </c>
      <c r="AM2">
        <f>BDH("TDAY US Equity","CAPITAL_EXPEND","1993-06-18","2026-05-02","Per=Y","Days=T","Dir=V")</f>
        <v>0</v>
      </c>
      <c r="AO2">
        <f>BDH("TDAY US Equity","CF_FREE_CASH_FLOW","1993-06-18","2026-05-02","Per=Y","Days=T","Dir=V")</f>
        <v>0</v>
      </c>
      <c r="AQ2">
        <f>BDH("TDAY US Equity","PX_LAST","1993-06-18","2026-05-02","Per=M","Days=T","Dir=V")</f>
        <v>0</v>
      </c>
      <c r="AS2">
        <f>BDH("TDAY US Equity","CUR_MKT_CAP","1993-06-18","2026-05-02","Per=M","Days=T","Dir=V")</f>
        <v>0</v>
      </c>
      <c r="AU2">
        <f>BDH("TDAY US Equity","EQY_SH_OUT","1993-06-18","2026-05-02","Per=M","Days=T","Dir=V")</f>
        <v>0</v>
      </c>
      <c r="AW2">
        <f>BDH("TDAY US Equity","PX_VOLUME","1993-06-18","2026-05-02","Per=M","Days=T","Dir=V")</f>
        <v>0</v>
      </c>
      <c r="AY2">
        <f>BDH("TDAY US Equity","TURNOVER","1993-06-18","2026-05-02","Per=M","Days=T","Dir=V")</f>
        <v>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BDH("TDC US Equity","BS_TOT_ASSET","1993-06-18","2026-05-02","Per=Y","Days=T","Dir=V")</f>
        <v>0</v>
      </c>
      <c r="C2">
        <f>BDH("TDC US Equity","BS_TOT_LIAB2","1993-06-18","2026-05-02","Per=Y","Days=T","Dir=V")</f>
        <v>0</v>
      </c>
      <c r="E2">
        <f>BDH("TDC US Equity","SHORT_AND_LONG_TERM_DEBT","1993-06-18","2026-05-02","Per=Y","Days=T","Dir=V")</f>
        <v>0</v>
      </c>
      <c r="G2">
        <f>BDH("TDC US Equity","BS_ST_BORROW","1993-06-18","2026-05-02","Per=Y","Days=T","Dir=V")</f>
        <v>0</v>
      </c>
      <c r="I2">
        <f>BDH("TDC US Equity","BS_LT_BORROW","1993-06-18","2026-05-02","Per=Y","Days=T","Dir=V")</f>
        <v>0</v>
      </c>
      <c r="K2">
        <f>BDH("TDC US Equity","BS_CASH_NEAR_CASH_ITEM","1993-06-18","2026-05-02","Per=Y","Days=T","Dir=V")</f>
        <v>0</v>
      </c>
      <c r="M2">
        <f>BDH("TDC US Equity","BS_CUR_ASSET_REPORT","1993-06-18","2026-05-02","Per=Y","Days=T","Dir=V")</f>
        <v>0</v>
      </c>
      <c r="O2">
        <f>BDH("TDC US Equity","BS_CUR_LIAB","1993-06-18","2026-05-02","Per=Y","Days=T","Dir=V")</f>
        <v>0</v>
      </c>
      <c r="Q2">
        <f>BDH("TDC US Equity","BS_SHAREHOLDER_EQY_ENDING_PERIOD","1993-06-18","2026-05-02","Per=Y","Days=T","Dir=V")</f>
        <v>0</v>
      </c>
      <c r="S2">
        <f>BDH("TDC US Equity","BS_ACCT_NOTE_RCV","1993-06-18","2026-05-02","Per=Y","Days=T","Dir=V")</f>
        <v>0</v>
      </c>
      <c r="U2">
        <f>BDH("TDC US Equity","BS_INVENTORIES","1993-06-18","2026-05-02","Per=Y","Days=T","Dir=V")</f>
        <v>0</v>
      </c>
      <c r="W2">
        <f>BDH("TDC US Equity","WORKING_CAPITAL","1993-06-18","2026-05-02","Per=Y","Days=T","Dir=V")</f>
        <v>0</v>
      </c>
      <c r="Y2">
        <f>BDH("TDC US Equity","SALES_REV_TURN","1993-06-18","2026-05-02","Per=Y","Days=T","Dir=V")</f>
        <v>0</v>
      </c>
      <c r="AA2">
        <f>BDH("TDC US Equity","EBIT","1993-06-18","2026-05-02","Per=Y","Days=T","Dir=V")</f>
        <v>0</v>
      </c>
      <c r="AC2">
        <f>BDH("TDC US Equity","EBITDA","1993-06-18","2026-05-02","Per=Y","Days=T","Dir=V")</f>
        <v>0</v>
      </c>
      <c r="AE2">
        <f>BDH("TDC US Equity","NET_INCOME","1993-06-18","2026-05-02","Per=Y","Days=T","Dir=V")</f>
        <v>0</v>
      </c>
      <c r="AG2">
        <f>BDH("TDC US Equity","IS_INT_EXPENSE","1993-06-18","2026-05-02","Per=Y","Days=T","Dir=V")</f>
        <v>0</v>
      </c>
      <c r="AI2">
        <f>BDH("TDC US Equity","IS_DEPR_EXP","1993-06-18","2026-05-02","Per=Y","Days=T","Dir=V")</f>
        <v>0</v>
      </c>
      <c r="AK2">
        <f>BDH("TDC US Equity","CF_CASH_FROM_OPER","1993-06-18","2026-05-02","Per=Y","Days=T","Dir=V")</f>
        <v>0</v>
      </c>
      <c r="AM2">
        <f>BDH("TDC US Equity","CAPITAL_EXPEND","1993-06-18","2026-05-02","Per=Y","Days=T","Dir=V")</f>
        <v>0</v>
      </c>
      <c r="AO2">
        <f>BDH("TDC US Equity","CF_FREE_CASH_FLOW","1993-06-18","2026-05-02","Per=Y","Days=T","Dir=V")</f>
        <v>0</v>
      </c>
      <c r="AQ2">
        <f>BDH("TDC US Equity","PX_LAST","1993-06-18","2026-05-02","Per=M","Days=T","Dir=V")</f>
        <v>0</v>
      </c>
      <c r="AS2">
        <f>BDH("TDC US Equity","CUR_MKT_CAP","1993-06-18","2026-05-02","Per=M","Days=T","Dir=V")</f>
        <v>0</v>
      </c>
      <c r="AU2">
        <f>BDH("TDC US Equity","EQY_SH_OUT","1993-06-18","2026-05-02","Per=M","Days=T","Dir=V")</f>
        <v>0</v>
      </c>
      <c r="AW2">
        <f>BDH("TDC US Equity","PX_VOLUME","1993-06-18","2026-05-02","Per=M","Days=T","Dir=V")</f>
        <v>0</v>
      </c>
      <c r="AY2">
        <f>BDH("TDC US Equity","TURNOVER","1993-06-18","2026-05-02","Per=M","Days=T","Dir=V")</f>
        <v>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BDH("TDG US Equity","BS_TOT_ASSET","1993-06-18","2026-05-02","Per=Y","Days=T","Dir=V")</f>
        <v>0</v>
      </c>
      <c r="C2">
        <f>BDH("TDG US Equity","BS_TOT_LIAB2","1993-06-18","2026-05-02","Per=Y","Days=T","Dir=V")</f>
        <v>0</v>
      </c>
      <c r="E2">
        <f>BDH("TDG US Equity","SHORT_AND_LONG_TERM_DEBT","1993-06-18","2026-05-02","Per=Y","Days=T","Dir=V")</f>
        <v>0</v>
      </c>
      <c r="G2">
        <f>BDH("TDG US Equity","BS_ST_BORROW","1993-06-18","2026-05-02","Per=Y","Days=T","Dir=V")</f>
        <v>0</v>
      </c>
      <c r="I2">
        <f>BDH("TDG US Equity","BS_LT_BORROW","1993-06-18","2026-05-02","Per=Y","Days=T","Dir=V")</f>
        <v>0</v>
      </c>
      <c r="K2">
        <f>BDH("TDG US Equity","BS_CASH_NEAR_CASH_ITEM","1993-06-18","2026-05-02","Per=Y","Days=T","Dir=V")</f>
        <v>0</v>
      </c>
      <c r="M2">
        <f>BDH("TDG US Equity","BS_CUR_ASSET_REPORT","1993-06-18","2026-05-02","Per=Y","Days=T","Dir=V")</f>
        <v>0</v>
      </c>
      <c r="O2">
        <f>BDH("TDG US Equity","BS_CUR_LIAB","1993-06-18","2026-05-02","Per=Y","Days=T","Dir=V")</f>
        <v>0</v>
      </c>
      <c r="Q2">
        <f>BDH("TDG US Equity","BS_SHAREHOLDER_EQY_ENDING_PERIOD","1993-06-18","2026-05-02","Per=Y","Days=T","Dir=V")</f>
        <v>0</v>
      </c>
      <c r="S2">
        <f>BDH("TDG US Equity","BS_ACCT_NOTE_RCV","1993-06-18","2026-05-02","Per=Y","Days=T","Dir=V")</f>
        <v>0</v>
      </c>
      <c r="U2">
        <f>BDH("TDG US Equity","BS_INVENTORIES","1993-06-18","2026-05-02","Per=Y","Days=T","Dir=V")</f>
        <v>0</v>
      </c>
      <c r="W2">
        <f>BDH("TDG US Equity","WORKING_CAPITAL","1993-06-18","2026-05-02","Per=Y","Days=T","Dir=V")</f>
        <v>0</v>
      </c>
      <c r="Y2">
        <f>BDH("TDG US Equity","SALES_REV_TURN","1993-06-18","2026-05-02","Per=Y","Days=T","Dir=V")</f>
        <v>0</v>
      </c>
      <c r="AA2">
        <f>BDH("TDG US Equity","EBIT","1993-06-18","2026-05-02","Per=Y","Days=T","Dir=V")</f>
        <v>0</v>
      </c>
      <c r="AC2">
        <f>BDH("TDG US Equity","EBITDA","1993-06-18","2026-05-02","Per=Y","Days=T","Dir=V")</f>
        <v>0</v>
      </c>
      <c r="AE2">
        <f>BDH("TDG US Equity","NET_INCOME","1993-06-18","2026-05-02","Per=Y","Days=T","Dir=V")</f>
        <v>0</v>
      </c>
      <c r="AG2">
        <f>BDH("TDG US Equity","IS_INT_EXPENSE","1993-06-18","2026-05-02","Per=Y","Days=T","Dir=V")</f>
        <v>0</v>
      </c>
      <c r="AI2">
        <f>BDH("TDG US Equity","IS_DEPR_EXP","1993-06-18","2026-05-02","Per=Y","Days=T","Dir=V")</f>
        <v>0</v>
      </c>
      <c r="AK2">
        <f>BDH("TDG US Equity","CF_CASH_FROM_OPER","1993-06-18","2026-05-02","Per=Y","Days=T","Dir=V")</f>
        <v>0</v>
      </c>
      <c r="AM2">
        <f>BDH("TDG US Equity","CAPITAL_EXPEND","1993-06-18","2026-05-02","Per=Y","Days=T","Dir=V")</f>
        <v>0</v>
      </c>
      <c r="AO2">
        <f>BDH("TDG US Equity","CF_FREE_CASH_FLOW","1993-06-18","2026-05-02","Per=Y","Days=T","Dir=V")</f>
        <v>0</v>
      </c>
      <c r="AQ2">
        <f>BDH("TDG US Equity","PX_LAST","1993-06-18","2026-05-02","Per=M","Days=T","Dir=V")</f>
        <v>0</v>
      </c>
      <c r="AS2">
        <f>BDH("TDG US Equity","CUR_MKT_CAP","1993-06-18","2026-05-02","Per=M","Days=T","Dir=V")</f>
        <v>0</v>
      </c>
      <c r="AU2">
        <f>BDH("TDG US Equity","EQY_SH_OUT","1993-06-18","2026-05-02","Per=M","Days=T","Dir=V")</f>
        <v>0</v>
      </c>
      <c r="AW2">
        <f>BDH("TDG US Equity","PX_VOLUME","1993-06-18","2026-05-02","Per=M","Days=T","Dir=V")</f>
        <v>0</v>
      </c>
      <c r="AY2">
        <f>BDH("TDG US Equity","TURNOVER","1993-06-18","2026-05-02","Per=M","Days=T","Dir=V")</f>
        <v>0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BDH("TDOC US Equity","BS_TOT_ASSET","1993-06-18","2026-05-02","Per=Y","Days=T","Dir=V")</f>
        <v>0</v>
      </c>
      <c r="C2">
        <f>BDH("TDOC US Equity","BS_TOT_LIAB2","1993-06-18","2026-05-02","Per=Y","Days=T","Dir=V")</f>
        <v>0</v>
      </c>
      <c r="E2">
        <f>BDH("TDOC US Equity","SHORT_AND_LONG_TERM_DEBT","1993-06-18","2026-05-02","Per=Y","Days=T","Dir=V")</f>
        <v>0</v>
      </c>
      <c r="G2">
        <f>BDH("TDOC US Equity","BS_ST_BORROW","1993-06-18","2026-05-02","Per=Y","Days=T","Dir=V")</f>
        <v>0</v>
      </c>
      <c r="I2">
        <f>BDH("TDOC US Equity","BS_LT_BORROW","1993-06-18","2026-05-02","Per=Y","Days=T","Dir=V")</f>
        <v>0</v>
      </c>
      <c r="K2">
        <f>BDH("TDOC US Equity","BS_CASH_NEAR_CASH_ITEM","1993-06-18","2026-05-02","Per=Y","Days=T","Dir=V")</f>
        <v>0</v>
      </c>
      <c r="M2">
        <f>BDH("TDOC US Equity","BS_CUR_ASSET_REPORT","1993-06-18","2026-05-02","Per=Y","Days=T","Dir=V")</f>
        <v>0</v>
      </c>
      <c r="O2">
        <f>BDH("TDOC US Equity","BS_CUR_LIAB","1993-06-18","2026-05-02","Per=Y","Days=T","Dir=V")</f>
        <v>0</v>
      </c>
      <c r="Q2">
        <f>BDH("TDOC US Equity","BS_SHAREHOLDER_EQY_ENDING_PERIOD","1993-06-18","2026-05-02","Per=Y","Days=T","Dir=V")</f>
        <v>0</v>
      </c>
      <c r="S2">
        <f>BDH("TDOC US Equity","BS_ACCT_NOTE_RCV","1993-06-18","2026-05-02","Per=Y","Days=T","Dir=V")</f>
        <v>0</v>
      </c>
      <c r="U2">
        <f>BDH("TDOC US Equity","BS_INVENTORIES","1993-06-18","2026-05-02","Per=Y","Days=T","Dir=V")</f>
        <v>0</v>
      </c>
      <c r="W2">
        <f>BDH("TDOC US Equity","WORKING_CAPITAL","1993-06-18","2026-05-02","Per=Y","Days=T","Dir=V")</f>
        <v>0</v>
      </c>
      <c r="Y2">
        <f>BDH("TDOC US Equity","SALES_REV_TURN","1993-06-18","2026-05-02","Per=Y","Days=T","Dir=V")</f>
        <v>0</v>
      </c>
      <c r="AA2">
        <f>BDH("TDOC US Equity","EBIT","1993-06-18","2026-05-02","Per=Y","Days=T","Dir=V")</f>
        <v>0</v>
      </c>
      <c r="AC2">
        <f>BDH("TDOC US Equity","EBITDA","1993-06-18","2026-05-02","Per=Y","Days=T","Dir=V")</f>
        <v>0</v>
      </c>
      <c r="AE2">
        <f>BDH("TDOC US Equity","NET_INCOME","1993-06-18","2026-05-02","Per=Y","Days=T","Dir=V")</f>
        <v>0</v>
      </c>
      <c r="AG2">
        <f>BDH("TDOC US Equity","IS_INT_EXPENSE","1993-06-18","2026-05-02","Per=Y","Days=T","Dir=V")</f>
        <v>0</v>
      </c>
      <c r="AI2">
        <f>BDH("TDOC US Equity","IS_DEPR_EXP","1993-06-18","2026-05-02","Per=Y","Days=T","Dir=V")</f>
        <v>0</v>
      </c>
      <c r="AK2">
        <f>BDH("TDOC US Equity","CF_CASH_FROM_OPER","1993-06-18","2026-05-02","Per=Y","Days=T","Dir=V")</f>
        <v>0</v>
      </c>
      <c r="AM2">
        <f>BDH("TDOC US Equity","CAPITAL_EXPEND","1993-06-18","2026-05-02","Per=Y","Days=T","Dir=V")</f>
        <v>0</v>
      </c>
      <c r="AO2">
        <f>BDH("TDOC US Equity","CF_FREE_CASH_FLOW","1993-06-18","2026-05-02","Per=Y","Days=T","Dir=V")</f>
        <v>0</v>
      </c>
      <c r="AQ2">
        <f>BDH("TDOC US Equity","PX_LAST","1993-06-18","2026-05-02","Per=M","Days=T","Dir=V")</f>
        <v>0</v>
      </c>
      <c r="AS2">
        <f>BDH("TDOC US Equity","CUR_MKT_CAP","1993-06-18","2026-05-02","Per=M","Days=T","Dir=V")</f>
        <v>0</v>
      </c>
      <c r="AU2">
        <f>BDH("TDOC US Equity","EQY_SH_OUT","1993-06-18","2026-05-02","Per=M","Days=T","Dir=V")</f>
        <v>0</v>
      </c>
      <c r="AW2">
        <f>BDH("TDOC US Equity","PX_VOLUME","1993-06-18","2026-05-02","Per=M","Days=T","Dir=V")</f>
        <v>0</v>
      </c>
      <c r="AY2">
        <f>BDH("TDOC US Equity","TURNOVER","1993-06-18","2026-05-02","Per=M","Days=T","Dir=V")</f>
        <v>0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BDH("TDS US Equity","BS_TOT_ASSET","1993-06-18","2026-05-02","Per=Y","Days=T","Dir=V")</f>
        <v>0</v>
      </c>
      <c r="C2">
        <f>BDH("TDS US Equity","BS_TOT_LIAB2","1993-06-18","2026-05-02","Per=Y","Days=T","Dir=V")</f>
        <v>0</v>
      </c>
      <c r="E2">
        <f>BDH("TDS US Equity","SHORT_AND_LONG_TERM_DEBT","1993-06-18","2026-05-02","Per=Y","Days=T","Dir=V")</f>
        <v>0</v>
      </c>
      <c r="G2">
        <f>BDH("TDS US Equity","BS_ST_BORROW","1993-06-18","2026-05-02","Per=Y","Days=T","Dir=V")</f>
        <v>0</v>
      </c>
      <c r="I2">
        <f>BDH("TDS US Equity","BS_LT_BORROW","1993-06-18","2026-05-02","Per=Y","Days=T","Dir=V")</f>
        <v>0</v>
      </c>
      <c r="K2">
        <f>BDH("TDS US Equity","BS_CASH_NEAR_CASH_ITEM","1993-06-18","2026-05-02","Per=Y","Days=T","Dir=V")</f>
        <v>0</v>
      </c>
      <c r="M2">
        <f>BDH("TDS US Equity","BS_CUR_ASSET_REPORT","1993-06-18","2026-05-02","Per=Y","Days=T","Dir=V")</f>
        <v>0</v>
      </c>
      <c r="O2">
        <f>BDH("TDS US Equity","BS_CUR_LIAB","1993-06-18","2026-05-02","Per=Y","Days=T","Dir=V")</f>
        <v>0</v>
      </c>
      <c r="Q2">
        <f>BDH("TDS US Equity","BS_SHAREHOLDER_EQY_ENDING_PERIOD","1993-06-18","2026-05-02","Per=Y","Days=T","Dir=V")</f>
        <v>0</v>
      </c>
      <c r="S2">
        <f>BDH("TDS US Equity","BS_ACCT_NOTE_RCV","1993-06-18","2026-05-02","Per=Y","Days=T","Dir=V")</f>
        <v>0</v>
      </c>
      <c r="U2">
        <f>BDH("TDS US Equity","BS_INVENTORIES","1993-06-18","2026-05-02","Per=Y","Days=T","Dir=V")</f>
        <v>0</v>
      </c>
      <c r="W2">
        <f>BDH("TDS US Equity","WORKING_CAPITAL","1993-06-18","2026-05-02","Per=Y","Days=T","Dir=V")</f>
        <v>0</v>
      </c>
      <c r="Y2">
        <f>BDH("TDS US Equity","SALES_REV_TURN","1993-06-18","2026-05-02","Per=Y","Days=T","Dir=V")</f>
        <v>0</v>
      </c>
      <c r="AA2">
        <f>BDH("TDS US Equity","EBIT","1993-06-18","2026-05-02","Per=Y","Days=T","Dir=V")</f>
        <v>0</v>
      </c>
      <c r="AC2">
        <f>BDH("TDS US Equity","EBITDA","1993-06-18","2026-05-02","Per=Y","Days=T","Dir=V")</f>
        <v>0</v>
      </c>
      <c r="AE2">
        <f>BDH("TDS US Equity","NET_INCOME","1993-06-18","2026-05-02","Per=Y","Days=T","Dir=V")</f>
        <v>0</v>
      </c>
      <c r="AG2">
        <f>BDH("TDS US Equity","IS_INT_EXPENSE","1993-06-18","2026-05-02","Per=Y","Days=T","Dir=V")</f>
        <v>0</v>
      </c>
      <c r="AI2">
        <f>BDH("TDS US Equity","IS_DEPR_EXP","1993-06-18","2026-05-02","Per=Y","Days=T","Dir=V")</f>
        <v>0</v>
      </c>
      <c r="AK2">
        <f>BDH("TDS US Equity","CF_CASH_FROM_OPER","1993-06-18","2026-05-02","Per=Y","Days=T","Dir=V")</f>
        <v>0</v>
      </c>
      <c r="AM2">
        <f>BDH("TDS US Equity","CAPITAL_EXPEND","1993-06-18","2026-05-02","Per=Y","Days=T","Dir=V")</f>
        <v>0</v>
      </c>
      <c r="AO2">
        <f>BDH("TDS US Equity","CF_FREE_CASH_FLOW","1993-06-18","2026-05-02","Per=Y","Days=T","Dir=V")</f>
        <v>0</v>
      </c>
      <c r="AQ2">
        <f>BDH("TDS US Equity","PX_LAST","1993-06-18","2026-05-02","Per=M","Days=T","Dir=V")</f>
        <v>0</v>
      </c>
      <c r="AS2">
        <f>BDH("TDS US Equity","CUR_MKT_CAP","1993-06-18","2026-05-02","Per=M","Days=T","Dir=V")</f>
        <v>0</v>
      </c>
      <c r="AU2">
        <f>BDH("TDS US Equity","EQY_SH_OUT","1993-06-18","2026-05-02","Per=M","Days=T","Dir=V")</f>
        <v>0</v>
      </c>
      <c r="AW2">
        <f>BDH("TDS US Equity","PX_VOLUME","1993-06-18","2026-05-02","Per=M","Days=T","Dir=V")</f>
        <v>0</v>
      </c>
      <c r="AY2">
        <f>BDH("TDS US Equity","TURNOVER","1993-06-18","2026-05-02","Per=M","Days=T","Dir=V")</f>
        <v>0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BDH("TDUP US Equity","BS_TOT_ASSET","1993-06-18","2026-05-02","Per=Y","Days=T","Dir=V")</f>
        <v>0</v>
      </c>
      <c r="C2">
        <f>BDH("TDUP US Equity","BS_TOT_LIAB2","1993-06-18","2026-05-02","Per=Y","Days=T","Dir=V")</f>
        <v>0</v>
      </c>
      <c r="E2">
        <f>BDH("TDUP US Equity","SHORT_AND_LONG_TERM_DEBT","1993-06-18","2026-05-02","Per=Y","Days=T","Dir=V")</f>
        <v>0</v>
      </c>
      <c r="G2">
        <f>BDH("TDUP US Equity","BS_ST_BORROW","1993-06-18","2026-05-02","Per=Y","Days=T","Dir=V")</f>
        <v>0</v>
      </c>
      <c r="I2">
        <f>BDH("TDUP US Equity","BS_LT_BORROW","1993-06-18","2026-05-02","Per=Y","Days=T","Dir=V")</f>
        <v>0</v>
      </c>
      <c r="K2">
        <f>BDH("TDUP US Equity","BS_CASH_NEAR_CASH_ITEM","1993-06-18","2026-05-02","Per=Y","Days=T","Dir=V")</f>
        <v>0</v>
      </c>
      <c r="M2">
        <f>BDH("TDUP US Equity","BS_CUR_ASSET_REPORT","1993-06-18","2026-05-02","Per=Y","Days=T","Dir=V")</f>
        <v>0</v>
      </c>
      <c r="O2">
        <f>BDH("TDUP US Equity","BS_CUR_LIAB","1993-06-18","2026-05-02","Per=Y","Days=T","Dir=V")</f>
        <v>0</v>
      </c>
      <c r="Q2">
        <f>BDH("TDUP US Equity","BS_SHAREHOLDER_EQY_ENDING_PERIOD","1993-06-18","2026-05-02","Per=Y","Days=T","Dir=V")</f>
        <v>0</v>
      </c>
      <c r="S2">
        <f>BDH("TDUP US Equity","BS_ACCT_NOTE_RCV","1993-06-18","2026-05-02","Per=Y","Days=T","Dir=V")</f>
        <v>0</v>
      </c>
      <c r="U2">
        <f>BDH("TDUP US Equity","BS_INVENTORIES","1993-06-18","2026-05-02","Per=Y","Days=T","Dir=V")</f>
        <v>0</v>
      </c>
      <c r="W2">
        <f>BDH("TDUP US Equity","WORKING_CAPITAL","1993-06-18","2026-05-02","Per=Y","Days=T","Dir=V")</f>
        <v>0</v>
      </c>
      <c r="Y2">
        <f>BDH("TDUP US Equity","SALES_REV_TURN","1993-06-18","2026-05-02","Per=Y","Days=T","Dir=V")</f>
        <v>0</v>
      </c>
      <c r="AA2">
        <f>BDH("TDUP US Equity","EBIT","1993-06-18","2026-05-02","Per=Y","Days=T","Dir=V")</f>
        <v>0</v>
      </c>
      <c r="AC2">
        <f>BDH("TDUP US Equity","EBITDA","1993-06-18","2026-05-02","Per=Y","Days=T","Dir=V")</f>
        <v>0</v>
      </c>
      <c r="AE2">
        <f>BDH("TDUP US Equity","NET_INCOME","1993-06-18","2026-05-02","Per=Y","Days=T","Dir=V")</f>
        <v>0</v>
      </c>
      <c r="AG2">
        <f>BDH("TDUP US Equity","IS_INT_EXPENSE","1993-06-18","2026-05-02","Per=Y","Days=T","Dir=V")</f>
        <v>0</v>
      </c>
      <c r="AI2">
        <f>BDH("TDUP US Equity","IS_DEPR_EXP","1993-06-18","2026-05-02","Per=Y","Days=T","Dir=V")</f>
        <v>0</v>
      </c>
      <c r="AK2">
        <f>BDH("TDUP US Equity","CF_CASH_FROM_OPER","1993-06-18","2026-05-02","Per=Y","Days=T","Dir=V")</f>
        <v>0</v>
      </c>
      <c r="AM2">
        <f>BDH("TDUP US Equity","CAPITAL_EXPEND","1993-06-18","2026-05-02","Per=Y","Days=T","Dir=V")</f>
        <v>0</v>
      </c>
      <c r="AO2">
        <f>BDH("TDUP US Equity","CF_FREE_CASH_FLOW","1993-06-18","2026-05-02","Per=Y","Days=T","Dir=V")</f>
        <v>0</v>
      </c>
      <c r="AQ2">
        <f>BDH("TDUP US Equity","PX_LAST","1993-06-18","2026-05-02","Per=M","Days=T","Dir=V")</f>
        <v>0</v>
      </c>
      <c r="AS2">
        <f>BDH("TDUP US Equity","CUR_MKT_CAP","1993-06-18","2026-05-02","Per=M","Days=T","Dir=V")</f>
        <v>0</v>
      </c>
      <c r="AU2">
        <f>BDH("TDUP US Equity","EQY_SH_OUT","1993-06-18","2026-05-02","Per=M","Days=T","Dir=V")</f>
        <v>0</v>
      </c>
      <c r="AW2">
        <f>BDH("TDUP US Equity","PX_VOLUME","1993-06-18","2026-05-02","Per=M","Days=T","Dir=V")</f>
        <v>0</v>
      </c>
      <c r="AY2">
        <f>BDH("TDUP US Equity","TURNOVER","1993-06-18","2026-05-02","Per=M","Days=T","Dir=V")</f>
        <v>0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BDH("TDW US Equity","BS_TOT_ASSET","1993-06-18","2026-05-02","Per=Y","Days=T","Dir=V")</f>
        <v>0</v>
      </c>
      <c r="C2">
        <f>BDH("TDW US Equity","BS_TOT_LIAB2","1993-06-18","2026-05-02","Per=Y","Days=T","Dir=V")</f>
        <v>0</v>
      </c>
      <c r="E2">
        <f>BDH("TDW US Equity","SHORT_AND_LONG_TERM_DEBT","1993-06-18","2026-05-02","Per=Y","Days=T","Dir=V")</f>
        <v>0</v>
      </c>
      <c r="G2">
        <f>BDH("TDW US Equity","BS_ST_BORROW","1993-06-18","2026-05-02","Per=Y","Days=T","Dir=V")</f>
        <v>0</v>
      </c>
      <c r="I2">
        <f>BDH("TDW US Equity","BS_LT_BORROW","1993-06-18","2026-05-02","Per=Y","Days=T","Dir=V")</f>
        <v>0</v>
      </c>
      <c r="K2">
        <f>BDH("TDW US Equity","BS_CASH_NEAR_CASH_ITEM","1993-06-18","2026-05-02","Per=Y","Days=T","Dir=V")</f>
        <v>0</v>
      </c>
      <c r="M2">
        <f>BDH("TDW US Equity","BS_CUR_ASSET_REPORT","1993-06-18","2026-05-02","Per=Y","Days=T","Dir=V")</f>
        <v>0</v>
      </c>
      <c r="O2">
        <f>BDH("TDW US Equity","BS_CUR_LIAB","1993-06-18","2026-05-02","Per=Y","Days=T","Dir=V")</f>
        <v>0</v>
      </c>
      <c r="Q2">
        <f>BDH("TDW US Equity","BS_SHAREHOLDER_EQY_ENDING_PERIOD","1993-06-18","2026-05-02","Per=Y","Days=T","Dir=V")</f>
        <v>0</v>
      </c>
      <c r="S2">
        <f>BDH("TDW US Equity","BS_ACCT_NOTE_RCV","1993-06-18","2026-05-02","Per=Y","Days=T","Dir=V")</f>
        <v>0</v>
      </c>
      <c r="U2">
        <f>BDH("TDW US Equity","BS_INVENTORIES","1993-06-18","2026-05-02","Per=Y","Days=T","Dir=V")</f>
        <v>0</v>
      </c>
      <c r="W2">
        <f>BDH("TDW US Equity","WORKING_CAPITAL","1993-06-18","2026-05-02","Per=Y","Days=T","Dir=V")</f>
        <v>0</v>
      </c>
      <c r="Y2">
        <f>BDH("TDW US Equity","SALES_REV_TURN","1993-06-18","2026-05-02","Per=Y","Days=T","Dir=V")</f>
        <v>0</v>
      </c>
      <c r="AA2">
        <f>BDH("TDW US Equity","EBIT","1993-06-18","2026-05-02","Per=Y","Days=T","Dir=V")</f>
        <v>0</v>
      </c>
      <c r="AC2">
        <f>BDH("TDW US Equity","EBITDA","1993-06-18","2026-05-02","Per=Y","Days=T","Dir=V")</f>
        <v>0</v>
      </c>
      <c r="AE2">
        <f>BDH("TDW US Equity","NET_INCOME","1993-06-18","2026-05-02","Per=Y","Days=T","Dir=V")</f>
        <v>0</v>
      </c>
      <c r="AG2">
        <f>BDH("TDW US Equity","IS_INT_EXPENSE","1993-06-18","2026-05-02","Per=Y","Days=T","Dir=V")</f>
        <v>0</v>
      </c>
      <c r="AI2">
        <f>BDH("TDW US Equity","IS_DEPR_EXP","1993-06-18","2026-05-02","Per=Y","Days=T","Dir=V")</f>
        <v>0</v>
      </c>
      <c r="AK2">
        <f>BDH("TDW US Equity","CF_CASH_FROM_OPER","1993-06-18","2026-05-02","Per=Y","Days=T","Dir=V")</f>
        <v>0</v>
      </c>
      <c r="AM2">
        <f>BDH("TDW US Equity","CAPITAL_EXPEND","1993-06-18","2026-05-02","Per=Y","Days=T","Dir=V")</f>
        <v>0</v>
      </c>
      <c r="AO2">
        <f>BDH("TDW US Equity","CF_FREE_CASH_FLOW","1993-06-18","2026-05-02","Per=Y","Days=T","Dir=V")</f>
        <v>0</v>
      </c>
      <c r="AQ2">
        <f>BDH("TDW US Equity","PX_LAST","1993-06-18","2026-05-02","Per=M","Days=T","Dir=V")</f>
        <v>0</v>
      </c>
      <c r="AS2">
        <f>BDH("TDW US Equity","CUR_MKT_CAP","1993-06-18","2026-05-02","Per=M","Days=T","Dir=V")</f>
        <v>0</v>
      </c>
      <c r="AU2">
        <f>BDH("TDW US Equity","EQY_SH_OUT","1993-06-18","2026-05-02","Per=M","Days=T","Dir=V")</f>
        <v>0</v>
      </c>
      <c r="AW2">
        <f>BDH("TDW US Equity","PX_VOLUME","1993-06-18","2026-05-02","Per=M","Days=T","Dir=V")</f>
        <v>0</v>
      </c>
      <c r="AY2">
        <f>BDH("TDW US Equity","TURNOVER","1993-06-18","2026-05-02","Per=M","Days=T","Dir=V")</f>
        <v>0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BDH("TDY US Equity","BS_TOT_ASSET","1993-06-18","2026-05-02","Per=Y","Days=T","Dir=V")</f>
        <v>0</v>
      </c>
      <c r="C2">
        <f>BDH("TDY US Equity","BS_TOT_LIAB2","1993-06-18","2026-05-02","Per=Y","Days=T","Dir=V")</f>
        <v>0</v>
      </c>
      <c r="E2">
        <f>BDH("TDY US Equity","SHORT_AND_LONG_TERM_DEBT","1993-06-18","2026-05-02","Per=Y","Days=T","Dir=V")</f>
        <v>0</v>
      </c>
      <c r="G2">
        <f>BDH("TDY US Equity","BS_ST_BORROW","1993-06-18","2026-05-02","Per=Y","Days=T","Dir=V")</f>
        <v>0</v>
      </c>
      <c r="I2">
        <f>BDH("TDY US Equity","BS_LT_BORROW","1993-06-18","2026-05-02","Per=Y","Days=T","Dir=V")</f>
        <v>0</v>
      </c>
      <c r="K2">
        <f>BDH("TDY US Equity","BS_CASH_NEAR_CASH_ITEM","1993-06-18","2026-05-02","Per=Y","Days=T","Dir=V")</f>
        <v>0</v>
      </c>
      <c r="M2">
        <f>BDH("TDY US Equity","BS_CUR_ASSET_REPORT","1993-06-18","2026-05-02","Per=Y","Days=T","Dir=V")</f>
        <v>0</v>
      </c>
      <c r="O2">
        <f>BDH("TDY US Equity","BS_CUR_LIAB","1993-06-18","2026-05-02","Per=Y","Days=T","Dir=V")</f>
        <v>0</v>
      </c>
      <c r="Q2">
        <f>BDH("TDY US Equity","BS_SHAREHOLDER_EQY_ENDING_PERIOD","1993-06-18","2026-05-02","Per=Y","Days=T","Dir=V")</f>
        <v>0</v>
      </c>
      <c r="S2">
        <f>BDH("TDY US Equity","BS_ACCT_NOTE_RCV","1993-06-18","2026-05-02","Per=Y","Days=T","Dir=V")</f>
        <v>0</v>
      </c>
      <c r="U2">
        <f>BDH("TDY US Equity","BS_INVENTORIES","1993-06-18","2026-05-02","Per=Y","Days=T","Dir=V")</f>
        <v>0</v>
      </c>
      <c r="W2">
        <f>BDH("TDY US Equity","WORKING_CAPITAL","1993-06-18","2026-05-02","Per=Y","Days=T","Dir=V")</f>
        <v>0</v>
      </c>
      <c r="Y2">
        <f>BDH("TDY US Equity","SALES_REV_TURN","1993-06-18","2026-05-02","Per=Y","Days=T","Dir=V")</f>
        <v>0</v>
      </c>
      <c r="AA2">
        <f>BDH("TDY US Equity","EBIT","1993-06-18","2026-05-02","Per=Y","Days=T","Dir=V")</f>
        <v>0</v>
      </c>
      <c r="AC2">
        <f>BDH("TDY US Equity","EBITDA","1993-06-18","2026-05-02","Per=Y","Days=T","Dir=V")</f>
        <v>0</v>
      </c>
      <c r="AE2">
        <f>BDH("TDY US Equity","NET_INCOME","1993-06-18","2026-05-02","Per=Y","Days=T","Dir=V")</f>
        <v>0</v>
      </c>
      <c r="AG2">
        <f>BDH("TDY US Equity","IS_INT_EXPENSE","1993-06-18","2026-05-02","Per=Y","Days=T","Dir=V")</f>
        <v>0</v>
      </c>
      <c r="AI2">
        <f>BDH("TDY US Equity","IS_DEPR_EXP","1993-06-18","2026-05-02","Per=Y","Days=T","Dir=V")</f>
        <v>0</v>
      </c>
      <c r="AK2">
        <f>BDH("TDY US Equity","CF_CASH_FROM_OPER","1993-06-18","2026-05-02","Per=Y","Days=T","Dir=V")</f>
        <v>0</v>
      </c>
      <c r="AM2">
        <f>BDH("TDY US Equity","CAPITAL_EXPEND","1993-06-18","2026-05-02","Per=Y","Days=T","Dir=V")</f>
        <v>0</v>
      </c>
      <c r="AO2">
        <f>BDH("TDY US Equity","CF_FREE_CASH_FLOW","1993-06-18","2026-05-02","Per=Y","Days=T","Dir=V")</f>
        <v>0</v>
      </c>
      <c r="AQ2">
        <f>BDH("TDY US Equity","PX_LAST","1993-06-18","2026-05-02","Per=M","Days=T","Dir=V")</f>
        <v>0</v>
      </c>
      <c r="AS2">
        <f>BDH("TDY US Equity","CUR_MKT_CAP","1993-06-18","2026-05-02","Per=M","Days=T","Dir=V")</f>
        <v>0</v>
      </c>
      <c r="AU2">
        <f>BDH("TDY US Equity","EQY_SH_OUT","1993-06-18","2026-05-02","Per=M","Days=T","Dir=V")</f>
        <v>0</v>
      </c>
      <c r="AW2">
        <f>BDH("TDY US Equity","PX_VOLUME","1993-06-18","2026-05-02","Per=M","Days=T","Dir=V")</f>
        <v>0</v>
      </c>
      <c r="AY2">
        <f>BDH("TDY US Equity","TURNOVER","1993-06-18","2026-05-02","Per=M","Days=T","Dir=V")</f>
        <v>0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BDH("TEAD US Equity","BS_TOT_ASSET","1993-06-18","2026-05-02","Per=Y","Days=T","Dir=V")</f>
        <v>0</v>
      </c>
      <c r="C2">
        <f>BDH("TEAD US Equity","BS_TOT_LIAB2","1993-06-18","2026-05-02","Per=Y","Days=T","Dir=V")</f>
        <v>0</v>
      </c>
      <c r="E2">
        <f>BDH("TEAD US Equity","SHORT_AND_LONG_TERM_DEBT","1993-06-18","2026-05-02","Per=Y","Days=T","Dir=V")</f>
        <v>0</v>
      </c>
      <c r="G2">
        <f>BDH("TEAD US Equity","BS_ST_BORROW","1993-06-18","2026-05-02","Per=Y","Days=T","Dir=V")</f>
        <v>0</v>
      </c>
      <c r="I2">
        <f>BDH("TEAD US Equity","BS_LT_BORROW","1993-06-18","2026-05-02","Per=Y","Days=T","Dir=V")</f>
        <v>0</v>
      </c>
      <c r="K2">
        <f>BDH("TEAD US Equity","BS_CASH_NEAR_CASH_ITEM","1993-06-18","2026-05-02","Per=Y","Days=T","Dir=V")</f>
        <v>0</v>
      </c>
      <c r="M2">
        <f>BDH("TEAD US Equity","BS_CUR_ASSET_REPORT","1993-06-18","2026-05-02","Per=Y","Days=T","Dir=V")</f>
        <v>0</v>
      </c>
      <c r="O2">
        <f>BDH("TEAD US Equity","BS_CUR_LIAB","1993-06-18","2026-05-02","Per=Y","Days=T","Dir=V")</f>
        <v>0</v>
      </c>
      <c r="Q2">
        <f>BDH("TEAD US Equity","BS_SHAREHOLDER_EQY_ENDING_PERIOD","1993-06-18","2026-05-02","Per=Y","Days=T","Dir=V")</f>
        <v>0</v>
      </c>
      <c r="S2">
        <f>BDH("TEAD US Equity","BS_ACCT_NOTE_RCV","1993-06-18","2026-05-02","Per=Y","Days=T","Dir=V")</f>
        <v>0</v>
      </c>
      <c r="U2">
        <f>BDH("TEAD US Equity","BS_INVENTORIES","1993-06-18","2026-05-02","Per=Y","Days=T","Dir=V")</f>
        <v>0</v>
      </c>
      <c r="W2">
        <f>BDH("TEAD US Equity","WORKING_CAPITAL","1993-06-18","2026-05-02","Per=Y","Days=T","Dir=V")</f>
        <v>0</v>
      </c>
      <c r="Y2">
        <f>BDH("TEAD US Equity","SALES_REV_TURN","1993-06-18","2026-05-02","Per=Y","Days=T","Dir=V")</f>
        <v>0</v>
      </c>
      <c r="AA2">
        <f>BDH("TEAD US Equity","EBIT","1993-06-18","2026-05-02","Per=Y","Days=T","Dir=V")</f>
        <v>0</v>
      </c>
      <c r="AC2">
        <f>BDH("TEAD US Equity","EBITDA","1993-06-18","2026-05-02","Per=Y","Days=T","Dir=V")</f>
        <v>0</v>
      </c>
      <c r="AE2">
        <f>BDH("TEAD US Equity","NET_INCOME","1993-06-18","2026-05-02","Per=Y","Days=T","Dir=V")</f>
        <v>0</v>
      </c>
      <c r="AG2">
        <f>BDH("TEAD US Equity","IS_INT_EXPENSE","1993-06-18","2026-05-02","Per=Y","Days=T","Dir=V")</f>
        <v>0</v>
      </c>
      <c r="AI2">
        <f>BDH("TEAD US Equity","IS_DEPR_EXP","1993-06-18","2026-05-02","Per=Y","Days=T","Dir=V")</f>
        <v>0</v>
      </c>
      <c r="AK2">
        <f>BDH("TEAD US Equity","CF_CASH_FROM_OPER","1993-06-18","2026-05-02","Per=Y","Days=T","Dir=V")</f>
        <v>0</v>
      </c>
      <c r="AM2">
        <f>BDH("TEAD US Equity","CAPITAL_EXPEND","1993-06-18","2026-05-02","Per=Y","Days=T","Dir=V")</f>
        <v>0</v>
      </c>
      <c r="AO2">
        <f>BDH("TEAD US Equity","CF_FREE_CASH_FLOW","1993-06-18","2026-05-02","Per=Y","Days=T","Dir=V")</f>
        <v>0</v>
      </c>
      <c r="AQ2">
        <f>BDH("TEAD US Equity","PX_LAST","1993-06-18","2026-05-02","Per=M","Days=T","Dir=V")</f>
        <v>0</v>
      </c>
      <c r="AS2">
        <f>BDH("TEAD US Equity","CUR_MKT_CAP","1993-06-18","2026-05-02","Per=M","Days=T","Dir=V")</f>
        <v>0</v>
      </c>
      <c r="AU2">
        <f>BDH("TEAD US Equity","EQY_SH_OUT","1993-06-18","2026-05-02","Per=M","Days=T","Dir=V")</f>
        <v>0</v>
      </c>
      <c r="AW2">
        <f>BDH("TEAD US Equity","PX_VOLUME","1993-06-18","2026-05-02","Per=M","Days=T","Dir=V")</f>
        <v>0</v>
      </c>
      <c r="AY2">
        <f>BDH("TEAD US Equity","TURNOVER","1993-06-18","2026-05-02","Per=M","Days=T","Dir=V")</f>
        <v>0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BDH("TECH US Equity","BS_TOT_ASSET","1993-06-18","2026-05-02","Per=Y","Days=T","Dir=V")</f>
        <v>0</v>
      </c>
      <c r="C2">
        <f>BDH("TECH US Equity","BS_TOT_LIAB2","1993-06-18","2026-05-02","Per=Y","Days=T","Dir=V")</f>
        <v>0</v>
      </c>
      <c r="E2">
        <f>BDH("TECH US Equity","SHORT_AND_LONG_TERM_DEBT","1993-06-18","2026-05-02","Per=Y","Days=T","Dir=V")</f>
        <v>0</v>
      </c>
      <c r="G2">
        <f>BDH("TECH US Equity","BS_ST_BORROW","1993-06-18","2026-05-02","Per=Y","Days=T","Dir=V")</f>
        <v>0</v>
      </c>
      <c r="I2">
        <f>BDH("TECH US Equity","BS_LT_BORROW","1993-06-18","2026-05-02","Per=Y","Days=T","Dir=V")</f>
        <v>0</v>
      </c>
      <c r="K2">
        <f>BDH("TECH US Equity","BS_CASH_NEAR_CASH_ITEM","1993-06-18","2026-05-02","Per=Y","Days=T","Dir=V")</f>
        <v>0</v>
      </c>
      <c r="M2">
        <f>BDH("TECH US Equity","BS_CUR_ASSET_REPORT","1993-06-18","2026-05-02","Per=Y","Days=T","Dir=V")</f>
        <v>0</v>
      </c>
      <c r="O2">
        <f>BDH("TECH US Equity","BS_CUR_LIAB","1993-06-18","2026-05-02","Per=Y","Days=T","Dir=V")</f>
        <v>0</v>
      </c>
      <c r="Q2">
        <f>BDH("TECH US Equity","BS_SHAREHOLDER_EQY_ENDING_PERIOD","1993-06-18","2026-05-02","Per=Y","Days=T","Dir=V")</f>
        <v>0</v>
      </c>
      <c r="S2">
        <f>BDH("TECH US Equity","BS_ACCT_NOTE_RCV","1993-06-18","2026-05-02","Per=Y","Days=T","Dir=V")</f>
        <v>0</v>
      </c>
      <c r="U2">
        <f>BDH("TECH US Equity","BS_INVENTORIES","1993-06-18","2026-05-02","Per=Y","Days=T","Dir=V")</f>
        <v>0</v>
      </c>
      <c r="W2">
        <f>BDH("TECH US Equity","WORKING_CAPITAL","1993-06-18","2026-05-02","Per=Y","Days=T","Dir=V")</f>
        <v>0</v>
      </c>
      <c r="Y2">
        <f>BDH("TECH US Equity","SALES_REV_TURN","1993-06-18","2026-05-02","Per=Y","Days=T","Dir=V")</f>
        <v>0</v>
      </c>
      <c r="AA2">
        <f>BDH("TECH US Equity","EBIT","1993-06-18","2026-05-02","Per=Y","Days=T","Dir=V")</f>
        <v>0</v>
      </c>
      <c r="AC2">
        <f>BDH("TECH US Equity","EBITDA","1993-06-18","2026-05-02","Per=Y","Days=T","Dir=V")</f>
        <v>0</v>
      </c>
      <c r="AE2">
        <f>BDH("TECH US Equity","NET_INCOME","1993-06-18","2026-05-02","Per=Y","Days=T","Dir=V")</f>
        <v>0</v>
      </c>
      <c r="AG2">
        <f>BDH("TECH US Equity","IS_INT_EXPENSE","1993-06-18","2026-05-02","Per=Y","Days=T","Dir=V")</f>
        <v>0</v>
      </c>
      <c r="AI2">
        <f>BDH("TECH US Equity","IS_DEPR_EXP","1993-06-18","2026-05-02","Per=Y","Days=T","Dir=V")</f>
        <v>0</v>
      </c>
      <c r="AK2">
        <f>BDH("TECH US Equity","CF_CASH_FROM_OPER","1993-06-18","2026-05-02","Per=Y","Days=T","Dir=V")</f>
        <v>0</v>
      </c>
      <c r="AM2">
        <f>BDH("TECH US Equity","CAPITAL_EXPEND","1993-06-18","2026-05-02","Per=Y","Days=T","Dir=V")</f>
        <v>0</v>
      </c>
      <c r="AO2">
        <f>BDH("TECH US Equity","CF_FREE_CASH_FLOW","1993-06-18","2026-05-02","Per=Y","Days=T","Dir=V")</f>
        <v>0</v>
      </c>
      <c r="AQ2">
        <f>BDH("TECH US Equity","PX_LAST","1993-06-18","2026-05-02","Per=M","Days=T","Dir=V")</f>
        <v>0</v>
      </c>
      <c r="AS2">
        <f>BDH("TECH US Equity","CUR_MKT_CAP","1993-06-18","2026-05-02","Per=M","Days=T","Dir=V")</f>
        <v>0</v>
      </c>
      <c r="AU2">
        <f>BDH("TECH US Equity","EQY_SH_OUT","1993-06-18","2026-05-02","Per=M","Days=T","Dir=V")</f>
        <v>0</v>
      </c>
      <c r="AW2">
        <f>BDH("TECH US Equity","PX_VOLUME","1993-06-18","2026-05-02","Per=M","Days=T","Dir=V")</f>
        <v>0</v>
      </c>
      <c r="AY2">
        <f>BDH("TECH US Equity","TURNOVER","1993-06-18","2026-05-02","Per=M","Days=T","Dir=V")</f>
        <v>0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BDH("TECX US Equity","BS_TOT_ASSET","1993-06-18","2026-05-02","Per=Y","Days=T","Dir=V")</f>
        <v>0</v>
      </c>
      <c r="C2">
        <f>BDH("TECX US Equity","BS_TOT_LIAB2","1993-06-18","2026-05-02","Per=Y","Days=T","Dir=V")</f>
        <v>0</v>
      </c>
      <c r="E2">
        <f>BDH("TECX US Equity","SHORT_AND_LONG_TERM_DEBT","1993-06-18","2026-05-02","Per=Y","Days=T","Dir=V")</f>
        <v>0</v>
      </c>
      <c r="G2">
        <f>BDH("TECX US Equity","BS_ST_BORROW","1993-06-18","2026-05-02","Per=Y","Days=T","Dir=V")</f>
        <v>0</v>
      </c>
      <c r="I2">
        <f>BDH("TECX US Equity","BS_LT_BORROW","1993-06-18","2026-05-02","Per=Y","Days=T","Dir=V")</f>
        <v>0</v>
      </c>
      <c r="K2">
        <f>BDH("TECX US Equity","BS_CASH_NEAR_CASH_ITEM","1993-06-18","2026-05-02","Per=Y","Days=T","Dir=V")</f>
        <v>0</v>
      </c>
      <c r="M2">
        <f>BDH("TECX US Equity","BS_CUR_ASSET_REPORT","1993-06-18","2026-05-02","Per=Y","Days=T","Dir=V")</f>
        <v>0</v>
      </c>
      <c r="O2">
        <f>BDH("TECX US Equity","BS_CUR_LIAB","1993-06-18","2026-05-02","Per=Y","Days=T","Dir=V")</f>
        <v>0</v>
      </c>
      <c r="Q2">
        <f>BDH("TECX US Equity","BS_SHAREHOLDER_EQY_ENDING_PERIOD","1993-06-18","2026-05-02","Per=Y","Days=T","Dir=V")</f>
        <v>0</v>
      </c>
      <c r="S2">
        <f>BDH("TECX US Equity","BS_ACCT_NOTE_RCV","1993-06-18","2026-05-02","Per=Y","Days=T","Dir=V")</f>
        <v>0</v>
      </c>
      <c r="U2">
        <f>BDH("TECX US Equity","BS_INVENTORIES","1993-06-18","2026-05-02","Per=Y","Days=T","Dir=V")</f>
        <v>0</v>
      </c>
      <c r="W2">
        <f>BDH("TECX US Equity","WORKING_CAPITAL","1993-06-18","2026-05-02","Per=Y","Days=T","Dir=V")</f>
        <v>0</v>
      </c>
      <c r="Y2">
        <f>BDH("TECX US Equity","SALES_REV_TURN","1993-06-18","2026-05-02","Per=Y","Days=T","Dir=V")</f>
        <v>0</v>
      </c>
      <c r="AA2">
        <f>BDH("TECX US Equity","EBIT","1993-06-18","2026-05-02","Per=Y","Days=T","Dir=V")</f>
        <v>0</v>
      </c>
      <c r="AC2">
        <f>BDH("TECX US Equity","EBITDA","1993-06-18","2026-05-02","Per=Y","Days=T","Dir=V")</f>
        <v>0</v>
      </c>
      <c r="AE2">
        <f>BDH("TECX US Equity","NET_INCOME","1993-06-18","2026-05-02","Per=Y","Days=T","Dir=V")</f>
        <v>0</v>
      </c>
      <c r="AG2">
        <f>BDH("TECX US Equity","IS_INT_EXPENSE","1993-06-18","2026-05-02","Per=Y","Days=T","Dir=V")</f>
        <v>0</v>
      </c>
      <c r="AI2">
        <f>BDH("TECX US Equity","IS_DEPR_EXP","1993-06-18","2026-05-02","Per=Y","Days=T","Dir=V")</f>
        <v>0</v>
      </c>
      <c r="AK2">
        <f>BDH("TECX US Equity","CF_CASH_FROM_OPER","1993-06-18","2026-05-02","Per=Y","Days=T","Dir=V")</f>
        <v>0</v>
      </c>
      <c r="AM2">
        <f>BDH("TECX US Equity","CAPITAL_EXPEND","1993-06-18","2026-05-02","Per=Y","Days=T","Dir=V")</f>
        <v>0</v>
      </c>
      <c r="AO2">
        <f>BDH("TECX US Equity","CF_FREE_CASH_FLOW","1993-06-18","2026-05-02","Per=Y","Days=T","Dir=V")</f>
        <v>0</v>
      </c>
      <c r="AQ2">
        <f>BDH("TECX US Equity","PX_LAST","1993-06-18","2026-05-02","Per=M","Days=T","Dir=V")</f>
        <v>0</v>
      </c>
      <c r="AS2">
        <f>BDH("TECX US Equity","CUR_MKT_CAP","1993-06-18","2026-05-02","Per=M","Days=T","Dir=V")</f>
        <v>0</v>
      </c>
      <c r="AU2">
        <f>BDH("TECX US Equity","EQY_SH_OUT","1993-06-18","2026-05-02","Per=M","Days=T","Dir=V")</f>
        <v>0</v>
      </c>
      <c r="AW2">
        <f>BDH("TECX US Equity","PX_VOLUME","1993-06-18","2026-05-02","Per=M","Days=T","Dir=V")</f>
        <v>0</v>
      </c>
      <c r="AY2">
        <f>BDH("TECX US Equity","TURNOVER","1993-06-18","2026-05-02","Per=M","Days=T","Dir=V")</f>
        <v>0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BDH("TELA US Equity","BS_TOT_ASSET","1993-06-18","2026-05-02","Per=Y","Days=T","Dir=V")</f>
        <v>0</v>
      </c>
      <c r="C2">
        <f>BDH("TELA US Equity","BS_TOT_LIAB2","1993-06-18","2026-05-02","Per=Y","Days=T","Dir=V")</f>
        <v>0</v>
      </c>
      <c r="E2">
        <f>BDH("TELA US Equity","SHORT_AND_LONG_TERM_DEBT","1993-06-18","2026-05-02","Per=Y","Days=T","Dir=V")</f>
        <v>0</v>
      </c>
      <c r="G2">
        <f>BDH("TELA US Equity","BS_ST_BORROW","1993-06-18","2026-05-02","Per=Y","Days=T","Dir=V")</f>
        <v>0</v>
      </c>
      <c r="I2">
        <f>BDH("TELA US Equity","BS_LT_BORROW","1993-06-18","2026-05-02","Per=Y","Days=T","Dir=V")</f>
        <v>0</v>
      </c>
      <c r="K2">
        <f>BDH("TELA US Equity","BS_CASH_NEAR_CASH_ITEM","1993-06-18","2026-05-02","Per=Y","Days=T","Dir=V")</f>
        <v>0</v>
      </c>
      <c r="M2">
        <f>BDH("TELA US Equity","BS_CUR_ASSET_REPORT","1993-06-18","2026-05-02","Per=Y","Days=T","Dir=V")</f>
        <v>0</v>
      </c>
      <c r="O2">
        <f>BDH("TELA US Equity","BS_CUR_LIAB","1993-06-18","2026-05-02","Per=Y","Days=T","Dir=V")</f>
        <v>0</v>
      </c>
      <c r="Q2">
        <f>BDH("TELA US Equity","BS_SHAREHOLDER_EQY_ENDING_PERIOD","1993-06-18","2026-05-02","Per=Y","Days=T","Dir=V")</f>
        <v>0</v>
      </c>
      <c r="S2">
        <f>BDH("TELA US Equity","BS_ACCT_NOTE_RCV","1993-06-18","2026-05-02","Per=Y","Days=T","Dir=V")</f>
        <v>0</v>
      </c>
      <c r="U2">
        <f>BDH("TELA US Equity","BS_INVENTORIES","1993-06-18","2026-05-02","Per=Y","Days=T","Dir=V")</f>
        <v>0</v>
      </c>
      <c r="W2">
        <f>BDH("TELA US Equity","WORKING_CAPITAL","1993-06-18","2026-05-02","Per=Y","Days=T","Dir=V")</f>
        <v>0</v>
      </c>
      <c r="Y2">
        <f>BDH("TELA US Equity","SALES_REV_TURN","1993-06-18","2026-05-02","Per=Y","Days=T","Dir=V")</f>
        <v>0</v>
      </c>
      <c r="AA2">
        <f>BDH("TELA US Equity","EBIT","1993-06-18","2026-05-02","Per=Y","Days=T","Dir=V")</f>
        <v>0</v>
      </c>
      <c r="AC2">
        <f>BDH("TELA US Equity","EBITDA","1993-06-18","2026-05-02","Per=Y","Days=T","Dir=V")</f>
        <v>0</v>
      </c>
      <c r="AE2">
        <f>BDH("TELA US Equity","NET_INCOME","1993-06-18","2026-05-02","Per=Y","Days=T","Dir=V")</f>
        <v>0</v>
      </c>
      <c r="AG2">
        <f>BDH("TELA US Equity","IS_INT_EXPENSE","1993-06-18","2026-05-02","Per=Y","Days=T","Dir=V")</f>
        <v>0</v>
      </c>
      <c r="AI2">
        <f>BDH("TELA US Equity","IS_DEPR_EXP","1993-06-18","2026-05-02","Per=Y","Days=T","Dir=V")</f>
        <v>0</v>
      </c>
      <c r="AK2">
        <f>BDH("TELA US Equity","CF_CASH_FROM_OPER","1993-06-18","2026-05-02","Per=Y","Days=T","Dir=V")</f>
        <v>0</v>
      </c>
      <c r="AM2">
        <f>BDH("TELA US Equity","CAPITAL_EXPEND","1993-06-18","2026-05-02","Per=Y","Days=T","Dir=V")</f>
        <v>0</v>
      </c>
      <c r="AO2">
        <f>BDH("TELA US Equity","CF_FREE_CASH_FLOW","1993-06-18","2026-05-02","Per=Y","Days=T","Dir=V")</f>
        <v>0</v>
      </c>
      <c r="AQ2">
        <f>BDH("TELA US Equity","PX_LAST","1993-06-18","2026-05-02","Per=M","Days=T","Dir=V")</f>
        <v>0</v>
      </c>
      <c r="AS2">
        <f>BDH("TELA US Equity","CUR_MKT_CAP","1993-06-18","2026-05-02","Per=M","Days=T","Dir=V")</f>
        <v>0</v>
      </c>
      <c r="AU2">
        <f>BDH("TELA US Equity","EQY_SH_OUT","1993-06-18","2026-05-02","Per=M","Days=T","Dir=V")</f>
        <v>0</v>
      </c>
      <c r="AW2">
        <f>BDH("TELA US Equity","PX_VOLUME","1993-06-18","2026-05-02","Per=M","Days=T","Dir=V")</f>
        <v>0</v>
      </c>
      <c r="AY2">
        <f>BDH("TELA US Equity","TURNOVER","1993-06-18","2026-05-02","Per=M","Days=T","Dir=V")</f>
        <v>0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BDH("TELO US Equity","BS_TOT_ASSET","1993-06-18","2026-05-02","Per=Y","Days=T","Dir=V")</f>
        <v>0</v>
      </c>
      <c r="C2">
        <f>BDH("TELO US Equity","BS_TOT_LIAB2","1993-06-18","2026-05-02","Per=Y","Days=T","Dir=V")</f>
        <v>0</v>
      </c>
      <c r="E2">
        <f>BDH("TELO US Equity","SHORT_AND_LONG_TERM_DEBT","1993-06-18","2026-05-02","Per=Y","Days=T","Dir=V")</f>
        <v>0</v>
      </c>
      <c r="G2">
        <f>BDH("TELO US Equity","BS_ST_BORROW","1993-06-18","2026-05-02","Per=Y","Days=T","Dir=V")</f>
        <v>0</v>
      </c>
      <c r="I2">
        <f>BDH("TELO US Equity","BS_LT_BORROW","1993-06-18","2026-05-02","Per=Y","Days=T","Dir=V")</f>
        <v>0</v>
      </c>
      <c r="K2">
        <f>BDH("TELO US Equity","BS_CASH_NEAR_CASH_ITEM","1993-06-18","2026-05-02","Per=Y","Days=T","Dir=V")</f>
        <v>0</v>
      </c>
      <c r="M2">
        <f>BDH("TELO US Equity","BS_CUR_ASSET_REPORT","1993-06-18","2026-05-02","Per=Y","Days=T","Dir=V")</f>
        <v>0</v>
      </c>
      <c r="O2">
        <f>BDH("TELO US Equity","BS_CUR_LIAB","1993-06-18","2026-05-02","Per=Y","Days=T","Dir=V")</f>
        <v>0</v>
      </c>
      <c r="Q2">
        <f>BDH("TELO US Equity","BS_SHAREHOLDER_EQY_ENDING_PERIOD","1993-06-18","2026-05-02","Per=Y","Days=T","Dir=V")</f>
        <v>0</v>
      </c>
      <c r="S2">
        <f>BDH("TELO US Equity","BS_ACCT_NOTE_RCV","1993-06-18","2026-05-02","Per=Y","Days=T","Dir=V")</f>
        <v>0</v>
      </c>
      <c r="U2">
        <f>BDH("TELO US Equity","BS_INVENTORIES","1993-06-18","2026-05-02","Per=Y","Days=T","Dir=V")</f>
        <v>0</v>
      </c>
      <c r="W2">
        <f>BDH("TELO US Equity","WORKING_CAPITAL","1993-06-18","2026-05-02","Per=Y","Days=T","Dir=V")</f>
        <v>0</v>
      </c>
      <c r="Y2">
        <f>BDH("TELO US Equity","SALES_REV_TURN","1993-06-18","2026-05-02","Per=Y","Days=T","Dir=V")</f>
        <v>0</v>
      </c>
      <c r="AA2">
        <f>BDH("TELO US Equity","EBIT","1993-06-18","2026-05-02","Per=Y","Days=T","Dir=V")</f>
        <v>0</v>
      </c>
      <c r="AC2">
        <f>BDH("TELO US Equity","EBITDA","1993-06-18","2026-05-02","Per=Y","Days=T","Dir=V")</f>
        <v>0</v>
      </c>
      <c r="AE2">
        <f>BDH("TELO US Equity","NET_INCOME","1993-06-18","2026-05-02","Per=Y","Days=T","Dir=V")</f>
        <v>0</v>
      </c>
      <c r="AG2">
        <f>BDH("TELO US Equity","IS_INT_EXPENSE","1993-06-18","2026-05-02","Per=Y","Days=T","Dir=V")</f>
        <v>0</v>
      </c>
      <c r="AI2">
        <f>BDH("TELO US Equity","IS_DEPR_EXP","1993-06-18","2026-05-02","Per=Y","Days=T","Dir=V")</f>
        <v>0</v>
      </c>
      <c r="AK2">
        <f>BDH("TELO US Equity","CF_CASH_FROM_OPER","1993-06-18","2026-05-02","Per=Y","Days=T","Dir=V")</f>
        <v>0</v>
      </c>
      <c r="AM2">
        <f>BDH("TELO US Equity","CAPITAL_EXPEND","1993-06-18","2026-05-02","Per=Y","Days=T","Dir=V")</f>
        <v>0</v>
      </c>
      <c r="AO2">
        <f>BDH("TELO US Equity","CF_FREE_CASH_FLOW","1993-06-18","2026-05-02","Per=Y","Days=T","Dir=V")</f>
        <v>0</v>
      </c>
      <c r="AQ2">
        <f>BDH("TELO US Equity","PX_LAST","1993-06-18","2026-05-02","Per=M","Days=T","Dir=V")</f>
        <v>0</v>
      </c>
      <c r="AS2">
        <f>BDH("TELO US Equity","CUR_MKT_CAP","1993-06-18","2026-05-02","Per=M","Days=T","Dir=V")</f>
        <v>0</v>
      </c>
      <c r="AU2">
        <f>BDH("TELO US Equity","EQY_SH_OUT","1993-06-18","2026-05-02","Per=M","Days=T","Dir=V")</f>
        <v>0</v>
      </c>
      <c r="AW2">
        <f>BDH("TELO US Equity","PX_VOLUME","1993-06-18","2026-05-02","Per=M","Days=T","Dir=V")</f>
        <v>0</v>
      </c>
      <c r="AY2">
        <f>BDH("TELO US Equity","TURNOVER","1993-06-18","2026-05-02","Per=M","Days=T","Dir=V")</f>
        <v>0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BDH("TEM US Equity","BS_TOT_ASSET","1993-06-18","2026-05-02","Per=Y","Days=T","Dir=V")</f>
        <v>0</v>
      </c>
      <c r="C2">
        <f>BDH("TEM US Equity","BS_TOT_LIAB2","1993-06-18","2026-05-02","Per=Y","Days=T","Dir=V")</f>
        <v>0</v>
      </c>
      <c r="E2">
        <f>BDH("TEM US Equity","SHORT_AND_LONG_TERM_DEBT","1993-06-18","2026-05-02","Per=Y","Days=T","Dir=V")</f>
        <v>0</v>
      </c>
      <c r="G2">
        <f>BDH("TEM US Equity","BS_ST_BORROW","1993-06-18","2026-05-02","Per=Y","Days=T","Dir=V")</f>
        <v>0</v>
      </c>
      <c r="I2">
        <f>BDH("TEM US Equity","BS_LT_BORROW","1993-06-18","2026-05-02","Per=Y","Days=T","Dir=V")</f>
        <v>0</v>
      </c>
      <c r="K2">
        <f>BDH("TEM US Equity","BS_CASH_NEAR_CASH_ITEM","1993-06-18","2026-05-02","Per=Y","Days=T","Dir=V")</f>
        <v>0</v>
      </c>
      <c r="M2">
        <f>BDH("TEM US Equity","BS_CUR_ASSET_REPORT","1993-06-18","2026-05-02","Per=Y","Days=T","Dir=V")</f>
        <v>0</v>
      </c>
      <c r="O2">
        <f>BDH("TEM US Equity","BS_CUR_LIAB","1993-06-18","2026-05-02","Per=Y","Days=T","Dir=V")</f>
        <v>0</v>
      </c>
      <c r="Q2">
        <f>BDH("TEM US Equity","BS_SHAREHOLDER_EQY_ENDING_PERIOD","1993-06-18","2026-05-02","Per=Y","Days=T","Dir=V")</f>
        <v>0</v>
      </c>
      <c r="S2">
        <f>BDH("TEM US Equity","BS_ACCT_NOTE_RCV","1993-06-18","2026-05-02","Per=Y","Days=T","Dir=V")</f>
        <v>0</v>
      </c>
      <c r="U2">
        <f>BDH("TEM US Equity","BS_INVENTORIES","1993-06-18","2026-05-02","Per=Y","Days=T","Dir=V")</f>
        <v>0</v>
      </c>
      <c r="W2">
        <f>BDH("TEM US Equity","WORKING_CAPITAL","1993-06-18","2026-05-02","Per=Y","Days=T","Dir=V")</f>
        <v>0</v>
      </c>
      <c r="Y2">
        <f>BDH("TEM US Equity","SALES_REV_TURN","1993-06-18","2026-05-02","Per=Y","Days=T","Dir=V")</f>
        <v>0</v>
      </c>
      <c r="AA2">
        <f>BDH("TEM US Equity","EBIT","1993-06-18","2026-05-02","Per=Y","Days=T","Dir=V")</f>
        <v>0</v>
      </c>
      <c r="AC2">
        <f>BDH("TEM US Equity","EBITDA","1993-06-18","2026-05-02","Per=Y","Days=T","Dir=V")</f>
        <v>0</v>
      </c>
      <c r="AE2">
        <f>BDH("TEM US Equity","NET_INCOME","1993-06-18","2026-05-02","Per=Y","Days=T","Dir=V")</f>
        <v>0</v>
      </c>
      <c r="AG2">
        <f>BDH("TEM US Equity","IS_INT_EXPENSE","1993-06-18","2026-05-02","Per=Y","Days=T","Dir=V")</f>
        <v>0</v>
      </c>
      <c r="AI2">
        <f>BDH("TEM US Equity","IS_DEPR_EXP","1993-06-18","2026-05-02","Per=Y","Days=T","Dir=V")</f>
        <v>0</v>
      </c>
      <c r="AK2">
        <f>BDH("TEM US Equity","CF_CASH_FROM_OPER","1993-06-18","2026-05-02","Per=Y","Days=T","Dir=V")</f>
        <v>0</v>
      </c>
      <c r="AM2">
        <f>BDH("TEM US Equity","CAPITAL_EXPEND","1993-06-18","2026-05-02","Per=Y","Days=T","Dir=V")</f>
        <v>0</v>
      </c>
      <c r="AO2">
        <f>BDH("TEM US Equity","CF_FREE_CASH_FLOW","1993-06-18","2026-05-02","Per=Y","Days=T","Dir=V")</f>
        <v>0</v>
      </c>
      <c r="AQ2">
        <f>BDH("TEM US Equity","PX_LAST","1993-06-18","2026-05-02","Per=M","Days=T","Dir=V")</f>
        <v>0</v>
      </c>
      <c r="AS2">
        <f>BDH("TEM US Equity","CUR_MKT_CAP","1993-06-18","2026-05-02","Per=M","Days=T","Dir=V")</f>
        <v>0</v>
      </c>
      <c r="AU2">
        <f>BDH("TEM US Equity","EQY_SH_OUT","1993-06-18","2026-05-02","Per=M","Days=T","Dir=V")</f>
        <v>0</v>
      </c>
      <c r="AW2">
        <f>BDH("TEM US Equity","PX_VOLUME","1993-06-18","2026-05-02","Per=M","Days=T","Dir=V")</f>
        <v>0</v>
      </c>
      <c r="AY2">
        <f>BDH("TEM US Equity","TURNOVER","1993-06-18","2026-05-02","Per=M","Days=T","Dir=V")</f>
        <v>0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BDH("TENB US Equity","BS_TOT_ASSET","1993-06-18","2026-05-02","Per=Y","Days=T","Dir=V")</f>
        <v>0</v>
      </c>
      <c r="C2">
        <f>BDH("TENB US Equity","BS_TOT_LIAB2","1993-06-18","2026-05-02","Per=Y","Days=T","Dir=V")</f>
        <v>0</v>
      </c>
      <c r="E2">
        <f>BDH("TENB US Equity","SHORT_AND_LONG_TERM_DEBT","1993-06-18","2026-05-02","Per=Y","Days=T","Dir=V")</f>
        <v>0</v>
      </c>
      <c r="G2">
        <f>BDH("TENB US Equity","BS_ST_BORROW","1993-06-18","2026-05-02","Per=Y","Days=T","Dir=V")</f>
        <v>0</v>
      </c>
      <c r="I2">
        <f>BDH("TENB US Equity","BS_LT_BORROW","1993-06-18","2026-05-02","Per=Y","Days=T","Dir=V")</f>
        <v>0</v>
      </c>
      <c r="K2">
        <f>BDH("TENB US Equity","BS_CASH_NEAR_CASH_ITEM","1993-06-18","2026-05-02","Per=Y","Days=T","Dir=V")</f>
        <v>0</v>
      </c>
      <c r="M2">
        <f>BDH("TENB US Equity","BS_CUR_ASSET_REPORT","1993-06-18","2026-05-02","Per=Y","Days=T","Dir=V")</f>
        <v>0</v>
      </c>
      <c r="O2">
        <f>BDH("TENB US Equity","BS_CUR_LIAB","1993-06-18","2026-05-02","Per=Y","Days=T","Dir=V")</f>
        <v>0</v>
      </c>
      <c r="Q2">
        <f>BDH("TENB US Equity","BS_SHAREHOLDER_EQY_ENDING_PERIOD","1993-06-18","2026-05-02","Per=Y","Days=T","Dir=V")</f>
        <v>0</v>
      </c>
      <c r="S2">
        <f>BDH("TENB US Equity","BS_ACCT_NOTE_RCV","1993-06-18","2026-05-02","Per=Y","Days=T","Dir=V")</f>
        <v>0</v>
      </c>
      <c r="U2">
        <f>BDH("TENB US Equity","BS_INVENTORIES","1993-06-18","2026-05-02","Per=Y","Days=T","Dir=V")</f>
        <v>0</v>
      </c>
      <c r="W2">
        <f>BDH("TENB US Equity","WORKING_CAPITAL","1993-06-18","2026-05-02","Per=Y","Days=T","Dir=V")</f>
        <v>0</v>
      </c>
      <c r="Y2">
        <f>BDH("TENB US Equity","SALES_REV_TURN","1993-06-18","2026-05-02","Per=Y","Days=T","Dir=V")</f>
        <v>0</v>
      </c>
      <c r="AA2">
        <f>BDH("TENB US Equity","EBIT","1993-06-18","2026-05-02","Per=Y","Days=T","Dir=V")</f>
        <v>0</v>
      </c>
      <c r="AC2">
        <f>BDH("TENB US Equity","EBITDA","1993-06-18","2026-05-02","Per=Y","Days=T","Dir=V")</f>
        <v>0</v>
      </c>
      <c r="AE2">
        <f>BDH("TENB US Equity","NET_INCOME","1993-06-18","2026-05-02","Per=Y","Days=T","Dir=V")</f>
        <v>0</v>
      </c>
      <c r="AG2">
        <f>BDH("TENB US Equity","IS_INT_EXPENSE","1993-06-18","2026-05-02","Per=Y","Days=T","Dir=V")</f>
        <v>0</v>
      </c>
      <c r="AI2">
        <f>BDH("TENB US Equity","IS_DEPR_EXP","1993-06-18","2026-05-02","Per=Y","Days=T","Dir=V")</f>
        <v>0</v>
      </c>
      <c r="AK2">
        <f>BDH("TENB US Equity","CF_CASH_FROM_OPER","1993-06-18","2026-05-02","Per=Y","Days=T","Dir=V")</f>
        <v>0</v>
      </c>
      <c r="AM2">
        <f>BDH("TENB US Equity","CAPITAL_EXPEND","1993-06-18","2026-05-02","Per=Y","Days=T","Dir=V")</f>
        <v>0</v>
      </c>
      <c r="AO2">
        <f>BDH("TENB US Equity","CF_FREE_CASH_FLOW","1993-06-18","2026-05-02","Per=Y","Days=T","Dir=V")</f>
        <v>0</v>
      </c>
      <c r="AQ2">
        <f>BDH("TENB US Equity","PX_LAST","1993-06-18","2026-05-02","Per=M","Days=T","Dir=V")</f>
        <v>0</v>
      </c>
      <c r="AS2">
        <f>BDH("TENB US Equity","CUR_MKT_CAP","1993-06-18","2026-05-02","Per=M","Days=T","Dir=V")</f>
        <v>0</v>
      </c>
      <c r="AU2">
        <f>BDH("TENB US Equity","EQY_SH_OUT","1993-06-18","2026-05-02","Per=M","Days=T","Dir=V")</f>
        <v>0</v>
      </c>
      <c r="AW2">
        <f>BDH("TENB US Equity","PX_VOLUME","1993-06-18","2026-05-02","Per=M","Days=T","Dir=V")</f>
        <v>0</v>
      </c>
      <c r="AY2">
        <f>BDH("TENB US Equity","TURNOVER","1993-06-18","2026-05-02","Per=M","Days=T","Dir=V")</f>
        <v>0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BDH("TENX US Equity","BS_TOT_ASSET","1993-06-18","2026-05-02","Per=Y","Days=T","Dir=V")</f>
        <v>0</v>
      </c>
      <c r="C2">
        <f>BDH("TENX US Equity","BS_TOT_LIAB2","1993-06-18","2026-05-02","Per=Y","Days=T","Dir=V")</f>
        <v>0</v>
      </c>
      <c r="E2">
        <f>BDH("TENX US Equity","SHORT_AND_LONG_TERM_DEBT","1993-06-18","2026-05-02","Per=Y","Days=T","Dir=V")</f>
        <v>0</v>
      </c>
      <c r="G2">
        <f>BDH("TENX US Equity","BS_ST_BORROW","1993-06-18","2026-05-02","Per=Y","Days=T","Dir=V")</f>
        <v>0</v>
      </c>
      <c r="I2">
        <f>BDH("TENX US Equity","BS_LT_BORROW","1993-06-18","2026-05-02","Per=Y","Days=T","Dir=V")</f>
        <v>0</v>
      </c>
      <c r="K2">
        <f>BDH("TENX US Equity","BS_CASH_NEAR_CASH_ITEM","1993-06-18","2026-05-02","Per=Y","Days=T","Dir=V")</f>
        <v>0</v>
      </c>
      <c r="M2">
        <f>BDH("TENX US Equity","BS_CUR_ASSET_REPORT","1993-06-18","2026-05-02","Per=Y","Days=T","Dir=V")</f>
        <v>0</v>
      </c>
      <c r="O2">
        <f>BDH("TENX US Equity","BS_CUR_LIAB","1993-06-18","2026-05-02","Per=Y","Days=T","Dir=V")</f>
        <v>0</v>
      </c>
      <c r="Q2">
        <f>BDH("TENX US Equity","BS_SHAREHOLDER_EQY_ENDING_PERIOD","1993-06-18","2026-05-02","Per=Y","Days=T","Dir=V")</f>
        <v>0</v>
      </c>
      <c r="S2">
        <f>BDH("TENX US Equity","BS_ACCT_NOTE_RCV","1993-06-18","2026-05-02","Per=Y","Days=T","Dir=V")</f>
        <v>0</v>
      </c>
      <c r="U2">
        <f>BDH("TENX US Equity","BS_INVENTORIES","1993-06-18","2026-05-02","Per=Y","Days=T","Dir=V")</f>
        <v>0</v>
      </c>
      <c r="W2">
        <f>BDH("TENX US Equity","WORKING_CAPITAL","1993-06-18","2026-05-02","Per=Y","Days=T","Dir=V")</f>
        <v>0</v>
      </c>
      <c r="Y2">
        <f>BDH("TENX US Equity","SALES_REV_TURN","1993-06-18","2026-05-02","Per=Y","Days=T","Dir=V")</f>
        <v>0</v>
      </c>
      <c r="AA2">
        <f>BDH("TENX US Equity","EBIT","1993-06-18","2026-05-02","Per=Y","Days=T","Dir=V")</f>
        <v>0</v>
      </c>
      <c r="AC2">
        <f>BDH("TENX US Equity","EBITDA","1993-06-18","2026-05-02","Per=Y","Days=T","Dir=V")</f>
        <v>0</v>
      </c>
      <c r="AE2">
        <f>BDH("TENX US Equity","NET_INCOME","1993-06-18","2026-05-02","Per=Y","Days=T","Dir=V")</f>
        <v>0</v>
      </c>
      <c r="AG2">
        <f>BDH("TENX US Equity","IS_INT_EXPENSE","1993-06-18","2026-05-02","Per=Y","Days=T","Dir=V")</f>
        <v>0</v>
      </c>
      <c r="AI2">
        <f>BDH("TENX US Equity","IS_DEPR_EXP","1993-06-18","2026-05-02","Per=Y","Days=T","Dir=V")</f>
        <v>0</v>
      </c>
      <c r="AK2">
        <f>BDH("TENX US Equity","CF_CASH_FROM_OPER","1993-06-18","2026-05-02","Per=Y","Days=T","Dir=V")</f>
        <v>0</v>
      </c>
      <c r="AM2">
        <f>BDH("TENX US Equity","CAPITAL_EXPEND","1993-06-18","2026-05-02","Per=Y","Days=T","Dir=V")</f>
        <v>0</v>
      </c>
      <c r="AO2">
        <f>BDH("TENX US Equity","CF_FREE_CASH_FLOW","1993-06-18","2026-05-02","Per=Y","Days=T","Dir=V")</f>
        <v>0</v>
      </c>
      <c r="AQ2">
        <f>BDH("TENX US Equity","PX_LAST","1993-06-18","2026-05-02","Per=M","Days=T","Dir=V")</f>
        <v>0</v>
      </c>
      <c r="AS2">
        <f>BDH("TENX US Equity","CUR_MKT_CAP","1993-06-18","2026-05-02","Per=M","Days=T","Dir=V")</f>
        <v>0</v>
      </c>
      <c r="AU2">
        <f>BDH("TENX US Equity","EQY_SH_OUT","1993-06-18","2026-05-02","Per=M","Days=T","Dir=V")</f>
        <v>0</v>
      </c>
      <c r="AW2">
        <f>BDH("TENX US Equity","PX_VOLUME","1993-06-18","2026-05-02","Per=M","Days=T","Dir=V")</f>
        <v>0</v>
      </c>
      <c r="AY2">
        <f>BDH("TENX US Equity","TURNOVER","1993-06-18","2026-05-02","Per=M","Days=T","Dir=V")</f>
        <v>0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BDH("TER US Equity","BS_TOT_ASSET","1993-06-18","2026-05-02","Per=Y","Days=T","Dir=V")</f>
        <v>0</v>
      </c>
      <c r="C2">
        <f>BDH("TER US Equity","BS_TOT_LIAB2","1993-06-18","2026-05-02","Per=Y","Days=T","Dir=V")</f>
        <v>0</v>
      </c>
      <c r="E2">
        <f>BDH("TER US Equity","SHORT_AND_LONG_TERM_DEBT","1993-06-18","2026-05-02","Per=Y","Days=T","Dir=V")</f>
        <v>0</v>
      </c>
      <c r="G2">
        <f>BDH("TER US Equity","BS_ST_BORROW","1993-06-18","2026-05-02","Per=Y","Days=T","Dir=V")</f>
        <v>0</v>
      </c>
      <c r="I2">
        <f>BDH("TER US Equity","BS_LT_BORROW","1993-06-18","2026-05-02","Per=Y","Days=T","Dir=V")</f>
        <v>0</v>
      </c>
      <c r="K2">
        <f>BDH("TER US Equity","BS_CASH_NEAR_CASH_ITEM","1993-06-18","2026-05-02","Per=Y","Days=T","Dir=V")</f>
        <v>0</v>
      </c>
      <c r="M2">
        <f>BDH("TER US Equity","BS_CUR_ASSET_REPORT","1993-06-18","2026-05-02","Per=Y","Days=T","Dir=V")</f>
        <v>0</v>
      </c>
      <c r="O2">
        <f>BDH("TER US Equity","BS_CUR_LIAB","1993-06-18","2026-05-02","Per=Y","Days=T","Dir=V")</f>
        <v>0</v>
      </c>
      <c r="Q2">
        <f>BDH("TER US Equity","BS_SHAREHOLDER_EQY_ENDING_PERIOD","1993-06-18","2026-05-02","Per=Y","Days=T","Dir=V")</f>
        <v>0</v>
      </c>
      <c r="S2">
        <f>BDH("TER US Equity","BS_ACCT_NOTE_RCV","1993-06-18","2026-05-02","Per=Y","Days=T","Dir=V")</f>
        <v>0</v>
      </c>
      <c r="U2">
        <f>BDH("TER US Equity","BS_INVENTORIES","1993-06-18","2026-05-02","Per=Y","Days=T","Dir=V")</f>
        <v>0</v>
      </c>
      <c r="W2">
        <f>BDH("TER US Equity","WORKING_CAPITAL","1993-06-18","2026-05-02","Per=Y","Days=T","Dir=V")</f>
        <v>0</v>
      </c>
      <c r="Y2">
        <f>BDH("TER US Equity","SALES_REV_TURN","1993-06-18","2026-05-02","Per=Y","Days=T","Dir=V")</f>
        <v>0</v>
      </c>
      <c r="AA2">
        <f>BDH("TER US Equity","EBIT","1993-06-18","2026-05-02","Per=Y","Days=T","Dir=V")</f>
        <v>0</v>
      </c>
      <c r="AC2">
        <f>BDH("TER US Equity","EBITDA","1993-06-18","2026-05-02","Per=Y","Days=T","Dir=V")</f>
        <v>0</v>
      </c>
      <c r="AE2">
        <f>BDH("TER US Equity","NET_INCOME","1993-06-18","2026-05-02","Per=Y","Days=T","Dir=V")</f>
        <v>0</v>
      </c>
      <c r="AG2">
        <f>BDH("TER US Equity","IS_INT_EXPENSE","1993-06-18","2026-05-02","Per=Y","Days=T","Dir=V")</f>
        <v>0</v>
      </c>
      <c r="AI2">
        <f>BDH("TER US Equity","IS_DEPR_EXP","1993-06-18","2026-05-02","Per=Y","Days=T","Dir=V")</f>
        <v>0</v>
      </c>
      <c r="AK2">
        <f>BDH("TER US Equity","CF_CASH_FROM_OPER","1993-06-18","2026-05-02","Per=Y","Days=T","Dir=V")</f>
        <v>0</v>
      </c>
      <c r="AM2">
        <f>BDH("TER US Equity","CAPITAL_EXPEND","1993-06-18","2026-05-02","Per=Y","Days=T","Dir=V")</f>
        <v>0</v>
      </c>
      <c r="AO2">
        <f>BDH("TER US Equity","CF_FREE_CASH_FLOW","1993-06-18","2026-05-02","Per=Y","Days=T","Dir=V")</f>
        <v>0</v>
      </c>
      <c r="AQ2">
        <f>BDH("TER US Equity","PX_LAST","1993-06-18","2026-05-02","Per=M","Days=T","Dir=V")</f>
        <v>0</v>
      </c>
      <c r="AS2">
        <f>BDH("TER US Equity","CUR_MKT_CAP","1993-06-18","2026-05-02","Per=M","Days=T","Dir=V")</f>
        <v>0</v>
      </c>
      <c r="AU2">
        <f>BDH("TER US Equity","EQY_SH_OUT","1993-06-18","2026-05-02","Per=M","Days=T","Dir=V")</f>
        <v>0</v>
      </c>
      <c r="AW2">
        <f>BDH("TER US Equity","PX_VOLUME","1993-06-18","2026-05-02","Per=M","Days=T","Dir=V")</f>
        <v>0</v>
      </c>
      <c r="AY2">
        <f>BDH("TER US Equity","TURNOVER","1993-06-18","2026-05-02","Per=M","Days=T","Dir=V")</f>
        <v>0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BDH("TEX US Equity","BS_TOT_ASSET","1993-06-18","2026-05-02","Per=Y","Days=T","Dir=V")</f>
        <v>0</v>
      </c>
      <c r="C2">
        <f>BDH("TEX US Equity","BS_TOT_LIAB2","1993-06-18","2026-05-02","Per=Y","Days=T","Dir=V")</f>
        <v>0</v>
      </c>
      <c r="E2">
        <f>BDH("TEX US Equity","SHORT_AND_LONG_TERM_DEBT","1993-06-18","2026-05-02","Per=Y","Days=T","Dir=V")</f>
        <v>0</v>
      </c>
      <c r="G2">
        <f>BDH("TEX US Equity","BS_ST_BORROW","1993-06-18","2026-05-02","Per=Y","Days=T","Dir=V")</f>
        <v>0</v>
      </c>
      <c r="I2">
        <f>BDH("TEX US Equity","BS_LT_BORROW","1993-06-18","2026-05-02","Per=Y","Days=T","Dir=V")</f>
        <v>0</v>
      </c>
      <c r="K2">
        <f>BDH("TEX US Equity","BS_CASH_NEAR_CASH_ITEM","1993-06-18","2026-05-02","Per=Y","Days=T","Dir=V")</f>
        <v>0</v>
      </c>
      <c r="M2">
        <f>BDH("TEX US Equity","BS_CUR_ASSET_REPORT","1993-06-18","2026-05-02","Per=Y","Days=T","Dir=V")</f>
        <v>0</v>
      </c>
      <c r="O2">
        <f>BDH("TEX US Equity","BS_CUR_LIAB","1993-06-18","2026-05-02","Per=Y","Days=T","Dir=V")</f>
        <v>0</v>
      </c>
      <c r="Q2">
        <f>BDH("TEX US Equity","BS_SHAREHOLDER_EQY_ENDING_PERIOD","1993-06-18","2026-05-02","Per=Y","Days=T","Dir=V")</f>
        <v>0</v>
      </c>
      <c r="S2">
        <f>BDH("TEX US Equity","BS_ACCT_NOTE_RCV","1993-06-18","2026-05-02","Per=Y","Days=T","Dir=V")</f>
        <v>0</v>
      </c>
      <c r="U2">
        <f>BDH("TEX US Equity","BS_INVENTORIES","1993-06-18","2026-05-02","Per=Y","Days=T","Dir=V")</f>
        <v>0</v>
      </c>
      <c r="W2">
        <f>BDH("TEX US Equity","WORKING_CAPITAL","1993-06-18","2026-05-02","Per=Y","Days=T","Dir=V")</f>
        <v>0</v>
      </c>
      <c r="Y2">
        <f>BDH("TEX US Equity","SALES_REV_TURN","1993-06-18","2026-05-02","Per=Y","Days=T","Dir=V")</f>
        <v>0</v>
      </c>
      <c r="AA2">
        <f>BDH("TEX US Equity","EBIT","1993-06-18","2026-05-02","Per=Y","Days=T","Dir=V")</f>
        <v>0</v>
      </c>
      <c r="AC2">
        <f>BDH("TEX US Equity","EBITDA","1993-06-18","2026-05-02","Per=Y","Days=T","Dir=V")</f>
        <v>0</v>
      </c>
      <c r="AE2">
        <f>BDH("TEX US Equity","NET_INCOME","1993-06-18","2026-05-02","Per=Y","Days=T","Dir=V")</f>
        <v>0</v>
      </c>
      <c r="AG2">
        <f>BDH("TEX US Equity","IS_INT_EXPENSE","1993-06-18","2026-05-02","Per=Y","Days=T","Dir=V")</f>
        <v>0</v>
      </c>
      <c r="AI2">
        <f>BDH("TEX US Equity","IS_DEPR_EXP","1993-06-18","2026-05-02","Per=Y","Days=T","Dir=V")</f>
        <v>0</v>
      </c>
      <c r="AK2">
        <f>BDH("TEX US Equity","CF_CASH_FROM_OPER","1993-06-18","2026-05-02","Per=Y","Days=T","Dir=V")</f>
        <v>0</v>
      </c>
      <c r="AM2">
        <f>BDH("TEX US Equity","CAPITAL_EXPEND","1993-06-18","2026-05-02","Per=Y","Days=T","Dir=V")</f>
        <v>0</v>
      </c>
      <c r="AO2">
        <f>BDH("TEX US Equity","CF_FREE_CASH_FLOW","1993-06-18","2026-05-02","Per=Y","Days=T","Dir=V")</f>
        <v>0</v>
      </c>
      <c r="AQ2">
        <f>BDH("TEX US Equity","PX_LAST","1993-06-18","2026-05-02","Per=M","Days=T","Dir=V")</f>
        <v>0</v>
      </c>
      <c r="AS2">
        <f>BDH("TEX US Equity","CUR_MKT_CAP","1993-06-18","2026-05-02","Per=M","Days=T","Dir=V")</f>
        <v>0</v>
      </c>
      <c r="AU2">
        <f>BDH("TEX US Equity","EQY_SH_OUT","1993-06-18","2026-05-02","Per=M","Days=T","Dir=V")</f>
        <v>0</v>
      </c>
      <c r="AW2">
        <f>BDH("TEX US Equity","PX_VOLUME","1993-06-18","2026-05-02","Per=M","Days=T","Dir=V")</f>
        <v>0</v>
      </c>
      <c r="AY2">
        <f>BDH("TEX US Equity","TURNOVER","1993-06-18","2026-05-02","Per=M","Days=T","Dir=V")</f>
        <v>0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BDH("TFX US Equity","BS_TOT_ASSET","1993-06-18","2026-05-02","Per=Y","Days=T","Dir=V")</f>
        <v>0</v>
      </c>
      <c r="C2">
        <f>BDH("TFX US Equity","BS_TOT_LIAB2","1993-06-18","2026-05-02","Per=Y","Days=T","Dir=V")</f>
        <v>0</v>
      </c>
      <c r="E2">
        <f>BDH("TFX US Equity","SHORT_AND_LONG_TERM_DEBT","1993-06-18","2026-05-02","Per=Y","Days=T","Dir=V")</f>
        <v>0</v>
      </c>
      <c r="G2">
        <f>BDH("TFX US Equity","BS_ST_BORROW","1993-06-18","2026-05-02","Per=Y","Days=T","Dir=V")</f>
        <v>0</v>
      </c>
      <c r="I2">
        <f>BDH("TFX US Equity","BS_LT_BORROW","1993-06-18","2026-05-02","Per=Y","Days=T","Dir=V")</f>
        <v>0</v>
      </c>
      <c r="K2">
        <f>BDH("TFX US Equity","BS_CASH_NEAR_CASH_ITEM","1993-06-18","2026-05-02","Per=Y","Days=T","Dir=V")</f>
        <v>0</v>
      </c>
      <c r="M2">
        <f>BDH("TFX US Equity","BS_CUR_ASSET_REPORT","1993-06-18","2026-05-02","Per=Y","Days=T","Dir=V")</f>
        <v>0</v>
      </c>
      <c r="O2">
        <f>BDH("TFX US Equity","BS_CUR_LIAB","1993-06-18","2026-05-02","Per=Y","Days=T","Dir=V")</f>
        <v>0</v>
      </c>
      <c r="Q2">
        <f>BDH("TFX US Equity","BS_SHAREHOLDER_EQY_ENDING_PERIOD","1993-06-18","2026-05-02","Per=Y","Days=T","Dir=V")</f>
        <v>0</v>
      </c>
      <c r="S2">
        <f>BDH("TFX US Equity","BS_ACCT_NOTE_RCV","1993-06-18","2026-05-02","Per=Y","Days=T","Dir=V")</f>
        <v>0</v>
      </c>
      <c r="U2">
        <f>BDH("TFX US Equity","BS_INVENTORIES","1993-06-18","2026-05-02","Per=Y","Days=T","Dir=V")</f>
        <v>0</v>
      </c>
      <c r="W2">
        <f>BDH("TFX US Equity","WORKING_CAPITAL","1993-06-18","2026-05-02","Per=Y","Days=T","Dir=V")</f>
        <v>0</v>
      </c>
      <c r="Y2">
        <f>BDH("TFX US Equity","SALES_REV_TURN","1993-06-18","2026-05-02","Per=Y","Days=T","Dir=V")</f>
        <v>0</v>
      </c>
      <c r="AA2">
        <f>BDH("TFX US Equity","EBIT","1993-06-18","2026-05-02","Per=Y","Days=T","Dir=V")</f>
        <v>0</v>
      </c>
      <c r="AC2">
        <f>BDH("TFX US Equity","EBITDA","1993-06-18","2026-05-02","Per=Y","Days=T","Dir=V")</f>
        <v>0</v>
      </c>
      <c r="AE2">
        <f>BDH("TFX US Equity","NET_INCOME","1993-06-18","2026-05-02","Per=Y","Days=T","Dir=V")</f>
        <v>0</v>
      </c>
      <c r="AG2">
        <f>BDH("TFX US Equity","IS_INT_EXPENSE","1993-06-18","2026-05-02","Per=Y","Days=T","Dir=V")</f>
        <v>0</v>
      </c>
      <c r="AI2">
        <f>BDH("TFX US Equity","IS_DEPR_EXP","1993-06-18","2026-05-02","Per=Y","Days=T","Dir=V")</f>
        <v>0</v>
      </c>
      <c r="AK2">
        <f>BDH("TFX US Equity","CF_CASH_FROM_OPER","1993-06-18","2026-05-02","Per=Y","Days=T","Dir=V")</f>
        <v>0</v>
      </c>
      <c r="AM2">
        <f>BDH("TFX US Equity","CAPITAL_EXPEND","1993-06-18","2026-05-02","Per=Y","Days=T","Dir=V")</f>
        <v>0</v>
      </c>
      <c r="AO2">
        <f>BDH("TFX US Equity","CF_FREE_CASH_FLOW","1993-06-18","2026-05-02","Per=Y","Days=T","Dir=V")</f>
        <v>0</v>
      </c>
      <c r="AQ2">
        <f>BDH("TFX US Equity","PX_LAST","1993-06-18","2026-05-02","Per=M","Days=T","Dir=V")</f>
        <v>0</v>
      </c>
      <c r="AS2">
        <f>BDH("TFX US Equity","CUR_MKT_CAP","1993-06-18","2026-05-02","Per=M","Days=T","Dir=V")</f>
        <v>0</v>
      </c>
      <c r="AU2">
        <f>BDH("TFX US Equity","EQY_SH_OUT","1993-06-18","2026-05-02","Per=M","Days=T","Dir=V")</f>
        <v>0</v>
      </c>
      <c r="AW2">
        <f>BDH("TFX US Equity","PX_VOLUME","1993-06-18","2026-05-02","Per=M","Days=T","Dir=V")</f>
        <v>0</v>
      </c>
      <c r="AY2">
        <f>BDH("TFX US Equity","TURNOVER","1993-06-18","2026-05-02","Per=M","Days=T","Dir=V")</f>
        <v>0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BDH("TG US Equity","BS_TOT_ASSET","1993-06-18","2026-05-02","Per=Y","Days=T","Dir=V")</f>
        <v>0</v>
      </c>
      <c r="C2">
        <f>BDH("TG US Equity","BS_TOT_LIAB2","1993-06-18","2026-05-02","Per=Y","Days=T","Dir=V")</f>
        <v>0</v>
      </c>
      <c r="E2">
        <f>BDH("TG US Equity","SHORT_AND_LONG_TERM_DEBT","1993-06-18","2026-05-02","Per=Y","Days=T","Dir=V")</f>
        <v>0</v>
      </c>
      <c r="G2">
        <f>BDH("TG US Equity","BS_ST_BORROW","1993-06-18","2026-05-02","Per=Y","Days=T","Dir=V")</f>
        <v>0</v>
      </c>
      <c r="I2">
        <f>BDH("TG US Equity","BS_LT_BORROW","1993-06-18","2026-05-02","Per=Y","Days=T","Dir=V")</f>
        <v>0</v>
      </c>
      <c r="K2">
        <f>BDH("TG US Equity","BS_CASH_NEAR_CASH_ITEM","1993-06-18","2026-05-02","Per=Y","Days=T","Dir=V")</f>
        <v>0</v>
      </c>
      <c r="M2">
        <f>BDH("TG US Equity","BS_CUR_ASSET_REPORT","1993-06-18","2026-05-02","Per=Y","Days=T","Dir=V")</f>
        <v>0</v>
      </c>
      <c r="O2">
        <f>BDH("TG US Equity","BS_CUR_LIAB","1993-06-18","2026-05-02","Per=Y","Days=T","Dir=V")</f>
        <v>0</v>
      </c>
      <c r="Q2">
        <f>BDH("TG US Equity","BS_SHAREHOLDER_EQY_ENDING_PERIOD","1993-06-18","2026-05-02","Per=Y","Days=T","Dir=V")</f>
        <v>0</v>
      </c>
      <c r="S2">
        <f>BDH("TG US Equity","BS_ACCT_NOTE_RCV","1993-06-18","2026-05-02","Per=Y","Days=T","Dir=V")</f>
        <v>0</v>
      </c>
      <c r="U2">
        <f>BDH("TG US Equity","BS_INVENTORIES","1993-06-18","2026-05-02","Per=Y","Days=T","Dir=V")</f>
        <v>0</v>
      </c>
      <c r="W2">
        <f>BDH("TG US Equity","WORKING_CAPITAL","1993-06-18","2026-05-02","Per=Y","Days=T","Dir=V")</f>
        <v>0</v>
      </c>
      <c r="Y2">
        <f>BDH("TG US Equity","SALES_REV_TURN","1993-06-18","2026-05-02","Per=Y","Days=T","Dir=V")</f>
        <v>0</v>
      </c>
      <c r="AA2">
        <f>BDH("TG US Equity","EBIT","1993-06-18","2026-05-02","Per=Y","Days=T","Dir=V")</f>
        <v>0</v>
      </c>
      <c r="AC2">
        <f>BDH("TG US Equity","EBITDA","1993-06-18","2026-05-02","Per=Y","Days=T","Dir=V")</f>
        <v>0</v>
      </c>
      <c r="AE2">
        <f>BDH("TG US Equity","NET_INCOME","1993-06-18","2026-05-02","Per=Y","Days=T","Dir=V")</f>
        <v>0</v>
      </c>
      <c r="AG2">
        <f>BDH("TG US Equity","IS_INT_EXPENSE","1993-06-18","2026-05-02","Per=Y","Days=T","Dir=V")</f>
        <v>0</v>
      </c>
      <c r="AI2">
        <f>BDH("TG US Equity","IS_DEPR_EXP","1993-06-18","2026-05-02","Per=Y","Days=T","Dir=V")</f>
        <v>0</v>
      </c>
      <c r="AK2">
        <f>BDH("TG US Equity","CF_CASH_FROM_OPER","1993-06-18","2026-05-02","Per=Y","Days=T","Dir=V")</f>
        <v>0</v>
      </c>
      <c r="AM2">
        <f>BDH("TG US Equity","CAPITAL_EXPEND","1993-06-18","2026-05-02","Per=Y","Days=T","Dir=V")</f>
        <v>0</v>
      </c>
      <c r="AO2">
        <f>BDH("TG US Equity","CF_FREE_CASH_FLOW","1993-06-18","2026-05-02","Per=Y","Days=T","Dir=V")</f>
        <v>0</v>
      </c>
      <c r="AQ2">
        <f>BDH("TG US Equity","PX_LAST","1993-06-18","2026-05-02","Per=M","Days=T","Dir=V")</f>
        <v>0</v>
      </c>
      <c r="AS2">
        <f>BDH("TG US Equity","CUR_MKT_CAP","1993-06-18","2026-05-02","Per=M","Days=T","Dir=V")</f>
        <v>0</v>
      </c>
      <c r="AU2">
        <f>BDH("TG US Equity","EQY_SH_OUT","1993-06-18","2026-05-02","Per=M","Days=T","Dir=V")</f>
        <v>0</v>
      </c>
      <c r="AW2">
        <f>BDH("TG US Equity","PX_VOLUME","1993-06-18","2026-05-02","Per=M","Days=T","Dir=V")</f>
        <v>0</v>
      </c>
      <c r="AY2">
        <f>BDH("TG US Equity","TURNOVER","1993-06-18","2026-05-02","Per=M","Days=T","Dir=V")</f>
        <v>0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BDH("TGEN US Equity","BS_TOT_ASSET","1993-06-18","2026-05-02","Per=Y","Days=T","Dir=V")</f>
        <v>0</v>
      </c>
      <c r="C2">
        <f>BDH("TGEN US Equity","BS_TOT_LIAB2","1993-06-18","2026-05-02","Per=Y","Days=T","Dir=V")</f>
        <v>0</v>
      </c>
      <c r="E2">
        <f>BDH("TGEN US Equity","SHORT_AND_LONG_TERM_DEBT","1993-06-18","2026-05-02","Per=Y","Days=T","Dir=V")</f>
        <v>0</v>
      </c>
      <c r="G2">
        <f>BDH("TGEN US Equity","BS_ST_BORROW","1993-06-18","2026-05-02","Per=Y","Days=T","Dir=V")</f>
        <v>0</v>
      </c>
      <c r="I2">
        <f>BDH("TGEN US Equity","BS_LT_BORROW","1993-06-18","2026-05-02","Per=Y","Days=T","Dir=V")</f>
        <v>0</v>
      </c>
      <c r="K2">
        <f>BDH("TGEN US Equity","BS_CASH_NEAR_CASH_ITEM","1993-06-18","2026-05-02","Per=Y","Days=T","Dir=V")</f>
        <v>0</v>
      </c>
      <c r="M2">
        <f>BDH("TGEN US Equity","BS_CUR_ASSET_REPORT","1993-06-18","2026-05-02","Per=Y","Days=T","Dir=V")</f>
        <v>0</v>
      </c>
      <c r="O2">
        <f>BDH("TGEN US Equity","BS_CUR_LIAB","1993-06-18","2026-05-02","Per=Y","Days=T","Dir=V")</f>
        <v>0</v>
      </c>
      <c r="Q2">
        <f>BDH("TGEN US Equity","BS_SHAREHOLDER_EQY_ENDING_PERIOD","1993-06-18","2026-05-02","Per=Y","Days=T","Dir=V")</f>
        <v>0</v>
      </c>
      <c r="S2">
        <f>BDH("TGEN US Equity","BS_ACCT_NOTE_RCV","1993-06-18","2026-05-02","Per=Y","Days=T","Dir=V")</f>
        <v>0</v>
      </c>
      <c r="U2">
        <f>BDH("TGEN US Equity","BS_INVENTORIES","1993-06-18","2026-05-02","Per=Y","Days=T","Dir=V")</f>
        <v>0</v>
      </c>
      <c r="W2">
        <f>BDH("TGEN US Equity","WORKING_CAPITAL","1993-06-18","2026-05-02","Per=Y","Days=T","Dir=V")</f>
        <v>0</v>
      </c>
      <c r="Y2">
        <f>BDH("TGEN US Equity","SALES_REV_TURN","1993-06-18","2026-05-02","Per=Y","Days=T","Dir=V")</f>
        <v>0</v>
      </c>
      <c r="AA2">
        <f>BDH("TGEN US Equity","EBIT","1993-06-18","2026-05-02","Per=Y","Days=T","Dir=V")</f>
        <v>0</v>
      </c>
      <c r="AC2">
        <f>BDH("TGEN US Equity","EBITDA","1993-06-18","2026-05-02","Per=Y","Days=T","Dir=V")</f>
        <v>0</v>
      </c>
      <c r="AE2">
        <f>BDH("TGEN US Equity","NET_INCOME","1993-06-18","2026-05-02","Per=Y","Days=T","Dir=V")</f>
        <v>0</v>
      </c>
      <c r="AG2">
        <f>BDH("TGEN US Equity","IS_INT_EXPENSE","1993-06-18","2026-05-02","Per=Y","Days=T","Dir=V")</f>
        <v>0</v>
      </c>
      <c r="AI2">
        <f>BDH("TGEN US Equity","IS_DEPR_EXP","1993-06-18","2026-05-02","Per=Y","Days=T","Dir=V")</f>
        <v>0</v>
      </c>
      <c r="AK2">
        <f>BDH("TGEN US Equity","CF_CASH_FROM_OPER","1993-06-18","2026-05-02","Per=Y","Days=T","Dir=V")</f>
        <v>0</v>
      </c>
      <c r="AM2">
        <f>BDH("TGEN US Equity","CAPITAL_EXPEND","1993-06-18","2026-05-02","Per=Y","Days=T","Dir=V")</f>
        <v>0</v>
      </c>
      <c r="AO2">
        <f>BDH("TGEN US Equity","CF_FREE_CASH_FLOW","1993-06-18","2026-05-02","Per=Y","Days=T","Dir=V")</f>
        <v>0</v>
      </c>
      <c r="AQ2">
        <f>BDH("TGEN US Equity","PX_LAST","1993-06-18","2026-05-02","Per=M","Days=T","Dir=V")</f>
        <v>0</v>
      </c>
      <c r="AS2">
        <f>BDH("TGEN US Equity","CUR_MKT_CAP","1993-06-18","2026-05-02","Per=M","Days=T","Dir=V")</f>
        <v>0</v>
      </c>
      <c r="AU2">
        <f>BDH("TGEN US Equity","EQY_SH_OUT","1993-06-18","2026-05-02","Per=M","Days=T","Dir=V")</f>
        <v>0</v>
      </c>
      <c r="AW2">
        <f>BDH("TGEN US Equity","PX_VOLUME","1993-06-18","2026-05-02","Per=M","Days=T","Dir=V")</f>
        <v>0</v>
      </c>
      <c r="AY2">
        <f>BDH("TGEN US Equity","TURNOVER","1993-06-18","2026-05-02","Per=M","Days=T","Dir=V")</f>
        <v>0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BDH("TGL US Equity","BS_TOT_ASSET","1993-06-18","2026-05-02","Per=Y","Days=T","Dir=V")</f>
        <v>0</v>
      </c>
      <c r="C2">
        <f>BDH("TGL US Equity","BS_TOT_LIAB2","1993-06-18","2026-05-02","Per=Y","Days=T","Dir=V")</f>
        <v>0</v>
      </c>
      <c r="E2">
        <f>BDH("TGL US Equity","SHORT_AND_LONG_TERM_DEBT","1993-06-18","2026-05-02","Per=Y","Days=T","Dir=V")</f>
        <v>0</v>
      </c>
      <c r="G2">
        <f>BDH("TGL US Equity","BS_ST_BORROW","1993-06-18","2026-05-02","Per=Y","Days=T","Dir=V")</f>
        <v>0</v>
      </c>
      <c r="I2">
        <f>BDH("TGL US Equity","BS_LT_BORROW","1993-06-18","2026-05-02","Per=Y","Days=T","Dir=V")</f>
        <v>0</v>
      </c>
      <c r="K2">
        <f>BDH("TGL US Equity","BS_CASH_NEAR_CASH_ITEM","1993-06-18","2026-05-02","Per=Y","Days=T","Dir=V")</f>
        <v>0</v>
      </c>
      <c r="M2">
        <f>BDH("TGL US Equity","BS_CUR_ASSET_REPORT","1993-06-18","2026-05-02","Per=Y","Days=T","Dir=V")</f>
        <v>0</v>
      </c>
      <c r="O2">
        <f>BDH("TGL US Equity","BS_CUR_LIAB","1993-06-18","2026-05-02","Per=Y","Days=T","Dir=V")</f>
        <v>0</v>
      </c>
      <c r="Q2">
        <f>BDH("TGL US Equity","BS_SHAREHOLDER_EQY_ENDING_PERIOD","1993-06-18","2026-05-02","Per=Y","Days=T","Dir=V")</f>
        <v>0</v>
      </c>
      <c r="S2">
        <f>BDH("TGL US Equity","BS_ACCT_NOTE_RCV","1993-06-18","2026-05-02","Per=Y","Days=T","Dir=V")</f>
        <v>0</v>
      </c>
      <c r="U2">
        <f>BDH("TGL US Equity","BS_INVENTORIES","1993-06-18","2026-05-02","Per=Y","Days=T","Dir=V")</f>
        <v>0</v>
      </c>
      <c r="W2">
        <f>BDH("TGL US Equity","WORKING_CAPITAL","1993-06-18","2026-05-02","Per=Y","Days=T","Dir=V")</f>
        <v>0</v>
      </c>
      <c r="Y2">
        <f>BDH("TGL US Equity","SALES_REV_TURN","1993-06-18","2026-05-02","Per=Y","Days=T","Dir=V")</f>
        <v>0</v>
      </c>
      <c r="AA2">
        <f>BDH("TGL US Equity","EBIT","1993-06-18","2026-05-02","Per=Y","Days=T","Dir=V")</f>
        <v>0</v>
      </c>
      <c r="AC2">
        <f>BDH("TGL US Equity","EBITDA","1993-06-18","2026-05-02","Per=Y","Days=T","Dir=V")</f>
        <v>0</v>
      </c>
      <c r="AE2">
        <f>BDH("TGL US Equity","NET_INCOME","1993-06-18","2026-05-02","Per=Y","Days=T","Dir=V")</f>
        <v>0</v>
      </c>
      <c r="AG2">
        <f>BDH("TGL US Equity","IS_INT_EXPENSE","1993-06-18","2026-05-02","Per=Y","Days=T","Dir=V")</f>
        <v>0</v>
      </c>
      <c r="AI2">
        <f>BDH("TGL US Equity","IS_DEPR_EXP","1993-06-18","2026-05-02","Per=Y","Days=T","Dir=V")</f>
        <v>0</v>
      </c>
      <c r="AK2">
        <f>BDH("TGL US Equity","CF_CASH_FROM_OPER","1993-06-18","2026-05-02","Per=Y","Days=T","Dir=V")</f>
        <v>0</v>
      </c>
      <c r="AM2">
        <f>BDH("TGL US Equity","CAPITAL_EXPEND","1993-06-18","2026-05-02","Per=Y","Days=T","Dir=V")</f>
        <v>0</v>
      </c>
      <c r="AO2">
        <f>BDH("TGL US Equity","CF_FREE_CASH_FLOW","1993-06-18","2026-05-02","Per=Y","Days=T","Dir=V")</f>
        <v>0</v>
      </c>
      <c r="AQ2">
        <f>BDH("TGL US Equity","PX_LAST","1993-06-18","2026-05-02","Per=M","Days=T","Dir=V")</f>
        <v>0</v>
      </c>
      <c r="AS2">
        <f>BDH("TGL US Equity","CUR_MKT_CAP","1993-06-18","2026-05-02","Per=M","Days=T","Dir=V")</f>
        <v>0</v>
      </c>
      <c r="AU2">
        <f>BDH("TGL US Equity","EQY_SH_OUT","1993-06-18","2026-05-02","Per=M","Days=T","Dir=V")</f>
        <v>0</v>
      </c>
      <c r="AW2">
        <f>BDH("TGL US Equity","PX_VOLUME","1993-06-18","2026-05-02","Per=M","Days=T","Dir=V")</f>
        <v>0</v>
      </c>
      <c r="AY2">
        <f>BDH("TGL US Equity","TURNOVER","1993-06-18","2026-05-02","Per=M","Days=T","Dir=V")</f>
        <v>0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BDH("TGT US Equity","BS_TOT_ASSET","1993-06-18","2026-05-02","Per=Y","Days=T","Dir=V")</f>
        <v>0</v>
      </c>
      <c r="C2">
        <f>BDH("TGT US Equity","BS_TOT_LIAB2","1993-06-18","2026-05-02","Per=Y","Days=T","Dir=V")</f>
        <v>0</v>
      </c>
      <c r="E2">
        <f>BDH("TGT US Equity","SHORT_AND_LONG_TERM_DEBT","1993-06-18","2026-05-02","Per=Y","Days=T","Dir=V")</f>
        <v>0</v>
      </c>
      <c r="G2">
        <f>BDH("TGT US Equity","BS_ST_BORROW","1993-06-18","2026-05-02","Per=Y","Days=T","Dir=V")</f>
        <v>0</v>
      </c>
      <c r="I2">
        <f>BDH("TGT US Equity","BS_LT_BORROW","1993-06-18","2026-05-02","Per=Y","Days=T","Dir=V")</f>
        <v>0</v>
      </c>
      <c r="K2">
        <f>BDH("TGT US Equity","BS_CASH_NEAR_CASH_ITEM","1993-06-18","2026-05-02","Per=Y","Days=T","Dir=V")</f>
        <v>0</v>
      </c>
      <c r="M2">
        <f>BDH("TGT US Equity","BS_CUR_ASSET_REPORT","1993-06-18","2026-05-02","Per=Y","Days=T","Dir=V")</f>
        <v>0</v>
      </c>
      <c r="O2">
        <f>BDH("TGT US Equity","BS_CUR_LIAB","1993-06-18","2026-05-02","Per=Y","Days=T","Dir=V")</f>
        <v>0</v>
      </c>
      <c r="Q2">
        <f>BDH("TGT US Equity","BS_SHAREHOLDER_EQY_ENDING_PERIOD","1993-06-18","2026-05-02","Per=Y","Days=T","Dir=V")</f>
        <v>0</v>
      </c>
      <c r="S2">
        <f>BDH("TGT US Equity","BS_ACCT_NOTE_RCV","1993-06-18","2026-05-02","Per=Y","Days=T","Dir=V")</f>
        <v>0</v>
      </c>
      <c r="U2">
        <f>BDH("TGT US Equity","BS_INVENTORIES","1993-06-18","2026-05-02","Per=Y","Days=T","Dir=V")</f>
        <v>0</v>
      </c>
      <c r="W2">
        <f>BDH("TGT US Equity","WORKING_CAPITAL","1993-06-18","2026-05-02","Per=Y","Days=T","Dir=V")</f>
        <v>0</v>
      </c>
      <c r="Y2">
        <f>BDH("TGT US Equity","SALES_REV_TURN","1993-06-18","2026-05-02","Per=Y","Days=T","Dir=V")</f>
        <v>0</v>
      </c>
      <c r="AA2">
        <f>BDH("TGT US Equity","EBIT","1993-06-18","2026-05-02","Per=Y","Days=T","Dir=V")</f>
        <v>0</v>
      </c>
      <c r="AC2">
        <f>BDH("TGT US Equity","EBITDA","1993-06-18","2026-05-02","Per=Y","Days=T","Dir=V")</f>
        <v>0</v>
      </c>
      <c r="AE2">
        <f>BDH("TGT US Equity","NET_INCOME","1993-06-18","2026-05-02","Per=Y","Days=T","Dir=V")</f>
        <v>0</v>
      </c>
      <c r="AG2">
        <f>BDH("TGT US Equity","IS_INT_EXPENSE","1993-06-18","2026-05-02","Per=Y","Days=T","Dir=V")</f>
        <v>0</v>
      </c>
      <c r="AI2">
        <f>BDH("TGT US Equity","IS_DEPR_EXP","1993-06-18","2026-05-02","Per=Y","Days=T","Dir=V")</f>
        <v>0</v>
      </c>
      <c r="AK2">
        <f>BDH("TGT US Equity","CF_CASH_FROM_OPER","1993-06-18","2026-05-02","Per=Y","Days=T","Dir=V")</f>
        <v>0</v>
      </c>
      <c r="AM2">
        <f>BDH("TGT US Equity","CAPITAL_EXPEND","1993-06-18","2026-05-02","Per=Y","Days=T","Dir=V")</f>
        <v>0</v>
      </c>
      <c r="AO2">
        <f>BDH("TGT US Equity","CF_FREE_CASH_FLOW","1993-06-18","2026-05-02","Per=Y","Days=T","Dir=V")</f>
        <v>0</v>
      </c>
      <c r="AQ2">
        <f>BDH("TGT US Equity","PX_LAST","1993-06-18","2026-05-02","Per=M","Days=T","Dir=V")</f>
        <v>0</v>
      </c>
      <c r="AS2">
        <f>BDH("TGT US Equity","CUR_MKT_CAP","1993-06-18","2026-05-02","Per=M","Days=T","Dir=V")</f>
        <v>0</v>
      </c>
      <c r="AU2">
        <f>BDH("TGT US Equity","EQY_SH_OUT","1993-06-18","2026-05-02","Per=M","Days=T","Dir=V")</f>
        <v>0</v>
      </c>
      <c r="AW2">
        <f>BDH("TGT US Equity","PX_VOLUME","1993-06-18","2026-05-02","Per=M","Days=T","Dir=V")</f>
        <v>0</v>
      </c>
      <c r="AY2">
        <f>BDH("TGT US Equity","TURNOVER","1993-06-18","2026-05-02","Per=M","Days=T","Dir=V")</f>
        <v>0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BDH("TGTX US Equity","BS_TOT_ASSET","1993-06-18","2026-05-02","Per=Y","Days=T","Dir=V")</f>
        <v>0</v>
      </c>
      <c r="C2">
        <f>BDH("TGTX US Equity","BS_TOT_LIAB2","1993-06-18","2026-05-02","Per=Y","Days=T","Dir=V")</f>
        <v>0</v>
      </c>
      <c r="E2">
        <f>BDH("TGTX US Equity","SHORT_AND_LONG_TERM_DEBT","1993-06-18","2026-05-02","Per=Y","Days=T","Dir=V")</f>
        <v>0</v>
      </c>
      <c r="G2">
        <f>BDH("TGTX US Equity","BS_ST_BORROW","1993-06-18","2026-05-02","Per=Y","Days=T","Dir=V")</f>
        <v>0</v>
      </c>
      <c r="I2">
        <f>BDH("TGTX US Equity","BS_LT_BORROW","1993-06-18","2026-05-02","Per=Y","Days=T","Dir=V")</f>
        <v>0</v>
      </c>
      <c r="K2">
        <f>BDH("TGTX US Equity","BS_CASH_NEAR_CASH_ITEM","1993-06-18","2026-05-02","Per=Y","Days=T","Dir=V")</f>
        <v>0</v>
      </c>
      <c r="M2">
        <f>BDH("TGTX US Equity","BS_CUR_ASSET_REPORT","1993-06-18","2026-05-02","Per=Y","Days=T","Dir=V")</f>
        <v>0</v>
      </c>
      <c r="O2">
        <f>BDH("TGTX US Equity","BS_CUR_LIAB","1993-06-18","2026-05-02","Per=Y","Days=T","Dir=V")</f>
        <v>0</v>
      </c>
      <c r="Q2">
        <f>BDH("TGTX US Equity","BS_SHAREHOLDER_EQY_ENDING_PERIOD","1993-06-18","2026-05-02","Per=Y","Days=T","Dir=V")</f>
        <v>0</v>
      </c>
      <c r="S2">
        <f>BDH("TGTX US Equity","BS_ACCT_NOTE_RCV","1993-06-18","2026-05-02","Per=Y","Days=T","Dir=V")</f>
        <v>0</v>
      </c>
      <c r="U2">
        <f>BDH("TGTX US Equity","BS_INVENTORIES","1993-06-18","2026-05-02","Per=Y","Days=T","Dir=V")</f>
        <v>0</v>
      </c>
      <c r="W2">
        <f>BDH("TGTX US Equity","WORKING_CAPITAL","1993-06-18","2026-05-02","Per=Y","Days=T","Dir=V")</f>
        <v>0</v>
      </c>
      <c r="Y2">
        <f>BDH("TGTX US Equity","SALES_REV_TURN","1993-06-18","2026-05-02","Per=Y","Days=T","Dir=V")</f>
        <v>0</v>
      </c>
      <c r="AA2">
        <f>BDH("TGTX US Equity","EBIT","1993-06-18","2026-05-02","Per=Y","Days=T","Dir=V")</f>
        <v>0</v>
      </c>
      <c r="AC2">
        <f>BDH("TGTX US Equity","EBITDA","1993-06-18","2026-05-02","Per=Y","Days=T","Dir=V")</f>
        <v>0</v>
      </c>
      <c r="AE2">
        <f>BDH("TGTX US Equity","NET_INCOME","1993-06-18","2026-05-02","Per=Y","Days=T","Dir=V")</f>
        <v>0</v>
      </c>
      <c r="AG2">
        <f>BDH("TGTX US Equity","IS_INT_EXPENSE","1993-06-18","2026-05-02","Per=Y","Days=T","Dir=V")</f>
        <v>0</v>
      </c>
      <c r="AI2">
        <f>BDH("TGTX US Equity","IS_DEPR_EXP","1993-06-18","2026-05-02","Per=Y","Days=T","Dir=V")</f>
        <v>0</v>
      </c>
      <c r="AK2">
        <f>BDH("TGTX US Equity","CF_CASH_FROM_OPER","1993-06-18","2026-05-02","Per=Y","Days=T","Dir=V")</f>
        <v>0</v>
      </c>
      <c r="AM2">
        <f>BDH("TGTX US Equity","CAPITAL_EXPEND","1993-06-18","2026-05-02","Per=Y","Days=T","Dir=V")</f>
        <v>0</v>
      </c>
      <c r="AO2">
        <f>BDH("TGTX US Equity","CF_FREE_CASH_FLOW","1993-06-18","2026-05-02","Per=Y","Days=T","Dir=V")</f>
        <v>0</v>
      </c>
      <c r="AQ2">
        <f>BDH("TGTX US Equity","PX_LAST","1993-06-18","2026-05-02","Per=M","Days=T","Dir=V")</f>
        <v>0</v>
      </c>
      <c r="AS2">
        <f>BDH("TGTX US Equity","CUR_MKT_CAP","1993-06-18","2026-05-02","Per=M","Days=T","Dir=V")</f>
        <v>0</v>
      </c>
      <c r="AU2">
        <f>BDH("TGTX US Equity","EQY_SH_OUT","1993-06-18","2026-05-02","Per=M","Days=T","Dir=V")</f>
        <v>0</v>
      </c>
      <c r="AW2">
        <f>BDH("TGTX US Equity","PX_VOLUME","1993-06-18","2026-05-02","Per=M","Days=T","Dir=V")</f>
        <v>0</v>
      </c>
      <c r="AY2">
        <f>BDH("TGTX US Equity","TURNOVER","1993-06-18","2026-05-02","Per=M","Days=T","Dir=V")</f>
        <v>0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BDH("TH US Equity","BS_TOT_ASSET","1993-06-18","2026-05-02","Per=Y","Days=T","Dir=V")</f>
        <v>0</v>
      </c>
      <c r="C2">
        <f>BDH("TH US Equity","BS_TOT_LIAB2","1993-06-18","2026-05-02","Per=Y","Days=T","Dir=V")</f>
        <v>0</v>
      </c>
      <c r="E2">
        <f>BDH("TH US Equity","SHORT_AND_LONG_TERM_DEBT","1993-06-18","2026-05-02","Per=Y","Days=T","Dir=V")</f>
        <v>0</v>
      </c>
      <c r="G2">
        <f>BDH("TH US Equity","BS_ST_BORROW","1993-06-18","2026-05-02","Per=Y","Days=T","Dir=V")</f>
        <v>0</v>
      </c>
      <c r="I2">
        <f>BDH("TH US Equity","BS_LT_BORROW","1993-06-18","2026-05-02","Per=Y","Days=T","Dir=V")</f>
        <v>0</v>
      </c>
      <c r="K2">
        <f>BDH("TH US Equity","BS_CASH_NEAR_CASH_ITEM","1993-06-18","2026-05-02","Per=Y","Days=T","Dir=V")</f>
        <v>0</v>
      </c>
      <c r="M2">
        <f>BDH("TH US Equity","BS_CUR_ASSET_REPORT","1993-06-18","2026-05-02","Per=Y","Days=T","Dir=V")</f>
        <v>0</v>
      </c>
      <c r="O2">
        <f>BDH("TH US Equity","BS_CUR_LIAB","1993-06-18","2026-05-02","Per=Y","Days=T","Dir=V")</f>
        <v>0</v>
      </c>
      <c r="Q2">
        <f>BDH("TH US Equity","BS_SHAREHOLDER_EQY_ENDING_PERIOD","1993-06-18","2026-05-02","Per=Y","Days=T","Dir=V")</f>
        <v>0</v>
      </c>
      <c r="S2">
        <f>BDH("TH US Equity","BS_ACCT_NOTE_RCV","1993-06-18","2026-05-02","Per=Y","Days=T","Dir=V")</f>
        <v>0</v>
      </c>
      <c r="U2">
        <f>BDH("TH US Equity","BS_INVENTORIES","1993-06-18","2026-05-02","Per=Y","Days=T","Dir=V")</f>
        <v>0</v>
      </c>
      <c r="W2">
        <f>BDH("TH US Equity","WORKING_CAPITAL","1993-06-18","2026-05-02","Per=Y","Days=T","Dir=V")</f>
        <v>0</v>
      </c>
      <c r="Y2">
        <f>BDH("TH US Equity","SALES_REV_TURN","1993-06-18","2026-05-02","Per=Y","Days=T","Dir=V")</f>
        <v>0</v>
      </c>
      <c r="AA2">
        <f>BDH("TH US Equity","EBIT","1993-06-18","2026-05-02","Per=Y","Days=T","Dir=V")</f>
        <v>0</v>
      </c>
      <c r="AC2">
        <f>BDH("TH US Equity","EBITDA","1993-06-18","2026-05-02","Per=Y","Days=T","Dir=V")</f>
        <v>0</v>
      </c>
      <c r="AE2">
        <f>BDH("TH US Equity","NET_INCOME","1993-06-18","2026-05-02","Per=Y","Days=T","Dir=V")</f>
        <v>0</v>
      </c>
      <c r="AG2">
        <f>BDH("TH US Equity","IS_INT_EXPENSE","1993-06-18","2026-05-02","Per=Y","Days=T","Dir=V")</f>
        <v>0</v>
      </c>
      <c r="AI2">
        <f>BDH("TH US Equity","IS_DEPR_EXP","1993-06-18","2026-05-02","Per=Y","Days=T","Dir=V")</f>
        <v>0</v>
      </c>
      <c r="AK2">
        <f>BDH("TH US Equity","CF_CASH_FROM_OPER","1993-06-18","2026-05-02","Per=Y","Days=T","Dir=V")</f>
        <v>0</v>
      </c>
      <c r="AM2">
        <f>BDH("TH US Equity","CAPITAL_EXPEND","1993-06-18","2026-05-02","Per=Y","Days=T","Dir=V")</f>
        <v>0</v>
      </c>
      <c r="AO2">
        <f>BDH("TH US Equity","CF_FREE_CASH_FLOW","1993-06-18","2026-05-02","Per=Y","Days=T","Dir=V")</f>
        <v>0</v>
      </c>
      <c r="AQ2">
        <f>BDH("TH US Equity","PX_LAST","1993-06-18","2026-05-02","Per=M","Days=T","Dir=V")</f>
        <v>0</v>
      </c>
      <c r="AS2">
        <f>BDH("TH US Equity","CUR_MKT_CAP","1993-06-18","2026-05-02","Per=M","Days=T","Dir=V")</f>
        <v>0</v>
      </c>
      <c r="AU2">
        <f>BDH("TH US Equity","EQY_SH_OUT","1993-06-18","2026-05-02","Per=M","Days=T","Dir=V")</f>
        <v>0</v>
      </c>
      <c r="AW2">
        <f>BDH("TH US Equity","PX_VOLUME","1993-06-18","2026-05-02","Per=M","Days=T","Dir=V")</f>
        <v>0</v>
      </c>
      <c r="AY2">
        <f>BDH("TH US Equity","TURNOVER","1993-06-18","2026-05-02","Per=M","Days=T","Dir=V")</f>
        <v>0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BDH("THC US Equity","BS_TOT_ASSET","1993-06-18","2026-05-02","Per=Y","Days=T","Dir=V")</f>
        <v>0</v>
      </c>
      <c r="C2">
        <f>BDH("THC US Equity","BS_TOT_LIAB2","1993-06-18","2026-05-02","Per=Y","Days=T","Dir=V")</f>
        <v>0</v>
      </c>
      <c r="E2">
        <f>BDH("THC US Equity","SHORT_AND_LONG_TERM_DEBT","1993-06-18","2026-05-02","Per=Y","Days=T","Dir=V")</f>
        <v>0</v>
      </c>
      <c r="G2">
        <f>BDH("THC US Equity","BS_ST_BORROW","1993-06-18","2026-05-02","Per=Y","Days=T","Dir=V")</f>
        <v>0</v>
      </c>
      <c r="I2">
        <f>BDH("THC US Equity","BS_LT_BORROW","1993-06-18","2026-05-02","Per=Y","Days=T","Dir=V")</f>
        <v>0</v>
      </c>
      <c r="K2">
        <f>BDH("THC US Equity","BS_CASH_NEAR_CASH_ITEM","1993-06-18","2026-05-02","Per=Y","Days=T","Dir=V")</f>
        <v>0</v>
      </c>
      <c r="M2">
        <f>BDH("THC US Equity","BS_CUR_ASSET_REPORT","1993-06-18","2026-05-02","Per=Y","Days=T","Dir=V")</f>
        <v>0</v>
      </c>
      <c r="O2">
        <f>BDH("THC US Equity","BS_CUR_LIAB","1993-06-18","2026-05-02","Per=Y","Days=T","Dir=V")</f>
        <v>0</v>
      </c>
      <c r="Q2">
        <f>BDH("THC US Equity","BS_SHAREHOLDER_EQY_ENDING_PERIOD","1993-06-18","2026-05-02","Per=Y","Days=T","Dir=V")</f>
        <v>0</v>
      </c>
      <c r="S2">
        <f>BDH("THC US Equity","BS_ACCT_NOTE_RCV","1993-06-18","2026-05-02","Per=Y","Days=T","Dir=V")</f>
        <v>0</v>
      </c>
      <c r="U2">
        <f>BDH("THC US Equity","BS_INVENTORIES","1993-06-18","2026-05-02","Per=Y","Days=T","Dir=V")</f>
        <v>0</v>
      </c>
      <c r="W2">
        <f>BDH("THC US Equity","WORKING_CAPITAL","1993-06-18","2026-05-02","Per=Y","Days=T","Dir=V")</f>
        <v>0</v>
      </c>
      <c r="Y2">
        <f>BDH("THC US Equity","SALES_REV_TURN","1993-06-18","2026-05-02","Per=Y","Days=T","Dir=V")</f>
        <v>0</v>
      </c>
      <c r="AA2">
        <f>BDH("THC US Equity","EBIT","1993-06-18","2026-05-02","Per=Y","Days=T","Dir=V")</f>
        <v>0</v>
      </c>
      <c r="AC2">
        <f>BDH("THC US Equity","EBITDA","1993-06-18","2026-05-02","Per=Y","Days=T","Dir=V")</f>
        <v>0</v>
      </c>
      <c r="AE2">
        <f>BDH("THC US Equity","NET_INCOME","1993-06-18","2026-05-02","Per=Y","Days=T","Dir=V")</f>
        <v>0</v>
      </c>
      <c r="AG2">
        <f>BDH("THC US Equity","IS_INT_EXPENSE","1993-06-18","2026-05-02","Per=Y","Days=T","Dir=V")</f>
        <v>0</v>
      </c>
      <c r="AI2">
        <f>BDH("THC US Equity","IS_DEPR_EXP","1993-06-18","2026-05-02","Per=Y","Days=T","Dir=V")</f>
        <v>0</v>
      </c>
      <c r="AK2">
        <f>BDH("THC US Equity","CF_CASH_FROM_OPER","1993-06-18","2026-05-02","Per=Y","Days=T","Dir=V")</f>
        <v>0</v>
      </c>
      <c r="AM2">
        <f>BDH("THC US Equity","CAPITAL_EXPEND","1993-06-18","2026-05-02","Per=Y","Days=T","Dir=V")</f>
        <v>0</v>
      </c>
      <c r="AO2">
        <f>BDH("THC US Equity","CF_FREE_CASH_FLOW","1993-06-18","2026-05-02","Per=Y","Days=T","Dir=V")</f>
        <v>0</v>
      </c>
      <c r="AQ2">
        <f>BDH("THC US Equity","PX_LAST","1993-06-18","2026-05-02","Per=M","Days=T","Dir=V")</f>
        <v>0</v>
      </c>
      <c r="AS2">
        <f>BDH("THC US Equity","CUR_MKT_CAP","1993-06-18","2026-05-02","Per=M","Days=T","Dir=V")</f>
        <v>0</v>
      </c>
      <c r="AU2">
        <f>BDH("THC US Equity","EQY_SH_OUT","1993-06-18","2026-05-02","Per=M","Days=T","Dir=V")</f>
        <v>0</v>
      </c>
      <c r="AW2">
        <f>BDH("THC US Equity","PX_VOLUME","1993-06-18","2026-05-02","Per=M","Days=T","Dir=V")</f>
        <v>0</v>
      </c>
      <c r="AY2">
        <f>BDH("THC US Equity","TURNOVER","1993-06-18","2026-05-02","Per=M","Days=T","Dir=V")</f>
        <v>0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BDH("THO US Equity","BS_TOT_ASSET","1993-06-18","2026-05-02","Per=Y","Days=T","Dir=V")</f>
        <v>0</v>
      </c>
      <c r="C2">
        <f>BDH("THO US Equity","BS_TOT_LIAB2","1993-06-18","2026-05-02","Per=Y","Days=T","Dir=V")</f>
        <v>0</v>
      </c>
      <c r="E2">
        <f>BDH("THO US Equity","SHORT_AND_LONG_TERM_DEBT","1993-06-18","2026-05-02","Per=Y","Days=T","Dir=V")</f>
        <v>0</v>
      </c>
      <c r="G2">
        <f>BDH("THO US Equity","BS_ST_BORROW","1993-06-18","2026-05-02","Per=Y","Days=T","Dir=V")</f>
        <v>0</v>
      </c>
      <c r="I2">
        <f>BDH("THO US Equity","BS_LT_BORROW","1993-06-18","2026-05-02","Per=Y","Days=T","Dir=V")</f>
        <v>0</v>
      </c>
      <c r="K2">
        <f>BDH("THO US Equity","BS_CASH_NEAR_CASH_ITEM","1993-06-18","2026-05-02","Per=Y","Days=T","Dir=V")</f>
        <v>0</v>
      </c>
      <c r="M2">
        <f>BDH("THO US Equity","BS_CUR_ASSET_REPORT","1993-06-18","2026-05-02","Per=Y","Days=T","Dir=V")</f>
        <v>0</v>
      </c>
      <c r="O2">
        <f>BDH("THO US Equity","BS_CUR_LIAB","1993-06-18","2026-05-02","Per=Y","Days=T","Dir=V")</f>
        <v>0</v>
      </c>
      <c r="Q2">
        <f>BDH("THO US Equity","BS_SHAREHOLDER_EQY_ENDING_PERIOD","1993-06-18","2026-05-02","Per=Y","Days=T","Dir=V")</f>
        <v>0</v>
      </c>
      <c r="S2">
        <f>BDH("THO US Equity","BS_ACCT_NOTE_RCV","1993-06-18","2026-05-02","Per=Y","Days=T","Dir=V")</f>
        <v>0</v>
      </c>
      <c r="U2">
        <f>BDH("THO US Equity","BS_INVENTORIES","1993-06-18","2026-05-02","Per=Y","Days=T","Dir=V")</f>
        <v>0</v>
      </c>
      <c r="W2">
        <f>BDH("THO US Equity","WORKING_CAPITAL","1993-06-18","2026-05-02","Per=Y","Days=T","Dir=V")</f>
        <v>0</v>
      </c>
      <c r="Y2">
        <f>BDH("THO US Equity","SALES_REV_TURN","1993-06-18","2026-05-02","Per=Y","Days=T","Dir=V")</f>
        <v>0</v>
      </c>
      <c r="AA2">
        <f>BDH("THO US Equity","EBIT","1993-06-18","2026-05-02","Per=Y","Days=T","Dir=V")</f>
        <v>0</v>
      </c>
      <c r="AC2">
        <f>BDH("THO US Equity","EBITDA","1993-06-18","2026-05-02","Per=Y","Days=T","Dir=V")</f>
        <v>0</v>
      </c>
      <c r="AE2">
        <f>BDH("THO US Equity","NET_INCOME","1993-06-18","2026-05-02","Per=Y","Days=T","Dir=V")</f>
        <v>0</v>
      </c>
      <c r="AG2">
        <f>BDH("THO US Equity","IS_INT_EXPENSE","1993-06-18","2026-05-02","Per=Y","Days=T","Dir=V")</f>
        <v>0</v>
      </c>
      <c r="AI2">
        <f>BDH("THO US Equity","IS_DEPR_EXP","1993-06-18","2026-05-02","Per=Y","Days=T","Dir=V")</f>
        <v>0</v>
      </c>
      <c r="AK2">
        <f>BDH("THO US Equity","CF_CASH_FROM_OPER","1993-06-18","2026-05-02","Per=Y","Days=T","Dir=V")</f>
        <v>0</v>
      </c>
      <c r="AM2">
        <f>BDH("THO US Equity","CAPITAL_EXPEND","1993-06-18","2026-05-02","Per=Y","Days=T","Dir=V")</f>
        <v>0</v>
      </c>
      <c r="AO2">
        <f>BDH("THO US Equity","CF_FREE_CASH_FLOW","1993-06-18","2026-05-02","Per=Y","Days=T","Dir=V")</f>
        <v>0</v>
      </c>
      <c r="AQ2">
        <f>BDH("THO US Equity","PX_LAST","1993-06-18","2026-05-02","Per=M","Days=T","Dir=V")</f>
        <v>0</v>
      </c>
      <c r="AS2">
        <f>BDH("THO US Equity","CUR_MKT_CAP","1993-06-18","2026-05-02","Per=M","Days=T","Dir=V")</f>
        <v>0</v>
      </c>
      <c r="AU2">
        <f>BDH("THO US Equity","EQY_SH_OUT","1993-06-18","2026-05-02","Per=M","Days=T","Dir=V")</f>
        <v>0</v>
      </c>
      <c r="AW2">
        <f>BDH("THO US Equity","PX_VOLUME","1993-06-18","2026-05-02","Per=M","Days=T","Dir=V")</f>
        <v>0</v>
      </c>
      <c r="AY2">
        <f>BDH("THO US Equity","TURNOVER","1993-06-18","2026-05-02","Per=M","Days=T","Dir=V")</f>
        <v>0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BDH("THRM US Equity","BS_TOT_ASSET","1993-06-18","2026-05-02","Per=Y","Days=T","Dir=V")</f>
        <v>0</v>
      </c>
      <c r="C2">
        <f>BDH("THRM US Equity","BS_TOT_LIAB2","1993-06-18","2026-05-02","Per=Y","Days=T","Dir=V")</f>
        <v>0</v>
      </c>
      <c r="E2">
        <f>BDH("THRM US Equity","SHORT_AND_LONG_TERM_DEBT","1993-06-18","2026-05-02","Per=Y","Days=T","Dir=V")</f>
        <v>0</v>
      </c>
      <c r="G2">
        <f>BDH("THRM US Equity","BS_ST_BORROW","1993-06-18","2026-05-02","Per=Y","Days=T","Dir=V")</f>
        <v>0</v>
      </c>
      <c r="I2">
        <f>BDH("THRM US Equity","BS_LT_BORROW","1993-06-18","2026-05-02","Per=Y","Days=T","Dir=V")</f>
        <v>0</v>
      </c>
      <c r="K2">
        <f>BDH("THRM US Equity","BS_CASH_NEAR_CASH_ITEM","1993-06-18","2026-05-02","Per=Y","Days=T","Dir=V")</f>
        <v>0</v>
      </c>
      <c r="M2">
        <f>BDH("THRM US Equity","BS_CUR_ASSET_REPORT","1993-06-18","2026-05-02","Per=Y","Days=T","Dir=V")</f>
        <v>0</v>
      </c>
      <c r="O2">
        <f>BDH("THRM US Equity","BS_CUR_LIAB","1993-06-18","2026-05-02","Per=Y","Days=T","Dir=V")</f>
        <v>0</v>
      </c>
      <c r="Q2">
        <f>BDH("THRM US Equity","BS_SHAREHOLDER_EQY_ENDING_PERIOD","1993-06-18","2026-05-02","Per=Y","Days=T","Dir=V")</f>
        <v>0</v>
      </c>
      <c r="S2">
        <f>BDH("THRM US Equity","BS_ACCT_NOTE_RCV","1993-06-18","2026-05-02","Per=Y","Days=T","Dir=V")</f>
        <v>0</v>
      </c>
      <c r="U2">
        <f>BDH("THRM US Equity","BS_INVENTORIES","1993-06-18","2026-05-02","Per=Y","Days=T","Dir=V")</f>
        <v>0</v>
      </c>
      <c r="W2">
        <f>BDH("THRM US Equity","WORKING_CAPITAL","1993-06-18","2026-05-02","Per=Y","Days=T","Dir=V")</f>
        <v>0</v>
      </c>
      <c r="Y2">
        <f>BDH("THRM US Equity","SALES_REV_TURN","1993-06-18","2026-05-02","Per=Y","Days=T","Dir=V")</f>
        <v>0</v>
      </c>
      <c r="AA2">
        <f>BDH("THRM US Equity","EBIT","1993-06-18","2026-05-02","Per=Y","Days=T","Dir=V")</f>
        <v>0</v>
      </c>
      <c r="AC2">
        <f>BDH("THRM US Equity","EBITDA","1993-06-18","2026-05-02","Per=Y","Days=T","Dir=V")</f>
        <v>0</v>
      </c>
      <c r="AE2">
        <f>BDH("THRM US Equity","NET_INCOME","1993-06-18","2026-05-02","Per=Y","Days=T","Dir=V")</f>
        <v>0</v>
      </c>
      <c r="AG2">
        <f>BDH("THRM US Equity","IS_INT_EXPENSE","1993-06-18","2026-05-02","Per=Y","Days=T","Dir=V")</f>
        <v>0</v>
      </c>
      <c r="AI2">
        <f>BDH("THRM US Equity","IS_DEPR_EXP","1993-06-18","2026-05-02","Per=Y","Days=T","Dir=V")</f>
        <v>0</v>
      </c>
      <c r="AK2">
        <f>BDH("THRM US Equity","CF_CASH_FROM_OPER","1993-06-18","2026-05-02","Per=Y","Days=T","Dir=V")</f>
        <v>0</v>
      </c>
      <c r="AM2">
        <f>BDH("THRM US Equity","CAPITAL_EXPEND","1993-06-18","2026-05-02","Per=Y","Days=T","Dir=V")</f>
        <v>0</v>
      </c>
      <c r="AO2">
        <f>BDH("THRM US Equity","CF_FREE_CASH_FLOW","1993-06-18","2026-05-02","Per=Y","Days=T","Dir=V")</f>
        <v>0</v>
      </c>
      <c r="AQ2">
        <f>BDH("THRM US Equity","PX_LAST","1993-06-18","2026-05-02","Per=M","Days=T","Dir=V")</f>
        <v>0</v>
      </c>
      <c r="AS2">
        <f>BDH("THRM US Equity","CUR_MKT_CAP","1993-06-18","2026-05-02","Per=M","Days=T","Dir=V")</f>
        <v>0</v>
      </c>
      <c r="AU2">
        <f>BDH("THRM US Equity","EQY_SH_OUT","1993-06-18","2026-05-02","Per=M","Days=T","Dir=V")</f>
        <v>0</v>
      </c>
      <c r="AW2">
        <f>BDH("THRM US Equity","PX_VOLUME","1993-06-18","2026-05-02","Per=M","Days=T","Dir=V")</f>
        <v>0</v>
      </c>
      <c r="AY2">
        <f>BDH("THRM US Equity","TURNOVER","1993-06-18","2026-05-02","Per=M","Days=T","Dir=V")</f>
        <v>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BDH("THRY US Equity","BS_TOT_ASSET","1993-06-18","2026-05-02","Per=Y","Days=T","Dir=V")</f>
        <v>0</v>
      </c>
      <c r="C2">
        <f>BDH("THRY US Equity","BS_TOT_LIAB2","1993-06-18","2026-05-02","Per=Y","Days=T","Dir=V")</f>
        <v>0</v>
      </c>
      <c r="E2">
        <f>BDH("THRY US Equity","SHORT_AND_LONG_TERM_DEBT","1993-06-18","2026-05-02","Per=Y","Days=T","Dir=V")</f>
        <v>0</v>
      </c>
      <c r="G2">
        <f>BDH("THRY US Equity","BS_ST_BORROW","1993-06-18","2026-05-02","Per=Y","Days=T","Dir=V")</f>
        <v>0</v>
      </c>
      <c r="I2">
        <f>BDH("THRY US Equity","BS_LT_BORROW","1993-06-18","2026-05-02","Per=Y","Days=T","Dir=V")</f>
        <v>0</v>
      </c>
      <c r="K2">
        <f>BDH("THRY US Equity","BS_CASH_NEAR_CASH_ITEM","1993-06-18","2026-05-02","Per=Y","Days=T","Dir=V")</f>
        <v>0</v>
      </c>
      <c r="M2">
        <f>BDH("THRY US Equity","BS_CUR_ASSET_REPORT","1993-06-18","2026-05-02","Per=Y","Days=T","Dir=V")</f>
        <v>0</v>
      </c>
      <c r="O2">
        <f>BDH("THRY US Equity","BS_CUR_LIAB","1993-06-18","2026-05-02","Per=Y","Days=T","Dir=V")</f>
        <v>0</v>
      </c>
      <c r="Q2">
        <f>BDH("THRY US Equity","BS_SHAREHOLDER_EQY_ENDING_PERIOD","1993-06-18","2026-05-02","Per=Y","Days=T","Dir=V")</f>
        <v>0</v>
      </c>
      <c r="S2">
        <f>BDH("THRY US Equity","BS_ACCT_NOTE_RCV","1993-06-18","2026-05-02","Per=Y","Days=T","Dir=V")</f>
        <v>0</v>
      </c>
      <c r="U2">
        <f>BDH("THRY US Equity","BS_INVENTORIES","1993-06-18","2026-05-02","Per=Y","Days=T","Dir=V")</f>
        <v>0</v>
      </c>
      <c r="W2">
        <f>BDH("THRY US Equity","WORKING_CAPITAL","1993-06-18","2026-05-02","Per=Y","Days=T","Dir=V")</f>
        <v>0</v>
      </c>
      <c r="Y2">
        <f>BDH("THRY US Equity","SALES_REV_TURN","1993-06-18","2026-05-02","Per=Y","Days=T","Dir=V")</f>
        <v>0</v>
      </c>
      <c r="AA2">
        <f>BDH("THRY US Equity","EBIT","1993-06-18","2026-05-02","Per=Y","Days=T","Dir=V")</f>
        <v>0</v>
      </c>
      <c r="AC2">
        <f>BDH("THRY US Equity","EBITDA","1993-06-18","2026-05-02","Per=Y","Days=T","Dir=V")</f>
        <v>0</v>
      </c>
      <c r="AE2">
        <f>BDH("THRY US Equity","NET_INCOME","1993-06-18","2026-05-02","Per=Y","Days=T","Dir=V")</f>
        <v>0</v>
      </c>
      <c r="AG2">
        <f>BDH("THRY US Equity","IS_INT_EXPENSE","1993-06-18","2026-05-02","Per=Y","Days=T","Dir=V")</f>
        <v>0</v>
      </c>
      <c r="AI2">
        <f>BDH("THRY US Equity","IS_DEPR_EXP","1993-06-18","2026-05-02","Per=Y","Days=T","Dir=V")</f>
        <v>0</v>
      </c>
      <c r="AK2">
        <f>BDH("THRY US Equity","CF_CASH_FROM_OPER","1993-06-18","2026-05-02","Per=Y","Days=T","Dir=V")</f>
        <v>0</v>
      </c>
      <c r="AM2">
        <f>BDH("THRY US Equity","CAPITAL_EXPEND","1993-06-18","2026-05-02","Per=Y","Days=T","Dir=V")</f>
        <v>0</v>
      </c>
      <c r="AO2">
        <f>BDH("THRY US Equity","CF_FREE_CASH_FLOW","1993-06-18","2026-05-02","Per=Y","Days=T","Dir=V")</f>
        <v>0</v>
      </c>
      <c r="AQ2">
        <f>BDH("THRY US Equity","PX_LAST","1993-06-18","2026-05-02","Per=M","Days=T","Dir=V")</f>
        <v>0</v>
      </c>
      <c r="AS2">
        <f>BDH("THRY US Equity","CUR_MKT_CAP","1993-06-18","2026-05-02","Per=M","Days=T","Dir=V")</f>
        <v>0</v>
      </c>
      <c r="AU2">
        <f>BDH("THRY US Equity","EQY_SH_OUT","1993-06-18","2026-05-02","Per=M","Days=T","Dir=V")</f>
        <v>0</v>
      </c>
      <c r="AW2">
        <f>BDH("THRY US Equity","PX_VOLUME","1993-06-18","2026-05-02","Per=M","Days=T","Dir=V")</f>
        <v>0</v>
      </c>
      <c r="AY2">
        <f>BDH("THRY US Equity","TURNOVER","1993-06-18","2026-05-02","Per=M","Days=T","Dir=V")</f>
        <v>0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BDH("TIC US Equity","BS_TOT_ASSET","1993-06-18","2026-05-02","Per=Y","Days=T","Dir=V")</f>
        <v>0</v>
      </c>
      <c r="C2">
        <f>BDH("TIC US Equity","BS_TOT_LIAB2","1993-06-18","2026-05-02","Per=Y","Days=T","Dir=V")</f>
        <v>0</v>
      </c>
      <c r="E2">
        <f>BDH("TIC US Equity","SHORT_AND_LONG_TERM_DEBT","1993-06-18","2026-05-02","Per=Y","Days=T","Dir=V")</f>
        <v>0</v>
      </c>
      <c r="G2">
        <f>BDH("TIC US Equity","BS_ST_BORROW","1993-06-18","2026-05-02","Per=Y","Days=T","Dir=V")</f>
        <v>0</v>
      </c>
      <c r="I2">
        <f>BDH("TIC US Equity","BS_LT_BORROW","1993-06-18","2026-05-02","Per=Y","Days=T","Dir=V")</f>
        <v>0</v>
      </c>
      <c r="K2">
        <f>BDH("TIC US Equity","BS_CASH_NEAR_CASH_ITEM","1993-06-18","2026-05-02","Per=Y","Days=T","Dir=V")</f>
        <v>0</v>
      </c>
      <c r="M2">
        <f>BDH("TIC US Equity","BS_CUR_ASSET_REPORT","1993-06-18","2026-05-02","Per=Y","Days=T","Dir=V")</f>
        <v>0</v>
      </c>
      <c r="O2">
        <f>BDH("TIC US Equity","BS_CUR_LIAB","1993-06-18","2026-05-02","Per=Y","Days=T","Dir=V")</f>
        <v>0</v>
      </c>
      <c r="Q2">
        <f>BDH("TIC US Equity","BS_SHAREHOLDER_EQY_ENDING_PERIOD","1993-06-18","2026-05-02","Per=Y","Days=T","Dir=V")</f>
        <v>0</v>
      </c>
      <c r="S2">
        <f>BDH("TIC US Equity","BS_ACCT_NOTE_RCV","1993-06-18","2026-05-02","Per=Y","Days=T","Dir=V")</f>
        <v>0</v>
      </c>
      <c r="U2">
        <f>BDH("TIC US Equity","BS_INVENTORIES","1993-06-18","2026-05-02","Per=Y","Days=T","Dir=V")</f>
        <v>0</v>
      </c>
      <c r="W2">
        <f>BDH("TIC US Equity","WORKING_CAPITAL","1993-06-18","2026-05-02","Per=Y","Days=T","Dir=V")</f>
        <v>0</v>
      </c>
      <c r="Y2">
        <f>BDH("TIC US Equity","SALES_REV_TURN","1993-06-18","2026-05-02","Per=Y","Days=T","Dir=V")</f>
        <v>0</v>
      </c>
      <c r="AA2">
        <f>BDH("TIC US Equity","EBIT","1993-06-18","2026-05-02","Per=Y","Days=T","Dir=V")</f>
        <v>0</v>
      </c>
      <c r="AC2">
        <f>BDH("TIC US Equity","EBITDA","1993-06-18","2026-05-02","Per=Y","Days=T","Dir=V")</f>
        <v>0</v>
      </c>
      <c r="AE2">
        <f>BDH("TIC US Equity","NET_INCOME","1993-06-18","2026-05-02","Per=Y","Days=T","Dir=V")</f>
        <v>0</v>
      </c>
      <c r="AG2">
        <f>BDH("TIC US Equity","IS_INT_EXPENSE","1993-06-18","2026-05-02","Per=Y","Days=T","Dir=V")</f>
        <v>0</v>
      </c>
      <c r="AI2">
        <f>BDH("TIC US Equity","IS_DEPR_EXP","1993-06-18","2026-05-02","Per=Y","Days=T","Dir=V")</f>
        <v>0</v>
      </c>
      <c r="AK2">
        <f>BDH("TIC US Equity","CF_CASH_FROM_OPER","1993-06-18","2026-05-02","Per=Y","Days=T","Dir=V")</f>
        <v>0</v>
      </c>
      <c r="AM2">
        <f>BDH("TIC US Equity","CAPITAL_EXPEND","1993-06-18","2026-05-02","Per=Y","Days=T","Dir=V")</f>
        <v>0</v>
      </c>
      <c r="AO2">
        <f>BDH("TIC US Equity","CF_FREE_CASH_FLOW","1993-06-18","2026-05-02","Per=Y","Days=T","Dir=V")</f>
        <v>0</v>
      </c>
      <c r="AQ2">
        <f>BDH("TIC US Equity","PX_LAST","1993-06-18","2026-05-02","Per=M","Days=T","Dir=V")</f>
        <v>0</v>
      </c>
      <c r="AS2">
        <f>BDH("TIC US Equity","CUR_MKT_CAP","1993-06-18","2026-05-02","Per=M","Days=T","Dir=V")</f>
        <v>0</v>
      </c>
      <c r="AU2">
        <f>BDH("TIC US Equity","EQY_SH_OUT","1993-06-18","2026-05-02","Per=M","Days=T","Dir=V")</f>
        <v>0</v>
      </c>
      <c r="AW2">
        <f>BDH("TIC US Equity","PX_VOLUME","1993-06-18","2026-05-02","Per=M","Days=T","Dir=V")</f>
        <v>0</v>
      </c>
      <c r="AY2">
        <f>BDH("TIC US Equity","TURNOVER","1993-06-18","2026-05-02","Per=M","Days=T","Dir=V")</f>
        <v>0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BDH("TIL US Equity","BS_TOT_ASSET","1993-06-18","2026-05-02","Per=Y","Days=T","Dir=V")</f>
        <v>0</v>
      </c>
      <c r="C2">
        <f>BDH("TIL US Equity","BS_TOT_LIAB2","1993-06-18","2026-05-02","Per=Y","Days=T","Dir=V")</f>
        <v>0</v>
      </c>
      <c r="E2">
        <f>BDH("TIL US Equity","SHORT_AND_LONG_TERM_DEBT","1993-06-18","2026-05-02","Per=Y","Days=T","Dir=V")</f>
        <v>0</v>
      </c>
      <c r="G2">
        <f>BDH("TIL US Equity","BS_ST_BORROW","1993-06-18","2026-05-02","Per=Y","Days=T","Dir=V")</f>
        <v>0</v>
      </c>
      <c r="I2">
        <f>BDH("TIL US Equity","BS_LT_BORROW","1993-06-18","2026-05-02","Per=Y","Days=T","Dir=V")</f>
        <v>0</v>
      </c>
      <c r="K2">
        <f>BDH("TIL US Equity","BS_CASH_NEAR_CASH_ITEM","1993-06-18","2026-05-02","Per=Y","Days=T","Dir=V")</f>
        <v>0</v>
      </c>
      <c r="M2">
        <f>BDH("TIL US Equity","BS_CUR_ASSET_REPORT","1993-06-18","2026-05-02","Per=Y","Days=T","Dir=V")</f>
        <v>0</v>
      </c>
      <c r="O2">
        <f>BDH("TIL US Equity","BS_CUR_LIAB","1993-06-18","2026-05-02","Per=Y","Days=T","Dir=V")</f>
        <v>0</v>
      </c>
      <c r="Q2">
        <f>BDH("TIL US Equity","BS_SHAREHOLDER_EQY_ENDING_PERIOD","1993-06-18","2026-05-02","Per=Y","Days=T","Dir=V")</f>
        <v>0</v>
      </c>
      <c r="S2">
        <f>BDH("TIL US Equity","BS_ACCT_NOTE_RCV","1993-06-18","2026-05-02","Per=Y","Days=T","Dir=V")</f>
        <v>0</v>
      </c>
      <c r="U2">
        <f>BDH("TIL US Equity","BS_INVENTORIES","1993-06-18","2026-05-02","Per=Y","Days=T","Dir=V")</f>
        <v>0</v>
      </c>
      <c r="W2">
        <f>BDH("TIL US Equity","WORKING_CAPITAL","1993-06-18","2026-05-02","Per=Y","Days=T","Dir=V")</f>
        <v>0</v>
      </c>
      <c r="Y2">
        <f>BDH("TIL US Equity","SALES_REV_TURN","1993-06-18","2026-05-02","Per=Y","Days=T","Dir=V")</f>
        <v>0</v>
      </c>
      <c r="AA2">
        <f>BDH("TIL US Equity","EBIT","1993-06-18","2026-05-02","Per=Y","Days=T","Dir=V")</f>
        <v>0</v>
      </c>
      <c r="AC2">
        <f>BDH("TIL US Equity","EBITDA","1993-06-18","2026-05-02","Per=Y","Days=T","Dir=V")</f>
        <v>0</v>
      </c>
      <c r="AE2">
        <f>BDH("TIL US Equity","NET_INCOME","1993-06-18","2026-05-02","Per=Y","Days=T","Dir=V")</f>
        <v>0</v>
      </c>
      <c r="AG2">
        <f>BDH("TIL US Equity","IS_INT_EXPENSE","1993-06-18","2026-05-02","Per=Y","Days=T","Dir=V")</f>
        <v>0</v>
      </c>
      <c r="AI2">
        <f>BDH("TIL US Equity","IS_DEPR_EXP","1993-06-18","2026-05-02","Per=Y","Days=T","Dir=V")</f>
        <v>0</v>
      </c>
      <c r="AK2">
        <f>BDH("TIL US Equity","CF_CASH_FROM_OPER","1993-06-18","2026-05-02","Per=Y","Days=T","Dir=V")</f>
        <v>0</v>
      </c>
      <c r="AM2">
        <f>BDH("TIL US Equity","CAPITAL_EXPEND","1993-06-18","2026-05-02","Per=Y","Days=T","Dir=V")</f>
        <v>0</v>
      </c>
      <c r="AO2">
        <f>BDH("TIL US Equity","CF_FREE_CASH_FLOW","1993-06-18","2026-05-02","Per=Y","Days=T","Dir=V")</f>
        <v>0</v>
      </c>
      <c r="AQ2">
        <f>BDH("TIL US Equity","PX_LAST","1993-06-18","2026-05-02","Per=M","Days=T","Dir=V")</f>
        <v>0</v>
      </c>
      <c r="AS2">
        <f>BDH("TIL US Equity","CUR_MKT_CAP","1993-06-18","2026-05-02","Per=M","Days=T","Dir=V")</f>
        <v>0</v>
      </c>
      <c r="AU2">
        <f>BDH("TIL US Equity","EQY_SH_OUT","1993-06-18","2026-05-02","Per=M","Days=T","Dir=V")</f>
        <v>0</v>
      </c>
      <c r="AW2">
        <f>BDH("TIL US Equity","PX_VOLUME","1993-06-18","2026-05-02","Per=M","Days=T","Dir=V")</f>
        <v>0</v>
      </c>
      <c r="AY2">
        <f>BDH("TIL US Equity","TURNOVER","1993-06-18","2026-05-02","Per=M","Days=T","Dir=V")</f>
        <v>0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BDH("TILE US Equity","BS_TOT_ASSET","1993-06-18","2026-05-02","Per=Y","Days=T","Dir=V")</f>
        <v>0</v>
      </c>
      <c r="C2">
        <f>BDH("TILE US Equity","BS_TOT_LIAB2","1993-06-18","2026-05-02","Per=Y","Days=T","Dir=V")</f>
        <v>0</v>
      </c>
      <c r="E2">
        <f>BDH("TILE US Equity","SHORT_AND_LONG_TERM_DEBT","1993-06-18","2026-05-02","Per=Y","Days=T","Dir=V")</f>
        <v>0</v>
      </c>
      <c r="G2">
        <f>BDH("TILE US Equity","BS_ST_BORROW","1993-06-18","2026-05-02","Per=Y","Days=T","Dir=V")</f>
        <v>0</v>
      </c>
      <c r="I2">
        <f>BDH("TILE US Equity","BS_LT_BORROW","1993-06-18","2026-05-02","Per=Y","Days=T","Dir=V")</f>
        <v>0</v>
      </c>
      <c r="K2">
        <f>BDH("TILE US Equity","BS_CASH_NEAR_CASH_ITEM","1993-06-18","2026-05-02","Per=Y","Days=T","Dir=V")</f>
        <v>0</v>
      </c>
      <c r="M2">
        <f>BDH("TILE US Equity","BS_CUR_ASSET_REPORT","1993-06-18","2026-05-02","Per=Y","Days=T","Dir=V")</f>
        <v>0</v>
      </c>
      <c r="O2">
        <f>BDH("TILE US Equity","BS_CUR_LIAB","1993-06-18","2026-05-02","Per=Y","Days=T","Dir=V")</f>
        <v>0</v>
      </c>
      <c r="Q2">
        <f>BDH("TILE US Equity","BS_SHAREHOLDER_EQY_ENDING_PERIOD","1993-06-18","2026-05-02","Per=Y","Days=T","Dir=V")</f>
        <v>0</v>
      </c>
      <c r="S2">
        <f>BDH("TILE US Equity","BS_ACCT_NOTE_RCV","1993-06-18","2026-05-02","Per=Y","Days=T","Dir=V")</f>
        <v>0</v>
      </c>
      <c r="U2">
        <f>BDH("TILE US Equity","BS_INVENTORIES","1993-06-18","2026-05-02","Per=Y","Days=T","Dir=V")</f>
        <v>0</v>
      </c>
      <c r="W2">
        <f>BDH("TILE US Equity","WORKING_CAPITAL","1993-06-18","2026-05-02","Per=Y","Days=T","Dir=V")</f>
        <v>0</v>
      </c>
      <c r="Y2">
        <f>BDH("TILE US Equity","SALES_REV_TURN","1993-06-18","2026-05-02","Per=Y","Days=T","Dir=V")</f>
        <v>0</v>
      </c>
      <c r="AA2">
        <f>BDH("TILE US Equity","EBIT","1993-06-18","2026-05-02","Per=Y","Days=T","Dir=V")</f>
        <v>0</v>
      </c>
      <c r="AC2">
        <f>BDH("TILE US Equity","EBITDA","1993-06-18","2026-05-02","Per=Y","Days=T","Dir=V")</f>
        <v>0</v>
      </c>
      <c r="AE2">
        <f>BDH("TILE US Equity","NET_INCOME","1993-06-18","2026-05-02","Per=Y","Days=T","Dir=V")</f>
        <v>0</v>
      </c>
      <c r="AG2">
        <f>BDH("TILE US Equity","IS_INT_EXPENSE","1993-06-18","2026-05-02","Per=Y","Days=T","Dir=V")</f>
        <v>0</v>
      </c>
      <c r="AI2">
        <f>BDH("TILE US Equity","IS_DEPR_EXP","1993-06-18","2026-05-02","Per=Y","Days=T","Dir=V")</f>
        <v>0</v>
      </c>
      <c r="AK2">
        <f>BDH("TILE US Equity","CF_CASH_FROM_OPER","1993-06-18","2026-05-02","Per=Y","Days=T","Dir=V")</f>
        <v>0</v>
      </c>
      <c r="AM2">
        <f>BDH("TILE US Equity","CAPITAL_EXPEND","1993-06-18","2026-05-02","Per=Y","Days=T","Dir=V")</f>
        <v>0</v>
      </c>
      <c r="AO2">
        <f>BDH("TILE US Equity","CF_FREE_CASH_FLOW","1993-06-18","2026-05-02","Per=Y","Days=T","Dir=V")</f>
        <v>0</v>
      </c>
      <c r="AQ2">
        <f>BDH("TILE US Equity","PX_LAST","1993-06-18","2026-05-02","Per=M","Days=T","Dir=V")</f>
        <v>0</v>
      </c>
      <c r="AS2">
        <f>BDH("TILE US Equity","CUR_MKT_CAP","1993-06-18","2026-05-02","Per=M","Days=T","Dir=V")</f>
        <v>0</v>
      </c>
      <c r="AU2">
        <f>BDH("TILE US Equity","EQY_SH_OUT","1993-06-18","2026-05-02","Per=M","Days=T","Dir=V")</f>
        <v>0</v>
      </c>
      <c r="AW2">
        <f>BDH("TILE US Equity","PX_VOLUME","1993-06-18","2026-05-02","Per=M","Days=T","Dir=V")</f>
        <v>0</v>
      </c>
      <c r="AY2">
        <f>BDH("TILE US Equity","TURNOVER","1993-06-18","2026-05-02","Per=M","Days=T","Dir=V")</f>
        <v>0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BDH("TISI US Equity","BS_TOT_ASSET","1993-06-18","2026-05-02","Per=Y","Days=T","Dir=V")</f>
        <v>0</v>
      </c>
      <c r="C2">
        <f>BDH("TISI US Equity","BS_TOT_LIAB2","1993-06-18","2026-05-02","Per=Y","Days=T","Dir=V")</f>
        <v>0</v>
      </c>
      <c r="E2">
        <f>BDH("TISI US Equity","SHORT_AND_LONG_TERM_DEBT","1993-06-18","2026-05-02","Per=Y","Days=T","Dir=V")</f>
        <v>0</v>
      </c>
      <c r="G2">
        <f>BDH("TISI US Equity","BS_ST_BORROW","1993-06-18","2026-05-02","Per=Y","Days=T","Dir=V")</f>
        <v>0</v>
      </c>
      <c r="I2">
        <f>BDH("TISI US Equity","BS_LT_BORROW","1993-06-18","2026-05-02","Per=Y","Days=T","Dir=V")</f>
        <v>0</v>
      </c>
      <c r="K2">
        <f>BDH("TISI US Equity","BS_CASH_NEAR_CASH_ITEM","1993-06-18","2026-05-02","Per=Y","Days=T","Dir=V")</f>
        <v>0</v>
      </c>
      <c r="M2">
        <f>BDH("TISI US Equity","BS_CUR_ASSET_REPORT","1993-06-18","2026-05-02","Per=Y","Days=T","Dir=V")</f>
        <v>0</v>
      </c>
      <c r="O2">
        <f>BDH("TISI US Equity","BS_CUR_LIAB","1993-06-18","2026-05-02","Per=Y","Days=T","Dir=V")</f>
        <v>0</v>
      </c>
      <c r="Q2">
        <f>BDH("TISI US Equity","BS_SHAREHOLDER_EQY_ENDING_PERIOD","1993-06-18","2026-05-02","Per=Y","Days=T","Dir=V")</f>
        <v>0</v>
      </c>
      <c r="S2">
        <f>BDH("TISI US Equity","BS_ACCT_NOTE_RCV","1993-06-18","2026-05-02","Per=Y","Days=T","Dir=V")</f>
        <v>0</v>
      </c>
      <c r="U2">
        <f>BDH("TISI US Equity","BS_INVENTORIES","1993-06-18","2026-05-02","Per=Y","Days=T","Dir=V")</f>
        <v>0</v>
      </c>
      <c r="W2">
        <f>BDH("TISI US Equity","WORKING_CAPITAL","1993-06-18","2026-05-02","Per=Y","Days=T","Dir=V")</f>
        <v>0</v>
      </c>
      <c r="Y2">
        <f>BDH("TISI US Equity","SALES_REV_TURN","1993-06-18","2026-05-02","Per=Y","Days=T","Dir=V")</f>
        <v>0</v>
      </c>
      <c r="AA2">
        <f>BDH("TISI US Equity","EBIT","1993-06-18","2026-05-02","Per=Y","Days=T","Dir=V")</f>
        <v>0</v>
      </c>
      <c r="AC2">
        <f>BDH("TISI US Equity","EBITDA","1993-06-18","2026-05-02","Per=Y","Days=T","Dir=V")</f>
        <v>0</v>
      </c>
      <c r="AE2">
        <f>BDH("TISI US Equity","NET_INCOME","1993-06-18","2026-05-02","Per=Y","Days=T","Dir=V")</f>
        <v>0</v>
      </c>
      <c r="AG2">
        <f>BDH("TISI US Equity","IS_INT_EXPENSE","1993-06-18","2026-05-02","Per=Y","Days=T","Dir=V")</f>
        <v>0</v>
      </c>
      <c r="AI2">
        <f>BDH("TISI US Equity","IS_DEPR_EXP","1993-06-18","2026-05-02","Per=Y","Days=T","Dir=V")</f>
        <v>0</v>
      </c>
      <c r="AK2">
        <f>BDH("TISI US Equity","CF_CASH_FROM_OPER","1993-06-18","2026-05-02","Per=Y","Days=T","Dir=V")</f>
        <v>0</v>
      </c>
      <c r="AM2">
        <f>BDH("TISI US Equity","CAPITAL_EXPEND","1993-06-18","2026-05-02","Per=Y","Days=T","Dir=V")</f>
        <v>0</v>
      </c>
      <c r="AO2">
        <f>BDH("TISI US Equity","CF_FREE_CASH_FLOW","1993-06-18","2026-05-02","Per=Y","Days=T","Dir=V")</f>
        <v>0</v>
      </c>
      <c r="AQ2">
        <f>BDH("TISI US Equity","PX_LAST","1993-06-18","2026-05-02","Per=M","Days=T","Dir=V")</f>
        <v>0</v>
      </c>
      <c r="AS2">
        <f>BDH("TISI US Equity","CUR_MKT_CAP","1993-06-18","2026-05-02","Per=M","Days=T","Dir=V")</f>
        <v>0</v>
      </c>
      <c r="AU2">
        <f>BDH("TISI US Equity","EQY_SH_OUT","1993-06-18","2026-05-02","Per=M","Days=T","Dir=V")</f>
        <v>0</v>
      </c>
      <c r="AW2">
        <f>BDH("TISI US Equity","PX_VOLUME","1993-06-18","2026-05-02","Per=M","Days=T","Dir=V")</f>
        <v>0</v>
      </c>
      <c r="AY2">
        <f>BDH("TISI US Equity","TURNOVER","1993-06-18","2026-05-02","Per=M","Days=T","Dir=V")</f>
        <v>0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BDH("TITN US Equity","BS_TOT_ASSET","1993-06-18","2026-05-02","Per=Y","Days=T","Dir=V")</f>
        <v>0</v>
      </c>
      <c r="C2">
        <f>BDH("TITN US Equity","BS_TOT_LIAB2","1993-06-18","2026-05-02","Per=Y","Days=T","Dir=V")</f>
        <v>0</v>
      </c>
      <c r="E2">
        <f>BDH("TITN US Equity","SHORT_AND_LONG_TERM_DEBT","1993-06-18","2026-05-02","Per=Y","Days=T","Dir=V")</f>
        <v>0</v>
      </c>
      <c r="G2">
        <f>BDH("TITN US Equity","BS_ST_BORROW","1993-06-18","2026-05-02","Per=Y","Days=T","Dir=V")</f>
        <v>0</v>
      </c>
      <c r="I2">
        <f>BDH("TITN US Equity","BS_LT_BORROW","1993-06-18","2026-05-02","Per=Y","Days=T","Dir=V")</f>
        <v>0</v>
      </c>
      <c r="K2">
        <f>BDH("TITN US Equity","BS_CASH_NEAR_CASH_ITEM","1993-06-18","2026-05-02","Per=Y","Days=T","Dir=V")</f>
        <v>0</v>
      </c>
      <c r="M2">
        <f>BDH("TITN US Equity","BS_CUR_ASSET_REPORT","1993-06-18","2026-05-02","Per=Y","Days=T","Dir=V")</f>
        <v>0</v>
      </c>
      <c r="O2">
        <f>BDH("TITN US Equity","BS_CUR_LIAB","1993-06-18","2026-05-02","Per=Y","Days=T","Dir=V")</f>
        <v>0</v>
      </c>
      <c r="Q2">
        <f>BDH("TITN US Equity","BS_SHAREHOLDER_EQY_ENDING_PERIOD","1993-06-18","2026-05-02","Per=Y","Days=T","Dir=V")</f>
        <v>0</v>
      </c>
      <c r="S2">
        <f>BDH("TITN US Equity","BS_ACCT_NOTE_RCV","1993-06-18","2026-05-02","Per=Y","Days=T","Dir=V")</f>
        <v>0</v>
      </c>
      <c r="U2">
        <f>BDH("TITN US Equity","BS_INVENTORIES","1993-06-18","2026-05-02","Per=Y","Days=T","Dir=V")</f>
        <v>0</v>
      </c>
      <c r="W2">
        <f>BDH("TITN US Equity","WORKING_CAPITAL","1993-06-18","2026-05-02","Per=Y","Days=T","Dir=V")</f>
        <v>0</v>
      </c>
      <c r="Y2">
        <f>BDH("TITN US Equity","SALES_REV_TURN","1993-06-18","2026-05-02","Per=Y","Days=T","Dir=V")</f>
        <v>0</v>
      </c>
      <c r="AA2">
        <f>BDH("TITN US Equity","EBIT","1993-06-18","2026-05-02","Per=Y","Days=T","Dir=V")</f>
        <v>0</v>
      </c>
      <c r="AC2">
        <f>BDH("TITN US Equity","EBITDA","1993-06-18","2026-05-02","Per=Y","Days=T","Dir=V")</f>
        <v>0</v>
      </c>
      <c r="AE2">
        <f>BDH("TITN US Equity","NET_INCOME","1993-06-18","2026-05-02","Per=Y","Days=T","Dir=V")</f>
        <v>0</v>
      </c>
      <c r="AG2">
        <f>BDH("TITN US Equity","IS_INT_EXPENSE","1993-06-18","2026-05-02","Per=Y","Days=T","Dir=V")</f>
        <v>0</v>
      </c>
      <c r="AI2">
        <f>BDH("TITN US Equity","IS_DEPR_EXP","1993-06-18","2026-05-02","Per=Y","Days=T","Dir=V")</f>
        <v>0</v>
      </c>
      <c r="AK2">
        <f>BDH("TITN US Equity","CF_CASH_FROM_OPER","1993-06-18","2026-05-02","Per=Y","Days=T","Dir=V")</f>
        <v>0</v>
      </c>
      <c r="AM2">
        <f>BDH("TITN US Equity","CAPITAL_EXPEND","1993-06-18","2026-05-02","Per=Y","Days=T","Dir=V")</f>
        <v>0</v>
      </c>
      <c r="AO2">
        <f>BDH("TITN US Equity","CF_FREE_CASH_FLOW","1993-06-18","2026-05-02","Per=Y","Days=T","Dir=V")</f>
        <v>0</v>
      </c>
      <c r="AQ2">
        <f>BDH("TITN US Equity","PX_LAST","1993-06-18","2026-05-02","Per=M","Days=T","Dir=V")</f>
        <v>0</v>
      </c>
      <c r="AS2">
        <f>BDH("TITN US Equity","CUR_MKT_CAP","1993-06-18","2026-05-02","Per=M","Days=T","Dir=V")</f>
        <v>0</v>
      </c>
      <c r="AU2">
        <f>BDH("TITN US Equity","EQY_SH_OUT","1993-06-18","2026-05-02","Per=M","Days=T","Dir=V")</f>
        <v>0</v>
      </c>
      <c r="AW2">
        <f>BDH("TITN US Equity","PX_VOLUME","1993-06-18","2026-05-02","Per=M","Days=T","Dir=V")</f>
        <v>0</v>
      </c>
      <c r="AY2">
        <f>BDH("TITN US Equity","TURNOVER","1993-06-18","2026-05-02","Per=M","Days=T","Dir=V")</f>
        <v>0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BDH("TJX US Equity","BS_TOT_ASSET","1993-06-18","2026-05-02","Per=Y","Days=T","Dir=V")</f>
        <v>0</v>
      </c>
      <c r="C2">
        <f>BDH("TJX US Equity","BS_TOT_LIAB2","1993-06-18","2026-05-02","Per=Y","Days=T","Dir=V")</f>
        <v>0</v>
      </c>
      <c r="E2">
        <f>BDH("TJX US Equity","SHORT_AND_LONG_TERM_DEBT","1993-06-18","2026-05-02","Per=Y","Days=T","Dir=V")</f>
        <v>0</v>
      </c>
      <c r="G2">
        <f>BDH("TJX US Equity","BS_ST_BORROW","1993-06-18","2026-05-02","Per=Y","Days=T","Dir=V")</f>
        <v>0</v>
      </c>
      <c r="I2">
        <f>BDH("TJX US Equity","BS_LT_BORROW","1993-06-18","2026-05-02","Per=Y","Days=T","Dir=V")</f>
        <v>0</v>
      </c>
      <c r="K2">
        <f>BDH("TJX US Equity","BS_CASH_NEAR_CASH_ITEM","1993-06-18","2026-05-02","Per=Y","Days=T","Dir=V")</f>
        <v>0</v>
      </c>
      <c r="M2">
        <f>BDH("TJX US Equity","BS_CUR_ASSET_REPORT","1993-06-18","2026-05-02","Per=Y","Days=T","Dir=V")</f>
        <v>0</v>
      </c>
      <c r="O2">
        <f>BDH("TJX US Equity","BS_CUR_LIAB","1993-06-18","2026-05-02","Per=Y","Days=T","Dir=V")</f>
        <v>0</v>
      </c>
      <c r="Q2">
        <f>BDH("TJX US Equity","BS_SHAREHOLDER_EQY_ENDING_PERIOD","1993-06-18","2026-05-02","Per=Y","Days=T","Dir=V")</f>
        <v>0</v>
      </c>
      <c r="S2">
        <f>BDH("TJX US Equity","BS_ACCT_NOTE_RCV","1993-06-18","2026-05-02","Per=Y","Days=T","Dir=V")</f>
        <v>0</v>
      </c>
      <c r="U2">
        <f>BDH("TJX US Equity","BS_INVENTORIES","1993-06-18","2026-05-02","Per=Y","Days=T","Dir=V")</f>
        <v>0</v>
      </c>
      <c r="W2">
        <f>BDH("TJX US Equity","WORKING_CAPITAL","1993-06-18","2026-05-02","Per=Y","Days=T","Dir=V")</f>
        <v>0</v>
      </c>
      <c r="Y2">
        <f>BDH("TJX US Equity","SALES_REV_TURN","1993-06-18","2026-05-02","Per=Y","Days=T","Dir=V")</f>
        <v>0</v>
      </c>
      <c r="AA2">
        <f>BDH("TJX US Equity","EBIT","1993-06-18","2026-05-02","Per=Y","Days=T","Dir=V")</f>
        <v>0</v>
      </c>
      <c r="AC2">
        <f>BDH("TJX US Equity","EBITDA","1993-06-18","2026-05-02","Per=Y","Days=T","Dir=V")</f>
        <v>0</v>
      </c>
      <c r="AE2">
        <f>BDH("TJX US Equity","NET_INCOME","1993-06-18","2026-05-02","Per=Y","Days=T","Dir=V")</f>
        <v>0</v>
      </c>
      <c r="AG2">
        <f>BDH("TJX US Equity","IS_INT_EXPENSE","1993-06-18","2026-05-02","Per=Y","Days=T","Dir=V")</f>
        <v>0</v>
      </c>
      <c r="AI2">
        <f>BDH("TJX US Equity","IS_DEPR_EXP","1993-06-18","2026-05-02","Per=Y","Days=T","Dir=V")</f>
        <v>0</v>
      </c>
      <c r="AK2">
        <f>BDH("TJX US Equity","CF_CASH_FROM_OPER","1993-06-18","2026-05-02","Per=Y","Days=T","Dir=V")</f>
        <v>0</v>
      </c>
      <c r="AM2">
        <f>BDH("TJX US Equity","CAPITAL_EXPEND","1993-06-18","2026-05-02","Per=Y","Days=T","Dir=V")</f>
        <v>0</v>
      </c>
      <c r="AO2">
        <f>BDH("TJX US Equity","CF_FREE_CASH_FLOW","1993-06-18","2026-05-02","Per=Y","Days=T","Dir=V")</f>
        <v>0</v>
      </c>
      <c r="AQ2">
        <f>BDH("TJX US Equity","PX_LAST","1993-06-18","2026-05-02","Per=M","Days=T","Dir=V")</f>
        <v>0</v>
      </c>
      <c r="AS2">
        <f>BDH("TJX US Equity","CUR_MKT_CAP","1993-06-18","2026-05-02","Per=M","Days=T","Dir=V")</f>
        <v>0</v>
      </c>
      <c r="AU2">
        <f>BDH("TJX US Equity","EQY_SH_OUT","1993-06-18","2026-05-02","Per=M","Days=T","Dir=V")</f>
        <v>0</v>
      </c>
      <c r="AW2">
        <f>BDH("TJX US Equity","PX_VOLUME","1993-06-18","2026-05-02","Per=M","Days=T","Dir=V")</f>
        <v>0</v>
      </c>
      <c r="AY2">
        <f>BDH("TJX US Equity","TURNOVER","1993-06-18","2026-05-02","Per=M","Days=T","Dir=V")</f>
        <v>0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BDH("TKNO US Equity","BS_TOT_ASSET","1993-06-18","2026-05-02","Per=Y","Days=T","Dir=V")</f>
        <v>0</v>
      </c>
      <c r="C2">
        <f>BDH("TKNO US Equity","BS_TOT_LIAB2","1993-06-18","2026-05-02","Per=Y","Days=T","Dir=V")</f>
        <v>0</v>
      </c>
      <c r="E2">
        <f>BDH("TKNO US Equity","SHORT_AND_LONG_TERM_DEBT","1993-06-18","2026-05-02","Per=Y","Days=T","Dir=V")</f>
        <v>0</v>
      </c>
      <c r="G2">
        <f>BDH("TKNO US Equity","BS_ST_BORROW","1993-06-18","2026-05-02","Per=Y","Days=T","Dir=V")</f>
        <v>0</v>
      </c>
      <c r="I2">
        <f>BDH("TKNO US Equity","BS_LT_BORROW","1993-06-18","2026-05-02","Per=Y","Days=T","Dir=V")</f>
        <v>0</v>
      </c>
      <c r="K2">
        <f>BDH("TKNO US Equity","BS_CASH_NEAR_CASH_ITEM","1993-06-18","2026-05-02","Per=Y","Days=T","Dir=V")</f>
        <v>0</v>
      </c>
      <c r="M2">
        <f>BDH("TKNO US Equity","BS_CUR_ASSET_REPORT","1993-06-18","2026-05-02","Per=Y","Days=T","Dir=V")</f>
        <v>0</v>
      </c>
      <c r="O2">
        <f>BDH("TKNO US Equity","BS_CUR_LIAB","1993-06-18","2026-05-02","Per=Y","Days=T","Dir=V")</f>
        <v>0</v>
      </c>
      <c r="Q2">
        <f>BDH("TKNO US Equity","BS_SHAREHOLDER_EQY_ENDING_PERIOD","1993-06-18","2026-05-02","Per=Y","Days=T","Dir=V")</f>
        <v>0</v>
      </c>
      <c r="S2">
        <f>BDH("TKNO US Equity","BS_ACCT_NOTE_RCV","1993-06-18","2026-05-02","Per=Y","Days=T","Dir=V")</f>
        <v>0</v>
      </c>
      <c r="U2">
        <f>BDH("TKNO US Equity","BS_INVENTORIES","1993-06-18","2026-05-02","Per=Y","Days=T","Dir=V")</f>
        <v>0</v>
      </c>
      <c r="W2">
        <f>BDH("TKNO US Equity","WORKING_CAPITAL","1993-06-18","2026-05-02","Per=Y","Days=T","Dir=V")</f>
        <v>0</v>
      </c>
      <c r="Y2">
        <f>BDH("TKNO US Equity","SALES_REV_TURN","1993-06-18","2026-05-02","Per=Y","Days=T","Dir=V")</f>
        <v>0</v>
      </c>
      <c r="AA2">
        <f>BDH("TKNO US Equity","EBIT","1993-06-18","2026-05-02","Per=Y","Days=T","Dir=V")</f>
        <v>0</v>
      </c>
      <c r="AC2">
        <f>BDH("TKNO US Equity","EBITDA","1993-06-18","2026-05-02","Per=Y","Days=T","Dir=V")</f>
        <v>0</v>
      </c>
      <c r="AE2">
        <f>BDH("TKNO US Equity","NET_INCOME","1993-06-18","2026-05-02","Per=Y","Days=T","Dir=V")</f>
        <v>0</v>
      </c>
      <c r="AG2">
        <f>BDH("TKNO US Equity","IS_INT_EXPENSE","1993-06-18","2026-05-02","Per=Y","Days=T","Dir=V")</f>
        <v>0</v>
      </c>
      <c r="AI2">
        <f>BDH("TKNO US Equity","IS_DEPR_EXP","1993-06-18","2026-05-02","Per=Y","Days=T","Dir=V")</f>
        <v>0</v>
      </c>
      <c r="AK2">
        <f>BDH("TKNO US Equity","CF_CASH_FROM_OPER","1993-06-18","2026-05-02","Per=Y","Days=T","Dir=V")</f>
        <v>0</v>
      </c>
      <c r="AM2">
        <f>BDH("TKNO US Equity","CAPITAL_EXPEND","1993-06-18","2026-05-02","Per=Y","Days=T","Dir=V")</f>
        <v>0</v>
      </c>
      <c r="AO2">
        <f>BDH("TKNO US Equity","CF_FREE_CASH_FLOW","1993-06-18","2026-05-02","Per=Y","Days=T","Dir=V")</f>
        <v>0</v>
      </c>
      <c r="AQ2">
        <f>BDH("TKNO US Equity","PX_LAST","1993-06-18","2026-05-02","Per=M","Days=T","Dir=V")</f>
        <v>0</v>
      </c>
      <c r="AS2">
        <f>BDH("TKNO US Equity","CUR_MKT_CAP","1993-06-18","2026-05-02","Per=M","Days=T","Dir=V")</f>
        <v>0</v>
      </c>
      <c r="AU2">
        <f>BDH("TKNO US Equity","EQY_SH_OUT","1993-06-18","2026-05-02","Per=M","Days=T","Dir=V")</f>
        <v>0</v>
      </c>
      <c r="AW2">
        <f>BDH("TKNO US Equity","PX_VOLUME","1993-06-18","2026-05-02","Per=M","Days=T","Dir=V")</f>
        <v>0</v>
      </c>
      <c r="AY2">
        <f>BDH("TKNO US Equity","TURNOVER","1993-06-18","2026-05-02","Per=M","Days=T","Dir=V")</f>
        <v>0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BDH("TKO US Equity","BS_TOT_ASSET","1993-06-18","2026-05-02","Per=Y","Days=T","Dir=V")</f>
        <v>0</v>
      </c>
      <c r="C2">
        <f>BDH("TKO US Equity","BS_TOT_LIAB2","1993-06-18","2026-05-02","Per=Y","Days=T","Dir=V")</f>
        <v>0</v>
      </c>
      <c r="E2">
        <f>BDH("TKO US Equity","SHORT_AND_LONG_TERM_DEBT","1993-06-18","2026-05-02","Per=Y","Days=T","Dir=V")</f>
        <v>0</v>
      </c>
      <c r="G2">
        <f>BDH("TKO US Equity","BS_ST_BORROW","1993-06-18","2026-05-02","Per=Y","Days=T","Dir=V")</f>
        <v>0</v>
      </c>
      <c r="I2">
        <f>BDH("TKO US Equity","BS_LT_BORROW","1993-06-18","2026-05-02","Per=Y","Days=T","Dir=V")</f>
        <v>0</v>
      </c>
      <c r="K2">
        <f>BDH("TKO US Equity","BS_CASH_NEAR_CASH_ITEM","1993-06-18","2026-05-02","Per=Y","Days=T","Dir=V")</f>
        <v>0</v>
      </c>
      <c r="M2">
        <f>BDH("TKO US Equity","BS_CUR_ASSET_REPORT","1993-06-18","2026-05-02","Per=Y","Days=T","Dir=V")</f>
        <v>0</v>
      </c>
      <c r="O2">
        <f>BDH("TKO US Equity","BS_CUR_LIAB","1993-06-18","2026-05-02","Per=Y","Days=T","Dir=V")</f>
        <v>0</v>
      </c>
      <c r="Q2">
        <f>BDH("TKO US Equity","BS_SHAREHOLDER_EQY_ENDING_PERIOD","1993-06-18","2026-05-02","Per=Y","Days=T","Dir=V")</f>
        <v>0</v>
      </c>
      <c r="S2">
        <f>BDH("TKO US Equity","BS_ACCT_NOTE_RCV","1993-06-18","2026-05-02","Per=Y","Days=T","Dir=V")</f>
        <v>0</v>
      </c>
      <c r="U2">
        <f>BDH("TKO US Equity","BS_INVENTORIES","1993-06-18","2026-05-02","Per=Y","Days=T","Dir=V")</f>
        <v>0</v>
      </c>
      <c r="W2">
        <f>BDH("TKO US Equity","WORKING_CAPITAL","1993-06-18","2026-05-02","Per=Y","Days=T","Dir=V")</f>
        <v>0</v>
      </c>
      <c r="Y2">
        <f>BDH("TKO US Equity","SALES_REV_TURN","1993-06-18","2026-05-02","Per=Y","Days=T","Dir=V")</f>
        <v>0</v>
      </c>
      <c r="AA2">
        <f>BDH("TKO US Equity","EBIT","1993-06-18","2026-05-02","Per=Y","Days=T","Dir=V")</f>
        <v>0</v>
      </c>
      <c r="AC2">
        <f>BDH("TKO US Equity","EBITDA","1993-06-18","2026-05-02","Per=Y","Days=T","Dir=V")</f>
        <v>0</v>
      </c>
      <c r="AE2">
        <f>BDH("TKO US Equity","NET_INCOME","1993-06-18","2026-05-02","Per=Y","Days=T","Dir=V")</f>
        <v>0</v>
      </c>
      <c r="AG2">
        <f>BDH("TKO US Equity","IS_INT_EXPENSE","1993-06-18","2026-05-02","Per=Y","Days=T","Dir=V")</f>
        <v>0</v>
      </c>
      <c r="AI2">
        <f>BDH("TKO US Equity","IS_DEPR_EXP","1993-06-18","2026-05-02","Per=Y","Days=T","Dir=V")</f>
        <v>0</v>
      </c>
      <c r="AK2">
        <f>BDH("TKO US Equity","CF_CASH_FROM_OPER","1993-06-18","2026-05-02","Per=Y","Days=T","Dir=V")</f>
        <v>0</v>
      </c>
      <c r="AM2">
        <f>BDH("TKO US Equity","CAPITAL_EXPEND","1993-06-18","2026-05-02","Per=Y","Days=T","Dir=V")</f>
        <v>0</v>
      </c>
      <c r="AO2">
        <f>BDH("TKO US Equity","CF_FREE_CASH_FLOW","1993-06-18","2026-05-02","Per=Y","Days=T","Dir=V")</f>
        <v>0</v>
      </c>
      <c r="AQ2">
        <f>BDH("TKO US Equity","PX_LAST","1993-06-18","2026-05-02","Per=M","Days=T","Dir=V")</f>
        <v>0</v>
      </c>
      <c r="AS2">
        <f>BDH("TKO US Equity","CUR_MKT_CAP","1993-06-18","2026-05-02","Per=M","Days=T","Dir=V")</f>
        <v>0</v>
      </c>
      <c r="AU2">
        <f>BDH("TKO US Equity","EQY_SH_OUT","1993-06-18","2026-05-02","Per=M","Days=T","Dir=V")</f>
        <v>0</v>
      </c>
      <c r="AW2">
        <f>BDH("TKO US Equity","PX_VOLUME","1993-06-18","2026-05-02","Per=M","Days=T","Dir=V")</f>
        <v>0</v>
      </c>
      <c r="AY2">
        <f>BDH("TKO US Equity","TURNOVER","1993-06-18","2026-05-02","Per=M","Days=T","Dir=V")</f>
        <v>0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BDH("TKR US Equity","BS_TOT_ASSET","1993-06-18","2026-05-02","Per=Y","Days=T","Dir=V")</f>
        <v>0</v>
      </c>
      <c r="C2">
        <f>BDH("TKR US Equity","BS_TOT_LIAB2","1993-06-18","2026-05-02","Per=Y","Days=T","Dir=V")</f>
        <v>0</v>
      </c>
      <c r="E2">
        <f>BDH("TKR US Equity","SHORT_AND_LONG_TERM_DEBT","1993-06-18","2026-05-02","Per=Y","Days=T","Dir=V")</f>
        <v>0</v>
      </c>
      <c r="G2">
        <f>BDH("TKR US Equity","BS_ST_BORROW","1993-06-18","2026-05-02","Per=Y","Days=T","Dir=V")</f>
        <v>0</v>
      </c>
      <c r="I2">
        <f>BDH("TKR US Equity","BS_LT_BORROW","1993-06-18","2026-05-02","Per=Y","Days=T","Dir=V")</f>
        <v>0</v>
      </c>
      <c r="K2">
        <f>BDH("TKR US Equity","BS_CASH_NEAR_CASH_ITEM","1993-06-18","2026-05-02","Per=Y","Days=T","Dir=V")</f>
        <v>0</v>
      </c>
      <c r="M2">
        <f>BDH("TKR US Equity","BS_CUR_ASSET_REPORT","1993-06-18","2026-05-02","Per=Y","Days=T","Dir=V")</f>
        <v>0</v>
      </c>
      <c r="O2">
        <f>BDH("TKR US Equity","BS_CUR_LIAB","1993-06-18","2026-05-02","Per=Y","Days=T","Dir=V")</f>
        <v>0</v>
      </c>
      <c r="Q2">
        <f>BDH("TKR US Equity","BS_SHAREHOLDER_EQY_ENDING_PERIOD","1993-06-18","2026-05-02","Per=Y","Days=T","Dir=V")</f>
        <v>0</v>
      </c>
      <c r="S2">
        <f>BDH("TKR US Equity","BS_ACCT_NOTE_RCV","1993-06-18","2026-05-02","Per=Y","Days=T","Dir=V")</f>
        <v>0</v>
      </c>
      <c r="U2">
        <f>BDH("TKR US Equity","BS_INVENTORIES","1993-06-18","2026-05-02","Per=Y","Days=T","Dir=V")</f>
        <v>0</v>
      </c>
      <c r="W2">
        <f>BDH("TKR US Equity","WORKING_CAPITAL","1993-06-18","2026-05-02","Per=Y","Days=T","Dir=V")</f>
        <v>0</v>
      </c>
      <c r="Y2">
        <f>BDH("TKR US Equity","SALES_REV_TURN","1993-06-18","2026-05-02","Per=Y","Days=T","Dir=V")</f>
        <v>0</v>
      </c>
      <c r="AA2">
        <f>BDH("TKR US Equity","EBIT","1993-06-18","2026-05-02","Per=Y","Days=T","Dir=V")</f>
        <v>0</v>
      </c>
      <c r="AC2">
        <f>BDH("TKR US Equity","EBITDA","1993-06-18","2026-05-02","Per=Y","Days=T","Dir=V")</f>
        <v>0</v>
      </c>
      <c r="AE2">
        <f>BDH("TKR US Equity","NET_INCOME","1993-06-18","2026-05-02","Per=Y","Days=T","Dir=V")</f>
        <v>0</v>
      </c>
      <c r="AG2">
        <f>BDH("TKR US Equity","IS_INT_EXPENSE","1993-06-18","2026-05-02","Per=Y","Days=T","Dir=V")</f>
        <v>0</v>
      </c>
      <c r="AI2">
        <f>BDH("TKR US Equity","IS_DEPR_EXP","1993-06-18","2026-05-02","Per=Y","Days=T","Dir=V")</f>
        <v>0</v>
      </c>
      <c r="AK2">
        <f>BDH("TKR US Equity","CF_CASH_FROM_OPER","1993-06-18","2026-05-02","Per=Y","Days=T","Dir=V")</f>
        <v>0</v>
      </c>
      <c r="AM2">
        <f>BDH("TKR US Equity","CAPITAL_EXPEND","1993-06-18","2026-05-02","Per=Y","Days=T","Dir=V")</f>
        <v>0</v>
      </c>
      <c r="AO2">
        <f>BDH("TKR US Equity","CF_FREE_CASH_FLOW","1993-06-18","2026-05-02","Per=Y","Days=T","Dir=V")</f>
        <v>0</v>
      </c>
      <c r="AQ2">
        <f>BDH("TKR US Equity","PX_LAST","1993-06-18","2026-05-02","Per=M","Days=T","Dir=V")</f>
        <v>0</v>
      </c>
      <c r="AS2">
        <f>BDH("TKR US Equity","CUR_MKT_CAP","1993-06-18","2026-05-02","Per=M","Days=T","Dir=V")</f>
        <v>0</v>
      </c>
      <c r="AU2">
        <f>BDH("TKR US Equity","EQY_SH_OUT","1993-06-18","2026-05-02","Per=M","Days=T","Dir=V")</f>
        <v>0</v>
      </c>
      <c r="AW2">
        <f>BDH("TKR US Equity","PX_VOLUME","1993-06-18","2026-05-02","Per=M","Days=T","Dir=V")</f>
        <v>0</v>
      </c>
      <c r="AY2">
        <f>BDH("TKR US Equity","TURNOVER","1993-06-18","2026-05-02","Per=M","Days=T","Dir=V")</f>
        <v>0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BDH("TLF US Equity","BS_TOT_ASSET","1993-06-18","2026-05-02","Per=Y","Days=T","Dir=V")</f>
        <v>0</v>
      </c>
      <c r="C2">
        <f>BDH("TLF US Equity","BS_TOT_LIAB2","1993-06-18","2026-05-02","Per=Y","Days=T","Dir=V")</f>
        <v>0</v>
      </c>
      <c r="E2">
        <f>BDH("TLF US Equity","SHORT_AND_LONG_TERM_DEBT","1993-06-18","2026-05-02","Per=Y","Days=T","Dir=V")</f>
        <v>0</v>
      </c>
      <c r="G2">
        <f>BDH("TLF US Equity","BS_ST_BORROW","1993-06-18","2026-05-02","Per=Y","Days=T","Dir=V")</f>
        <v>0</v>
      </c>
      <c r="I2">
        <f>BDH("TLF US Equity","BS_LT_BORROW","1993-06-18","2026-05-02","Per=Y","Days=T","Dir=V")</f>
        <v>0</v>
      </c>
      <c r="K2">
        <f>BDH("TLF US Equity","BS_CASH_NEAR_CASH_ITEM","1993-06-18","2026-05-02","Per=Y","Days=T","Dir=V")</f>
        <v>0</v>
      </c>
      <c r="M2">
        <f>BDH("TLF US Equity","BS_CUR_ASSET_REPORT","1993-06-18","2026-05-02","Per=Y","Days=T","Dir=V")</f>
        <v>0</v>
      </c>
      <c r="O2">
        <f>BDH("TLF US Equity","BS_CUR_LIAB","1993-06-18","2026-05-02","Per=Y","Days=T","Dir=V")</f>
        <v>0</v>
      </c>
      <c r="Q2">
        <f>BDH("TLF US Equity","BS_SHAREHOLDER_EQY_ENDING_PERIOD","1993-06-18","2026-05-02","Per=Y","Days=T","Dir=V")</f>
        <v>0</v>
      </c>
      <c r="S2">
        <f>BDH("TLF US Equity","BS_ACCT_NOTE_RCV","1993-06-18","2026-05-02","Per=Y","Days=T","Dir=V")</f>
        <v>0</v>
      </c>
      <c r="U2">
        <f>BDH("TLF US Equity","BS_INVENTORIES","1993-06-18","2026-05-02","Per=Y","Days=T","Dir=V")</f>
        <v>0</v>
      </c>
      <c r="W2">
        <f>BDH("TLF US Equity","WORKING_CAPITAL","1993-06-18","2026-05-02","Per=Y","Days=T","Dir=V")</f>
        <v>0</v>
      </c>
      <c r="Y2">
        <f>BDH("TLF US Equity","SALES_REV_TURN","1993-06-18","2026-05-02","Per=Y","Days=T","Dir=V")</f>
        <v>0</v>
      </c>
      <c r="AA2">
        <f>BDH("TLF US Equity","EBIT","1993-06-18","2026-05-02","Per=Y","Days=T","Dir=V")</f>
        <v>0</v>
      </c>
      <c r="AC2">
        <f>BDH("TLF US Equity","EBITDA","1993-06-18","2026-05-02","Per=Y","Days=T","Dir=V")</f>
        <v>0</v>
      </c>
      <c r="AE2">
        <f>BDH("TLF US Equity","NET_INCOME","1993-06-18","2026-05-02","Per=Y","Days=T","Dir=V")</f>
        <v>0</v>
      </c>
      <c r="AG2">
        <f>BDH("TLF US Equity","IS_INT_EXPENSE","1993-06-18","2026-05-02","Per=Y","Days=T","Dir=V")</f>
        <v>0</v>
      </c>
      <c r="AI2">
        <f>BDH("TLF US Equity","IS_DEPR_EXP","1993-06-18","2026-05-02","Per=Y","Days=T","Dir=V")</f>
        <v>0</v>
      </c>
      <c r="AK2">
        <f>BDH("TLF US Equity","CF_CASH_FROM_OPER","1993-06-18","2026-05-02","Per=Y","Days=T","Dir=V")</f>
        <v>0</v>
      </c>
      <c r="AM2">
        <f>BDH("TLF US Equity","CAPITAL_EXPEND","1993-06-18","2026-05-02","Per=Y","Days=T","Dir=V")</f>
        <v>0</v>
      </c>
      <c r="AO2">
        <f>BDH("TLF US Equity","CF_FREE_CASH_FLOW","1993-06-18","2026-05-02","Per=Y","Days=T","Dir=V")</f>
        <v>0</v>
      </c>
      <c r="AQ2">
        <f>BDH("TLF US Equity","PX_LAST","1993-06-18","2026-05-02","Per=M","Days=T","Dir=V")</f>
        <v>0</v>
      </c>
      <c r="AS2">
        <f>BDH("TLF US Equity","CUR_MKT_CAP","1993-06-18","2026-05-02","Per=M","Days=T","Dir=V")</f>
        <v>0</v>
      </c>
      <c r="AU2">
        <f>BDH("TLF US Equity","EQY_SH_OUT","1993-06-18","2026-05-02","Per=M","Days=T","Dir=V")</f>
        <v>0</v>
      </c>
      <c r="AW2">
        <f>BDH("TLF US Equity","PX_VOLUME","1993-06-18","2026-05-02","Per=M","Days=T","Dir=V")</f>
        <v>0</v>
      </c>
      <c r="AY2">
        <f>BDH("TLF US Equity","TURNOVER","1993-06-18","2026-05-02","Per=M","Days=T","Dir=V")</f>
        <v>0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BDH("TLN US Equity","BS_TOT_ASSET","1993-06-18","2026-05-02","Per=Y","Days=T","Dir=V")</f>
        <v>0</v>
      </c>
      <c r="C2">
        <f>BDH("TLN US Equity","BS_TOT_LIAB2","1993-06-18","2026-05-02","Per=Y","Days=T","Dir=V")</f>
        <v>0</v>
      </c>
      <c r="E2">
        <f>BDH("TLN US Equity","SHORT_AND_LONG_TERM_DEBT","1993-06-18","2026-05-02","Per=Y","Days=T","Dir=V")</f>
        <v>0</v>
      </c>
      <c r="G2">
        <f>BDH("TLN US Equity","BS_ST_BORROW","1993-06-18","2026-05-02","Per=Y","Days=T","Dir=V")</f>
        <v>0</v>
      </c>
      <c r="I2">
        <f>BDH("TLN US Equity","BS_LT_BORROW","1993-06-18","2026-05-02","Per=Y","Days=T","Dir=V")</f>
        <v>0</v>
      </c>
      <c r="K2">
        <f>BDH("TLN US Equity","BS_CASH_NEAR_CASH_ITEM","1993-06-18","2026-05-02","Per=Y","Days=T","Dir=V")</f>
        <v>0</v>
      </c>
      <c r="M2">
        <f>BDH("TLN US Equity","BS_CUR_ASSET_REPORT","1993-06-18","2026-05-02","Per=Y","Days=T","Dir=V")</f>
        <v>0</v>
      </c>
      <c r="O2">
        <f>BDH("TLN US Equity","BS_CUR_LIAB","1993-06-18","2026-05-02","Per=Y","Days=T","Dir=V")</f>
        <v>0</v>
      </c>
      <c r="Q2">
        <f>BDH("TLN US Equity","BS_SHAREHOLDER_EQY_ENDING_PERIOD","1993-06-18","2026-05-02","Per=Y","Days=T","Dir=V")</f>
        <v>0</v>
      </c>
      <c r="S2">
        <f>BDH("TLN US Equity","BS_ACCT_NOTE_RCV","1993-06-18","2026-05-02","Per=Y","Days=T","Dir=V")</f>
        <v>0</v>
      </c>
      <c r="U2">
        <f>BDH("TLN US Equity","BS_INVENTORIES","1993-06-18","2026-05-02","Per=Y","Days=T","Dir=V")</f>
        <v>0</v>
      </c>
      <c r="W2">
        <f>BDH("TLN US Equity","WORKING_CAPITAL","1993-06-18","2026-05-02","Per=Y","Days=T","Dir=V")</f>
        <v>0</v>
      </c>
      <c r="Y2">
        <f>BDH("TLN US Equity","SALES_REV_TURN","1993-06-18","2026-05-02","Per=Y","Days=T","Dir=V")</f>
        <v>0</v>
      </c>
      <c r="AA2">
        <f>BDH("TLN US Equity","EBIT","1993-06-18","2026-05-02","Per=Y","Days=T","Dir=V")</f>
        <v>0</v>
      </c>
      <c r="AC2">
        <f>BDH("TLN US Equity","EBITDA","1993-06-18","2026-05-02","Per=Y","Days=T","Dir=V")</f>
        <v>0</v>
      </c>
      <c r="AE2">
        <f>BDH("TLN US Equity","NET_INCOME","1993-06-18","2026-05-02","Per=Y","Days=T","Dir=V")</f>
        <v>0</v>
      </c>
      <c r="AG2">
        <f>BDH("TLN US Equity","IS_INT_EXPENSE","1993-06-18","2026-05-02","Per=Y","Days=T","Dir=V")</f>
        <v>0</v>
      </c>
      <c r="AI2">
        <f>BDH("TLN US Equity","IS_DEPR_EXP","1993-06-18","2026-05-02","Per=Y","Days=T","Dir=V")</f>
        <v>0</v>
      </c>
      <c r="AK2">
        <f>BDH("TLN US Equity","CF_CASH_FROM_OPER","1993-06-18","2026-05-02","Per=Y","Days=T","Dir=V")</f>
        <v>0</v>
      </c>
      <c r="AM2">
        <f>BDH("TLN US Equity","CAPITAL_EXPEND","1993-06-18","2026-05-02","Per=Y","Days=T","Dir=V")</f>
        <v>0</v>
      </c>
      <c r="AO2">
        <f>BDH("TLN US Equity","CF_FREE_CASH_FLOW","1993-06-18","2026-05-02","Per=Y","Days=T","Dir=V")</f>
        <v>0</v>
      </c>
      <c r="AQ2">
        <f>BDH("TLN US Equity","PX_LAST","1993-06-18","2026-05-02","Per=M","Days=T","Dir=V")</f>
        <v>0</v>
      </c>
      <c r="AS2">
        <f>BDH("TLN US Equity","CUR_MKT_CAP","1993-06-18","2026-05-02","Per=M","Days=T","Dir=V")</f>
        <v>0</v>
      </c>
      <c r="AU2">
        <f>BDH("TLN US Equity","EQY_SH_OUT","1993-06-18","2026-05-02","Per=M","Days=T","Dir=V")</f>
        <v>0</v>
      </c>
      <c r="AW2">
        <f>BDH("TLN US Equity","PX_VOLUME","1993-06-18","2026-05-02","Per=M","Days=T","Dir=V")</f>
        <v>0</v>
      </c>
      <c r="AY2">
        <f>BDH("TLN US Equity","TURNOVER","1993-06-18","2026-05-02","Per=M","Days=T","Dir=V")</f>
        <v>0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BDH("TLPH US Equity","BS_TOT_ASSET","1993-06-18","2026-05-02","Per=Y","Days=T","Dir=V")</f>
        <v>0</v>
      </c>
      <c r="C2">
        <f>BDH("TLPH US Equity","BS_TOT_LIAB2","1993-06-18","2026-05-02","Per=Y","Days=T","Dir=V")</f>
        <v>0</v>
      </c>
      <c r="E2">
        <f>BDH("TLPH US Equity","SHORT_AND_LONG_TERM_DEBT","1993-06-18","2026-05-02","Per=Y","Days=T","Dir=V")</f>
        <v>0</v>
      </c>
      <c r="G2">
        <f>BDH("TLPH US Equity","BS_ST_BORROW","1993-06-18","2026-05-02","Per=Y","Days=T","Dir=V")</f>
        <v>0</v>
      </c>
      <c r="I2">
        <f>BDH("TLPH US Equity","BS_LT_BORROW","1993-06-18","2026-05-02","Per=Y","Days=T","Dir=V")</f>
        <v>0</v>
      </c>
      <c r="K2">
        <f>BDH("TLPH US Equity","BS_CASH_NEAR_CASH_ITEM","1993-06-18","2026-05-02","Per=Y","Days=T","Dir=V")</f>
        <v>0</v>
      </c>
      <c r="M2">
        <f>BDH("TLPH US Equity","BS_CUR_ASSET_REPORT","1993-06-18","2026-05-02","Per=Y","Days=T","Dir=V")</f>
        <v>0</v>
      </c>
      <c r="O2">
        <f>BDH("TLPH US Equity","BS_CUR_LIAB","1993-06-18","2026-05-02","Per=Y","Days=T","Dir=V")</f>
        <v>0</v>
      </c>
      <c r="Q2">
        <f>BDH("TLPH US Equity","BS_SHAREHOLDER_EQY_ENDING_PERIOD","1993-06-18","2026-05-02","Per=Y","Days=T","Dir=V")</f>
        <v>0</v>
      </c>
      <c r="S2">
        <f>BDH("TLPH US Equity","BS_ACCT_NOTE_RCV","1993-06-18","2026-05-02","Per=Y","Days=T","Dir=V")</f>
        <v>0</v>
      </c>
      <c r="U2">
        <f>BDH("TLPH US Equity","BS_INVENTORIES","1993-06-18","2026-05-02","Per=Y","Days=T","Dir=V")</f>
        <v>0</v>
      </c>
      <c r="W2">
        <f>BDH("TLPH US Equity","WORKING_CAPITAL","1993-06-18","2026-05-02","Per=Y","Days=T","Dir=V")</f>
        <v>0</v>
      </c>
      <c r="Y2">
        <f>BDH("TLPH US Equity","SALES_REV_TURN","1993-06-18","2026-05-02","Per=Y","Days=T","Dir=V")</f>
        <v>0</v>
      </c>
      <c r="AA2">
        <f>BDH("TLPH US Equity","EBIT","1993-06-18","2026-05-02","Per=Y","Days=T","Dir=V")</f>
        <v>0</v>
      </c>
      <c r="AC2">
        <f>BDH("TLPH US Equity","EBITDA","1993-06-18","2026-05-02","Per=Y","Days=T","Dir=V")</f>
        <v>0</v>
      </c>
      <c r="AE2">
        <f>BDH("TLPH US Equity","NET_INCOME","1993-06-18","2026-05-02","Per=Y","Days=T","Dir=V")</f>
        <v>0</v>
      </c>
      <c r="AG2">
        <f>BDH("TLPH US Equity","IS_INT_EXPENSE","1993-06-18","2026-05-02","Per=Y","Days=T","Dir=V")</f>
        <v>0</v>
      </c>
      <c r="AI2">
        <f>BDH("TLPH US Equity","IS_DEPR_EXP","1993-06-18","2026-05-02","Per=Y","Days=T","Dir=V")</f>
        <v>0</v>
      </c>
      <c r="AK2">
        <f>BDH("TLPH US Equity","CF_CASH_FROM_OPER","1993-06-18","2026-05-02","Per=Y","Days=T","Dir=V")</f>
        <v>0</v>
      </c>
      <c r="AM2">
        <f>BDH("TLPH US Equity","CAPITAL_EXPEND","1993-06-18","2026-05-02","Per=Y","Days=T","Dir=V")</f>
        <v>0</v>
      </c>
      <c r="AO2">
        <f>BDH("TLPH US Equity","CF_FREE_CASH_FLOW","1993-06-18","2026-05-02","Per=Y","Days=T","Dir=V")</f>
        <v>0</v>
      </c>
      <c r="AQ2">
        <f>BDH("TLPH US Equity","PX_LAST","1993-06-18","2026-05-02","Per=M","Days=T","Dir=V")</f>
        <v>0</v>
      </c>
      <c r="AS2">
        <f>BDH("TLPH US Equity","CUR_MKT_CAP","1993-06-18","2026-05-02","Per=M","Days=T","Dir=V")</f>
        <v>0</v>
      </c>
      <c r="AU2">
        <f>BDH("TLPH US Equity","EQY_SH_OUT","1993-06-18","2026-05-02","Per=M","Days=T","Dir=V")</f>
        <v>0</v>
      </c>
      <c r="AW2">
        <f>BDH("TLPH US Equity","PX_VOLUME","1993-06-18","2026-05-02","Per=M","Days=T","Dir=V")</f>
        <v>0</v>
      </c>
      <c r="AY2">
        <f>BDH("TLPH US Equity","TURNOVER","1993-06-18","2026-05-02","Per=M","Days=T","Dir=V")</f>
        <v>0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BDH("TLRY US Equity","BS_TOT_ASSET","1993-06-18","2026-05-02","Per=Y","Days=T","Dir=V")</f>
        <v>0</v>
      </c>
      <c r="C2">
        <f>BDH("TLRY US Equity","BS_TOT_LIAB2","1993-06-18","2026-05-02","Per=Y","Days=T","Dir=V")</f>
        <v>0</v>
      </c>
      <c r="E2">
        <f>BDH("TLRY US Equity","SHORT_AND_LONG_TERM_DEBT","1993-06-18","2026-05-02","Per=Y","Days=T","Dir=V")</f>
        <v>0</v>
      </c>
      <c r="G2">
        <f>BDH("TLRY US Equity","BS_ST_BORROW","1993-06-18","2026-05-02","Per=Y","Days=T","Dir=V")</f>
        <v>0</v>
      </c>
      <c r="I2">
        <f>BDH("TLRY US Equity","BS_LT_BORROW","1993-06-18","2026-05-02","Per=Y","Days=T","Dir=V")</f>
        <v>0</v>
      </c>
      <c r="K2">
        <f>BDH("TLRY US Equity","BS_CASH_NEAR_CASH_ITEM","1993-06-18","2026-05-02","Per=Y","Days=T","Dir=V")</f>
        <v>0</v>
      </c>
      <c r="M2">
        <f>BDH("TLRY US Equity","BS_CUR_ASSET_REPORT","1993-06-18","2026-05-02","Per=Y","Days=T","Dir=V")</f>
        <v>0</v>
      </c>
      <c r="O2">
        <f>BDH("TLRY US Equity","BS_CUR_LIAB","1993-06-18","2026-05-02","Per=Y","Days=T","Dir=V")</f>
        <v>0</v>
      </c>
      <c r="Q2">
        <f>BDH("TLRY US Equity","BS_SHAREHOLDER_EQY_ENDING_PERIOD","1993-06-18","2026-05-02","Per=Y","Days=T","Dir=V")</f>
        <v>0</v>
      </c>
      <c r="S2">
        <f>BDH("TLRY US Equity","BS_ACCT_NOTE_RCV","1993-06-18","2026-05-02","Per=Y","Days=T","Dir=V")</f>
        <v>0</v>
      </c>
      <c r="U2">
        <f>BDH("TLRY US Equity","BS_INVENTORIES","1993-06-18","2026-05-02","Per=Y","Days=T","Dir=V")</f>
        <v>0</v>
      </c>
      <c r="W2">
        <f>BDH("TLRY US Equity","WORKING_CAPITAL","1993-06-18","2026-05-02","Per=Y","Days=T","Dir=V")</f>
        <v>0</v>
      </c>
      <c r="Y2">
        <f>BDH("TLRY US Equity","SALES_REV_TURN","1993-06-18","2026-05-02","Per=Y","Days=T","Dir=V")</f>
        <v>0</v>
      </c>
      <c r="AA2">
        <f>BDH("TLRY US Equity","EBIT","1993-06-18","2026-05-02","Per=Y","Days=T","Dir=V")</f>
        <v>0</v>
      </c>
      <c r="AC2">
        <f>BDH("TLRY US Equity","EBITDA","1993-06-18","2026-05-02","Per=Y","Days=T","Dir=V")</f>
        <v>0</v>
      </c>
      <c r="AE2">
        <f>BDH("TLRY US Equity","NET_INCOME","1993-06-18","2026-05-02","Per=Y","Days=T","Dir=V")</f>
        <v>0</v>
      </c>
      <c r="AG2">
        <f>BDH("TLRY US Equity","IS_INT_EXPENSE","1993-06-18","2026-05-02","Per=Y","Days=T","Dir=V")</f>
        <v>0</v>
      </c>
      <c r="AI2">
        <f>BDH("TLRY US Equity","IS_DEPR_EXP","1993-06-18","2026-05-02","Per=Y","Days=T","Dir=V")</f>
        <v>0</v>
      </c>
      <c r="AK2">
        <f>BDH("TLRY US Equity","CF_CASH_FROM_OPER","1993-06-18","2026-05-02","Per=Y","Days=T","Dir=V")</f>
        <v>0</v>
      </c>
      <c r="AM2">
        <f>BDH("TLRY US Equity","CAPITAL_EXPEND","1993-06-18","2026-05-02","Per=Y","Days=T","Dir=V")</f>
        <v>0</v>
      </c>
      <c r="AO2">
        <f>BDH("TLRY US Equity","CF_FREE_CASH_FLOW","1993-06-18","2026-05-02","Per=Y","Days=T","Dir=V")</f>
        <v>0</v>
      </c>
      <c r="AQ2">
        <f>BDH("TLRY US Equity","PX_LAST","1993-06-18","2026-05-02","Per=M","Days=T","Dir=V")</f>
        <v>0</v>
      </c>
      <c r="AS2">
        <f>BDH("TLRY US Equity","CUR_MKT_CAP","1993-06-18","2026-05-02","Per=M","Days=T","Dir=V")</f>
        <v>0</v>
      </c>
      <c r="AU2">
        <f>BDH("TLRY US Equity","EQY_SH_OUT","1993-06-18","2026-05-02","Per=M","Days=T","Dir=V")</f>
        <v>0</v>
      </c>
      <c r="AW2">
        <f>BDH("TLRY US Equity","PX_VOLUME","1993-06-18","2026-05-02","Per=M","Days=T","Dir=V")</f>
        <v>0</v>
      </c>
      <c r="AY2">
        <f>BDH("TLRY US Equity","TURNOVER","1993-06-18","2026-05-02","Per=M","Days=T","Dir=V")</f>
        <v>0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BDH("TLS US Equity","BS_TOT_ASSET","1993-06-18","2026-05-02","Per=Y","Days=T","Dir=V")</f>
        <v>0</v>
      </c>
      <c r="C2">
        <f>BDH("TLS US Equity","BS_TOT_LIAB2","1993-06-18","2026-05-02","Per=Y","Days=T","Dir=V")</f>
        <v>0</v>
      </c>
      <c r="E2">
        <f>BDH("TLS US Equity","SHORT_AND_LONG_TERM_DEBT","1993-06-18","2026-05-02","Per=Y","Days=T","Dir=V")</f>
        <v>0</v>
      </c>
      <c r="G2">
        <f>BDH("TLS US Equity","BS_ST_BORROW","1993-06-18","2026-05-02","Per=Y","Days=T","Dir=V")</f>
        <v>0</v>
      </c>
      <c r="I2">
        <f>BDH("TLS US Equity","BS_LT_BORROW","1993-06-18","2026-05-02","Per=Y","Days=T","Dir=V")</f>
        <v>0</v>
      </c>
      <c r="K2">
        <f>BDH("TLS US Equity","BS_CASH_NEAR_CASH_ITEM","1993-06-18","2026-05-02","Per=Y","Days=T","Dir=V")</f>
        <v>0</v>
      </c>
      <c r="M2">
        <f>BDH("TLS US Equity","BS_CUR_ASSET_REPORT","1993-06-18","2026-05-02","Per=Y","Days=T","Dir=V")</f>
        <v>0</v>
      </c>
      <c r="O2">
        <f>BDH("TLS US Equity","BS_CUR_LIAB","1993-06-18","2026-05-02","Per=Y","Days=T","Dir=V")</f>
        <v>0</v>
      </c>
      <c r="Q2">
        <f>BDH("TLS US Equity","BS_SHAREHOLDER_EQY_ENDING_PERIOD","1993-06-18","2026-05-02","Per=Y","Days=T","Dir=V")</f>
        <v>0</v>
      </c>
      <c r="S2">
        <f>BDH("TLS US Equity","BS_ACCT_NOTE_RCV","1993-06-18","2026-05-02","Per=Y","Days=T","Dir=V")</f>
        <v>0</v>
      </c>
      <c r="U2">
        <f>BDH("TLS US Equity","BS_INVENTORIES","1993-06-18","2026-05-02","Per=Y","Days=T","Dir=V")</f>
        <v>0</v>
      </c>
      <c r="W2">
        <f>BDH("TLS US Equity","WORKING_CAPITAL","1993-06-18","2026-05-02","Per=Y","Days=T","Dir=V")</f>
        <v>0</v>
      </c>
      <c r="Y2">
        <f>BDH("TLS US Equity","SALES_REV_TURN","1993-06-18","2026-05-02","Per=Y","Days=T","Dir=V")</f>
        <v>0</v>
      </c>
      <c r="AA2">
        <f>BDH("TLS US Equity","EBIT","1993-06-18","2026-05-02","Per=Y","Days=T","Dir=V")</f>
        <v>0</v>
      </c>
      <c r="AC2">
        <f>BDH("TLS US Equity","EBITDA","1993-06-18","2026-05-02","Per=Y","Days=T","Dir=V")</f>
        <v>0</v>
      </c>
      <c r="AE2">
        <f>BDH("TLS US Equity","NET_INCOME","1993-06-18","2026-05-02","Per=Y","Days=T","Dir=V")</f>
        <v>0</v>
      </c>
      <c r="AG2">
        <f>BDH("TLS US Equity","IS_INT_EXPENSE","1993-06-18","2026-05-02","Per=Y","Days=T","Dir=V")</f>
        <v>0</v>
      </c>
      <c r="AI2">
        <f>BDH("TLS US Equity","IS_DEPR_EXP","1993-06-18","2026-05-02","Per=Y","Days=T","Dir=V")</f>
        <v>0</v>
      </c>
      <c r="AK2">
        <f>BDH("TLS US Equity","CF_CASH_FROM_OPER","1993-06-18","2026-05-02","Per=Y","Days=T","Dir=V")</f>
        <v>0</v>
      </c>
      <c r="AM2">
        <f>BDH("TLS US Equity","CAPITAL_EXPEND","1993-06-18","2026-05-02","Per=Y","Days=T","Dir=V")</f>
        <v>0</v>
      </c>
      <c r="AO2">
        <f>BDH("TLS US Equity","CF_FREE_CASH_FLOW","1993-06-18","2026-05-02","Per=Y","Days=T","Dir=V")</f>
        <v>0</v>
      </c>
      <c r="AQ2">
        <f>BDH("TLS US Equity","PX_LAST","1993-06-18","2026-05-02","Per=M","Days=T","Dir=V")</f>
        <v>0</v>
      </c>
      <c r="AS2">
        <f>BDH("TLS US Equity","CUR_MKT_CAP","1993-06-18","2026-05-02","Per=M","Days=T","Dir=V")</f>
        <v>0</v>
      </c>
      <c r="AU2">
        <f>BDH("TLS US Equity","EQY_SH_OUT","1993-06-18","2026-05-02","Per=M","Days=T","Dir=V")</f>
        <v>0</v>
      </c>
      <c r="AW2">
        <f>BDH("TLS US Equity","PX_VOLUME","1993-06-18","2026-05-02","Per=M","Days=T","Dir=V")</f>
        <v>0</v>
      </c>
      <c r="AY2">
        <f>BDH("TLS US Equity","TURNOVER","1993-06-18","2026-05-02","Per=M","Days=T","Dir=V")</f>
        <v>0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BDH("TLSI US Equity","BS_TOT_ASSET","1993-06-18","2026-05-02","Per=Y","Days=T","Dir=V")</f>
        <v>0</v>
      </c>
      <c r="C2">
        <f>BDH("TLSI US Equity","BS_TOT_LIAB2","1993-06-18","2026-05-02","Per=Y","Days=T","Dir=V")</f>
        <v>0</v>
      </c>
      <c r="E2">
        <f>BDH("TLSI US Equity","SHORT_AND_LONG_TERM_DEBT","1993-06-18","2026-05-02","Per=Y","Days=T","Dir=V")</f>
        <v>0</v>
      </c>
      <c r="G2">
        <f>BDH("TLSI US Equity","BS_ST_BORROW","1993-06-18","2026-05-02","Per=Y","Days=T","Dir=V")</f>
        <v>0</v>
      </c>
      <c r="I2">
        <f>BDH("TLSI US Equity","BS_LT_BORROW","1993-06-18","2026-05-02","Per=Y","Days=T","Dir=V")</f>
        <v>0</v>
      </c>
      <c r="K2">
        <f>BDH("TLSI US Equity","BS_CASH_NEAR_CASH_ITEM","1993-06-18","2026-05-02","Per=Y","Days=T","Dir=V")</f>
        <v>0</v>
      </c>
      <c r="M2">
        <f>BDH("TLSI US Equity","BS_CUR_ASSET_REPORT","1993-06-18","2026-05-02","Per=Y","Days=T","Dir=V")</f>
        <v>0</v>
      </c>
      <c r="O2">
        <f>BDH("TLSI US Equity","BS_CUR_LIAB","1993-06-18","2026-05-02","Per=Y","Days=T","Dir=V")</f>
        <v>0</v>
      </c>
      <c r="Q2">
        <f>BDH("TLSI US Equity","BS_SHAREHOLDER_EQY_ENDING_PERIOD","1993-06-18","2026-05-02","Per=Y","Days=T","Dir=V")</f>
        <v>0</v>
      </c>
      <c r="S2">
        <f>BDH("TLSI US Equity","BS_ACCT_NOTE_RCV","1993-06-18","2026-05-02","Per=Y","Days=T","Dir=V")</f>
        <v>0</v>
      </c>
      <c r="U2">
        <f>BDH("TLSI US Equity","BS_INVENTORIES","1993-06-18","2026-05-02","Per=Y","Days=T","Dir=V")</f>
        <v>0</v>
      </c>
      <c r="W2">
        <f>BDH("TLSI US Equity","WORKING_CAPITAL","1993-06-18","2026-05-02","Per=Y","Days=T","Dir=V")</f>
        <v>0</v>
      </c>
      <c r="Y2">
        <f>BDH("TLSI US Equity","SALES_REV_TURN","1993-06-18","2026-05-02","Per=Y","Days=T","Dir=V")</f>
        <v>0</v>
      </c>
      <c r="AA2">
        <f>BDH("TLSI US Equity","EBIT","1993-06-18","2026-05-02","Per=Y","Days=T","Dir=V")</f>
        <v>0</v>
      </c>
      <c r="AC2">
        <f>BDH("TLSI US Equity","EBITDA","1993-06-18","2026-05-02","Per=Y","Days=T","Dir=V")</f>
        <v>0</v>
      </c>
      <c r="AE2">
        <f>BDH("TLSI US Equity","NET_INCOME","1993-06-18","2026-05-02","Per=Y","Days=T","Dir=V")</f>
        <v>0</v>
      </c>
      <c r="AG2">
        <f>BDH("TLSI US Equity","IS_INT_EXPENSE","1993-06-18","2026-05-02","Per=Y","Days=T","Dir=V")</f>
        <v>0</v>
      </c>
      <c r="AI2">
        <f>BDH("TLSI US Equity","IS_DEPR_EXP","1993-06-18","2026-05-02","Per=Y","Days=T","Dir=V")</f>
        <v>0</v>
      </c>
      <c r="AK2">
        <f>BDH("TLSI US Equity","CF_CASH_FROM_OPER","1993-06-18","2026-05-02","Per=Y","Days=T","Dir=V")</f>
        <v>0</v>
      </c>
      <c r="AM2">
        <f>BDH("TLSI US Equity","CAPITAL_EXPEND","1993-06-18","2026-05-02","Per=Y","Days=T","Dir=V")</f>
        <v>0</v>
      </c>
      <c r="AO2">
        <f>BDH("TLSI US Equity","CF_FREE_CASH_FLOW","1993-06-18","2026-05-02","Per=Y","Days=T","Dir=V")</f>
        <v>0</v>
      </c>
      <c r="AQ2">
        <f>BDH("TLSI US Equity","PX_LAST","1993-06-18","2026-05-02","Per=M","Days=T","Dir=V")</f>
        <v>0</v>
      </c>
      <c r="AS2">
        <f>BDH("TLSI US Equity","CUR_MKT_CAP","1993-06-18","2026-05-02","Per=M","Days=T","Dir=V")</f>
        <v>0</v>
      </c>
      <c r="AU2">
        <f>BDH("TLSI US Equity","EQY_SH_OUT","1993-06-18","2026-05-02","Per=M","Days=T","Dir=V")</f>
        <v>0</v>
      </c>
      <c r="AW2">
        <f>BDH("TLSI US Equity","PX_VOLUME","1993-06-18","2026-05-02","Per=M","Days=T","Dir=V")</f>
        <v>0</v>
      </c>
      <c r="AY2">
        <f>BDH("TLSI US Equity","TURNOVER","1993-06-18","2026-05-02","Per=M","Days=T","Dir=V")</f>
        <v>0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BDH("TLSIW US Equity","BS_TOT_ASSET","1993-06-18","2026-05-02","Per=Y","Days=T","Dir=V")</f>
        <v>0</v>
      </c>
      <c r="C2">
        <f>BDH("TLSIW US Equity","BS_TOT_LIAB2","1993-06-18","2026-05-02","Per=Y","Days=T","Dir=V")</f>
        <v>0</v>
      </c>
      <c r="E2">
        <f>BDH("TLSIW US Equity","SHORT_AND_LONG_TERM_DEBT","1993-06-18","2026-05-02","Per=Y","Days=T","Dir=V")</f>
        <v>0</v>
      </c>
      <c r="G2">
        <f>BDH("TLSIW US Equity","BS_ST_BORROW","1993-06-18","2026-05-02","Per=Y","Days=T","Dir=V")</f>
        <v>0</v>
      </c>
      <c r="I2">
        <f>BDH("TLSIW US Equity","BS_LT_BORROW","1993-06-18","2026-05-02","Per=Y","Days=T","Dir=V")</f>
        <v>0</v>
      </c>
      <c r="K2">
        <f>BDH("TLSIW US Equity","BS_CASH_NEAR_CASH_ITEM","1993-06-18","2026-05-02","Per=Y","Days=T","Dir=V")</f>
        <v>0</v>
      </c>
      <c r="M2">
        <f>BDH("TLSIW US Equity","BS_CUR_ASSET_REPORT","1993-06-18","2026-05-02","Per=Y","Days=T","Dir=V")</f>
        <v>0</v>
      </c>
      <c r="O2">
        <f>BDH("TLSIW US Equity","BS_CUR_LIAB","1993-06-18","2026-05-02","Per=Y","Days=T","Dir=V")</f>
        <v>0</v>
      </c>
      <c r="Q2">
        <f>BDH("TLSIW US Equity","BS_SHAREHOLDER_EQY_ENDING_PERIOD","1993-06-18","2026-05-02","Per=Y","Days=T","Dir=V")</f>
        <v>0</v>
      </c>
      <c r="S2">
        <f>BDH("TLSIW US Equity","BS_ACCT_NOTE_RCV","1993-06-18","2026-05-02","Per=Y","Days=T","Dir=V")</f>
        <v>0</v>
      </c>
      <c r="U2">
        <f>BDH("TLSIW US Equity","BS_INVENTORIES","1993-06-18","2026-05-02","Per=Y","Days=T","Dir=V")</f>
        <v>0</v>
      </c>
      <c r="W2">
        <f>BDH("TLSIW US Equity","WORKING_CAPITAL","1993-06-18","2026-05-02","Per=Y","Days=T","Dir=V")</f>
        <v>0</v>
      </c>
      <c r="Y2">
        <f>BDH("TLSIW US Equity","SALES_REV_TURN","1993-06-18","2026-05-02","Per=Y","Days=T","Dir=V")</f>
        <v>0</v>
      </c>
      <c r="AA2">
        <f>BDH("TLSIW US Equity","EBIT","1993-06-18","2026-05-02","Per=Y","Days=T","Dir=V")</f>
        <v>0</v>
      </c>
      <c r="AC2">
        <f>BDH("TLSIW US Equity","EBITDA","1993-06-18","2026-05-02","Per=Y","Days=T","Dir=V")</f>
        <v>0</v>
      </c>
      <c r="AE2">
        <f>BDH("TLSIW US Equity","NET_INCOME","1993-06-18","2026-05-02","Per=Y","Days=T","Dir=V")</f>
        <v>0</v>
      </c>
      <c r="AG2">
        <f>BDH("TLSIW US Equity","IS_INT_EXPENSE","1993-06-18","2026-05-02","Per=Y","Days=T","Dir=V")</f>
        <v>0</v>
      </c>
      <c r="AI2">
        <f>BDH("TLSIW US Equity","IS_DEPR_EXP","1993-06-18","2026-05-02","Per=Y","Days=T","Dir=V")</f>
        <v>0</v>
      </c>
      <c r="AK2">
        <f>BDH("TLSIW US Equity","CF_CASH_FROM_OPER","1993-06-18","2026-05-02","Per=Y","Days=T","Dir=V")</f>
        <v>0</v>
      </c>
      <c r="AM2">
        <f>BDH("TLSIW US Equity","CAPITAL_EXPEND","1993-06-18","2026-05-02","Per=Y","Days=T","Dir=V")</f>
        <v>0</v>
      </c>
      <c r="AO2">
        <f>BDH("TLSIW US Equity","CF_FREE_CASH_FLOW","1993-06-18","2026-05-02","Per=Y","Days=T","Dir=V")</f>
        <v>0</v>
      </c>
      <c r="AQ2">
        <f>BDH("TLSIW US Equity","PX_LAST","1993-06-18","2026-05-02","Per=M","Days=T","Dir=V")</f>
        <v>0</v>
      </c>
      <c r="AS2">
        <f>BDH("TLSIW US Equity","CUR_MKT_CAP","1993-06-18","2026-05-02","Per=M","Days=T","Dir=V")</f>
        <v>0</v>
      </c>
      <c r="AU2">
        <f>BDH("TLSIW US Equity","EQY_SH_OUT","1993-06-18","2026-05-02","Per=M","Days=T","Dir=V")</f>
        <v>0</v>
      </c>
      <c r="AW2">
        <f>BDH("TLSIW US Equity","PX_VOLUME","1993-06-18","2026-05-02","Per=M","Days=T","Dir=V")</f>
        <v>0</v>
      </c>
      <c r="AY2">
        <f>BDH("TLSIW US Equity","TURNOVER","1993-06-18","2026-05-02","Per=M","Days=T","Dir=V")</f>
        <v>0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BDH("TLYS US Equity","BS_TOT_ASSET","1993-06-18","2026-05-02","Per=Y","Days=T","Dir=V")</f>
        <v>0</v>
      </c>
      <c r="C2">
        <f>BDH("TLYS US Equity","BS_TOT_LIAB2","1993-06-18","2026-05-02","Per=Y","Days=T","Dir=V")</f>
        <v>0</v>
      </c>
      <c r="E2">
        <f>BDH("TLYS US Equity","SHORT_AND_LONG_TERM_DEBT","1993-06-18","2026-05-02","Per=Y","Days=T","Dir=V")</f>
        <v>0</v>
      </c>
      <c r="G2">
        <f>BDH("TLYS US Equity","BS_ST_BORROW","1993-06-18","2026-05-02","Per=Y","Days=T","Dir=V")</f>
        <v>0</v>
      </c>
      <c r="I2">
        <f>BDH("TLYS US Equity","BS_LT_BORROW","1993-06-18","2026-05-02","Per=Y","Days=T","Dir=V")</f>
        <v>0</v>
      </c>
      <c r="K2">
        <f>BDH("TLYS US Equity","BS_CASH_NEAR_CASH_ITEM","1993-06-18","2026-05-02","Per=Y","Days=T","Dir=V")</f>
        <v>0</v>
      </c>
      <c r="M2">
        <f>BDH("TLYS US Equity","BS_CUR_ASSET_REPORT","1993-06-18","2026-05-02","Per=Y","Days=T","Dir=V")</f>
        <v>0</v>
      </c>
      <c r="O2">
        <f>BDH("TLYS US Equity","BS_CUR_LIAB","1993-06-18","2026-05-02","Per=Y","Days=T","Dir=V")</f>
        <v>0</v>
      </c>
      <c r="Q2">
        <f>BDH("TLYS US Equity","BS_SHAREHOLDER_EQY_ENDING_PERIOD","1993-06-18","2026-05-02","Per=Y","Days=T","Dir=V")</f>
        <v>0</v>
      </c>
      <c r="S2">
        <f>BDH("TLYS US Equity","BS_ACCT_NOTE_RCV","1993-06-18","2026-05-02","Per=Y","Days=T","Dir=V")</f>
        <v>0</v>
      </c>
      <c r="U2">
        <f>BDH("TLYS US Equity","BS_INVENTORIES","1993-06-18","2026-05-02","Per=Y","Days=T","Dir=V")</f>
        <v>0</v>
      </c>
      <c r="W2">
        <f>BDH("TLYS US Equity","WORKING_CAPITAL","1993-06-18","2026-05-02","Per=Y","Days=T","Dir=V")</f>
        <v>0</v>
      </c>
      <c r="Y2">
        <f>BDH("TLYS US Equity","SALES_REV_TURN","1993-06-18","2026-05-02","Per=Y","Days=T","Dir=V")</f>
        <v>0</v>
      </c>
      <c r="AA2">
        <f>BDH("TLYS US Equity","EBIT","1993-06-18","2026-05-02","Per=Y","Days=T","Dir=V")</f>
        <v>0</v>
      </c>
      <c r="AC2">
        <f>BDH("TLYS US Equity","EBITDA","1993-06-18","2026-05-02","Per=Y","Days=T","Dir=V")</f>
        <v>0</v>
      </c>
      <c r="AE2">
        <f>BDH("TLYS US Equity","NET_INCOME","1993-06-18","2026-05-02","Per=Y","Days=T","Dir=V")</f>
        <v>0</v>
      </c>
      <c r="AG2">
        <f>BDH("TLYS US Equity","IS_INT_EXPENSE","1993-06-18","2026-05-02","Per=Y","Days=T","Dir=V")</f>
        <v>0</v>
      </c>
      <c r="AI2">
        <f>BDH("TLYS US Equity","IS_DEPR_EXP","1993-06-18","2026-05-02","Per=Y","Days=T","Dir=V")</f>
        <v>0</v>
      </c>
      <c r="AK2">
        <f>BDH("TLYS US Equity","CF_CASH_FROM_OPER","1993-06-18","2026-05-02","Per=Y","Days=T","Dir=V")</f>
        <v>0</v>
      </c>
      <c r="AM2">
        <f>BDH("TLYS US Equity","CAPITAL_EXPEND","1993-06-18","2026-05-02","Per=Y","Days=T","Dir=V")</f>
        <v>0</v>
      </c>
      <c r="AO2">
        <f>BDH("TLYS US Equity","CF_FREE_CASH_FLOW","1993-06-18","2026-05-02","Per=Y","Days=T","Dir=V")</f>
        <v>0</v>
      </c>
      <c r="AQ2">
        <f>BDH("TLYS US Equity","PX_LAST","1993-06-18","2026-05-02","Per=M","Days=T","Dir=V")</f>
        <v>0</v>
      </c>
      <c r="AS2">
        <f>BDH("TLYS US Equity","CUR_MKT_CAP","1993-06-18","2026-05-02","Per=M","Days=T","Dir=V")</f>
        <v>0</v>
      </c>
      <c r="AU2">
        <f>BDH("TLYS US Equity","EQY_SH_OUT","1993-06-18","2026-05-02","Per=M","Days=T","Dir=V")</f>
        <v>0</v>
      </c>
      <c r="AW2">
        <f>BDH("TLYS US Equity","PX_VOLUME","1993-06-18","2026-05-02","Per=M","Days=T","Dir=V")</f>
        <v>0</v>
      </c>
      <c r="AY2">
        <f>BDH("TLYS US Equity","TURNOVER","1993-06-18","2026-05-02","Per=M","Days=T","Dir=V")</f>
        <v>0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BDH("TMCI US Equity","BS_TOT_ASSET","1993-06-18","2026-05-02","Per=Y","Days=T","Dir=V")</f>
        <v>0</v>
      </c>
      <c r="C2">
        <f>BDH("TMCI US Equity","BS_TOT_LIAB2","1993-06-18","2026-05-02","Per=Y","Days=T","Dir=V")</f>
        <v>0</v>
      </c>
      <c r="E2">
        <f>BDH("TMCI US Equity","SHORT_AND_LONG_TERM_DEBT","1993-06-18","2026-05-02","Per=Y","Days=T","Dir=V")</f>
        <v>0</v>
      </c>
      <c r="G2">
        <f>BDH("TMCI US Equity","BS_ST_BORROW","1993-06-18","2026-05-02","Per=Y","Days=T","Dir=V")</f>
        <v>0</v>
      </c>
      <c r="I2">
        <f>BDH("TMCI US Equity","BS_LT_BORROW","1993-06-18","2026-05-02","Per=Y","Days=T","Dir=V")</f>
        <v>0</v>
      </c>
      <c r="K2">
        <f>BDH("TMCI US Equity","BS_CASH_NEAR_CASH_ITEM","1993-06-18","2026-05-02","Per=Y","Days=T","Dir=V")</f>
        <v>0</v>
      </c>
      <c r="M2">
        <f>BDH("TMCI US Equity","BS_CUR_ASSET_REPORT","1993-06-18","2026-05-02","Per=Y","Days=T","Dir=V")</f>
        <v>0</v>
      </c>
      <c r="O2">
        <f>BDH("TMCI US Equity","BS_CUR_LIAB","1993-06-18","2026-05-02","Per=Y","Days=T","Dir=V")</f>
        <v>0</v>
      </c>
      <c r="Q2">
        <f>BDH("TMCI US Equity","BS_SHAREHOLDER_EQY_ENDING_PERIOD","1993-06-18","2026-05-02","Per=Y","Days=T","Dir=V")</f>
        <v>0</v>
      </c>
      <c r="S2">
        <f>BDH("TMCI US Equity","BS_ACCT_NOTE_RCV","1993-06-18","2026-05-02","Per=Y","Days=T","Dir=V")</f>
        <v>0</v>
      </c>
      <c r="U2">
        <f>BDH("TMCI US Equity","BS_INVENTORIES","1993-06-18","2026-05-02","Per=Y","Days=T","Dir=V")</f>
        <v>0</v>
      </c>
      <c r="W2">
        <f>BDH("TMCI US Equity","WORKING_CAPITAL","1993-06-18","2026-05-02","Per=Y","Days=T","Dir=V")</f>
        <v>0</v>
      </c>
      <c r="Y2">
        <f>BDH("TMCI US Equity","SALES_REV_TURN","1993-06-18","2026-05-02","Per=Y","Days=T","Dir=V")</f>
        <v>0</v>
      </c>
      <c r="AA2">
        <f>BDH("TMCI US Equity","EBIT","1993-06-18","2026-05-02","Per=Y","Days=T","Dir=V")</f>
        <v>0</v>
      </c>
      <c r="AC2">
        <f>BDH("TMCI US Equity","EBITDA","1993-06-18","2026-05-02","Per=Y","Days=T","Dir=V")</f>
        <v>0</v>
      </c>
      <c r="AE2">
        <f>BDH("TMCI US Equity","NET_INCOME","1993-06-18","2026-05-02","Per=Y","Days=T","Dir=V")</f>
        <v>0</v>
      </c>
      <c r="AG2">
        <f>BDH("TMCI US Equity","IS_INT_EXPENSE","1993-06-18","2026-05-02","Per=Y","Days=T","Dir=V")</f>
        <v>0</v>
      </c>
      <c r="AI2">
        <f>BDH("TMCI US Equity","IS_DEPR_EXP","1993-06-18","2026-05-02","Per=Y","Days=T","Dir=V")</f>
        <v>0</v>
      </c>
      <c r="AK2">
        <f>BDH("TMCI US Equity","CF_CASH_FROM_OPER","1993-06-18","2026-05-02","Per=Y","Days=T","Dir=V")</f>
        <v>0</v>
      </c>
      <c r="AM2">
        <f>BDH("TMCI US Equity","CAPITAL_EXPEND","1993-06-18","2026-05-02","Per=Y","Days=T","Dir=V")</f>
        <v>0</v>
      </c>
      <c r="AO2">
        <f>BDH("TMCI US Equity","CF_FREE_CASH_FLOW","1993-06-18","2026-05-02","Per=Y","Days=T","Dir=V")</f>
        <v>0</v>
      </c>
      <c r="AQ2">
        <f>BDH("TMCI US Equity","PX_LAST","1993-06-18","2026-05-02","Per=M","Days=T","Dir=V")</f>
        <v>0</v>
      </c>
      <c r="AS2">
        <f>BDH("TMCI US Equity","CUR_MKT_CAP","1993-06-18","2026-05-02","Per=M","Days=T","Dir=V")</f>
        <v>0</v>
      </c>
      <c r="AU2">
        <f>BDH("TMCI US Equity","EQY_SH_OUT","1993-06-18","2026-05-02","Per=M","Days=T","Dir=V")</f>
        <v>0</v>
      </c>
      <c r="AW2">
        <f>BDH("TMCI US Equity","PX_VOLUME","1993-06-18","2026-05-02","Per=M","Days=T","Dir=V")</f>
        <v>0</v>
      </c>
      <c r="AY2">
        <f>BDH("TMCI US Equity","TURNOVER","1993-06-18","2026-05-02","Per=M","Days=T","Dir=V")</f>
        <v>0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BDH("TMDX US Equity","BS_TOT_ASSET","1993-06-18","2026-05-02","Per=Y","Days=T","Dir=V")</f>
        <v>0</v>
      </c>
      <c r="C2">
        <f>BDH("TMDX US Equity","BS_TOT_LIAB2","1993-06-18","2026-05-02","Per=Y","Days=T","Dir=V")</f>
        <v>0</v>
      </c>
      <c r="E2">
        <f>BDH("TMDX US Equity","SHORT_AND_LONG_TERM_DEBT","1993-06-18","2026-05-02","Per=Y","Days=T","Dir=V")</f>
        <v>0</v>
      </c>
      <c r="G2">
        <f>BDH("TMDX US Equity","BS_ST_BORROW","1993-06-18","2026-05-02","Per=Y","Days=T","Dir=V")</f>
        <v>0</v>
      </c>
      <c r="I2">
        <f>BDH("TMDX US Equity","BS_LT_BORROW","1993-06-18","2026-05-02","Per=Y","Days=T","Dir=V")</f>
        <v>0</v>
      </c>
      <c r="K2">
        <f>BDH("TMDX US Equity","BS_CASH_NEAR_CASH_ITEM","1993-06-18","2026-05-02","Per=Y","Days=T","Dir=V")</f>
        <v>0</v>
      </c>
      <c r="M2">
        <f>BDH("TMDX US Equity","BS_CUR_ASSET_REPORT","1993-06-18","2026-05-02","Per=Y","Days=T","Dir=V")</f>
        <v>0</v>
      </c>
      <c r="O2">
        <f>BDH("TMDX US Equity","BS_CUR_LIAB","1993-06-18","2026-05-02","Per=Y","Days=T","Dir=V")</f>
        <v>0</v>
      </c>
      <c r="Q2">
        <f>BDH("TMDX US Equity","BS_SHAREHOLDER_EQY_ENDING_PERIOD","1993-06-18","2026-05-02","Per=Y","Days=T","Dir=V")</f>
        <v>0</v>
      </c>
      <c r="S2">
        <f>BDH("TMDX US Equity","BS_ACCT_NOTE_RCV","1993-06-18","2026-05-02","Per=Y","Days=T","Dir=V")</f>
        <v>0</v>
      </c>
      <c r="U2">
        <f>BDH("TMDX US Equity","BS_INVENTORIES","1993-06-18","2026-05-02","Per=Y","Days=T","Dir=V")</f>
        <v>0</v>
      </c>
      <c r="W2">
        <f>BDH("TMDX US Equity","WORKING_CAPITAL","1993-06-18","2026-05-02","Per=Y","Days=T","Dir=V")</f>
        <v>0</v>
      </c>
      <c r="Y2">
        <f>BDH("TMDX US Equity","SALES_REV_TURN","1993-06-18","2026-05-02","Per=Y","Days=T","Dir=V")</f>
        <v>0</v>
      </c>
      <c r="AA2">
        <f>BDH("TMDX US Equity","EBIT","1993-06-18","2026-05-02","Per=Y","Days=T","Dir=V")</f>
        <v>0</v>
      </c>
      <c r="AC2">
        <f>BDH("TMDX US Equity","EBITDA","1993-06-18","2026-05-02","Per=Y","Days=T","Dir=V")</f>
        <v>0</v>
      </c>
      <c r="AE2">
        <f>BDH("TMDX US Equity","NET_INCOME","1993-06-18","2026-05-02","Per=Y","Days=T","Dir=V")</f>
        <v>0</v>
      </c>
      <c r="AG2">
        <f>BDH("TMDX US Equity","IS_INT_EXPENSE","1993-06-18","2026-05-02","Per=Y","Days=T","Dir=V")</f>
        <v>0</v>
      </c>
      <c r="AI2">
        <f>BDH("TMDX US Equity","IS_DEPR_EXP","1993-06-18","2026-05-02","Per=Y","Days=T","Dir=V")</f>
        <v>0</v>
      </c>
      <c r="AK2">
        <f>BDH("TMDX US Equity","CF_CASH_FROM_OPER","1993-06-18","2026-05-02","Per=Y","Days=T","Dir=V")</f>
        <v>0</v>
      </c>
      <c r="AM2">
        <f>BDH("TMDX US Equity","CAPITAL_EXPEND","1993-06-18","2026-05-02","Per=Y","Days=T","Dir=V")</f>
        <v>0</v>
      </c>
      <c r="AO2">
        <f>BDH("TMDX US Equity","CF_FREE_CASH_FLOW","1993-06-18","2026-05-02","Per=Y","Days=T","Dir=V")</f>
        <v>0</v>
      </c>
      <c r="AQ2">
        <f>BDH("TMDX US Equity","PX_LAST","1993-06-18","2026-05-02","Per=M","Days=T","Dir=V")</f>
        <v>0</v>
      </c>
      <c r="AS2">
        <f>BDH("TMDX US Equity","CUR_MKT_CAP","1993-06-18","2026-05-02","Per=M","Days=T","Dir=V")</f>
        <v>0</v>
      </c>
      <c r="AU2">
        <f>BDH("TMDX US Equity","EQY_SH_OUT","1993-06-18","2026-05-02","Per=M","Days=T","Dir=V")</f>
        <v>0</v>
      </c>
      <c r="AW2">
        <f>BDH("TMDX US Equity","PX_VOLUME","1993-06-18","2026-05-02","Per=M","Days=T","Dir=V")</f>
        <v>0</v>
      </c>
      <c r="AY2">
        <f>BDH("TMDX US Equity","TURNOVER","1993-06-18","2026-05-02","Per=M","Days=T","Dir=V")</f>
        <v>0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BDH("TME US Equity","BS_TOT_ASSET","1993-06-18","2026-05-02","Per=Y","Days=T","Dir=V")</f>
        <v>0</v>
      </c>
      <c r="C2">
        <f>BDH("TME US Equity","BS_TOT_LIAB2","1993-06-18","2026-05-02","Per=Y","Days=T","Dir=V")</f>
        <v>0</v>
      </c>
      <c r="E2">
        <f>BDH("TME US Equity","SHORT_AND_LONG_TERM_DEBT","1993-06-18","2026-05-02","Per=Y","Days=T","Dir=V")</f>
        <v>0</v>
      </c>
      <c r="G2">
        <f>BDH("TME US Equity","BS_ST_BORROW","1993-06-18","2026-05-02","Per=Y","Days=T","Dir=V")</f>
        <v>0</v>
      </c>
      <c r="I2">
        <f>BDH("TME US Equity","BS_LT_BORROW","1993-06-18","2026-05-02","Per=Y","Days=T","Dir=V")</f>
        <v>0</v>
      </c>
      <c r="K2">
        <f>BDH("TME US Equity","BS_CASH_NEAR_CASH_ITEM","1993-06-18","2026-05-02","Per=Y","Days=T","Dir=V")</f>
        <v>0</v>
      </c>
      <c r="M2">
        <f>BDH("TME US Equity","BS_CUR_ASSET_REPORT","1993-06-18","2026-05-02","Per=Y","Days=T","Dir=V")</f>
        <v>0</v>
      </c>
      <c r="O2">
        <f>BDH("TME US Equity","BS_CUR_LIAB","1993-06-18","2026-05-02","Per=Y","Days=T","Dir=V")</f>
        <v>0</v>
      </c>
      <c r="Q2">
        <f>BDH("TME US Equity","BS_SHAREHOLDER_EQY_ENDING_PERIOD","1993-06-18","2026-05-02","Per=Y","Days=T","Dir=V")</f>
        <v>0</v>
      </c>
      <c r="S2">
        <f>BDH("TME US Equity","BS_ACCT_NOTE_RCV","1993-06-18","2026-05-02","Per=Y","Days=T","Dir=V")</f>
        <v>0</v>
      </c>
      <c r="U2">
        <f>BDH("TME US Equity","BS_INVENTORIES","1993-06-18","2026-05-02","Per=Y","Days=T","Dir=V")</f>
        <v>0</v>
      </c>
      <c r="W2">
        <f>BDH("TME US Equity","WORKING_CAPITAL","1993-06-18","2026-05-02","Per=Y","Days=T","Dir=V")</f>
        <v>0</v>
      </c>
      <c r="Y2">
        <f>BDH("TME US Equity","SALES_REV_TURN","1993-06-18","2026-05-02","Per=Y","Days=T","Dir=V")</f>
        <v>0</v>
      </c>
      <c r="AA2">
        <f>BDH("TME US Equity","EBIT","1993-06-18","2026-05-02","Per=Y","Days=T","Dir=V")</f>
        <v>0</v>
      </c>
      <c r="AC2">
        <f>BDH("TME US Equity","EBITDA","1993-06-18","2026-05-02","Per=Y","Days=T","Dir=V")</f>
        <v>0</v>
      </c>
      <c r="AE2">
        <f>BDH("TME US Equity","NET_INCOME","1993-06-18","2026-05-02","Per=Y","Days=T","Dir=V")</f>
        <v>0</v>
      </c>
      <c r="AG2">
        <f>BDH("TME US Equity","IS_INT_EXPENSE","1993-06-18","2026-05-02","Per=Y","Days=T","Dir=V")</f>
        <v>0</v>
      </c>
      <c r="AI2">
        <f>BDH("TME US Equity","IS_DEPR_EXP","1993-06-18","2026-05-02","Per=Y","Days=T","Dir=V")</f>
        <v>0</v>
      </c>
      <c r="AK2">
        <f>BDH("TME US Equity","CF_CASH_FROM_OPER","1993-06-18","2026-05-02","Per=Y","Days=T","Dir=V")</f>
        <v>0</v>
      </c>
      <c r="AM2">
        <f>BDH("TME US Equity","CAPITAL_EXPEND","1993-06-18","2026-05-02","Per=Y","Days=T","Dir=V")</f>
        <v>0</v>
      </c>
      <c r="AO2">
        <f>BDH("TME US Equity","CF_FREE_CASH_FLOW","1993-06-18","2026-05-02","Per=Y","Days=T","Dir=V")</f>
        <v>0</v>
      </c>
      <c r="AQ2">
        <f>BDH("TME US Equity","PX_LAST","1993-06-18","2026-05-02","Per=M","Days=T","Dir=V")</f>
        <v>0</v>
      </c>
      <c r="AS2">
        <f>BDH("TME US Equity","CUR_MKT_CAP","1993-06-18","2026-05-02","Per=M","Days=T","Dir=V")</f>
        <v>0</v>
      </c>
      <c r="AU2">
        <f>BDH("TME US Equity","EQY_SH_OUT","1993-06-18","2026-05-02","Per=M","Days=T","Dir=V")</f>
        <v>0</v>
      </c>
      <c r="AW2">
        <f>BDH("TME US Equity","PX_VOLUME","1993-06-18","2026-05-02","Per=M","Days=T","Dir=V")</f>
        <v>0</v>
      </c>
      <c r="AY2">
        <f>BDH("TME US Equity","TURNOVER","1993-06-18","2026-05-02","Per=M","Days=T","Dir=V")</f>
        <v>0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BDH("TMO US Equity","BS_TOT_ASSET","1993-06-18","2026-05-02","Per=Y","Days=T","Dir=V")</f>
        <v>0</v>
      </c>
      <c r="C2">
        <f>BDH("TMO US Equity","BS_TOT_LIAB2","1993-06-18","2026-05-02","Per=Y","Days=T","Dir=V")</f>
        <v>0</v>
      </c>
      <c r="E2">
        <f>BDH("TMO US Equity","SHORT_AND_LONG_TERM_DEBT","1993-06-18","2026-05-02","Per=Y","Days=T","Dir=V")</f>
        <v>0</v>
      </c>
      <c r="G2">
        <f>BDH("TMO US Equity","BS_ST_BORROW","1993-06-18","2026-05-02","Per=Y","Days=T","Dir=V")</f>
        <v>0</v>
      </c>
      <c r="I2">
        <f>BDH("TMO US Equity","BS_LT_BORROW","1993-06-18","2026-05-02","Per=Y","Days=T","Dir=V")</f>
        <v>0</v>
      </c>
      <c r="K2">
        <f>BDH("TMO US Equity","BS_CASH_NEAR_CASH_ITEM","1993-06-18","2026-05-02","Per=Y","Days=T","Dir=V")</f>
        <v>0</v>
      </c>
      <c r="M2">
        <f>BDH("TMO US Equity","BS_CUR_ASSET_REPORT","1993-06-18","2026-05-02","Per=Y","Days=T","Dir=V")</f>
        <v>0</v>
      </c>
      <c r="O2">
        <f>BDH("TMO US Equity","BS_CUR_LIAB","1993-06-18","2026-05-02","Per=Y","Days=T","Dir=V")</f>
        <v>0</v>
      </c>
      <c r="Q2">
        <f>BDH("TMO US Equity","BS_SHAREHOLDER_EQY_ENDING_PERIOD","1993-06-18","2026-05-02","Per=Y","Days=T","Dir=V")</f>
        <v>0</v>
      </c>
      <c r="S2">
        <f>BDH("TMO US Equity","BS_ACCT_NOTE_RCV","1993-06-18","2026-05-02","Per=Y","Days=T","Dir=V")</f>
        <v>0</v>
      </c>
      <c r="U2">
        <f>BDH("TMO US Equity","BS_INVENTORIES","1993-06-18","2026-05-02","Per=Y","Days=T","Dir=V")</f>
        <v>0</v>
      </c>
      <c r="W2">
        <f>BDH("TMO US Equity","WORKING_CAPITAL","1993-06-18","2026-05-02","Per=Y","Days=T","Dir=V")</f>
        <v>0</v>
      </c>
      <c r="Y2">
        <f>BDH("TMO US Equity","SALES_REV_TURN","1993-06-18","2026-05-02","Per=Y","Days=T","Dir=V")</f>
        <v>0</v>
      </c>
      <c r="AA2">
        <f>BDH("TMO US Equity","EBIT","1993-06-18","2026-05-02","Per=Y","Days=T","Dir=V")</f>
        <v>0</v>
      </c>
      <c r="AC2">
        <f>BDH("TMO US Equity","EBITDA","1993-06-18","2026-05-02","Per=Y","Days=T","Dir=V")</f>
        <v>0</v>
      </c>
      <c r="AE2">
        <f>BDH("TMO US Equity","NET_INCOME","1993-06-18","2026-05-02","Per=Y","Days=T","Dir=V")</f>
        <v>0</v>
      </c>
      <c r="AG2">
        <f>BDH("TMO US Equity","IS_INT_EXPENSE","1993-06-18","2026-05-02","Per=Y","Days=T","Dir=V")</f>
        <v>0</v>
      </c>
      <c r="AI2">
        <f>BDH("TMO US Equity","IS_DEPR_EXP","1993-06-18","2026-05-02","Per=Y","Days=T","Dir=V")</f>
        <v>0</v>
      </c>
      <c r="AK2">
        <f>BDH("TMO US Equity","CF_CASH_FROM_OPER","1993-06-18","2026-05-02","Per=Y","Days=T","Dir=V")</f>
        <v>0</v>
      </c>
      <c r="AM2">
        <f>BDH("TMO US Equity","CAPITAL_EXPEND","1993-06-18","2026-05-02","Per=Y","Days=T","Dir=V")</f>
        <v>0</v>
      </c>
      <c r="AO2">
        <f>BDH("TMO US Equity","CF_FREE_CASH_FLOW","1993-06-18","2026-05-02","Per=Y","Days=T","Dir=V")</f>
        <v>0</v>
      </c>
      <c r="AQ2">
        <f>BDH("TMO US Equity","PX_LAST","1993-06-18","2026-05-02","Per=M","Days=T","Dir=V")</f>
        <v>0</v>
      </c>
      <c r="AS2">
        <f>BDH("TMO US Equity","CUR_MKT_CAP","1993-06-18","2026-05-02","Per=M","Days=T","Dir=V")</f>
        <v>0</v>
      </c>
      <c r="AU2">
        <f>BDH("TMO US Equity","EQY_SH_OUT","1993-06-18","2026-05-02","Per=M","Days=T","Dir=V")</f>
        <v>0</v>
      </c>
      <c r="AW2">
        <f>BDH("TMO US Equity","PX_VOLUME","1993-06-18","2026-05-02","Per=M","Days=T","Dir=V")</f>
        <v>0</v>
      </c>
      <c r="AY2">
        <f>BDH("TMO US Equity","TURNOVER","1993-06-18","2026-05-02","Per=M","Days=T","Dir=V")</f>
        <v>0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BDH("TMUS US Equity","BS_TOT_ASSET","1993-06-18","2026-05-02","Per=Y","Days=T","Dir=V")</f>
        <v>0</v>
      </c>
      <c r="C2">
        <f>BDH("TMUS US Equity","BS_TOT_LIAB2","1993-06-18","2026-05-02","Per=Y","Days=T","Dir=V")</f>
        <v>0</v>
      </c>
      <c r="E2">
        <f>BDH("TMUS US Equity","SHORT_AND_LONG_TERM_DEBT","1993-06-18","2026-05-02","Per=Y","Days=T","Dir=V")</f>
        <v>0</v>
      </c>
      <c r="G2">
        <f>BDH("TMUS US Equity","BS_ST_BORROW","1993-06-18","2026-05-02","Per=Y","Days=T","Dir=V")</f>
        <v>0</v>
      </c>
      <c r="I2">
        <f>BDH("TMUS US Equity","BS_LT_BORROW","1993-06-18","2026-05-02","Per=Y","Days=T","Dir=V")</f>
        <v>0</v>
      </c>
      <c r="K2">
        <f>BDH("TMUS US Equity","BS_CASH_NEAR_CASH_ITEM","1993-06-18","2026-05-02","Per=Y","Days=T","Dir=V")</f>
        <v>0</v>
      </c>
      <c r="M2">
        <f>BDH("TMUS US Equity","BS_CUR_ASSET_REPORT","1993-06-18","2026-05-02","Per=Y","Days=T","Dir=V")</f>
        <v>0</v>
      </c>
      <c r="O2">
        <f>BDH("TMUS US Equity","BS_CUR_LIAB","1993-06-18","2026-05-02","Per=Y","Days=T","Dir=V")</f>
        <v>0</v>
      </c>
      <c r="Q2">
        <f>BDH("TMUS US Equity","BS_SHAREHOLDER_EQY_ENDING_PERIOD","1993-06-18","2026-05-02","Per=Y","Days=T","Dir=V")</f>
        <v>0</v>
      </c>
      <c r="S2">
        <f>BDH("TMUS US Equity","BS_ACCT_NOTE_RCV","1993-06-18","2026-05-02","Per=Y","Days=T","Dir=V")</f>
        <v>0</v>
      </c>
      <c r="U2">
        <f>BDH("TMUS US Equity","BS_INVENTORIES","1993-06-18","2026-05-02","Per=Y","Days=T","Dir=V")</f>
        <v>0</v>
      </c>
      <c r="W2">
        <f>BDH("TMUS US Equity","WORKING_CAPITAL","1993-06-18","2026-05-02","Per=Y","Days=T","Dir=V")</f>
        <v>0</v>
      </c>
      <c r="Y2">
        <f>BDH("TMUS US Equity","SALES_REV_TURN","1993-06-18","2026-05-02","Per=Y","Days=T","Dir=V")</f>
        <v>0</v>
      </c>
      <c r="AA2">
        <f>BDH("TMUS US Equity","EBIT","1993-06-18","2026-05-02","Per=Y","Days=T","Dir=V")</f>
        <v>0</v>
      </c>
      <c r="AC2">
        <f>BDH("TMUS US Equity","EBITDA","1993-06-18","2026-05-02","Per=Y","Days=T","Dir=V")</f>
        <v>0</v>
      </c>
      <c r="AE2">
        <f>BDH("TMUS US Equity","NET_INCOME","1993-06-18","2026-05-02","Per=Y","Days=T","Dir=V")</f>
        <v>0</v>
      </c>
      <c r="AG2">
        <f>BDH("TMUS US Equity","IS_INT_EXPENSE","1993-06-18","2026-05-02","Per=Y","Days=T","Dir=V")</f>
        <v>0</v>
      </c>
      <c r="AI2">
        <f>BDH("TMUS US Equity","IS_DEPR_EXP","1993-06-18","2026-05-02","Per=Y","Days=T","Dir=V")</f>
        <v>0</v>
      </c>
      <c r="AK2">
        <f>BDH("TMUS US Equity","CF_CASH_FROM_OPER","1993-06-18","2026-05-02","Per=Y","Days=T","Dir=V")</f>
        <v>0</v>
      </c>
      <c r="AM2">
        <f>BDH("TMUS US Equity","CAPITAL_EXPEND","1993-06-18","2026-05-02","Per=Y","Days=T","Dir=V")</f>
        <v>0</v>
      </c>
      <c r="AO2">
        <f>BDH("TMUS US Equity","CF_FREE_CASH_FLOW","1993-06-18","2026-05-02","Per=Y","Days=T","Dir=V")</f>
        <v>0</v>
      </c>
      <c r="AQ2">
        <f>BDH("TMUS US Equity","PX_LAST","1993-06-18","2026-05-02","Per=M","Days=T","Dir=V")</f>
        <v>0</v>
      </c>
      <c r="AS2">
        <f>BDH("TMUS US Equity","CUR_MKT_CAP","1993-06-18","2026-05-02","Per=M","Days=T","Dir=V")</f>
        <v>0</v>
      </c>
      <c r="AU2">
        <f>BDH("TMUS US Equity","EQY_SH_OUT","1993-06-18","2026-05-02","Per=M","Days=T","Dir=V")</f>
        <v>0</v>
      </c>
      <c r="AW2">
        <f>BDH("TMUS US Equity","PX_VOLUME","1993-06-18","2026-05-02","Per=M","Days=T","Dir=V")</f>
        <v>0</v>
      </c>
      <c r="AY2">
        <f>BDH("TMUS US Equity","TURNOVER","1993-06-18","2026-05-02","Per=M","Days=T","Dir=V")</f>
        <v>0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BDH("TMUSI US Equity","BS_TOT_ASSET","1993-06-18","2026-05-02","Per=Y","Days=T","Dir=V")</f>
        <v>0</v>
      </c>
      <c r="C2">
        <f>BDH("TMUSI US Equity","BS_TOT_LIAB2","1993-06-18","2026-05-02","Per=Y","Days=T","Dir=V")</f>
        <v>0</v>
      </c>
      <c r="E2">
        <f>BDH("TMUSI US Equity","SHORT_AND_LONG_TERM_DEBT","1993-06-18","2026-05-02","Per=Y","Days=T","Dir=V")</f>
        <v>0</v>
      </c>
      <c r="G2">
        <f>BDH("TMUSI US Equity","BS_ST_BORROW","1993-06-18","2026-05-02","Per=Y","Days=T","Dir=V")</f>
        <v>0</v>
      </c>
      <c r="I2">
        <f>BDH("TMUSI US Equity","BS_LT_BORROW","1993-06-18","2026-05-02","Per=Y","Days=T","Dir=V")</f>
        <v>0</v>
      </c>
      <c r="K2">
        <f>BDH("TMUSI US Equity","BS_CASH_NEAR_CASH_ITEM","1993-06-18","2026-05-02","Per=Y","Days=T","Dir=V")</f>
        <v>0</v>
      </c>
      <c r="M2">
        <f>BDH("TMUSI US Equity","BS_CUR_ASSET_REPORT","1993-06-18","2026-05-02","Per=Y","Days=T","Dir=V")</f>
        <v>0</v>
      </c>
      <c r="O2">
        <f>BDH("TMUSI US Equity","BS_CUR_LIAB","1993-06-18","2026-05-02","Per=Y","Days=T","Dir=V")</f>
        <v>0</v>
      </c>
      <c r="Q2">
        <f>BDH("TMUSI US Equity","BS_SHAREHOLDER_EQY_ENDING_PERIOD","1993-06-18","2026-05-02","Per=Y","Days=T","Dir=V")</f>
        <v>0</v>
      </c>
      <c r="S2">
        <f>BDH("TMUSI US Equity","BS_ACCT_NOTE_RCV","1993-06-18","2026-05-02","Per=Y","Days=T","Dir=V")</f>
        <v>0</v>
      </c>
      <c r="U2">
        <f>BDH("TMUSI US Equity","BS_INVENTORIES","1993-06-18","2026-05-02","Per=Y","Days=T","Dir=V")</f>
        <v>0</v>
      </c>
      <c r="W2">
        <f>BDH("TMUSI US Equity","WORKING_CAPITAL","1993-06-18","2026-05-02","Per=Y","Days=T","Dir=V")</f>
        <v>0</v>
      </c>
      <c r="Y2">
        <f>BDH("TMUSI US Equity","SALES_REV_TURN","1993-06-18","2026-05-02","Per=Y","Days=T","Dir=V")</f>
        <v>0</v>
      </c>
      <c r="AA2">
        <f>BDH("TMUSI US Equity","EBIT","1993-06-18","2026-05-02","Per=Y","Days=T","Dir=V")</f>
        <v>0</v>
      </c>
      <c r="AC2">
        <f>BDH("TMUSI US Equity","EBITDA","1993-06-18","2026-05-02","Per=Y","Days=T","Dir=V")</f>
        <v>0</v>
      </c>
      <c r="AE2">
        <f>BDH("TMUSI US Equity","NET_INCOME","1993-06-18","2026-05-02","Per=Y","Days=T","Dir=V")</f>
        <v>0</v>
      </c>
      <c r="AG2">
        <f>BDH("TMUSI US Equity","IS_INT_EXPENSE","1993-06-18","2026-05-02","Per=Y","Days=T","Dir=V")</f>
        <v>0</v>
      </c>
      <c r="AI2">
        <f>BDH("TMUSI US Equity","IS_DEPR_EXP","1993-06-18","2026-05-02","Per=Y","Days=T","Dir=V")</f>
        <v>0</v>
      </c>
      <c r="AK2">
        <f>BDH("TMUSI US Equity","CF_CASH_FROM_OPER","1993-06-18","2026-05-02","Per=Y","Days=T","Dir=V")</f>
        <v>0</v>
      </c>
      <c r="AM2">
        <f>BDH("TMUSI US Equity","CAPITAL_EXPEND","1993-06-18","2026-05-02","Per=Y","Days=T","Dir=V")</f>
        <v>0</v>
      </c>
      <c r="AO2">
        <f>BDH("TMUSI US Equity","CF_FREE_CASH_FLOW","1993-06-18","2026-05-02","Per=Y","Days=T","Dir=V")</f>
        <v>0</v>
      </c>
      <c r="AQ2">
        <f>BDH("TMUSI US Equity","PX_LAST","1993-06-18","2026-05-02","Per=M","Days=T","Dir=V")</f>
        <v>0</v>
      </c>
      <c r="AS2">
        <f>BDH("TMUSI US Equity","CUR_MKT_CAP","1993-06-18","2026-05-02","Per=M","Days=T","Dir=V")</f>
        <v>0</v>
      </c>
      <c r="AU2">
        <f>BDH("TMUSI US Equity","EQY_SH_OUT","1993-06-18","2026-05-02","Per=M","Days=T","Dir=V")</f>
        <v>0</v>
      </c>
      <c r="AW2">
        <f>BDH("TMUSI US Equity","PX_VOLUME","1993-06-18","2026-05-02","Per=M","Days=T","Dir=V")</f>
        <v>0</v>
      </c>
      <c r="AY2">
        <f>BDH("TMUSI US Equity","TURNOVER","1993-06-18","2026-05-02","Per=M","Days=T","Dir=V")</f>
        <v>0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BDH("TMUSL US Equity","BS_TOT_ASSET","1993-06-18","2026-05-02","Per=Y","Days=T","Dir=V")</f>
        <v>0</v>
      </c>
      <c r="C2">
        <f>BDH("TMUSL US Equity","BS_TOT_LIAB2","1993-06-18","2026-05-02","Per=Y","Days=T","Dir=V")</f>
        <v>0</v>
      </c>
      <c r="E2">
        <f>BDH("TMUSL US Equity","SHORT_AND_LONG_TERM_DEBT","1993-06-18","2026-05-02","Per=Y","Days=T","Dir=V")</f>
        <v>0</v>
      </c>
      <c r="G2">
        <f>BDH("TMUSL US Equity","BS_ST_BORROW","1993-06-18","2026-05-02","Per=Y","Days=T","Dir=V")</f>
        <v>0</v>
      </c>
      <c r="I2">
        <f>BDH("TMUSL US Equity","BS_LT_BORROW","1993-06-18","2026-05-02","Per=Y","Days=T","Dir=V")</f>
        <v>0</v>
      </c>
      <c r="K2">
        <f>BDH("TMUSL US Equity","BS_CASH_NEAR_CASH_ITEM","1993-06-18","2026-05-02","Per=Y","Days=T","Dir=V")</f>
        <v>0</v>
      </c>
      <c r="M2">
        <f>BDH("TMUSL US Equity","BS_CUR_ASSET_REPORT","1993-06-18","2026-05-02","Per=Y","Days=T","Dir=V")</f>
        <v>0</v>
      </c>
      <c r="O2">
        <f>BDH("TMUSL US Equity","BS_CUR_LIAB","1993-06-18","2026-05-02","Per=Y","Days=T","Dir=V")</f>
        <v>0</v>
      </c>
      <c r="Q2">
        <f>BDH("TMUSL US Equity","BS_SHAREHOLDER_EQY_ENDING_PERIOD","1993-06-18","2026-05-02","Per=Y","Days=T","Dir=V")</f>
        <v>0</v>
      </c>
      <c r="S2">
        <f>BDH("TMUSL US Equity","BS_ACCT_NOTE_RCV","1993-06-18","2026-05-02","Per=Y","Days=T","Dir=V")</f>
        <v>0</v>
      </c>
      <c r="U2">
        <f>BDH("TMUSL US Equity","BS_INVENTORIES","1993-06-18","2026-05-02","Per=Y","Days=T","Dir=V")</f>
        <v>0</v>
      </c>
      <c r="W2">
        <f>BDH("TMUSL US Equity","WORKING_CAPITAL","1993-06-18","2026-05-02","Per=Y","Days=T","Dir=V")</f>
        <v>0</v>
      </c>
      <c r="Y2">
        <f>BDH("TMUSL US Equity","SALES_REV_TURN","1993-06-18","2026-05-02","Per=Y","Days=T","Dir=V")</f>
        <v>0</v>
      </c>
      <c r="AA2">
        <f>BDH("TMUSL US Equity","EBIT","1993-06-18","2026-05-02","Per=Y","Days=T","Dir=V")</f>
        <v>0</v>
      </c>
      <c r="AC2">
        <f>BDH("TMUSL US Equity","EBITDA","1993-06-18","2026-05-02","Per=Y","Days=T","Dir=V")</f>
        <v>0</v>
      </c>
      <c r="AE2">
        <f>BDH("TMUSL US Equity","NET_INCOME","1993-06-18","2026-05-02","Per=Y","Days=T","Dir=V")</f>
        <v>0</v>
      </c>
      <c r="AG2">
        <f>BDH("TMUSL US Equity","IS_INT_EXPENSE","1993-06-18","2026-05-02","Per=Y","Days=T","Dir=V")</f>
        <v>0</v>
      </c>
      <c r="AI2">
        <f>BDH("TMUSL US Equity","IS_DEPR_EXP","1993-06-18","2026-05-02","Per=Y","Days=T","Dir=V")</f>
        <v>0</v>
      </c>
      <c r="AK2">
        <f>BDH("TMUSL US Equity","CF_CASH_FROM_OPER","1993-06-18","2026-05-02","Per=Y","Days=T","Dir=V")</f>
        <v>0</v>
      </c>
      <c r="AM2">
        <f>BDH("TMUSL US Equity","CAPITAL_EXPEND","1993-06-18","2026-05-02","Per=Y","Days=T","Dir=V")</f>
        <v>0</v>
      </c>
      <c r="AO2">
        <f>BDH("TMUSL US Equity","CF_FREE_CASH_FLOW","1993-06-18","2026-05-02","Per=Y","Days=T","Dir=V")</f>
        <v>0</v>
      </c>
      <c r="AQ2">
        <f>BDH("TMUSL US Equity","PX_LAST","1993-06-18","2026-05-02","Per=M","Days=T","Dir=V")</f>
        <v>0</v>
      </c>
      <c r="AS2">
        <f>BDH("TMUSL US Equity","CUR_MKT_CAP","1993-06-18","2026-05-02","Per=M","Days=T","Dir=V")</f>
        <v>0</v>
      </c>
      <c r="AU2">
        <f>BDH("TMUSL US Equity","EQY_SH_OUT","1993-06-18","2026-05-02","Per=M","Days=T","Dir=V")</f>
        <v>0</v>
      </c>
      <c r="AW2">
        <f>BDH("TMUSL US Equity","PX_VOLUME","1993-06-18","2026-05-02","Per=M","Days=T","Dir=V")</f>
        <v>0</v>
      </c>
      <c r="AY2">
        <f>BDH("TMUSL US Equity","TURNOVER","1993-06-18","2026-05-02","Per=M","Days=T","Dir=V")</f>
        <v>0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BDH("TMUSZ US Equity","BS_TOT_ASSET","1993-06-18","2026-05-02","Per=Y","Days=T","Dir=V")</f>
        <v>0</v>
      </c>
      <c r="C2">
        <f>BDH("TMUSZ US Equity","BS_TOT_LIAB2","1993-06-18","2026-05-02","Per=Y","Days=T","Dir=V")</f>
        <v>0</v>
      </c>
      <c r="E2">
        <f>BDH("TMUSZ US Equity","SHORT_AND_LONG_TERM_DEBT","1993-06-18","2026-05-02","Per=Y","Days=T","Dir=V")</f>
        <v>0</v>
      </c>
      <c r="G2">
        <f>BDH("TMUSZ US Equity","BS_ST_BORROW","1993-06-18","2026-05-02","Per=Y","Days=T","Dir=V")</f>
        <v>0</v>
      </c>
      <c r="I2">
        <f>BDH("TMUSZ US Equity","BS_LT_BORROW","1993-06-18","2026-05-02","Per=Y","Days=T","Dir=V")</f>
        <v>0</v>
      </c>
      <c r="K2">
        <f>BDH("TMUSZ US Equity","BS_CASH_NEAR_CASH_ITEM","1993-06-18","2026-05-02","Per=Y","Days=T","Dir=V")</f>
        <v>0</v>
      </c>
      <c r="M2">
        <f>BDH("TMUSZ US Equity","BS_CUR_ASSET_REPORT","1993-06-18","2026-05-02","Per=Y","Days=T","Dir=V")</f>
        <v>0</v>
      </c>
      <c r="O2">
        <f>BDH("TMUSZ US Equity","BS_CUR_LIAB","1993-06-18","2026-05-02","Per=Y","Days=T","Dir=V")</f>
        <v>0</v>
      </c>
      <c r="Q2">
        <f>BDH("TMUSZ US Equity","BS_SHAREHOLDER_EQY_ENDING_PERIOD","1993-06-18","2026-05-02","Per=Y","Days=T","Dir=V")</f>
        <v>0</v>
      </c>
      <c r="S2">
        <f>BDH("TMUSZ US Equity","BS_ACCT_NOTE_RCV","1993-06-18","2026-05-02","Per=Y","Days=T","Dir=V")</f>
        <v>0</v>
      </c>
      <c r="U2">
        <f>BDH("TMUSZ US Equity","BS_INVENTORIES","1993-06-18","2026-05-02","Per=Y","Days=T","Dir=V")</f>
        <v>0</v>
      </c>
      <c r="W2">
        <f>BDH("TMUSZ US Equity","WORKING_CAPITAL","1993-06-18","2026-05-02","Per=Y","Days=T","Dir=V")</f>
        <v>0</v>
      </c>
      <c r="Y2">
        <f>BDH("TMUSZ US Equity","SALES_REV_TURN","1993-06-18","2026-05-02","Per=Y","Days=T","Dir=V")</f>
        <v>0</v>
      </c>
      <c r="AA2">
        <f>BDH("TMUSZ US Equity","EBIT","1993-06-18","2026-05-02","Per=Y","Days=T","Dir=V")</f>
        <v>0</v>
      </c>
      <c r="AC2">
        <f>BDH("TMUSZ US Equity","EBITDA","1993-06-18","2026-05-02","Per=Y","Days=T","Dir=V")</f>
        <v>0</v>
      </c>
      <c r="AE2">
        <f>BDH("TMUSZ US Equity","NET_INCOME","1993-06-18","2026-05-02","Per=Y","Days=T","Dir=V")</f>
        <v>0</v>
      </c>
      <c r="AG2">
        <f>BDH("TMUSZ US Equity","IS_INT_EXPENSE","1993-06-18","2026-05-02","Per=Y","Days=T","Dir=V")</f>
        <v>0</v>
      </c>
      <c r="AI2">
        <f>BDH("TMUSZ US Equity","IS_DEPR_EXP","1993-06-18","2026-05-02","Per=Y","Days=T","Dir=V")</f>
        <v>0</v>
      </c>
      <c r="AK2">
        <f>BDH("TMUSZ US Equity","CF_CASH_FROM_OPER","1993-06-18","2026-05-02","Per=Y","Days=T","Dir=V")</f>
        <v>0</v>
      </c>
      <c r="AM2">
        <f>BDH("TMUSZ US Equity","CAPITAL_EXPEND","1993-06-18","2026-05-02","Per=Y","Days=T","Dir=V")</f>
        <v>0</v>
      </c>
      <c r="AO2">
        <f>BDH("TMUSZ US Equity","CF_FREE_CASH_FLOW","1993-06-18","2026-05-02","Per=Y","Days=T","Dir=V")</f>
        <v>0</v>
      </c>
      <c r="AQ2">
        <f>BDH("TMUSZ US Equity","PX_LAST","1993-06-18","2026-05-02","Per=M","Days=T","Dir=V")</f>
        <v>0</v>
      </c>
      <c r="AS2">
        <f>BDH("TMUSZ US Equity","CUR_MKT_CAP","1993-06-18","2026-05-02","Per=M","Days=T","Dir=V")</f>
        <v>0</v>
      </c>
      <c r="AU2">
        <f>BDH("TMUSZ US Equity","EQY_SH_OUT","1993-06-18","2026-05-02","Per=M","Days=T","Dir=V")</f>
        <v>0</v>
      </c>
      <c r="AW2">
        <f>BDH("TMUSZ US Equity","PX_VOLUME","1993-06-18","2026-05-02","Per=M","Days=T","Dir=V")</f>
        <v>0</v>
      </c>
      <c r="AY2">
        <f>BDH("TMUSZ US Equity","TURNOVER","1993-06-18","2026-05-02","Per=M","Days=T","Dir=V")</f>
        <v>0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BDH("TNC US Equity","BS_TOT_ASSET","1993-06-18","2026-05-02","Per=Y","Days=T","Dir=V")</f>
        <v>0</v>
      </c>
      <c r="C2">
        <f>BDH("TNC US Equity","BS_TOT_LIAB2","1993-06-18","2026-05-02","Per=Y","Days=T","Dir=V")</f>
        <v>0</v>
      </c>
      <c r="E2">
        <f>BDH("TNC US Equity","SHORT_AND_LONG_TERM_DEBT","1993-06-18","2026-05-02","Per=Y","Days=T","Dir=V")</f>
        <v>0</v>
      </c>
      <c r="G2">
        <f>BDH("TNC US Equity","BS_ST_BORROW","1993-06-18","2026-05-02","Per=Y","Days=T","Dir=V")</f>
        <v>0</v>
      </c>
      <c r="I2">
        <f>BDH("TNC US Equity","BS_LT_BORROW","1993-06-18","2026-05-02","Per=Y","Days=T","Dir=V")</f>
        <v>0</v>
      </c>
      <c r="K2">
        <f>BDH("TNC US Equity","BS_CASH_NEAR_CASH_ITEM","1993-06-18","2026-05-02","Per=Y","Days=T","Dir=V")</f>
        <v>0</v>
      </c>
      <c r="M2">
        <f>BDH("TNC US Equity","BS_CUR_ASSET_REPORT","1993-06-18","2026-05-02","Per=Y","Days=T","Dir=V")</f>
        <v>0</v>
      </c>
      <c r="O2">
        <f>BDH("TNC US Equity","BS_CUR_LIAB","1993-06-18","2026-05-02","Per=Y","Days=T","Dir=V")</f>
        <v>0</v>
      </c>
      <c r="Q2">
        <f>BDH("TNC US Equity","BS_SHAREHOLDER_EQY_ENDING_PERIOD","1993-06-18","2026-05-02","Per=Y","Days=T","Dir=V")</f>
        <v>0</v>
      </c>
      <c r="S2">
        <f>BDH("TNC US Equity","BS_ACCT_NOTE_RCV","1993-06-18","2026-05-02","Per=Y","Days=T","Dir=V")</f>
        <v>0</v>
      </c>
      <c r="U2">
        <f>BDH("TNC US Equity","BS_INVENTORIES","1993-06-18","2026-05-02","Per=Y","Days=T","Dir=V")</f>
        <v>0</v>
      </c>
      <c r="W2">
        <f>BDH("TNC US Equity","WORKING_CAPITAL","1993-06-18","2026-05-02","Per=Y","Days=T","Dir=V")</f>
        <v>0</v>
      </c>
      <c r="Y2">
        <f>BDH("TNC US Equity","SALES_REV_TURN","1993-06-18","2026-05-02","Per=Y","Days=T","Dir=V")</f>
        <v>0</v>
      </c>
      <c r="AA2">
        <f>BDH("TNC US Equity","EBIT","1993-06-18","2026-05-02","Per=Y","Days=T","Dir=V")</f>
        <v>0</v>
      </c>
      <c r="AC2">
        <f>BDH("TNC US Equity","EBITDA","1993-06-18","2026-05-02","Per=Y","Days=T","Dir=V")</f>
        <v>0</v>
      </c>
      <c r="AE2">
        <f>BDH("TNC US Equity","NET_INCOME","1993-06-18","2026-05-02","Per=Y","Days=T","Dir=V")</f>
        <v>0</v>
      </c>
      <c r="AG2">
        <f>BDH("TNC US Equity","IS_INT_EXPENSE","1993-06-18","2026-05-02","Per=Y","Days=T","Dir=V")</f>
        <v>0</v>
      </c>
      <c r="AI2">
        <f>BDH("TNC US Equity","IS_DEPR_EXP","1993-06-18","2026-05-02","Per=Y","Days=T","Dir=V")</f>
        <v>0</v>
      </c>
      <c r="AK2">
        <f>BDH("TNC US Equity","CF_CASH_FROM_OPER","1993-06-18","2026-05-02","Per=Y","Days=T","Dir=V")</f>
        <v>0</v>
      </c>
      <c r="AM2">
        <f>BDH("TNC US Equity","CAPITAL_EXPEND","1993-06-18","2026-05-02","Per=Y","Days=T","Dir=V")</f>
        <v>0</v>
      </c>
      <c r="AO2">
        <f>BDH("TNC US Equity","CF_FREE_CASH_FLOW","1993-06-18","2026-05-02","Per=Y","Days=T","Dir=V")</f>
        <v>0</v>
      </c>
      <c r="AQ2">
        <f>BDH("TNC US Equity","PX_LAST","1993-06-18","2026-05-02","Per=M","Days=T","Dir=V")</f>
        <v>0</v>
      </c>
      <c r="AS2">
        <f>BDH("TNC US Equity","CUR_MKT_CAP","1993-06-18","2026-05-02","Per=M","Days=T","Dir=V")</f>
        <v>0</v>
      </c>
      <c r="AU2">
        <f>BDH("TNC US Equity","EQY_SH_OUT","1993-06-18","2026-05-02","Per=M","Days=T","Dir=V")</f>
        <v>0</v>
      </c>
      <c r="AW2">
        <f>BDH("TNC US Equity","PX_VOLUME","1993-06-18","2026-05-02","Per=M","Days=T","Dir=V")</f>
        <v>0</v>
      </c>
      <c r="AY2">
        <f>BDH("TNC US Equity","TURNOVER","1993-06-18","2026-05-02","Per=M","Days=T","Dir=V")</f>
        <v>0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BDH("TNDM US Equity","BS_TOT_ASSET","1993-06-18","2026-05-02","Per=Y","Days=T","Dir=V")</f>
        <v>0</v>
      </c>
      <c r="C2">
        <f>BDH("TNDM US Equity","BS_TOT_LIAB2","1993-06-18","2026-05-02","Per=Y","Days=T","Dir=V")</f>
        <v>0</v>
      </c>
      <c r="E2">
        <f>BDH("TNDM US Equity","SHORT_AND_LONG_TERM_DEBT","1993-06-18","2026-05-02","Per=Y","Days=T","Dir=V")</f>
        <v>0</v>
      </c>
      <c r="G2">
        <f>BDH("TNDM US Equity","BS_ST_BORROW","1993-06-18","2026-05-02","Per=Y","Days=T","Dir=V")</f>
        <v>0</v>
      </c>
      <c r="I2">
        <f>BDH("TNDM US Equity","BS_LT_BORROW","1993-06-18","2026-05-02","Per=Y","Days=T","Dir=V")</f>
        <v>0</v>
      </c>
      <c r="K2">
        <f>BDH("TNDM US Equity","BS_CASH_NEAR_CASH_ITEM","1993-06-18","2026-05-02","Per=Y","Days=T","Dir=V")</f>
        <v>0</v>
      </c>
      <c r="M2">
        <f>BDH("TNDM US Equity","BS_CUR_ASSET_REPORT","1993-06-18","2026-05-02","Per=Y","Days=T","Dir=V")</f>
        <v>0</v>
      </c>
      <c r="O2">
        <f>BDH("TNDM US Equity","BS_CUR_LIAB","1993-06-18","2026-05-02","Per=Y","Days=T","Dir=V")</f>
        <v>0</v>
      </c>
      <c r="Q2">
        <f>BDH("TNDM US Equity","BS_SHAREHOLDER_EQY_ENDING_PERIOD","1993-06-18","2026-05-02","Per=Y","Days=T","Dir=V")</f>
        <v>0</v>
      </c>
      <c r="S2">
        <f>BDH("TNDM US Equity","BS_ACCT_NOTE_RCV","1993-06-18","2026-05-02","Per=Y","Days=T","Dir=V")</f>
        <v>0</v>
      </c>
      <c r="U2">
        <f>BDH("TNDM US Equity","BS_INVENTORIES","1993-06-18","2026-05-02","Per=Y","Days=T","Dir=V")</f>
        <v>0</v>
      </c>
      <c r="W2">
        <f>BDH("TNDM US Equity","WORKING_CAPITAL","1993-06-18","2026-05-02","Per=Y","Days=T","Dir=V")</f>
        <v>0</v>
      </c>
      <c r="Y2">
        <f>BDH("TNDM US Equity","SALES_REV_TURN","1993-06-18","2026-05-02","Per=Y","Days=T","Dir=V")</f>
        <v>0</v>
      </c>
      <c r="AA2">
        <f>BDH("TNDM US Equity","EBIT","1993-06-18","2026-05-02","Per=Y","Days=T","Dir=V")</f>
        <v>0</v>
      </c>
      <c r="AC2">
        <f>BDH("TNDM US Equity","EBITDA","1993-06-18","2026-05-02","Per=Y","Days=T","Dir=V")</f>
        <v>0</v>
      </c>
      <c r="AE2">
        <f>BDH("TNDM US Equity","NET_INCOME","1993-06-18","2026-05-02","Per=Y","Days=T","Dir=V")</f>
        <v>0</v>
      </c>
      <c r="AG2">
        <f>BDH("TNDM US Equity","IS_INT_EXPENSE","1993-06-18","2026-05-02","Per=Y","Days=T","Dir=V")</f>
        <v>0</v>
      </c>
      <c r="AI2">
        <f>BDH("TNDM US Equity","IS_DEPR_EXP","1993-06-18","2026-05-02","Per=Y","Days=T","Dir=V")</f>
        <v>0</v>
      </c>
      <c r="AK2">
        <f>BDH("TNDM US Equity","CF_CASH_FROM_OPER","1993-06-18","2026-05-02","Per=Y","Days=T","Dir=V")</f>
        <v>0</v>
      </c>
      <c r="AM2">
        <f>BDH("TNDM US Equity","CAPITAL_EXPEND","1993-06-18","2026-05-02","Per=Y","Days=T","Dir=V")</f>
        <v>0</v>
      </c>
      <c r="AO2">
        <f>BDH("TNDM US Equity","CF_FREE_CASH_FLOW","1993-06-18","2026-05-02","Per=Y","Days=T","Dir=V")</f>
        <v>0</v>
      </c>
      <c r="AQ2">
        <f>BDH("TNDM US Equity","PX_LAST","1993-06-18","2026-05-02","Per=M","Days=T","Dir=V")</f>
        <v>0</v>
      </c>
      <c r="AS2">
        <f>BDH("TNDM US Equity","CUR_MKT_CAP","1993-06-18","2026-05-02","Per=M","Days=T","Dir=V")</f>
        <v>0</v>
      </c>
      <c r="AU2">
        <f>BDH("TNDM US Equity","EQY_SH_OUT","1993-06-18","2026-05-02","Per=M","Days=T","Dir=V")</f>
        <v>0</v>
      </c>
      <c r="AW2">
        <f>BDH("TNDM US Equity","PX_VOLUME","1993-06-18","2026-05-02","Per=M","Days=T","Dir=V")</f>
        <v>0</v>
      </c>
      <c r="AY2">
        <f>BDH("TNDM US Equity","TURNOVER","1993-06-18","2026-05-02","Per=M","Days=T","Dir=V")</f>
        <v>0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BDH("TNET US Equity","BS_TOT_ASSET","1993-06-18","2026-05-02","Per=Y","Days=T","Dir=V")</f>
        <v>0</v>
      </c>
      <c r="C2">
        <f>BDH("TNET US Equity","BS_TOT_LIAB2","1993-06-18","2026-05-02","Per=Y","Days=T","Dir=V")</f>
        <v>0</v>
      </c>
      <c r="E2">
        <f>BDH("TNET US Equity","SHORT_AND_LONG_TERM_DEBT","1993-06-18","2026-05-02","Per=Y","Days=T","Dir=V")</f>
        <v>0</v>
      </c>
      <c r="G2">
        <f>BDH("TNET US Equity","BS_ST_BORROW","1993-06-18","2026-05-02","Per=Y","Days=T","Dir=V")</f>
        <v>0</v>
      </c>
      <c r="I2">
        <f>BDH("TNET US Equity","BS_LT_BORROW","1993-06-18","2026-05-02","Per=Y","Days=T","Dir=V")</f>
        <v>0</v>
      </c>
      <c r="K2">
        <f>BDH("TNET US Equity","BS_CASH_NEAR_CASH_ITEM","1993-06-18","2026-05-02","Per=Y","Days=T","Dir=V")</f>
        <v>0</v>
      </c>
      <c r="M2">
        <f>BDH("TNET US Equity","BS_CUR_ASSET_REPORT","1993-06-18","2026-05-02","Per=Y","Days=T","Dir=V")</f>
        <v>0</v>
      </c>
      <c r="O2">
        <f>BDH("TNET US Equity","BS_CUR_LIAB","1993-06-18","2026-05-02","Per=Y","Days=T","Dir=V")</f>
        <v>0</v>
      </c>
      <c r="Q2">
        <f>BDH("TNET US Equity","BS_SHAREHOLDER_EQY_ENDING_PERIOD","1993-06-18","2026-05-02","Per=Y","Days=T","Dir=V")</f>
        <v>0</v>
      </c>
      <c r="S2">
        <f>BDH("TNET US Equity","BS_ACCT_NOTE_RCV","1993-06-18","2026-05-02","Per=Y","Days=T","Dir=V")</f>
        <v>0</v>
      </c>
      <c r="U2">
        <f>BDH("TNET US Equity","BS_INVENTORIES","1993-06-18","2026-05-02","Per=Y","Days=T","Dir=V")</f>
        <v>0</v>
      </c>
      <c r="W2">
        <f>BDH("TNET US Equity","WORKING_CAPITAL","1993-06-18","2026-05-02","Per=Y","Days=T","Dir=V")</f>
        <v>0</v>
      </c>
      <c r="Y2">
        <f>BDH("TNET US Equity","SALES_REV_TURN","1993-06-18","2026-05-02","Per=Y","Days=T","Dir=V")</f>
        <v>0</v>
      </c>
      <c r="AA2">
        <f>BDH("TNET US Equity","EBIT","1993-06-18","2026-05-02","Per=Y","Days=T","Dir=V")</f>
        <v>0</v>
      </c>
      <c r="AC2">
        <f>BDH("TNET US Equity","EBITDA","1993-06-18","2026-05-02","Per=Y","Days=T","Dir=V")</f>
        <v>0</v>
      </c>
      <c r="AE2">
        <f>BDH("TNET US Equity","NET_INCOME","1993-06-18","2026-05-02","Per=Y","Days=T","Dir=V")</f>
        <v>0</v>
      </c>
      <c r="AG2">
        <f>BDH("TNET US Equity","IS_INT_EXPENSE","1993-06-18","2026-05-02","Per=Y","Days=T","Dir=V")</f>
        <v>0</v>
      </c>
      <c r="AI2">
        <f>BDH("TNET US Equity","IS_DEPR_EXP","1993-06-18","2026-05-02","Per=Y","Days=T","Dir=V")</f>
        <v>0</v>
      </c>
      <c r="AK2">
        <f>BDH("TNET US Equity","CF_CASH_FROM_OPER","1993-06-18","2026-05-02","Per=Y","Days=T","Dir=V")</f>
        <v>0</v>
      </c>
      <c r="AM2">
        <f>BDH("TNET US Equity","CAPITAL_EXPEND","1993-06-18","2026-05-02","Per=Y","Days=T","Dir=V")</f>
        <v>0</v>
      </c>
      <c r="AO2">
        <f>BDH("TNET US Equity","CF_FREE_CASH_FLOW","1993-06-18","2026-05-02","Per=Y","Days=T","Dir=V")</f>
        <v>0</v>
      </c>
      <c r="AQ2">
        <f>BDH("TNET US Equity","PX_LAST","1993-06-18","2026-05-02","Per=M","Days=T","Dir=V")</f>
        <v>0</v>
      </c>
      <c r="AS2">
        <f>BDH("TNET US Equity","CUR_MKT_CAP","1993-06-18","2026-05-02","Per=M","Days=T","Dir=V")</f>
        <v>0</v>
      </c>
      <c r="AU2">
        <f>BDH("TNET US Equity","EQY_SH_OUT","1993-06-18","2026-05-02","Per=M","Days=T","Dir=V")</f>
        <v>0</v>
      </c>
      <c r="AW2">
        <f>BDH("TNET US Equity","PX_VOLUME","1993-06-18","2026-05-02","Per=M","Days=T","Dir=V")</f>
        <v>0</v>
      </c>
      <c r="AY2">
        <f>BDH("TNET US Equity","TURNOVER","1993-06-18","2026-05-02","Per=M","Days=T","Dir=V")</f>
        <v>0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BDH("TNGX US Equity","BS_TOT_ASSET","1993-06-18","2026-05-02","Per=Y","Days=T","Dir=V")</f>
        <v>0</v>
      </c>
      <c r="C2">
        <f>BDH("TNGX US Equity","BS_TOT_LIAB2","1993-06-18","2026-05-02","Per=Y","Days=T","Dir=V")</f>
        <v>0</v>
      </c>
      <c r="E2">
        <f>BDH("TNGX US Equity","SHORT_AND_LONG_TERM_DEBT","1993-06-18","2026-05-02","Per=Y","Days=T","Dir=V")</f>
        <v>0</v>
      </c>
      <c r="G2">
        <f>BDH("TNGX US Equity","BS_ST_BORROW","1993-06-18","2026-05-02","Per=Y","Days=T","Dir=V")</f>
        <v>0</v>
      </c>
      <c r="I2">
        <f>BDH("TNGX US Equity","BS_LT_BORROW","1993-06-18","2026-05-02","Per=Y","Days=T","Dir=V")</f>
        <v>0</v>
      </c>
      <c r="K2">
        <f>BDH("TNGX US Equity","BS_CASH_NEAR_CASH_ITEM","1993-06-18","2026-05-02","Per=Y","Days=T","Dir=V")</f>
        <v>0</v>
      </c>
      <c r="M2">
        <f>BDH("TNGX US Equity","BS_CUR_ASSET_REPORT","1993-06-18","2026-05-02","Per=Y","Days=T","Dir=V")</f>
        <v>0</v>
      </c>
      <c r="O2">
        <f>BDH("TNGX US Equity","BS_CUR_LIAB","1993-06-18","2026-05-02","Per=Y","Days=T","Dir=V")</f>
        <v>0</v>
      </c>
      <c r="Q2">
        <f>BDH("TNGX US Equity","BS_SHAREHOLDER_EQY_ENDING_PERIOD","1993-06-18","2026-05-02","Per=Y","Days=T","Dir=V")</f>
        <v>0</v>
      </c>
      <c r="S2">
        <f>BDH("TNGX US Equity","BS_ACCT_NOTE_RCV","1993-06-18","2026-05-02","Per=Y","Days=T","Dir=V")</f>
        <v>0</v>
      </c>
      <c r="U2">
        <f>BDH("TNGX US Equity","BS_INVENTORIES","1993-06-18","2026-05-02","Per=Y","Days=T","Dir=V")</f>
        <v>0</v>
      </c>
      <c r="W2">
        <f>BDH("TNGX US Equity","WORKING_CAPITAL","1993-06-18","2026-05-02","Per=Y","Days=T","Dir=V")</f>
        <v>0</v>
      </c>
      <c r="Y2">
        <f>BDH("TNGX US Equity","SALES_REV_TURN","1993-06-18","2026-05-02","Per=Y","Days=T","Dir=V")</f>
        <v>0</v>
      </c>
      <c r="AA2">
        <f>BDH("TNGX US Equity","EBIT","1993-06-18","2026-05-02","Per=Y","Days=T","Dir=V")</f>
        <v>0</v>
      </c>
      <c r="AC2">
        <f>BDH("TNGX US Equity","EBITDA","1993-06-18","2026-05-02","Per=Y","Days=T","Dir=V")</f>
        <v>0</v>
      </c>
      <c r="AE2">
        <f>BDH("TNGX US Equity","NET_INCOME","1993-06-18","2026-05-02","Per=Y","Days=T","Dir=V")</f>
        <v>0</v>
      </c>
      <c r="AG2">
        <f>BDH("TNGX US Equity","IS_INT_EXPENSE","1993-06-18","2026-05-02","Per=Y","Days=T","Dir=V")</f>
        <v>0</v>
      </c>
      <c r="AI2">
        <f>BDH("TNGX US Equity","IS_DEPR_EXP","1993-06-18","2026-05-02","Per=Y","Days=T","Dir=V")</f>
        <v>0</v>
      </c>
      <c r="AK2">
        <f>BDH("TNGX US Equity","CF_CASH_FROM_OPER","1993-06-18","2026-05-02","Per=Y","Days=T","Dir=V")</f>
        <v>0</v>
      </c>
      <c r="AM2">
        <f>BDH("TNGX US Equity","CAPITAL_EXPEND","1993-06-18","2026-05-02","Per=Y","Days=T","Dir=V")</f>
        <v>0</v>
      </c>
      <c r="AO2">
        <f>BDH("TNGX US Equity","CF_FREE_CASH_FLOW","1993-06-18","2026-05-02","Per=Y","Days=T","Dir=V")</f>
        <v>0</v>
      </c>
      <c r="AQ2">
        <f>BDH("TNGX US Equity","PX_LAST","1993-06-18","2026-05-02","Per=M","Days=T","Dir=V")</f>
        <v>0</v>
      </c>
      <c r="AS2">
        <f>BDH("TNGX US Equity","CUR_MKT_CAP","1993-06-18","2026-05-02","Per=M","Days=T","Dir=V")</f>
        <v>0</v>
      </c>
      <c r="AU2">
        <f>BDH("TNGX US Equity","EQY_SH_OUT","1993-06-18","2026-05-02","Per=M","Days=T","Dir=V")</f>
        <v>0</v>
      </c>
      <c r="AW2">
        <f>BDH("TNGX US Equity","PX_VOLUME","1993-06-18","2026-05-02","Per=M","Days=T","Dir=V")</f>
        <v>0</v>
      </c>
      <c r="AY2">
        <f>BDH("TNGX US Equity","TURNOVER","1993-06-18","2026-05-02","Per=M","Days=T","Dir=V")</f>
        <v>0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BDH("TNL US Equity","BS_TOT_ASSET","1993-06-18","2026-05-02","Per=Y","Days=T","Dir=V")</f>
        <v>0</v>
      </c>
      <c r="C2">
        <f>BDH("TNL US Equity","BS_TOT_LIAB2","1993-06-18","2026-05-02","Per=Y","Days=T","Dir=V")</f>
        <v>0</v>
      </c>
      <c r="E2">
        <f>BDH("TNL US Equity","SHORT_AND_LONG_TERM_DEBT","1993-06-18","2026-05-02","Per=Y","Days=T","Dir=V")</f>
        <v>0</v>
      </c>
      <c r="G2">
        <f>BDH("TNL US Equity","BS_ST_BORROW","1993-06-18","2026-05-02","Per=Y","Days=T","Dir=V")</f>
        <v>0</v>
      </c>
      <c r="I2">
        <f>BDH("TNL US Equity","BS_LT_BORROW","1993-06-18","2026-05-02","Per=Y","Days=T","Dir=V")</f>
        <v>0</v>
      </c>
      <c r="K2">
        <f>BDH("TNL US Equity","BS_CASH_NEAR_CASH_ITEM","1993-06-18","2026-05-02","Per=Y","Days=T","Dir=V")</f>
        <v>0</v>
      </c>
      <c r="M2">
        <f>BDH("TNL US Equity","BS_CUR_ASSET_REPORT","1993-06-18","2026-05-02","Per=Y","Days=T","Dir=V")</f>
        <v>0</v>
      </c>
      <c r="O2">
        <f>BDH("TNL US Equity","BS_CUR_LIAB","1993-06-18","2026-05-02","Per=Y","Days=T","Dir=V")</f>
        <v>0</v>
      </c>
      <c r="Q2">
        <f>BDH("TNL US Equity","BS_SHAREHOLDER_EQY_ENDING_PERIOD","1993-06-18","2026-05-02","Per=Y","Days=T","Dir=V")</f>
        <v>0</v>
      </c>
      <c r="S2">
        <f>BDH("TNL US Equity","BS_ACCT_NOTE_RCV","1993-06-18","2026-05-02","Per=Y","Days=T","Dir=V")</f>
        <v>0</v>
      </c>
      <c r="U2">
        <f>BDH("TNL US Equity","BS_INVENTORIES","1993-06-18","2026-05-02","Per=Y","Days=T","Dir=V")</f>
        <v>0</v>
      </c>
      <c r="W2">
        <f>BDH("TNL US Equity","WORKING_CAPITAL","1993-06-18","2026-05-02","Per=Y","Days=T","Dir=V")</f>
        <v>0</v>
      </c>
      <c r="Y2">
        <f>BDH("TNL US Equity","SALES_REV_TURN","1993-06-18","2026-05-02","Per=Y","Days=T","Dir=V")</f>
        <v>0</v>
      </c>
      <c r="AA2">
        <f>BDH("TNL US Equity","EBIT","1993-06-18","2026-05-02","Per=Y","Days=T","Dir=V")</f>
        <v>0</v>
      </c>
      <c r="AC2">
        <f>BDH("TNL US Equity","EBITDA","1993-06-18","2026-05-02","Per=Y","Days=T","Dir=V")</f>
        <v>0</v>
      </c>
      <c r="AE2">
        <f>BDH("TNL US Equity","NET_INCOME","1993-06-18","2026-05-02","Per=Y","Days=T","Dir=V")</f>
        <v>0</v>
      </c>
      <c r="AG2">
        <f>BDH("TNL US Equity","IS_INT_EXPENSE","1993-06-18","2026-05-02","Per=Y","Days=T","Dir=V")</f>
        <v>0</v>
      </c>
      <c r="AI2">
        <f>BDH("TNL US Equity","IS_DEPR_EXP","1993-06-18","2026-05-02","Per=Y","Days=T","Dir=V")</f>
        <v>0</v>
      </c>
      <c r="AK2">
        <f>BDH("TNL US Equity","CF_CASH_FROM_OPER","1993-06-18","2026-05-02","Per=Y","Days=T","Dir=V")</f>
        <v>0</v>
      </c>
      <c r="AM2">
        <f>BDH("TNL US Equity","CAPITAL_EXPEND","1993-06-18","2026-05-02","Per=Y","Days=T","Dir=V")</f>
        <v>0</v>
      </c>
      <c r="AO2">
        <f>BDH("TNL US Equity","CF_FREE_CASH_FLOW","1993-06-18","2026-05-02","Per=Y","Days=T","Dir=V")</f>
        <v>0</v>
      </c>
      <c r="AQ2">
        <f>BDH("TNL US Equity","PX_LAST","1993-06-18","2026-05-02","Per=M","Days=T","Dir=V")</f>
        <v>0</v>
      </c>
      <c r="AS2">
        <f>BDH("TNL US Equity","CUR_MKT_CAP","1993-06-18","2026-05-02","Per=M","Days=T","Dir=V")</f>
        <v>0</v>
      </c>
      <c r="AU2">
        <f>BDH("TNL US Equity","EQY_SH_OUT","1993-06-18","2026-05-02","Per=M","Days=T","Dir=V")</f>
        <v>0</v>
      </c>
      <c r="AW2">
        <f>BDH("TNL US Equity","PX_VOLUME","1993-06-18","2026-05-02","Per=M","Days=T","Dir=V")</f>
        <v>0</v>
      </c>
      <c r="AY2">
        <f>BDH("TNL US Equity","TURNOVER","1993-06-18","2026-05-02","Per=M","Days=T","Dir=V")</f>
        <v>0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BDH("TNON US Equity","BS_TOT_ASSET","1993-06-18","2026-05-02","Per=Y","Days=T","Dir=V")</f>
        <v>0</v>
      </c>
      <c r="C2">
        <f>BDH("TNON US Equity","BS_TOT_LIAB2","1993-06-18","2026-05-02","Per=Y","Days=T","Dir=V")</f>
        <v>0</v>
      </c>
      <c r="E2">
        <f>BDH("TNON US Equity","SHORT_AND_LONG_TERM_DEBT","1993-06-18","2026-05-02","Per=Y","Days=T","Dir=V")</f>
        <v>0</v>
      </c>
      <c r="G2">
        <f>BDH("TNON US Equity","BS_ST_BORROW","1993-06-18","2026-05-02","Per=Y","Days=T","Dir=V")</f>
        <v>0</v>
      </c>
      <c r="I2">
        <f>BDH("TNON US Equity","BS_LT_BORROW","1993-06-18","2026-05-02","Per=Y","Days=T","Dir=V")</f>
        <v>0</v>
      </c>
      <c r="K2">
        <f>BDH("TNON US Equity","BS_CASH_NEAR_CASH_ITEM","1993-06-18","2026-05-02","Per=Y","Days=T","Dir=V")</f>
        <v>0</v>
      </c>
      <c r="M2">
        <f>BDH("TNON US Equity","BS_CUR_ASSET_REPORT","1993-06-18","2026-05-02","Per=Y","Days=T","Dir=V")</f>
        <v>0</v>
      </c>
      <c r="O2">
        <f>BDH("TNON US Equity","BS_CUR_LIAB","1993-06-18","2026-05-02","Per=Y","Days=T","Dir=V")</f>
        <v>0</v>
      </c>
      <c r="Q2">
        <f>BDH("TNON US Equity","BS_SHAREHOLDER_EQY_ENDING_PERIOD","1993-06-18","2026-05-02","Per=Y","Days=T","Dir=V")</f>
        <v>0</v>
      </c>
      <c r="S2">
        <f>BDH("TNON US Equity","BS_ACCT_NOTE_RCV","1993-06-18","2026-05-02","Per=Y","Days=T","Dir=V")</f>
        <v>0</v>
      </c>
      <c r="U2">
        <f>BDH("TNON US Equity","BS_INVENTORIES","1993-06-18","2026-05-02","Per=Y","Days=T","Dir=V")</f>
        <v>0</v>
      </c>
      <c r="W2">
        <f>BDH("TNON US Equity","WORKING_CAPITAL","1993-06-18","2026-05-02","Per=Y","Days=T","Dir=V")</f>
        <v>0</v>
      </c>
      <c r="Y2">
        <f>BDH("TNON US Equity","SALES_REV_TURN","1993-06-18","2026-05-02","Per=Y","Days=T","Dir=V")</f>
        <v>0</v>
      </c>
      <c r="AA2">
        <f>BDH("TNON US Equity","EBIT","1993-06-18","2026-05-02","Per=Y","Days=T","Dir=V")</f>
        <v>0</v>
      </c>
      <c r="AC2">
        <f>BDH("TNON US Equity","EBITDA","1993-06-18","2026-05-02","Per=Y","Days=T","Dir=V")</f>
        <v>0</v>
      </c>
      <c r="AE2">
        <f>BDH("TNON US Equity","NET_INCOME","1993-06-18","2026-05-02","Per=Y","Days=T","Dir=V")</f>
        <v>0</v>
      </c>
      <c r="AG2">
        <f>BDH("TNON US Equity","IS_INT_EXPENSE","1993-06-18","2026-05-02","Per=Y","Days=T","Dir=V")</f>
        <v>0</v>
      </c>
      <c r="AI2">
        <f>BDH("TNON US Equity","IS_DEPR_EXP","1993-06-18","2026-05-02","Per=Y","Days=T","Dir=V")</f>
        <v>0</v>
      </c>
      <c r="AK2">
        <f>BDH("TNON US Equity","CF_CASH_FROM_OPER","1993-06-18","2026-05-02","Per=Y","Days=T","Dir=V")</f>
        <v>0</v>
      </c>
      <c r="AM2">
        <f>BDH("TNON US Equity","CAPITAL_EXPEND","1993-06-18","2026-05-02","Per=Y","Days=T","Dir=V")</f>
        <v>0</v>
      </c>
      <c r="AO2">
        <f>BDH("TNON US Equity","CF_FREE_CASH_FLOW","1993-06-18","2026-05-02","Per=Y","Days=T","Dir=V")</f>
        <v>0</v>
      </c>
      <c r="AQ2">
        <f>BDH("TNON US Equity","PX_LAST","1993-06-18","2026-05-02","Per=M","Days=T","Dir=V")</f>
        <v>0</v>
      </c>
      <c r="AS2">
        <f>BDH("TNON US Equity","CUR_MKT_CAP","1993-06-18","2026-05-02","Per=M","Days=T","Dir=V")</f>
        <v>0</v>
      </c>
      <c r="AU2">
        <f>BDH("TNON US Equity","EQY_SH_OUT","1993-06-18","2026-05-02","Per=M","Days=T","Dir=V")</f>
        <v>0</v>
      </c>
      <c r="AW2">
        <f>BDH("TNON US Equity","PX_VOLUME","1993-06-18","2026-05-02","Per=M","Days=T","Dir=V")</f>
        <v>0</v>
      </c>
      <c r="AY2">
        <f>BDH("TNON US Equity","TURNOVER","1993-06-18","2026-05-02","Per=M","Days=T","Dir=V")</f>
        <v>0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BDH("TNONW US Equity","BS_TOT_ASSET","1993-06-18","2026-05-02","Per=Y","Days=T","Dir=V")</f>
        <v>0</v>
      </c>
      <c r="C2">
        <f>BDH("TNONW US Equity","BS_TOT_LIAB2","1993-06-18","2026-05-02","Per=Y","Days=T","Dir=V")</f>
        <v>0</v>
      </c>
      <c r="E2">
        <f>BDH("TNONW US Equity","SHORT_AND_LONG_TERM_DEBT","1993-06-18","2026-05-02","Per=Y","Days=T","Dir=V")</f>
        <v>0</v>
      </c>
      <c r="G2">
        <f>BDH("TNONW US Equity","BS_ST_BORROW","1993-06-18","2026-05-02","Per=Y","Days=T","Dir=V")</f>
        <v>0</v>
      </c>
      <c r="I2">
        <f>BDH("TNONW US Equity","BS_LT_BORROW","1993-06-18","2026-05-02","Per=Y","Days=T","Dir=V")</f>
        <v>0</v>
      </c>
      <c r="K2">
        <f>BDH("TNONW US Equity","BS_CASH_NEAR_CASH_ITEM","1993-06-18","2026-05-02","Per=Y","Days=T","Dir=V")</f>
        <v>0</v>
      </c>
      <c r="M2">
        <f>BDH("TNONW US Equity","BS_CUR_ASSET_REPORT","1993-06-18","2026-05-02","Per=Y","Days=T","Dir=V")</f>
        <v>0</v>
      </c>
      <c r="O2">
        <f>BDH("TNONW US Equity","BS_CUR_LIAB","1993-06-18","2026-05-02","Per=Y","Days=T","Dir=V")</f>
        <v>0</v>
      </c>
      <c r="Q2">
        <f>BDH("TNONW US Equity","BS_SHAREHOLDER_EQY_ENDING_PERIOD","1993-06-18","2026-05-02","Per=Y","Days=T","Dir=V")</f>
        <v>0</v>
      </c>
      <c r="S2">
        <f>BDH("TNONW US Equity","BS_ACCT_NOTE_RCV","1993-06-18","2026-05-02","Per=Y","Days=T","Dir=V")</f>
        <v>0</v>
      </c>
      <c r="U2">
        <f>BDH("TNONW US Equity","BS_INVENTORIES","1993-06-18","2026-05-02","Per=Y","Days=T","Dir=V")</f>
        <v>0</v>
      </c>
      <c r="W2">
        <f>BDH("TNONW US Equity","WORKING_CAPITAL","1993-06-18","2026-05-02","Per=Y","Days=T","Dir=V")</f>
        <v>0</v>
      </c>
      <c r="Y2">
        <f>BDH("TNONW US Equity","SALES_REV_TURN","1993-06-18","2026-05-02","Per=Y","Days=T","Dir=V")</f>
        <v>0</v>
      </c>
      <c r="AA2">
        <f>BDH("TNONW US Equity","EBIT","1993-06-18","2026-05-02","Per=Y","Days=T","Dir=V")</f>
        <v>0</v>
      </c>
      <c r="AC2">
        <f>BDH("TNONW US Equity","EBITDA","1993-06-18","2026-05-02","Per=Y","Days=T","Dir=V")</f>
        <v>0</v>
      </c>
      <c r="AE2">
        <f>BDH("TNONW US Equity","NET_INCOME","1993-06-18","2026-05-02","Per=Y","Days=T","Dir=V")</f>
        <v>0</v>
      </c>
      <c r="AG2">
        <f>BDH("TNONW US Equity","IS_INT_EXPENSE","1993-06-18","2026-05-02","Per=Y","Days=T","Dir=V")</f>
        <v>0</v>
      </c>
      <c r="AI2">
        <f>BDH("TNONW US Equity","IS_DEPR_EXP","1993-06-18","2026-05-02","Per=Y","Days=T","Dir=V")</f>
        <v>0</v>
      </c>
      <c r="AK2">
        <f>BDH("TNONW US Equity","CF_CASH_FROM_OPER","1993-06-18","2026-05-02","Per=Y","Days=T","Dir=V")</f>
        <v>0</v>
      </c>
      <c r="AM2">
        <f>BDH("TNONW US Equity","CAPITAL_EXPEND","1993-06-18","2026-05-02","Per=Y","Days=T","Dir=V")</f>
        <v>0</v>
      </c>
      <c r="AO2">
        <f>BDH("TNONW US Equity","CF_FREE_CASH_FLOW","1993-06-18","2026-05-02","Per=Y","Days=T","Dir=V")</f>
        <v>0</v>
      </c>
      <c r="AQ2">
        <f>BDH("TNONW US Equity","PX_LAST","1993-06-18","2026-05-02","Per=M","Days=T","Dir=V")</f>
        <v>0</v>
      </c>
      <c r="AS2">
        <f>BDH("TNONW US Equity","CUR_MKT_CAP","1993-06-18","2026-05-02","Per=M","Days=T","Dir=V")</f>
        <v>0</v>
      </c>
      <c r="AU2">
        <f>BDH("TNONW US Equity","EQY_SH_OUT","1993-06-18","2026-05-02","Per=M","Days=T","Dir=V")</f>
        <v>0</v>
      </c>
      <c r="AW2">
        <f>BDH("TNONW US Equity","PX_VOLUME","1993-06-18","2026-05-02","Per=M","Days=T","Dir=V")</f>
        <v>0</v>
      </c>
      <c r="AY2">
        <f>BDH("TNONW US Equity","TURNOVER","1993-06-18","2026-05-02","Per=M","Days=T","Dir=V")</f>
        <v>0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BDH("TNXP US Equity","BS_TOT_ASSET","1993-06-18","2026-05-02","Per=Y","Days=T","Dir=V")</f>
        <v>0</v>
      </c>
      <c r="C2">
        <f>BDH("TNXP US Equity","BS_TOT_LIAB2","1993-06-18","2026-05-02","Per=Y","Days=T","Dir=V")</f>
        <v>0</v>
      </c>
      <c r="E2">
        <f>BDH("TNXP US Equity","SHORT_AND_LONG_TERM_DEBT","1993-06-18","2026-05-02","Per=Y","Days=T","Dir=V")</f>
        <v>0</v>
      </c>
      <c r="G2">
        <f>BDH("TNXP US Equity","BS_ST_BORROW","1993-06-18","2026-05-02","Per=Y","Days=T","Dir=V")</f>
        <v>0</v>
      </c>
      <c r="I2">
        <f>BDH("TNXP US Equity","BS_LT_BORROW","1993-06-18","2026-05-02","Per=Y","Days=T","Dir=V")</f>
        <v>0</v>
      </c>
      <c r="K2">
        <f>BDH("TNXP US Equity","BS_CASH_NEAR_CASH_ITEM","1993-06-18","2026-05-02","Per=Y","Days=T","Dir=V")</f>
        <v>0</v>
      </c>
      <c r="M2">
        <f>BDH("TNXP US Equity","BS_CUR_ASSET_REPORT","1993-06-18","2026-05-02","Per=Y","Days=T","Dir=V")</f>
        <v>0</v>
      </c>
      <c r="O2">
        <f>BDH("TNXP US Equity","BS_CUR_LIAB","1993-06-18","2026-05-02","Per=Y","Days=T","Dir=V")</f>
        <v>0</v>
      </c>
      <c r="Q2">
        <f>BDH("TNXP US Equity","BS_SHAREHOLDER_EQY_ENDING_PERIOD","1993-06-18","2026-05-02","Per=Y","Days=T","Dir=V")</f>
        <v>0</v>
      </c>
      <c r="S2">
        <f>BDH("TNXP US Equity","BS_ACCT_NOTE_RCV","1993-06-18","2026-05-02","Per=Y","Days=T","Dir=V")</f>
        <v>0</v>
      </c>
      <c r="U2">
        <f>BDH("TNXP US Equity","BS_INVENTORIES","1993-06-18","2026-05-02","Per=Y","Days=T","Dir=V")</f>
        <v>0</v>
      </c>
      <c r="W2">
        <f>BDH("TNXP US Equity","WORKING_CAPITAL","1993-06-18","2026-05-02","Per=Y","Days=T","Dir=V")</f>
        <v>0</v>
      </c>
      <c r="Y2">
        <f>BDH("TNXP US Equity","SALES_REV_TURN","1993-06-18","2026-05-02","Per=Y","Days=T","Dir=V")</f>
        <v>0</v>
      </c>
      <c r="AA2">
        <f>BDH("TNXP US Equity","EBIT","1993-06-18","2026-05-02","Per=Y","Days=T","Dir=V")</f>
        <v>0</v>
      </c>
      <c r="AC2">
        <f>BDH("TNXP US Equity","EBITDA","1993-06-18","2026-05-02","Per=Y","Days=T","Dir=V")</f>
        <v>0</v>
      </c>
      <c r="AE2">
        <f>BDH("TNXP US Equity","NET_INCOME","1993-06-18","2026-05-02","Per=Y","Days=T","Dir=V")</f>
        <v>0</v>
      </c>
      <c r="AG2">
        <f>BDH("TNXP US Equity","IS_INT_EXPENSE","1993-06-18","2026-05-02","Per=Y","Days=T","Dir=V")</f>
        <v>0</v>
      </c>
      <c r="AI2">
        <f>BDH("TNXP US Equity","IS_DEPR_EXP","1993-06-18","2026-05-02","Per=Y","Days=T","Dir=V")</f>
        <v>0</v>
      </c>
      <c r="AK2">
        <f>BDH("TNXP US Equity","CF_CASH_FROM_OPER","1993-06-18","2026-05-02","Per=Y","Days=T","Dir=V")</f>
        <v>0</v>
      </c>
      <c r="AM2">
        <f>BDH("TNXP US Equity","CAPITAL_EXPEND","1993-06-18","2026-05-02","Per=Y","Days=T","Dir=V")</f>
        <v>0</v>
      </c>
      <c r="AO2">
        <f>BDH("TNXP US Equity","CF_FREE_CASH_FLOW","1993-06-18","2026-05-02","Per=Y","Days=T","Dir=V")</f>
        <v>0</v>
      </c>
      <c r="AQ2">
        <f>BDH("TNXP US Equity","PX_LAST","1993-06-18","2026-05-02","Per=M","Days=T","Dir=V")</f>
        <v>0</v>
      </c>
      <c r="AS2">
        <f>BDH("TNXP US Equity","CUR_MKT_CAP","1993-06-18","2026-05-02","Per=M","Days=T","Dir=V")</f>
        <v>0</v>
      </c>
      <c r="AU2">
        <f>BDH("TNXP US Equity","EQY_SH_OUT","1993-06-18","2026-05-02","Per=M","Days=T","Dir=V")</f>
        <v>0</v>
      </c>
      <c r="AW2">
        <f>BDH("TNXP US Equity","PX_VOLUME","1993-06-18","2026-05-02","Per=M","Days=T","Dir=V")</f>
        <v>0</v>
      </c>
      <c r="AY2">
        <f>BDH("TNXP US Equity","TURNOVER","1993-06-18","2026-05-02","Per=M","Days=T","Dir=V")</f>
        <v>0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BDH("TNYA US Equity","BS_TOT_ASSET","1993-06-18","2026-05-02","Per=Y","Days=T","Dir=V")</f>
        <v>0</v>
      </c>
      <c r="C2">
        <f>BDH("TNYA US Equity","BS_TOT_LIAB2","1993-06-18","2026-05-02","Per=Y","Days=T","Dir=V")</f>
        <v>0</v>
      </c>
      <c r="E2">
        <f>BDH("TNYA US Equity","SHORT_AND_LONG_TERM_DEBT","1993-06-18","2026-05-02","Per=Y","Days=T","Dir=V")</f>
        <v>0</v>
      </c>
      <c r="G2">
        <f>BDH("TNYA US Equity","BS_ST_BORROW","1993-06-18","2026-05-02","Per=Y","Days=T","Dir=V")</f>
        <v>0</v>
      </c>
      <c r="I2">
        <f>BDH("TNYA US Equity","BS_LT_BORROW","1993-06-18","2026-05-02","Per=Y","Days=T","Dir=V")</f>
        <v>0</v>
      </c>
      <c r="K2">
        <f>BDH("TNYA US Equity","BS_CASH_NEAR_CASH_ITEM","1993-06-18","2026-05-02","Per=Y","Days=T","Dir=V")</f>
        <v>0</v>
      </c>
      <c r="M2">
        <f>BDH("TNYA US Equity","BS_CUR_ASSET_REPORT","1993-06-18","2026-05-02","Per=Y","Days=T","Dir=V")</f>
        <v>0</v>
      </c>
      <c r="O2">
        <f>BDH("TNYA US Equity","BS_CUR_LIAB","1993-06-18","2026-05-02","Per=Y","Days=T","Dir=V")</f>
        <v>0</v>
      </c>
      <c r="Q2">
        <f>BDH("TNYA US Equity","BS_SHAREHOLDER_EQY_ENDING_PERIOD","1993-06-18","2026-05-02","Per=Y","Days=T","Dir=V")</f>
        <v>0</v>
      </c>
      <c r="S2">
        <f>BDH("TNYA US Equity","BS_ACCT_NOTE_RCV","1993-06-18","2026-05-02","Per=Y","Days=T","Dir=V")</f>
        <v>0</v>
      </c>
      <c r="U2">
        <f>BDH("TNYA US Equity","BS_INVENTORIES","1993-06-18","2026-05-02","Per=Y","Days=T","Dir=V")</f>
        <v>0</v>
      </c>
      <c r="W2">
        <f>BDH("TNYA US Equity","WORKING_CAPITAL","1993-06-18","2026-05-02","Per=Y","Days=T","Dir=V")</f>
        <v>0</v>
      </c>
      <c r="Y2">
        <f>BDH("TNYA US Equity","SALES_REV_TURN","1993-06-18","2026-05-02","Per=Y","Days=T","Dir=V")</f>
        <v>0</v>
      </c>
      <c r="AA2">
        <f>BDH("TNYA US Equity","EBIT","1993-06-18","2026-05-02","Per=Y","Days=T","Dir=V")</f>
        <v>0</v>
      </c>
      <c r="AC2">
        <f>BDH("TNYA US Equity","EBITDA","1993-06-18","2026-05-02","Per=Y","Days=T","Dir=V")</f>
        <v>0</v>
      </c>
      <c r="AE2">
        <f>BDH("TNYA US Equity","NET_INCOME","1993-06-18","2026-05-02","Per=Y","Days=T","Dir=V")</f>
        <v>0</v>
      </c>
      <c r="AG2">
        <f>BDH("TNYA US Equity","IS_INT_EXPENSE","1993-06-18","2026-05-02","Per=Y","Days=T","Dir=V")</f>
        <v>0</v>
      </c>
      <c r="AI2">
        <f>BDH("TNYA US Equity","IS_DEPR_EXP","1993-06-18","2026-05-02","Per=Y","Days=T","Dir=V")</f>
        <v>0</v>
      </c>
      <c r="AK2">
        <f>BDH("TNYA US Equity","CF_CASH_FROM_OPER","1993-06-18","2026-05-02","Per=Y","Days=T","Dir=V")</f>
        <v>0</v>
      </c>
      <c r="AM2">
        <f>BDH("TNYA US Equity","CAPITAL_EXPEND","1993-06-18","2026-05-02","Per=Y","Days=T","Dir=V")</f>
        <v>0</v>
      </c>
      <c r="AO2">
        <f>BDH("TNYA US Equity","CF_FREE_CASH_FLOW","1993-06-18","2026-05-02","Per=Y","Days=T","Dir=V")</f>
        <v>0</v>
      </c>
      <c r="AQ2">
        <f>BDH("TNYA US Equity","PX_LAST","1993-06-18","2026-05-02","Per=M","Days=T","Dir=V")</f>
        <v>0</v>
      </c>
      <c r="AS2">
        <f>BDH("TNYA US Equity","CUR_MKT_CAP","1993-06-18","2026-05-02","Per=M","Days=T","Dir=V")</f>
        <v>0</v>
      </c>
      <c r="AU2">
        <f>BDH("TNYA US Equity","EQY_SH_OUT","1993-06-18","2026-05-02","Per=M","Days=T","Dir=V")</f>
        <v>0</v>
      </c>
      <c r="AW2">
        <f>BDH("TNYA US Equity","PX_VOLUME","1993-06-18","2026-05-02","Per=M","Days=T","Dir=V")</f>
        <v>0</v>
      </c>
      <c r="AY2">
        <f>BDH("TNYA US Equity","TURNOVER","1993-06-18","2026-05-02","Per=M","Days=T","Dir=V")</f>
        <v>0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BDH("TOL US Equity","BS_TOT_ASSET","1993-06-18","2026-05-02","Per=Y","Days=T","Dir=V")</f>
        <v>0</v>
      </c>
      <c r="C2">
        <f>BDH("TOL US Equity","BS_TOT_LIAB2","1993-06-18","2026-05-02","Per=Y","Days=T","Dir=V")</f>
        <v>0</v>
      </c>
      <c r="E2">
        <f>BDH("TOL US Equity","SHORT_AND_LONG_TERM_DEBT","1993-06-18","2026-05-02","Per=Y","Days=T","Dir=V")</f>
        <v>0</v>
      </c>
      <c r="G2">
        <f>BDH("TOL US Equity","BS_ST_BORROW","1993-06-18","2026-05-02","Per=Y","Days=T","Dir=V")</f>
        <v>0</v>
      </c>
      <c r="I2">
        <f>BDH("TOL US Equity","BS_LT_BORROW","1993-06-18","2026-05-02","Per=Y","Days=T","Dir=V")</f>
        <v>0</v>
      </c>
      <c r="K2">
        <f>BDH("TOL US Equity","BS_CASH_NEAR_CASH_ITEM","1993-06-18","2026-05-02","Per=Y","Days=T","Dir=V")</f>
        <v>0</v>
      </c>
      <c r="M2">
        <f>BDH("TOL US Equity","BS_CUR_ASSET_REPORT","1993-06-18","2026-05-02","Per=Y","Days=T","Dir=V")</f>
        <v>0</v>
      </c>
      <c r="O2">
        <f>BDH("TOL US Equity","BS_CUR_LIAB","1993-06-18","2026-05-02","Per=Y","Days=T","Dir=V")</f>
        <v>0</v>
      </c>
      <c r="Q2">
        <f>BDH("TOL US Equity","BS_SHAREHOLDER_EQY_ENDING_PERIOD","1993-06-18","2026-05-02","Per=Y","Days=T","Dir=V")</f>
        <v>0</v>
      </c>
      <c r="S2">
        <f>BDH("TOL US Equity","BS_ACCT_NOTE_RCV","1993-06-18","2026-05-02","Per=Y","Days=T","Dir=V")</f>
        <v>0</v>
      </c>
      <c r="U2">
        <f>BDH("TOL US Equity","BS_INVENTORIES","1993-06-18","2026-05-02","Per=Y","Days=T","Dir=V")</f>
        <v>0</v>
      </c>
      <c r="W2">
        <f>BDH("TOL US Equity","WORKING_CAPITAL","1993-06-18","2026-05-02","Per=Y","Days=T","Dir=V")</f>
        <v>0</v>
      </c>
      <c r="Y2">
        <f>BDH("TOL US Equity","SALES_REV_TURN","1993-06-18","2026-05-02","Per=Y","Days=T","Dir=V")</f>
        <v>0</v>
      </c>
      <c r="AA2">
        <f>BDH("TOL US Equity","EBIT","1993-06-18","2026-05-02","Per=Y","Days=T","Dir=V")</f>
        <v>0</v>
      </c>
      <c r="AC2">
        <f>BDH("TOL US Equity","EBITDA","1993-06-18","2026-05-02","Per=Y","Days=T","Dir=V")</f>
        <v>0</v>
      </c>
      <c r="AE2">
        <f>BDH("TOL US Equity","NET_INCOME","1993-06-18","2026-05-02","Per=Y","Days=T","Dir=V")</f>
        <v>0</v>
      </c>
      <c r="AG2">
        <f>BDH("TOL US Equity","IS_INT_EXPENSE","1993-06-18","2026-05-02","Per=Y","Days=T","Dir=V")</f>
        <v>0</v>
      </c>
      <c r="AI2">
        <f>BDH("TOL US Equity","IS_DEPR_EXP","1993-06-18","2026-05-02","Per=Y","Days=T","Dir=V")</f>
        <v>0</v>
      </c>
      <c r="AK2">
        <f>BDH("TOL US Equity","CF_CASH_FROM_OPER","1993-06-18","2026-05-02","Per=Y","Days=T","Dir=V")</f>
        <v>0</v>
      </c>
      <c r="AM2">
        <f>BDH("TOL US Equity","CAPITAL_EXPEND","1993-06-18","2026-05-02","Per=Y","Days=T","Dir=V")</f>
        <v>0</v>
      </c>
      <c r="AO2">
        <f>BDH("TOL US Equity","CF_FREE_CASH_FLOW","1993-06-18","2026-05-02","Per=Y","Days=T","Dir=V")</f>
        <v>0</v>
      </c>
      <c r="AQ2">
        <f>BDH("TOL US Equity","PX_LAST","1993-06-18","2026-05-02","Per=M","Days=T","Dir=V")</f>
        <v>0</v>
      </c>
      <c r="AS2">
        <f>BDH("TOL US Equity","CUR_MKT_CAP","1993-06-18","2026-05-02","Per=M","Days=T","Dir=V")</f>
        <v>0</v>
      </c>
      <c r="AU2">
        <f>BDH("TOL US Equity","EQY_SH_OUT","1993-06-18","2026-05-02","Per=M","Days=T","Dir=V")</f>
        <v>0</v>
      </c>
      <c r="AW2">
        <f>BDH("TOL US Equity","PX_VOLUME","1993-06-18","2026-05-02","Per=M","Days=T","Dir=V")</f>
        <v>0</v>
      </c>
      <c r="AY2">
        <f>BDH("TOL US Equity","TURNOVER","1993-06-18","2026-05-02","Per=M","Days=T","Dir=V")</f>
        <v>0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BDH("TOMZ US Equity","BS_TOT_ASSET","1993-06-18","2026-05-02","Per=Y","Days=T","Dir=V")</f>
        <v>0</v>
      </c>
      <c r="C2">
        <f>BDH("TOMZ US Equity","BS_TOT_LIAB2","1993-06-18","2026-05-02","Per=Y","Days=T","Dir=V")</f>
        <v>0</v>
      </c>
      <c r="E2">
        <f>BDH("TOMZ US Equity","SHORT_AND_LONG_TERM_DEBT","1993-06-18","2026-05-02","Per=Y","Days=T","Dir=V")</f>
        <v>0</v>
      </c>
      <c r="G2">
        <f>BDH("TOMZ US Equity","BS_ST_BORROW","1993-06-18","2026-05-02","Per=Y","Days=T","Dir=V")</f>
        <v>0</v>
      </c>
      <c r="I2">
        <f>BDH("TOMZ US Equity","BS_LT_BORROW","1993-06-18","2026-05-02","Per=Y","Days=T","Dir=V")</f>
        <v>0</v>
      </c>
      <c r="K2">
        <f>BDH("TOMZ US Equity","BS_CASH_NEAR_CASH_ITEM","1993-06-18","2026-05-02","Per=Y","Days=T","Dir=V")</f>
        <v>0</v>
      </c>
      <c r="M2">
        <f>BDH("TOMZ US Equity","BS_CUR_ASSET_REPORT","1993-06-18","2026-05-02","Per=Y","Days=T","Dir=V")</f>
        <v>0</v>
      </c>
      <c r="O2">
        <f>BDH("TOMZ US Equity","BS_CUR_LIAB","1993-06-18","2026-05-02","Per=Y","Days=T","Dir=V")</f>
        <v>0</v>
      </c>
      <c r="Q2">
        <f>BDH("TOMZ US Equity","BS_SHAREHOLDER_EQY_ENDING_PERIOD","1993-06-18","2026-05-02","Per=Y","Days=T","Dir=V")</f>
        <v>0</v>
      </c>
      <c r="S2">
        <f>BDH("TOMZ US Equity","BS_ACCT_NOTE_RCV","1993-06-18","2026-05-02","Per=Y","Days=T","Dir=V")</f>
        <v>0</v>
      </c>
      <c r="U2">
        <f>BDH("TOMZ US Equity","BS_INVENTORIES","1993-06-18","2026-05-02","Per=Y","Days=T","Dir=V")</f>
        <v>0</v>
      </c>
      <c r="W2">
        <f>BDH("TOMZ US Equity","WORKING_CAPITAL","1993-06-18","2026-05-02","Per=Y","Days=T","Dir=V")</f>
        <v>0</v>
      </c>
      <c r="Y2">
        <f>BDH("TOMZ US Equity","SALES_REV_TURN","1993-06-18","2026-05-02","Per=Y","Days=T","Dir=V")</f>
        <v>0</v>
      </c>
      <c r="AA2">
        <f>BDH("TOMZ US Equity","EBIT","1993-06-18","2026-05-02","Per=Y","Days=T","Dir=V")</f>
        <v>0</v>
      </c>
      <c r="AC2">
        <f>BDH("TOMZ US Equity","EBITDA","1993-06-18","2026-05-02","Per=Y","Days=T","Dir=V")</f>
        <v>0</v>
      </c>
      <c r="AE2">
        <f>BDH("TOMZ US Equity","NET_INCOME","1993-06-18","2026-05-02","Per=Y","Days=T","Dir=V")</f>
        <v>0</v>
      </c>
      <c r="AG2">
        <f>BDH("TOMZ US Equity","IS_INT_EXPENSE","1993-06-18","2026-05-02","Per=Y","Days=T","Dir=V")</f>
        <v>0</v>
      </c>
      <c r="AI2">
        <f>BDH("TOMZ US Equity","IS_DEPR_EXP","1993-06-18","2026-05-02","Per=Y","Days=T","Dir=V")</f>
        <v>0</v>
      </c>
      <c r="AK2">
        <f>BDH("TOMZ US Equity","CF_CASH_FROM_OPER","1993-06-18","2026-05-02","Per=Y","Days=T","Dir=V")</f>
        <v>0</v>
      </c>
      <c r="AM2">
        <f>BDH("TOMZ US Equity","CAPITAL_EXPEND","1993-06-18","2026-05-02","Per=Y","Days=T","Dir=V")</f>
        <v>0</v>
      </c>
      <c r="AO2">
        <f>BDH("TOMZ US Equity","CF_FREE_CASH_FLOW","1993-06-18","2026-05-02","Per=Y","Days=T","Dir=V")</f>
        <v>0</v>
      </c>
      <c r="AQ2">
        <f>BDH("TOMZ US Equity","PX_LAST","1993-06-18","2026-05-02","Per=M","Days=T","Dir=V")</f>
        <v>0</v>
      </c>
      <c r="AS2">
        <f>BDH("TOMZ US Equity","CUR_MKT_CAP","1993-06-18","2026-05-02","Per=M","Days=T","Dir=V")</f>
        <v>0</v>
      </c>
      <c r="AU2">
        <f>BDH("TOMZ US Equity","EQY_SH_OUT","1993-06-18","2026-05-02","Per=M","Days=T","Dir=V")</f>
        <v>0</v>
      </c>
      <c r="AW2">
        <f>BDH("TOMZ US Equity","PX_VOLUME","1993-06-18","2026-05-02","Per=M","Days=T","Dir=V")</f>
        <v>0</v>
      </c>
      <c r="AY2">
        <f>BDH("TOMZ US Equity","TURNOVER","1993-06-18","2026-05-02","Per=M","Days=T","Dir=V")</f>
        <v>0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BDH("TOON US Equity","BS_TOT_ASSET","1993-06-18","2026-05-02","Per=Y","Days=T","Dir=V")</f>
        <v>0</v>
      </c>
      <c r="C2">
        <f>BDH("TOON US Equity","BS_TOT_LIAB2","1993-06-18","2026-05-02","Per=Y","Days=T","Dir=V")</f>
        <v>0</v>
      </c>
      <c r="E2">
        <f>BDH("TOON US Equity","SHORT_AND_LONG_TERM_DEBT","1993-06-18","2026-05-02","Per=Y","Days=T","Dir=V")</f>
        <v>0</v>
      </c>
      <c r="G2">
        <f>BDH("TOON US Equity","BS_ST_BORROW","1993-06-18","2026-05-02","Per=Y","Days=T","Dir=V")</f>
        <v>0</v>
      </c>
      <c r="I2">
        <f>BDH("TOON US Equity","BS_LT_BORROW","1993-06-18","2026-05-02","Per=Y","Days=T","Dir=V")</f>
        <v>0</v>
      </c>
      <c r="K2">
        <f>BDH("TOON US Equity","BS_CASH_NEAR_CASH_ITEM","1993-06-18","2026-05-02","Per=Y","Days=T","Dir=V")</f>
        <v>0</v>
      </c>
      <c r="M2">
        <f>BDH("TOON US Equity","BS_CUR_ASSET_REPORT","1993-06-18","2026-05-02","Per=Y","Days=T","Dir=V")</f>
        <v>0</v>
      </c>
      <c r="O2">
        <f>BDH("TOON US Equity","BS_CUR_LIAB","1993-06-18","2026-05-02","Per=Y","Days=T","Dir=V")</f>
        <v>0</v>
      </c>
      <c r="Q2">
        <f>BDH("TOON US Equity","BS_SHAREHOLDER_EQY_ENDING_PERIOD","1993-06-18","2026-05-02","Per=Y","Days=T","Dir=V")</f>
        <v>0</v>
      </c>
      <c r="S2">
        <f>BDH("TOON US Equity","BS_ACCT_NOTE_RCV","1993-06-18","2026-05-02","Per=Y","Days=T","Dir=V")</f>
        <v>0</v>
      </c>
      <c r="U2">
        <f>BDH("TOON US Equity","BS_INVENTORIES","1993-06-18","2026-05-02","Per=Y","Days=T","Dir=V")</f>
        <v>0</v>
      </c>
      <c r="W2">
        <f>BDH("TOON US Equity","WORKING_CAPITAL","1993-06-18","2026-05-02","Per=Y","Days=T","Dir=V")</f>
        <v>0</v>
      </c>
      <c r="Y2">
        <f>BDH("TOON US Equity","SALES_REV_TURN","1993-06-18","2026-05-02","Per=Y","Days=T","Dir=V")</f>
        <v>0</v>
      </c>
      <c r="AA2">
        <f>BDH("TOON US Equity","EBIT","1993-06-18","2026-05-02","Per=Y","Days=T","Dir=V")</f>
        <v>0</v>
      </c>
      <c r="AC2">
        <f>BDH("TOON US Equity","EBITDA","1993-06-18","2026-05-02","Per=Y","Days=T","Dir=V")</f>
        <v>0</v>
      </c>
      <c r="AE2">
        <f>BDH("TOON US Equity","NET_INCOME","1993-06-18","2026-05-02","Per=Y","Days=T","Dir=V")</f>
        <v>0</v>
      </c>
      <c r="AG2">
        <f>BDH("TOON US Equity","IS_INT_EXPENSE","1993-06-18","2026-05-02","Per=Y","Days=T","Dir=V")</f>
        <v>0</v>
      </c>
      <c r="AI2">
        <f>BDH("TOON US Equity","IS_DEPR_EXP","1993-06-18","2026-05-02","Per=Y","Days=T","Dir=V")</f>
        <v>0</v>
      </c>
      <c r="AK2">
        <f>BDH("TOON US Equity","CF_CASH_FROM_OPER","1993-06-18","2026-05-02","Per=Y","Days=T","Dir=V")</f>
        <v>0</v>
      </c>
      <c r="AM2">
        <f>BDH("TOON US Equity","CAPITAL_EXPEND","1993-06-18","2026-05-02","Per=Y","Days=T","Dir=V")</f>
        <v>0</v>
      </c>
      <c r="AO2">
        <f>BDH("TOON US Equity","CF_FREE_CASH_FLOW","1993-06-18","2026-05-02","Per=Y","Days=T","Dir=V")</f>
        <v>0</v>
      </c>
      <c r="AQ2">
        <f>BDH("TOON US Equity","PX_LAST","1993-06-18","2026-05-02","Per=M","Days=T","Dir=V")</f>
        <v>0</v>
      </c>
      <c r="AS2">
        <f>BDH("TOON US Equity","CUR_MKT_CAP","1993-06-18","2026-05-02","Per=M","Days=T","Dir=V")</f>
        <v>0</v>
      </c>
      <c r="AU2">
        <f>BDH("TOON US Equity","EQY_SH_OUT","1993-06-18","2026-05-02","Per=M","Days=T","Dir=V")</f>
        <v>0</v>
      </c>
      <c r="AW2">
        <f>BDH("TOON US Equity","PX_VOLUME","1993-06-18","2026-05-02","Per=M","Days=T","Dir=V")</f>
        <v>0</v>
      </c>
      <c r="AY2">
        <f>BDH("TOON US Equity","TURNOVER","1993-06-18","2026-05-02","Per=M","Days=T","Dir=V")</f>
        <v>0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BDH("TOST US Equity","BS_TOT_ASSET","1993-06-18","2026-05-02","Per=Y","Days=T","Dir=V")</f>
        <v>0</v>
      </c>
      <c r="C2">
        <f>BDH("TOST US Equity","BS_TOT_LIAB2","1993-06-18","2026-05-02","Per=Y","Days=T","Dir=V")</f>
        <v>0</v>
      </c>
      <c r="E2">
        <f>BDH("TOST US Equity","SHORT_AND_LONG_TERM_DEBT","1993-06-18","2026-05-02","Per=Y","Days=T","Dir=V")</f>
        <v>0</v>
      </c>
      <c r="G2">
        <f>BDH("TOST US Equity","BS_ST_BORROW","1993-06-18","2026-05-02","Per=Y","Days=T","Dir=V")</f>
        <v>0</v>
      </c>
      <c r="I2">
        <f>BDH("TOST US Equity","BS_LT_BORROW","1993-06-18","2026-05-02","Per=Y","Days=T","Dir=V")</f>
        <v>0</v>
      </c>
      <c r="K2">
        <f>BDH("TOST US Equity","BS_CASH_NEAR_CASH_ITEM","1993-06-18","2026-05-02","Per=Y","Days=T","Dir=V")</f>
        <v>0</v>
      </c>
      <c r="M2">
        <f>BDH("TOST US Equity","BS_CUR_ASSET_REPORT","1993-06-18","2026-05-02","Per=Y","Days=T","Dir=V")</f>
        <v>0</v>
      </c>
      <c r="O2">
        <f>BDH("TOST US Equity","BS_CUR_LIAB","1993-06-18","2026-05-02","Per=Y","Days=T","Dir=V")</f>
        <v>0</v>
      </c>
      <c r="Q2">
        <f>BDH("TOST US Equity","BS_SHAREHOLDER_EQY_ENDING_PERIOD","1993-06-18","2026-05-02","Per=Y","Days=T","Dir=V")</f>
        <v>0</v>
      </c>
      <c r="S2">
        <f>BDH("TOST US Equity","BS_ACCT_NOTE_RCV","1993-06-18","2026-05-02","Per=Y","Days=T","Dir=V")</f>
        <v>0</v>
      </c>
      <c r="U2">
        <f>BDH("TOST US Equity","BS_INVENTORIES","1993-06-18","2026-05-02","Per=Y","Days=T","Dir=V")</f>
        <v>0</v>
      </c>
      <c r="W2">
        <f>BDH("TOST US Equity","WORKING_CAPITAL","1993-06-18","2026-05-02","Per=Y","Days=T","Dir=V")</f>
        <v>0</v>
      </c>
      <c r="Y2">
        <f>BDH("TOST US Equity","SALES_REV_TURN","1993-06-18","2026-05-02","Per=Y","Days=T","Dir=V")</f>
        <v>0</v>
      </c>
      <c r="AA2">
        <f>BDH("TOST US Equity","EBIT","1993-06-18","2026-05-02","Per=Y","Days=T","Dir=V")</f>
        <v>0</v>
      </c>
      <c r="AC2">
        <f>BDH("TOST US Equity","EBITDA","1993-06-18","2026-05-02","Per=Y","Days=T","Dir=V")</f>
        <v>0</v>
      </c>
      <c r="AE2">
        <f>BDH("TOST US Equity","NET_INCOME","1993-06-18","2026-05-02","Per=Y","Days=T","Dir=V")</f>
        <v>0</v>
      </c>
      <c r="AG2">
        <f>BDH("TOST US Equity","IS_INT_EXPENSE","1993-06-18","2026-05-02","Per=Y","Days=T","Dir=V")</f>
        <v>0</v>
      </c>
      <c r="AI2">
        <f>BDH("TOST US Equity","IS_DEPR_EXP","1993-06-18","2026-05-02","Per=Y","Days=T","Dir=V")</f>
        <v>0</v>
      </c>
      <c r="AK2">
        <f>BDH("TOST US Equity","CF_CASH_FROM_OPER","1993-06-18","2026-05-02","Per=Y","Days=T","Dir=V")</f>
        <v>0</v>
      </c>
      <c r="AM2">
        <f>BDH("TOST US Equity","CAPITAL_EXPEND","1993-06-18","2026-05-02","Per=Y","Days=T","Dir=V")</f>
        <v>0</v>
      </c>
      <c r="AO2">
        <f>BDH("TOST US Equity","CF_FREE_CASH_FLOW","1993-06-18","2026-05-02","Per=Y","Days=T","Dir=V")</f>
        <v>0</v>
      </c>
      <c r="AQ2">
        <f>BDH("TOST US Equity","PX_LAST","1993-06-18","2026-05-02","Per=M","Days=T","Dir=V")</f>
        <v>0</v>
      </c>
      <c r="AS2">
        <f>BDH("TOST US Equity","CUR_MKT_CAP","1993-06-18","2026-05-02","Per=M","Days=T","Dir=V")</f>
        <v>0</v>
      </c>
      <c r="AU2">
        <f>BDH("TOST US Equity","EQY_SH_OUT","1993-06-18","2026-05-02","Per=M","Days=T","Dir=V")</f>
        <v>0</v>
      </c>
      <c r="AW2">
        <f>BDH("TOST US Equity","PX_VOLUME","1993-06-18","2026-05-02","Per=M","Days=T","Dir=V")</f>
        <v>0</v>
      </c>
      <c r="AY2">
        <f>BDH("TOST US Equity","TURNOVER","1993-06-18","2026-05-02","Per=M","Days=T","Dir=V")</f>
        <v>0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BDH("TOVX US Equity","BS_TOT_ASSET","1993-06-18","2026-05-02","Per=Y","Days=T","Dir=V")</f>
        <v>0</v>
      </c>
      <c r="C2">
        <f>BDH("TOVX US Equity","BS_TOT_LIAB2","1993-06-18","2026-05-02","Per=Y","Days=T","Dir=V")</f>
        <v>0</v>
      </c>
      <c r="E2">
        <f>BDH("TOVX US Equity","SHORT_AND_LONG_TERM_DEBT","1993-06-18","2026-05-02","Per=Y","Days=T","Dir=V")</f>
        <v>0</v>
      </c>
      <c r="G2">
        <f>BDH("TOVX US Equity","BS_ST_BORROW","1993-06-18","2026-05-02","Per=Y","Days=T","Dir=V")</f>
        <v>0</v>
      </c>
      <c r="I2">
        <f>BDH("TOVX US Equity","BS_LT_BORROW","1993-06-18","2026-05-02","Per=Y","Days=T","Dir=V")</f>
        <v>0</v>
      </c>
      <c r="K2">
        <f>BDH("TOVX US Equity","BS_CASH_NEAR_CASH_ITEM","1993-06-18","2026-05-02","Per=Y","Days=T","Dir=V")</f>
        <v>0</v>
      </c>
      <c r="M2">
        <f>BDH("TOVX US Equity","BS_CUR_ASSET_REPORT","1993-06-18","2026-05-02","Per=Y","Days=T","Dir=V")</f>
        <v>0</v>
      </c>
      <c r="O2">
        <f>BDH("TOVX US Equity","BS_CUR_LIAB","1993-06-18","2026-05-02","Per=Y","Days=T","Dir=V")</f>
        <v>0</v>
      </c>
      <c r="Q2">
        <f>BDH("TOVX US Equity","BS_SHAREHOLDER_EQY_ENDING_PERIOD","1993-06-18","2026-05-02","Per=Y","Days=T","Dir=V")</f>
        <v>0</v>
      </c>
      <c r="S2">
        <f>BDH("TOVX US Equity","BS_ACCT_NOTE_RCV","1993-06-18","2026-05-02","Per=Y","Days=T","Dir=V")</f>
        <v>0</v>
      </c>
      <c r="U2">
        <f>BDH("TOVX US Equity","BS_INVENTORIES","1993-06-18","2026-05-02","Per=Y","Days=T","Dir=V")</f>
        <v>0</v>
      </c>
      <c r="W2">
        <f>BDH("TOVX US Equity","WORKING_CAPITAL","1993-06-18","2026-05-02","Per=Y","Days=T","Dir=V")</f>
        <v>0</v>
      </c>
      <c r="Y2">
        <f>BDH("TOVX US Equity","SALES_REV_TURN","1993-06-18","2026-05-02","Per=Y","Days=T","Dir=V")</f>
        <v>0</v>
      </c>
      <c r="AA2">
        <f>BDH("TOVX US Equity","EBIT","1993-06-18","2026-05-02","Per=Y","Days=T","Dir=V")</f>
        <v>0</v>
      </c>
      <c r="AC2">
        <f>BDH("TOVX US Equity","EBITDA","1993-06-18","2026-05-02","Per=Y","Days=T","Dir=V")</f>
        <v>0</v>
      </c>
      <c r="AE2">
        <f>BDH("TOVX US Equity","NET_INCOME","1993-06-18","2026-05-02","Per=Y","Days=T","Dir=V")</f>
        <v>0</v>
      </c>
      <c r="AG2">
        <f>BDH("TOVX US Equity","IS_INT_EXPENSE","1993-06-18","2026-05-02","Per=Y","Days=T","Dir=V")</f>
        <v>0</v>
      </c>
      <c r="AI2">
        <f>BDH("TOVX US Equity","IS_DEPR_EXP","1993-06-18","2026-05-02","Per=Y","Days=T","Dir=V")</f>
        <v>0</v>
      </c>
      <c r="AK2">
        <f>BDH("TOVX US Equity","CF_CASH_FROM_OPER","1993-06-18","2026-05-02","Per=Y","Days=T","Dir=V")</f>
        <v>0</v>
      </c>
      <c r="AM2">
        <f>BDH("TOVX US Equity","CAPITAL_EXPEND","1993-06-18","2026-05-02","Per=Y","Days=T","Dir=V")</f>
        <v>0</v>
      </c>
      <c r="AO2">
        <f>BDH("TOVX US Equity","CF_FREE_CASH_FLOW","1993-06-18","2026-05-02","Per=Y","Days=T","Dir=V")</f>
        <v>0</v>
      </c>
      <c r="AQ2">
        <f>BDH("TOVX US Equity","PX_LAST","1993-06-18","2026-05-02","Per=M","Days=T","Dir=V")</f>
        <v>0</v>
      </c>
      <c r="AS2">
        <f>BDH("TOVX US Equity","CUR_MKT_CAP","1993-06-18","2026-05-02","Per=M","Days=T","Dir=V")</f>
        <v>0</v>
      </c>
      <c r="AU2">
        <f>BDH("TOVX US Equity","EQY_SH_OUT","1993-06-18","2026-05-02","Per=M","Days=T","Dir=V")</f>
        <v>0</v>
      </c>
      <c r="AW2">
        <f>BDH("TOVX US Equity","PX_VOLUME","1993-06-18","2026-05-02","Per=M","Days=T","Dir=V")</f>
        <v>0</v>
      </c>
      <c r="AY2">
        <f>BDH("TOVX US Equity","TURNOVER","1993-06-18","2026-05-02","Per=M","Days=T","Dir=V")</f>
        <v>0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BDH("TPB US Equity","BS_TOT_ASSET","1993-06-18","2026-05-02","Per=Y","Days=T","Dir=V")</f>
        <v>0</v>
      </c>
      <c r="C2">
        <f>BDH("TPB US Equity","BS_TOT_LIAB2","1993-06-18","2026-05-02","Per=Y","Days=T","Dir=V")</f>
        <v>0</v>
      </c>
      <c r="E2">
        <f>BDH("TPB US Equity","SHORT_AND_LONG_TERM_DEBT","1993-06-18","2026-05-02","Per=Y","Days=T","Dir=V")</f>
        <v>0</v>
      </c>
      <c r="G2">
        <f>BDH("TPB US Equity","BS_ST_BORROW","1993-06-18","2026-05-02","Per=Y","Days=T","Dir=V")</f>
        <v>0</v>
      </c>
      <c r="I2">
        <f>BDH("TPB US Equity","BS_LT_BORROW","1993-06-18","2026-05-02","Per=Y","Days=T","Dir=V")</f>
        <v>0</v>
      </c>
      <c r="K2">
        <f>BDH("TPB US Equity","BS_CASH_NEAR_CASH_ITEM","1993-06-18","2026-05-02","Per=Y","Days=T","Dir=V")</f>
        <v>0</v>
      </c>
      <c r="M2">
        <f>BDH("TPB US Equity","BS_CUR_ASSET_REPORT","1993-06-18","2026-05-02","Per=Y","Days=T","Dir=V")</f>
        <v>0</v>
      </c>
      <c r="O2">
        <f>BDH("TPB US Equity","BS_CUR_LIAB","1993-06-18","2026-05-02","Per=Y","Days=T","Dir=V")</f>
        <v>0</v>
      </c>
      <c r="Q2">
        <f>BDH("TPB US Equity","BS_SHAREHOLDER_EQY_ENDING_PERIOD","1993-06-18","2026-05-02","Per=Y","Days=T","Dir=V")</f>
        <v>0</v>
      </c>
      <c r="S2">
        <f>BDH("TPB US Equity","BS_ACCT_NOTE_RCV","1993-06-18","2026-05-02","Per=Y","Days=T","Dir=V")</f>
        <v>0</v>
      </c>
      <c r="U2">
        <f>BDH("TPB US Equity","BS_INVENTORIES","1993-06-18","2026-05-02","Per=Y","Days=T","Dir=V")</f>
        <v>0</v>
      </c>
      <c r="W2">
        <f>BDH("TPB US Equity","WORKING_CAPITAL","1993-06-18","2026-05-02","Per=Y","Days=T","Dir=V")</f>
        <v>0</v>
      </c>
      <c r="Y2">
        <f>BDH("TPB US Equity","SALES_REV_TURN","1993-06-18","2026-05-02","Per=Y","Days=T","Dir=V")</f>
        <v>0</v>
      </c>
      <c r="AA2">
        <f>BDH("TPB US Equity","EBIT","1993-06-18","2026-05-02","Per=Y","Days=T","Dir=V")</f>
        <v>0</v>
      </c>
      <c r="AC2">
        <f>BDH("TPB US Equity","EBITDA","1993-06-18","2026-05-02","Per=Y","Days=T","Dir=V")</f>
        <v>0</v>
      </c>
      <c r="AE2">
        <f>BDH("TPB US Equity","NET_INCOME","1993-06-18","2026-05-02","Per=Y","Days=T","Dir=V")</f>
        <v>0</v>
      </c>
      <c r="AG2">
        <f>BDH("TPB US Equity","IS_INT_EXPENSE","1993-06-18","2026-05-02","Per=Y","Days=T","Dir=V")</f>
        <v>0</v>
      </c>
      <c r="AI2">
        <f>BDH("TPB US Equity","IS_DEPR_EXP","1993-06-18","2026-05-02","Per=Y","Days=T","Dir=V")</f>
        <v>0</v>
      </c>
      <c r="AK2">
        <f>BDH("TPB US Equity","CF_CASH_FROM_OPER","1993-06-18","2026-05-02","Per=Y","Days=T","Dir=V")</f>
        <v>0</v>
      </c>
      <c r="AM2">
        <f>BDH("TPB US Equity","CAPITAL_EXPEND","1993-06-18","2026-05-02","Per=Y","Days=T","Dir=V")</f>
        <v>0</v>
      </c>
      <c r="AO2">
        <f>BDH("TPB US Equity","CF_FREE_CASH_FLOW","1993-06-18","2026-05-02","Per=Y","Days=T","Dir=V")</f>
        <v>0</v>
      </c>
      <c r="AQ2">
        <f>BDH("TPB US Equity","PX_LAST","1993-06-18","2026-05-02","Per=M","Days=T","Dir=V")</f>
        <v>0</v>
      </c>
      <c r="AS2">
        <f>BDH("TPB US Equity","CUR_MKT_CAP","1993-06-18","2026-05-02","Per=M","Days=T","Dir=V")</f>
        <v>0</v>
      </c>
      <c r="AU2">
        <f>BDH("TPB US Equity","EQY_SH_OUT","1993-06-18","2026-05-02","Per=M","Days=T","Dir=V")</f>
        <v>0</v>
      </c>
      <c r="AW2">
        <f>BDH("TPB US Equity","PX_VOLUME","1993-06-18","2026-05-02","Per=M","Days=T","Dir=V")</f>
        <v>0</v>
      </c>
      <c r="AY2">
        <f>BDH("TPB US Equity","TURNOVER","1993-06-18","2026-05-02","Per=M","Days=T","Dir=V")</f>
        <v>0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BDH("TPC US Equity","BS_TOT_ASSET","1993-06-18","2026-05-02","Per=Y","Days=T","Dir=V")</f>
        <v>0</v>
      </c>
      <c r="C2">
        <f>BDH("TPC US Equity","BS_TOT_LIAB2","1993-06-18","2026-05-02","Per=Y","Days=T","Dir=V")</f>
        <v>0</v>
      </c>
      <c r="E2">
        <f>BDH("TPC US Equity","SHORT_AND_LONG_TERM_DEBT","1993-06-18","2026-05-02","Per=Y","Days=T","Dir=V")</f>
        <v>0</v>
      </c>
      <c r="G2">
        <f>BDH("TPC US Equity","BS_ST_BORROW","1993-06-18","2026-05-02","Per=Y","Days=T","Dir=V")</f>
        <v>0</v>
      </c>
      <c r="I2">
        <f>BDH("TPC US Equity","BS_LT_BORROW","1993-06-18","2026-05-02","Per=Y","Days=T","Dir=V")</f>
        <v>0</v>
      </c>
      <c r="K2">
        <f>BDH("TPC US Equity","BS_CASH_NEAR_CASH_ITEM","1993-06-18","2026-05-02","Per=Y","Days=T","Dir=V")</f>
        <v>0</v>
      </c>
      <c r="M2">
        <f>BDH("TPC US Equity","BS_CUR_ASSET_REPORT","1993-06-18","2026-05-02","Per=Y","Days=T","Dir=V")</f>
        <v>0</v>
      </c>
      <c r="O2">
        <f>BDH("TPC US Equity","BS_CUR_LIAB","1993-06-18","2026-05-02","Per=Y","Days=T","Dir=V")</f>
        <v>0</v>
      </c>
      <c r="Q2">
        <f>BDH("TPC US Equity","BS_SHAREHOLDER_EQY_ENDING_PERIOD","1993-06-18","2026-05-02","Per=Y","Days=T","Dir=V")</f>
        <v>0</v>
      </c>
      <c r="S2">
        <f>BDH("TPC US Equity","BS_ACCT_NOTE_RCV","1993-06-18","2026-05-02","Per=Y","Days=T","Dir=V")</f>
        <v>0</v>
      </c>
      <c r="U2">
        <f>BDH("TPC US Equity","BS_INVENTORIES","1993-06-18","2026-05-02","Per=Y","Days=T","Dir=V")</f>
        <v>0</v>
      </c>
      <c r="W2">
        <f>BDH("TPC US Equity","WORKING_CAPITAL","1993-06-18","2026-05-02","Per=Y","Days=T","Dir=V")</f>
        <v>0</v>
      </c>
      <c r="Y2">
        <f>BDH("TPC US Equity","SALES_REV_TURN","1993-06-18","2026-05-02","Per=Y","Days=T","Dir=V")</f>
        <v>0</v>
      </c>
      <c r="AA2">
        <f>BDH("TPC US Equity","EBIT","1993-06-18","2026-05-02","Per=Y","Days=T","Dir=V")</f>
        <v>0</v>
      </c>
      <c r="AC2">
        <f>BDH("TPC US Equity","EBITDA","1993-06-18","2026-05-02","Per=Y","Days=T","Dir=V")</f>
        <v>0</v>
      </c>
      <c r="AE2">
        <f>BDH("TPC US Equity","NET_INCOME","1993-06-18","2026-05-02","Per=Y","Days=T","Dir=V")</f>
        <v>0</v>
      </c>
      <c r="AG2">
        <f>BDH("TPC US Equity","IS_INT_EXPENSE","1993-06-18","2026-05-02","Per=Y","Days=T","Dir=V")</f>
        <v>0</v>
      </c>
      <c r="AI2">
        <f>BDH("TPC US Equity","IS_DEPR_EXP","1993-06-18","2026-05-02","Per=Y","Days=T","Dir=V")</f>
        <v>0</v>
      </c>
      <c r="AK2">
        <f>BDH("TPC US Equity","CF_CASH_FROM_OPER","1993-06-18","2026-05-02","Per=Y","Days=T","Dir=V")</f>
        <v>0</v>
      </c>
      <c r="AM2">
        <f>BDH("TPC US Equity","CAPITAL_EXPEND","1993-06-18","2026-05-02","Per=Y","Days=T","Dir=V")</f>
        <v>0</v>
      </c>
      <c r="AO2">
        <f>BDH("TPC US Equity","CF_FREE_CASH_FLOW","1993-06-18","2026-05-02","Per=Y","Days=T","Dir=V")</f>
        <v>0</v>
      </c>
      <c r="AQ2">
        <f>BDH("TPC US Equity","PX_LAST","1993-06-18","2026-05-02","Per=M","Days=T","Dir=V")</f>
        <v>0</v>
      </c>
      <c r="AS2">
        <f>BDH("TPC US Equity","CUR_MKT_CAP","1993-06-18","2026-05-02","Per=M","Days=T","Dir=V")</f>
        <v>0</v>
      </c>
      <c r="AU2">
        <f>BDH("TPC US Equity","EQY_SH_OUT","1993-06-18","2026-05-02","Per=M","Days=T","Dir=V")</f>
        <v>0</v>
      </c>
      <c r="AW2">
        <f>BDH("TPC US Equity","PX_VOLUME","1993-06-18","2026-05-02","Per=M","Days=T","Dir=V")</f>
        <v>0</v>
      </c>
      <c r="AY2">
        <f>BDH("TPC US Equity","TURNOVER","1993-06-18","2026-05-02","Per=M","Days=T","Dir=V")</f>
        <v>0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BDH("TPCS US Equity","BS_TOT_ASSET","1993-06-18","2026-05-02","Per=Y","Days=T","Dir=V")</f>
        <v>0</v>
      </c>
      <c r="C2">
        <f>BDH("TPCS US Equity","BS_TOT_LIAB2","1993-06-18","2026-05-02","Per=Y","Days=T","Dir=V")</f>
        <v>0</v>
      </c>
      <c r="E2">
        <f>BDH("TPCS US Equity","SHORT_AND_LONG_TERM_DEBT","1993-06-18","2026-05-02","Per=Y","Days=T","Dir=V")</f>
        <v>0</v>
      </c>
      <c r="G2">
        <f>BDH("TPCS US Equity","BS_ST_BORROW","1993-06-18","2026-05-02","Per=Y","Days=T","Dir=V")</f>
        <v>0</v>
      </c>
      <c r="I2">
        <f>BDH("TPCS US Equity","BS_LT_BORROW","1993-06-18","2026-05-02","Per=Y","Days=T","Dir=V")</f>
        <v>0</v>
      </c>
      <c r="K2">
        <f>BDH("TPCS US Equity","BS_CASH_NEAR_CASH_ITEM","1993-06-18","2026-05-02","Per=Y","Days=T","Dir=V")</f>
        <v>0</v>
      </c>
      <c r="M2">
        <f>BDH("TPCS US Equity","BS_CUR_ASSET_REPORT","1993-06-18","2026-05-02","Per=Y","Days=T","Dir=V")</f>
        <v>0</v>
      </c>
      <c r="O2">
        <f>BDH("TPCS US Equity","BS_CUR_LIAB","1993-06-18","2026-05-02","Per=Y","Days=T","Dir=V")</f>
        <v>0</v>
      </c>
      <c r="Q2">
        <f>BDH("TPCS US Equity","BS_SHAREHOLDER_EQY_ENDING_PERIOD","1993-06-18","2026-05-02","Per=Y","Days=T","Dir=V")</f>
        <v>0</v>
      </c>
      <c r="S2">
        <f>BDH("TPCS US Equity","BS_ACCT_NOTE_RCV","1993-06-18","2026-05-02","Per=Y","Days=T","Dir=V")</f>
        <v>0</v>
      </c>
      <c r="U2">
        <f>BDH("TPCS US Equity","BS_INVENTORIES","1993-06-18","2026-05-02","Per=Y","Days=T","Dir=V")</f>
        <v>0</v>
      </c>
      <c r="W2">
        <f>BDH("TPCS US Equity","WORKING_CAPITAL","1993-06-18","2026-05-02","Per=Y","Days=T","Dir=V")</f>
        <v>0</v>
      </c>
      <c r="Y2">
        <f>BDH("TPCS US Equity","SALES_REV_TURN","1993-06-18","2026-05-02","Per=Y","Days=T","Dir=V")</f>
        <v>0</v>
      </c>
      <c r="AA2">
        <f>BDH("TPCS US Equity","EBIT","1993-06-18","2026-05-02","Per=Y","Days=T","Dir=V")</f>
        <v>0</v>
      </c>
      <c r="AC2">
        <f>BDH("TPCS US Equity","EBITDA","1993-06-18","2026-05-02","Per=Y","Days=T","Dir=V")</f>
        <v>0</v>
      </c>
      <c r="AE2">
        <f>BDH("TPCS US Equity","NET_INCOME","1993-06-18","2026-05-02","Per=Y","Days=T","Dir=V")</f>
        <v>0</v>
      </c>
      <c r="AG2">
        <f>BDH("TPCS US Equity","IS_INT_EXPENSE","1993-06-18","2026-05-02","Per=Y","Days=T","Dir=V")</f>
        <v>0</v>
      </c>
      <c r="AI2">
        <f>BDH("TPCS US Equity","IS_DEPR_EXP","1993-06-18","2026-05-02","Per=Y","Days=T","Dir=V")</f>
        <v>0</v>
      </c>
      <c r="AK2">
        <f>BDH("TPCS US Equity","CF_CASH_FROM_OPER","1993-06-18","2026-05-02","Per=Y","Days=T","Dir=V")</f>
        <v>0</v>
      </c>
      <c r="AM2">
        <f>BDH("TPCS US Equity","CAPITAL_EXPEND","1993-06-18","2026-05-02","Per=Y","Days=T","Dir=V")</f>
        <v>0</v>
      </c>
      <c r="AO2">
        <f>BDH("TPCS US Equity","CF_FREE_CASH_FLOW","1993-06-18","2026-05-02","Per=Y","Days=T","Dir=V")</f>
        <v>0</v>
      </c>
      <c r="AQ2">
        <f>BDH("TPCS US Equity","PX_LAST","1993-06-18","2026-05-02","Per=M","Days=T","Dir=V")</f>
        <v>0</v>
      </c>
      <c r="AS2">
        <f>BDH("TPCS US Equity","CUR_MKT_CAP","1993-06-18","2026-05-02","Per=M","Days=T","Dir=V")</f>
        <v>0</v>
      </c>
      <c r="AU2">
        <f>BDH("TPCS US Equity","EQY_SH_OUT","1993-06-18","2026-05-02","Per=M","Days=T","Dir=V")</f>
        <v>0</v>
      </c>
      <c r="AW2">
        <f>BDH("TPCS US Equity","PX_VOLUME","1993-06-18","2026-05-02","Per=M","Days=T","Dir=V")</f>
        <v>0</v>
      </c>
      <c r="AY2">
        <f>BDH("TPCS US Equity","TURNOVER","1993-06-18","2026-05-02","Per=M","Days=T","Dir=V")</f>
        <v>0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BDH("TPL US Equity","BS_TOT_ASSET","1993-06-18","2026-05-02","Per=Y","Days=T","Dir=V")</f>
        <v>0</v>
      </c>
      <c r="C2">
        <f>BDH("TPL US Equity","BS_TOT_LIAB2","1993-06-18","2026-05-02","Per=Y","Days=T","Dir=V")</f>
        <v>0</v>
      </c>
      <c r="E2">
        <f>BDH("TPL US Equity","SHORT_AND_LONG_TERM_DEBT","1993-06-18","2026-05-02","Per=Y","Days=T","Dir=V")</f>
        <v>0</v>
      </c>
      <c r="G2">
        <f>BDH("TPL US Equity","BS_ST_BORROW","1993-06-18","2026-05-02","Per=Y","Days=T","Dir=V")</f>
        <v>0</v>
      </c>
      <c r="I2">
        <f>BDH("TPL US Equity","BS_LT_BORROW","1993-06-18","2026-05-02","Per=Y","Days=T","Dir=V")</f>
        <v>0</v>
      </c>
      <c r="K2">
        <f>BDH("TPL US Equity","BS_CASH_NEAR_CASH_ITEM","1993-06-18","2026-05-02","Per=Y","Days=T","Dir=V")</f>
        <v>0</v>
      </c>
      <c r="M2">
        <f>BDH("TPL US Equity","BS_CUR_ASSET_REPORT","1993-06-18","2026-05-02","Per=Y","Days=T","Dir=V")</f>
        <v>0</v>
      </c>
      <c r="O2">
        <f>BDH("TPL US Equity","BS_CUR_LIAB","1993-06-18","2026-05-02","Per=Y","Days=T","Dir=V")</f>
        <v>0</v>
      </c>
      <c r="Q2">
        <f>BDH("TPL US Equity","BS_SHAREHOLDER_EQY_ENDING_PERIOD","1993-06-18","2026-05-02","Per=Y","Days=T","Dir=V")</f>
        <v>0</v>
      </c>
      <c r="S2">
        <f>BDH("TPL US Equity","BS_ACCT_NOTE_RCV","1993-06-18","2026-05-02","Per=Y","Days=T","Dir=V")</f>
        <v>0</v>
      </c>
      <c r="U2">
        <f>BDH("TPL US Equity","BS_INVENTORIES","1993-06-18","2026-05-02","Per=Y","Days=T","Dir=V")</f>
        <v>0</v>
      </c>
      <c r="W2">
        <f>BDH("TPL US Equity","WORKING_CAPITAL","1993-06-18","2026-05-02","Per=Y","Days=T","Dir=V")</f>
        <v>0</v>
      </c>
      <c r="Y2">
        <f>BDH("TPL US Equity","SALES_REV_TURN","1993-06-18","2026-05-02","Per=Y","Days=T","Dir=V")</f>
        <v>0</v>
      </c>
      <c r="AA2">
        <f>BDH("TPL US Equity","EBIT","1993-06-18","2026-05-02","Per=Y","Days=T","Dir=V")</f>
        <v>0</v>
      </c>
      <c r="AC2">
        <f>BDH("TPL US Equity","EBITDA","1993-06-18","2026-05-02","Per=Y","Days=T","Dir=V")</f>
        <v>0</v>
      </c>
      <c r="AE2">
        <f>BDH("TPL US Equity","NET_INCOME","1993-06-18","2026-05-02","Per=Y","Days=T","Dir=V")</f>
        <v>0</v>
      </c>
      <c r="AG2">
        <f>BDH("TPL US Equity","IS_INT_EXPENSE","1993-06-18","2026-05-02","Per=Y","Days=T","Dir=V")</f>
        <v>0</v>
      </c>
      <c r="AI2">
        <f>BDH("TPL US Equity","IS_DEPR_EXP","1993-06-18","2026-05-02","Per=Y","Days=T","Dir=V")</f>
        <v>0</v>
      </c>
      <c r="AK2">
        <f>BDH("TPL US Equity","CF_CASH_FROM_OPER","1993-06-18","2026-05-02","Per=Y","Days=T","Dir=V")</f>
        <v>0</v>
      </c>
      <c r="AM2">
        <f>BDH("TPL US Equity","CAPITAL_EXPEND","1993-06-18","2026-05-02","Per=Y","Days=T","Dir=V")</f>
        <v>0</v>
      </c>
      <c r="AO2">
        <f>BDH("TPL US Equity","CF_FREE_CASH_FLOW","1993-06-18","2026-05-02","Per=Y","Days=T","Dir=V")</f>
        <v>0</v>
      </c>
      <c r="AQ2">
        <f>BDH("TPL US Equity","PX_LAST","1993-06-18","2026-05-02","Per=M","Days=T","Dir=V")</f>
        <v>0</v>
      </c>
      <c r="AS2">
        <f>BDH("TPL US Equity","CUR_MKT_CAP","1993-06-18","2026-05-02","Per=M","Days=T","Dir=V")</f>
        <v>0</v>
      </c>
      <c r="AU2">
        <f>BDH("TPL US Equity","EQY_SH_OUT","1993-06-18","2026-05-02","Per=M","Days=T","Dir=V")</f>
        <v>0</v>
      </c>
      <c r="AW2">
        <f>BDH("TPL US Equity","PX_VOLUME","1993-06-18","2026-05-02","Per=M","Days=T","Dir=V")</f>
        <v>0</v>
      </c>
      <c r="AY2">
        <f>BDH("TPL US Equity","TURNOVER","1993-06-18","2026-05-02","Per=M","Days=T","Dir=V")</f>
        <v>0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BDH("TPR US Equity","BS_TOT_ASSET","1993-06-18","2026-05-02","Per=Y","Days=T","Dir=V")</f>
        <v>0</v>
      </c>
      <c r="C2">
        <f>BDH("TPR US Equity","BS_TOT_LIAB2","1993-06-18","2026-05-02","Per=Y","Days=T","Dir=V")</f>
        <v>0</v>
      </c>
      <c r="E2">
        <f>BDH("TPR US Equity","SHORT_AND_LONG_TERM_DEBT","1993-06-18","2026-05-02","Per=Y","Days=T","Dir=V")</f>
        <v>0</v>
      </c>
      <c r="G2">
        <f>BDH("TPR US Equity","BS_ST_BORROW","1993-06-18","2026-05-02","Per=Y","Days=T","Dir=V")</f>
        <v>0</v>
      </c>
      <c r="I2">
        <f>BDH("TPR US Equity","BS_LT_BORROW","1993-06-18","2026-05-02","Per=Y","Days=T","Dir=V")</f>
        <v>0</v>
      </c>
      <c r="K2">
        <f>BDH("TPR US Equity","BS_CASH_NEAR_CASH_ITEM","1993-06-18","2026-05-02","Per=Y","Days=T","Dir=V")</f>
        <v>0</v>
      </c>
      <c r="M2">
        <f>BDH("TPR US Equity","BS_CUR_ASSET_REPORT","1993-06-18","2026-05-02","Per=Y","Days=T","Dir=V")</f>
        <v>0</v>
      </c>
      <c r="O2">
        <f>BDH("TPR US Equity","BS_CUR_LIAB","1993-06-18","2026-05-02","Per=Y","Days=T","Dir=V")</f>
        <v>0</v>
      </c>
      <c r="Q2">
        <f>BDH("TPR US Equity","BS_SHAREHOLDER_EQY_ENDING_PERIOD","1993-06-18","2026-05-02","Per=Y","Days=T","Dir=V")</f>
        <v>0</v>
      </c>
      <c r="S2">
        <f>BDH("TPR US Equity","BS_ACCT_NOTE_RCV","1993-06-18","2026-05-02","Per=Y","Days=T","Dir=V")</f>
        <v>0</v>
      </c>
      <c r="U2">
        <f>BDH("TPR US Equity","BS_INVENTORIES","1993-06-18","2026-05-02","Per=Y","Days=T","Dir=V")</f>
        <v>0</v>
      </c>
      <c r="W2">
        <f>BDH("TPR US Equity","WORKING_CAPITAL","1993-06-18","2026-05-02","Per=Y","Days=T","Dir=V")</f>
        <v>0</v>
      </c>
      <c r="Y2">
        <f>BDH("TPR US Equity","SALES_REV_TURN","1993-06-18","2026-05-02","Per=Y","Days=T","Dir=V")</f>
        <v>0</v>
      </c>
      <c r="AA2">
        <f>BDH("TPR US Equity","EBIT","1993-06-18","2026-05-02","Per=Y","Days=T","Dir=V")</f>
        <v>0</v>
      </c>
      <c r="AC2">
        <f>BDH("TPR US Equity","EBITDA","1993-06-18","2026-05-02","Per=Y","Days=T","Dir=V")</f>
        <v>0</v>
      </c>
      <c r="AE2">
        <f>BDH("TPR US Equity","NET_INCOME","1993-06-18","2026-05-02","Per=Y","Days=T","Dir=V")</f>
        <v>0</v>
      </c>
      <c r="AG2">
        <f>BDH("TPR US Equity","IS_INT_EXPENSE","1993-06-18","2026-05-02","Per=Y","Days=T","Dir=V")</f>
        <v>0</v>
      </c>
      <c r="AI2">
        <f>BDH("TPR US Equity","IS_DEPR_EXP","1993-06-18","2026-05-02","Per=Y","Days=T","Dir=V")</f>
        <v>0</v>
      </c>
      <c r="AK2">
        <f>BDH("TPR US Equity","CF_CASH_FROM_OPER","1993-06-18","2026-05-02","Per=Y","Days=T","Dir=V")</f>
        <v>0</v>
      </c>
      <c r="AM2">
        <f>BDH("TPR US Equity","CAPITAL_EXPEND","1993-06-18","2026-05-02","Per=Y","Days=T","Dir=V")</f>
        <v>0</v>
      </c>
      <c r="AO2">
        <f>BDH("TPR US Equity","CF_FREE_CASH_FLOW","1993-06-18","2026-05-02","Per=Y","Days=T","Dir=V")</f>
        <v>0</v>
      </c>
      <c r="AQ2">
        <f>BDH("TPR US Equity","PX_LAST","1993-06-18","2026-05-02","Per=M","Days=T","Dir=V")</f>
        <v>0</v>
      </c>
      <c r="AS2">
        <f>BDH("TPR US Equity","CUR_MKT_CAP","1993-06-18","2026-05-02","Per=M","Days=T","Dir=V")</f>
        <v>0</v>
      </c>
      <c r="AU2">
        <f>BDH("TPR US Equity","EQY_SH_OUT","1993-06-18","2026-05-02","Per=M","Days=T","Dir=V")</f>
        <v>0</v>
      </c>
      <c r="AW2">
        <f>BDH("TPR US Equity","PX_VOLUME","1993-06-18","2026-05-02","Per=M","Days=T","Dir=V")</f>
        <v>0</v>
      </c>
      <c r="AY2">
        <f>BDH("TPR US Equity","TURNOVER","1993-06-18","2026-05-02","Per=M","Days=T","Dir=V")</f>
        <v>0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BDH("TPST US Equity","BS_TOT_ASSET","1993-06-18","2026-05-02","Per=Y","Days=T","Dir=V")</f>
        <v>0</v>
      </c>
      <c r="C2">
        <f>BDH("TPST US Equity","BS_TOT_LIAB2","1993-06-18","2026-05-02","Per=Y","Days=T","Dir=V")</f>
        <v>0</v>
      </c>
      <c r="E2">
        <f>BDH("TPST US Equity","SHORT_AND_LONG_TERM_DEBT","1993-06-18","2026-05-02","Per=Y","Days=T","Dir=V")</f>
        <v>0</v>
      </c>
      <c r="G2">
        <f>BDH("TPST US Equity","BS_ST_BORROW","1993-06-18","2026-05-02","Per=Y","Days=T","Dir=V")</f>
        <v>0</v>
      </c>
      <c r="I2">
        <f>BDH("TPST US Equity","BS_LT_BORROW","1993-06-18","2026-05-02","Per=Y","Days=T","Dir=V")</f>
        <v>0</v>
      </c>
      <c r="K2">
        <f>BDH("TPST US Equity","BS_CASH_NEAR_CASH_ITEM","1993-06-18","2026-05-02","Per=Y","Days=T","Dir=V")</f>
        <v>0</v>
      </c>
      <c r="M2">
        <f>BDH("TPST US Equity","BS_CUR_ASSET_REPORT","1993-06-18","2026-05-02","Per=Y","Days=T","Dir=V")</f>
        <v>0</v>
      </c>
      <c r="O2">
        <f>BDH("TPST US Equity","BS_CUR_LIAB","1993-06-18","2026-05-02","Per=Y","Days=T","Dir=V")</f>
        <v>0</v>
      </c>
      <c r="Q2">
        <f>BDH("TPST US Equity","BS_SHAREHOLDER_EQY_ENDING_PERIOD","1993-06-18","2026-05-02","Per=Y","Days=T","Dir=V")</f>
        <v>0</v>
      </c>
      <c r="S2">
        <f>BDH("TPST US Equity","BS_ACCT_NOTE_RCV","1993-06-18","2026-05-02","Per=Y","Days=T","Dir=V")</f>
        <v>0</v>
      </c>
      <c r="U2">
        <f>BDH("TPST US Equity","BS_INVENTORIES","1993-06-18","2026-05-02","Per=Y","Days=T","Dir=V")</f>
        <v>0</v>
      </c>
      <c r="W2">
        <f>BDH("TPST US Equity","WORKING_CAPITAL","1993-06-18","2026-05-02","Per=Y","Days=T","Dir=V")</f>
        <v>0</v>
      </c>
      <c r="Y2">
        <f>BDH("TPST US Equity","SALES_REV_TURN","1993-06-18","2026-05-02","Per=Y","Days=T","Dir=V")</f>
        <v>0</v>
      </c>
      <c r="AA2">
        <f>BDH("TPST US Equity","EBIT","1993-06-18","2026-05-02","Per=Y","Days=T","Dir=V")</f>
        <v>0</v>
      </c>
      <c r="AC2">
        <f>BDH("TPST US Equity","EBITDA","1993-06-18","2026-05-02","Per=Y","Days=T","Dir=V")</f>
        <v>0</v>
      </c>
      <c r="AE2">
        <f>BDH("TPST US Equity","NET_INCOME","1993-06-18","2026-05-02","Per=Y","Days=T","Dir=V")</f>
        <v>0</v>
      </c>
      <c r="AG2">
        <f>BDH("TPST US Equity","IS_INT_EXPENSE","1993-06-18","2026-05-02","Per=Y","Days=T","Dir=V")</f>
        <v>0</v>
      </c>
      <c r="AI2">
        <f>BDH("TPST US Equity","IS_DEPR_EXP","1993-06-18","2026-05-02","Per=Y","Days=T","Dir=V")</f>
        <v>0</v>
      </c>
      <c r="AK2">
        <f>BDH("TPST US Equity","CF_CASH_FROM_OPER","1993-06-18","2026-05-02","Per=Y","Days=T","Dir=V")</f>
        <v>0</v>
      </c>
      <c r="AM2">
        <f>BDH("TPST US Equity","CAPITAL_EXPEND","1993-06-18","2026-05-02","Per=Y","Days=T","Dir=V")</f>
        <v>0</v>
      </c>
      <c r="AO2">
        <f>BDH("TPST US Equity","CF_FREE_CASH_FLOW","1993-06-18","2026-05-02","Per=Y","Days=T","Dir=V")</f>
        <v>0</v>
      </c>
      <c r="AQ2">
        <f>BDH("TPST US Equity","PX_LAST","1993-06-18","2026-05-02","Per=M","Days=T","Dir=V")</f>
        <v>0</v>
      </c>
      <c r="AS2">
        <f>BDH("TPST US Equity","CUR_MKT_CAP","1993-06-18","2026-05-02","Per=M","Days=T","Dir=V")</f>
        <v>0</v>
      </c>
      <c r="AU2">
        <f>BDH("TPST US Equity","EQY_SH_OUT","1993-06-18","2026-05-02","Per=M","Days=T","Dir=V")</f>
        <v>0</v>
      </c>
      <c r="AW2">
        <f>BDH("TPST US Equity","PX_VOLUME","1993-06-18","2026-05-02","Per=M","Days=T","Dir=V")</f>
        <v>0</v>
      </c>
      <c r="AY2">
        <f>BDH("TPST US Equity","TURNOVER","1993-06-18","2026-05-02","Per=M","Days=T","Dir=V")</f>
        <v>0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BDH("TPVG US Equity","BS_TOT_ASSET","1993-06-18","2026-05-02","Per=Y","Days=T","Dir=V")</f>
        <v>0</v>
      </c>
      <c r="C2">
        <f>BDH("TPVG US Equity","BS_TOT_LIAB2","1993-06-18","2026-05-02","Per=Y","Days=T","Dir=V")</f>
        <v>0</v>
      </c>
      <c r="E2">
        <f>BDH("TPVG US Equity","SHORT_AND_LONG_TERM_DEBT","1993-06-18","2026-05-02","Per=Y","Days=T","Dir=V")</f>
        <v>0</v>
      </c>
      <c r="G2">
        <f>BDH("TPVG US Equity","BS_ST_BORROW","1993-06-18","2026-05-02","Per=Y","Days=T","Dir=V")</f>
        <v>0</v>
      </c>
      <c r="I2">
        <f>BDH("TPVG US Equity","BS_LT_BORROW","1993-06-18","2026-05-02","Per=Y","Days=T","Dir=V")</f>
        <v>0</v>
      </c>
      <c r="K2">
        <f>BDH("TPVG US Equity","BS_CASH_NEAR_CASH_ITEM","1993-06-18","2026-05-02","Per=Y","Days=T","Dir=V")</f>
        <v>0</v>
      </c>
      <c r="M2">
        <f>BDH("TPVG US Equity","BS_CUR_ASSET_REPORT","1993-06-18","2026-05-02","Per=Y","Days=T","Dir=V")</f>
        <v>0</v>
      </c>
      <c r="O2">
        <f>BDH("TPVG US Equity","BS_CUR_LIAB","1993-06-18","2026-05-02","Per=Y","Days=T","Dir=V")</f>
        <v>0</v>
      </c>
      <c r="Q2">
        <f>BDH("TPVG US Equity","BS_SHAREHOLDER_EQY_ENDING_PERIOD","1993-06-18","2026-05-02","Per=Y","Days=T","Dir=V")</f>
        <v>0</v>
      </c>
      <c r="S2">
        <f>BDH("TPVG US Equity","BS_ACCT_NOTE_RCV","1993-06-18","2026-05-02","Per=Y","Days=T","Dir=V")</f>
        <v>0</v>
      </c>
      <c r="U2">
        <f>BDH("TPVG US Equity","BS_INVENTORIES","1993-06-18","2026-05-02","Per=Y","Days=T","Dir=V")</f>
        <v>0</v>
      </c>
      <c r="W2">
        <f>BDH("TPVG US Equity","WORKING_CAPITAL","1993-06-18","2026-05-02","Per=Y","Days=T","Dir=V")</f>
        <v>0</v>
      </c>
      <c r="Y2">
        <f>BDH("TPVG US Equity","SALES_REV_TURN","1993-06-18","2026-05-02","Per=Y","Days=T","Dir=V")</f>
        <v>0</v>
      </c>
      <c r="AA2">
        <f>BDH("TPVG US Equity","EBIT","1993-06-18","2026-05-02","Per=Y","Days=T","Dir=V")</f>
        <v>0</v>
      </c>
      <c r="AC2">
        <f>BDH("TPVG US Equity","EBITDA","1993-06-18","2026-05-02","Per=Y","Days=T","Dir=V")</f>
        <v>0</v>
      </c>
      <c r="AE2">
        <f>BDH("TPVG US Equity","NET_INCOME","1993-06-18","2026-05-02","Per=Y","Days=T","Dir=V")</f>
        <v>0</v>
      </c>
      <c r="AG2">
        <f>BDH("TPVG US Equity","IS_INT_EXPENSE","1993-06-18","2026-05-02","Per=Y","Days=T","Dir=V")</f>
        <v>0</v>
      </c>
      <c r="AI2">
        <f>BDH("TPVG US Equity","IS_DEPR_EXP","1993-06-18","2026-05-02","Per=Y","Days=T","Dir=V")</f>
        <v>0</v>
      </c>
      <c r="AK2">
        <f>BDH("TPVG US Equity","CF_CASH_FROM_OPER","1993-06-18","2026-05-02","Per=Y","Days=T","Dir=V")</f>
        <v>0</v>
      </c>
      <c r="AM2">
        <f>BDH("TPVG US Equity","CAPITAL_EXPEND","1993-06-18","2026-05-02","Per=Y","Days=T","Dir=V")</f>
        <v>0</v>
      </c>
      <c r="AO2">
        <f>BDH("TPVG US Equity","CF_FREE_CASH_FLOW","1993-06-18","2026-05-02","Per=Y","Days=T","Dir=V")</f>
        <v>0</v>
      </c>
      <c r="AQ2">
        <f>BDH("TPVG US Equity","PX_LAST","1993-06-18","2026-05-02","Per=M","Days=T","Dir=V")</f>
        <v>0</v>
      </c>
      <c r="AS2">
        <f>BDH("TPVG US Equity","CUR_MKT_CAP","1993-06-18","2026-05-02","Per=M","Days=T","Dir=V")</f>
        <v>0</v>
      </c>
      <c r="AU2">
        <f>BDH("TPVG US Equity","EQY_SH_OUT","1993-06-18","2026-05-02","Per=M","Days=T","Dir=V")</f>
        <v>0</v>
      </c>
      <c r="AW2">
        <f>BDH("TPVG US Equity","PX_VOLUME","1993-06-18","2026-05-02","Per=M","Days=T","Dir=V")</f>
        <v>0</v>
      </c>
      <c r="AY2">
        <f>BDH("TPVG US Equity","TURNOVER","1993-06-18","2026-05-02","Per=M","Days=T","Dir=V")</f>
        <v>0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BDH("TR US Equity","BS_TOT_ASSET","1993-06-18","2026-05-02","Per=Y","Days=T","Dir=V")</f>
        <v>0</v>
      </c>
      <c r="C2">
        <f>BDH("TR US Equity","BS_TOT_LIAB2","1993-06-18","2026-05-02","Per=Y","Days=T","Dir=V")</f>
        <v>0</v>
      </c>
      <c r="E2">
        <f>BDH("TR US Equity","SHORT_AND_LONG_TERM_DEBT","1993-06-18","2026-05-02","Per=Y","Days=T","Dir=V")</f>
        <v>0</v>
      </c>
      <c r="G2">
        <f>BDH("TR US Equity","BS_ST_BORROW","1993-06-18","2026-05-02","Per=Y","Days=T","Dir=V")</f>
        <v>0</v>
      </c>
      <c r="I2">
        <f>BDH("TR US Equity","BS_LT_BORROW","1993-06-18","2026-05-02","Per=Y","Days=T","Dir=V")</f>
        <v>0</v>
      </c>
      <c r="K2">
        <f>BDH("TR US Equity","BS_CASH_NEAR_CASH_ITEM","1993-06-18","2026-05-02","Per=Y","Days=T","Dir=V")</f>
        <v>0</v>
      </c>
      <c r="M2">
        <f>BDH("TR US Equity","BS_CUR_ASSET_REPORT","1993-06-18","2026-05-02","Per=Y","Days=T","Dir=V")</f>
        <v>0</v>
      </c>
      <c r="O2">
        <f>BDH("TR US Equity","BS_CUR_LIAB","1993-06-18","2026-05-02","Per=Y","Days=T","Dir=V")</f>
        <v>0</v>
      </c>
      <c r="Q2">
        <f>BDH("TR US Equity","BS_SHAREHOLDER_EQY_ENDING_PERIOD","1993-06-18","2026-05-02","Per=Y","Days=T","Dir=V")</f>
        <v>0</v>
      </c>
      <c r="S2">
        <f>BDH("TR US Equity","BS_ACCT_NOTE_RCV","1993-06-18","2026-05-02","Per=Y","Days=T","Dir=V")</f>
        <v>0</v>
      </c>
      <c r="U2">
        <f>BDH("TR US Equity","BS_INVENTORIES","1993-06-18","2026-05-02","Per=Y","Days=T","Dir=V")</f>
        <v>0</v>
      </c>
      <c r="W2">
        <f>BDH("TR US Equity","WORKING_CAPITAL","1993-06-18","2026-05-02","Per=Y","Days=T","Dir=V")</f>
        <v>0</v>
      </c>
      <c r="Y2">
        <f>BDH("TR US Equity","SALES_REV_TURN","1993-06-18","2026-05-02","Per=Y","Days=T","Dir=V")</f>
        <v>0</v>
      </c>
      <c r="AA2">
        <f>BDH("TR US Equity","EBIT","1993-06-18","2026-05-02","Per=Y","Days=T","Dir=V")</f>
        <v>0</v>
      </c>
      <c r="AC2">
        <f>BDH("TR US Equity","EBITDA","1993-06-18","2026-05-02","Per=Y","Days=T","Dir=V")</f>
        <v>0</v>
      </c>
      <c r="AE2">
        <f>BDH("TR US Equity","NET_INCOME","1993-06-18","2026-05-02","Per=Y","Days=T","Dir=V")</f>
        <v>0</v>
      </c>
      <c r="AG2">
        <f>BDH("TR US Equity","IS_INT_EXPENSE","1993-06-18","2026-05-02","Per=Y","Days=T","Dir=V")</f>
        <v>0</v>
      </c>
      <c r="AI2">
        <f>BDH("TR US Equity","IS_DEPR_EXP","1993-06-18","2026-05-02","Per=Y","Days=T","Dir=V")</f>
        <v>0</v>
      </c>
      <c r="AK2">
        <f>BDH("TR US Equity","CF_CASH_FROM_OPER","1993-06-18","2026-05-02","Per=Y","Days=T","Dir=V")</f>
        <v>0</v>
      </c>
      <c r="AM2">
        <f>BDH("TR US Equity","CAPITAL_EXPEND","1993-06-18","2026-05-02","Per=Y","Days=T","Dir=V")</f>
        <v>0</v>
      </c>
      <c r="AO2">
        <f>BDH("TR US Equity","CF_FREE_CASH_FLOW","1993-06-18","2026-05-02","Per=Y","Days=T","Dir=V")</f>
        <v>0</v>
      </c>
      <c r="AQ2">
        <f>BDH("TR US Equity","PX_LAST","1993-06-18","2026-05-02","Per=M","Days=T","Dir=V")</f>
        <v>0</v>
      </c>
      <c r="AS2">
        <f>BDH("TR US Equity","CUR_MKT_CAP","1993-06-18","2026-05-02","Per=M","Days=T","Dir=V")</f>
        <v>0</v>
      </c>
      <c r="AU2">
        <f>BDH("TR US Equity","EQY_SH_OUT","1993-06-18","2026-05-02","Per=M","Days=T","Dir=V")</f>
        <v>0</v>
      </c>
      <c r="AW2">
        <f>BDH("TR US Equity","PX_VOLUME","1993-06-18","2026-05-02","Per=M","Days=T","Dir=V")</f>
        <v>0</v>
      </c>
      <c r="AY2">
        <f>BDH("TR US Equity","TURNOVER","1993-06-18","2026-05-02","Per=M","Days=T","Dir=V")</f>
        <v>0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BDH("TRAK US Equity","BS_TOT_ASSET","1993-06-18","2026-05-02","Per=Y","Days=T","Dir=V")</f>
        <v>0</v>
      </c>
      <c r="C2">
        <f>BDH("TRAK US Equity","BS_TOT_LIAB2","1993-06-18","2026-05-02","Per=Y","Days=T","Dir=V")</f>
        <v>0</v>
      </c>
      <c r="E2">
        <f>BDH("TRAK US Equity","SHORT_AND_LONG_TERM_DEBT","1993-06-18","2026-05-02","Per=Y","Days=T","Dir=V")</f>
        <v>0</v>
      </c>
      <c r="G2">
        <f>BDH("TRAK US Equity","BS_ST_BORROW","1993-06-18","2026-05-02","Per=Y","Days=T","Dir=V")</f>
        <v>0</v>
      </c>
      <c r="I2">
        <f>BDH("TRAK US Equity","BS_LT_BORROW","1993-06-18","2026-05-02","Per=Y","Days=T","Dir=V")</f>
        <v>0</v>
      </c>
      <c r="K2">
        <f>BDH("TRAK US Equity","BS_CASH_NEAR_CASH_ITEM","1993-06-18","2026-05-02","Per=Y","Days=T","Dir=V")</f>
        <v>0</v>
      </c>
      <c r="M2">
        <f>BDH("TRAK US Equity","BS_CUR_ASSET_REPORT","1993-06-18","2026-05-02","Per=Y","Days=T","Dir=V")</f>
        <v>0</v>
      </c>
      <c r="O2">
        <f>BDH("TRAK US Equity","BS_CUR_LIAB","1993-06-18","2026-05-02","Per=Y","Days=T","Dir=V")</f>
        <v>0</v>
      </c>
      <c r="Q2">
        <f>BDH("TRAK US Equity","BS_SHAREHOLDER_EQY_ENDING_PERIOD","1993-06-18","2026-05-02","Per=Y","Days=T","Dir=V")</f>
        <v>0</v>
      </c>
      <c r="S2">
        <f>BDH("TRAK US Equity","BS_ACCT_NOTE_RCV","1993-06-18","2026-05-02","Per=Y","Days=T","Dir=V")</f>
        <v>0</v>
      </c>
      <c r="U2">
        <f>BDH("TRAK US Equity","BS_INVENTORIES","1993-06-18","2026-05-02","Per=Y","Days=T","Dir=V")</f>
        <v>0</v>
      </c>
      <c r="W2">
        <f>BDH("TRAK US Equity","WORKING_CAPITAL","1993-06-18","2026-05-02","Per=Y","Days=T","Dir=V")</f>
        <v>0</v>
      </c>
      <c r="Y2">
        <f>BDH("TRAK US Equity","SALES_REV_TURN","1993-06-18","2026-05-02","Per=Y","Days=T","Dir=V")</f>
        <v>0</v>
      </c>
      <c r="AA2">
        <f>BDH("TRAK US Equity","EBIT","1993-06-18","2026-05-02","Per=Y","Days=T","Dir=V")</f>
        <v>0</v>
      </c>
      <c r="AC2">
        <f>BDH("TRAK US Equity","EBITDA","1993-06-18","2026-05-02","Per=Y","Days=T","Dir=V")</f>
        <v>0</v>
      </c>
      <c r="AE2">
        <f>BDH("TRAK US Equity","NET_INCOME","1993-06-18","2026-05-02","Per=Y","Days=T","Dir=V")</f>
        <v>0</v>
      </c>
      <c r="AG2">
        <f>BDH("TRAK US Equity","IS_INT_EXPENSE","1993-06-18","2026-05-02","Per=Y","Days=T","Dir=V")</f>
        <v>0</v>
      </c>
      <c r="AI2">
        <f>BDH("TRAK US Equity","IS_DEPR_EXP","1993-06-18","2026-05-02","Per=Y","Days=T","Dir=V")</f>
        <v>0</v>
      </c>
      <c r="AK2">
        <f>BDH("TRAK US Equity","CF_CASH_FROM_OPER","1993-06-18","2026-05-02","Per=Y","Days=T","Dir=V")</f>
        <v>0</v>
      </c>
      <c r="AM2">
        <f>BDH("TRAK US Equity","CAPITAL_EXPEND","1993-06-18","2026-05-02","Per=Y","Days=T","Dir=V")</f>
        <v>0</v>
      </c>
      <c r="AO2">
        <f>BDH("TRAK US Equity","CF_FREE_CASH_FLOW","1993-06-18","2026-05-02","Per=Y","Days=T","Dir=V")</f>
        <v>0</v>
      </c>
      <c r="AQ2">
        <f>BDH("TRAK US Equity","PX_LAST","1993-06-18","2026-05-02","Per=M","Days=T","Dir=V")</f>
        <v>0</v>
      </c>
      <c r="AS2">
        <f>BDH("TRAK US Equity","CUR_MKT_CAP","1993-06-18","2026-05-02","Per=M","Days=T","Dir=V")</f>
        <v>0</v>
      </c>
      <c r="AU2">
        <f>BDH("TRAK US Equity","EQY_SH_OUT","1993-06-18","2026-05-02","Per=M","Days=T","Dir=V")</f>
        <v>0</v>
      </c>
      <c r="AW2">
        <f>BDH("TRAK US Equity","PX_VOLUME","1993-06-18","2026-05-02","Per=M","Days=T","Dir=V")</f>
        <v>0</v>
      </c>
      <c r="AY2">
        <f>BDH("TRAK US Equity","TURNOVER","1993-06-18","2026-05-02","Per=M","Days=T","Dir=V")</f>
        <v>0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BDH("TRAW US Equity","BS_TOT_ASSET","1993-06-18","2026-05-02","Per=Y","Days=T","Dir=V")</f>
        <v>0</v>
      </c>
      <c r="C2">
        <f>BDH("TRAW US Equity","BS_TOT_LIAB2","1993-06-18","2026-05-02","Per=Y","Days=T","Dir=V")</f>
        <v>0</v>
      </c>
      <c r="E2">
        <f>BDH("TRAW US Equity","SHORT_AND_LONG_TERM_DEBT","1993-06-18","2026-05-02","Per=Y","Days=T","Dir=V")</f>
        <v>0</v>
      </c>
      <c r="G2">
        <f>BDH("TRAW US Equity","BS_ST_BORROW","1993-06-18","2026-05-02","Per=Y","Days=T","Dir=V")</f>
        <v>0</v>
      </c>
      <c r="I2">
        <f>BDH("TRAW US Equity","BS_LT_BORROW","1993-06-18","2026-05-02","Per=Y","Days=T","Dir=V")</f>
        <v>0</v>
      </c>
      <c r="K2">
        <f>BDH("TRAW US Equity","BS_CASH_NEAR_CASH_ITEM","1993-06-18","2026-05-02","Per=Y","Days=T","Dir=V")</f>
        <v>0</v>
      </c>
      <c r="M2">
        <f>BDH("TRAW US Equity","BS_CUR_ASSET_REPORT","1993-06-18","2026-05-02","Per=Y","Days=T","Dir=V")</f>
        <v>0</v>
      </c>
      <c r="O2">
        <f>BDH("TRAW US Equity","BS_CUR_LIAB","1993-06-18","2026-05-02","Per=Y","Days=T","Dir=V")</f>
        <v>0</v>
      </c>
      <c r="Q2">
        <f>BDH("TRAW US Equity","BS_SHAREHOLDER_EQY_ENDING_PERIOD","1993-06-18","2026-05-02","Per=Y","Days=T","Dir=V")</f>
        <v>0</v>
      </c>
      <c r="S2">
        <f>BDH("TRAW US Equity","BS_ACCT_NOTE_RCV","1993-06-18","2026-05-02","Per=Y","Days=T","Dir=V")</f>
        <v>0</v>
      </c>
      <c r="U2">
        <f>BDH("TRAW US Equity","BS_INVENTORIES","1993-06-18","2026-05-02","Per=Y","Days=T","Dir=V")</f>
        <v>0</v>
      </c>
      <c r="W2">
        <f>BDH("TRAW US Equity","WORKING_CAPITAL","1993-06-18","2026-05-02","Per=Y","Days=T","Dir=V")</f>
        <v>0</v>
      </c>
      <c r="Y2">
        <f>BDH("TRAW US Equity","SALES_REV_TURN","1993-06-18","2026-05-02","Per=Y","Days=T","Dir=V")</f>
        <v>0</v>
      </c>
      <c r="AA2">
        <f>BDH("TRAW US Equity","EBIT","1993-06-18","2026-05-02","Per=Y","Days=T","Dir=V")</f>
        <v>0</v>
      </c>
      <c r="AC2">
        <f>BDH("TRAW US Equity","EBITDA","1993-06-18","2026-05-02","Per=Y","Days=T","Dir=V")</f>
        <v>0</v>
      </c>
      <c r="AE2">
        <f>BDH("TRAW US Equity","NET_INCOME","1993-06-18","2026-05-02","Per=Y","Days=T","Dir=V")</f>
        <v>0</v>
      </c>
      <c r="AG2">
        <f>BDH("TRAW US Equity","IS_INT_EXPENSE","1993-06-18","2026-05-02","Per=Y","Days=T","Dir=V")</f>
        <v>0</v>
      </c>
      <c r="AI2">
        <f>BDH("TRAW US Equity","IS_DEPR_EXP","1993-06-18","2026-05-02","Per=Y","Days=T","Dir=V")</f>
        <v>0</v>
      </c>
      <c r="AK2">
        <f>BDH("TRAW US Equity","CF_CASH_FROM_OPER","1993-06-18","2026-05-02","Per=Y","Days=T","Dir=V")</f>
        <v>0</v>
      </c>
      <c r="AM2">
        <f>BDH("TRAW US Equity","CAPITAL_EXPEND","1993-06-18","2026-05-02","Per=Y","Days=T","Dir=V")</f>
        <v>0</v>
      </c>
      <c r="AO2">
        <f>BDH("TRAW US Equity","CF_FREE_CASH_FLOW","1993-06-18","2026-05-02","Per=Y","Days=T","Dir=V")</f>
        <v>0</v>
      </c>
      <c r="AQ2">
        <f>BDH("TRAW US Equity","PX_LAST","1993-06-18","2026-05-02","Per=M","Days=T","Dir=V")</f>
        <v>0</v>
      </c>
      <c r="AS2">
        <f>BDH("TRAW US Equity","CUR_MKT_CAP","1993-06-18","2026-05-02","Per=M","Days=T","Dir=V")</f>
        <v>0</v>
      </c>
      <c r="AU2">
        <f>BDH("TRAW US Equity","EQY_SH_OUT","1993-06-18","2026-05-02","Per=M","Days=T","Dir=V")</f>
        <v>0</v>
      </c>
      <c r="AW2">
        <f>BDH("TRAW US Equity","PX_VOLUME","1993-06-18","2026-05-02","Per=M","Days=T","Dir=V")</f>
        <v>0</v>
      </c>
      <c r="AY2">
        <f>BDH("TRAW US Equity","TURNOVER","1993-06-18","2026-05-02","Per=M","Days=T","Dir=V")</f>
        <v>0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BDH("TRAX US Equity","BS_TOT_ASSET","1993-06-18","2026-05-02","Per=Y","Days=T","Dir=V")</f>
        <v>0</v>
      </c>
      <c r="C2">
        <f>BDH("TRAX US Equity","BS_TOT_LIAB2","1993-06-18","2026-05-02","Per=Y","Days=T","Dir=V")</f>
        <v>0</v>
      </c>
      <c r="E2">
        <f>BDH("TRAX US Equity","SHORT_AND_LONG_TERM_DEBT","1993-06-18","2026-05-02","Per=Y","Days=T","Dir=V")</f>
        <v>0</v>
      </c>
      <c r="G2">
        <f>BDH("TRAX US Equity","BS_ST_BORROW","1993-06-18","2026-05-02","Per=Y","Days=T","Dir=V")</f>
        <v>0</v>
      </c>
      <c r="I2">
        <f>BDH("TRAX US Equity","BS_LT_BORROW","1993-06-18","2026-05-02","Per=Y","Days=T","Dir=V")</f>
        <v>0</v>
      </c>
      <c r="K2">
        <f>BDH("TRAX US Equity","BS_CASH_NEAR_CASH_ITEM","1993-06-18","2026-05-02","Per=Y","Days=T","Dir=V")</f>
        <v>0</v>
      </c>
      <c r="M2">
        <f>BDH("TRAX US Equity","BS_CUR_ASSET_REPORT","1993-06-18","2026-05-02","Per=Y","Days=T","Dir=V")</f>
        <v>0</v>
      </c>
      <c r="O2">
        <f>BDH("TRAX US Equity","BS_CUR_LIAB","1993-06-18","2026-05-02","Per=Y","Days=T","Dir=V")</f>
        <v>0</v>
      </c>
      <c r="Q2">
        <f>BDH("TRAX US Equity","BS_SHAREHOLDER_EQY_ENDING_PERIOD","1993-06-18","2026-05-02","Per=Y","Days=T","Dir=V")</f>
        <v>0</v>
      </c>
      <c r="S2">
        <f>BDH("TRAX US Equity","BS_ACCT_NOTE_RCV","1993-06-18","2026-05-02","Per=Y","Days=T","Dir=V")</f>
        <v>0</v>
      </c>
      <c r="U2">
        <f>BDH("TRAX US Equity","BS_INVENTORIES","1993-06-18","2026-05-02","Per=Y","Days=T","Dir=V")</f>
        <v>0</v>
      </c>
      <c r="W2">
        <f>BDH("TRAX US Equity","WORKING_CAPITAL","1993-06-18","2026-05-02","Per=Y","Days=T","Dir=V")</f>
        <v>0</v>
      </c>
      <c r="Y2">
        <f>BDH("TRAX US Equity","SALES_REV_TURN","1993-06-18","2026-05-02","Per=Y","Days=T","Dir=V")</f>
        <v>0</v>
      </c>
      <c r="AA2">
        <f>BDH("TRAX US Equity","EBIT","1993-06-18","2026-05-02","Per=Y","Days=T","Dir=V")</f>
        <v>0</v>
      </c>
      <c r="AC2">
        <f>BDH("TRAX US Equity","EBITDA","1993-06-18","2026-05-02","Per=Y","Days=T","Dir=V")</f>
        <v>0</v>
      </c>
      <c r="AE2">
        <f>BDH("TRAX US Equity","NET_INCOME","1993-06-18","2026-05-02","Per=Y","Days=T","Dir=V")</f>
        <v>0</v>
      </c>
      <c r="AG2">
        <f>BDH("TRAX US Equity","IS_INT_EXPENSE","1993-06-18","2026-05-02","Per=Y","Days=T","Dir=V")</f>
        <v>0</v>
      </c>
      <c r="AI2">
        <f>BDH("TRAX US Equity","IS_DEPR_EXP","1993-06-18","2026-05-02","Per=Y","Days=T","Dir=V")</f>
        <v>0</v>
      </c>
      <c r="AK2">
        <f>BDH("TRAX US Equity","CF_CASH_FROM_OPER","1993-06-18","2026-05-02","Per=Y","Days=T","Dir=V")</f>
        <v>0</v>
      </c>
      <c r="AM2">
        <f>BDH("TRAX US Equity","CAPITAL_EXPEND","1993-06-18","2026-05-02","Per=Y","Days=T","Dir=V")</f>
        <v>0</v>
      </c>
      <c r="AO2">
        <f>BDH("TRAX US Equity","CF_FREE_CASH_FLOW","1993-06-18","2026-05-02","Per=Y","Days=T","Dir=V")</f>
        <v>0</v>
      </c>
      <c r="AQ2">
        <f>BDH("TRAX US Equity","PX_LAST","1993-06-18","2026-05-02","Per=M","Days=T","Dir=V")</f>
        <v>0</v>
      </c>
      <c r="AS2">
        <f>BDH("TRAX US Equity","CUR_MKT_CAP","1993-06-18","2026-05-02","Per=M","Days=T","Dir=V")</f>
        <v>0</v>
      </c>
      <c r="AU2">
        <f>BDH("TRAX US Equity","EQY_SH_OUT","1993-06-18","2026-05-02","Per=M","Days=T","Dir=V")</f>
        <v>0</v>
      </c>
      <c r="AW2">
        <f>BDH("TRAX US Equity","PX_VOLUME","1993-06-18","2026-05-02","Per=M","Days=T","Dir=V")</f>
        <v>0</v>
      </c>
      <c r="AY2">
        <f>BDH("TRAX US Equity","TURNOVER","1993-06-18","2026-05-02","Per=M","Days=T","Dir=V")</f>
        <v>0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BDH("TRDA US Equity","BS_TOT_ASSET","1993-06-18","2026-05-02","Per=Y","Days=T","Dir=V")</f>
        <v>0</v>
      </c>
      <c r="C2">
        <f>BDH("TRDA US Equity","BS_TOT_LIAB2","1993-06-18","2026-05-02","Per=Y","Days=T","Dir=V")</f>
        <v>0</v>
      </c>
      <c r="E2">
        <f>BDH("TRDA US Equity","SHORT_AND_LONG_TERM_DEBT","1993-06-18","2026-05-02","Per=Y","Days=T","Dir=V")</f>
        <v>0</v>
      </c>
      <c r="G2">
        <f>BDH("TRDA US Equity","BS_ST_BORROW","1993-06-18","2026-05-02","Per=Y","Days=T","Dir=V")</f>
        <v>0</v>
      </c>
      <c r="I2">
        <f>BDH("TRDA US Equity","BS_LT_BORROW","1993-06-18","2026-05-02","Per=Y","Days=T","Dir=V")</f>
        <v>0</v>
      </c>
      <c r="K2">
        <f>BDH("TRDA US Equity","BS_CASH_NEAR_CASH_ITEM","1993-06-18","2026-05-02","Per=Y","Days=T","Dir=V")</f>
        <v>0</v>
      </c>
      <c r="M2">
        <f>BDH("TRDA US Equity","BS_CUR_ASSET_REPORT","1993-06-18","2026-05-02","Per=Y","Days=T","Dir=V")</f>
        <v>0</v>
      </c>
      <c r="O2">
        <f>BDH("TRDA US Equity","BS_CUR_LIAB","1993-06-18","2026-05-02","Per=Y","Days=T","Dir=V")</f>
        <v>0</v>
      </c>
      <c r="Q2">
        <f>BDH("TRDA US Equity","BS_SHAREHOLDER_EQY_ENDING_PERIOD","1993-06-18","2026-05-02","Per=Y","Days=T","Dir=V")</f>
        <v>0</v>
      </c>
      <c r="S2">
        <f>BDH("TRDA US Equity","BS_ACCT_NOTE_RCV","1993-06-18","2026-05-02","Per=Y","Days=T","Dir=V")</f>
        <v>0</v>
      </c>
      <c r="U2">
        <f>BDH("TRDA US Equity","BS_INVENTORIES","1993-06-18","2026-05-02","Per=Y","Days=T","Dir=V")</f>
        <v>0</v>
      </c>
      <c r="W2">
        <f>BDH("TRDA US Equity","WORKING_CAPITAL","1993-06-18","2026-05-02","Per=Y","Days=T","Dir=V")</f>
        <v>0</v>
      </c>
      <c r="Y2">
        <f>BDH("TRDA US Equity","SALES_REV_TURN","1993-06-18","2026-05-02","Per=Y","Days=T","Dir=V")</f>
        <v>0</v>
      </c>
      <c r="AA2">
        <f>BDH("TRDA US Equity","EBIT","1993-06-18","2026-05-02","Per=Y","Days=T","Dir=V")</f>
        <v>0</v>
      </c>
      <c r="AC2">
        <f>BDH("TRDA US Equity","EBITDA","1993-06-18","2026-05-02","Per=Y","Days=T","Dir=V")</f>
        <v>0</v>
      </c>
      <c r="AE2">
        <f>BDH("TRDA US Equity","NET_INCOME","1993-06-18","2026-05-02","Per=Y","Days=T","Dir=V")</f>
        <v>0</v>
      </c>
      <c r="AG2">
        <f>BDH("TRDA US Equity","IS_INT_EXPENSE","1993-06-18","2026-05-02","Per=Y","Days=T","Dir=V")</f>
        <v>0</v>
      </c>
      <c r="AI2">
        <f>BDH("TRDA US Equity","IS_DEPR_EXP","1993-06-18","2026-05-02","Per=Y","Days=T","Dir=V")</f>
        <v>0</v>
      </c>
      <c r="AK2">
        <f>BDH("TRDA US Equity","CF_CASH_FROM_OPER","1993-06-18","2026-05-02","Per=Y","Days=T","Dir=V")</f>
        <v>0</v>
      </c>
      <c r="AM2">
        <f>BDH("TRDA US Equity","CAPITAL_EXPEND","1993-06-18","2026-05-02","Per=Y","Days=T","Dir=V")</f>
        <v>0</v>
      </c>
      <c r="AO2">
        <f>BDH("TRDA US Equity","CF_FREE_CASH_FLOW","1993-06-18","2026-05-02","Per=Y","Days=T","Dir=V")</f>
        <v>0</v>
      </c>
      <c r="AQ2">
        <f>BDH("TRDA US Equity","PX_LAST","1993-06-18","2026-05-02","Per=M","Days=T","Dir=V")</f>
        <v>0</v>
      </c>
      <c r="AS2">
        <f>BDH("TRDA US Equity","CUR_MKT_CAP","1993-06-18","2026-05-02","Per=M","Days=T","Dir=V")</f>
        <v>0</v>
      </c>
      <c r="AU2">
        <f>BDH("TRDA US Equity","EQY_SH_OUT","1993-06-18","2026-05-02","Per=M","Days=T","Dir=V")</f>
        <v>0</v>
      </c>
      <c r="AW2">
        <f>BDH("TRDA US Equity","PX_VOLUME","1993-06-18","2026-05-02","Per=M","Days=T","Dir=V")</f>
        <v>0</v>
      </c>
      <c r="AY2">
        <f>BDH("TRDA US Equity","TURNOVER","1993-06-18","2026-05-02","Per=M","Days=T","Dir=V")</f>
        <v>0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BDH("TREX US Equity","BS_TOT_ASSET","1993-06-18","2026-05-02","Per=Y","Days=T","Dir=V")</f>
        <v>0</v>
      </c>
      <c r="C2">
        <f>BDH("TREX US Equity","BS_TOT_LIAB2","1993-06-18","2026-05-02","Per=Y","Days=T","Dir=V")</f>
        <v>0</v>
      </c>
      <c r="E2">
        <f>BDH("TREX US Equity","SHORT_AND_LONG_TERM_DEBT","1993-06-18","2026-05-02","Per=Y","Days=T","Dir=V")</f>
        <v>0</v>
      </c>
      <c r="G2">
        <f>BDH("TREX US Equity","BS_ST_BORROW","1993-06-18","2026-05-02","Per=Y","Days=T","Dir=V")</f>
        <v>0</v>
      </c>
      <c r="I2">
        <f>BDH("TREX US Equity","BS_LT_BORROW","1993-06-18","2026-05-02","Per=Y","Days=T","Dir=V")</f>
        <v>0</v>
      </c>
      <c r="K2">
        <f>BDH("TREX US Equity","BS_CASH_NEAR_CASH_ITEM","1993-06-18","2026-05-02","Per=Y","Days=T","Dir=V")</f>
        <v>0</v>
      </c>
      <c r="M2">
        <f>BDH("TREX US Equity","BS_CUR_ASSET_REPORT","1993-06-18","2026-05-02","Per=Y","Days=T","Dir=V")</f>
        <v>0</v>
      </c>
      <c r="O2">
        <f>BDH("TREX US Equity","BS_CUR_LIAB","1993-06-18","2026-05-02","Per=Y","Days=T","Dir=V")</f>
        <v>0</v>
      </c>
      <c r="Q2">
        <f>BDH("TREX US Equity","BS_SHAREHOLDER_EQY_ENDING_PERIOD","1993-06-18","2026-05-02","Per=Y","Days=T","Dir=V")</f>
        <v>0</v>
      </c>
      <c r="S2">
        <f>BDH("TREX US Equity","BS_ACCT_NOTE_RCV","1993-06-18","2026-05-02","Per=Y","Days=T","Dir=V")</f>
        <v>0</v>
      </c>
      <c r="U2">
        <f>BDH("TREX US Equity","BS_INVENTORIES","1993-06-18","2026-05-02","Per=Y","Days=T","Dir=V")</f>
        <v>0</v>
      </c>
      <c r="W2">
        <f>BDH("TREX US Equity","WORKING_CAPITAL","1993-06-18","2026-05-02","Per=Y","Days=T","Dir=V")</f>
        <v>0</v>
      </c>
      <c r="Y2">
        <f>BDH("TREX US Equity","SALES_REV_TURN","1993-06-18","2026-05-02","Per=Y","Days=T","Dir=V")</f>
        <v>0</v>
      </c>
      <c r="AA2">
        <f>BDH("TREX US Equity","EBIT","1993-06-18","2026-05-02","Per=Y","Days=T","Dir=V")</f>
        <v>0</v>
      </c>
      <c r="AC2">
        <f>BDH("TREX US Equity","EBITDA","1993-06-18","2026-05-02","Per=Y","Days=T","Dir=V")</f>
        <v>0</v>
      </c>
      <c r="AE2">
        <f>BDH("TREX US Equity","NET_INCOME","1993-06-18","2026-05-02","Per=Y","Days=T","Dir=V")</f>
        <v>0</v>
      </c>
      <c r="AG2">
        <f>BDH("TREX US Equity","IS_INT_EXPENSE","1993-06-18","2026-05-02","Per=Y","Days=T","Dir=V")</f>
        <v>0</v>
      </c>
      <c r="AI2">
        <f>BDH("TREX US Equity","IS_DEPR_EXP","1993-06-18","2026-05-02","Per=Y","Days=T","Dir=V")</f>
        <v>0</v>
      </c>
      <c r="AK2">
        <f>BDH("TREX US Equity","CF_CASH_FROM_OPER","1993-06-18","2026-05-02","Per=Y","Days=T","Dir=V")</f>
        <v>0</v>
      </c>
      <c r="AM2">
        <f>BDH("TREX US Equity","CAPITAL_EXPEND","1993-06-18","2026-05-02","Per=Y","Days=T","Dir=V")</f>
        <v>0</v>
      </c>
      <c r="AO2">
        <f>BDH("TREX US Equity","CF_FREE_CASH_FLOW","1993-06-18","2026-05-02","Per=Y","Days=T","Dir=V")</f>
        <v>0</v>
      </c>
      <c r="AQ2">
        <f>BDH("TREX US Equity","PX_LAST","1993-06-18","2026-05-02","Per=M","Days=T","Dir=V")</f>
        <v>0</v>
      </c>
      <c r="AS2">
        <f>BDH("TREX US Equity","CUR_MKT_CAP","1993-06-18","2026-05-02","Per=M","Days=T","Dir=V")</f>
        <v>0</v>
      </c>
      <c r="AU2">
        <f>BDH("TREX US Equity","EQY_SH_OUT","1993-06-18","2026-05-02","Per=M","Days=T","Dir=V")</f>
        <v>0</v>
      </c>
      <c r="AW2">
        <f>BDH("TREX US Equity","PX_VOLUME","1993-06-18","2026-05-02","Per=M","Days=T","Dir=V")</f>
        <v>0</v>
      </c>
      <c r="AY2">
        <f>BDH("TREX US Equity","TURNOVER","1993-06-18","2026-05-02","Per=M","Days=T","Dir=V")</f>
        <v>0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BDH("TRGP US Equity","BS_TOT_ASSET","1993-06-18","2026-05-02","Per=Y","Days=T","Dir=V")</f>
        <v>0</v>
      </c>
      <c r="C2">
        <f>BDH("TRGP US Equity","BS_TOT_LIAB2","1993-06-18","2026-05-02","Per=Y","Days=T","Dir=V")</f>
        <v>0</v>
      </c>
      <c r="E2">
        <f>BDH("TRGP US Equity","SHORT_AND_LONG_TERM_DEBT","1993-06-18","2026-05-02","Per=Y","Days=T","Dir=V")</f>
        <v>0</v>
      </c>
      <c r="G2">
        <f>BDH("TRGP US Equity","BS_ST_BORROW","1993-06-18","2026-05-02","Per=Y","Days=T","Dir=V")</f>
        <v>0</v>
      </c>
      <c r="I2">
        <f>BDH("TRGP US Equity","BS_LT_BORROW","1993-06-18","2026-05-02","Per=Y","Days=T","Dir=V")</f>
        <v>0</v>
      </c>
      <c r="K2">
        <f>BDH("TRGP US Equity","BS_CASH_NEAR_CASH_ITEM","1993-06-18","2026-05-02","Per=Y","Days=T","Dir=V")</f>
        <v>0</v>
      </c>
      <c r="M2">
        <f>BDH("TRGP US Equity","BS_CUR_ASSET_REPORT","1993-06-18","2026-05-02","Per=Y","Days=T","Dir=V")</f>
        <v>0</v>
      </c>
      <c r="O2">
        <f>BDH("TRGP US Equity","BS_CUR_LIAB","1993-06-18","2026-05-02","Per=Y","Days=T","Dir=V")</f>
        <v>0</v>
      </c>
      <c r="Q2">
        <f>BDH("TRGP US Equity","BS_SHAREHOLDER_EQY_ENDING_PERIOD","1993-06-18","2026-05-02","Per=Y","Days=T","Dir=V")</f>
        <v>0</v>
      </c>
      <c r="S2">
        <f>BDH("TRGP US Equity","BS_ACCT_NOTE_RCV","1993-06-18","2026-05-02","Per=Y","Days=T","Dir=V")</f>
        <v>0</v>
      </c>
      <c r="U2">
        <f>BDH("TRGP US Equity","BS_INVENTORIES","1993-06-18","2026-05-02","Per=Y","Days=T","Dir=V")</f>
        <v>0</v>
      </c>
      <c r="W2">
        <f>BDH("TRGP US Equity","WORKING_CAPITAL","1993-06-18","2026-05-02","Per=Y","Days=T","Dir=V")</f>
        <v>0</v>
      </c>
      <c r="Y2">
        <f>BDH("TRGP US Equity","SALES_REV_TURN","1993-06-18","2026-05-02","Per=Y","Days=T","Dir=V")</f>
        <v>0</v>
      </c>
      <c r="AA2">
        <f>BDH("TRGP US Equity","EBIT","1993-06-18","2026-05-02","Per=Y","Days=T","Dir=V")</f>
        <v>0</v>
      </c>
      <c r="AC2">
        <f>BDH("TRGP US Equity","EBITDA","1993-06-18","2026-05-02","Per=Y","Days=T","Dir=V")</f>
        <v>0</v>
      </c>
      <c r="AE2">
        <f>BDH("TRGP US Equity","NET_INCOME","1993-06-18","2026-05-02","Per=Y","Days=T","Dir=V")</f>
        <v>0</v>
      </c>
      <c r="AG2">
        <f>BDH("TRGP US Equity","IS_INT_EXPENSE","1993-06-18","2026-05-02","Per=Y","Days=T","Dir=V")</f>
        <v>0</v>
      </c>
      <c r="AI2">
        <f>BDH("TRGP US Equity","IS_DEPR_EXP","1993-06-18","2026-05-02","Per=Y","Days=T","Dir=V")</f>
        <v>0</v>
      </c>
      <c r="AK2">
        <f>BDH("TRGP US Equity","CF_CASH_FROM_OPER","1993-06-18","2026-05-02","Per=Y","Days=T","Dir=V")</f>
        <v>0</v>
      </c>
      <c r="AM2">
        <f>BDH("TRGP US Equity","CAPITAL_EXPEND","1993-06-18","2026-05-02","Per=Y","Days=T","Dir=V")</f>
        <v>0</v>
      </c>
      <c r="AO2">
        <f>BDH("TRGP US Equity","CF_FREE_CASH_FLOW","1993-06-18","2026-05-02","Per=Y","Days=T","Dir=V")</f>
        <v>0</v>
      </c>
      <c r="AQ2">
        <f>BDH("TRGP US Equity","PX_LAST","1993-06-18","2026-05-02","Per=M","Days=T","Dir=V")</f>
        <v>0</v>
      </c>
      <c r="AS2">
        <f>BDH("TRGP US Equity","CUR_MKT_CAP","1993-06-18","2026-05-02","Per=M","Days=T","Dir=V")</f>
        <v>0</v>
      </c>
      <c r="AU2">
        <f>BDH("TRGP US Equity","EQY_SH_OUT","1993-06-18","2026-05-02","Per=M","Days=T","Dir=V")</f>
        <v>0</v>
      </c>
      <c r="AW2">
        <f>BDH("TRGP US Equity","PX_VOLUME","1993-06-18","2026-05-02","Per=M","Days=T","Dir=V")</f>
        <v>0</v>
      </c>
      <c r="AY2">
        <f>BDH("TRGP US Equity","TURNOVER","1993-06-18","2026-05-02","Per=M","Days=T","Dir=V")</f>
        <v>0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BDH("TRI US Equity","BS_TOT_ASSET","1993-06-18","2026-05-02","Per=Y","Days=T","Dir=V")</f>
        <v>0</v>
      </c>
      <c r="C2">
        <f>BDH("TRI US Equity","BS_TOT_LIAB2","1993-06-18","2026-05-02","Per=Y","Days=T","Dir=V")</f>
        <v>0</v>
      </c>
      <c r="E2">
        <f>BDH("TRI US Equity","SHORT_AND_LONG_TERM_DEBT","1993-06-18","2026-05-02","Per=Y","Days=T","Dir=V")</f>
        <v>0</v>
      </c>
      <c r="G2">
        <f>BDH("TRI US Equity","BS_ST_BORROW","1993-06-18","2026-05-02","Per=Y","Days=T","Dir=V")</f>
        <v>0</v>
      </c>
      <c r="I2">
        <f>BDH("TRI US Equity","BS_LT_BORROW","1993-06-18","2026-05-02","Per=Y","Days=T","Dir=V")</f>
        <v>0</v>
      </c>
      <c r="K2">
        <f>BDH("TRI US Equity","BS_CASH_NEAR_CASH_ITEM","1993-06-18","2026-05-02","Per=Y","Days=T","Dir=V")</f>
        <v>0</v>
      </c>
      <c r="M2">
        <f>BDH("TRI US Equity","BS_CUR_ASSET_REPORT","1993-06-18","2026-05-02","Per=Y","Days=T","Dir=V")</f>
        <v>0</v>
      </c>
      <c r="O2">
        <f>BDH("TRI US Equity","BS_CUR_LIAB","1993-06-18","2026-05-02","Per=Y","Days=T","Dir=V")</f>
        <v>0</v>
      </c>
      <c r="Q2">
        <f>BDH("TRI US Equity","BS_SHAREHOLDER_EQY_ENDING_PERIOD","1993-06-18","2026-05-02","Per=Y","Days=T","Dir=V")</f>
        <v>0</v>
      </c>
      <c r="S2">
        <f>BDH("TRI US Equity","BS_ACCT_NOTE_RCV","1993-06-18","2026-05-02","Per=Y","Days=T","Dir=V")</f>
        <v>0</v>
      </c>
      <c r="U2">
        <f>BDH("TRI US Equity","BS_INVENTORIES","1993-06-18","2026-05-02","Per=Y","Days=T","Dir=V")</f>
        <v>0</v>
      </c>
      <c r="W2">
        <f>BDH("TRI US Equity","WORKING_CAPITAL","1993-06-18","2026-05-02","Per=Y","Days=T","Dir=V")</f>
        <v>0</v>
      </c>
      <c r="Y2">
        <f>BDH("TRI US Equity","SALES_REV_TURN","1993-06-18","2026-05-02","Per=Y","Days=T","Dir=V")</f>
        <v>0</v>
      </c>
      <c r="AA2">
        <f>BDH("TRI US Equity","EBIT","1993-06-18","2026-05-02","Per=Y","Days=T","Dir=V")</f>
        <v>0</v>
      </c>
      <c r="AC2">
        <f>BDH("TRI US Equity","EBITDA","1993-06-18","2026-05-02","Per=Y","Days=T","Dir=V")</f>
        <v>0</v>
      </c>
      <c r="AE2">
        <f>BDH("TRI US Equity","NET_INCOME","1993-06-18","2026-05-02","Per=Y","Days=T","Dir=V")</f>
        <v>0</v>
      </c>
      <c r="AG2">
        <f>BDH("TRI US Equity","IS_INT_EXPENSE","1993-06-18","2026-05-02","Per=Y","Days=T","Dir=V")</f>
        <v>0</v>
      </c>
      <c r="AI2">
        <f>BDH("TRI US Equity","IS_DEPR_EXP","1993-06-18","2026-05-02","Per=Y","Days=T","Dir=V")</f>
        <v>0</v>
      </c>
      <c r="AK2">
        <f>BDH("TRI US Equity","CF_CASH_FROM_OPER","1993-06-18","2026-05-02","Per=Y","Days=T","Dir=V")</f>
        <v>0</v>
      </c>
      <c r="AM2">
        <f>BDH("TRI US Equity","CAPITAL_EXPEND","1993-06-18","2026-05-02","Per=Y","Days=T","Dir=V")</f>
        <v>0</v>
      </c>
      <c r="AO2">
        <f>BDH("TRI US Equity","CF_FREE_CASH_FLOW","1993-06-18","2026-05-02","Per=Y","Days=T","Dir=V")</f>
        <v>0</v>
      </c>
      <c r="AQ2">
        <f>BDH("TRI US Equity","PX_LAST","1993-06-18","2026-05-02","Per=M","Days=T","Dir=V")</f>
        <v>0</v>
      </c>
      <c r="AS2">
        <f>BDH("TRI US Equity","CUR_MKT_CAP","1993-06-18","2026-05-02","Per=M","Days=T","Dir=V")</f>
        <v>0</v>
      </c>
      <c r="AU2">
        <f>BDH("TRI US Equity","EQY_SH_OUT","1993-06-18","2026-05-02","Per=M","Days=T","Dir=V")</f>
        <v>0</v>
      </c>
      <c r="AW2">
        <f>BDH("TRI US Equity","PX_VOLUME","1993-06-18","2026-05-02","Per=M","Days=T","Dir=V")</f>
        <v>0</v>
      </c>
      <c r="AY2">
        <f>BDH("TRI US Equity","TURNOVER","1993-06-18","2026-05-02","Per=M","Days=T","Dir=V")</f>
        <v>0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BDH("TRIP US Equity","BS_TOT_ASSET","1993-06-18","2026-05-02","Per=Y","Days=T","Dir=V")</f>
        <v>0</v>
      </c>
      <c r="C2">
        <f>BDH("TRIP US Equity","BS_TOT_LIAB2","1993-06-18","2026-05-02","Per=Y","Days=T","Dir=V")</f>
        <v>0</v>
      </c>
      <c r="E2">
        <f>BDH("TRIP US Equity","SHORT_AND_LONG_TERM_DEBT","1993-06-18","2026-05-02","Per=Y","Days=T","Dir=V")</f>
        <v>0</v>
      </c>
      <c r="G2">
        <f>BDH("TRIP US Equity","BS_ST_BORROW","1993-06-18","2026-05-02","Per=Y","Days=T","Dir=V")</f>
        <v>0</v>
      </c>
      <c r="I2">
        <f>BDH("TRIP US Equity","BS_LT_BORROW","1993-06-18","2026-05-02","Per=Y","Days=T","Dir=V")</f>
        <v>0</v>
      </c>
      <c r="K2">
        <f>BDH("TRIP US Equity","BS_CASH_NEAR_CASH_ITEM","1993-06-18","2026-05-02","Per=Y","Days=T","Dir=V")</f>
        <v>0</v>
      </c>
      <c r="M2">
        <f>BDH("TRIP US Equity","BS_CUR_ASSET_REPORT","1993-06-18","2026-05-02","Per=Y","Days=T","Dir=V")</f>
        <v>0</v>
      </c>
      <c r="O2">
        <f>BDH("TRIP US Equity","BS_CUR_LIAB","1993-06-18","2026-05-02","Per=Y","Days=T","Dir=V")</f>
        <v>0</v>
      </c>
      <c r="Q2">
        <f>BDH("TRIP US Equity","BS_SHAREHOLDER_EQY_ENDING_PERIOD","1993-06-18","2026-05-02","Per=Y","Days=T","Dir=V")</f>
        <v>0</v>
      </c>
      <c r="S2">
        <f>BDH("TRIP US Equity","BS_ACCT_NOTE_RCV","1993-06-18","2026-05-02","Per=Y","Days=T","Dir=V")</f>
        <v>0</v>
      </c>
      <c r="U2">
        <f>BDH("TRIP US Equity","BS_INVENTORIES","1993-06-18","2026-05-02","Per=Y","Days=T","Dir=V")</f>
        <v>0</v>
      </c>
      <c r="W2">
        <f>BDH("TRIP US Equity","WORKING_CAPITAL","1993-06-18","2026-05-02","Per=Y","Days=T","Dir=V")</f>
        <v>0</v>
      </c>
      <c r="Y2">
        <f>BDH("TRIP US Equity","SALES_REV_TURN","1993-06-18","2026-05-02","Per=Y","Days=T","Dir=V")</f>
        <v>0</v>
      </c>
      <c r="AA2">
        <f>BDH("TRIP US Equity","EBIT","1993-06-18","2026-05-02","Per=Y","Days=T","Dir=V")</f>
        <v>0</v>
      </c>
      <c r="AC2">
        <f>BDH("TRIP US Equity","EBITDA","1993-06-18","2026-05-02","Per=Y","Days=T","Dir=V")</f>
        <v>0</v>
      </c>
      <c r="AE2">
        <f>BDH("TRIP US Equity","NET_INCOME","1993-06-18","2026-05-02","Per=Y","Days=T","Dir=V")</f>
        <v>0</v>
      </c>
      <c r="AG2">
        <f>BDH("TRIP US Equity","IS_INT_EXPENSE","1993-06-18","2026-05-02","Per=Y","Days=T","Dir=V")</f>
        <v>0</v>
      </c>
      <c r="AI2">
        <f>BDH("TRIP US Equity","IS_DEPR_EXP","1993-06-18","2026-05-02","Per=Y","Days=T","Dir=V")</f>
        <v>0</v>
      </c>
      <c r="AK2">
        <f>BDH("TRIP US Equity","CF_CASH_FROM_OPER","1993-06-18","2026-05-02","Per=Y","Days=T","Dir=V")</f>
        <v>0</v>
      </c>
      <c r="AM2">
        <f>BDH("TRIP US Equity","CAPITAL_EXPEND","1993-06-18","2026-05-02","Per=Y","Days=T","Dir=V")</f>
        <v>0</v>
      </c>
      <c r="AO2">
        <f>BDH("TRIP US Equity","CF_FREE_CASH_FLOW","1993-06-18","2026-05-02","Per=Y","Days=T","Dir=V")</f>
        <v>0</v>
      </c>
      <c r="AQ2">
        <f>BDH("TRIP US Equity","PX_LAST","1993-06-18","2026-05-02","Per=M","Days=T","Dir=V")</f>
        <v>0</v>
      </c>
      <c r="AS2">
        <f>BDH("TRIP US Equity","CUR_MKT_CAP","1993-06-18","2026-05-02","Per=M","Days=T","Dir=V")</f>
        <v>0</v>
      </c>
      <c r="AU2">
        <f>BDH("TRIP US Equity","EQY_SH_OUT","1993-06-18","2026-05-02","Per=M","Days=T","Dir=V")</f>
        <v>0</v>
      </c>
      <c r="AW2">
        <f>BDH("TRIP US Equity","PX_VOLUME","1993-06-18","2026-05-02","Per=M","Days=T","Dir=V")</f>
        <v>0</v>
      </c>
      <c r="AY2">
        <f>BDH("TRIP US Equity","TURNOVER","1993-06-18","2026-05-02","Per=M","Days=T","Dir=V")</f>
        <v>0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BDH("TRMB US Equity","BS_TOT_ASSET","1993-06-18","2026-05-02","Per=Y","Days=T","Dir=V")</f>
        <v>0</v>
      </c>
      <c r="C2">
        <f>BDH("TRMB US Equity","BS_TOT_LIAB2","1993-06-18","2026-05-02","Per=Y","Days=T","Dir=V")</f>
        <v>0</v>
      </c>
      <c r="E2">
        <f>BDH("TRMB US Equity","SHORT_AND_LONG_TERM_DEBT","1993-06-18","2026-05-02","Per=Y","Days=T","Dir=V")</f>
        <v>0</v>
      </c>
      <c r="G2">
        <f>BDH("TRMB US Equity","BS_ST_BORROW","1993-06-18","2026-05-02","Per=Y","Days=T","Dir=V")</f>
        <v>0</v>
      </c>
      <c r="I2">
        <f>BDH("TRMB US Equity","BS_LT_BORROW","1993-06-18","2026-05-02","Per=Y","Days=T","Dir=V")</f>
        <v>0</v>
      </c>
      <c r="K2">
        <f>BDH("TRMB US Equity","BS_CASH_NEAR_CASH_ITEM","1993-06-18","2026-05-02","Per=Y","Days=T","Dir=V")</f>
        <v>0</v>
      </c>
      <c r="M2">
        <f>BDH("TRMB US Equity","BS_CUR_ASSET_REPORT","1993-06-18","2026-05-02","Per=Y","Days=T","Dir=V")</f>
        <v>0</v>
      </c>
      <c r="O2">
        <f>BDH("TRMB US Equity","BS_CUR_LIAB","1993-06-18","2026-05-02","Per=Y","Days=T","Dir=V")</f>
        <v>0</v>
      </c>
      <c r="Q2">
        <f>BDH("TRMB US Equity","BS_SHAREHOLDER_EQY_ENDING_PERIOD","1993-06-18","2026-05-02","Per=Y","Days=T","Dir=V")</f>
        <v>0</v>
      </c>
      <c r="S2">
        <f>BDH("TRMB US Equity","BS_ACCT_NOTE_RCV","1993-06-18","2026-05-02","Per=Y","Days=T","Dir=V")</f>
        <v>0</v>
      </c>
      <c r="U2">
        <f>BDH("TRMB US Equity","BS_INVENTORIES","1993-06-18","2026-05-02","Per=Y","Days=T","Dir=V")</f>
        <v>0</v>
      </c>
      <c r="W2">
        <f>BDH("TRMB US Equity","WORKING_CAPITAL","1993-06-18","2026-05-02","Per=Y","Days=T","Dir=V")</f>
        <v>0</v>
      </c>
      <c r="Y2">
        <f>BDH("TRMB US Equity","SALES_REV_TURN","1993-06-18","2026-05-02","Per=Y","Days=T","Dir=V")</f>
        <v>0</v>
      </c>
      <c r="AA2">
        <f>BDH("TRMB US Equity","EBIT","1993-06-18","2026-05-02","Per=Y","Days=T","Dir=V")</f>
        <v>0</v>
      </c>
      <c r="AC2">
        <f>BDH("TRMB US Equity","EBITDA","1993-06-18","2026-05-02","Per=Y","Days=T","Dir=V")</f>
        <v>0</v>
      </c>
      <c r="AE2">
        <f>BDH("TRMB US Equity","NET_INCOME","1993-06-18","2026-05-02","Per=Y","Days=T","Dir=V")</f>
        <v>0</v>
      </c>
      <c r="AG2">
        <f>BDH("TRMB US Equity","IS_INT_EXPENSE","1993-06-18","2026-05-02","Per=Y","Days=T","Dir=V")</f>
        <v>0</v>
      </c>
      <c r="AI2">
        <f>BDH("TRMB US Equity","IS_DEPR_EXP","1993-06-18","2026-05-02","Per=Y","Days=T","Dir=V")</f>
        <v>0</v>
      </c>
      <c r="AK2">
        <f>BDH("TRMB US Equity","CF_CASH_FROM_OPER","1993-06-18","2026-05-02","Per=Y","Days=T","Dir=V")</f>
        <v>0</v>
      </c>
      <c r="AM2">
        <f>BDH("TRMB US Equity","CAPITAL_EXPEND","1993-06-18","2026-05-02","Per=Y","Days=T","Dir=V")</f>
        <v>0</v>
      </c>
      <c r="AO2">
        <f>BDH("TRMB US Equity","CF_FREE_CASH_FLOW","1993-06-18","2026-05-02","Per=Y","Days=T","Dir=V")</f>
        <v>0</v>
      </c>
      <c r="AQ2">
        <f>BDH("TRMB US Equity","PX_LAST","1993-06-18","2026-05-02","Per=M","Days=T","Dir=V")</f>
        <v>0</v>
      </c>
      <c r="AS2">
        <f>BDH("TRMB US Equity","CUR_MKT_CAP","1993-06-18","2026-05-02","Per=M","Days=T","Dir=V")</f>
        <v>0</v>
      </c>
      <c r="AU2">
        <f>BDH("TRMB US Equity","EQY_SH_OUT","1993-06-18","2026-05-02","Per=M","Days=T","Dir=V")</f>
        <v>0</v>
      </c>
      <c r="AW2">
        <f>BDH("TRMB US Equity","PX_VOLUME","1993-06-18","2026-05-02","Per=M","Days=T","Dir=V")</f>
        <v>0</v>
      </c>
      <c r="AY2">
        <f>BDH("TRMB US Equity","TURNOVER","1993-06-18","2026-05-02","Per=M","Days=T","Dir=V")</f>
        <v>0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BDH("TRN US Equity","BS_TOT_ASSET","1993-06-18","2026-05-02","Per=Y","Days=T","Dir=V")</f>
        <v>0</v>
      </c>
      <c r="C2">
        <f>BDH("TRN US Equity","BS_TOT_LIAB2","1993-06-18","2026-05-02","Per=Y","Days=T","Dir=V")</f>
        <v>0</v>
      </c>
      <c r="E2">
        <f>BDH("TRN US Equity","SHORT_AND_LONG_TERM_DEBT","1993-06-18","2026-05-02","Per=Y","Days=T","Dir=V")</f>
        <v>0</v>
      </c>
      <c r="G2">
        <f>BDH("TRN US Equity","BS_ST_BORROW","1993-06-18","2026-05-02","Per=Y","Days=T","Dir=V")</f>
        <v>0</v>
      </c>
      <c r="I2">
        <f>BDH("TRN US Equity","BS_LT_BORROW","1993-06-18","2026-05-02","Per=Y","Days=T","Dir=V")</f>
        <v>0</v>
      </c>
      <c r="K2">
        <f>BDH("TRN US Equity","BS_CASH_NEAR_CASH_ITEM","1993-06-18","2026-05-02","Per=Y","Days=T","Dir=V")</f>
        <v>0</v>
      </c>
      <c r="M2">
        <f>BDH("TRN US Equity","BS_CUR_ASSET_REPORT","1993-06-18","2026-05-02","Per=Y","Days=T","Dir=V")</f>
        <v>0</v>
      </c>
      <c r="O2">
        <f>BDH("TRN US Equity","BS_CUR_LIAB","1993-06-18","2026-05-02","Per=Y","Days=T","Dir=V")</f>
        <v>0</v>
      </c>
      <c r="Q2">
        <f>BDH("TRN US Equity","BS_SHAREHOLDER_EQY_ENDING_PERIOD","1993-06-18","2026-05-02","Per=Y","Days=T","Dir=V")</f>
        <v>0</v>
      </c>
      <c r="S2">
        <f>BDH("TRN US Equity","BS_ACCT_NOTE_RCV","1993-06-18","2026-05-02","Per=Y","Days=T","Dir=V")</f>
        <v>0</v>
      </c>
      <c r="U2">
        <f>BDH("TRN US Equity","BS_INVENTORIES","1993-06-18","2026-05-02","Per=Y","Days=T","Dir=V")</f>
        <v>0</v>
      </c>
      <c r="W2">
        <f>BDH("TRN US Equity","WORKING_CAPITAL","1993-06-18","2026-05-02","Per=Y","Days=T","Dir=V")</f>
        <v>0</v>
      </c>
      <c r="Y2">
        <f>BDH("TRN US Equity","SALES_REV_TURN","1993-06-18","2026-05-02","Per=Y","Days=T","Dir=V")</f>
        <v>0</v>
      </c>
      <c r="AA2">
        <f>BDH("TRN US Equity","EBIT","1993-06-18","2026-05-02","Per=Y","Days=T","Dir=V")</f>
        <v>0</v>
      </c>
      <c r="AC2">
        <f>BDH("TRN US Equity","EBITDA","1993-06-18","2026-05-02","Per=Y","Days=T","Dir=V")</f>
        <v>0</v>
      </c>
      <c r="AE2">
        <f>BDH("TRN US Equity","NET_INCOME","1993-06-18","2026-05-02","Per=Y","Days=T","Dir=V")</f>
        <v>0</v>
      </c>
      <c r="AG2">
        <f>BDH("TRN US Equity","IS_INT_EXPENSE","1993-06-18","2026-05-02","Per=Y","Days=T","Dir=V")</f>
        <v>0</v>
      </c>
      <c r="AI2">
        <f>BDH("TRN US Equity","IS_DEPR_EXP","1993-06-18","2026-05-02","Per=Y","Days=T","Dir=V")</f>
        <v>0</v>
      </c>
      <c r="AK2">
        <f>BDH("TRN US Equity","CF_CASH_FROM_OPER","1993-06-18","2026-05-02","Per=Y","Days=T","Dir=V")</f>
        <v>0</v>
      </c>
      <c r="AM2">
        <f>BDH("TRN US Equity","CAPITAL_EXPEND","1993-06-18","2026-05-02","Per=Y","Days=T","Dir=V")</f>
        <v>0</v>
      </c>
      <c r="AO2">
        <f>BDH("TRN US Equity","CF_FREE_CASH_FLOW","1993-06-18","2026-05-02","Per=Y","Days=T","Dir=V")</f>
        <v>0</v>
      </c>
      <c r="AQ2">
        <f>BDH("TRN US Equity","PX_LAST","1993-06-18","2026-05-02","Per=M","Days=T","Dir=V")</f>
        <v>0</v>
      </c>
      <c r="AS2">
        <f>BDH("TRN US Equity","CUR_MKT_CAP","1993-06-18","2026-05-02","Per=M","Days=T","Dir=V")</f>
        <v>0</v>
      </c>
      <c r="AU2">
        <f>BDH("TRN US Equity","EQY_SH_OUT","1993-06-18","2026-05-02","Per=M","Days=T","Dir=V")</f>
        <v>0</v>
      </c>
      <c r="AW2">
        <f>BDH("TRN US Equity","PX_VOLUME","1993-06-18","2026-05-02","Per=M","Days=T","Dir=V")</f>
        <v>0</v>
      </c>
      <c r="AY2">
        <f>BDH("TRN US Equity","TURNOVER","1993-06-18","2026-05-02","Per=M","Days=T","Dir=V")</f>
        <v>0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BDH("TRNR US Equity","BS_TOT_ASSET","1993-06-18","2026-05-02","Per=Y","Days=T","Dir=V")</f>
        <v>0</v>
      </c>
      <c r="C2">
        <f>BDH("TRNR US Equity","BS_TOT_LIAB2","1993-06-18","2026-05-02","Per=Y","Days=T","Dir=V")</f>
        <v>0</v>
      </c>
      <c r="E2">
        <f>BDH("TRNR US Equity","SHORT_AND_LONG_TERM_DEBT","1993-06-18","2026-05-02","Per=Y","Days=T","Dir=V")</f>
        <v>0</v>
      </c>
      <c r="G2">
        <f>BDH("TRNR US Equity","BS_ST_BORROW","1993-06-18","2026-05-02","Per=Y","Days=T","Dir=V")</f>
        <v>0</v>
      </c>
      <c r="I2">
        <f>BDH("TRNR US Equity","BS_LT_BORROW","1993-06-18","2026-05-02","Per=Y","Days=T","Dir=V")</f>
        <v>0</v>
      </c>
      <c r="K2">
        <f>BDH("TRNR US Equity","BS_CASH_NEAR_CASH_ITEM","1993-06-18","2026-05-02","Per=Y","Days=T","Dir=V")</f>
        <v>0</v>
      </c>
      <c r="M2">
        <f>BDH("TRNR US Equity","BS_CUR_ASSET_REPORT","1993-06-18","2026-05-02","Per=Y","Days=T","Dir=V")</f>
        <v>0</v>
      </c>
      <c r="O2">
        <f>BDH("TRNR US Equity","BS_CUR_LIAB","1993-06-18","2026-05-02","Per=Y","Days=T","Dir=V")</f>
        <v>0</v>
      </c>
      <c r="Q2">
        <f>BDH("TRNR US Equity","BS_SHAREHOLDER_EQY_ENDING_PERIOD","1993-06-18","2026-05-02","Per=Y","Days=T","Dir=V")</f>
        <v>0</v>
      </c>
      <c r="S2">
        <f>BDH("TRNR US Equity","BS_ACCT_NOTE_RCV","1993-06-18","2026-05-02","Per=Y","Days=T","Dir=V")</f>
        <v>0</v>
      </c>
      <c r="U2">
        <f>BDH("TRNR US Equity","BS_INVENTORIES","1993-06-18","2026-05-02","Per=Y","Days=T","Dir=V")</f>
        <v>0</v>
      </c>
      <c r="W2">
        <f>BDH("TRNR US Equity","WORKING_CAPITAL","1993-06-18","2026-05-02","Per=Y","Days=T","Dir=V")</f>
        <v>0</v>
      </c>
      <c r="Y2">
        <f>BDH("TRNR US Equity","SALES_REV_TURN","1993-06-18","2026-05-02","Per=Y","Days=T","Dir=V")</f>
        <v>0</v>
      </c>
      <c r="AA2">
        <f>BDH("TRNR US Equity","EBIT","1993-06-18","2026-05-02","Per=Y","Days=T","Dir=V")</f>
        <v>0</v>
      </c>
      <c r="AC2">
        <f>BDH("TRNR US Equity","EBITDA","1993-06-18","2026-05-02","Per=Y","Days=T","Dir=V")</f>
        <v>0</v>
      </c>
      <c r="AE2">
        <f>BDH("TRNR US Equity","NET_INCOME","1993-06-18","2026-05-02","Per=Y","Days=T","Dir=V")</f>
        <v>0</v>
      </c>
      <c r="AG2">
        <f>BDH("TRNR US Equity","IS_INT_EXPENSE","1993-06-18","2026-05-02","Per=Y","Days=T","Dir=V")</f>
        <v>0</v>
      </c>
      <c r="AI2">
        <f>BDH("TRNR US Equity","IS_DEPR_EXP","1993-06-18","2026-05-02","Per=Y","Days=T","Dir=V")</f>
        <v>0</v>
      </c>
      <c r="AK2">
        <f>BDH("TRNR US Equity","CF_CASH_FROM_OPER","1993-06-18","2026-05-02","Per=Y","Days=T","Dir=V")</f>
        <v>0</v>
      </c>
      <c r="AM2">
        <f>BDH("TRNR US Equity","CAPITAL_EXPEND","1993-06-18","2026-05-02","Per=Y","Days=T","Dir=V")</f>
        <v>0</v>
      </c>
      <c r="AO2">
        <f>BDH("TRNR US Equity","CF_FREE_CASH_FLOW","1993-06-18","2026-05-02","Per=Y","Days=T","Dir=V")</f>
        <v>0</v>
      </c>
      <c r="AQ2">
        <f>BDH("TRNR US Equity","PX_LAST","1993-06-18","2026-05-02","Per=M","Days=T","Dir=V")</f>
        <v>0</v>
      </c>
      <c r="AS2">
        <f>BDH("TRNR US Equity","CUR_MKT_CAP","1993-06-18","2026-05-02","Per=M","Days=T","Dir=V")</f>
        <v>0</v>
      </c>
      <c r="AU2">
        <f>BDH("TRNR US Equity","EQY_SH_OUT","1993-06-18","2026-05-02","Per=M","Days=T","Dir=V")</f>
        <v>0</v>
      </c>
      <c r="AW2">
        <f>BDH("TRNR US Equity","PX_VOLUME","1993-06-18","2026-05-02","Per=M","Days=T","Dir=V")</f>
        <v>0</v>
      </c>
      <c r="AY2">
        <f>BDH("TRNR US Equity","TURNOVER","1993-06-18","2026-05-02","Per=M","Days=T","Dir=V")</f>
        <v>0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BDH("TRNS US Equity","BS_TOT_ASSET","1993-06-18","2026-05-02","Per=Y","Days=T","Dir=V")</f>
        <v>0</v>
      </c>
      <c r="C2">
        <f>BDH("TRNS US Equity","BS_TOT_LIAB2","1993-06-18","2026-05-02","Per=Y","Days=T","Dir=V")</f>
        <v>0</v>
      </c>
      <c r="E2">
        <f>BDH("TRNS US Equity","SHORT_AND_LONG_TERM_DEBT","1993-06-18","2026-05-02","Per=Y","Days=T","Dir=V")</f>
        <v>0</v>
      </c>
      <c r="G2">
        <f>BDH("TRNS US Equity","BS_ST_BORROW","1993-06-18","2026-05-02","Per=Y","Days=T","Dir=V")</f>
        <v>0</v>
      </c>
      <c r="I2">
        <f>BDH("TRNS US Equity","BS_LT_BORROW","1993-06-18","2026-05-02","Per=Y","Days=T","Dir=V")</f>
        <v>0</v>
      </c>
      <c r="K2">
        <f>BDH("TRNS US Equity","BS_CASH_NEAR_CASH_ITEM","1993-06-18","2026-05-02","Per=Y","Days=T","Dir=V")</f>
        <v>0</v>
      </c>
      <c r="M2">
        <f>BDH("TRNS US Equity","BS_CUR_ASSET_REPORT","1993-06-18","2026-05-02","Per=Y","Days=T","Dir=V")</f>
        <v>0</v>
      </c>
      <c r="O2">
        <f>BDH("TRNS US Equity","BS_CUR_LIAB","1993-06-18","2026-05-02","Per=Y","Days=T","Dir=V")</f>
        <v>0</v>
      </c>
      <c r="Q2">
        <f>BDH("TRNS US Equity","BS_SHAREHOLDER_EQY_ENDING_PERIOD","1993-06-18","2026-05-02","Per=Y","Days=T","Dir=V")</f>
        <v>0</v>
      </c>
      <c r="S2">
        <f>BDH("TRNS US Equity","BS_ACCT_NOTE_RCV","1993-06-18","2026-05-02","Per=Y","Days=T","Dir=V")</f>
        <v>0</v>
      </c>
      <c r="U2">
        <f>BDH("TRNS US Equity","BS_INVENTORIES","1993-06-18","2026-05-02","Per=Y","Days=T","Dir=V")</f>
        <v>0</v>
      </c>
      <c r="W2">
        <f>BDH("TRNS US Equity","WORKING_CAPITAL","1993-06-18","2026-05-02","Per=Y","Days=T","Dir=V")</f>
        <v>0</v>
      </c>
      <c r="Y2">
        <f>BDH("TRNS US Equity","SALES_REV_TURN","1993-06-18","2026-05-02","Per=Y","Days=T","Dir=V")</f>
        <v>0</v>
      </c>
      <c r="AA2">
        <f>BDH("TRNS US Equity","EBIT","1993-06-18","2026-05-02","Per=Y","Days=T","Dir=V")</f>
        <v>0</v>
      </c>
      <c r="AC2">
        <f>BDH("TRNS US Equity","EBITDA","1993-06-18","2026-05-02","Per=Y","Days=T","Dir=V")</f>
        <v>0</v>
      </c>
      <c r="AE2">
        <f>BDH("TRNS US Equity","NET_INCOME","1993-06-18","2026-05-02","Per=Y","Days=T","Dir=V")</f>
        <v>0</v>
      </c>
      <c r="AG2">
        <f>BDH("TRNS US Equity","IS_INT_EXPENSE","1993-06-18","2026-05-02","Per=Y","Days=T","Dir=V")</f>
        <v>0</v>
      </c>
      <c r="AI2">
        <f>BDH("TRNS US Equity","IS_DEPR_EXP","1993-06-18","2026-05-02","Per=Y","Days=T","Dir=V")</f>
        <v>0</v>
      </c>
      <c r="AK2">
        <f>BDH("TRNS US Equity","CF_CASH_FROM_OPER","1993-06-18","2026-05-02","Per=Y","Days=T","Dir=V")</f>
        <v>0</v>
      </c>
      <c r="AM2">
        <f>BDH("TRNS US Equity","CAPITAL_EXPEND","1993-06-18","2026-05-02","Per=Y","Days=T","Dir=V")</f>
        <v>0</v>
      </c>
      <c r="AO2">
        <f>BDH("TRNS US Equity","CF_FREE_CASH_FLOW","1993-06-18","2026-05-02","Per=Y","Days=T","Dir=V")</f>
        <v>0</v>
      </c>
      <c r="AQ2">
        <f>BDH("TRNS US Equity","PX_LAST","1993-06-18","2026-05-02","Per=M","Days=T","Dir=V")</f>
        <v>0</v>
      </c>
      <c r="AS2">
        <f>BDH("TRNS US Equity","CUR_MKT_CAP","1993-06-18","2026-05-02","Per=M","Days=T","Dir=V")</f>
        <v>0</v>
      </c>
      <c r="AU2">
        <f>BDH("TRNS US Equity","EQY_SH_OUT","1993-06-18","2026-05-02","Per=M","Days=T","Dir=V")</f>
        <v>0</v>
      </c>
      <c r="AW2">
        <f>BDH("TRNS US Equity","PX_VOLUME","1993-06-18","2026-05-02","Per=M","Days=T","Dir=V")</f>
        <v>0</v>
      </c>
      <c r="AY2">
        <f>BDH("TRNS US Equity","TURNOVER","1993-06-18","2026-05-02","Per=M","Days=T","Dir=V")</f>
        <v>0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BDH("TROX US Equity","BS_TOT_ASSET","1993-06-18","2026-05-02","Per=Y","Days=T","Dir=V")</f>
        <v>0</v>
      </c>
      <c r="C2">
        <f>BDH("TROX US Equity","BS_TOT_LIAB2","1993-06-18","2026-05-02","Per=Y","Days=T","Dir=V")</f>
        <v>0</v>
      </c>
      <c r="E2">
        <f>BDH("TROX US Equity","SHORT_AND_LONG_TERM_DEBT","1993-06-18","2026-05-02","Per=Y","Days=T","Dir=V")</f>
        <v>0</v>
      </c>
      <c r="G2">
        <f>BDH("TROX US Equity","BS_ST_BORROW","1993-06-18","2026-05-02","Per=Y","Days=T","Dir=V")</f>
        <v>0</v>
      </c>
      <c r="I2">
        <f>BDH("TROX US Equity","BS_LT_BORROW","1993-06-18","2026-05-02","Per=Y","Days=T","Dir=V")</f>
        <v>0</v>
      </c>
      <c r="K2">
        <f>BDH("TROX US Equity","BS_CASH_NEAR_CASH_ITEM","1993-06-18","2026-05-02","Per=Y","Days=T","Dir=V")</f>
        <v>0</v>
      </c>
      <c r="M2">
        <f>BDH("TROX US Equity","BS_CUR_ASSET_REPORT","1993-06-18","2026-05-02","Per=Y","Days=T","Dir=V")</f>
        <v>0</v>
      </c>
      <c r="O2">
        <f>BDH("TROX US Equity","BS_CUR_LIAB","1993-06-18","2026-05-02","Per=Y","Days=T","Dir=V")</f>
        <v>0</v>
      </c>
      <c r="Q2">
        <f>BDH("TROX US Equity","BS_SHAREHOLDER_EQY_ENDING_PERIOD","1993-06-18","2026-05-02","Per=Y","Days=T","Dir=V")</f>
        <v>0</v>
      </c>
      <c r="S2">
        <f>BDH("TROX US Equity","BS_ACCT_NOTE_RCV","1993-06-18","2026-05-02","Per=Y","Days=T","Dir=V")</f>
        <v>0</v>
      </c>
      <c r="U2">
        <f>BDH("TROX US Equity","BS_INVENTORIES","1993-06-18","2026-05-02","Per=Y","Days=T","Dir=V")</f>
        <v>0</v>
      </c>
      <c r="W2">
        <f>BDH("TROX US Equity","WORKING_CAPITAL","1993-06-18","2026-05-02","Per=Y","Days=T","Dir=V")</f>
        <v>0</v>
      </c>
      <c r="Y2">
        <f>BDH("TROX US Equity","SALES_REV_TURN","1993-06-18","2026-05-02","Per=Y","Days=T","Dir=V")</f>
        <v>0</v>
      </c>
      <c r="AA2">
        <f>BDH("TROX US Equity","EBIT","1993-06-18","2026-05-02","Per=Y","Days=T","Dir=V")</f>
        <v>0</v>
      </c>
      <c r="AC2">
        <f>BDH("TROX US Equity","EBITDA","1993-06-18","2026-05-02","Per=Y","Days=T","Dir=V")</f>
        <v>0</v>
      </c>
      <c r="AE2">
        <f>BDH("TROX US Equity","NET_INCOME","1993-06-18","2026-05-02","Per=Y","Days=T","Dir=V")</f>
        <v>0</v>
      </c>
      <c r="AG2">
        <f>BDH("TROX US Equity","IS_INT_EXPENSE","1993-06-18","2026-05-02","Per=Y","Days=T","Dir=V")</f>
        <v>0</v>
      </c>
      <c r="AI2">
        <f>BDH("TROX US Equity","IS_DEPR_EXP","1993-06-18","2026-05-02","Per=Y","Days=T","Dir=V")</f>
        <v>0</v>
      </c>
      <c r="AK2">
        <f>BDH("TROX US Equity","CF_CASH_FROM_OPER","1993-06-18","2026-05-02","Per=Y","Days=T","Dir=V")</f>
        <v>0</v>
      </c>
      <c r="AM2">
        <f>BDH("TROX US Equity","CAPITAL_EXPEND","1993-06-18","2026-05-02","Per=Y","Days=T","Dir=V")</f>
        <v>0</v>
      </c>
      <c r="AO2">
        <f>BDH("TROX US Equity","CF_FREE_CASH_FLOW","1993-06-18","2026-05-02","Per=Y","Days=T","Dir=V")</f>
        <v>0</v>
      </c>
      <c r="AQ2">
        <f>BDH("TROX US Equity","PX_LAST","1993-06-18","2026-05-02","Per=M","Days=T","Dir=V")</f>
        <v>0</v>
      </c>
      <c r="AS2">
        <f>BDH("TROX US Equity","CUR_MKT_CAP","1993-06-18","2026-05-02","Per=M","Days=T","Dir=V")</f>
        <v>0</v>
      </c>
      <c r="AU2">
        <f>BDH("TROX US Equity","EQY_SH_OUT","1993-06-18","2026-05-02","Per=M","Days=T","Dir=V")</f>
        <v>0</v>
      </c>
      <c r="AW2">
        <f>BDH("TROX US Equity","PX_VOLUME","1993-06-18","2026-05-02","Per=M","Days=T","Dir=V")</f>
        <v>0</v>
      </c>
      <c r="AY2">
        <f>BDH("TROX US Equity","TURNOVER","1993-06-18","2026-05-02","Per=M","Days=T","Dir=V")</f>
        <v>0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BDH("TRS US Equity","BS_TOT_ASSET","1993-06-18","2026-05-02","Per=Y","Days=T","Dir=V")</f>
        <v>0</v>
      </c>
      <c r="C2">
        <f>BDH("TRS US Equity","BS_TOT_LIAB2","1993-06-18","2026-05-02","Per=Y","Days=T","Dir=V")</f>
        <v>0</v>
      </c>
      <c r="E2">
        <f>BDH("TRS US Equity","SHORT_AND_LONG_TERM_DEBT","1993-06-18","2026-05-02","Per=Y","Days=T","Dir=V")</f>
        <v>0</v>
      </c>
      <c r="G2">
        <f>BDH("TRS US Equity","BS_ST_BORROW","1993-06-18","2026-05-02","Per=Y","Days=T","Dir=V")</f>
        <v>0</v>
      </c>
      <c r="I2">
        <f>BDH("TRS US Equity","BS_LT_BORROW","1993-06-18","2026-05-02","Per=Y","Days=T","Dir=V")</f>
        <v>0</v>
      </c>
      <c r="K2">
        <f>BDH("TRS US Equity","BS_CASH_NEAR_CASH_ITEM","1993-06-18","2026-05-02","Per=Y","Days=T","Dir=V")</f>
        <v>0</v>
      </c>
      <c r="M2">
        <f>BDH("TRS US Equity","BS_CUR_ASSET_REPORT","1993-06-18","2026-05-02","Per=Y","Days=T","Dir=V")</f>
        <v>0</v>
      </c>
      <c r="O2">
        <f>BDH("TRS US Equity","BS_CUR_LIAB","1993-06-18","2026-05-02","Per=Y","Days=T","Dir=V")</f>
        <v>0</v>
      </c>
      <c r="Q2">
        <f>BDH("TRS US Equity","BS_SHAREHOLDER_EQY_ENDING_PERIOD","1993-06-18","2026-05-02","Per=Y","Days=T","Dir=V")</f>
        <v>0</v>
      </c>
      <c r="S2">
        <f>BDH("TRS US Equity","BS_ACCT_NOTE_RCV","1993-06-18","2026-05-02","Per=Y","Days=T","Dir=V")</f>
        <v>0</v>
      </c>
      <c r="U2">
        <f>BDH("TRS US Equity","BS_INVENTORIES","1993-06-18","2026-05-02","Per=Y","Days=T","Dir=V")</f>
        <v>0</v>
      </c>
      <c r="W2">
        <f>BDH("TRS US Equity","WORKING_CAPITAL","1993-06-18","2026-05-02","Per=Y","Days=T","Dir=V")</f>
        <v>0</v>
      </c>
      <c r="Y2">
        <f>BDH("TRS US Equity","SALES_REV_TURN","1993-06-18","2026-05-02","Per=Y","Days=T","Dir=V")</f>
        <v>0</v>
      </c>
      <c r="AA2">
        <f>BDH("TRS US Equity","EBIT","1993-06-18","2026-05-02","Per=Y","Days=T","Dir=V")</f>
        <v>0</v>
      </c>
      <c r="AC2">
        <f>BDH("TRS US Equity","EBITDA","1993-06-18","2026-05-02","Per=Y","Days=T","Dir=V")</f>
        <v>0</v>
      </c>
      <c r="AE2">
        <f>BDH("TRS US Equity","NET_INCOME","1993-06-18","2026-05-02","Per=Y","Days=T","Dir=V")</f>
        <v>0</v>
      </c>
      <c r="AG2">
        <f>BDH("TRS US Equity","IS_INT_EXPENSE","1993-06-18","2026-05-02","Per=Y","Days=T","Dir=V")</f>
        <v>0</v>
      </c>
      <c r="AI2">
        <f>BDH("TRS US Equity","IS_DEPR_EXP","1993-06-18","2026-05-02","Per=Y","Days=T","Dir=V")</f>
        <v>0</v>
      </c>
      <c r="AK2">
        <f>BDH("TRS US Equity","CF_CASH_FROM_OPER","1993-06-18","2026-05-02","Per=Y","Days=T","Dir=V")</f>
        <v>0</v>
      </c>
      <c r="AM2">
        <f>BDH("TRS US Equity","CAPITAL_EXPEND","1993-06-18","2026-05-02","Per=Y","Days=T","Dir=V")</f>
        <v>0</v>
      </c>
      <c r="AO2">
        <f>BDH("TRS US Equity","CF_FREE_CASH_FLOW","1993-06-18","2026-05-02","Per=Y","Days=T","Dir=V")</f>
        <v>0</v>
      </c>
      <c r="AQ2">
        <f>BDH("TRS US Equity","PX_LAST","1993-06-18","2026-05-02","Per=M","Days=T","Dir=V")</f>
        <v>0</v>
      </c>
      <c r="AS2">
        <f>BDH("TRS US Equity","CUR_MKT_CAP","1993-06-18","2026-05-02","Per=M","Days=T","Dir=V")</f>
        <v>0</v>
      </c>
      <c r="AU2">
        <f>BDH("TRS US Equity","EQY_SH_OUT","1993-06-18","2026-05-02","Per=M","Days=T","Dir=V")</f>
        <v>0</v>
      </c>
      <c r="AW2">
        <f>BDH("TRS US Equity","PX_VOLUME","1993-06-18","2026-05-02","Per=M","Days=T","Dir=V")</f>
        <v>0</v>
      </c>
      <c r="AY2">
        <f>BDH("TRS US Equity","TURNOVER","1993-06-18","2026-05-02","Per=M","Days=T","Dir=V")</f>
        <v>0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BDH("TRUG US Equity","BS_TOT_ASSET","1993-06-18","2026-05-02","Per=Y","Days=T","Dir=V")</f>
        <v>0</v>
      </c>
      <c r="C2">
        <f>BDH("TRUG US Equity","BS_TOT_LIAB2","1993-06-18","2026-05-02","Per=Y","Days=T","Dir=V")</f>
        <v>0</v>
      </c>
      <c r="E2">
        <f>BDH("TRUG US Equity","SHORT_AND_LONG_TERM_DEBT","1993-06-18","2026-05-02","Per=Y","Days=T","Dir=V")</f>
        <v>0</v>
      </c>
      <c r="G2">
        <f>BDH("TRUG US Equity","BS_ST_BORROW","1993-06-18","2026-05-02","Per=Y","Days=T","Dir=V")</f>
        <v>0</v>
      </c>
      <c r="I2">
        <f>BDH("TRUG US Equity","BS_LT_BORROW","1993-06-18","2026-05-02","Per=Y","Days=T","Dir=V")</f>
        <v>0</v>
      </c>
      <c r="K2">
        <f>BDH("TRUG US Equity","BS_CASH_NEAR_CASH_ITEM","1993-06-18","2026-05-02","Per=Y","Days=T","Dir=V")</f>
        <v>0</v>
      </c>
      <c r="M2">
        <f>BDH("TRUG US Equity","BS_CUR_ASSET_REPORT","1993-06-18","2026-05-02","Per=Y","Days=T","Dir=V")</f>
        <v>0</v>
      </c>
      <c r="O2">
        <f>BDH("TRUG US Equity","BS_CUR_LIAB","1993-06-18","2026-05-02","Per=Y","Days=T","Dir=V")</f>
        <v>0</v>
      </c>
      <c r="Q2">
        <f>BDH("TRUG US Equity","BS_SHAREHOLDER_EQY_ENDING_PERIOD","1993-06-18","2026-05-02","Per=Y","Days=T","Dir=V")</f>
        <v>0</v>
      </c>
      <c r="S2">
        <f>BDH("TRUG US Equity","BS_ACCT_NOTE_RCV","1993-06-18","2026-05-02","Per=Y","Days=T","Dir=V")</f>
        <v>0</v>
      </c>
      <c r="U2">
        <f>BDH("TRUG US Equity","BS_INVENTORIES","1993-06-18","2026-05-02","Per=Y","Days=T","Dir=V")</f>
        <v>0</v>
      </c>
      <c r="W2">
        <f>BDH("TRUG US Equity","WORKING_CAPITAL","1993-06-18","2026-05-02","Per=Y","Days=T","Dir=V")</f>
        <v>0</v>
      </c>
      <c r="Y2">
        <f>BDH("TRUG US Equity","SALES_REV_TURN","1993-06-18","2026-05-02","Per=Y","Days=T","Dir=V")</f>
        <v>0</v>
      </c>
      <c r="AA2">
        <f>BDH("TRUG US Equity","EBIT","1993-06-18","2026-05-02","Per=Y","Days=T","Dir=V")</f>
        <v>0</v>
      </c>
      <c r="AC2">
        <f>BDH("TRUG US Equity","EBITDA","1993-06-18","2026-05-02","Per=Y","Days=T","Dir=V")</f>
        <v>0</v>
      </c>
      <c r="AE2">
        <f>BDH("TRUG US Equity","NET_INCOME","1993-06-18","2026-05-02","Per=Y","Days=T","Dir=V")</f>
        <v>0</v>
      </c>
      <c r="AG2">
        <f>BDH("TRUG US Equity","IS_INT_EXPENSE","1993-06-18","2026-05-02","Per=Y","Days=T","Dir=V")</f>
        <v>0</v>
      </c>
      <c r="AI2">
        <f>BDH("TRUG US Equity","IS_DEPR_EXP","1993-06-18","2026-05-02","Per=Y","Days=T","Dir=V")</f>
        <v>0</v>
      </c>
      <c r="AK2">
        <f>BDH("TRUG US Equity","CF_CASH_FROM_OPER","1993-06-18","2026-05-02","Per=Y","Days=T","Dir=V")</f>
        <v>0</v>
      </c>
      <c r="AM2">
        <f>BDH("TRUG US Equity","CAPITAL_EXPEND","1993-06-18","2026-05-02","Per=Y","Days=T","Dir=V")</f>
        <v>0</v>
      </c>
      <c r="AO2">
        <f>BDH("TRUG US Equity","CF_FREE_CASH_FLOW","1993-06-18","2026-05-02","Per=Y","Days=T","Dir=V")</f>
        <v>0</v>
      </c>
      <c r="AQ2">
        <f>BDH("TRUG US Equity","PX_LAST","1993-06-18","2026-05-02","Per=M","Days=T","Dir=V")</f>
        <v>0</v>
      </c>
      <c r="AS2">
        <f>BDH("TRUG US Equity","CUR_MKT_CAP","1993-06-18","2026-05-02","Per=M","Days=T","Dir=V")</f>
        <v>0</v>
      </c>
      <c r="AU2">
        <f>BDH("TRUG US Equity","EQY_SH_OUT","1993-06-18","2026-05-02","Per=M","Days=T","Dir=V")</f>
        <v>0</v>
      </c>
      <c r="AW2">
        <f>BDH("TRUG US Equity","PX_VOLUME","1993-06-18","2026-05-02","Per=M","Days=T","Dir=V")</f>
        <v>0</v>
      </c>
      <c r="AY2">
        <f>BDH("TRUG US Equity","TURNOVER","1993-06-18","2026-05-02","Per=M","Days=T","Dir=V")</f>
        <v>0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BDH("TRUP US Equity","BS_TOT_ASSET","1993-06-18","2026-05-02","Per=Y","Days=T","Dir=V")</f>
        <v>0</v>
      </c>
      <c r="C2">
        <f>BDH("TRUP US Equity","BS_TOT_LIAB2","1993-06-18","2026-05-02","Per=Y","Days=T","Dir=V")</f>
        <v>0</v>
      </c>
      <c r="E2">
        <f>BDH("TRUP US Equity","SHORT_AND_LONG_TERM_DEBT","1993-06-18","2026-05-02","Per=Y","Days=T","Dir=V")</f>
        <v>0</v>
      </c>
      <c r="G2">
        <f>BDH("TRUP US Equity","BS_ST_BORROW","1993-06-18","2026-05-02","Per=Y","Days=T","Dir=V")</f>
        <v>0</v>
      </c>
      <c r="I2">
        <f>BDH("TRUP US Equity","BS_LT_BORROW","1993-06-18","2026-05-02","Per=Y","Days=T","Dir=V")</f>
        <v>0</v>
      </c>
      <c r="K2">
        <f>BDH("TRUP US Equity","BS_CASH_NEAR_CASH_ITEM","1993-06-18","2026-05-02","Per=Y","Days=T","Dir=V")</f>
        <v>0</v>
      </c>
      <c r="M2">
        <f>BDH("TRUP US Equity","BS_CUR_ASSET_REPORT","1993-06-18","2026-05-02","Per=Y","Days=T","Dir=V")</f>
        <v>0</v>
      </c>
      <c r="O2">
        <f>BDH("TRUP US Equity","BS_CUR_LIAB","1993-06-18","2026-05-02","Per=Y","Days=T","Dir=V")</f>
        <v>0</v>
      </c>
      <c r="Q2">
        <f>BDH("TRUP US Equity","BS_SHAREHOLDER_EQY_ENDING_PERIOD","1993-06-18","2026-05-02","Per=Y","Days=T","Dir=V")</f>
        <v>0</v>
      </c>
      <c r="S2">
        <f>BDH("TRUP US Equity","BS_ACCT_NOTE_RCV","1993-06-18","2026-05-02","Per=Y","Days=T","Dir=V")</f>
        <v>0</v>
      </c>
      <c r="U2">
        <f>BDH("TRUP US Equity","BS_INVENTORIES","1993-06-18","2026-05-02","Per=Y","Days=T","Dir=V")</f>
        <v>0</v>
      </c>
      <c r="W2">
        <f>BDH("TRUP US Equity","WORKING_CAPITAL","1993-06-18","2026-05-02","Per=Y","Days=T","Dir=V")</f>
        <v>0</v>
      </c>
      <c r="Y2">
        <f>BDH("TRUP US Equity","SALES_REV_TURN","1993-06-18","2026-05-02","Per=Y","Days=T","Dir=V")</f>
        <v>0</v>
      </c>
      <c r="AA2">
        <f>BDH("TRUP US Equity","EBIT","1993-06-18","2026-05-02","Per=Y","Days=T","Dir=V")</f>
        <v>0</v>
      </c>
      <c r="AC2">
        <f>BDH("TRUP US Equity","EBITDA","1993-06-18","2026-05-02","Per=Y","Days=T","Dir=V")</f>
        <v>0</v>
      </c>
      <c r="AE2">
        <f>BDH("TRUP US Equity","NET_INCOME","1993-06-18","2026-05-02","Per=Y","Days=T","Dir=V")</f>
        <v>0</v>
      </c>
      <c r="AG2">
        <f>BDH("TRUP US Equity","IS_INT_EXPENSE","1993-06-18","2026-05-02","Per=Y","Days=T","Dir=V")</f>
        <v>0</v>
      </c>
      <c r="AI2">
        <f>BDH("TRUP US Equity","IS_DEPR_EXP","1993-06-18","2026-05-02","Per=Y","Days=T","Dir=V")</f>
        <v>0</v>
      </c>
      <c r="AK2">
        <f>BDH("TRUP US Equity","CF_CASH_FROM_OPER","1993-06-18","2026-05-02","Per=Y","Days=T","Dir=V")</f>
        <v>0</v>
      </c>
      <c r="AM2">
        <f>BDH("TRUP US Equity","CAPITAL_EXPEND","1993-06-18","2026-05-02","Per=Y","Days=T","Dir=V")</f>
        <v>0</v>
      </c>
      <c r="AO2">
        <f>BDH("TRUP US Equity","CF_FREE_CASH_FLOW","1993-06-18","2026-05-02","Per=Y","Days=T","Dir=V")</f>
        <v>0</v>
      </c>
      <c r="AQ2">
        <f>BDH("TRUP US Equity","PX_LAST","1993-06-18","2026-05-02","Per=M","Days=T","Dir=V")</f>
        <v>0</v>
      </c>
      <c r="AS2">
        <f>BDH("TRUP US Equity","CUR_MKT_CAP","1993-06-18","2026-05-02","Per=M","Days=T","Dir=V")</f>
        <v>0</v>
      </c>
      <c r="AU2">
        <f>BDH("TRUP US Equity","EQY_SH_OUT","1993-06-18","2026-05-02","Per=M","Days=T","Dir=V")</f>
        <v>0</v>
      </c>
      <c r="AW2">
        <f>BDH("TRUP US Equity","PX_VOLUME","1993-06-18","2026-05-02","Per=M","Days=T","Dir=V")</f>
        <v>0</v>
      </c>
      <c r="AY2">
        <f>BDH("TRUP US Equity","TURNOVER","1993-06-18","2026-05-02","Per=M","Days=T","Dir=V")</f>
        <v>0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BDH("TRVI US Equity","BS_TOT_ASSET","1993-06-18","2026-05-02","Per=Y","Days=T","Dir=V")</f>
        <v>0</v>
      </c>
      <c r="C2">
        <f>BDH("TRVI US Equity","BS_TOT_LIAB2","1993-06-18","2026-05-02","Per=Y","Days=T","Dir=V")</f>
        <v>0</v>
      </c>
      <c r="E2">
        <f>BDH("TRVI US Equity","SHORT_AND_LONG_TERM_DEBT","1993-06-18","2026-05-02","Per=Y","Days=T","Dir=V")</f>
        <v>0</v>
      </c>
      <c r="G2">
        <f>BDH("TRVI US Equity","BS_ST_BORROW","1993-06-18","2026-05-02","Per=Y","Days=T","Dir=V")</f>
        <v>0</v>
      </c>
      <c r="I2">
        <f>BDH("TRVI US Equity","BS_LT_BORROW","1993-06-18","2026-05-02","Per=Y","Days=T","Dir=V")</f>
        <v>0</v>
      </c>
      <c r="K2">
        <f>BDH("TRVI US Equity","BS_CASH_NEAR_CASH_ITEM","1993-06-18","2026-05-02","Per=Y","Days=T","Dir=V")</f>
        <v>0</v>
      </c>
      <c r="M2">
        <f>BDH("TRVI US Equity","BS_CUR_ASSET_REPORT","1993-06-18","2026-05-02","Per=Y","Days=T","Dir=V")</f>
        <v>0</v>
      </c>
      <c r="O2">
        <f>BDH("TRVI US Equity","BS_CUR_LIAB","1993-06-18","2026-05-02","Per=Y","Days=T","Dir=V")</f>
        <v>0</v>
      </c>
      <c r="Q2">
        <f>BDH("TRVI US Equity","BS_SHAREHOLDER_EQY_ENDING_PERIOD","1993-06-18","2026-05-02","Per=Y","Days=T","Dir=V")</f>
        <v>0</v>
      </c>
      <c r="S2">
        <f>BDH("TRVI US Equity","BS_ACCT_NOTE_RCV","1993-06-18","2026-05-02","Per=Y","Days=T","Dir=V")</f>
        <v>0</v>
      </c>
      <c r="U2">
        <f>BDH("TRVI US Equity","BS_INVENTORIES","1993-06-18","2026-05-02","Per=Y","Days=T","Dir=V")</f>
        <v>0</v>
      </c>
      <c r="W2">
        <f>BDH("TRVI US Equity","WORKING_CAPITAL","1993-06-18","2026-05-02","Per=Y","Days=T","Dir=V")</f>
        <v>0</v>
      </c>
      <c r="Y2">
        <f>BDH("TRVI US Equity","SALES_REV_TURN","1993-06-18","2026-05-02","Per=Y","Days=T","Dir=V")</f>
        <v>0</v>
      </c>
      <c r="AA2">
        <f>BDH("TRVI US Equity","EBIT","1993-06-18","2026-05-02","Per=Y","Days=T","Dir=V")</f>
        <v>0</v>
      </c>
      <c r="AC2">
        <f>BDH("TRVI US Equity","EBITDA","1993-06-18","2026-05-02","Per=Y","Days=T","Dir=V")</f>
        <v>0</v>
      </c>
      <c r="AE2">
        <f>BDH("TRVI US Equity","NET_INCOME","1993-06-18","2026-05-02","Per=Y","Days=T","Dir=V")</f>
        <v>0</v>
      </c>
      <c r="AG2">
        <f>BDH("TRVI US Equity","IS_INT_EXPENSE","1993-06-18","2026-05-02","Per=Y","Days=T","Dir=V")</f>
        <v>0</v>
      </c>
      <c r="AI2">
        <f>BDH("TRVI US Equity","IS_DEPR_EXP","1993-06-18","2026-05-02","Per=Y","Days=T","Dir=V")</f>
        <v>0</v>
      </c>
      <c r="AK2">
        <f>BDH("TRVI US Equity","CF_CASH_FROM_OPER","1993-06-18","2026-05-02","Per=Y","Days=T","Dir=V")</f>
        <v>0</v>
      </c>
      <c r="AM2">
        <f>BDH("TRVI US Equity","CAPITAL_EXPEND","1993-06-18","2026-05-02","Per=Y","Days=T","Dir=V")</f>
        <v>0</v>
      </c>
      <c r="AO2">
        <f>BDH("TRVI US Equity","CF_FREE_CASH_FLOW","1993-06-18","2026-05-02","Per=Y","Days=T","Dir=V")</f>
        <v>0</v>
      </c>
      <c r="AQ2">
        <f>BDH("TRVI US Equity","PX_LAST","1993-06-18","2026-05-02","Per=M","Days=T","Dir=V")</f>
        <v>0</v>
      </c>
      <c r="AS2">
        <f>BDH("TRVI US Equity","CUR_MKT_CAP","1993-06-18","2026-05-02","Per=M","Days=T","Dir=V")</f>
        <v>0</v>
      </c>
      <c r="AU2">
        <f>BDH("TRVI US Equity","EQY_SH_OUT","1993-06-18","2026-05-02","Per=M","Days=T","Dir=V")</f>
        <v>0</v>
      </c>
      <c r="AW2">
        <f>BDH("TRVI US Equity","PX_VOLUME","1993-06-18","2026-05-02","Per=M","Days=T","Dir=V")</f>
        <v>0</v>
      </c>
      <c r="AY2">
        <f>BDH("TRVI US Equity","TURNOVER","1993-06-18","2026-05-02","Per=M","Days=T","Dir=V")</f>
        <v>0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BDH("TSCO US Equity","BS_TOT_ASSET","1993-06-18","2026-05-02","Per=Y","Days=T","Dir=V")</f>
        <v>0</v>
      </c>
      <c r="C2">
        <f>BDH("TSCO US Equity","BS_TOT_LIAB2","1993-06-18","2026-05-02","Per=Y","Days=T","Dir=V")</f>
        <v>0</v>
      </c>
      <c r="E2">
        <f>BDH("TSCO US Equity","SHORT_AND_LONG_TERM_DEBT","1993-06-18","2026-05-02","Per=Y","Days=T","Dir=V")</f>
        <v>0</v>
      </c>
      <c r="G2">
        <f>BDH("TSCO US Equity","BS_ST_BORROW","1993-06-18","2026-05-02","Per=Y","Days=T","Dir=V")</f>
        <v>0</v>
      </c>
      <c r="I2">
        <f>BDH("TSCO US Equity","BS_LT_BORROW","1993-06-18","2026-05-02","Per=Y","Days=T","Dir=V")</f>
        <v>0</v>
      </c>
      <c r="K2">
        <f>BDH("TSCO US Equity","BS_CASH_NEAR_CASH_ITEM","1993-06-18","2026-05-02","Per=Y","Days=T","Dir=V")</f>
        <v>0</v>
      </c>
      <c r="M2">
        <f>BDH("TSCO US Equity","BS_CUR_ASSET_REPORT","1993-06-18","2026-05-02","Per=Y","Days=T","Dir=V")</f>
        <v>0</v>
      </c>
      <c r="O2">
        <f>BDH("TSCO US Equity","BS_CUR_LIAB","1993-06-18","2026-05-02","Per=Y","Days=T","Dir=V")</f>
        <v>0</v>
      </c>
      <c r="Q2">
        <f>BDH("TSCO US Equity","BS_SHAREHOLDER_EQY_ENDING_PERIOD","1993-06-18","2026-05-02","Per=Y","Days=T","Dir=V")</f>
        <v>0</v>
      </c>
      <c r="S2">
        <f>BDH("TSCO US Equity","BS_ACCT_NOTE_RCV","1993-06-18","2026-05-02","Per=Y","Days=T","Dir=V")</f>
        <v>0</v>
      </c>
      <c r="U2">
        <f>BDH("TSCO US Equity","BS_INVENTORIES","1993-06-18","2026-05-02","Per=Y","Days=T","Dir=V")</f>
        <v>0</v>
      </c>
      <c r="W2">
        <f>BDH("TSCO US Equity","WORKING_CAPITAL","1993-06-18","2026-05-02","Per=Y","Days=T","Dir=V")</f>
        <v>0</v>
      </c>
      <c r="Y2">
        <f>BDH("TSCO US Equity","SALES_REV_TURN","1993-06-18","2026-05-02","Per=Y","Days=T","Dir=V")</f>
        <v>0</v>
      </c>
      <c r="AA2">
        <f>BDH("TSCO US Equity","EBIT","1993-06-18","2026-05-02","Per=Y","Days=T","Dir=V")</f>
        <v>0</v>
      </c>
      <c r="AC2">
        <f>BDH("TSCO US Equity","EBITDA","1993-06-18","2026-05-02","Per=Y","Days=T","Dir=V")</f>
        <v>0</v>
      </c>
      <c r="AE2">
        <f>BDH("TSCO US Equity","NET_INCOME","1993-06-18","2026-05-02","Per=Y","Days=T","Dir=V")</f>
        <v>0</v>
      </c>
      <c r="AG2">
        <f>BDH("TSCO US Equity","IS_INT_EXPENSE","1993-06-18","2026-05-02","Per=Y","Days=T","Dir=V")</f>
        <v>0</v>
      </c>
      <c r="AI2">
        <f>BDH("TSCO US Equity","IS_DEPR_EXP","1993-06-18","2026-05-02","Per=Y","Days=T","Dir=V")</f>
        <v>0</v>
      </c>
      <c r="AK2">
        <f>BDH("TSCO US Equity","CF_CASH_FROM_OPER","1993-06-18","2026-05-02","Per=Y","Days=T","Dir=V")</f>
        <v>0</v>
      </c>
      <c r="AM2">
        <f>BDH("TSCO US Equity","CAPITAL_EXPEND","1993-06-18","2026-05-02","Per=Y","Days=T","Dir=V")</f>
        <v>0</v>
      </c>
      <c r="AO2">
        <f>BDH("TSCO US Equity","CF_FREE_CASH_FLOW","1993-06-18","2026-05-02","Per=Y","Days=T","Dir=V")</f>
        <v>0</v>
      </c>
      <c r="AQ2">
        <f>BDH("TSCO US Equity","PX_LAST","1993-06-18","2026-05-02","Per=M","Days=T","Dir=V")</f>
        <v>0</v>
      </c>
      <c r="AS2">
        <f>BDH("TSCO US Equity","CUR_MKT_CAP","1993-06-18","2026-05-02","Per=M","Days=T","Dir=V")</f>
        <v>0</v>
      </c>
      <c r="AU2">
        <f>BDH("TSCO US Equity","EQY_SH_OUT","1993-06-18","2026-05-02","Per=M","Days=T","Dir=V")</f>
        <v>0</v>
      </c>
      <c r="AW2">
        <f>BDH("TSCO US Equity","PX_VOLUME","1993-06-18","2026-05-02","Per=M","Days=T","Dir=V")</f>
        <v>0</v>
      </c>
      <c r="AY2">
        <f>BDH("TSCO US Equity","TURNOVER","1993-06-18","2026-05-02","Per=M","Days=T","Dir=V")</f>
        <v>0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BDH("TSHA US Equity","BS_TOT_ASSET","1993-06-18","2026-05-02","Per=Y","Days=T","Dir=V")</f>
        <v>0</v>
      </c>
      <c r="C2">
        <f>BDH("TSHA US Equity","BS_TOT_LIAB2","1993-06-18","2026-05-02","Per=Y","Days=T","Dir=V")</f>
        <v>0</v>
      </c>
      <c r="E2">
        <f>BDH("TSHA US Equity","SHORT_AND_LONG_TERM_DEBT","1993-06-18","2026-05-02","Per=Y","Days=T","Dir=V")</f>
        <v>0</v>
      </c>
      <c r="G2">
        <f>BDH("TSHA US Equity","BS_ST_BORROW","1993-06-18","2026-05-02","Per=Y","Days=T","Dir=V")</f>
        <v>0</v>
      </c>
      <c r="I2">
        <f>BDH("TSHA US Equity","BS_LT_BORROW","1993-06-18","2026-05-02","Per=Y","Days=T","Dir=V")</f>
        <v>0</v>
      </c>
      <c r="K2">
        <f>BDH("TSHA US Equity","BS_CASH_NEAR_CASH_ITEM","1993-06-18","2026-05-02","Per=Y","Days=T","Dir=V")</f>
        <v>0</v>
      </c>
      <c r="M2">
        <f>BDH("TSHA US Equity","BS_CUR_ASSET_REPORT","1993-06-18","2026-05-02","Per=Y","Days=T","Dir=V")</f>
        <v>0</v>
      </c>
      <c r="O2">
        <f>BDH("TSHA US Equity","BS_CUR_LIAB","1993-06-18","2026-05-02","Per=Y","Days=T","Dir=V")</f>
        <v>0</v>
      </c>
      <c r="Q2">
        <f>BDH("TSHA US Equity","BS_SHAREHOLDER_EQY_ENDING_PERIOD","1993-06-18","2026-05-02","Per=Y","Days=T","Dir=V")</f>
        <v>0</v>
      </c>
      <c r="S2">
        <f>BDH("TSHA US Equity","BS_ACCT_NOTE_RCV","1993-06-18","2026-05-02","Per=Y","Days=T","Dir=V")</f>
        <v>0</v>
      </c>
      <c r="U2">
        <f>BDH("TSHA US Equity","BS_INVENTORIES","1993-06-18","2026-05-02","Per=Y","Days=T","Dir=V")</f>
        <v>0</v>
      </c>
      <c r="W2">
        <f>BDH("TSHA US Equity","WORKING_CAPITAL","1993-06-18","2026-05-02","Per=Y","Days=T","Dir=V")</f>
        <v>0</v>
      </c>
      <c r="Y2">
        <f>BDH("TSHA US Equity","SALES_REV_TURN","1993-06-18","2026-05-02","Per=Y","Days=T","Dir=V")</f>
        <v>0</v>
      </c>
      <c r="AA2">
        <f>BDH("TSHA US Equity","EBIT","1993-06-18","2026-05-02","Per=Y","Days=T","Dir=V")</f>
        <v>0</v>
      </c>
      <c r="AC2">
        <f>BDH("TSHA US Equity","EBITDA","1993-06-18","2026-05-02","Per=Y","Days=T","Dir=V")</f>
        <v>0</v>
      </c>
      <c r="AE2">
        <f>BDH("TSHA US Equity","NET_INCOME","1993-06-18","2026-05-02","Per=Y","Days=T","Dir=V")</f>
        <v>0</v>
      </c>
      <c r="AG2">
        <f>BDH("TSHA US Equity","IS_INT_EXPENSE","1993-06-18","2026-05-02","Per=Y","Days=T","Dir=V")</f>
        <v>0</v>
      </c>
      <c r="AI2">
        <f>BDH("TSHA US Equity","IS_DEPR_EXP","1993-06-18","2026-05-02","Per=Y","Days=T","Dir=V")</f>
        <v>0</v>
      </c>
      <c r="AK2">
        <f>BDH("TSHA US Equity","CF_CASH_FROM_OPER","1993-06-18","2026-05-02","Per=Y","Days=T","Dir=V")</f>
        <v>0</v>
      </c>
      <c r="AM2">
        <f>BDH("TSHA US Equity","CAPITAL_EXPEND","1993-06-18","2026-05-02","Per=Y","Days=T","Dir=V")</f>
        <v>0</v>
      </c>
      <c r="AO2">
        <f>BDH("TSHA US Equity","CF_FREE_CASH_FLOW","1993-06-18","2026-05-02","Per=Y","Days=T","Dir=V")</f>
        <v>0</v>
      </c>
      <c r="AQ2">
        <f>BDH("TSHA US Equity","PX_LAST","1993-06-18","2026-05-02","Per=M","Days=T","Dir=V")</f>
        <v>0</v>
      </c>
      <c r="AS2">
        <f>BDH("TSHA US Equity","CUR_MKT_CAP","1993-06-18","2026-05-02","Per=M","Days=T","Dir=V")</f>
        <v>0</v>
      </c>
      <c r="AU2">
        <f>BDH("TSHA US Equity","EQY_SH_OUT","1993-06-18","2026-05-02","Per=M","Days=T","Dir=V")</f>
        <v>0</v>
      </c>
      <c r="AW2">
        <f>BDH("TSHA US Equity","PX_VOLUME","1993-06-18","2026-05-02","Per=M","Days=T","Dir=V")</f>
        <v>0</v>
      </c>
      <c r="AY2">
        <f>BDH("TSHA US Equity","TURNOVER","1993-06-18","2026-05-02","Per=M","Days=T","Dir=V")</f>
        <v>0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BDH("TSLA US Equity","BS_TOT_ASSET","1993-06-18","2026-05-02","Per=Y","Days=T","Dir=V")</f>
        <v>0</v>
      </c>
      <c r="C2">
        <f>BDH("TSLA US Equity","BS_TOT_LIAB2","1993-06-18","2026-05-02","Per=Y","Days=T","Dir=V")</f>
        <v>0</v>
      </c>
      <c r="E2">
        <f>BDH("TSLA US Equity","SHORT_AND_LONG_TERM_DEBT","1993-06-18","2026-05-02","Per=Y","Days=T","Dir=V")</f>
        <v>0</v>
      </c>
      <c r="G2">
        <f>BDH("TSLA US Equity","BS_ST_BORROW","1993-06-18","2026-05-02","Per=Y","Days=T","Dir=V")</f>
        <v>0</v>
      </c>
      <c r="I2">
        <f>BDH("TSLA US Equity","BS_LT_BORROW","1993-06-18","2026-05-02","Per=Y","Days=T","Dir=V")</f>
        <v>0</v>
      </c>
      <c r="K2">
        <f>BDH("TSLA US Equity","BS_CASH_NEAR_CASH_ITEM","1993-06-18","2026-05-02","Per=Y","Days=T","Dir=V")</f>
        <v>0</v>
      </c>
      <c r="M2">
        <f>BDH("TSLA US Equity","BS_CUR_ASSET_REPORT","1993-06-18","2026-05-02","Per=Y","Days=T","Dir=V")</f>
        <v>0</v>
      </c>
      <c r="O2">
        <f>BDH("TSLA US Equity","BS_CUR_LIAB","1993-06-18","2026-05-02","Per=Y","Days=T","Dir=V")</f>
        <v>0</v>
      </c>
      <c r="Q2">
        <f>BDH("TSLA US Equity","BS_SHAREHOLDER_EQY_ENDING_PERIOD","1993-06-18","2026-05-02","Per=Y","Days=T","Dir=V")</f>
        <v>0</v>
      </c>
      <c r="S2">
        <f>BDH("TSLA US Equity","BS_ACCT_NOTE_RCV","1993-06-18","2026-05-02","Per=Y","Days=T","Dir=V")</f>
        <v>0</v>
      </c>
      <c r="U2">
        <f>BDH("TSLA US Equity","BS_INVENTORIES","1993-06-18","2026-05-02","Per=Y","Days=T","Dir=V")</f>
        <v>0</v>
      </c>
      <c r="W2">
        <f>BDH("TSLA US Equity","WORKING_CAPITAL","1993-06-18","2026-05-02","Per=Y","Days=T","Dir=V")</f>
        <v>0</v>
      </c>
      <c r="Y2">
        <f>BDH("TSLA US Equity","SALES_REV_TURN","1993-06-18","2026-05-02","Per=Y","Days=T","Dir=V")</f>
        <v>0</v>
      </c>
      <c r="AA2">
        <f>BDH("TSLA US Equity","EBIT","1993-06-18","2026-05-02","Per=Y","Days=T","Dir=V")</f>
        <v>0</v>
      </c>
      <c r="AC2">
        <f>BDH("TSLA US Equity","EBITDA","1993-06-18","2026-05-02","Per=Y","Days=T","Dir=V")</f>
        <v>0</v>
      </c>
      <c r="AE2">
        <f>BDH("TSLA US Equity","NET_INCOME","1993-06-18","2026-05-02","Per=Y","Days=T","Dir=V")</f>
        <v>0</v>
      </c>
      <c r="AG2">
        <f>BDH("TSLA US Equity","IS_INT_EXPENSE","1993-06-18","2026-05-02","Per=Y","Days=T","Dir=V")</f>
        <v>0</v>
      </c>
      <c r="AI2">
        <f>BDH("TSLA US Equity","IS_DEPR_EXP","1993-06-18","2026-05-02","Per=Y","Days=T","Dir=V")</f>
        <v>0</v>
      </c>
      <c r="AK2">
        <f>BDH("TSLA US Equity","CF_CASH_FROM_OPER","1993-06-18","2026-05-02","Per=Y","Days=T","Dir=V")</f>
        <v>0</v>
      </c>
      <c r="AM2">
        <f>BDH("TSLA US Equity","CAPITAL_EXPEND","1993-06-18","2026-05-02","Per=Y","Days=T","Dir=V")</f>
        <v>0</v>
      </c>
      <c r="AO2">
        <f>BDH("TSLA US Equity","CF_FREE_CASH_FLOW","1993-06-18","2026-05-02","Per=Y","Days=T","Dir=V")</f>
        <v>0</v>
      </c>
      <c r="AQ2">
        <f>BDH("TSLA US Equity","PX_LAST","1993-06-18","2026-05-02","Per=M","Days=T","Dir=V")</f>
        <v>0</v>
      </c>
      <c r="AS2">
        <f>BDH("TSLA US Equity","CUR_MKT_CAP","1993-06-18","2026-05-02","Per=M","Days=T","Dir=V")</f>
        <v>0</v>
      </c>
      <c r="AU2">
        <f>BDH("TSLA US Equity","EQY_SH_OUT","1993-06-18","2026-05-02","Per=M","Days=T","Dir=V")</f>
        <v>0</v>
      </c>
      <c r="AW2">
        <f>BDH("TSLA US Equity","PX_VOLUME","1993-06-18","2026-05-02","Per=M","Days=T","Dir=V")</f>
        <v>0</v>
      </c>
      <c r="AY2">
        <f>BDH("TSLA US Equity","TURNOVER","1993-06-18","2026-05-02","Per=M","Days=T","Dir=V")</f>
        <v>0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BDH("TSN US Equity","BS_TOT_ASSET","1993-06-18","2026-05-02","Per=Y","Days=T","Dir=V")</f>
        <v>0</v>
      </c>
      <c r="C2">
        <f>BDH("TSN US Equity","BS_TOT_LIAB2","1993-06-18","2026-05-02","Per=Y","Days=T","Dir=V")</f>
        <v>0</v>
      </c>
      <c r="E2">
        <f>BDH("TSN US Equity","SHORT_AND_LONG_TERM_DEBT","1993-06-18","2026-05-02","Per=Y","Days=T","Dir=V")</f>
        <v>0</v>
      </c>
      <c r="G2">
        <f>BDH("TSN US Equity","BS_ST_BORROW","1993-06-18","2026-05-02","Per=Y","Days=T","Dir=V")</f>
        <v>0</v>
      </c>
      <c r="I2">
        <f>BDH("TSN US Equity","BS_LT_BORROW","1993-06-18","2026-05-02","Per=Y","Days=T","Dir=V")</f>
        <v>0</v>
      </c>
      <c r="K2">
        <f>BDH("TSN US Equity","BS_CASH_NEAR_CASH_ITEM","1993-06-18","2026-05-02","Per=Y","Days=T","Dir=V")</f>
        <v>0</v>
      </c>
      <c r="M2">
        <f>BDH("TSN US Equity","BS_CUR_ASSET_REPORT","1993-06-18","2026-05-02","Per=Y","Days=T","Dir=V")</f>
        <v>0</v>
      </c>
      <c r="O2">
        <f>BDH("TSN US Equity","BS_CUR_LIAB","1993-06-18","2026-05-02","Per=Y","Days=T","Dir=V")</f>
        <v>0</v>
      </c>
      <c r="Q2">
        <f>BDH("TSN US Equity","BS_SHAREHOLDER_EQY_ENDING_PERIOD","1993-06-18","2026-05-02","Per=Y","Days=T","Dir=V")</f>
        <v>0</v>
      </c>
      <c r="S2">
        <f>BDH("TSN US Equity","BS_ACCT_NOTE_RCV","1993-06-18","2026-05-02","Per=Y","Days=T","Dir=V")</f>
        <v>0</v>
      </c>
      <c r="U2">
        <f>BDH("TSN US Equity","BS_INVENTORIES","1993-06-18","2026-05-02","Per=Y","Days=T","Dir=V")</f>
        <v>0</v>
      </c>
      <c r="W2">
        <f>BDH("TSN US Equity","WORKING_CAPITAL","1993-06-18","2026-05-02","Per=Y","Days=T","Dir=V")</f>
        <v>0</v>
      </c>
      <c r="Y2">
        <f>BDH("TSN US Equity","SALES_REV_TURN","1993-06-18","2026-05-02","Per=Y","Days=T","Dir=V")</f>
        <v>0</v>
      </c>
      <c r="AA2">
        <f>BDH("TSN US Equity","EBIT","1993-06-18","2026-05-02","Per=Y","Days=T","Dir=V")</f>
        <v>0</v>
      </c>
      <c r="AC2">
        <f>BDH("TSN US Equity","EBITDA","1993-06-18","2026-05-02","Per=Y","Days=T","Dir=V")</f>
        <v>0</v>
      </c>
      <c r="AE2">
        <f>BDH("TSN US Equity","NET_INCOME","1993-06-18","2026-05-02","Per=Y","Days=T","Dir=V")</f>
        <v>0</v>
      </c>
      <c r="AG2">
        <f>BDH("TSN US Equity","IS_INT_EXPENSE","1993-06-18","2026-05-02","Per=Y","Days=T","Dir=V")</f>
        <v>0</v>
      </c>
      <c r="AI2">
        <f>BDH("TSN US Equity","IS_DEPR_EXP","1993-06-18","2026-05-02","Per=Y","Days=T","Dir=V")</f>
        <v>0</v>
      </c>
      <c r="AK2">
        <f>BDH("TSN US Equity","CF_CASH_FROM_OPER","1993-06-18","2026-05-02","Per=Y","Days=T","Dir=V")</f>
        <v>0</v>
      </c>
      <c r="AM2">
        <f>BDH("TSN US Equity","CAPITAL_EXPEND","1993-06-18","2026-05-02","Per=Y","Days=T","Dir=V")</f>
        <v>0</v>
      </c>
      <c r="AO2">
        <f>BDH("TSN US Equity","CF_FREE_CASH_FLOW","1993-06-18","2026-05-02","Per=Y","Days=T","Dir=V")</f>
        <v>0</v>
      </c>
      <c r="AQ2">
        <f>BDH("TSN US Equity","PX_LAST","1993-06-18","2026-05-02","Per=M","Days=T","Dir=V")</f>
        <v>0</v>
      </c>
      <c r="AS2">
        <f>BDH("TSN US Equity","CUR_MKT_CAP","1993-06-18","2026-05-02","Per=M","Days=T","Dir=V")</f>
        <v>0</v>
      </c>
      <c r="AU2">
        <f>BDH("TSN US Equity","EQY_SH_OUT","1993-06-18","2026-05-02","Per=M","Days=T","Dir=V")</f>
        <v>0</v>
      </c>
      <c r="AW2">
        <f>BDH("TSN US Equity","PX_VOLUME","1993-06-18","2026-05-02","Per=M","Days=T","Dir=V")</f>
        <v>0</v>
      </c>
      <c r="AY2">
        <f>BDH("TSN US Equity","TURNOVER","1993-06-18","2026-05-02","Per=M","Days=T","Dir=V")</f>
        <v>0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1102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  <c r="P1" t="s">
        <v>1117</v>
      </c>
      <c r="Q1" t="s">
        <v>1118</v>
      </c>
      <c r="R1" t="s">
        <v>1119</v>
      </c>
      <c r="S1" t="s">
        <v>1120</v>
      </c>
      <c r="T1" t="s">
        <v>1121</v>
      </c>
      <c r="U1" t="s">
        <v>1122</v>
      </c>
      <c r="V1" t="s">
        <v>1123</v>
      </c>
      <c r="W1" t="s">
        <v>1124</v>
      </c>
      <c r="X1" t="s">
        <v>1125</v>
      </c>
      <c r="Y1" t="s">
        <v>1126</v>
      </c>
      <c r="Z1" t="s">
        <v>1127</v>
      </c>
      <c r="AA1" t="s">
        <v>1128</v>
      </c>
      <c r="AB1" t="s">
        <v>1129</v>
      </c>
      <c r="AC1" t="s">
        <v>1130</v>
      </c>
      <c r="AD1" t="s">
        <v>1131</v>
      </c>
      <c r="AE1" t="s">
        <v>1132</v>
      </c>
      <c r="AF1" t="s">
        <v>1133</v>
      </c>
      <c r="AG1" t="s">
        <v>1134</v>
      </c>
      <c r="AH1" t="s">
        <v>1135</v>
      </c>
      <c r="AI1" t="s">
        <v>1136</v>
      </c>
      <c r="AJ1" t="s">
        <v>1137</v>
      </c>
      <c r="AK1" t="s">
        <v>1138</v>
      </c>
      <c r="AL1" t="s">
        <v>1139</v>
      </c>
      <c r="AM1" t="s">
        <v>1140</v>
      </c>
      <c r="AN1" t="s">
        <v>1141</v>
      </c>
      <c r="AO1" t="s">
        <v>1142</v>
      </c>
      <c r="AP1" t="s">
        <v>1143</v>
      </c>
      <c r="AQ1" t="s">
        <v>1144</v>
      </c>
      <c r="AR1" t="s">
        <v>1145</v>
      </c>
      <c r="AS1" t="s">
        <v>1146</v>
      </c>
      <c r="AT1" t="s">
        <v>1147</v>
      </c>
      <c r="AU1" t="s">
        <v>1148</v>
      </c>
      <c r="AV1" t="s">
        <v>1149</v>
      </c>
      <c r="AW1" t="s">
        <v>1150</v>
      </c>
      <c r="AX1" t="s">
        <v>1151</v>
      </c>
      <c r="AY1" t="s">
        <v>1152</v>
      </c>
      <c r="AZ1" t="s">
        <v>1153</v>
      </c>
    </row>
    <row r="2" spans="1:52">
      <c r="A2">
        <f>BDH("TSQ US Equity","BS_TOT_ASSET","1993-06-18","2026-05-02","Per=Y","Days=T","Dir=V")</f>
        <v>0</v>
      </c>
      <c r="C2">
        <f>BDH("TSQ US Equity","BS_TOT_LIAB2","1993-06-18","2026-05-02","Per=Y","Days=T","Dir=V")</f>
        <v>0</v>
      </c>
      <c r="E2">
        <f>BDH("TSQ US Equity","SHORT_AND_LONG_TERM_DEBT","1993-06-18","2026-05-02","Per=Y","Days=T","Dir=V")</f>
        <v>0</v>
      </c>
      <c r="G2">
        <f>BDH("TSQ US Equity","BS_ST_BORROW","1993-06-18","2026-05-02","Per=Y","Days=T","Dir=V")</f>
        <v>0</v>
      </c>
      <c r="I2">
        <f>BDH("TSQ US Equity","BS_LT_BORROW","1993-06-18","2026-05-02","Per=Y","Days=T","Dir=V")</f>
        <v>0</v>
      </c>
      <c r="K2">
        <f>BDH("TSQ US Equity","BS_CASH_NEAR_CASH_ITEM","1993-06-18","2026-05-02","Per=Y","Days=T","Dir=V")</f>
        <v>0</v>
      </c>
      <c r="M2">
        <f>BDH("TSQ US Equity","BS_CUR_ASSET_REPORT","1993-06-18","2026-05-02","Per=Y","Days=T","Dir=V")</f>
        <v>0</v>
      </c>
      <c r="O2">
        <f>BDH("TSQ US Equity","BS_CUR_LIAB","1993-06-18","2026-05-02","Per=Y","Days=T","Dir=V")</f>
        <v>0</v>
      </c>
      <c r="Q2">
        <f>BDH("TSQ US Equity","BS_SHAREHOLDER_EQY_ENDING_PERIOD","1993-06-18","2026-05-02","Per=Y","Days=T","Dir=V")</f>
        <v>0</v>
      </c>
      <c r="S2">
        <f>BDH("TSQ US Equity","BS_ACCT_NOTE_RCV","1993-06-18","2026-05-02","Per=Y","Days=T","Dir=V")</f>
        <v>0</v>
      </c>
      <c r="U2">
        <f>BDH("TSQ US Equity","BS_INVENTORIES","1993-06-18","2026-05-02","Per=Y","Days=T","Dir=V")</f>
        <v>0</v>
      </c>
      <c r="W2">
        <f>BDH("TSQ US Equity","WORKING_CAPITAL","1993-06-18","2026-05-02","Per=Y","Days=T","Dir=V")</f>
        <v>0</v>
      </c>
      <c r="Y2">
        <f>BDH("TSQ US Equity","SALES_REV_TURN","1993-06-18","2026-05-02","Per=Y","Days=T","Dir=V")</f>
        <v>0</v>
      </c>
      <c r="AA2">
        <f>BDH("TSQ US Equity","EBIT","1993-06-18","2026-05-02","Per=Y","Days=T","Dir=V")</f>
        <v>0</v>
      </c>
      <c r="AC2">
        <f>BDH("TSQ US Equity","EBITDA","1993-06-18","2026-05-02","Per=Y","Days=T","Dir=V")</f>
        <v>0</v>
      </c>
      <c r="AE2">
        <f>BDH("TSQ US Equity","NET_INCOME","1993-06-18","2026-05-02","Per=Y","Days=T","Dir=V")</f>
        <v>0</v>
      </c>
      <c r="AG2">
        <f>BDH("TSQ US Equity","IS_INT_EXPENSE","1993-06-18","2026-05-02","Per=Y","Days=T","Dir=V")</f>
        <v>0</v>
      </c>
      <c r="AI2">
        <f>BDH("TSQ US Equity","IS_DEPR_EXP","1993-06-18","2026-05-02","Per=Y","Days=T","Dir=V")</f>
        <v>0</v>
      </c>
      <c r="AK2">
        <f>BDH("TSQ US Equity","CF_CASH_FROM_OPER","1993-06-18","2026-05-02","Per=Y","Days=T","Dir=V")</f>
        <v>0</v>
      </c>
      <c r="AM2">
        <f>BDH("TSQ US Equity","CAPITAL_EXPEND","1993-06-18","2026-05-02","Per=Y","Days=T","Dir=V")</f>
        <v>0</v>
      </c>
      <c r="AO2">
        <f>BDH("TSQ US Equity","CF_FREE_CASH_FLOW","1993-06-18","2026-05-02","Per=Y","Days=T","Dir=V")</f>
        <v>0</v>
      </c>
      <c r="AQ2">
        <f>BDH("TSQ US Equity","PX_LAST","1993-06-18","2026-05-02","Per=M","Days=T","Dir=V")</f>
        <v>0</v>
      </c>
      <c r="AS2">
        <f>BDH("TSQ US Equity","CUR_MKT_CAP","1993-06-18","2026-05-02","Per=M","Days=T","Dir=V")</f>
        <v>0</v>
      </c>
      <c r="AU2">
        <f>BDH("TSQ US Equity","EQY_SH_OUT","1993-06-18","2026-05-02","Per=M","Days=T","Dir=V")</f>
        <v>0</v>
      </c>
      <c r="AW2">
        <f>BDH("TSQ US Equity","PX_VOLUME","1993-06-18","2026-05-02","Per=M","Days=T","Dir=V")</f>
        <v>0</v>
      </c>
      <c r="AY2">
        <f>BDH("TSQ US Equity","TURNOVER","1993-06-18","2026-05-02","Per=M","Days=T","Dir=V")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251</vt:i4>
      </vt:variant>
    </vt:vector>
  </HeadingPairs>
  <TitlesOfParts>
    <vt:vector size="251" baseType="lpstr">
      <vt:lpstr>Security_List</vt:lpstr>
      <vt:lpstr>NB_2481_SELLAS Life Sciences Gr</vt:lpstr>
      <vt:lpstr>NB_2482_Solesence Inc. Common S</vt:lpstr>
      <vt:lpstr>NB_2483_Sylvamo Corporation Com</vt:lpstr>
      <vt:lpstr>NB_2484_SM Energy Company Commo</vt:lpstr>
      <vt:lpstr>NB_2485_Summit Midstream Corpor</vt:lpstr>
      <vt:lpstr>NB_2486_Super Micro Computer In</vt:lpstr>
      <vt:lpstr>NB_2487_Super Micro Computer In</vt:lpstr>
      <vt:lpstr>NB_2488_Scotts Miracle-Gro Comp</vt:lpstr>
      <vt:lpstr>NB_2489_SEACOR Marine Holdings </vt:lpstr>
      <vt:lpstr>NB_2490_Smith-Midland Corporati</vt:lpstr>
      <vt:lpstr>NB_2491_Summit Therapeutics Inc</vt:lpstr>
      <vt:lpstr>NB_2492_Standard Motor Products</vt:lpstr>
      <vt:lpstr>NB_2493_The Simply Good Foods C</vt:lpstr>
      <vt:lpstr>NB_2494_NuScale Power Corporati</vt:lpstr>
      <vt:lpstr>NB_2495_SmartRent Inc. Class A </vt:lpstr>
      <vt:lpstr>NB_2496_Smith Micro Software In</vt:lpstr>
      <vt:lpstr>NB_2497_Semtech Corporation Com</vt:lpstr>
      <vt:lpstr>NB_2498_Sanara MedTech Inc. Com</vt:lpstr>
      <vt:lpstr>NB_2499_SmartKem Inc. Common St</vt:lpstr>
      <vt:lpstr>NB_2500_Solarmax Technology Inc</vt:lpstr>
      <vt:lpstr>NB_2501_SharkNinja Inc. Ordinar</vt:lpstr>
      <vt:lpstr>NB_2502_Snap-On Incorporated Co</vt:lpstr>
      <vt:lpstr>NB_2503_Snail Inc. Class A Comm</vt:lpstr>
      <vt:lpstr>NB_2504_Snap Inc. Class A Commo</vt:lpstr>
      <vt:lpstr>NB_2505_Smart Sand Inc. Common </vt:lpstr>
      <vt:lpstr>NB_2506_Sonida Senior Living In</vt:lpstr>
      <vt:lpstr>NB_2507_Sandisk Corporation Com</vt:lpstr>
      <vt:lpstr>NB_2508_Schneider National Inc.</vt:lpstr>
      <vt:lpstr>NB_2509_Syndax Pharmaceuticals </vt:lpstr>
      <vt:lpstr>NB_2510_SenesTech Inc. Common S</vt:lpstr>
      <vt:lpstr>NB_2511_Soligenix Inc. Common S</vt:lpstr>
      <vt:lpstr>NB_2512_Sonoma Pharmaceuticals </vt:lpstr>
      <vt:lpstr>NB_2513_Snowflake Inc. Common S</vt:lpstr>
      <vt:lpstr>NB_2514_Synopsys Inc. Common St</vt:lpstr>
      <vt:lpstr>NB_2515_Senti Biosciences Holdi</vt:lpstr>
      <vt:lpstr>NB_2516_SANUWAVE Health Inc. Co</vt:lpstr>
      <vt:lpstr>NB_2517_TD SYNNEX Corporation C</vt:lpstr>
      <vt:lpstr>NB_2518_Southern Company (The) </vt:lpstr>
      <vt:lpstr>NB_2519_Sable Offshore Corp. Co</vt:lpstr>
      <vt:lpstr>NB_2520_Southern Company (The) </vt:lpstr>
      <vt:lpstr>NB_2521_Southern Company (The) </vt:lpstr>
      <vt:lpstr>NB_2522_Southern Company (The) </vt:lpstr>
      <vt:lpstr>NB_2523_Southern Company (The) </vt:lpstr>
      <vt:lpstr>NB_2524_Solstice Advanced Mater</vt:lpstr>
      <vt:lpstr>NB_2525_Solventum Corporation C</vt:lpstr>
      <vt:lpstr>NB_2526_Southern Company (The) </vt:lpstr>
      <vt:lpstr>NB_2527_Sonoco Products Company</vt:lpstr>
      <vt:lpstr>NB_2528_DNA X Inc. Common Stock</vt:lpstr>
      <vt:lpstr>NB_2529_Sonos Inc. Common Stock</vt:lpstr>
      <vt:lpstr>NB_2530_Sono-Tek Corporation Co</vt:lpstr>
      <vt:lpstr>NB_2531_SoundHound AI Inc Class</vt:lpstr>
      <vt:lpstr>NB_2532_SoundHound AI Inc. Warr</vt:lpstr>
      <vt:lpstr>NB_2533_Sow Good Inc. Common St</vt:lpstr>
      <vt:lpstr>NB_2534_Safe Pro Group Inc. Com</vt:lpstr>
      <vt:lpstr>NB_2535_Virgin Galactic Holding</vt:lpstr>
      <vt:lpstr>NB_2536_Space Exploration Techn</vt:lpstr>
      <vt:lpstr>NB_2537_Suburban Propane Partne</vt:lpstr>
      <vt:lpstr>NB_2538_Sphere Entertainment Co</vt:lpstr>
      <vt:lpstr>NB_2539_Spire Global Inc. Class</vt:lpstr>
      <vt:lpstr>NB_2540_Spok Holdings Inc. Comm</vt:lpstr>
      <vt:lpstr>NB_2541_Spruce Biosciences Inc.</vt:lpstr>
      <vt:lpstr>NB_2542_Spero Therapeutics Inc.</vt:lpstr>
      <vt:lpstr>NB_2543_Spruce Power Holding Co</vt:lpstr>
      <vt:lpstr>NB_2544_ARS Pharmaceuticals Inc</vt:lpstr>
      <vt:lpstr>NB_2545_SPS Commerce Inc. Commo</vt:lpstr>
      <vt:lpstr>NB_2546_Sprout Social Inc Class</vt:lpstr>
      <vt:lpstr>NB_2547_Seaport Therapeutics In</vt:lpstr>
      <vt:lpstr>NB_2548_Sportsman's Warehouse H</vt:lpstr>
      <vt:lpstr>NB_2549_SunPower Inc. Common St</vt:lpstr>
      <vt:lpstr>NB_2550_SunPower Inc. Warrants</vt:lpstr>
      <vt:lpstr>NB_2551_SPX Technologies Inc. C</vt:lpstr>
      <vt:lpstr>NB_2552_Spire Inc. Common Stock</vt:lpstr>
      <vt:lpstr>NB_2553_DBA Sempra Common Stock</vt:lpstr>
      <vt:lpstr>NB_2554_DBA Sempra 5.750% Junio</vt:lpstr>
      <vt:lpstr>NB_2555_Surf Air Mobility Inc. </vt:lpstr>
      <vt:lpstr>NB_2556_Stoneridge Inc. Common </vt:lpstr>
      <vt:lpstr>NB_2557_Spire Inc. 6.375% Junio</vt:lpstr>
      <vt:lpstr>NB_2558_Sarepta Therapeutics In</vt:lpstr>
      <vt:lpstr>NB_2559_Scholar Rock Holding Co</vt:lpstr>
      <vt:lpstr>NB_2560_Strata Critical Medical</vt:lpstr>
      <vt:lpstr>NB_2561_Sensus Healthcare Inc. </vt:lpstr>
      <vt:lpstr>NB_2562_Surrozen Inc. Common St</vt:lpstr>
      <vt:lpstr>NB_2563_Simpson Manufacturing C</vt:lpstr>
      <vt:lpstr>NB_2564_SS&amp;C Technologies Holdi</vt:lpstr>
      <vt:lpstr>NB_2565_E.W. Scripps Company (T</vt:lpstr>
      <vt:lpstr>NB_2566_System1 Inc. Class A Co</vt:lpstr>
      <vt:lpstr>NB_2567_SoundThinking Inc. Comm</vt:lpstr>
      <vt:lpstr>NB_2568_Shutterstock Inc. Commo</vt:lpstr>
      <vt:lpstr>NB_2569_Stratasys Ltd. Ordinary</vt:lpstr>
      <vt:lpstr>NB_2570_STAAR Surgical Company </vt:lpstr>
      <vt:lpstr>NB_2571_STERIS plc (Ireland) Or</vt:lpstr>
      <vt:lpstr>NB_2572_Stem Inc. Class A Commo</vt:lpstr>
      <vt:lpstr>NB_2573_Neuronetics Inc. Common</vt:lpstr>
      <vt:lpstr>NB_2574_The ONE Group Hospitali</vt:lpstr>
      <vt:lpstr>NB_2575_Steel Dynamics Inc.</vt:lpstr>
      <vt:lpstr>NB_2576_Starling Oncology Inc. </vt:lpstr>
      <vt:lpstr>NB_2577_Starling Oncology Inc. </vt:lpstr>
      <vt:lpstr>NB_2578_Stoke Therapeutics Inc.</vt:lpstr>
      <vt:lpstr>NB_2579_Strategy Inc Variable R</vt:lpstr>
      <vt:lpstr>NB_2580_Strategy Inc 10.00% Ser</vt:lpstr>
      <vt:lpstr>NB_2581_Strategy Inc 10.00% Ser</vt:lpstr>
      <vt:lpstr>NB_2582_Strategy Inc 8.00% Seri</vt:lpstr>
      <vt:lpstr>NB_2583_Sterling Infrastructure</vt:lpstr>
      <vt:lpstr>NB_2584_Sutro Biopharma Inc. Co</vt:lpstr>
      <vt:lpstr>NB_2585_Star Equity Holdings In</vt:lpstr>
      <vt:lpstr>NB_2586_Star Equity Holdings In</vt:lpstr>
      <vt:lpstr>NB_2587_STRATTEC SECURITY CORPO</vt:lpstr>
      <vt:lpstr>NB_2588_Starz Entertainment Cor</vt:lpstr>
      <vt:lpstr>NB_2589_Shattuck Labs Inc. Comm</vt:lpstr>
      <vt:lpstr>NB_2590_StubHub Holdings Inc. C</vt:lpstr>
      <vt:lpstr>NB_2591_Stereotaxis Inc. Common</vt:lpstr>
      <vt:lpstr>NB_2592_Constellation Brands In</vt:lpstr>
      <vt:lpstr>NB_2593_Suja Life Inc. Class A </vt:lpstr>
      <vt:lpstr>NB_2594_Sunoco LP Common Units </vt:lpstr>
      <vt:lpstr>NB_2595_SUNation Energy Inc. Co</vt:lpstr>
      <vt:lpstr>NB_2596_Supernus Pharmaceutical</vt:lpstr>
      <vt:lpstr>NB_2597_SurgePays Inc. Common S</vt:lpstr>
      <vt:lpstr>NB_2598_Silvaco Group Inc. Comm</vt:lpstr>
      <vt:lpstr>NB_2599_Savara Inc. Common Stoc</vt:lpstr>
      <vt:lpstr>NB_2600_Savers Value Village In</vt:lpstr>
      <vt:lpstr>NB_2601_Stran &amp; Company Inc. Co</vt:lpstr>
      <vt:lpstr>NB_2602_Stran &amp; Company Inc. Wa</vt:lpstr>
      <vt:lpstr>NB_2603_Smith &amp; Wesson Brands I</vt:lpstr>
      <vt:lpstr>NB_2604_Latham Group Inc. Commo</vt:lpstr>
      <vt:lpstr>NB_2605_Stanley Black &amp; Decker </vt:lpstr>
      <vt:lpstr>NB_2606_Skyworks Solutions Inc.</vt:lpstr>
      <vt:lpstr>NB_2607_Swarmer Inc Common Stoc</vt:lpstr>
      <vt:lpstr>NB_2608_Southwest Gas Holdings </vt:lpstr>
      <vt:lpstr>NB_2609_SunCoke Energy Inc. Com</vt:lpstr>
      <vt:lpstr>NB_2610_Standex International C</vt:lpstr>
      <vt:lpstr>NB_2611_Sensient Technologies C</vt:lpstr>
      <vt:lpstr>NB_2612_60 Degrees Pharmaceutic</vt:lpstr>
      <vt:lpstr>NB_2613_60 Degrees Pharmaceutic</vt:lpstr>
      <vt:lpstr>NB_2614_Stryker Corporation Com</vt:lpstr>
      <vt:lpstr>NB_2615_Symbotic Inc. Class A C</vt:lpstr>
      <vt:lpstr>NB_2616_Synaptics Incorporated </vt:lpstr>
      <vt:lpstr>NB_2617_Sypris Solutions Inc. C</vt:lpstr>
      <vt:lpstr>NB_2618_Spyre Therapeutics Inc.</vt:lpstr>
      <vt:lpstr>NB_2619_Sysco Corporation Commo</vt:lpstr>
      <vt:lpstr>NB_2620_AT&amp;T Inc.</vt:lpstr>
      <vt:lpstr>NB_2621_TransAct Technologies I</vt:lpstr>
      <vt:lpstr>NB_2622_Talos Energy Inc. Commo</vt:lpstr>
      <vt:lpstr>NB_2623_Protara Therapeutics In</vt:lpstr>
      <vt:lpstr>NB_2624_Tarsus Pharmaceuticals </vt:lpstr>
      <vt:lpstr>NB_2625_TaskUs Inc. Class A Com</vt:lpstr>
      <vt:lpstr>NB_2626_Taylor Devices Inc. Com</vt:lpstr>
      <vt:lpstr>NB_2627_AT&amp;T Inc. 5.350% Global</vt:lpstr>
      <vt:lpstr>NB_2628_Turtle Beach Corporatio</vt:lpstr>
      <vt:lpstr>NB_2629_TrueBlue Inc. Common St</vt:lpstr>
      <vt:lpstr>NB_2630_Tactile Systems Technol</vt:lpstr>
      <vt:lpstr>NB_2631_Alaunos Therapeutics In</vt:lpstr>
      <vt:lpstr>NB_2632_TScan Therapeutics Inc.</vt:lpstr>
      <vt:lpstr>NB_2633_USA TODAY Co. Inc. Comm</vt:lpstr>
      <vt:lpstr>NB_2634_Teradata Corporation Co</vt:lpstr>
      <vt:lpstr>NB_2635_Transdigm Group Incorpo</vt:lpstr>
      <vt:lpstr>NB_2636_Teladoc Health Inc. Com</vt:lpstr>
      <vt:lpstr>NB_2637_Telephone and Data Syst</vt:lpstr>
      <vt:lpstr>NB_2638_ThredUp Inc. Class A Co</vt:lpstr>
      <vt:lpstr>NB_2639_Tidewater Inc. Common S</vt:lpstr>
      <vt:lpstr>NB_2640_Teledyne Technologies I</vt:lpstr>
      <vt:lpstr>NB_2641_Teads Holding Co. Commo</vt:lpstr>
      <vt:lpstr>NB_2642_Bio-Techne Corp Common </vt:lpstr>
      <vt:lpstr>NB_2643_Tectonic Therapeutic In</vt:lpstr>
      <vt:lpstr>NB_2644_TELA Bio Inc. Common St</vt:lpstr>
      <vt:lpstr>NB_2645_Telomir Pharmaceuticals</vt:lpstr>
      <vt:lpstr>NB_2646_Tempus AI Inc. Class A </vt:lpstr>
      <vt:lpstr>NB_2647_Tenable Holdings Inc. C</vt:lpstr>
      <vt:lpstr>NB_2648_Tenax Therapeutics Inc.</vt:lpstr>
      <vt:lpstr>NB_2649_Teradyne Inc. Common St</vt:lpstr>
      <vt:lpstr>NB_2650_Terex Corporation Commo</vt:lpstr>
      <vt:lpstr>NB_2651_Teleflex Incorporated C</vt:lpstr>
      <vt:lpstr>NB_2652_Tredegar Corporation Co</vt:lpstr>
      <vt:lpstr>NB_2653_Tecogen Inc. Common Sto</vt:lpstr>
      <vt:lpstr>NB_2654_Treasure Global Inc. Co</vt:lpstr>
      <vt:lpstr>NB_2655_Target Corporation Comm</vt:lpstr>
      <vt:lpstr>NB_2656_TG Therapeutics Inc. Co</vt:lpstr>
      <vt:lpstr>NB_2657_Target Hospitality Corp</vt:lpstr>
      <vt:lpstr>NB_2658_Tenet Healthcare Corpor</vt:lpstr>
      <vt:lpstr>NB_2659_Thor Industries Inc. Co</vt:lpstr>
      <vt:lpstr>NB_2660_Gentherm Inc Common Sto</vt:lpstr>
      <vt:lpstr>NB_2661_Thryv Holdings Inc. Com</vt:lpstr>
      <vt:lpstr>NB_2662_TIC Solutions Inc. Comm</vt:lpstr>
      <vt:lpstr>NB_2663_Instil Bio Inc. Common </vt:lpstr>
      <vt:lpstr>NB_2664_Interface Inc. Common S</vt:lpstr>
      <vt:lpstr>NB_2665_Team Inc. Common Stock</vt:lpstr>
      <vt:lpstr>NB_2666_Titan Machinery Inc. Co</vt:lpstr>
      <vt:lpstr>NB_2667_TJX Companies Inc. (The</vt:lpstr>
      <vt:lpstr>NB_2668_Alpha Teknova Inc. Comm</vt:lpstr>
      <vt:lpstr>NB_2669_TKO Group Holdings Inc.</vt:lpstr>
      <vt:lpstr>NB_2670_Timken Company (The) Co</vt:lpstr>
      <vt:lpstr>NB_2671_Tandy Leather Factory I</vt:lpstr>
      <vt:lpstr>NB_2672_Talen Energy Corporatio</vt:lpstr>
      <vt:lpstr>NB_2673_Talphera Inc. Common St</vt:lpstr>
      <vt:lpstr>NB_2674_Tilray Brands Inc. Comm</vt:lpstr>
      <vt:lpstr>NB_2675_Telos Corporation Commo</vt:lpstr>
      <vt:lpstr>NB_2676_TriSalus Life Sciences </vt:lpstr>
      <vt:lpstr>NB_2677_TriSalus Life Sciences </vt:lpstr>
      <vt:lpstr>NB_2678_Tilly's Inc. Common Sto</vt:lpstr>
      <vt:lpstr>NB_2679_Treace Medical Concepts</vt:lpstr>
      <vt:lpstr>NB_2680_TransMedics Group Inc. </vt:lpstr>
      <vt:lpstr>NB_2681_Tencent Music Entertain</vt:lpstr>
      <vt:lpstr>NB_2682_Thermo Fisher Scientifi</vt:lpstr>
      <vt:lpstr>NB_2683_T-Mobile US Inc. Common</vt:lpstr>
      <vt:lpstr>NB_2684_T-Mobile US Inc. 5.500%</vt:lpstr>
      <vt:lpstr>NB_2685_T-Mobile US Inc. 6.250%</vt:lpstr>
      <vt:lpstr>NB_2686_T-Mobile US Inc. 5.500%</vt:lpstr>
      <vt:lpstr>NB_2687_Tennant Company Common </vt:lpstr>
      <vt:lpstr>NB_2688_Tandem Diabetes Care In</vt:lpstr>
      <vt:lpstr>NB_2689_TriNet Group Inc. Commo</vt:lpstr>
      <vt:lpstr>NB_2690_Tango Therapeutics Inc.</vt:lpstr>
      <vt:lpstr>NB_2691_Travel   Leisure Co. Co</vt:lpstr>
      <vt:lpstr>NB_2692_Tenon Medical Inc. Comm</vt:lpstr>
      <vt:lpstr>NB_2693_Tenon Medical Inc. Warr</vt:lpstr>
      <vt:lpstr>NB_2694_Tonix Pharmaceuticals H</vt:lpstr>
      <vt:lpstr>NB_2695_Tenaya Therapeutics Inc</vt:lpstr>
      <vt:lpstr>NB_2696_Toll Brothers Inc. Comm</vt:lpstr>
      <vt:lpstr>NB_2697_TOMI Environmental Solu</vt:lpstr>
      <vt:lpstr>NB_2698_Kartoon Studios Inc. Co</vt:lpstr>
      <vt:lpstr>NB_2699_Toast Inc. Class A Comm</vt:lpstr>
      <vt:lpstr>NB_2700_Theriva Biologics Inc. </vt:lpstr>
      <vt:lpstr>NB_2701_Turning Point Brands In</vt:lpstr>
      <vt:lpstr>NB_2702_Tutor Perini Corporatio</vt:lpstr>
      <vt:lpstr>NB_2703_TechPrecision Corporati</vt:lpstr>
      <vt:lpstr>NB_2704_Texas Pacific Land Corp</vt:lpstr>
      <vt:lpstr>NB_2705_Tapestry Inc. Common St</vt:lpstr>
      <vt:lpstr>NB_2706_Tempest Therapeutics In</vt:lpstr>
      <vt:lpstr>NB_2707_TriplePoint Venture Gro</vt:lpstr>
      <vt:lpstr>NB_2708_Tootsie Roll Industries</vt:lpstr>
      <vt:lpstr>NB_2709_ReposiTrak Inc. Common </vt:lpstr>
      <vt:lpstr>NB_2710_Traws Pharma Inc. Commo</vt:lpstr>
      <vt:lpstr>NB_2711_First Tracks Biotherape</vt:lpstr>
      <vt:lpstr>NB_2712_Entrada Therapeutics In</vt:lpstr>
      <vt:lpstr>NB_2713_Trex Company Inc. Commo</vt:lpstr>
      <vt:lpstr>NB_2714_Targa Resources Inc. Co</vt:lpstr>
      <vt:lpstr>NB_2715_Thomson Reuters Corpora</vt:lpstr>
      <vt:lpstr>NB_2716_TripAdvisor Inc. Common</vt:lpstr>
      <vt:lpstr>NB_2717_Trimble Inc. Common Sto</vt:lpstr>
      <vt:lpstr>NB_2718_Trinity Industries Inc.</vt:lpstr>
      <vt:lpstr>NB_2719_Interactive Strength In</vt:lpstr>
      <vt:lpstr>NB_2720_Transcat Inc. Common St</vt:lpstr>
      <vt:lpstr>NB_2721_Tronox Holdings plc Ord</vt:lpstr>
      <vt:lpstr>NB_2722_TriMas Corporation Comm</vt:lpstr>
      <vt:lpstr>NB_2723_TruGolf Holdings Inc. C</vt:lpstr>
      <vt:lpstr>NB_2724_Trupanion Inc. Common S</vt:lpstr>
      <vt:lpstr>NB_2725_Trevi Therapeutics Inc.</vt:lpstr>
      <vt:lpstr>NB_2726_Tractor Supply Company </vt:lpstr>
      <vt:lpstr>NB_2727_Taysha Gene Therapies I</vt:lpstr>
      <vt:lpstr>NB_2728_Tesla Inc. Common Stock</vt:lpstr>
      <vt:lpstr>NB_2729_Tyson Foods Inc. Common</vt:lpstr>
      <vt:lpstr>NB_2730_Townsquare Media Inc.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2026-10-04T16:23:39Z</dcterms:created>
  <dcterms:modified xsi:type="dcterms:W3CDTF">2026-10-04T16:23:39Z</dcterms:modified>
</cp:coreProperties>
</file>