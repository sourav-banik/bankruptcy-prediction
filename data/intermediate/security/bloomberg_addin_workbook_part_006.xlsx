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981_Expand Energy Corporatio" sheetId="2" r:id="rId2"/>
    <sheet name="NB_982_Exelixis Inc. Common Sto" sheetId="3" r:id="rId3"/>
    <sheet name="NB_983_Expensify Inc. Class A C" sheetId="4" r:id="rId4"/>
    <sheet name="NB_984_ExlService Holdings Inc." sheetId="5" r:id="rId5"/>
    <sheet name="NB_985_eXoZymes Inc. Common Sto" sheetId="6" r:id="rId6"/>
    <sheet name="NB_986_Eagle Materials Inc Comm" sheetId="7" r:id="rId7"/>
    <sheet name="NB_987_Expeditors International" sheetId="8" r:id="rId8"/>
    <sheet name="NB_988_Expedia Group Inc. Commo" sheetId="9" r:id="rId9"/>
    <sheet name="NB_989_Exponent Inc. Common Sto" sheetId="10" r:id="rId10"/>
    <sheet name="NB_990_Extreme Networks Inc. Co" sheetId="11" r:id="rId11"/>
    <sheet name="NB_991_Exyn Technologies Inc. C" sheetId="12" r:id="rId12"/>
    <sheet name="NB_992_Exyn Technologies Inc. W" sheetId="13" r:id="rId13"/>
    <sheet name="NB_993_National Vision Holdings" sheetId="14" r:id="rId14"/>
    <sheet name="NB_994_EyePoint Inc. Common Sto" sheetId="15" r:id="rId15"/>
    <sheet name="NB_995_EZCORP Inc. Class A Non " sheetId="16" r:id="rId16"/>
    <sheet name="NB_996_Ford Motor Company Commo" sheetId="17" r:id="rId17"/>
    <sheet name="NB_997_First Advantage Corporat" sheetId="18" r:id="rId18"/>
    <sheet name="NB_998_Fabric.AI Inc. Common St" sheetId="19" r:id="rId19"/>
    <sheet name="NB_999_Diamondback Energy Inc. " sheetId="20" r:id="rId20"/>
    <sheet name="NB_1000_Fastenal Company Common" sheetId="21" r:id="rId21"/>
    <sheet name="NB_1001_Fate Therapeutics Inc. " sheetId="22" r:id="rId22"/>
    <sheet name="NB_1002_FatPipe Inc. Common Sto" sheetId="23" r:id="rId23"/>
    <sheet name="NB_1003_First Breach Inc. Commo" sheetId="24" r:id="rId24"/>
    <sheet name="NB_1004_Fortune Brands Innovati" sheetId="25" r:id="rId25"/>
    <sheet name="NB_1005_Fortress Biotech Inc. C" sheetId="26" r:id="rId26"/>
    <sheet name="NB_1006_Fortress Biotech Inc. 9" sheetId="27" r:id="rId27"/>
    <sheet name="NB_1007_FibroBiologics Inc. Com" sheetId="28" r:id="rId28"/>
    <sheet name="NB_1008_Falcon's Beyond Global " sheetId="29" r:id="rId29"/>
    <sheet name="NB_1009_Franklin Covey Company " sheetId="30" r:id="rId30"/>
    <sheet name="NB_1010_FuelCell Energy Inc. Co" sheetId="31" r:id="rId31"/>
    <sheet name="NB_1011_FirstCash Holdings Inc." sheetId="32" r:id="rId32"/>
    <sheet name="NB_1012_FTI Consulting Inc. Com" sheetId="33" r:id="rId33"/>
    <sheet name="NB_1013_Focus Universal Inc. Co" sheetId="34" r:id="rId34"/>
    <sheet name="NB_1014_Freeport-McMoRan Inc. C" sheetId="35" r:id="rId35"/>
    <sheet name="NB_1015_4D Molecular Therapeuti" sheetId="36" r:id="rId36"/>
    <sheet name="NB_1016_FactSet Research System" sheetId="37" r:id="rId37"/>
    <sheet name="NB_1017_FedEx Corporation Commo" sheetId="38" r:id="rId38"/>
    <sheet name="NB_1018_FedEx Freight Holding C" sheetId="39" r:id="rId39"/>
    <sheet name="NB_1019_FirstEnergy Corp. Commo" sheetId="40" r:id="rId40"/>
    <sheet name="NB_1020_5E Advanced Materials I" sheetId="41" r:id="rId41"/>
    <sheet name="NB_1021_Frequency Electronics I" sheetId="42" r:id="rId42"/>
    <sheet name="NB_1022_Franklin Electric Co. I" sheetId="43" r:id="rId43"/>
    <sheet name="NB_1023_Femasys Inc. Common Sto" sheetId="44" r:id="rId44"/>
    <sheet name="NB_1024_Fennec Pharmaceuticals " sheetId="45" r:id="rId45"/>
    <sheet name="NB_1025_Forum Energy Technologi" sheetId="46" r:id="rId46"/>
    <sheet name="NB_1026_FutureFuel Corp.  Commo" sheetId="47" r:id="rId47"/>
    <sheet name="NB_1027_Faraday Future Intellig" sheetId="48" r:id="rId48"/>
    <sheet name="NB_1028_F5 Inc. Common Stock" sheetId="49" r:id="rId49"/>
    <sheet name="NB_1029_FGI Industries Ltd. Ord" sheetId="50" r:id="rId50"/>
    <sheet name="NB_1030_Foghorn Therapeutics In" sheetId="51" r:id="rId51"/>
    <sheet name="NB_1031_Fair Isaac Corporation " sheetId="52" r:id="rId52"/>
    <sheet name="NB_1032_FiEE Inc Common Stock" sheetId="53" r:id="rId53"/>
    <sheet name="NB_1033_Figma Inc. Class A Comm" sheetId="54" r:id="rId54"/>
    <sheet name="NB_1034_FIGS Inc. Class A Commo" sheetId="55" r:id="rId55"/>
    <sheet name="NB_1035_FTAI Infrastructure Inc" sheetId="56" r:id="rId56"/>
    <sheet name="NB_1036_Firy Inc. Class A Commo" sheetId="57" r:id="rId57"/>
    <sheet name="NB_1037_Fidelity National Infor" sheetId="58" r:id="rId58"/>
    <sheet name="NB_1038_Deep Fission Inc. Commo" sheetId="59" r:id="rId59"/>
    <sheet name="NB_1039_Fiserv Inc. Common Stoc" sheetId="60" r:id="rId60"/>
    <sheet name="NB_1040_Five Below Inc. Common " sheetId="61" r:id="rId61"/>
    <sheet name="NB_1041_Five9 Inc. Common Stock" sheetId="62" r:id="rId62"/>
    <sheet name="NB_1042_Comfort Systems USA Inc" sheetId="63" r:id="rId63"/>
    <sheet name="NB_1043_National Beverage Corp." sheetId="64" r:id="rId64"/>
    <sheet name="NB_1044_Starfighters Space Inc." sheetId="65" r:id="rId65"/>
    <sheet name="NB_1045_Franklin Wireless Corp." sheetId="66" r:id="rId66"/>
    <sheet name="NB_1046_Fulgent Genetics Inc. C" sheetId="67" r:id="rId67"/>
    <sheet name="NB_1047_Full House Resorts Inc." sheetId="68" r:id="rId68"/>
    <sheet name="NB_1048_Filana Therapeutics Inc" sheetId="69" r:id="rId69"/>
    <sheet name="NB_1049_Fluent Inc. Common Stoc" sheetId="70" r:id="rId70"/>
    <sheet name="NB_1050_Flowers Foods Inc. Comm" sheetId="71" r:id="rId71"/>
    <sheet name="NB_1051_Flowco Holdings Inc. Cl" sheetId="72" r:id="rId72"/>
    <sheet name="NB_1052_Fluor Corporation Commo" sheetId="73" r:id="rId73"/>
    <sheet name="NB_1053_Flowserve Corporation C" sheetId="74" r:id="rId74"/>
    <sheet name="NB_1054_1-800-FLOWERS.COM Inc. " sheetId="75" r:id="rId75"/>
    <sheet name="NB_1055_Flexsteel Industries In" sheetId="76" r:id="rId76"/>
    <sheet name="NB_1056_Firefly Aerospace Inc. " sheetId="77" r:id="rId77"/>
    <sheet name="NB_1057_Fly-E Group Inc. Common" sheetId="78" r:id="rId78"/>
    <sheet name="NB_1058_Flywire Corporation Vot" sheetId="79" r:id="rId79"/>
    <sheet name="NB_1059_FMC Corporation Common " sheetId="80" r:id="rId80"/>
    <sheet name="NB_1060_Floor &amp; Decor Holdings " sheetId="81" r:id="rId81"/>
    <sheet name="NB_1061_FingerMotion Inc. Commo" sheetId="82" r:id="rId82"/>
    <sheet name="NB_1062_Funko Inc. Class A Comm" sheetId="83" r:id="rId83"/>
    <sheet name="NB_1063_FormFactor Inc. FormFac" sheetId="84" r:id="rId84"/>
    <sheet name="NB_1064_Forrester Research Inc." sheetId="85" r:id="rId85"/>
    <sheet name="NB_1065_Fossil Group Inc. Commo" sheetId="86" r:id="rId86"/>
    <sheet name="NB_1066_Shift4 Payments Inc. Cl" sheetId="87" r:id="rId87"/>
    <sheet name="NB_1067_Fox Corporation Class B" sheetId="88" r:id="rId88"/>
    <sheet name="NB_1068_Fox Corporation Class A" sheetId="89" r:id="rId89"/>
    <sheet name="NB_1069_Fox Factory Holding Cor" sheetId="90" r:id="rId90"/>
    <sheet name="NB_1070_Foxx Development Holdin" sheetId="91" r:id="rId91"/>
    <sheet name="NB_1071_Forgent Power Solutions" sheetId="92" r:id="rId92"/>
    <sheet name="NB_1072_Friedman Industries Inc" sheetId="93" r:id="rId93"/>
    <sheet name="NB_1073_Freight Technologies In" sheetId="94" r:id="rId94"/>
    <sheet name="NB_1074_Freenome Inc. Common st" sheetId="95" r:id="rId95"/>
    <sheet name="NB_1075_JFrog Ltd. Ordinary Sha" sheetId="96" r:id="rId96"/>
    <sheet name="NB_1076_Freshpet Inc. Common St" sheetId="97" r:id="rId97"/>
    <sheet name="NB_1077_Freshworks Inc. Class A" sheetId="98" r:id="rId98"/>
    <sheet name="NB_1078_Fervo Energy Company Cl" sheetId="99" r:id="rId99"/>
    <sheet name="NB_1079_First Solar Inc. Common" sheetId="100" r:id="rId100"/>
    <sheet name="NB_1080_Fastly Inc. Class A Com" sheetId="101" r:id="rId101"/>
    <sheet name="NB_1081_Federal Signal Corporat" sheetId="102" r:id="rId102"/>
    <sheet name="NB_1082_L.B. Foster Company Com" sheetId="103" r:id="rId103"/>
    <sheet name="NB_1083_FTAI Aviation Ltd. Comm" sheetId="104" r:id="rId104"/>
    <sheet name="NB_1084_FTAI Aviation Ltd. 9.50" sheetId="105" r:id="rId105"/>
    <sheet name="NB_1085_FTC Solar Inc. Common S" sheetId="106" r:id="rId106"/>
    <sheet name="NB_1086_Frontdoor Inc. Common S" sheetId="107" r:id="rId107"/>
    <sheet name="NB_1087_Fuel Tech Inc. Common S" sheetId="108" r:id="rId108"/>
    <sheet name="NB_1088_Faeth Therapeutics Inc." sheetId="109" r:id="rId109"/>
    <sheet name="NB_1089_Flotek Industries Inc. " sheetId="110" r:id="rId110"/>
    <sheet name="NB_1090_FitLife Brands Inc. Com" sheetId="111" r:id="rId111"/>
    <sheet name="NB_1091_Fortinet Inc. Common St" sheetId="112" r:id="rId112"/>
    <sheet name="NB_1092_Fortrea Holdings Inc. C" sheetId="113" r:id="rId113"/>
    <sheet name="NB_1093_Fortis Inc. Common Shar" sheetId="114" r:id="rId114"/>
    <sheet name="NB_1094_Fortive Corporation Com" sheetId="115" r:id="rId115"/>
    <sheet name="NB_1095_FuboTV Inc. Class A Com" sheetId="116" r:id="rId116"/>
    <sheet name="NB_1096_H. B. Fuller Company Co" sheetId="117" r:id="rId117"/>
    <sheet name="NB_1097_Fulcrum Therapeutics In" sheetId="118" r:id="rId118"/>
    <sheet name="NB_1098_Six Flags Entertainment" sheetId="119" r:id="rId119"/>
    <sheet name="NB_1099_Fusemachines Inc. Commo" sheetId="120" r:id="rId120"/>
    <sheet name="NB_1100_Fusemachines Inc. Warra" sheetId="121" r:id="rId121"/>
    <sheet name="NB_1101_Liberty Media Corporati" sheetId="122" r:id="rId122"/>
    <sheet name="NB_1102_Liberty Media Corporati" sheetId="123" r:id="rId123"/>
    <sheet name="NB_1103_Forward Air Corporation" sheetId="124" r:id="rId124"/>
    <sheet name="NB_1104_First Watch Restaurant " sheetId="125" r:id="rId125"/>
    <sheet name="NB_1105_Gaia Inc. Class A Commo" sheetId="126" r:id="rId126"/>
    <sheet name="NB_1106_Galectin Therapeutics I" sheetId="127" r:id="rId127"/>
    <sheet name="NB_1107_GameSquare Holdings Inc" sheetId="128" r:id="rId128"/>
    <sheet name="NB_1108_Gain Therapeutics Inc. " sheetId="129" r:id="rId129"/>
    <sheet name="NB_1109_Gap Inc. (The) Common S" sheetId="130" r:id="rId130"/>
    <sheet name="NB_1110_GATX Corporation Common" sheetId="131" r:id="rId131"/>
    <sheet name="NB_1111_New Concept Energy Inc " sheetId="132" r:id="rId132"/>
    <sheet name="NB_1112_Global Business Travel " sheetId="133" r:id="rId133"/>
    <sheet name="NB_1113_Greenbrier Companies In" sheetId="134" r:id="rId134"/>
    <sheet name="NB_1114_Genesco Inc. Common Sto" sheetId="135" r:id="rId135"/>
    <sheet name="NB_1115_GigaCloud Technology In" sheetId="136" r:id="rId136"/>
    <sheet name="NB_1116_GlucoTrack Inc. Common " sheetId="137" r:id="rId137"/>
    <sheet name="NB_1117_GCT Semiconductor Holdi" sheetId="138" r:id="rId138"/>
    <sheet name="NB_1118_General Dynamics Corpor" sheetId="139" r:id="rId139"/>
    <sheet name="NB_1119_GD Culture Group Limite" sheetId="140" r:id="rId140"/>
    <sheet name="NB_1120_GoDaddy Inc. Class A Co" sheetId="141" r:id="rId141"/>
    <sheet name="NB_1121_GoodRx Holdings Inc. Cl" sheetId="142" r:id="rId142"/>
    <sheet name="NB_1122_Grid Dynamics Holdings " sheetId="143" r:id="rId143"/>
    <sheet name="NB_1123_GE Aerospace Common Sto" sheetId="144" r:id="rId144"/>
    <sheet name="NB_1124_Great Elm Group Inc. Co" sheetId="145" r:id="rId145"/>
    <sheet name="NB_1125_Great Elm Group Inc.  7" sheetId="146" r:id="rId146"/>
    <sheet name="NB_1126_GE HealthCare Technolog" sheetId="147" r:id="rId147"/>
    <sheet name="NB_1127_Genesis Energy L.P. Com" sheetId="148" r:id="rId148"/>
    <sheet name="NB_1128_Gen Digital Inc. Common" sheetId="149" r:id="rId149"/>
    <sheet name="NB_1129_Generate Biomedicines I" sheetId="150" r:id="rId150"/>
    <sheet name="NB_1130_Gencor Industries Inc. " sheetId="151" r:id="rId151"/>
    <sheet name="NB_1131_GEN Restaurant Group In" sheetId="152" r:id="rId152"/>
    <sheet name="NB_1132_Gen Digital Inc. Contin" sheetId="153" r:id="rId153"/>
    <sheet name="NB_1133_Geo Group Inc (The) REI" sheetId="154" r:id="rId154"/>
    <sheet name="NB_1134_Geospace Technologies C" sheetId="155" r:id="rId155"/>
    <sheet name="NB_1135_Geron Corporation Commo" sheetId="156" r:id="rId156"/>
    <sheet name="NB_1136_Getty Images Holdings I" sheetId="157" r:id="rId157"/>
    <sheet name="NB_1137_GE Vernova Inc. Common " sheetId="158" r:id="rId158"/>
    <sheet name="NB_1138_Gevo Inc. Common Stock" sheetId="159" r:id="rId159"/>
    <sheet name="NB_1139_Griffon Corporation Com" sheetId="160" r:id="rId160"/>
    <sheet name="NB_1140_GlobalFoundries Inc. Or" sheetId="161" r:id="rId161"/>
    <sheet name="NB_1141_General Fusion Group Lt" sheetId="162" r:id="rId162"/>
    <sheet name="NB_1142_General Fusion Group Lt" sheetId="163" r:id="rId163"/>
    <sheet name="NB_1143_Graco Inc. Common Stock" sheetId="164" r:id="rId164"/>
    <sheet name="NB_1144_Guardant Health Inc. Co" sheetId="165" r:id="rId165"/>
    <sheet name="NB_1145_Graham Corporation Comm" sheetId="166" r:id="rId166"/>
    <sheet name="NB_1146_Global Industrial Compa" sheetId="167" r:id="rId167"/>
    <sheet name="NB_1147_Giftify Inc. Common Sto" sheetId="168" r:id="rId168"/>
    <sheet name="NB_1148_G-III Apparel Group LTD" sheetId="169" r:id="rId169"/>
    <sheet name="NB_1149_Gilead Sciences Inc. Co" sheetId="170" r:id="rId170"/>
    <sheet name="NB_1150_General Mills Inc. Comm" sheetId="171" r:id="rId171"/>
    <sheet name="NB_1151_Glaukos Corporation Com" sheetId="172" r:id="rId172"/>
    <sheet name="NB_1152_Gladstone Capital Corpo" sheetId="173" r:id="rId173"/>
    <sheet name="NB_1153_Liberty Capital Corpora" sheetId="174" r:id="rId174"/>
    <sheet name="NB_1154_Liberty Capital Corpora" sheetId="175" r:id="rId175"/>
    <sheet name="NB_1155_Greenland Energy Compan" sheetId="176" r:id="rId176"/>
    <sheet name="NB_1156_Greenland Energy Compan" sheetId="177" r:id="rId177"/>
    <sheet name="NB_1157_Globant S.A. Common Sha" sheetId="178" r:id="rId178"/>
    <sheet name="NB_1158_Gloo Holdings Inc. Clas" sheetId="179" r:id="rId179"/>
    <sheet name="NB_1159_Global Partners LP Comm" sheetId="180" r:id="rId180"/>
    <sheet name="NB_1160_Greenwich LifeSciences " sheetId="181" r:id="rId181"/>
    <sheet name="NB_1161_Monte Rosa Therapeutics" sheetId="182" r:id="rId182"/>
    <sheet name="NB_1162_Corning Incorporated Co" sheetId="183" r:id="rId183"/>
    <sheet name="NB_1163_General Motors Company " sheetId="184" r:id="rId184"/>
    <sheet name="NB_1164_GameStop Corporation Co" sheetId="185" r:id="rId185"/>
    <sheet name="NB_1165_Globus Medical Inc. Cla" sheetId="186" r:id="rId186"/>
    <sheet name="NB_1166_Genie Energy Ltd. Class" sheetId="187" r:id="rId187"/>
    <sheet name="NB_1167_Genco Shipping &amp; Tradin" sheetId="188" r:id="rId188"/>
    <sheet name="NB_1168_Greenlane Holdings Inc." sheetId="189" r:id="rId189"/>
    <sheet name="NB_1169_Genelux Corporation Com" sheetId="190" r:id="rId190"/>
    <sheet name="NB_1170_Genprex Inc. Common Sto" sheetId="191" r:id="rId191"/>
    <sheet name="NB_1171_Generac Holdlings Inc. " sheetId="192" r:id="rId192"/>
    <sheet name="NB_1172_Genasys Inc. Common Sto" sheetId="193" r:id="rId193"/>
    <sheet name="NB_1173_Gentex Corporation Comm" sheetId="194" r:id="rId194"/>
    <sheet name="NB_1174_Grocery Outlet Holding " sheetId="195" r:id="rId195"/>
    <sheet name="NB_1175_Eva Live Inc. Common St" sheetId="196" r:id="rId196"/>
    <sheet name="NB_1176_Gogo Inc. Common Stock" sheetId="197" r:id="rId197"/>
    <sheet name="NB_1177_Gold.com Inc. Common St" sheetId="198" r:id="rId198"/>
    <sheet name="NB_1178_Acushnet Holdings Corp." sheetId="199" r:id="rId199"/>
    <sheet name="NB_1179_Alphabet Inc. Class C C" sheetId="200" r:id="rId200"/>
    <sheet name="NB_1180_Alphabet Inc. Class A C" sheetId="201" r:id="rId201"/>
    <sheet name="NB_1181_Alphabet Inc. Depositar" sheetId="202" r:id="rId202"/>
    <sheet name="NB_1182_Alphabet Inc. Depositar" sheetId="203" r:id="rId203"/>
    <sheet name="NB_1183_Gossamer Bio Inc. Commo" sheetId="204" r:id="rId204"/>
    <sheet name="NB_1184_GeoVax Labs Inc. Common" sheetId="205" r:id="rId205"/>
    <sheet name="NB_1185_General Purpose Acquisi" sheetId="206" r:id="rId206"/>
    <sheet name="NB_1186_Genuine Parts Company C" sheetId="207" r:id="rId207"/>
    <sheet name="NB_1187_Structure Therapeutics " sheetId="208" r:id="rId208"/>
    <sheet name="NB_1188_Group 1 Automotive Inc." sheetId="209" r:id="rId209"/>
    <sheet name="NB_1189_Georgia Power Company S" sheetId="210" r:id="rId210"/>
    <sheet name="NB_1190_Graphic Packaging Holdi" sheetId="211" r:id="rId211"/>
    <sheet name="NB_1191_Global Payments Inc. Co" sheetId="212" r:id="rId212"/>
    <sheet name="NB_1192_Gulfport Energy Corpora" sheetId="213" r:id="rId213"/>
    <sheet name="NB_1193_Green Plains Inc. Commo" sheetId="214" r:id="rId214"/>
    <sheet name="NB_1194_GoPro Inc. Class A Comm" sheetId="215" r:id="rId215"/>
    <sheet name="NB_1195_Hyperscale Data Inc. Co" sheetId="216" r:id="rId216"/>
    <sheet name="NB_1196_GRAIL Inc. Common Stock" sheetId="217" r:id="rId217"/>
    <sheet name="NB_1197_Green Brick Partners In" sheetId="218" r:id="rId218"/>
    <sheet name="NB_1198_Gorman-Rupp Company (Th" sheetId="219" r:id="rId219"/>
    <sheet name="NB_1199_Guardian Pharmacy Servi" sheetId="220" r:id="rId220"/>
    <sheet name="NB_1200_GridAI Technologies Cor" sheetId="221" r:id="rId221"/>
    <sheet name="NB_1201_GRI Bio Inc. Common Sto" sheetId="222" r:id="rId222"/>
    <sheet name="NB_1202_Greenland Mines Ltd. Co" sheetId="223" r:id="rId223"/>
    <sheet name="NB_1203_Greenland Mines Ltd War" sheetId="224" r:id="rId224"/>
    <sheet name="NB_1204_Granite Ridge Resources" sheetId="225" r:id="rId225"/>
    <sheet name="NB_1205_Groupon Inc. Common Sto" sheetId="226" r:id="rId226"/>
    <sheet name="NB_1206_GrowGeneration Corp. Co" sheetId="227" r:id="rId227"/>
    <sheet name="NB_1207_Globalstar Inc. Common " sheetId="228" r:id="rId228"/>
    <sheet name="NB_1208_GSI Technology Common S" sheetId="229" r:id="rId229"/>
    <sheet name="NB_1209_The Goodyear Tire &amp; Rub" sheetId="230" r:id="rId230"/>
    <sheet name="NB_1210_GT Biopharma Inc. Commo" sheetId="231" r:id="rId231"/>
    <sheet name="NB_1211_Good Times Restaurants " sheetId="232" r:id="rId232"/>
    <sheet name="NB_1212_GitLab Inc. Class A Com" sheetId="233" r:id="rId233"/>
    <sheet name="NB_1213_ZoomInfo Technologies I" sheetId="234" r:id="rId234"/>
    <sheet name="NB_1214_Gray Media Inc. Common " sheetId="235" r:id="rId235"/>
    <sheet name="NB_1215_Fractyl Health Inc. Com" sheetId="236" r:id="rId236"/>
    <sheet name="NB_1216_Granite Construction In" sheetId="237" r:id="rId237"/>
    <sheet name="NB_1217_Greenwave Technology So" sheetId="238" r:id="rId238"/>
    <sheet name="NB_1218_Guidewire Software Inc." sheetId="239" r:id="rId239"/>
    <sheet name="NB_1219_Global Water Resources " sheetId="240" r:id="rId240"/>
    <sheet name="NB_1220_W.W. Grainger Inc. Comm" sheetId="241" r:id="rId241"/>
    <sheet name="NB_1221_Gaxos.ai Inc. Common St" sheetId="242" r:id="rId242"/>
    <sheet name="NB_1222_GXO Logistics Inc. Comm" sheetId="243" r:id="rId243"/>
    <sheet name="NB_1223_Game Your Game Inc. Com" sheetId="244" r:id="rId244"/>
    <sheet name="NB_1224_Gyre Therapeutics Inc. " sheetId="245" r:id="rId245"/>
    <sheet name="NB_1225_Hyatt Hotels Corporatio" sheetId="246" r:id="rId246"/>
    <sheet name="NB_1226_Haemonetics Corporation" sheetId="247" r:id="rId247"/>
    <sheet name="NB_1227_Hain Celestial Group In" sheetId="248" r:id="rId248"/>
    <sheet name="NB_1228_Halliburton Company Com" sheetId="249" r:id="rId249"/>
    <sheet name="NB_1229_Halozyme Therapeutics I" sheetId="250" r:id="rId250"/>
    <sheet name="NB_1230_Hasbro Inc. Common Stoc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<sst xmlns="http://schemas.openxmlformats.org/spreadsheetml/2006/main" count="15763" uniqueCount="1160">
  <si>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</si>
  <si>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</si>
  <si>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</si>
  <si>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</si>
  <si>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</si>
  <si>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</si>
  <si>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</si>
  <si>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</si>
  <si>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</si>
  <si>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</si>
  <si>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</si>
  <si>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</si>
  <si>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</si>
  <si>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NB_981</t>
  </si>
  <si>
    <t>nonbankrupt</t>
  </si>
  <si>
    <t/>
  </si>
  <si>
    <t>EXE</t>
  </si>
  <si>
    <t>Expand Energy Corporation Common Stock</t>
  </si>
  <si>
    <t>Energy</t>
  </si>
  <si>
    <t>Oil &amp; Gas Production</t>
  </si>
  <si>
    <t>EXE US Equity</t>
  </si>
  <si>
    <t>1993-06-18</t>
  </si>
  <si>
    <t>2026-05-02</t>
  </si>
  <si>
    <t>NB_982</t>
  </si>
  <si>
    <t>EXEL</t>
  </si>
  <si>
    <t>Exelixis Inc. Common Stock</t>
  </si>
  <si>
    <t>Health Care</t>
  </si>
  <si>
    <t>Biotechnology: Biological Products (No Diagnostic Substances)</t>
  </si>
  <si>
    <t>EXEL US Equity</t>
  </si>
  <si>
    <t>NB_983</t>
  </si>
  <si>
    <t>EXFY</t>
  </si>
  <si>
    <t>Expensify Inc. Class A Common Stock</t>
  </si>
  <si>
    <t>Technology</t>
  </si>
  <si>
    <t>Computer Software: Prepackaged Software</t>
  </si>
  <si>
    <t>EXFY US Equity</t>
  </si>
  <si>
    <t>NB_984</t>
  </si>
  <si>
    <t>EXLS</t>
  </si>
  <si>
    <t>ExlService Holdings Inc. Common Stock</t>
  </si>
  <si>
    <t>Consumer Discretionary</t>
  </si>
  <si>
    <t>Business Services</t>
  </si>
  <si>
    <t>EXLS US Equity</t>
  </si>
  <si>
    <t>NB_985</t>
  </si>
  <si>
    <t>EXOZ</t>
  </si>
  <si>
    <t>eXoZymes Inc. Common Stock</t>
  </si>
  <si>
    <t>EXOZ US Equity</t>
  </si>
  <si>
    <t>NB_986</t>
  </si>
  <si>
    <t>EXP</t>
  </si>
  <si>
    <t>Eagle Materials Inc Common Stock</t>
  </si>
  <si>
    <t>Industrials</t>
  </si>
  <si>
    <t>Building Materials</t>
  </si>
  <si>
    <t>EXP US Equity</t>
  </si>
  <si>
    <t>NB_987</t>
  </si>
  <si>
    <t>EXPD</t>
  </si>
  <si>
    <t>Expeditors International of Washington Inc. Common Stock</t>
  </si>
  <si>
    <t>Integrated Freight &amp; Logistics</t>
  </si>
  <si>
    <t>EXPD US Equity</t>
  </si>
  <si>
    <t>NB_988</t>
  </si>
  <si>
    <t>EXPE</t>
  </si>
  <si>
    <t>Expedia Group Inc. Common Stock</t>
  </si>
  <si>
    <t>Transportation Services</t>
  </si>
  <si>
    <t>EXPE US Equity</t>
  </si>
  <si>
    <t>NB_989</t>
  </si>
  <si>
    <t>EXPO</t>
  </si>
  <si>
    <t>Exponent Inc. Common Stock</t>
  </si>
  <si>
    <t>Professional Services</t>
  </si>
  <si>
    <t>EXPO US Equity</t>
  </si>
  <si>
    <t>NB_990</t>
  </si>
  <si>
    <t>EXTR</t>
  </si>
  <si>
    <t>Extreme Networks Inc. Common Stock</t>
  </si>
  <si>
    <t>Telecommunications</t>
  </si>
  <si>
    <t>Computer Communications Equipment</t>
  </si>
  <si>
    <t>EXTR US Equity</t>
  </si>
  <si>
    <t>NB_991</t>
  </si>
  <si>
    <t>EXYN</t>
  </si>
  <si>
    <t>Exyn Technologies Inc. Common Stock</t>
  </si>
  <si>
    <t>EXYN US Equity</t>
  </si>
  <si>
    <t>NB_992</t>
  </si>
  <si>
    <t>EXYNW</t>
  </si>
  <si>
    <t>Exyn Technologies Inc. Warrant</t>
  </si>
  <si>
    <t>EXYNW US Equity</t>
  </si>
  <si>
    <t>NB_993</t>
  </si>
  <si>
    <t>EYE</t>
  </si>
  <si>
    <t>National Vision Holdings Inc. Common Stock</t>
  </si>
  <si>
    <t>Ophthalmic Goods</t>
  </si>
  <si>
    <t>EYE US Equity</t>
  </si>
  <si>
    <t>NB_994</t>
  </si>
  <si>
    <t>EYPT</t>
  </si>
  <si>
    <t>EyePoint Inc. Common Stock</t>
  </si>
  <si>
    <t>Biotechnology: Laboratory Analytical Instruments</t>
  </si>
  <si>
    <t>EYPT US Equity</t>
  </si>
  <si>
    <t>NB_995</t>
  </si>
  <si>
    <t>EZPW</t>
  </si>
  <si>
    <t>EZCORP Inc. Class A Non Voting Common Stock</t>
  </si>
  <si>
    <t>Other Specialty Stores</t>
  </si>
  <si>
    <t>EZPW US Equity</t>
  </si>
  <si>
    <t>NB_996</t>
  </si>
  <si>
    <t>F</t>
  </si>
  <si>
    <t>Ford Motor Company Common Stock</t>
  </si>
  <si>
    <t>Auto Manufacturing</t>
  </si>
  <si>
    <t>F US Equity</t>
  </si>
  <si>
    <t>NB_997</t>
  </si>
  <si>
    <t>FA</t>
  </si>
  <si>
    <t>First Advantage Corporation Common Stock</t>
  </si>
  <si>
    <t>EDP Services</t>
  </si>
  <si>
    <t>FA US Equity</t>
  </si>
  <si>
    <t>NB_998</t>
  </si>
  <si>
    <t>FABC</t>
  </si>
  <si>
    <t>Fabric.AI Inc. Common Stock</t>
  </si>
  <si>
    <t>Telecommunications Equipment</t>
  </si>
  <si>
    <t>FABC US Equity</t>
  </si>
  <si>
    <t>NB_999</t>
  </si>
  <si>
    <t>FANG</t>
  </si>
  <si>
    <t>Diamondback Energy Inc. Common Stock</t>
  </si>
  <si>
    <t>FANG US Equity</t>
  </si>
  <si>
    <t>NB_1000</t>
  </si>
  <si>
    <t>FAST</t>
  </si>
  <si>
    <t>Fastenal Company Common Stock</t>
  </si>
  <si>
    <t>RETAIL: Building Materials</t>
  </si>
  <si>
    <t>FAST US Equity</t>
  </si>
  <si>
    <t>NB_1001</t>
  </si>
  <si>
    <t>FATE</t>
  </si>
  <si>
    <t>Fate Therapeutics Inc. Common Stock</t>
  </si>
  <si>
    <t>FATE US Equity</t>
  </si>
  <si>
    <t>NB_1002</t>
  </si>
  <si>
    <t>FATN</t>
  </si>
  <si>
    <t>FatPipe Inc. Common Stock</t>
  </si>
  <si>
    <t>FATN US Equity</t>
  </si>
  <si>
    <t>NB_1003</t>
  </si>
  <si>
    <t>FBDT</t>
  </si>
  <si>
    <t>First Breach Inc. Common Stock</t>
  </si>
  <si>
    <t>Ordnance And Accessories</t>
  </si>
  <si>
    <t>FBDT US Equity</t>
  </si>
  <si>
    <t>NB_1004</t>
  </si>
  <si>
    <t>FBIN</t>
  </si>
  <si>
    <t>Fortune Brands Innovations Inc. Common Stock</t>
  </si>
  <si>
    <t>Basic Materials</t>
  </si>
  <si>
    <t>Forest Products</t>
  </si>
  <si>
    <t>FBIN US Equity</t>
  </si>
  <si>
    <t>NB_1005</t>
  </si>
  <si>
    <t>FBIO</t>
  </si>
  <si>
    <t>Fortress Biotech Inc. Common Stock</t>
  </si>
  <si>
    <t>Biotechnology: Pharmaceutical Preparations</t>
  </si>
  <si>
    <t>FBIO US Equity</t>
  </si>
  <si>
    <t>NB_1006</t>
  </si>
  <si>
    <t>FBIOP</t>
  </si>
  <si>
    <t>Fortress Biotech Inc. 9.375% Series A Cumulative Redeemable Perpetual Preferred Stock</t>
  </si>
  <si>
    <t>FBIOP US Equity</t>
  </si>
  <si>
    <t>NB_1007</t>
  </si>
  <si>
    <t>FBLG</t>
  </si>
  <si>
    <t>FibroBiologics Inc. Common Stock</t>
  </si>
  <si>
    <t>FBLG US Equity</t>
  </si>
  <si>
    <t>NB_1008</t>
  </si>
  <si>
    <t>FBYD</t>
  </si>
  <si>
    <t>Falcon's Beyond Global Inc. Class A Common Stock</t>
  </si>
  <si>
    <t>Services-Misc. Amusement &amp; Recreation</t>
  </si>
  <si>
    <t>FBYD US Equity</t>
  </si>
  <si>
    <t>NB_1009</t>
  </si>
  <si>
    <t>FC</t>
  </si>
  <si>
    <t>Franklin Covey Company Common Stock</t>
  </si>
  <si>
    <t>Other Consumer Services</t>
  </si>
  <si>
    <t>FC US Equity</t>
  </si>
  <si>
    <t>NB_1010</t>
  </si>
  <si>
    <t>FCEL</t>
  </si>
  <si>
    <t>FuelCell Energy Inc. Common Stock</t>
  </si>
  <si>
    <t>Industrial Machinery/Components</t>
  </si>
  <si>
    <t>FCEL US Equity</t>
  </si>
  <si>
    <t>NB_1011</t>
  </si>
  <si>
    <t>FCFS</t>
  </si>
  <si>
    <t>FirstCash Holdings Inc. Common Stock</t>
  </si>
  <si>
    <t>FCFS US Equity</t>
  </si>
  <si>
    <t>NB_1012</t>
  </si>
  <si>
    <t>FCN</t>
  </si>
  <si>
    <t>FTI Consulting Inc. Common Stock</t>
  </si>
  <si>
    <t>FCN US Equity</t>
  </si>
  <si>
    <t>NB_1013</t>
  </si>
  <si>
    <t>FCUV</t>
  </si>
  <si>
    <t>Focus Universal Inc. Common Stock</t>
  </si>
  <si>
    <t>FCUV US Equity</t>
  </si>
  <si>
    <t>NB_1014</t>
  </si>
  <si>
    <t>FCX</t>
  </si>
  <si>
    <t>Freeport-McMoRan Inc. Common Stock</t>
  </si>
  <si>
    <t>Metal Mining</t>
  </si>
  <si>
    <t>FCX US Equity</t>
  </si>
  <si>
    <t>NB_1015</t>
  </si>
  <si>
    <t>FDMT</t>
  </si>
  <si>
    <t>4D Molecular Therapeutics Inc. Common Stock</t>
  </si>
  <si>
    <t>FDMT US Equity</t>
  </si>
  <si>
    <t>NB_1016</t>
  </si>
  <si>
    <t>FDS</t>
  </si>
  <si>
    <t>FactSet Research Systems Inc. Common Stock</t>
  </si>
  <si>
    <t>Computer Software: Programming Data Processing</t>
  </si>
  <si>
    <t>FDS US Equity</t>
  </si>
  <si>
    <t>NB_1017</t>
  </si>
  <si>
    <t>FDX</t>
  </si>
  <si>
    <t>FedEx Corporation Common Stock</t>
  </si>
  <si>
    <t>Air Freight/Delivery Services</t>
  </si>
  <si>
    <t>FDX US Equity</t>
  </si>
  <si>
    <t>NB_1018</t>
  </si>
  <si>
    <t>FDXF</t>
  </si>
  <si>
    <t>FedEx Freight Holding Company Inc. Common Stock</t>
  </si>
  <si>
    <t>FDXF US Equity</t>
  </si>
  <si>
    <t>NB_1019</t>
  </si>
  <si>
    <t>FE</t>
  </si>
  <si>
    <t>FirstEnergy Corp. Common Stock</t>
  </si>
  <si>
    <t>Utilities</t>
  </si>
  <si>
    <t>Electric Utilities: Central</t>
  </si>
  <si>
    <t>FE US Equity</t>
  </si>
  <si>
    <t>NB_1020</t>
  </si>
  <si>
    <t>FEAM</t>
  </si>
  <si>
    <t>5E Advanced Materials Inc. Common Stock</t>
  </si>
  <si>
    <t>Mining &amp; Quarrying of Nonmetallic Minerals (No Fuels)</t>
  </si>
  <si>
    <t>FEAM US Equity</t>
  </si>
  <si>
    <t>NB_1021</t>
  </si>
  <si>
    <t>FEIM</t>
  </si>
  <si>
    <t>Frequency Electronics Inc. Common Stock</t>
  </si>
  <si>
    <t>Electrical Products</t>
  </si>
  <si>
    <t>FEIM US Equity</t>
  </si>
  <si>
    <t>NB_1022</t>
  </si>
  <si>
    <t>FELE</t>
  </si>
  <si>
    <t>Franklin Electric Co. Inc. Common Stock</t>
  </si>
  <si>
    <t>Metal Fabrications</t>
  </si>
  <si>
    <t>FELE US Equity</t>
  </si>
  <si>
    <t>NB_1023</t>
  </si>
  <si>
    <t>FEMY</t>
  </si>
  <si>
    <t>Femasys Inc. Common Stock</t>
  </si>
  <si>
    <t>Medical/Dental Instruments</t>
  </si>
  <si>
    <t>FEMY US Equity</t>
  </si>
  <si>
    <t>NB_1024</t>
  </si>
  <si>
    <t>FENC</t>
  </si>
  <si>
    <t>Fennec Pharmaceuticals Inc. Common Stock</t>
  </si>
  <si>
    <t>FENC US Equity</t>
  </si>
  <si>
    <t>NB_1025</t>
  </si>
  <si>
    <t>FET</t>
  </si>
  <si>
    <t>Forum Energy Technologies Inc. Common Stock</t>
  </si>
  <si>
    <t>Oil and Gas Field Machinery</t>
  </si>
  <si>
    <t>FET US Equity</t>
  </si>
  <si>
    <t>NB_1026</t>
  </si>
  <si>
    <t>FF</t>
  </si>
  <si>
    <t>FutureFuel Corp.  Common shares</t>
  </si>
  <si>
    <t>Major Chemicals</t>
  </si>
  <si>
    <t>FF US Equity</t>
  </si>
  <si>
    <t>NB_1027</t>
  </si>
  <si>
    <t>FFAI</t>
  </si>
  <si>
    <t>Faraday Future Intelligent Electric Inc. Class A Common Stock</t>
  </si>
  <si>
    <t>FFAI US Equity</t>
  </si>
  <si>
    <t>NB_1028</t>
  </si>
  <si>
    <t>FFIV</t>
  </si>
  <si>
    <t>F5 Inc. Common Stock</t>
  </si>
  <si>
    <t>FFIV US Equity</t>
  </si>
  <si>
    <t>NB_1029</t>
  </si>
  <si>
    <t>FGI</t>
  </si>
  <si>
    <t>FGI Industries Ltd. Ordinary Shares</t>
  </si>
  <si>
    <t>Industrial Specialties</t>
  </si>
  <si>
    <t>FGI US Equity</t>
  </si>
  <si>
    <t>NB_1030</t>
  </si>
  <si>
    <t>FHTX</t>
  </si>
  <si>
    <t>Foghorn Therapeutics Inc. Common Stock</t>
  </si>
  <si>
    <t>FHTX US Equity</t>
  </si>
  <si>
    <t>NB_1031</t>
  </si>
  <si>
    <t>FICO</t>
  </si>
  <si>
    <t>Fair Isaac Corporation Common Stock</t>
  </si>
  <si>
    <t>FICO US Equity</t>
  </si>
  <si>
    <t>NB_1032</t>
  </si>
  <si>
    <t>FIEE</t>
  </si>
  <si>
    <t>FiEE Inc Common Stock</t>
  </si>
  <si>
    <t>FIEE US Equity</t>
  </si>
  <si>
    <t>NB_1033</t>
  </si>
  <si>
    <t>FIG</t>
  </si>
  <si>
    <t>Figma Inc. Class A Common Stock</t>
  </si>
  <si>
    <t>FIG US Equity</t>
  </si>
  <si>
    <t>NB_1034</t>
  </si>
  <si>
    <t>FIGS</t>
  </si>
  <si>
    <t>FIGS Inc. Class A Common Stock</t>
  </si>
  <si>
    <t>Apparel</t>
  </si>
  <si>
    <t>FIGS US Equity</t>
  </si>
  <si>
    <t>NB_1035</t>
  </si>
  <si>
    <t>FIP</t>
  </si>
  <si>
    <t>FTAI Infrastructure Inc. Common Stock</t>
  </si>
  <si>
    <t>Railroads</t>
  </si>
  <si>
    <t>FIP US Equity</t>
  </si>
  <si>
    <t>NB_1036</t>
  </si>
  <si>
    <t>FIRY</t>
  </si>
  <si>
    <t>Firy Inc. Class A Common Stock</t>
  </si>
  <si>
    <t>FIRY US Equity</t>
  </si>
  <si>
    <t>NB_1037</t>
  </si>
  <si>
    <t>FIS</t>
  </si>
  <si>
    <t>Fidelity National Information Services Inc. Common Stock</t>
  </si>
  <si>
    <t>FIS US Equity</t>
  </si>
  <si>
    <t>NB_1038</t>
  </si>
  <si>
    <t>FISN</t>
  </si>
  <si>
    <t>Deep Fission Inc. Common Stock</t>
  </si>
  <si>
    <t>FISN US Equity</t>
  </si>
  <si>
    <t>NB_1039</t>
  </si>
  <si>
    <t>FISV</t>
  </si>
  <si>
    <t>Fiserv Inc. Common Stock</t>
  </si>
  <si>
    <t>FISV US Equity</t>
  </si>
  <si>
    <t>NB_1040</t>
  </si>
  <si>
    <t>FIVE</t>
  </si>
  <si>
    <t>Five Below Inc. Common Stock</t>
  </si>
  <si>
    <t>Department/Specialty Retail Stores</t>
  </si>
  <si>
    <t>FIVE US Equity</t>
  </si>
  <si>
    <t>NB_1041</t>
  </si>
  <si>
    <t>FIVN</t>
  </si>
  <si>
    <t>Five9 Inc. Common Stock</t>
  </si>
  <si>
    <t>FIVN US Equity</t>
  </si>
  <si>
    <t>NB_1042</t>
  </si>
  <si>
    <t>FIX</t>
  </si>
  <si>
    <t>Comfort Systems USA Inc. Common Stock</t>
  </si>
  <si>
    <t>Engineering &amp; Construction</t>
  </si>
  <si>
    <t>FIX US Equity</t>
  </si>
  <si>
    <t>NB_1043</t>
  </si>
  <si>
    <t>FIZZ</t>
  </si>
  <si>
    <t>National Beverage Corp. Common Stock</t>
  </si>
  <si>
    <t>Consumer Staples</t>
  </si>
  <si>
    <t>Beverages (Production/Distribution)</t>
  </si>
  <si>
    <t>FIZZ US Equity</t>
  </si>
  <si>
    <t>NB_1044</t>
  </si>
  <si>
    <t>FJET</t>
  </si>
  <si>
    <t>Starfighters Space Inc. Common Stock</t>
  </si>
  <si>
    <t>FJET US Equity</t>
  </si>
  <si>
    <t>NB_1045</t>
  </si>
  <si>
    <t>FKWL</t>
  </si>
  <si>
    <t>Franklin Wireless Corp. Common Stock</t>
  </si>
  <si>
    <t>FKWL US Equity</t>
  </si>
  <si>
    <t>NB_1046</t>
  </si>
  <si>
    <t>FLGT</t>
  </si>
  <si>
    <t>Fulgent Genetics Inc. Common Stock</t>
  </si>
  <si>
    <t>Medical Specialities</t>
  </si>
  <si>
    <t>FLGT US Equity</t>
  </si>
  <si>
    <t>NB_1047</t>
  </si>
  <si>
    <t>FLL</t>
  </si>
  <si>
    <t>Full House Resorts Inc. Common Stock</t>
  </si>
  <si>
    <t>Hotels/Resorts</t>
  </si>
  <si>
    <t>FLL US Equity</t>
  </si>
  <si>
    <t>NB_1048</t>
  </si>
  <si>
    <t>FLNA</t>
  </si>
  <si>
    <t>Filana Therapeutics Inc. Common Stock</t>
  </si>
  <si>
    <t>FLNA US Equity</t>
  </si>
  <si>
    <t>NB_1049</t>
  </si>
  <si>
    <t>FLNT</t>
  </si>
  <si>
    <t>Fluent Inc. Common Stock</t>
  </si>
  <si>
    <t>Advertising</t>
  </si>
  <si>
    <t>FLNT US Equity</t>
  </si>
  <si>
    <t>NB_1050</t>
  </si>
  <si>
    <t>FLO</t>
  </si>
  <si>
    <t>Flowers Foods Inc. Common Stock</t>
  </si>
  <si>
    <t>Packaged Foods</t>
  </si>
  <si>
    <t>FLO US Equity</t>
  </si>
  <si>
    <t>NB_1051</t>
  </si>
  <si>
    <t>FLOC</t>
  </si>
  <si>
    <t>Flowco Holdings Inc. Class A Common Stock</t>
  </si>
  <si>
    <t>FLOC US Equity</t>
  </si>
  <si>
    <t>NB_1052</t>
  </si>
  <si>
    <t>FLR</t>
  </si>
  <si>
    <t>Fluor Corporation Common Stock</t>
  </si>
  <si>
    <t>Military/Government/Technical</t>
  </si>
  <si>
    <t>FLR US Equity</t>
  </si>
  <si>
    <t>NB_1053</t>
  </si>
  <si>
    <t>FLS</t>
  </si>
  <si>
    <t>Flowserve Corporation Common Stock</t>
  </si>
  <si>
    <t>Fluid Controls</t>
  </si>
  <si>
    <t>FLS US Equity</t>
  </si>
  <si>
    <t>NB_1054</t>
  </si>
  <si>
    <t>FLWS</t>
  </si>
  <si>
    <t>1-800-FLOWERS.COM Inc. Common Stock</t>
  </si>
  <si>
    <t>FLWS US Equity</t>
  </si>
  <si>
    <t>NB_1055</t>
  </si>
  <si>
    <t>FLXS</t>
  </si>
  <si>
    <t>Flexsteel Industries Inc. Common Stock</t>
  </si>
  <si>
    <t>Home Furnishings</t>
  </si>
  <si>
    <t>FLXS US Equity</t>
  </si>
  <si>
    <t>NB_1056</t>
  </si>
  <si>
    <t>FLY</t>
  </si>
  <si>
    <t>Firefly Aerospace Inc. Common Stock</t>
  </si>
  <si>
    <t>FLY US Equity</t>
  </si>
  <si>
    <t>NB_1057</t>
  </si>
  <si>
    <t>FLYE</t>
  </si>
  <si>
    <t>Fly-E Group Inc. Common Stock</t>
  </si>
  <si>
    <t>Aerospace</t>
  </si>
  <si>
    <t>FLYE US Equity</t>
  </si>
  <si>
    <t>NB_1058</t>
  </si>
  <si>
    <t>FLYW</t>
  </si>
  <si>
    <t>Flywire Corporation Voting Common Stock</t>
  </si>
  <si>
    <t>FLYW US Equity</t>
  </si>
  <si>
    <t>NB_1059</t>
  </si>
  <si>
    <t>FMC</t>
  </si>
  <si>
    <t>FMC Corporation Common Stock</t>
  </si>
  <si>
    <t>FMC US Equity</t>
  </si>
  <si>
    <t>NB_1060</t>
  </si>
  <si>
    <t>FND</t>
  </si>
  <si>
    <t>Floor &amp; Decor Holdings Inc. Common Stock</t>
  </si>
  <si>
    <t>FND US Equity</t>
  </si>
  <si>
    <t>NB_1061</t>
  </si>
  <si>
    <t>FNGR</t>
  </si>
  <si>
    <t>FingerMotion Inc. Common Stock</t>
  </si>
  <si>
    <t>FNGR US Equity</t>
  </si>
  <si>
    <t>NB_1062</t>
  </si>
  <si>
    <t>FNKO</t>
  </si>
  <si>
    <t>Funko Inc. Class A Common Stock</t>
  </si>
  <si>
    <t>Recreational Games/Products/Toys</t>
  </si>
  <si>
    <t>FNKO US Equity</t>
  </si>
  <si>
    <t>NB_1063</t>
  </si>
  <si>
    <t>FORM</t>
  </si>
  <si>
    <t>FormFactor Inc. FormFactor Inc. Common Stock</t>
  </si>
  <si>
    <t>Semiconductors</t>
  </si>
  <si>
    <t>FORM US Equity</t>
  </si>
  <si>
    <t>NB_1064</t>
  </si>
  <si>
    <t>FORR</t>
  </si>
  <si>
    <t>Forrester Research Inc. Common Stock</t>
  </si>
  <si>
    <t>Diversified Commercial Services</t>
  </si>
  <si>
    <t>FORR US Equity</t>
  </si>
  <si>
    <t>NB_1065</t>
  </si>
  <si>
    <t>FOSL</t>
  </si>
  <si>
    <t>Fossil Group Inc. Common Stock</t>
  </si>
  <si>
    <t>Consumer Specialties</t>
  </si>
  <si>
    <t>FOSL US Equity</t>
  </si>
  <si>
    <t>NB_1066</t>
  </si>
  <si>
    <t>FOUR</t>
  </si>
  <si>
    <t>Shift4 Payments Inc. Class A Common Stock</t>
  </si>
  <si>
    <t>FOUR US Equity</t>
  </si>
  <si>
    <t>NB_1067</t>
  </si>
  <si>
    <t>FOX</t>
  </si>
  <si>
    <t>Fox Corporation Class B Common Stock</t>
  </si>
  <si>
    <t>Broadcasting</t>
  </si>
  <si>
    <t>FOX US Equity</t>
  </si>
  <si>
    <t>NB_1068</t>
  </si>
  <si>
    <t>FOXA</t>
  </si>
  <si>
    <t>Fox Corporation Class A Common Stock</t>
  </si>
  <si>
    <t>FOXA US Equity</t>
  </si>
  <si>
    <t>NB_1069</t>
  </si>
  <si>
    <t>FOXF</t>
  </si>
  <si>
    <t>Fox Factory Holding Corp. Common Stock</t>
  </si>
  <si>
    <t>Motor Vehicles</t>
  </si>
  <si>
    <t>FOXF US Equity</t>
  </si>
  <si>
    <t>NB_1070</t>
  </si>
  <si>
    <t>FOXX</t>
  </si>
  <si>
    <t>Foxx Development Holdings Inc. Common Stock</t>
  </si>
  <si>
    <t>FOXX US Equity</t>
  </si>
  <si>
    <t>NB_1071</t>
  </si>
  <si>
    <t>FPS</t>
  </si>
  <si>
    <t>Forgent Power Solutions Inc. Class A Common Stock</t>
  </si>
  <si>
    <t>FPS US Equity</t>
  </si>
  <si>
    <t>NB_1072</t>
  </si>
  <si>
    <t>FRD</t>
  </si>
  <si>
    <t>Friedman Industries Inc. Common Stock</t>
  </si>
  <si>
    <t>Steel/Iron Ore</t>
  </si>
  <si>
    <t>FRD US Equity</t>
  </si>
  <si>
    <t>NB_1073</t>
  </si>
  <si>
    <t>FRGT</t>
  </si>
  <si>
    <t>Freight Technologies Inc. Ordinary Shares</t>
  </si>
  <si>
    <t>FRGT US Equity</t>
  </si>
  <si>
    <t>NB_1074</t>
  </si>
  <si>
    <t>FRNM</t>
  </si>
  <si>
    <t>Freenome Inc. Common stock</t>
  </si>
  <si>
    <t>FRNM US Equity</t>
  </si>
  <si>
    <t>NB_1075</t>
  </si>
  <si>
    <t>FROG</t>
  </si>
  <si>
    <t>JFrog Ltd. Ordinary Shares</t>
  </si>
  <si>
    <t>FROG US Equity</t>
  </si>
  <si>
    <t>NB_1076</t>
  </si>
  <si>
    <t>FRPT</t>
  </si>
  <si>
    <t>Freshpet Inc. Common Stock</t>
  </si>
  <si>
    <t>FRPT US Equity</t>
  </si>
  <si>
    <t>NB_1077</t>
  </si>
  <si>
    <t>FRSH</t>
  </si>
  <si>
    <t>Freshworks Inc. Class A Common Stock</t>
  </si>
  <si>
    <t>FRSH US Equity</t>
  </si>
  <si>
    <t>NB_1078</t>
  </si>
  <si>
    <t>FRVO</t>
  </si>
  <si>
    <t>Fervo Energy Company Class A common stock</t>
  </si>
  <si>
    <t>FRVO US Equity</t>
  </si>
  <si>
    <t>NB_1079</t>
  </si>
  <si>
    <t>FSLR</t>
  </si>
  <si>
    <t>First Solar Inc. Common Stock</t>
  </si>
  <si>
    <t>FSLR US Equity</t>
  </si>
  <si>
    <t>NB_1080</t>
  </si>
  <si>
    <t>FSLY</t>
  </si>
  <si>
    <t>Fastly Inc. Class A Common Stock</t>
  </si>
  <si>
    <t>FSLY US Equity</t>
  </si>
  <si>
    <t>NB_1081</t>
  </si>
  <si>
    <t>FSS</t>
  </si>
  <si>
    <t>Federal Signal Corporation Common Stock</t>
  </si>
  <si>
    <t>FSS US Equity</t>
  </si>
  <si>
    <t>NB_1082</t>
  </si>
  <si>
    <t>FSTR</t>
  </si>
  <si>
    <t>L.B. Foster Company Common Stock</t>
  </si>
  <si>
    <t>FSTR US Equity</t>
  </si>
  <si>
    <t>NB_1083</t>
  </si>
  <si>
    <t>FTAI</t>
  </si>
  <si>
    <t>FTAI Aviation Ltd. Common Stock</t>
  </si>
  <si>
    <t>Misc Corporate Leasing Services</t>
  </si>
  <si>
    <t>FTAI US Equity</t>
  </si>
  <si>
    <t>NB_1084</t>
  </si>
  <si>
    <t>FTAIM</t>
  </si>
  <si>
    <t>FTAI Aviation Ltd. 9.500% Fixed-Rate Reset Series D Cumulative Perpetual Redeemable Preferred Shares</t>
  </si>
  <si>
    <t>FTAIM US Equity</t>
  </si>
  <si>
    <t>NB_1085</t>
  </si>
  <si>
    <t>FTCI</t>
  </si>
  <si>
    <t>FTC Solar Inc. Common Stock</t>
  </si>
  <si>
    <t>FTCI US Equity</t>
  </si>
  <si>
    <t>NB_1086</t>
  </si>
  <si>
    <t>FTDR</t>
  </si>
  <si>
    <t>Frontdoor Inc. Common Stock</t>
  </si>
  <si>
    <t>FTDR US Equity</t>
  </si>
  <si>
    <t>NB_1087</t>
  </si>
  <si>
    <t>FTEK</t>
  </si>
  <si>
    <t>Fuel Tech Inc. Common Stock</t>
  </si>
  <si>
    <t>Pollution Control Equipment</t>
  </si>
  <si>
    <t>FTEK US Equity</t>
  </si>
  <si>
    <t>NB_1088</t>
  </si>
  <si>
    <t>FTH</t>
  </si>
  <si>
    <t>Faeth Therapeutics Inc. Common Stock</t>
  </si>
  <si>
    <t>FTH US Equity</t>
  </si>
  <si>
    <t>NB_1089</t>
  </si>
  <si>
    <t>FTK</t>
  </si>
  <si>
    <t>Flotek Industries Inc. Common Stock</t>
  </si>
  <si>
    <t>FTK US Equity</t>
  </si>
  <si>
    <t>NB_1090</t>
  </si>
  <si>
    <t>FTLF</t>
  </si>
  <si>
    <t>FitLife Brands Inc. Common Stock</t>
  </si>
  <si>
    <t>Medicinal Chemicals and Botanical Products</t>
  </si>
  <si>
    <t>FTLF US Equity</t>
  </si>
  <si>
    <t>NB_1091</t>
  </si>
  <si>
    <t>FTNT</t>
  </si>
  <si>
    <t>Fortinet Inc. Common Stock</t>
  </si>
  <si>
    <t>Computer peripheral equipment</t>
  </si>
  <si>
    <t>FTNT US Equity</t>
  </si>
  <si>
    <t>NB_1092</t>
  </si>
  <si>
    <t>FTRE</t>
  </si>
  <si>
    <t>Fortrea Holdings Inc. Common Stock</t>
  </si>
  <si>
    <t>FTRE US Equity</t>
  </si>
  <si>
    <t>NB_1093</t>
  </si>
  <si>
    <t>FTS</t>
  </si>
  <si>
    <t>Fortis Inc. Common Shares</t>
  </si>
  <si>
    <t>FTS US Equity</t>
  </si>
  <si>
    <t>NB_1094</t>
  </si>
  <si>
    <t>FTV</t>
  </si>
  <si>
    <t>Fortive Corporation Common Stock</t>
  </si>
  <si>
    <t>FTV US Equity</t>
  </si>
  <si>
    <t>NB_1095</t>
  </si>
  <si>
    <t>FUBO</t>
  </si>
  <si>
    <t>FuboTV Inc. Class A Common Stock</t>
  </si>
  <si>
    <t>Movies/Entertainment</t>
  </si>
  <si>
    <t>FUBO US Equity</t>
  </si>
  <si>
    <t>NB_1096</t>
  </si>
  <si>
    <t>FUL</t>
  </si>
  <si>
    <t>H. B. Fuller Company Common Stock</t>
  </si>
  <si>
    <t>FUL US Equity</t>
  </si>
  <si>
    <t>NB_1097</t>
  </si>
  <si>
    <t>FULC</t>
  </si>
  <si>
    <t>Fulcrum Therapeutics Inc. Common Stock</t>
  </si>
  <si>
    <t>FULC US Equity</t>
  </si>
  <si>
    <t>NB_1098</t>
  </si>
  <si>
    <t>FUN</t>
  </si>
  <si>
    <t>Six Flags Entertainment Corporation Common Stock New</t>
  </si>
  <si>
    <t>FUN US Equity</t>
  </si>
  <si>
    <t>NB_1099</t>
  </si>
  <si>
    <t>FUSE</t>
  </si>
  <si>
    <t>Fusemachines Inc. Common stock</t>
  </si>
  <si>
    <t>FUSE US Equity</t>
  </si>
  <si>
    <t>NB_1100</t>
  </si>
  <si>
    <t>FUSEW</t>
  </si>
  <si>
    <t>Fusemachines Inc. Warrants</t>
  </si>
  <si>
    <t>FUSEW US Equity</t>
  </si>
  <si>
    <t>NB_1101</t>
  </si>
  <si>
    <t>FWONA</t>
  </si>
  <si>
    <t>Liberty Media Corporation Series A Common Stock</t>
  </si>
  <si>
    <t>FWONA US Equity</t>
  </si>
  <si>
    <t>NB_1102</t>
  </si>
  <si>
    <t>FWONK</t>
  </si>
  <si>
    <t>Liberty Media Corporation Series C Common Stock</t>
  </si>
  <si>
    <t>FWONK US Equity</t>
  </si>
  <si>
    <t>NB_1103</t>
  </si>
  <si>
    <t>FWRD</t>
  </si>
  <si>
    <t>Forward Air Corporation Common Stock</t>
  </si>
  <si>
    <t>FWRD US Equity</t>
  </si>
  <si>
    <t>NB_1104</t>
  </si>
  <si>
    <t>FWRG</t>
  </si>
  <si>
    <t>First Watch Restaurant Group Inc. Common Stock</t>
  </si>
  <si>
    <t>Restaurants</t>
  </si>
  <si>
    <t>FWRG US Equity</t>
  </si>
  <si>
    <t>NB_1105</t>
  </si>
  <si>
    <t>GAIA</t>
  </si>
  <si>
    <t>Gaia Inc. Class A Common Stock</t>
  </si>
  <si>
    <t>GAIA US Equity</t>
  </si>
  <si>
    <t>NB_1106</t>
  </si>
  <si>
    <t>GALT</t>
  </si>
  <si>
    <t>Galectin Therapeutics Inc. Common Stock</t>
  </si>
  <si>
    <t>GALT US Equity</t>
  </si>
  <si>
    <t>NB_1107</t>
  </si>
  <si>
    <t>GAME</t>
  </si>
  <si>
    <t>GameSquare Holdings Inc. Common Stock</t>
  </si>
  <si>
    <t>GAME US Equity</t>
  </si>
  <si>
    <t>NB_1108</t>
  </si>
  <si>
    <t>GANX</t>
  </si>
  <si>
    <t>Gain Therapeutics Inc. Common Stock</t>
  </si>
  <si>
    <t>GANX US Equity</t>
  </si>
  <si>
    <t>NB_1109</t>
  </si>
  <si>
    <t>GAP</t>
  </si>
  <si>
    <t>Gap Inc. (The) Common Stock</t>
  </si>
  <si>
    <t>Clothing/Shoe/Accessory Stores</t>
  </si>
  <si>
    <t>GAP US Equity</t>
  </si>
  <si>
    <t>NB_1110</t>
  </si>
  <si>
    <t>GATX</t>
  </si>
  <si>
    <t>GATX Corporation Common Stock</t>
  </si>
  <si>
    <t>GATX US Equity</t>
  </si>
  <si>
    <t>NB_1111</t>
  </si>
  <si>
    <t>GBR</t>
  </si>
  <si>
    <t>New Concept Energy Inc Common Stock</t>
  </si>
  <si>
    <t>GBR US Equity</t>
  </si>
  <si>
    <t>NB_1112</t>
  </si>
  <si>
    <t>GBTG</t>
  </si>
  <si>
    <t>Global Business Travel Group Inc. Class A Common Stock</t>
  </si>
  <si>
    <t>GBTG US Equity</t>
  </si>
  <si>
    <t>NB_1113</t>
  </si>
  <si>
    <t>GBX</t>
  </si>
  <si>
    <t>Greenbrier Companies Inc. (The) Common Stock</t>
  </si>
  <si>
    <t>GBX US Equity</t>
  </si>
  <si>
    <t>NB_1114</t>
  </si>
  <si>
    <t>GCO</t>
  </si>
  <si>
    <t>Genesco Inc. Common Stock</t>
  </si>
  <si>
    <t>GCO US Equity</t>
  </si>
  <si>
    <t>NB_1115</t>
  </si>
  <si>
    <t>GCT</t>
  </si>
  <si>
    <t>GigaCloud Technology Inc Class A Ordinary Shares</t>
  </si>
  <si>
    <t>Catalog/Specialty Distribution</t>
  </si>
  <si>
    <t>GCT US Equity</t>
  </si>
  <si>
    <t>NB_1116</t>
  </si>
  <si>
    <t>GCTK</t>
  </si>
  <si>
    <t>GlucoTrack Inc. Common Stock</t>
  </si>
  <si>
    <t>GCTK US Equity</t>
  </si>
  <si>
    <t>NB_1117</t>
  </si>
  <si>
    <t>GCTS</t>
  </si>
  <si>
    <t>GCT Semiconductor Holding Inc. Common Stock</t>
  </si>
  <si>
    <t>GCTS US Equity</t>
  </si>
  <si>
    <t>NB_1118</t>
  </si>
  <si>
    <t>GD</t>
  </si>
  <si>
    <t>General Dynamics Corporation Common Stock</t>
  </si>
  <si>
    <t>Marine Transportation</t>
  </si>
  <si>
    <t>GD US Equity</t>
  </si>
  <si>
    <t>NB_1119</t>
  </si>
  <si>
    <t>GDC</t>
  </si>
  <si>
    <t>GD Culture Group Limited Common Stock</t>
  </si>
  <si>
    <t>GDC US Equity</t>
  </si>
  <si>
    <t>NB_1120</t>
  </si>
  <si>
    <t>GDDY</t>
  </si>
  <si>
    <t>GoDaddy Inc. Class A Common Stock</t>
  </si>
  <si>
    <t>GDDY US Equity</t>
  </si>
  <si>
    <t>NB_1121</t>
  </si>
  <si>
    <t>GDRX</t>
  </si>
  <si>
    <t>GoodRx Holdings Inc. Class A Common Stock</t>
  </si>
  <si>
    <t>GDRX US Equity</t>
  </si>
  <si>
    <t>NB_1122</t>
  </si>
  <si>
    <t>GDYN</t>
  </si>
  <si>
    <t>Grid Dynamics Holdings Inc. Class A Common Stock</t>
  </si>
  <si>
    <t>GDYN US Equity</t>
  </si>
  <si>
    <t>NB_1123</t>
  </si>
  <si>
    <t>GE</t>
  </si>
  <si>
    <t>GE Aerospace Common Stock</t>
  </si>
  <si>
    <t>Consumer Electronics/Appliances</t>
  </si>
  <si>
    <t>GE US Equity</t>
  </si>
  <si>
    <t>NB_1124</t>
  </si>
  <si>
    <t>GEG</t>
  </si>
  <si>
    <t>Great Elm Group Inc. Common Stock</t>
  </si>
  <si>
    <t>GEG US Equity</t>
  </si>
  <si>
    <t>NB_1125</t>
  </si>
  <si>
    <t>GEGGL</t>
  </si>
  <si>
    <t>Great Elm Group Inc.  7.25% Notes due 2027</t>
  </si>
  <si>
    <t>GEGGL US Equity</t>
  </si>
  <si>
    <t>NB_1126</t>
  </si>
  <si>
    <t>GEHC</t>
  </si>
  <si>
    <t>GE HealthCare Technologies Inc. Common Stock</t>
  </si>
  <si>
    <t>Medical Electronics</t>
  </si>
  <si>
    <t>GEHC US Equity</t>
  </si>
  <si>
    <t>NB_1127</t>
  </si>
  <si>
    <t>GEL</t>
  </si>
  <si>
    <t>Genesis Energy L.P. Common Units</t>
  </si>
  <si>
    <t>Oil Refining/Marketing</t>
  </si>
  <si>
    <t>GEL US Equity</t>
  </si>
  <si>
    <t>NB_1128</t>
  </si>
  <si>
    <t>GEN</t>
  </si>
  <si>
    <t>Gen Digital Inc. Common Stock</t>
  </si>
  <si>
    <t>GEN US Equity</t>
  </si>
  <si>
    <t>NB_1129</t>
  </si>
  <si>
    <t>GENB</t>
  </si>
  <si>
    <t>Generate Biomedicines Inc. Common Stock</t>
  </si>
  <si>
    <t>GENB US Equity</t>
  </si>
  <si>
    <t>NB_1130</t>
  </si>
  <si>
    <t>GENC</t>
  </si>
  <si>
    <t>Gencor Industries Inc. Common Stock</t>
  </si>
  <si>
    <t>Construction/Ag Equipment/Trucks</t>
  </si>
  <si>
    <t>GENC US Equity</t>
  </si>
  <si>
    <t>NB_1131</t>
  </si>
  <si>
    <t>GENK</t>
  </si>
  <si>
    <t>GEN Restaurant Group Inc. Class A Common Stock</t>
  </si>
  <si>
    <t>GENK US Equity</t>
  </si>
  <si>
    <t>NB_1132</t>
  </si>
  <si>
    <t>GENVR</t>
  </si>
  <si>
    <t>Gen Digital Inc. Contingent Value Rights</t>
  </si>
  <si>
    <t>GENVR US Equity</t>
  </si>
  <si>
    <t>NB_1133</t>
  </si>
  <si>
    <t>GEO</t>
  </si>
  <si>
    <t>Geo Group Inc (The) REIT</t>
  </si>
  <si>
    <t>Homebuilding</t>
  </si>
  <si>
    <t>GEO US Equity</t>
  </si>
  <si>
    <t>NB_1134</t>
  </si>
  <si>
    <t>GEOS</t>
  </si>
  <si>
    <t>Geospace Technologies Corporation Common Stock (Texas)</t>
  </si>
  <si>
    <t>GEOS US Equity</t>
  </si>
  <si>
    <t>NB_1135</t>
  </si>
  <si>
    <t>GERN</t>
  </si>
  <si>
    <t>Geron Corporation Common Stock</t>
  </si>
  <si>
    <t>GERN US Equity</t>
  </si>
  <si>
    <t>NB_1136</t>
  </si>
  <si>
    <t>GETY</t>
  </si>
  <si>
    <t>Getty Images Holdings Inc. Class A Common Stock</t>
  </si>
  <si>
    <t>GETY US Equity</t>
  </si>
  <si>
    <t>NB_1137</t>
  </si>
  <si>
    <t>GEV</t>
  </si>
  <si>
    <t>GE Vernova Inc. Common Stock</t>
  </si>
  <si>
    <t>GEV US Equity</t>
  </si>
  <si>
    <t>NB_1138</t>
  </si>
  <si>
    <t>GEVO</t>
  </si>
  <si>
    <t>Gevo Inc. Common Stock</t>
  </si>
  <si>
    <t>GEVO US Equity</t>
  </si>
  <si>
    <t>NB_1139</t>
  </si>
  <si>
    <t>GFF</t>
  </si>
  <si>
    <t>Griffon Corporation Common Stock</t>
  </si>
  <si>
    <t>Building Products</t>
  </si>
  <si>
    <t>GFF US Equity</t>
  </si>
  <si>
    <t>NB_1140</t>
  </si>
  <si>
    <t>GFS</t>
  </si>
  <si>
    <t>GlobalFoundries Inc. Ordinary Shares</t>
  </si>
  <si>
    <t>GFS US Equity</t>
  </si>
  <si>
    <t>NB_1141</t>
  </si>
  <si>
    <t>GFUZ</t>
  </si>
  <si>
    <t>General Fusion Group Ltd. Common Shares</t>
  </si>
  <si>
    <t>GFUZ US Equity</t>
  </si>
  <si>
    <t>NB_1142</t>
  </si>
  <si>
    <t>GFUZW</t>
  </si>
  <si>
    <t>General Fusion Group Ltd. Warrant</t>
  </si>
  <si>
    <t>GFUZW US Equity</t>
  </si>
  <si>
    <t>NB_1143</t>
  </si>
  <si>
    <t>GGG</t>
  </si>
  <si>
    <t>Graco Inc. Common Stock</t>
  </si>
  <si>
    <t>GGG US Equity</t>
  </si>
  <si>
    <t>NB_1144</t>
  </si>
  <si>
    <t>GH</t>
  </si>
  <si>
    <t>Guardant Health Inc. Common Stock</t>
  </si>
  <si>
    <t>GH US Equity</t>
  </si>
  <si>
    <t>NB_1145</t>
  </si>
  <si>
    <t>GHM</t>
  </si>
  <si>
    <t>Graham Corporation Common Stock</t>
  </si>
  <si>
    <t>GHM US Equity</t>
  </si>
  <si>
    <t>NB_1146</t>
  </si>
  <si>
    <t>GIC</t>
  </si>
  <si>
    <t>Global Industrial Company Common Stock</t>
  </si>
  <si>
    <t>GIC US Equity</t>
  </si>
  <si>
    <t>NB_1147</t>
  </si>
  <si>
    <t>GIFT</t>
  </si>
  <si>
    <t>Giftify Inc. Common Stock</t>
  </si>
  <si>
    <t>GIFT US Equity</t>
  </si>
  <si>
    <t>NB_1148</t>
  </si>
  <si>
    <t>GIII</t>
  </si>
  <si>
    <t>G-III Apparel Group LTD. Common Stock</t>
  </si>
  <si>
    <t>GIII US Equity</t>
  </si>
  <si>
    <t>NB_1149</t>
  </si>
  <si>
    <t>GILD</t>
  </si>
  <si>
    <t>Gilead Sciences Inc. Common Stock</t>
  </si>
  <si>
    <t>GILD US Equity</t>
  </si>
  <si>
    <t>NB_1150</t>
  </si>
  <si>
    <t>GIS</t>
  </si>
  <si>
    <t>General Mills Inc. Common Stock</t>
  </si>
  <si>
    <t>GIS US Equity</t>
  </si>
  <si>
    <t>NB_1151</t>
  </si>
  <si>
    <t>GKOS</t>
  </si>
  <si>
    <t>Glaukos Corporation Common Stock</t>
  </si>
  <si>
    <t>GKOS US Equity</t>
  </si>
  <si>
    <t>NB_1152</t>
  </si>
  <si>
    <t>GLAD</t>
  </si>
  <si>
    <t>Gladstone Capital Corporation Common Stock</t>
  </si>
  <si>
    <t>Textiles</t>
  </si>
  <si>
    <t>GLAD US Equity</t>
  </si>
  <si>
    <t>NB_1153</t>
  </si>
  <si>
    <t>GLIBA</t>
  </si>
  <si>
    <t>Liberty Capital Corporation Series A GCI Group Common Stock</t>
  </si>
  <si>
    <t>Cable &amp; Other Pay Television Services</t>
  </si>
  <si>
    <t>GLIBA US Equity</t>
  </si>
  <si>
    <t>NB_1154</t>
  </si>
  <si>
    <t>GLIBK</t>
  </si>
  <si>
    <t>Liberty Capital Corporation Series C GCI Group Common Stock</t>
  </si>
  <si>
    <t>GLIBK US Equity</t>
  </si>
  <si>
    <t>NB_1155</t>
  </si>
  <si>
    <t>GLND</t>
  </si>
  <si>
    <t>Greenland Energy Company Common Stock</t>
  </si>
  <si>
    <t>GLND US Equity</t>
  </si>
  <si>
    <t>NB_1156</t>
  </si>
  <si>
    <t>GLNDW</t>
  </si>
  <si>
    <t>Greenland Energy Company Warrant</t>
  </si>
  <si>
    <t>GLNDW US Equity</t>
  </si>
  <si>
    <t>NB_1157</t>
  </si>
  <si>
    <t>GLOB</t>
  </si>
  <si>
    <t>Globant S.A. Common Shares</t>
  </si>
  <si>
    <t>GLOB US Equity</t>
  </si>
  <si>
    <t>NB_1158</t>
  </si>
  <si>
    <t>GLOO</t>
  </si>
  <si>
    <t>Gloo Holdings Inc. Class A Common Stock</t>
  </si>
  <si>
    <t>GLOO US Equity</t>
  </si>
  <si>
    <t>NB_1159</t>
  </si>
  <si>
    <t>GLP</t>
  </si>
  <si>
    <t>Global Partners LP Common Units representing Limited Partner Interests</t>
  </si>
  <si>
    <t>GLP US Equity</t>
  </si>
  <si>
    <t>NB_1160</t>
  </si>
  <si>
    <t>GLSI</t>
  </si>
  <si>
    <t>Greenwich LifeSciences Inc. Common Stock</t>
  </si>
  <si>
    <t>GLSI US Equity</t>
  </si>
  <si>
    <t>NB_1161</t>
  </si>
  <si>
    <t>GLUE</t>
  </si>
  <si>
    <t>Monte Rosa Therapeutics Inc. Common Stock</t>
  </si>
  <si>
    <t>GLUE US Equity</t>
  </si>
  <si>
    <t>NB_1162</t>
  </si>
  <si>
    <t>GLW</t>
  </si>
  <si>
    <t>Corning Incorporated Common Stock</t>
  </si>
  <si>
    <t>GLW US Equity</t>
  </si>
  <si>
    <t>NB_1163</t>
  </si>
  <si>
    <t>GM</t>
  </si>
  <si>
    <t>General Motors Company Common Stock</t>
  </si>
  <si>
    <t>GM US Equity</t>
  </si>
  <si>
    <t>NB_1164</t>
  </si>
  <si>
    <t>GME</t>
  </si>
  <si>
    <t>GameStop Corporation Common Stock</t>
  </si>
  <si>
    <t>Electronics Distribution</t>
  </si>
  <si>
    <t>GME US Equity</t>
  </si>
  <si>
    <t>NB_1165</t>
  </si>
  <si>
    <t>GMED</t>
  </si>
  <si>
    <t>Globus Medical Inc. Class A Common Stock</t>
  </si>
  <si>
    <t>GMED US Equity</t>
  </si>
  <si>
    <t>NB_1166</t>
  </si>
  <si>
    <t>GNE</t>
  </si>
  <si>
    <t>Genie Energy Ltd. Class B Common Stock Stock</t>
  </si>
  <si>
    <t>Power Generation</t>
  </si>
  <si>
    <t>GNE US Equity</t>
  </si>
  <si>
    <t>NB_1167</t>
  </si>
  <si>
    <t>GNK</t>
  </si>
  <si>
    <t>Genco Shipping &amp; Trading Limited Ordinary Shares New (Marshall Islands)</t>
  </si>
  <si>
    <t>GNK US Equity</t>
  </si>
  <si>
    <t>NB_1168</t>
  </si>
  <si>
    <t>GNLN</t>
  </si>
  <si>
    <t>Greenlane Holdings Inc. Class A Common Stock</t>
  </si>
  <si>
    <t>Durable Goods</t>
  </si>
  <si>
    <t>GNLN US Equity</t>
  </si>
  <si>
    <t>NB_1169</t>
  </si>
  <si>
    <t>GNLX</t>
  </si>
  <si>
    <t>Genelux Corporation Common Stock</t>
  </si>
  <si>
    <t>GNLX US Equity</t>
  </si>
  <si>
    <t>NB_1170</t>
  </si>
  <si>
    <t>GNPX</t>
  </si>
  <si>
    <t>Genprex Inc. Common Stock</t>
  </si>
  <si>
    <t>GNPX US Equity</t>
  </si>
  <si>
    <t>NB_1171</t>
  </si>
  <si>
    <t>GNRC</t>
  </si>
  <si>
    <t>Generac Holdlings Inc. Common Stock</t>
  </si>
  <si>
    <t>GNRC US Equity</t>
  </si>
  <si>
    <t>NB_1172</t>
  </si>
  <si>
    <t>GNSS</t>
  </si>
  <si>
    <t>Genasys Inc. Common Stock</t>
  </si>
  <si>
    <t>GNSS US Equity</t>
  </si>
  <si>
    <t>NB_1173</t>
  </si>
  <si>
    <t>GNTX</t>
  </si>
  <si>
    <t>Gentex Corporation Common Stock</t>
  </si>
  <si>
    <t>Auto Parts:O.E.M.</t>
  </si>
  <si>
    <t>GNTX US Equity</t>
  </si>
  <si>
    <t>NB_1174</t>
  </si>
  <si>
    <t>GO</t>
  </si>
  <si>
    <t>Grocery Outlet Holding Corp. Common Stock</t>
  </si>
  <si>
    <t>Food Chains</t>
  </si>
  <si>
    <t>GO US Equity</t>
  </si>
  <si>
    <t>NB_1175</t>
  </si>
  <si>
    <t>GOAI</t>
  </si>
  <si>
    <t>Eva Live Inc. Common Stock</t>
  </si>
  <si>
    <t>GOAI US Equity</t>
  </si>
  <si>
    <t>NB_1176</t>
  </si>
  <si>
    <t>GOGO</t>
  </si>
  <si>
    <t>Gogo Inc. Common Stock</t>
  </si>
  <si>
    <t>GOGO US Equity</t>
  </si>
  <si>
    <t>NB_1177</t>
  </si>
  <si>
    <t>GOLD</t>
  </si>
  <si>
    <t>Gold.com Inc. Common Stock</t>
  </si>
  <si>
    <t>GOLD US Equity</t>
  </si>
  <si>
    <t>NB_1178</t>
  </si>
  <si>
    <t>GOLF</t>
  </si>
  <si>
    <t>Acushnet Holdings Corp. Common Stock</t>
  </si>
  <si>
    <t>GOLF US Equity</t>
  </si>
  <si>
    <t>NB_1179</t>
  </si>
  <si>
    <t>GOOG</t>
  </si>
  <si>
    <t>Alphabet Inc. Class C Capital Stock</t>
  </si>
  <si>
    <t>GOOG US Equity</t>
  </si>
  <si>
    <t>NB_1180</t>
  </si>
  <si>
    <t>GOOGL</t>
  </si>
  <si>
    <t>Alphabet Inc. Class A Common Stock</t>
  </si>
  <si>
    <t>GOOGL US Equity</t>
  </si>
  <si>
    <t>NB_1181</t>
  </si>
  <si>
    <t>GOOGM</t>
  </si>
  <si>
    <t>Alphabet Inc. Depositary Shares representing a 1/20th Interest in a Share of Series A Mandatory Convertible Preferred Stock</t>
  </si>
  <si>
    <t>GOOGM US Equity</t>
  </si>
  <si>
    <t>NB_1182</t>
  </si>
  <si>
    <t>GOOGN</t>
  </si>
  <si>
    <t>Alphabet Inc. Depositary Shares representing a 1/20th Interest in a Share of Series B Mandatory Convertible Preferred Stock</t>
  </si>
  <si>
    <t>GOOGN US Equity</t>
  </si>
  <si>
    <t>NB_1183</t>
  </si>
  <si>
    <t>GOSS</t>
  </si>
  <si>
    <t>Gossamer Bio Inc. Common Stock</t>
  </si>
  <si>
    <t>GOSS US Equity</t>
  </si>
  <si>
    <t>NB_1184</t>
  </si>
  <si>
    <t>GOVX</t>
  </si>
  <si>
    <t>GeoVax Labs Inc. Common Stock</t>
  </si>
  <si>
    <t>GOVX US Equity</t>
  </si>
  <si>
    <t>NB_1185</t>
  </si>
  <si>
    <t>GPACW</t>
  </si>
  <si>
    <t>General Purpose Acquisition Corp. Warrant</t>
  </si>
  <si>
    <t>GPACW US Equity</t>
  </si>
  <si>
    <t>NB_1186</t>
  </si>
  <si>
    <t>GPC</t>
  </si>
  <si>
    <t>Genuine Parts Company Common Stock</t>
  </si>
  <si>
    <t>Automotive Aftermarket</t>
  </si>
  <si>
    <t>GPC US Equity</t>
  </si>
  <si>
    <t>NB_1187</t>
  </si>
  <si>
    <t>GPCR</t>
  </si>
  <si>
    <t>Structure Therapeutics Inc. American Depositary Shares</t>
  </si>
  <si>
    <t>GPCR US Equity</t>
  </si>
  <si>
    <t>NB_1188</t>
  </si>
  <si>
    <t>GPI</t>
  </si>
  <si>
    <t>Group 1 Automotive Inc. Common Stock</t>
  </si>
  <si>
    <t>Retail-Auto Dealers and Gas Stations</t>
  </si>
  <si>
    <t>GPI US Equity</t>
  </si>
  <si>
    <t>NB_1189</t>
  </si>
  <si>
    <t>GPJA</t>
  </si>
  <si>
    <t>Georgia Power Company Series 2017A 5.00% Junior Subordinated Notes due October 1 2077</t>
  </si>
  <si>
    <t>GPJA US Equity</t>
  </si>
  <si>
    <t>NB_1190</t>
  </si>
  <si>
    <t>GPK</t>
  </si>
  <si>
    <t>Graphic Packaging Holding Company</t>
  </si>
  <si>
    <t>Containers/Packaging</t>
  </si>
  <si>
    <t>GPK US Equity</t>
  </si>
  <si>
    <t>NB_1191</t>
  </si>
  <si>
    <t>GPN</t>
  </si>
  <si>
    <t>Global Payments Inc. Common Stock</t>
  </si>
  <si>
    <t>GPN US Equity</t>
  </si>
  <si>
    <t>NB_1192</t>
  </si>
  <si>
    <t>GPOR</t>
  </si>
  <si>
    <t>Gulfport Energy Corporation Common Shares</t>
  </si>
  <si>
    <t>GPOR US Equity</t>
  </si>
  <si>
    <t>NB_1193</t>
  </si>
  <si>
    <t>GPRE</t>
  </si>
  <si>
    <t>Green Plains Inc. Common Stock</t>
  </si>
  <si>
    <t>GPRE US Equity</t>
  </si>
  <si>
    <t>NB_1194</t>
  </si>
  <si>
    <t>GPRO</t>
  </si>
  <si>
    <t>GoPro Inc. Class A Common Stock</t>
  </si>
  <si>
    <t>GPRO US Equity</t>
  </si>
  <si>
    <t>NB_1195</t>
  </si>
  <si>
    <t>GPUS</t>
  </si>
  <si>
    <t>Hyperscale Data Inc. Common Stock</t>
  </si>
  <si>
    <t>GPUS US Equity</t>
  </si>
  <si>
    <t>NB_1196</t>
  </si>
  <si>
    <t>GRAL</t>
  </si>
  <si>
    <t>GRAIL Inc. Common Stock</t>
  </si>
  <si>
    <t>GRAL US Equity</t>
  </si>
  <si>
    <t>NB_1197</t>
  </si>
  <si>
    <t>GRBK</t>
  </si>
  <si>
    <t>Green Brick Partners Inc. Common Stock</t>
  </si>
  <si>
    <t>GRBK US Equity</t>
  </si>
  <si>
    <t>NB_1198</t>
  </si>
  <si>
    <t>GRC</t>
  </si>
  <si>
    <t>Gorman-Rupp Company (The) Common Stock</t>
  </si>
  <si>
    <t>GRC US Equity</t>
  </si>
  <si>
    <t>NB_1199</t>
  </si>
  <si>
    <t>GRDN</t>
  </si>
  <si>
    <t>Guardian Pharmacy Services Inc. Class A Common Stock</t>
  </si>
  <si>
    <t>Retail-Drug Stores and Proprietary Stores</t>
  </si>
  <si>
    <t>GRDN US Equity</t>
  </si>
  <si>
    <t>NB_1200</t>
  </si>
  <si>
    <t>GRDX</t>
  </si>
  <si>
    <t>GridAI Technologies Corp. Common Stock</t>
  </si>
  <si>
    <t>GRDX US Equity</t>
  </si>
  <si>
    <t>NB_1201</t>
  </si>
  <si>
    <t>GRI</t>
  </si>
  <si>
    <t>GRI Bio Inc. Common Stock</t>
  </si>
  <si>
    <t>GRI US Equity</t>
  </si>
  <si>
    <t>NB_1202</t>
  </si>
  <si>
    <t>GRML</t>
  </si>
  <si>
    <t>Greenland Mines Ltd. Common Stock</t>
  </si>
  <si>
    <t>GRML US Equity</t>
  </si>
  <si>
    <t>NB_1203</t>
  </si>
  <si>
    <t>GRMLW</t>
  </si>
  <si>
    <t>Greenland Mines Ltd Warrant</t>
  </si>
  <si>
    <t>GRMLW US Equity</t>
  </si>
  <si>
    <t>NB_1204</t>
  </si>
  <si>
    <t>GRNT</t>
  </si>
  <si>
    <t>Granite Ridge Resources Inc. Common Stock</t>
  </si>
  <si>
    <t>GRNT US Equity</t>
  </si>
  <si>
    <t>NB_1205</t>
  </si>
  <si>
    <t>GRPN</t>
  </si>
  <si>
    <t>Groupon Inc. Common Stock</t>
  </si>
  <si>
    <t>GRPN US Equity</t>
  </si>
  <si>
    <t>NB_1206</t>
  </si>
  <si>
    <t>GRWG</t>
  </si>
  <si>
    <t>GrowGeneration Corp. Common Stock</t>
  </si>
  <si>
    <t>GRWG US Equity</t>
  </si>
  <si>
    <t>NB_1207</t>
  </si>
  <si>
    <t>GSAT</t>
  </si>
  <si>
    <t>Globalstar Inc. Common Stock</t>
  </si>
  <si>
    <t>GSAT US Equity</t>
  </si>
  <si>
    <t>NB_1208</t>
  </si>
  <si>
    <t>GSIT</t>
  </si>
  <si>
    <t>GSI Technology Common Stock</t>
  </si>
  <si>
    <t>GSIT US Equity</t>
  </si>
  <si>
    <t>NB_1209</t>
  </si>
  <si>
    <t>GT</t>
  </si>
  <si>
    <t>The Goodyear Tire &amp; Rubber Company Common Stock</t>
  </si>
  <si>
    <t>GT US Equity</t>
  </si>
  <si>
    <t>NB_1210</t>
  </si>
  <si>
    <t>GTBP</t>
  </si>
  <si>
    <t>GT Biopharma Inc. Common Stock</t>
  </si>
  <si>
    <t>GTBP US Equity</t>
  </si>
  <si>
    <t>NB_1211</t>
  </si>
  <si>
    <t>GTIM</t>
  </si>
  <si>
    <t>Good Times Restaurants Inc. Common Stock</t>
  </si>
  <si>
    <t>GTIM US Equity</t>
  </si>
  <si>
    <t>NB_1212</t>
  </si>
  <si>
    <t>GTLB</t>
  </si>
  <si>
    <t>GitLab Inc. Class A Common Stock</t>
  </si>
  <si>
    <t>GTLB US Equity</t>
  </si>
  <si>
    <t>NB_1213</t>
  </si>
  <si>
    <t>GTM</t>
  </si>
  <si>
    <t>ZoomInfo Technologies Inc Common Stock</t>
  </si>
  <si>
    <t>GTM US Equity</t>
  </si>
  <si>
    <t>NB_1214</t>
  </si>
  <si>
    <t>GTN</t>
  </si>
  <si>
    <t>Gray Media Inc. Common Stock</t>
  </si>
  <si>
    <t>GTN US Equity</t>
  </si>
  <si>
    <t>NB_1215</t>
  </si>
  <si>
    <t>GUTS</t>
  </si>
  <si>
    <t>Fractyl Health Inc. Common Stock</t>
  </si>
  <si>
    <t>GUTS US Equity</t>
  </si>
  <si>
    <t>NB_1216</t>
  </si>
  <si>
    <t>GVA</t>
  </si>
  <si>
    <t>Granite Construction Incorporated Common Stock</t>
  </si>
  <si>
    <t>GVA US Equity</t>
  </si>
  <si>
    <t>NB_1217</t>
  </si>
  <si>
    <t>GWAV</t>
  </si>
  <si>
    <t>Greenwave Technology Solutions Inc. Common Stock</t>
  </si>
  <si>
    <t>GWAV US Equity</t>
  </si>
  <si>
    <t>NB_1218</t>
  </si>
  <si>
    <t>GWRE</t>
  </si>
  <si>
    <t>Guidewire Software Inc. Common Stock</t>
  </si>
  <si>
    <t>GWRE US Equity</t>
  </si>
  <si>
    <t>NB_1219</t>
  </si>
  <si>
    <t>GWRS</t>
  </si>
  <si>
    <t>Global Water Resources Inc. Common Stock</t>
  </si>
  <si>
    <t>Water Supply</t>
  </si>
  <si>
    <t>GWRS US Equity</t>
  </si>
  <si>
    <t>NB_1220</t>
  </si>
  <si>
    <t>GWW</t>
  </si>
  <si>
    <t>W.W. Grainger Inc. Common Stock</t>
  </si>
  <si>
    <t>Office Equipment/Supplies/Services</t>
  </si>
  <si>
    <t>GWW US Equity</t>
  </si>
  <si>
    <t>NB_1221</t>
  </si>
  <si>
    <t>GXAI</t>
  </si>
  <si>
    <t>Gaxos.ai Inc. Common Stock</t>
  </si>
  <si>
    <t>GXAI US Equity</t>
  </si>
  <si>
    <t>NB_1222</t>
  </si>
  <si>
    <t>GXO</t>
  </si>
  <si>
    <t>GXO Logistics Inc. Common Stock</t>
  </si>
  <si>
    <t>GXO US Equity</t>
  </si>
  <si>
    <t>NB_1223</t>
  </si>
  <si>
    <t>GYGY</t>
  </si>
  <si>
    <t>Game Your Game Inc. Common Stock</t>
  </si>
  <si>
    <t>GYGY US Equity</t>
  </si>
  <si>
    <t>NB_1224</t>
  </si>
  <si>
    <t>GYRE</t>
  </si>
  <si>
    <t>Gyre Therapeutics Inc. Common Stock</t>
  </si>
  <si>
    <t>GYRE US Equity</t>
  </si>
  <si>
    <t>NB_1225</t>
  </si>
  <si>
    <t>H</t>
  </si>
  <si>
    <t>Hyatt Hotels Corporation Class A Common Stock</t>
  </si>
  <si>
    <t>H US Equity</t>
  </si>
  <si>
    <t>NB_1226</t>
  </si>
  <si>
    <t>HAE</t>
  </si>
  <si>
    <t>Haemonetics Corporation Common Stock</t>
  </si>
  <si>
    <t>HAE US Equity</t>
  </si>
  <si>
    <t>NB_1227</t>
  </si>
  <si>
    <t>HAIN</t>
  </si>
  <si>
    <t>Hain Celestial Group Inc. (The) Common Stock</t>
  </si>
  <si>
    <t>HAIN US Equity</t>
  </si>
  <si>
    <t>NB_1228</t>
  </si>
  <si>
    <t>HAL</t>
  </si>
  <si>
    <t>Halliburton Company Common Stock</t>
  </si>
  <si>
    <t>Oilfield Services/Equipment</t>
  </si>
  <si>
    <t>HAL US Equity</t>
  </si>
  <si>
    <t>NB_1229</t>
  </si>
  <si>
    <t>HALO</t>
  </si>
  <si>
    <t>Halozyme Therapeutics Inc. Common Stock</t>
  </si>
  <si>
    <t>HALO US Equity</t>
  </si>
  <si>
    <t>NB_1230</t>
  </si>
  <si>
    <t>HAS</t>
  </si>
  <si>
    <t>Hasbro Inc. Common Stock</t>
  </si>
  <si>
    <t>HAS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</si>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</sst>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41</v>
      </c>
      <c r="B6" t="s">
        <v>14</v>
      </c>
      <c r="C6" t="s">
        <v>15</v>
      </c>
      <c r="D6" t="s">
        <v>42</v>
      </c>
      <c r="E6" t="s">
        <v>43</v>
      </c>
      <c r="F6" t="s">
        <v>26</v>
      </c>
      <c r="G6" t="s">
        <v>27</v>
      </c>
      <c r="H6" t="s">
        <v>44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45</v>
      </c>
      <c r="B7" t="s">
        <v>14</v>
      </c>
      <c r="C7" t="s">
        <v>15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51</v>
      </c>
      <c r="B8" t="s">
        <v>14</v>
      </c>
      <c r="C8" t="s">
        <v>15</v>
      </c>
      <c r="D8" t="s">
        <v>52</v>
      </c>
      <c r="E8" t="s">
        <v>53</v>
      </c>
      <c r="F8" t="s">
        <v>48</v>
      </c>
      <c r="G8" t="s">
        <v>54</v>
      </c>
      <c r="H8" t="s">
        <v>55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56</v>
      </c>
      <c r="B9" t="s">
        <v>14</v>
      </c>
      <c r="C9" t="s">
        <v>15</v>
      </c>
      <c r="D9" t="s">
        <v>57</v>
      </c>
      <c r="E9" t="s">
        <v>58</v>
      </c>
      <c r="F9" t="s">
        <v>38</v>
      </c>
      <c r="G9" t="s">
        <v>59</v>
      </c>
      <c r="H9" t="s">
        <v>60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61</v>
      </c>
      <c r="B10" t="s">
        <v>14</v>
      </c>
      <c r="C10" t="s">
        <v>15</v>
      </c>
      <c r="D10" t="s">
        <v>62</v>
      </c>
      <c r="E10" t="s">
        <v>63</v>
      </c>
      <c r="F10" t="s">
        <v>38</v>
      </c>
      <c r="G10" t="s">
        <v>64</v>
      </c>
      <c r="H10" t="s">
        <v>65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66</v>
      </c>
      <c r="B11" t="s">
        <v>14</v>
      </c>
      <c r="C11" t="s">
        <v>15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72</v>
      </c>
      <c r="B12" t="s">
        <v>14</v>
      </c>
      <c r="C12" t="s">
        <v>15</v>
      </c>
      <c r="D12" t="s">
        <v>73</v>
      </c>
      <c r="E12" t="s">
        <v>74</v>
      </c>
      <c r="F12" t="s">
        <v>32</v>
      </c>
      <c r="G12" t="s">
        <v>33</v>
      </c>
      <c r="H12" t="s">
        <v>75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76</v>
      </c>
      <c r="B13" t="s">
        <v>14</v>
      </c>
      <c r="C13" t="s">
        <v>15</v>
      </c>
      <c r="D13" t="s">
        <v>77</v>
      </c>
      <c r="E13" t="s">
        <v>78</v>
      </c>
      <c r="F13" t="s">
        <v>32</v>
      </c>
      <c r="G13" t="s">
        <v>33</v>
      </c>
      <c r="H13" t="s">
        <v>79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80</v>
      </c>
      <c r="B14" t="s">
        <v>14</v>
      </c>
      <c r="C14" t="s">
        <v>15</v>
      </c>
      <c r="D14" t="s">
        <v>81</v>
      </c>
      <c r="E14" t="s">
        <v>82</v>
      </c>
      <c r="F14" t="s">
        <v>26</v>
      </c>
      <c r="G14" t="s">
        <v>83</v>
      </c>
      <c r="H14" t="s">
        <v>84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85</v>
      </c>
      <c r="B15" t="s">
        <v>14</v>
      </c>
      <c r="C15" t="s">
        <v>15</v>
      </c>
      <c r="D15" t="s">
        <v>86</v>
      </c>
      <c r="E15" t="s">
        <v>87</v>
      </c>
      <c r="F15" t="s">
        <v>48</v>
      </c>
      <c r="G15" t="s">
        <v>88</v>
      </c>
      <c r="H15" t="s">
        <v>89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90</v>
      </c>
      <c r="B16" t="s">
        <v>14</v>
      </c>
      <c r="C16" t="s">
        <v>15</v>
      </c>
      <c r="D16" t="s">
        <v>91</v>
      </c>
      <c r="E16" t="s">
        <v>92</v>
      </c>
      <c r="F16" t="s">
        <v>38</v>
      </c>
      <c r="G16" t="s">
        <v>93</v>
      </c>
      <c r="H16" t="s">
        <v>94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95</v>
      </c>
      <c r="B17" t="s">
        <v>14</v>
      </c>
      <c r="C17" t="s">
        <v>15</v>
      </c>
      <c r="D17" t="s">
        <v>96</v>
      </c>
      <c r="E17" t="s">
        <v>97</v>
      </c>
      <c r="F17" t="s">
        <v>48</v>
      </c>
      <c r="G17" t="s">
        <v>98</v>
      </c>
      <c r="H17" t="s">
        <v>99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100</v>
      </c>
      <c r="B18" t="s">
        <v>14</v>
      </c>
      <c r="C18" t="s">
        <v>15</v>
      </c>
      <c r="D18" t="s">
        <v>101</v>
      </c>
      <c r="E18" t="s">
        <v>102</v>
      </c>
      <c r="F18" t="s">
        <v>32</v>
      </c>
      <c r="G18" t="s">
        <v>103</v>
      </c>
      <c r="H18" t="s">
        <v>104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105</v>
      </c>
      <c r="B19" t="s">
        <v>14</v>
      </c>
      <c r="C19" t="s">
        <v>15</v>
      </c>
      <c r="D19" t="s">
        <v>106</v>
      </c>
      <c r="E19" t="s">
        <v>107</v>
      </c>
      <c r="F19" t="s">
        <v>38</v>
      </c>
      <c r="G19" t="s">
        <v>108</v>
      </c>
      <c r="H19" t="s">
        <v>109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110</v>
      </c>
      <c r="B20" t="s">
        <v>14</v>
      </c>
      <c r="C20" t="s">
        <v>15</v>
      </c>
      <c r="D20" t="s">
        <v>111</v>
      </c>
      <c r="E20" t="s">
        <v>112</v>
      </c>
      <c r="F20" t="s">
        <v>18</v>
      </c>
      <c r="G20" t="s">
        <v>19</v>
      </c>
      <c r="H20" t="s">
        <v>113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114</v>
      </c>
      <c r="B21" t="s">
        <v>14</v>
      </c>
      <c r="C21" t="s">
        <v>15</v>
      </c>
      <c r="D21" t="s">
        <v>115</v>
      </c>
      <c r="E21" t="s">
        <v>116</v>
      </c>
      <c r="F21" t="s">
        <v>38</v>
      </c>
      <c r="G21" t="s">
        <v>117</v>
      </c>
      <c r="H21" t="s">
        <v>118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119</v>
      </c>
      <c r="B22" t="s">
        <v>14</v>
      </c>
      <c r="C22" t="s">
        <v>15</v>
      </c>
      <c r="D22" t="s">
        <v>120</v>
      </c>
      <c r="E22" t="s">
        <v>121</v>
      </c>
      <c r="F22" t="s">
        <v>26</v>
      </c>
      <c r="G22" t="s">
        <v>27</v>
      </c>
      <c r="H22" t="s">
        <v>122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123</v>
      </c>
      <c r="B23" t="s">
        <v>14</v>
      </c>
      <c r="C23" t="s">
        <v>15</v>
      </c>
      <c r="D23" t="s">
        <v>124</v>
      </c>
      <c r="E23" t="s">
        <v>125</v>
      </c>
      <c r="F23" t="s">
        <v>32</v>
      </c>
      <c r="G23" t="s">
        <v>33</v>
      </c>
      <c r="H23" t="s">
        <v>126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127</v>
      </c>
      <c r="B24" t="s">
        <v>14</v>
      </c>
      <c r="C24" t="s">
        <v>15</v>
      </c>
      <c r="D24" t="s">
        <v>128</v>
      </c>
      <c r="E24" t="s">
        <v>129</v>
      </c>
      <c r="F24" t="s">
        <v>48</v>
      </c>
      <c r="G24" t="s">
        <v>130</v>
      </c>
      <c r="H24" t="s">
        <v>131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132</v>
      </c>
      <c r="B25" t="s">
        <v>14</v>
      </c>
      <c r="C25" t="s">
        <v>15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138</v>
      </c>
      <c r="B26" t="s">
        <v>14</v>
      </c>
      <c r="C26" t="s">
        <v>15</v>
      </c>
      <c r="D26" t="s">
        <v>139</v>
      </c>
      <c r="E26" t="s">
        <v>140</v>
      </c>
      <c r="F26" t="s">
        <v>26</v>
      </c>
      <c r="G26" t="s">
        <v>141</v>
      </c>
      <c r="H26" t="s">
        <v>142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143</v>
      </c>
      <c r="B27" t="s">
        <v>14</v>
      </c>
      <c r="C27" t="s">
        <v>15</v>
      </c>
      <c r="D27" t="s">
        <v>144</v>
      </c>
      <c r="E27" t="s">
        <v>145</v>
      </c>
      <c r="F27" t="s">
        <v>26</v>
      </c>
      <c r="G27" t="s">
        <v>141</v>
      </c>
      <c r="H27" t="s">
        <v>146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147</v>
      </c>
      <c r="B28" t="s">
        <v>14</v>
      </c>
      <c r="C28" t="s">
        <v>15</v>
      </c>
      <c r="D28" t="s">
        <v>148</v>
      </c>
      <c r="E28" t="s">
        <v>149</v>
      </c>
      <c r="F28" t="s">
        <v>26</v>
      </c>
      <c r="G28" t="s">
        <v>141</v>
      </c>
      <c r="H28" t="s">
        <v>150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151</v>
      </c>
      <c r="B29" t="s">
        <v>14</v>
      </c>
      <c r="C29" t="s">
        <v>15</v>
      </c>
      <c r="D29" t="s">
        <v>152</v>
      </c>
      <c r="E29" t="s">
        <v>153</v>
      </c>
      <c r="F29" t="s">
        <v>38</v>
      </c>
      <c r="G29" t="s">
        <v>154</v>
      </c>
      <c r="H29" t="s">
        <v>155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156</v>
      </c>
      <c r="B30" t="s">
        <v>14</v>
      </c>
      <c r="C30" t="s">
        <v>15</v>
      </c>
      <c r="D30" t="s">
        <v>157</v>
      </c>
      <c r="E30" t="s">
        <v>158</v>
      </c>
      <c r="F30" t="s">
        <v>38</v>
      </c>
      <c r="G30" t="s">
        <v>159</v>
      </c>
      <c r="H30" t="s">
        <v>160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161</v>
      </c>
      <c r="B31" t="s">
        <v>14</v>
      </c>
      <c r="C31" t="s">
        <v>15</v>
      </c>
      <c r="D31" t="s">
        <v>162</v>
      </c>
      <c r="E31" t="s">
        <v>163</v>
      </c>
      <c r="F31" t="s">
        <v>18</v>
      </c>
      <c r="G31" t="s">
        <v>164</v>
      </c>
      <c r="H31" t="s">
        <v>165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166</v>
      </c>
      <c r="B32" t="s">
        <v>14</v>
      </c>
      <c r="C32" t="s">
        <v>15</v>
      </c>
      <c r="D32" t="s">
        <v>167</v>
      </c>
      <c r="E32" t="s">
        <v>168</v>
      </c>
      <c r="F32" t="s">
        <v>38</v>
      </c>
      <c r="G32" t="s">
        <v>93</v>
      </c>
      <c r="H32" t="s">
        <v>169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170</v>
      </c>
      <c r="B33" t="s">
        <v>14</v>
      </c>
      <c r="C33" t="s">
        <v>15</v>
      </c>
      <c r="D33" t="s">
        <v>171</v>
      </c>
      <c r="E33" t="s">
        <v>172</v>
      </c>
      <c r="F33" t="s">
        <v>38</v>
      </c>
      <c r="G33" t="s">
        <v>64</v>
      </c>
      <c r="H33" t="s">
        <v>173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174</v>
      </c>
      <c r="B34" t="s">
        <v>14</v>
      </c>
      <c r="C34" t="s">
        <v>15</v>
      </c>
      <c r="D34" t="s">
        <v>175</v>
      </c>
      <c r="E34" t="s">
        <v>176</v>
      </c>
      <c r="F34" t="s">
        <v>48</v>
      </c>
      <c r="G34" t="s">
        <v>164</v>
      </c>
      <c r="H34" t="s">
        <v>177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178</v>
      </c>
      <c r="B35" t="s">
        <v>14</v>
      </c>
      <c r="C35" t="s">
        <v>15</v>
      </c>
      <c r="D35" t="s">
        <v>179</v>
      </c>
      <c r="E35" t="s">
        <v>180</v>
      </c>
      <c r="F35" t="s">
        <v>135</v>
      </c>
      <c r="G35" t="s">
        <v>181</v>
      </c>
      <c r="H35" t="s">
        <v>182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183</v>
      </c>
      <c r="B36" t="s">
        <v>14</v>
      </c>
      <c r="C36" t="s">
        <v>15</v>
      </c>
      <c r="D36" t="s">
        <v>184</v>
      </c>
      <c r="E36" t="s">
        <v>185</v>
      </c>
      <c r="F36" t="s">
        <v>26</v>
      </c>
      <c r="G36" t="s">
        <v>27</v>
      </c>
      <c r="H36" t="s">
        <v>186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187</v>
      </c>
      <c r="B37" t="s">
        <v>14</v>
      </c>
      <c r="C37" t="s">
        <v>15</v>
      </c>
      <c r="D37" t="s">
        <v>188</v>
      </c>
      <c r="E37" t="s">
        <v>189</v>
      </c>
      <c r="F37" t="s">
        <v>32</v>
      </c>
      <c r="G37" t="s">
        <v>190</v>
      </c>
      <c r="H37" t="s">
        <v>191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192</v>
      </c>
      <c r="B38" t="s">
        <v>14</v>
      </c>
      <c r="C38" t="s">
        <v>15</v>
      </c>
      <c r="D38" t="s">
        <v>193</v>
      </c>
      <c r="E38" t="s">
        <v>194</v>
      </c>
      <c r="F38" t="s">
        <v>38</v>
      </c>
      <c r="G38" t="s">
        <v>195</v>
      </c>
      <c r="H38" t="s">
        <v>196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197</v>
      </c>
      <c r="B39" t="s">
        <v>14</v>
      </c>
      <c r="C39" t="s">
        <v>15</v>
      </c>
      <c r="D39" t="s">
        <v>198</v>
      </c>
      <c r="E39" t="s">
        <v>199</v>
      </c>
      <c r="F39" t="s">
        <v>38</v>
      </c>
      <c r="G39" t="s">
        <v>195</v>
      </c>
      <c r="H39" t="s">
        <v>200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201</v>
      </c>
      <c r="B40" t="s">
        <v>14</v>
      </c>
      <c r="C40" t="s">
        <v>15</v>
      </c>
      <c r="D40" t="s">
        <v>202</v>
      </c>
      <c r="E40" t="s">
        <v>203</v>
      </c>
      <c r="F40" t="s">
        <v>204</v>
      </c>
      <c r="G40" t="s">
        <v>205</v>
      </c>
      <c r="H40" t="s">
        <v>206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207</v>
      </c>
      <c r="B41" t="s">
        <v>14</v>
      </c>
      <c r="C41" t="s">
        <v>15</v>
      </c>
      <c r="D41" t="s">
        <v>208</v>
      </c>
      <c r="E41" t="s">
        <v>209</v>
      </c>
      <c r="F41" t="s">
        <v>48</v>
      </c>
      <c r="G41" t="s">
        <v>210</v>
      </c>
      <c r="H41" t="s">
        <v>211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212</v>
      </c>
      <c r="B42" t="s">
        <v>14</v>
      </c>
      <c r="C42" t="s">
        <v>15</v>
      </c>
      <c r="D42" t="s">
        <v>213</v>
      </c>
      <c r="E42" t="s">
        <v>214</v>
      </c>
      <c r="F42" t="s">
        <v>48</v>
      </c>
      <c r="G42" t="s">
        <v>215</v>
      </c>
      <c r="H42" t="s">
        <v>216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217</v>
      </c>
      <c r="B43" t="s">
        <v>14</v>
      </c>
      <c r="C43" t="s">
        <v>15</v>
      </c>
      <c r="D43" t="s">
        <v>218</v>
      </c>
      <c r="E43" t="s">
        <v>219</v>
      </c>
      <c r="F43" t="s">
        <v>38</v>
      </c>
      <c r="G43" t="s">
        <v>220</v>
      </c>
      <c r="H43" t="s">
        <v>221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222</v>
      </c>
      <c r="B44" t="s">
        <v>14</v>
      </c>
      <c r="C44" t="s">
        <v>15</v>
      </c>
      <c r="D44" t="s">
        <v>223</v>
      </c>
      <c r="E44" t="s">
        <v>224</v>
      </c>
      <c r="F44" t="s">
        <v>26</v>
      </c>
      <c r="G44" t="s">
        <v>225</v>
      </c>
      <c r="H44" t="s">
        <v>226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227</v>
      </c>
      <c r="B45" t="s">
        <v>14</v>
      </c>
      <c r="C45" t="s">
        <v>15</v>
      </c>
      <c r="D45" t="s">
        <v>228</v>
      </c>
      <c r="E45" t="s">
        <v>229</v>
      </c>
      <c r="F45" t="s">
        <v>26</v>
      </c>
      <c r="G45" t="s">
        <v>27</v>
      </c>
      <c r="H45" t="s">
        <v>230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231</v>
      </c>
      <c r="B46" t="s">
        <v>14</v>
      </c>
      <c r="C46" t="s">
        <v>15</v>
      </c>
      <c r="D46" t="s">
        <v>232</v>
      </c>
      <c r="E46" t="s">
        <v>233</v>
      </c>
      <c r="F46" t="s">
        <v>38</v>
      </c>
      <c r="G46" t="s">
        <v>234</v>
      </c>
      <c r="H46" t="s">
        <v>235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236</v>
      </c>
      <c r="B47" t="s">
        <v>14</v>
      </c>
      <c r="C47" t="s">
        <v>15</v>
      </c>
      <c r="D47" t="s">
        <v>237</v>
      </c>
      <c r="E47" t="s">
        <v>238</v>
      </c>
      <c r="F47" t="s">
        <v>48</v>
      </c>
      <c r="G47" t="s">
        <v>239</v>
      </c>
      <c r="H47" t="s">
        <v>240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241</v>
      </c>
      <c r="B48" t="s">
        <v>14</v>
      </c>
      <c r="C48" t="s">
        <v>15</v>
      </c>
      <c r="D48" t="s">
        <v>242</v>
      </c>
      <c r="E48" t="s">
        <v>243</v>
      </c>
      <c r="F48" t="s">
        <v>48</v>
      </c>
      <c r="G48" t="s">
        <v>98</v>
      </c>
      <c r="H48" t="s">
        <v>244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245</v>
      </c>
      <c r="B49" t="s">
        <v>14</v>
      </c>
      <c r="C49" t="s">
        <v>15</v>
      </c>
      <c r="D49" t="s">
        <v>246</v>
      </c>
      <c r="E49" t="s">
        <v>247</v>
      </c>
      <c r="F49" t="s">
        <v>69</v>
      </c>
      <c r="G49" t="s">
        <v>70</v>
      </c>
      <c r="H49" t="s">
        <v>248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249</v>
      </c>
      <c r="B50" t="s">
        <v>14</v>
      </c>
      <c r="C50" t="s">
        <v>15</v>
      </c>
      <c r="D50" t="s">
        <v>250</v>
      </c>
      <c r="E50" t="s">
        <v>251</v>
      </c>
      <c r="F50" t="s">
        <v>48</v>
      </c>
      <c r="G50" t="s">
        <v>252</v>
      </c>
      <c r="H50" t="s">
        <v>253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254</v>
      </c>
      <c r="B51" t="s">
        <v>14</v>
      </c>
      <c r="C51" t="s">
        <v>15</v>
      </c>
      <c r="D51" t="s">
        <v>255</v>
      </c>
      <c r="E51" t="s">
        <v>256</v>
      </c>
      <c r="F51" t="s">
        <v>26</v>
      </c>
      <c r="G51" t="s">
        <v>141</v>
      </c>
      <c r="H51" t="s">
        <v>257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258</v>
      </c>
      <c r="B52" t="s">
        <v>14</v>
      </c>
      <c r="C52" t="s">
        <v>15</v>
      </c>
      <c r="D52" t="s">
        <v>259</v>
      </c>
      <c r="E52" t="s">
        <v>260</v>
      </c>
      <c r="F52" t="s">
        <v>38</v>
      </c>
      <c r="G52" t="s">
        <v>39</v>
      </c>
      <c r="H52" t="s">
        <v>261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262</v>
      </c>
      <c r="B53" t="s">
        <v>14</v>
      </c>
      <c r="C53" t="s">
        <v>15</v>
      </c>
      <c r="D53" t="s">
        <v>263</v>
      </c>
      <c r="E53" t="s">
        <v>264</v>
      </c>
      <c r="F53" t="s">
        <v>204</v>
      </c>
      <c r="G53" t="s">
        <v>108</v>
      </c>
      <c r="H53" t="s">
        <v>265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266</v>
      </c>
      <c r="B54" t="s">
        <v>14</v>
      </c>
      <c r="C54" t="s">
        <v>15</v>
      </c>
      <c r="D54" t="s">
        <v>267</v>
      </c>
      <c r="E54" t="s">
        <v>268</v>
      </c>
      <c r="F54" t="s">
        <v>32</v>
      </c>
      <c r="G54" t="s">
        <v>33</v>
      </c>
      <c r="H54" t="s">
        <v>269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270</v>
      </c>
      <c r="B55" t="s">
        <v>14</v>
      </c>
      <c r="C55" t="s">
        <v>15</v>
      </c>
      <c r="D55" t="s">
        <v>271</v>
      </c>
      <c r="E55" t="s">
        <v>272</v>
      </c>
      <c r="F55" t="s">
        <v>38</v>
      </c>
      <c r="G55" t="s">
        <v>273</v>
      </c>
      <c r="H55" t="s">
        <v>274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275</v>
      </c>
      <c r="B56" t="s">
        <v>14</v>
      </c>
      <c r="C56" t="s">
        <v>15</v>
      </c>
      <c r="D56" t="s">
        <v>276</v>
      </c>
      <c r="E56" t="s">
        <v>277</v>
      </c>
      <c r="F56" t="s">
        <v>48</v>
      </c>
      <c r="G56" t="s">
        <v>278</v>
      </c>
      <c r="H56" t="s">
        <v>279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280</v>
      </c>
      <c r="B57" t="s">
        <v>14</v>
      </c>
      <c r="C57" t="s">
        <v>15</v>
      </c>
      <c r="D57" t="s">
        <v>281</v>
      </c>
      <c r="E57" t="s">
        <v>282</v>
      </c>
      <c r="F57" t="s">
        <v>32</v>
      </c>
      <c r="G57" t="s">
        <v>103</v>
      </c>
      <c r="H57" t="s">
        <v>283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284</v>
      </c>
      <c r="B58" t="s">
        <v>14</v>
      </c>
      <c r="C58" t="s">
        <v>15</v>
      </c>
      <c r="D58" t="s">
        <v>285</v>
      </c>
      <c r="E58" t="s">
        <v>286</v>
      </c>
      <c r="F58" t="s">
        <v>38</v>
      </c>
      <c r="G58" t="s">
        <v>39</v>
      </c>
      <c r="H58" t="s">
        <v>287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288</v>
      </c>
      <c r="B59" t="s">
        <v>14</v>
      </c>
      <c r="C59" t="s">
        <v>15</v>
      </c>
      <c r="D59" t="s">
        <v>289</v>
      </c>
      <c r="E59" t="s">
        <v>290</v>
      </c>
      <c r="F59" t="s">
        <v>204</v>
      </c>
      <c r="G59" t="s">
        <v>205</v>
      </c>
      <c r="H59" t="s">
        <v>291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292</v>
      </c>
      <c r="B60" t="s">
        <v>14</v>
      </c>
      <c r="C60" t="s">
        <v>15</v>
      </c>
      <c r="D60" t="s">
        <v>293</v>
      </c>
      <c r="E60" t="s">
        <v>294</v>
      </c>
      <c r="F60" t="s">
        <v>38</v>
      </c>
      <c r="G60" t="s">
        <v>39</v>
      </c>
      <c r="H60" t="s">
        <v>295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296</v>
      </c>
      <c r="B61" t="s">
        <v>14</v>
      </c>
      <c r="C61" t="s">
        <v>15</v>
      </c>
      <c r="D61" t="s">
        <v>297</v>
      </c>
      <c r="E61" t="s">
        <v>298</v>
      </c>
      <c r="F61" t="s">
        <v>38</v>
      </c>
      <c r="G61" t="s">
        <v>299</v>
      </c>
      <c r="H61" t="s">
        <v>300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301</v>
      </c>
      <c r="B62" t="s">
        <v>14</v>
      </c>
      <c r="C62" t="s">
        <v>15</v>
      </c>
      <c r="D62" t="s">
        <v>302</v>
      </c>
      <c r="E62" t="s">
        <v>303</v>
      </c>
      <c r="F62" t="s">
        <v>32</v>
      </c>
      <c r="G62" t="s">
        <v>103</v>
      </c>
      <c r="H62" t="s">
        <v>304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305</v>
      </c>
      <c r="B63" t="s">
        <v>14</v>
      </c>
      <c r="C63" t="s">
        <v>15</v>
      </c>
      <c r="D63" t="s">
        <v>306</v>
      </c>
      <c r="E63" t="s">
        <v>307</v>
      </c>
      <c r="F63" t="s">
        <v>48</v>
      </c>
      <c r="G63" t="s">
        <v>308</v>
      </c>
      <c r="H63" t="s">
        <v>309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310</v>
      </c>
      <c r="B64" t="s">
        <v>14</v>
      </c>
      <c r="C64" t="s">
        <v>15</v>
      </c>
      <c r="D64" t="s">
        <v>311</v>
      </c>
      <c r="E64" t="s">
        <v>312</v>
      </c>
      <c r="F64" t="s">
        <v>313</v>
      </c>
      <c r="G64" t="s">
        <v>314</v>
      </c>
      <c r="H64" t="s">
        <v>315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316</v>
      </c>
      <c r="B65" t="s">
        <v>14</v>
      </c>
      <c r="C65" t="s">
        <v>15</v>
      </c>
      <c r="D65" t="s">
        <v>317</v>
      </c>
      <c r="E65" t="s">
        <v>318</v>
      </c>
      <c r="F65" t="s">
        <v>38</v>
      </c>
      <c r="G65" t="s">
        <v>195</v>
      </c>
      <c r="H65" t="s">
        <v>319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320</v>
      </c>
      <c r="B66" t="s">
        <v>14</v>
      </c>
      <c r="C66" t="s">
        <v>15</v>
      </c>
      <c r="D66" t="s">
        <v>321</v>
      </c>
      <c r="E66" t="s">
        <v>322</v>
      </c>
      <c r="F66" t="s">
        <v>204</v>
      </c>
      <c r="G66" t="s">
        <v>108</v>
      </c>
      <c r="H66" t="s">
        <v>323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324</v>
      </c>
      <c r="B67" t="s">
        <v>14</v>
      </c>
      <c r="C67" t="s">
        <v>15</v>
      </c>
      <c r="D67" t="s">
        <v>325</v>
      </c>
      <c r="E67" t="s">
        <v>326</v>
      </c>
      <c r="F67" t="s">
        <v>26</v>
      </c>
      <c r="G67" t="s">
        <v>327</v>
      </c>
      <c r="H67" t="s">
        <v>328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329</v>
      </c>
      <c r="B68" t="s">
        <v>14</v>
      </c>
      <c r="C68" t="s">
        <v>15</v>
      </c>
      <c r="D68" t="s">
        <v>330</v>
      </c>
      <c r="E68" t="s">
        <v>331</v>
      </c>
      <c r="F68" t="s">
        <v>38</v>
      </c>
      <c r="G68" t="s">
        <v>332</v>
      </c>
      <c r="H68" t="s">
        <v>333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334</v>
      </c>
      <c r="B69" t="s">
        <v>14</v>
      </c>
      <c r="C69" t="s">
        <v>15</v>
      </c>
      <c r="D69" t="s">
        <v>335</v>
      </c>
      <c r="E69" t="s">
        <v>336</v>
      </c>
      <c r="F69" t="s">
        <v>26</v>
      </c>
      <c r="G69" t="s">
        <v>141</v>
      </c>
      <c r="H69" t="s">
        <v>337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338</v>
      </c>
      <c r="B70" t="s">
        <v>14</v>
      </c>
      <c r="C70" t="s">
        <v>15</v>
      </c>
      <c r="D70" t="s">
        <v>339</v>
      </c>
      <c r="E70" t="s">
        <v>340</v>
      </c>
      <c r="F70" t="s">
        <v>38</v>
      </c>
      <c r="G70" t="s">
        <v>341</v>
      </c>
      <c r="H70" t="s">
        <v>342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343</v>
      </c>
      <c r="B71" t="s">
        <v>14</v>
      </c>
      <c r="C71" t="s">
        <v>15</v>
      </c>
      <c r="D71" t="s">
        <v>344</v>
      </c>
      <c r="E71" t="s">
        <v>345</v>
      </c>
      <c r="F71" t="s">
        <v>313</v>
      </c>
      <c r="G71" t="s">
        <v>346</v>
      </c>
      <c r="H71" t="s">
        <v>347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348</v>
      </c>
      <c r="B72" t="s">
        <v>14</v>
      </c>
      <c r="C72" t="s">
        <v>15</v>
      </c>
      <c r="D72" t="s">
        <v>349</v>
      </c>
      <c r="E72" t="s">
        <v>350</v>
      </c>
      <c r="F72" t="s">
        <v>38</v>
      </c>
      <c r="G72" t="s">
        <v>234</v>
      </c>
      <c r="H72" t="s">
        <v>351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352</v>
      </c>
      <c r="B73" t="s">
        <v>14</v>
      </c>
      <c r="C73" t="s">
        <v>15</v>
      </c>
      <c r="D73" t="s">
        <v>353</v>
      </c>
      <c r="E73" t="s">
        <v>354</v>
      </c>
      <c r="F73" t="s">
        <v>48</v>
      </c>
      <c r="G73" t="s">
        <v>355</v>
      </c>
      <c r="H73" t="s">
        <v>356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357</v>
      </c>
      <c r="B74" t="s">
        <v>14</v>
      </c>
      <c r="C74" t="s">
        <v>15</v>
      </c>
      <c r="D74" t="s">
        <v>358</v>
      </c>
      <c r="E74" t="s">
        <v>359</v>
      </c>
      <c r="F74" t="s">
        <v>48</v>
      </c>
      <c r="G74" t="s">
        <v>360</v>
      </c>
      <c r="H74" t="s">
        <v>361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362</v>
      </c>
      <c r="B75" t="s">
        <v>14</v>
      </c>
      <c r="C75" t="s">
        <v>15</v>
      </c>
      <c r="D75" t="s">
        <v>363</v>
      </c>
      <c r="E75" t="s">
        <v>364</v>
      </c>
      <c r="F75" t="s">
        <v>38</v>
      </c>
      <c r="G75" t="s">
        <v>93</v>
      </c>
      <c r="H75" t="s">
        <v>365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366</v>
      </c>
      <c r="B76" t="s">
        <v>14</v>
      </c>
      <c r="C76" t="s">
        <v>15</v>
      </c>
      <c r="D76" t="s">
        <v>367</v>
      </c>
      <c r="E76" t="s">
        <v>368</v>
      </c>
      <c r="F76" t="s">
        <v>38</v>
      </c>
      <c r="G76" t="s">
        <v>369</v>
      </c>
      <c r="H76" t="s">
        <v>370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371</v>
      </c>
      <c r="B77" t="s">
        <v>14</v>
      </c>
      <c r="C77" t="s">
        <v>15</v>
      </c>
      <c r="D77" t="s">
        <v>372</v>
      </c>
      <c r="E77" t="s">
        <v>373</v>
      </c>
      <c r="F77" t="s">
        <v>48</v>
      </c>
      <c r="G77" t="s">
        <v>355</v>
      </c>
      <c r="H77" t="s">
        <v>374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375</v>
      </c>
      <c r="B78" t="s">
        <v>14</v>
      </c>
      <c r="C78" t="s">
        <v>15</v>
      </c>
      <c r="D78" t="s">
        <v>376</v>
      </c>
      <c r="E78" t="s">
        <v>377</v>
      </c>
      <c r="F78" t="s">
        <v>48</v>
      </c>
      <c r="G78" t="s">
        <v>378</v>
      </c>
      <c r="H78" t="s">
        <v>379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380</v>
      </c>
      <c r="B79" t="s">
        <v>14</v>
      </c>
      <c r="C79" t="s">
        <v>15</v>
      </c>
      <c r="D79" t="s">
        <v>381</v>
      </c>
      <c r="E79" t="s">
        <v>382</v>
      </c>
      <c r="F79" t="s">
        <v>38</v>
      </c>
      <c r="G79" t="s">
        <v>39</v>
      </c>
      <c r="H79" t="s">
        <v>383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384</v>
      </c>
      <c r="B80" t="s">
        <v>14</v>
      </c>
      <c r="C80" t="s">
        <v>15</v>
      </c>
      <c r="D80" t="s">
        <v>385</v>
      </c>
      <c r="E80" t="s">
        <v>386</v>
      </c>
      <c r="F80" t="s">
        <v>48</v>
      </c>
      <c r="G80" t="s">
        <v>239</v>
      </c>
      <c r="H80" t="s">
        <v>387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388</v>
      </c>
      <c r="B81" t="s">
        <v>14</v>
      </c>
      <c r="C81" t="s">
        <v>15</v>
      </c>
      <c r="D81" t="s">
        <v>389</v>
      </c>
      <c r="E81" t="s">
        <v>390</v>
      </c>
      <c r="F81" t="s">
        <v>38</v>
      </c>
      <c r="G81" t="s">
        <v>117</v>
      </c>
      <c r="H81" t="s">
        <v>391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392</v>
      </c>
      <c r="B82" t="s">
        <v>14</v>
      </c>
      <c r="C82" t="s">
        <v>15</v>
      </c>
      <c r="D82" t="s">
        <v>393</v>
      </c>
      <c r="E82" t="s">
        <v>394</v>
      </c>
      <c r="F82" t="s">
        <v>32</v>
      </c>
      <c r="G82" t="s">
        <v>33</v>
      </c>
      <c r="H82" t="s">
        <v>395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396</v>
      </c>
      <c r="B83" t="s">
        <v>14</v>
      </c>
      <c r="C83" t="s">
        <v>15</v>
      </c>
      <c r="D83" t="s">
        <v>397</v>
      </c>
      <c r="E83" t="s">
        <v>398</v>
      </c>
      <c r="F83" t="s">
        <v>38</v>
      </c>
      <c r="G83" t="s">
        <v>399</v>
      </c>
      <c r="H83" t="s">
        <v>400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401</v>
      </c>
      <c r="B84" t="s">
        <v>14</v>
      </c>
      <c r="C84" t="s">
        <v>15</v>
      </c>
      <c r="D84" t="s">
        <v>402</v>
      </c>
      <c r="E84" t="s">
        <v>403</v>
      </c>
      <c r="F84" t="s">
        <v>32</v>
      </c>
      <c r="G84" t="s">
        <v>404</v>
      </c>
      <c r="H84" t="s">
        <v>405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406</v>
      </c>
      <c r="B85" t="s">
        <v>14</v>
      </c>
      <c r="C85" t="s">
        <v>15</v>
      </c>
      <c r="D85" t="s">
        <v>407</v>
      </c>
      <c r="E85" t="s">
        <v>408</v>
      </c>
      <c r="F85" t="s">
        <v>48</v>
      </c>
      <c r="G85" t="s">
        <v>409</v>
      </c>
      <c r="H85" t="s">
        <v>410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411</v>
      </c>
      <c r="B86" t="s">
        <v>14</v>
      </c>
      <c r="C86" t="s">
        <v>15</v>
      </c>
      <c r="D86" t="s">
        <v>412</v>
      </c>
      <c r="E86" t="s">
        <v>413</v>
      </c>
      <c r="F86" t="s">
        <v>38</v>
      </c>
      <c r="G86" t="s">
        <v>414</v>
      </c>
      <c r="H86" t="s">
        <v>415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416</v>
      </c>
      <c r="B87" t="s">
        <v>14</v>
      </c>
      <c r="C87" t="s">
        <v>15</v>
      </c>
      <c r="D87" t="s">
        <v>417</v>
      </c>
      <c r="E87" t="s">
        <v>418</v>
      </c>
      <c r="F87" t="s">
        <v>38</v>
      </c>
      <c r="G87" t="s">
        <v>39</v>
      </c>
      <c r="H87" t="s">
        <v>419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420</v>
      </c>
      <c r="B88" t="s">
        <v>14</v>
      </c>
      <c r="C88" t="s">
        <v>15</v>
      </c>
      <c r="D88" t="s">
        <v>421</v>
      </c>
      <c r="E88" t="s">
        <v>422</v>
      </c>
      <c r="F88" t="s">
        <v>48</v>
      </c>
      <c r="G88" t="s">
        <v>423</v>
      </c>
      <c r="H88" t="s">
        <v>424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425</v>
      </c>
      <c r="B89" t="s">
        <v>14</v>
      </c>
      <c r="C89" t="s">
        <v>15</v>
      </c>
      <c r="D89" t="s">
        <v>426</v>
      </c>
      <c r="E89" t="s">
        <v>427</v>
      </c>
      <c r="F89" t="s">
        <v>48</v>
      </c>
      <c r="G89" t="s">
        <v>423</v>
      </c>
      <c r="H89" t="s">
        <v>428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429</v>
      </c>
      <c r="B90" t="s">
        <v>14</v>
      </c>
      <c r="C90" t="s">
        <v>15</v>
      </c>
      <c r="D90" t="s">
        <v>430</v>
      </c>
      <c r="E90" t="s">
        <v>431</v>
      </c>
      <c r="F90" t="s">
        <v>38</v>
      </c>
      <c r="G90" t="s">
        <v>432</v>
      </c>
      <c r="H90" t="s">
        <v>433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434</v>
      </c>
      <c r="B91" t="s">
        <v>14</v>
      </c>
      <c r="C91" t="s">
        <v>15</v>
      </c>
      <c r="D91" t="s">
        <v>435</v>
      </c>
      <c r="E91" t="s">
        <v>436</v>
      </c>
      <c r="F91" t="s">
        <v>69</v>
      </c>
      <c r="G91" t="s">
        <v>70</v>
      </c>
      <c r="H91" t="s">
        <v>437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438</v>
      </c>
      <c r="B92" t="s">
        <v>14</v>
      </c>
      <c r="C92" t="s">
        <v>15</v>
      </c>
      <c r="D92" t="s">
        <v>439</v>
      </c>
      <c r="E92" t="s">
        <v>440</v>
      </c>
      <c r="F92" t="s">
        <v>18</v>
      </c>
      <c r="G92" t="s">
        <v>164</v>
      </c>
      <c r="H92" t="s">
        <v>441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442</v>
      </c>
      <c r="B93" t="s">
        <v>14</v>
      </c>
      <c r="C93" t="s">
        <v>15</v>
      </c>
      <c r="D93" t="s">
        <v>443</v>
      </c>
      <c r="E93" t="s">
        <v>444</v>
      </c>
      <c r="F93" t="s">
        <v>48</v>
      </c>
      <c r="G93" t="s">
        <v>445</v>
      </c>
      <c r="H93" t="s">
        <v>446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447</v>
      </c>
      <c r="B94" t="s">
        <v>14</v>
      </c>
      <c r="C94" t="s">
        <v>15</v>
      </c>
      <c r="D94" t="s">
        <v>448</v>
      </c>
      <c r="E94" t="s">
        <v>449</v>
      </c>
      <c r="F94" t="s">
        <v>48</v>
      </c>
      <c r="G94" t="s">
        <v>54</v>
      </c>
      <c r="H94" t="s">
        <v>450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451</v>
      </c>
      <c r="B95" t="s">
        <v>14</v>
      </c>
      <c r="C95" t="s">
        <v>15</v>
      </c>
      <c r="D95" t="s">
        <v>452</v>
      </c>
      <c r="E95" t="s">
        <v>453</v>
      </c>
      <c r="F95" t="s">
        <v>26</v>
      </c>
      <c r="G95" t="s">
        <v>327</v>
      </c>
      <c r="H95" t="s">
        <v>454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455</v>
      </c>
      <c r="B96" t="s">
        <v>14</v>
      </c>
      <c r="C96" t="s">
        <v>15</v>
      </c>
      <c r="D96" t="s">
        <v>456</v>
      </c>
      <c r="E96" t="s">
        <v>457</v>
      </c>
      <c r="F96" t="s">
        <v>32</v>
      </c>
      <c r="G96" t="s">
        <v>33</v>
      </c>
      <c r="H96" t="s">
        <v>458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459</v>
      </c>
      <c r="B97" t="s">
        <v>14</v>
      </c>
      <c r="C97" t="s">
        <v>15</v>
      </c>
      <c r="D97" t="s">
        <v>460</v>
      </c>
      <c r="E97" t="s">
        <v>461</v>
      </c>
      <c r="F97" t="s">
        <v>313</v>
      </c>
      <c r="G97" t="s">
        <v>346</v>
      </c>
      <c r="H97" t="s">
        <v>462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463</v>
      </c>
      <c r="B98" t="s">
        <v>14</v>
      </c>
      <c r="C98" t="s">
        <v>15</v>
      </c>
      <c r="D98" t="s">
        <v>464</v>
      </c>
      <c r="E98" t="s">
        <v>465</v>
      </c>
      <c r="F98" t="s">
        <v>32</v>
      </c>
      <c r="G98" t="s">
        <v>33</v>
      </c>
      <c r="H98" t="s">
        <v>466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467</v>
      </c>
      <c r="B99" t="s">
        <v>14</v>
      </c>
      <c r="C99" t="s">
        <v>15</v>
      </c>
      <c r="D99" t="s">
        <v>468</v>
      </c>
      <c r="E99" t="s">
        <v>469</v>
      </c>
      <c r="F99" t="s">
        <v>204</v>
      </c>
      <c r="G99" t="s">
        <v>205</v>
      </c>
      <c r="H99" t="s">
        <v>470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471</v>
      </c>
      <c r="B100" t="s">
        <v>14</v>
      </c>
      <c r="C100" t="s">
        <v>15</v>
      </c>
      <c r="D100" t="s">
        <v>472</v>
      </c>
      <c r="E100" t="s">
        <v>473</v>
      </c>
      <c r="F100" t="s">
        <v>32</v>
      </c>
      <c r="G100" t="s">
        <v>404</v>
      </c>
      <c r="H100" t="s">
        <v>474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475</v>
      </c>
      <c r="B101" t="s">
        <v>14</v>
      </c>
      <c r="C101" t="s">
        <v>15</v>
      </c>
      <c r="D101" t="s">
        <v>476</v>
      </c>
      <c r="E101" t="s">
        <v>477</v>
      </c>
      <c r="F101" t="s">
        <v>32</v>
      </c>
      <c r="G101" t="s">
        <v>33</v>
      </c>
      <c r="H101" t="s">
        <v>478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479</v>
      </c>
      <c r="B102" t="s">
        <v>14</v>
      </c>
      <c r="C102" t="s">
        <v>15</v>
      </c>
      <c r="D102" t="s">
        <v>480</v>
      </c>
      <c r="E102" t="s">
        <v>481</v>
      </c>
      <c r="F102" t="s">
        <v>48</v>
      </c>
      <c r="G102" t="s">
        <v>98</v>
      </c>
      <c r="H102" t="s">
        <v>482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483</v>
      </c>
      <c r="B103" t="s">
        <v>14</v>
      </c>
      <c r="C103" t="s">
        <v>15</v>
      </c>
      <c r="D103" t="s">
        <v>484</v>
      </c>
      <c r="E103" t="s">
        <v>485</v>
      </c>
      <c r="F103" t="s">
        <v>48</v>
      </c>
      <c r="G103" t="s">
        <v>220</v>
      </c>
      <c r="H103" t="s">
        <v>486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487</v>
      </c>
      <c r="B104" t="s">
        <v>14</v>
      </c>
      <c r="C104" t="s">
        <v>15</v>
      </c>
      <c r="D104" t="s">
        <v>488</v>
      </c>
      <c r="E104" t="s">
        <v>489</v>
      </c>
      <c r="F104" t="s">
        <v>48</v>
      </c>
      <c r="G104" t="s">
        <v>490</v>
      </c>
      <c r="H104" t="s">
        <v>491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492</v>
      </c>
      <c r="B105" t="s">
        <v>14</v>
      </c>
      <c r="C105" t="s">
        <v>15</v>
      </c>
      <c r="D105" t="s">
        <v>493</v>
      </c>
      <c r="E105" t="s">
        <v>494</v>
      </c>
      <c r="F105" t="s">
        <v>48</v>
      </c>
      <c r="G105" t="s">
        <v>490</v>
      </c>
      <c r="H105" t="s">
        <v>495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496</v>
      </c>
      <c r="B106" t="s">
        <v>14</v>
      </c>
      <c r="C106" t="s">
        <v>15</v>
      </c>
      <c r="D106" t="s">
        <v>497</v>
      </c>
      <c r="E106" t="s">
        <v>498</v>
      </c>
      <c r="F106" t="s">
        <v>32</v>
      </c>
      <c r="G106" t="s">
        <v>404</v>
      </c>
      <c r="H106" t="s">
        <v>499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500</v>
      </c>
      <c r="B107" t="s">
        <v>14</v>
      </c>
      <c r="C107" t="s">
        <v>15</v>
      </c>
      <c r="D107" t="s">
        <v>501</v>
      </c>
      <c r="E107" t="s">
        <v>502</v>
      </c>
      <c r="F107" t="s">
        <v>38</v>
      </c>
      <c r="G107" t="s">
        <v>409</v>
      </c>
      <c r="H107" t="s">
        <v>503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504</v>
      </c>
      <c r="B108" t="s">
        <v>14</v>
      </c>
      <c r="C108" t="s">
        <v>15</v>
      </c>
      <c r="D108" t="s">
        <v>505</v>
      </c>
      <c r="E108" t="s">
        <v>506</v>
      </c>
      <c r="F108" t="s">
        <v>48</v>
      </c>
      <c r="G108" t="s">
        <v>507</v>
      </c>
      <c r="H108" t="s">
        <v>508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509</v>
      </c>
      <c r="B109" t="s">
        <v>14</v>
      </c>
      <c r="C109" t="s">
        <v>15</v>
      </c>
      <c r="D109" t="s">
        <v>510</v>
      </c>
      <c r="E109" t="s">
        <v>511</v>
      </c>
      <c r="F109" t="s">
        <v>26</v>
      </c>
      <c r="G109" t="s">
        <v>141</v>
      </c>
      <c r="H109" t="s">
        <v>512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513</v>
      </c>
      <c r="B110" t="s">
        <v>14</v>
      </c>
      <c r="C110" t="s">
        <v>15</v>
      </c>
      <c r="D110" t="s">
        <v>514</v>
      </c>
      <c r="E110" t="s">
        <v>515</v>
      </c>
      <c r="F110" t="s">
        <v>48</v>
      </c>
      <c r="G110" t="s">
        <v>239</v>
      </c>
      <c r="H110" t="s">
        <v>516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517</v>
      </c>
      <c r="B111" t="s">
        <v>14</v>
      </c>
      <c r="C111" t="s">
        <v>15</v>
      </c>
      <c r="D111" t="s">
        <v>518</v>
      </c>
      <c r="E111" t="s">
        <v>519</v>
      </c>
      <c r="F111" t="s">
        <v>26</v>
      </c>
      <c r="G111" t="s">
        <v>520</v>
      </c>
      <c r="H111" t="s">
        <v>521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522</v>
      </c>
      <c r="B112" t="s">
        <v>14</v>
      </c>
      <c r="C112" t="s">
        <v>15</v>
      </c>
      <c r="D112" t="s">
        <v>523</v>
      </c>
      <c r="E112" t="s">
        <v>524</v>
      </c>
      <c r="F112" t="s">
        <v>32</v>
      </c>
      <c r="G112" t="s">
        <v>525</v>
      </c>
      <c r="H112" t="s">
        <v>526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527</v>
      </c>
      <c r="B113" t="s">
        <v>14</v>
      </c>
      <c r="C113" t="s">
        <v>15</v>
      </c>
      <c r="D113" t="s">
        <v>528</v>
      </c>
      <c r="E113" t="s">
        <v>529</v>
      </c>
      <c r="F113" t="s">
        <v>26</v>
      </c>
      <c r="G113" t="s">
        <v>327</v>
      </c>
      <c r="H113" t="s">
        <v>530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531</v>
      </c>
      <c r="B114" t="s">
        <v>14</v>
      </c>
      <c r="C114" t="s">
        <v>15</v>
      </c>
      <c r="D114" t="s">
        <v>532</v>
      </c>
      <c r="E114" t="s">
        <v>533</v>
      </c>
      <c r="F114" t="s">
        <v>204</v>
      </c>
      <c r="G114" t="s">
        <v>205</v>
      </c>
      <c r="H114" t="s">
        <v>534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535</v>
      </c>
      <c r="B115" t="s">
        <v>14</v>
      </c>
      <c r="C115" t="s">
        <v>15</v>
      </c>
      <c r="D115" t="s">
        <v>536</v>
      </c>
      <c r="E115" t="s">
        <v>537</v>
      </c>
      <c r="F115" t="s">
        <v>48</v>
      </c>
      <c r="G115" t="s">
        <v>164</v>
      </c>
      <c r="H115" t="s">
        <v>538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539</v>
      </c>
      <c r="B116" t="s">
        <v>14</v>
      </c>
      <c r="C116" t="s">
        <v>15</v>
      </c>
      <c r="D116" t="s">
        <v>540</v>
      </c>
      <c r="E116" t="s">
        <v>541</v>
      </c>
      <c r="F116" t="s">
        <v>38</v>
      </c>
      <c r="G116" t="s">
        <v>542</v>
      </c>
      <c r="H116" t="s">
        <v>543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544</v>
      </c>
      <c r="B117" t="s">
        <v>14</v>
      </c>
      <c r="C117" t="s">
        <v>15</v>
      </c>
      <c r="D117" t="s">
        <v>545</v>
      </c>
      <c r="E117" t="s">
        <v>546</v>
      </c>
      <c r="F117" t="s">
        <v>48</v>
      </c>
      <c r="G117" t="s">
        <v>369</v>
      </c>
      <c r="H117" t="s">
        <v>547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548</v>
      </c>
      <c r="B118" t="s">
        <v>14</v>
      </c>
      <c r="C118" t="s">
        <v>15</v>
      </c>
      <c r="D118" t="s">
        <v>549</v>
      </c>
      <c r="E118" t="s">
        <v>550</v>
      </c>
      <c r="F118" t="s">
        <v>26</v>
      </c>
      <c r="G118" t="s">
        <v>141</v>
      </c>
      <c r="H118" t="s">
        <v>551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552</v>
      </c>
      <c r="B119" t="s">
        <v>14</v>
      </c>
      <c r="C119" t="s">
        <v>15</v>
      </c>
      <c r="D119" t="s">
        <v>553</v>
      </c>
      <c r="E119" t="s">
        <v>554</v>
      </c>
      <c r="F119" t="s">
        <v>38</v>
      </c>
      <c r="G119" t="s">
        <v>154</v>
      </c>
      <c r="H119" t="s">
        <v>555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556</v>
      </c>
      <c r="B120" t="s">
        <v>14</v>
      </c>
      <c r="C120" t="s">
        <v>15</v>
      </c>
      <c r="D120" t="s">
        <v>557</v>
      </c>
      <c r="E120" t="s">
        <v>558</v>
      </c>
      <c r="F120" t="s">
        <v>32</v>
      </c>
      <c r="G120" t="s">
        <v>103</v>
      </c>
      <c r="H120" t="s">
        <v>559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560</v>
      </c>
      <c r="B121" t="s">
        <v>14</v>
      </c>
      <c r="C121" t="s">
        <v>15</v>
      </c>
      <c r="D121" t="s">
        <v>561</v>
      </c>
      <c r="E121" t="s">
        <v>562</v>
      </c>
      <c r="F121" t="s">
        <v>32</v>
      </c>
      <c r="G121" t="s">
        <v>103</v>
      </c>
      <c r="H121" t="s">
        <v>563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564</v>
      </c>
      <c r="B122" t="s">
        <v>14</v>
      </c>
      <c r="C122" t="s">
        <v>15</v>
      </c>
      <c r="D122" t="s">
        <v>565</v>
      </c>
      <c r="E122" t="s">
        <v>566</v>
      </c>
      <c r="F122" t="s">
        <v>48</v>
      </c>
      <c r="G122" t="s">
        <v>423</v>
      </c>
      <c r="H122" t="s">
        <v>567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568</v>
      </c>
      <c r="B123" t="s">
        <v>14</v>
      </c>
      <c r="C123" t="s">
        <v>15</v>
      </c>
      <c r="D123" t="s">
        <v>569</v>
      </c>
      <c r="E123" t="s">
        <v>570</v>
      </c>
      <c r="F123" t="s">
        <v>48</v>
      </c>
      <c r="G123" t="s">
        <v>423</v>
      </c>
      <c r="H123" t="s">
        <v>571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572</v>
      </c>
      <c r="B124" t="s">
        <v>14</v>
      </c>
      <c r="C124" t="s">
        <v>15</v>
      </c>
      <c r="D124" t="s">
        <v>573</v>
      </c>
      <c r="E124" t="s">
        <v>574</v>
      </c>
      <c r="F124" t="s">
        <v>48</v>
      </c>
      <c r="G124" t="s">
        <v>54</v>
      </c>
      <c r="H124" t="s">
        <v>575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576</v>
      </c>
      <c r="B125" t="s">
        <v>14</v>
      </c>
      <c r="C125" t="s">
        <v>15</v>
      </c>
      <c r="D125" t="s">
        <v>577</v>
      </c>
      <c r="E125" t="s">
        <v>578</v>
      </c>
      <c r="F125" t="s">
        <v>38</v>
      </c>
      <c r="G125" t="s">
        <v>579</v>
      </c>
      <c r="H125" t="s">
        <v>580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581</v>
      </c>
      <c r="B126" t="s">
        <v>14</v>
      </c>
      <c r="C126" t="s">
        <v>15</v>
      </c>
      <c r="D126" t="s">
        <v>582</v>
      </c>
      <c r="E126" t="s">
        <v>583</v>
      </c>
      <c r="F126" t="s">
        <v>38</v>
      </c>
      <c r="G126" t="s">
        <v>542</v>
      </c>
      <c r="H126" t="s">
        <v>584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585</v>
      </c>
      <c r="B127" t="s">
        <v>14</v>
      </c>
      <c r="C127" t="s">
        <v>15</v>
      </c>
      <c r="D127" t="s">
        <v>586</v>
      </c>
      <c r="E127" t="s">
        <v>587</v>
      </c>
      <c r="F127" t="s">
        <v>26</v>
      </c>
      <c r="G127" t="s">
        <v>141</v>
      </c>
      <c r="H127" t="s">
        <v>588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589</v>
      </c>
      <c r="B128" t="s">
        <v>14</v>
      </c>
      <c r="C128" t="s">
        <v>15</v>
      </c>
      <c r="D128" t="s">
        <v>590</v>
      </c>
      <c r="E128" t="s">
        <v>591</v>
      </c>
      <c r="F128" t="s">
        <v>38</v>
      </c>
      <c r="G128" t="s">
        <v>154</v>
      </c>
      <c r="H128" t="s">
        <v>592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593</v>
      </c>
      <c r="B129" t="s">
        <v>14</v>
      </c>
      <c r="C129" t="s">
        <v>15</v>
      </c>
      <c r="D129" t="s">
        <v>594</v>
      </c>
      <c r="E129" t="s">
        <v>595</v>
      </c>
      <c r="F129" t="s">
        <v>26</v>
      </c>
      <c r="G129" t="s">
        <v>141</v>
      </c>
      <c r="H129" t="s">
        <v>596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597</v>
      </c>
      <c r="B130" t="s">
        <v>14</v>
      </c>
      <c r="C130" t="s">
        <v>15</v>
      </c>
      <c r="D130" t="s">
        <v>598</v>
      </c>
      <c r="E130" t="s">
        <v>599</v>
      </c>
      <c r="F130" t="s">
        <v>38</v>
      </c>
      <c r="G130" t="s">
        <v>600</v>
      </c>
      <c r="H130" t="s">
        <v>601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602</v>
      </c>
      <c r="B131" t="s">
        <v>14</v>
      </c>
      <c r="C131" t="s">
        <v>15</v>
      </c>
      <c r="D131" t="s">
        <v>603</v>
      </c>
      <c r="E131" t="s">
        <v>604</v>
      </c>
      <c r="F131" t="s">
        <v>38</v>
      </c>
      <c r="G131" t="s">
        <v>59</v>
      </c>
      <c r="H131" t="s">
        <v>605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606</v>
      </c>
      <c r="B132" t="s">
        <v>14</v>
      </c>
      <c r="C132" t="s">
        <v>15</v>
      </c>
      <c r="D132" t="s">
        <v>607</v>
      </c>
      <c r="E132" t="s">
        <v>608</v>
      </c>
      <c r="F132" t="s">
        <v>18</v>
      </c>
      <c r="G132" t="s">
        <v>19</v>
      </c>
      <c r="H132" t="s">
        <v>609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610</v>
      </c>
      <c r="B133" t="s">
        <v>14</v>
      </c>
      <c r="C133" t="s">
        <v>15</v>
      </c>
      <c r="D133" t="s">
        <v>611</v>
      </c>
      <c r="E133" t="s">
        <v>612</v>
      </c>
      <c r="F133" t="s">
        <v>38</v>
      </c>
      <c r="G133" t="s">
        <v>59</v>
      </c>
      <c r="H133" t="s">
        <v>613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614</v>
      </c>
      <c r="B134" t="s">
        <v>14</v>
      </c>
      <c r="C134" t="s">
        <v>15</v>
      </c>
      <c r="D134" t="s">
        <v>615</v>
      </c>
      <c r="E134" t="s">
        <v>616</v>
      </c>
      <c r="F134" t="s">
        <v>48</v>
      </c>
      <c r="G134" t="s">
        <v>278</v>
      </c>
      <c r="H134" t="s">
        <v>617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618</v>
      </c>
      <c r="B135" t="s">
        <v>14</v>
      </c>
      <c r="C135" t="s">
        <v>15</v>
      </c>
      <c r="D135" t="s">
        <v>619</v>
      </c>
      <c r="E135" t="s">
        <v>620</v>
      </c>
      <c r="F135" t="s">
        <v>38</v>
      </c>
      <c r="G135" t="s">
        <v>600</v>
      </c>
      <c r="H135" t="s">
        <v>621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622</v>
      </c>
      <c r="B136" t="s">
        <v>14</v>
      </c>
      <c r="C136" t="s">
        <v>15</v>
      </c>
      <c r="D136" t="s">
        <v>623</v>
      </c>
      <c r="E136" t="s">
        <v>624</v>
      </c>
      <c r="F136" t="s">
        <v>38</v>
      </c>
      <c r="G136" t="s">
        <v>625</v>
      </c>
      <c r="H136" t="s">
        <v>626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627</v>
      </c>
      <c r="B137" t="s">
        <v>14</v>
      </c>
      <c r="C137" t="s">
        <v>15</v>
      </c>
      <c r="D137" t="s">
        <v>628</v>
      </c>
      <c r="E137" t="s">
        <v>629</v>
      </c>
      <c r="F137" t="s">
        <v>26</v>
      </c>
      <c r="G137" t="s">
        <v>225</v>
      </c>
      <c r="H137" t="s">
        <v>630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631</v>
      </c>
      <c r="B138" t="s">
        <v>14</v>
      </c>
      <c r="C138" t="s">
        <v>15</v>
      </c>
      <c r="D138" t="s">
        <v>632</v>
      </c>
      <c r="E138" t="s">
        <v>633</v>
      </c>
      <c r="F138" t="s">
        <v>32</v>
      </c>
      <c r="G138" t="s">
        <v>404</v>
      </c>
      <c r="H138" t="s">
        <v>634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635</v>
      </c>
      <c r="B139" t="s">
        <v>14</v>
      </c>
      <c r="C139" t="s">
        <v>15</v>
      </c>
      <c r="D139" t="s">
        <v>636</v>
      </c>
      <c r="E139" t="s">
        <v>637</v>
      </c>
      <c r="F139" t="s">
        <v>48</v>
      </c>
      <c r="G139" t="s">
        <v>638</v>
      </c>
      <c r="H139" t="s">
        <v>639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640</v>
      </c>
      <c r="B140" t="s">
        <v>14</v>
      </c>
      <c r="C140" t="s">
        <v>15</v>
      </c>
      <c r="D140" t="s">
        <v>641</v>
      </c>
      <c r="E140" t="s">
        <v>642</v>
      </c>
      <c r="F140" t="s">
        <v>48</v>
      </c>
      <c r="G140" t="s">
        <v>445</v>
      </c>
      <c r="H140" t="s">
        <v>643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644</v>
      </c>
      <c r="B141" t="s">
        <v>14</v>
      </c>
      <c r="C141" t="s">
        <v>15</v>
      </c>
      <c r="D141" t="s">
        <v>645</v>
      </c>
      <c r="E141" t="s">
        <v>646</v>
      </c>
      <c r="F141" t="s">
        <v>32</v>
      </c>
      <c r="G141" t="s">
        <v>103</v>
      </c>
      <c r="H141" t="s">
        <v>647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648</v>
      </c>
      <c r="B142" t="s">
        <v>14</v>
      </c>
      <c r="C142" t="s">
        <v>15</v>
      </c>
      <c r="D142" t="s">
        <v>649</v>
      </c>
      <c r="E142" t="s">
        <v>650</v>
      </c>
      <c r="F142" t="s">
        <v>32</v>
      </c>
      <c r="G142" t="s">
        <v>103</v>
      </c>
      <c r="H142" t="s">
        <v>651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652</v>
      </c>
      <c r="B143" t="s">
        <v>14</v>
      </c>
      <c r="C143" t="s">
        <v>15</v>
      </c>
      <c r="D143" t="s">
        <v>653</v>
      </c>
      <c r="E143" t="s">
        <v>654</v>
      </c>
      <c r="F143" t="s">
        <v>32</v>
      </c>
      <c r="G143" t="s">
        <v>33</v>
      </c>
      <c r="H143" t="s">
        <v>655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656</v>
      </c>
      <c r="B144" t="s">
        <v>14</v>
      </c>
      <c r="C144" t="s">
        <v>15</v>
      </c>
      <c r="D144" t="s">
        <v>657</v>
      </c>
      <c r="E144" t="s">
        <v>658</v>
      </c>
      <c r="F144" t="s">
        <v>32</v>
      </c>
      <c r="G144" t="s">
        <v>659</v>
      </c>
      <c r="H144" t="s">
        <v>660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661</v>
      </c>
      <c r="B145" t="s">
        <v>14</v>
      </c>
      <c r="C145" t="s">
        <v>15</v>
      </c>
      <c r="D145" t="s">
        <v>662</v>
      </c>
      <c r="E145" t="s">
        <v>663</v>
      </c>
      <c r="F145" t="s">
        <v>32</v>
      </c>
      <c r="G145" t="s">
        <v>33</v>
      </c>
      <c r="H145" t="s">
        <v>664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665</v>
      </c>
      <c r="B146" t="s">
        <v>14</v>
      </c>
      <c r="C146" t="s">
        <v>15</v>
      </c>
      <c r="D146" t="s">
        <v>666</v>
      </c>
      <c r="E146" t="s">
        <v>667</v>
      </c>
      <c r="F146" t="s">
        <v>32</v>
      </c>
      <c r="G146" t="s">
        <v>33</v>
      </c>
      <c r="H146" t="s">
        <v>668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669</v>
      </c>
      <c r="B147" t="s">
        <v>14</v>
      </c>
      <c r="C147" t="s">
        <v>15</v>
      </c>
      <c r="D147" t="s">
        <v>670</v>
      </c>
      <c r="E147" t="s">
        <v>671</v>
      </c>
      <c r="F147" t="s">
        <v>26</v>
      </c>
      <c r="G147" t="s">
        <v>672</v>
      </c>
      <c r="H147" t="s">
        <v>673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674</v>
      </c>
      <c r="B148" t="s">
        <v>14</v>
      </c>
      <c r="C148" t="s">
        <v>15</v>
      </c>
      <c r="D148" t="s">
        <v>675</v>
      </c>
      <c r="E148" t="s">
        <v>676</v>
      </c>
      <c r="F148" t="s">
        <v>18</v>
      </c>
      <c r="G148" t="s">
        <v>677</v>
      </c>
      <c r="H148" t="s">
        <v>678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679</v>
      </c>
      <c r="B149" t="s">
        <v>14</v>
      </c>
      <c r="C149" t="s">
        <v>15</v>
      </c>
      <c r="D149" t="s">
        <v>680</v>
      </c>
      <c r="E149" t="s">
        <v>681</v>
      </c>
      <c r="F149" t="s">
        <v>32</v>
      </c>
      <c r="G149" t="s">
        <v>33</v>
      </c>
      <c r="H149" t="s">
        <v>682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683</v>
      </c>
      <c r="B150" t="s">
        <v>14</v>
      </c>
      <c r="C150" t="s">
        <v>15</v>
      </c>
      <c r="D150" t="s">
        <v>684</v>
      </c>
      <c r="E150" t="s">
        <v>685</v>
      </c>
      <c r="F150" t="s">
        <v>26</v>
      </c>
      <c r="G150" t="s">
        <v>141</v>
      </c>
      <c r="H150" t="s">
        <v>686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687</v>
      </c>
      <c r="B151" t="s">
        <v>14</v>
      </c>
      <c r="C151" t="s">
        <v>15</v>
      </c>
      <c r="D151" t="s">
        <v>688</v>
      </c>
      <c r="E151" t="s">
        <v>689</v>
      </c>
      <c r="F151" t="s">
        <v>48</v>
      </c>
      <c r="G151" t="s">
        <v>690</v>
      </c>
      <c r="H151" t="s">
        <v>691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692</v>
      </c>
      <c r="B152" t="s">
        <v>14</v>
      </c>
      <c r="C152" t="s">
        <v>15</v>
      </c>
      <c r="D152" t="s">
        <v>693</v>
      </c>
      <c r="E152" t="s">
        <v>694</v>
      </c>
      <c r="F152" t="s">
        <v>38</v>
      </c>
      <c r="G152" t="s">
        <v>579</v>
      </c>
      <c r="H152" t="s">
        <v>695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696</v>
      </c>
      <c r="B153" t="s">
        <v>14</v>
      </c>
      <c r="C153" t="s">
        <v>15</v>
      </c>
      <c r="D153" t="s">
        <v>697</v>
      </c>
      <c r="E153" t="s">
        <v>698</v>
      </c>
      <c r="F153" t="s">
        <v>32</v>
      </c>
      <c r="G153" t="s">
        <v>33</v>
      </c>
      <c r="H153" t="s">
        <v>699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700</v>
      </c>
      <c r="B154" t="s">
        <v>14</v>
      </c>
      <c r="C154" t="s">
        <v>15</v>
      </c>
      <c r="D154" t="s">
        <v>701</v>
      </c>
      <c r="E154" t="s">
        <v>702</v>
      </c>
      <c r="F154" t="s">
        <v>38</v>
      </c>
      <c r="G154" t="s">
        <v>703</v>
      </c>
      <c r="H154" t="s">
        <v>704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705</v>
      </c>
      <c r="B155" t="s">
        <v>14</v>
      </c>
      <c r="C155" t="s">
        <v>15</v>
      </c>
      <c r="D155" t="s">
        <v>706</v>
      </c>
      <c r="E155" t="s">
        <v>707</v>
      </c>
      <c r="F155" t="s">
        <v>48</v>
      </c>
      <c r="G155" t="s">
        <v>164</v>
      </c>
      <c r="H155" t="s">
        <v>708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709</v>
      </c>
      <c r="B156" t="s">
        <v>14</v>
      </c>
      <c r="C156" t="s">
        <v>15</v>
      </c>
      <c r="D156" t="s">
        <v>710</v>
      </c>
      <c r="E156" t="s">
        <v>711</v>
      </c>
      <c r="F156" t="s">
        <v>26</v>
      </c>
      <c r="G156" t="s">
        <v>141</v>
      </c>
      <c r="H156" t="s">
        <v>712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713</v>
      </c>
      <c r="B157" t="s">
        <v>14</v>
      </c>
      <c r="C157" t="s">
        <v>15</v>
      </c>
      <c r="D157" t="s">
        <v>714</v>
      </c>
      <c r="E157" t="s">
        <v>715</v>
      </c>
      <c r="F157" t="s">
        <v>38</v>
      </c>
      <c r="G157" t="s">
        <v>39</v>
      </c>
      <c r="H157" t="s">
        <v>716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717</v>
      </c>
      <c r="B158" t="s">
        <v>14</v>
      </c>
      <c r="C158" t="s">
        <v>15</v>
      </c>
      <c r="D158" t="s">
        <v>718</v>
      </c>
      <c r="E158" t="s">
        <v>719</v>
      </c>
      <c r="F158" t="s">
        <v>32</v>
      </c>
      <c r="G158" t="s">
        <v>659</v>
      </c>
      <c r="H158" t="s">
        <v>720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721</v>
      </c>
      <c r="B159" t="s">
        <v>14</v>
      </c>
      <c r="C159" t="s">
        <v>15</v>
      </c>
      <c r="D159" t="s">
        <v>722</v>
      </c>
      <c r="E159" t="s">
        <v>723</v>
      </c>
      <c r="F159" t="s">
        <v>48</v>
      </c>
      <c r="G159" t="s">
        <v>239</v>
      </c>
      <c r="H159" t="s">
        <v>724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725</v>
      </c>
      <c r="B160" t="s">
        <v>14</v>
      </c>
      <c r="C160" t="s">
        <v>15</v>
      </c>
      <c r="D160" t="s">
        <v>726</v>
      </c>
      <c r="E160" t="s">
        <v>727</v>
      </c>
      <c r="F160" t="s">
        <v>48</v>
      </c>
      <c r="G160" t="s">
        <v>728</v>
      </c>
      <c r="H160" t="s">
        <v>729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730</v>
      </c>
      <c r="B161" t="s">
        <v>14</v>
      </c>
      <c r="C161" t="s">
        <v>15</v>
      </c>
      <c r="D161" t="s">
        <v>731</v>
      </c>
      <c r="E161" t="s">
        <v>732</v>
      </c>
      <c r="F161" t="s">
        <v>32</v>
      </c>
      <c r="G161" t="s">
        <v>404</v>
      </c>
      <c r="H161" t="s">
        <v>733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734</v>
      </c>
      <c r="B162" t="s">
        <v>14</v>
      </c>
      <c r="C162" t="s">
        <v>15</v>
      </c>
      <c r="D162" t="s">
        <v>735</v>
      </c>
      <c r="E162" t="s">
        <v>736</v>
      </c>
      <c r="F162" t="s">
        <v>204</v>
      </c>
      <c r="G162" t="s">
        <v>205</v>
      </c>
      <c r="H162" t="s">
        <v>737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738</v>
      </c>
      <c r="B163" t="s">
        <v>14</v>
      </c>
      <c r="C163" t="s">
        <v>15</v>
      </c>
      <c r="D163" t="s">
        <v>739</v>
      </c>
      <c r="E163" t="s">
        <v>740</v>
      </c>
      <c r="F163" t="s">
        <v>204</v>
      </c>
      <c r="G163" t="s">
        <v>205</v>
      </c>
      <c r="H163" t="s">
        <v>741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742</v>
      </c>
      <c r="B164" t="s">
        <v>14</v>
      </c>
      <c r="C164" t="s">
        <v>15</v>
      </c>
      <c r="D164" t="s">
        <v>743</v>
      </c>
      <c r="E164" t="s">
        <v>744</v>
      </c>
      <c r="F164" t="s">
        <v>48</v>
      </c>
      <c r="G164" t="s">
        <v>360</v>
      </c>
      <c r="H164" t="s">
        <v>745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746</v>
      </c>
      <c r="B165" t="s">
        <v>14</v>
      </c>
      <c r="C165" t="s">
        <v>15</v>
      </c>
      <c r="D165" t="s">
        <v>747</v>
      </c>
      <c r="E165" t="s">
        <v>748</v>
      </c>
      <c r="F165" t="s">
        <v>26</v>
      </c>
      <c r="G165" t="s">
        <v>327</v>
      </c>
      <c r="H165" t="s">
        <v>749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750</v>
      </c>
      <c r="B166" t="s">
        <v>14</v>
      </c>
      <c r="C166" t="s">
        <v>15</v>
      </c>
      <c r="D166" t="s">
        <v>751</v>
      </c>
      <c r="E166" t="s">
        <v>752</v>
      </c>
      <c r="F166" t="s">
        <v>48</v>
      </c>
      <c r="G166" t="s">
        <v>164</v>
      </c>
      <c r="H166" t="s">
        <v>753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754</v>
      </c>
      <c r="B167" t="s">
        <v>14</v>
      </c>
      <c r="C167" t="s">
        <v>15</v>
      </c>
      <c r="D167" t="s">
        <v>755</v>
      </c>
      <c r="E167" t="s">
        <v>756</v>
      </c>
      <c r="F167" t="s">
        <v>48</v>
      </c>
      <c r="G167" t="s">
        <v>164</v>
      </c>
      <c r="H167" t="s">
        <v>757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758</v>
      </c>
      <c r="B168" t="s">
        <v>14</v>
      </c>
      <c r="C168" t="s">
        <v>15</v>
      </c>
      <c r="D168" t="s">
        <v>759</v>
      </c>
      <c r="E168" t="s">
        <v>760</v>
      </c>
      <c r="F168" t="s">
        <v>38</v>
      </c>
      <c r="G168" t="s">
        <v>625</v>
      </c>
      <c r="H168" t="s">
        <v>761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762</v>
      </c>
      <c r="B169" t="s">
        <v>14</v>
      </c>
      <c r="C169" t="s">
        <v>15</v>
      </c>
      <c r="D169" t="s">
        <v>763</v>
      </c>
      <c r="E169" t="s">
        <v>764</v>
      </c>
      <c r="F169" t="s">
        <v>38</v>
      </c>
      <c r="G169" t="s">
        <v>273</v>
      </c>
      <c r="H169" t="s">
        <v>765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766</v>
      </c>
      <c r="B170" t="s">
        <v>14</v>
      </c>
      <c r="C170" t="s">
        <v>15</v>
      </c>
      <c r="D170" t="s">
        <v>767</v>
      </c>
      <c r="E170" t="s">
        <v>768</v>
      </c>
      <c r="F170" t="s">
        <v>26</v>
      </c>
      <c r="G170" t="s">
        <v>27</v>
      </c>
      <c r="H170" t="s">
        <v>769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770</v>
      </c>
      <c r="B171" t="s">
        <v>14</v>
      </c>
      <c r="C171" t="s">
        <v>15</v>
      </c>
      <c r="D171" t="s">
        <v>771</v>
      </c>
      <c r="E171" t="s">
        <v>772</v>
      </c>
      <c r="F171" t="s">
        <v>313</v>
      </c>
      <c r="G171" t="s">
        <v>346</v>
      </c>
      <c r="H171" t="s">
        <v>773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774</v>
      </c>
      <c r="B172" t="s">
        <v>14</v>
      </c>
      <c r="C172" t="s">
        <v>15</v>
      </c>
      <c r="D172" t="s">
        <v>775</v>
      </c>
      <c r="E172" t="s">
        <v>776</v>
      </c>
      <c r="F172" t="s">
        <v>26</v>
      </c>
      <c r="G172" t="s">
        <v>225</v>
      </c>
      <c r="H172" t="s">
        <v>777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778</v>
      </c>
      <c r="B173" t="s">
        <v>14</v>
      </c>
      <c r="C173" t="s">
        <v>15</v>
      </c>
      <c r="D173" t="s">
        <v>779</v>
      </c>
      <c r="E173" t="s">
        <v>780</v>
      </c>
      <c r="F173" t="s">
        <v>38</v>
      </c>
      <c r="G173" t="s">
        <v>781</v>
      </c>
      <c r="H173" t="s">
        <v>782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783</v>
      </c>
      <c r="B174" t="s">
        <v>14</v>
      </c>
      <c r="C174" t="s">
        <v>15</v>
      </c>
      <c r="D174" t="s">
        <v>784</v>
      </c>
      <c r="E174" t="s">
        <v>785</v>
      </c>
      <c r="F174" t="s">
        <v>69</v>
      </c>
      <c r="G174" t="s">
        <v>786</v>
      </c>
      <c r="H174" t="s">
        <v>787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788</v>
      </c>
      <c r="B175" t="s">
        <v>14</v>
      </c>
      <c r="C175" t="s">
        <v>15</v>
      </c>
      <c r="D175" t="s">
        <v>789</v>
      </c>
      <c r="E175" t="s">
        <v>790</v>
      </c>
      <c r="F175" t="s">
        <v>69</v>
      </c>
      <c r="G175" t="s">
        <v>786</v>
      </c>
      <c r="H175" t="s">
        <v>791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792</v>
      </c>
      <c r="B176" t="s">
        <v>14</v>
      </c>
      <c r="C176" t="s">
        <v>15</v>
      </c>
      <c r="D176" t="s">
        <v>793</v>
      </c>
      <c r="E176" t="s">
        <v>794</v>
      </c>
      <c r="F176" t="s">
        <v>18</v>
      </c>
      <c r="G176" t="s">
        <v>19</v>
      </c>
      <c r="H176" t="s">
        <v>795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796</v>
      </c>
      <c r="B177" t="s">
        <v>14</v>
      </c>
      <c r="C177" t="s">
        <v>15</v>
      </c>
      <c r="D177" t="s">
        <v>797</v>
      </c>
      <c r="E177" t="s">
        <v>798</v>
      </c>
      <c r="F177" t="s">
        <v>18</v>
      </c>
      <c r="G177" t="s">
        <v>19</v>
      </c>
      <c r="H177" t="s">
        <v>799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800</v>
      </c>
      <c r="B178" t="s">
        <v>14</v>
      </c>
      <c r="C178" t="s">
        <v>15</v>
      </c>
      <c r="D178" t="s">
        <v>801</v>
      </c>
      <c r="E178" t="s">
        <v>802</v>
      </c>
      <c r="F178" t="s">
        <v>32</v>
      </c>
      <c r="G178" t="s">
        <v>103</v>
      </c>
      <c r="H178" t="s">
        <v>803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804</v>
      </c>
      <c r="B179" t="s">
        <v>14</v>
      </c>
      <c r="C179" t="s">
        <v>15</v>
      </c>
      <c r="D179" t="s">
        <v>805</v>
      </c>
      <c r="E179" t="s">
        <v>806</v>
      </c>
      <c r="F179" t="s">
        <v>32</v>
      </c>
      <c r="G179" t="s">
        <v>103</v>
      </c>
      <c r="H179" t="s">
        <v>807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808</v>
      </c>
      <c r="B180" t="s">
        <v>14</v>
      </c>
      <c r="C180" t="s">
        <v>15</v>
      </c>
      <c r="D180" t="s">
        <v>809</v>
      </c>
      <c r="E180" t="s">
        <v>810</v>
      </c>
      <c r="F180" t="s">
        <v>18</v>
      </c>
      <c r="G180" t="s">
        <v>677</v>
      </c>
      <c r="H180" t="s">
        <v>811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812</v>
      </c>
      <c r="B181" t="s">
        <v>14</v>
      </c>
      <c r="C181" t="s">
        <v>15</v>
      </c>
      <c r="D181" t="s">
        <v>813</v>
      </c>
      <c r="E181" t="s">
        <v>814</v>
      </c>
      <c r="F181" t="s">
        <v>26</v>
      </c>
      <c r="G181" t="s">
        <v>141</v>
      </c>
      <c r="H181" t="s">
        <v>815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816</v>
      </c>
      <c r="B182" t="s">
        <v>14</v>
      </c>
      <c r="C182" t="s">
        <v>15</v>
      </c>
      <c r="D182" t="s">
        <v>817</v>
      </c>
      <c r="E182" t="s">
        <v>818</v>
      </c>
      <c r="F182" t="s">
        <v>26</v>
      </c>
      <c r="G182" t="s">
        <v>27</v>
      </c>
      <c r="H182" t="s">
        <v>819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820</v>
      </c>
      <c r="B183" t="s">
        <v>14</v>
      </c>
      <c r="C183" t="s">
        <v>15</v>
      </c>
      <c r="D183" t="s">
        <v>821</v>
      </c>
      <c r="E183" t="s">
        <v>822</v>
      </c>
      <c r="F183" t="s">
        <v>48</v>
      </c>
      <c r="G183" t="s">
        <v>108</v>
      </c>
      <c r="H183" t="s">
        <v>823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824</v>
      </c>
      <c r="B184" t="s">
        <v>14</v>
      </c>
      <c r="C184" t="s">
        <v>15</v>
      </c>
      <c r="D184" t="s">
        <v>825</v>
      </c>
      <c r="E184" t="s">
        <v>826</v>
      </c>
      <c r="F184" t="s">
        <v>48</v>
      </c>
      <c r="G184" t="s">
        <v>98</v>
      </c>
      <c r="H184" t="s">
        <v>827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828</v>
      </c>
      <c r="B185" t="s">
        <v>14</v>
      </c>
      <c r="C185" t="s">
        <v>15</v>
      </c>
      <c r="D185" t="s">
        <v>829</v>
      </c>
      <c r="E185" t="s">
        <v>830</v>
      </c>
      <c r="F185" t="s">
        <v>38</v>
      </c>
      <c r="G185" t="s">
        <v>831</v>
      </c>
      <c r="H185" t="s">
        <v>832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833</v>
      </c>
      <c r="B186" t="s">
        <v>14</v>
      </c>
      <c r="C186" t="s">
        <v>15</v>
      </c>
      <c r="D186" t="s">
        <v>834</v>
      </c>
      <c r="E186" t="s">
        <v>835</v>
      </c>
      <c r="F186" t="s">
        <v>26</v>
      </c>
      <c r="G186" t="s">
        <v>225</v>
      </c>
      <c r="H186" t="s">
        <v>836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837</v>
      </c>
      <c r="B187" t="s">
        <v>14</v>
      </c>
      <c r="C187" t="s">
        <v>15</v>
      </c>
      <c r="D187" t="s">
        <v>838</v>
      </c>
      <c r="E187" t="s">
        <v>839</v>
      </c>
      <c r="F187" t="s">
        <v>204</v>
      </c>
      <c r="G187" t="s">
        <v>840</v>
      </c>
      <c r="H187" t="s">
        <v>841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842</v>
      </c>
      <c r="B188" t="s">
        <v>14</v>
      </c>
      <c r="C188" t="s">
        <v>15</v>
      </c>
      <c r="D188" t="s">
        <v>843</v>
      </c>
      <c r="E188" t="s">
        <v>844</v>
      </c>
      <c r="F188" t="s">
        <v>38</v>
      </c>
      <c r="G188" t="s">
        <v>638</v>
      </c>
      <c r="H188" t="s">
        <v>845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846</v>
      </c>
      <c r="B189" t="s">
        <v>14</v>
      </c>
      <c r="C189" t="s">
        <v>15</v>
      </c>
      <c r="D189" t="s">
        <v>847</v>
      </c>
      <c r="E189" t="s">
        <v>848</v>
      </c>
      <c r="F189" t="s">
        <v>38</v>
      </c>
      <c r="G189" t="s">
        <v>849</v>
      </c>
      <c r="H189" t="s">
        <v>850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851</v>
      </c>
      <c r="B190" t="s">
        <v>14</v>
      </c>
      <c r="C190" t="s">
        <v>15</v>
      </c>
      <c r="D190" t="s">
        <v>852</v>
      </c>
      <c r="E190" t="s">
        <v>853</v>
      </c>
      <c r="F190" t="s">
        <v>26</v>
      </c>
      <c r="G190" t="s">
        <v>141</v>
      </c>
      <c r="H190" t="s">
        <v>854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855</v>
      </c>
      <c r="B191" t="s">
        <v>14</v>
      </c>
      <c r="C191" t="s">
        <v>15</v>
      </c>
      <c r="D191" t="s">
        <v>856</v>
      </c>
      <c r="E191" t="s">
        <v>857</v>
      </c>
      <c r="F191" t="s">
        <v>26</v>
      </c>
      <c r="G191" t="s">
        <v>141</v>
      </c>
      <c r="H191" t="s">
        <v>858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859</v>
      </c>
      <c r="B192" t="s">
        <v>14</v>
      </c>
      <c r="C192" t="s">
        <v>15</v>
      </c>
      <c r="D192" t="s">
        <v>860</v>
      </c>
      <c r="E192" t="s">
        <v>861</v>
      </c>
      <c r="F192" t="s">
        <v>38</v>
      </c>
      <c r="G192" t="s">
        <v>220</v>
      </c>
      <c r="H192" t="s">
        <v>862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863</v>
      </c>
      <c r="B193" t="s">
        <v>14</v>
      </c>
      <c r="C193" t="s">
        <v>15</v>
      </c>
      <c r="D193" t="s">
        <v>864</v>
      </c>
      <c r="E193" t="s">
        <v>865</v>
      </c>
      <c r="F193" t="s">
        <v>313</v>
      </c>
      <c r="G193" t="s">
        <v>659</v>
      </c>
      <c r="H193" t="s">
        <v>866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867</v>
      </c>
      <c r="B194" t="s">
        <v>14</v>
      </c>
      <c r="C194" t="s">
        <v>15</v>
      </c>
      <c r="D194" t="s">
        <v>868</v>
      </c>
      <c r="E194" t="s">
        <v>869</v>
      </c>
      <c r="F194" t="s">
        <v>38</v>
      </c>
      <c r="G194" t="s">
        <v>870</v>
      </c>
      <c r="H194" t="s">
        <v>871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872</v>
      </c>
      <c r="B195" t="s">
        <v>14</v>
      </c>
      <c r="C195" t="s">
        <v>15</v>
      </c>
      <c r="D195" t="s">
        <v>873</v>
      </c>
      <c r="E195" t="s">
        <v>874</v>
      </c>
      <c r="F195" t="s">
        <v>313</v>
      </c>
      <c r="G195" t="s">
        <v>875</v>
      </c>
      <c r="H195" t="s">
        <v>876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877</v>
      </c>
      <c r="B196" t="s">
        <v>14</v>
      </c>
      <c r="C196" t="s">
        <v>15</v>
      </c>
      <c r="D196" t="s">
        <v>878</v>
      </c>
      <c r="E196" t="s">
        <v>879</v>
      </c>
      <c r="F196" t="s">
        <v>32</v>
      </c>
      <c r="G196" t="s">
        <v>190</v>
      </c>
      <c r="H196" t="s">
        <v>880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881</v>
      </c>
      <c r="B197" t="s">
        <v>14</v>
      </c>
      <c r="C197" t="s">
        <v>15</v>
      </c>
      <c r="D197" t="s">
        <v>882</v>
      </c>
      <c r="E197" t="s">
        <v>883</v>
      </c>
      <c r="F197" t="s">
        <v>38</v>
      </c>
      <c r="G197" t="s">
        <v>108</v>
      </c>
      <c r="H197" t="s">
        <v>884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885</v>
      </c>
      <c r="B198" t="s">
        <v>14</v>
      </c>
      <c r="C198" t="s">
        <v>15</v>
      </c>
      <c r="D198" t="s">
        <v>886</v>
      </c>
      <c r="E198" t="s">
        <v>887</v>
      </c>
      <c r="F198" t="s">
        <v>48</v>
      </c>
      <c r="G198" t="s">
        <v>93</v>
      </c>
      <c r="H198" t="s">
        <v>888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889</v>
      </c>
      <c r="B199" t="s">
        <v>14</v>
      </c>
      <c r="C199" t="s">
        <v>15</v>
      </c>
      <c r="D199" t="s">
        <v>890</v>
      </c>
      <c r="E199" t="s">
        <v>891</v>
      </c>
      <c r="F199" t="s">
        <v>38</v>
      </c>
      <c r="G199" t="s">
        <v>399</v>
      </c>
      <c r="H199" t="s">
        <v>892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893</v>
      </c>
      <c r="B200" t="s">
        <v>14</v>
      </c>
      <c r="C200" t="s">
        <v>15</v>
      </c>
      <c r="D200" t="s">
        <v>894</v>
      </c>
      <c r="E200" t="s">
        <v>895</v>
      </c>
      <c r="F200" t="s">
        <v>32</v>
      </c>
      <c r="G200" t="s">
        <v>190</v>
      </c>
      <c r="H200" t="s">
        <v>896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897</v>
      </c>
      <c r="B201" t="s">
        <v>14</v>
      </c>
      <c r="C201" t="s">
        <v>15</v>
      </c>
      <c r="D201" t="s">
        <v>898</v>
      </c>
      <c r="E201" t="s">
        <v>899</v>
      </c>
      <c r="F201" t="s">
        <v>32</v>
      </c>
      <c r="G201" t="s">
        <v>190</v>
      </c>
      <c r="H201" t="s">
        <v>900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901</v>
      </c>
      <c r="B202" t="s">
        <v>14</v>
      </c>
      <c r="C202" t="s">
        <v>15</v>
      </c>
      <c r="D202" t="s">
        <v>902</v>
      </c>
      <c r="E202" t="s">
        <v>903</v>
      </c>
      <c r="F202" t="s">
        <v>32</v>
      </c>
      <c r="G202" t="s">
        <v>190</v>
      </c>
      <c r="H202" t="s">
        <v>904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905</v>
      </c>
      <c r="B203" t="s">
        <v>14</v>
      </c>
      <c r="C203" t="s">
        <v>15</v>
      </c>
      <c r="D203" t="s">
        <v>906</v>
      </c>
      <c r="E203" t="s">
        <v>907</v>
      </c>
      <c r="F203" t="s">
        <v>32</v>
      </c>
      <c r="G203" t="s">
        <v>190</v>
      </c>
      <c r="H203" t="s">
        <v>908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909</v>
      </c>
      <c r="B204" t="s">
        <v>14</v>
      </c>
      <c r="C204" t="s">
        <v>15</v>
      </c>
      <c r="D204" t="s">
        <v>910</v>
      </c>
      <c r="E204" t="s">
        <v>911</v>
      </c>
      <c r="F204" t="s">
        <v>26</v>
      </c>
      <c r="G204" t="s">
        <v>141</v>
      </c>
      <c r="H204" t="s">
        <v>912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913</v>
      </c>
      <c r="B205" t="s">
        <v>14</v>
      </c>
      <c r="C205" t="s">
        <v>15</v>
      </c>
      <c r="D205" t="s">
        <v>914</v>
      </c>
      <c r="E205" t="s">
        <v>915</v>
      </c>
      <c r="F205" t="s">
        <v>26</v>
      </c>
      <c r="G205" t="s">
        <v>141</v>
      </c>
      <c r="H205" t="s">
        <v>916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917</v>
      </c>
      <c r="B206" t="s">
        <v>14</v>
      </c>
      <c r="C206" t="s">
        <v>15</v>
      </c>
      <c r="D206" t="s">
        <v>918</v>
      </c>
      <c r="E206" t="s">
        <v>919</v>
      </c>
      <c r="F206" t="s">
        <v>48</v>
      </c>
      <c r="G206" t="s">
        <v>239</v>
      </c>
      <c r="H206" t="s">
        <v>920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921</v>
      </c>
      <c r="B207" t="s">
        <v>14</v>
      </c>
      <c r="C207" t="s">
        <v>15</v>
      </c>
      <c r="D207" t="s">
        <v>922</v>
      </c>
      <c r="E207" t="s">
        <v>923</v>
      </c>
      <c r="F207" t="s">
        <v>38</v>
      </c>
      <c r="G207" t="s">
        <v>924</v>
      </c>
      <c r="H207" t="s">
        <v>925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926</v>
      </c>
      <c r="B208" t="s">
        <v>14</v>
      </c>
      <c r="C208" t="s">
        <v>15</v>
      </c>
      <c r="D208" t="s">
        <v>927</v>
      </c>
      <c r="E208" t="s">
        <v>928</v>
      </c>
      <c r="F208" t="s">
        <v>26</v>
      </c>
      <c r="G208" t="s">
        <v>141</v>
      </c>
      <c r="H208" t="s">
        <v>929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930</v>
      </c>
      <c r="B209" t="s">
        <v>14</v>
      </c>
      <c r="C209" t="s">
        <v>15</v>
      </c>
      <c r="D209" t="s">
        <v>931</v>
      </c>
      <c r="E209" t="s">
        <v>932</v>
      </c>
      <c r="F209" t="s">
        <v>38</v>
      </c>
      <c r="G209" t="s">
        <v>933</v>
      </c>
      <c r="H209" t="s">
        <v>934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935</v>
      </c>
      <c r="B210" t="s">
        <v>14</v>
      </c>
      <c r="C210" t="s">
        <v>15</v>
      </c>
      <c r="D210" t="s">
        <v>936</v>
      </c>
      <c r="E210" t="s">
        <v>937</v>
      </c>
      <c r="F210" t="s">
        <v>204</v>
      </c>
      <c r="G210" t="s">
        <v>205</v>
      </c>
      <c r="H210" t="s">
        <v>938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939</v>
      </c>
      <c r="B211" t="s">
        <v>14</v>
      </c>
      <c r="C211" t="s">
        <v>15</v>
      </c>
      <c r="D211" t="s">
        <v>940</v>
      </c>
      <c r="E211" t="s">
        <v>941</v>
      </c>
      <c r="F211" t="s">
        <v>38</v>
      </c>
      <c r="G211" t="s">
        <v>942</v>
      </c>
      <c r="H211" t="s">
        <v>943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944</v>
      </c>
      <c r="B212" t="s">
        <v>14</v>
      </c>
      <c r="C212" t="s">
        <v>15</v>
      </c>
      <c r="D212" t="s">
        <v>945</v>
      </c>
      <c r="E212" t="s">
        <v>946</v>
      </c>
      <c r="F212" t="s">
        <v>38</v>
      </c>
      <c r="G212" t="s">
        <v>39</v>
      </c>
      <c r="H212" t="s">
        <v>947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948</v>
      </c>
      <c r="B213" t="s">
        <v>14</v>
      </c>
      <c r="C213" t="s">
        <v>15</v>
      </c>
      <c r="D213" t="s">
        <v>949</v>
      </c>
      <c r="E213" t="s">
        <v>950</v>
      </c>
      <c r="F213" t="s">
        <v>18</v>
      </c>
      <c r="G213" t="s">
        <v>19</v>
      </c>
      <c r="H213" t="s">
        <v>951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952</v>
      </c>
      <c r="B214" t="s">
        <v>14</v>
      </c>
      <c r="C214" t="s">
        <v>15</v>
      </c>
      <c r="D214" t="s">
        <v>953</v>
      </c>
      <c r="E214" t="s">
        <v>954</v>
      </c>
      <c r="F214" t="s">
        <v>48</v>
      </c>
      <c r="G214" t="s">
        <v>239</v>
      </c>
      <c r="H214" t="s">
        <v>955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956</v>
      </c>
      <c r="B215" t="s">
        <v>14</v>
      </c>
      <c r="C215" t="s">
        <v>15</v>
      </c>
      <c r="D215" t="s">
        <v>957</v>
      </c>
      <c r="E215" t="s">
        <v>958</v>
      </c>
      <c r="F215" t="s">
        <v>38</v>
      </c>
      <c r="G215" t="s">
        <v>164</v>
      </c>
      <c r="H215" t="s">
        <v>959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960</v>
      </c>
      <c r="B216" t="s">
        <v>14</v>
      </c>
      <c r="C216" t="s">
        <v>15</v>
      </c>
      <c r="D216" t="s">
        <v>961</v>
      </c>
      <c r="E216" t="s">
        <v>962</v>
      </c>
      <c r="F216" t="s">
        <v>32</v>
      </c>
      <c r="G216" t="s">
        <v>164</v>
      </c>
      <c r="H216" t="s">
        <v>963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964</v>
      </c>
      <c r="B217" t="s">
        <v>14</v>
      </c>
      <c r="C217" t="s">
        <v>15</v>
      </c>
      <c r="D217" t="s">
        <v>965</v>
      </c>
      <c r="E217" t="s">
        <v>966</v>
      </c>
      <c r="F217" t="s">
        <v>26</v>
      </c>
      <c r="G217" t="s">
        <v>327</v>
      </c>
      <c r="H217" t="s">
        <v>967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968</v>
      </c>
      <c r="B218" t="s">
        <v>14</v>
      </c>
      <c r="C218" t="s">
        <v>15</v>
      </c>
      <c r="D218" t="s">
        <v>969</v>
      </c>
      <c r="E218" t="s">
        <v>970</v>
      </c>
      <c r="F218" t="s">
        <v>38</v>
      </c>
      <c r="G218" t="s">
        <v>703</v>
      </c>
      <c r="H218" t="s">
        <v>971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972</v>
      </c>
      <c r="B219" t="s">
        <v>14</v>
      </c>
      <c r="C219" t="s">
        <v>15</v>
      </c>
      <c r="D219" t="s">
        <v>973</v>
      </c>
      <c r="E219" t="s">
        <v>974</v>
      </c>
      <c r="F219" t="s">
        <v>48</v>
      </c>
      <c r="G219" t="s">
        <v>360</v>
      </c>
      <c r="H219" t="s">
        <v>975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976</v>
      </c>
      <c r="B220" t="s">
        <v>14</v>
      </c>
      <c r="C220" t="s">
        <v>15</v>
      </c>
      <c r="D220" t="s">
        <v>977</v>
      </c>
      <c r="E220" t="s">
        <v>978</v>
      </c>
      <c r="F220" t="s">
        <v>313</v>
      </c>
      <c r="G220" t="s">
        <v>979</v>
      </c>
      <c r="H220" t="s">
        <v>980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981</v>
      </c>
      <c r="B221" t="s">
        <v>14</v>
      </c>
      <c r="C221" t="s">
        <v>15</v>
      </c>
      <c r="D221" t="s">
        <v>982</v>
      </c>
      <c r="E221" t="s">
        <v>983</v>
      </c>
      <c r="F221" t="s">
        <v>26</v>
      </c>
      <c r="G221" t="s">
        <v>141</v>
      </c>
      <c r="H221" t="s">
        <v>984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985</v>
      </c>
      <c r="B222" t="s">
        <v>14</v>
      </c>
      <c r="C222" t="s">
        <v>15</v>
      </c>
      <c r="D222" t="s">
        <v>986</v>
      </c>
      <c r="E222" t="s">
        <v>987</v>
      </c>
      <c r="F222" t="s">
        <v>26</v>
      </c>
      <c r="G222" t="s">
        <v>141</v>
      </c>
      <c r="H222" t="s">
        <v>988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989</v>
      </c>
      <c r="B223" t="s">
        <v>14</v>
      </c>
      <c r="C223" t="s">
        <v>15</v>
      </c>
      <c r="D223" t="s">
        <v>990</v>
      </c>
      <c r="E223" t="s">
        <v>991</v>
      </c>
      <c r="F223" t="s">
        <v>26</v>
      </c>
      <c r="G223" t="s">
        <v>27</v>
      </c>
      <c r="H223" t="s">
        <v>992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993</v>
      </c>
      <c r="B224" t="s">
        <v>14</v>
      </c>
      <c r="C224" t="s">
        <v>15</v>
      </c>
      <c r="D224" t="s">
        <v>994</v>
      </c>
      <c r="E224" t="s">
        <v>995</v>
      </c>
      <c r="F224" t="s">
        <v>26</v>
      </c>
      <c r="G224" t="s">
        <v>27</v>
      </c>
      <c r="H224" t="s">
        <v>996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997</v>
      </c>
      <c r="B225" t="s">
        <v>14</v>
      </c>
      <c r="C225" t="s">
        <v>15</v>
      </c>
      <c r="D225" t="s">
        <v>998</v>
      </c>
      <c r="E225" t="s">
        <v>999</v>
      </c>
      <c r="F225" t="s">
        <v>18</v>
      </c>
      <c r="G225" t="s">
        <v>19</v>
      </c>
      <c r="H225" t="s">
        <v>1000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1001</v>
      </c>
      <c r="B226" t="s">
        <v>14</v>
      </c>
      <c r="C226" t="s">
        <v>15</v>
      </c>
      <c r="D226" t="s">
        <v>1002</v>
      </c>
      <c r="E226" t="s">
        <v>1003</v>
      </c>
      <c r="F226" t="s">
        <v>38</v>
      </c>
      <c r="G226" t="s">
        <v>341</v>
      </c>
      <c r="H226" t="s">
        <v>1004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1005</v>
      </c>
      <c r="B227" t="s">
        <v>14</v>
      </c>
      <c r="C227" t="s">
        <v>15</v>
      </c>
      <c r="D227" t="s">
        <v>1006</v>
      </c>
      <c r="E227" t="s">
        <v>1007</v>
      </c>
      <c r="F227" t="s">
        <v>38</v>
      </c>
      <c r="G227" t="s">
        <v>117</v>
      </c>
      <c r="H227" t="s">
        <v>1008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1009</v>
      </c>
      <c r="B228" t="s">
        <v>14</v>
      </c>
      <c r="C228" t="s">
        <v>15</v>
      </c>
      <c r="D228" t="s">
        <v>1010</v>
      </c>
      <c r="E228" t="s">
        <v>1011</v>
      </c>
      <c r="F228" t="s">
        <v>38</v>
      </c>
      <c r="G228" t="s">
        <v>108</v>
      </c>
      <c r="H228" t="s">
        <v>1012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1013</v>
      </c>
      <c r="B229" t="s">
        <v>14</v>
      </c>
      <c r="C229" t="s">
        <v>15</v>
      </c>
      <c r="D229" t="s">
        <v>1014</v>
      </c>
      <c r="E229" t="s">
        <v>1015</v>
      </c>
      <c r="F229" t="s">
        <v>32</v>
      </c>
      <c r="G229" t="s">
        <v>404</v>
      </c>
      <c r="H229" t="s">
        <v>1016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1017</v>
      </c>
      <c r="B230" t="s">
        <v>14</v>
      </c>
      <c r="C230" t="s">
        <v>15</v>
      </c>
      <c r="D230" t="s">
        <v>1018</v>
      </c>
      <c r="E230" t="s">
        <v>1019</v>
      </c>
      <c r="F230" t="s">
        <v>38</v>
      </c>
      <c r="G230" t="s">
        <v>924</v>
      </c>
      <c r="H230" t="s">
        <v>1020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1021</v>
      </c>
      <c r="B231" t="s">
        <v>14</v>
      </c>
      <c r="C231" t="s">
        <v>15</v>
      </c>
      <c r="D231" t="s">
        <v>1022</v>
      </c>
      <c r="E231" t="s">
        <v>1023</v>
      </c>
      <c r="F231" t="s">
        <v>26</v>
      </c>
      <c r="G231" t="s">
        <v>141</v>
      </c>
      <c r="H231" t="s">
        <v>1024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1025</v>
      </c>
      <c r="B232" t="s">
        <v>14</v>
      </c>
      <c r="C232" t="s">
        <v>15</v>
      </c>
      <c r="D232" t="s">
        <v>1026</v>
      </c>
      <c r="E232" t="s">
        <v>1027</v>
      </c>
      <c r="F232" t="s">
        <v>38</v>
      </c>
      <c r="G232" t="s">
        <v>579</v>
      </c>
      <c r="H232" t="s">
        <v>1028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1029</v>
      </c>
      <c r="B233" t="s">
        <v>14</v>
      </c>
      <c r="C233" t="s">
        <v>15</v>
      </c>
      <c r="D233" t="s">
        <v>1030</v>
      </c>
      <c r="E233" t="s">
        <v>1031</v>
      </c>
      <c r="F233" t="s">
        <v>32</v>
      </c>
      <c r="G233" t="s">
        <v>33</v>
      </c>
      <c r="H233" t="s">
        <v>1032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1033</v>
      </c>
      <c r="B234" t="s">
        <v>14</v>
      </c>
      <c r="C234" t="s">
        <v>15</v>
      </c>
      <c r="D234" t="s">
        <v>1034</v>
      </c>
      <c r="E234" t="s">
        <v>1035</v>
      </c>
      <c r="F234" t="s">
        <v>32</v>
      </c>
      <c r="G234" t="s">
        <v>33</v>
      </c>
      <c r="H234" t="s">
        <v>1036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1037</v>
      </c>
      <c r="B235" t="s">
        <v>14</v>
      </c>
      <c r="C235" t="s">
        <v>15</v>
      </c>
      <c r="D235" t="s">
        <v>1038</v>
      </c>
      <c r="E235" t="s">
        <v>1039</v>
      </c>
      <c r="F235" t="s">
        <v>48</v>
      </c>
      <c r="G235" t="s">
        <v>423</v>
      </c>
      <c r="H235" t="s">
        <v>1040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1041</v>
      </c>
      <c r="B236" t="s">
        <v>14</v>
      </c>
      <c r="C236" t="s">
        <v>15</v>
      </c>
      <c r="D236" t="s">
        <v>1042</v>
      </c>
      <c r="E236" t="s">
        <v>1043</v>
      </c>
      <c r="F236" t="s">
        <v>26</v>
      </c>
      <c r="G236" t="s">
        <v>225</v>
      </c>
      <c r="H236" t="s">
        <v>1044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1045</v>
      </c>
      <c r="B237" t="s">
        <v>14</v>
      </c>
      <c r="C237" t="s">
        <v>15</v>
      </c>
      <c r="D237" t="s">
        <v>1046</v>
      </c>
      <c r="E237" t="s">
        <v>1047</v>
      </c>
      <c r="F237" t="s">
        <v>48</v>
      </c>
      <c r="G237" t="s">
        <v>355</v>
      </c>
      <c r="H237" t="s">
        <v>1048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1049</v>
      </c>
      <c r="B238" t="s">
        <v>14</v>
      </c>
      <c r="C238" t="s">
        <v>15</v>
      </c>
      <c r="D238" t="s">
        <v>1050</v>
      </c>
      <c r="E238" t="s">
        <v>1051</v>
      </c>
      <c r="F238" t="s">
        <v>48</v>
      </c>
      <c r="G238" t="s">
        <v>220</v>
      </c>
      <c r="H238" t="s">
        <v>1052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1053</v>
      </c>
      <c r="B239" t="s">
        <v>14</v>
      </c>
      <c r="C239" t="s">
        <v>15</v>
      </c>
      <c r="D239" t="s">
        <v>1054</v>
      </c>
      <c r="E239" t="s">
        <v>1055</v>
      </c>
      <c r="F239" t="s">
        <v>32</v>
      </c>
      <c r="G239" t="s">
        <v>33</v>
      </c>
      <c r="H239" t="s">
        <v>1056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1057</v>
      </c>
      <c r="B240" t="s">
        <v>14</v>
      </c>
      <c r="C240" t="s">
        <v>15</v>
      </c>
      <c r="D240" t="s">
        <v>1058</v>
      </c>
      <c r="E240" t="s">
        <v>1059</v>
      </c>
      <c r="F240" t="s">
        <v>204</v>
      </c>
      <c r="G240" t="s">
        <v>1060</v>
      </c>
      <c r="H240" t="s">
        <v>1061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1062</v>
      </c>
      <c r="B241" t="s">
        <v>14</v>
      </c>
      <c r="C241" t="s">
        <v>15</v>
      </c>
      <c r="D241" t="s">
        <v>1063</v>
      </c>
      <c r="E241" t="s">
        <v>1064</v>
      </c>
      <c r="F241" t="s">
        <v>48</v>
      </c>
      <c r="G241" t="s">
        <v>1065</v>
      </c>
      <c r="H241" t="s">
        <v>1066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1067</v>
      </c>
      <c r="B242" t="s">
        <v>14</v>
      </c>
      <c r="C242" t="s">
        <v>15</v>
      </c>
      <c r="D242" t="s">
        <v>1068</v>
      </c>
      <c r="E242" t="s">
        <v>1069</v>
      </c>
      <c r="F242" t="s">
        <v>32</v>
      </c>
      <c r="G242" t="s">
        <v>33</v>
      </c>
      <c r="H242" t="s">
        <v>1070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1071</v>
      </c>
      <c r="B243" t="s">
        <v>14</v>
      </c>
      <c r="C243" t="s">
        <v>15</v>
      </c>
      <c r="D243" t="s">
        <v>1072</v>
      </c>
      <c r="E243" t="s">
        <v>1073</v>
      </c>
      <c r="F243" t="s">
        <v>38</v>
      </c>
      <c r="G243" t="s">
        <v>59</v>
      </c>
      <c r="H243" t="s">
        <v>1074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1075</v>
      </c>
      <c r="B244" t="s">
        <v>14</v>
      </c>
      <c r="C244" t="s">
        <v>15</v>
      </c>
      <c r="D244" t="s">
        <v>1076</v>
      </c>
      <c r="E244" t="s">
        <v>1077</v>
      </c>
      <c r="F244" t="s">
        <v>32</v>
      </c>
      <c r="G244" t="s">
        <v>33</v>
      </c>
      <c r="H244" t="s">
        <v>1078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1079</v>
      </c>
      <c r="B245" t="s">
        <v>14</v>
      </c>
      <c r="C245" t="s">
        <v>15</v>
      </c>
      <c r="D245" t="s">
        <v>1080</v>
      </c>
      <c r="E245" t="s">
        <v>1081</v>
      </c>
      <c r="F245" t="s">
        <v>26</v>
      </c>
      <c r="G245" t="s">
        <v>141</v>
      </c>
      <c r="H245" t="s">
        <v>1082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1083</v>
      </c>
      <c r="B246" t="s">
        <v>14</v>
      </c>
      <c r="C246" t="s">
        <v>15</v>
      </c>
      <c r="D246" t="s">
        <v>1084</v>
      </c>
      <c r="E246" t="s">
        <v>1085</v>
      </c>
      <c r="F246" t="s">
        <v>38</v>
      </c>
      <c r="G246" t="s">
        <v>332</v>
      </c>
      <c r="H246" t="s">
        <v>1086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1087</v>
      </c>
      <c r="B247" t="s">
        <v>14</v>
      </c>
      <c r="C247" t="s">
        <v>15</v>
      </c>
      <c r="D247" t="s">
        <v>1088</v>
      </c>
      <c r="E247" t="s">
        <v>1089</v>
      </c>
      <c r="F247" t="s">
        <v>26</v>
      </c>
      <c r="G247" t="s">
        <v>225</v>
      </c>
      <c r="H247" t="s">
        <v>1090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1091</v>
      </c>
      <c r="B248" t="s">
        <v>14</v>
      </c>
      <c r="C248" t="s">
        <v>15</v>
      </c>
      <c r="D248" t="s">
        <v>1092</v>
      </c>
      <c r="E248" t="s">
        <v>1093</v>
      </c>
      <c r="F248" t="s">
        <v>313</v>
      </c>
      <c r="G248" t="s">
        <v>346</v>
      </c>
      <c r="H248" t="s">
        <v>1094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1095</v>
      </c>
      <c r="B249" t="s">
        <v>14</v>
      </c>
      <c r="C249" t="s">
        <v>15</v>
      </c>
      <c r="D249" t="s">
        <v>1096</v>
      </c>
      <c r="E249" t="s">
        <v>1097</v>
      </c>
      <c r="F249" t="s">
        <v>18</v>
      </c>
      <c r="G249" t="s">
        <v>1098</v>
      </c>
      <c r="H249" t="s">
        <v>1099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1100</v>
      </c>
      <c r="B250" t="s">
        <v>14</v>
      </c>
      <c r="C250" t="s">
        <v>15</v>
      </c>
      <c r="D250" t="s">
        <v>1101</v>
      </c>
      <c r="E250" t="s">
        <v>1102</v>
      </c>
      <c r="F250" t="s">
        <v>26</v>
      </c>
      <c r="G250" t="s">
        <v>27</v>
      </c>
      <c r="H250" t="s">
        <v>1103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1104</v>
      </c>
      <c r="B251" t="s">
        <v>14</v>
      </c>
      <c r="C251" t="s">
        <v>15</v>
      </c>
      <c r="D251" t="s">
        <v>1105</v>
      </c>
      <c r="E251" t="s">
        <v>1106</v>
      </c>
      <c r="F251" t="s">
        <v>38</v>
      </c>
      <c r="G251" t="s">
        <v>399</v>
      </c>
      <c r="H251" t="s">
        <v>1107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BDH("EXE US Equity","BS_TOT_ASSET","1993-06-18","2026-05-02","Per=Y","Days=T","Dir=V")</f>
        <v>0</v>
      </c>
      <c r="C2">
        <f>BDH("EXE US Equity","BS_TOT_LIAB2","1993-06-18","2026-05-02","Per=Y","Days=T","Dir=V")</f>
        <v>0</v>
      </c>
      <c r="E2">
        <f>BDH("EXE US Equity","SHORT_AND_LONG_TERM_DEBT","1993-06-18","2026-05-02","Per=Y","Days=T","Dir=V")</f>
        <v>0</v>
      </c>
      <c r="G2">
        <f>BDH("EXE US Equity","BS_ST_BORROW","1993-06-18","2026-05-02","Per=Y","Days=T","Dir=V")</f>
        <v>0</v>
      </c>
      <c r="I2">
        <f>BDH("EXE US Equity","BS_LT_BORROW","1993-06-18","2026-05-02","Per=Y","Days=T","Dir=V")</f>
        <v>0</v>
      </c>
      <c r="K2">
        <f>BDH("EXE US Equity","BS_CASH_NEAR_CASH_ITEM","1993-06-18","2026-05-02","Per=Y","Days=T","Dir=V")</f>
        <v>0</v>
      </c>
      <c r="M2">
        <f>BDH("EXE US Equity","BS_CUR_ASSET_REPORT","1993-06-18","2026-05-02","Per=Y","Days=T","Dir=V")</f>
        <v>0</v>
      </c>
      <c r="O2">
        <f>BDH("EXE US Equity","BS_CUR_LIAB","1993-06-18","2026-05-02","Per=Y","Days=T","Dir=V")</f>
        <v>0</v>
      </c>
      <c r="Q2">
        <f>BDH("EXE US Equity","BS_SHAREHOLDER_EQY_ENDING_PERIOD","1993-06-18","2026-05-02","Per=Y","Days=T","Dir=V")</f>
        <v>0</v>
      </c>
      <c r="S2">
        <f>BDH("EXE US Equity","BS_ACCT_NOTE_RCV","1993-06-18","2026-05-02","Per=Y","Days=T","Dir=V")</f>
        <v>0</v>
      </c>
      <c r="U2">
        <f>BDH("EXE US Equity","BS_INVENTORIES","1993-06-18","2026-05-02","Per=Y","Days=T","Dir=V")</f>
        <v>0</v>
      </c>
      <c r="W2">
        <f>BDH("EXE US Equity","WORKING_CAPITAL","1993-06-18","2026-05-02","Per=Y","Days=T","Dir=V")</f>
        <v>0</v>
      </c>
      <c r="Y2">
        <f>BDH("EXE US Equity","SALES_REV_TURN","1993-06-18","2026-05-02","Per=Y","Days=T","Dir=V")</f>
        <v>0</v>
      </c>
      <c r="AA2">
        <f>BDH("EXE US Equity","EBIT","1993-06-18","2026-05-02","Per=Y","Days=T","Dir=V")</f>
        <v>0</v>
      </c>
      <c r="AC2">
        <f>BDH("EXE US Equity","EBITDA","1993-06-18","2026-05-02","Per=Y","Days=T","Dir=V")</f>
        <v>0</v>
      </c>
      <c r="AE2">
        <f>BDH("EXE US Equity","NET_INCOME","1993-06-18","2026-05-02","Per=Y","Days=T","Dir=V")</f>
        <v>0</v>
      </c>
      <c r="AG2">
        <f>BDH("EXE US Equity","IS_INT_EXPENSE","1993-06-18","2026-05-02","Per=Y","Days=T","Dir=V")</f>
        <v>0</v>
      </c>
      <c r="AI2">
        <f>BDH("EXE US Equity","IS_DEPR_EXP","1993-06-18","2026-05-02","Per=Y","Days=T","Dir=V")</f>
        <v>0</v>
      </c>
      <c r="AK2">
        <f>BDH("EXE US Equity","CF_CASH_FROM_OPER","1993-06-18","2026-05-02","Per=Y","Days=T","Dir=V")</f>
        <v>0</v>
      </c>
      <c r="AM2">
        <f>BDH("EXE US Equity","CAPITAL_EXPEND","1993-06-18","2026-05-02","Per=Y","Days=T","Dir=V")</f>
        <v>0</v>
      </c>
      <c r="AO2">
        <f>BDH("EXE US Equity","CF_FREE_CASH_FLOW","1993-06-18","2026-05-02","Per=Y","Days=T","Dir=V")</f>
        <v>0</v>
      </c>
      <c r="AQ2">
        <f>BDH("EXE US Equity","PX_LAST","1993-06-18","2026-05-02","Per=M","Days=T","Dir=V")</f>
        <v>0</v>
      </c>
      <c r="AS2">
        <f>BDH("EXE US Equity","CUR_MKT_CAP","1993-06-18","2026-05-02","Per=M","Days=T","Dir=V")</f>
        <v>0</v>
      </c>
      <c r="AU2">
        <f>BDH("EXE US Equity","EQY_SH_OUT","1993-06-18","2026-05-02","Per=M","Days=T","Dir=V")</f>
        <v>0</v>
      </c>
      <c r="AW2">
        <f>BDH("EXE US Equity","PX_VOLUME","1993-06-18","2026-05-02","Per=M","Days=T","Dir=V")</f>
        <v>0</v>
      </c>
      <c r="AY2">
        <f>BDH("EXE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BDH("EXEL US Equity","BS_TOT_ASSET","1993-06-18","2026-05-02","Per=Y","Days=T","Dir=V")</f>
        <v>0</v>
      </c>
      <c r="C2">
        <f>BDH("EXEL US Equity","BS_TOT_LIAB2","1993-06-18","2026-05-02","Per=Y","Days=T","Dir=V")</f>
        <v>0</v>
      </c>
      <c r="E2">
        <f>BDH("EXEL US Equity","SHORT_AND_LONG_TERM_DEBT","1993-06-18","2026-05-02","Per=Y","Days=T","Dir=V")</f>
        <v>0</v>
      </c>
      <c r="G2">
        <f>BDH("EXEL US Equity","BS_ST_BORROW","1993-06-18","2026-05-02","Per=Y","Days=T","Dir=V")</f>
        <v>0</v>
      </c>
      <c r="I2">
        <f>BDH("EXEL US Equity","BS_LT_BORROW","1993-06-18","2026-05-02","Per=Y","Days=T","Dir=V")</f>
        <v>0</v>
      </c>
      <c r="K2">
        <f>BDH("EXEL US Equity","BS_CASH_NEAR_CASH_ITEM","1993-06-18","2026-05-02","Per=Y","Days=T","Dir=V")</f>
        <v>0</v>
      </c>
      <c r="M2">
        <f>BDH("EXEL US Equity","BS_CUR_ASSET_REPORT","1993-06-18","2026-05-02","Per=Y","Days=T","Dir=V")</f>
        <v>0</v>
      </c>
      <c r="O2">
        <f>BDH("EXEL US Equity","BS_CUR_LIAB","1993-06-18","2026-05-02","Per=Y","Days=T","Dir=V")</f>
        <v>0</v>
      </c>
      <c r="Q2">
        <f>BDH("EXEL US Equity","BS_SHAREHOLDER_EQY_ENDING_PERIOD","1993-06-18","2026-05-02","Per=Y","Days=T","Dir=V")</f>
        <v>0</v>
      </c>
      <c r="S2">
        <f>BDH("EXEL US Equity","BS_ACCT_NOTE_RCV","1993-06-18","2026-05-02","Per=Y","Days=T","Dir=V")</f>
        <v>0</v>
      </c>
      <c r="U2">
        <f>BDH("EXEL US Equity","BS_INVENTORIES","1993-06-18","2026-05-02","Per=Y","Days=T","Dir=V")</f>
        <v>0</v>
      </c>
      <c r="W2">
        <f>BDH("EXEL US Equity","WORKING_CAPITAL","1993-06-18","2026-05-02","Per=Y","Days=T","Dir=V")</f>
        <v>0</v>
      </c>
      <c r="Y2">
        <f>BDH("EXEL US Equity","SALES_REV_TURN","1993-06-18","2026-05-02","Per=Y","Days=T","Dir=V")</f>
        <v>0</v>
      </c>
      <c r="AA2">
        <f>BDH("EXEL US Equity","EBIT","1993-06-18","2026-05-02","Per=Y","Days=T","Dir=V")</f>
        <v>0</v>
      </c>
      <c r="AC2">
        <f>BDH("EXEL US Equity","EBITDA","1993-06-18","2026-05-02","Per=Y","Days=T","Dir=V")</f>
        <v>0</v>
      </c>
      <c r="AE2">
        <f>BDH("EXEL US Equity","NET_INCOME","1993-06-18","2026-05-02","Per=Y","Days=T","Dir=V")</f>
        <v>0</v>
      </c>
      <c r="AG2">
        <f>BDH("EXEL US Equity","IS_INT_EXPENSE","1993-06-18","2026-05-02","Per=Y","Days=T","Dir=V")</f>
        <v>0</v>
      </c>
      <c r="AI2">
        <f>BDH("EXEL US Equity","IS_DEPR_EXP","1993-06-18","2026-05-02","Per=Y","Days=T","Dir=V")</f>
        <v>0</v>
      </c>
      <c r="AK2">
        <f>BDH("EXEL US Equity","CF_CASH_FROM_OPER","1993-06-18","2026-05-02","Per=Y","Days=T","Dir=V")</f>
        <v>0</v>
      </c>
      <c r="AM2">
        <f>BDH("EXEL US Equity","CAPITAL_EXPEND","1993-06-18","2026-05-02","Per=Y","Days=T","Dir=V")</f>
        <v>0</v>
      </c>
      <c r="AO2">
        <f>BDH("EXEL US Equity","CF_FREE_CASH_FLOW","1993-06-18","2026-05-02","Per=Y","Days=T","Dir=V")</f>
        <v>0</v>
      </c>
      <c r="AQ2">
        <f>BDH("EXEL US Equity","PX_LAST","1993-06-18","2026-05-02","Per=M","Days=T","Dir=V")</f>
        <v>0</v>
      </c>
      <c r="AS2">
        <f>BDH("EXEL US Equity","CUR_MKT_CAP","1993-06-18","2026-05-02","Per=M","Days=T","Dir=V")</f>
        <v>0</v>
      </c>
      <c r="AU2">
        <f>BDH("EXEL US Equity","EQY_SH_OUT","1993-06-18","2026-05-02","Per=M","Days=T","Dir=V")</f>
        <v>0</v>
      </c>
      <c r="AW2">
        <f>BDH("EXEL US Equity","PX_VOLUME","1993-06-18","2026-05-02","Per=M","Days=T","Dir=V")</f>
        <v>0</v>
      </c>
      <c r="AY2">
        <f>BDH("EXEL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BDH("EXFY US Equity","BS_TOT_ASSET","1993-06-18","2026-05-02","Per=Y","Days=T","Dir=V")</f>
        <v>0</v>
      </c>
      <c r="C2">
        <f>BDH("EXFY US Equity","BS_TOT_LIAB2","1993-06-18","2026-05-02","Per=Y","Days=T","Dir=V")</f>
        <v>0</v>
      </c>
      <c r="E2">
        <f>BDH("EXFY US Equity","SHORT_AND_LONG_TERM_DEBT","1993-06-18","2026-05-02","Per=Y","Days=T","Dir=V")</f>
        <v>0</v>
      </c>
      <c r="G2">
        <f>BDH("EXFY US Equity","BS_ST_BORROW","1993-06-18","2026-05-02","Per=Y","Days=T","Dir=V")</f>
        <v>0</v>
      </c>
      <c r="I2">
        <f>BDH("EXFY US Equity","BS_LT_BORROW","1993-06-18","2026-05-02","Per=Y","Days=T","Dir=V")</f>
        <v>0</v>
      </c>
      <c r="K2">
        <f>BDH("EXFY US Equity","BS_CASH_NEAR_CASH_ITEM","1993-06-18","2026-05-02","Per=Y","Days=T","Dir=V")</f>
        <v>0</v>
      </c>
      <c r="M2">
        <f>BDH("EXFY US Equity","BS_CUR_ASSET_REPORT","1993-06-18","2026-05-02","Per=Y","Days=T","Dir=V")</f>
        <v>0</v>
      </c>
      <c r="O2">
        <f>BDH("EXFY US Equity","BS_CUR_LIAB","1993-06-18","2026-05-02","Per=Y","Days=T","Dir=V")</f>
        <v>0</v>
      </c>
      <c r="Q2">
        <f>BDH("EXFY US Equity","BS_SHAREHOLDER_EQY_ENDING_PERIOD","1993-06-18","2026-05-02","Per=Y","Days=T","Dir=V")</f>
        <v>0</v>
      </c>
      <c r="S2">
        <f>BDH("EXFY US Equity","BS_ACCT_NOTE_RCV","1993-06-18","2026-05-02","Per=Y","Days=T","Dir=V")</f>
        <v>0</v>
      </c>
      <c r="U2">
        <f>BDH("EXFY US Equity","BS_INVENTORIES","1993-06-18","2026-05-02","Per=Y","Days=T","Dir=V")</f>
        <v>0</v>
      </c>
      <c r="W2">
        <f>BDH("EXFY US Equity","WORKING_CAPITAL","1993-06-18","2026-05-02","Per=Y","Days=T","Dir=V")</f>
        <v>0</v>
      </c>
      <c r="Y2">
        <f>BDH("EXFY US Equity","SALES_REV_TURN","1993-06-18","2026-05-02","Per=Y","Days=T","Dir=V")</f>
        <v>0</v>
      </c>
      <c r="AA2">
        <f>BDH("EXFY US Equity","EBIT","1993-06-18","2026-05-02","Per=Y","Days=T","Dir=V")</f>
        <v>0</v>
      </c>
      <c r="AC2">
        <f>BDH("EXFY US Equity","EBITDA","1993-06-18","2026-05-02","Per=Y","Days=T","Dir=V")</f>
        <v>0</v>
      </c>
      <c r="AE2">
        <f>BDH("EXFY US Equity","NET_INCOME","1993-06-18","2026-05-02","Per=Y","Days=T","Dir=V")</f>
        <v>0</v>
      </c>
      <c r="AG2">
        <f>BDH("EXFY US Equity","IS_INT_EXPENSE","1993-06-18","2026-05-02","Per=Y","Days=T","Dir=V")</f>
        <v>0</v>
      </c>
      <c r="AI2">
        <f>BDH("EXFY US Equity","IS_DEPR_EXP","1993-06-18","2026-05-02","Per=Y","Days=T","Dir=V")</f>
        <v>0</v>
      </c>
      <c r="AK2">
        <f>BDH("EXFY US Equity","CF_CASH_FROM_OPER","1993-06-18","2026-05-02","Per=Y","Days=T","Dir=V")</f>
        <v>0</v>
      </c>
      <c r="AM2">
        <f>BDH("EXFY US Equity","CAPITAL_EXPEND","1993-06-18","2026-05-02","Per=Y","Days=T","Dir=V")</f>
        <v>0</v>
      </c>
      <c r="AO2">
        <f>BDH("EXFY US Equity","CF_FREE_CASH_FLOW","1993-06-18","2026-05-02","Per=Y","Days=T","Dir=V")</f>
        <v>0</v>
      </c>
      <c r="AQ2">
        <f>BDH("EXFY US Equity","PX_LAST","1993-06-18","2026-05-02","Per=M","Days=T","Dir=V")</f>
        <v>0</v>
      </c>
      <c r="AS2">
        <f>BDH("EXFY US Equity","CUR_MKT_CAP","1993-06-18","2026-05-02","Per=M","Days=T","Dir=V")</f>
        <v>0</v>
      </c>
      <c r="AU2">
        <f>BDH("EXFY US Equity","EQY_SH_OUT","1993-06-18","2026-05-02","Per=M","Days=T","Dir=V")</f>
        <v>0</v>
      </c>
      <c r="AW2">
        <f>BDH("EXFY US Equity","PX_VOLUME","1993-06-18","2026-05-02","Per=M","Days=T","Dir=V")</f>
        <v>0</v>
      </c>
      <c r="AY2">
        <f>BDH("EXFY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BDH("EXLS US Equity","BS_TOT_ASSET","1993-06-18","2026-05-02","Per=Y","Days=T","Dir=V")</f>
        <v>0</v>
      </c>
      <c r="C2">
        <f>BDH("EXLS US Equity","BS_TOT_LIAB2","1993-06-18","2026-05-02","Per=Y","Days=T","Dir=V")</f>
        <v>0</v>
      </c>
      <c r="E2">
        <f>BDH("EXLS US Equity","SHORT_AND_LONG_TERM_DEBT","1993-06-18","2026-05-02","Per=Y","Days=T","Dir=V")</f>
        <v>0</v>
      </c>
      <c r="G2">
        <f>BDH("EXLS US Equity","BS_ST_BORROW","1993-06-18","2026-05-02","Per=Y","Days=T","Dir=V")</f>
        <v>0</v>
      </c>
      <c r="I2">
        <f>BDH("EXLS US Equity","BS_LT_BORROW","1993-06-18","2026-05-02","Per=Y","Days=T","Dir=V")</f>
        <v>0</v>
      </c>
      <c r="K2">
        <f>BDH("EXLS US Equity","BS_CASH_NEAR_CASH_ITEM","1993-06-18","2026-05-02","Per=Y","Days=T","Dir=V")</f>
        <v>0</v>
      </c>
      <c r="M2">
        <f>BDH("EXLS US Equity","BS_CUR_ASSET_REPORT","1993-06-18","2026-05-02","Per=Y","Days=T","Dir=V")</f>
        <v>0</v>
      </c>
      <c r="O2">
        <f>BDH("EXLS US Equity","BS_CUR_LIAB","1993-06-18","2026-05-02","Per=Y","Days=T","Dir=V")</f>
        <v>0</v>
      </c>
      <c r="Q2">
        <f>BDH("EXLS US Equity","BS_SHAREHOLDER_EQY_ENDING_PERIOD","1993-06-18","2026-05-02","Per=Y","Days=T","Dir=V")</f>
        <v>0</v>
      </c>
      <c r="S2">
        <f>BDH("EXLS US Equity","BS_ACCT_NOTE_RCV","1993-06-18","2026-05-02","Per=Y","Days=T","Dir=V")</f>
        <v>0</v>
      </c>
      <c r="U2">
        <f>BDH("EXLS US Equity","BS_INVENTORIES","1993-06-18","2026-05-02","Per=Y","Days=T","Dir=V")</f>
        <v>0</v>
      </c>
      <c r="W2">
        <f>BDH("EXLS US Equity","WORKING_CAPITAL","1993-06-18","2026-05-02","Per=Y","Days=T","Dir=V")</f>
        <v>0</v>
      </c>
      <c r="Y2">
        <f>BDH("EXLS US Equity","SALES_REV_TURN","1993-06-18","2026-05-02","Per=Y","Days=T","Dir=V")</f>
        <v>0</v>
      </c>
      <c r="AA2">
        <f>BDH("EXLS US Equity","EBIT","1993-06-18","2026-05-02","Per=Y","Days=T","Dir=V")</f>
        <v>0</v>
      </c>
      <c r="AC2">
        <f>BDH("EXLS US Equity","EBITDA","1993-06-18","2026-05-02","Per=Y","Days=T","Dir=V")</f>
        <v>0</v>
      </c>
      <c r="AE2">
        <f>BDH("EXLS US Equity","NET_INCOME","1993-06-18","2026-05-02","Per=Y","Days=T","Dir=V")</f>
        <v>0</v>
      </c>
      <c r="AG2">
        <f>BDH("EXLS US Equity","IS_INT_EXPENSE","1993-06-18","2026-05-02","Per=Y","Days=T","Dir=V")</f>
        <v>0</v>
      </c>
      <c r="AI2">
        <f>BDH("EXLS US Equity","IS_DEPR_EXP","1993-06-18","2026-05-02","Per=Y","Days=T","Dir=V")</f>
        <v>0</v>
      </c>
      <c r="AK2">
        <f>BDH("EXLS US Equity","CF_CASH_FROM_OPER","1993-06-18","2026-05-02","Per=Y","Days=T","Dir=V")</f>
        <v>0</v>
      </c>
      <c r="AM2">
        <f>BDH("EXLS US Equity","CAPITAL_EXPEND","1993-06-18","2026-05-02","Per=Y","Days=T","Dir=V")</f>
        <v>0</v>
      </c>
      <c r="AO2">
        <f>BDH("EXLS US Equity","CF_FREE_CASH_FLOW","1993-06-18","2026-05-02","Per=Y","Days=T","Dir=V")</f>
        <v>0</v>
      </c>
      <c r="AQ2">
        <f>BDH("EXLS US Equity","PX_LAST","1993-06-18","2026-05-02","Per=M","Days=T","Dir=V")</f>
        <v>0</v>
      </c>
      <c r="AS2">
        <f>BDH("EXLS US Equity","CUR_MKT_CAP","1993-06-18","2026-05-02","Per=M","Days=T","Dir=V")</f>
        <v>0</v>
      </c>
      <c r="AU2">
        <f>BDH("EXLS US Equity","EQY_SH_OUT","1993-06-18","2026-05-02","Per=M","Days=T","Dir=V")</f>
        <v>0</v>
      </c>
      <c r="AW2">
        <f>BDH("EXLS US Equity","PX_VOLUME","1993-06-18","2026-05-02","Per=M","Days=T","Dir=V")</f>
        <v>0</v>
      </c>
      <c r="AY2">
        <f>BDH("EXLS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BDH("EXOZ US Equity","BS_TOT_ASSET","1993-06-18","2026-05-02","Per=Y","Days=T","Dir=V")</f>
        <v>0</v>
      </c>
      <c r="C2">
        <f>BDH("EXOZ US Equity","BS_TOT_LIAB2","1993-06-18","2026-05-02","Per=Y","Days=T","Dir=V")</f>
        <v>0</v>
      </c>
      <c r="E2">
        <f>BDH("EXOZ US Equity","SHORT_AND_LONG_TERM_DEBT","1993-06-18","2026-05-02","Per=Y","Days=T","Dir=V")</f>
        <v>0</v>
      </c>
      <c r="G2">
        <f>BDH("EXOZ US Equity","BS_ST_BORROW","1993-06-18","2026-05-02","Per=Y","Days=T","Dir=V")</f>
        <v>0</v>
      </c>
      <c r="I2">
        <f>BDH("EXOZ US Equity","BS_LT_BORROW","1993-06-18","2026-05-02","Per=Y","Days=T","Dir=V")</f>
        <v>0</v>
      </c>
      <c r="K2">
        <f>BDH("EXOZ US Equity","BS_CASH_NEAR_CASH_ITEM","1993-06-18","2026-05-02","Per=Y","Days=T","Dir=V")</f>
        <v>0</v>
      </c>
      <c r="M2">
        <f>BDH("EXOZ US Equity","BS_CUR_ASSET_REPORT","1993-06-18","2026-05-02","Per=Y","Days=T","Dir=V")</f>
        <v>0</v>
      </c>
      <c r="O2">
        <f>BDH("EXOZ US Equity","BS_CUR_LIAB","1993-06-18","2026-05-02","Per=Y","Days=T","Dir=V")</f>
        <v>0</v>
      </c>
      <c r="Q2">
        <f>BDH("EXOZ US Equity","BS_SHAREHOLDER_EQY_ENDING_PERIOD","1993-06-18","2026-05-02","Per=Y","Days=T","Dir=V")</f>
        <v>0</v>
      </c>
      <c r="S2">
        <f>BDH("EXOZ US Equity","BS_ACCT_NOTE_RCV","1993-06-18","2026-05-02","Per=Y","Days=T","Dir=V")</f>
        <v>0</v>
      </c>
      <c r="U2">
        <f>BDH("EXOZ US Equity","BS_INVENTORIES","1993-06-18","2026-05-02","Per=Y","Days=T","Dir=V")</f>
        <v>0</v>
      </c>
      <c r="W2">
        <f>BDH("EXOZ US Equity","WORKING_CAPITAL","1993-06-18","2026-05-02","Per=Y","Days=T","Dir=V")</f>
        <v>0</v>
      </c>
      <c r="Y2">
        <f>BDH("EXOZ US Equity","SALES_REV_TURN","1993-06-18","2026-05-02","Per=Y","Days=T","Dir=V")</f>
        <v>0</v>
      </c>
      <c r="AA2">
        <f>BDH("EXOZ US Equity","EBIT","1993-06-18","2026-05-02","Per=Y","Days=T","Dir=V")</f>
        <v>0</v>
      </c>
      <c r="AC2">
        <f>BDH("EXOZ US Equity","EBITDA","1993-06-18","2026-05-02","Per=Y","Days=T","Dir=V")</f>
        <v>0</v>
      </c>
      <c r="AE2">
        <f>BDH("EXOZ US Equity","NET_INCOME","1993-06-18","2026-05-02","Per=Y","Days=T","Dir=V")</f>
        <v>0</v>
      </c>
      <c r="AG2">
        <f>BDH("EXOZ US Equity","IS_INT_EXPENSE","1993-06-18","2026-05-02","Per=Y","Days=T","Dir=V")</f>
        <v>0</v>
      </c>
      <c r="AI2">
        <f>BDH("EXOZ US Equity","IS_DEPR_EXP","1993-06-18","2026-05-02","Per=Y","Days=T","Dir=V")</f>
        <v>0</v>
      </c>
      <c r="AK2">
        <f>BDH("EXOZ US Equity","CF_CASH_FROM_OPER","1993-06-18","2026-05-02","Per=Y","Days=T","Dir=V")</f>
        <v>0</v>
      </c>
      <c r="AM2">
        <f>BDH("EXOZ US Equity","CAPITAL_EXPEND","1993-06-18","2026-05-02","Per=Y","Days=T","Dir=V")</f>
        <v>0</v>
      </c>
      <c r="AO2">
        <f>BDH("EXOZ US Equity","CF_FREE_CASH_FLOW","1993-06-18","2026-05-02","Per=Y","Days=T","Dir=V")</f>
        <v>0</v>
      </c>
      <c r="AQ2">
        <f>BDH("EXOZ US Equity","PX_LAST","1993-06-18","2026-05-02","Per=M","Days=T","Dir=V")</f>
        <v>0</v>
      </c>
      <c r="AS2">
        <f>BDH("EXOZ US Equity","CUR_MKT_CAP","1993-06-18","2026-05-02","Per=M","Days=T","Dir=V")</f>
        <v>0</v>
      </c>
      <c r="AU2">
        <f>BDH("EXOZ US Equity","EQY_SH_OUT","1993-06-18","2026-05-02","Per=M","Days=T","Dir=V")</f>
        <v>0</v>
      </c>
      <c r="AW2">
        <f>BDH("EXOZ US Equity","PX_VOLUME","1993-06-18","2026-05-02","Per=M","Days=T","Dir=V")</f>
        <v>0</v>
      </c>
      <c r="AY2">
        <f>BDH("EXOZ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BDH("EXP US Equity","BS_TOT_ASSET","1993-06-18","2026-05-02","Per=Y","Days=T","Dir=V")</f>
        <v>0</v>
      </c>
      <c r="C2">
        <f>BDH("EXP US Equity","BS_TOT_LIAB2","1993-06-18","2026-05-02","Per=Y","Days=T","Dir=V")</f>
        <v>0</v>
      </c>
      <c r="E2">
        <f>BDH("EXP US Equity","SHORT_AND_LONG_TERM_DEBT","1993-06-18","2026-05-02","Per=Y","Days=T","Dir=V")</f>
        <v>0</v>
      </c>
      <c r="G2">
        <f>BDH("EXP US Equity","BS_ST_BORROW","1993-06-18","2026-05-02","Per=Y","Days=T","Dir=V")</f>
        <v>0</v>
      </c>
      <c r="I2">
        <f>BDH("EXP US Equity","BS_LT_BORROW","1993-06-18","2026-05-02","Per=Y","Days=T","Dir=V")</f>
        <v>0</v>
      </c>
      <c r="K2">
        <f>BDH("EXP US Equity","BS_CASH_NEAR_CASH_ITEM","1993-06-18","2026-05-02","Per=Y","Days=T","Dir=V")</f>
        <v>0</v>
      </c>
      <c r="M2">
        <f>BDH("EXP US Equity","BS_CUR_ASSET_REPORT","1993-06-18","2026-05-02","Per=Y","Days=T","Dir=V")</f>
        <v>0</v>
      </c>
      <c r="O2">
        <f>BDH("EXP US Equity","BS_CUR_LIAB","1993-06-18","2026-05-02","Per=Y","Days=T","Dir=V")</f>
        <v>0</v>
      </c>
      <c r="Q2">
        <f>BDH("EXP US Equity","BS_SHAREHOLDER_EQY_ENDING_PERIOD","1993-06-18","2026-05-02","Per=Y","Days=T","Dir=V")</f>
        <v>0</v>
      </c>
      <c r="S2">
        <f>BDH("EXP US Equity","BS_ACCT_NOTE_RCV","1993-06-18","2026-05-02","Per=Y","Days=T","Dir=V")</f>
        <v>0</v>
      </c>
      <c r="U2">
        <f>BDH("EXP US Equity","BS_INVENTORIES","1993-06-18","2026-05-02","Per=Y","Days=T","Dir=V")</f>
        <v>0</v>
      </c>
      <c r="W2">
        <f>BDH("EXP US Equity","WORKING_CAPITAL","1993-06-18","2026-05-02","Per=Y","Days=T","Dir=V")</f>
        <v>0</v>
      </c>
      <c r="Y2">
        <f>BDH("EXP US Equity","SALES_REV_TURN","1993-06-18","2026-05-02","Per=Y","Days=T","Dir=V")</f>
        <v>0</v>
      </c>
      <c r="AA2">
        <f>BDH("EXP US Equity","EBIT","1993-06-18","2026-05-02","Per=Y","Days=T","Dir=V")</f>
        <v>0</v>
      </c>
      <c r="AC2">
        <f>BDH("EXP US Equity","EBITDA","1993-06-18","2026-05-02","Per=Y","Days=T","Dir=V")</f>
        <v>0</v>
      </c>
      <c r="AE2">
        <f>BDH("EXP US Equity","NET_INCOME","1993-06-18","2026-05-02","Per=Y","Days=T","Dir=V")</f>
        <v>0</v>
      </c>
      <c r="AG2">
        <f>BDH("EXP US Equity","IS_INT_EXPENSE","1993-06-18","2026-05-02","Per=Y","Days=T","Dir=V")</f>
        <v>0</v>
      </c>
      <c r="AI2">
        <f>BDH("EXP US Equity","IS_DEPR_EXP","1993-06-18","2026-05-02","Per=Y","Days=T","Dir=V")</f>
        <v>0</v>
      </c>
      <c r="AK2">
        <f>BDH("EXP US Equity","CF_CASH_FROM_OPER","1993-06-18","2026-05-02","Per=Y","Days=T","Dir=V")</f>
        <v>0</v>
      </c>
      <c r="AM2">
        <f>BDH("EXP US Equity","CAPITAL_EXPEND","1993-06-18","2026-05-02","Per=Y","Days=T","Dir=V")</f>
        <v>0</v>
      </c>
      <c r="AO2">
        <f>BDH("EXP US Equity","CF_FREE_CASH_FLOW","1993-06-18","2026-05-02","Per=Y","Days=T","Dir=V")</f>
        <v>0</v>
      </c>
      <c r="AQ2">
        <f>BDH("EXP US Equity","PX_LAST","1993-06-18","2026-05-02","Per=M","Days=T","Dir=V")</f>
        <v>0</v>
      </c>
      <c r="AS2">
        <f>BDH("EXP US Equity","CUR_MKT_CAP","1993-06-18","2026-05-02","Per=M","Days=T","Dir=V")</f>
        <v>0</v>
      </c>
      <c r="AU2">
        <f>BDH("EXP US Equity","EQY_SH_OUT","1993-06-18","2026-05-02","Per=M","Days=T","Dir=V")</f>
        <v>0</v>
      </c>
      <c r="AW2">
        <f>BDH("EXP US Equity","PX_VOLUME","1993-06-18","2026-05-02","Per=M","Days=T","Dir=V")</f>
        <v>0</v>
      </c>
      <c r="AY2">
        <f>BDH("EXP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BDH("EXPD US Equity","BS_TOT_ASSET","1993-06-18","2026-05-02","Per=Y","Days=T","Dir=V")</f>
        <v>0</v>
      </c>
      <c r="C2">
        <f>BDH("EXPD US Equity","BS_TOT_LIAB2","1993-06-18","2026-05-02","Per=Y","Days=T","Dir=V")</f>
        <v>0</v>
      </c>
      <c r="E2">
        <f>BDH("EXPD US Equity","SHORT_AND_LONG_TERM_DEBT","1993-06-18","2026-05-02","Per=Y","Days=T","Dir=V")</f>
        <v>0</v>
      </c>
      <c r="G2">
        <f>BDH("EXPD US Equity","BS_ST_BORROW","1993-06-18","2026-05-02","Per=Y","Days=T","Dir=V")</f>
        <v>0</v>
      </c>
      <c r="I2">
        <f>BDH("EXPD US Equity","BS_LT_BORROW","1993-06-18","2026-05-02","Per=Y","Days=T","Dir=V")</f>
        <v>0</v>
      </c>
      <c r="K2">
        <f>BDH("EXPD US Equity","BS_CASH_NEAR_CASH_ITEM","1993-06-18","2026-05-02","Per=Y","Days=T","Dir=V")</f>
        <v>0</v>
      </c>
      <c r="M2">
        <f>BDH("EXPD US Equity","BS_CUR_ASSET_REPORT","1993-06-18","2026-05-02","Per=Y","Days=T","Dir=V")</f>
        <v>0</v>
      </c>
      <c r="O2">
        <f>BDH("EXPD US Equity","BS_CUR_LIAB","1993-06-18","2026-05-02","Per=Y","Days=T","Dir=V")</f>
        <v>0</v>
      </c>
      <c r="Q2">
        <f>BDH("EXPD US Equity","BS_SHAREHOLDER_EQY_ENDING_PERIOD","1993-06-18","2026-05-02","Per=Y","Days=T","Dir=V")</f>
        <v>0</v>
      </c>
      <c r="S2">
        <f>BDH("EXPD US Equity","BS_ACCT_NOTE_RCV","1993-06-18","2026-05-02","Per=Y","Days=T","Dir=V")</f>
        <v>0</v>
      </c>
      <c r="U2">
        <f>BDH("EXPD US Equity","BS_INVENTORIES","1993-06-18","2026-05-02","Per=Y","Days=T","Dir=V")</f>
        <v>0</v>
      </c>
      <c r="W2">
        <f>BDH("EXPD US Equity","WORKING_CAPITAL","1993-06-18","2026-05-02","Per=Y","Days=T","Dir=V")</f>
        <v>0</v>
      </c>
      <c r="Y2">
        <f>BDH("EXPD US Equity","SALES_REV_TURN","1993-06-18","2026-05-02","Per=Y","Days=T","Dir=V")</f>
        <v>0</v>
      </c>
      <c r="AA2">
        <f>BDH("EXPD US Equity","EBIT","1993-06-18","2026-05-02","Per=Y","Days=T","Dir=V")</f>
        <v>0</v>
      </c>
      <c r="AC2">
        <f>BDH("EXPD US Equity","EBITDA","1993-06-18","2026-05-02","Per=Y","Days=T","Dir=V")</f>
        <v>0</v>
      </c>
      <c r="AE2">
        <f>BDH("EXPD US Equity","NET_INCOME","1993-06-18","2026-05-02","Per=Y","Days=T","Dir=V")</f>
        <v>0</v>
      </c>
      <c r="AG2">
        <f>BDH("EXPD US Equity","IS_INT_EXPENSE","1993-06-18","2026-05-02","Per=Y","Days=T","Dir=V")</f>
        <v>0</v>
      </c>
      <c r="AI2">
        <f>BDH("EXPD US Equity","IS_DEPR_EXP","1993-06-18","2026-05-02","Per=Y","Days=T","Dir=V")</f>
        <v>0</v>
      </c>
      <c r="AK2">
        <f>BDH("EXPD US Equity","CF_CASH_FROM_OPER","1993-06-18","2026-05-02","Per=Y","Days=T","Dir=V")</f>
        <v>0</v>
      </c>
      <c r="AM2">
        <f>BDH("EXPD US Equity","CAPITAL_EXPEND","1993-06-18","2026-05-02","Per=Y","Days=T","Dir=V")</f>
        <v>0</v>
      </c>
      <c r="AO2">
        <f>BDH("EXPD US Equity","CF_FREE_CASH_FLOW","1993-06-18","2026-05-02","Per=Y","Days=T","Dir=V")</f>
        <v>0</v>
      </c>
      <c r="AQ2">
        <f>BDH("EXPD US Equity","PX_LAST","1993-06-18","2026-05-02","Per=M","Days=T","Dir=V")</f>
        <v>0</v>
      </c>
      <c r="AS2">
        <f>BDH("EXPD US Equity","CUR_MKT_CAP","1993-06-18","2026-05-02","Per=M","Days=T","Dir=V")</f>
        <v>0</v>
      </c>
      <c r="AU2">
        <f>BDH("EXPD US Equity","EQY_SH_OUT","1993-06-18","2026-05-02","Per=M","Days=T","Dir=V")</f>
        <v>0</v>
      </c>
      <c r="AW2">
        <f>BDH("EXPD US Equity","PX_VOLUME","1993-06-18","2026-05-02","Per=M","Days=T","Dir=V")</f>
        <v>0</v>
      </c>
      <c r="AY2">
        <f>BDH("EXPD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BDH("EXPE US Equity","BS_TOT_ASSET","1993-06-18","2026-05-02","Per=Y","Days=T","Dir=V")</f>
        <v>0</v>
      </c>
      <c r="C2">
        <f>BDH("EXPE US Equity","BS_TOT_LIAB2","1993-06-18","2026-05-02","Per=Y","Days=T","Dir=V")</f>
        <v>0</v>
      </c>
      <c r="E2">
        <f>BDH("EXPE US Equity","SHORT_AND_LONG_TERM_DEBT","1993-06-18","2026-05-02","Per=Y","Days=T","Dir=V")</f>
        <v>0</v>
      </c>
      <c r="G2">
        <f>BDH("EXPE US Equity","BS_ST_BORROW","1993-06-18","2026-05-02","Per=Y","Days=T","Dir=V")</f>
        <v>0</v>
      </c>
      <c r="I2">
        <f>BDH("EXPE US Equity","BS_LT_BORROW","1993-06-18","2026-05-02","Per=Y","Days=T","Dir=V")</f>
        <v>0</v>
      </c>
      <c r="K2">
        <f>BDH("EXPE US Equity","BS_CASH_NEAR_CASH_ITEM","1993-06-18","2026-05-02","Per=Y","Days=T","Dir=V")</f>
        <v>0</v>
      </c>
      <c r="M2">
        <f>BDH("EXPE US Equity","BS_CUR_ASSET_REPORT","1993-06-18","2026-05-02","Per=Y","Days=T","Dir=V")</f>
        <v>0</v>
      </c>
      <c r="O2">
        <f>BDH("EXPE US Equity","BS_CUR_LIAB","1993-06-18","2026-05-02","Per=Y","Days=T","Dir=V")</f>
        <v>0</v>
      </c>
      <c r="Q2">
        <f>BDH("EXPE US Equity","BS_SHAREHOLDER_EQY_ENDING_PERIOD","1993-06-18","2026-05-02","Per=Y","Days=T","Dir=V")</f>
        <v>0</v>
      </c>
      <c r="S2">
        <f>BDH("EXPE US Equity","BS_ACCT_NOTE_RCV","1993-06-18","2026-05-02","Per=Y","Days=T","Dir=V")</f>
        <v>0</v>
      </c>
      <c r="U2">
        <f>BDH("EXPE US Equity","BS_INVENTORIES","1993-06-18","2026-05-02","Per=Y","Days=T","Dir=V")</f>
        <v>0</v>
      </c>
      <c r="W2">
        <f>BDH("EXPE US Equity","WORKING_CAPITAL","1993-06-18","2026-05-02","Per=Y","Days=T","Dir=V")</f>
        <v>0</v>
      </c>
      <c r="Y2">
        <f>BDH("EXPE US Equity","SALES_REV_TURN","1993-06-18","2026-05-02","Per=Y","Days=T","Dir=V")</f>
        <v>0</v>
      </c>
      <c r="AA2">
        <f>BDH("EXPE US Equity","EBIT","1993-06-18","2026-05-02","Per=Y","Days=T","Dir=V")</f>
        <v>0</v>
      </c>
      <c r="AC2">
        <f>BDH("EXPE US Equity","EBITDA","1993-06-18","2026-05-02","Per=Y","Days=T","Dir=V")</f>
        <v>0</v>
      </c>
      <c r="AE2">
        <f>BDH("EXPE US Equity","NET_INCOME","1993-06-18","2026-05-02","Per=Y","Days=T","Dir=V")</f>
        <v>0</v>
      </c>
      <c r="AG2">
        <f>BDH("EXPE US Equity","IS_INT_EXPENSE","1993-06-18","2026-05-02","Per=Y","Days=T","Dir=V")</f>
        <v>0</v>
      </c>
      <c r="AI2">
        <f>BDH("EXPE US Equity","IS_DEPR_EXP","1993-06-18","2026-05-02","Per=Y","Days=T","Dir=V")</f>
        <v>0</v>
      </c>
      <c r="AK2">
        <f>BDH("EXPE US Equity","CF_CASH_FROM_OPER","1993-06-18","2026-05-02","Per=Y","Days=T","Dir=V")</f>
        <v>0</v>
      </c>
      <c r="AM2">
        <f>BDH("EXPE US Equity","CAPITAL_EXPEND","1993-06-18","2026-05-02","Per=Y","Days=T","Dir=V")</f>
        <v>0</v>
      </c>
      <c r="AO2">
        <f>BDH("EXPE US Equity","CF_FREE_CASH_FLOW","1993-06-18","2026-05-02","Per=Y","Days=T","Dir=V")</f>
        <v>0</v>
      </c>
      <c r="AQ2">
        <f>BDH("EXPE US Equity","PX_LAST","1993-06-18","2026-05-02","Per=M","Days=T","Dir=V")</f>
        <v>0</v>
      </c>
      <c r="AS2">
        <f>BDH("EXPE US Equity","CUR_MKT_CAP","1993-06-18","2026-05-02","Per=M","Days=T","Dir=V")</f>
        <v>0</v>
      </c>
      <c r="AU2">
        <f>BDH("EXPE US Equity","EQY_SH_OUT","1993-06-18","2026-05-02","Per=M","Days=T","Dir=V")</f>
        <v>0</v>
      </c>
      <c r="AW2">
        <f>BDH("EXPE US Equity","PX_VOLUME","1993-06-18","2026-05-02","Per=M","Days=T","Dir=V")</f>
        <v>0</v>
      </c>
      <c r="AY2">
        <f>BDH("EXPE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BDH("EXPO US Equity","BS_TOT_ASSET","1993-06-18","2026-05-02","Per=Y","Days=T","Dir=V")</f>
        <v>0</v>
      </c>
      <c r="C2">
        <f>BDH("EXPO US Equity","BS_TOT_LIAB2","1993-06-18","2026-05-02","Per=Y","Days=T","Dir=V")</f>
        <v>0</v>
      </c>
      <c r="E2">
        <f>BDH("EXPO US Equity","SHORT_AND_LONG_TERM_DEBT","1993-06-18","2026-05-02","Per=Y","Days=T","Dir=V")</f>
        <v>0</v>
      </c>
      <c r="G2">
        <f>BDH("EXPO US Equity","BS_ST_BORROW","1993-06-18","2026-05-02","Per=Y","Days=T","Dir=V")</f>
        <v>0</v>
      </c>
      <c r="I2">
        <f>BDH("EXPO US Equity","BS_LT_BORROW","1993-06-18","2026-05-02","Per=Y","Days=T","Dir=V")</f>
        <v>0</v>
      </c>
      <c r="K2">
        <f>BDH("EXPO US Equity","BS_CASH_NEAR_CASH_ITEM","1993-06-18","2026-05-02","Per=Y","Days=T","Dir=V")</f>
        <v>0</v>
      </c>
      <c r="M2">
        <f>BDH("EXPO US Equity","BS_CUR_ASSET_REPORT","1993-06-18","2026-05-02","Per=Y","Days=T","Dir=V")</f>
        <v>0</v>
      </c>
      <c r="O2">
        <f>BDH("EXPO US Equity","BS_CUR_LIAB","1993-06-18","2026-05-02","Per=Y","Days=T","Dir=V")</f>
        <v>0</v>
      </c>
      <c r="Q2">
        <f>BDH("EXPO US Equity","BS_SHAREHOLDER_EQY_ENDING_PERIOD","1993-06-18","2026-05-02","Per=Y","Days=T","Dir=V")</f>
        <v>0</v>
      </c>
      <c r="S2">
        <f>BDH("EXPO US Equity","BS_ACCT_NOTE_RCV","1993-06-18","2026-05-02","Per=Y","Days=T","Dir=V")</f>
        <v>0</v>
      </c>
      <c r="U2">
        <f>BDH("EXPO US Equity","BS_INVENTORIES","1993-06-18","2026-05-02","Per=Y","Days=T","Dir=V")</f>
        <v>0</v>
      </c>
      <c r="W2">
        <f>BDH("EXPO US Equity","WORKING_CAPITAL","1993-06-18","2026-05-02","Per=Y","Days=T","Dir=V")</f>
        <v>0</v>
      </c>
      <c r="Y2">
        <f>BDH("EXPO US Equity","SALES_REV_TURN","1993-06-18","2026-05-02","Per=Y","Days=T","Dir=V")</f>
        <v>0</v>
      </c>
      <c r="AA2">
        <f>BDH("EXPO US Equity","EBIT","1993-06-18","2026-05-02","Per=Y","Days=T","Dir=V")</f>
        <v>0</v>
      </c>
      <c r="AC2">
        <f>BDH("EXPO US Equity","EBITDA","1993-06-18","2026-05-02","Per=Y","Days=T","Dir=V")</f>
        <v>0</v>
      </c>
      <c r="AE2">
        <f>BDH("EXPO US Equity","NET_INCOME","1993-06-18","2026-05-02","Per=Y","Days=T","Dir=V")</f>
        <v>0</v>
      </c>
      <c r="AG2">
        <f>BDH("EXPO US Equity","IS_INT_EXPENSE","1993-06-18","2026-05-02","Per=Y","Days=T","Dir=V")</f>
        <v>0</v>
      </c>
      <c r="AI2">
        <f>BDH("EXPO US Equity","IS_DEPR_EXP","1993-06-18","2026-05-02","Per=Y","Days=T","Dir=V")</f>
        <v>0</v>
      </c>
      <c r="AK2">
        <f>BDH("EXPO US Equity","CF_CASH_FROM_OPER","1993-06-18","2026-05-02","Per=Y","Days=T","Dir=V")</f>
        <v>0</v>
      </c>
      <c r="AM2">
        <f>BDH("EXPO US Equity","CAPITAL_EXPEND","1993-06-18","2026-05-02","Per=Y","Days=T","Dir=V")</f>
        <v>0</v>
      </c>
      <c r="AO2">
        <f>BDH("EXPO US Equity","CF_FREE_CASH_FLOW","1993-06-18","2026-05-02","Per=Y","Days=T","Dir=V")</f>
        <v>0</v>
      </c>
      <c r="AQ2">
        <f>BDH("EXPO US Equity","PX_LAST","1993-06-18","2026-05-02","Per=M","Days=T","Dir=V")</f>
        <v>0</v>
      </c>
      <c r="AS2">
        <f>BDH("EXPO US Equity","CUR_MKT_CAP","1993-06-18","2026-05-02","Per=M","Days=T","Dir=V")</f>
        <v>0</v>
      </c>
      <c r="AU2">
        <f>BDH("EXPO US Equity","EQY_SH_OUT","1993-06-18","2026-05-02","Per=M","Days=T","Dir=V")</f>
        <v>0</v>
      </c>
      <c r="AW2">
        <f>BDH("EXPO US Equity","PX_VOLUME","1993-06-18","2026-05-02","Per=M","Days=T","Dir=V")</f>
        <v>0</v>
      </c>
      <c r="AY2">
        <f>BDH("EXPO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BDH("EXTR US Equity","BS_TOT_ASSET","1993-06-18","2026-05-02","Per=Y","Days=T","Dir=V")</f>
        <v>0</v>
      </c>
      <c r="C2">
        <f>BDH("EXTR US Equity","BS_TOT_LIAB2","1993-06-18","2026-05-02","Per=Y","Days=T","Dir=V")</f>
        <v>0</v>
      </c>
      <c r="E2">
        <f>BDH("EXTR US Equity","SHORT_AND_LONG_TERM_DEBT","1993-06-18","2026-05-02","Per=Y","Days=T","Dir=V")</f>
        <v>0</v>
      </c>
      <c r="G2">
        <f>BDH("EXTR US Equity","BS_ST_BORROW","1993-06-18","2026-05-02","Per=Y","Days=T","Dir=V")</f>
        <v>0</v>
      </c>
      <c r="I2">
        <f>BDH("EXTR US Equity","BS_LT_BORROW","1993-06-18","2026-05-02","Per=Y","Days=T","Dir=V")</f>
        <v>0</v>
      </c>
      <c r="K2">
        <f>BDH("EXTR US Equity","BS_CASH_NEAR_CASH_ITEM","1993-06-18","2026-05-02","Per=Y","Days=T","Dir=V")</f>
        <v>0</v>
      </c>
      <c r="M2">
        <f>BDH("EXTR US Equity","BS_CUR_ASSET_REPORT","1993-06-18","2026-05-02","Per=Y","Days=T","Dir=V")</f>
        <v>0</v>
      </c>
      <c r="O2">
        <f>BDH("EXTR US Equity","BS_CUR_LIAB","1993-06-18","2026-05-02","Per=Y","Days=T","Dir=V")</f>
        <v>0</v>
      </c>
      <c r="Q2">
        <f>BDH("EXTR US Equity","BS_SHAREHOLDER_EQY_ENDING_PERIOD","1993-06-18","2026-05-02","Per=Y","Days=T","Dir=V")</f>
        <v>0</v>
      </c>
      <c r="S2">
        <f>BDH("EXTR US Equity","BS_ACCT_NOTE_RCV","1993-06-18","2026-05-02","Per=Y","Days=T","Dir=V")</f>
        <v>0</v>
      </c>
      <c r="U2">
        <f>BDH("EXTR US Equity","BS_INVENTORIES","1993-06-18","2026-05-02","Per=Y","Days=T","Dir=V")</f>
        <v>0</v>
      </c>
      <c r="W2">
        <f>BDH("EXTR US Equity","WORKING_CAPITAL","1993-06-18","2026-05-02","Per=Y","Days=T","Dir=V")</f>
        <v>0</v>
      </c>
      <c r="Y2">
        <f>BDH("EXTR US Equity","SALES_REV_TURN","1993-06-18","2026-05-02","Per=Y","Days=T","Dir=V")</f>
        <v>0</v>
      </c>
      <c r="AA2">
        <f>BDH("EXTR US Equity","EBIT","1993-06-18","2026-05-02","Per=Y","Days=T","Dir=V")</f>
        <v>0</v>
      </c>
      <c r="AC2">
        <f>BDH("EXTR US Equity","EBITDA","1993-06-18","2026-05-02","Per=Y","Days=T","Dir=V")</f>
        <v>0</v>
      </c>
      <c r="AE2">
        <f>BDH("EXTR US Equity","NET_INCOME","1993-06-18","2026-05-02","Per=Y","Days=T","Dir=V")</f>
        <v>0</v>
      </c>
      <c r="AG2">
        <f>BDH("EXTR US Equity","IS_INT_EXPENSE","1993-06-18","2026-05-02","Per=Y","Days=T","Dir=V")</f>
        <v>0</v>
      </c>
      <c r="AI2">
        <f>BDH("EXTR US Equity","IS_DEPR_EXP","1993-06-18","2026-05-02","Per=Y","Days=T","Dir=V")</f>
        <v>0</v>
      </c>
      <c r="AK2">
        <f>BDH("EXTR US Equity","CF_CASH_FROM_OPER","1993-06-18","2026-05-02","Per=Y","Days=T","Dir=V")</f>
        <v>0</v>
      </c>
      <c r="AM2">
        <f>BDH("EXTR US Equity","CAPITAL_EXPEND","1993-06-18","2026-05-02","Per=Y","Days=T","Dir=V")</f>
        <v>0</v>
      </c>
      <c r="AO2">
        <f>BDH("EXTR US Equity","CF_FREE_CASH_FLOW","1993-06-18","2026-05-02","Per=Y","Days=T","Dir=V")</f>
        <v>0</v>
      </c>
      <c r="AQ2">
        <f>BDH("EXTR US Equity","PX_LAST","1993-06-18","2026-05-02","Per=M","Days=T","Dir=V")</f>
        <v>0</v>
      </c>
      <c r="AS2">
        <f>BDH("EXTR US Equity","CUR_MKT_CAP","1993-06-18","2026-05-02","Per=M","Days=T","Dir=V")</f>
        <v>0</v>
      </c>
      <c r="AU2">
        <f>BDH("EXTR US Equity","EQY_SH_OUT","1993-06-18","2026-05-02","Per=M","Days=T","Dir=V")</f>
        <v>0</v>
      </c>
      <c r="AW2">
        <f>BDH("EXTR US Equity","PX_VOLUME","1993-06-18","2026-05-02","Per=M","Days=T","Dir=V")</f>
        <v>0</v>
      </c>
      <c r="AY2">
        <f>BDH("EXTR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BDH("EXYN US Equity","BS_TOT_ASSET","1993-06-18","2026-05-02","Per=Y","Days=T","Dir=V")</f>
        <v>0</v>
      </c>
      <c r="C2">
        <f>BDH("EXYN US Equity","BS_TOT_LIAB2","1993-06-18","2026-05-02","Per=Y","Days=T","Dir=V")</f>
        <v>0</v>
      </c>
      <c r="E2">
        <f>BDH("EXYN US Equity","SHORT_AND_LONG_TERM_DEBT","1993-06-18","2026-05-02","Per=Y","Days=T","Dir=V")</f>
        <v>0</v>
      </c>
      <c r="G2">
        <f>BDH("EXYN US Equity","BS_ST_BORROW","1993-06-18","2026-05-02","Per=Y","Days=T","Dir=V")</f>
        <v>0</v>
      </c>
      <c r="I2">
        <f>BDH("EXYN US Equity","BS_LT_BORROW","1993-06-18","2026-05-02","Per=Y","Days=T","Dir=V")</f>
        <v>0</v>
      </c>
      <c r="K2">
        <f>BDH("EXYN US Equity","BS_CASH_NEAR_CASH_ITEM","1993-06-18","2026-05-02","Per=Y","Days=T","Dir=V")</f>
        <v>0</v>
      </c>
      <c r="M2">
        <f>BDH("EXYN US Equity","BS_CUR_ASSET_REPORT","1993-06-18","2026-05-02","Per=Y","Days=T","Dir=V")</f>
        <v>0</v>
      </c>
      <c r="O2">
        <f>BDH("EXYN US Equity","BS_CUR_LIAB","1993-06-18","2026-05-02","Per=Y","Days=T","Dir=V")</f>
        <v>0</v>
      </c>
      <c r="Q2">
        <f>BDH("EXYN US Equity","BS_SHAREHOLDER_EQY_ENDING_PERIOD","1993-06-18","2026-05-02","Per=Y","Days=T","Dir=V")</f>
        <v>0</v>
      </c>
      <c r="S2">
        <f>BDH("EXYN US Equity","BS_ACCT_NOTE_RCV","1993-06-18","2026-05-02","Per=Y","Days=T","Dir=V")</f>
        <v>0</v>
      </c>
      <c r="U2">
        <f>BDH("EXYN US Equity","BS_INVENTORIES","1993-06-18","2026-05-02","Per=Y","Days=T","Dir=V")</f>
        <v>0</v>
      </c>
      <c r="W2">
        <f>BDH("EXYN US Equity","WORKING_CAPITAL","1993-06-18","2026-05-02","Per=Y","Days=T","Dir=V")</f>
        <v>0</v>
      </c>
      <c r="Y2">
        <f>BDH("EXYN US Equity","SALES_REV_TURN","1993-06-18","2026-05-02","Per=Y","Days=T","Dir=V")</f>
        <v>0</v>
      </c>
      <c r="AA2">
        <f>BDH("EXYN US Equity","EBIT","1993-06-18","2026-05-02","Per=Y","Days=T","Dir=V")</f>
        <v>0</v>
      </c>
      <c r="AC2">
        <f>BDH("EXYN US Equity","EBITDA","1993-06-18","2026-05-02","Per=Y","Days=T","Dir=V")</f>
        <v>0</v>
      </c>
      <c r="AE2">
        <f>BDH("EXYN US Equity","NET_INCOME","1993-06-18","2026-05-02","Per=Y","Days=T","Dir=V")</f>
        <v>0</v>
      </c>
      <c r="AG2">
        <f>BDH("EXYN US Equity","IS_INT_EXPENSE","1993-06-18","2026-05-02","Per=Y","Days=T","Dir=V")</f>
        <v>0</v>
      </c>
      <c r="AI2">
        <f>BDH("EXYN US Equity","IS_DEPR_EXP","1993-06-18","2026-05-02","Per=Y","Days=T","Dir=V")</f>
        <v>0</v>
      </c>
      <c r="AK2">
        <f>BDH("EXYN US Equity","CF_CASH_FROM_OPER","1993-06-18","2026-05-02","Per=Y","Days=T","Dir=V")</f>
        <v>0</v>
      </c>
      <c r="AM2">
        <f>BDH("EXYN US Equity","CAPITAL_EXPEND","1993-06-18","2026-05-02","Per=Y","Days=T","Dir=V")</f>
        <v>0</v>
      </c>
      <c r="AO2">
        <f>BDH("EXYN US Equity","CF_FREE_CASH_FLOW","1993-06-18","2026-05-02","Per=Y","Days=T","Dir=V")</f>
        <v>0</v>
      </c>
      <c r="AQ2">
        <f>BDH("EXYN US Equity","PX_LAST","1993-06-18","2026-05-02","Per=M","Days=T","Dir=V")</f>
        <v>0</v>
      </c>
      <c r="AS2">
        <f>BDH("EXYN US Equity","CUR_MKT_CAP","1993-06-18","2026-05-02","Per=M","Days=T","Dir=V")</f>
        <v>0</v>
      </c>
      <c r="AU2">
        <f>BDH("EXYN US Equity","EQY_SH_OUT","1993-06-18","2026-05-02","Per=M","Days=T","Dir=V")</f>
        <v>0</v>
      </c>
      <c r="AW2">
        <f>BDH("EXYN US Equity","PX_VOLUME","1993-06-18","2026-05-02","Per=M","Days=T","Dir=V")</f>
        <v>0</v>
      </c>
      <c r="AY2">
        <f>BDH("EXYN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BDH("EXYNW US Equity","BS_TOT_ASSET","1993-06-18","2026-05-02","Per=Y","Days=T","Dir=V")</f>
        <v>0</v>
      </c>
      <c r="C2">
        <f>BDH("EXYNW US Equity","BS_TOT_LIAB2","1993-06-18","2026-05-02","Per=Y","Days=T","Dir=V")</f>
        <v>0</v>
      </c>
      <c r="E2">
        <f>BDH("EXYNW US Equity","SHORT_AND_LONG_TERM_DEBT","1993-06-18","2026-05-02","Per=Y","Days=T","Dir=V")</f>
        <v>0</v>
      </c>
      <c r="G2">
        <f>BDH("EXYNW US Equity","BS_ST_BORROW","1993-06-18","2026-05-02","Per=Y","Days=T","Dir=V")</f>
        <v>0</v>
      </c>
      <c r="I2">
        <f>BDH("EXYNW US Equity","BS_LT_BORROW","1993-06-18","2026-05-02","Per=Y","Days=T","Dir=V")</f>
        <v>0</v>
      </c>
      <c r="K2">
        <f>BDH("EXYNW US Equity","BS_CASH_NEAR_CASH_ITEM","1993-06-18","2026-05-02","Per=Y","Days=T","Dir=V")</f>
        <v>0</v>
      </c>
      <c r="M2">
        <f>BDH("EXYNW US Equity","BS_CUR_ASSET_REPORT","1993-06-18","2026-05-02","Per=Y","Days=T","Dir=V")</f>
        <v>0</v>
      </c>
      <c r="O2">
        <f>BDH("EXYNW US Equity","BS_CUR_LIAB","1993-06-18","2026-05-02","Per=Y","Days=T","Dir=V")</f>
        <v>0</v>
      </c>
      <c r="Q2">
        <f>BDH("EXYNW US Equity","BS_SHAREHOLDER_EQY_ENDING_PERIOD","1993-06-18","2026-05-02","Per=Y","Days=T","Dir=V")</f>
        <v>0</v>
      </c>
      <c r="S2">
        <f>BDH("EXYNW US Equity","BS_ACCT_NOTE_RCV","1993-06-18","2026-05-02","Per=Y","Days=T","Dir=V")</f>
        <v>0</v>
      </c>
      <c r="U2">
        <f>BDH("EXYNW US Equity","BS_INVENTORIES","1993-06-18","2026-05-02","Per=Y","Days=T","Dir=V")</f>
        <v>0</v>
      </c>
      <c r="W2">
        <f>BDH("EXYNW US Equity","WORKING_CAPITAL","1993-06-18","2026-05-02","Per=Y","Days=T","Dir=V")</f>
        <v>0</v>
      </c>
      <c r="Y2">
        <f>BDH("EXYNW US Equity","SALES_REV_TURN","1993-06-18","2026-05-02","Per=Y","Days=T","Dir=V")</f>
        <v>0</v>
      </c>
      <c r="AA2">
        <f>BDH("EXYNW US Equity","EBIT","1993-06-18","2026-05-02","Per=Y","Days=T","Dir=V")</f>
        <v>0</v>
      </c>
      <c r="AC2">
        <f>BDH("EXYNW US Equity","EBITDA","1993-06-18","2026-05-02","Per=Y","Days=T","Dir=V")</f>
        <v>0</v>
      </c>
      <c r="AE2">
        <f>BDH("EXYNW US Equity","NET_INCOME","1993-06-18","2026-05-02","Per=Y","Days=T","Dir=V")</f>
        <v>0</v>
      </c>
      <c r="AG2">
        <f>BDH("EXYNW US Equity","IS_INT_EXPENSE","1993-06-18","2026-05-02","Per=Y","Days=T","Dir=V")</f>
        <v>0</v>
      </c>
      <c r="AI2">
        <f>BDH("EXYNW US Equity","IS_DEPR_EXP","1993-06-18","2026-05-02","Per=Y","Days=T","Dir=V")</f>
        <v>0</v>
      </c>
      <c r="AK2">
        <f>BDH("EXYNW US Equity","CF_CASH_FROM_OPER","1993-06-18","2026-05-02","Per=Y","Days=T","Dir=V")</f>
        <v>0</v>
      </c>
      <c r="AM2">
        <f>BDH("EXYNW US Equity","CAPITAL_EXPEND","1993-06-18","2026-05-02","Per=Y","Days=T","Dir=V")</f>
        <v>0</v>
      </c>
      <c r="AO2">
        <f>BDH("EXYNW US Equity","CF_FREE_CASH_FLOW","1993-06-18","2026-05-02","Per=Y","Days=T","Dir=V")</f>
        <v>0</v>
      </c>
      <c r="AQ2">
        <f>BDH("EXYNW US Equity","PX_LAST","1993-06-18","2026-05-02","Per=M","Days=T","Dir=V")</f>
        <v>0</v>
      </c>
      <c r="AS2">
        <f>BDH("EXYNW US Equity","CUR_MKT_CAP","1993-06-18","2026-05-02","Per=M","Days=T","Dir=V")</f>
        <v>0</v>
      </c>
      <c r="AU2">
        <f>BDH("EXYNW US Equity","EQY_SH_OUT","1993-06-18","2026-05-02","Per=M","Days=T","Dir=V")</f>
        <v>0</v>
      </c>
      <c r="AW2">
        <f>BDH("EXYNW US Equity","PX_VOLUME","1993-06-18","2026-05-02","Per=M","Days=T","Dir=V")</f>
        <v>0</v>
      </c>
      <c r="AY2">
        <f>BDH("EXYNW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BDH("EYE US Equity","BS_TOT_ASSET","1993-06-18","2026-05-02","Per=Y","Days=T","Dir=V")</f>
        <v>0</v>
      </c>
      <c r="C2">
        <f>BDH("EYE US Equity","BS_TOT_LIAB2","1993-06-18","2026-05-02","Per=Y","Days=T","Dir=V")</f>
        <v>0</v>
      </c>
      <c r="E2">
        <f>BDH("EYE US Equity","SHORT_AND_LONG_TERM_DEBT","1993-06-18","2026-05-02","Per=Y","Days=T","Dir=V")</f>
        <v>0</v>
      </c>
      <c r="G2">
        <f>BDH("EYE US Equity","BS_ST_BORROW","1993-06-18","2026-05-02","Per=Y","Days=T","Dir=V")</f>
        <v>0</v>
      </c>
      <c r="I2">
        <f>BDH("EYE US Equity","BS_LT_BORROW","1993-06-18","2026-05-02","Per=Y","Days=T","Dir=V")</f>
        <v>0</v>
      </c>
      <c r="K2">
        <f>BDH("EYE US Equity","BS_CASH_NEAR_CASH_ITEM","1993-06-18","2026-05-02","Per=Y","Days=T","Dir=V")</f>
        <v>0</v>
      </c>
      <c r="M2">
        <f>BDH("EYE US Equity","BS_CUR_ASSET_REPORT","1993-06-18","2026-05-02","Per=Y","Days=T","Dir=V")</f>
        <v>0</v>
      </c>
      <c r="O2">
        <f>BDH("EYE US Equity","BS_CUR_LIAB","1993-06-18","2026-05-02","Per=Y","Days=T","Dir=V")</f>
        <v>0</v>
      </c>
      <c r="Q2">
        <f>BDH("EYE US Equity","BS_SHAREHOLDER_EQY_ENDING_PERIOD","1993-06-18","2026-05-02","Per=Y","Days=T","Dir=V")</f>
        <v>0</v>
      </c>
      <c r="S2">
        <f>BDH("EYE US Equity","BS_ACCT_NOTE_RCV","1993-06-18","2026-05-02","Per=Y","Days=T","Dir=V")</f>
        <v>0</v>
      </c>
      <c r="U2">
        <f>BDH("EYE US Equity","BS_INVENTORIES","1993-06-18","2026-05-02","Per=Y","Days=T","Dir=V")</f>
        <v>0</v>
      </c>
      <c r="W2">
        <f>BDH("EYE US Equity","WORKING_CAPITAL","1993-06-18","2026-05-02","Per=Y","Days=T","Dir=V")</f>
        <v>0</v>
      </c>
      <c r="Y2">
        <f>BDH("EYE US Equity","SALES_REV_TURN","1993-06-18","2026-05-02","Per=Y","Days=T","Dir=V")</f>
        <v>0</v>
      </c>
      <c r="AA2">
        <f>BDH("EYE US Equity","EBIT","1993-06-18","2026-05-02","Per=Y","Days=T","Dir=V")</f>
        <v>0</v>
      </c>
      <c r="AC2">
        <f>BDH("EYE US Equity","EBITDA","1993-06-18","2026-05-02","Per=Y","Days=T","Dir=V")</f>
        <v>0</v>
      </c>
      <c r="AE2">
        <f>BDH("EYE US Equity","NET_INCOME","1993-06-18","2026-05-02","Per=Y","Days=T","Dir=V")</f>
        <v>0</v>
      </c>
      <c r="AG2">
        <f>BDH("EYE US Equity","IS_INT_EXPENSE","1993-06-18","2026-05-02","Per=Y","Days=T","Dir=V")</f>
        <v>0</v>
      </c>
      <c r="AI2">
        <f>BDH("EYE US Equity","IS_DEPR_EXP","1993-06-18","2026-05-02","Per=Y","Days=T","Dir=V")</f>
        <v>0</v>
      </c>
      <c r="AK2">
        <f>BDH("EYE US Equity","CF_CASH_FROM_OPER","1993-06-18","2026-05-02","Per=Y","Days=T","Dir=V")</f>
        <v>0</v>
      </c>
      <c r="AM2">
        <f>BDH("EYE US Equity","CAPITAL_EXPEND","1993-06-18","2026-05-02","Per=Y","Days=T","Dir=V")</f>
        <v>0</v>
      </c>
      <c r="AO2">
        <f>BDH("EYE US Equity","CF_FREE_CASH_FLOW","1993-06-18","2026-05-02","Per=Y","Days=T","Dir=V")</f>
        <v>0</v>
      </c>
      <c r="AQ2">
        <f>BDH("EYE US Equity","PX_LAST","1993-06-18","2026-05-02","Per=M","Days=T","Dir=V")</f>
        <v>0</v>
      </c>
      <c r="AS2">
        <f>BDH("EYE US Equity","CUR_MKT_CAP","1993-06-18","2026-05-02","Per=M","Days=T","Dir=V")</f>
        <v>0</v>
      </c>
      <c r="AU2">
        <f>BDH("EYE US Equity","EQY_SH_OUT","1993-06-18","2026-05-02","Per=M","Days=T","Dir=V")</f>
        <v>0</v>
      </c>
      <c r="AW2">
        <f>BDH("EYE US Equity","PX_VOLUME","1993-06-18","2026-05-02","Per=M","Days=T","Dir=V")</f>
        <v>0</v>
      </c>
      <c r="AY2">
        <f>BDH("EYE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BDH("EYPT US Equity","BS_TOT_ASSET","1993-06-18","2026-05-02","Per=Y","Days=T","Dir=V")</f>
        <v>0</v>
      </c>
      <c r="C2">
        <f>BDH("EYPT US Equity","BS_TOT_LIAB2","1993-06-18","2026-05-02","Per=Y","Days=T","Dir=V")</f>
        <v>0</v>
      </c>
      <c r="E2">
        <f>BDH("EYPT US Equity","SHORT_AND_LONG_TERM_DEBT","1993-06-18","2026-05-02","Per=Y","Days=T","Dir=V")</f>
        <v>0</v>
      </c>
      <c r="G2">
        <f>BDH("EYPT US Equity","BS_ST_BORROW","1993-06-18","2026-05-02","Per=Y","Days=T","Dir=V")</f>
        <v>0</v>
      </c>
      <c r="I2">
        <f>BDH("EYPT US Equity","BS_LT_BORROW","1993-06-18","2026-05-02","Per=Y","Days=T","Dir=V")</f>
        <v>0</v>
      </c>
      <c r="K2">
        <f>BDH("EYPT US Equity","BS_CASH_NEAR_CASH_ITEM","1993-06-18","2026-05-02","Per=Y","Days=T","Dir=V")</f>
        <v>0</v>
      </c>
      <c r="M2">
        <f>BDH("EYPT US Equity","BS_CUR_ASSET_REPORT","1993-06-18","2026-05-02","Per=Y","Days=T","Dir=V")</f>
        <v>0</v>
      </c>
      <c r="O2">
        <f>BDH("EYPT US Equity","BS_CUR_LIAB","1993-06-18","2026-05-02","Per=Y","Days=T","Dir=V")</f>
        <v>0</v>
      </c>
      <c r="Q2">
        <f>BDH("EYPT US Equity","BS_SHAREHOLDER_EQY_ENDING_PERIOD","1993-06-18","2026-05-02","Per=Y","Days=T","Dir=V")</f>
        <v>0</v>
      </c>
      <c r="S2">
        <f>BDH("EYPT US Equity","BS_ACCT_NOTE_RCV","1993-06-18","2026-05-02","Per=Y","Days=T","Dir=V")</f>
        <v>0</v>
      </c>
      <c r="U2">
        <f>BDH("EYPT US Equity","BS_INVENTORIES","1993-06-18","2026-05-02","Per=Y","Days=T","Dir=V")</f>
        <v>0</v>
      </c>
      <c r="W2">
        <f>BDH("EYPT US Equity","WORKING_CAPITAL","1993-06-18","2026-05-02","Per=Y","Days=T","Dir=V")</f>
        <v>0</v>
      </c>
      <c r="Y2">
        <f>BDH("EYPT US Equity","SALES_REV_TURN","1993-06-18","2026-05-02","Per=Y","Days=T","Dir=V")</f>
        <v>0</v>
      </c>
      <c r="AA2">
        <f>BDH("EYPT US Equity","EBIT","1993-06-18","2026-05-02","Per=Y","Days=T","Dir=V")</f>
        <v>0</v>
      </c>
      <c r="AC2">
        <f>BDH("EYPT US Equity","EBITDA","1993-06-18","2026-05-02","Per=Y","Days=T","Dir=V")</f>
        <v>0</v>
      </c>
      <c r="AE2">
        <f>BDH("EYPT US Equity","NET_INCOME","1993-06-18","2026-05-02","Per=Y","Days=T","Dir=V")</f>
        <v>0</v>
      </c>
      <c r="AG2">
        <f>BDH("EYPT US Equity","IS_INT_EXPENSE","1993-06-18","2026-05-02","Per=Y","Days=T","Dir=V")</f>
        <v>0</v>
      </c>
      <c r="AI2">
        <f>BDH("EYPT US Equity","IS_DEPR_EXP","1993-06-18","2026-05-02","Per=Y","Days=T","Dir=V")</f>
        <v>0</v>
      </c>
      <c r="AK2">
        <f>BDH("EYPT US Equity","CF_CASH_FROM_OPER","1993-06-18","2026-05-02","Per=Y","Days=T","Dir=V")</f>
        <v>0</v>
      </c>
      <c r="AM2">
        <f>BDH("EYPT US Equity","CAPITAL_EXPEND","1993-06-18","2026-05-02","Per=Y","Days=T","Dir=V")</f>
        <v>0</v>
      </c>
      <c r="AO2">
        <f>BDH("EYPT US Equity","CF_FREE_CASH_FLOW","1993-06-18","2026-05-02","Per=Y","Days=T","Dir=V")</f>
        <v>0</v>
      </c>
      <c r="AQ2">
        <f>BDH("EYPT US Equity","PX_LAST","1993-06-18","2026-05-02","Per=M","Days=T","Dir=V")</f>
        <v>0</v>
      </c>
      <c r="AS2">
        <f>BDH("EYPT US Equity","CUR_MKT_CAP","1993-06-18","2026-05-02","Per=M","Days=T","Dir=V")</f>
        <v>0</v>
      </c>
      <c r="AU2">
        <f>BDH("EYPT US Equity","EQY_SH_OUT","1993-06-18","2026-05-02","Per=M","Days=T","Dir=V")</f>
        <v>0</v>
      </c>
      <c r="AW2">
        <f>BDH("EYPT US Equity","PX_VOLUME","1993-06-18","2026-05-02","Per=M","Days=T","Dir=V")</f>
        <v>0</v>
      </c>
      <c r="AY2">
        <f>BDH("EYPT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BDH("EZPW US Equity","BS_TOT_ASSET","1993-06-18","2026-05-02","Per=Y","Days=T","Dir=V")</f>
        <v>0</v>
      </c>
      <c r="C2">
        <f>BDH("EZPW US Equity","BS_TOT_LIAB2","1993-06-18","2026-05-02","Per=Y","Days=T","Dir=V")</f>
        <v>0</v>
      </c>
      <c r="E2">
        <f>BDH("EZPW US Equity","SHORT_AND_LONG_TERM_DEBT","1993-06-18","2026-05-02","Per=Y","Days=T","Dir=V")</f>
        <v>0</v>
      </c>
      <c r="G2">
        <f>BDH("EZPW US Equity","BS_ST_BORROW","1993-06-18","2026-05-02","Per=Y","Days=T","Dir=V")</f>
        <v>0</v>
      </c>
      <c r="I2">
        <f>BDH("EZPW US Equity","BS_LT_BORROW","1993-06-18","2026-05-02","Per=Y","Days=T","Dir=V")</f>
        <v>0</v>
      </c>
      <c r="K2">
        <f>BDH("EZPW US Equity","BS_CASH_NEAR_CASH_ITEM","1993-06-18","2026-05-02","Per=Y","Days=T","Dir=V")</f>
        <v>0</v>
      </c>
      <c r="M2">
        <f>BDH("EZPW US Equity","BS_CUR_ASSET_REPORT","1993-06-18","2026-05-02","Per=Y","Days=T","Dir=V")</f>
        <v>0</v>
      </c>
      <c r="O2">
        <f>BDH("EZPW US Equity","BS_CUR_LIAB","1993-06-18","2026-05-02","Per=Y","Days=T","Dir=V")</f>
        <v>0</v>
      </c>
      <c r="Q2">
        <f>BDH("EZPW US Equity","BS_SHAREHOLDER_EQY_ENDING_PERIOD","1993-06-18","2026-05-02","Per=Y","Days=T","Dir=V")</f>
        <v>0</v>
      </c>
      <c r="S2">
        <f>BDH("EZPW US Equity","BS_ACCT_NOTE_RCV","1993-06-18","2026-05-02","Per=Y","Days=T","Dir=V")</f>
        <v>0</v>
      </c>
      <c r="U2">
        <f>BDH("EZPW US Equity","BS_INVENTORIES","1993-06-18","2026-05-02","Per=Y","Days=T","Dir=V")</f>
        <v>0</v>
      </c>
      <c r="W2">
        <f>BDH("EZPW US Equity","WORKING_CAPITAL","1993-06-18","2026-05-02","Per=Y","Days=T","Dir=V")</f>
        <v>0</v>
      </c>
      <c r="Y2">
        <f>BDH("EZPW US Equity","SALES_REV_TURN","1993-06-18","2026-05-02","Per=Y","Days=T","Dir=V")</f>
        <v>0</v>
      </c>
      <c r="AA2">
        <f>BDH("EZPW US Equity","EBIT","1993-06-18","2026-05-02","Per=Y","Days=T","Dir=V")</f>
        <v>0</v>
      </c>
      <c r="AC2">
        <f>BDH("EZPW US Equity","EBITDA","1993-06-18","2026-05-02","Per=Y","Days=T","Dir=V")</f>
        <v>0</v>
      </c>
      <c r="AE2">
        <f>BDH("EZPW US Equity","NET_INCOME","1993-06-18","2026-05-02","Per=Y","Days=T","Dir=V")</f>
        <v>0</v>
      </c>
      <c r="AG2">
        <f>BDH("EZPW US Equity","IS_INT_EXPENSE","1993-06-18","2026-05-02","Per=Y","Days=T","Dir=V")</f>
        <v>0</v>
      </c>
      <c r="AI2">
        <f>BDH("EZPW US Equity","IS_DEPR_EXP","1993-06-18","2026-05-02","Per=Y","Days=T","Dir=V")</f>
        <v>0</v>
      </c>
      <c r="AK2">
        <f>BDH("EZPW US Equity","CF_CASH_FROM_OPER","1993-06-18","2026-05-02","Per=Y","Days=T","Dir=V")</f>
        <v>0</v>
      </c>
      <c r="AM2">
        <f>BDH("EZPW US Equity","CAPITAL_EXPEND","1993-06-18","2026-05-02","Per=Y","Days=T","Dir=V")</f>
        <v>0</v>
      </c>
      <c r="AO2">
        <f>BDH("EZPW US Equity","CF_FREE_CASH_FLOW","1993-06-18","2026-05-02","Per=Y","Days=T","Dir=V")</f>
        <v>0</v>
      </c>
      <c r="AQ2">
        <f>BDH("EZPW US Equity","PX_LAST","1993-06-18","2026-05-02","Per=M","Days=T","Dir=V")</f>
        <v>0</v>
      </c>
      <c r="AS2">
        <f>BDH("EZPW US Equity","CUR_MKT_CAP","1993-06-18","2026-05-02","Per=M","Days=T","Dir=V")</f>
        <v>0</v>
      </c>
      <c r="AU2">
        <f>BDH("EZPW US Equity","EQY_SH_OUT","1993-06-18","2026-05-02","Per=M","Days=T","Dir=V")</f>
        <v>0</v>
      </c>
      <c r="AW2">
        <f>BDH("EZPW US Equity","PX_VOLUME","1993-06-18","2026-05-02","Per=M","Days=T","Dir=V")</f>
        <v>0</v>
      </c>
      <c r="AY2">
        <f>BDH("EZPW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 US Equity","BS_TOT_ASSET","1993-06-18","2026-05-02","Per=Y","Days=T","Dir=V")</f>
        <v>0</v>
      </c>
      <c r="C2">
        <f>BDH("F US Equity","BS_TOT_LIAB2","1993-06-18","2026-05-02","Per=Y","Days=T","Dir=V")</f>
        <v>0</v>
      </c>
      <c r="E2">
        <f>BDH("F US Equity","SHORT_AND_LONG_TERM_DEBT","1993-06-18","2026-05-02","Per=Y","Days=T","Dir=V")</f>
        <v>0</v>
      </c>
      <c r="G2">
        <f>BDH("F US Equity","BS_ST_BORROW","1993-06-18","2026-05-02","Per=Y","Days=T","Dir=V")</f>
        <v>0</v>
      </c>
      <c r="I2">
        <f>BDH("F US Equity","BS_LT_BORROW","1993-06-18","2026-05-02","Per=Y","Days=T","Dir=V")</f>
        <v>0</v>
      </c>
      <c r="K2">
        <f>BDH("F US Equity","BS_CASH_NEAR_CASH_ITEM","1993-06-18","2026-05-02","Per=Y","Days=T","Dir=V")</f>
        <v>0</v>
      </c>
      <c r="M2">
        <f>BDH("F US Equity","BS_CUR_ASSET_REPORT","1993-06-18","2026-05-02","Per=Y","Days=T","Dir=V")</f>
        <v>0</v>
      </c>
      <c r="O2">
        <f>BDH("F US Equity","BS_CUR_LIAB","1993-06-18","2026-05-02","Per=Y","Days=T","Dir=V")</f>
        <v>0</v>
      </c>
      <c r="Q2">
        <f>BDH("F US Equity","BS_SHAREHOLDER_EQY_ENDING_PERIOD","1993-06-18","2026-05-02","Per=Y","Days=T","Dir=V")</f>
        <v>0</v>
      </c>
      <c r="S2">
        <f>BDH("F US Equity","BS_ACCT_NOTE_RCV","1993-06-18","2026-05-02","Per=Y","Days=T","Dir=V")</f>
        <v>0</v>
      </c>
      <c r="U2">
        <f>BDH("F US Equity","BS_INVENTORIES","1993-06-18","2026-05-02","Per=Y","Days=T","Dir=V")</f>
        <v>0</v>
      </c>
      <c r="W2">
        <f>BDH("F US Equity","WORKING_CAPITAL","1993-06-18","2026-05-02","Per=Y","Days=T","Dir=V")</f>
        <v>0</v>
      </c>
      <c r="Y2">
        <f>BDH("F US Equity","SALES_REV_TURN","1993-06-18","2026-05-02","Per=Y","Days=T","Dir=V")</f>
        <v>0</v>
      </c>
      <c r="AA2">
        <f>BDH("F US Equity","EBIT","1993-06-18","2026-05-02","Per=Y","Days=T","Dir=V")</f>
        <v>0</v>
      </c>
      <c r="AC2">
        <f>BDH("F US Equity","EBITDA","1993-06-18","2026-05-02","Per=Y","Days=T","Dir=V")</f>
        <v>0</v>
      </c>
      <c r="AE2">
        <f>BDH("F US Equity","NET_INCOME","1993-06-18","2026-05-02","Per=Y","Days=T","Dir=V")</f>
        <v>0</v>
      </c>
      <c r="AG2">
        <f>BDH("F US Equity","IS_INT_EXPENSE","1993-06-18","2026-05-02","Per=Y","Days=T","Dir=V")</f>
        <v>0</v>
      </c>
      <c r="AI2">
        <f>BDH("F US Equity","IS_DEPR_EXP","1993-06-18","2026-05-02","Per=Y","Days=T","Dir=V")</f>
        <v>0</v>
      </c>
      <c r="AK2">
        <f>BDH("F US Equity","CF_CASH_FROM_OPER","1993-06-18","2026-05-02","Per=Y","Days=T","Dir=V")</f>
        <v>0</v>
      </c>
      <c r="AM2">
        <f>BDH("F US Equity","CAPITAL_EXPEND","1993-06-18","2026-05-02","Per=Y","Days=T","Dir=V")</f>
        <v>0</v>
      </c>
      <c r="AO2">
        <f>BDH("F US Equity","CF_FREE_CASH_FLOW","1993-06-18","2026-05-02","Per=Y","Days=T","Dir=V")</f>
        <v>0</v>
      </c>
      <c r="AQ2">
        <f>BDH("F US Equity","PX_LAST","1993-06-18","2026-05-02","Per=M","Days=T","Dir=V")</f>
        <v>0</v>
      </c>
      <c r="AS2">
        <f>BDH("F US Equity","CUR_MKT_CAP","1993-06-18","2026-05-02","Per=M","Days=T","Dir=V")</f>
        <v>0</v>
      </c>
      <c r="AU2">
        <f>BDH("F US Equity","EQY_SH_OUT","1993-06-18","2026-05-02","Per=M","Days=T","Dir=V")</f>
        <v>0</v>
      </c>
      <c r="AW2">
        <f>BDH("F US Equity","PX_VOLUME","1993-06-18","2026-05-02","Per=M","Days=T","Dir=V")</f>
        <v>0</v>
      </c>
      <c r="AY2">
        <f>BDH("F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BDH("FA US Equity","BS_TOT_ASSET","1993-06-18","2026-05-02","Per=Y","Days=T","Dir=V")</f>
        <v>0</v>
      </c>
      <c r="C2">
        <f>BDH("FA US Equity","BS_TOT_LIAB2","1993-06-18","2026-05-02","Per=Y","Days=T","Dir=V")</f>
        <v>0</v>
      </c>
      <c r="E2">
        <f>BDH("FA US Equity","SHORT_AND_LONG_TERM_DEBT","1993-06-18","2026-05-02","Per=Y","Days=T","Dir=V")</f>
        <v>0</v>
      </c>
      <c r="G2">
        <f>BDH("FA US Equity","BS_ST_BORROW","1993-06-18","2026-05-02","Per=Y","Days=T","Dir=V")</f>
        <v>0</v>
      </c>
      <c r="I2">
        <f>BDH("FA US Equity","BS_LT_BORROW","1993-06-18","2026-05-02","Per=Y","Days=T","Dir=V")</f>
        <v>0</v>
      </c>
      <c r="K2">
        <f>BDH("FA US Equity","BS_CASH_NEAR_CASH_ITEM","1993-06-18","2026-05-02","Per=Y","Days=T","Dir=V")</f>
        <v>0</v>
      </c>
      <c r="M2">
        <f>BDH("FA US Equity","BS_CUR_ASSET_REPORT","1993-06-18","2026-05-02","Per=Y","Days=T","Dir=V")</f>
        <v>0</v>
      </c>
      <c r="O2">
        <f>BDH("FA US Equity","BS_CUR_LIAB","1993-06-18","2026-05-02","Per=Y","Days=T","Dir=V")</f>
        <v>0</v>
      </c>
      <c r="Q2">
        <f>BDH("FA US Equity","BS_SHAREHOLDER_EQY_ENDING_PERIOD","1993-06-18","2026-05-02","Per=Y","Days=T","Dir=V")</f>
        <v>0</v>
      </c>
      <c r="S2">
        <f>BDH("FA US Equity","BS_ACCT_NOTE_RCV","1993-06-18","2026-05-02","Per=Y","Days=T","Dir=V")</f>
        <v>0</v>
      </c>
      <c r="U2">
        <f>BDH("FA US Equity","BS_INVENTORIES","1993-06-18","2026-05-02","Per=Y","Days=T","Dir=V")</f>
        <v>0</v>
      </c>
      <c r="W2">
        <f>BDH("FA US Equity","WORKING_CAPITAL","1993-06-18","2026-05-02","Per=Y","Days=T","Dir=V")</f>
        <v>0</v>
      </c>
      <c r="Y2">
        <f>BDH("FA US Equity","SALES_REV_TURN","1993-06-18","2026-05-02","Per=Y","Days=T","Dir=V")</f>
        <v>0</v>
      </c>
      <c r="AA2">
        <f>BDH("FA US Equity","EBIT","1993-06-18","2026-05-02","Per=Y","Days=T","Dir=V")</f>
        <v>0</v>
      </c>
      <c r="AC2">
        <f>BDH("FA US Equity","EBITDA","1993-06-18","2026-05-02","Per=Y","Days=T","Dir=V")</f>
        <v>0</v>
      </c>
      <c r="AE2">
        <f>BDH("FA US Equity","NET_INCOME","1993-06-18","2026-05-02","Per=Y","Days=T","Dir=V")</f>
        <v>0</v>
      </c>
      <c r="AG2">
        <f>BDH("FA US Equity","IS_INT_EXPENSE","1993-06-18","2026-05-02","Per=Y","Days=T","Dir=V")</f>
        <v>0</v>
      </c>
      <c r="AI2">
        <f>BDH("FA US Equity","IS_DEPR_EXP","1993-06-18","2026-05-02","Per=Y","Days=T","Dir=V")</f>
        <v>0</v>
      </c>
      <c r="AK2">
        <f>BDH("FA US Equity","CF_CASH_FROM_OPER","1993-06-18","2026-05-02","Per=Y","Days=T","Dir=V")</f>
        <v>0</v>
      </c>
      <c r="AM2">
        <f>BDH("FA US Equity","CAPITAL_EXPEND","1993-06-18","2026-05-02","Per=Y","Days=T","Dir=V")</f>
        <v>0</v>
      </c>
      <c r="AO2">
        <f>BDH("FA US Equity","CF_FREE_CASH_FLOW","1993-06-18","2026-05-02","Per=Y","Days=T","Dir=V")</f>
        <v>0</v>
      </c>
      <c r="AQ2">
        <f>BDH("FA US Equity","PX_LAST","1993-06-18","2026-05-02","Per=M","Days=T","Dir=V")</f>
        <v>0</v>
      </c>
      <c r="AS2">
        <f>BDH("FA US Equity","CUR_MKT_CAP","1993-06-18","2026-05-02","Per=M","Days=T","Dir=V")</f>
        <v>0</v>
      </c>
      <c r="AU2">
        <f>BDH("FA US Equity","EQY_SH_OUT","1993-06-18","2026-05-02","Per=M","Days=T","Dir=V")</f>
        <v>0</v>
      </c>
      <c r="AW2">
        <f>BDH("FA US Equity","PX_VOLUME","1993-06-18","2026-05-02","Per=M","Days=T","Dir=V")</f>
        <v>0</v>
      </c>
      <c r="AY2">
        <f>BDH("FA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BDH("FABC US Equity","BS_TOT_ASSET","1993-06-18","2026-05-02","Per=Y","Days=T","Dir=V")</f>
        <v>0</v>
      </c>
      <c r="C2">
        <f>BDH("FABC US Equity","BS_TOT_LIAB2","1993-06-18","2026-05-02","Per=Y","Days=T","Dir=V")</f>
        <v>0</v>
      </c>
      <c r="E2">
        <f>BDH("FABC US Equity","SHORT_AND_LONG_TERM_DEBT","1993-06-18","2026-05-02","Per=Y","Days=T","Dir=V")</f>
        <v>0</v>
      </c>
      <c r="G2">
        <f>BDH("FABC US Equity","BS_ST_BORROW","1993-06-18","2026-05-02","Per=Y","Days=T","Dir=V")</f>
        <v>0</v>
      </c>
      <c r="I2">
        <f>BDH("FABC US Equity","BS_LT_BORROW","1993-06-18","2026-05-02","Per=Y","Days=T","Dir=V")</f>
        <v>0</v>
      </c>
      <c r="K2">
        <f>BDH("FABC US Equity","BS_CASH_NEAR_CASH_ITEM","1993-06-18","2026-05-02","Per=Y","Days=T","Dir=V")</f>
        <v>0</v>
      </c>
      <c r="M2">
        <f>BDH("FABC US Equity","BS_CUR_ASSET_REPORT","1993-06-18","2026-05-02","Per=Y","Days=T","Dir=V")</f>
        <v>0</v>
      </c>
      <c r="O2">
        <f>BDH("FABC US Equity","BS_CUR_LIAB","1993-06-18","2026-05-02","Per=Y","Days=T","Dir=V")</f>
        <v>0</v>
      </c>
      <c r="Q2">
        <f>BDH("FABC US Equity","BS_SHAREHOLDER_EQY_ENDING_PERIOD","1993-06-18","2026-05-02","Per=Y","Days=T","Dir=V")</f>
        <v>0</v>
      </c>
      <c r="S2">
        <f>BDH("FABC US Equity","BS_ACCT_NOTE_RCV","1993-06-18","2026-05-02","Per=Y","Days=T","Dir=V")</f>
        <v>0</v>
      </c>
      <c r="U2">
        <f>BDH("FABC US Equity","BS_INVENTORIES","1993-06-18","2026-05-02","Per=Y","Days=T","Dir=V")</f>
        <v>0</v>
      </c>
      <c r="W2">
        <f>BDH("FABC US Equity","WORKING_CAPITAL","1993-06-18","2026-05-02","Per=Y","Days=T","Dir=V")</f>
        <v>0</v>
      </c>
      <c r="Y2">
        <f>BDH("FABC US Equity","SALES_REV_TURN","1993-06-18","2026-05-02","Per=Y","Days=T","Dir=V")</f>
        <v>0</v>
      </c>
      <c r="AA2">
        <f>BDH("FABC US Equity","EBIT","1993-06-18","2026-05-02","Per=Y","Days=T","Dir=V")</f>
        <v>0</v>
      </c>
      <c r="AC2">
        <f>BDH("FABC US Equity","EBITDA","1993-06-18","2026-05-02","Per=Y","Days=T","Dir=V")</f>
        <v>0</v>
      </c>
      <c r="AE2">
        <f>BDH("FABC US Equity","NET_INCOME","1993-06-18","2026-05-02","Per=Y","Days=T","Dir=V")</f>
        <v>0</v>
      </c>
      <c r="AG2">
        <f>BDH("FABC US Equity","IS_INT_EXPENSE","1993-06-18","2026-05-02","Per=Y","Days=T","Dir=V")</f>
        <v>0</v>
      </c>
      <c r="AI2">
        <f>BDH("FABC US Equity","IS_DEPR_EXP","1993-06-18","2026-05-02","Per=Y","Days=T","Dir=V")</f>
        <v>0</v>
      </c>
      <c r="AK2">
        <f>BDH("FABC US Equity","CF_CASH_FROM_OPER","1993-06-18","2026-05-02","Per=Y","Days=T","Dir=V")</f>
        <v>0</v>
      </c>
      <c r="AM2">
        <f>BDH("FABC US Equity","CAPITAL_EXPEND","1993-06-18","2026-05-02","Per=Y","Days=T","Dir=V")</f>
        <v>0</v>
      </c>
      <c r="AO2">
        <f>BDH("FABC US Equity","CF_FREE_CASH_FLOW","1993-06-18","2026-05-02","Per=Y","Days=T","Dir=V")</f>
        <v>0</v>
      </c>
      <c r="AQ2">
        <f>BDH("FABC US Equity","PX_LAST","1993-06-18","2026-05-02","Per=M","Days=T","Dir=V")</f>
        <v>0</v>
      </c>
      <c r="AS2">
        <f>BDH("FABC US Equity","CUR_MKT_CAP","1993-06-18","2026-05-02","Per=M","Days=T","Dir=V")</f>
        <v>0</v>
      </c>
      <c r="AU2">
        <f>BDH("FABC US Equity","EQY_SH_OUT","1993-06-18","2026-05-02","Per=M","Days=T","Dir=V")</f>
        <v>0</v>
      </c>
      <c r="AW2">
        <f>BDH("FABC US Equity","PX_VOLUME","1993-06-18","2026-05-02","Per=M","Days=T","Dir=V")</f>
        <v>0</v>
      </c>
      <c r="AY2">
        <f>BDH("FABC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BDH("FANG US Equity","BS_TOT_ASSET","1993-06-18","2026-05-02","Per=Y","Days=T","Dir=V")</f>
        <v>0</v>
      </c>
      <c r="C2">
        <f>BDH("FANG US Equity","BS_TOT_LIAB2","1993-06-18","2026-05-02","Per=Y","Days=T","Dir=V")</f>
        <v>0</v>
      </c>
      <c r="E2">
        <f>BDH("FANG US Equity","SHORT_AND_LONG_TERM_DEBT","1993-06-18","2026-05-02","Per=Y","Days=T","Dir=V")</f>
        <v>0</v>
      </c>
      <c r="G2">
        <f>BDH("FANG US Equity","BS_ST_BORROW","1993-06-18","2026-05-02","Per=Y","Days=T","Dir=V")</f>
        <v>0</v>
      </c>
      <c r="I2">
        <f>BDH("FANG US Equity","BS_LT_BORROW","1993-06-18","2026-05-02","Per=Y","Days=T","Dir=V")</f>
        <v>0</v>
      </c>
      <c r="K2">
        <f>BDH("FANG US Equity","BS_CASH_NEAR_CASH_ITEM","1993-06-18","2026-05-02","Per=Y","Days=T","Dir=V")</f>
        <v>0</v>
      </c>
      <c r="M2">
        <f>BDH("FANG US Equity","BS_CUR_ASSET_REPORT","1993-06-18","2026-05-02","Per=Y","Days=T","Dir=V")</f>
        <v>0</v>
      </c>
      <c r="O2">
        <f>BDH("FANG US Equity","BS_CUR_LIAB","1993-06-18","2026-05-02","Per=Y","Days=T","Dir=V")</f>
        <v>0</v>
      </c>
      <c r="Q2">
        <f>BDH("FANG US Equity","BS_SHAREHOLDER_EQY_ENDING_PERIOD","1993-06-18","2026-05-02","Per=Y","Days=T","Dir=V")</f>
        <v>0</v>
      </c>
      <c r="S2">
        <f>BDH("FANG US Equity","BS_ACCT_NOTE_RCV","1993-06-18","2026-05-02","Per=Y","Days=T","Dir=V")</f>
        <v>0</v>
      </c>
      <c r="U2">
        <f>BDH("FANG US Equity","BS_INVENTORIES","1993-06-18","2026-05-02","Per=Y","Days=T","Dir=V")</f>
        <v>0</v>
      </c>
      <c r="W2">
        <f>BDH("FANG US Equity","WORKING_CAPITAL","1993-06-18","2026-05-02","Per=Y","Days=T","Dir=V")</f>
        <v>0</v>
      </c>
      <c r="Y2">
        <f>BDH("FANG US Equity","SALES_REV_TURN","1993-06-18","2026-05-02","Per=Y","Days=T","Dir=V")</f>
        <v>0</v>
      </c>
      <c r="AA2">
        <f>BDH("FANG US Equity","EBIT","1993-06-18","2026-05-02","Per=Y","Days=T","Dir=V")</f>
        <v>0</v>
      </c>
      <c r="AC2">
        <f>BDH("FANG US Equity","EBITDA","1993-06-18","2026-05-02","Per=Y","Days=T","Dir=V")</f>
        <v>0</v>
      </c>
      <c r="AE2">
        <f>BDH("FANG US Equity","NET_INCOME","1993-06-18","2026-05-02","Per=Y","Days=T","Dir=V")</f>
        <v>0</v>
      </c>
      <c r="AG2">
        <f>BDH("FANG US Equity","IS_INT_EXPENSE","1993-06-18","2026-05-02","Per=Y","Days=T","Dir=V")</f>
        <v>0</v>
      </c>
      <c r="AI2">
        <f>BDH("FANG US Equity","IS_DEPR_EXP","1993-06-18","2026-05-02","Per=Y","Days=T","Dir=V")</f>
        <v>0</v>
      </c>
      <c r="AK2">
        <f>BDH("FANG US Equity","CF_CASH_FROM_OPER","1993-06-18","2026-05-02","Per=Y","Days=T","Dir=V")</f>
        <v>0</v>
      </c>
      <c r="AM2">
        <f>BDH("FANG US Equity","CAPITAL_EXPEND","1993-06-18","2026-05-02","Per=Y","Days=T","Dir=V")</f>
        <v>0</v>
      </c>
      <c r="AO2">
        <f>BDH("FANG US Equity","CF_FREE_CASH_FLOW","1993-06-18","2026-05-02","Per=Y","Days=T","Dir=V")</f>
        <v>0</v>
      </c>
      <c r="AQ2">
        <f>BDH("FANG US Equity","PX_LAST","1993-06-18","2026-05-02","Per=M","Days=T","Dir=V")</f>
        <v>0</v>
      </c>
      <c r="AS2">
        <f>BDH("FANG US Equity","CUR_MKT_CAP","1993-06-18","2026-05-02","Per=M","Days=T","Dir=V")</f>
        <v>0</v>
      </c>
      <c r="AU2">
        <f>BDH("FANG US Equity","EQY_SH_OUT","1993-06-18","2026-05-02","Per=M","Days=T","Dir=V")</f>
        <v>0</v>
      </c>
      <c r="AW2">
        <f>BDH("FANG US Equity","PX_VOLUME","1993-06-18","2026-05-02","Per=M","Days=T","Dir=V")</f>
        <v>0</v>
      </c>
      <c r="AY2">
        <f>BDH("FANG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BDH("FAST US Equity","BS_TOT_ASSET","1993-06-18","2026-05-02","Per=Y","Days=T","Dir=V")</f>
        <v>0</v>
      </c>
      <c r="C2">
        <f>BDH("FAST US Equity","BS_TOT_LIAB2","1993-06-18","2026-05-02","Per=Y","Days=T","Dir=V")</f>
        <v>0</v>
      </c>
      <c r="E2">
        <f>BDH("FAST US Equity","SHORT_AND_LONG_TERM_DEBT","1993-06-18","2026-05-02","Per=Y","Days=T","Dir=V")</f>
        <v>0</v>
      </c>
      <c r="G2">
        <f>BDH("FAST US Equity","BS_ST_BORROW","1993-06-18","2026-05-02","Per=Y","Days=T","Dir=V")</f>
        <v>0</v>
      </c>
      <c r="I2">
        <f>BDH("FAST US Equity","BS_LT_BORROW","1993-06-18","2026-05-02","Per=Y","Days=T","Dir=V")</f>
        <v>0</v>
      </c>
      <c r="K2">
        <f>BDH("FAST US Equity","BS_CASH_NEAR_CASH_ITEM","1993-06-18","2026-05-02","Per=Y","Days=T","Dir=V")</f>
        <v>0</v>
      </c>
      <c r="M2">
        <f>BDH("FAST US Equity","BS_CUR_ASSET_REPORT","1993-06-18","2026-05-02","Per=Y","Days=T","Dir=V")</f>
        <v>0</v>
      </c>
      <c r="O2">
        <f>BDH("FAST US Equity","BS_CUR_LIAB","1993-06-18","2026-05-02","Per=Y","Days=T","Dir=V")</f>
        <v>0</v>
      </c>
      <c r="Q2">
        <f>BDH("FAST US Equity","BS_SHAREHOLDER_EQY_ENDING_PERIOD","1993-06-18","2026-05-02","Per=Y","Days=T","Dir=V")</f>
        <v>0</v>
      </c>
      <c r="S2">
        <f>BDH("FAST US Equity","BS_ACCT_NOTE_RCV","1993-06-18","2026-05-02","Per=Y","Days=T","Dir=V")</f>
        <v>0</v>
      </c>
      <c r="U2">
        <f>BDH("FAST US Equity","BS_INVENTORIES","1993-06-18","2026-05-02","Per=Y","Days=T","Dir=V")</f>
        <v>0</v>
      </c>
      <c r="W2">
        <f>BDH("FAST US Equity","WORKING_CAPITAL","1993-06-18","2026-05-02","Per=Y","Days=T","Dir=V")</f>
        <v>0</v>
      </c>
      <c r="Y2">
        <f>BDH("FAST US Equity","SALES_REV_TURN","1993-06-18","2026-05-02","Per=Y","Days=T","Dir=V")</f>
        <v>0</v>
      </c>
      <c r="AA2">
        <f>BDH("FAST US Equity","EBIT","1993-06-18","2026-05-02","Per=Y","Days=T","Dir=V")</f>
        <v>0</v>
      </c>
      <c r="AC2">
        <f>BDH("FAST US Equity","EBITDA","1993-06-18","2026-05-02","Per=Y","Days=T","Dir=V")</f>
        <v>0</v>
      </c>
      <c r="AE2">
        <f>BDH("FAST US Equity","NET_INCOME","1993-06-18","2026-05-02","Per=Y","Days=T","Dir=V")</f>
        <v>0</v>
      </c>
      <c r="AG2">
        <f>BDH("FAST US Equity","IS_INT_EXPENSE","1993-06-18","2026-05-02","Per=Y","Days=T","Dir=V")</f>
        <v>0</v>
      </c>
      <c r="AI2">
        <f>BDH("FAST US Equity","IS_DEPR_EXP","1993-06-18","2026-05-02","Per=Y","Days=T","Dir=V")</f>
        <v>0</v>
      </c>
      <c r="AK2">
        <f>BDH("FAST US Equity","CF_CASH_FROM_OPER","1993-06-18","2026-05-02","Per=Y","Days=T","Dir=V")</f>
        <v>0</v>
      </c>
      <c r="AM2">
        <f>BDH("FAST US Equity","CAPITAL_EXPEND","1993-06-18","2026-05-02","Per=Y","Days=T","Dir=V")</f>
        <v>0</v>
      </c>
      <c r="AO2">
        <f>BDH("FAST US Equity","CF_FREE_CASH_FLOW","1993-06-18","2026-05-02","Per=Y","Days=T","Dir=V")</f>
        <v>0</v>
      </c>
      <c r="AQ2">
        <f>BDH("FAST US Equity","PX_LAST","1993-06-18","2026-05-02","Per=M","Days=T","Dir=V")</f>
        <v>0</v>
      </c>
      <c r="AS2">
        <f>BDH("FAST US Equity","CUR_MKT_CAP","1993-06-18","2026-05-02","Per=M","Days=T","Dir=V")</f>
        <v>0</v>
      </c>
      <c r="AU2">
        <f>BDH("FAST US Equity","EQY_SH_OUT","1993-06-18","2026-05-02","Per=M","Days=T","Dir=V")</f>
        <v>0</v>
      </c>
      <c r="AW2">
        <f>BDH("FAST US Equity","PX_VOLUME","1993-06-18","2026-05-02","Per=M","Days=T","Dir=V")</f>
        <v>0</v>
      </c>
      <c r="AY2">
        <f>BDH("FAST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BDH("FATE US Equity","BS_TOT_ASSET","1993-06-18","2026-05-02","Per=Y","Days=T","Dir=V")</f>
        <v>0</v>
      </c>
      <c r="C2">
        <f>BDH("FATE US Equity","BS_TOT_LIAB2","1993-06-18","2026-05-02","Per=Y","Days=T","Dir=V")</f>
        <v>0</v>
      </c>
      <c r="E2">
        <f>BDH("FATE US Equity","SHORT_AND_LONG_TERM_DEBT","1993-06-18","2026-05-02","Per=Y","Days=T","Dir=V")</f>
        <v>0</v>
      </c>
      <c r="G2">
        <f>BDH("FATE US Equity","BS_ST_BORROW","1993-06-18","2026-05-02","Per=Y","Days=T","Dir=V")</f>
        <v>0</v>
      </c>
      <c r="I2">
        <f>BDH("FATE US Equity","BS_LT_BORROW","1993-06-18","2026-05-02","Per=Y","Days=T","Dir=V")</f>
        <v>0</v>
      </c>
      <c r="K2">
        <f>BDH("FATE US Equity","BS_CASH_NEAR_CASH_ITEM","1993-06-18","2026-05-02","Per=Y","Days=T","Dir=V")</f>
        <v>0</v>
      </c>
      <c r="M2">
        <f>BDH("FATE US Equity","BS_CUR_ASSET_REPORT","1993-06-18","2026-05-02","Per=Y","Days=T","Dir=V")</f>
        <v>0</v>
      </c>
      <c r="O2">
        <f>BDH("FATE US Equity","BS_CUR_LIAB","1993-06-18","2026-05-02","Per=Y","Days=T","Dir=V")</f>
        <v>0</v>
      </c>
      <c r="Q2">
        <f>BDH("FATE US Equity","BS_SHAREHOLDER_EQY_ENDING_PERIOD","1993-06-18","2026-05-02","Per=Y","Days=T","Dir=V")</f>
        <v>0</v>
      </c>
      <c r="S2">
        <f>BDH("FATE US Equity","BS_ACCT_NOTE_RCV","1993-06-18","2026-05-02","Per=Y","Days=T","Dir=V")</f>
        <v>0</v>
      </c>
      <c r="U2">
        <f>BDH("FATE US Equity","BS_INVENTORIES","1993-06-18","2026-05-02","Per=Y","Days=T","Dir=V")</f>
        <v>0</v>
      </c>
      <c r="W2">
        <f>BDH("FATE US Equity","WORKING_CAPITAL","1993-06-18","2026-05-02","Per=Y","Days=T","Dir=V")</f>
        <v>0</v>
      </c>
      <c r="Y2">
        <f>BDH("FATE US Equity","SALES_REV_TURN","1993-06-18","2026-05-02","Per=Y","Days=T","Dir=V")</f>
        <v>0</v>
      </c>
      <c r="AA2">
        <f>BDH("FATE US Equity","EBIT","1993-06-18","2026-05-02","Per=Y","Days=T","Dir=V")</f>
        <v>0</v>
      </c>
      <c r="AC2">
        <f>BDH("FATE US Equity","EBITDA","1993-06-18","2026-05-02","Per=Y","Days=T","Dir=V")</f>
        <v>0</v>
      </c>
      <c r="AE2">
        <f>BDH("FATE US Equity","NET_INCOME","1993-06-18","2026-05-02","Per=Y","Days=T","Dir=V")</f>
        <v>0</v>
      </c>
      <c r="AG2">
        <f>BDH("FATE US Equity","IS_INT_EXPENSE","1993-06-18","2026-05-02","Per=Y","Days=T","Dir=V")</f>
        <v>0</v>
      </c>
      <c r="AI2">
        <f>BDH("FATE US Equity","IS_DEPR_EXP","1993-06-18","2026-05-02","Per=Y","Days=T","Dir=V")</f>
        <v>0</v>
      </c>
      <c r="AK2">
        <f>BDH("FATE US Equity","CF_CASH_FROM_OPER","1993-06-18","2026-05-02","Per=Y","Days=T","Dir=V")</f>
        <v>0</v>
      </c>
      <c r="AM2">
        <f>BDH("FATE US Equity","CAPITAL_EXPEND","1993-06-18","2026-05-02","Per=Y","Days=T","Dir=V")</f>
        <v>0</v>
      </c>
      <c r="AO2">
        <f>BDH("FATE US Equity","CF_FREE_CASH_FLOW","1993-06-18","2026-05-02","Per=Y","Days=T","Dir=V")</f>
        <v>0</v>
      </c>
      <c r="AQ2">
        <f>BDH("FATE US Equity","PX_LAST","1993-06-18","2026-05-02","Per=M","Days=T","Dir=V")</f>
        <v>0</v>
      </c>
      <c r="AS2">
        <f>BDH("FATE US Equity","CUR_MKT_CAP","1993-06-18","2026-05-02","Per=M","Days=T","Dir=V")</f>
        <v>0</v>
      </c>
      <c r="AU2">
        <f>BDH("FATE US Equity","EQY_SH_OUT","1993-06-18","2026-05-02","Per=M","Days=T","Dir=V")</f>
        <v>0</v>
      </c>
      <c r="AW2">
        <f>BDH("FATE US Equity","PX_VOLUME","1993-06-18","2026-05-02","Per=M","Days=T","Dir=V")</f>
        <v>0</v>
      </c>
      <c r="AY2">
        <f>BDH("FATE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BDH("FATN US Equity","BS_TOT_ASSET","1993-06-18","2026-05-02","Per=Y","Days=T","Dir=V")</f>
        <v>0</v>
      </c>
      <c r="C2">
        <f>BDH("FATN US Equity","BS_TOT_LIAB2","1993-06-18","2026-05-02","Per=Y","Days=T","Dir=V")</f>
        <v>0</v>
      </c>
      <c r="E2">
        <f>BDH("FATN US Equity","SHORT_AND_LONG_TERM_DEBT","1993-06-18","2026-05-02","Per=Y","Days=T","Dir=V")</f>
        <v>0</v>
      </c>
      <c r="G2">
        <f>BDH("FATN US Equity","BS_ST_BORROW","1993-06-18","2026-05-02","Per=Y","Days=T","Dir=V")</f>
        <v>0</v>
      </c>
      <c r="I2">
        <f>BDH("FATN US Equity","BS_LT_BORROW","1993-06-18","2026-05-02","Per=Y","Days=T","Dir=V")</f>
        <v>0</v>
      </c>
      <c r="K2">
        <f>BDH("FATN US Equity","BS_CASH_NEAR_CASH_ITEM","1993-06-18","2026-05-02","Per=Y","Days=T","Dir=V")</f>
        <v>0</v>
      </c>
      <c r="M2">
        <f>BDH("FATN US Equity","BS_CUR_ASSET_REPORT","1993-06-18","2026-05-02","Per=Y","Days=T","Dir=V")</f>
        <v>0</v>
      </c>
      <c r="O2">
        <f>BDH("FATN US Equity","BS_CUR_LIAB","1993-06-18","2026-05-02","Per=Y","Days=T","Dir=V")</f>
        <v>0</v>
      </c>
      <c r="Q2">
        <f>BDH("FATN US Equity","BS_SHAREHOLDER_EQY_ENDING_PERIOD","1993-06-18","2026-05-02","Per=Y","Days=T","Dir=V")</f>
        <v>0</v>
      </c>
      <c r="S2">
        <f>BDH("FATN US Equity","BS_ACCT_NOTE_RCV","1993-06-18","2026-05-02","Per=Y","Days=T","Dir=V")</f>
        <v>0</v>
      </c>
      <c r="U2">
        <f>BDH("FATN US Equity","BS_INVENTORIES","1993-06-18","2026-05-02","Per=Y","Days=T","Dir=V")</f>
        <v>0</v>
      </c>
      <c r="W2">
        <f>BDH("FATN US Equity","WORKING_CAPITAL","1993-06-18","2026-05-02","Per=Y","Days=T","Dir=V")</f>
        <v>0</v>
      </c>
      <c r="Y2">
        <f>BDH("FATN US Equity","SALES_REV_TURN","1993-06-18","2026-05-02","Per=Y","Days=T","Dir=V")</f>
        <v>0</v>
      </c>
      <c r="AA2">
        <f>BDH("FATN US Equity","EBIT","1993-06-18","2026-05-02","Per=Y","Days=T","Dir=V")</f>
        <v>0</v>
      </c>
      <c r="AC2">
        <f>BDH("FATN US Equity","EBITDA","1993-06-18","2026-05-02","Per=Y","Days=T","Dir=V")</f>
        <v>0</v>
      </c>
      <c r="AE2">
        <f>BDH("FATN US Equity","NET_INCOME","1993-06-18","2026-05-02","Per=Y","Days=T","Dir=V")</f>
        <v>0</v>
      </c>
      <c r="AG2">
        <f>BDH("FATN US Equity","IS_INT_EXPENSE","1993-06-18","2026-05-02","Per=Y","Days=T","Dir=V")</f>
        <v>0</v>
      </c>
      <c r="AI2">
        <f>BDH("FATN US Equity","IS_DEPR_EXP","1993-06-18","2026-05-02","Per=Y","Days=T","Dir=V")</f>
        <v>0</v>
      </c>
      <c r="AK2">
        <f>BDH("FATN US Equity","CF_CASH_FROM_OPER","1993-06-18","2026-05-02","Per=Y","Days=T","Dir=V")</f>
        <v>0</v>
      </c>
      <c r="AM2">
        <f>BDH("FATN US Equity","CAPITAL_EXPEND","1993-06-18","2026-05-02","Per=Y","Days=T","Dir=V")</f>
        <v>0</v>
      </c>
      <c r="AO2">
        <f>BDH("FATN US Equity","CF_FREE_CASH_FLOW","1993-06-18","2026-05-02","Per=Y","Days=T","Dir=V")</f>
        <v>0</v>
      </c>
      <c r="AQ2">
        <f>BDH("FATN US Equity","PX_LAST","1993-06-18","2026-05-02","Per=M","Days=T","Dir=V")</f>
        <v>0</v>
      </c>
      <c r="AS2">
        <f>BDH("FATN US Equity","CUR_MKT_CAP","1993-06-18","2026-05-02","Per=M","Days=T","Dir=V")</f>
        <v>0</v>
      </c>
      <c r="AU2">
        <f>BDH("FATN US Equity","EQY_SH_OUT","1993-06-18","2026-05-02","Per=M","Days=T","Dir=V")</f>
        <v>0</v>
      </c>
      <c r="AW2">
        <f>BDH("FATN US Equity","PX_VOLUME","1993-06-18","2026-05-02","Per=M","Days=T","Dir=V")</f>
        <v>0</v>
      </c>
      <c r="AY2">
        <f>BDH("FATN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BDH("FBDT US Equity","BS_TOT_ASSET","1993-06-18","2026-05-02","Per=Y","Days=T","Dir=V")</f>
        <v>0</v>
      </c>
      <c r="C2">
        <f>BDH("FBDT US Equity","BS_TOT_LIAB2","1993-06-18","2026-05-02","Per=Y","Days=T","Dir=V")</f>
        <v>0</v>
      </c>
      <c r="E2">
        <f>BDH("FBDT US Equity","SHORT_AND_LONG_TERM_DEBT","1993-06-18","2026-05-02","Per=Y","Days=T","Dir=V")</f>
        <v>0</v>
      </c>
      <c r="G2">
        <f>BDH("FBDT US Equity","BS_ST_BORROW","1993-06-18","2026-05-02","Per=Y","Days=T","Dir=V")</f>
        <v>0</v>
      </c>
      <c r="I2">
        <f>BDH("FBDT US Equity","BS_LT_BORROW","1993-06-18","2026-05-02","Per=Y","Days=T","Dir=V")</f>
        <v>0</v>
      </c>
      <c r="K2">
        <f>BDH("FBDT US Equity","BS_CASH_NEAR_CASH_ITEM","1993-06-18","2026-05-02","Per=Y","Days=T","Dir=V")</f>
        <v>0</v>
      </c>
      <c r="M2">
        <f>BDH("FBDT US Equity","BS_CUR_ASSET_REPORT","1993-06-18","2026-05-02","Per=Y","Days=T","Dir=V")</f>
        <v>0</v>
      </c>
      <c r="O2">
        <f>BDH("FBDT US Equity","BS_CUR_LIAB","1993-06-18","2026-05-02","Per=Y","Days=T","Dir=V")</f>
        <v>0</v>
      </c>
      <c r="Q2">
        <f>BDH("FBDT US Equity","BS_SHAREHOLDER_EQY_ENDING_PERIOD","1993-06-18","2026-05-02","Per=Y","Days=T","Dir=V")</f>
        <v>0</v>
      </c>
      <c r="S2">
        <f>BDH("FBDT US Equity","BS_ACCT_NOTE_RCV","1993-06-18","2026-05-02","Per=Y","Days=T","Dir=V")</f>
        <v>0</v>
      </c>
      <c r="U2">
        <f>BDH("FBDT US Equity","BS_INVENTORIES","1993-06-18","2026-05-02","Per=Y","Days=T","Dir=V")</f>
        <v>0</v>
      </c>
      <c r="W2">
        <f>BDH("FBDT US Equity","WORKING_CAPITAL","1993-06-18","2026-05-02","Per=Y","Days=T","Dir=V")</f>
        <v>0</v>
      </c>
      <c r="Y2">
        <f>BDH("FBDT US Equity","SALES_REV_TURN","1993-06-18","2026-05-02","Per=Y","Days=T","Dir=V")</f>
        <v>0</v>
      </c>
      <c r="AA2">
        <f>BDH("FBDT US Equity","EBIT","1993-06-18","2026-05-02","Per=Y","Days=T","Dir=V")</f>
        <v>0</v>
      </c>
      <c r="AC2">
        <f>BDH("FBDT US Equity","EBITDA","1993-06-18","2026-05-02","Per=Y","Days=T","Dir=V")</f>
        <v>0</v>
      </c>
      <c r="AE2">
        <f>BDH("FBDT US Equity","NET_INCOME","1993-06-18","2026-05-02","Per=Y","Days=T","Dir=V")</f>
        <v>0</v>
      </c>
      <c r="AG2">
        <f>BDH("FBDT US Equity","IS_INT_EXPENSE","1993-06-18","2026-05-02","Per=Y","Days=T","Dir=V")</f>
        <v>0</v>
      </c>
      <c r="AI2">
        <f>BDH("FBDT US Equity","IS_DEPR_EXP","1993-06-18","2026-05-02","Per=Y","Days=T","Dir=V")</f>
        <v>0</v>
      </c>
      <c r="AK2">
        <f>BDH("FBDT US Equity","CF_CASH_FROM_OPER","1993-06-18","2026-05-02","Per=Y","Days=T","Dir=V")</f>
        <v>0</v>
      </c>
      <c r="AM2">
        <f>BDH("FBDT US Equity","CAPITAL_EXPEND","1993-06-18","2026-05-02","Per=Y","Days=T","Dir=V")</f>
        <v>0</v>
      </c>
      <c r="AO2">
        <f>BDH("FBDT US Equity","CF_FREE_CASH_FLOW","1993-06-18","2026-05-02","Per=Y","Days=T","Dir=V")</f>
        <v>0</v>
      </c>
      <c r="AQ2">
        <f>BDH("FBDT US Equity","PX_LAST","1993-06-18","2026-05-02","Per=M","Days=T","Dir=V")</f>
        <v>0</v>
      </c>
      <c r="AS2">
        <f>BDH("FBDT US Equity","CUR_MKT_CAP","1993-06-18","2026-05-02","Per=M","Days=T","Dir=V")</f>
        <v>0</v>
      </c>
      <c r="AU2">
        <f>BDH("FBDT US Equity","EQY_SH_OUT","1993-06-18","2026-05-02","Per=M","Days=T","Dir=V")</f>
        <v>0</v>
      </c>
      <c r="AW2">
        <f>BDH("FBDT US Equity","PX_VOLUME","1993-06-18","2026-05-02","Per=M","Days=T","Dir=V")</f>
        <v>0</v>
      </c>
      <c r="AY2">
        <f>BDH("FBDT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BDH("FBIN US Equity","BS_TOT_ASSET","1993-06-18","2026-05-02","Per=Y","Days=T","Dir=V")</f>
        <v>0</v>
      </c>
      <c r="C2">
        <f>BDH("FBIN US Equity","BS_TOT_LIAB2","1993-06-18","2026-05-02","Per=Y","Days=T","Dir=V")</f>
        <v>0</v>
      </c>
      <c r="E2">
        <f>BDH("FBIN US Equity","SHORT_AND_LONG_TERM_DEBT","1993-06-18","2026-05-02","Per=Y","Days=T","Dir=V")</f>
        <v>0</v>
      </c>
      <c r="G2">
        <f>BDH("FBIN US Equity","BS_ST_BORROW","1993-06-18","2026-05-02","Per=Y","Days=T","Dir=V")</f>
        <v>0</v>
      </c>
      <c r="I2">
        <f>BDH("FBIN US Equity","BS_LT_BORROW","1993-06-18","2026-05-02","Per=Y","Days=T","Dir=V")</f>
        <v>0</v>
      </c>
      <c r="K2">
        <f>BDH("FBIN US Equity","BS_CASH_NEAR_CASH_ITEM","1993-06-18","2026-05-02","Per=Y","Days=T","Dir=V")</f>
        <v>0</v>
      </c>
      <c r="M2">
        <f>BDH("FBIN US Equity","BS_CUR_ASSET_REPORT","1993-06-18","2026-05-02","Per=Y","Days=T","Dir=V")</f>
        <v>0</v>
      </c>
      <c r="O2">
        <f>BDH("FBIN US Equity","BS_CUR_LIAB","1993-06-18","2026-05-02","Per=Y","Days=T","Dir=V")</f>
        <v>0</v>
      </c>
      <c r="Q2">
        <f>BDH("FBIN US Equity","BS_SHAREHOLDER_EQY_ENDING_PERIOD","1993-06-18","2026-05-02","Per=Y","Days=T","Dir=V")</f>
        <v>0</v>
      </c>
      <c r="S2">
        <f>BDH("FBIN US Equity","BS_ACCT_NOTE_RCV","1993-06-18","2026-05-02","Per=Y","Days=T","Dir=V")</f>
        <v>0</v>
      </c>
      <c r="U2">
        <f>BDH("FBIN US Equity","BS_INVENTORIES","1993-06-18","2026-05-02","Per=Y","Days=T","Dir=V")</f>
        <v>0</v>
      </c>
      <c r="W2">
        <f>BDH("FBIN US Equity","WORKING_CAPITAL","1993-06-18","2026-05-02","Per=Y","Days=T","Dir=V")</f>
        <v>0</v>
      </c>
      <c r="Y2">
        <f>BDH("FBIN US Equity","SALES_REV_TURN","1993-06-18","2026-05-02","Per=Y","Days=T","Dir=V")</f>
        <v>0</v>
      </c>
      <c r="AA2">
        <f>BDH("FBIN US Equity","EBIT","1993-06-18","2026-05-02","Per=Y","Days=T","Dir=V")</f>
        <v>0</v>
      </c>
      <c r="AC2">
        <f>BDH("FBIN US Equity","EBITDA","1993-06-18","2026-05-02","Per=Y","Days=T","Dir=V")</f>
        <v>0</v>
      </c>
      <c r="AE2">
        <f>BDH("FBIN US Equity","NET_INCOME","1993-06-18","2026-05-02","Per=Y","Days=T","Dir=V")</f>
        <v>0</v>
      </c>
      <c r="AG2">
        <f>BDH("FBIN US Equity","IS_INT_EXPENSE","1993-06-18","2026-05-02","Per=Y","Days=T","Dir=V")</f>
        <v>0</v>
      </c>
      <c r="AI2">
        <f>BDH("FBIN US Equity","IS_DEPR_EXP","1993-06-18","2026-05-02","Per=Y","Days=T","Dir=V")</f>
        <v>0</v>
      </c>
      <c r="AK2">
        <f>BDH("FBIN US Equity","CF_CASH_FROM_OPER","1993-06-18","2026-05-02","Per=Y","Days=T","Dir=V")</f>
        <v>0</v>
      </c>
      <c r="AM2">
        <f>BDH("FBIN US Equity","CAPITAL_EXPEND","1993-06-18","2026-05-02","Per=Y","Days=T","Dir=V")</f>
        <v>0</v>
      </c>
      <c r="AO2">
        <f>BDH("FBIN US Equity","CF_FREE_CASH_FLOW","1993-06-18","2026-05-02","Per=Y","Days=T","Dir=V")</f>
        <v>0</v>
      </c>
      <c r="AQ2">
        <f>BDH("FBIN US Equity","PX_LAST","1993-06-18","2026-05-02","Per=M","Days=T","Dir=V")</f>
        <v>0</v>
      </c>
      <c r="AS2">
        <f>BDH("FBIN US Equity","CUR_MKT_CAP","1993-06-18","2026-05-02","Per=M","Days=T","Dir=V")</f>
        <v>0</v>
      </c>
      <c r="AU2">
        <f>BDH("FBIN US Equity","EQY_SH_OUT","1993-06-18","2026-05-02","Per=M","Days=T","Dir=V")</f>
        <v>0</v>
      </c>
      <c r="AW2">
        <f>BDH("FBIN US Equity","PX_VOLUME","1993-06-18","2026-05-02","Per=M","Days=T","Dir=V")</f>
        <v>0</v>
      </c>
      <c r="AY2">
        <f>BDH("FBIN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BDH("FBIO US Equity","BS_TOT_ASSET","1993-06-18","2026-05-02","Per=Y","Days=T","Dir=V")</f>
        <v>0</v>
      </c>
      <c r="C2">
        <f>BDH("FBIO US Equity","BS_TOT_LIAB2","1993-06-18","2026-05-02","Per=Y","Days=T","Dir=V")</f>
        <v>0</v>
      </c>
      <c r="E2">
        <f>BDH("FBIO US Equity","SHORT_AND_LONG_TERM_DEBT","1993-06-18","2026-05-02","Per=Y","Days=T","Dir=V")</f>
        <v>0</v>
      </c>
      <c r="G2">
        <f>BDH("FBIO US Equity","BS_ST_BORROW","1993-06-18","2026-05-02","Per=Y","Days=T","Dir=V")</f>
        <v>0</v>
      </c>
      <c r="I2">
        <f>BDH("FBIO US Equity","BS_LT_BORROW","1993-06-18","2026-05-02","Per=Y","Days=T","Dir=V")</f>
        <v>0</v>
      </c>
      <c r="K2">
        <f>BDH("FBIO US Equity","BS_CASH_NEAR_CASH_ITEM","1993-06-18","2026-05-02","Per=Y","Days=T","Dir=V")</f>
        <v>0</v>
      </c>
      <c r="M2">
        <f>BDH("FBIO US Equity","BS_CUR_ASSET_REPORT","1993-06-18","2026-05-02","Per=Y","Days=T","Dir=V")</f>
        <v>0</v>
      </c>
      <c r="O2">
        <f>BDH("FBIO US Equity","BS_CUR_LIAB","1993-06-18","2026-05-02","Per=Y","Days=T","Dir=V")</f>
        <v>0</v>
      </c>
      <c r="Q2">
        <f>BDH("FBIO US Equity","BS_SHAREHOLDER_EQY_ENDING_PERIOD","1993-06-18","2026-05-02","Per=Y","Days=T","Dir=V")</f>
        <v>0</v>
      </c>
      <c r="S2">
        <f>BDH("FBIO US Equity","BS_ACCT_NOTE_RCV","1993-06-18","2026-05-02","Per=Y","Days=T","Dir=V")</f>
        <v>0</v>
      </c>
      <c r="U2">
        <f>BDH("FBIO US Equity","BS_INVENTORIES","1993-06-18","2026-05-02","Per=Y","Days=T","Dir=V")</f>
        <v>0</v>
      </c>
      <c r="W2">
        <f>BDH("FBIO US Equity","WORKING_CAPITAL","1993-06-18","2026-05-02","Per=Y","Days=T","Dir=V")</f>
        <v>0</v>
      </c>
      <c r="Y2">
        <f>BDH("FBIO US Equity","SALES_REV_TURN","1993-06-18","2026-05-02","Per=Y","Days=T","Dir=V")</f>
        <v>0</v>
      </c>
      <c r="AA2">
        <f>BDH("FBIO US Equity","EBIT","1993-06-18","2026-05-02","Per=Y","Days=T","Dir=V")</f>
        <v>0</v>
      </c>
      <c r="AC2">
        <f>BDH("FBIO US Equity","EBITDA","1993-06-18","2026-05-02","Per=Y","Days=T","Dir=V")</f>
        <v>0</v>
      </c>
      <c r="AE2">
        <f>BDH("FBIO US Equity","NET_INCOME","1993-06-18","2026-05-02","Per=Y","Days=T","Dir=V")</f>
        <v>0</v>
      </c>
      <c r="AG2">
        <f>BDH("FBIO US Equity","IS_INT_EXPENSE","1993-06-18","2026-05-02","Per=Y","Days=T","Dir=V")</f>
        <v>0</v>
      </c>
      <c r="AI2">
        <f>BDH("FBIO US Equity","IS_DEPR_EXP","1993-06-18","2026-05-02","Per=Y","Days=T","Dir=V")</f>
        <v>0</v>
      </c>
      <c r="AK2">
        <f>BDH("FBIO US Equity","CF_CASH_FROM_OPER","1993-06-18","2026-05-02","Per=Y","Days=T","Dir=V")</f>
        <v>0</v>
      </c>
      <c r="AM2">
        <f>BDH("FBIO US Equity","CAPITAL_EXPEND","1993-06-18","2026-05-02","Per=Y","Days=T","Dir=V")</f>
        <v>0</v>
      </c>
      <c r="AO2">
        <f>BDH("FBIO US Equity","CF_FREE_CASH_FLOW","1993-06-18","2026-05-02","Per=Y","Days=T","Dir=V")</f>
        <v>0</v>
      </c>
      <c r="AQ2">
        <f>BDH("FBIO US Equity","PX_LAST","1993-06-18","2026-05-02","Per=M","Days=T","Dir=V")</f>
        <v>0</v>
      </c>
      <c r="AS2">
        <f>BDH("FBIO US Equity","CUR_MKT_CAP","1993-06-18","2026-05-02","Per=M","Days=T","Dir=V")</f>
        <v>0</v>
      </c>
      <c r="AU2">
        <f>BDH("FBIO US Equity","EQY_SH_OUT","1993-06-18","2026-05-02","Per=M","Days=T","Dir=V")</f>
        <v>0</v>
      </c>
      <c r="AW2">
        <f>BDH("FBIO US Equity","PX_VOLUME","1993-06-18","2026-05-02","Per=M","Days=T","Dir=V")</f>
        <v>0</v>
      </c>
      <c r="AY2">
        <f>BDH("FBIO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BDH("FBIOP US Equity","BS_TOT_ASSET","1993-06-18","2026-05-02","Per=Y","Days=T","Dir=V")</f>
        <v>0</v>
      </c>
      <c r="C2">
        <f>BDH("FBIOP US Equity","BS_TOT_LIAB2","1993-06-18","2026-05-02","Per=Y","Days=T","Dir=V")</f>
        <v>0</v>
      </c>
      <c r="E2">
        <f>BDH("FBIOP US Equity","SHORT_AND_LONG_TERM_DEBT","1993-06-18","2026-05-02","Per=Y","Days=T","Dir=V")</f>
        <v>0</v>
      </c>
      <c r="G2">
        <f>BDH("FBIOP US Equity","BS_ST_BORROW","1993-06-18","2026-05-02","Per=Y","Days=T","Dir=V")</f>
        <v>0</v>
      </c>
      <c r="I2">
        <f>BDH("FBIOP US Equity","BS_LT_BORROW","1993-06-18","2026-05-02","Per=Y","Days=T","Dir=V")</f>
        <v>0</v>
      </c>
      <c r="K2">
        <f>BDH("FBIOP US Equity","BS_CASH_NEAR_CASH_ITEM","1993-06-18","2026-05-02","Per=Y","Days=T","Dir=V")</f>
        <v>0</v>
      </c>
      <c r="M2">
        <f>BDH("FBIOP US Equity","BS_CUR_ASSET_REPORT","1993-06-18","2026-05-02","Per=Y","Days=T","Dir=V")</f>
        <v>0</v>
      </c>
      <c r="O2">
        <f>BDH("FBIOP US Equity","BS_CUR_LIAB","1993-06-18","2026-05-02","Per=Y","Days=T","Dir=V")</f>
        <v>0</v>
      </c>
      <c r="Q2">
        <f>BDH("FBIOP US Equity","BS_SHAREHOLDER_EQY_ENDING_PERIOD","1993-06-18","2026-05-02","Per=Y","Days=T","Dir=V")</f>
        <v>0</v>
      </c>
      <c r="S2">
        <f>BDH("FBIOP US Equity","BS_ACCT_NOTE_RCV","1993-06-18","2026-05-02","Per=Y","Days=T","Dir=V")</f>
        <v>0</v>
      </c>
      <c r="U2">
        <f>BDH("FBIOP US Equity","BS_INVENTORIES","1993-06-18","2026-05-02","Per=Y","Days=T","Dir=V")</f>
        <v>0</v>
      </c>
      <c r="W2">
        <f>BDH("FBIOP US Equity","WORKING_CAPITAL","1993-06-18","2026-05-02","Per=Y","Days=T","Dir=V")</f>
        <v>0</v>
      </c>
      <c r="Y2">
        <f>BDH("FBIOP US Equity","SALES_REV_TURN","1993-06-18","2026-05-02","Per=Y","Days=T","Dir=V")</f>
        <v>0</v>
      </c>
      <c r="AA2">
        <f>BDH("FBIOP US Equity","EBIT","1993-06-18","2026-05-02","Per=Y","Days=T","Dir=V")</f>
        <v>0</v>
      </c>
      <c r="AC2">
        <f>BDH("FBIOP US Equity","EBITDA","1993-06-18","2026-05-02","Per=Y","Days=T","Dir=V")</f>
        <v>0</v>
      </c>
      <c r="AE2">
        <f>BDH("FBIOP US Equity","NET_INCOME","1993-06-18","2026-05-02","Per=Y","Days=T","Dir=V")</f>
        <v>0</v>
      </c>
      <c r="AG2">
        <f>BDH("FBIOP US Equity","IS_INT_EXPENSE","1993-06-18","2026-05-02","Per=Y","Days=T","Dir=V")</f>
        <v>0</v>
      </c>
      <c r="AI2">
        <f>BDH("FBIOP US Equity","IS_DEPR_EXP","1993-06-18","2026-05-02","Per=Y","Days=T","Dir=V")</f>
        <v>0</v>
      </c>
      <c r="AK2">
        <f>BDH("FBIOP US Equity","CF_CASH_FROM_OPER","1993-06-18","2026-05-02","Per=Y","Days=T","Dir=V")</f>
        <v>0</v>
      </c>
      <c r="AM2">
        <f>BDH("FBIOP US Equity","CAPITAL_EXPEND","1993-06-18","2026-05-02","Per=Y","Days=T","Dir=V")</f>
        <v>0</v>
      </c>
      <c r="AO2">
        <f>BDH("FBIOP US Equity","CF_FREE_CASH_FLOW","1993-06-18","2026-05-02","Per=Y","Days=T","Dir=V")</f>
        <v>0</v>
      </c>
      <c r="AQ2">
        <f>BDH("FBIOP US Equity","PX_LAST","1993-06-18","2026-05-02","Per=M","Days=T","Dir=V")</f>
        <v>0</v>
      </c>
      <c r="AS2">
        <f>BDH("FBIOP US Equity","CUR_MKT_CAP","1993-06-18","2026-05-02","Per=M","Days=T","Dir=V")</f>
        <v>0</v>
      </c>
      <c r="AU2">
        <f>BDH("FBIOP US Equity","EQY_SH_OUT","1993-06-18","2026-05-02","Per=M","Days=T","Dir=V")</f>
        <v>0</v>
      </c>
      <c r="AW2">
        <f>BDH("FBIOP US Equity","PX_VOLUME","1993-06-18","2026-05-02","Per=M","Days=T","Dir=V")</f>
        <v>0</v>
      </c>
      <c r="AY2">
        <f>BDH("FBIOP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BDH("FBLG US Equity","BS_TOT_ASSET","1993-06-18","2026-05-02","Per=Y","Days=T","Dir=V")</f>
        <v>0</v>
      </c>
      <c r="C2">
        <f>BDH("FBLG US Equity","BS_TOT_LIAB2","1993-06-18","2026-05-02","Per=Y","Days=T","Dir=V")</f>
        <v>0</v>
      </c>
      <c r="E2">
        <f>BDH("FBLG US Equity","SHORT_AND_LONG_TERM_DEBT","1993-06-18","2026-05-02","Per=Y","Days=T","Dir=V")</f>
        <v>0</v>
      </c>
      <c r="G2">
        <f>BDH("FBLG US Equity","BS_ST_BORROW","1993-06-18","2026-05-02","Per=Y","Days=T","Dir=V")</f>
        <v>0</v>
      </c>
      <c r="I2">
        <f>BDH("FBLG US Equity","BS_LT_BORROW","1993-06-18","2026-05-02","Per=Y","Days=T","Dir=V")</f>
        <v>0</v>
      </c>
      <c r="K2">
        <f>BDH("FBLG US Equity","BS_CASH_NEAR_CASH_ITEM","1993-06-18","2026-05-02","Per=Y","Days=T","Dir=V")</f>
        <v>0</v>
      </c>
      <c r="M2">
        <f>BDH("FBLG US Equity","BS_CUR_ASSET_REPORT","1993-06-18","2026-05-02","Per=Y","Days=T","Dir=V")</f>
        <v>0</v>
      </c>
      <c r="O2">
        <f>BDH("FBLG US Equity","BS_CUR_LIAB","1993-06-18","2026-05-02","Per=Y","Days=T","Dir=V")</f>
        <v>0</v>
      </c>
      <c r="Q2">
        <f>BDH("FBLG US Equity","BS_SHAREHOLDER_EQY_ENDING_PERIOD","1993-06-18","2026-05-02","Per=Y","Days=T","Dir=V")</f>
        <v>0</v>
      </c>
      <c r="S2">
        <f>BDH("FBLG US Equity","BS_ACCT_NOTE_RCV","1993-06-18","2026-05-02","Per=Y","Days=T","Dir=V")</f>
        <v>0</v>
      </c>
      <c r="U2">
        <f>BDH("FBLG US Equity","BS_INVENTORIES","1993-06-18","2026-05-02","Per=Y","Days=T","Dir=V")</f>
        <v>0</v>
      </c>
      <c r="W2">
        <f>BDH("FBLG US Equity","WORKING_CAPITAL","1993-06-18","2026-05-02","Per=Y","Days=T","Dir=V")</f>
        <v>0</v>
      </c>
      <c r="Y2">
        <f>BDH("FBLG US Equity","SALES_REV_TURN","1993-06-18","2026-05-02","Per=Y","Days=T","Dir=V")</f>
        <v>0</v>
      </c>
      <c r="AA2">
        <f>BDH("FBLG US Equity","EBIT","1993-06-18","2026-05-02","Per=Y","Days=T","Dir=V")</f>
        <v>0</v>
      </c>
      <c r="AC2">
        <f>BDH("FBLG US Equity","EBITDA","1993-06-18","2026-05-02","Per=Y","Days=T","Dir=V")</f>
        <v>0</v>
      </c>
      <c r="AE2">
        <f>BDH("FBLG US Equity","NET_INCOME","1993-06-18","2026-05-02","Per=Y","Days=T","Dir=V")</f>
        <v>0</v>
      </c>
      <c r="AG2">
        <f>BDH("FBLG US Equity","IS_INT_EXPENSE","1993-06-18","2026-05-02","Per=Y","Days=T","Dir=V")</f>
        <v>0</v>
      </c>
      <c r="AI2">
        <f>BDH("FBLG US Equity","IS_DEPR_EXP","1993-06-18","2026-05-02","Per=Y","Days=T","Dir=V")</f>
        <v>0</v>
      </c>
      <c r="AK2">
        <f>BDH("FBLG US Equity","CF_CASH_FROM_OPER","1993-06-18","2026-05-02","Per=Y","Days=T","Dir=V")</f>
        <v>0</v>
      </c>
      <c r="AM2">
        <f>BDH("FBLG US Equity","CAPITAL_EXPEND","1993-06-18","2026-05-02","Per=Y","Days=T","Dir=V")</f>
        <v>0</v>
      </c>
      <c r="AO2">
        <f>BDH("FBLG US Equity","CF_FREE_CASH_FLOW","1993-06-18","2026-05-02","Per=Y","Days=T","Dir=V")</f>
        <v>0</v>
      </c>
      <c r="AQ2">
        <f>BDH("FBLG US Equity","PX_LAST","1993-06-18","2026-05-02","Per=M","Days=T","Dir=V")</f>
        <v>0</v>
      </c>
      <c r="AS2">
        <f>BDH("FBLG US Equity","CUR_MKT_CAP","1993-06-18","2026-05-02","Per=M","Days=T","Dir=V")</f>
        <v>0</v>
      </c>
      <c r="AU2">
        <f>BDH("FBLG US Equity","EQY_SH_OUT","1993-06-18","2026-05-02","Per=M","Days=T","Dir=V")</f>
        <v>0</v>
      </c>
      <c r="AW2">
        <f>BDH("FBLG US Equity","PX_VOLUME","1993-06-18","2026-05-02","Per=M","Days=T","Dir=V")</f>
        <v>0</v>
      </c>
      <c r="AY2">
        <f>BDH("FBLG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BDH("FBYD US Equity","BS_TOT_ASSET","1993-06-18","2026-05-02","Per=Y","Days=T","Dir=V")</f>
        <v>0</v>
      </c>
      <c r="C2">
        <f>BDH("FBYD US Equity","BS_TOT_LIAB2","1993-06-18","2026-05-02","Per=Y","Days=T","Dir=V")</f>
        <v>0</v>
      </c>
      <c r="E2">
        <f>BDH("FBYD US Equity","SHORT_AND_LONG_TERM_DEBT","1993-06-18","2026-05-02","Per=Y","Days=T","Dir=V")</f>
        <v>0</v>
      </c>
      <c r="G2">
        <f>BDH("FBYD US Equity","BS_ST_BORROW","1993-06-18","2026-05-02","Per=Y","Days=T","Dir=V")</f>
        <v>0</v>
      </c>
      <c r="I2">
        <f>BDH("FBYD US Equity","BS_LT_BORROW","1993-06-18","2026-05-02","Per=Y","Days=T","Dir=V")</f>
        <v>0</v>
      </c>
      <c r="K2">
        <f>BDH("FBYD US Equity","BS_CASH_NEAR_CASH_ITEM","1993-06-18","2026-05-02","Per=Y","Days=T","Dir=V")</f>
        <v>0</v>
      </c>
      <c r="M2">
        <f>BDH("FBYD US Equity","BS_CUR_ASSET_REPORT","1993-06-18","2026-05-02","Per=Y","Days=T","Dir=V")</f>
        <v>0</v>
      </c>
      <c r="O2">
        <f>BDH("FBYD US Equity","BS_CUR_LIAB","1993-06-18","2026-05-02","Per=Y","Days=T","Dir=V")</f>
        <v>0</v>
      </c>
      <c r="Q2">
        <f>BDH("FBYD US Equity","BS_SHAREHOLDER_EQY_ENDING_PERIOD","1993-06-18","2026-05-02","Per=Y","Days=T","Dir=V")</f>
        <v>0</v>
      </c>
      <c r="S2">
        <f>BDH("FBYD US Equity","BS_ACCT_NOTE_RCV","1993-06-18","2026-05-02","Per=Y","Days=T","Dir=V")</f>
        <v>0</v>
      </c>
      <c r="U2">
        <f>BDH("FBYD US Equity","BS_INVENTORIES","1993-06-18","2026-05-02","Per=Y","Days=T","Dir=V")</f>
        <v>0</v>
      </c>
      <c r="W2">
        <f>BDH("FBYD US Equity","WORKING_CAPITAL","1993-06-18","2026-05-02","Per=Y","Days=T","Dir=V")</f>
        <v>0</v>
      </c>
      <c r="Y2">
        <f>BDH("FBYD US Equity","SALES_REV_TURN","1993-06-18","2026-05-02","Per=Y","Days=T","Dir=V")</f>
        <v>0</v>
      </c>
      <c r="AA2">
        <f>BDH("FBYD US Equity","EBIT","1993-06-18","2026-05-02","Per=Y","Days=T","Dir=V")</f>
        <v>0</v>
      </c>
      <c r="AC2">
        <f>BDH("FBYD US Equity","EBITDA","1993-06-18","2026-05-02","Per=Y","Days=T","Dir=V")</f>
        <v>0</v>
      </c>
      <c r="AE2">
        <f>BDH("FBYD US Equity","NET_INCOME","1993-06-18","2026-05-02","Per=Y","Days=T","Dir=V")</f>
        <v>0</v>
      </c>
      <c r="AG2">
        <f>BDH("FBYD US Equity","IS_INT_EXPENSE","1993-06-18","2026-05-02","Per=Y","Days=T","Dir=V")</f>
        <v>0</v>
      </c>
      <c r="AI2">
        <f>BDH("FBYD US Equity","IS_DEPR_EXP","1993-06-18","2026-05-02","Per=Y","Days=T","Dir=V")</f>
        <v>0</v>
      </c>
      <c r="AK2">
        <f>BDH("FBYD US Equity","CF_CASH_FROM_OPER","1993-06-18","2026-05-02","Per=Y","Days=T","Dir=V")</f>
        <v>0</v>
      </c>
      <c r="AM2">
        <f>BDH("FBYD US Equity","CAPITAL_EXPEND","1993-06-18","2026-05-02","Per=Y","Days=T","Dir=V")</f>
        <v>0</v>
      </c>
      <c r="AO2">
        <f>BDH("FBYD US Equity","CF_FREE_CASH_FLOW","1993-06-18","2026-05-02","Per=Y","Days=T","Dir=V")</f>
        <v>0</v>
      </c>
      <c r="AQ2">
        <f>BDH("FBYD US Equity","PX_LAST","1993-06-18","2026-05-02","Per=M","Days=T","Dir=V")</f>
        <v>0</v>
      </c>
      <c r="AS2">
        <f>BDH("FBYD US Equity","CUR_MKT_CAP","1993-06-18","2026-05-02","Per=M","Days=T","Dir=V")</f>
        <v>0</v>
      </c>
      <c r="AU2">
        <f>BDH("FBYD US Equity","EQY_SH_OUT","1993-06-18","2026-05-02","Per=M","Days=T","Dir=V")</f>
        <v>0</v>
      </c>
      <c r="AW2">
        <f>BDH("FBYD US Equity","PX_VOLUME","1993-06-18","2026-05-02","Per=M","Days=T","Dir=V")</f>
        <v>0</v>
      </c>
      <c r="AY2">
        <f>BDH("FBYD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BDH("FC US Equity","BS_TOT_ASSET","1993-06-18","2026-05-02","Per=Y","Days=T","Dir=V")</f>
        <v>0</v>
      </c>
      <c r="C2">
        <f>BDH("FC US Equity","BS_TOT_LIAB2","1993-06-18","2026-05-02","Per=Y","Days=T","Dir=V")</f>
        <v>0</v>
      </c>
      <c r="E2">
        <f>BDH("FC US Equity","SHORT_AND_LONG_TERM_DEBT","1993-06-18","2026-05-02","Per=Y","Days=T","Dir=V")</f>
        <v>0</v>
      </c>
      <c r="G2">
        <f>BDH("FC US Equity","BS_ST_BORROW","1993-06-18","2026-05-02","Per=Y","Days=T","Dir=V")</f>
        <v>0</v>
      </c>
      <c r="I2">
        <f>BDH("FC US Equity","BS_LT_BORROW","1993-06-18","2026-05-02","Per=Y","Days=T","Dir=V")</f>
        <v>0</v>
      </c>
      <c r="K2">
        <f>BDH("FC US Equity","BS_CASH_NEAR_CASH_ITEM","1993-06-18","2026-05-02","Per=Y","Days=T","Dir=V")</f>
        <v>0</v>
      </c>
      <c r="M2">
        <f>BDH("FC US Equity","BS_CUR_ASSET_REPORT","1993-06-18","2026-05-02","Per=Y","Days=T","Dir=V")</f>
        <v>0</v>
      </c>
      <c r="O2">
        <f>BDH("FC US Equity","BS_CUR_LIAB","1993-06-18","2026-05-02","Per=Y","Days=T","Dir=V")</f>
        <v>0</v>
      </c>
      <c r="Q2">
        <f>BDH("FC US Equity","BS_SHAREHOLDER_EQY_ENDING_PERIOD","1993-06-18","2026-05-02","Per=Y","Days=T","Dir=V")</f>
        <v>0</v>
      </c>
      <c r="S2">
        <f>BDH("FC US Equity","BS_ACCT_NOTE_RCV","1993-06-18","2026-05-02","Per=Y","Days=T","Dir=V")</f>
        <v>0</v>
      </c>
      <c r="U2">
        <f>BDH("FC US Equity","BS_INVENTORIES","1993-06-18","2026-05-02","Per=Y","Days=T","Dir=V")</f>
        <v>0</v>
      </c>
      <c r="W2">
        <f>BDH("FC US Equity","WORKING_CAPITAL","1993-06-18","2026-05-02","Per=Y","Days=T","Dir=V")</f>
        <v>0</v>
      </c>
      <c r="Y2">
        <f>BDH("FC US Equity","SALES_REV_TURN","1993-06-18","2026-05-02","Per=Y","Days=T","Dir=V")</f>
        <v>0</v>
      </c>
      <c r="AA2">
        <f>BDH("FC US Equity","EBIT","1993-06-18","2026-05-02","Per=Y","Days=T","Dir=V")</f>
        <v>0</v>
      </c>
      <c r="AC2">
        <f>BDH("FC US Equity","EBITDA","1993-06-18","2026-05-02","Per=Y","Days=T","Dir=V")</f>
        <v>0</v>
      </c>
      <c r="AE2">
        <f>BDH("FC US Equity","NET_INCOME","1993-06-18","2026-05-02","Per=Y","Days=T","Dir=V")</f>
        <v>0</v>
      </c>
      <c r="AG2">
        <f>BDH("FC US Equity","IS_INT_EXPENSE","1993-06-18","2026-05-02","Per=Y","Days=T","Dir=V")</f>
        <v>0</v>
      </c>
      <c r="AI2">
        <f>BDH("FC US Equity","IS_DEPR_EXP","1993-06-18","2026-05-02","Per=Y","Days=T","Dir=V")</f>
        <v>0</v>
      </c>
      <c r="AK2">
        <f>BDH("FC US Equity","CF_CASH_FROM_OPER","1993-06-18","2026-05-02","Per=Y","Days=T","Dir=V")</f>
        <v>0</v>
      </c>
      <c r="AM2">
        <f>BDH("FC US Equity","CAPITAL_EXPEND","1993-06-18","2026-05-02","Per=Y","Days=T","Dir=V")</f>
        <v>0</v>
      </c>
      <c r="AO2">
        <f>BDH("FC US Equity","CF_FREE_CASH_FLOW","1993-06-18","2026-05-02","Per=Y","Days=T","Dir=V")</f>
        <v>0</v>
      </c>
      <c r="AQ2">
        <f>BDH("FC US Equity","PX_LAST","1993-06-18","2026-05-02","Per=M","Days=T","Dir=V")</f>
        <v>0</v>
      </c>
      <c r="AS2">
        <f>BDH("FC US Equity","CUR_MKT_CAP","1993-06-18","2026-05-02","Per=M","Days=T","Dir=V")</f>
        <v>0</v>
      </c>
      <c r="AU2">
        <f>BDH("FC US Equity","EQY_SH_OUT","1993-06-18","2026-05-02","Per=M","Days=T","Dir=V")</f>
        <v>0</v>
      </c>
      <c r="AW2">
        <f>BDH("FC US Equity","PX_VOLUME","1993-06-18","2026-05-02","Per=M","Days=T","Dir=V")</f>
        <v>0</v>
      </c>
      <c r="AY2">
        <f>BDH("FC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BDH("FCEL US Equity","BS_TOT_ASSET","1993-06-18","2026-05-02","Per=Y","Days=T","Dir=V")</f>
        <v>0</v>
      </c>
      <c r="C2">
        <f>BDH("FCEL US Equity","BS_TOT_LIAB2","1993-06-18","2026-05-02","Per=Y","Days=T","Dir=V")</f>
        <v>0</v>
      </c>
      <c r="E2">
        <f>BDH("FCEL US Equity","SHORT_AND_LONG_TERM_DEBT","1993-06-18","2026-05-02","Per=Y","Days=T","Dir=V")</f>
        <v>0</v>
      </c>
      <c r="G2">
        <f>BDH("FCEL US Equity","BS_ST_BORROW","1993-06-18","2026-05-02","Per=Y","Days=T","Dir=V")</f>
        <v>0</v>
      </c>
      <c r="I2">
        <f>BDH("FCEL US Equity","BS_LT_BORROW","1993-06-18","2026-05-02","Per=Y","Days=T","Dir=V")</f>
        <v>0</v>
      </c>
      <c r="K2">
        <f>BDH("FCEL US Equity","BS_CASH_NEAR_CASH_ITEM","1993-06-18","2026-05-02","Per=Y","Days=T","Dir=V")</f>
        <v>0</v>
      </c>
      <c r="M2">
        <f>BDH("FCEL US Equity","BS_CUR_ASSET_REPORT","1993-06-18","2026-05-02","Per=Y","Days=T","Dir=V")</f>
        <v>0</v>
      </c>
      <c r="O2">
        <f>BDH("FCEL US Equity","BS_CUR_LIAB","1993-06-18","2026-05-02","Per=Y","Days=T","Dir=V")</f>
        <v>0</v>
      </c>
      <c r="Q2">
        <f>BDH("FCEL US Equity","BS_SHAREHOLDER_EQY_ENDING_PERIOD","1993-06-18","2026-05-02","Per=Y","Days=T","Dir=V")</f>
        <v>0</v>
      </c>
      <c r="S2">
        <f>BDH("FCEL US Equity","BS_ACCT_NOTE_RCV","1993-06-18","2026-05-02","Per=Y","Days=T","Dir=V")</f>
        <v>0</v>
      </c>
      <c r="U2">
        <f>BDH("FCEL US Equity","BS_INVENTORIES","1993-06-18","2026-05-02","Per=Y","Days=T","Dir=V")</f>
        <v>0</v>
      </c>
      <c r="W2">
        <f>BDH("FCEL US Equity","WORKING_CAPITAL","1993-06-18","2026-05-02","Per=Y","Days=T","Dir=V")</f>
        <v>0</v>
      </c>
      <c r="Y2">
        <f>BDH("FCEL US Equity","SALES_REV_TURN","1993-06-18","2026-05-02","Per=Y","Days=T","Dir=V")</f>
        <v>0</v>
      </c>
      <c r="AA2">
        <f>BDH("FCEL US Equity","EBIT","1993-06-18","2026-05-02","Per=Y","Days=T","Dir=V")</f>
        <v>0</v>
      </c>
      <c r="AC2">
        <f>BDH("FCEL US Equity","EBITDA","1993-06-18","2026-05-02","Per=Y","Days=T","Dir=V")</f>
        <v>0</v>
      </c>
      <c r="AE2">
        <f>BDH("FCEL US Equity","NET_INCOME","1993-06-18","2026-05-02","Per=Y","Days=T","Dir=V")</f>
        <v>0</v>
      </c>
      <c r="AG2">
        <f>BDH("FCEL US Equity","IS_INT_EXPENSE","1993-06-18","2026-05-02","Per=Y","Days=T","Dir=V")</f>
        <v>0</v>
      </c>
      <c r="AI2">
        <f>BDH("FCEL US Equity","IS_DEPR_EXP","1993-06-18","2026-05-02","Per=Y","Days=T","Dir=V")</f>
        <v>0</v>
      </c>
      <c r="AK2">
        <f>BDH("FCEL US Equity","CF_CASH_FROM_OPER","1993-06-18","2026-05-02","Per=Y","Days=T","Dir=V")</f>
        <v>0</v>
      </c>
      <c r="AM2">
        <f>BDH("FCEL US Equity","CAPITAL_EXPEND","1993-06-18","2026-05-02","Per=Y","Days=T","Dir=V")</f>
        <v>0</v>
      </c>
      <c r="AO2">
        <f>BDH("FCEL US Equity","CF_FREE_CASH_FLOW","1993-06-18","2026-05-02","Per=Y","Days=T","Dir=V")</f>
        <v>0</v>
      </c>
      <c r="AQ2">
        <f>BDH("FCEL US Equity","PX_LAST","1993-06-18","2026-05-02","Per=M","Days=T","Dir=V")</f>
        <v>0</v>
      </c>
      <c r="AS2">
        <f>BDH("FCEL US Equity","CUR_MKT_CAP","1993-06-18","2026-05-02","Per=M","Days=T","Dir=V")</f>
        <v>0</v>
      </c>
      <c r="AU2">
        <f>BDH("FCEL US Equity","EQY_SH_OUT","1993-06-18","2026-05-02","Per=M","Days=T","Dir=V")</f>
        <v>0</v>
      </c>
      <c r="AW2">
        <f>BDH("FCEL US Equity","PX_VOLUME","1993-06-18","2026-05-02","Per=M","Days=T","Dir=V")</f>
        <v>0</v>
      </c>
      <c r="AY2">
        <f>BDH("FCEL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BDH("FCFS US Equity","BS_TOT_ASSET","1993-06-18","2026-05-02","Per=Y","Days=T","Dir=V")</f>
        <v>0</v>
      </c>
      <c r="C2">
        <f>BDH("FCFS US Equity","BS_TOT_LIAB2","1993-06-18","2026-05-02","Per=Y","Days=T","Dir=V")</f>
        <v>0</v>
      </c>
      <c r="E2">
        <f>BDH("FCFS US Equity","SHORT_AND_LONG_TERM_DEBT","1993-06-18","2026-05-02","Per=Y","Days=T","Dir=V")</f>
        <v>0</v>
      </c>
      <c r="G2">
        <f>BDH("FCFS US Equity","BS_ST_BORROW","1993-06-18","2026-05-02","Per=Y","Days=T","Dir=V")</f>
        <v>0</v>
      </c>
      <c r="I2">
        <f>BDH("FCFS US Equity","BS_LT_BORROW","1993-06-18","2026-05-02","Per=Y","Days=T","Dir=V")</f>
        <v>0</v>
      </c>
      <c r="K2">
        <f>BDH("FCFS US Equity","BS_CASH_NEAR_CASH_ITEM","1993-06-18","2026-05-02","Per=Y","Days=T","Dir=V")</f>
        <v>0</v>
      </c>
      <c r="M2">
        <f>BDH("FCFS US Equity","BS_CUR_ASSET_REPORT","1993-06-18","2026-05-02","Per=Y","Days=T","Dir=V")</f>
        <v>0</v>
      </c>
      <c r="O2">
        <f>BDH("FCFS US Equity","BS_CUR_LIAB","1993-06-18","2026-05-02","Per=Y","Days=T","Dir=V")</f>
        <v>0</v>
      </c>
      <c r="Q2">
        <f>BDH("FCFS US Equity","BS_SHAREHOLDER_EQY_ENDING_PERIOD","1993-06-18","2026-05-02","Per=Y","Days=T","Dir=V")</f>
        <v>0</v>
      </c>
      <c r="S2">
        <f>BDH("FCFS US Equity","BS_ACCT_NOTE_RCV","1993-06-18","2026-05-02","Per=Y","Days=T","Dir=V")</f>
        <v>0</v>
      </c>
      <c r="U2">
        <f>BDH("FCFS US Equity","BS_INVENTORIES","1993-06-18","2026-05-02","Per=Y","Days=T","Dir=V")</f>
        <v>0</v>
      </c>
      <c r="W2">
        <f>BDH("FCFS US Equity","WORKING_CAPITAL","1993-06-18","2026-05-02","Per=Y","Days=T","Dir=V")</f>
        <v>0</v>
      </c>
      <c r="Y2">
        <f>BDH("FCFS US Equity","SALES_REV_TURN","1993-06-18","2026-05-02","Per=Y","Days=T","Dir=V")</f>
        <v>0</v>
      </c>
      <c r="AA2">
        <f>BDH("FCFS US Equity","EBIT","1993-06-18","2026-05-02","Per=Y","Days=T","Dir=V")</f>
        <v>0</v>
      </c>
      <c r="AC2">
        <f>BDH("FCFS US Equity","EBITDA","1993-06-18","2026-05-02","Per=Y","Days=T","Dir=V")</f>
        <v>0</v>
      </c>
      <c r="AE2">
        <f>BDH("FCFS US Equity","NET_INCOME","1993-06-18","2026-05-02","Per=Y","Days=T","Dir=V")</f>
        <v>0</v>
      </c>
      <c r="AG2">
        <f>BDH("FCFS US Equity","IS_INT_EXPENSE","1993-06-18","2026-05-02","Per=Y","Days=T","Dir=V")</f>
        <v>0</v>
      </c>
      <c r="AI2">
        <f>BDH("FCFS US Equity","IS_DEPR_EXP","1993-06-18","2026-05-02","Per=Y","Days=T","Dir=V")</f>
        <v>0</v>
      </c>
      <c r="AK2">
        <f>BDH("FCFS US Equity","CF_CASH_FROM_OPER","1993-06-18","2026-05-02","Per=Y","Days=T","Dir=V")</f>
        <v>0</v>
      </c>
      <c r="AM2">
        <f>BDH("FCFS US Equity","CAPITAL_EXPEND","1993-06-18","2026-05-02","Per=Y","Days=T","Dir=V")</f>
        <v>0</v>
      </c>
      <c r="AO2">
        <f>BDH("FCFS US Equity","CF_FREE_CASH_FLOW","1993-06-18","2026-05-02","Per=Y","Days=T","Dir=V")</f>
        <v>0</v>
      </c>
      <c r="AQ2">
        <f>BDH("FCFS US Equity","PX_LAST","1993-06-18","2026-05-02","Per=M","Days=T","Dir=V")</f>
        <v>0</v>
      </c>
      <c r="AS2">
        <f>BDH("FCFS US Equity","CUR_MKT_CAP","1993-06-18","2026-05-02","Per=M","Days=T","Dir=V")</f>
        <v>0</v>
      </c>
      <c r="AU2">
        <f>BDH("FCFS US Equity","EQY_SH_OUT","1993-06-18","2026-05-02","Per=M","Days=T","Dir=V")</f>
        <v>0</v>
      </c>
      <c r="AW2">
        <f>BDH("FCFS US Equity","PX_VOLUME","1993-06-18","2026-05-02","Per=M","Days=T","Dir=V")</f>
        <v>0</v>
      </c>
      <c r="AY2">
        <f>BDH("FCFS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BDH("FCN US Equity","BS_TOT_ASSET","1993-06-18","2026-05-02","Per=Y","Days=T","Dir=V")</f>
        <v>0</v>
      </c>
      <c r="C2">
        <f>BDH("FCN US Equity","BS_TOT_LIAB2","1993-06-18","2026-05-02","Per=Y","Days=T","Dir=V")</f>
        <v>0</v>
      </c>
      <c r="E2">
        <f>BDH("FCN US Equity","SHORT_AND_LONG_TERM_DEBT","1993-06-18","2026-05-02","Per=Y","Days=T","Dir=V")</f>
        <v>0</v>
      </c>
      <c r="G2">
        <f>BDH("FCN US Equity","BS_ST_BORROW","1993-06-18","2026-05-02","Per=Y","Days=T","Dir=V")</f>
        <v>0</v>
      </c>
      <c r="I2">
        <f>BDH("FCN US Equity","BS_LT_BORROW","1993-06-18","2026-05-02","Per=Y","Days=T","Dir=V")</f>
        <v>0</v>
      </c>
      <c r="K2">
        <f>BDH("FCN US Equity","BS_CASH_NEAR_CASH_ITEM","1993-06-18","2026-05-02","Per=Y","Days=T","Dir=V")</f>
        <v>0</v>
      </c>
      <c r="M2">
        <f>BDH("FCN US Equity","BS_CUR_ASSET_REPORT","1993-06-18","2026-05-02","Per=Y","Days=T","Dir=V")</f>
        <v>0</v>
      </c>
      <c r="O2">
        <f>BDH("FCN US Equity","BS_CUR_LIAB","1993-06-18","2026-05-02","Per=Y","Days=T","Dir=V")</f>
        <v>0</v>
      </c>
      <c r="Q2">
        <f>BDH("FCN US Equity","BS_SHAREHOLDER_EQY_ENDING_PERIOD","1993-06-18","2026-05-02","Per=Y","Days=T","Dir=V")</f>
        <v>0</v>
      </c>
      <c r="S2">
        <f>BDH("FCN US Equity","BS_ACCT_NOTE_RCV","1993-06-18","2026-05-02","Per=Y","Days=T","Dir=V")</f>
        <v>0</v>
      </c>
      <c r="U2">
        <f>BDH("FCN US Equity","BS_INVENTORIES","1993-06-18","2026-05-02","Per=Y","Days=T","Dir=V")</f>
        <v>0</v>
      </c>
      <c r="W2">
        <f>BDH("FCN US Equity","WORKING_CAPITAL","1993-06-18","2026-05-02","Per=Y","Days=T","Dir=V")</f>
        <v>0</v>
      </c>
      <c r="Y2">
        <f>BDH("FCN US Equity","SALES_REV_TURN","1993-06-18","2026-05-02","Per=Y","Days=T","Dir=V")</f>
        <v>0</v>
      </c>
      <c r="AA2">
        <f>BDH("FCN US Equity","EBIT","1993-06-18","2026-05-02","Per=Y","Days=T","Dir=V")</f>
        <v>0</v>
      </c>
      <c r="AC2">
        <f>BDH("FCN US Equity","EBITDA","1993-06-18","2026-05-02","Per=Y","Days=T","Dir=V")</f>
        <v>0</v>
      </c>
      <c r="AE2">
        <f>BDH("FCN US Equity","NET_INCOME","1993-06-18","2026-05-02","Per=Y","Days=T","Dir=V")</f>
        <v>0</v>
      </c>
      <c r="AG2">
        <f>BDH("FCN US Equity","IS_INT_EXPENSE","1993-06-18","2026-05-02","Per=Y","Days=T","Dir=V")</f>
        <v>0</v>
      </c>
      <c r="AI2">
        <f>BDH("FCN US Equity","IS_DEPR_EXP","1993-06-18","2026-05-02","Per=Y","Days=T","Dir=V")</f>
        <v>0</v>
      </c>
      <c r="AK2">
        <f>BDH("FCN US Equity","CF_CASH_FROM_OPER","1993-06-18","2026-05-02","Per=Y","Days=T","Dir=V")</f>
        <v>0</v>
      </c>
      <c r="AM2">
        <f>BDH("FCN US Equity","CAPITAL_EXPEND","1993-06-18","2026-05-02","Per=Y","Days=T","Dir=V")</f>
        <v>0</v>
      </c>
      <c r="AO2">
        <f>BDH("FCN US Equity","CF_FREE_CASH_FLOW","1993-06-18","2026-05-02","Per=Y","Days=T","Dir=V")</f>
        <v>0</v>
      </c>
      <c r="AQ2">
        <f>BDH("FCN US Equity","PX_LAST","1993-06-18","2026-05-02","Per=M","Days=T","Dir=V")</f>
        <v>0</v>
      </c>
      <c r="AS2">
        <f>BDH("FCN US Equity","CUR_MKT_CAP","1993-06-18","2026-05-02","Per=M","Days=T","Dir=V")</f>
        <v>0</v>
      </c>
      <c r="AU2">
        <f>BDH("FCN US Equity","EQY_SH_OUT","1993-06-18","2026-05-02","Per=M","Days=T","Dir=V")</f>
        <v>0</v>
      </c>
      <c r="AW2">
        <f>BDH("FCN US Equity","PX_VOLUME","1993-06-18","2026-05-02","Per=M","Days=T","Dir=V")</f>
        <v>0</v>
      </c>
      <c r="AY2">
        <f>BDH("FCN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BDH("FCUV US Equity","BS_TOT_ASSET","1993-06-18","2026-05-02","Per=Y","Days=T","Dir=V")</f>
        <v>0</v>
      </c>
      <c r="C2">
        <f>BDH("FCUV US Equity","BS_TOT_LIAB2","1993-06-18","2026-05-02","Per=Y","Days=T","Dir=V")</f>
        <v>0</v>
      </c>
      <c r="E2">
        <f>BDH("FCUV US Equity","SHORT_AND_LONG_TERM_DEBT","1993-06-18","2026-05-02","Per=Y","Days=T","Dir=V")</f>
        <v>0</v>
      </c>
      <c r="G2">
        <f>BDH("FCUV US Equity","BS_ST_BORROW","1993-06-18","2026-05-02","Per=Y","Days=T","Dir=V")</f>
        <v>0</v>
      </c>
      <c r="I2">
        <f>BDH("FCUV US Equity","BS_LT_BORROW","1993-06-18","2026-05-02","Per=Y","Days=T","Dir=V")</f>
        <v>0</v>
      </c>
      <c r="K2">
        <f>BDH("FCUV US Equity","BS_CASH_NEAR_CASH_ITEM","1993-06-18","2026-05-02","Per=Y","Days=T","Dir=V")</f>
        <v>0</v>
      </c>
      <c r="M2">
        <f>BDH("FCUV US Equity","BS_CUR_ASSET_REPORT","1993-06-18","2026-05-02","Per=Y","Days=T","Dir=V")</f>
        <v>0</v>
      </c>
      <c r="O2">
        <f>BDH("FCUV US Equity","BS_CUR_LIAB","1993-06-18","2026-05-02","Per=Y","Days=T","Dir=V")</f>
        <v>0</v>
      </c>
      <c r="Q2">
        <f>BDH("FCUV US Equity","BS_SHAREHOLDER_EQY_ENDING_PERIOD","1993-06-18","2026-05-02","Per=Y","Days=T","Dir=V")</f>
        <v>0</v>
      </c>
      <c r="S2">
        <f>BDH("FCUV US Equity","BS_ACCT_NOTE_RCV","1993-06-18","2026-05-02","Per=Y","Days=T","Dir=V")</f>
        <v>0</v>
      </c>
      <c r="U2">
        <f>BDH("FCUV US Equity","BS_INVENTORIES","1993-06-18","2026-05-02","Per=Y","Days=T","Dir=V")</f>
        <v>0</v>
      </c>
      <c r="W2">
        <f>BDH("FCUV US Equity","WORKING_CAPITAL","1993-06-18","2026-05-02","Per=Y","Days=T","Dir=V")</f>
        <v>0</v>
      </c>
      <c r="Y2">
        <f>BDH("FCUV US Equity","SALES_REV_TURN","1993-06-18","2026-05-02","Per=Y","Days=T","Dir=V")</f>
        <v>0</v>
      </c>
      <c r="AA2">
        <f>BDH("FCUV US Equity","EBIT","1993-06-18","2026-05-02","Per=Y","Days=T","Dir=V")</f>
        <v>0</v>
      </c>
      <c r="AC2">
        <f>BDH("FCUV US Equity","EBITDA","1993-06-18","2026-05-02","Per=Y","Days=T","Dir=V")</f>
        <v>0</v>
      </c>
      <c r="AE2">
        <f>BDH("FCUV US Equity","NET_INCOME","1993-06-18","2026-05-02","Per=Y","Days=T","Dir=V")</f>
        <v>0</v>
      </c>
      <c r="AG2">
        <f>BDH("FCUV US Equity","IS_INT_EXPENSE","1993-06-18","2026-05-02","Per=Y","Days=T","Dir=V")</f>
        <v>0</v>
      </c>
      <c r="AI2">
        <f>BDH("FCUV US Equity","IS_DEPR_EXP","1993-06-18","2026-05-02","Per=Y","Days=T","Dir=V")</f>
        <v>0</v>
      </c>
      <c r="AK2">
        <f>BDH("FCUV US Equity","CF_CASH_FROM_OPER","1993-06-18","2026-05-02","Per=Y","Days=T","Dir=V")</f>
        <v>0</v>
      </c>
      <c r="AM2">
        <f>BDH("FCUV US Equity","CAPITAL_EXPEND","1993-06-18","2026-05-02","Per=Y","Days=T","Dir=V")</f>
        <v>0</v>
      </c>
      <c r="AO2">
        <f>BDH("FCUV US Equity","CF_FREE_CASH_FLOW","1993-06-18","2026-05-02","Per=Y","Days=T","Dir=V")</f>
        <v>0</v>
      </c>
      <c r="AQ2">
        <f>BDH("FCUV US Equity","PX_LAST","1993-06-18","2026-05-02","Per=M","Days=T","Dir=V")</f>
        <v>0</v>
      </c>
      <c r="AS2">
        <f>BDH("FCUV US Equity","CUR_MKT_CAP","1993-06-18","2026-05-02","Per=M","Days=T","Dir=V")</f>
        <v>0</v>
      </c>
      <c r="AU2">
        <f>BDH("FCUV US Equity","EQY_SH_OUT","1993-06-18","2026-05-02","Per=M","Days=T","Dir=V")</f>
        <v>0</v>
      </c>
      <c r="AW2">
        <f>BDH("FCUV US Equity","PX_VOLUME","1993-06-18","2026-05-02","Per=M","Days=T","Dir=V")</f>
        <v>0</v>
      </c>
      <c r="AY2">
        <f>BDH("FCUV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BDH("FCX US Equity","BS_TOT_ASSET","1993-06-18","2026-05-02","Per=Y","Days=T","Dir=V")</f>
        <v>0</v>
      </c>
      <c r="C2">
        <f>BDH("FCX US Equity","BS_TOT_LIAB2","1993-06-18","2026-05-02","Per=Y","Days=T","Dir=V")</f>
        <v>0</v>
      </c>
      <c r="E2">
        <f>BDH("FCX US Equity","SHORT_AND_LONG_TERM_DEBT","1993-06-18","2026-05-02","Per=Y","Days=T","Dir=V")</f>
        <v>0</v>
      </c>
      <c r="G2">
        <f>BDH("FCX US Equity","BS_ST_BORROW","1993-06-18","2026-05-02","Per=Y","Days=T","Dir=V")</f>
        <v>0</v>
      </c>
      <c r="I2">
        <f>BDH("FCX US Equity","BS_LT_BORROW","1993-06-18","2026-05-02","Per=Y","Days=T","Dir=V")</f>
        <v>0</v>
      </c>
      <c r="K2">
        <f>BDH("FCX US Equity","BS_CASH_NEAR_CASH_ITEM","1993-06-18","2026-05-02","Per=Y","Days=T","Dir=V")</f>
        <v>0</v>
      </c>
      <c r="M2">
        <f>BDH("FCX US Equity","BS_CUR_ASSET_REPORT","1993-06-18","2026-05-02","Per=Y","Days=T","Dir=V")</f>
        <v>0</v>
      </c>
      <c r="O2">
        <f>BDH("FCX US Equity","BS_CUR_LIAB","1993-06-18","2026-05-02","Per=Y","Days=T","Dir=V")</f>
        <v>0</v>
      </c>
      <c r="Q2">
        <f>BDH("FCX US Equity","BS_SHAREHOLDER_EQY_ENDING_PERIOD","1993-06-18","2026-05-02","Per=Y","Days=T","Dir=V")</f>
        <v>0</v>
      </c>
      <c r="S2">
        <f>BDH("FCX US Equity","BS_ACCT_NOTE_RCV","1993-06-18","2026-05-02","Per=Y","Days=T","Dir=V")</f>
        <v>0</v>
      </c>
      <c r="U2">
        <f>BDH("FCX US Equity","BS_INVENTORIES","1993-06-18","2026-05-02","Per=Y","Days=T","Dir=V")</f>
        <v>0</v>
      </c>
      <c r="W2">
        <f>BDH("FCX US Equity","WORKING_CAPITAL","1993-06-18","2026-05-02","Per=Y","Days=T","Dir=V")</f>
        <v>0</v>
      </c>
      <c r="Y2">
        <f>BDH("FCX US Equity","SALES_REV_TURN","1993-06-18","2026-05-02","Per=Y","Days=T","Dir=V")</f>
        <v>0</v>
      </c>
      <c r="AA2">
        <f>BDH("FCX US Equity","EBIT","1993-06-18","2026-05-02","Per=Y","Days=T","Dir=V")</f>
        <v>0</v>
      </c>
      <c r="AC2">
        <f>BDH("FCX US Equity","EBITDA","1993-06-18","2026-05-02","Per=Y","Days=T","Dir=V")</f>
        <v>0</v>
      </c>
      <c r="AE2">
        <f>BDH("FCX US Equity","NET_INCOME","1993-06-18","2026-05-02","Per=Y","Days=T","Dir=V")</f>
        <v>0</v>
      </c>
      <c r="AG2">
        <f>BDH("FCX US Equity","IS_INT_EXPENSE","1993-06-18","2026-05-02","Per=Y","Days=T","Dir=V")</f>
        <v>0</v>
      </c>
      <c r="AI2">
        <f>BDH("FCX US Equity","IS_DEPR_EXP","1993-06-18","2026-05-02","Per=Y","Days=T","Dir=V")</f>
        <v>0</v>
      </c>
      <c r="AK2">
        <f>BDH("FCX US Equity","CF_CASH_FROM_OPER","1993-06-18","2026-05-02","Per=Y","Days=T","Dir=V")</f>
        <v>0</v>
      </c>
      <c r="AM2">
        <f>BDH("FCX US Equity","CAPITAL_EXPEND","1993-06-18","2026-05-02","Per=Y","Days=T","Dir=V")</f>
        <v>0</v>
      </c>
      <c r="AO2">
        <f>BDH("FCX US Equity","CF_FREE_CASH_FLOW","1993-06-18","2026-05-02","Per=Y","Days=T","Dir=V")</f>
        <v>0</v>
      </c>
      <c r="AQ2">
        <f>BDH("FCX US Equity","PX_LAST","1993-06-18","2026-05-02","Per=M","Days=T","Dir=V")</f>
        <v>0</v>
      </c>
      <c r="AS2">
        <f>BDH("FCX US Equity","CUR_MKT_CAP","1993-06-18","2026-05-02","Per=M","Days=T","Dir=V")</f>
        <v>0</v>
      </c>
      <c r="AU2">
        <f>BDH("FCX US Equity","EQY_SH_OUT","1993-06-18","2026-05-02","Per=M","Days=T","Dir=V")</f>
        <v>0</v>
      </c>
      <c r="AW2">
        <f>BDH("FCX US Equity","PX_VOLUME","1993-06-18","2026-05-02","Per=M","Days=T","Dir=V")</f>
        <v>0</v>
      </c>
      <c r="AY2">
        <f>BDH("FCX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BDH("FDMT US Equity","BS_TOT_ASSET","1993-06-18","2026-05-02","Per=Y","Days=T","Dir=V")</f>
        <v>0</v>
      </c>
      <c r="C2">
        <f>BDH("FDMT US Equity","BS_TOT_LIAB2","1993-06-18","2026-05-02","Per=Y","Days=T","Dir=V")</f>
        <v>0</v>
      </c>
      <c r="E2">
        <f>BDH("FDMT US Equity","SHORT_AND_LONG_TERM_DEBT","1993-06-18","2026-05-02","Per=Y","Days=T","Dir=V")</f>
        <v>0</v>
      </c>
      <c r="G2">
        <f>BDH("FDMT US Equity","BS_ST_BORROW","1993-06-18","2026-05-02","Per=Y","Days=T","Dir=V")</f>
        <v>0</v>
      </c>
      <c r="I2">
        <f>BDH("FDMT US Equity","BS_LT_BORROW","1993-06-18","2026-05-02","Per=Y","Days=T","Dir=V")</f>
        <v>0</v>
      </c>
      <c r="K2">
        <f>BDH("FDMT US Equity","BS_CASH_NEAR_CASH_ITEM","1993-06-18","2026-05-02","Per=Y","Days=T","Dir=V")</f>
        <v>0</v>
      </c>
      <c r="M2">
        <f>BDH("FDMT US Equity","BS_CUR_ASSET_REPORT","1993-06-18","2026-05-02","Per=Y","Days=T","Dir=V")</f>
        <v>0</v>
      </c>
      <c r="O2">
        <f>BDH("FDMT US Equity","BS_CUR_LIAB","1993-06-18","2026-05-02","Per=Y","Days=T","Dir=V")</f>
        <v>0</v>
      </c>
      <c r="Q2">
        <f>BDH("FDMT US Equity","BS_SHAREHOLDER_EQY_ENDING_PERIOD","1993-06-18","2026-05-02","Per=Y","Days=T","Dir=V")</f>
        <v>0</v>
      </c>
      <c r="S2">
        <f>BDH("FDMT US Equity","BS_ACCT_NOTE_RCV","1993-06-18","2026-05-02","Per=Y","Days=T","Dir=V")</f>
        <v>0</v>
      </c>
      <c r="U2">
        <f>BDH("FDMT US Equity","BS_INVENTORIES","1993-06-18","2026-05-02","Per=Y","Days=T","Dir=V")</f>
        <v>0</v>
      </c>
      <c r="W2">
        <f>BDH("FDMT US Equity","WORKING_CAPITAL","1993-06-18","2026-05-02","Per=Y","Days=T","Dir=V")</f>
        <v>0</v>
      </c>
      <c r="Y2">
        <f>BDH("FDMT US Equity","SALES_REV_TURN","1993-06-18","2026-05-02","Per=Y","Days=T","Dir=V")</f>
        <v>0</v>
      </c>
      <c r="AA2">
        <f>BDH("FDMT US Equity","EBIT","1993-06-18","2026-05-02","Per=Y","Days=T","Dir=V")</f>
        <v>0</v>
      </c>
      <c r="AC2">
        <f>BDH("FDMT US Equity","EBITDA","1993-06-18","2026-05-02","Per=Y","Days=T","Dir=V")</f>
        <v>0</v>
      </c>
      <c r="AE2">
        <f>BDH("FDMT US Equity","NET_INCOME","1993-06-18","2026-05-02","Per=Y","Days=T","Dir=V")</f>
        <v>0</v>
      </c>
      <c r="AG2">
        <f>BDH("FDMT US Equity","IS_INT_EXPENSE","1993-06-18","2026-05-02","Per=Y","Days=T","Dir=V")</f>
        <v>0</v>
      </c>
      <c r="AI2">
        <f>BDH("FDMT US Equity","IS_DEPR_EXP","1993-06-18","2026-05-02","Per=Y","Days=T","Dir=V")</f>
        <v>0</v>
      </c>
      <c r="AK2">
        <f>BDH("FDMT US Equity","CF_CASH_FROM_OPER","1993-06-18","2026-05-02","Per=Y","Days=T","Dir=V")</f>
        <v>0</v>
      </c>
      <c r="AM2">
        <f>BDH("FDMT US Equity","CAPITAL_EXPEND","1993-06-18","2026-05-02","Per=Y","Days=T","Dir=V")</f>
        <v>0</v>
      </c>
      <c r="AO2">
        <f>BDH("FDMT US Equity","CF_FREE_CASH_FLOW","1993-06-18","2026-05-02","Per=Y","Days=T","Dir=V")</f>
        <v>0</v>
      </c>
      <c r="AQ2">
        <f>BDH("FDMT US Equity","PX_LAST","1993-06-18","2026-05-02","Per=M","Days=T","Dir=V")</f>
        <v>0</v>
      </c>
      <c r="AS2">
        <f>BDH("FDMT US Equity","CUR_MKT_CAP","1993-06-18","2026-05-02","Per=M","Days=T","Dir=V")</f>
        <v>0</v>
      </c>
      <c r="AU2">
        <f>BDH("FDMT US Equity","EQY_SH_OUT","1993-06-18","2026-05-02","Per=M","Days=T","Dir=V")</f>
        <v>0</v>
      </c>
      <c r="AW2">
        <f>BDH("FDMT US Equity","PX_VOLUME","1993-06-18","2026-05-02","Per=M","Days=T","Dir=V")</f>
        <v>0</v>
      </c>
      <c r="AY2">
        <f>BDH("FDMT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BDH("FDS US Equity","BS_TOT_ASSET","1993-06-18","2026-05-02","Per=Y","Days=T","Dir=V")</f>
        <v>0</v>
      </c>
      <c r="C2">
        <f>BDH("FDS US Equity","BS_TOT_LIAB2","1993-06-18","2026-05-02","Per=Y","Days=T","Dir=V")</f>
        <v>0</v>
      </c>
      <c r="E2">
        <f>BDH("FDS US Equity","SHORT_AND_LONG_TERM_DEBT","1993-06-18","2026-05-02","Per=Y","Days=T","Dir=V")</f>
        <v>0</v>
      </c>
      <c r="G2">
        <f>BDH("FDS US Equity","BS_ST_BORROW","1993-06-18","2026-05-02","Per=Y","Days=T","Dir=V")</f>
        <v>0</v>
      </c>
      <c r="I2">
        <f>BDH("FDS US Equity","BS_LT_BORROW","1993-06-18","2026-05-02","Per=Y","Days=T","Dir=V")</f>
        <v>0</v>
      </c>
      <c r="K2">
        <f>BDH("FDS US Equity","BS_CASH_NEAR_CASH_ITEM","1993-06-18","2026-05-02","Per=Y","Days=T","Dir=V")</f>
        <v>0</v>
      </c>
      <c r="M2">
        <f>BDH("FDS US Equity","BS_CUR_ASSET_REPORT","1993-06-18","2026-05-02","Per=Y","Days=T","Dir=V")</f>
        <v>0</v>
      </c>
      <c r="O2">
        <f>BDH("FDS US Equity","BS_CUR_LIAB","1993-06-18","2026-05-02","Per=Y","Days=T","Dir=V")</f>
        <v>0</v>
      </c>
      <c r="Q2">
        <f>BDH("FDS US Equity","BS_SHAREHOLDER_EQY_ENDING_PERIOD","1993-06-18","2026-05-02","Per=Y","Days=T","Dir=V")</f>
        <v>0</v>
      </c>
      <c r="S2">
        <f>BDH("FDS US Equity","BS_ACCT_NOTE_RCV","1993-06-18","2026-05-02","Per=Y","Days=T","Dir=V")</f>
        <v>0</v>
      </c>
      <c r="U2">
        <f>BDH("FDS US Equity","BS_INVENTORIES","1993-06-18","2026-05-02","Per=Y","Days=T","Dir=V")</f>
        <v>0</v>
      </c>
      <c r="W2">
        <f>BDH("FDS US Equity","WORKING_CAPITAL","1993-06-18","2026-05-02","Per=Y","Days=T","Dir=V")</f>
        <v>0</v>
      </c>
      <c r="Y2">
        <f>BDH("FDS US Equity","SALES_REV_TURN","1993-06-18","2026-05-02","Per=Y","Days=T","Dir=V")</f>
        <v>0</v>
      </c>
      <c r="AA2">
        <f>BDH("FDS US Equity","EBIT","1993-06-18","2026-05-02","Per=Y","Days=T","Dir=V")</f>
        <v>0</v>
      </c>
      <c r="AC2">
        <f>BDH("FDS US Equity","EBITDA","1993-06-18","2026-05-02","Per=Y","Days=T","Dir=V")</f>
        <v>0</v>
      </c>
      <c r="AE2">
        <f>BDH("FDS US Equity","NET_INCOME","1993-06-18","2026-05-02","Per=Y","Days=T","Dir=V")</f>
        <v>0</v>
      </c>
      <c r="AG2">
        <f>BDH("FDS US Equity","IS_INT_EXPENSE","1993-06-18","2026-05-02","Per=Y","Days=T","Dir=V")</f>
        <v>0</v>
      </c>
      <c r="AI2">
        <f>BDH("FDS US Equity","IS_DEPR_EXP","1993-06-18","2026-05-02","Per=Y","Days=T","Dir=V")</f>
        <v>0</v>
      </c>
      <c r="AK2">
        <f>BDH("FDS US Equity","CF_CASH_FROM_OPER","1993-06-18","2026-05-02","Per=Y","Days=T","Dir=V")</f>
        <v>0</v>
      </c>
      <c r="AM2">
        <f>BDH("FDS US Equity","CAPITAL_EXPEND","1993-06-18","2026-05-02","Per=Y","Days=T","Dir=V")</f>
        <v>0</v>
      </c>
      <c r="AO2">
        <f>BDH("FDS US Equity","CF_FREE_CASH_FLOW","1993-06-18","2026-05-02","Per=Y","Days=T","Dir=V")</f>
        <v>0</v>
      </c>
      <c r="AQ2">
        <f>BDH("FDS US Equity","PX_LAST","1993-06-18","2026-05-02","Per=M","Days=T","Dir=V")</f>
        <v>0</v>
      </c>
      <c r="AS2">
        <f>BDH("FDS US Equity","CUR_MKT_CAP","1993-06-18","2026-05-02","Per=M","Days=T","Dir=V")</f>
        <v>0</v>
      </c>
      <c r="AU2">
        <f>BDH("FDS US Equity","EQY_SH_OUT","1993-06-18","2026-05-02","Per=M","Days=T","Dir=V")</f>
        <v>0</v>
      </c>
      <c r="AW2">
        <f>BDH("FDS US Equity","PX_VOLUME","1993-06-18","2026-05-02","Per=M","Days=T","Dir=V")</f>
        <v>0</v>
      </c>
      <c r="AY2">
        <f>BDH("FDS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BDH("FDX US Equity","BS_TOT_ASSET","1993-06-18","2026-05-02","Per=Y","Days=T","Dir=V")</f>
        <v>0</v>
      </c>
      <c r="C2">
        <f>BDH("FDX US Equity","BS_TOT_LIAB2","1993-06-18","2026-05-02","Per=Y","Days=T","Dir=V")</f>
        <v>0</v>
      </c>
      <c r="E2">
        <f>BDH("FDX US Equity","SHORT_AND_LONG_TERM_DEBT","1993-06-18","2026-05-02","Per=Y","Days=T","Dir=V")</f>
        <v>0</v>
      </c>
      <c r="G2">
        <f>BDH("FDX US Equity","BS_ST_BORROW","1993-06-18","2026-05-02","Per=Y","Days=T","Dir=V")</f>
        <v>0</v>
      </c>
      <c r="I2">
        <f>BDH("FDX US Equity","BS_LT_BORROW","1993-06-18","2026-05-02","Per=Y","Days=T","Dir=V")</f>
        <v>0</v>
      </c>
      <c r="K2">
        <f>BDH("FDX US Equity","BS_CASH_NEAR_CASH_ITEM","1993-06-18","2026-05-02","Per=Y","Days=T","Dir=V")</f>
        <v>0</v>
      </c>
      <c r="M2">
        <f>BDH("FDX US Equity","BS_CUR_ASSET_REPORT","1993-06-18","2026-05-02","Per=Y","Days=T","Dir=V")</f>
        <v>0</v>
      </c>
      <c r="O2">
        <f>BDH("FDX US Equity","BS_CUR_LIAB","1993-06-18","2026-05-02","Per=Y","Days=T","Dir=V")</f>
        <v>0</v>
      </c>
      <c r="Q2">
        <f>BDH("FDX US Equity","BS_SHAREHOLDER_EQY_ENDING_PERIOD","1993-06-18","2026-05-02","Per=Y","Days=T","Dir=V")</f>
        <v>0</v>
      </c>
      <c r="S2">
        <f>BDH("FDX US Equity","BS_ACCT_NOTE_RCV","1993-06-18","2026-05-02","Per=Y","Days=T","Dir=V")</f>
        <v>0</v>
      </c>
      <c r="U2">
        <f>BDH("FDX US Equity","BS_INVENTORIES","1993-06-18","2026-05-02","Per=Y","Days=T","Dir=V")</f>
        <v>0</v>
      </c>
      <c r="W2">
        <f>BDH("FDX US Equity","WORKING_CAPITAL","1993-06-18","2026-05-02","Per=Y","Days=T","Dir=V")</f>
        <v>0</v>
      </c>
      <c r="Y2">
        <f>BDH("FDX US Equity","SALES_REV_TURN","1993-06-18","2026-05-02","Per=Y","Days=T","Dir=V")</f>
        <v>0</v>
      </c>
      <c r="AA2">
        <f>BDH("FDX US Equity","EBIT","1993-06-18","2026-05-02","Per=Y","Days=T","Dir=V")</f>
        <v>0</v>
      </c>
      <c r="AC2">
        <f>BDH("FDX US Equity","EBITDA","1993-06-18","2026-05-02","Per=Y","Days=T","Dir=V")</f>
        <v>0</v>
      </c>
      <c r="AE2">
        <f>BDH("FDX US Equity","NET_INCOME","1993-06-18","2026-05-02","Per=Y","Days=T","Dir=V")</f>
        <v>0</v>
      </c>
      <c r="AG2">
        <f>BDH("FDX US Equity","IS_INT_EXPENSE","1993-06-18","2026-05-02","Per=Y","Days=T","Dir=V")</f>
        <v>0</v>
      </c>
      <c r="AI2">
        <f>BDH("FDX US Equity","IS_DEPR_EXP","1993-06-18","2026-05-02","Per=Y","Days=T","Dir=V")</f>
        <v>0</v>
      </c>
      <c r="AK2">
        <f>BDH("FDX US Equity","CF_CASH_FROM_OPER","1993-06-18","2026-05-02","Per=Y","Days=T","Dir=V")</f>
        <v>0</v>
      </c>
      <c r="AM2">
        <f>BDH("FDX US Equity","CAPITAL_EXPEND","1993-06-18","2026-05-02","Per=Y","Days=T","Dir=V")</f>
        <v>0</v>
      </c>
      <c r="AO2">
        <f>BDH("FDX US Equity","CF_FREE_CASH_FLOW","1993-06-18","2026-05-02","Per=Y","Days=T","Dir=V")</f>
        <v>0</v>
      </c>
      <c r="AQ2">
        <f>BDH("FDX US Equity","PX_LAST","1993-06-18","2026-05-02","Per=M","Days=T","Dir=V")</f>
        <v>0</v>
      </c>
      <c r="AS2">
        <f>BDH("FDX US Equity","CUR_MKT_CAP","1993-06-18","2026-05-02","Per=M","Days=T","Dir=V")</f>
        <v>0</v>
      </c>
      <c r="AU2">
        <f>BDH("FDX US Equity","EQY_SH_OUT","1993-06-18","2026-05-02","Per=M","Days=T","Dir=V")</f>
        <v>0</v>
      </c>
      <c r="AW2">
        <f>BDH("FDX US Equity","PX_VOLUME","1993-06-18","2026-05-02","Per=M","Days=T","Dir=V")</f>
        <v>0</v>
      </c>
      <c r="AY2">
        <f>BDH("FDX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BDH("FDXF US Equity","BS_TOT_ASSET","1993-06-18","2026-05-02","Per=Y","Days=T","Dir=V")</f>
        <v>0</v>
      </c>
      <c r="C2">
        <f>BDH("FDXF US Equity","BS_TOT_LIAB2","1993-06-18","2026-05-02","Per=Y","Days=T","Dir=V")</f>
        <v>0</v>
      </c>
      <c r="E2">
        <f>BDH("FDXF US Equity","SHORT_AND_LONG_TERM_DEBT","1993-06-18","2026-05-02","Per=Y","Days=T","Dir=V")</f>
        <v>0</v>
      </c>
      <c r="G2">
        <f>BDH("FDXF US Equity","BS_ST_BORROW","1993-06-18","2026-05-02","Per=Y","Days=T","Dir=V")</f>
        <v>0</v>
      </c>
      <c r="I2">
        <f>BDH("FDXF US Equity","BS_LT_BORROW","1993-06-18","2026-05-02","Per=Y","Days=T","Dir=V")</f>
        <v>0</v>
      </c>
      <c r="K2">
        <f>BDH("FDXF US Equity","BS_CASH_NEAR_CASH_ITEM","1993-06-18","2026-05-02","Per=Y","Days=T","Dir=V")</f>
        <v>0</v>
      </c>
      <c r="M2">
        <f>BDH("FDXF US Equity","BS_CUR_ASSET_REPORT","1993-06-18","2026-05-02","Per=Y","Days=T","Dir=V")</f>
        <v>0</v>
      </c>
      <c r="O2">
        <f>BDH("FDXF US Equity","BS_CUR_LIAB","1993-06-18","2026-05-02","Per=Y","Days=T","Dir=V")</f>
        <v>0</v>
      </c>
      <c r="Q2">
        <f>BDH("FDXF US Equity","BS_SHAREHOLDER_EQY_ENDING_PERIOD","1993-06-18","2026-05-02","Per=Y","Days=T","Dir=V")</f>
        <v>0</v>
      </c>
      <c r="S2">
        <f>BDH("FDXF US Equity","BS_ACCT_NOTE_RCV","1993-06-18","2026-05-02","Per=Y","Days=T","Dir=V")</f>
        <v>0</v>
      </c>
      <c r="U2">
        <f>BDH("FDXF US Equity","BS_INVENTORIES","1993-06-18","2026-05-02","Per=Y","Days=T","Dir=V")</f>
        <v>0</v>
      </c>
      <c r="W2">
        <f>BDH("FDXF US Equity","WORKING_CAPITAL","1993-06-18","2026-05-02","Per=Y","Days=T","Dir=V")</f>
        <v>0</v>
      </c>
      <c r="Y2">
        <f>BDH("FDXF US Equity","SALES_REV_TURN","1993-06-18","2026-05-02","Per=Y","Days=T","Dir=V")</f>
        <v>0</v>
      </c>
      <c r="AA2">
        <f>BDH("FDXF US Equity","EBIT","1993-06-18","2026-05-02","Per=Y","Days=T","Dir=V")</f>
        <v>0</v>
      </c>
      <c r="AC2">
        <f>BDH("FDXF US Equity","EBITDA","1993-06-18","2026-05-02","Per=Y","Days=T","Dir=V")</f>
        <v>0</v>
      </c>
      <c r="AE2">
        <f>BDH("FDXF US Equity","NET_INCOME","1993-06-18","2026-05-02","Per=Y","Days=T","Dir=V")</f>
        <v>0</v>
      </c>
      <c r="AG2">
        <f>BDH("FDXF US Equity","IS_INT_EXPENSE","1993-06-18","2026-05-02","Per=Y","Days=T","Dir=V")</f>
        <v>0</v>
      </c>
      <c r="AI2">
        <f>BDH("FDXF US Equity","IS_DEPR_EXP","1993-06-18","2026-05-02","Per=Y","Days=T","Dir=V")</f>
        <v>0</v>
      </c>
      <c r="AK2">
        <f>BDH("FDXF US Equity","CF_CASH_FROM_OPER","1993-06-18","2026-05-02","Per=Y","Days=T","Dir=V")</f>
        <v>0</v>
      </c>
      <c r="AM2">
        <f>BDH("FDXF US Equity","CAPITAL_EXPEND","1993-06-18","2026-05-02","Per=Y","Days=T","Dir=V")</f>
        <v>0</v>
      </c>
      <c r="AO2">
        <f>BDH("FDXF US Equity","CF_FREE_CASH_FLOW","1993-06-18","2026-05-02","Per=Y","Days=T","Dir=V")</f>
        <v>0</v>
      </c>
      <c r="AQ2">
        <f>BDH("FDXF US Equity","PX_LAST","1993-06-18","2026-05-02","Per=M","Days=T","Dir=V")</f>
        <v>0</v>
      </c>
      <c r="AS2">
        <f>BDH("FDXF US Equity","CUR_MKT_CAP","1993-06-18","2026-05-02","Per=M","Days=T","Dir=V")</f>
        <v>0</v>
      </c>
      <c r="AU2">
        <f>BDH("FDXF US Equity","EQY_SH_OUT","1993-06-18","2026-05-02","Per=M","Days=T","Dir=V")</f>
        <v>0</v>
      </c>
      <c r="AW2">
        <f>BDH("FDXF US Equity","PX_VOLUME","1993-06-18","2026-05-02","Per=M","Days=T","Dir=V")</f>
        <v>0</v>
      </c>
      <c r="AY2">
        <f>BDH("FDXF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BDH("FE US Equity","BS_TOT_ASSET","1993-06-18","2026-05-02","Per=Y","Days=T","Dir=V")</f>
        <v>0</v>
      </c>
      <c r="C2">
        <f>BDH("FE US Equity","BS_TOT_LIAB2","1993-06-18","2026-05-02","Per=Y","Days=T","Dir=V")</f>
        <v>0</v>
      </c>
      <c r="E2">
        <f>BDH("FE US Equity","SHORT_AND_LONG_TERM_DEBT","1993-06-18","2026-05-02","Per=Y","Days=T","Dir=V")</f>
        <v>0</v>
      </c>
      <c r="G2">
        <f>BDH("FE US Equity","BS_ST_BORROW","1993-06-18","2026-05-02","Per=Y","Days=T","Dir=V")</f>
        <v>0</v>
      </c>
      <c r="I2">
        <f>BDH("FE US Equity","BS_LT_BORROW","1993-06-18","2026-05-02","Per=Y","Days=T","Dir=V")</f>
        <v>0</v>
      </c>
      <c r="K2">
        <f>BDH("FE US Equity","BS_CASH_NEAR_CASH_ITEM","1993-06-18","2026-05-02","Per=Y","Days=T","Dir=V")</f>
        <v>0</v>
      </c>
      <c r="M2">
        <f>BDH("FE US Equity","BS_CUR_ASSET_REPORT","1993-06-18","2026-05-02","Per=Y","Days=T","Dir=V")</f>
        <v>0</v>
      </c>
      <c r="O2">
        <f>BDH("FE US Equity","BS_CUR_LIAB","1993-06-18","2026-05-02","Per=Y","Days=T","Dir=V")</f>
        <v>0</v>
      </c>
      <c r="Q2">
        <f>BDH("FE US Equity","BS_SHAREHOLDER_EQY_ENDING_PERIOD","1993-06-18","2026-05-02","Per=Y","Days=T","Dir=V")</f>
        <v>0</v>
      </c>
      <c r="S2">
        <f>BDH("FE US Equity","BS_ACCT_NOTE_RCV","1993-06-18","2026-05-02","Per=Y","Days=T","Dir=V")</f>
        <v>0</v>
      </c>
      <c r="U2">
        <f>BDH("FE US Equity","BS_INVENTORIES","1993-06-18","2026-05-02","Per=Y","Days=T","Dir=V")</f>
        <v>0</v>
      </c>
      <c r="W2">
        <f>BDH("FE US Equity","WORKING_CAPITAL","1993-06-18","2026-05-02","Per=Y","Days=T","Dir=V")</f>
        <v>0</v>
      </c>
      <c r="Y2">
        <f>BDH("FE US Equity","SALES_REV_TURN","1993-06-18","2026-05-02","Per=Y","Days=T","Dir=V")</f>
        <v>0</v>
      </c>
      <c r="AA2">
        <f>BDH("FE US Equity","EBIT","1993-06-18","2026-05-02","Per=Y","Days=T","Dir=V")</f>
        <v>0</v>
      </c>
      <c r="AC2">
        <f>BDH("FE US Equity","EBITDA","1993-06-18","2026-05-02","Per=Y","Days=T","Dir=V")</f>
        <v>0</v>
      </c>
      <c r="AE2">
        <f>BDH("FE US Equity","NET_INCOME","1993-06-18","2026-05-02","Per=Y","Days=T","Dir=V")</f>
        <v>0</v>
      </c>
      <c r="AG2">
        <f>BDH("FE US Equity","IS_INT_EXPENSE","1993-06-18","2026-05-02","Per=Y","Days=T","Dir=V")</f>
        <v>0</v>
      </c>
      <c r="AI2">
        <f>BDH("FE US Equity","IS_DEPR_EXP","1993-06-18","2026-05-02","Per=Y","Days=T","Dir=V")</f>
        <v>0</v>
      </c>
      <c r="AK2">
        <f>BDH("FE US Equity","CF_CASH_FROM_OPER","1993-06-18","2026-05-02","Per=Y","Days=T","Dir=V")</f>
        <v>0</v>
      </c>
      <c r="AM2">
        <f>BDH("FE US Equity","CAPITAL_EXPEND","1993-06-18","2026-05-02","Per=Y","Days=T","Dir=V")</f>
        <v>0</v>
      </c>
      <c r="AO2">
        <f>BDH("FE US Equity","CF_FREE_CASH_FLOW","1993-06-18","2026-05-02","Per=Y","Days=T","Dir=V")</f>
        <v>0</v>
      </c>
      <c r="AQ2">
        <f>BDH("FE US Equity","PX_LAST","1993-06-18","2026-05-02","Per=M","Days=T","Dir=V")</f>
        <v>0</v>
      </c>
      <c r="AS2">
        <f>BDH("FE US Equity","CUR_MKT_CAP","1993-06-18","2026-05-02","Per=M","Days=T","Dir=V")</f>
        <v>0</v>
      </c>
      <c r="AU2">
        <f>BDH("FE US Equity","EQY_SH_OUT","1993-06-18","2026-05-02","Per=M","Days=T","Dir=V")</f>
        <v>0</v>
      </c>
      <c r="AW2">
        <f>BDH("FE US Equity","PX_VOLUME","1993-06-18","2026-05-02","Per=M","Days=T","Dir=V")</f>
        <v>0</v>
      </c>
      <c r="AY2">
        <f>BDH("FE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BDH("FEAM US Equity","BS_TOT_ASSET","1993-06-18","2026-05-02","Per=Y","Days=T","Dir=V")</f>
        <v>0</v>
      </c>
      <c r="C2">
        <f>BDH("FEAM US Equity","BS_TOT_LIAB2","1993-06-18","2026-05-02","Per=Y","Days=T","Dir=V")</f>
        <v>0</v>
      </c>
      <c r="E2">
        <f>BDH("FEAM US Equity","SHORT_AND_LONG_TERM_DEBT","1993-06-18","2026-05-02","Per=Y","Days=T","Dir=V")</f>
        <v>0</v>
      </c>
      <c r="G2">
        <f>BDH("FEAM US Equity","BS_ST_BORROW","1993-06-18","2026-05-02","Per=Y","Days=T","Dir=V")</f>
        <v>0</v>
      </c>
      <c r="I2">
        <f>BDH("FEAM US Equity","BS_LT_BORROW","1993-06-18","2026-05-02","Per=Y","Days=T","Dir=V")</f>
        <v>0</v>
      </c>
      <c r="K2">
        <f>BDH("FEAM US Equity","BS_CASH_NEAR_CASH_ITEM","1993-06-18","2026-05-02","Per=Y","Days=T","Dir=V")</f>
        <v>0</v>
      </c>
      <c r="M2">
        <f>BDH("FEAM US Equity","BS_CUR_ASSET_REPORT","1993-06-18","2026-05-02","Per=Y","Days=T","Dir=V")</f>
        <v>0</v>
      </c>
      <c r="O2">
        <f>BDH("FEAM US Equity","BS_CUR_LIAB","1993-06-18","2026-05-02","Per=Y","Days=T","Dir=V")</f>
        <v>0</v>
      </c>
      <c r="Q2">
        <f>BDH("FEAM US Equity","BS_SHAREHOLDER_EQY_ENDING_PERIOD","1993-06-18","2026-05-02","Per=Y","Days=T","Dir=V")</f>
        <v>0</v>
      </c>
      <c r="S2">
        <f>BDH("FEAM US Equity","BS_ACCT_NOTE_RCV","1993-06-18","2026-05-02","Per=Y","Days=T","Dir=V")</f>
        <v>0</v>
      </c>
      <c r="U2">
        <f>BDH("FEAM US Equity","BS_INVENTORIES","1993-06-18","2026-05-02","Per=Y","Days=T","Dir=V")</f>
        <v>0</v>
      </c>
      <c r="W2">
        <f>BDH("FEAM US Equity","WORKING_CAPITAL","1993-06-18","2026-05-02","Per=Y","Days=T","Dir=V")</f>
        <v>0</v>
      </c>
      <c r="Y2">
        <f>BDH("FEAM US Equity","SALES_REV_TURN","1993-06-18","2026-05-02","Per=Y","Days=T","Dir=V")</f>
        <v>0</v>
      </c>
      <c r="AA2">
        <f>BDH("FEAM US Equity","EBIT","1993-06-18","2026-05-02","Per=Y","Days=T","Dir=V")</f>
        <v>0</v>
      </c>
      <c r="AC2">
        <f>BDH("FEAM US Equity","EBITDA","1993-06-18","2026-05-02","Per=Y","Days=T","Dir=V")</f>
        <v>0</v>
      </c>
      <c r="AE2">
        <f>BDH("FEAM US Equity","NET_INCOME","1993-06-18","2026-05-02","Per=Y","Days=T","Dir=V")</f>
        <v>0</v>
      </c>
      <c r="AG2">
        <f>BDH("FEAM US Equity","IS_INT_EXPENSE","1993-06-18","2026-05-02","Per=Y","Days=T","Dir=V")</f>
        <v>0</v>
      </c>
      <c r="AI2">
        <f>BDH("FEAM US Equity","IS_DEPR_EXP","1993-06-18","2026-05-02","Per=Y","Days=T","Dir=V")</f>
        <v>0</v>
      </c>
      <c r="AK2">
        <f>BDH("FEAM US Equity","CF_CASH_FROM_OPER","1993-06-18","2026-05-02","Per=Y","Days=T","Dir=V")</f>
        <v>0</v>
      </c>
      <c r="AM2">
        <f>BDH("FEAM US Equity","CAPITAL_EXPEND","1993-06-18","2026-05-02","Per=Y","Days=T","Dir=V")</f>
        <v>0</v>
      </c>
      <c r="AO2">
        <f>BDH("FEAM US Equity","CF_FREE_CASH_FLOW","1993-06-18","2026-05-02","Per=Y","Days=T","Dir=V")</f>
        <v>0</v>
      </c>
      <c r="AQ2">
        <f>BDH("FEAM US Equity","PX_LAST","1993-06-18","2026-05-02","Per=M","Days=T","Dir=V")</f>
        <v>0</v>
      </c>
      <c r="AS2">
        <f>BDH("FEAM US Equity","CUR_MKT_CAP","1993-06-18","2026-05-02","Per=M","Days=T","Dir=V")</f>
        <v>0</v>
      </c>
      <c r="AU2">
        <f>BDH("FEAM US Equity","EQY_SH_OUT","1993-06-18","2026-05-02","Per=M","Days=T","Dir=V")</f>
        <v>0</v>
      </c>
      <c r="AW2">
        <f>BDH("FEAM US Equity","PX_VOLUME","1993-06-18","2026-05-02","Per=M","Days=T","Dir=V")</f>
        <v>0</v>
      </c>
      <c r="AY2">
        <f>BDH("FEAM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BDH("FEIM US Equity","BS_TOT_ASSET","1993-06-18","2026-05-02","Per=Y","Days=T","Dir=V")</f>
        <v>0</v>
      </c>
      <c r="C2">
        <f>BDH("FEIM US Equity","BS_TOT_LIAB2","1993-06-18","2026-05-02","Per=Y","Days=T","Dir=V")</f>
        <v>0</v>
      </c>
      <c r="E2">
        <f>BDH("FEIM US Equity","SHORT_AND_LONG_TERM_DEBT","1993-06-18","2026-05-02","Per=Y","Days=T","Dir=V")</f>
        <v>0</v>
      </c>
      <c r="G2">
        <f>BDH("FEIM US Equity","BS_ST_BORROW","1993-06-18","2026-05-02","Per=Y","Days=T","Dir=V")</f>
        <v>0</v>
      </c>
      <c r="I2">
        <f>BDH("FEIM US Equity","BS_LT_BORROW","1993-06-18","2026-05-02","Per=Y","Days=T","Dir=V")</f>
        <v>0</v>
      </c>
      <c r="K2">
        <f>BDH("FEIM US Equity","BS_CASH_NEAR_CASH_ITEM","1993-06-18","2026-05-02","Per=Y","Days=T","Dir=V")</f>
        <v>0</v>
      </c>
      <c r="M2">
        <f>BDH("FEIM US Equity","BS_CUR_ASSET_REPORT","1993-06-18","2026-05-02","Per=Y","Days=T","Dir=V")</f>
        <v>0</v>
      </c>
      <c r="O2">
        <f>BDH("FEIM US Equity","BS_CUR_LIAB","1993-06-18","2026-05-02","Per=Y","Days=T","Dir=V")</f>
        <v>0</v>
      </c>
      <c r="Q2">
        <f>BDH("FEIM US Equity","BS_SHAREHOLDER_EQY_ENDING_PERIOD","1993-06-18","2026-05-02","Per=Y","Days=T","Dir=V")</f>
        <v>0</v>
      </c>
      <c r="S2">
        <f>BDH("FEIM US Equity","BS_ACCT_NOTE_RCV","1993-06-18","2026-05-02","Per=Y","Days=T","Dir=V")</f>
        <v>0</v>
      </c>
      <c r="U2">
        <f>BDH("FEIM US Equity","BS_INVENTORIES","1993-06-18","2026-05-02","Per=Y","Days=T","Dir=V")</f>
        <v>0</v>
      </c>
      <c r="W2">
        <f>BDH("FEIM US Equity","WORKING_CAPITAL","1993-06-18","2026-05-02","Per=Y","Days=T","Dir=V")</f>
        <v>0</v>
      </c>
      <c r="Y2">
        <f>BDH("FEIM US Equity","SALES_REV_TURN","1993-06-18","2026-05-02","Per=Y","Days=T","Dir=V")</f>
        <v>0</v>
      </c>
      <c r="AA2">
        <f>BDH("FEIM US Equity","EBIT","1993-06-18","2026-05-02","Per=Y","Days=T","Dir=V")</f>
        <v>0</v>
      </c>
      <c r="AC2">
        <f>BDH("FEIM US Equity","EBITDA","1993-06-18","2026-05-02","Per=Y","Days=T","Dir=V")</f>
        <v>0</v>
      </c>
      <c r="AE2">
        <f>BDH("FEIM US Equity","NET_INCOME","1993-06-18","2026-05-02","Per=Y","Days=T","Dir=V")</f>
        <v>0</v>
      </c>
      <c r="AG2">
        <f>BDH("FEIM US Equity","IS_INT_EXPENSE","1993-06-18","2026-05-02","Per=Y","Days=T","Dir=V")</f>
        <v>0</v>
      </c>
      <c r="AI2">
        <f>BDH("FEIM US Equity","IS_DEPR_EXP","1993-06-18","2026-05-02","Per=Y","Days=T","Dir=V")</f>
        <v>0</v>
      </c>
      <c r="AK2">
        <f>BDH("FEIM US Equity","CF_CASH_FROM_OPER","1993-06-18","2026-05-02","Per=Y","Days=T","Dir=V")</f>
        <v>0</v>
      </c>
      <c r="AM2">
        <f>BDH("FEIM US Equity","CAPITAL_EXPEND","1993-06-18","2026-05-02","Per=Y","Days=T","Dir=V")</f>
        <v>0</v>
      </c>
      <c r="AO2">
        <f>BDH("FEIM US Equity","CF_FREE_CASH_FLOW","1993-06-18","2026-05-02","Per=Y","Days=T","Dir=V")</f>
        <v>0</v>
      </c>
      <c r="AQ2">
        <f>BDH("FEIM US Equity","PX_LAST","1993-06-18","2026-05-02","Per=M","Days=T","Dir=V")</f>
        <v>0</v>
      </c>
      <c r="AS2">
        <f>BDH("FEIM US Equity","CUR_MKT_CAP","1993-06-18","2026-05-02","Per=M","Days=T","Dir=V")</f>
        <v>0</v>
      </c>
      <c r="AU2">
        <f>BDH("FEIM US Equity","EQY_SH_OUT","1993-06-18","2026-05-02","Per=M","Days=T","Dir=V")</f>
        <v>0</v>
      </c>
      <c r="AW2">
        <f>BDH("FEIM US Equity","PX_VOLUME","1993-06-18","2026-05-02","Per=M","Days=T","Dir=V")</f>
        <v>0</v>
      </c>
      <c r="AY2">
        <f>BDH("FEIM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BDH("FELE US Equity","BS_TOT_ASSET","1993-06-18","2026-05-02","Per=Y","Days=T","Dir=V")</f>
        <v>0</v>
      </c>
      <c r="C2">
        <f>BDH("FELE US Equity","BS_TOT_LIAB2","1993-06-18","2026-05-02","Per=Y","Days=T","Dir=V")</f>
        <v>0</v>
      </c>
      <c r="E2">
        <f>BDH("FELE US Equity","SHORT_AND_LONG_TERM_DEBT","1993-06-18","2026-05-02","Per=Y","Days=T","Dir=V")</f>
        <v>0</v>
      </c>
      <c r="G2">
        <f>BDH("FELE US Equity","BS_ST_BORROW","1993-06-18","2026-05-02","Per=Y","Days=T","Dir=V")</f>
        <v>0</v>
      </c>
      <c r="I2">
        <f>BDH("FELE US Equity","BS_LT_BORROW","1993-06-18","2026-05-02","Per=Y","Days=T","Dir=V")</f>
        <v>0</v>
      </c>
      <c r="K2">
        <f>BDH("FELE US Equity","BS_CASH_NEAR_CASH_ITEM","1993-06-18","2026-05-02","Per=Y","Days=T","Dir=V")</f>
        <v>0</v>
      </c>
      <c r="M2">
        <f>BDH("FELE US Equity","BS_CUR_ASSET_REPORT","1993-06-18","2026-05-02","Per=Y","Days=T","Dir=V")</f>
        <v>0</v>
      </c>
      <c r="O2">
        <f>BDH("FELE US Equity","BS_CUR_LIAB","1993-06-18","2026-05-02","Per=Y","Days=T","Dir=V")</f>
        <v>0</v>
      </c>
      <c r="Q2">
        <f>BDH("FELE US Equity","BS_SHAREHOLDER_EQY_ENDING_PERIOD","1993-06-18","2026-05-02","Per=Y","Days=T","Dir=V")</f>
        <v>0</v>
      </c>
      <c r="S2">
        <f>BDH("FELE US Equity","BS_ACCT_NOTE_RCV","1993-06-18","2026-05-02","Per=Y","Days=T","Dir=V")</f>
        <v>0</v>
      </c>
      <c r="U2">
        <f>BDH("FELE US Equity","BS_INVENTORIES","1993-06-18","2026-05-02","Per=Y","Days=T","Dir=V")</f>
        <v>0</v>
      </c>
      <c r="W2">
        <f>BDH("FELE US Equity","WORKING_CAPITAL","1993-06-18","2026-05-02","Per=Y","Days=T","Dir=V")</f>
        <v>0</v>
      </c>
      <c r="Y2">
        <f>BDH("FELE US Equity","SALES_REV_TURN","1993-06-18","2026-05-02","Per=Y","Days=T","Dir=V")</f>
        <v>0</v>
      </c>
      <c r="AA2">
        <f>BDH("FELE US Equity","EBIT","1993-06-18","2026-05-02","Per=Y","Days=T","Dir=V")</f>
        <v>0</v>
      </c>
      <c r="AC2">
        <f>BDH("FELE US Equity","EBITDA","1993-06-18","2026-05-02","Per=Y","Days=T","Dir=V")</f>
        <v>0</v>
      </c>
      <c r="AE2">
        <f>BDH("FELE US Equity","NET_INCOME","1993-06-18","2026-05-02","Per=Y","Days=T","Dir=V")</f>
        <v>0</v>
      </c>
      <c r="AG2">
        <f>BDH("FELE US Equity","IS_INT_EXPENSE","1993-06-18","2026-05-02","Per=Y","Days=T","Dir=V")</f>
        <v>0</v>
      </c>
      <c r="AI2">
        <f>BDH("FELE US Equity","IS_DEPR_EXP","1993-06-18","2026-05-02","Per=Y","Days=T","Dir=V")</f>
        <v>0</v>
      </c>
      <c r="AK2">
        <f>BDH("FELE US Equity","CF_CASH_FROM_OPER","1993-06-18","2026-05-02","Per=Y","Days=T","Dir=V")</f>
        <v>0</v>
      </c>
      <c r="AM2">
        <f>BDH("FELE US Equity","CAPITAL_EXPEND","1993-06-18","2026-05-02","Per=Y","Days=T","Dir=V")</f>
        <v>0</v>
      </c>
      <c r="AO2">
        <f>BDH("FELE US Equity","CF_FREE_CASH_FLOW","1993-06-18","2026-05-02","Per=Y","Days=T","Dir=V")</f>
        <v>0</v>
      </c>
      <c r="AQ2">
        <f>BDH("FELE US Equity","PX_LAST","1993-06-18","2026-05-02","Per=M","Days=T","Dir=V")</f>
        <v>0</v>
      </c>
      <c r="AS2">
        <f>BDH("FELE US Equity","CUR_MKT_CAP","1993-06-18","2026-05-02","Per=M","Days=T","Dir=V")</f>
        <v>0</v>
      </c>
      <c r="AU2">
        <f>BDH("FELE US Equity","EQY_SH_OUT","1993-06-18","2026-05-02","Per=M","Days=T","Dir=V")</f>
        <v>0</v>
      </c>
      <c r="AW2">
        <f>BDH("FELE US Equity","PX_VOLUME","1993-06-18","2026-05-02","Per=M","Days=T","Dir=V")</f>
        <v>0</v>
      </c>
      <c r="AY2">
        <f>BDH("FELE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BDH("FEMY US Equity","BS_TOT_ASSET","1993-06-18","2026-05-02","Per=Y","Days=T","Dir=V")</f>
        <v>0</v>
      </c>
      <c r="C2">
        <f>BDH("FEMY US Equity","BS_TOT_LIAB2","1993-06-18","2026-05-02","Per=Y","Days=T","Dir=V")</f>
        <v>0</v>
      </c>
      <c r="E2">
        <f>BDH("FEMY US Equity","SHORT_AND_LONG_TERM_DEBT","1993-06-18","2026-05-02","Per=Y","Days=T","Dir=V")</f>
        <v>0</v>
      </c>
      <c r="G2">
        <f>BDH("FEMY US Equity","BS_ST_BORROW","1993-06-18","2026-05-02","Per=Y","Days=T","Dir=V")</f>
        <v>0</v>
      </c>
      <c r="I2">
        <f>BDH("FEMY US Equity","BS_LT_BORROW","1993-06-18","2026-05-02","Per=Y","Days=T","Dir=V")</f>
        <v>0</v>
      </c>
      <c r="K2">
        <f>BDH("FEMY US Equity","BS_CASH_NEAR_CASH_ITEM","1993-06-18","2026-05-02","Per=Y","Days=T","Dir=V")</f>
        <v>0</v>
      </c>
      <c r="M2">
        <f>BDH("FEMY US Equity","BS_CUR_ASSET_REPORT","1993-06-18","2026-05-02","Per=Y","Days=T","Dir=V")</f>
        <v>0</v>
      </c>
      <c r="O2">
        <f>BDH("FEMY US Equity","BS_CUR_LIAB","1993-06-18","2026-05-02","Per=Y","Days=T","Dir=V")</f>
        <v>0</v>
      </c>
      <c r="Q2">
        <f>BDH("FEMY US Equity","BS_SHAREHOLDER_EQY_ENDING_PERIOD","1993-06-18","2026-05-02","Per=Y","Days=T","Dir=V")</f>
        <v>0</v>
      </c>
      <c r="S2">
        <f>BDH("FEMY US Equity","BS_ACCT_NOTE_RCV","1993-06-18","2026-05-02","Per=Y","Days=T","Dir=V")</f>
        <v>0</v>
      </c>
      <c r="U2">
        <f>BDH("FEMY US Equity","BS_INVENTORIES","1993-06-18","2026-05-02","Per=Y","Days=T","Dir=V")</f>
        <v>0</v>
      </c>
      <c r="W2">
        <f>BDH("FEMY US Equity","WORKING_CAPITAL","1993-06-18","2026-05-02","Per=Y","Days=T","Dir=V")</f>
        <v>0</v>
      </c>
      <c r="Y2">
        <f>BDH("FEMY US Equity","SALES_REV_TURN","1993-06-18","2026-05-02","Per=Y","Days=T","Dir=V")</f>
        <v>0</v>
      </c>
      <c r="AA2">
        <f>BDH("FEMY US Equity","EBIT","1993-06-18","2026-05-02","Per=Y","Days=T","Dir=V")</f>
        <v>0</v>
      </c>
      <c r="AC2">
        <f>BDH("FEMY US Equity","EBITDA","1993-06-18","2026-05-02","Per=Y","Days=T","Dir=V")</f>
        <v>0</v>
      </c>
      <c r="AE2">
        <f>BDH("FEMY US Equity","NET_INCOME","1993-06-18","2026-05-02","Per=Y","Days=T","Dir=V")</f>
        <v>0</v>
      </c>
      <c r="AG2">
        <f>BDH("FEMY US Equity","IS_INT_EXPENSE","1993-06-18","2026-05-02","Per=Y","Days=T","Dir=V")</f>
        <v>0</v>
      </c>
      <c r="AI2">
        <f>BDH("FEMY US Equity","IS_DEPR_EXP","1993-06-18","2026-05-02","Per=Y","Days=T","Dir=V")</f>
        <v>0</v>
      </c>
      <c r="AK2">
        <f>BDH("FEMY US Equity","CF_CASH_FROM_OPER","1993-06-18","2026-05-02","Per=Y","Days=T","Dir=V")</f>
        <v>0</v>
      </c>
      <c r="AM2">
        <f>BDH("FEMY US Equity","CAPITAL_EXPEND","1993-06-18","2026-05-02","Per=Y","Days=T","Dir=V")</f>
        <v>0</v>
      </c>
      <c r="AO2">
        <f>BDH("FEMY US Equity","CF_FREE_CASH_FLOW","1993-06-18","2026-05-02","Per=Y","Days=T","Dir=V")</f>
        <v>0</v>
      </c>
      <c r="AQ2">
        <f>BDH("FEMY US Equity","PX_LAST","1993-06-18","2026-05-02","Per=M","Days=T","Dir=V")</f>
        <v>0</v>
      </c>
      <c r="AS2">
        <f>BDH("FEMY US Equity","CUR_MKT_CAP","1993-06-18","2026-05-02","Per=M","Days=T","Dir=V")</f>
        <v>0</v>
      </c>
      <c r="AU2">
        <f>BDH("FEMY US Equity","EQY_SH_OUT","1993-06-18","2026-05-02","Per=M","Days=T","Dir=V")</f>
        <v>0</v>
      </c>
      <c r="AW2">
        <f>BDH("FEMY US Equity","PX_VOLUME","1993-06-18","2026-05-02","Per=M","Days=T","Dir=V")</f>
        <v>0</v>
      </c>
      <c r="AY2">
        <f>BDH("FEMY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BDH("FENC US Equity","BS_TOT_ASSET","1993-06-18","2026-05-02","Per=Y","Days=T","Dir=V")</f>
        <v>0</v>
      </c>
      <c r="C2">
        <f>BDH("FENC US Equity","BS_TOT_LIAB2","1993-06-18","2026-05-02","Per=Y","Days=T","Dir=V")</f>
        <v>0</v>
      </c>
      <c r="E2">
        <f>BDH("FENC US Equity","SHORT_AND_LONG_TERM_DEBT","1993-06-18","2026-05-02","Per=Y","Days=T","Dir=V")</f>
        <v>0</v>
      </c>
      <c r="G2">
        <f>BDH("FENC US Equity","BS_ST_BORROW","1993-06-18","2026-05-02","Per=Y","Days=T","Dir=V")</f>
        <v>0</v>
      </c>
      <c r="I2">
        <f>BDH("FENC US Equity","BS_LT_BORROW","1993-06-18","2026-05-02","Per=Y","Days=T","Dir=V")</f>
        <v>0</v>
      </c>
      <c r="K2">
        <f>BDH("FENC US Equity","BS_CASH_NEAR_CASH_ITEM","1993-06-18","2026-05-02","Per=Y","Days=T","Dir=V")</f>
        <v>0</v>
      </c>
      <c r="M2">
        <f>BDH("FENC US Equity","BS_CUR_ASSET_REPORT","1993-06-18","2026-05-02","Per=Y","Days=T","Dir=V")</f>
        <v>0</v>
      </c>
      <c r="O2">
        <f>BDH("FENC US Equity","BS_CUR_LIAB","1993-06-18","2026-05-02","Per=Y","Days=T","Dir=V")</f>
        <v>0</v>
      </c>
      <c r="Q2">
        <f>BDH("FENC US Equity","BS_SHAREHOLDER_EQY_ENDING_PERIOD","1993-06-18","2026-05-02","Per=Y","Days=T","Dir=V")</f>
        <v>0</v>
      </c>
      <c r="S2">
        <f>BDH("FENC US Equity","BS_ACCT_NOTE_RCV","1993-06-18","2026-05-02","Per=Y","Days=T","Dir=V")</f>
        <v>0</v>
      </c>
      <c r="U2">
        <f>BDH("FENC US Equity","BS_INVENTORIES","1993-06-18","2026-05-02","Per=Y","Days=T","Dir=V")</f>
        <v>0</v>
      </c>
      <c r="W2">
        <f>BDH("FENC US Equity","WORKING_CAPITAL","1993-06-18","2026-05-02","Per=Y","Days=T","Dir=V")</f>
        <v>0</v>
      </c>
      <c r="Y2">
        <f>BDH("FENC US Equity","SALES_REV_TURN","1993-06-18","2026-05-02","Per=Y","Days=T","Dir=V")</f>
        <v>0</v>
      </c>
      <c r="AA2">
        <f>BDH("FENC US Equity","EBIT","1993-06-18","2026-05-02","Per=Y","Days=T","Dir=V")</f>
        <v>0</v>
      </c>
      <c r="AC2">
        <f>BDH("FENC US Equity","EBITDA","1993-06-18","2026-05-02","Per=Y","Days=T","Dir=V")</f>
        <v>0</v>
      </c>
      <c r="AE2">
        <f>BDH("FENC US Equity","NET_INCOME","1993-06-18","2026-05-02","Per=Y","Days=T","Dir=V")</f>
        <v>0</v>
      </c>
      <c r="AG2">
        <f>BDH("FENC US Equity","IS_INT_EXPENSE","1993-06-18","2026-05-02","Per=Y","Days=T","Dir=V")</f>
        <v>0</v>
      </c>
      <c r="AI2">
        <f>BDH("FENC US Equity","IS_DEPR_EXP","1993-06-18","2026-05-02","Per=Y","Days=T","Dir=V")</f>
        <v>0</v>
      </c>
      <c r="AK2">
        <f>BDH("FENC US Equity","CF_CASH_FROM_OPER","1993-06-18","2026-05-02","Per=Y","Days=T","Dir=V")</f>
        <v>0</v>
      </c>
      <c r="AM2">
        <f>BDH("FENC US Equity","CAPITAL_EXPEND","1993-06-18","2026-05-02","Per=Y","Days=T","Dir=V")</f>
        <v>0</v>
      </c>
      <c r="AO2">
        <f>BDH("FENC US Equity","CF_FREE_CASH_FLOW","1993-06-18","2026-05-02","Per=Y","Days=T","Dir=V")</f>
        <v>0</v>
      </c>
      <c r="AQ2">
        <f>BDH("FENC US Equity","PX_LAST","1993-06-18","2026-05-02","Per=M","Days=T","Dir=V")</f>
        <v>0</v>
      </c>
      <c r="AS2">
        <f>BDH("FENC US Equity","CUR_MKT_CAP","1993-06-18","2026-05-02","Per=M","Days=T","Dir=V")</f>
        <v>0</v>
      </c>
      <c r="AU2">
        <f>BDH("FENC US Equity","EQY_SH_OUT","1993-06-18","2026-05-02","Per=M","Days=T","Dir=V")</f>
        <v>0</v>
      </c>
      <c r="AW2">
        <f>BDH("FENC US Equity","PX_VOLUME","1993-06-18","2026-05-02","Per=M","Days=T","Dir=V")</f>
        <v>0</v>
      </c>
      <c r="AY2">
        <f>BDH("FENC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BDH("FET US Equity","BS_TOT_ASSET","1993-06-18","2026-05-02","Per=Y","Days=T","Dir=V")</f>
        <v>0</v>
      </c>
      <c r="C2">
        <f>BDH("FET US Equity","BS_TOT_LIAB2","1993-06-18","2026-05-02","Per=Y","Days=T","Dir=V")</f>
        <v>0</v>
      </c>
      <c r="E2">
        <f>BDH("FET US Equity","SHORT_AND_LONG_TERM_DEBT","1993-06-18","2026-05-02","Per=Y","Days=T","Dir=V")</f>
        <v>0</v>
      </c>
      <c r="G2">
        <f>BDH("FET US Equity","BS_ST_BORROW","1993-06-18","2026-05-02","Per=Y","Days=T","Dir=V")</f>
        <v>0</v>
      </c>
      <c r="I2">
        <f>BDH("FET US Equity","BS_LT_BORROW","1993-06-18","2026-05-02","Per=Y","Days=T","Dir=V")</f>
        <v>0</v>
      </c>
      <c r="K2">
        <f>BDH("FET US Equity","BS_CASH_NEAR_CASH_ITEM","1993-06-18","2026-05-02","Per=Y","Days=T","Dir=V")</f>
        <v>0</v>
      </c>
      <c r="M2">
        <f>BDH("FET US Equity","BS_CUR_ASSET_REPORT","1993-06-18","2026-05-02","Per=Y","Days=T","Dir=V")</f>
        <v>0</v>
      </c>
      <c r="O2">
        <f>BDH("FET US Equity","BS_CUR_LIAB","1993-06-18","2026-05-02","Per=Y","Days=T","Dir=V")</f>
        <v>0</v>
      </c>
      <c r="Q2">
        <f>BDH("FET US Equity","BS_SHAREHOLDER_EQY_ENDING_PERIOD","1993-06-18","2026-05-02","Per=Y","Days=T","Dir=V")</f>
        <v>0</v>
      </c>
      <c r="S2">
        <f>BDH("FET US Equity","BS_ACCT_NOTE_RCV","1993-06-18","2026-05-02","Per=Y","Days=T","Dir=V")</f>
        <v>0</v>
      </c>
      <c r="U2">
        <f>BDH("FET US Equity","BS_INVENTORIES","1993-06-18","2026-05-02","Per=Y","Days=T","Dir=V")</f>
        <v>0</v>
      </c>
      <c r="W2">
        <f>BDH("FET US Equity","WORKING_CAPITAL","1993-06-18","2026-05-02","Per=Y","Days=T","Dir=V")</f>
        <v>0</v>
      </c>
      <c r="Y2">
        <f>BDH("FET US Equity","SALES_REV_TURN","1993-06-18","2026-05-02","Per=Y","Days=T","Dir=V")</f>
        <v>0</v>
      </c>
      <c r="AA2">
        <f>BDH("FET US Equity","EBIT","1993-06-18","2026-05-02","Per=Y","Days=T","Dir=V")</f>
        <v>0</v>
      </c>
      <c r="AC2">
        <f>BDH("FET US Equity","EBITDA","1993-06-18","2026-05-02","Per=Y","Days=T","Dir=V")</f>
        <v>0</v>
      </c>
      <c r="AE2">
        <f>BDH("FET US Equity","NET_INCOME","1993-06-18","2026-05-02","Per=Y","Days=T","Dir=V")</f>
        <v>0</v>
      </c>
      <c r="AG2">
        <f>BDH("FET US Equity","IS_INT_EXPENSE","1993-06-18","2026-05-02","Per=Y","Days=T","Dir=V")</f>
        <v>0</v>
      </c>
      <c r="AI2">
        <f>BDH("FET US Equity","IS_DEPR_EXP","1993-06-18","2026-05-02","Per=Y","Days=T","Dir=V")</f>
        <v>0</v>
      </c>
      <c r="AK2">
        <f>BDH("FET US Equity","CF_CASH_FROM_OPER","1993-06-18","2026-05-02","Per=Y","Days=T","Dir=V")</f>
        <v>0</v>
      </c>
      <c r="AM2">
        <f>BDH("FET US Equity","CAPITAL_EXPEND","1993-06-18","2026-05-02","Per=Y","Days=T","Dir=V")</f>
        <v>0</v>
      </c>
      <c r="AO2">
        <f>BDH("FET US Equity","CF_FREE_CASH_FLOW","1993-06-18","2026-05-02","Per=Y","Days=T","Dir=V")</f>
        <v>0</v>
      </c>
      <c r="AQ2">
        <f>BDH("FET US Equity","PX_LAST","1993-06-18","2026-05-02","Per=M","Days=T","Dir=V")</f>
        <v>0</v>
      </c>
      <c r="AS2">
        <f>BDH("FET US Equity","CUR_MKT_CAP","1993-06-18","2026-05-02","Per=M","Days=T","Dir=V")</f>
        <v>0</v>
      </c>
      <c r="AU2">
        <f>BDH("FET US Equity","EQY_SH_OUT","1993-06-18","2026-05-02","Per=M","Days=T","Dir=V")</f>
        <v>0</v>
      </c>
      <c r="AW2">
        <f>BDH("FET US Equity","PX_VOLUME","1993-06-18","2026-05-02","Per=M","Days=T","Dir=V")</f>
        <v>0</v>
      </c>
      <c r="AY2">
        <f>BDH("FET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BDH("FF US Equity","BS_TOT_ASSET","1993-06-18","2026-05-02","Per=Y","Days=T","Dir=V")</f>
        <v>0</v>
      </c>
      <c r="C2">
        <f>BDH("FF US Equity","BS_TOT_LIAB2","1993-06-18","2026-05-02","Per=Y","Days=T","Dir=V")</f>
        <v>0</v>
      </c>
      <c r="E2">
        <f>BDH("FF US Equity","SHORT_AND_LONG_TERM_DEBT","1993-06-18","2026-05-02","Per=Y","Days=T","Dir=V")</f>
        <v>0</v>
      </c>
      <c r="G2">
        <f>BDH("FF US Equity","BS_ST_BORROW","1993-06-18","2026-05-02","Per=Y","Days=T","Dir=V")</f>
        <v>0</v>
      </c>
      <c r="I2">
        <f>BDH("FF US Equity","BS_LT_BORROW","1993-06-18","2026-05-02","Per=Y","Days=T","Dir=V")</f>
        <v>0</v>
      </c>
      <c r="K2">
        <f>BDH("FF US Equity","BS_CASH_NEAR_CASH_ITEM","1993-06-18","2026-05-02","Per=Y","Days=T","Dir=V")</f>
        <v>0</v>
      </c>
      <c r="M2">
        <f>BDH("FF US Equity","BS_CUR_ASSET_REPORT","1993-06-18","2026-05-02","Per=Y","Days=T","Dir=V")</f>
        <v>0</v>
      </c>
      <c r="O2">
        <f>BDH("FF US Equity","BS_CUR_LIAB","1993-06-18","2026-05-02","Per=Y","Days=T","Dir=V")</f>
        <v>0</v>
      </c>
      <c r="Q2">
        <f>BDH("FF US Equity","BS_SHAREHOLDER_EQY_ENDING_PERIOD","1993-06-18","2026-05-02","Per=Y","Days=T","Dir=V")</f>
        <v>0</v>
      </c>
      <c r="S2">
        <f>BDH("FF US Equity","BS_ACCT_NOTE_RCV","1993-06-18","2026-05-02","Per=Y","Days=T","Dir=V")</f>
        <v>0</v>
      </c>
      <c r="U2">
        <f>BDH("FF US Equity","BS_INVENTORIES","1993-06-18","2026-05-02","Per=Y","Days=T","Dir=V")</f>
        <v>0</v>
      </c>
      <c r="W2">
        <f>BDH("FF US Equity","WORKING_CAPITAL","1993-06-18","2026-05-02","Per=Y","Days=T","Dir=V")</f>
        <v>0</v>
      </c>
      <c r="Y2">
        <f>BDH("FF US Equity","SALES_REV_TURN","1993-06-18","2026-05-02","Per=Y","Days=T","Dir=V")</f>
        <v>0</v>
      </c>
      <c r="AA2">
        <f>BDH("FF US Equity","EBIT","1993-06-18","2026-05-02","Per=Y","Days=T","Dir=V")</f>
        <v>0</v>
      </c>
      <c r="AC2">
        <f>BDH("FF US Equity","EBITDA","1993-06-18","2026-05-02","Per=Y","Days=T","Dir=V")</f>
        <v>0</v>
      </c>
      <c r="AE2">
        <f>BDH("FF US Equity","NET_INCOME","1993-06-18","2026-05-02","Per=Y","Days=T","Dir=V")</f>
        <v>0</v>
      </c>
      <c r="AG2">
        <f>BDH("FF US Equity","IS_INT_EXPENSE","1993-06-18","2026-05-02","Per=Y","Days=T","Dir=V")</f>
        <v>0</v>
      </c>
      <c r="AI2">
        <f>BDH("FF US Equity","IS_DEPR_EXP","1993-06-18","2026-05-02","Per=Y","Days=T","Dir=V")</f>
        <v>0</v>
      </c>
      <c r="AK2">
        <f>BDH("FF US Equity","CF_CASH_FROM_OPER","1993-06-18","2026-05-02","Per=Y","Days=T","Dir=V")</f>
        <v>0</v>
      </c>
      <c r="AM2">
        <f>BDH("FF US Equity","CAPITAL_EXPEND","1993-06-18","2026-05-02","Per=Y","Days=T","Dir=V")</f>
        <v>0</v>
      </c>
      <c r="AO2">
        <f>BDH("FF US Equity","CF_FREE_CASH_FLOW","1993-06-18","2026-05-02","Per=Y","Days=T","Dir=V")</f>
        <v>0</v>
      </c>
      <c r="AQ2">
        <f>BDH("FF US Equity","PX_LAST","1993-06-18","2026-05-02","Per=M","Days=T","Dir=V")</f>
        <v>0</v>
      </c>
      <c r="AS2">
        <f>BDH("FF US Equity","CUR_MKT_CAP","1993-06-18","2026-05-02","Per=M","Days=T","Dir=V")</f>
        <v>0</v>
      </c>
      <c r="AU2">
        <f>BDH("FF US Equity","EQY_SH_OUT","1993-06-18","2026-05-02","Per=M","Days=T","Dir=V")</f>
        <v>0</v>
      </c>
      <c r="AW2">
        <f>BDH("FF US Equity","PX_VOLUME","1993-06-18","2026-05-02","Per=M","Days=T","Dir=V")</f>
        <v>0</v>
      </c>
      <c r="AY2">
        <f>BDH("FF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BDH("FFAI US Equity","BS_TOT_ASSET","1993-06-18","2026-05-02","Per=Y","Days=T","Dir=V")</f>
        <v>0</v>
      </c>
      <c r="C2">
        <f>BDH("FFAI US Equity","BS_TOT_LIAB2","1993-06-18","2026-05-02","Per=Y","Days=T","Dir=V")</f>
        <v>0</v>
      </c>
      <c r="E2">
        <f>BDH("FFAI US Equity","SHORT_AND_LONG_TERM_DEBT","1993-06-18","2026-05-02","Per=Y","Days=T","Dir=V")</f>
        <v>0</v>
      </c>
      <c r="G2">
        <f>BDH("FFAI US Equity","BS_ST_BORROW","1993-06-18","2026-05-02","Per=Y","Days=T","Dir=V")</f>
        <v>0</v>
      </c>
      <c r="I2">
        <f>BDH("FFAI US Equity","BS_LT_BORROW","1993-06-18","2026-05-02","Per=Y","Days=T","Dir=V")</f>
        <v>0</v>
      </c>
      <c r="K2">
        <f>BDH("FFAI US Equity","BS_CASH_NEAR_CASH_ITEM","1993-06-18","2026-05-02","Per=Y","Days=T","Dir=V")</f>
        <v>0</v>
      </c>
      <c r="M2">
        <f>BDH("FFAI US Equity","BS_CUR_ASSET_REPORT","1993-06-18","2026-05-02","Per=Y","Days=T","Dir=V")</f>
        <v>0</v>
      </c>
      <c r="O2">
        <f>BDH("FFAI US Equity","BS_CUR_LIAB","1993-06-18","2026-05-02","Per=Y","Days=T","Dir=V")</f>
        <v>0</v>
      </c>
      <c r="Q2">
        <f>BDH("FFAI US Equity","BS_SHAREHOLDER_EQY_ENDING_PERIOD","1993-06-18","2026-05-02","Per=Y","Days=T","Dir=V")</f>
        <v>0</v>
      </c>
      <c r="S2">
        <f>BDH("FFAI US Equity","BS_ACCT_NOTE_RCV","1993-06-18","2026-05-02","Per=Y","Days=T","Dir=V")</f>
        <v>0</v>
      </c>
      <c r="U2">
        <f>BDH("FFAI US Equity","BS_INVENTORIES","1993-06-18","2026-05-02","Per=Y","Days=T","Dir=V")</f>
        <v>0</v>
      </c>
      <c r="W2">
        <f>BDH("FFAI US Equity","WORKING_CAPITAL","1993-06-18","2026-05-02","Per=Y","Days=T","Dir=V")</f>
        <v>0</v>
      </c>
      <c r="Y2">
        <f>BDH("FFAI US Equity","SALES_REV_TURN","1993-06-18","2026-05-02","Per=Y","Days=T","Dir=V")</f>
        <v>0</v>
      </c>
      <c r="AA2">
        <f>BDH("FFAI US Equity","EBIT","1993-06-18","2026-05-02","Per=Y","Days=T","Dir=V")</f>
        <v>0</v>
      </c>
      <c r="AC2">
        <f>BDH("FFAI US Equity","EBITDA","1993-06-18","2026-05-02","Per=Y","Days=T","Dir=V")</f>
        <v>0</v>
      </c>
      <c r="AE2">
        <f>BDH("FFAI US Equity","NET_INCOME","1993-06-18","2026-05-02","Per=Y","Days=T","Dir=V")</f>
        <v>0</v>
      </c>
      <c r="AG2">
        <f>BDH("FFAI US Equity","IS_INT_EXPENSE","1993-06-18","2026-05-02","Per=Y","Days=T","Dir=V")</f>
        <v>0</v>
      </c>
      <c r="AI2">
        <f>BDH("FFAI US Equity","IS_DEPR_EXP","1993-06-18","2026-05-02","Per=Y","Days=T","Dir=V")</f>
        <v>0</v>
      </c>
      <c r="AK2">
        <f>BDH("FFAI US Equity","CF_CASH_FROM_OPER","1993-06-18","2026-05-02","Per=Y","Days=T","Dir=V")</f>
        <v>0</v>
      </c>
      <c r="AM2">
        <f>BDH("FFAI US Equity","CAPITAL_EXPEND","1993-06-18","2026-05-02","Per=Y","Days=T","Dir=V")</f>
        <v>0</v>
      </c>
      <c r="AO2">
        <f>BDH("FFAI US Equity","CF_FREE_CASH_FLOW","1993-06-18","2026-05-02","Per=Y","Days=T","Dir=V")</f>
        <v>0</v>
      </c>
      <c r="AQ2">
        <f>BDH("FFAI US Equity","PX_LAST","1993-06-18","2026-05-02","Per=M","Days=T","Dir=V")</f>
        <v>0</v>
      </c>
      <c r="AS2">
        <f>BDH("FFAI US Equity","CUR_MKT_CAP","1993-06-18","2026-05-02","Per=M","Days=T","Dir=V")</f>
        <v>0</v>
      </c>
      <c r="AU2">
        <f>BDH("FFAI US Equity","EQY_SH_OUT","1993-06-18","2026-05-02","Per=M","Days=T","Dir=V")</f>
        <v>0</v>
      </c>
      <c r="AW2">
        <f>BDH("FFAI US Equity","PX_VOLUME","1993-06-18","2026-05-02","Per=M","Days=T","Dir=V")</f>
        <v>0</v>
      </c>
      <c r="AY2">
        <f>BDH("FFAI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BDH("FFIV US Equity","BS_TOT_ASSET","1993-06-18","2026-05-02","Per=Y","Days=T","Dir=V")</f>
        <v>0</v>
      </c>
      <c r="C2">
        <f>BDH("FFIV US Equity","BS_TOT_LIAB2","1993-06-18","2026-05-02","Per=Y","Days=T","Dir=V")</f>
        <v>0</v>
      </c>
      <c r="E2">
        <f>BDH("FFIV US Equity","SHORT_AND_LONG_TERM_DEBT","1993-06-18","2026-05-02","Per=Y","Days=T","Dir=V")</f>
        <v>0</v>
      </c>
      <c r="G2">
        <f>BDH("FFIV US Equity","BS_ST_BORROW","1993-06-18","2026-05-02","Per=Y","Days=T","Dir=V")</f>
        <v>0</v>
      </c>
      <c r="I2">
        <f>BDH("FFIV US Equity","BS_LT_BORROW","1993-06-18","2026-05-02","Per=Y","Days=T","Dir=V")</f>
        <v>0</v>
      </c>
      <c r="K2">
        <f>BDH("FFIV US Equity","BS_CASH_NEAR_CASH_ITEM","1993-06-18","2026-05-02","Per=Y","Days=T","Dir=V")</f>
        <v>0</v>
      </c>
      <c r="M2">
        <f>BDH("FFIV US Equity","BS_CUR_ASSET_REPORT","1993-06-18","2026-05-02","Per=Y","Days=T","Dir=V")</f>
        <v>0</v>
      </c>
      <c r="O2">
        <f>BDH("FFIV US Equity","BS_CUR_LIAB","1993-06-18","2026-05-02","Per=Y","Days=T","Dir=V")</f>
        <v>0</v>
      </c>
      <c r="Q2">
        <f>BDH("FFIV US Equity","BS_SHAREHOLDER_EQY_ENDING_PERIOD","1993-06-18","2026-05-02","Per=Y","Days=T","Dir=V")</f>
        <v>0</v>
      </c>
      <c r="S2">
        <f>BDH("FFIV US Equity","BS_ACCT_NOTE_RCV","1993-06-18","2026-05-02","Per=Y","Days=T","Dir=V")</f>
        <v>0</v>
      </c>
      <c r="U2">
        <f>BDH("FFIV US Equity","BS_INVENTORIES","1993-06-18","2026-05-02","Per=Y","Days=T","Dir=V")</f>
        <v>0</v>
      </c>
      <c r="W2">
        <f>BDH("FFIV US Equity","WORKING_CAPITAL","1993-06-18","2026-05-02","Per=Y","Days=T","Dir=V")</f>
        <v>0</v>
      </c>
      <c r="Y2">
        <f>BDH("FFIV US Equity","SALES_REV_TURN","1993-06-18","2026-05-02","Per=Y","Days=T","Dir=V")</f>
        <v>0</v>
      </c>
      <c r="AA2">
        <f>BDH("FFIV US Equity","EBIT","1993-06-18","2026-05-02","Per=Y","Days=T","Dir=V")</f>
        <v>0</v>
      </c>
      <c r="AC2">
        <f>BDH("FFIV US Equity","EBITDA","1993-06-18","2026-05-02","Per=Y","Days=T","Dir=V")</f>
        <v>0</v>
      </c>
      <c r="AE2">
        <f>BDH("FFIV US Equity","NET_INCOME","1993-06-18","2026-05-02","Per=Y","Days=T","Dir=V")</f>
        <v>0</v>
      </c>
      <c r="AG2">
        <f>BDH("FFIV US Equity","IS_INT_EXPENSE","1993-06-18","2026-05-02","Per=Y","Days=T","Dir=V")</f>
        <v>0</v>
      </c>
      <c r="AI2">
        <f>BDH("FFIV US Equity","IS_DEPR_EXP","1993-06-18","2026-05-02","Per=Y","Days=T","Dir=V")</f>
        <v>0</v>
      </c>
      <c r="AK2">
        <f>BDH("FFIV US Equity","CF_CASH_FROM_OPER","1993-06-18","2026-05-02","Per=Y","Days=T","Dir=V")</f>
        <v>0</v>
      </c>
      <c r="AM2">
        <f>BDH("FFIV US Equity","CAPITAL_EXPEND","1993-06-18","2026-05-02","Per=Y","Days=T","Dir=V")</f>
        <v>0</v>
      </c>
      <c r="AO2">
        <f>BDH("FFIV US Equity","CF_FREE_CASH_FLOW","1993-06-18","2026-05-02","Per=Y","Days=T","Dir=V")</f>
        <v>0</v>
      </c>
      <c r="AQ2">
        <f>BDH("FFIV US Equity","PX_LAST","1993-06-18","2026-05-02","Per=M","Days=T","Dir=V")</f>
        <v>0</v>
      </c>
      <c r="AS2">
        <f>BDH("FFIV US Equity","CUR_MKT_CAP","1993-06-18","2026-05-02","Per=M","Days=T","Dir=V")</f>
        <v>0</v>
      </c>
      <c r="AU2">
        <f>BDH("FFIV US Equity","EQY_SH_OUT","1993-06-18","2026-05-02","Per=M","Days=T","Dir=V")</f>
        <v>0</v>
      </c>
      <c r="AW2">
        <f>BDH("FFIV US Equity","PX_VOLUME","1993-06-18","2026-05-02","Per=M","Days=T","Dir=V")</f>
        <v>0</v>
      </c>
      <c r="AY2">
        <f>BDH("FFIV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BDH("FGI US Equity","BS_TOT_ASSET","1993-06-18","2026-05-02","Per=Y","Days=T","Dir=V")</f>
        <v>0</v>
      </c>
      <c r="C2">
        <f>BDH("FGI US Equity","BS_TOT_LIAB2","1993-06-18","2026-05-02","Per=Y","Days=T","Dir=V")</f>
        <v>0</v>
      </c>
      <c r="E2">
        <f>BDH("FGI US Equity","SHORT_AND_LONG_TERM_DEBT","1993-06-18","2026-05-02","Per=Y","Days=T","Dir=V")</f>
        <v>0</v>
      </c>
      <c r="G2">
        <f>BDH("FGI US Equity","BS_ST_BORROW","1993-06-18","2026-05-02","Per=Y","Days=T","Dir=V")</f>
        <v>0</v>
      </c>
      <c r="I2">
        <f>BDH("FGI US Equity","BS_LT_BORROW","1993-06-18","2026-05-02","Per=Y","Days=T","Dir=V")</f>
        <v>0</v>
      </c>
      <c r="K2">
        <f>BDH("FGI US Equity","BS_CASH_NEAR_CASH_ITEM","1993-06-18","2026-05-02","Per=Y","Days=T","Dir=V")</f>
        <v>0</v>
      </c>
      <c r="M2">
        <f>BDH("FGI US Equity","BS_CUR_ASSET_REPORT","1993-06-18","2026-05-02","Per=Y","Days=T","Dir=V")</f>
        <v>0</v>
      </c>
      <c r="O2">
        <f>BDH("FGI US Equity","BS_CUR_LIAB","1993-06-18","2026-05-02","Per=Y","Days=T","Dir=V")</f>
        <v>0</v>
      </c>
      <c r="Q2">
        <f>BDH("FGI US Equity","BS_SHAREHOLDER_EQY_ENDING_PERIOD","1993-06-18","2026-05-02","Per=Y","Days=T","Dir=V")</f>
        <v>0</v>
      </c>
      <c r="S2">
        <f>BDH("FGI US Equity","BS_ACCT_NOTE_RCV","1993-06-18","2026-05-02","Per=Y","Days=T","Dir=V")</f>
        <v>0</v>
      </c>
      <c r="U2">
        <f>BDH("FGI US Equity","BS_INVENTORIES","1993-06-18","2026-05-02","Per=Y","Days=T","Dir=V")</f>
        <v>0</v>
      </c>
      <c r="W2">
        <f>BDH("FGI US Equity","WORKING_CAPITAL","1993-06-18","2026-05-02","Per=Y","Days=T","Dir=V")</f>
        <v>0</v>
      </c>
      <c r="Y2">
        <f>BDH("FGI US Equity","SALES_REV_TURN","1993-06-18","2026-05-02","Per=Y","Days=T","Dir=V")</f>
        <v>0</v>
      </c>
      <c r="AA2">
        <f>BDH("FGI US Equity","EBIT","1993-06-18","2026-05-02","Per=Y","Days=T","Dir=V")</f>
        <v>0</v>
      </c>
      <c r="AC2">
        <f>BDH("FGI US Equity","EBITDA","1993-06-18","2026-05-02","Per=Y","Days=T","Dir=V")</f>
        <v>0</v>
      </c>
      <c r="AE2">
        <f>BDH("FGI US Equity","NET_INCOME","1993-06-18","2026-05-02","Per=Y","Days=T","Dir=V")</f>
        <v>0</v>
      </c>
      <c r="AG2">
        <f>BDH("FGI US Equity","IS_INT_EXPENSE","1993-06-18","2026-05-02","Per=Y","Days=T","Dir=V")</f>
        <v>0</v>
      </c>
      <c r="AI2">
        <f>BDH("FGI US Equity","IS_DEPR_EXP","1993-06-18","2026-05-02","Per=Y","Days=T","Dir=V")</f>
        <v>0</v>
      </c>
      <c r="AK2">
        <f>BDH("FGI US Equity","CF_CASH_FROM_OPER","1993-06-18","2026-05-02","Per=Y","Days=T","Dir=V")</f>
        <v>0</v>
      </c>
      <c r="AM2">
        <f>BDH("FGI US Equity","CAPITAL_EXPEND","1993-06-18","2026-05-02","Per=Y","Days=T","Dir=V")</f>
        <v>0</v>
      </c>
      <c r="AO2">
        <f>BDH("FGI US Equity","CF_FREE_CASH_FLOW","1993-06-18","2026-05-02","Per=Y","Days=T","Dir=V")</f>
        <v>0</v>
      </c>
      <c r="AQ2">
        <f>BDH("FGI US Equity","PX_LAST","1993-06-18","2026-05-02","Per=M","Days=T","Dir=V")</f>
        <v>0</v>
      </c>
      <c r="AS2">
        <f>BDH("FGI US Equity","CUR_MKT_CAP","1993-06-18","2026-05-02","Per=M","Days=T","Dir=V")</f>
        <v>0</v>
      </c>
      <c r="AU2">
        <f>BDH("FGI US Equity","EQY_SH_OUT","1993-06-18","2026-05-02","Per=M","Days=T","Dir=V")</f>
        <v>0</v>
      </c>
      <c r="AW2">
        <f>BDH("FGI US Equity","PX_VOLUME","1993-06-18","2026-05-02","Per=M","Days=T","Dir=V")</f>
        <v>0</v>
      </c>
      <c r="AY2">
        <f>BDH("FGI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BDH("FHTX US Equity","BS_TOT_ASSET","1993-06-18","2026-05-02","Per=Y","Days=T","Dir=V")</f>
        <v>0</v>
      </c>
      <c r="C2">
        <f>BDH("FHTX US Equity","BS_TOT_LIAB2","1993-06-18","2026-05-02","Per=Y","Days=T","Dir=V")</f>
        <v>0</v>
      </c>
      <c r="E2">
        <f>BDH("FHTX US Equity","SHORT_AND_LONG_TERM_DEBT","1993-06-18","2026-05-02","Per=Y","Days=T","Dir=V")</f>
        <v>0</v>
      </c>
      <c r="G2">
        <f>BDH("FHTX US Equity","BS_ST_BORROW","1993-06-18","2026-05-02","Per=Y","Days=T","Dir=V")</f>
        <v>0</v>
      </c>
      <c r="I2">
        <f>BDH("FHTX US Equity","BS_LT_BORROW","1993-06-18","2026-05-02","Per=Y","Days=T","Dir=V")</f>
        <v>0</v>
      </c>
      <c r="K2">
        <f>BDH("FHTX US Equity","BS_CASH_NEAR_CASH_ITEM","1993-06-18","2026-05-02","Per=Y","Days=T","Dir=V")</f>
        <v>0</v>
      </c>
      <c r="M2">
        <f>BDH("FHTX US Equity","BS_CUR_ASSET_REPORT","1993-06-18","2026-05-02","Per=Y","Days=T","Dir=V")</f>
        <v>0</v>
      </c>
      <c r="O2">
        <f>BDH("FHTX US Equity","BS_CUR_LIAB","1993-06-18","2026-05-02","Per=Y","Days=T","Dir=V")</f>
        <v>0</v>
      </c>
      <c r="Q2">
        <f>BDH("FHTX US Equity","BS_SHAREHOLDER_EQY_ENDING_PERIOD","1993-06-18","2026-05-02","Per=Y","Days=T","Dir=V")</f>
        <v>0</v>
      </c>
      <c r="S2">
        <f>BDH("FHTX US Equity","BS_ACCT_NOTE_RCV","1993-06-18","2026-05-02","Per=Y","Days=T","Dir=V")</f>
        <v>0</v>
      </c>
      <c r="U2">
        <f>BDH("FHTX US Equity","BS_INVENTORIES","1993-06-18","2026-05-02","Per=Y","Days=T","Dir=V")</f>
        <v>0</v>
      </c>
      <c r="W2">
        <f>BDH("FHTX US Equity","WORKING_CAPITAL","1993-06-18","2026-05-02","Per=Y","Days=T","Dir=V")</f>
        <v>0</v>
      </c>
      <c r="Y2">
        <f>BDH("FHTX US Equity","SALES_REV_TURN","1993-06-18","2026-05-02","Per=Y","Days=T","Dir=V")</f>
        <v>0</v>
      </c>
      <c r="AA2">
        <f>BDH("FHTX US Equity","EBIT","1993-06-18","2026-05-02","Per=Y","Days=T","Dir=V")</f>
        <v>0</v>
      </c>
      <c r="AC2">
        <f>BDH("FHTX US Equity","EBITDA","1993-06-18","2026-05-02","Per=Y","Days=T","Dir=V")</f>
        <v>0</v>
      </c>
      <c r="AE2">
        <f>BDH("FHTX US Equity","NET_INCOME","1993-06-18","2026-05-02","Per=Y","Days=T","Dir=V")</f>
        <v>0</v>
      </c>
      <c r="AG2">
        <f>BDH("FHTX US Equity","IS_INT_EXPENSE","1993-06-18","2026-05-02","Per=Y","Days=T","Dir=V")</f>
        <v>0</v>
      </c>
      <c r="AI2">
        <f>BDH("FHTX US Equity","IS_DEPR_EXP","1993-06-18","2026-05-02","Per=Y","Days=T","Dir=V")</f>
        <v>0</v>
      </c>
      <c r="AK2">
        <f>BDH("FHTX US Equity","CF_CASH_FROM_OPER","1993-06-18","2026-05-02","Per=Y","Days=T","Dir=V")</f>
        <v>0</v>
      </c>
      <c r="AM2">
        <f>BDH("FHTX US Equity","CAPITAL_EXPEND","1993-06-18","2026-05-02","Per=Y","Days=T","Dir=V")</f>
        <v>0</v>
      </c>
      <c r="AO2">
        <f>BDH("FHTX US Equity","CF_FREE_CASH_FLOW","1993-06-18","2026-05-02","Per=Y","Days=T","Dir=V")</f>
        <v>0</v>
      </c>
      <c r="AQ2">
        <f>BDH("FHTX US Equity","PX_LAST","1993-06-18","2026-05-02","Per=M","Days=T","Dir=V")</f>
        <v>0</v>
      </c>
      <c r="AS2">
        <f>BDH("FHTX US Equity","CUR_MKT_CAP","1993-06-18","2026-05-02","Per=M","Days=T","Dir=V")</f>
        <v>0</v>
      </c>
      <c r="AU2">
        <f>BDH("FHTX US Equity","EQY_SH_OUT","1993-06-18","2026-05-02","Per=M","Days=T","Dir=V")</f>
        <v>0</v>
      </c>
      <c r="AW2">
        <f>BDH("FHTX US Equity","PX_VOLUME","1993-06-18","2026-05-02","Per=M","Days=T","Dir=V")</f>
        <v>0</v>
      </c>
      <c r="AY2">
        <f>BDH("FHTX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BDH("FICO US Equity","BS_TOT_ASSET","1993-06-18","2026-05-02","Per=Y","Days=T","Dir=V")</f>
        <v>0</v>
      </c>
      <c r="C2">
        <f>BDH("FICO US Equity","BS_TOT_LIAB2","1993-06-18","2026-05-02","Per=Y","Days=T","Dir=V")</f>
        <v>0</v>
      </c>
      <c r="E2">
        <f>BDH("FICO US Equity","SHORT_AND_LONG_TERM_DEBT","1993-06-18","2026-05-02","Per=Y","Days=T","Dir=V")</f>
        <v>0</v>
      </c>
      <c r="G2">
        <f>BDH("FICO US Equity","BS_ST_BORROW","1993-06-18","2026-05-02","Per=Y","Days=T","Dir=V")</f>
        <v>0</v>
      </c>
      <c r="I2">
        <f>BDH("FICO US Equity","BS_LT_BORROW","1993-06-18","2026-05-02","Per=Y","Days=T","Dir=V")</f>
        <v>0</v>
      </c>
      <c r="K2">
        <f>BDH("FICO US Equity","BS_CASH_NEAR_CASH_ITEM","1993-06-18","2026-05-02","Per=Y","Days=T","Dir=V")</f>
        <v>0</v>
      </c>
      <c r="M2">
        <f>BDH("FICO US Equity","BS_CUR_ASSET_REPORT","1993-06-18","2026-05-02","Per=Y","Days=T","Dir=V")</f>
        <v>0</v>
      </c>
      <c r="O2">
        <f>BDH("FICO US Equity","BS_CUR_LIAB","1993-06-18","2026-05-02","Per=Y","Days=T","Dir=V")</f>
        <v>0</v>
      </c>
      <c r="Q2">
        <f>BDH("FICO US Equity","BS_SHAREHOLDER_EQY_ENDING_PERIOD","1993-06-18","2026-05-02","Per=Y","Days=T","Dir=V")</f>
        <v>0</v>
      </c>
      <c r="S2">
        <f>BDH("FICO US Equity","BS_ACCT_NOTE_RCV","1993-06-18","2026-05-02","Per=Y","Days=T","Dir=V")</f>
        <v>0</v>
      </c>
      <c r="U2">
        <f>BDH("FICO US Equity","BS_INVENTORIES","1993-06-18","2026-05-02","Per=Y","Days=T","Dir=V")</f>
        <v>0</v>
      </c>
      <c r="W2">
        <f>BDH("FICO US Equity","WORKING_CAPITAL","1993-06-18","2026-05-02","Per=Y","Days=T","Dir=V")</f>
        <v>0</v>
      </c>
      <c r="Y2">
        <f>BDH("FICO US Equity","SALES_REV_TURN","1993-06-18","2026-05-02","Per=Y","Days=T","Dir=V")</f>
        <v>0</v>
      </c>
      <c r="AA2">
        <f>BDH("FICO US Equity","EBIT","1993-06-18","2026-05-02","Per=Y","Days=T","Dir=V")</f>
        <v>0</v>
      </c>
      <c r="AC2">
        <f>BDH("FICO US Equity","EBITDA","1993-06-18","2026-05-02","Per=Y","Days=T","Dir=V")</f>
        <v>0</v>
      </c>
      <c r="AE2">
        <f>BDH("FICO US Equity","NET_INCOME","1993-06-18","2026-05-02","Per=Y","Days=T","Dir=V")</f>
        <v>0</v>
      </c>
      <c r="AG2">
        <f>BDH("FICO US Equity","IS_INT_EXPENSE","1993-06-18","2026-05-02","Per=Y","Days=T","Dir=V")</f>
        <v>0</v>
      </c>
      <c r="AI2">
        <f>BDH("FICO US Equity","IS_DEPR_EXP","1993-06-18","2026-05-02","Per=Y","Days=T","Dir=V")</f>
        <v>0</v>
      </c>
      <c r="AK2">
        <f>BDH("FICO US Equity","CF_CASH_FROM_OPER","1993-06-18","2026-05-02","Per=Y","Days=T","Dir=V")</f>
        <v>0</v>
      </c>
      <c r="AM2">
        <f>BDH("FICO US Equity","CAPITAL_EXPEND","1993-06-18","2026-05-02","Per=Y","Days=T","Dir=V")</f>
        <v>0</v>
      </c>
      <c r="AO2">
        <f>BDH("FICO US Equity","CF_FREE_CASH_FLOW","1993-06-18","2026-05-02","Per=Y","Days=T","Dir=V")</f>
        <v>0</v>
      </c>
      <c r="AQ2">
        <f>BDH("FICO US Equity","PX_LAST","1993-06-18","2026-05-02","Per=M","Days=T","Dir=V")</f>
        <v>0</v>
      </c>
      <c r="AS2">
        <f>BDH("FICO US Equity","CUR_MKT_CAP","1993-06-18","2026-05-02","Per=M","Days=T","Dir=V")</f>
        <v>0</v>
      </c>
      <c r="AU2">
        <f>BDH("FICO US Equity","EQY_SH_OUT","1993-06-18","2026-05-02","Per=M","Days=T","Dir=V")</f>
        <v>0</v>
      </c>
      <c r="AW2">
        <f>BDH("FICO US Equity","PX_VOLUME","1993-06-18","2026-05-02","Per=M","Days=T","Dir=V")</f>
        <v>0</v>
      </c>
      <c r="AY2">
        <f>BDH("FICO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BDH("FIEE US Equity","BS_TOT_ASSET","1993-06-18","2026-05-02","Per=Y","Days=T","Dir=V")</f>
        <v>0</v>
      </c>
      <c r="C2">
        <f>BDH("FIEE US Equity","BS_TOT_LIAB2","1993-06-18","2026-05-02","Per=Y","Days=T","Dir=V")</f>
        <v>0</v>
      </c>
      <c r="E2">
        <f>BDH("FIEE US Equity","SHORT_AND_LONG_TERM_DEBT","1993-06-18","2026-05-02","Per=Y","Days=T","Dir=V")</f>
        <v>0</v>
      </c>
      <c r="G2">
        <f>BDH("FIEE US Equity","BS_ST_BORROW","1993-06-18","2026-05-02","Per=Y","Days=T","Dir=V")</f>
        <v>0</v>
      </c>
      <c r="I2">
        <f>BDH("FIEE US Equity","BS_LT_BORROW","1993-06-18","2026-05-02","Per=Y","Days=T","Dir=V")</f>
        <v>0</v>
      </c>
      <c r="K2">
        <f>BDH("FIEE US Equity","BS_CASH_NEAR_CASH_ITEM","1993-06-18","2026-05-02","Per=Y","Days=T","Dir=V")</f>
        <v>0</v>
      </c>
      <c r="M2">
        <f>BDH("FIEE US Equity","BS_CUR_ASSET_REPORT","1993-06-18","2026-05-02","Per=Y","Days=T","Dir=V")</f>
        <v>0</v>
      </c>
      <c r="O2">
        <f>BDH("FIEE US Equity","BS_CUR_LIAB","1993-06-18","2026-05-02","Per=Y","Days=T","Dir=V")</f>
        <v>0</v>
      </c>
      <c r="Q2">
        <f>BDH("FIEE US Equity","BS_SHAREHOLDER_EQY_ENDING_PERIOD","1993-06-18","2026-05-02","Per=Y","Days=T","Dir=V")</f>
        <v>0</v>
      </c>
      <c r="S2">
        <f>BDH("FIEE US Equity","BS_ACCT_NOTE_RCV","1993-06-18","2026-05-02","Per=Y","Days=T","Dir=V")</f>
        <v>0</v>
      </c>
      <c r="U2">
        <f>BDH("FIEE US Equity","BS_INVENTORIES","1993-06-18","2026-05-02","Per=Y","Days=T","Dir=V")</f>
        <v>0</v>
      </c>
      <c r="W2">
        <f>BDH("FIEE US Equity","WORKING_CAPITAL","1993-06-18","2026-05-02","Per=Y","Days=T","Dir=V")</f>
        <v>0</v>
      </c>
      <c r="Y2">
        <f>BDH("FIEE US Equity","SALES_REV_TURN","1993-06-18","2026-05-02","Per=Y","Days=T","Dir=V")</f>
        <v>0</v>
      </c>
      <c r="AA2">
        <f>BDH("FIEE US Equity","EBIT","1993-06-18","2026-05-02","Per=Y","Days=T","Dir=V")</f>
        <v>0</v>
      </c>
      <c r="AC2">
        <f>BDH("FIEE US Equity","EBITDA","1993-06-18","2026-05-02","Per=Y","Days=T","Dir=V")</f>
        <v>0</v>
      </c>
      <c r="AE2">
        <f>BDH("FIEE US Equity","NET_INCOME","1993-06-18","2026-05-02","Per=Y","Days=T","Dir=V")</f>
        <v>0</v>
      </c>
      <c r="AG2">
        <f>BDH("FIEE US Equity","IS_INT_EXPENSE","1993-06-18","2026-05-02","Per=Y","Days=T","Dir=V")</f>
        <v>0</v>
      </c>
      <c r="AI2">
        <f>BDH("FIEE US Equity","IS_DEPR_EXP","1993-06-18","2026-05-02","Per=Y","Days=T","Dir=V")</f>
        <v>0</v>
      </c>
      <c r="AK2">
        <f>BDH("FIEE US Equity","CF_CASH_FROM_OPER","1993-06-18","2026-05-02","Per=Y","Days=T","Dir=V")</f>
        <v>0</v>
      </c>
      <c r="AM2">
        <f>BDH("FIEE US Equity","CAPITAL_EXPEND","1993-06-18","2026-05-02","Per=Y","Days=T","Dir=V")</f>
        <v>0</v>
      </c>
      <c r="AO2">
        <f>BDH("FIEE US Equity","CF_FREE_CASH_FLOW","1993-06-18","2026-05-02","Per=Y","Days=T","Dir=V")</f>
        <v>0</v>
      </c>
      <c r="AQ2">
        <f>BDH("FIEE US Equity","PX_LAST","1993-06-18","2026-05-02","Per=M","Days=T","Dir=V")</f>
        <v>0</v>
      </c>
      <c r="AS2">
        <f>BDH("FIEE US Equity","CUR_MKT_CAP","1993-06-18","2026-05-02","Per=M","Days=T","Dir=V")</f>
        <v>0</v>
      </c>
      <c r="AU2">
        <f>BDH("FIEE US Equity","EQY_SH_OUT","1993-06-18","2026-05-02","Per=M","Days=T","Dir=V")</f>
        <v>0</v>
      </c>
      <c r="AW2">
        <f>BDH("FIEE US Equity","PX_VOLUME","1993-06-18","2026-05-02","Per=M","Days=T","Dir=V")</f>
        <v>0</v>
      </c>
      <c r="AY2">
        <f>BDH("FIEE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BDH("FIG US Equity","BS_TOT_ASSET","1993-06-18","2026-05-02","Per=Y","Days=T","Dir=V")</f>
        <v>0</v>
      </c>
      <c r="C2">
        <f>BDH("FIG US Equity","BS_TOT_LIAB2","1993-06-18","2026-05-02","Per=Y","Days=T","Dir=V")</f>
        <v>0</v>
      </c>
      <c r="E2">
        <f>BDH("FIG US Equity","SHORT_AND_LONG_TERM_DEBT","1993-06-18","2026-05-02","Per=Y","Days=T","Dir=V")</f>
        <v>0</v>
      </c>
      <c r="G2">
        <f>BDH("FIG US Equity","BS_ST_BORROW","1993-06-18","2026-05-02","Per=Y","Days=T","Dir=V")</f>
        <v>0</v>
      </c>
      <c r="I2">
        <f>BDH("FIG US Equity","BS_LT_BORROW","1993-06-18","2026-05-02","Per=Y","Days=T","Dir=V")</f>
        <v>0</v>
      </c>
      <c r="K2">
        <f>BDH("FIG US Equity","BS_CASH_NEAR_CASH_ITEM","1993-06-18","2026-05-02","Per=Y","Days=T","Dir=V")</f>
        <v>0</v>
      </c>
      <c r="M2">
        <f>BDH("FIG US Equity","BS_CUR_ASSET_REPORT","1993-06-18","2026-05-02","Per=Y","Days=T","Dir=V")</f>
        <v>0</v>
      </c>
      <c r="O2">
        <f>BDH("FIG US Equity","BS_CUR_LIAB","1993-06-18","2026-05-02","Per=Y","Days=T","Dir=V")</f>
        <v>0</v>
      </c>
      <c r="Q2">
        <f>BDH("FIG US Equity","BS_SHAREHOLDER_EQY_ENDING_PERIOD","1993-06-18","2026-05-02","Per=Y","Days=T","Dir=V")</f>
        <v>0</v>
      </c>
      <c r="S2">
        <f>BDH("FIG US Equity","BS_ACCT_NOTE_RCV","1993-06-18","2026-05-02","Per=Y","Days=T","Dir=V")</f>
        <v>0</v>
      </c>
      <c r="U2">
        <f>BDH("FIG US Equity","BS_INVENTORIES","1993-06-18","2026-05-02","Per=Y","Days=T","Dir=V")</f>
        <v>0</v>
      </c>
      <c r="W2">
        <f>BDH("FIG US Equity","WORKING_CAPITAL","1993-06-18","2026-05-02","Per=Y","Days=T","Dir=V")</f>
        <v>0</v>
      </c>
      <c r="Y2">
        <f>BDH("FIG US Equity","SALES_REV_TURN","1993-06-18","2026-05-02","Per=Y","Days=T","Dir=V")</f>
        <v>0</v>
      </c>
      <c r="AA2">
        <f>BDH("FIG US Equity","EBIT","1993-06-18","2026-05-02","Per=Y","Days=T","Dir=V")</f>
        <v>0</v>
      </c>
      <c r="AC2">
        <f>BDH("FIG US Equity","EBITDA","1993-06-18","2026-05-02","Per=Y","Days=T","Dir=V")</f>
        <v>0</v>
      </c>
      <c r="AE2">
        <f>BDH("FIG US Equity","NET_INCOME","1993-06-18","2026-05-02","Per=Y","Days=T","Dir=V")</f>
        <v>0</v>
      </c>
      <c r="AG2">
        <f>BDH("FIG US Equity","IS_INT_EXPENSE","1993-06-18","2026-05-02","Per=Y","Days=T","Dir=V")</f>
        <v>0</v>
      </c>
      <c r="AI2">
        <f>BDH("FIG US Equity","IS_DEPR_EXP","1993-06-18","2026-05-02","Per=Y","Days=T","Dir=V")</f>
        <v>0</v>
      </c>
      <c r="AK2">
        <f>BDH("FIG US Equity","CF_CASH_FROM_OPER","1993-06-18","2026-05-02","Per=Y","Days=T","Dir=V")</f>
        <v>0</v>
      </c>
      <c r="AM2">
        <f>BDH("FIG US Equity","CAPITAL_EXPEND","1993-06-18","2026-05-02","Per=Y","Days=T","Dir=V")</f>
        <v>0</v>
      </c>
      <c r="AO2">
        <f>BDH("FIG US Equity","CF_FREE_CASH_FLOW","1993-06-18","2026-05-02","Per=Y","Days=T","Dir=V")</f>
        <v>0</v>
      </c>
      <c r="AQ2">
        <f>BDH("FIG US Equity","PX_LAST","1993-06-18","2026-05-02","Per=M","Days=T","Dir=V")</f>
        <v>0</v>
      </c>
      <c r="AS2">
        <f>BDH("FIG US Equity","CUR_MKT_CAP","1993-06-18","2026-05-02","Per=M","Days=T","Dir=V")</f>
        <v>0</v>
      </c>
      <c r="AU2">
        <f>BDH("FIG US Equity","EQY_SH_OUT","1993-06-18","2026-05-02","Per=M","Days=T","Dir=V")</f>
        <v>0</v>
      </c>
      <c r="AW2">
        <f>BDH("FIG US Equity","PX_VOLUME","1993-06-18","2026-05-02","Per=M","Days=T","Dir=V")</f>
        <v>0</v>
      </c>
      <c r="AY2">
        <f>BDH("FIG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BDH("FIGS US Equity","BS_TOT_ASSET","1993-06-18","2026-05-02","Per=Y","Days=T","Dir=V")</f>
        <v>0</v>
      </c>
      <c r="C2">
        <f>BDH("FIGS US Equity","BS_TOT_LIAB2","1993-06-18","2026-05-02","Per=Y","Days=T","Dir=V")</f>
        <v>0</v>
      </c>
      <c r="E2">
        <f>BDH("FIGS US Equity","SHORT_AND_LONG_TERM_DEBT","1993-06-18","2026-05-02","Per=Y","Days=T","Dir=V")</f>
        <v>0</v>
      </c>
      <c r="G2">
        <f>BDH("FIGS US Equity","BS_ST_BORROW","1993-06-18","2026-05-02","Per=Y","Days=T","Dir=V")</f>
        <v>0</v>
      </c>
      <c r="I2">
        <f>BDH("FIGS US Equity","BS_LT_BORROW","1993-06-18","2026-05-02","Per=Y","Days=T","Dir=V")</f>
        <v>0</v>
      </c>
      <c r="K2">
        <f>BDH("FIGS US Equity","BS_CASH_NEAR_CASH_ITEM","1993-06-18","2026-05-02","Per=Y","Days=T","Dir=V")</f>
        <v>0</v>
      </c>
      <c r="M2">
        <f>BDH("FIGS US Equity","BS_CUR_ASSET_REPORT","1993-06-18","2026-05-02","Per=Y","Days=T","Dir=V")</f>
        <v>0</v>
      </c>
      <c r="O2">
        <f>BDH("FIGS US Equity","BS_CUR_LIAB","1993-06-18","2026-05-02","Per=Y","Days=T","Dir=V")</f>
        <v>0</v>
      </c>
      <c r="Q2">
        <f>BDH("FIGS US Equity","BS_SHAREHOLDER_EQY_ENDING_PERIOD","1993-06-18","2026-05-02","Per=Y","Days=T","Dir=V")</f>
        <v>0</v>
      </c>
      <c r="S2">
        <f>BDH("FIGS US Equity","BS_ACCT_NOTE_RCV","1993-06-18","2026-05-02","Per=Y","Days=T","Dir=V")</f>
        <v>0</v>
      </c>
      <c r="U2">
        <f>BDH("FIGS US Equity","BS_INVENTORIES","1993-06-18","2026-05-02","Per=Y","Days=T","Dir=V")</f>
        <v>0</v>
      </c>
      <c r="W2">
        <f>BDH("FIGS US Equity","WORKING_CAPITAL","1993-06-18","2026-05-02","Per=Y","Days=T","Dir=V")</f>
        <v>0</v>
      </c>
      <c r="Y2">
        <f>BDH("FIGS US Equity","SALES_REV_TURN","1993-06-18","2026-05-02","Per=Y","Days=T","Dir=V")</f>
        <v>0</v>
      </c>
      <c r="AA2">
        <f>BDH("FIGS US Equity","EBIT","1993-06-18","2026-05-02","Per=Y","Days=T","Dir=V")</f>
        <v>0</v>
      </c>
      <c r="AC2">
        <f>BDH("FIGS US Equity","EBITDA","1993-06-18","2026-05-02","Per=Y","Days=T","Dir=V")</f>
        <v>0</v>
      </c>
      <c r="AE2">
        <f>BDH("FIGS US Equity","NET_INCOME","1993-06-18","2026-05-02","Per=Y","Days=T","Dir=V")</f>
        <v>0</v>
      </c>
      <c r="AG2">
        <f>BDH("FIGS US Equity","IS_INT_EXPENSE","1993-06-18","2026-05-02","Per=Y","Days=T","Dir=V")</f>
        <v>0</v>
      </c>
      <c r="AI2">
        <f>BDH("FIGS US Equity","IS_DEPR_EXP","1993-06-18","2026-05-02","Per=Y","Days=T","Dir=V")</f>
        <v>0</v>
      </c>
      <c r="AK2">
        <f>BDH("FIGS US Equity","CF_CASH_FROM_OPER","1993-06-18","2026-05-02","Per=Y","Days=T","Dir=V")</f>
        <v>0</v>
      </c>
      <c r="AM2">
        <f>BDH("FIGS US Equity","CAPITAL_EXPEND","1993-06-18","2026-05-02","Per=Y","Days=T","Dir=V")</f>
        <v>0</v>
      </c>
      <c r="AO2">
        <f>BDH("FIGS US Equity","CF_FREE_CASH_FLOW","1993-06-18","2026-05-02","Per=Y","Days=T","Dir=V")</f>
        <v>0</v>
      </c>
      <c r="AQ2">
        <f>BDH("FIGS US Equity","PX_LAST","1993-06-18","2026-05-02","Per=M","Days=T","Dir=V")</f>
        <v>0</v>
      </c>
      <c r="AS2">
        <f>BDH("FIGS US Equity","CUR_MKT_CAP","1993-06-18","2026-05-02","Per=M","Days=T","Dir=V")</f>
        <v>0</v>
      </c>
      <c r="AU2">
        <f>BDH("FIGS US Equity","EQY_SH_OUT","1993-06-18","2026-05-02","Per=M","Days=T","Dir=V")</f>
        <v>0</v>
      </c>
      <c r="AW2">
        <f>BDH("FIGS US Equity","PX_VOLUME","1993-06-18","2026-05-02","Per=M","Days=T","Dir=V")</f>
        <v>0</v>
      </c>
      <c r="AY2">
        <f>BDH("FIGS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BDH("FIP US Equity","BS_TOT_ASSET","1993-06-18","2026-05-02","Per=Y","Days=T","Dir=V")</f>
        <v>0</v>
      </c>
      <c r="C2">
        <f>BDH("FIP US Equity","BS_TOT_LIAB2","1993-06-18","2026-05-02","Per=Y","Days=T","Dir=V")</f>
        <v>0</v>
      </c>
      <c r="E2">
        <f>BDH("FIP US Equity","SHORT_AND_LONG_TERM_DEBT","1993-06-18","2026-05-02","Per=Y","Days=T","Dir=V")</f>
        <v>0</v>
      </c>
      <c r="G2">
        <f>BDH("FIP US Equity","BS_ST_BORROW","1993-06-18","2026-05-02","Per=Y","Days=T","Dir=V")</f>
        <v>0</v>
      </c>
      <c r="I2">
        <f>BDH("FIP US Equity","BS_LT_BORROW","1993-06-18","2026-05-02","Per=Y","Days=T","Dir=V")</f>
        <v>0</v>
      </c>
      <c r="K2">
        <f>BDH("FIP US Equity","BS_CASH_NEAR_CASH_ITEM","1993-06-18","2026-05-02","Per=Y","Days=T","Dir=V")</f>
        <v>0</v>
      </c>
      <c r="M2">
        <f>BDH("FIP US Equity","BS_CUR_ASSET_REPORT","1993-06-18","2026-05-02","Per=Y","Days=T","Dir=V")</f>
        <v>0</v>
      </c>
      <c r="O2">
        <f>BDH("FIP US Equity","BS_CUR_LIAB","1993-06-18","2026-05-02","Per=Y","Days=T","Dir=V")</f>
        <v>0</v>
      </c>
      <c r="Q2">
        <f>BDH("FIP US Equity","BS_SHAREHOLDER_EQY_ENDING_PERIOD","1993-06-18","2026-05-02","Per=Y","Days=T","Dir=V")</f>
        <v>0</v>
      </c>
      <c r="S2">
        <f>BDH("FIP US Equity","BS_ACCT_NOTE_RCV","1993-06-18","2026-05-02","Per=Y","Days=T","Dir=V")</f>
        <v>0</v>
      </c>
      <c r="U2">
        <f>BDH("FIP US Equity","BS_INVENTORIES","1993-06-18","2026-05-02","Per=Y","Days=T","Dir=V")</f>
        <v>0</v>
      </c>
      <c r="W2">
        <f>BDH("FIP US Equity","WORKING_CAPITAL","1993-06-18","2026-05-02","Per=Y","Days=T","Dir=V")</f>
        <v>0</v>
      </c>
      <c r="Y2">
        <f>BDH("FIP US Equity","SALES_REV_TURN","1993-06-18","2026-05-02","Per=Y","Days=T","Dir=V")</f>
        <v>0</v>
      </c>
      <c r="AA2">
        <f>BDH("FIP US Equity","EBIT","1993-06-18","2026-05-02","Per=Y","Days=T","Dir=V")</f>
        <v>0</v>
      </c>
      <c r="AC2">
        <f>BDH("FIP US Equity","EBITDA","1993-06-18","2026-05-02","Per=Y","Days=T","Dir=V")</f>
        <v>0</v>
      </c>
      <c r="AE2">
        <f>BDH("FIP US Equity","NET_INCOME","1993-06-18","2026-05-02","Per=Y","Days=T","Dir=V")</f>
        <v>0</v>
      </c>
      <c r="AG2">
        <f>BDH("FIP US Equity","IS_INT_EXPENSE","1993-06-18","2026-05-02","Per=Y","Days=T","Dir=V")</f>
        <v>0</v>
      </c>
      <c r="AI2">
        <f>BDH("FIP US Equity","IS_DEPR_EXP","1993-06-18","2026-05-02","Per=Y","Days=T","Dir=V")</f>
        <v>0</v>
      </c>
      <c r="AK2">
        <f>BDH("FIP US Equity","CF_CASH_FROM_OPER","1993-06-18","2026-05-02","Per=Y","Days=T","Dir=V")</f>
        <v>0</v>
      </c>
      <c r="AM2">
        <f>BDH("FIP US Equity","CAPITAL_EXPEND","1993-06-18","2026-05-02","Per=Y","Days=T","Dir=V")</f>
        <v>0</v>
      </c>
      <c r="AO2">
        <f>BDH("FIP US Equity","CF_FREE_CASH_FLOW","1993-06-18","2026-05-02","Per=Y","Days=T","Dir=V")</f>
        <v>0</v>
      </c>
      <c r="AQ2">
        <f>BDH("FIP US Equity","PX_LAST","1993-06-18","2026-05-02","Per=M","Days=T","Dir=V")</f>
        <v>0</v>
      </c>
      <c r="AS2">
        <f>BDH("FIP US Equity","CUR_MKT_CAP","1993-06-18","2026-05-02","Per=M","Days=T","Dir=V")</f>
        <v>0</v>
      </c>
      <c r="AU2">
        <f>BDH("FIP US Equity","EQY_SH_OUT","1993-06-18","2026-05-02","Per=M","Days=T","Dir=V")</f>
        <v>0</v>
      </c>
      <c r="AW2">
        <f>BDH("FIP US Equity","PX_VOLUME","1993-06-18","2026-05-02","Per=M","Days=T","Dir=V")</f>
        <v>0</v>
      </c>
      <c r="AY2">
        <f>BDH("FIP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BDH("FIRY US Equity","BS_TOT_ASSET","1993-06-18","2026-05-02","Per=Y","Days=T","Dir=V")</f>
        <v>0</v>
      </c>
      <c r="C2">
        <f>BDH("FIRY US Equity","BS_TOT_LIAB2","1993-06-18","2026-05-02","Per=Y","Days=T","Dir=V")</f>
        <v>0</v>
      </c>
      <c r="E2">
        <f>BDH("FIRY US Equity","SHORT_AND_LONG_TERM_DEBT","1993-06-18","2026-05-02","Per=Y","Days=T","Dir=V")</f>
        <v>0</v>
      </c>
      <c r="G2">
        <f>BDH("FIRY US Equity","BS_ST_BORROW","1993-06-18","2026-05-02","Per=Y","Days=T","Dir=V")</f>
        <v>0</v>
      </c>
      <c r="I2">
        <f>BDH("FIRY US Equity","BS_LT_BORROW","1993-06-18","2026-05-02","Per=Y","Days=T","Dir=V")</f>
        <v>0</v>
      </c>
      <c r="K2">
        <f>BDH("FIRY US Equity","BS_CASH_NEAR_CASH_ITEM","1993-06-18","2026-05-02","Per=Y","Days=T","Dir=V")</f>
        <v>0</v>
      </c>
      <c r="M2">
        <f>BDH("FIRY US Equity","BS_CUR_ASSET_REPORT","1993-06-18","2026-05-02","Per=Y","Days=T","Dir=V")</f>
        <v>0</v>
      </c>
      <c r="O2">
        <f>BDH("FIRY US Equity","BS_CUR_LIAB","1993-06-18","2026-05-02","Per=Y","Days=T","Dir=V")</f>
        <v>0</v>
      </c>
      <c r="Q2">
        <f>BDH("FIRY US Equity","BS_SHAREHOLDER_EQY_ENDING_PERIOD","1993-06-18","2026-05-02","Per=Y","Days=T","Dir=V")</f>
        <v>0</v>
      </c>
      <c r="S2">
        <f>BDH("FIRY US Equity","BS_ACCT_NOTE_RCV","1993-06-18","2026-05-02","Per=Y","Days=T","Dir=V")</f>
        <v>0</v>
      </c>
      <c r="U2">
        <f>BDH("FIRY US Equity","BS_INVENTORIES","1993-06-18","2026-05-02","Per=Y","Days=T","Dir=V")</f>
        <v>0</v>
      </c>
      <c r="W2">
        <f>BDH("FIRY US Equity","WORKING_CAPITAL","1993-06-18","2026-05-02","Per=Y","Days=T","Dir=V")</f>
        <v>0</v>
      </c>
      <c r="Y2">
        <f>BDH("FIRY US Equity","SALES_REV_TURN","1993-06-18","2026-05-02","Per=Y","Days=T","Dir=V")</f>
        <v>0</v>
      </c>
      <c r="AA2">
        <f>BDH("FIRY US Equity","EBIT","1993-06-18","2026-05-02","Per=Y","Days=T","Dir=V")</f>
        <v>0</v>
      </c>
      <c r="AC2">
        <f>BDH("FIRY US Equity","EBITDA","1993-06-18","2026-05-02","Per=Y","Days=T","Dir=V")</f>
        <v>0</v>
      </c>
      <c r="AE2">
        <f>BDH("FIRY US Equity","NET_INCOME","1993-06-18","2026-05-02","Per=Y","Days=T","Dir=V")</f>
        <v>0</v>
      </c>
      <c r="AG2">
        <f>BDH("FIRY US Equity","IS_INT_EXPENSE","1993-06-18","2026-05-02","Per=Y","Days=T","Dir=V")</f>
        <v>0</v>
      </c>
      <c r="AI2">
        <f>BDH("FIRY US Equity","IS_DEPR_EXP","1993-06-18","2026-05-02","Per=Y","Days=T","Dir=V")</f>
        <v>0</v>
      </c>
      <c r="AK2">
        <f>BDH("FIRY US Equity","CF_CASH_FROM_OPER","1993-06-18","2026-05-02","Per=Y","Days=T","Dir=V")</f>
        <v>0</v>
      </c>
      <c r="AM2">
        <f>BDH("FIRY US Equity","CAPITAL_EXPEND","1993-06-18","2026-05-02","Per=Y","Days=T","Dir=V")</f>
        <v>0</v>
      </c>
      <c r="AO2">
        <f>BDH("FIRY US Equity","CF_FREE_CASH_FLOW","1993-06-18","2026-05-02","Per=Y","Days=T","Dir=V")</f>
        <v>0</v>
      </c>
      <c r="AQ2">
        <f>BDH("FIRY US Equity","PX_LAST","1993-06-18","2026-05-02","Per=M","Days=T","Dir=V")</f>
        <v>0</v>
      </c>
      <c r="AS2">
        <f>BDH("FIRY US Equity","CUR_MKT_CAP","1993-06-18","2026-05-02","Per=M","Days=T","Dir=V")</f>
        <v>0</v>
      </c>
      <c r="AU2">
        <f>BDH("FIRY US Equity","EQY_SH_OUT","1993-06-18","2026-05-02","Per=M","Days=T","Dir=V")</f>
        <v>0</v>
      </c>
      <c r="AW2">
        <f>BDH("FIRY US Equity","PX_VOLUME","1993-06-18","2026-05-02","Per=M","Days=T","Dir=V")</f>
        <v>0</v>
      </c>
      <c r="AY2">
        <f>BDH("FIRY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BDH("FIS US Equity","BS_TOT_ASSET","1993-06-18","2026-05-02","Per=Y","Days=T","Dir=V")</f>
        <v>0</v>
      </c>
      <c r="C2">
        <f>BDH("FIS US Equity","BS_TOT_LIAB2","1993-06-18","2026-05-02","Per=Y","Days=T","Dir=V")</f>
        <v>0</v>
      </c>
      <c r="E2">
        <f>BDH("FIS US Equity","SHORT_AND_LONG_TERM_DEBT","1993-06-18","2026-05-02","Per=Y","Days=T","Dir=V")</f>
        <v>0</v>
      </c>
      <c r="G2">
        <f>BDH("FIS US Equity","BS_ST_BORROW","1993-06-18","2026-05-02","Per=Y","Days=T","Dir=V")</f>
        <v>0</v>
      </c>
      <c r="I2">
        <f>BDH("FIS US Equity","BS_LT_BORROW","1993-06-18","2026-05-02","Per=Y","Days=T","Dir=V")</f>
        <v>0</v>
      </c>
      <c r="K2">
        <f>BDH("FIS US Equity","BS_CASH_NEAR_CASH_ITEM","1993-06-18","2026-05-02","Per=Y","Days=T","Dir=V")</f>
        <v>0</v>
      </c>
      <c r="M2">
        <f>BDH("FIS US Equity","BS_CUR_ASSET_REPORT","1993-06-18","2026-05-02","Per=Y","Days=T","Dir=V")</f>
        <v>0</v>
      </c>
      <c r="O2">
        <f>BDH("FIS US Equity","BS_CUR_LIAB","1993-06-18","2026-05-02","Per=Y","Days=T","Dir=V")</f>
        <v>0</v>
      </c>
      <c r="Q2">
        <f>BDH("FIS US Equity","BS_SHAREHOLDER_EQY_ENDING_PERIOD","1993-06-18","2026-05-02","Per=Y","Days=T","Dir=V")</f>
        <v>0</v>
      </c>
      <c r="S2">
        <f>BDH("FIS US Equity","BS_ACCT_NOTE_RCV","1993-06-18","2026-05-02","Per=Y","Days=T","Dir=V")</f>
        <v>0</v>
      </c>
      <c r="U2">
        <f>BDH("FIS US Equity","BS_INVENTORIES","1993-06-18","2026-05-02","Per=Y","Days=T","Dir=V")</f>
        <v>0</v>
      </c>
      <c r="W2">
        <f>BDH("FIS US Equity","WORKING_CAPITAL","1993-06-18","2026-05-02","Per=Y","Days=T","Dir=V")</f>
        <v>0</v>
      </c>
      <c r="Y2">
        <f>BDH("FIS US Equity","SALES_REV_TURN","1993-06-18","2026-05-02","Per=Y","Days=T","Dir=V")</f>
        <v>0</v>
      </c>
      <c r="AA2">
        <f>BDH("FIS US Equity","EBIT","1993-06-18","2026-05-02","Per=Y","Days=T","Dir=V")</f>
        <v>0</v>
      </c>
      <c r="AC2">
        <f>BDH("FIS US Equity","EBITDA","1993-06-18","2026-05-02","Per=Y","Days=T","Dir=V")</f>
        <v>0</v>
      </c>
      <c r="AE2">
        <f>BDH("FIS US Equity","NET_INCOME","1993-06-18","2026-05-02","Per=Y","Days=T","Dir=V")</f>
        <v>0</v>
      </c>
      <c r="AG2">
        <f>BDH("FIS US Equity","IS_INT_EXPENSE","1993-06-18","2026-05-02","Per=Y","Days=T","Dir=V")</f>
        <v>0</v>
      </c>
      <c r="AI2">
        <f>BDH("FIS US Equity","IS_DEPR_EXP","1993-06-18","2026-05-02","Per=Y","Days=T","Dir=V")</f>
        <v>0</v>
      </c>
      <c r="AK2">
        <f>BDH("FIS US Equity","CF_CASH_FROM_OPER","1993-06-18","2026-05-02","Per=Y","Days=T","Dir=V")</f>
        <v>0</v>
      </c>
      <c r="AM2">
        <f>BDH("FIS US Equity","CAPITAL_EXPEND","1993-06-18","2026-05-02","Per=Y","Days=T","Dir=V")</f>
        <v>0</v>
      </c>
      <c r="AO2">
        <f>BDH("FIS US Equity","CF_FREE_CASH_FLOW","1993-06-18","2026-05-02","Per=Y","Days=T","Dir=V")</f>
        <v>0</v>
      </c>
      <c r="AQ2">
        <f>BDH("FIS US Equity","PX_LAST","1993-06-18","2026-05-02","Per=M","Days=T","Dir=V")</f>
        <v>0</v>
      </c>
      <c r="AS2">
        <f>BDH("FIS US Equity","CUR_MKT_CAP","1993-06-18","2026-05-02","Per=M","Days=T","Dir=V")</f>
        <v>0</v>
      </c>
      <c r="AU2">
        <f>BDH("FIS US Equity","EQY_SH_OUT","1993-06-18","2026-05-02","Per=M","Days=T","Dir=V")</f>
        <v>0</v>
      </c>
      <c r="AW2">
        <f>BDH("FIS US Equity","PX_VOLUME","1993-06-18","2026-05-02","Per=M","Days=T","Dir=V")</f>
        <v>0</v>
      </c>
      <c r="AY2">
        <f>BDH("FIS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BDH("FISN US Equity","BS_TOT_ASSET","1993-06-18","2026-05-02","Per=Y","Days=T","Dir=V")</f>
        <v>0</v>
      </c>
      <c r="C2">
        <f>BDH("FISN US Equity","BS_TOT_LIAB2","1993-06-18","2026-05-02","Per=Y","Days=T","Dir=V")</f>
        <v>0</v>
      </c>
      <c r="E2">
        <f>BDH("FISN US Equity","SHORT_AND_LONG_TERM_DEBT","1993-06-18","2026-05-02","Per=Y","Days=T","Dir=V")</f>
        <v>0</v>
      </c>
      <c r="G2">
        <f>BDH("FISN US Equity","BS_ST_BORROW","1993-06-18","2026-05-02","Per=Y","Days=T","Dir=V")</f>
        <v>0</v>
      </c>
      <c r="I2">
        <f>BDH("FISN US Equity","BS_LT_BORROW","1993-06-18","2026-05-02","Per=Y","Days=T","Dir=V")</f>
        <v>0</v>
      </c>
      <c r="K2">
        <f>BDH("FISN US Equity","BS_CASH_NEAR_CASH_ITEM","1993-06-18","2026-05-02","Per=Y","Days=T","Dir=V")</f>
        <v>0</v>
      </c>
      <c r="M2">
        <f>BDH("FISN US Equity","BS_CUR_ASSET_REPORT","1993-06-18","2026-05-02","Per=Y","Days=T","Dir=V")</f>
        <v>0</v>
      </c>
      <c r="O2">
        <f>BDH("FISN US Equity","BS_CUR_LIAB","1993-06-18","2026-05-02","Per=Y","Days=T","Dir=V")</f>
        <v>0</v>
      </c>
      <c r="Q2">
        <f>BDH("FISN US Equity","BS_SHAREHOLDER_EQY_ENDING_PERIOD","1993-06-18","2026-05-02","Per=Y","Days=T","Dir=V")</f>
        <v>0</v>
      </c>
      <c r="S2">
        <f>BDH("FISN US Equity","BS_ACCT_NOTE_RCV","1993-06-18","2026-05-02","Per=Y","Days=T","Dir=V")</f>
        <v>0</v>
      </c>
      <c r="U2">
        <f>BDH("FISN US Equity","BS_INVENTORIES","1993-06-18","2026-05-02","Per=Y","Days=T","Dir=V")</f>
        <v>0</v>
      </c>
      <c r="W2">
        <f>BDH("FISN US Equity","WORKING_CAPITAL","1993-06-18","2026-05-02","Per=Y","Days=T","Dir=V")</f>
        <v>0</v>
      </c>
      <c r="Y2">
        <f>BDH("FISN US Equity","SALES_REV_TURN","1993-06-18","2026-05-02","Per=Y","Days=T","Dir=V")</f>
        <v>0</v>
      </c>
      <c r="AA2">
        <f>BDH("FISN US Equity","EBIT","1993-06-18","2026-05-02","Per=Y","Days=T","Dir=V")</f>
        <v>0</v>
      </c>
      <c r="AC2">
        <f>BDH("FISN US Equity","EBITDA","1993-06-18","2026-05-02","Per=Y","Days=T","Dir=V")</f>
        <v>0</v>
      </c>
      <c r="AE2">
        <f>BDH("FISN US Equity","NET_INCOME","1993-06-18","2026-05-02","Per=Y","Days=T","Dir=V")</f>
        <v>0</v>
      </c>
      <c r="AG2">
        <f>BDH("FISN US Equity","IS_INT_EXPENSE","1993-06-18","2026-05-02","Per=Y","Days=T","Dir=V")</f>
        <v>0</v>
      </c>
      <c r="AI2">
        <f>BDH("FISN US Equity","IS_DEPR_EXP","1993-06-18","2026-05-02","Per=Y","Days=T","Dir=V")</f>
        <v>0</v>
      </c>
      <c r="AK2">
        <f>BDH("FISN US Equity","CF_CASH_FROM_OPER","1993-06-18","2026-05-02","Per=Y","Days=T","Dir=V")</f>
        <v>0</v>
      </c>
      <c r="AM2">
        <f>BDH("FISN US Equity","CAPITAL_EXPEND","1993-06-18","2026-05-02","Per=Y","Days=T","Dir=V")</f>
        <v>0</v>
      </c>
      <c r="AO2">
        <f>BDH("FISN US Equity","CF_FREE_CASH_FLOW","1993-06-18","2026-05-02","Per=Y","Days=T","Dir=V")</f>
        <v>0</v>
      </c>
      <c r="AQ2">
        <f>BDH("FISN US Equity","PX_LAST","1993-06-18","2026-05-02","Per=M","Days=T","Dir=V")</f>
        <v>0</v>
      </c>
      <c r="AS2">
        <f>BDH("FISN US Equity","CUR_MKT_CAP","1993-06-18","2026-05-02","Per=M","Days=T","Dir=V")</f>
        <v>0</v>
      </c>
      <c r="AU2">
        <f>BDH("FISN US Equity","EQY_SH_OUT","1993-06-18","2026-05-02","Per=M","Days=T","Dir=V")</f>
        <v>0</v>
      </c>
      <c r="AW2">
        <f>BDH("FISN US Equity","PX_VOLUME","1993-06-18","2026-05-02","Per=M","Days=T","Dir=V")</f>
        <v>0</v>
      </c>
      <c r="AY2">
        <f>BDH("FISN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BDH("FISV US Equity","BS_TOT_ASSET","1993-06-18","2026-05-02","Per=Y","Days=T","Dir=V")</f>
        <v>0</v>
      </c>
      <c r="C2">
        <f>BDH("FISV US Equity","BS_TOT_LIAB2","1993-06-18","2026-05-02","Per=Y","Days=T","Dir=V")</f>
        <v>0</v>
      </c>
      <c r="E2">
        <f>BDH("FISV US Equity","SHORT_AND_LONG_TERM_DEBT","1993-06-18","2026-05-02","Per=Y","Days=T","Dir=V")</f>
        <v>0</v>
      </c>
      <c r="G2">
        <f>BDH("FISV US Equity","BS_ST_BORROW","1993-06-18","2026-05-02","Per=Y","Days=T","Dir=V")</f>
        <v>0</v>
      </c>
      <c r="I2">
        <f>BDH("FISV US Equity","BS_LT_BORROW","1993-06-18","2026-05-02","Per=Y","Days=T","Dir=V")</f>
        <v>0</v>
      </c>
      <c r="K2">
        <f>BDH("FISV US Equity","BS_CASH_NEAR_CASH_ITEM","1993-06-18","2026-05-02","Per=Y","Days=T","Dir=V")</f>
        <v>0</v>
      </c>
      <c r="M2">
        <f>BDH("FISV US Equity","BS_CUR_ASSET_REPORT","1993-06-18","2026-05-02","Per=Y","Days=T","Dir=V")</f>
        <v>0</v>
      </c>
      <c r="O2">
        <f>BDH("FISV US Equity","BS_CUR_LIAB","1993-06-18","2026-05-02","Per=Y","Days=T","Dir=V")</f>
        <v>0</v>
      </c>
      <c r="Q2">
        <f>BDH("FISV US Equity","BS_SHAREHOLDER_EQY_ENDING_PERIOD","1993-06-18","2026-05-02","Per=Y","Days=T","Dir=V")</f>
        <v>0</v>
      </c>
      <c r="S2">
        <f>BDH("FISV US Equity","BS_ACCT_NOTE_RCV","1993-06-18","2026-05-02","Per=Y","Days=T","Dir=V")</f>
        <v>0</v>
      </c>
      <c r="U2">
        <f>BDH("FISV US Equity","BS_INVENTORIES","1993-06-18","2026-05-02","Per=Y","Days=T","Dir=V")</f>
        <v>0</v>
      </c>
      <c r="W2">
        <f>BDH("FISV US Equity","WORKING_CAPITAL","1993-06-18","2026-05-02","Per=Y","Days=T","Dir=V")</f>
        <v>0</v>
      </c>
      <c r="Y2">
        <f>BDH("FISV US Equity","SALES_REV_TURN","1993-06-18","2026-05-02","Per=Y","Days=T","Dir=V")</f>
        <v>0</v>
      </c>
      <c r="AA2">
        <f>BDH("FISV US Equity","EBIT","1993-06-18","2026-05-02","Per=Y","Days=T","Dir=V")</f>
        <v>0</v>
      </c>
      <c r="AC2">
        <f>BDH("FISV US Equity","EBITDA","1993-06-18","2026-05-02","Per=Y","Days=T","Dir=V")</f>
        <v>0</v>
      </c>
      <c r="AE2">
        <f>BDH("FISV US Equity","NET_INCOME","1993-06-18","2026-05-02","Per=Y","Days=T","Dir=V")</f>
        <v>0</v>
      </c>
      <c r="AG2">
        <f>BDH("FISV US Equity","IS_INT_EXPENSE","1993-06-18","2026-05-02","Per=Y","Days=T","Dir=V")</f>
        <v>0</v>
      </c>
      <c r="AI2">
        <f>BDH("FISV US Equity","IS_DEPR_EXP","1993-06-18","2026-05-02","Per=Y","Days=T","Dir=V")</f>
        <v>0</v>
      </c>
      <c r="AK2">
        <f>BDH("FISV US Equity","CF_CASH_FROM_OPER","1993-06-18","2026-05-02","Per=Y","Days=T","Dir=V")</f>
        <v>0</v>
      </c>
      <c r="AM2">
        <f>BDH("FISV US Equity","CAPITAL_EXPEND","1993-06-18","2026-05-02","Per=Y","Days=T","Dir=V")</f>
        <v>0</v>
      </c>
      <c r="AO2">
        <f>BDH("FISV US Equity","CF_FREE_CASH_FLOW","1993-06-18","2026-05-02","Per=Y","Days=T","Dir=V")</f>
        <v>0</v>
      </c>
      <c r="AQ2">
        <f>BDH("FISV US Equity","PX_LAST","1993-06-18","2026-05-02","Per=M","Days=T","Dir=V")</f>
        <v>0</v>
      </c>
      <c r="AS2">
        <f>BDH("FISV US Equity","CUR_MKT_CAP","1993-06-18","2026-05-02","Per=M","Days=T","Dir=V")</f>
        <v>0</v>
      </c>
      <c r="AU2">
        <f>BDH("FISV US Equity","EQY_SH_OUT","1993-06-18","2026-05-02","Per=M","Days=T","Dir=V")</f>
        <v>0</v>
      </c>
      <c r="AW2">
        <f>BDH("FISV US Equity","PX_VOLUME","1993-06-18","2026-05-02","Per=M","Days=T","Dir=V")</f>
        <v>0</v>
      </c>
      <c r="AY2">
        <f>BDH("FISV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BDH("FIVE US Equity","BS_TOT_ASSET","1993-06-18","2026-05-02","Per=Y","Days=T","Dir=V")</f>
        <v>0</v>
      </c>
      <c r="C2">
        <f>BDH("FIVE US Equity","BS_TOT_LIAB2","1993-06-18","2026-05-02","Per=Y","Days=T","Dir=V")</f>
        <v>0</v>
      </c>
      <c r="E2">
        <f>BDH("FIVE US Equity","SHORT_AND_LONG_TERM_DEBT","1993-06-18","2026-05-02","Per=Y","Days=T","Dir=V")</f>
        <v>0</v>
      </c>
      <c r="G2">
        <f>BDH("FIVE US Equity","BS_ST_BORROW","1993-06-18","2026-05-02","Per=Y","Days=T","Dir=V")</f>
        <v>0</v>
      </c>
      <c r="I2">
        <f>BDH("FIVE US Equity","BS_LT_BORROW","1993-06-18","2026-05-02","Per=Y","Days=T","Dir=V")</f>
        <v>0</v>
      </c>
      <c r="K2">
        <f>BDH("FIVE US Equity","BS_CASH_NEAR_CASH_ITEM","1993-06-18","2026-05-02","Per=Y","Days=T","Dir=V")</f>
        <v>0</v>
      </c>
      <c r="M2">
        <f>BDH("FIVE US Equity","BS_CUR_ASSET_REPORT","1993-06-18","2026-05-02","Per=Y","Days=T","Dir=V")</f>
        <v>0</v>
      </c>
      <c r="O2">
        <f>BDH("FIVE US Equity","BS_CUR_LIAB","1993-06-18","2026-05-02","Per=Y","Days=T","Dir=V")</f>
        <v>0</v>
      </c>
      <c r="Q2">
        <f>BDH("FIVE US Equity","BS_SHAREHOLDER_EQY_ENDING_PERIOD","1993-06-18","2026-05-02","Per=Y","Days=T","Dir=V")</f>
        <v>0</v>
      </c>
      <c r="S2">
        <f>BDH("FIVE US Equity","BS_ACCT_NOTE_RCV","1993-06-18","2026-05-02","Per=Y","Days=T","Dir=V")</f>
        <v>0</v>
      </c>
      <c r="U2">
        <f>BDH("FIVE US Equity","BS_INVENTORIES","1993-06-18","2026-05-02","Per=Y","Days=T","Dir=V")</f>
        <v>0</v>
      </c>
      <c r="W2">
        <f>BDH("FIVE US Equity","WORKING_CAPITAL","1993-06-18","2026-05-02","Per=Y","Days=T","Dir=V")</f>
        <v>0</v>
      </c>
      <c r="Y2">
        <f>BDH("FIVE US Equity","SALES_REV_TURN","1993-06-18","2026-05-02","Per=Y","Days=T","Dir=V")</f>
        <v>0</v>
      </c>
      <c r="AA2">
        <f>BDH("FIVE US Equity","EBIT","1993-06-18","2026-05-02","Per=Y","Days=T","Dir=V")</f>
        <v>0</v>
      </c>
      <c r="AC2">
        <f>BDH("FIVE US Equity","EBITDA","1993-06-18","2026-05-02","Per=Y","Days=T","Dir=V")</f>
        <v>0</v>
      </c>
      <c r="AE2">
        <f>BDH("FIVE US Equity","NET_INCOME","1993-06-18","2026-05-02","Per=Y","Days=T","Dir=V")</f>
        <v>0</v>
      </c>
      <c r="AG2">
        <f>BDH("FIVE US Equity","IS_INT_EXPENSE","1993-06-18","2026-05-02","Per=Y","Days=T","Dir=V")</f>
        <v>0</v>
      </c>
      <c r="AI2">
        <f>BDH("FIVE US Equity","IS_DEPR_EXP","1993-06-18","2026-05-02","Per=Y","Days=T","Dir=V")</f>
        <v>0</v>
      </c>
      <c r="AK2">
        <f>BDH("FIVE US Equity","CF_CASH_FROM_OPER","1993-06-18","2026-05-02","Per=Y","Days=T","Dir=V")</f>
        <v>0</v>
      </c>
      <c r="AM2">
        <f>BDH("FIVE US Equity","CAPITAL_EXPEND","1993-06-18","2026-05-02","Per=Y","Days=T","Dir=V")</f>
        <v>0</v>
      </c>
      <c r="AO2">
        <f>BDH("FIVE US Equity","CF_FREE_CASH_FLOW","1993-06-18","2026-05-02","Per=Y","Days=T","Dir=V")</f>
        <v>0</v>
      </c>
      <c r="AQ2">
        <f>BDH("FIVE US Equity","PX_LAST","1993-06-18","2026-05-02","Per=M","Days=T","Dir=V")</f>
        <v>0</v>
      </c>
      <c r="AS2">
        <f>BDH("FIVE US Equity","CUR_MKT_CAP","1993-06-18","2026-05-02","Per=M","Days=T","Dir=V")</f>
        <v>0</v>
      </c>
      <c r="AU2">
        <f>BDH("FIVE US Equity","EQY_SH_OUT","1993-06-18","2026-05-02","Per=M","Days=T","Dir=V")</f>
        <v>0</v>
      </c>
      <c r="AW2">
        <f>BDH("FIVE US Equity","PX_VOLUME","1993-06-18","2026-05-02","Per=M","Days=T","Dir=V")</f>
        <v>0</v>
      </c>
      <c r="AY2">
        <f>BDH("FIVE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BDH("FIVN US Equity","BS_TOT_ASSET","1993-06-18","2026-05-02","Per=Y","Days=T","Dir=V")</f>
        <v>0</v>
      </c>
      <c r="C2">
        <f>BDH("FIVN US Equity","BS_TOT_LIAB2","1993-06-18","2026-05-02","Per=Y","Days=T","Dir=V")</f>
        <v>0</v>
      </c>
      <c r="E2">
        <f>BDH("FIVN US Equity","SHORT_AND_LONG_TERM_DEBT","1993-06-18","2026-05-02","Per=Y","Days=T","Dir=V")</f>
        <v>0</v>
      </c>
      <c r="G2">
        <f>BDH("FIVN US Equity","BS_ST_BORROW","1993-06-18","2026-05-02","Per=Y","Days=T","Dir=V")</f>
        <v>0</v>
      </c>
      <c r="I2">
        <f>BDH("FIVN US Equity","BS_LT_BORROW","1993-06-18","2026-05-02","Per=Y","Days=T","Dir=V")</f>
        <v>0</v>
      </c>
      <c r="K2">
        <f>BDH("FIVN US Equity","BS_CASH_NEAR_CASH_ITEM","1993-06-18","2026-05-02","Per=Y","Days=T","Dir=V")</f>
        <v>0</v>
      </c>
      <c r="M2">
        <f>BDH("FIVN US Equity","BS_CUR_ASSET_REPORT","1993-06-18","2026-05-02","Per=Y","Days=T","Dir=V")</f>
        <v>0</v>
      </c>
      <c r="O2">
        <f>BDH("FIVN US Equity","BS_CUR_LIAB","1993-06-18","2026-05-02","Per=Y","Days=T","Dir=V")</f>
        <v>0</v>
      </c>
      <c r="Q2">
        <f>BDH("FIVN US Equity","BS_SHAREHOLDER_EQY_ENDING_PERIOD","1993-06-18","2026-05-02","Per=Y","Days=T","Dir=V")</f>
        <v>0</v>
      </c>
      <c r="S2">
        <f>BDH("FIVN US Equity","BS_ACCT_NOTE_RCV","1993-06-18","2026-05-02","Per=Y","Days=T","Dir=V")</f>
        <v>0</v>
      </c>
      <c r="U2">
        <f>BDH("FIVN US Equity","BS_INVENTORIES","1993-06-18","2026-05-02","Per=Y","Days=T","Dir=V")</f>
        <v>0</v>
      </c>
      <c r="W2">
        <f>BDH("FIVN US Equity","WORKING_CAPITAL","1993-06-18","2026-05-02","Per=Y","Days=T","Dir=V")</f>
        <v>0</v>
      </c>
      <c r="Y2">
        <f>BDH("FIVN US Equity","SALES_REV_TURN","1993-06-18","2026-05-02","Per=Y","Days=T","Dir=V")</f>
        <v>0</v>
      </c>
      <c r="AA2">
        <f>BDH("FIVN US Equity","EBIT","1993-06-18","2026-05-02","Per=Y","Days=T","Dir=V")</f>
        <v>0</v>
      </c>
      <c r="AC2">
        <f>BDH("FIVN US Equity","EBITDA","1993-06-18","2026-05-02","Per=Y","Days=T","Dir=V")</f>
        <v>0</v>
      </c>
      <c r="AE2">
        <f>BDH("FIVN US Equity","NET_INCOME","1993-06-18","2026-05-02","Per=Y","Days=T","Dir=V")</f>
        <v>0</v>
      </c>
      <c r="AG2">
        <f>BDH("FIVN US Equity","IS_INT_EXPENSE","1993-06-18","2026-05-02","Per=Y","Days=T","Dir=V")</f>
        <v>0</v>
      </c>
      <c r="AI2">
        <f>BDH("FIVN US Equity","IS_DEPR_EXP","1993-06-18","2026-05-02","Per=Y","Days=T","Dir=V")</f>
        <v>0</v>
      </c>
      <c r="AK2">
        <f>BDH("FIVN US Equity","CF_CASH_FROM_OPER","1993-06-18","2026-05-02","Per=Y","Days=T","Dir=V")</f>
        <v>0</v>
      </c>
      <c r="AM2">
        <f>BDH("FIVN US Equity","CAPITAL_EXPEND","1993-06-18","2026-05-02","Per=Y","Days=T","Dir=V")</f>
        <v>0</v>
      </c>
      <c r="AO2">
        <f>BDH("FIVN US Equity","CF_FREE_CASH_FLOW","1993-06-18","2026-05-02","Per=Y","Days=T","Dir=V")</f>
        <v>0</v>
      </c>
      <c r="AQ2">
        <f>BDH("FIVN US Equity","PX_LAST","1993-06-18","2026-05-02","Per=M","Days=T","Dir=V")</f>
        <v>0</v>
      </c>
      <c r="AS2">
        <f>BDH("FIVN US Equity","CUR_MKT_CAP","1993-06-18","2026-05-02","Per=M","Days=T","Dir=V")</f>
        <v>0</v>
      </c>
      <c r="AU2">
        <f>BDH("FIVN US Equity","EQY_SH_OUT","1993-06-18","2026-05-02","Per=M","Days=T","Dir=V")</f>
        <v>0</v>
      </c>
      <c r="AW2">
        <f>BDH("FIVN US Equity","PX_VOLUME","1993-06-18","2026-05-02","Per=M","Days=T","Dir=V")</f>
        <v>0</v>
      </c>
      <c r="AY2">
        <f>BDH("FIVN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BDH("FIX US Equity","BS_TOT_ASSET","1993-06-18","2026-05-02","Per=Y","Days=T","Dir=V")</f>
        <v>0</v>
      </c>
      <c r="C2">
        <f>BDH("FIX US Equity","BS_TOT_LIAB2","1993-06-18","2026-05-02","Per=Y","Days=T","Dir=V")</f>
        <v>0</v>
      </c>
      <c r="E2">
        <f>BDH("FIX US Equity","SHORT_AND_LONG_TERM_DEBT","1993-06-18","2026-05-02","Per=Y","Days=T","Dir=V")</f>
        <v>0</v>
      </c>
      <c r="G2">
        <f>BDH("FIX US Equity","BS_ST_BORROW","1993-06-18","2026-05-02","Per=Y","Days=T","Dir=V")</f>
        <v>0</v>
      </c>
      <c r="I2">
        <f>BDH("FIX US Equity","BS_LT_BORROW","1993-06-18","2026-05-02","Per=Y","Days=T","Dir=V")</f>
        <v>0</v>
      </c>
      <c r="K2">
        <f>BDH("FIX US Equity","BS_CASH_NEAR_CASH_ITEM","1993-06-18","2026-05-02","Per=Y","Days=T","Dir=V")</f>
        <v>0</v>
      </c>
      <c r="M2">
        <f>BDH("FIX US Equity","BS_CUR_ASSET_REPORT","1993-06-18","2026-05-02","Per=Y","Days=T","Dir=V")</f>
        <v>0</v>
      </c>
      <c r="O2">
        <f>BDH("FIX US Equity","BS_CUR_LIAB","1993-06-18","2026-05-02","Per=Y","Days=T","Dir=V")</f>
        <v>0</v>
      </c>
      <c r="Q2">
        <f>BDH("FIX US Equity","BS_SHAREHOLDER_EQY_ENDING_PERIOD","1993-06-18","2026-05-02","Per=Y","Days=T","Dir=V")</f>
        <v>0</v>
      </c>
      <c r="S2">
        <f>BDH("FIX US Equity","BS_ACCT_NOTE_RCV","1993-06-18","2026-05-02","Per=Y","Days=T","Dir=V")</f>
        <v>0</v>
      </c>
      <c r="U2">
        <f>BDH("FIX US Equity","BS_INVENTORIES","1993-06-18","2026-05-02","Per=Y","Days=T","Dir=V")</f>
        <v>0</v>
      </c>
      <c r="W2">
        <f>BDH("FIX US Equity","WORKING_CAPITAL","1993-06-18","2026-05-02","Per=Y","Days=T","Dir=V")</f>
        <v>0</v>
      </c>
      <c r="Y2">
        <f>BDH("FIX US Equity","SALES_REV_TURN","1993-06-18","2026-05-02","Per=Y","Days=T","Dir=V")</f>
        <v>0</v>
      </c>
      <c r="AA2">
        <f>BDH("FIX US Equity","EBIT","1993-06-18","2026-05-02","Per=Y","Days=T","Dir=V")</f>
        <v>0</v>
      </c>
      <c r="AC2">
        <f>BDH("FIX US Equity","EBITDA","1993-06-18","2026-05-02","Per=Y","Days=T","Dir=V")</f>
        <v>0</v>
      </c>
      <c r="AE2">
        <f>BDH("FIX US Equity","NET_INCOME","1993-06-18","2026-05-02","Per=Y","Days=T","Dir=V")</f>
        <v>0</v>
      </c>
      <c r="AG2">
        <f>BDH("FIX US Equity","IS_INT_EXPENSE","1993-06-18","2026-05-02","Per=Y","Days=T","Dir=V")</f>
        <v>0</v>
      </c>
      <c r="AI2">
        <f>BDH("FIX US Equity","IS_DEPR_EXP","1993-06-18","2026-05-02","Per=Y","Days=T","Dir=V")</f>
        <v>0</v>
      </c>
      <c r="AK2">
        <f>BDH("FIX US Equity","CF_CASH_FROM_OPER","1993-06-18","2026-05-02","Per=Y","Days=T","Dir=V")</f>
        <v>0</v>
      </c>
      <c r="AM2">
        <f>BDH("FIX US Equity","CAPITAL_EXPEND","1993-06-18","2026-05-02","Per=Y","Days=T","Dir=V")</f>
        <v>0</v>
      </c>
      <c r="AO2">
        <f>BDH("FIX US Equity","CF_FREE_CASH_FLOW","1993-06-18","2026-05-02","Per=Y","Days=T","Dir=V")</f>
        <v>0</v>
      </c>
      <c r="AQ2">
        <f>BDH("FIX US Equity","PX_LAST","1993-06-18","2026-05-02","Per=M","Days=T","Dir=V")</f>
        <v>0</v>
      </c>
      <c r="AS2">
        <f>BDH("FIX US Equity","CUR_MKT_CAP","1993-06-18","2026-05-02","Per=M","Days=T","Dir=V")</f>
        <v>0</v>
      </c>
      <c r="AU2">
        <f>BDH("FIX US Equity","EQY_SH_OUT","1993-06-18","2026-05-02","Per=M","Days=T","Dir=V")</f>
        <v>0</v>
      </c>
      <c r="AW2">
        <f>BDH("FIX US Equity","PX_VOLUME","1993-06-18","2026-05-02","Per=M","Days=T","Dir=V")</f>
        <v>0</v>
      </c>
      <c r="AY2">
        <f>BDH("FIX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BDH("FIZZ US Equity","BS_TOT_ASSET","1993-06-18","2026-05-02","Per=Y","Days=T","Dir=V")</f>
        <v>0</v>
      </c>
      <c r="C2">
        <f>BDH("FIZZ US Equity","BS_TOT_LIAB2","1993-06-18","2026-05-02","Per=Y","Days=T","Dir=V")</f>
        <v>0</v>
      </c>
      <c r="E2">
        <f>BDH("FIZZ US Equity","SHORT_AND_LONG_TERM_DEBT","1993-06-18","2026-05-02","Per=Y","Days=T","Dir=V")</f>
        <v>0</v>
      </c>
      <c r="G2">
        <f>BDH("FIZZ US Equity","BS_ST_BORROW","1993-06-18","2026-05-02","Per=Y","Days=T","Dir=V")</f>
        <v>0</v>
      </c>
      <c r="I2">
        <f>BDH("FIZZ US Equity","BS_LT_BORROW","1993-06-18","2026-05-02","Per=Y","Days=T","Dir=V")</f>
        <v>0</v>
      </c>
      <c r="K2">
        <f>BDH("FIZZ US Equity","BS_CASH_NEAR_CASH_ITEM","1993-06-18","2026-05-02","Per=Y","Days=T","Dir=V")</f>
        <v>0</v>
      </c>
      <c r="M2">
        <f>BDH("FIZZ US Equity","BS_CUR_ASSET_REPORT","1993-06-18","2026-05-02","Per=Y","Days=T","Dir=V")</f>
        <v>0</v>
      </c>
      <c r="O2">
        <f>BDH("FIZZ US Equity","BS_CUR_LIAB","1993-06-18","2026-05-02","Per=Y","Days=T","Dir=V")</f>
        <v>0</v>
      </c>
      <c r="Q2">
        <f>BDH("FIZZ US Equity","BS_SHAREHOLDER_EQY_ENDING_PERIOD","1993-06-18","2026-05-02","Per=Y","Days=T","Dir=V")</f>
        <v>0</v>
      </c>
      <c r="S2">
        <f>BDH("FIZZ US Equity","BS_ACCT_NOTE_RCV","1993-06-18","2026-05-02","Per=Y","Days=T","Dir=V")</f>
        <v>0</v>
      </c>
      <c r="U2">
        <f>BDH("FIZZ US Equity","BS_INVENTORIES","1993-06-18","2026-05-02","Per=Y","Days=T","Dir=V")</f>
        <v>0</v>
      </c>
      <c r="W2">
        <f>BDH("FIZZ US Equity","WORKING_CAPITAL","1993-06-18","2026-05-02","Per=Y","Days=T","Dir=V")</f>
        <v>0</v>
      </c>
      <c r="Y2">
        <f>BDH("FIZZ US Equity","SALES_REV_TURN","1993-06-18","2026-05-02","Per=Y","Days=T","Dir=V")</f>
        <v>0</v>
      </c>
      <c r="AA2">
        <f>BDH("FIZZ US Equity","EBIT","1993-06-18","2026-05-02","Per=Y","Days=T","Dir=V")</f>
        <v>0</v>
      </c>
      <c r="AC2">
        <f>BDH("FIZZ US Equity","EBITDA","1993-06-18","2026-05-02","Per=Y","Days=T","Dir=V")</f>
        <v>0</v>
      </c>
      <c r="AE2">
        <f>BDH("FIZZ US Equity","NET_INCOME","1993-06-18","2026-05-02","Per=Y","Days=T","Dir=V")</f>
        <v>0</v>
      </c>
      <c r="AG2">
        <f>BDH("FIZZ US Equity","IS_INT_EXPENSE","1993-06-18","2026-05-02","Per=Y","Days=T","Dir=V")</f>
        <v>0</v>
      </c>
      <c r="AI2">
        <f>BDH("FIZZ US Equity","IS_DEPR_EXP","1993-06-18","2026-05-02","Per=Y","Days=T","Dir=V")</f>
        <v>0</v>
      </c>
      <c r="AK2">
        <f>BDH("FIZZ US Equity","CF_CASH_FROM_OPER","1993-06-18","2026-05-02","Per=Y","Days=T","Dir=V")</f>
        <v>0</v>
      </c>
      <c r="AM2">
        <f>BDH("FIZZ US Equity","CAPITAL_EXPEND","1993-06-18","2026-05-02","Per=Y","Days=T","Dir=V")</f>
        <v>0</v>
      </c>
      <c r="AO2">
        <f>BDH("FIZZ US Equity","CF_FREE_CASH_FLOW","1993-06-18","2026-05-02","Per=Y","Days=T","Dir=V")</f>
        <v>0</v>
      </c>
      <c r="AQ2">
        <f>BDH("FIZZ US Equity","PX_LAST","1993-06-18","2026-05-02","Per=M","Days=T","Dir=V")</f>
        <v>0</v>
      </c>
      <c r="AS2">
        <f>BDH("FIZZ US Equity","CUR_MKT_CAP","1993-06-18","2026-05-02","Per=M","Days=T","Dir=V")</f>
        <v>0</v>
      </c>
      <c r="AU2">
        <f>BDH("FIZZ US Equity","EQY_SH_OUT","1993-06-18","2026-05-02","Per=M","Days=T","Dir=V")</f>
        <v>0</v>
      </c>
      <c r="AW2">
        <f>BDH("FIZZ US Equity","PX_VOLUME","1993-06-18","2026-05-02","Per=M","Days=T","Dir=V")</f>
        <v>0</v>
      </c>
      <c r="AY2">
        <f>BDH("FIZZ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BDH("FJET US Equity","BS_TOT_ASSET","1993-06-18","2026-05-02","Per=Y","Days=T","Dir=V")</f>
        <v>0</v>
      </c>
      <c r="C2">
        <f>BDH("FJET US Equity","BS_TOT_LIAB2","1993-06-18","2026-05-02","Per=Y","Days=T","Dir=V")</f>
        <v>0</v>
      </c>
      <c r="E2">
        <f>BDH("FJET US Equity","SHORT_AND_LONG_TERM_DEBT","1993-06-18","2026-05-02","Per=Y","Days=T","Dir=V")</f>
        <v>0</v>
      </c>
      <c r="G2">
        <f>BDH("FJET US Equity","BS_ST_BORROW","1993-06-18","2026-05-02","Per=Y","Days=T","Dir=V")</f>
        <v>0</v>
      </c>
      <c r="I2">
        <f>BDH("FJET US Equity","BS_LT_BORROW","1993-06-18","2026-05-02","Per=Y","Days=T","Dir=V")</f>
        <v>0</v>
      </c>
      <c r="K2">
        <f>BDH("FJET US Equity","BS_CASH_NEAR_CASH_ITEM","1993-06-18","2026-05-02","Per=Y","Days=T","Dir=V")</f>
        <v>0</v>
      </c>
      <c r="M2">
        <f>BDH("FJET US Equity","BS_CUR_ASSET_REPORT","1993-06-18","2026-05-02","Per=Y","Days=T","Dir=V")</f>
        <v>0</v>
      </c>
      <c r="O2">
        <f>BDH("FJET US Equity","BS_CUR_LIAB","1993-06-18","2026-05-02","Per=Y","Days=T","Dir=V")</f>
        <v>0</v>
      </c>
      <c r="Q2">
        <f>BDH("FJET US Equity","BS_SHAREHOLDER_EQY_ENDING_PERIOD","1993-06-18","2026-05-02","Per=Y","Days=T","Dir=V")</f>
        <v>0</v>
      </c>
      <c r="S2">
        <f>BDH("FJET US Equity","BS_ACCT_NOTE_RCV","1993-06-18","2026-05-02","Per=Y","Days=T","Dir=V")</f>
        <v>0</v>
      </c>
      <c r="U2">
        <f>BDH("FJET US Equity","BS_INVENTORIES","1993-06-18","2026-05-02","Per=Y","Days=T","Dir=V")</f>
        <v>0</v>
      </c>
      <c r="W2">
        <f>BDH("FJET US Equity","WORKING_CAPITAL","1993-06-18","2026-05-02","Per=Y","Days=T","Dir=V")</f>
        <v>0</v>
      </c>
      <c r="Y2">
        <f>BDH("FJET US Equity","SALES_REV_TURN","1993-06-18","2026-05-02","Per=Y","Days=T","Dir=V")</f>
        <v>0</v>
      </c>
      <c r="AA2">
        <f>BDH("FJET US Equity","EBIT","1993-06-18","2026-05-02","Per=Y","Days=T","Dir=V")</f>
        <v>0</v>
      </c>
      <c r="AC2">
        <f>BDH("FJET US Equity","EBITDA","1993-06-18","2026-05-02","Per=Y","Days=T","Dir=V")</f>
        <v>0</v>
      </c>
      <c r="AE2">
        <f>BDH("FJET US Equity","NET_INCOME","1993-06-18","2026-05-02","Per=Y","Days=T","Dir=V")</f>
        <v>0</v>
      </c>
      <c r="AG2">
        <f>BDH("FJET US Equity","IS_INT_EXPENSE","1993-06-18","2026-05-02","Per=Y","Days=T","Dir=V")</f>
        <v>0</v>
      </c>
      <c r="AI2">
        <f>BDH("FJET US Equity","IS_DEPR_EXP","1993-06-18","2026-05-02","Per=Y","Days=T","Dir=V")</f>
        <v>0</v>
      </c>
      <c r="AK2">
        <f>BDH("FJET US Equity","CF_CASH_FROM_OPER","1993-06-18","2026-05-02","Per=Y","Days=T","Dir=V")</f>
        <v>0</v>
      </c>
      <c r="AM2">
        <f>BDH("FJET US Equity","CAPITAL_EXPEND","1993-06-18","2026-05-02","Per=Y","Days=T","Dir=V")</f>
        <v>0</v>
      </c>
      <c r="AO2">
        <f>BDH("FJET US Equity","CF_FREE_CASH_FLOW","1993-06-18","2026-05-02","Per=Y","Days=T","Dir=V")</f>
        <v>0</v>
      </c>
      <c r="AQ2">
        <f>BDH("FJET US Equity","PX_LAST","1993-06-18","2026-05-02","Per=M","Days=T","Dir=V")</f>
        <v>0</v>
      </c>
      <c r="AS2">
        <f>BDH("FJET US Equity","CUR_MKT_CAP","1993-06-18","2026-05-02","Per=M","Days=T","Dir=V")</f>
        <v>0</v>
      </c>
      <c r="AU2">
        <f>BDH("FJET US Equity","EQY_SH_OUT","1993-06-18","2026-05-02","Per=M","Days=T","Dir=V")</f>
        <v>0</v>
      </c>
      <c r="AW2">
        <f>BDH("FJET US Equity","PX_VOLUME","1993-06-18","2026-05-02","Per=M","Days=T","Dir=V")</f>
        <v>0</v>
      </c>
      <c r="AY2">
        <f>BDH("FJET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BDH("FKWL US Equity","BS_TOT_ASSET","1993-06-18","2026-05-02","Per=Y","Days=T","Dir=V")</f>
        <v>0</v>
      </c>
      <c r="C2">
        <f>BDH("FKWL US Equity","BS_TOT_LIAB2","1993-06-18","2026-05-02","Per=Y","Days=T","Dir=V")</f>
        <v>0</v>
      </c>
      <c r="E2">
        <f>BDH("FKWL US Equity","SHORT_AND_LONG_TERM_DEBT","1993-06-18","2026-05-02","Per=Y","Days=T","Dir=V")</f>
        <v>0</v>
      </c>
      <c r="G2">
        <f>BDH("FKWL US Equity","BS_ST_BORROW","1993-06-18","2026-05-02","Per=Y","Days=T","Dir=V")</f>
        <v>0</v>
      </c>
      <c r="I2">
        <f>BDH("FKWL US Equity","BS_LT_BORROW","1993-06-18","2026-05-02","Per=Y","Days=T","Dir=V")</f>
        <v>0</v>
      </c>
      <c r="K2">
        <f>BDH("FKWL US Equity","BS_CASH_NEAR_CASH_ITEM","1993-06-18","2026-05-02","Per=Y","Days=T","Dir=V")</f>
        <v>0</v>
      </c>
      <c r="M2">
        <f>BDH("FKWL US Equity","BS_CUR_ASSET_REPORT","1993-06-18","2026-05-02","Per=Y","Days=T","Dir=V")</f>
        <v>0</v>
      </c>
      <c r="O2">
        <f>BDH("FKWL US Equity","BS_CUR_LIAB","1993-06-18","2026-05-02","Per=Y","Days=T","Dir=V")</f>
        <v>0</v>
      </c>
      <c r="Q2">
        <f>BDH("FKWL US Equity","BS_SHAREHOLDER_EQY_ENDING_PERIOD","1993-06-18","2026-05-02","Per=Y","Days=T","Dir=V")</f>
        <v>0</v>
      </c>
      <c r="S2">
        <f>BDH("FKWL US Equity","BS_ACCT_NOTE_RCV","1993-06-18","2026-05-02","Per=Y","Days=T","Dir=V")</f>
        <v>0</v>
      </c>
      <c r="U2">
        <f>BDH("FKWL US Equity","BS_INVENTORIES","1993-06-18","2026-05-02","Per=Y","Days=T","Dir=V")</f>
        <v>0</v>
      </c>
      <c r="W2">
        <f>BDH("FKWL US Equity","WORKING_CAPITAL","1993-06-18","2026-05-02","Per=Y","Days=T","Dir=V")</f>
        <v>0</v>
      </c>
      <c r="Y2">
        <f>BDH("FKWL US Equity","SALES_REV_TURN","1993-06-18","2026-05-02","Per=Y","Days=T","Dir=V")</f>
        <v>0</v>
      </c>
      <c r="AA2">
        <f>BDH("FKWL US Equity","EBIT","1993-06-18","2026-05-02","Per=Y","Days=T","Dir=V")</f>
        <v>0</v>
      </c>
      <c r="AC2">
        <f>BDH("FKWL US Equity","EBITDA","1993-06-18","2026-05-02","Per=Y","Days=T","Dir=V")</f>
        <v>0</v>
      </c>
      <c r="AE2">
        <f>BDH("FKWL US Equity","NET_INCOME","1993-06-18","2026-05-02","Per=Y","Days=T","Dir=V")</f>
        <v>0</v>
      </c>
      <c r="AG2">
        <f>BDH("FKWL US Equity","IS_INT_EXPENSE","1993-06-18","2026-05-02","Per=Y","Days=T","Dir=V")</f>
        <v>0</v>
      </c>
      <c r="AI2">
        <f>BDH("FKWL US Equity","IS_DEPR_EXP","1993-06-18","2026-05-02","Per=Y","Days=T","Dir=V")</f>
        <v>0</v>
      </c>
      <c r="AK2">
        <f>BDH("FKWL US Equity","CF_CASH_FROM_OPER","1993-06-18","2026-05-02","Per=Y","Days=T","Dir=V")</f>
        <v>0</v>
      </c>
      <c r="AM2">
        <f>BDH("FKWL US Equity","CAPITAL_EXPEND","1993-06-18","2026-05-02","Per=Y","Days=T","Dir=V")</f>
        <v>0</v>
      </c>
      <c r="AO2">
        <f>BDH("FKWL US Equity","CF_FREE_CASH_FLOW","1993-06-18","2026-05-02","Per=Y","Days=T","Dir=V")</f>
        <v>0</v>
      </c>
      <c r="AQ2">
        <f>BDH("FKWL US Equity","PX_LAST","1993-06-18","2026-05-02","Per=M","Days=T","Dir=V")</f>
        <v>0</v>
      </c>
      <c r="AS2">
        <f>BDH("FKWL US Equity","CUR_MKT_CAP","1993-06-18","2026-05-02","Per=M","Days=T","Dir=V")</f>
        <v>0</v>
      </c>
      <c r="AU2">
        <f>BDH("FKWL US Equity","EQY_SH_OUT","1993-06-18","2026-05-02","Per=M","Days=T","Dir=V")</f>
        <v>0</v>
      </c>
      <c r="AW2">
        <f>BDH("FKWL US Equity","PX_VOLUME","1993-06-18","2026-05-02","Per=M","Days=T","Dir=V")</f>
        <v>0</v>
      </c>
      <c r="AY2">
        <f>BDH("FKWL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BDH("FLGT US Equity","BS_TOT_ASSET","1993-06-18","2026-05-02","Per=Y","Days=T","Dir=V")</f>
        <v>0</v>
      </c>
      <c r="C2">
        <f>BDH("FLGT US Equity","BS_TOT_LIAB2","1993-06-18","2026-05-02","Per=Y","Days=T","Dir=V")</f>
        <v>0</v>
      </c>
      <c r="E2">
        <f>BDH("FLGT US Equity","SHORT_AND_LONG_TERM_DEBT","1993-06-18","2026-05-02","Per=Y","Days=T","Dir=V")</f>
        <v>0</v>
      </c>
      <c r="G2">
        <f>BDH("FLGT US Equity","BS_ST_BORROW","1993-06-18","2026-05-02","Per=Y","Days=T","Dir=V")</f>
        <v>0</v>
      </c>
      <c r="I2">
        <f>BDH("FLGT US Equity","BS_LT_BORROW","1993-06-18","2026-05-02","Per=Y","Days=T","Dir=V")</f>
        <v>0</v>
      </c>
      <c r="K2">
        <f>BDH("FLGT US Equity","BS_CASH_NEAR_CASH_ITEM","1993-06-18","2026-05-02","Per=Y","Days=T","Dir=V")</f>
        <v>0</v>
      </c>
      <c r="M2">
        <f>BDH("FLGT US Equity","BS_CUR_ASSET_REPORT","1993-06-18","2026-05-02","Per=Y","Days=T","Dir=V")</f>
        <v>0</v>
      </c>
      <c r="O2">
        <f>BDH("FLGT US Equity","BS_CUR_LIAB","1993-06-18","2026-05-02","Per=Y","Days=T","Dir=V")</f>
        <v>0</v>
      </c>
      <c r="Q2">
        <f>BDH("FLGT US Equity","BS_SHAREHOLDER_EQY_ENDING_PERIOD","1993-06-18","2026-05-02","Per=Y","Days=T","Dir=V")</f>
        <v>0</v>
      </c>
      <c r="S2">
        <f>BDH("FLGT US Equity","BS_ACCT_NOTE_RCV","1993-06-18","2026-05-02","Per=Y","Days=T","Dir=V")</f>
        <v>0</v>
      </c>
      <c r="U2">
        <f>BDH("FLGT US Equity","BS_INVENTORIES","1993-06-18","2026-05-02","Per=Y","Days=T","Dir=V")</f>
        <v>0</v>
      </c>
      <c r="W2">
        <f>BDH("FLGT US Equity","WORKING_CAPITAL","1993-06-18","2026-05-02","Per=Y","Days=T","Dir=V")</f>
        <v>0</v>
      </c>
      <c r="Y2">
        <f>BDH("FLGT US Equity","SALES_REV_TURN","1993-06-18","2026-05-02","Per=Y","Days=T","Dir=V")</f>
        <v>0</v>
      </c>
      <c r="AA2">
        <f>BDH("FLGT US Equity","EBIT","1993-06-18","2026-05-02","Per=Y","Days=T","Dir=V")</f>
        <v>0</v>
      </c>
      <c r="AC2">
        <f>BDH("FLGT US Equity","EBITDA","1993-06-18","2026-05-02","Per=Y","Days=T","Dir=V")</f>
        <v>0</v>
      </c>
      <c r="AE2">
        <f>BDH("FLGT US Equity","NET_INCOME","1993-06-18","2026-05-02","Per=Y","Days=T","Dir=V")</f>
        <v>0</v>
      </c>
      <c r="AG2">
        <f>BDH("FLGT US Equity","IS_INT_EXPENSE","1993-06-18","2026-05-02","Per=Y","Days=T","Dir=V")</f>
        <v>0</v>
      </c>
      <c r="AI2">
        <f>BDH("FLGT US Equity","IS_DEPR_EXP","1993-06-18","2026-05-02","Per=Y","Days=T","Dir=V")</f>
        <v>0</v>
      </c>
      <c r="AK2">
        <f>BDH("FLGT US Equity","CF_CASH_FROM_OPER","1993-06-18","2026-05-02","Per=Y","Days=T","Dir=V")</f>
        <v>0</v>
      </c>
      <c r="AM2">
        <f>BDH("FLGT US Equity","CAPITAL_EXPEND","1993-06-18","2026-05-02","Per=Y","Days=T","Dir=V")</f>
        <v>0</v>
      </c>
      <c r="AO2">
        <f>BDH("FLGT US Equity","CF_FREE_CASH_FLOW","1993-06-18","2026-05-02","Per=Y","Days=T","Dir=V")</f>
        <v>0</v>
      </c>
      <c r="AQ2">
        <f>BDH("FLGT US Equity","PX_LAST","1993-06-18","2026-05-02","Per=M","Days=T","Dir=V")</f>
        <v>0</v>
      </c>
      <c r="AS2">
        <f>BDH("FLGT US Equity","CUR_MKT_CAP","1993-06-18","2026-05-02","Per=M","Days=T","Dir=V")</f>
        <v>0</v>
      </c>
      <c r="AU2">
        <f>BDH("FLGT US Equity","EQY_SH_OUT","1993-06-18","2026-05-02","Per=M","Days=T","Dir=V")</f>
        <v>0</v>
      </c>
      <c r="AW2">
        <f>BDH("FLGT US Equity","PX_VOLUME","1993-06-18","2026-05-02","Per=M","Days=T","Dir=V")</f>
        <v>0</v>
      </c>
      <c r="AY2">
        <f>BDH("FLGT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BDH("FLL US Equity","BS_TOT_ASSET","1993-06-18","2026-05-02","Per=Y","Days=T","Dir=V")</f>
        <v>0</v>
      </c>
      <c r="C2">
        <f>BDH("FLL US Equity","BS_TOT_LIAB2","1993-06-18","2026-05-02","Per=Y","Days=T","Dir=V")</f>
        <v>0</v>
      </c>
      <c r="E2">
        <f>BDH("FLL US Equity","SHORT_AND_LONG_TERM_DEBT","1993-06-18","2026-05-02","Per=Y","Days=T","Dir=V")</f>
        <v>0</v>
      </c>
      <c r="G2">
        <f>BDH("FLL US Equity","BS_ST_BORROW","1993-06-18","2026-05-02","Per=Y","Days=T","Dir=V")</f>
        <v>0</v>
      </c>
      <c r="I2">
        <f>BDH("FLL US Equity","BS_LT_BORROW","1993-06-18","2026-05-02","Per=Y","Days=T","Dir=V")</f>
        <v>0</v>
      </c>
      <c r="K2">
        <f>BDH("FLL US Equity","BS_CASH_NEAR_CASH_ITEM","1993-06-18","2026-05-02","Per=Y","Days=T","Dir=V")</f>
        <v>0</v>
      </c>
      <c r="M2">
        <f>BDH("FLL US Equity","BS_CUR_ASSET_REPORT","1993-06-18","2026-05-02","Per=Y","Days=T","Dir=V")</f>
        <v>0</v>
      </c>
      <c r="O2">
        <f>BDH("FLL US Equity","BS_CUR_LIAB","1993-06-18","2026-05-02","Per=Y","Days=T","Dir=V")</f>
        <v>0</v>
      </c>
      <c r="Q2">
        <f>BDH("FLL US Equity","BS_SHAREHOLDER_EQY_ENDING_PERIOD","1993-06-18","2026-05-02","Per=Y","Days=T","Dir=V")</f>
        <v>0</v>
      </c>
      <c r="S2">
        <f>BDH("FLL US Equity","BS_ACCT_NOTE_RCV","1993-06-18","2026-05-02","Per=Y","Days=T","Dir=V")</f>
        <v>0</v>
      </c>
      <c r="U2">
        <f>BDH("FLL US Equity","BS_INVENTORIES","1993-06-18","2026-05-02","Per=Y","Days=T","Dir=V")</f>
        <v>0</v>
      </c>
      <c r="W2">
        <f>BDH("FLL US Equity","WORKING_CAPITAL","1993-06-18","2026-05-02","Per=Y","Days=T","Dir=V")</f>
        <v>0</v>
      </c>
      <c r="Y2">
        <f>BDH("FLL US Equity","SALES_REV_TURN","1993-06-18","2026-05-02","Per=Y","Days=T","Dir=V")</f>
        <v>0</v>
      </c>
      <c r="AA2">
        <f>BDH("FLL US Equity","EBIT","1993-06-18","2026-05-02","Per=Y","Days=T","Dir=V")</f>
        <v>0</v>
      </c>
      <c r="AC2">
        <f>BDH("FLL US Equity","EBITDA","1993-06-18","2026-05-02","Per=Y","Days=T","Dir=V")</f>
        <v>0</v>
      </c>
      <c r="AE2">
        <f>BDH("FLL US Equity","NET_INCOME","1993-06-18","2026-05-02","Per=Y","Days=T","Dir=V")</f>
        <v>0</v>
      </c>
      <c r="AG2">
        <f>BDH("FLL US Equity","IS_INT_EXPENSE","1993-06-18","2026-05-02","Per=Y","Days=T","Dir=V")</f>
        <v>0</v>
      </c>
      <c r="AI2">
        <f>BDH("FLL US Equity","IS_DEPR_EXP","1993-06-18","2026-05-02","Per=Y","Days=T","Dir=V")</f>
        <v>0</v>
      </c>
      <c r="AK2">
        <f>BDH("FLL US Equity","CF_CASH_FROM_OPER","1993-06-18","2026-05-02","Per=Y","Days=T","Dir=V")</f>
        <v>0</v>
      </c>
      <c r="AM2">
        <f>BDH("FLL US Equity","CAPITAL_EXPEND","1993-06-18","2026-05-02","Per=Y","Days=T","Dir=V")</f>
        <v>0</v>
      </c>
      <c r="AO2">
        <f>BDH("FLL US Equity","CF_FREE_CASH_FLOW","1993-06-18","2026-05-02","Per=Y","Days=T","Dir=V")</f>
        <v>0</v>
      </c>
      <c r="AQ2">
        <f>BDH("FLL US Equity","PX_LAST","1993-06-18","2026-05-02","Per=M","Days=T","Dir=V")</f>
        <v>0</v>
      </c>
      <c r="AS2">
        <f>BDH("FLL US Equity","CUR_MKT_CAP","1993-06-18","2026-05-02","Per=M","Days=T","Dir=V")</f>
        <v>0</v>
      </c>
      <c r="AU2">
        <f>BDH("FLL US Equity","EQY_SH_OUT","1993-06-18","2026-05-02","Per=M","Days=T","Dir=V")</f>
        <v>0</v>
      </c>
      <c r="AW2">
        <f>BDH("FLL US Equity","PX_VOLUME","1993-06-18","2026-05-02","Per=M","Days=T","Dir=V")</f>
        <v>0</v>
      </c>
      <c r="AY2">
        <f>BDH("FLL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BDH("FLNA US Equity","BS_TOT_ASSET","1993-06-18","2026-05-02","Per=Y","Days=T","Dir=V")</f>
        <v>0</v>
      </c>
      <c r="C2">
        <f>BDH("FLNA US Equity","BS_TOT_LIAB2","1993-06-18","2026-05-02","Per=Y","Days=T","Dir=V")</f>
        <v>0</v>
      </c>
      <c r="E2">
        <f>BDH("FLNA US Equity","SHORT_AND_LONG_TERM_DEBT","1993-06-18","2026-05-02","Per=Y","Days=T","Dir=V")</f>
        <v>0</v>
      </c>
      <c r="G2">
        <f>BDH("FLNA US Equity","BS_ST_BORROW","1993-06-18","2026-05-02","Per=Y","Days=T","Dir=V")</f>
        <v>0</v>
      </c>
      <c r="I2">
        <f>BDH("FLNA US Equity","BS_LT_BORROW","1993-06-18","2026-05-02","Per=Y","Days=T","Dir=V")</f>
        <v>0</v>
      </c>
      <c r="K2">
        <f>BDH("FLNA US Equity","BS_CASH_NEAR_CASH_ITEM","1993-06-18","2026-05-02","Per=Y","Days=T","Dir=V")</f>
        <v>0</v>
      </c>
      <c r="M2">
        <f>BDH("FLNA US Equity","BS_CUR_ASSET_REPORT","1993-06-18","2026-05-02","Per=Y","Days=T","Dir=V")</f>
        <v>0</v>
      </c>
      <c r="O2">
        <f>BDH("FLNA US Equity","BS_CUR_LIAB","1993-06-18","2026-05-02","Per=Y","Days=T","Dir=V")</f>
        <v>0</v>
      </c>
      <c r="Q2">
        <f>BDH("FLNA US Equity","BS_SHAREHOLDER_EQY_ENDING_PERIOD","1993-06-18","2026-05-02","Per=Y","Days=T","Dir=V")</f>
        <v>0</v>
      </c>
      <c r="S2">
        <f>BDH("FLNA US Equity","BS_ACCT_NOTE_RCV","1993-06-18","2026-05-02","Per=Y","Days=T","Dir=V")</f>
        <v>0</v>
      </c>
      <c r="U2">
        <f>BDH("FLNA US Equity","BS_INVENTORIES","1993-06-18","2026-05-02","Per=Y","Days=T","Dir=V")</f>
        <v>0</v>
      </c>
      <c r="W2">
        <f>BDH("FLNA US Equity","WORKING_CAPITAL","1993-06-18","2026-05-02","Per=Y","Days=T","Dir=V")</f>
        <v>0</v>
      </c>
      <c r="Y2">
        <f>BDH("FLNA US Equity","SALES_REV_TURN","1993-06-18","2026-05-02","Per=Y","Days=T","Dir=V")</f>
        <v>0</v>
      </c>
      <c r="AA2">
        <f>BDH("FLNA US Equity","EBIT","1993-06-18","2026-05-02","Per=Y","Days=T","Dir=V")</f>
        <v>0</v>
      </c>
      <c r="AC2">
        <f>BDH("FLNA US Equity","EBITDA","1993-06-18","2026-05-02","Per=Y","Days=T","Dir=V")</f>
        <v>0</v>
      </c>
      <c r="AE2">
        <f>BDH("FLNA US Equity","NET_INCOME","1993-06-18","2026-05-02","Per=Y","Days=T","Dir=V")</f>
        <v>0</v>
      </c>
      <c r="AG2">
        <f>BDH("FLNA US Equity","IS_INT_EXPENSE","1993-06-18","2026-05-02","Per=Y","Days=T","Dir=V")</f>
        <v>0</v>
      </c>
      <c r="AI2">
        <f>BDH("FLNA US Equity","IS_DEPR_EXP","1993-06-18","2026-05-02","Per=Y","Days=T","Dir=V")</f>
        <v>0</v>
      </c>
      <c r="AK2">
        <f>BDH("FLNA US Equity","CF_CASH_FROM_OPER","1993-06-18","2026-05-02","Per=Y","Days=T","Dir=V")</f>
        <v>0</v>
      </c>
      <c r="AM2">
        <f>BDH("FLNA US Equity","CAPITAL_EXPEND","1993-06-18","2026-05-02","Per=Y","Days=T","Dir=V")</f>
        <v>0</v>
      </c>
      <c r="AO2">
        <f>BDH("FLNA US Equity","CF_FREE_CASH_FLOW","1993-06-18","2026-05-02","Per=Y","Days=T","Dir=V")</f>
        <v>0</v>
      </c>
      <c r="AQ2">
        <f>BDH("FLNA US Equity","PX_LAST","1993-06-18","2026-05-02","Per=M","Days=T","Dir=V")</f>
        <v>0</v>
      </c>
      <c r="AS2">
        <f>BDH("FLNA US Equity","CUR_MKT_CAP","1993-06-18","2026-05-02","Per=M","Days=T","Dir=V")</f>
        <v>0</v>
      </c>
      <c r="AU2">
        <f>BDH("FLNA US Equity","EQY_SH_OUT","1993-06-18","2026-05-02","Per=M","Days=T","Dir=V")</f>
        <v>0</v>
      </c>
      <c r="AW2">
        <f>BDH("FLNA US Equity","PX_VOLUME","1993-06-18","2026-05-02","Per=M","Days=T","Dir=V")</f>
        <v>0</v>
      </c>
      <c r="AY2">
        <f>BDH("FLNA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BDH("FLNT US Equity","BS_TOT_ASSET","1993-06-18","2026-05-02","Per=Y","Days=T","Dir=V")</f>
        <v>0</v>
      </c>
      <c r="C2">
        <f>BDH("FLNT US Equity","BS_TOT_LIAB2","1993-06-18","2026-05-02","Per=Y","Days=T","Dir=V")</f>
        <v>0</v>
      </c>
      <c r="E2">
        <f>BDH("FLNT US Equity","SHORT_AND_LONG_TERM_DEBT","1993-06-18","2026-05-02","Per=Y","Days=T","Dir=V")</f>
        <v>0</v>
      </c>
      <c r="G2">
        <f>BDH("FLNT US Equity","BS_ST_BORROW","1993-06-18","2026-05-02","Per=Y","Days=T","Dir=V")</f>
        <v>0</v>
      </c>
      <c r="I2">
        <f>BDH("FLNT US Equity","BS_LT_BORROW","1993-06-18","2026-05-02","Per=Y","Days=T","Dir=V")</f>
        <v>0</v>
      </c>
      <c r="K2">
        <f>BDH("FLNT US Equity","BS_CASH_NEAR_CASH_ITEM","1993-06-18","2026-05-02","Per=Y","Days=T","Dir=V")</f>
        <v>0</v>
      </c>
      <c r="M2">
        <f>BDH("FLNT US Equity","BS_CUR_ASSET_REPORT","1993-06-18","2026-05-02","Per=Y","Days=T","Dir=V")</f>
        <v>0</v>
      </c>
      <c r="O2">
        <f>BDH("FLNT US Equity","BS_CUR_LIAB","1993-06-18","2026-05-02","Per=Y","Days=T","Dir=V")</f>
        <v>0</v>
      </c>
      <c r="Q2">
        <f>BDH("FLNT US Equity","BS_SHAREHOLDER_EQY_ENDING_PERIOD","1993-06-18","2026-05-02","Per=Y","Days=T","Dir=V")</f>
        <v>0</v>
      </c>
      <c r="S2">
        <f>BDH("FLNT US Equity","BS_ACCT_NOTE_RCV","1993-06-18","2026-05-02","Per=Y","Days=T","Dir=V")</f>
        <v>0</v>
      </c>
      <c r="U2">
        <f>BDH("FLNT US Equity","BS_INVENTORIES","1993-06-18","2026-05-02","Per=Y","Days=T","Dir=V")</f>
        <v>0</v>
      </c>
      <c r="W2">
        <f>BDH("FLNT US Equity","WORKING_CAPITAL","1993-06-18","2026-05-02","Per=Y","Days=T","Dir=V")</f>
        <v>0</v>
      </c>
      <c r="Y2">
        <f>BDH("FLNT US Equity","SALES_REV_TURN","1993-06-18","2026-05-02","Per=Y","Days=T","Dir=V")</f>
        <v>0</v>
      </c>
      <c r="AA2">
        <f>BDH("FLNT US Equity","EBIT","1993-06-18","2026-05-02","Per=Y","Days=T","Dir=V")</f>
        <v>0</v>
      </c>
      <c r="AC2">
        <f>BDH("FLNT US Equity","EBITDA","1993-06-18","2026-05-02","Per=Y","Days=T","Dir=V")</f>
        <v>0</v>
      </c>
      <c r="AE2">
        <f>BDH("FLNT US Equity","NET_INCOME","1993-06-18","2026-05-02","Per=Y","Days=T","Dir=V")</f>
        <v>0</v>
      </c>
      <c r="AG2">
        <f>BDH("FLNT US Equity","IS_INT_EXPENSE","1993-06-18","2026-05-02","Per=Y","Days=T","Dir=V")</f>
        <v>0</v>
      </c>
      <c r="AI2">
        <f>BDH("FLNT US Equity","IS_DEPR_EXP","1993-06-18","2026-05-02","Per=Y","Days=T","Dir=V")</f>
        <v>0</v>
      </c>
      <c r="AK2">
        <f>BDH("FLNT US Equity","CF_CASH_FROM_OPER","1993-06-18","2026-05-02","Per=Y","Days=T","Dir=V")</f>
        <v>0</v>
      </c>
      <c r="AM2">
        <f>BDH("FLNT US Equity","CAPITAL_EXPEND","1993-06-18","2026-05-02","Per=Y","Days=T","Dir=V")</f>
        <v>0</v>
      </c>
      <c r="AO2">
        <f>BDH("FLNT US Equity","CF_FREE_CASH_FLOW","1993-06-18","2026-05-02","Per=Y","Days=T","Dir=V")</f>
        <v>0</v>
      </c>
      <c r="AQ2">
        <f>BDH("FLNT US Equity","PX_LAST","1993-06-18","2026-05-02","Per=M","Days=T","Dir=V")</f>
        <v>0</v>
      </c>
      <c r="AS2">
        <f>BDH("FLNT US Equity","CUR_MKT_CAP","1993-06-18","2026-05-02","Per=M","Days=T","Dir=V")</f>
        <v>0</v>
      </c>
      <c r="AU2">
        <f>BDH("FLNT US Equity","EQY_SH_OUT","1993-06-18","2026-05-02","Per=M","Days=T","Dir=V")</f>
        <v>0</v>
      </c>
      <c r="AW2">
        <f>BDH("FLNT US Equity","PX_VOLUME","1993-06-18","2026-05-02","Per=M","Days=T","Dir=V")</f>
        <v>0</v>
      </c>
      <c r="AY2">
        <f>BDH("FLNT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BDH("FLO US Equity","BS_TOT_ASSET","1993-06-18","2026-05-02","Per=Y","Days=T","Dir=V")</f>
        <v>0</v>
      </c>
      <c r="C2">
        <f>BDH("FLO US Equity","BS_TOT_LIAB2","1993-06-18","2026-05-02","Per=Y","Days=T","Dir=V")</f>
        <v>0</v>
      </c>
      <c r="E2">
        <f>BDH("FLO US Equity","SHORT_AND_LONG_TERM_DEBT","1993-06-18","2026-05-02","Per=Y","Days=T","Dir=V")</f>
        <v>0</v>
      </c>
      <c r="G2">
        <f>BDH("FLO US Equity","BS_ST_BORROW","1993-06-18","2026-05-02","Per=Y","Days=T","Dir=V")</f>
        <v>0</v>
      </c>
      <c r="I2">
        <f>BDH("FLO US Equity","BS_LT_BORROW","1993-06-18","2026-05-02","Per=Y","Days=T","Dir=V")</f>
        <v>0</v>
      </c>
      <c r="K2">
        <f>BDH("FLO US Equity","BS_CASH_NEAR_CASH_ITEM","1993-06-18","2026-05-02","Per=Y","Days=T","Dir=V")</f>
        <v>0</v>
      </c>
      <c r="M2">
        <f>BDH("FLO US Equity","BS_CUR_ASSET_REPORT","1993-06-18","2026-05-02","Per=Y","Days=T","Dir=V")</f>
        <v>0</v>
      </c>
      <c r="O2">
        <f>BDH("FLO US Equity","BS_CUR_LIAB","1993-06-18","2026-05-02","Per=Y","Days=T","Dir=V")</f>
        <v>0</v>
      </c>
      <c r="Q2">
        <f>BDH("FLO US Equity","BS_SHAREHOLDER_EQY_ENDING_PERIOD","1993-06-18","2026-05-02","Per=Y","Days=T","Dir=V")</f>
        <v>0</v>
      </c>
      <c r="S2">
        <f>BDH("FLO US Equity","BS_ACCT_NOTE_RCV","1993-06-18","2026-05-02","Per=Y","Days=T","Dir=V")</f>
        <v>0</v>
      </c>
      <c r="U2">
        <f>BDH("FLO US Equity","BS_INVENTORIES","1993-06-18","2026-05-02","Per=Y","Days=T","Dir=V")</f>
        <v>0</v>
      </c>
      <c r="W2">
        <f>BDH("FLO US Equity","WORKING_CAPITAL","1993-06-18","2026-05-02","Per=Y","Days=T","Dir=V")</f>
        <v>0</v>
      </c>
      <c r="Y2">
        <f>BDH("FLO US Equity","SALES_REV_TURN","1993-06-18","2026-05-02","Per=Y","Days=T","Dir=V")</f>
        <v>0</v>
      </c>
      <c r="AA2">
        <f>BDH("FLO US Equity","EBIT","1993-06-18","2026-05-02","Per=Y","Days=T","Dir=V")</f>
        <v>0</v>
      </c>
      <c r="AC2">
        <f>BDH("FLO US Equity","EBITDA","1993-06-18","2026-05-02","Per=Y","Days=T","Dir=V")</f>
        <v>0</v>
      </c>
      <c r="AE2">
        <f>BDH("FLO US Equity","NET_INCOME","1993-06-18","2026-05-02","Per=Y","Days=T","Dir=V")</f>
        <v>0</v>
      </c>
      <c r="AG2">
        <f>BDH("FLO US Equity","IS_INT_EXPENSE","1993-06-18","2026-05-02","Per=Y","Days=T","Dir=V")</f>
        <v>0</v>
      </c>
      <c r="AI2">
        <f>BDH("FLO US Equity","IS_DEPR_EXP","1993-06-18","2026-05-02","Per=Y","Days=T","Dir=V")</f>
        <v>0</v>
      </c>
      <c r="AK2">
        <f>BDH("FLO US Equity","CF_CASH_FROM_OPER","1993-06-18","2026-05-02","Per=Y","Days=T","Dir=V")</f>
        <v>0</v>
      </c>
      <c r="AM2">
        <f>BDH("FLO US Equity","CAPITAL_EXPEND","1993-06-18","2026-05-02","Per=Y","Days=T","Dir=V")</f>
        <v>0</v>
      </c>
      <c r="AO2">
        <f>BDH("FLO US Equity","CF_FREE_CASH_FLOW","1993-06-18","2026-05-02","Per=Y","Days=T","Dir=V")</f>
        <v>0</v>
      </c>
      <c r="AQ2">
        <f>BDH("FLO US Equity","PX_LAST","1993-06-18","2026-05-02","Per=M","Days=T","Dir=V")</f>
        <v>0</v>
      </c>
      <c r="AS2">
        <f>BDH("FLO US Equity","CUR_MKT_CAP","1993-06-18","2026-05-02","Per=M","Days=T","Dir=V")</f>
        <v>0</v>
      </c>
      <c r="AU2">
        <f>BDH("FLO US Equity","EQY_SH_OUT","1993-06-18","2026-05-02","Per=M","Days=T","Dir=V")</f>
        <v>0</v>
      </c>
      <c r="AW2">
        <f>BDH("FLO US Equity","PX_VOLUME","1993-06-18","2026-05-02","Per=M","Days=T","Dir=V")</f>
        <v>0</v>
      </c>
      <c r="AY2">
        <f>BDH("FLO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BDH("FLOC US Equity","BS_TOT_ASSET","1993-06-18","2026-05-02","Per=Y","Days=T","Dir=V")</f>
        <v>0</v>
      </c>
      <c r="C2">
        <f>BDH("FLOC US Equity","BS_TOT_LIAB2","1993-06-18","2026-05-02","Per=Y","Days=T","Dir=V")</f>
        <v>0</v>
      </c>
      <c r="E2">
        <f>BDH("FLOC US Equity","SHORT_AND_LONG_TERM_DEBT","1993-06-18","2026-05-02","Per=Y","Days=T","Dir=V")</f>
        <v>0</v>
      </c>
      <c r="G2">
        <f>BDH("FLOC US Equity","BS_ST_BORROW","1993-06-18","2026-05-02","Per=Y","Days=T","Dir=V")</f>
        <v>0</v>
      </c>
      <c r="I2">
        <f>BDH("FLOC US Equity","BS_LT_BORROW","1993-06-18","2026-05-02","Per=Y","Days=T","Dir=V")</f>
        <v>0</v>
      </c>
      <c r="K2">
        <f>BDH("FLOC US Equity","BS_CASH_NEAR_CASH_ITEM","1993-06-18","2026-05-02","Per=Y","Days=T","Dir=V")</f>
        <v>0</v>
      </c>
      <c r="M2">
        <f>BDH("FLOC US Equity","BS_CUR_ASSET_REPORT","1993-06-18","2026-05-02","Per=Y","Days=T","Dir=V")</f>
        <v>0</v>
      </c>
      <c r="O2">
        <f>BDH("FLOC US Equity","BS_CUR_LIAB","1993-06-18","2026-05-02","Per=Y","Days=T","Dir=V")</f>
        <v>0</v>
      </c>
      <c r="Q2">
        <f>BDH("FLOC US Equity","BS_SHAREHOLDER_EQY_ENDING_PERIOD","1993-06-18","2026-05-02","Per=Y","Days=T","Dir=V")</f>
        <v>0</v>
      </c>
      <c r="S2">
        <f>BDH("FLOC US Equity","BS_ACCT_NOTE_RCV","1993-06-18","2026-05-02","Per=Y","Days=T","Dir=V")</f>
        <v>0</v>
      </c>
      <c r="U2">
        <f>BDH("FLOC US Equity","BS_INVENTORIES","1993-06-18","2026-05-02","Per=Y","Days=T","Dir=V")</f>
        <v>0</v>
      </c>
      <c r="W2">
        <f>BDH("FLOC US Equity","WORKING_CAPITAL","1993-06-18","2026-05-02","Per=Y","Days=T","Dir=V")</f>
        <v>0</v>
      </c>
      <c r="Y2">
        <f>BDH("FLOC US Equity","SALES_REV_TURN","1993-06-18","2026-05-02","Per=Y","Days=T","Dir=V")</f>
        <v>0</v>
      </c>
      <c r="AA2">
        <f>BDH("FLOC US Equity","EBIT","1993-06-18","2026-05-02","Per=Y","Days=T","Dir=V")</f>
        <v>0</v>
      </c>
      <c r="AC2">
        <f>BDH("FLOC US Equity","EBITDA","1993-06-18","2026-05-02","Per=Y","Days=T","Dir=V")</f>
        <v>0</v>
      </c>
      <c r="AE2">
        <f>BDH("FLOC US Equity","NET_INCOME","1993-06-18","2026-05-02","Per=Y","Days=T","Dir=V")</f>
        <v>0</v>
      </c>
      <c r="AG2">
        <f>BDH("FLOC US Equity","IS_INT_EXPENSE","1993-06-18","2026-05-02","Per=Y","Days=T","Dir=V")</f>
        <v>0</v>
      </c>
      <c r="AI2">
        <f>BDH("FLOC US Equity","IS_DEPR_EXP","1993-06-18","2026-05-02","Per=Y","Days=T","Dir=V")</f>
        <v>0</v>
      </c>
      <c r="AK2">
        <f>BDH("FLOC US Equity","CF_CASH_FROM_OPER","1993-06-18","2026-05-02","Per=Y","Days=T","Dir=V")</f>
        <v>0</v>
      </c>
      <c r="AM2">
        <f>BDH("FLOC US Equity","CAPITAL_EXPEND","1993-06-18","2026-05-02","Per=Y","Days=T","Dir=V")</f>
        <v>0</v>
      </c>
      <c r="AO2">
        <f>BDH("FLOC US Equity","CF_FREE_CASH_FLOW","1993-06-18","2026-05-02","Per=Y","Days=T","Dir=V")</f>
        <v>0</v>
      </c>
      <c r="AQ2">
        <f>BDH("FLOC US Equity","PX_LAST","1993-06-18","2026-05-02","Per=M","Days=T","Dir=V")</f>
        <v>0</v>
      </c>
      <c r="AS2">
        <f>BDH("FLOC US Equity","CUR_MKT_CAP","1993-06-18","2026-05-02","Per=M","Days=T","Dir=V")</f>
        <v>0</v>
      </c>
      <c r="AU2">
        <f>BDH("FLOC US Equity","EQY_SH_OUT","1993-06-18","2026-05-02","Per=M","Days=T","Dir=V")</f>
        <v>0</v>
      </c>
      <c r="AW2">
        <f>BDH("FLOC US Equity","PX_VOLUME","1993-06-18","2026-05-02","Per=M","Days=T","Dir=V")</f>
        <v>0</v>
      </c>
      <c r="AY2">
        <f>BDH("FLOC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BDH("FLR US Equity","BS_TOT_ASSET","1993-06-18","2026-05-02","Per=Y","Days=T","Dir=V")</f>
        <v>0</v>
      </c>
      <c r="C2">
        <f>BDH("FLR US Equity","BS_TOT_LIAB2","1993-06-18","2026-05-02","Per=Y","Days=T","Dir=V")</f>
        <v>0</v>
      </c>
      <c r="E2">
        <f>BDH("FLR US Equity","SHORT_AND_LONG_TERM_DEBT","1993-06-18","2026-05-02","Per=Y","Days=T","Dir=V")</f>
        <v>0</v>
      </c>
      <c r="G2">
        <f>BDH("FLR US Equity","BS_ST_BORROW","1993-06-18","2026-05-02","Per=Y","Days=T","Dir=V")</f>
        <v>0</v>
      </c>
      <c r="I2">
        <f>BDH("FLR US Equity","BS_LT_BORROW","1993-06-18","2026-05-02","Per=Y","Days=T","Dir=V")</f>
        <v>0</v>
      </c>
      <c r="K2">
        <f>BDH("FLR US Equity","BS_CASH_NEAR_CASH_ITEM","1993-06-18","2026-05-02","Per=Y","Days=T","Dir=V")</f>
        <v>0</v>
      </c>
      <c r="M2">
        <f>BDH("FLR US Equity","BS_CUR_ASSET_REPORT","1993-06-18","2026-05-02","Per=Y","Days=T","Dir=V")</f>
        <v>0</v>
      </c>
      <c r="O2">
        <f>BDH("FLR US Equity","BS_CUR_LIAB","1993-06-18","2026-05-02","Per=Y","Days=T","Dir=V")</f>
        <v>0</v>
      </c>
      <c r="Q2">
        <f>BDH("FLR US Equity","BS_SHAREHOLDER_EQY_ENDING_PERIOD","1993-06-18","2026-05-02","Per=Y","Days=T","Dir=V")</f>
        <v>0</v>
      </c>
      <c r="S2">
        <f>BDH("FLR US Equity","BS_ACCT_NOTE_RCV","1993-06-18","2026-05-02","Per=Y","Days=T","Dir=V")</f>
        <v>0</v>
      </c>
      <c r="U2">
        <f>BDH("FLR US Equity","BS_INVENTORIES","1993-06-18","2026-05-02","Per=Y","Days=T","Dir=V")</f>
        <v>0</v>
      </c>
      <c r="W2">
        <f>BDH("FLR US Equity","WORKING_CAPITAL","1993-06-18","2026-05-02","Per=Y","Days=T","Dir=V")</f>
        <v>0</v>
      </c>
      <c r="Y2">
        <f>BDH("FLR US Equity","SALES_REV_TURN","1993-06-18","2026-05-02","Per=Y","Days=T","Dir=V")</f>
        <v>0</v>
      </c>
      <c r="AA2">
        <f>BDH("FLR US Equity","EBIT","1993-06-18","2026-05-02","Per=Y","Days=T","Dir=V")</f>
        <v>0</v>
      </c>
      <c r="AC2">
        <f>BDH("FLR US Equity","EBITDA","1993-06-18","2026-05-02","Per=Y","Days=T","Dir=V")</f>
        <v>0</v>
      </c>
      <c r="AE2">
        <f>BDH("FLR US Equity","NET_INCOME","1993-06-18","2026-05-02","Per=Y","Days=T","Dir=V")</f>
        <v>0</v>
      </c>
      <c r="AG2">
        <f>BDH("FLR US Equity","IS_INT_EXPENSE","1993-06-18","2026-05-02","Per=Y","Days=T","Dir=V")</f>
        <v>0</v>
      </c>
      <c r="AI2">
        <f>BDH("FLR US Equity","IS_DEPR_EXP","1993-06-18","2026-05-02","Per=Y","Days=T","Dir=V")</f>
        <v>0</v>
      </c>
      <c r="AK2">
        <f>BDH("FLR US Equity","CF_CASH_FROM_OPER","1993-06-18","2026-05-02","Per=Y","Days=T","Dir=V")</f>
        <v>0</v>
      </c>
      <c r="AM2">
        <f>BDH("FLR US Equity","CAPITAL_EXPEND","1993-06-18","2026-05-02","Per=Y","Days=T","Dir=V")</f>
        <v>0</v>
      </c>
      <c r="AO2">
        <f>BDH("FLR US Equity","CF_FREE_CASH_FLOW","1993-06-18","2026-05-02","Per=Y","Days=T","Dir=V")</f>
        <v>0</v>
      </c>
      <c r="AQ2">
        <f>BDH("FLR US Equity","PX_LAST","1993-06-18","2026-05-02","Per=M","Days=T","Dir=V")</f>
        <v>0</v>
      </c>
      <c r="AS2">
        <f>BDH("FLR US Equity","CUR_MKT_CAP","1993-06-18","2026-05-02","Per=M","Days=T","Dir=V")</f>
        <v>0</v>
      </c>
      <c r="AU2">
        <f>BDH("FLR US Equity","EQY_SH_OUT","1993-06-18","2026-05-02","Per=M","Days=T","Dir=V")</f>
        <v>0</v>
      </c>
      <c r="AW2">
        <f>BDH("FLR US Equity","PX_VOLUME","1993-06-18","2026-05-02","Per=M","Days=T","Dir=V")</f>
        <v>0</v>
      </c>
      <c r="AY2">
        <f>BDH("FLR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BDH("FLS US Equity","BS_TOT_ASSET","1993-06-18","2026-05-02","Per=Y","Days=T","Dir=V")</f>
        <v>0</v>
      </c>
      <c r="C2">
        <f>BDH("FLS US Equity","BS_TOT_LIAB2","1993-06-18","2026-05-02","Per=Y","Days=T","Dir=V")</f>
        <v>0</v>
      </c>
      <c r="E2">
        <f>BDH("FLS US Equity","SHORT_AND_LONG_TERM_DEBT","1993-06-18","2026-05-02","Per=Y","Days=T","Dir=V")</f>
        <v>0</v>
      </c>
      <c r="G2">
        <f>BDH("FLS US Equity","BS_ST_BORROW","1993-06-18","2026-05-02","Per=Y","Days=T","Dir=V")</f>
        <v>0</v>
      </c>
      <c r="I2">
        <f>BDH("FLS US Equity","BS_LT_BORROW","1993-06-18","2026-05-02","Per=Y","Days=T","Dir=V")</f>
        <v>0</v>
      </c>
      <c r="K2">
        <f>BDH("FLS US Equity","BS_CASH_NEAR_CASH_ITEM","1993-06-18","2026-05-02","Per=Y","Days=T","Dir=V")</f>
        <v>0</v>
      </c>
      <c r="M2">
        <f>BDH("FLS US Equity","BS_CUR_ASSET_REPORT","1993-06-18","2026-05-02","Per=Y","Days=T","Dir=V")</f>
        <v>0</v>
      </c>
      <c r="O2">
        <f>BDH("FLS US Equity","BS_CUR_LIAB","1993-06-18","2026-05-02","Per=Y","Days=T","Dir=V")</f>
        <v>0</v>
      </c>
      <c r="Q2">
        <f>BDH("FLS US Equity","BS_SHAREHOLDER_EQY_ENDING_PERIOD","1993-06-18","2026-05-02","Per=Y","Days=T","Dir=V")</f>
        <v>0</v>
      </c>
      <c r="S2">
        <f>BDH("FLS US Equity","BS_ACCT_NOTE_RCV","1993-06-18","2026-05-02","Per=Y","Days=T","Dir=V")</f>
        <v>0</v>
      </c>
      <c r="U2">
        <f>BDH("FLS US Equity","BS_INVENTORIES","1993-06-18","2026-05-02","Per=Y","Days=T","Dir=V")</f>
        <v>0</v>
      </c>
      <c r="W2">
        <f>BDH("FLS US Equity","WORKING_CAPITAL","1993-06-18","2026-05-02","Per=Y","Days=T","Dir=V")</f>
        <v>0</v>
      </c>
      <c r="Y2">
        <f>BDH("FLS US Equity","SALES_REV_TURN","1993-06-18","2026-05-02","Per=Y","Days=T","Dir=V")</f>
        <v>0</v>
      </c>
      <c r="AA2">
        <f>BDH("FLS US Equity","EBIT","1993-06-18","2026-05-02","Per=Y","Days=T","Dir=V")</f>
        <v>0</v>
      </c>
      <c r="AC2">
        <f>BDH("FLS US Equity","EBITDA","1993-06-18","2026-05-02","Per=Y","Days=T","Dir=V")</f>
        <v>0</v>
      </c>
      <c r="AE2">
        <f>BDH("FLS US Equity","NET_INCOME","1993-06-18","2026-05-02","Per=Y","Days=T","Dir=V")</f>
        <v>0</v>
      </c>
      <c r="AG2">
        <f>BDH("FLS US Equity","IS_INT_EXPENSE","1993-06-18","2026-05-02","Per=Y","Days=T","Dir=V")</f>
        <v>0</v>
      </c>
      <c r="AI2">
        <f>BDH("FLS US Equity","IS_DEPR_EXP","1993-06-18","2026-05-02","Per=Y","Days=T","Dir=V")</f>
        <v>0</v>
      </c>
      <c r="AK2">
        <f>BDH("FLS US Equity","CF_CASH_FROM_OPER","1993-06-18","2026-05-02","Per=Y","Days=T","Dir=V")</f>
        <v>0</v>
      </c>
      <c r="AM2">
        <f>BDH("FLS US Equity","CAPITAL_EXPEND","1993-06-18","2026-05-02","Per=Y","Days=T","Dir=V")</f>
        <v>0</v>
      </c>
      <c r="AO2">
        <f>BDH("FLS US Equity","CF_FREE_CASH_FLOW","1993-06-18","2026-05-02","Per=Y","Days=T","Dir=V")</f>
        <v>0</v>
      </c>
      <c r="AQ2">
        <f>BDH("FLS US Equity","PX_LAST","1993-06-18","2026-05-02","Per=M","Days=T","Dir=V")</f>
        <v>0</v>
      </c>
      <c r="AS2">
        <f>BDH("FLS US Equity","CUR_MKT_CAP","1993-06-18","2026-05-02","Per=M","Days=T","Dir=V")</f>
        <v>0</v>
      </c>
      <c r="AU2">
        <f>BDH("FLS US Equity","EQY_SH_OUT","1993-06-18","2026-05-02","Per=M","Days=T","Dir=V")</f>
        <v>0</v>
      </c>
      <c r="AW2">
        <f>BDH("FLS US Equity","PX_VOLUME","1993-06-18","2026-05-02","Per=M","Days=T","Dir=V")</f>
        <v>0</v>
      </c>
      <c r="AY2">
        <f>BDH("FLS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BDH("FLWS US Equity","BS_TOT_ASSET","1993-06-18","2026-05-02","Per=Y","Days=T","Dir=V")</f>
        <v>0</v>
      </c>
      <c r="C2">
        <f>BDH("FLWS US Equity","BS_TOT_LIAB2","1993-06-18","2026-05-02","Per=Y","Days=T","Dir=V")</f>
        <v>0</v>
      </c>
      <c r="E2">
        <f>BDH("FLWS US Equity","SHORT_AND_LONG_TERM_DEBT","1993-06-18","2026-05-02","Per=Y","Days=T","Dir=V")</f>
        <v>0</v>
      </c>
      <c r="G2">
        <f>BDH("FLWS US Equity","BS_ST_BORROW","1993-06-18","2026-05-02","Per=Y","Days=T","Dir=V")</f>
        <v>0</v>
      </c>
      <c r="I2">
        <f>BDH("FLWS US Equity","BS_LT_BORROW","1993-06-18","2026-05-02","Per=Y","Days=T","Dir=V")</f>
        <v>0</v>
      </c>
      <c r="K2">
        <f>BDH("FLWS US Equity","BS_CASH_NEAR_CASH_ITEM","1993-06-18","2026-05-02","Per=Y","Days=T","Dir=V")</f>
        <v>0</v>
      </c>
      <c r="M2">
        <f>BDH("FLWS US Equity","BS_CUR_ASSET_REPORT","1993-06-18","2026-05-02","Per=Y","Days=T","Dir=V")</f>
        <v>0</v>
      </c>
      <c r="O2">
        <f>BDH("FLWS US Equity","BS_CUR_LIAB","1993-06-18","2026-05-02","Per=Y","Days=T","Dir=V")</f>
        <v>0</v>
      </c>
      <c r="Q2">
        <f>BDH("FLWS US Equity","BS_SHAREHOLDER_EQY_ENDING_PERIOD","1993-06-18","2026-05-02","Per=Y","Days=T","Dir=V")</f>
        <v>0</v>
      </c>
      <c r="S2">
        <f>BDH("FLWS US Equity","BS_ACCT_NOTE_RCV","1993-06-18","2026-05-02","Per=Y","Days=T","Dir=V")</f>
        <v>0</v>
      </c>
      <c r="U2">
        <f>BDH("FLWS US Equity","BS_INVENTORIES","1993-06-18","2026-05-02","Per=Y","Days=T","Dir=V")</f>
        <v>0</v>
      </c>
      <c r="W2">
        <f>BDH("FLWS US Equity","WORKING_CAPITAL","1993-06-18","2026-05-02","Per=Y","Days=T","Dir=V")</f>
        <v>0</v>
      </c>
      <c r="Y2">
        <f>BDH("FLWS US Equity","SALES_REV_TURN","1993-06-18","2026-05-02","Per=Y","Days=T","Dir=V")</f>
        <v>0</v>
      </c>
      <c r="AA2">
        <f>BDH("FLWS US Equity","EBIT","1993-06-18","2026-05-02","Per=Y","Days=T","Dir=V")</f>
        <v>0</v>
      </c>
      <c r="AC2">
        <f>BDH("FLWS US Equity","EBITDA","1993-06-18","2026-05-02","Per=Y","Days=T","Dir=V")</f>
        <v>0</v>
      </c>
      <c r="AE2">
        <f>BDH("FLWS US Equity","NET_INCOME","1993-06-18","2026-05-02","Per=Y","Days=T","Dir=V")</f>
        <v>0</v>
      </c>
      <c r="AG2">
        <f>BDH("FLWS US Equity","IS_INT_EXPENSE","1993-06-18","2026-05-02","Per=Y","Days=T","Dir=V")</f>
        <v>0</v>
      </c>
      <c r="AI2">
        <f>BDH("FLWS US Equity","IS_DEPR_EXP","1993-06-18","2026-05-02","Per=Y","Days=T","Dir=V")</f>
        <v>0</v>
      </c>
      <c r="AK2">
        <f>BDH("FLWS US Equity","CF_CASH_FROM_OPER","1993-06-18","2026-05-02","Per=Y","Days=T","Dir=V")</f>
        <v>0</v>
      </c>
      <c r="AM2">
        <f>BDH("FLWS US Equity","CAPITAL_EXPEND","1993-06-18","2026-05-02","Per=Y","Days=T","Dir=V")</f>
        <v>0</v>
      </c>
      <c r="AO2">
        <f>BDH("FLWS US Equity","CF_FREE_CASH_FLOW","1993-06-18","2026-05-02","Per=Y","Days=T","Dir=V")</f>
        <v>0</v>
      </c>
      <c r="AQ2">
        <f>BDH("FLWS US Equity","PX_LAST","1993-06-18","2026-05-02","Per=M","Days=T","Dir=V")</f>
        <v>0</v>
      </c>
      <c r="AS2">
        <f>BDH("FLWS US Equity","CUR_MKT_CAP","1993-06-18","2026-05-02","Per=M","Days=T","Dir=V")</f>
        <v>0</v>
      </c>
      <c r="AU2">
        <f>BDH("FLWS US Equity","EQY_SH_OUT","1993-06-18","2026-05-02","Per=M","Days=T","Dir=V")</f>
        <v>0</v>
      </c>
      <c r="AW2">
        <f>BDH("FLWS US Equity","PX_VOLUME","1993-06-18","2026-05-02","Per=M","Days=T","Dir=V")</f>
        <v>0</v>
      </c>
      <c r="AY2">
        <f>BDH("FLWS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BDH("FLXS US Equity","BS_TOT_ASSET","1993-06-18","2026-05-02","Per=Y","Days=T","Dir=V")</f>
        <v>0</v>
      </c>
      <c r="C2">
        <f>BDH("FLXS US Equity","BS_TOT_LIAB2","1993-06-18","2026-05-02","Per=Y","Days=T","Dir=V")</f>
        <v>0</v>
      </c>
      <c r="E2">
        <f>BDH("FLXS US Equity","SHORT_AND_LONG_TERM_DEBT","1993-06-18","2026-05-02","Per=Y","Days=T","Dir=V")</f>
        <v>0</v>
      </c>
      <c r="G2">
        <f>BDH("FLXS US Equity","BS_ST_BORROW","1993-06-18","2026-05-02","Per=Y","Days=T","Dir=V")</f>
        <v>0</v>
      </c>
      <c r="I2">
        <f>BDH("FLXS US Equity","BS_LT_BORROW","1993-06-18","2026-05-02","Per=Y","Days=T","Dir=V")</f>
        <v>0</v>
      </c>
      <c r="K2">
        <f>BDH("FLXS US Equity","BS_CASH_NEAR_CASH_ITEM","1993-06-18","2026-05-02","Per=Y","Days=T","Dir=V")</f>
        <v>0</v>
      </c>
      <c r="M2">
        <f>BDH("FLXS US Equity","BS_CUR_ASSET_REPORT","1993-06-18","2026-05-02","Per=Y","Days=T","Dir=V")</f>
        <v>0</v>
      </c>
      <c r="O2">
        <f>BDH("FLXS US Equity","BS_CUR_LIAB","1993-06-18","2026-05-02","Per=Y","Days=T","Dir=V")</f>
        <v>0</v>
      </c>
      <c r="Q2">
        <f>BDH("FLXS US Equity","BS_SHAREHOLDER_EQY_ENDING_PERIOD","1993-06-18","2026-05-02","Per=Y","Days=T","Dir=V")</f>
        <v>0</v>
      </c>
      <c r="S2">
        <f>BDH("FLXS US Equity","BS_ACCT_NOTE_RCV","1993-06-18","2026-05-02","Per=Y","Days=T","Dir=V")</f>
        <v>0</v>
      </c>
      <c r="U2">
        <f>BDH("FLXS US Equity","BS_INVENTORIES","1993-06-18","2026-05-02","Per=Y","Days=T","Dir=V")</f>
        <v>0</v>
      </c>
      <c r="W2">
        <f>BDH("FLXS US Equity","WORKING_CAPITAL","1993-06-18","2026-05-02","Per=Y","Days=T","Dir=V")</f>
        <v>0</v>
      </c>
      <c r="Y2">
        <f>BDH("FLXS US Equity","SALES_REV_TURN","1993-06-18","2026-05-02","Per=Y","Days=T","Dir=V")</f>
        <v>0</v>
      </c>
      <c r="AA2">
        <f>BDH("FLXS US Equity","EBIT","1993-06-18","2026-05-02","Per=Y","Days=T","Dir=V")</f>
        <v>0</v>
      </c>
      <c r="AC2">
        <f>BDH("FLXS US Equity","EBITDA","1993-06-18","2026-05-02","Per=Y","Days=T","Dir=V")</f>
        <v>0</v>
      </c>
      <c r="AE2">
        <f>BDH("FLXS US Equity","NET_INCOME","1993-06-18","2026-05-02","Per=Y","Days=T","Dir=V")</f>
        <v>0</v>
      </c>
      <c r="AG2">
        <f>BDH("FLXS US Equity","IS_INT_EXPENSE","1993-06-18","2026-05-02","Per=Y","Days=T","Dir=V")</f>
        <v>0</v>
      </c>
      <c r="AI2">
        <f>BDH("FLXS US Equity","IS_DEPR_EXP","1993-06-18","2026-05-02","Per=Y","Days=T","Dir=V")</f>
        <v>0</v>
      </c>
      <c r="AK2">
        <f>BDH("FLXS US Equity","CF_CASH_FROM_OPER","1993-06-18","2026-05-02","Per=Y","Days=T","Dir=V")</f>
        <v>0</v>
      </c>
      <c r="AM2">
        <f>BDH("FLXS US Equity","CAPITAL_EXPEND","1993-06-18","2026-05-02","Per=Y","Days=T","Dir=V")</f>
        <v>0</v>
      </c>
      <c r="AO2">
        <f>BDH("FLXS US Equity","CF_FREE_CASH_FLOW","1993-06-18","2026-05-02","Per=Y","Days=T","Dir=V")</f>
        <v>0</v>
      </c>
      <c r="AQ2">
        <f>BDH("FLXS US Equity","PX_LAST","1993-06-18","2026-05-02","Per=M","Days=T","Dir=V")</f>
        <v>0</v>
      </c>
      <c r="AS2">
        <f>BDH("FLXS US Equity","CUR_MKT_CAP","1993-06-18","2026-05-02","Per=M","Days=T","Dir=V")</f>
        <v>0</v>
      </c>
      <c r="AU2">
        <f>BDH("FLXS US Equity","EQY_SH_OUT","1993-06-18","2026-05-02","Per=M","Days=T","Dir=V")</f>
        <v>0</v>
      </c>
      <c r="AW2">
        <f>BDH("FLXS US Equity","PX_VOLUME","1993-06-18","2026-05-02","Per=M","Days=T","Dir=V")</f>
        <v>0</v>
      </c>
      <c r="AY2">
        <f>BDH("FLXS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BDH("FLY US Equity","BS_TOT_ASSET","1993-06-18","2026-05-02","Per=Y","Days=T","Dir=V")</f>
        <v>0</v>
      </c>
      <c r="C2">
        <f>BDH("FLY US Equity","BS_TOT_LIAB2","1993-06-18","2026-05-02","Per=Y","Days=T","Dir=V")</f>
        <v>0</v>
      </c>
      <c r="E2">
        <f>BDH("FLY US Equity","SHORT_AND_LONG_TERM_DEBT","1993-06-18","2026-05-02","Per=Y","Days=T","Dir=V")</f>
        <v>0</v>
      </c>
      <c r="G2">
        <f>BDH("FLY US Equity","BS_ST_BORROW","1993-06-18","2026-05-02","Per=Y","Days=T","Dir=V")</f>
        <v>0</v>
      </c>
      <c r="I2">
        <f>BDH("FLY US Equity","BS_LT_BORROW","1993-06-18","2026-05-02","Per=Y","Days=T","Dir=V")</f>
        <v>0</v>
      </c>
      <c r="K2">
        <f>BDH("FLY US Equity","BS_CASH_NEAR_CASH_ITEM","1993-06-18","2026-05-02","Per=Y","Days=T","Dir=V")</f>
        <v>0</v>
      </c>
      <c r="M2">
        <f>BDH("FLY US Equity","BS_CUR_ASSET_REPORT","1993-06-18","2026-05-02","Per=Y","Days=T","Dir=V")</f>
        <v>0</v>
      </c>
      <c r="O2">
        <f>BDH("FLY US Equity","BS_CUR_LIAB","1993-06-18","2026-05-02","Per=Y","Days=T","Dir=V")</f>
        <v>0</v>
      </c>
      <c r="Q2">
        <f>BDH("FLY US Equity","BS_SHAREHOLDER_EQY_ENDING_PERIOD","1993-06-18","2026-05-02","Per=Y","Days=T","Dir=V")</f>
        <v>0</v>
      </c>
      <c r="S2">
        <f>BDH("FLY US Equity","BS_ACCT_NOTE_RCV","1993-06-18","2026-05-02","Per=Y","Days=T","Dir=V")</f>
        <v>0</v>
      </c>
      <c r="U2">
        <f>BDH("FLY US Equity","BS_INVENTORIES","1993-06-18","2026-05-02","Per=Y","Days=T","Dir=V")</f>
        <v>0</v>
      </c>
      <c r="W2">
        <f>BDH("FLY US Equity","WORKING_CAPITAL","1993-06-18","2026-05-02","Per=Y","Days=T","Dir=V")</f>
        <v>0</v>
      </c>
      <c r="Y2">
        <f>BDH("FLY US Equity","SALES_REV_TURN","1993-06-18","2026-05-02","Per=Y","Days=T","Dir=V")</f>
        <v>0</v>
      </c>
      <c r="AA2">
        <f>BDH("FLY US Equity","EBIT","1993-06-18","2026-05-02","Per=Y","Days=T","Dir=V")</f>
        <v>0</v>
      </c>
      <c r="AC2">
        <f>BDH("FLY US Equity","EBITDA","1993-06-18","2026-05-02","Per=Y","Days=T","Dir=V")</f>
        <v>0</v>
      </c>
      <c r="AE2">
        <f>BDH("FLY US Equity","NET_INCOME","1993-06-18","2026-05-02","Per=Y","Days=T","Dir=V")</f>
        <v>0</v>
      </c>
      <c r="AG2">
        <f>BDH("FLY US Equity","IS_INT_EXPENSE","1993-06-18","2026-05-02","Per=Y","Days=T","Dir=V")</f>
        <v>0</v>
      </c>
      <c r="AI2">
        <f>BDH("FLY US Equity","IS_DEPR_EXP","1993-06-18","2026-05-02","Per=Y","Days=T","Dir=V")</f>
        <v>0</v>
      </c>
      <c r="AK2">
        <f>BDH("FLY US Equity","CF_CASH_FROM_OPER","1993-06-18","2026-05-02","Per=Y","Days=T","Dir=V")</f>
        <v>0</v>
      </c>
      <c r="AM2">
        <f>BDH("FLY US Equity","CAPITAL_EXPEND","1993-06-18","2026-05-02","Per=Y","Days=T","Dir=V")</f>
        <v>0</v>
      </c>
      <c r="AO2">
        <f>BDH("FLY US Equity","CF_FREE_CASH_FLOW","1993-06-18","2026-05-02","Per=Y","Days=T","Dir=V")</f>
        <v>0</v>
      </c>
      <c r="AQ2">
        <f>BDH("FLY US Equity","PX_LAST","1993-06-18","2026-05-02","Per=M","Days=T","Dir=V")</f>
        <v>0</v>
      </c>
      <c r="AS2">
        <f>BDH("FLY US Equity","CUR_MKT_CAP","1993-06-18","2026-05-02","Per=M","Days=T","Dir=V")</f>
        <v>0</v>
      </c>
      <c r="AU2">
        <f>BDH("FLY US Equity","EQY_SH_OUT","1993-06-18","2026-05-02","Per=M","Days=T","Dir=V")</f>
        <v>0</v>
      </c>
      <c r="AW2">
        <f>BDH("FLY US Equity","PX_VOLUME","1993-06-18","2026-05-02","Per=M","Days=T","Dir=V")</f>
        <v>0</v>
      </c>
      <c r="AY2">
        <f>BDH("FLY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BDH("FLYE US Equity","BS_TOT_ASSET","1993-06-18","2026-05-02","Per=Y","Days=T","Dir=V")</f>
        <v>0</v>
      </c>
      <c r="C2">
        <f>BDH("FLYE US Equity","BS_TOT_LIAB2","1993-06-18","2026-05-02","Per=Y","Days=T","Dir=V")</f>
        <v>0</v>
      </c>
      <c r="E2">
        <f>BDH("FLYE US Equity","SHORT_AND_LONG_TERM_DEBT","1993-06-18","2026-05-02","Per=Y","Days=T","Dir=V")</f>
        <v>0</v>
      </c>
      <c r="G2">
        <f>BDH("FLYE US Equity","BS_ST_BORROW","1993-06-18","2026-05-02","Per=Y","Days=T","Dir=V")</f>
        <v>0</v>
      </c>
      <c r="I2">
        <f>BDH("FLYE US Equity","BS_LT_BORROW","1993-06-18","2026-05-02","Per=Y","Days=T","Dir=V")</f>
        <v>0</v>
      </c>
      <c r="K2">
        <f>BDH("FLYE US Equity","BS_CASH_NEAR_CASH_ITEM","1993-06-18","2026-05-02","Per=Y","Days=T","Dir=V")</f>
        <v>0</v>
      </c>
      <c r="M2">
        <f>BDH("FLYE US Equity","BS_CUR_ASSET_REPORT","1993-06-18","2026-05-02","Per=Y","Days=T","Dir=V")</f>
        <v>0</v>
      </c>
      <c r="O2">
        <f>BDH("FLYE US Equity","BS_CUR_LIAB","1993-06-18","2026-05-02","Per=Y","Days=T","Dir=V")</f>
        <v>0</v>
      </c>
      <c r="Q2">
        <f>BDH("FLYE US Equity","BS_SHAREHOLDER_EQY_ENDING_PERIOD","1993-06-18","2026-05-02","Per=Y","Days=T","Dir=V")</f>
        <v>0</v>
      </c>
      <c r="S2">
        <f>BDH("FLYE US Equity","BS_ACCT_NOTE_RCV","1993-06-18","2026-05-02","Per=Y","Days=T","Dir=V")</f>
        <v>0</v>
      </c>
      <c r="U2">
        <f>BDH("FLYE US Equity","BS_INVENTORIES","1993-06-18","2026-05-02","Per=Y","Days=T","Dir=V")</f>
        <v>0</v>
      </c>
      <c r="W2">
        <f>BDH("FLYE US Equity","WORKING_CAPITAL","1993-06-18","2026-05-02","Per=Y","Days=T","Dir=V")</f>
        <v>0</v>
      </c>
      <c r="Y2">
        <f>BDH("FLYE US Equity","SALES_REV_TURN","1993-06-18","2026-05-02","Per=Y","Days=T","Dir=V")</f>
        <v>0</v>
      </c>
      <c r="AA2">
        <f>BDH("FLYE US Equity","EBIT","1993-06-18","2026-05-02","Per=Y","Days=T","Dir=V")</f>
        <v>0</v>
      </c>
      <c r="AC2">
        <f>BDH("FLYE US Equity","EBITDA","1993-06-18","2026-05-02","Per=Y","Days=T","Dir=V")</f>
        <v>0</v>
      </c>
      <c r="AE2">
        <f>BDH("FLYE US Equity","NET_INCOME","1993-06-18","2026-05-02","Per=Y","Days=T","Dir=V")</f>
        <v>0</v>
      </c>
      <c r="AG2">
        <f>BDH("FLYE US Equity","IS_INT_EXPENSE","1993-06-18","2026-05-02","Per=Y","Days=T","Dir=V")</f>
        <v>0</v>
      </c>
      <c r="AI2">
        <f>BDH("FLYE US Equity","IS_DEPR_EXP","1993-06-18","2026-05-02","Per=Y","Days=T","Dir=V")</f>
        <v>0</v>
      </c>
      <c r="AK2">
        <f>BDH("FLYE US Equity","CF_CASH_FROM_OPER","1993-06-18","2026-05-02","Per=Y","Days=T","Dir=V")</f>
        <v>0</v>
      </c>
      <c r="AM2">
        <f>BDH("FLYE US Equity","CAPITAL_EXPEND","1993-06-18","2026-05-02","Per=Y","Days=T","Dir=V")</f>
        <v>0</v>
      </c>
      <c r="AO2">
        <f>BDH("FLYE US Equity","CF_FREE_CASH_FLOW","1993-06-18","2026-05-02","Per=Y","Days=T","Dir=V")</f>
        <v>0</v>
      </c>
      <c r="AQ2">
        <f>BDH("FLYE US Equity","PX_LAST","1993-06-18","2026-05-02","Per=M","Days=T","Dir=V")</f>
        <v>0</v>
      </c>
      <c r="AS2">
        <f>BDH("FLYE US Equity","CUR_MKT_CAP","1993-06-18","2026-05-02","Per=M","Days=T","Dir=V")</f>
        <v>0</v>
      </c>
      <c r="AU2">
        <f>BDH("FLYE US Equity","EQY_SH_OUT","1993-06-18","2026-05-02","Per=M","Days=T","Dir=V")</f>
        <v>0</v>
      </c>
      <c r="AW2">
        <f>BDH("FLYE US Equity","PX_VOLUME","1993-06-18","2026-05-02","Per=M","Days=T","Dir=V")</f>
        <v>0</v>
      </c>
      <c r="AY2">
        <f>BDH("FLYE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BDH("FLYW US Equity","BS_TOT_ASSET","1993-06-18","2026-05-02","Per=Y","Days=T","Dir=V")</f>
        <v>0</v>
      </c>
      <c r="C2">
        <f>BDH("FLYW US Equity","BS_TOT_LIAB2","1993-06-18","2026-05-02","Per=Y","Days=T","Dir=V")</f>
        <v>0</v>
      </c>
      <c r="E2">
        <f>BDH("FLYW US Equity","SHORT_AND_LONG_TERM_DEBT","1993-06-18","2026-05-02","Per=Y","Days=T","Dir=V")</f>
        <v>0</v>
      </c>
      <c r="G2">
        <f>BDH("FLYW US Equity","BS_ST_BORROW","1993-06-18","2026-05-02","Per=Y","Days=T","Dir=V")</f>
        <v>0</v>
      </c>
      <c r="I2">
        <f>BDH("FLYW US Equity","BS_LT_BORROW","1993-06-18","2026-05-02","Per=Y","Days=T","Dir=V")</f>
        <v>0</v>
      </c>
      <c r="K2">
        <f>BDH("FLYW US Equity","BS_CASH_NEAR_CASH_ITEM","1993-06-18","2026-05-02","Per=Y","Days=T","Dir=V")</f>
        <v>0</v>
      </c>
      <c r="M2">
        <f>BDH("FLYW US Equity","BS_CUR_ASSET_REPORT","1993-06-18","2026-05-02","Per=Y","Days=T","Dir=V")</f>
        <v>0</v>
      </c>
      <c r="O2">
        <f>BDH("FLYW US Equity","BS_CUR_LIAB","1993-06-18","2026-05-02","Per=Y","Days=T","Dir=V")</f>
        <v>0</v>
      </c>
      <c r="Q2">
        <f>BDH("FLYW US Equity","BS_SHAREHOLDER_EQY_ENDING_PERIOD","1993-06-18","2026-05-02","Per=Y","Days=T","Dir=V")</f>
        <v>0</v>
      </c>
      <c r="S2">
        <f>BDH("FLYW US Equity","BS_ACCT_NOTE_RCV","1993-06-18","2026-05-02","Per=Y","Days=T","Dir=V")</f>
        <v>0</v>
      </c>
      <c r="U2">
        <f>BDH("FLYW US Equity","BS_INVENTORIES","1993-06-18","2026-05-02","Per=Y","Days=T","Dir=V")</f>
        <v>0</v>
      </c>
      <c r="W2">
        <f>BDH("FLYW US Equity","WORKING_CAPITAL","1993-06-18","2026-05-02","Per=Y","Days=T","Dir=V")</f>
        <v>0</v>
      </c>
      <c r="Y2">
        <f>BDH("FLYW US Equity","SALES_REV_TURN","1993-06-18","2026-05-02","Per=Y","Days=T","Dir=V")</f>
        <v>0</v>
      </c>
      <c r="AA2">
        <f>BDH("FLYW US Equity","EBIT","1993-06-18","2026-05-02","Per=Y","Days=T","Dir=V")</f>
        <v>0</v>
      </c>
      <c r="AC2">
        <f>BDH("FLYW US Equity","EBITDA","1993-06-18","2026-05-02","Per=Y","Days=T","Dir=V")</f>
        <v>0</v>
      </c>
      <c r="AE2">
        <f>BDH("FLYW US Equity","NET_INCOME","1993-06-18","2026-05-02","Per=Y","Days=T","Dir=V")</f>
        <v>0</v>
      </c>
      <c r="AG2">
        <f>BDH("FLYW US Equity","IS_INT_EXPENSE","1993-06-18","2026-05-02","Per=Y","Days=T","Dir=V")</f>
        <v>0</v>
      </c>
      <c r="AI2">
        <f>BDH("FLYW US Equity","IS_DEPR_EXP","1993-06-18","2026-05-02","Per=Y","Days=T","Dir=V")</f>
        <v>0</v>
      </c>
      <c r="AK2">
        <f>BDH("FLYW US Equity","CF_CASH_FROM_OPER","1993-06-18","2026-05-02","Per=Y","Days=T","Dir=V")</f>
        <v>0</v>
      </c>
      <c r="AM2">
        <f>BDH("FLYW US Equity","CAPITAL_EXPEND","1993-06-18","2026-05-02","Per=Y","Days=T","Dir=V")</f>
        <v>0</v>
      </c>
      <c r="AO2">
        <f>BDH("FLYW US Equity","CF_FREE_CASH_FLOW","1993-06-18","2026-05-02","Per=Y","Days=T","Dir=V")</f>
        <v>0</v>
      </c>
      <c r="AQ2">
        <f>BDH("FLYW US Equity","PX_LAST","1993-06-18","2026-05-02","Per=M","Days=T","Dir=V")</f>
        <v>0</v>
      </c>
      <c r="AS2">
        <f>BDH("FLYW US Equity","CUR_MKT_CAP","1993-06-18","2026-05-02","Per=M","Days=T","Dir=V")</f>
        <v>0</v>
      </c>
      <c r="AU2">
        <f>BDH("FLYW US Equity","EQY_SH_OUT","1993-06-18","2026-05-02","Per=M","Days=T","Dir=V")</f>
        <v>0</v>
      </c>
      <c r="AW2">
        <f>BDH("FLYW US Equity","PX_VOLUME","1993-06-18","2026-05-02","Per=M","Days=T","Dir=V")</f>
        <v>0</v>
      </c>
      <c r="AY2">
        <f>BDH("FLYW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BDH("FMC US Equity","BS_TOT_ASSET","1993-06-18","2026-05-02","Per=Y","Days=T","Dir=V")</f>
        <v>0</v>
      </c>
      <c r="C2">
        <f>BDH("FMC US Equity","BS_TOT_LIAB2","1993-06-18","2026-05-02","Per=Y","Days=T","Dir=V")</f>
        <v>0</v>
      </c>
      <c r="E2">
        <f>BDH("FMC US Equity","SHORT_AND_LONG_TERM_DEBT","1993-06-18","2026-05-02","Per=Y","Days=T","Dir=V")</f>
        <v>0</v>
      </c>
      <c r="G2">
        <f>BDH("FMC US Equity","BS_ST_BORROW","1993-06-18","2026-05-02","Per=Y","Days=T","Dir=V")</f>
        <v>0</v>
      </c>
      <c r="I2">
        <f>BDH("FMC US Equity","BS_LT_BORROW","1993-06-18","2026-05-02","Per=Y","Days=T","Dir=V")</f>
        <v>0</v>
      </c>
      <c r="K2">
        <f>BDH("FMC US Equity","BS_CASH_NEAR_CASH_ITEM","1993-06-18","2026-05-02","Per=Y","Days=T","Dir=V")</f>
        <v>0</v>
      </c>
      <c r="M2">
        <f>BDH("FMC US Equity","BS_CUR_ASSET_REPORT","1993-06-18","2026-05-02","Per=Y","Days=T","Dir=V")</f>
        <v>0</v>
      </c>
      <c r="O2">
        <f>BDH("FMC US Equity","BS_CUR_LIAB","1993-06-18","2026-05-02","Per=Y","Days=T","Dir=V")</f>
        <v>0</v>
      </c>
      <c r="Q2">
        <f>BDH("FMC US Equity","BS_SHAREHOLDER_EQY_ENDING_PERIOD","1993-06-18","2026-05-02","Per=Y","Days=T","Dir=V")</f>
        <v>0</v>
      </c>
      <c r="S2">
        <f>BDH("FMC US Equity","BS_ACCT_NOTE_RCV","1993-06-18","2026-05-02","Per=Y","Days=T","Dir=V")</f>
        <v>0</v>
      </c>
      <c r="U2">
        <f>BDH("FMC US Equity","BS_INVENTORIES","1993-06-18","2026-05-02","Per=Y","Days=T","Dir=V")</f>
        <v>0</v>
      </c>
      <c r="W2">
        <f>BDH("FMC US Equity","WORKING_CAPITAL","1993-06-18","2026-05-02","Per=Y","Days=T","Dir=V")</f>
        <v>0</v>
      </c>
      <c r="Y2">
        <f>BDH("FMC US Equity","SALES_REV_TURN","1993-06-18","2026-05-02","Per=Y","Days=T","Dir=V")</f>
        <v>0</v>
      </c>
      <c r="AA2">
        <f>BDH("FMC US Equity","EBIT","1993-06-18","2026-05-02","Per=Y","Days=T","Dir=V")</f>
        <v>0</v>
      </c>
      <c r="AC2">
        <f>BDH("FMC US Equity","EBITDA","1993-06-18","2026-05-02","Per=Y","Days=T","Dir=V")</f>
        <v>0</v>
      </c>
      <c r="AE2">
        <f>BDH("FMC US Equity","NET_INCOME","1993-06-18","2026-05-02","Per=Y","Days=T","Dir=V")</f>
        <v>0</v>
      </c>
      <c r="AG2">
        <f>BDH("FMC US Equity","IS_INT_EXPENSE","1993-06-18","2026-05-02","Per=Y","Days=T","Dir=V")</f>
        <v>0</v>
      </c>
      <c r="AI2">
        <f>BDH("FMC US Equity","IS_DEPR_EXP","1993-06-18","2026-05-02","Per=Y","Days=T","Dir=V")</f>
        <v>0</v>
      </c>
      <c r="AK2">
        <f>BDH("FMC US Equity","CF_CASH_FROM_OPER","1993-06-18","2026-05-02","Per=Y","Days=T","Dir=V")</f>
        <v>0</v>
      </c>
      <c r="AM2">
        <f>BDH("FMC US Equity","CAPITAL_EXPEND","1993-06-18","2026-05-02","Per=Y","Days=T","Dir=V")</f>
        <v>0</v>
      </c>
      <c r="AO2">
        <f>BDH("FMC US Equity","CF_FREE_CASH_FLOW","1993-06-18","2026-05-02","Per=Y","Days=T","Dir=V")</f>
        <v>0</v>
      </c>
      <c r="AQ2">
        <f>BDH("FMC US Equity","PX_LAST","1993-06-18","2026-05-02","Per=M","Days=T","Dir=V")</f>
        <v>0</v>
      </c>
      <c r="AS2">
        <f>BDH("FMC US Equity","CUR_MKT_CAP","1993-06-18","2026-05-02","Per=M","Days=T","Dir=V")</f>
        <v>0</v>
      </c>
      <c r="AU2">
        <f>BDH("FMC US Equity","EQY_SH_OUT","1993-06-18","2026-05-02","Per=M","Days=T","Dir=V")</f>
        <v>0</v>
      </c>
      <c r="AW2">
        <f>BDH("FMC US Equity","PX_VOLUME","1993-06-18","2026-05-02","Per=M","Days=T","Dir=V")</f>
        <v>0</v>
      </c>
      <c r="AY2">
        <f>BDH("FMC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BDH("FND US Equity","BS_TOT_ASSET","1993-06-18","2026-05-02","Per=Y","Days=T","Dir=V")</f>
        <v>0</v>
      </c>
      <c r="C2">
        <f>BDH("FND US Equity","BS_TOT_LIAB2","1993-06-18","2026-05-02","Per=Y","Days=T","Dir=V")</f>
        <v>0</v>
      </c>
      <c r="E2">
        <f>BDH("FND US Equity","SHORT_AND_LONG_TERM_DEBT","1993-06-18","2026-05-02","Per=Y","Days=T","Dir=V")</f>
        <v>0</v>
      </c>
      <c r="G2">
        <f>BDH("FND US Equity","BS_ST_BORROW","1993-06-18","2026-05-02","Per=Y","Days=T","Dir=V")</f>
        <v>0</v>
      </c>
      <c r="I2">
        <f>BDH("FND US Equity","BS_LT_BORROW","1993-06-18","2026-05-02","Per=Y","Days=T","Dir=V")</f>
        <v>0</v>
      </c>
      <c r="K2">
        <f>BDH("FND US Equity","BS_CASH_NEAR_CASH_ITEM","1993-06-18","2026-05-02","Per=Y","Days=T","Dir=V")</f>
        <v>0</v>
      </c>
      <c r="M2">
        <f>BDH("FND US Equity","BS_CUR_ASSET_REPORT","1993-06-18","2026-05-02","Per=Y","Days=T","Dir=V")</f>
        <v>0</v>
      </c>
      <c r="O2">
        <f>BDH("FND US Equity","BS_CUR_LIAB","1993-06-18","2026-05-02","Per=Y","Days=T","Dir=V")</f>
        <v>0</v>
      </c>
      <c r="Q2">
        <f>BDH("FND US Equity","BS_SHAREHOLDER_EQY_ENDING_PERIOD","1993-06-18","2026-05-02","Per=Y","Days=T","Dir=V")</f>
        <v>0</v>
      </c>
      <c r="S2">
        <f>BDH("FND US Equity","BS_ACCT_NOTE_RCV","1993-06-18","2026-05-02","Per=Y","Days=T","Dir=V")</f>
        <v>0</v>
      </c>
      <c r="U2">
        <f>BDH("FND US Equity","BS_INVENTORIES","1993-06-18","2026-05-02","Per=Y","Days=T","Dir=V")</f>
        <v>0</v>
      </c>
      <c r="W2">
        <f>BDH("FND US Equity","WORKING_CAPITAL","1993-06-18","2026-05-02","Per=Y","Days=T","Dir=V")</f>
        <v>0</v>
      </c>
      <c r="Y2">
        <f>BDH("FND US Equity","SALES_REV_TURN","1993-06-18","2026-05-02","Per=Y","Days=T","Dir=V")</f>
        <v>0</v>
      </c>
      <c r="AA2">
        <f>BDH("FND US Equity","EBIT","1993-06-18","2026-05-02","Per=Y","Days=T","Dir=V")</f>
        <v>0</v>
      </c>
      <c r="AC2">
        <f>BDH("FND US Equity","EBITDA","1993-06-18","2026-05-02","Per=Y","Days=T","Dir=V")</f>
        <v>0</v>
      </c>
      <c r="AE2">
        <f>BDH("FND US Equity","NET_INCOME","1993-06-18","2026-05-02","Per=Y","Days=T","Dir=V")</f>
        <v>0</v>
      </c>
      <c r="AG2">
        <f>BDH("FND US Equity","IS_INT_EXPENSE","1993-06-18","2026-05-02","Per=Y","Days=T","Dir=V")</f>
        <v>0</v>
      </c>
      <c r="AI2">
        <f>BDH("FND US Equity","IS_DEPR_EXP","1993-06-18","2026-05-02","Per=Y","Days=T","Dir=V")</f>
        <v>0</v>
      </c>
      <c r="AK2">
        <f>BDH("FND US Equity","CF_CASH_FROM_OPER","1993-06-18","2026-05-02","Per=Y","Days=T","Dir=V")</f>
        <v>0</v>
      </c>
      <c r="AM2">
        <f>BDH("FND US Equity","CAPITAL_EXPEND","1993-06-18","2026-05-02","Per=Y","Days=T","Dir=V")</f>
        <v>0</v>
      </c>
      <c r="AO2">
        <f>BDH("FND US Equity","CF_FREE_CASH_FLOW","1993-06-18","2026-05-02","Per=Y","Days=T","Dir=V")</f>
        <v>0</v>
      </c>
      <c r="AQ2">
        <f>BDH("FND US Equity","PX_LAST","1993-06-18","2026-05-02","Per=M","Days=T","Dir=V")</f>
        <v>0</v>
      </c>
      <c r="AS2">
        <f>BDH("FND US Equity","CUR_MKT_CAP","1993-06-18","2026-05-02","Per=M","Days=T","Dir=V")</f>
        <v>0</v>
      </c>
      <c r="AU2">
        <f>BDH("FND US Equity","EQY_SH_OUT","1993-06-18","2026-05-02","Per=M","Days=T","Dir=V")</f>
        <v>0</v>
      </c>
      <c r="AW2">
        <f>BDH("FND US Equity","PX_VOLUME","1993-06-18","2026-05-02","Per=M","Days=T","Dir=V")</f>
        <v>0</v>
      </c>
      <c r="AY2">
        <f>BDH("FND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BDH("FNGR US Equity","BS_TOT_ASSET","1993-06-18","2026-05-02","Per=Y","Days=T","Dir=V")</f>
        <v>0</v>
      </c>
      <c r="C2">
        <f>BDH("FNGR US Equity","BS_TOT_LIAB2","1993-06-18","2026-05-02","Per=Y","Days=T","Dir=V")</f>
        <v>0</v>
      </c>
      <c r="E2">
        <f>BDH("FNGR US Equity","SHORT_AND_LONG_TERM_DEBT","1993-06-18","2026-05-02","Per=Y","Days=T","Dir=V")</f>
        <v>0</v>
      </c>
      <c r="G2">
        <f>BDH("FNGR US Equity","BS_ST_BORROW","1993-06-18","2026-05-02","Per=Y","Days=T","Dir=V")</f>
        <v>0</v>
      </c>
      <c r="I2">
        <f>BDH("FNGR US Equity","BS_LT_BORROW","1993-06-18","2026-05-02","Per=Y","Days=T","Dir=V")</f>
        <v>0</v>
      </c>
      <c r="K2">
        <f>BDH("FNGR US Equity","BS_CASH_NEAR_CASH_ITEM","1993-06-18","2026-05-02","Per=Y","Days=T","Dir=V")</f>
        <v>0</v>
      </c>
      <c r="M2">
        <f>BDH("FNGR US Equity","BS_CUR_ASSET_REPORT","1993-06-18","2026-05-02","Per=Y","Days=T","Dir=V")</f>
        <v>0</v>
      </c>
      <c r="O2">
        <f>BDH("FNGR US Equity","BS_CUR_LIAB","1993-06-18","2026-05-02","Per=Y","Days=T","Dir=V")</f>
        <v>0</v>
      </c>
      <c r="Q2">
        <f>BDH("FNGR US Equity","BS_SHAREHOLDER_EQY_ENDING_PERIOD","1993-06-18","2026-05-02","Per=Y","Days=T","Dir=V")</f>
        <v>0</v>
      </c>
      <c r="S2">
        <f>BDH("FNGR US Equity","BS_ACCT_NOTE_RCV","1993-06-18","2026-05-02","Per=Y","Days=T","Dir=V")</f>
        <v>0</v>
      </c>
      <c r="U2">
        <f>BDH("FNGR US Equity","BS_INVENTORIES","1993-06-18","2026-05-02","Per=Y","Days=T","Dir=V")</f>
        <v>0</v>
      </c>
      <c r="W2">
        <f>BDH("FNGR US Equity","WORKING_CAPITAL","1993-06-18","2026-05-02","Per=Y","Days=T","Dir=V")</f>
        <v>0</v>
      </c>
      <c r="Y2">
        <f>BDH("FNGR US Equity","SALES_REV_TURN","1993-06-18","2026-05-02","Per=Y","Days=T","Dir=V")</f>
        <v>0</v>
      </c>
      <c r="AA2">
        <f>BDH("FNGR US Equity","EBIT","1993-06-18","2026-05-02","Per=Y","Days=T","Dir=V")</f>
        <v>0</v>
      </c>
      <c r="AC2">
        <f>BDH("FNGR US Equity","EBITDA","1993-06-18","2026-05-02","Per=Y","Days=T","Dir=V")</f>
        <v>0</v>
      </c>
      <c r="AE2">
        <f>BDH("FNGR US Equity","NET_INCOME","1993-06-18","2026-05-02","Per=Y","Days=T","Dir=V")</f>
        <v>0</v>
      </c>
      <c r="AG2">
        <f>BDH("FNGR US Equity","IS_INT_EXPENSE","1993-06-18","2026-05-02","Per=Y","Days=T","Dir=V")</f>
        <v>0</v>
      </c>
      <c r="AI2">
        <f>BDH("FNGR US Equity","IS_DEPR_EXP","1993-06-18","2026-05-02","Per=Y","Days=T","Dir=V")</f>
        <v>0</v>
      </c>
      <c r="AK2">
        <f>BDH("FNGR US Equity","CF_CASH_FROM_OPER","1993-06-18","2026-05-02","Per=Y","Days=T","Dir=V")</f>
        <v>0</v>
      </c>
      <c r="AM2">
        <f>BDH("FNGR US Equity","CAPITAL_EXPEND","1993-06-18","2026-05-02","Per=Y","Days=T","Dir=V")</f>
        <v>0</v>
      </c>
      <c r="AO2">
        <f>BDH("FNGR US Equity","CF_FREE_CASH_FLOW","1993-06-18","2026-05-02","Per=Y","Days=T","Dir=V")</f>
        <v>0</v>
      </c>
      <c r="AQ2">
        <f>BDH("FNGR US Equity","PX_LAST","1993-06-18","2026-05-02","Per=M","Days=T","Dir=V")</f>
        <v>0</v>
      </c>
      <c r="AS2">
        <f>BDH("FNGR US Equity","CUR_MKT_CAP","1993-06-18","2026-05-02","Per=M","Days=T","Dir=V")</f>
        <v>0</v>
      </c>
      <c r="AU2">
        <f>BDH("FNGR US Equity","EQY_SH_OUT","1993-06-18","2026-05-02","Per=M","Days=T","Dir=V")</f>
        <v>0</v>
      </c>
      <c r="AW2">
        <f>BDH("FNGR US Equity","PX_VOLUME","1993-06-18","2026-05-02","Per=M","Days=T","Dir=V")</f>
        <v>0</v>
      </c>
      <c r="AY2">
        <f>BDH("FNGR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BDH("FNKO US Equity","BS_TOT_ASSET","1993-06-18","2026-05-02","Per=Y","Days=T","Dir=V")</f>
        <v>0</v>
      </c>
      <c r="C2">
        <f>BDH("FNKO US Equity","BS_TOT_LIAB2","1993-06-18","2026-05-02","Per=Y","Days=T","Dir=V")</f>
        <v>0</v>
      </c>
      <c r="E2">
        <f>BDH("FNKO US Equity","SHORT_AND_LONG_TERM_DEBT","1993-06-18","2026-05-02","Per=Y","Days=T","Dir=V")</f>
        <v>0</v>
      </c>
      <c r="G2">
        <f>BDH("FNKO US Equity","BS_ST_BORROW","1993-06-18","2026-05-02","Per=Y","Days=T","Dir=V")</f>
        <v>0</v>
      </c>
      <c r="I2">
        <f>BDH("FNKO US Equity","BS_LT_BORROW","1993-06-18","2026-05-02","Per=Y","Days=T","Dir=V")</f>
        <v>0</v>
      </c>
      <c r="K2">
        <f>BDH("FNKO US Equity","BS_CASH_NEAR_CASH_ITEM","1993-06-18","2026-05-02","Per=Y","Days=T","Dir=V")</f>
        <v>0</v>
      </c>
      <c r="M2">
        <f>BDH("FNKO US Equity","BS_CUR_ASSET_REPORT","1993-06-18","2026-05-02","Per=Y","Days=T","Dir=V")</f>
        <v>0</v>
      </c>
      <c r="O2">
        <f>BDH("FNKO US Equity","BS_CUR_LIAB","1993-06-18","2026-05-02","Per=Y","Days=T","Dir=V")</f>
        <v>0</v>
      </c>
      <c r="Q2">
        <f>BDH("FNKO US Equity","BS_SHAREHOLDER_EQY_ENDING_PERIOD","1993-06-18","2026-05-02","Per=Y","Days=T","Dir=V")</f>
        <v>0</v>
      </c>
      <c r="S2">
        <f>BDH("FNKO US Equity","BS_ACCT_NOTE_RCV","1993-06-18","2026-05-02","Per=Y","Days=T","Dir=V")</f>
        <v>0</v>
      </c>
      <c r="U2">
        <f>BDH("FNKO US Equity","BS_INVENTORIES","1993-06-18","2026-05-02","Per=Y","Days=T","Dir=V")</f>
        <v>0</v>
      </c>
      <c r="W2">
        <f>BDH("FNKO US Equity","WORKING_CAPITAL","1993-06-18","2026-05-02","Per=Y","Days=T","Dir=V")</f>
        <v>0</v>
      </c>
      <c r="Y2">
        <f>BDH("FNKO US Equity","SALES_REV_TURN","1993-06-18","2026-05-02","Per=Y","Days=T","Dir=V")</f>
        <v>0</v>
      </c>
      <c r="AA2">
        <f>BDH("FNKO US Equity","EBIT","1993-06-18","2026-05-02","Per=Y","Days=T","Dir=V")</f>
        <v>0</v>
      </c>
      <c r="AC2">
        <f>BDH("FNKO US Equity","EBITDA","1993-06-18","2026-05-02","Per=Y","Days=T","Dir=V")</f>
        <v>0</v>
      </c>
      <c r="AE2">
        <f>BDH("FNKO US Equity","NET_INCOME","1993-06-18","2026-05-02","Per=Y","Days=T","Dir=V")</f>
        <v>0</v>
      </c>
      <c r="AG2">
        <f>BDH("FNKO US Equity","IS_INT_EXPENSE","1993-06-18","2026-05-02","Per=Y","Days=T","Dir=V")</f>
        <v>0</v>
      </c>
      <c r="AI2">
        <f>BDH("FNKO US Equity","IS_DEPR_EXP","1993-06-18","2026-05-02","Per=Y","Days=T","Dir=V")</f>
        <v>0</v>
      </c>
      <c r="AK2">
        <f>BDH("FNKO US Equity","CF_CASH_FROM_OPER","1993-06-18","2026-05-02","Per=Y","Days=T","Dir=V")</f>
        <v>0</v>
      </c>
      <c r="AM2">
        <f>BDH("FNKO US Equity","CAPITAL_EXPEND","1993-06-18","2026-05-02","Per=Y","Days=T","Dir=V")</f>
        <v>0</v>
      </c>
      <c r="AO2">
        <f>BDH("FNKO US Equity","CF_FREE_CASH_FLOW","1993-06-18","2026-05-02","Per=Y","Days=T","Dir=V")</f>
        <v>0</v>
      </c>
      <c r="AQ2">
        <f>BDH("FNKO US Equity","PX_LAST","1993-06-18","2026-05-02","Per=M","Days=T","Dir=V")</f>
        <v>0</v>
      </c>
      <c r="AS2">
        <f>BDH("FNKO US Equity","CUR_MKT_CAP","1993-06-18","2026-05-02","Per=M","Days=T","Dir=V")</f>
        <v>0</v>
      </c>
      <c r="AU2">
        <f>BDH("FNKO US Equity","EQY_SH_OUT","1993-06-18","2026-05-02","Per=M","Days=T","Dir=V")</f>
        <v>0</v>
      </c>
      <c r="AW2">
        <f>BDH("FNKO US Equity","PX_VOLUME","1993-06-18","2026-05-02","Per=M","Days=T","Dir=V")</f>
        <v>0</v>
      </c>
      <c r="AY2">
        <f>BDH("FNKO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BDH("FORM US Equity","BS_TOT_ASSET","1993-06-18","2026-05-02","Per=Y","Days=T","Dir=V")</f>
        <v>0</v>
      </c>
      <c r="C2">
        <f>BDH("FORM US Equity","BS_TOT_LIAB2","1993-06-18","2026-05-02","Per=Y","Days=T","Dir=V")</f>
        <v>0</v>
      </c>
      <c r="E2">
        <f>BDH("FORM US Equity","SHORT_AND_LONG_TERM_DEBT","1993-06-18","2026-05-02","Per=Y","Days=T","Dir=V")</f>
        <v>0</v>
      </c>
      <c r="G2">
        <f>BDH("FORM US Equity","BS_ST_BORROW","1993-06-18","2026-05-02","Per=Y","Days=T","Dir=V")</f>
        <v>0</v>
      </c>
      <c r="I2">
        <f>BDH("FORM US Equity","BS_LT_BORROW","1993-06-18","2026-05-02","Per=Y","Days=T","Dir=V")</f>
        <v>0</v>
      </c>
      <c r="K2">
        <f>BDH("FORM US Equity","BS_CASH_NEAR_CASH_ITEM","1993-06-18","2026-05-02","Per=Y","Days=T","Dir=V")</f>
        <v>0</v>
      </c>
      <c r="M2">
        <f>BDH("FORM US Equity","BS_CUR_ASSET_REPORT","1993-06-18","2026-05-02","Per=Y","Days=T","Dir=V")</f>
        <v>0</v>
      </c>
      <c r="O2">
        <f>BDH("FORM US Equity","BS_CUR_LIAB","1993-06-18","2026-05-02","Per=Y","Days=T","Dir=V")</f>
        <v>0</v>
      </c>
      <c r="Q2">
        <f>BDH("FORM US Equity","BS_SHAREHOLDER_EQY_ENDING_PERIOD","1993-06-18","2026-05-02","Per=Y","Days=T","Dir=V")</f>
        <v>0</v>
      </c>
      <c r="S2">
        <f>BDH("FORM US Equity","BS_ACCT_NOTE_RCV","1993-06-18","2026-05-02","Per=Y","Days=T","Dir=V")</f>
        <v>0</v>
      </c>
      <c r="U2">
        <f>BDH("FORM US Equity","BS_INVENTORIES","1993-06-18","2026-05-02","Per=Y","Days=T","Dir=V")</f>
        <v>0</v>
      </c>
      <c r="W2">
        <f>BDH("FORM US Equity","WORKING_CAPITAL","1993-06-18","2026-05-02","Per=Y","Days=T","Dir=V")</f>
        <v>0</v>
      </c>
      <c r="Y2">
        <f>BDH("FORM US Equity","SALES_REV_TURN","1993-06-18","2026-05-02","Per=Y","Days=T","Dir=V")</f>
        <v>0</v>
      </c>
      <c r="AA2">
        <f>BDH("FORM US Equity","EBIT","1993-06-18","2026-05-02","Per=Y","Days=T","Dir=V")</f>
        <v>0</v>
      </c>
      <c r="AC2">
        <f>BDH("FORM US Equity","EBITDA","1993-06-18","2026-05-02","Per=Y","Days=T","Dir=V")</f>
        <v>0</v>
      </c>
      <c r="AE2">
        <f>BDH("FORM US Equity","NET_INCOME","1993-06-18","2026-05-02","Per=Y","Days=T","Dir=V")</f>
        <v>0</v>
      </c>
      <c r="AG2">
        <f>BDH("FORM US Equity","IS_INT_EXPENSE","1993-06-18","2026-05-02","Per=Y","Days=T","Dir=V")</f>
        <v>0</v>
      </c>
      <c r="AI2">
        <f>BDH("FORM US Equity","IS_DEPR_EXP","1993-06-18","2026-05-02","Per=Y","Days=T","Dir=V")</f>
        <v>0</v>
      </c>
      <c r="AK2">
        <f>BDH("FORM US Equity","CF_CASH_FROM_OPER","1993-06-18","2026-05-02","Per=Y","Days=T","Dir=V")</f>
        <v>0</v>
      </c>
      <c r="AM2">
        <f>BDH("FORM US Equity","CAPITAL_EXPEND","1993-06-18","2026-05-02","Per=Y","Days=T","Dir=V")</f>
        <v>0</v>
      </c>
      <c r="AO2">
        <f>BDH("FORM US Equity","CF_FREE_CASH_FLOW","1993-06-18","2026-05-02","Per=Y","Days=T","Dir=V")</f>
        <v>0</v>
      </c>
      <c r="AQ2">
        <f>BDH("FORM US Equity","PX_LAST","1993-06-18","2026-05-02","Per=M","Days=T","Dir=V")</f>
        <v>0</v>
      </c>
      <c r="AS2">
        <f>BDH("FORM US Equity","CUR_MKT_CAP","1993-06-18","2026-05-02","Per=M","Days=T","Dir=V")</f>
        <v>0</v>
      </c>
      <c r="AU2">
        <f>BDH("FORM US Equity","EQY_SH_OUT","1993-06-18","2026-05-02","Per=M","Days=T","Dir=V")</f>
        <v>0</v>
      </c>
      <c r="AW2">
        <f>BDH("FORM US Equity","PX_VOLUME","1993-06-18","2026-05-02","Per=M","Days=T","Dir=V")</f>
        <v>0</v>
      </c>
      <c r="AY2">
        <f>BDH("FORM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BDH("FORR US Equity","BS_TOT_ASSET","1993-06-18","2026-05-02","Per=Y","Days=T","Dir=V")</f>
        <v>0</v>
      </c>
      <c r="C2">
        <f>BDH("FORR US Equity","BS_TOT_LIAB2","1993-06-18","2026-05-02","Per=Y","Days=T","Dir=V")</f>
        <v>0</v>
      </c>
      <c r="E2">
        <f>BDH("FORR US Equity","SHORT_AND_LONG_TERM_DEBT","1993-06-18","2026-05-02","Per=Y","Days=T","Dir=V")</f>
        <v>0</v>
      </c>
      <c r="G2">
        <f>BDH("FORR US Equity","BS_ST_BORROW","1993-06-18","2026-05-02","Per=Y","Days=T","Dir=V")</f>
        <v>0</v>
      </c>
      <c r="I2">
        <f>BDH("FORR US Equity","BS_LT_BORROW","1993-06-18","2026-05-02","Per=Y","Days=T","Dir=V")</f>
        <v>0</v>
      </c>
      <c r="K2">
        <f>BDH("FORR US Equity","BS_CASH_NEAR_CASH_ITEM","1993-06-18","2026-05-02","Per=Y","Days=T","Dir=V")</f>
        <v>0</v>
      </c>
      <c r="M2">
        <f>BDH("FORR US Equity","BS_CUR_ASSET_REPORT","1993-06-18","2026-05-02","Per=Y","Days=T","Dir=V")</f>
        <v>0</v>
      </c>
      <c r="O2">
        <f>BDH("FORR US Equity","BS_CUR_LIAB","1993-06-18","2026-05-02","Per=Y","Days=T","Dir=V")</f>
        <v>0</v>
      </c>
      <c r="Q2">
        <f>BDH("FORR US Equity","BS_SHAREHOLDER_EQY_ENDING_PERIOD","1993-06-18","2026-05-02","Per=Y","Days=T","Dir=V")</f>
        <v>0</v>
      </c>
      <c r="S2">
        <f>BDH("FORR US Equity","BS_ACCT_NOTE_RCV","1993-06-18","2026-05-02","Per=Y","Days=T","Dir=V")</f>
        <v>0</v>
      </c>
      <c r="U2">
        <f>BDH("FORR US Equity","BS_INVENTORIES","1993-06-18","2026-05-02","Per=Y","Days=T","Dir=V")</f>
        <v>0</v>
      </c>
      <c r="W2">
        <f>BDH("FORR US Equity","WORKING_CAPITAL","1993-06-18","2026-05-02","Per=Y","Days=T","Dir=V")</f>
        <v>0</v>
      </c>
      <c r="Y2">
        <f>BDH("FORR US Equity","SALES_REV_TURN","1993-06-18","2026-05-02","Per=Y","Days=T","Dir=V")</f>
        <v>0</v>
      </c>
      <c r="AA2">
        <f>BDH("FORR US Equity","EBIT","1993-06-18","2026-05-02","Per=Y","Days=T","Dir=V")</f>
        <v>0</v>
      </c>
      <c r="AC2">
        <f>BDH("FORR US Equity","EBITDA","1993-06-18","2026-05-02","Per=Y","Days=T","Dir=V")</f>
        <v>0</v>
      </c>
      <c r="AE2">
        <f>BDH("FORR US Equity","NET_INCOME","1993-06-18","2026-05-02","Per=Y","Days=T","Dir=V")</f>
        <v>0</v>
      </c>
      <c r="AG2">
        <f>BDH("FORR US Equity","IS_INT_EXPENSE","1993-06-18","2026-05-02","Per=Y","Days=T","Dir=V")</f>
        <v>0</v>
      </c>
      <c r="AI2">
        <f>BDH("FORR US Equity","IS_DEPR_EXP","1993-06-18","2026-05-02","Per=Y","Days=T","Dir=V")</f>
        <v>0</v>
      </c>
      <c r="AK2">
        <f>BDH("FORR US Equity","CF_CASH_FROM_OPER","1993-06-18","2026-05-02","Per=Y","Days=T","Dir=V")</f>
        <v>0</v>
      </c>
      <c r="AM2">
        <f>BDH("FORR US Equity","CAPITAL_EXPEND","1993-06-18","2026-05-02","Per=Y","Days=T","Dir=V")</f>
        <v>0</v>
      </c>
      <c r="AO2">
        <f>BDH("FORR US Equity","CF_FREE_CASH_FLOW","1993-06-18","2026-05-02","Per=Y","Days=T","Dir=V")</f>
        <v>0</v>
      </c>
      <c r="AQ2">
        <f>BDH("FORR US Equity","PX_LAST","1993-06-18","2026-05-02","Per=M","Days=T","Dir=V")</f>
        <v>0</v>
      </c>
      <c r="AS2">
        <f>BDH("FORR US Equity","CUR_MKT_CAP","1993-06-18","2026-05-02","Per=M","Days=T","Dir=V")</f>
        <v>0</v>
      </c>
      <c r="AU2">
        <f>BDH("FORR US Equity","EQY_SH_OUT","1993-06-18","2026-05-02","Per=M","Days=T","Dir=V")</f>
        <v>0</v>
      </c>
      <c r="AW2">
        <f>BDH("FORR US Equity","PX_VOLUME","1993-06-18","2026-05-02","Per=M","Days=T","Dir=V")</f>
        <v>0</v>
      </c>
      <c r="AY2">
        <f>BDH("FORR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BDH("FOSL US Equity","BS_TOT_ASSET","1993-06-18","2026-05-02","Per=Y","Days=T","Dir=V")</f>
        <v>0</v>
      </c>
      <c r="C2">
        <f>BDH("FOSL US Equity","BS_TOT_LIAB2","1993-06-18","2026-05-02","Per=Y","Days=T","Dir=V")</f>
        <v>0</v>
      </c>
      <c r="E2">
        <f>BDH("FOSL US Equity","SHORT_AND_LONG_TERM_DEBT","1993-06-18","2026-05-02","Per=Y","Days=T","Dir=V")</f>
        <v>0</v>
      </c>
      <c r="G2">
        <f>BDH("FOSL US Equity","BS_ST_BORROW","1993-06-18","2026-05-02","Per=Y","Days=T","Dir=V")</f>
        <v>0</v>
      </c>
      <c r="I2">
        <f>BDH("FOSL US Equity","BS_LT_BORROW","1993-06-18","2026-05-02","Per=Y","Days=T","Dir=V")</f>
        <v>0</v>
      </c>
      <c r="K2">
        <f>BDH("FOSL US Equity","BS_CASH_NEAR_CASH_ITEM","1993-06-18","2026-05-02","Per=Y","Days=T","Dir=V")</f>
        <v>0</v>
      </c>
      <c r="M2">
        <f>BDH("FOSL US Equity","BS_CUR_ASSET_REPORT","1993-06-18","2026-05-02","Per=Y","Days=T","Dir=V")</f>
        <v>0</v>
      </c>
      <c r="O2">
        <f>BDH("FOSL US Equity","BS_CUR_LIAB","1993-06-18","2026-05-02","Per=Y","Days=T","Dir=V")</f>
        <v>0</v>
      </c>
      <c r="Q2">
        <f>BDH("FOSL US Equity","BS_SHAREHOLDER_EQY_ENDING_PERIOD","1993-06-18","2026-05-02","Per=Y","Days=T","Dir=V")</f>
        <v>0</v>
      </c>
      <c r="S2">
        <f>BDH("FOSL US Equity","BS_ACCT_NOTE_RCV","1993-06-18","2026-05-02","Per=Y","Days=T","Dir=V")</f>
        <v>0</v>
      </c>
      <c r="U2">
        <f>BDH("FOSL US Equity","BS_INVENTORIES","1993-06-18","2026-05-02","Per=Y","Days=T","Dir=V")</f>
        <v>0</v>
      </c>
      <c r="W2">
        <f>BDH("FOSL US Equity","WORKING_CAPITAL","1993-06-18","2026-05-02","Per=Y","Days=T","Dir=V")</f>
        <v>0</v>
      </c>
      <c r="Y2">
        <f>BDH("FOSL US Equity","SALES_REV_TURN","1993-06-18","2026-05-02","Per=Y","Days=T","Dir=V")</f>
        <v>0</v>
      </c>
      <c r="AA2">
        <f>BDH("FOSL US Equity","EBIT","1993-06-18","2026-05-02","Per=Y","Days=T","Dir=V")</f>
        <v>0</v>
      </c>
      <c r="AC2">
        <f>BDH("FOSL US Equity","EBITDA","1993-06-18","2026-05-02","Per=Y","Days=T","Dir=V")</f>
        <v>0</v>
      </c>
      <c r="AE2">
        <f>BDH("FOSL US Equity","NET_INCOME","1993-06-18","2026-05-02","Per=Y","Days=T","Dir=V")</f>
        <v>0</v>
      </c>
      <c r="AG2">
        <f>BDH("FOSL US Equity","IS_INT_EXPENSE","1993-06-18","2026-05-02","Per=Y","Days=T","Dir=V")</f>
        <v>0</v>
      </c>
      <c r="AI2">
        <f>BDH("FOSL US Equity","IS_DEPR_EXP","1993-06-18","2026-05-02","Per=Y","Days=T","Dir=V")</f>
        <v>0</v>
      </c>
      <c r="AK2">
        <f>BDH("FOSL US Equity","CF_CASH_FROM_OPER","1993-06-18","2026-05-02","Per=Y","Days=T","Dir=V")</f>
        <v>0</v>
      </c>
      <c r="AM2">
        <f>BDH("FOSL US Equity","CAPITAL_EXPEND","1993-06-18","2026-05-02","Per=Y","Days=T","Dir=V")</f>
        <v>0</v>
      </c>
      <c r="AO2">
        <f>BDH("FOSL US Equity","CF_FREE_CASH_FLOW","1993-06-18","2026-05-02","Per=Y","Days=T","Dir=V")</f>
        <v>0</v>
      </c>
      <c r="AQ2">
        <f>BDH("FOSL US Equity","PX_LAST","1993-06-18","2026-05-02","Per=M","Days=T","Dir=V")</f>
        <v>0</v>
      </c>
      <c r="AS2">
        <f>BDH("FOSL US Equity","CUR_MKT_CAP","1993-06-18","2026-05-02","Per=M","Days=T","Dir=V")</f>
        <v>0</v>
      </c>
      <c r="AU2">
        <f>BDH("FOSL US Equity","EQY_SH_OUT","1993-06-18","2026-05-02","Per=M","Days=T","Dir=V")</f>
        <v>0</v>
      </c>
      <c r="AW2">
        <f>BDH("FOSL US Equity","PX_VOLUME","1993-06-18","2026-05-02","Per=M","Days=T","Dir=V")</f>
        <v>0</v>
      </c>
      <c r="AY2">
        <f>BDH("FOSL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BDH("FOUR US Equity","BS_TOT_ASSET","1993-06-18","2026-05-02","Per=Y","Days=T","Dir=V")</f>
        <v>0</v>
      </c>
      <c r="C2">
        <f>BDH("FOUR US Equity","BS_TOT_LIAB2","1993-06-18","2026-05-02","Per=Y","Days=T","Dir=V")</f>
        <v>0</v>
      </c>
      <c r="E2">
        <f>BDH("FOUR US Equity","SHORT_AND_LONG_TERM_DEBT","1993-06-18","2026-05-02","Per=Y","Days=T","Dir=V")</f>
        <v>0</v>
      </c>
      <c r="G2">
        <f>BDH("FOUR US Equity","BS_ST_BORROW","1993-06-18","2026-05-02","Per=Y","Days=T","Dir=V")</f>
        <v>0</v>
      </c>
      <c r="I2">
        <f>BDH("FOUR US Equity","BS_LT_BORROW","1993-06-18","2026-05-02","Per=Y","Days=T","Dir=V")</f>
        <v>0</v>
      </c>
      <c r="K2">
        <f>BDH("FOUR US Equity","BS_CASH_NEAR_CASH_ITEM","1993-06-18","2026-05-02","Per=Y","Days=T","Dir=V")</f>
        <v>0</v>
      </c>
      <c r="M2">
        <f>BDH("FOUR US Equity","BS_CUR_ASSET_REPORT","1993-06-18","2026-05-02","Per=Y","Days=T","Dir=V")</f>
        <v>0</v>
      </c>
      <c r="O2">
        <f>BDH("FOUR US Equity","BS_CUR_LIAB","1993-06-18","2026-05-02","Per=Y","Days=T","Dir=V")</f>
        <v>0</v>
      </c>
      <c r="Q2">
        <f>BDH("FOUR US Equity","BS_SHAREHOLDER_EQY_ENDING_PERIOD","1993-06-18","2026-05-02","Per=Y","Days=T","Dir=V")</f>
        <v>0</v>
      </c>
      <c r="S2">
        <f>BDH("FOUR US Equity","BS_ACCT_NOTE_RCV","1993-06-18","2026-05-02","Per=Y","Days=T","Dir=V")</f>
        <v>0</v>
      </c>
      <c r="U2">
        <f>BDH("FOUR US Equity","BS_INVENTORIES","1993-06-18","2026-05-02","Per=Y","Days=T","Dir=V")</f>
        <v>0</v>
      </c>
      <c r="W2">
        <f>BDH("FOUR US Equity","WORKING_CAPITAL","1993-06-18","2026-05-02","Per=Y","Days=T","Dir=V")</f>
        <v>0</v>
      </c>
      <c r="Y2">
        <f>BDH("FOUR US Equity","SALES_REV_TURN","1993-06-18","2026-05-02","Per=Y","Days=T","Dir=V")</f>
        <v>0</v>
      </c>
      <c r="AA2">
        <f>BDH("FOUR US Equity","EBIT","1993-06-18","2026-05-02","Per=Y","Days=T","Dir=V")</f>
        <v>0</v>
      </c>
      <c r="AC2">
        <f>BDH("FOUR US Equity","EBITDA","1993-06-18","2026-05-02","Per=Y","Days=T","Dir=V")</f>
        <v>0</v>
      </c>
      <c r="AE2">
        <f>BDH("FOUR US Equity","NET_INCOME","1993-06-18","2026-05-02","Per=Y","Days=T","Dir=V")</f>
        <v>0</v>
      </c>
      <c r="AG2">
        <f>BDH("FOUR US Equity","IS_INT_EXPENSE","1993-06-18","2026-05-02","Per=Y","Days=T","Dir=V")</f>
        <v>0</v>
      </c>
      <c r="AI2">
        <f>BDH("FOUR US Equity","IS_DEPR_EXP","1993-06-18","2026-05-02","Per=Y","Days=T","Dir=V")</f>
        <v>0</v>
      </c>
      <c r="AK2">
        <f>BDH("FOUR US Equity","CF_CASH_FROM_OPER","1993-06-18","2026-05-02","Per=Y","Days=T","Dir=V")</f>
        <v>0</v>
      </c>
      <c r="AM2">
        <f>BDH("FOUR US Equity","CAPITAL_EXPEND","1993-06-18","2026-05-02","Per=Y","Days=T","Dir=V")</f>
        <v>0</v>
      </c>
      <c r="AO2">
        <f>BDH("FOUR US Equity","CF_FREE_CASH_FLOW","1993-06-18","2026-05-02","Per=Y","Days=T","Dir=V")</f>
        <v>0</v>
      </c>
      <c r="AQ2">
        <f>BDH("FOUR US Equity","PX_LAST","1993-06-18","2026-05-02","Per=M","Days=T","Dir=V")</f>
        <v>0</v>
      </c>
      <c r="AS2">
        <f>BDH("FOUR US Equity","CUR_MKT_CAP","1993-06-18","2026-05-02","Per=M","Days=T","Dir=V")</f>
        <v>0</v>
      </c>
      <c r="AU2">
        <f>BDH("FOUR US Equity","EQY_SH_OUT","1993-06-18","2026-05-02","Per=M","Days=T","Dir=V")</f>
        <v>0</v>
      </c>
      <c r="AW2">
        <f>BDH("FOUR US Equity","PX_VOLUME","1993-06-18","2026-05-02","Per=M","Days=T","Dir=V")</f>
        <v>0</v>
      </c>
      <c r="AY2">
        <f>BDH("FOUR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BDH("FOX US Equity","BS_TOT_ASSET","1993-06-18","2026-05-02","Per=Y","Days=T","Dir=V")</f>
        <v>0</v>
      </c>
      <c r="C2">
        <f>BDH("FOX US Equity","BS_TOT_LIAB2","1993-06-18","2026-05-02","Per=Y","Days=T","Dir=V")</f>
        <v>0</v>
      </c>
      <c r="E2">
        <f>BDH("FOX US Equity","SHORT_AND_LONG_TERM_DEBT","1993-06-18","2026-05-02","Per=Y","Days=T","Dir=V")</f>
        <v>0</v>
      </c>
      <c r="G2">
        <f>BDH("FOX US Equity","BS_ST_BORROW","1993-06-18","2026-05-02","Per=Y","Days=T","Dir=V")</f>
        <v>0</v>
      </c>
      <c r="I2">
        <f>BDH("FOX US Equity","BS_LT_BORROW","1993-06-18","2026-05-02","Per=Y","Days=T","Dir=V")</f>
        <v>0</v>
      </c>
      <c r="K2">
        <f>BDH("FOX US Equity","BS_CASH_NEAR_CASH_ITEM","1993-06-18","2026-05-02","Per=Y","Days=T","Dir=V")</f>
        <v>0</v>
      </c>
      <c r="M2">
        <f>BDH("FOX US Equity","BS_CUR_ASSET_REPORT","1993-06-18","2026-05-02","Per=Y","Days=T","Dir=V")</f>
        <v>0</v>
      </c>
      <c r="O2">
        <f>BDH("FOX US Equity","BS_CUR_LIAB","1993-06-18","2026-05-02","Per=Y","Days=T","Dir=V")</f>
        <v>0</v>
      </c>
      <c r="Q2">
        <f>BDH("FOX US Equity","BS_SHAREHOLDER_EQY_ENDING_PERIOD","1993-06-18","2026-05-02","Per=Y","Days=T","Dir=V")</f>
        <v>0</v>
      </c>
      <c r="S2">
        <f>BDH("FOX US Equity","BS_ACCT_NOTE_RCV","1993-06-18","2026-05-02","Per=Y","Days=T","Dir=V")</f>
        <v>0</v>
      </c>
      <c r="U2">
        <f>BDH("FOX US Equity","BS_INVENTORIES","1993-06-18","2026-05-02","Per=Y","Days=T","Dir=V")</f>
        <v>0</v>
      </c>
      <c r="W2">
        <f>BDH("FOX US Equity","WORKING_CAPITAL","1993-06-18","2026-05-02","Per=Y","Days=T","Dir=V")</f>
        <v>0</v>
      </c>
      <c r="Y2">
        <f>BDH("FOX US Equity","SALES_REV_TURN","1993-06-18","2026-05-02","Per=Y","Days=T","Dir=V")</f>
        <v>0</v>
      </c>
      <c r="AA2">
        <f>BDH("FOX US Equity","EBIT","1993-06-18","2026-05-02","Per=Y","Days=T","Dir=V")</f>
        <v>0</v>
      </c>
      <c r="AC2">
        <f>BDH("FOX US Equity","EBITDA","1993-06-18","2026-05-02","Per=Y","Days=T","Dir=V")</f>
        <v>0</v>
      </c>
      <c r="AE2">
        <f>BDH("FOX US Equity","NET_INCOME","1993-06-18","2026-05-02","Per=Y","Days=T","Dir=V")</f>
        <v>0</v>
      </c>
      <c r="AG2">
        <f>BDH("FOX US Equity","IS_INT_EXPENSE","1993-06-18","2026-05-02","Per=Y","Days=T","Dir=V")</f>
        <v>0</v>
      </c>
      <c r="AI2">
        <f>BDH("FOX US Equity","IS_DEPR_EXP","1993-06-18","2026-05-02","Per=Y","Days=T","Dir=V")</f>
        <v>0</v>
      </c>
      <c r="AK2">
        <f>BDH("FOX US Equity","CF_CASH_FROM_OPER","1993-06-18","2026-05-02","Per=Y","Days=T","Dir=V")</f>
        <v>0</v>
      </c>
      <c r="AM2">
        <f>BDH("FOX US Equity","CAPITAL_EXPEND","1993-06-18","2026-05-02","Per=Y","Days=T","Dir=V")</f>
        <v>0</v>
      </c>
      <c r="AO2">
        <f>BDH("FOX US Equity","CF_FREE_CASH_FLOW","1993-06-18","2026-05-02","Per=Y","Days=T","Dir=V")</f>
        <v>0</v>
      </c>
      <c r="AQ2">
        <f>BDH("FOX US Equity","PX_LAST","1993-06-18","2026-05-02","Per=M","Days=T","Dir=V")</f>
        <v>0</v>
      </c>
      <c r="AS2">
        <f>BDH("FOX US Equity","CUR_MKT_CAP","1993-06-18","2026-05-02","Per=M","Days=T","Dir=V")</f>
        <v>0</v>
      </c>
      <c r="AU2">
        <f>BDH("FOX US Equity","EQY_SH_OUT","1993-06-18","2026-05-02","Per=M","Days=T","Dir=V")</f>
        <v>0</v>
      </c>
      <c r="AW2">
        <f>BDH("FOX US Equity","PX_VOLUME","1993-06-18","2026-05-02","Per=M","Days=T","Dir=V")</f>
        <v>0</v>
      </c>
      <c r="AY2">
        <f>BDH("FOX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BDH("FOXA US Equity","BS_TOT_ASSET","1993-06-18","2026-05-02","Per=Y","Days=T","Dir=V")</f>
        <v>0</v>
      </c>
      <c r="C2">
        <f>BDH("FOXA US Equity","BS_TOT_LIAB2","1993-06-18","2026-05-02","Per=Y","Days=T","Dir=V")</f>
        <v>0</v>
      </c>
      <c r="E2">
        <f>BDH("FOXA US Equity","SHORT_AND_LONG_TERM_DEBT","1993-06-18","2026-05-02","Per=Y","Days=T","Dir=V")</f>
        <v>0</v>
      </c>
      <c r="G2">
        <f>BDH("FOXA US Equity","BS_ST_BORROW","1993-06-18","2026-05-02","Per=Y","Days=T","Dir=V")</f>
        <v>0</v>
      </c>
      <c r="I2">
        <f>BDH("FOXA US Equity","BS_LT_BORROW","1993-06-18","2026-05-02","Per=Y","Days=T","Dir=V")</f>
        <v>0</v>
      </c>
      <c r="K2">
        <f>BDH("FOXA US Equity","BS_CASH_NEAR_CASH_ITEM","1993-06-18","2026-05-02","Per=Y","Days=T","Dir=V")</f>
        <v>0</v>
      </c>
      <c r="M2">
        <f>BDH("FOXA US Equity","BS_CUR_ASSET_REPORT","1993-06-18","2026-05-02","Per=Y","Days=T","Dir=V")</f>
        <v>0</v>
      </c>
      <c r="O2">
        <f>BDH("FOXA US Equity","BS_CUR_LIAB","1993-06-18","2026-05-02","Per=Y","Days=T","Dir=V")</f>
        <v>0</v>
      </c>
      <c r="Q2">
        <f>BDH("FOXA US Equity","BS_SHAREHOLDER_EQY_ENDING_PERIOD","1993-06-18","2026-05-02","Per=Y","Days=T","Dir=V")</f>
        <v>0</v>
      </c>
      <c r="S2">
        <f>BDH("FOXA US Equity","BS_ACCT_NOTE_RCV","1993-06-18","2026-05-02","Per=Y","Days=T","Dir=V")</f>
        <v>0</v>
      </c>
      <c r="U2">
        <f>BDH("FOXA US Equity","BS_INVENTORIES","1993-06-18","2026-05-02","Per=Y","Days=T","Dir=V")</f>
        <v>0</v>
      </c>
      <c r="W2">
        <f>BDH("FOXA US Equity","WORKING_CAPITAL","1993-06-18","2026-05-02","Per=Y","Days=T","Dir=V")</f>
        <v>0</v>
      </c>
      <c r="Y2">
        <f>BDH("FOXA US Equity","SALES_REV_TURN","1993-06-18","2026-05-02","Per=Y","Days=T","Dir=V")</f>
        <v>0</v>
      </c>
      <c r="AA2">
        <f>BDH("FOXA US Equity","EBIT","1993-06-18","2026-05-02","Per=Y","Days=T","Dir=V")</f>
        <v>0</v>
      </c>
      <c r="AC2">
        <f>BDH("FOXA US Equity","EBITDA","1993-06-18","2026-05-02","Per=Y","Days=T","Dir=V")</f>
        <v>0</v>
      </c>
      <c r="AE2">
        <f>BDH("FOXA US Equity","NET_INCOME","1993-06-18","2026-05-02","Per=Y","Days=T","Dir=V")</f>
        <v>0</v>
      </c>
      <c r="AG2">
        <f>BDH("FOXA US Equity","IS_INT_EXPENSE","1993-06-18","2026-05-02","Per=Y","Days=T","Dir=V")</f>
        <v>0</v>
      </c>
      <c r="AI2">
        <f>BDH("FOXA US Equity","IS_DEPR_EXP","1993-06-18","2026-05-02","Per=Y","Days=T","Dir=V")</f>
        <v>0</v>
      </c>
      <c r="AK2">
        <f>BDH("FOXA US Equity","CF_CASH_FROM_OPER","1993-06-18","2026-05-02","Per=Y","Days=T","Dir=V")</f>
        <v>0</v>
      </c>
      <c r="AM2">
        <f>BDH("FOXA US Equity","CAPITAL_EXPEND","1993-06-18","2026-05-02","Per=Y","Days=T","Dir=V")</f>
        <v>0</v>
      </c>
      <c r="AO2">
        <f>BDH("FOXA US Equity","CF_FREE_CASH_FLOW","1993-06-18","2026-05-02","Per=Y","Days=T","Dir=V")</f>
        <v>0</v>
      </c>
      <c r="AQ2">
        <f>BDH("FOXA US Equity","PX_LAST","1993-06-18","2026-05-02","Per=M","Days=T","Dir=V")</f>
        <v>0</v>
      </c>
      <c r="AS2">
        <f>BDH("FOXA US Equity","CUR_MKT_CAP","1993-06-18","2026-05-02","Per=M","Days=T","Dir=V")</f>
        <v>0</v>
      </c>
      <c r="AU2">
        <f>BDH("FOXA US Equity","EQY_SH_OUT","1993-06-18","2026-05-02","Per=M","Days=T","Dir=V")</f>
        <v>0</v>
      </c>
      <c r="AW2">
        <f>BDH("FOXA US Equity","PX_VOLUME","1993-06-18","2026-05-02","Per=M","Days=T","Dir=V")</f>
        <v>0</v>
      </c>
      <c r="AY2">
        <f>BDH("FOXA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BDH("FOXF US Equity","BS_TOT_ASSET","1993-06-18","2026-05-02","Per=Y","Days=T","Dir=V")</f>
        <v>0</v>
      </c>
      <c r="C2">
        <f>BDH("FOXF US Equity","BS_TOT_LIAB2","1993-06-18","2026-05-02","Per=Y","Days=T","Dir=V")</f>
        <v>0</v>
      </c>
      <c r="E2">
        <f>BDH("FOXF US Equity","SHORT_AND_LONG_TERM_DEBT","1993-06-18","2026-05-02","Per=Y","Days=T","Dir=V")</f>
        <v>0</v>
      </c>
      <c r="G2">
        <f>BDH("FOXF US Equity","BS_ST_BORROW","1993-06-18","2026-05-02","Per=Y","Days=T","Dir=V")</f>
        <v>0</v>
      </c>
      <c r="I2">
        <f>BDH("FOXF US Equity","BS_LT_BORROW","1993-06-18","2026-05-02","Per=Y","Days=T","Dir=V")</f>
        <v>0</v>
      </c>
      <c r="K2">
        <f>BDH("FOXF US Equity","BS_CASH_NEAR_CASH_ITEM","1993-06-18","2026-05-02","Per=Y","Days=T","Dir=V")</f>
        <v>0</v>
      </c>
      <c r="M2">
        <f>BDH("FOXF US Equity","BS_CUR_ASSET_REPORT","1993-06-18","2026-05-02","Per=Y","Days=T","Dir=V")</f>
        <v>0</v>
      </c>
      <c r="O2">
        <f>BDH("FOXF US Equity","BS_CUR_LIAB","1993-06-18","2026-05-02","Per=Y","Days=T","Dir=V")</f>
        <v>0</v>
      </c>
      <c r="Q2">
        <f>BDH("FOXF US Equity","BS_SHAREHOLDER_EQY_ENDING_PERIOD","1993-06-18","2026-05-02","Per=Y","Days=T","Dir=V")</f>
        <v>0</v>
      </c>
      <c r="S2">
        <f>BDH("FOXF US Equity","BS_ACCT_NOTE_RCV","1993-06-18","2026-05-02","Per=Y","Days=T","Dir=V")</f>
        <v>0</v>
      </c>
      <c r="U2">
        <f>BDH("FOXF US Equity","BS_INVENTORIES","1993-06-18","2026-05-02","Per=Y","Days=T","Dir=V")</f>
        <v>0</v>
      </c>
      <c r="W2">
        <f>BDH("FOXF US Equity","WORKING_CAPITAL","1993-06-18","2026-05-02","Per=Y","Days=T","Dir=V")</f>
        <v>0</v>
      </c>
      <c r="Y2">
        <f>BDH("FOXF US Equity","SALES_REV_TURN","1993-06-18","2026-05-02","Per=Y","Days=T","Dir=V")</f>
        <v>0</v>
      </c>
      <c r="AA2">
        <f>BDH("FOXF US Equity","EBIT","1993-06-18","2026-05-02","Per=Y","Days=T","Dir=V")</f>
        <v>0</v>
      </c>
      <c r="AC2">
        <f>BDH("FOXF US Equity","EBITDA","1993-06-18","2026-05-02","Per=Y","Days=T","Dir=V")</f>
        <v>0</v>
      </c>
      <c r="AE2">
        <f>BDH("FOXF US Equity","NET_INCOME","1993-06-18","2026-05-02","Per=Y","Days=T","Dir=V")</f>
        <v>0</v>
      </c>
      <c r="AG2">
        <f>BDH("FOXF US Equity","IS_INT_EXPENSE","1993-06-18","2026-05-02","Per=Y","Days=T","Dir=V")</f>
        <v>0</v>
      </c>
      <c r="AI2">
        <f>BDH("FOXF US Equity","IS_DEPR_EXP","1993-06-18","2026-05-02","Per=Y","Days=T","Dir=V")</f>
        <v>0</v>
      </c>
      <c r="AK2">
        <f>BDH("FOXF US Equity","CF_CASH_FROM_OPER","1993-06-18","2026-05-02","Per=Y","Days=T","Dir=V")</f>
        <v>0</v>
      </c>
      <c r="AM2">
        <f>BDH("FOXF US Equity","CAPITAL_EXPEND","1993-06-18","2026-05-02","Per=Y","Days=T","Dir=V")</f>
        <v>0</v>
      </c>
      <c r="AO2">
        <f>BDH("FOXF US Equity","CF_FREE_CASH_FLOW","1993-06-18","2026-05-02","Per=Y","Days=T","Dir=V")</f>
        <v>0</v>
      </c>
      <c r="AQ2">
        <f>BDH("FOXF US Equity","PX_LAST","1993-06-18","2026-05-02","Per=M","Days=T","Dir=V")</f>
        <v>0</v>
      </c>
      <c r="AS2">
        <f>BDH("FOXF US Equity","CUR_MKT_CAP","1993-06-18","2026-05-02","Per=M","Days=T","Dir=V")</f>
        <v>0</v>
      </c>
      <c r="AU2">
        <f>BDH("FOXF US Equity","EQY_SH_OUT","1993-06-18","2026-05-02","Per=M","Days=T","Dir=V")</f>
        <v>0</v>
      </c>
      <c r="AW2">
        <f>BDH("FOXF US Equity","PX_VOLUME","1993-06-18","2026-05-02","Per=M","Days=T","Dir=V")</f>
        <v>0</v>
      </c>
      <c r="AY2">
        <f>BDH("FOXF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BDH("FOXX US Equity","BS_TOT_ASSET","1993-06-18","2026-05-02","Per=Y","Days=T","Dir=V")</f>
        <v>0</v>
      </c>
      <c r="C2">
        <f>BDH("FOXX US Equity","BS_TOT_LIAB2","1993-06-18","2026-05-02","Per=Y","Days=T","Dir=V")</f>
        <v>0</v>
      </c>
      <c r="E2">
        <f>BDH("FOXX US Equity","SHORT_AND_LONG_TERM_DEBT","1993-06-18","2026-05-02","Per=Y","Days=T","Dir=V")</f>
        <v>0</v>
      </c>
      <c r="G2">
        <f>BDH("FOXX US Equity","BS_ST_BORROW","1993-06-18","2026-05-02","Per=Y","Days=T","Dir=V")</f>
        <v>0</v>
      </c>
      <c r="I2">
        <f>BDH("FOXX US Equity","BS_LT_BORROW","1993-06-18","2026-05-02","Per=Y","Days=T","Dir=V")</f>
        <v>0</v>
      </c>
      <c r="K2">
        <f>BDH("FOXX US Equity","BS_CASH_NEAR_CASH_ITEM","1993-06-18","2026-05-02","Per=Y","Days=T","Dir=V")</f>
        <v>0</v>
      </c>
      <c r="M2">
        <f>BDH("FOXX US Equity","BS_CUR_ASSET_REPORT","1993-06-18","2026-05-02","Per=Y","Days=T","Dir=V")</f>
        <v>0</v>
      </c>
      <c r="O2">
        <f>BDH("FOXX US Equity","BS_CUR_LIAB","1993-06-18","2026-05-02","Per=Y","Days=T","Dir=V")</f>
        <v>0</v>
      </c>
      <c r="Q2">
        <f>BDH("FOXX US Equity","BS_SHAREHOLDER_EQY_ENDING_PERIOD","1993-06-18","2026-05-02","Per=Y","Days=T","Dir=V")</f>
        <v>0</v>
      </c>
      <c r="S2">
        <f>BDH("FOXX US Equity","BS_ACCT_NOTE_RCV","1993-06-18","2026-05-02","Per=Y","Days=T","Dir=V")</f>
        <v>0</v>
      </c>
      <c r="U2">
        <f>BDH("FOXX US Equity","BS_INVENTORIES","1993-06-18","2026-05-02","Per=Y","Days=T","Dir=V")</f>
        <v>0</v>
      </c>
      <c r="W2">
        <f>BDH("FOXX US Equity","WORKING_CAPITAL","1993-06-18","2026-05-02","Per=Y","Days=T","Dir=V")</f>
        <v>0</v>
      </c>
      <c r="Y2">
        <f>BDH("FOXX US Equity","SALES_REV_TURN","1993-06-18","2026-05-02","Per=Y","Days=T","Dir=V")</f>
        <v>0</v>
      </c>
      <c r="AA2">
        <f>BDH("FOXX US Equity","EBIT","1993-06-18","2026-05-02","Per=Y","Days=T","Dir=V")</f>
        <v>0</v>
      </c>
      <c r="AC2">
        <f>BDH("FOXX US Equity","EBITDA","1993-06-18","2026-05-02","Per=Y","Days=T","Dir=V")</f>
        <v>0</v>
      </c>
      <c r="AE2">
        <f>BDH("FOXX US Equity","NET_INCOME","1993-06-18","2026-05-02","Per=Y","Days=T","Dir=V")</f>
        <v>0</v>
      </c>
      <c r="AG2">
        <f>BDH("FOXX US Equity","IS_INT_EXPENSE","1993-06-18","2026-05-02","Per=Y","Days=T","Dir=V")</f>
        <v>0</v>
      </c>
      <c r="AI2">
        <f>BDH("FOXX US Equity","IS_DEPR_EXP","1993-06-18","2026-05-02","Per=Y","Days=T","Dir=V")</f>
        <v>0</v>
      </c>
      <c r="AK2">
        <f>BDH("FOXX US Equity","CF_CASH_FROM_OPER","1993-06-18","2026-05-02","Per=Y","Days=T","Dir=V")</f>
        <v>0</v>
      </c>
      <c r="AM2">
        <f>BDH("FOXX US Equity","CAPITAL_EXPEND","1993-06-18","2026-05-02","Per=Y","Days=T","Dir=V")</f>
        <v>0</v>
      </c>
      <c r="AO2">
        <f>BDH("FOXX US Equity","CF_FREE_CASH_FLOW","1993-06-18","2026-05-02","Per=Y","Days=T","Dir=V")</f>
        <v>0</v>
      </c>
      <c r="AQ2">
        <f>BDH("FOXX US Equity","PX_LAST","1993-06-18","2026-05-02","Per=M","Days=T","Dir=V")</f>
        <v>0</v>
      </c>
      <c r="AS2">
        <f>BDH("FOXX US Equity","CUR_MKT_CAP","1993-06-18","2026-05-02","Per=M","Days=T","Dir=V")</f>
        <v>0</v>
      </c>
      <c r="AU2">
        <f>BDH("FOXX US Equity","EQY_SH_OUT","1993-06-18","2026-05-02","Per=M","Days=T","Dir=V")</f>
        <v>0</v>
      </c>
      <c r="AW2">
        <f>BDH("FOXX US Equity","PX_VOLUME","1993-06-18","2026-05-02","Per=M","Days=T","Dir=V")</f>
        <v>0</v>
      </c>
      <c r="AY2">
        <f>BDH("FOXX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BDH("FPS US Equity","BS_TOT_ASSET","1993-06-18","2026-05-02","Per=Y","Days=T","Dir=V")</f>
        <v>0</v>
      </c>
      <c r="C2">
        <f>BDH("FPS US Equity","BS_TOT_LIAB2","1993-06-18","2026-05-02","Per=Y","Days=T","Dir=V")</f>
        <v>0</v>
      </c>
      <c r="E2">
        <f>BDH("FPS US Equity","SHORT_AND_LONG_TERM_DEBT","1993-06-18","2026-05-02","Per=Y","Days=T","Dir=V")</f>
        <v>0</v>
      </c>
      <c r="G2">
        <f>BDH("FPS US Equity","BS_ST_BORROW","1993-06-18","2026-05-02","Per=Y","Days=T","Dir=V")</f>
        <v>0</v>
      </c>
      <c r="I2">
        <f>BDH("FPS US Equity","BS_LT_BORROW","1993-06-18","2026-05-02","Per=Y","Days=T","Dir=V")</f>
        <v>0</v>
      </c>
      <c r="K2">
        <f>BDH("FPS US Equity","BS_CASH_NEAR_CASH_ITEM","1993-06-18","2026-05-02","Per=Y","Days=T","Dir=V")</f>
        <v>0</v>
      </c>
      <c r="M2">
        <f>BDH("FPS US Equity","BS_CUR_ASSET_REPORT","1993-06-18","2026-05-02","Per=Y","Days=T","Dir=V")</f>
        <v>0</v>
      </c>
      <c r="O2">
        <f>BDH("FPS US Equity","BS_CUR_LIAB","1993-06-18","2026-05-02","Per=Y","Days=T","Dir=V")</f>
        <v>0</v>
      </c>
      <c r="Q2">
        <f>BDH("FPS US Equity","BS_SHAREHOLDER_EQY_ENDING_PERIOD","1993-06-18","2026-05-02","Per=Y","Days=T","Dir=V")</f>
        <v>0</v>
      </c>
      <c r="S2">
        <f>BDH("FPS US Equity","BS_ACCT_NOTE_RCV","1993-06-18","2026-05-02","Per=Y","Days=T","Dir=V")</f>
        <v>0</v>
      </c>
      <c r="U2">
        <f>BDH("FPS US Equity","BS_INVENTORIES","1993-06-18","2026-05-02","Per=Y","Days=T","Dir=V")</f>
        <v>0</v>
      </c>
      <c r="W2">
        <f>BDH("FPS US Equity","WORKING_CAPITAL","1993-06-18","2026-05-02","Per=Y","Days=T","Dir=V")</f>
        <v>0</v>
      </c>
      <c r="Y2">
        <f>BDH("FPS US Equity","SALES_REV_TURN","1993-06-18","2026-05-02","Per=Y","Days=T","Dir=V")</f>
        <v>0</v>
      </c>
      <c r="AA2">
        <f>BDH("FPS US Equity","EBIT","1993-06-18","2026-05-02","Per=Y","Days=T","Dir=V")</f>
        <v>0</v>
      </c>
      <c r="AC2">
        <f>BDH("FPS US Equity","EBITDA","1993-06-18","2026-05-02","Per=Y","Days=T","Dir=V")</f>
        <v>0</v>
      </c>
      <c r="AE2">
        <f>BDH("FPS US Equity","NET_INCOME","1993-06-18","2026-05-02","Per=Y","Days=T","Dir=V")</f>
        <v>0</v>
      </c>
      <c r="AG2">
        <f>BDH("FPS US Equity","IS_INT_EXPENSE","1993-06-18","2026-05-02","Per=Y","Days=T","Dir=V")</f>
        <v>0</v>
      </c>
      <c r="AI2">
        <f>BDH("FPS US Equity","IS_DEPR_EXP","1993-06-18","2026-05-02","Per=Y","Days=T","Dir=V")</f>
        <v>0</v>
      </c>
      <c r="AK2">
        <f>BDH("FPS US Equity","CF_CASH_FROM_OPER","1993-06-18","2026-05-02","Per=Y","Days=T","Dir=V")</f>
        <v>0</v>
      </c>
      <c r="AM2">
        <f>BDH("FPS US Equity","CAPITAL_EXPEND","1993-06-18","2026-05-02","Per=Y","Days=T","Dir=V")</f>
        <v>0</v>
      </c>
      <c r="AO2">
        <f>BDH("FPS US Equity","CF_FREE_CASH_FLOW","1993-06-18","2026-05-02","Per=Y","Days=T","Dir=V")</f>
        <v>0</v>
      </c>
      <c r="AQ2">
        <f>BDH("FPS US Equity","PX_LAST","1993-06-18","2026-05-02","Per=M","Days=T","Dir=V")</f>
        <v>0</v>
      </c>
      <c r="AS2">
        <f>BDH("FPS US Equity","CUR_MKT_CAP","1993-06-18","2026-05-02","Per=M","Days=T","Dir=V")</f>
        <v>0</v>
      </c>
      <c r="AU2">
        <f>BDH("FPS US Equity","EQY_SH_OUT","1993-06-18","2026-05-02","Per=M","Days=T","Dir=V")</f>
        <v>0</v>
      </c>
      <c r="AW2">
        <f>BDH("FPS US Equity","PX_VOLUME","1993-06-18","2026-05-02","Per=M","Days=T","Dir=V")</f>
        <v>0</v>
      </c>
      <c r="AY2">
        <f>BDH("FPS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BDH("FRD US Equity","BS_TOT_ASSET","1993-06-18","2026-05-02","Per=Y","Days=T","Dir=V")</f>
        <v>0</v>
      </c>
      <c r="C2">
        <f>BDH("FRD US Equity","BS_TOT_LIAB2","1993-06-18","2026-05-02","Per=Y","Days=T","Dir=V")</f>
        <v>0</v>
      </c>
      <c r="E2">
        <f>BDH("FRD US Equity","SHORT_AND_LONG_TERM_DEBT","1993-06-18","2026-05-02","Per=Y","Days=T","Dir=V")</f>
        <v>0</v>
      </c>
      <c r="G2">
        <f>BDH("FRD US Equity","BS_ST_BORROW","1993-06-18","2026-05-02","Per=Y","Days=T","Dir=V")</f>
        <v>0</v>
      </c>
      <c r="I2">
        <f>BDH("FRD US Equity","BS_LT_BORROW","1993-06-18","2026-05-02","Per=Y","Days=T","Dir=V")</f>
        <v>0</v>
      </c>
      <c r="K2">
        <f>BDH("FRD US Equity","BS_CASH_NEAR_CASH_ITEM","1993-06-18","2026-05-02","Per=Y","Days=T","Dir=V")</f>
        <v>0</v>
      </c>
      <c r="M2">
        <f>BDH("FRD US Equity","BS_CUR_ASSET_REPORT","1993-06-18","2026-05-02","Per=Y","Days=T","Dir=V")</f>
        <v>0</v>
      </c>
      <c r="O2">
        <f>BDH("FRD US Equity","BS_CUR_LIAB","1993-06-18","2026-05-02","Per=Y","Days=T","Dir=V")</f>
        <v>0</v>
      </c>
      <c r="Q2">
        <f>BDH("FRD US Equity","BS_SHAREHOLDER_EQY_ENDING_PERIOD","1993-06-18","2026-05-02","Per=Y","Days=T","Dir=V")</f>
        <v>0</v>
      </c>
      <c r="S2">
        <f>BDH("FRD US Equity","BS_ACCT_NOTE_RCV","1993-06-18","2026-05-02","Per=Y","Days=T","Dir=V")</f>
        <v>0</v>
      </c>
      <c r="U2">
        <f>BDH("FRD US Equity","BS_INVENTORIES","1993-06-18","2026-05-02","Per=Y","Days=T","Dir=V")</f>
        <v>0</v>
      </c>
      <c r="W2">
        <f>BDH("FRD US Equity","WORKING_CAPITAL","1993-06-18","2026-05-02","Per=Y","Days=T","Dir=V")</f>
        <v>0</v>
      </c>
      <c r="Y2">
        <f>BDH("FRD US Equity","SALES_REV_TURN","1993-06-18","2026-05-02","Per=Y","Days=T","Dir=V")</f>
        <v>0</v>
      </c>
      <c r="AA2">
        <f>BDH("FRD US Equity","EBIT","1993-06-18","2026-05-02","Per=Y","Days=T","Dir=V")</f>
        <v>0</v>
      </c>
      <c r="AC2">
        <f>BDH("FRD US Equity","EBITDA","1993-06-18","2026-05-02","Per=Y","Days=T","Dir=V")</f>
        <v>0</v>
      </c>
      <c r="AE2">
        <f>BDH("FRD US Equity","NET_INCOME","1993-06-18","2026-05-02","Per=Y","Days=T","Dir=V")</f>
        <v>0</v>
      </c>
      <c r="AG2">
        <f>BDH("FRD US Equity","IS_INT_EXPENSE","1993-06-18","2026-05-02","Per=Y","Days=T","Dir=V")</f>
        <v>0</v>
      </c>
      <c r="AI2">
        <f>BDH("FRD US Equity","IS_DEPR_EXP","1993-06-18","2026-05-02","Per=Y","Days=T","Dir=V")</f>
        <v>0</v>
      </c>
      <c r="AK2">
        <f>BDH("FRD US Equity","CF_CASH_FROM_OPER","1993-06-18","2026-05-02","Per=Y","Days=T","Dir=V")</f>
        <v>0</v>
      </c>
      <c r="AM2">
        <f>BDH("FRD US Equity","CAPITAL_EXPEND","1993-06-18","2026-05-02","Per=Y","Days=T","Dir=V")</f>
        <v>0</v>
      </c>
      <c r="AO2">
        <f>BDH("FRD US Equity","CF_FREE_CASH_FLOW","1993-06-18","2026-05-02","Per=Y","Days=T","Dir=V")</f>
        <v>0</v>
      </c>
      <c r="AQ2">
        <f>BDH("FRD US Equity","PX_LAST","1993-06-18","2026-05-02","Per=M","Days=T","Dir=V")</f>
        <v>0</v>
      </c>
      <c r="AS2">
        <f>BDH("FRD US Equity","CUR_MKT_CAP","1993-06-18","2026-05-02","Per=M","Days=T","Dir=V")</f>
        <v>0</v>
      </c>
      <c r="AU2">
        <f>BDH("FRD US Equity","EQY_SH_OUT","1993-06-18","2026-05-02","Per=M","Days=T","Dir=V")</f>
        <v>0</v>
      </c>
      <c r="AW2">
        <f>BDH("FRD US Equity","PX_VOLUME","1993-06-18","2026-05-02","Per=M","Days=T","Dir=V")</f>
        <v>0</v>
      </c>
      <c r="AY2">
        <f>BDH("FRD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BDH("FRGT US Equity","BS_TOT_ASSET","1993-06-18","2026-05-02","Per=Y","Days=T","Dir=V")</f>
        <v>0</v>
      </c>
      <c r="C2">
        <f>BDH("FRGT US Equity","BS_TOT_LIAB2","1993-06-18","2026-05-02","Per=Y","Days=T","Dir=V")</f>
        <v>0</v>
      </c>
      <c r="E2">
        <f>BDH("FRGT US Equity","SHORT_AND_LONG_TERM_DEBT","1993-06-18","2026-05-02","Per=Y","Days=T","Dir=V")</f>
        <v>0</v>
      </c>
      <c r="G2">
        <f>BDH("FRGT US Equity","BS_ST_BORROW","1993-06-18","2026-05-02","Per=Y","Days=T","Dir=V")</f>
        <v>0</v>
      </c>
      <c r="I2">
        <f>BDH("FRGT US Equity","BS_LT_BORROW","1993-06-18","2026-05-02","Per=Y","Days=T","Dir=V")</f>
        <v>0</v>
      </c>
      <c r="K2">
        <f>BDH("FRGT US Equity","BS_CASH_NEAR_CASH_ITEM","1993-06-18","2026-05-02","Per=Y","Days=T","Dir=V")</f>
        <v>0</v>
      </c>
      <c r="M2">
        <f>BDH("FRGT US Equity","BS_CUR_ASSET_REPORT","1993-06-18","2026-05-02","Per=Y","Days=T","Dir=V")</f>
        <v>0</v>
      </c>
      <c r="O2">
        <f>BDH("FRGT US Equity","BS_CUR_LIAB","1993-06-18","2026-05-02","Per=Y","Days=T","Dir=V")</f>
        <v>0</v>
      </c>
      <c r="Q2">
        <f>BDH("FRGT US Equity","BS_SHAREHOLDER_EQY_ENDING_PERIOD","1993-06-18","2026-05-02","Per=Y","Days=T","Dir=V")</f>
        <v>0</v>
      </c>
      <c r="S2">
        <f>BDH("FRGT US Equity","BS_ACCT_NOTE_RCV","1993-06-18","2026-05-02","Per=Y","Days=T","Dir=V")</f>
        <v>0</v>
      </c>
      <c r="U2">
        <f>BDH("FRGT US Equity","BS_INVENTORIES","1993-06-18","2026-05-02","Per=Y","Days=T","Dir=V")</f>
        <v>0</v>
      </c>
      <c r="W2">
        <f>BDH("FRGT US Equity","WORKING_CAPITAL","1993-06-18","2026-05-02","Per=Y","Days=T","Dir=V")</f>
        <v>0</v>
      </c>
      <c r="Y2">
        <f>BDH("FRGT US Equity","SALES_REV_TURN","1993-06-18","2026-05-02","Per=Y","Days=T","Dir=V")</f>
        <v>0</v>
      </c>
      <c r="AA2">
        <f>BDH("FRGT US Equity","EBIT","1993-06-18","2026-05-02","Per=Y","Days=T","Dir=V")</f>
        <v>0</v>
      </c>
      <c r="AC2">
        <f>BDH("FRGT US Equity","EBITDA","1993-06-18","2026-05-02","Per=Y","Days=T","Dir=V")</f>
        <v>0</v>
      </c>
      <c r="AE2">
        <f>BDH("FRGT US Equity","NET_INCOME","1993-06-18","2026-05-02","Per=Y","Days=T","Dir=V")</f>
        <v>0</v>
      </c>
      <c r="AG2">
        <f>BDH("FRGT US Equity","IS_INT_EXPENSE","1993-06-18","2026-05-02","Per=Y","Days=T","Dir=V")</f>
        <v>0</v>
      </c>
      <c r="AI2">
        <f>BDH("FRGT US Equity","IS_DEPR_EXP","1993-06-18","2026-05-02","Per=Y","Days=T","Dir=V")</f>
        <v>0</v>
      </c>
      <c r="AK2">
        <f>BDH("FRGT US Equity","CF_CASH_FROM_OPER","1993-06-18","2026-05-02","Per=Y","Days=T","Dir=V")</f>
        <v>0</v>
      </c>
      <c r="AM2">
        <f>BDH("FRGT US Equity","CAPITAL_EXPEND","1993-06-18","2026-05-02","Per=Y","Days=T","Dir=V")</f>
        <v>0</v>
      </c>
      <c r="AO2">
        <f>BDH("FRGT US Equity","CF_FREE_CASH_FLOW","1993-06-18","2026-05-02","Per=Y","Days=T","Dir=V")</f>
        <v>0</v>
      </c>
      <c r="AQ2">
        <f>BDH("FRGT US Equity","PX_LAST","1993-06-18","2026-05-02","Per=M","Days=T","Dir=V")</f>
        <v>0</v>
      </c>
      <c r="AS2">
        <f>BDH("FRGT US Equity","CUR_MKT_CAP","1993-06-18","2026-05-02","Per=M","Days=T","Dir=V")</f>
        <v>0</v>
      </c>
      <c r="AU2">
        <f>BDH("FRGT US Equity","EQY_SH_OUT","1993-06-18","2026-05-02","Per=M","Days=T","Dir=V")</f>
        <v>0</v>
      </c>
      <c r="AW2">
        <f>BDH("FRGT US Equity","PX_VOLUME","1993-06-18","2026-05-02","Per=M","Days=T","Dir=V")</f>
        <v>0</v>
      </c>
      <c r="AY2">
        <f>BDH("FRGT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BDH("FRNM US Equity","BS_TOT_ASSET","1993-06-18","2026-05-02","Per=Y","Days=T","Dir=V")</f>
        <v>0</v>
      </c>
      <c r="C2">
        <f>BDH("FRNM US Equity","BS_TOT_LIAB2","1993-06-18","2026-05-02","Per=Y","Days=T","Dir=V")</f>
        <v>0</v>
      </c>
      <c r="E2">
        <f>BDH("FRNM US Equity","SHORT_AND_LONG_TERM_DEBT","1993-06-18","2026-05-02","Per=Y","Days=T","Dir=V")</f>
        <v>0</v>
      </c>
      <c r="G2">
        <f>BDH("FRNM US Equity","BS_ST_BORROW","1993-06-18","2026-05-02","Per=Y","Days=T","Dir=V")</f>
        <v>0</v>
      </c>
      <c r="I2">
        <f>BDH("FRNM US Equity","BS_LT_BORROW","1993-06-18","2026-05-02","Per=Y","Days=T","Dir=V")</f>
        <v>0</v>
      </c>
      <c r="K2">
        <f>BDH("FRNM US Equity","BS_CASH_NEAR_CASH_ITEM","1993-06-18","2026-05-02","Per=Y","Days=T","Dir=V")</f>
        <v>0</v>
      </c>
      <c r="M2">
        <f>BDH("FRNM US Equity","BS_CUR_ASSET_REPORT","1993-06-18","2026-05-02","Per=Y","Days=T","Dir=V")</f>
        <v>0</v>
      </c>
      <c r="O2">
        <f>BDH("FRNM US Equity","BS_CUR_LIAB","1993-06-18","2026-05-02","Per=Y","Days=T","Dir=V")</f>
        <v>0</v>
      </c>
      <c r="Q2">
        <f>BDH("FRNM US Equity","BS_SHAREHOLDER_EQY_ENDING_PERIOD","1993-06-18","2026-05-02","Per=Y","Days=T","Dir=V")</f>
        <v>0</v>
      </c>
      <c r="S2">
        <f>BDH("FRNM US Equity","BS_ACCT_NOTE_RCV","1993-06-18","2026-05-02","Per=Y","Days=T","Dir=V")</f>
        <v>0</v>
      </c>
      <c r="U2">
        <f>BDH("FRNM US Equity","BS_INVENTORIES","1993-06-18","2026-05-02","Per=Y","Days=T","Dir=V")</f>
        <v>0</v>
      </c>
      <c r="W2">
        <f>BDH("FRNM US Equity","WORKING_CAPITAL","1993-06-18","2026-05-02","Per=Y","Days=T","Dir=V")</f>
        <v>0</v>
      </c>
      <c r="Y2">
        <f>BDH("FRNM US Equity","SALES_REV_TURN","1993-06-18","2026-05-02","Per=Y","Days=T","Dir=V")</f>
        <v>0</v>
      </c>
      <c r="AA2">
        <f>BDH("FRNM US Equity","EBIT","1993-06-18","2026-05-02","Per=Y","Days=T","Dir=V")</f>
        <v>0</v>
      </c>
      <c r="AC2">
        <f>BDH("FRNM US Equity","EBITDA","1993-06-18","2026-05-02","Per=Y","Days=T","Dir=V")</f>
        <v>0</v>
      </c>
      <c r="AE2">
        <f>BDH("FRNM US Equity","NET_INCOME","1993-06-18","2026-05-02","Per=Y","Days=T","Dir=V")</f>
        <v>0</v>
      </c>
      <c r="AG2">
        <f>BDH("FRNM US Equity","IS_INT_EXPENSE","1993-06-18","2026-05-02","Per=Y","Days=T","Dir=V")</f>
        <v>0</v>
      </c>
      <c r="AI2">
        <f>BDH("FRNM US Equity","IS_DEPR_EXP","1993-06-18","2026-05-02","Per=Y","Days=T","Dir=V")</f>
        <v>0</v>
      </c>
      <c r="AK2">
        <f>BDH("FRNM US Equity","CF_CASH_FROM_OPER","1993-06-18","2026-05-02","Per=Y","Days=T","Dir=V")</f>
        <v>0</v>
      </c>
      <c r="AM2">
        <f>BDH("FRNM US Equity","CAPITAL_EXPEND","1993-06-18","2026-05-02","Per=Y","Days=T","Dir=V")</f>
        <v>0</v>
      </c>
      <c r="AO2">
        <f>BDH("FRNM US Equity","CF_FREE_CASH_FLOW","1993-06-18","2026-05-02","Per=Y","Days=T","Dir=V")</f>
        <v>0</v>
      </c>
      <c r="AQ2">
        <f>BDH("FRNM US Equity","PX_LAST","1993-06-18","2026-05-02","Per=M","Days=T","Dir=V")</f>
        <v>0</v>
      </c>
      <c r="AS2">
        <f>BDH("FRNM US Equity","CUR_MKT_CAP","1993-06-18","2026-05-02","Per=M","Days=T","Dir=V")</f>
        <v>0</v>
      </c>
      <c r="AU2">
        <f>BDH("FRNM US Equity","EQY_SH_OUT","1993-06-18","2026-05-02","Per=M","Days=T","Dir=V")</f>
        <v>0</v>
      </c>
      <c r="AW2">
        <f>BDH("FRNM US Equity","PX_VOLUME","1993-06-18","2026-05-02","Per=M","Days=T","Dir=V")</f>
        <v>0</v>
      </c>
      <c r="AY2">
        <f>BDH("FRNM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BDH("FROG US Equity","BS_TOT_ASSET","1993-06-18","2026-05-02","Per=Y","Days=T","Dir=V")</f>
        <v>0</v>
      </c>
      <c r="C2">
        <f>BDH("FROG US Equity","BS_TOT_LIAB2","1993-06-18","2026-05-02","Per=Y","Days=T","Dir=V")</f>
        <v>0</v>
      </c>
      <c r="E2">
        <f>BDH("FROG US Equity","SHORT_AND_LONG_TERM_DEBT","1993-06-18","2026-05-02","Per=Y","Days=T","Dir=V")</f>
        <v>0</v>
      </c>
      <c r="G2">
        <f>BDH("FROG US Equity","BS_ST_BORROW","1993-06-18","2026-05-02","Per=Y","Days=T","Dir=V")</f>
        <v>0</v>
      </c>
      <c r="I2">
        <f>BDH("FROG US Equity","BS_LT_BORROW","1993-06-18","2026-05-02","Per=Y","Days=T","Dir=V")</f>
        <v>0</v>
      </c>
      <c r="K2">
        <f>BDH("FROG US Equity","BS_CASH_NEAR_CASH_ITEM","1993-06-18","2026-05-02","Per=Y","Days=T","Dir=V")</f>
        <v>0</v>
      </c>
      <c r="M2">
        <f>BDH("FROG US Equity","BS_CUR_ASSET_REPORT","1993-06-18","2026-05-02","Per=Y","Days=T","Dir=V")</f>
        <v>0</v>
      </c>
      <c r="O2">
        <f>BDH("FROG US Equity","BS_CUR_LIAB","1993-06-18","2026-05-02","Per=Y","Days=T","Dir=V")</f>
        <v>0</v>
      </c>
      <c r="Q2">
        <f>BDH("FROG US Equity","BS_SHAREHOLDER_EQY_ENDING_PERIOD","1993-06-18","2026-05-02","Per=Y","Days=T","Dir=V")</f>
        <v>0</v>
      </c>
      <c r="S2">
        <f>BDH("FROG US Equity","BS_ACCT_NOTE_RCV","1993-06-18","2026-05-02","Per=Y","Days=T","Dir=V")</f>
        <v>0</v>
      </c>
      <c r="U2">
        <f>BDH("FROG US Equity","BS_INVENTORIES","1993-06-18","2026-05-02","Per=Y","Days=T","Dir=V")</f>
        <v>0</v>
      </c>
      <c r="W2">
        <f>BDH("FROG US Equity","WORKING_CAPITAL","1993-06-18","2026-05-02","Per=Y","Days=T","Dir=V")</f>
        <v>0</v>
      </c>
      <c r="Y2">
        <f>BDH("FROG US Equity","SALES_REV_TURN","1993-06-18","2026-05-02","Per=Y","Days=T","Dir=V")</f>
        <v>0</v>
      </c>
      <c r="AA2">
        <f>BDH("FROG US Equity","EBIT","1993-06-18","2026-05-02","Per=Y","Days=T","Dir=V")</f>
        <v>0</v>
      </c>
      <c r="AC2">
        <f>BDH("FROG US Equity","EBITDA","1993-06-18","2026-05-02","Per=Y","Days=T","Dir=V")</f>
        <v>0</v>
      </c>
      <c r="AE2">
        <f>BDH("FROG US Equity","NET_INCOME","1993-06-18","2026-05-02","Per=Y","Days=T","Dir=V")</f>
        <v>0</v>
      </c>
      <c r="AG2">
        <f>BDH("FROG US Equity","IS_INT_EXPENSE","1993-06-18","2026-05-02","Per=Y","Days=T","Dir=V")</f>
        <v>0</v>
      </c>
      <c r="AI2">
        <f>BDH("FROG US Equity","IS_DEPR_EXP","1993-06-18","2026-05-02","Per=Y","Days=T","Dir=V")</f>
        <v>0</v>
      </c>
      <c r="AK2">
        <f>BDH("FROG US Equity","CF_CASH_FROM_OPER","1993-06-18","2026-05-02","Per=Y","Days=T","Dir=V")</f>
        <v>0</v>
      </c>
      <c r="AM2">
        <f>BDH("FROG US Equity","CAPITAL_EXPEND","1993-06-18","2026-05-02","Per=Y","Days=T","Dir=V")</f>
        <v>0</v>
      </c>
      <c r="AO2">
        <f>BDH("FROG US Equity","CF_FREE_CASH_FLOW","1993-06-18","2026-05-02","Per=Y","Days=T","Dir=V")</f>
        <v>0</v>
      </c>
      <c r="AQ2">
        <f>BDH("FROG US Equity","PX_LAST","1993-06-18","2026-05-02","Per=M","Days=T","Dir=V")</f>
        <v>0</v>
      </c>
      <c r="AS2">
        <f>BDH("FROG US Equity","CUR_MKT_CAP","1993-06-18","2026-05-02","Per=M","Days=T","Dir=V")</f>
        <v>0</v>
      </c>
      <c r="AU2">
        <f>BDH("FROG US Equity","EQY_SH_OUT","1993-06-18","2026-05-02","Per=M","Days=T","Dir=V")</f>
        <v>0</v>
      </c>
      <c r="AW2">
        <f>BDH("FROG US Equity","PX_VOLUME","1993-06-18","2026-05-02","Per=M","Days=T","Dir=V")</f>
        <v>0</v>
      </c>
      <c r="AY2">
        <f>BDH("FROG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BDH("FRPT US Equity","BS_TOT_ASSET","1993-06-18","2026-05-02","Per=Y","Days=T","Dir=V")</f>
        <v>0</v>
      </c>
      <c r="C2">
        <f>BDH("FRPT US Equity","BS_TOT_LIAB2","1993-06-18","2026-05-02","Per=Y","Days=T","Dir=V")</f>
        <v>0</v>
      </c>
      <c r="E2">
        <f>BDH("FRPT US Equity","SHORT_AND_LONG_TERM_DEBT","1993-06-18","2026-05-02","Per=Y","Days=T","Dir=V")</f>
        <v>0</v>
      </c>
      <c r="G2">
        <f>BDH("FRPT US Equity","BS_ST_BORROW","1993-06-18","2026-05-02","Per=Y","Days=T","Dir=V")</f>
        <v>0</v>
      </c>
      <c r="I2">
        <f>BDH("FRPT US Equity","BS_LT_BORROW","1993-06-18","2026-05-02","Per=Y","Days=T","Dir=V")</f>
        <v>0</v>
      </c>
      <c r="K2">
        <f>BDH("FRPT US Equity","BS_CASH_NEAR_CASH_ITEM","1993-06-18","2026-05-02","Per=Y","Days=T","Dir=V")</f>
        <v>0</v>
      </c>
      <c r="M2">
        <f>BDH("FRPT US Equity","BS_CUR_ASSET_REPORT","1993-06-18","2026-05-02","Per=Y","Days=T","Dir=V")</f>
        <v>0</v>
      </c>
      <c r="O2">
        <f>BDH("FRPT US Equity","BS_CUR_LIAB","1993-06-18","2026-05-02","Per=Y","Days=T","Dir=V")</f>
        <v>0</v>
      </c>
      <c r="Q2">
        <f>BDH("FRPT US Equity","BS_SHAREHOLDER_EQY_ENDING_PERIOD","1993-06-18","2026-05-02","Per=Y","Days=T","Dir=V")</f>
        <v>0</v>
      </c>
      <c r="S2">
        <f>BDH("FRPT US Equity","BS_ACCT_NOTE_RCV","1993-06-18","2026-05-02","Per=Y","Days=T","Dir=V")</f>
        <v>0</v>
      </c>
      <c r="U2">
        <f>BDH("FRPT US Equity","BS_INVENTORIES","1993-06-18","2026-05-02","Per=Y","Days=T","Dir=V")</f>
        <v>0</v>
      </c>
      <c r="W2">
        <f>BDH("FRPT US Equity","WORKING_CAPITAL","1993-06-18","2026-05-02","Per=Y","Days=T","Dir=V")</f>
        <v>0</v>
      </c>
      <c r="Y2">
        <f>BDH("FRPT US Equity","SALES_REV_TURN","1993-06-18","2026-05-02","Per=Y","Days=T","Dir=V")</f>
        <v>0</v>
      </c>
      <c r="AA2">
        <f>BDH("FRPT US Equity","EBIT","1993-06-18","2026-05-02","Per=Y","Days=T","Dir=V")</f>
        <v>0</v>
      </c>
      <c r="AC2">
        <f>BDH("FRPT US Equity","EBITDA","1993-06-18","2026-05-02","Per=Y","Days=T","Dir=V")</f>
        <v>0</v>
      </c>
      <c r="AE2">
        <f>BDH("FRPT US Equity","NET_INCOME","1993-06-18","2026-05-02","Per=Y","Days=T","Dir=V")</f>
        <v>0</v>
      </c>
      <c r="AG2">
        <f>BDH("FRPT US Equity","IS_INT_EXPENSE","1993-06-18","2026-05-02","Per=Y","Days=T","Dir=V")</f>
        <v>0</v>
      </c>
      <c r="AI2">
        <f>BDH("FRPT US Equity","IS_DEPR_EXP","1993-06-18","2026-05-02","Per=Y","Days=T","Dir=V")</f>
        <v>0</v>
      </c>
      <c r="AK2">
        <f>BDH("FRPT US Equity","CF_CASH_FROM_OPER","1993-06-18","2026-05-02","Per=Y","Days=T","Dir=V")</f>
        <v>0</v>
      </c>
      <c r="AM2">
        <f>BDH("FRPT US Equity","CAPITAL_EXPEND","1993-06-18","2026-05-02","Per=Y","Days=T","Dir=V")</f>
        <v>0</v>
      </c>
      <c r="AO2">
        <f>BDH("FRPT US Equity","CF_FREE_CASH_FLOW","1993-06-18","2026-05-02","Per=Y","Days=T","Dir=V")</f>
        <v>0</v>
      </c>
      <c r="AQ2">
        <f>BDH("FRPT US Equity","PX_LAST","1993-06-18","2026-05-02","Per=M","Days=T","Dir=V")</f>
        <v>0</v>
      </c>
      <c r="AS2">
        <f>BDH("FRPT US Equity","CUR_MKT_CAP","1993-06-18","2026-05-02","Per=M","Days=T","Dir=V")</f>
        <v>0</v>
      </c>
      <c r="AU2">
        <f>BDH("FRPT US Equity","EQY_SH_OUT","1993-06-18","2026-05-02","Per=M","Days=T","Dir=V")</f>
        <v>0</v>
      </c>
      <c r="AW2">
        <f>BDH("FRPT US Equity","PX_VOLUME","1993-06-18","2026-05-02","Per=M","Days=T","Dir=V")</f>
        <v>0</v>
      </c>
      <c r="AY2">
        <f>BDH("FRPT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BDH("FRSH US Equity","BS_TOT_ASSET","1993-06-18","2026-05-02","Per=Y","Days=T","Dir=V")</f>
        <v>0</v>
      </c>
      <c r="C2">
        <f>BDH("FRSH US Equity","BS_TOT_LIAB2","1993-06-18","2026-05-02","Per=Y","Days=T","Dir=V")</f>
        <v>0</v>
      </c>
      <c r="E2">
        <f>BDH("FRSH US Equity","SHORT_AND_LONG_TERM_DEBT","1993-06-18","2026-05-02","Per=Y","Days=T","Dir=V")</f>
        <v>0</v>
      </c>
      <c r="G2">
        <f>BDH("FRSH US Equity","BS_ST_BORROW","1993-06-18","2026-05-02","Per=Y","Days=T","Dir=V")</f>
        <v>0</v>
      </c>
      <c r="I2">
        <f>BDH("FRSH US Equity","BS_LT_BORROW","1993-06-18","2026-05-02","Per=Y","Days=T","Dir=V")</f>
        <v>0</v>
      </c>
      <c r="K2">
        <f>BDH("FRSH US Equity","BS_CASH_NEAR_CASH_ITEM","1993-06-18","2026-05-02","Per=Y","Days=T","Dir=V")</f>
        <v>0</v>
      </c>
      <c r="M2">
        <f>BDH("FRSH US Equity","BS_CUR_ASSET_REPORT","1993-06-18","2026-05-02","Per=Y","Days=T","Dir=V")</f>
        <v>0</v>
      </c>
      <c r="O2">
        <f>BDH("FRSH US Equity","BS_CUR_LIAB","1993-06-18","2026-05-02","Per=Y","Days=T","Dir=V")</f>
        <v>0</v>
      </c>
      <c r="Q2">
        <f>BDH("FRSH US Equity","BS_SHAREHOLDER_EQY_ENDING_PERIOD","1993-06-18","2026-05-02","Per=Y","Days=T","Dir=V")</f>
        <v>0</v>
      </c>
      <c r="S2">
        <f>BDH("FRSH US Equity","BS_ACCT_NOTE_RCV","1993-06-18","2026-05-02","Per=Y","Days=T","Dir=V")</f>
        <v>0</v>
      </c>
      <c r="U2">
        <f>BDH("FRSH US Equity","BS_INVENTORIES","1993-06-18","2026-05-02","Per=Y","Days=T","Dir=V")</f>
        <v>0</v>
      </c>
      <c r="W2">
        <f>BDH("FRSH US Equity","WORKING_CAPITAL","1993-06-18","2026-05-02","Per=Y","Days=T","Dir=V")</f>
        <v>0</v>
      </c>
      <c r="Y2">
        <f>BDH("FRSH US Equity","SALES_REV_TURN","1993-06-18","2026-05-02","Per=Y","Days=T","Dir=V")</f>
        <v>0</v>
      </c>
      <c r="AA2">
        <f>BDH("FRSH US Equity","EBIT","1993-06-18","2026-05-02","Per=Y","Days=T","Dir=V")</f>
        <v>0</v>
      </c>
      <c r="AC2">
        <f>BDH("FRSH US Equity","EBITDA","1993-06-18","2026-05-02","Per=Y","Days=T","Dir=V")</f>
        <v>0</v>
      </c>
      <c r="AE2">
        <f>BDH("FRSH US Equity","NET_INCOME","1993-06-18","2026-05-02","Per=Y","Days=T","Dir=V")</f>
        <v>0</v>
      </c>
      <c r="AG2">
        <f>BDH("FRSH US Equity","IS_INT_EXPENSE","1993-06-18","2026-05-02","Per=Y","Days=T","Dir=V")</f>
        <v>0</v>
      </c>
      <c r="AI2">
        <f>BDH("FRSH US Equity","IS_DEPR_EXP","1993-06-18","2026-05-02","Per=Y","Days=T","Dir=V")</f>
        <v>0</v>
      </c>
      <c r="AK2">
        <f>BDH("FRSH US Equity","CF_CASH_FROM_OPER","1993-06-18","2026-05-02","Per=Y","Days=T","Dir=V")</f>
        <v>0</v>
      </c>
      <c r="AM2">
        <f>BDH("FRSH US Equity","CAPITAL_EXPEND","1993-06-18","2026-05-02","Per=Y","Days=T","Dir=V")</f>
        <v>0</v>
      </c>
      <c r="AO2">
        <f>BDH("FRSH US Equity","CF_FREE_CASH_FLOW","1993-06-18","2026-05-02","Per=Y","Days=T","Dir=V")</f>
        <v>0</v>
      </c>
      <c r="AQ2">
        <f>BDH("FRSH US Equity","PX_LAST","1993-06-18","2026-05-02","Per=M","Days=T","Dir=V")</f>
        <v>0</v>
      </c>
      <c r="AS2">
        <f>BDH("FRSH US Equity","CUR_MKT_CAP","1993-06-18","2026-05-02","Per=M","Days=T","Dir=V")</f>
        <v>0</v>
      </c>
      <c r="AU2">
        <f>BDH("FRSH US Equity","EQY_SH_OUT","1993-06-18","2026-05-02","Per=M","Days=T","Dir=V")</f>
        <v>0</v>
      </c>
      <c r="AW2">
        <f>BDH("FRSH US Equity","PX_VOLUME","1993-06-18","2026-05-02","Per=M","Days=T","Dir=V")</f>
        <v>0</v>
      </c>
      <c r="AY2">
        <f>BDH("FRSH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BDH("FRVO US Equity","BS_TOT_ASSET","1993-06-18","2026-05-02","Per=Y","Days=T","Dir=V")</f>
        <v>0</v>
      </c>
      <c r="C2">
        <f>BDH("FRVO US Equity","BS_TOT_LIAB2","1993-06-18","2026-05-02","Per=Y","Days=T","Dir=V")</f>
        <v>0</v>
      </c>
      <c r="E2">
        <f>BDH("FRVO US Equity","SHORT_AND_LONG_TERM_DEBT","1993-06-18","2026-05-02","Per=Y","Days=T","Dir=V")</f>
        <v>0</v>
      </c>
      <c r="G2">
        <f>BDH("FRVO US Equity","BS_ST_BORROW","1993-06-18","2026-05-02","Per=Y","Days=T","Dir=V")</f>
        <v>0</v>
      </c>
      <c r="I2">
        <f>BDH("FRVO US Equity","BS_LT_BORROW","1993-06-18","2026-05-02","Per=Y","Days=T","Dir=V")</f>
        <v>0</v>
      </c>
      <c r="K2">
        <f>BDH("FRVO US Equity","BS_CASH_NEAR_CASH_ITEM","1993-06-18","2026-05-02","Per=Y","Days=T","Dir=V")</f>
        <v>0</v>
      </c>
      <c r="M2">
        <f>BDH("FRVO US Equity","BS_CUR_ASSET_REPORT","1993-06-18","2026-05-02","Per=Y","Days=T","Dir=V")</f>
        <v>0</v>
      </c>
      <c r="O2">
        <f>BDH("FRVO US Equity","BS_CUR_LIAB","1993-06-18","2026-05-02","Per=Y","Days=T","Dir=V")</f>
        <v>0</v>
      </c>
      <c r="Q2">
        <f>BDH("FRVO US Equity","BS_SHAREHOLDER_EQY_ENDING_PERIOD","1993-06-18","2026-05-02","Per=Y","Days=T","Dir=V")</f>
        <v>0</v>
      </c>
      <c r="S2">
        <f>BDH("FRVO US Equity","BS_ACCT_NOTE_RCV","1993-06-18","2026-05-02","Per=Y","Days=T","Dir=V")</f>
        <v>0</v>
      </c>
      <c r="U2">
        <f>BDH("FRVO US Equity","BS_INVENTORIES","1993-06-18","2026-05-02","Per=Y","Days=T","Dir=V")</f>
        <v>0</v>
      </c>
      <c r="W2">
        <f>BDH("FRVO US Equity","WORKING_CAPITAL","1993-06-18","2026-05-02","Per=Y","Days=T","Dir=V")</f>
        <v>0</v>
      </c>
      <c r="Y2">
        <f>BDH("FRVO US Equity","SALES_REV_TURN","1993-06-18","2026-05-02","Per=Y","Days=T","Dir=V")</f>
        <v>0</v>
      </c>
      <c r="AA2">
        <f>BDH("FRVO US Equity","EBIT","1993-06-18","2026-05-02","Per=Y","Days=T","Dir=V")</f>
        <v>0</v>
      </c>
      <c r="AC2">
        <f>BDH("FRVO US Equity","EBITDA","1993-06-18","2026-05-02","Per=Y","Days=T","Dir=V")</f>
        <v>0</v>
      </c>
      <c r="AE2">
        <f>BDH("FRVO US Equity","NET_INCOME","1993-06-18","2026-05-02","Per=Y","Days=T","Dir=V")</f>
        <v>0</v>
      </c>
      <c r="AG2">
        <f>BDH("FRVO US Equity","IS_INT_EXPENSE","1993-06-18","2026-05-02","Per=Y","Days=T","Dir=V")</f>
        <v>0</v>
      </c>
      <c r="AI2">
        <f>BDH("FRVO US Equity","IS_DEPR_EXP","1993-06-18","2026-05-02","Per=Y","Days=T","Dir=V")</f>
        <v>0</v>
      </c>
      <c r="AK2">
        <f>BDH("FRVO US Equity","CF_CASH_FROM_OPER","1993-06-18","2026-05-02","Per=Y","Days=T","Dir=V")</f>
        <v>0</v>
      </c>
      <c r="AM2">
        <f>BDH("FRVO US Equity","CAPITAL_EXPEND","1993-06-18","2026-05-02","Per=Y","Days=T","Dir=V")</f>
        <v>0</v>
      </c>
      <c r="AO2">
        <f>BDH("FRVO US Equity","CF_FREE_CASH_FLOW","1993-06-18","2026-05-02","Per=Y","Days=T","Dir=V")</f>
        <v>0</v>
      </c>
      <c r="AQ2">
        <f>BDH("FRVO US Equity","PX_LAST","1993-06-18","2026-05-02","Per=M","Days=T","Dir=V")</f>
        <v>0</v>
      </c>
      <c r="AS2">
        <f>BDH("FRVO US Equity","CUR_MKT_CAP","1993-06-18","2026-05-02","Per=M","Days=T","Dir=V")</f>
        <v>0</v>
      </c>
      <c r="AU2">
        <f>BDH("FRVO US Equity","EQY_SH_OUT","1993-06-18","2026-05-02","Per=M","Days=T","Dir=V")</f>
        <v>0</v>
      </c>
      <c r="AW2">
        <f>BDH("FRVO US Equity","PX_VOLUME","1993-06-18","2026-05-02","Per=M","Days=T","Dir=V")</f>
        <v>0</v>
      </c>
      <c r="AY2">
        <f>BDH("FRVO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BDH("FSLR US Equity","BS_TOT_ASSET","1993-06-18","2026-05-02","Per=Y","Days=T","Dir=V")</f>
        <v>0</v>
      </c>
      <c r="C2">
        <f>BDH("FSLR US Equity","BS_TOT_LIAB2","1993-06-18","2026-05-02","Per=Y","Days=T","Dir=V")</f>
        <v>0</v>
      </c>
      <c r="E2">
        <f>BDH("FSLR US Equity","SHORT_AND_LONG_TERM_DEBT","1993-06-18","2026-05-02","Per=Y","Days=T","Dir=V")</f>
        <v>0</v>
      </c>
      <c r="G2">
        <f>BDH("FSLR US Equity","BS_ST_BORROW","1993-06-18","2026-05-02","Per=Y","Days=T","Dir=V")</f>
        <v>0</v>
      </c>
      <c r="I2">
        <f>BDH("FSLR US Equity","BS_LT_BORROW","1993-06-18","2026-05-02","Per=Y","Days=T","Dir=V")</f>
        <v>0</v>
      </c>
      <c r="K2">
        <f>BDH("FSLR US Equity","BS_CASH_NEAR_CASH_ITEM","1993-06-18","2026-05-02","Per=Y","Days=T","Dir=V")</f>
        <v>0</v>
      </c>
      <c r="M2">
        <f>BDH("FSLR US Equity","BS_CUR_ASSET_REPORT","1993-06-18","2026-05-02","Per=Y","Days=T","Dir=V")</f>
        <v>0</v>
      </c>
      <c r="O2">
        <f>BDH("FSLR US Equity","BS_CUR_LIAB","1993-06-18","2026-05-02","Per=Y","Days=T","Dir=V")</f>
        <v>0</v>
      </c>
      <c r="Q2">
        <f>BDH("FSLR US Equity","BS_SHAREHOLDER_EQY_ENDING_PERIOD","1993-06-18","2026-05-02","Per=Y","Days=T","Dir=V")</f>
        <v>0</v>
      </c>
      <c r="S2">
        <f>BDH("FSLR US Equity","BS_ACCT_NOTE_RCV","1993-06-18","2026-05-02","Per=Y","Days=T","Dir=V")</f>
        <v>0</v>
      </c>
      <c r="U2">
        <f>BDH("FSLR US Equity","BS_INVENTORIES","1993-06-18","2026-05-02","Per=Y","Days=T","Dir=V")</f>
        <v>0</v>
      </c>
      <c r="W2">
        <f>BDH("FSLR US Equity","WORKING_CAPITAL","1993-06-18","2026-05-02","Per=Y","Days=T","Dir=V")</f>
        <v>0</v>
      </c>
      <c r="Y2">
        <f>BDH("FSLR US Equity","SALES_REV_TURN","1993-06-18","2026-05-02","Per=Y","Days=T","Dir=V")</f>
        <v>0</v>
      </c>
      <c r="AA2">
        <f>BDH("FSLR US Equity","EBIT","1993-06-18","2026-05-02","Per=Y","Days=T","Dir=V")</f>
        <v>0</v>
      </c>
      <c r="AC2">
        <f>BDH("FSLR US Equity","EBITDA","1993-06-18","2026-05-02","Per=Y","Days=T","Dir=V")</f>
        <v>0</v>
      </c>
      <c r="AE2">
        <f>BDH("FSLR US Equity","NET_INCOME","1993-06-18","2026-05-02","Per=Y","Days=T","Dir=V")</f>
        <v>0</v>
      </c>
      <c r="AG2">
        <f>BDH("FSLR US Equity","IS_INT_EXPENSE","1993-06-18","2026-05-02","Per=Y","Days=T","Dir=V")</f>
        <v>0</v>
      </c>
      <c r="AI2">
        <f>BDH("FSLR US Equity","IS_DEPR_EXP","1993-06-18","2026-05-02","Per=Y","Days=T","Dir=V")</f>
        <v>0</v>
      </c>
      <c r="AK2">
        <f>BDH("FSLR US Equity","CF_CASH_FROM_OPER","1993-06-18","2026-05-02","Per=Y","Days=T","Dir=V")</f>
        <v>0</v>
      </c>
      <c r="AM2">
        <f>BDH("FSLR US Equity","CAPITAL_EXPEND","1993-06-18","2026-05-02","Per=Y","Days=T","Dir=V")</f>
        <v>0</v>
      </c>
      <c r="AO2">
        <f>BDH("FSLR US Equity","CF_FREE_CASH_FLOW","1993-06-18","2026-05-02","Per=Y","Days=T","Dir=V")</f>
        <v>0</v>
      </c>
      <c r="AQ2">
        <f>BDH("FSLR US Equity","PX_LAST","1993-06-18","2026-05-02","Per=M","Days=T","Dir=V")</f>
        <v>0</v>
      </c>
      <c r="AS2">
        <f>BDH("FSLR US Equity","CUR_MKT_CAP","1993-06-18","2026-05-02","Per=M","Days=T","Dir=V")</f>
        <v>0</v>
      </c>
      <c r="AU2">
        <f>BDH("FSLR US Equity","EQY_SH_OUT","1993-06-18","2026-05-02","Per=M","Days=T","Dir=V")</f>
        <v>0</v>
      </c>
      <c r="AW2">
        <f>BDH("FSLR US Equity","PX_VOLUME","1993-06-18","2026-05-02","Per=M","Days=T","Dir=V")</f>
        <v>0</v>
      </c>
      <c r="AY2">
        <f>BDH("FSLR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BDH("FSLY US Equity","BS_TOT_ASSET","1993-06-18","2026-05-02","Per=Y","Days=T","Dir=V")</f>
        <v>0</v>
      </c>
      <c r="C2">
        <f>BDH("FSLY US Equity","BS_TOT_LIAB2","1993-06-18","2026-05-02","Per=Y","Days=T","Dir=V")</f>
        <v>0</v>
      </c>
      <c r="E2">
        <f>BDH("FSLY US Equity","SHORT_AND_LONG_TERM_DEBT","1993-06-18","2026-05-02","Per=Y","Days=T","Dir=V")</f>
        <v>0</v>
      </c>
      <c r="G2">
        <f>BDH("FSLY US Equity","BS_ST_BORROW","1993-06-18","2026-05-02","Per=Y","Days=T","Dir=V")</f>
        <v>0</v>
      </c>
      <c r="I2">
        <f>BDH("FSLY US Equity","BS_LT_BORROW","1993-06-18","2026-05-02","Per=Y","Days=T","Dir=V")</f>
        <v>0</v>
      </c>
      <c r="K2">
        <f>BDH("FSLY US Equity","BS_CASH_NEAR_CASH_ITEM","1993-06-18","2026-05-02","Per=Y","Days=T","Dir=V")</f>
        <v>0</v>
      </c>
      <c r="M2">
        <f>BDH("FSLY US Equity","BS_CUR_ASSET_REPORT","1993-06-18","2026-05-02","Per=Y","Days=T","Dir=V")</f>
        <v>0</v>
      </c>
      <c r="O2">
        <f>BDH("FSLY US Equity","BS_CUR_LIAB","1993-06-18","2026-05-02","Per=Y","Days=T","Dir=V")</f>
        <v>0</v>
      </c>
      <c r="Q2">
        <f>BDH("FSLY US Equity","BS_SHAREHOLDER_EQY_ENDING_PERIOD","1993-06-18","2026-05-02","Per=Y","Days=T","Dir=V")</f>
        <v>0</v>
      </c>
      <c r="S2">
        <f>BDH("FSLY US Equity","BS_ACCT_NOTE_RCV","1993-06-18","2026-05-02","Per=Y","Days=T","Dir=V")</f>
        <v>0</v>
      </c>
      <c r="U2">
        <f>BDH("FSLY US Equity","BS_INVENTORIES","1993-06-18","2026-05-02","Per=Y","Days=T","Dir=V")</f>
        <v>0</v>
      </c>
      <c r="W2">
        <f>BDH("FSLY US Equity","WORKING_CAPITAL","1993-06-18","2026-05-02","Per=Y","Days=T","Dir=V")</f>
        <v>0</v>
      </c>
      <c r="Y2">
        <f>BDH("FSLY US Equity","SALES_REV_TURN","1993-06-18","2026-05-02","Per=Y","Days=T","Dir=V")</f>
        <v>0</v>
      </c>
      <c r="AA2">
        <f>BDH("FSLY US Equity","EBIT","1993-06-18","2026-05-02","Per=Y","Days=T","Dir=V")</f>
        <v>0</v>
      </c>
      <c r="AC2">
        <f>BDH("FSLY US Equity","EBITDA","1993-06-18","2026-05-02","Per=Y","Days=T","Dir=V")</f>
        <v>0</v>
      </c>
      <c r="AE2">
        <f>BDH("FSLY US Equity","NET_INCOME","1993-06-18","2026-05-02","Per=Y","Days=T","Dir=V")</f>
        <v>0</v>
      </c>
      <c r="AG2">
        <f>BDH("FSLY US Equity","IS_INT_EXPENSE","1993-06-18","2026-05-02","Per=Y","Days=T","Dir=V")</f>
        <v>0</v>
      </c>
      <c r="AI2">
        <f>BDH("FSLY US Equity","IS_DEPR_EXP","1993-06-18","2026-05-02","Per=Y","Days=T","Dir=V")</f>
        <v>0</v>
      </c>
      <c r="AK2">
        <f>BDH("FSLY US Equity","CF_CASH_FROM_OPER","1993-06-18","2026-05-02","Per=Y","Days=T","Dir=V")</f>
        <v>0</v>
      </c>
      <c r="AM2">
        <f>BDH("FSLY US Equity","CAPITAL_EXPEND","1993-06-18","2026-05-02","Per=Y","Days=T","Dir=V")</f>
        <v>0</v>
      </c>
      <c r="AO2">
        <f>BDH("FSLY US Equity","CF_FREE_CASH_FLOW","1993-06-18","2026-05-02","Per=Y","Days=T","Dir=V")</f>
        <v>0</v>
      </c>
      <c r="AQ2">
        <f>BDH("FSLY US Equity","PX_LAST","1993-06-18","2026-05-02","Per=M","Days=T","Dir=V")</f>
        <v>0</v>
      </c>
      <c r="AS2">
        <f>BDH("FSLY US Equity","CUR_MKT_CAP","1993-06-18","2026-05-02","Per=M","Days=T","Dir=V")</f>
        <v>0</v>
      </c>
      <c r="AU2">
        <f>BDH("FSLY US Equity","EQY_SH_OUT","1993-06-18","2026-05-02","Per=M","Days=T","Dir=V")</f>
        <v>0</v>
      </c>
      <c r="AW2">
        <f>BDH("FSLY US Equity","PX_VOLUME","1993-06-18","2026-05-02","Per=M","Days=T","Dir=V")</f>
        <v>0</v>
      </c>
      <c r="AY2">
        <f>BDH("FSLY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BDH("FSS US Equity","BS_TOT_ASSET","1993-06-18","2026-05-02","Per=Y","Days=T","Dir=V")</f>
        <v>0</v>
      </c>
      <c r="C2">
        <f>BDH("FSS US Equity","BS_TOT_LIAB2","1993-06-18","2026-05-02","Per=Y","Days=T","Dir=V")</f>
        <v>0</v>
      </c>
      <c r="E2">
        <f>BDH("FSS US Equity","SHORT_AND_LONG_TERM_DEBT","1993-06-18","2026-05-02","Per=Y","Days=T","Dir=V")</f>
        <v>0</v>
      </c>
      <c r="G2">
        <f>BDH("FSS US Equity","BS_ST_BORROW","1993-06-18","2026-05-02","Per=Y","Days=T","Dir=V")</f>
        <v>0</v>
      </c>
      <c r="I2">
        <f>BDH("FSS US Equity","BS_LT_BORROW","1993-06-18","2026-05-02","Per=Y","Days=T","Dir=V")</f>
        <v>0</v>
      </c>
      <c r="K2">
        <f>BDH("FSS US Equity","BS_CASH_NEAR_CASH_ITEM","1993-06-18","2026-05-02","Per=Y","Days=T","Dir=V")</f>
        <v>0</v>
      </c>
      <c r="M2">
        <f>BDH("FSS US Equity","BS_CUR_ASSET_REPORT","1993-06-18","2026-05-02","Per=Y","Days=T","Dir=V")</f>
        <v>0</v>
      </c>
      <c r="O2">
        <f>BDH("FSS US Equity","BS_CUR_LIAB","1993-06-18","2026-05-02","Per=Y","Days=T","Dir=V")</f>
        <v>0</v>
      </c>
      <c r="Q2">
        <f>BDH("FSS US Equity","BS_SHAREHOLDER_EQY_ENDING_PERIOD","1993-06-18","2026-05-02","Per=Y","Days=T","Dir=V")</f>
        <v>0</v>
      </c>
      <c r="S2">
        <f>BDH("FSS US Equity","BS_ACCT_NOTE_RCV","1993-06-18","2026-05-02","Per=Y","Days=T","Dir=V")</f>
        <v>0</v>
      </c>
      <c r="U2">
        <f>BDH("FSS US Equity","BS_INVENTORIES","1993-06-18","2026-05-02","Per=Y","Days=T","Dir=V")</f>
        <v>0</v>
      </c>
      <c r="W2">
        <f>BDH("FSS US Equity","WORKING_CAPITAL","1993-06-18","2026-05-02","Per=Y","Days=T","Dir=V")</f>
        <v>0</v>
      </c>
      <c r="Y2">
        <f>BDH("FSS US Equity","SALES_REV_TURN","1993-06-18","2026-05-02","Per=Y","Days=T","Dir=V")</f>
        <v>0</v>
      </c>
      <c r="AA2">
        <f>BDH("FSS US Equity","EBIT","1993-06-18","2026-05-02","Per=Y","Days=T","Dir=V")</f>
        <v>0</v>
      </c>
      <c r="AC2">
        <f>BDH("FSS US Equity","EBITDA","1993-06-18","2026-05-02","Per=Y","Days=T","Dir=V")</f>
        <v>0</v>
      </c>
      <c r="AE2">
        <f>BDH("FSS US Equity","NET_INCOME","1993-06-18","2026-05-02","Per=Y","Days=T","Dir=V")</f>
        <v>0</v>
      </c>
      <c r="AG2">
        <f>BDH("FSS US Equity","IS_INT_EXPENSE","1993-06-18","2026-05-02","Per=Y","Days=T","Dir=V")</f>
        <v>0</v>
      </c>
      <c r="AI2">
        <f>BDH("FSS US Equity","IS_DEPR_EXP","1993-06-18","2026-05-02","Per=Y","Days=T","Dir=V")</f>
        <v>0</v>
      </c>
      <c r="AK2">
        <f>BDH("FSS US Equity","CF_CASH_FROM_OPER","1993-06-18","2026-05-02","Per=Y","Days=T","Dir=V")</f>
        <v>0</v>
      </c>
      <c r="AM2">
        <f>BDH("FSS US Equity","CAPITAL_EXPEND","1993-06-18","2026-05-02","Per=Y","Days=T","Dir=V")</f>
        <v>0</v>
      </c>
      <c r="AO2">
        <f>BDH("FSS US Equity","CF_FREE_CASH_FLOW","1993-06-18","2026-05-02","Per=Y","Days=T","Dir=V")</f>
        <v>0</v>
      </c>
      <c r="AQ2">
        <f>BDH("FSS US Equity","PX_LAST","1993-06-18","2026-05-02","Per=M","Days=T","Dir=V")</f>
        <v>0</v>
      </c>
      <c r="AS2">
        <f>BDH("FSS US Equity","CUR_MKT_CAP","1993-06-18","2026-05-02","Per=M","Days=T","Dir=V")</f>
        <v>0</v>
      </c>
      <c r="AU2">
        <f>BDH("FSS US Equity","EQY_SH_OUT","1993-06-18","2026-05-02","Per=M","Days=T","Dir=V")</f>
        <v>0</v>
      </c>
      <c r="AW2">
        <f>BDH("FSS US Equity","PX_VOLUME","1993-06-18","2026-05-02","Per=M","Days=T","Dir=V")</f>
        <v>0</v>
      </c>
      <c r="AY2">
        <f>BDH("FSS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BDH("FSTR US Equity","BS_TOT_ASSET","1993-06-18","2026-05-02","Per=Y","Days=T","Dir=V")</f>
        <v>0</v>
      </c>
      <c r="C2">
        <f>BDH("FSTR US Equity","BS_TOT_LIAB2","1993-06-18","2026-05-02","Per=Y","Days=T","Dir=V")</f>
        <v>0</v>
      </c>
      <c r="E2">
        <f>BDH("FSTR US Equity","SHORT_AND_LONG_TERM_DEBT","1993-06-18","2026-05-02","Per=Y","Days=T","Dir=V")</f>
        <v>0</v>
      </c>
      <c r="G2">
        <f>BDH("FSTR US Equity","BS_ST_BORROW","1993-06-18","2026-05-02","Per=Y","Days=T","Dir=V")</f>
        <v>0</v>
      </c>
      <c r="I2">
        <f>BDH("FSTR US Equity","BS_LT_BORROW","1993-06-18","2026-05-02","Per=Y","Days=T","Dir=V")</f>
        <v>0</v>
      </c>
      <c r="K2">
        <f>BDH("FSTR US Equity","BS_CASH_NEAR_CASH_ITEM","1993-06-18","2026-05-02","Per=Y","Days=T","Dir=V")</f>
        <v>0</v>
      </c>
      <c r="M2">
        <f>BDH("FSTR US Equity","BS_CUR_ASSET_REPORT","1993-06-18","2026-05-02","Per=Y","Days=T","Dir=V")</f>
        <v>0</v>
      </c>
      <c r="O2">
        <f>BDH("FSTR US Equity","BS_CUR_LIAB","1993-06-18","2026-05-02","Per=Y","Days=T","Dir=V")</f>
        <v>0</v>
      </c>
      <c r="Q2">
        <f>BDH("FSTR US Equity","BS_SHAREHOLDER_EQY_ENDING_PERIOD","1993-06-18","2026-05-02","Per=Y","Days=T","Dir=V")</f>
        <v>0</v>
      </c>
      <c r="S2">
        <f>BDH("FSTR US Equity","BS_ACCT_NOTE_RCV","1993-06-18","2026-05-02","Per=Y","Days=T","Dir=V")</f>
        <v>0</v>
      </c>
      <c r="U2">
        <f>BDH("FSTR US Equity","BS_INVENTORIES","1993-06-18","2026-05-02","Per=Y","Days=T","Dir=V")</f>
        <v>0</v>
      </c>
      <c r="W2">
        <f>BDH("FSTR US Equity","WORKING_CAPITAL","1993-06-18","2026-05-02","Per=Y","Days=T","Dir=V")</f>
        <v>0</v>
      </c>
      <c r="Y2">
        <f>BDH("FSTR US Equity","SALES_REV_TURN","1993-06-18","2026-05-02","Per=Y","Days=T","Dir=V")</f>
        <v>0</v>
      </c>
      <c r="AA2">
        <f>BDH("FSTR US Equity","EBIT","1993-06-18","2026-05-02","Per=Y","Days=T","Dir=V")</f>
        <v>0</v>
      </c>
      <c r="AC2">
        <f>BDH("FSTR US Equity","EBITDA","1993-06-18","2026-05-02","Per=Y","Days=T","Dir=V")</f>
        <v>0</v>
      </c>
      <c r="AE2">
        <f>BDH("FSTR US Equity","NET_INCOME","1993-06-18","2026-05-02","Per=Y","Days=T","Dir=V")</f>
        <v>0</v>
      </c>
      <c r="AG2">
        <f>BDH("FSTR US Equity","IS_INT_EXPENSE","1993-06-18","2026-05-02","Per=Y","Days=T","Dir=V")</f>
        <v>0</v>
      </c>
      <c r="AI2">
        <f>BDH("FSTR US Equity","IS_DEPR_EXP","1993-06-18","2026-05-02","Per=Y","Days=T","Dir=V")</f>
        <v>0</v>
      </c>
      <c r="AK2">
        <f>BDH("FSTR US Equity","CF_CASH_FROM_OPER","1993-06-18","2026-05-02","Per=Y","Days=T","Dir=V")</f>
        <v>0</v>
      </c>
      <c r="AM2">
        <f>BDH("FSTR US Equity","CAPITAL_EXPEND","1993-06-18","2026-05-02","Per=Y","Days=T","Dir=V")</f>
        <v>0</v>
      </c>
      <c r="AO2">
        <f>BDH("FSTR US Equity","CF_FREE_CASH_FLOW","1993-06-18","2026-05-02","Per=Y","Days=T","Dir=V")</f>
        <v>0</v>
      </c>
      <c r="AQ2">
        <f>BDH("FSTR US Equity","PX_LAST","1993-06-18","2026-05-02","Per=M","Days=T","Dir=V")</f>
        <v>0</v>
      </c>
      <c r="AS2">
        <f>BDH("FSTR US Equity","CUR_MKT_CAP","1993-06-18","2026-05-02","Per=M","Days=T","Dir=V")</f>
        <v>0</v>
      </c>
      <c r="AU2">
        <f>BDH("FSTR US Equity","EQY_SH_OUT","1993-06-18","2026-05-02","Per=M","Days=T","Dir=V")</f>
        <v>0</v>
      </c>
      <c r="AW2">
        <f>BDH("FSTR US Equity","PX_VOLUME","1993-06-18","2026-05-02","Per=M","Days=T","Dir=V")</f>
        <v>0</v>
      </c>
      <c r="AY2">
        <f>BDH("FSTR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BDH("FTAI US Equity","BS_TOT_ASSET","1993-06-18","2026-05-02","Per=Y","Days=T","Dir=V")</f>
        <v>0</v>
      </c>
      <c r="C2">
        <f>BDH("FTAI US Equity","BS_TOT_LIAB2","1993-06-18","2026-05-02","Per=Y","Days=T","Dir=V")</f>
        <v>0</v>
      </c>
      <c r="E2">
        <f>BDH("FTAI US Equity","SHORT_AND_LONG_TERM_DEBT","1993-06-18","2026-05-02","Per=Y","Days=T","Dir=V")</f>
        <v>0</v>
      </c>
      <c r="G2">
        <f>BDH("FTAI US Equity","BS_ST_BORROW","1993-06-18","2026-05-02","Per=Y","Days=T","Dir=V")</f>
        <v>0</v>
      </c>
      <c r="I2">
        <f>BDH("FTAI US Equity","BS_LT_BORROW","1993-06-18","2026-05-02","Per=Y","Days=T","Dir=V")</f>
        <v>0</v>
      </c>
      <c r="K2">
        <f>BDH("FTAI US Equity","BS_CASH_NEAR_CASH_ITEM","1993-06-18","2026-05-02","Per=Y","Days=T","Dir=V")</f>
        <v>0</v>
      </c>
      <c r="M2">
        <f>BDH("FTAI US Equity","BS_CUR_ASSET_REPORT","1993-06-18","2026-05-02","Per=Y","Days=T","Dir=V")</f>
        <v>0</v>
      </c>
      <c r="O2">
        <f>BDH("FTAI US Equity","BS_CUR_LIAB","1993-06-18","2026-05-02","Per=Y","Days=T","Dir=V")</f>
        <v>0</v>
      </c>
      <c r="Q2">
        <f>BDH("FTAI US Equity","BS_SHAREHOLDER_EQY_ENDING_PERIOD","1993-06-18","2026-05-02","Per=Y","Days=T","Dir=V")</f>
        <v>0</v>
      </c>
      <c r="S2">
        <f>BDH("FTAI US Equity","BS_ACCT_NOTE_RCV","1993-06-18","2026-05-02","Per=Y","Days=T","Dir=V")</f>
        <v>0</v>
      </c>
      <c r="U2">
        <f>BDH("FTAI US Equity","BS_INVENTORIES","1993-06-18","2026-05-02","Per=Y","Days=T","Dir=V")</f>
        <v>0</v>
      </c>
      <c r="W2">
        <f>BDH("FTAI US Equity","WORKING_CAPITAL","1993-06-18","2026-05-02","Per=Y","Days=T","Dir=V")</f>
        <v>0</v>
      </c>
      <c r="Y2">
        <f>BDH("FTAI US Equity","SALES_REV_TURN","1993-06-18","2026-05-02","Per=Y","Days=T","Dir=V")</f>
        <v>0</v>
      </c>
      <c r="AA2">
        <f>BDH("FTAI US Equity","EBIT","1993-06-18","2026-05-02","Per=Y","Days=T","Dir=V")</f>
        <v>0</v>
      </c>
      <c r="AC2">
        <f>BDH("FTAI US Equity","EBITDA","1993-06-18","2026-05-02","Per=Y","Days=T","Dir=V")</f>
        <v>0</v>
      </c>
      <c r="AE2">
        <f>BDH("FTAI US Equity","NET_INCOME","1993-06-18","2026-05-02","Per=Y","Days=T","Dir=V")</f>
        <v>0</v>
      </c>
      <c r="AG2">
        <f>BDH("FTAI US Equity","IS_INT_EXPENSE","1993-06-18","2026-05-02","Per=Y","Days=T","Dir=V")</f>
        <v>0</v>
      </c>
      <c r="AI2">
        <f>BDH("FTAI US Equity","IS_DEPR_EXP","1993-06-18","2026-05-02","Per=Y","Days=T","Dir=V")</f>
        <v>0</v>
      </c>
      <c r="AK2">
        <f>BDH("FTAI US Equity","CF_CASH_FROM_OPER","1993-06-18","2026-05-02","Per=Y","Days=T","Dir=V")</f>
        <v>0</v>
      </c>
      <c r="AM2">
        <f>BDH("FTAI US Equity","CAPITAL_EXPEND","1993-06-18","2026-05-02","Per=Y","Days=T","Dir=V")</f>
        <v>0</v>
      </c>
      <c r="AO2">
        <f>BDH("FTAI US Equity","CF_FREE_CASH_FLOW","1993-06-18","2026-05-02","Per=Y","Days=T","Dir=V")</f>
        <v>0</v>
      </c>
      <c r="AQ2">
        <f>BDH("FTAI US Equity","PX_LAST","1993-06-18","2026-05-02","Per=M","Days=T","Dir=V")</f>
        <v>0</v>
      </c>
      <c r="AS2">
        <f>BDH("FTAI US Equity","CUR_MKT_CAP","1993-06-18","2026-05-02","Per=M","Days=T","Dir=V")</f>
        <v>0</v>
      </c>
      <c r="AU2">
        <f>BDH("FTAI US Equity","EQY_SH_OUT","1993-06-18","2026-05-02","Per=M","Days=T","Dir=V")</f>
        <v>0</v>
      </c>
      <c r="AW2">
        <f>BDH("FTAI US Equity","PX_VOLUME","1993-06-18","2026-05-02","Per=M","Days=T","Dir=V")</f>
        <v>0</v>
      </c>
      <c r="AY2">
        <f>BDH("FTAI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BDH("FTAIM US Equity","BS_TOT_ASSET","1993-06-18","2026-05-02","Per=Y","Days=T","Dir=V")</f>
        <v>0</v>
      </c>
      <c r="C2">
        <f>BDH("FTAIM US Equity","BS_TOT_LIAB2","1993-06-18","2026-05-02","Per=Y","Days=T","Dir=V")</f>
        <v>0</v>
      </c>
      <c r="E2">
        <f>BDH("FTAIM US Equity","SHORT_AND_LONG_TERM_DEBT","1993-06-18","2026-05-02","Per=Y","Days=T","Dir=V")</f>
        <v>0</v>
      </c>
      <c r="G2">
        <f>BDH("FTAIM US Equity","BS_ST_BORROW","1993-06-18","2026-05-02","Per=Y","Days=T","Dir=V")</f>
        <v>0</v>
      </c>
      <c r="I2">
        <f>BDH("FTAIM US Equity","BS_LT_BORROW","1993-06-18","2026-05-02","Per=Y","Days=T","Dir=V")</f>
        <v>0</v>
      </c>
      <c r="K2">
        <f>BDH("FTAIM US Equity","BS_CASH_NEAR_CASH_ITEM","1993-06-18","2026-05-02","Per=Y","Days=T","Dir=V")</f>
        <v>0</v>
      </c>
      <c r="M2">
        <f>BDH("FTAIM US Equity","BS_CUR_ASSET_REPORT","1993-06-18","2026-05-02","Per=Y","Days=T","Dir=V")</f>
        <v>0</v>
      </c>
      <c r="O2">
        <f>BDH("FTAIM US Equity","BS_CUR_LIAB","1993-06-18","2026-05-02","Per=Y","Days=T","Dir=V")</f>
        <v>0</v>
      </c>
      <c r="Q2">
        <f>BDH("FTAIM US Equity","BS_SHAREHOLDER_EQY_ENDING_PERIOD","1993-06-18","2026-05-02","Per=Y","Days=T","Dir=V")</f>
        <v>0</v>
      </c>
      <c r="S2">
        <f>BDH("FTAIM US Equity","BS_ACCT_NOTE_RCV","1993-06-18","2026-05-02","Per=Y","Days=T","Dir=V")</f>
        <v>0</v>
      </c>
      <c r="U2">
        <f>BDH("FTAIM US Equity","BS_INVENTORIES","1993-06-18","2026-05-02","Per=Y","Days=T","Dir=V")</f>
        <v>0</v>
      </c>
      <c r="W2">
        <f>BDH("FTAIM US Equity","WORKING_CAPITAL","1993-06-18","2026-05-02","Per=Y","Days=T","Dir=V")</f>
        <v>0</v>
      </c>
      <c r="Y2">
        <f>BDH("FTAIM US Equity","SALES_REV_TURN","1993-06-18","2026-05-02","Per=Y","Days=T","Dir=V")</f>
        <v>0</v>
      </c>
      <c r="AA2">
        <f>BDH("FTAIM US Equity","EBIT","1993-06-18","2026-05-02","Per=Y","Days=T","Dir=V")</f>
        <v>0</v>
      </c>
      <c r="AC2">
        <f>BDH("FTAIM US Equity","EBITDA","1993-06-18","2026-05-02","Per=Y","Days=T","Dir=V")</f>
        <v>0</v>
      </c>
      <c r="AE2">
        <f>BDH("FTAIM US Equity","NET_INCOME","1993-06-18","2026-05-02","Per=Y","Days=T","Dir=V")</f>
        <v>0</v>
      </c>
      <c r="AG2">
        <f>BDH("FTAIM US Equity","IS_INT_EXPENSE","1993-06-18","2026-05-02","Per=Y","Days=T","Dir=V")</f>
        <v>0</v>
      </c>
      <c r="AI2">
        <f>BDH("FTAIM US Equity","IS_DEPR_EXP","1993-06-18","2026-05-02","Per=Y","Days=T","Dir=V")</f>
        <v>0</v>
      </c>
      <c r="AK2">
        <f>BDH("FTAIM US Equity","CF_CASH_FROM_OPER","1993-06-18","2026-05-02","Per=Y","Days=T","Dir=V")</f>
        <v>0</v>
      </c>
      <c r="AM2">
        <f>BDH("FTAIM US Equity","CAPITAL_EXPEND","1993-06-18","2026-05-02","Per=Y","Days=T","Dir=V")</f>
        <v>0</v>
      </c>
      <c r="AO2">
        <f>BDH("FTAIM US Equity","CF_FREE_CASH_FLOW","1993-06-18","2026-05-02","Per=Y","Days=T","Dir=V")</f>
        <v>0</v>
      </c>
      <c r="AQ2">
        <f>BDH("FTAIM US Equity","PX_LAST","1993-06-18","2026-05-02","Per=M","Days=T","Dir=V")</f>
        <v>0</v>
      </c>
      <c r="AS2">
        <f>BDH("FTAIM US Equity","CUR_MKT_CAP","1993-06-18","2026-05-02","Per=M","Days=T","Dir=V")</f>
        <v>0</v>
      </c>
      <c r="AU2">
        <f>BDH("FTAIM US Equity","EQY_SH_OUT","1993-06-18","2026-05-02","Per=M","Days=T","Dir=V")</f>
        <v>0</v>
      </c>
      <c r="AW2">
        <f>BDH("FTAIM US Equity","PX_VOLUME","1993-06-18","2026-05-02","Per=M","Days=T","Dir=V")</f>
        <v>0</v>
      </c>
      <c r="AY2">
        <f>BDH("FTAIM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BDH("FTCI US Equity","BS_TOT_ASSET","1993-06-18","2026-05-02","Per=Y","Days=T","Dir=V")</f>
        <v>0</v>
      </c>
      <c r="C2">
        <f>BDH("FTCI US Equity","BS_TOT_LIAB2","1993-06-18","2026-05-02","Per=Y","Days=T","Dir=V")</f>
        <v>0</v>
      </c>
      <c r="E2">
        <f>BDH("FTCI US Equity","SHORT_AND_LONG_TERM_DEBT","1993-06-18","2026-05-02","Per=Y","Days=T","Dir=V")</f>
        <v>0</v>
      </c>
      <c r="G2">
        <f>BDH("FTCI US Equity","BS_ST_BORROW","1993-06-18","2026-05-02","Per=Y","Days=T","Dir=V")</f>
        <v>0</v>
      </c>
      <c r="I2">
        <f>BDH("FTCI US Equity","BS_LT_BORROW","1993-06-18","2026-05-02","Per=Y","Days=T","Dir=V")</f>
        <v>0</v>
      </c>
      <c r="K2">
        <f>BDH("FTCI US Equity","BS_CASH_NEAR_CASH_ITEM","1993-06-18","2026-05-02","Per=Y","Days=T","Dir=V")</f>
        <v>0</v>
      </c>
      <c r="M2">
        <f>BDH("FTCI US Equity","BS_CUR_ASSET_REPORT","1993-06-18","2026-05-02","Per=Y","Days=T","Dir=V")</f>
        <v>0</v>
      </c>
      <c r="O2">
        <f>BDH("FTCI US Equity","BS_CUR_LIAB","1993-06-18","2026-05-02","Per=Y","Days=T","Dir=V")</f>
        <v>0</v>
      </c>
      <c r="Q2">
        <f>BDH("FTCI US Equity","BS_SHAREHOLDER_EQY_ENDING_PERIOD","1993-06-18","2026-05-02","Per=Y","Days=T","Dir=V")</f>
        <v>0</v>
      </c>
      <c r="S2">
        <f>BDH("FTCI US Equity","BS_ACCT_NOTE_RCV","1993-06-18","2026-05-02","Per=Y","Days=T","Dir=V")</f>
        <v>0</v>
      </c>
      <c r="U2">
        <f>BDH("FTCI US Equity","BS_INVENTORIES","1993-06-18","2026-05-02","Per=Y","Days=T","Dir=V")</f>
        <v>0</v>
      </c>
      <c r="W2">
        <f>BDH("FTCI US Equity","WORKING_CAPITAL","1993-06-18","2026-05-02","Per=Y","Days=T","Dir=V")</f>
        <v>0</v>
      </c>
      <c r="Y2">
        <f>BDH("FTCI US Equity","SALES_REV_TURN","1993-06-18","2026-05-02","Per=Y","Days=T","Dir=V")</f>
        <v>0</v>
      </c>
      <c r="AA2">
        <f>BDH("FTCI US Equity","EBIT","1993-06-18","2026-05-02","Per=Y","Days=T","Dir=V")</f>
        <v>0</v>
      </c>
      <c r="AC2">
        <f>BDH("FTCI US Equity","EBITDA","1993-06-18","2026-05-02","Per=Y","Days=T","Dir=V")</f>
        <v>0</v>
      </c>
      <c r="AE2">
        <f>BDH("FTCI US Equity","NET_INCOME","1993-06-18","2026-05-02","Per=Y","Days=T","Dir=V")</f>
        <v>0</v>
      </c>
      <c r="AG2">
        <f>BDH("FTCI US Equity","IS_INT_EXPENSE","1993-06-18","2026-05-02","Per=Y","Days=T","Dir=V")</f>
        <v>0</v>
      </c>
      <c r="AI2">
        <f>BDH("FTCI US Equity","IS_DEPR_EXP","1993-06-18","2026-05-02","Per=Y","Days=T","Dir=V")</f>
        <v>0</v>
      </c>
      <c r="AK2">
        <f>BDH("FTCI US Equity","CF_CASH_FROM_OPER","1993-06-18","2026-05-02","Per=Y","Days=T","Dir=V")</f>
        <v>0</v>
      </c>
      <c r="AM2">
        <f>BDH("FTCI US Equity","CAPITAL_EXPEND","1993-06-18","2026-05-02","Per=Y","Days=T","Dir=V")</f>
        <v>0</v>
      </c>
      <c r="AO2">
        <f>BDH("FTCI US Equity","CF_FREE_CASH_FLOW","1993-06-18","2026-05-02","Per=Y","Days=T","Dir=V")</f>
        <v>0</v>
      </c>
      <c r="AQ2">
        <f>BDH("FTCI US Equity","PX_LAST","1993-06-18","2026-05-02","Per=M","Days=T","Dir=V")</f>
        <v>0</v>
      </c>
      <c r="AS2">
        <f>BDH("FTCI US Equity","CUR_MKT_CAP","1993-06-18","2026-05-02","Per=M","Days=T","Dir=V")</f>
        <v>0</v>
      </c>
      <c r="AU2">
        <f>BDH("FTCI US Equity","EQY_SH_OUT","1993-06-18","2026-05-02","Per=M","Days=T","Dir=V")</f>
        <v>0</v>
      </c>
      <c r="AW2">
        <f>BDH("FTCI US Equity","PX_VOLUME","1993-06-18","2026-05-02","Per=M","Days=T","Dir=V")</f>
        <v>0</v>
      </c>
      <c r="AY2">
        <f>BDH("FTCI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BDH("FTDR US Equity","BS_TOT_ASSET","1993-06-18","2026-05-02","Per=Y","Days=T","Dir=V")</f>
        <v>0</v>
      </c>
      <c r="C2">
        <f>BDH("FTDR US Equity","BS_TOT_LIAB2","1993-06-18","2026-05-02","Per=Y","Days=T","Dir=V")</f>
        <v>0</v>
      </c>
      <c r="E2">
        <f>BDH("FTDR US Equity","SHORT_AND_LONG_TERM_DEBT","1993-06-18","2026-05-02","Per=Y","Days=T","Dir=V")</f>
        <v>0</v>
      </c>
      <c r="G2">
        <f>BDH("FTDR US Equity","BS_ST_BORROW","1993-06-18","2026-05-02","Per=Y","Days=T","Dir=V")</f>
        <v>0</v>
      </c>
      <c r="I2">
        <f>BDH("FTDR US Equity","BS_LT_BORROW","1993-06-18","2026-05-02","Per=Y","Days=T","Dir=V")</f>
        <v>0</v>
      </c>
      <c r="K2">
        <f>BDH("FTDR US Equity","BS_CASH_NEAR_CASH_ITEM","1993-06-18","2026-05-02","Per=Y","Days=T","Dir=V")</f>
        <v>0</v>
      </c>
      <c r="M2">
        <f>BDH("FTDR US Equity","BS_CUR_ASSET_REPORT","1993-06-18","2026-05-02","Per=Y","Days=T","Dir=V")</f>
        <v>0</v>
      </c>
      <c r="O2">
        <f>BDH("FTDR US Equity","BS_CUR_LIAB","1993-06-18","2026-05-02","Per=Y","Days=T","Dir=V")</f>
        <v>0</v>
      </c>
      <c r="Q2">
        <f>BDH("FTDR US Equity","BS_SHAREHOLDER_EQY_ENDING_PERIOD","1993-06-18","2026-05-02","Per=Y","Days=T","Dir=V")</f>
        <v>0</v>
      </c>
      <c r="S2">
        <f>BDH("FTDR US Equity","BS_ACCT_NOTE_RCV","1993-06-18","2026-05-02","Per=Y","Days=T","Dir=V")</f>
        <v>0</v>
      </c>
      <c r="U2">
        <f>BDH("FTDR US Equity","BS_INVENTORIES","1993-06-18","2026-05-02","Per=Y","Days=T","Dir=V")</f>
        <v>0</v>
      </c>
      <c r="W2">
        <f>BDH("FTDR US Equity","WORKING_CAPITAL","1993-06-18","2026-05-02","Per=Y","Days=T","Dir=V")</f>
        <v>0</v>
      </c>
      <c r="Y2">
        <f>BDH("FTDR US Equity","SALES_REV_TURN","1993-06-18","2026-05-02","Per=Y","Days=T","Dir=V")</f>
        <v>0</v>
      </c>
      <c r="AA2">
        <f>BDH("FTDR US Equity","EBIT","1993-06-18","2026-05-02","Per=Y","Days=T","Dir=V")</f>
        <v>0</v>
      </c>
      <c r="AC2">
        <f>BDH("FTDR US Equity","EBITDA","1993-06-18","2026-05-02","Per=Y","Days=T","Dir=V")</f>
        <v>0</v>
      </c>
      <c r="AE2">
        <f>BDH("FTDR US Equity","NET_INCOME","1993-06-18","2026-05-02","Per=Y","Days=T","Dir=V")</f>
        <v>0</v>
      </c>
      <c r="AG2">
        <f>BDH("FTDR US Equity","IS_INT_EXPENSE","1993-06-18","2026-05-02","Per=Y","Days=T","Dir=V")</f>
        <v>0</v>
      </c>
      <c r="AI2">
        <f>BDH("FTDR US Equity","IS_DEPR_EXP","1993-06-18","2026-05-02","Per=Y","Days=T","Dir=V")</f>
        <v>0</v>
      </c>
      <c r="AK2">
        <f>BDH("FTDR US Equity","CF_CASH_FROM_OPER","1993-06-18","2026-05-02","Per=Y","Days=T","Dir=V")</f>
        <v>0</v>
      </c>
      <c r="AM2">
        <f>BDH("FTDR US Equity","CAPITAL_EXPEND","1993-06-18","2026-05-02","Per=Y","Days=T","Dir=V")</f>
        <v>0</v>
      </c>
      <c r="AO2">
        <f>BDH("FTDR US Equity","CF_FREE_CASH_FLOW","1993-06-18","2026-05-02","Per=Y","Days=T","Dir=V")</f>
        <v>0</v>
      </c>
      <c r="AQ2">
        <f>BDH("FTDR US Equity","PX_LAST","1993-06-18","2026-05-02","Per=M","Days=T","Dir=V")</f>
        <v>0</v>
      </c>
      <c r="AS2">
        <f>BDH("FTDR US Equity","CUR_MKT_CAP","1993-06-18","2026-05-02","Per=M","Days=T","Dir=V")</f>
        <v>0</v>
      </c>
      <c r="AU2">
        <f>BDH("FTDR US Equity","EQY_SH_OUT","1993-06-18","2026-05-02","Per=M","Days=T","Dir=V")</f>
        <v>0</v>
      </c>
      <c r="AW2">
        <f>BDH("FTDR US Equity","PX_VOLUME","1993-06-18","2026-05-02","Per=M","Days=T","Dir=V")</f>
        <v>0</v>
      </c>
      <c r="AY2">
        <f>BDH("FTDR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BDH("FTEK US Equity","BS_TOT_ASSET","1993-06-18","2026-05-02","Per=Y","Days=T","Dir=V")</f>
        <v>0</v>
      </c>
      <c r="C2">
        <f>BDH("FTEK US Equity","BS_TOT_LIAB2","1993-06-18","2026-05-02","Per=Y","Days=T","Dir=V")</f>
        <v>0</v>
      </c>
      <c r="E2">
        <f>BDH("FTEK US Equity","SHORT_AND_LONG_TERM_DEBT","1993-06-18","2026-05-02","Per=Y","Days=T","Dir=V")</f>
        <v>0</v>
      </c>
      <c r="G2">
        <f>BDH("FTEK US Equity","BS_ST_BORROW","1993-06-18","2026-05-02","Per=Y","Days=T","Dir=V")</f>
        <v>0</v>
      </c>
      <c r="I2">
        <f>BDH("FTEK US Equity","BS_LT_BORROW","1993-06-18","2026-05-02","Per=Y","Days=T","Dir=V")</f>
        <v>0</v>
      </c>
      <c r="K2">
        <f>BDH("FTEK US Equity","BS_CASH_NEAR_CASH_ITEM","1993-06-18","2026-05-02","Per=Y","Days=T","Dir=V")</f>
        <v>0</v>
      </c>
      <c r="M2">
        <f>BDH("FTEK US Equity","BS_CUR_ASSET_REPORT","1993-06-18","2026-05-02","Per=Y","Days=T","Dir=V")</f>
        <v>0</v>
      </c>
      <c r="O2">
        <f>BDH("FTEK US Equity","BS_CUR_LIAB","1993-06-18","2026-05-02","Per=Y","Days=T","Dir=V")</f>
        <v>0</v>
      </c>
      <c r="Q2">
        <f>BDH("FTEK US Equity","BS_SHAREHOLDER_EQY_ENDING_PERIOD","1993-06-18","2026-05-02","Per=Y","Days=T","Dir=V")</f>
        <v>0</v>
      </c>
      <c r="S2">
        <f>BDH("FTEK US Equity","BS_ACCT_NOTE_RCV","1993-06-18","2026-05-02","Per=Y","Days=T","Dir=V")</f>
        <v>0</v>
      </c>
      <c r="U2">
        <f>BDH("FTEK US Equity","BS_INVENTORIES","1993-06-18","2026-05-02","Per=Y","Days=T","Dir=V")</f>
        <v>0</v>
      </c>
      <c r="W2">
        <f>BDH("FTEK US Equity","WORKING_CAPITAL","1993-06-18","2026-05-02","Per=Y","Days=T","Dir=V")</f>
        <v>0</v>
      </c>
      <c r="Y2">
        <f>BDH("FTEK US Equity","SALES_REV_TURN","1993-06-18","2026-05-02","Per=Y","Days=T","Dir=V")</f>
        <v>0</v>
      </c>
      <c r="AA2">
        <f>BDH("FTEK US Equity","EBIT","1993-06-18","2026-05-02","Per=Y","Days=T","Dir=V")</f>
        <v>0</v>
      </c>
      <c r="AC2">
        <f>BDH("FTEK US Equity","EBITDA","1993-06-18","2026-05-02","Per=Y","Days=T","Dir=V")</f>
        <v>0</v>
      </c>
      <c r="AE2">
        <f>BDH("FTEK US Equity","NET_INCOME","1993-06-18","2026-05-02","Per=Y","Days=T","Dir=V")</f>
        <v>0</v>
      </c>
      <c r="AG2">
        <f>BDH("FTEK US Equity","IS_INT_EXPENSE","1993-06-18","2026-05-02","Per=Y","Days=T","Dir=V")</f>
        <v>0</v>
      </c>
      <c r="AI2">
        <f>BDH("FTEK US Equity","IS_DEPR_EXP","1993-06-18","2026-05-02","Per=Y","Days=T","Dir=V")</f>
        <v>0</v>
      </c>
      <c r="AK2">
        <f>BDH("FTEK US Equity","CF_CASH_FROM_OPER","1993-06-18","2026-05-02","Per=Y","Days=T","Dir=V")</f>
        <v>0</v>
      </c>
      <c r="AM2">
        <f>BDH("FTEK US Equity","CAPITAL_EXPEND","1993-06-18","2026-05-02","Per=Y","Days=T","Dir=V")</f>
        <v>0</v>
      </c>
      <c r="AO2">
        <f>BDH("FTEK US Equity","CF_FREE_CASH_FLOW","1993-06-18","2026-05-02","Per=Y","Days=T","Dir=V")</f>
        <v>0</v>
      </c>
      <c r="AQ2">
        <f>BDH("FTEK US Equity","PX_LAST","1993-06-18","2026-05-02","Per=M","Days=T","Dir=V")</f>
        <v>0</v>
      </c>
      <c r="AS2">
        <f>BDH("FTEK US Equity","CUR_MKT_CAP","1993-06-18","2026-05-02","Per=M","Days=T","Dir=V")</f>
        <v>0</v>
      </c>
      <c r="AU2">
        <f>BDH("FTEK US Equity","EQY_SH_OUT","1993-06-18","2026-05-02","Per=M","Days=T","Dir=V")</f>
        <v>0</v>
      </c>
      <c r="AW2">
        <f>BDH("FTEK US Equity","PX_VOLUME","1993-06-18","2026-05-02","Per=M","Days=T","Dir=V")</f>
        <v>0</v>
      </c>
      <c r="AY2">
        <f>BDH("FTEK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BDH("FTH US Equity","BS_TOT_ASSET","1993-06-18","2026-05-02","Per=Y","Days=T","Dir=V")</f>
        <v>0</v>
      </c>
      <c r="C2">
        <f>BDH("FTH US Equity","BS_TOT_LIAB2","1993-06-18","2026-05-02","Per=Y","Days=T","Dir=V")</f>
        <v>0</v>
      </c>
      <c r="E2">
        <f>BDH("FTH US Equity","SHORT_AND_LONG_TERM_DEBT","1993-06-18","2026-05-02","Per=Y","Days=T","Dir=V")</f>
        <v>0</v>
      </c>
      <c r="G2">
        <f>BDH("FTH US Equity","BS_ST_BORROW","1993-06-18","2026-05-02","Per=Y","Days=T","Dir=V")</f>
        <v>0</v>
      </c>
      <c r="I2">
        <f>BDH("FTH US Equity","BS_LT_BORROW","1993-06-18","2026-05-02","Per=Y","Days=T","Dir=V")</f>
        <v>0</v>
      </c>
      <c r="K2">
        <f>BDH("FTH US Equity","BS_CASH_NEAR_CASH_ITEM","1993-06-18","2026-05-02","Per=Y","Days=T","Dir=V")</f>
        <v>0</v>
      </c>
      <c r="M2">
        <f>BDH("FTH US Equity","BS_CUR_ASSET_REPORT","1993-06-18","2026-05-02","Per=Y","Days=T","Dir=V")</f>
        <v>0</v>
      </c>
      <c r="O2">
        <f>BDH("FTH US Equity","BS_CUR_LIAB","1993-06-18","2026-05-02","Per=Y","Days=T","Dir=V")</f>
        <v>0</v>
      </c>
      <c r="Q2">
        <f>BDH("FTH US Equity","BS_SHAREHOLDER_EQY_ENDING_PERIOD","1993-06-18","2026-05-02","Per=Y","Days=T","Dir=V")</f>
        <v>0</v>
      </c>
      <c r="S2">
        <f>BDH("FTH US Equity","BS_ACCT_NOTE_RCV","1993-06-18","2026-05-02","Per=Y","Days=T","Dir=V")</f>
        <v>0</v>
      </c>
      <c r="U2">
        <f>BDH("FTH US Equity","BS_INVENTORIES","1993-06-18","2026-05-02","Per=Y","Days=T","Dir=V")</f>
        <v>0</v>
      </c>
      <c r="W2">
        <f>BDH("FTH US Equity","WORKING_CAPITAL","1993-06-18","2026-05-02","Per=Y","Days=T","Dir=V")</f>
        <v>0</v>
      </c>
      <c r="Y2">
        <f>BDH("FTH US Equity","SALES_REV_TURN","1993-06-18","2026-05-02","Per=Y","Days=T","Dir=V")</f>
        <v>0</v>
      </c>
      <c r="AA2">
        <f>BDH("FTH US Equity","EBIT","1993-06-18","2026-05-02","Per=Y","Days=T","Dir=V")</f>
        <v>0</v>
      </c>
      <c r="AC2">
        <f>BDH("FTH US Equity","EBITDA","1993-06-18","2026-05-02","Per=Y","Days=T","Dir=V")</f>
        <v>0</v>
      </c>
      <c r="AE2">
        <f>BDH("FTH US Equity","NET_INCOME","1993-06-18","2026-05-02","Per=Y","Days=T","Dir=V")</f>
        <v>0</v>
      </c>
      <c r="AG2">
        <f>BDH("FTH US Equity","IS_INT_EXPENSE","1993-06-18","2026-05-02","Per=Y","Days=T","Dir=V")</f>
        <v>0</v>
      </c>
      <c r="AI2">
        <f>BDH("FTH US Equity","IS_DEPR_EXP","1993-06-18","2026-05-02","Per=Y","Days=T","Dir=V")</f>
        <v>0</v>
      </c>
      <c r="AK2">
        <f>BDH("FTH US Equity","CF_CASH_FROM_OPER","1993-06-18","2026-05-02","Per=Y","Days=T","Dir=V")</f>
        <v>0</v>
      </c>
      <c r="AM2">
        <f>BDH("FTH US Equity","CAPITAL_EXPEND","1993-06-18","2026-05-02","Per=Y","Days=T","Dir=V")</f>
        <v>0</v>
      </c>
      <c r="AO2">
        <f>BDH("FTH US Equity","CF_FREE_CASH_FLOW","1993-06-18","2026-05-02","Per=Y","Days=T","Dir=V")</f>
        <v>0</v>
      </c>
      <c r="AQ2">
        <f>BDH("FTH US Equity","PX_LAST","1993-06-18","2026-05-02","Per=M","Days=T","Dir=V")</f>
        <v>0</v>
      </c>
      <c r="AS2">
        <f>BDH("FTH US Equity","CUR_MKT_CAP","1993-06-18","2026-05-02","Per=M","Days=T","Dir=V")</f>
        <v>0</v>
      </c>
      <c r="AU2">
        <f>BDH("FTH US Equity","EQY_SH_OUT","1993-06-18","2026-05-02","Per=M","Days=T","Dir=V")</f>
        <v>0</v>
      </c>
      <c r="AW2">
        <f>BDH("FTH US Equity","PX_VOLUME","1993-06-18","2026-05-02","Per=M","Days=T","Dir=V")</f>
        <v>0</v>
      </c>
      <c r="AY2">
        <f>BDH("FTH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BDH("FTK US Equity","BS_TOT_ASSET","1993-06-18","2026-05-02","Per=Y","Days=T","Dir=V")</f>
        <v>0</v>
      </c>
      <c r="C2">
        <f>BDH("FTK US Equity","BS_TOT_LIAB2","1993-06-18","2026-05-02","Per=Y","Days=T","Dir=V")</f>
        <v>0</v>
      </c>
      <c r="E2">
        <f>BDH("FTK US Equity","SHORT_AND_LONG_TERM_DEBT","1993-06-18","2026-05-02","Per=Y","Days=T","Dir=V")</f>
        <v>0</v>
      </c>
      <c r="G2">
        <f>BDH("FTK US Equity","BS_ST_BORROW","1993-06-18","2026-05-02","Per=Y","Days=T","Dir=V")</f>
        <v>0</v>
      </c>
      <c r="I2">
        <f>BDH("FTK US Equity","BS_LT_BORROW","1993-06-18","2026-05-02","Per=Y","Days=T","Dir=V")</f>
        <v>0</v>
      </c>
      <c r="K2">
        <f>BDH("FTK US Equity","BS_CASH_NEAR_CASH_ITEM","1993-06-18","2026-05-02","Per=Y","Days=T","Dir=V")</f>
        <v>0</v>
      </c>
      <c r="M2">
        <f>BDH("FTK US Equity","BS_CUR_ASSET_REPORT","1993-06-18","2026-05-02","Per=Y","Days=T","Dir=V")</f>
        <v>0</v>
      </c>
      <c r="O2">
        <f>BDH("FTK US Equity","BS_CUR_LIAB","1993-06-18","2026-05-02","Per=Y","Days=T","Dir=V")</f>
        <v>0</v>
      </c>
      <c r="Q2">
        <f>BDH("FTK US Equity","BS_SHAREHOLDER_EQY_ENDING_PERIOD","1993-06-18","2026-05-02","Per=Y","Days=T","Dir=V")</f>
        <v>0</v>
      </c>
      <c r="S2">
        <f>BDH("FTK US Equity","BS_ACCT_NOTE_RCV","1993-06-18","2026-05-02","Per=Y","Days=T","Dir=V")</f>
        <v>0</v>
      </c>
      <c r="U2">
        <f>BDH("FTK US Equity","BS_INVENTORIES","1993-06-18","2026-05-02","Per=Y","Days=T","Dir=V")</f>
        <v>0</v>
      </c>
      <c r="W2">
        <f>BDH("FTK US Equity","WORKING_CAPITAL","1993-06-18","2026-05-02","Per=Y","Days=T","Dir=V")</f>
        <v>0</v>
      </c>
      <c r="Y2">
        <f>BDH("FTK US Equity","SALES_REV_TURN","1993-06-18","2026-05-02","Per=Y","Days=T","Dir=V")</f>
        <v>0</v>
      </c>
      <c r="AA2">
        <f>BDH("FTK US Equity","EBIT","1993-06-18","2026-05-02","Per=Y","Days=T","Dir=V")</f>
        <v>0</v>
      </c>
      <c r="AC2">
        <f>BDH("FTK US Equity","EBITDA","1993-06-18","2026-05-02","Per=Y","Days=T","Dir=V")</f>
        <v>0</v>
      </c>
      <c r="AE2">
        <f>BDH("FTK US Equity","NET_INCOME","1993-06-18","2026-05-02","Per=Y","Days=T","Dir=V")</f>
        <v>0</v>
      </c>
      <c r="AG2">
        <f>BDH("FTK US Equity","IS_INT_EXPENSE","1993-06-18","2026-05-02","Per=Y","Days=T","Dir=V")</f>
        <v>0</v>
      </c>
      <c r="AI2">
        <f>BDH("FTK US Equity","IS_DEPR_EXP","1993-06-18","2026-05-02","Per=Y","Days=T","Dir=V")</f>
        <v>0</v>
      </c>
      <c r="AK2">
        <f>BDH("FTK US Equity","CF_CASH_FROM_OPER","1993-06-18","2026-05-02","Per=Y","Days=T","Dir=V")</f>
        <v>0</v>
      </c>
      <c r="AM2">
        <f>BDH("FTK US Equity","CAPITAL_EXPEND","1993-06-18","2026-05-02","Per=Y","Days=T","Dir=V")</f>
        <v>0</v>
      </c>
      <c r="AO2">
        <f>BDH("FTK US Equity","CF_FREE_CASH_FLOW","1993-06-18","2026-05-02","Per=Y","Days=T","Dir=V")</f>
        <v>0</v>
      </c>
      <c r="AQ2">
        <f>BDH("FTK US Equity","PX_LAST","1993-06-18","2026-05-02","Per=M","Days=T","Dir=V")</f>
        <v>0</v>
      </c>
      <c r="AS2">
        <f>BDH("FTK US Equity","CUR_MKT_CAP","1993-06-18","2026-05-02","Per=M","Days=T","Dir=V")</f>
        <v>0</v>
      </c>
      <c r="AU2">
        <f>BDH("FTK US Equity","EQY_SH_OUT","1993-06-18","2026-05-02","Per=M","Days=T","Dir=V")</f>
        <v>0</v>
      </c>
      <c r="AW2">
        <f>BDH("FTK US Equity","PX_VOLUME","1993-06-18","2026-05-02","Per=M","Days=T","Dir=V")</f>
        <v>0</v>
      </c>
      <c r="AY2">
        <f>BDH("FTK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BDH("FTLF US Equity","BS_TOT_ASSET","1993-06-18","2026-05-02","Per=Y","Days=T","Dir=V")</f>
        <v>0</v>
      </c>
      <c r="C2">
        <f>BDH("FTLF US Equity","BS_TOT_LIAB2","1993-06-18","2026-05-02","Per=Y","Days=T","Dir=V")</f>
        <v>0</v>
      </c>
      <c r="E2">
        <f>BDH("FTLF US Equity","SHORT_AND_LONG_TERM_DEBT","1993-06-18","2026-05-02","Per=Y","Days=T","Dir=V")</f>
        <v>0</v>
      </c>
      <c r="G2">
        <f>BDH("FTLF US Equity","BS_ST_BORROW","1993-06-18","2026-05-02","Per=Y","Days=T","Dir=V")</f>
        <v>0</v>
      </c>
      <c r="I2">
        <f>BDH("FTLF US Equity","BS_LT_BORROW","1993-06-18","2026-05-02","Per=Y","Days=T","Dir=V")</f>
        <v>0</v>
      </c>
      <c r="K2">
        <f>BDH("FTLF US Equity","BS_CASH_NEAR_CASH_ITEM","1993-06-18","2026-05-02","Per=Y","Days=T","Dir=V")</f>
        <v>0</v>
      </c>
      <c r="M2">
        <f>BDH("FTLF US Equity","BS_CUR_ASSET_REPORT","1993-06-18","2026-05-02","Per=Y","Days=T","Dir=V")</f>
        <v>0</v>
      </c>
      <c r="O2">
        <f>BDH("FTLF US Equity","BS_CUR_LIAB","1993-06-18","2026-05-02","Per=Y","Days=T","Dir=V")</f>
        <v>0</v>
      </c>
      <c r="Q2">
        <f>BDH("FTLF US Equity","BS_SHAREHOLDER_EQY_ENDING_PERIOD","1993-06-18","2026-05-02","Per=Y","Days=T","Dir=V")</f>
        <v>0</v>
      </c>
      <c r="S2">
        <f>BDH("FTLF US Equity","BS_ACCT_NOTE_RCV","1993-06-18","2026-05-02","Per=Y","Days=T","Dir=V")</f>
        <v>0</v>
      </c>
      <c r="U2">
        <f>BDH("FTLF US Equity","BS_INVENTORIES","1993-06-18","2026-05-02","Per=Y","Days=T","Dir=V")</f>
        <v>0</v>
      </c>
      <c r="W2">
        <f>BDH("FTLF US Equity","WORKING_CAPITAL","1993-06-18","2026-05-02","Per=Y","Days=T","Dir=V")</f>
        <v>0</v>
      </c>
      <c r="Y2">
        <f>BDH("FTLF US Equity","SALES_REV_TURN","1993-06-18","2026-05-02","Per=Y","Days=T","Dir=V")</f>
        <v>0</v>
      </c>
      <c r="AA2">
        <f>BDH("FTLF US Equity","EBIT","1993-06-18","2026-05-02","Per=Y","Days=T","Dir=V")</f>
        <v>0</v>
      </c>
      <c r="AC2">
        <f>BDH("FTLF US Equity","EBITDA","1993-06-18","2026-05-02","Per=Y","Days=T","Dir=V")</f>
        <v>0</v>
      </c>
      <c r="AE2">
        <f>BDH("FTLF US Equity","NET_INCOME","1993-06-18","2026-05-02","Per=Y","Days=T","Dir=V")</f>
        <v>0</v>
      </c>
      <c r="AG2">
        <f>BDH("FTLF US Equity","IS_INT_EXPENSE","1993-06-18","2026-05-02","Per=Y","Days=T","Dir=V")</f>
        <v>0</v>
      </c>
      <c r="AI2">
        <f>BDH("FTLF US Equity","IS_DEPR_EXP","1993-06-18","2026-05-02","Per=Y","Days=T","Dir=V")</f>
        <v>0</v>
      </c>
      <c r="AK2">
        <f>BDH("FTLF US Equity","CF_CASH_FROM_OPER","1993-06-18","2026-05-02","Per=Y","Days=T","Dir=V")</f>
        <v>0</v>
      </c>
      <c r="AM2">
        <f>BDH("FTLF US Equity","CAPITAL_EXPEND","1993-06-18","2026-05-02","Per=Y","Days=T","Dir=V")</f>
        <v>0</v>
      </c>
      <c r="AO2">
        <f>BDH("FTLF US Equity","CF_FREE_CASH_FLOW","1993-06-18","2026-05-02","Per=Y","Days=T","Dir=V")</f>
        <v>0</v>
      </c>
      <c r="AQ2">
        <f>BDH("FTLF US Equity","PX_LAST","1993-06-18","2026-05-02","Per=M","Days=T","Dir=V")</f>
        <v>0</v>
      </c>
      <c r="AS2">
        <f>BDH("FTLF US Equity","CUR_MKT_CAP","1993-06-18","2026-05-02","Per=M","Days=T","Dir=V")</f>
        <v>0</v>
      </c>
      <c r="AU2">
        <f>BDH("FTLF US Equity","EQY_SH_OUT","1993-06-18","2026-05-02","Per=M","Days=T","Dir=V")</f>
        <v>0</v>
      </c>
      <c r="AW2">
        <f>BDH("FTLF US Equity","PX_VOLUME","1993-06-18","2026-05-02","Per=M","Days=T","Dir=V")</f>
        <v>0</v>
      </c>
      <c r="AY2">
        <f>BDH("FTLF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BDH("FTNT US Equity","BS_TOT_ASSET","1993-06-18","2026-05-02","Per=Y","Days=T","Dir=V")</f>
        <v>0</v>
      </c>
      <c r="C2">
        <f>BDH("FTNT US Equity","BS_TOT_LIAB2","1993-06-18","2026-05-02","Per=Y","Days=T","Dir=V")</f>
        <v>0</v>
      </c>
      <c r="E2">
        <f>BDH("FTNT US Equity","SHORT_AND_LONG_TERM_DEBT","1993-06-18","2026-05-02","Per=Y","Days=T","Dir=V")</f>
        <v>0</v>
      </c>
      <c r="G2">
        <f>BDH("FTNT US Equity","BS_ST_BORROW","1993-06-18","2026-05-02","Per=Y","Days=T","Dir=V")</f>
        <v>0</v>
      </c>
      <c r="I2">
        <f>BDH("FTNT US Equity","BS_LT_BORROW","1993-06-18","2026-05-02","Per=Y","Days=T","Dir=V")</f>
        <v>0</v>
      </c>
      <c r="K2">
        <f>BDH("FTNT US Equity","BS_CASH_NEAR_CASH_ITEM","1993-06-18","2026-05-02","Per=Y","Days=T","Dir=V")</f>
        <v>0</v>
      </c>
      <c r="M2">
        <f>BDH("FTNT US Equity","BS_CUR_ASSET_REPORT","1993-06-18","2026-05-02","Per=Y","Days=T","Dir=V")</f>
        <v>0</v>
      </c>
      <c r="O2">
        <f>BDH("FTNT US Equity","BS_CUR_LIAB","1993-06-18","2026-05-02","Per=Y","Days=T","Dir=V")</f>
        <v>0</v>
      </c>
      <c r="Q2">
        <f>BDH("FTNT US Equity","BS_SHAREHOLDER_EQY_ENDING_PERIOD","1993-06-18","2026-05-02","Per=Y","Days=T","Dir=V")</f>
        <v>0</v>
      </c>
      <c r="S2">
        <f>BDH("FTNT US Equity","BS_ACCT_NOTE_RCV","1993-06-18","2026-05-02","Per=Y","Days=T","Dir=V")</f>
        <v>0</v>
      </c>
      <c r="U2">
        <f>BDH("FTNT US Equity","BS_INVENTORIES","1993-06-18","2026-05-02","Per=Y","Days=T","Dir=V")</f>
        <v>0</v>
      </c>
      <c r="W2">
        <f>BDH("FTNT US Equity","WORKING_CAPITAL","1993-06-18","2026-05-02","Per=Y","Days=T","Dir=V")</f>
        <v>0</v>
      </c>
      <c r="Y2">
        <f>BDH("FTNT US Equity","SALES_REV_TURN","1993-06-18","2026-05-02","Per=Y","Days=T","Dir=V")</f>
        <v>0</v>
      </c>
      <c r="AA2">
        <f>BDH("FTNT US Equity","EBIT","1993-06-18","2026-05-02","Per=Y","Days=T","Dir=V")</f>
        <v>0</v>
      </c>
      <c r="AC2">
        <f>BDH("FTNT US Equity","EBITDA","1993-06-18","2026-05-02","Per=Y","Days=T","Dir=V")</f>
        <v>0</v>
      </c>
      <c r="AE2">
        <f>BDH("FTNT US Equity","NET_INCOME","1993-06-18","2026-05-02","Per=Y","Days=T","Dir=V")</f>
        <v>0</v>
      </c>
      <c r="AG2">
        <f>BDH("FTNT US Equity","IS_INT_EXPENSE","1993-06-18","2026-05-02","Per=Y","Days=T","Dir=V")</f>
        <v>0</v>
      </c>
      <c r="AI2">
        <f>BDH("FTNT US Equity","IS_DEPR_EXP","1993-06-18","2026-05-02","Per=Y","Days=T","Dir=V")</f>
        <v>0</v>
      </c>
      <c r="AK2">
        <f>BDH("FTNT US Equity","CF_CASH_FROM_OPER","1993-06-18","2026-05-02","Per=Y","Days=T","Dir=V")</f>
        <v>0</v>
      </c>
      <c r="AM2">
        <f>BDH("FTNT US Equity","CAPITAL_EXPEND","1993-06-18","2026-05-02","Per=Y","Days=T","Dir=V")</f>
        <v>0</v>
      </c>
      <c r="AO2">
        <f>BDH("FTNT US Equity","CF_FREE_CASH_FLOW","1993-06-18","2026-05-02","Per=Y","Days=T","Dir=V")</f>
        <v>0</v>
      </c>
      <c r="AQ2">
        <f>BDH("FTNT US Equity","PX_LAST","1993-06-18","2026-05-02","Per=M","Days=T","Dir=V")</f>
        <v>0</v>
      </c>
      <c r="AS2">
        <f>BDH("FTNT US Equity","CUR_MKT_CAP","1993-06-18","2026-05-02","Per=M","Days=T","Dir=V")</f>
        <v>0</v>
      </c>
      <c r="AU2">
        <f>BDH("FTNT US Equity","EQY_SH_OUT","1993-06-18","2026-05-02","Per=M","Days=T","Dir=V")</f>
        <v>0</v>
      </c>
      <c r="AW2">
        <f>BDH("FTNT US Equity","PX_VOLUME","1993-06-18","2026-05-02","Per=M","Days=T","Dir=V")</f>
        <v>0</v>
      </c>
      <c r="AY2">
        <f>BDH("FTNT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BDH("FTRE US Equity","BS_TOT_ASSET","1993-06-18","2026-05-02","Per=Y","Days=T","Dir=V")</f>
        <v>0</v>
      </c>
      <c r="C2">
        <f>BDH("FTRE US Equity","BS_TOT_LIAB2","1993-06-18","2026-05-02","Per=Y","Days=T","Dir=V")</f>
        <v>0</v>
      </c>
      <c r="E2">
        <f>BDH("FTRE US Equity","SHORT_AND_LONG_TERM_DEBT","1993-06-18","2026-05-02","Per=Y","Days=T","Dir=V")</f>
        <v>0</v>
      </c>
      <c r="G2">
        <f>BDH("FTRE US Equity","BS_ST_BORROW","1993-06-18","2026-05-02","Per=Y","Days=T","Dir=V")</f>
        <v>0</v>
      </c>
      <c r="I2">
        <f>BDH("FTRE US Equity","BS_LT_BORROW","1993-06-18","2026-05-02","Per=Y","Days=T","Dir=V")</f>
        <v>0</v>
      </c>
      <c r="K2">
        <f>BDH("FTRE US Equity","BS_CASH_NEAR_CASH_ITEM","1993-06-18","2026-05-02","Per=Y","Days=T","Dir=V")</f>
        <v>0</v>
      </c>
      <c r="M2">
        <f>BDH("FTRE US Equity","BS_CUR_ASSET_REPORT","1993-06-18","2026-05-02","Per=Y","Days=T","Dir=V")</f>
        <v>0</v>
      </c>
      <c r="O2">
        <f>BDH("FTRE US Equity","BS_CUR_LIAB","1993-06-18","2026-05-02","Per=Y","Days=T","Dir=V")</f>
        <v>0</v>
      </c>
      <c r="Q2">
        <f>BDH("FTRE US Equity","BS_SHAREHOLDER_EQY_ENDING_PERIOD","1993-06-18","2026-05-02","Per=Y","Days=T","Dir=V")</f>
        <v>0</v>
      </c>
      <c r="S2">
        <f>BDH("FTRE US Equity","BS_ACCT_NOTE_RCV","1993-06-18","2026-05-02","Per=Y","Days=T","Dir=V")</f>
        <v>0</v>
      </c>
      <c r="U2">
        <f>BDH("FTRE US Equity","BS_INVENTORIES","1993-06-18","2026-05-02","Per=Y","Days=T","Dir=V")</f>
        <v>0</v>
      </c>
      <c r="W2">
        <f>BDH("FTRE US Equity","WORKING_CAPITAL","1993-06-18","2026-05-02","Per=Y","Days=T","Dir=V")</f>
        <v>0</v>
      </c>
      <c r="Y2">
        <f>BDH("FTRE US Equity","SALES_REV_TURN","1993-06-18","2026-05-02","Per=Y","Days=T","Dir=V")</f>
        <v>0</v>
      </c>
      <c r="AA2">
        <f>BDH("FTRE US Equity","EBIT","1993-06-18","2026-05-02","Per=Y","Days=T","Dir=V")</f>
        <v>0</v>
      </c>
      <c r="AC2">
        <f>BDH("FTRE US Equity","EBITDA","1993-06-18","2026-05-02","Per=Y","Days=T","Dir=V")</f>
        <v>0</v>
      </c>
      <c r="AE2">
        <f>BDH("FTRE US Equity","NET_INCOME","1993-06-18","2026-05-02","Per=Y","Days=T","Dir=V")</f>
        <v>0</v>
      </c>
      <c r="AG2">
        <f>BDH("FTRE US Equity","IS_INT_EXPENSE","1993-06-18","2026-05-02","Per=Y","Days=T","Dir=V")</f>
        <v>0</v>
      </c>
      <c r="AI2">
        <f>BDH("FTRE US Equity","IS_DEPR_EXP","1993-06-18","2026-05-02","Per=Y","Days=T","Dir=V")</f>
        <v>0</v>
      </c>
      <c r="AK2">
        <f>BDH("FTRE US Equity","CF_CASH_FROM_OPER","1993-06-18","2026-05-02","Per=Y","Days=T","Dir=V")</f>
        <v>0</v>
      </c>
      <c r="AM2">
        <f>BDH("FTRE US Equity","CAPITAL_EXPEND","1993-06-18","2026-05-02","Per=Y","Days=T","Dir=V")</f>
        <v>0</v>
      </c>
      <c r="AO2">
        <f>BDH("FTRE US Equity","CF_FREE_CASH_FLOW","1993-06-18","2026-05-02","Per=Y","Days=T","Dir=V")</f>
        <v>0</v>
      </c>
      <c r="AQ2">
        <f>BDH("FTRE US Equity","PX_LAST","1993-06-18","2026-05-02","Per=M","Days=T","Dir=V")</f>
        <v>0</v>
      </c>
      <c r="AS2">
        <f>BDH("FTRE US Equity","CUR_MKT_CAP","1993-06-18","2026-05-02","Per=M","Days=T","Dir=V")</f>
        <v>0</v>
      </c>
      <c r="AU2">
        <f>BDH("FTRE US Equity","EQY_SH_OUT","1993-06-18","2026-05-02","Per=M","Days=T","Dir=V")</f>
        <v>0</v>
      </c>
      <c r="AW2">
        <f>BDH("FTRE US Equity","PX_VOLUME","1993-06-18","2026-05-02","Per=M","Days=T","Dir=V")</f>
        <v>0</v>
      </c>
      <c r="AY2">
        <f>BDH("FTRE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BDH("FTS US Equity","BS_TOT_ASSET","1993-06-18","2026-05-02","Per=Y","Days=T","Dir=V")</f>
        <v>0</v>
      </c>
      <c r="C2">
        <f>BDH("FTS US Equity","BS_TOT_LIAB2","1993-06-18","2026-05-02","Per=Y","Days=T","Dir=V")</f>
        <v>0</v>
      </c>
      <c r="E2">
        <f>BDH("FTS US Equity","SHORT_AND_LONG_TERM_DEBT","1993-06-18","2026-05-02","Per=Y","Days=T","Dir=V")</f>
        <v>0</v>
      </c>
      <c r="G2">
        <f>BDH("FTS US Equity","BS_ST_BORROW","1993-06-18","2026-05-02","Per=Y","Days=T","Dir=V")</f>
        <v>0</v>
      </c>
      <c r="I2">
        <f>BDH("FTS US Equity","BS_LT_BORROW","1993-06-18","2026-05-02","Per=Y","Days=T","Dir=V")</f>
        <v>0</v>
      </c>
      <c r="K2">
        <f>BDH("FTS US Equity","BS_CASH_NEAR_CASH_ITEM","1993-06-18","2026-05-02","Per=Y","Days=T","Dir=V")</f>
        <v>0</v>
      </c>
      <c r="M2">
        <f>BDH("FTS US Equity","BS_CUR_ASSET_REPORT","1993-06-18","2026-05-02","Per=Y","Days=T","Dir=V")</f>
        <v>0</v>
      </c>
      <c r="O2">
        <f>BDH("FTS US Equity","BS_CUR_LIAB","1993-06-18","2026-05-02","Per=Y","Days=T","Dir=V")</f>
        <v>0</v>
      </c>
      <c r="Q2">
        <f>BDH("FTS US Equity","BS_SHAREHOLDER_EQY_ENDING_PERIOD","1993-06-18","2026-05-02","Per=Y","Days=T","Dir=V")</f>
        <v>0</v>
      </c>
      <c r="S2">
        <f>BDH("FTS US Equity","BS_ACCT_NOTE_RCV","1993-06-18","2026-05-02","Per=Y","Days=T","Dir=V")</f>
        <v>0</v>
      </c>
      <c r="U2">
        <f>BDH("FTS US Equity","BS_INVENTORIES","1993-06-18","2026-05-02","Per=Y","Days=T","Dir=V")</f>
        <v>0</v>
      </c>
      <c r="W2">
        <f>BDH("FTS US Equity","WORKING_CAPITAL","1993-06-18","2026-05-02","Per=Y","Days=T","Dir=V")</f>
        <v>0</v>
      </c>
      <c r="Y2">
        <f>BDH("FTS US Equity","SALES_REV_TURN","1993-06-18","2026-05-02","Per=Y","Days=T","Dir=V")</f>
        <v>0</v>
      </c>
      <c r="AA2">
        <f>BDH("FTS US Equity","EBIT","1993-06-18","2026-05-02","Per=Y","Days=T","Dir=V")</f>
        <v>0</v>
      </c>
      <c r="AC2">
        <f>BDH("FTS US Equity","EBITDA","1993-06-18","2026-05-02","Per=Y","Days=T","Dir=V")</f>
        <v>0</v>
      </c>
      <c r="AE2">
        <f>BDH("FTS US Equity","NET_INCOME","1993-06-18","2026-05-02","Per=Y","Days=T","Dir=V")</f>
        <v>0</v>
      </c>
      <c r="AG2">
        <f>BDH("FTS US Equity","IS_INT_EXPENSE","1993-06-18","2026-05-02","Per=Y","Days=T","Dir=V")</f>
        <v>0</v>
      </c>
      <c r="AI2">
        <f>BDH("FTS US Equity","IS_DEPR_EXP","1993-06-18","2026-05-02","Per=Y","Days=T","Dir=V")</f>
        <v>0</v>
      </c>
      <c r="AK2">
        <f>BDH("FTS US Equity","CF_CASH_FROM_OPER","1993-06-18","2026-05-02","Per=Y","Days=T","Dir=V")</f>
        <v>0</v>
      </c>
      <c r="AM2">
        <f>BDH("FTS US Equity","CAPITAL_EXPEND","1993-06-18","2026-05-02","Per=Y","Days=T","Dir=V")</f>
        <v>0</v>
      </c>
      <c r="AO2">
        <f>BDH("FTS US Equity","CF_FREE_CASH_FLOW","1993-06-18","2026-05-02","Per=Y","Days=T","Dir=V")</f>
        <v>0</v>
      </c>
      <c r="AQ2">
        <f>BDH("FTS US Equity","PX_LAST","1993-06-18","2026-05-02","Per=M","Days=T","Dir=V")</f>
        <v>0</v>
      </c>
      <c r="AS2">
        <f>BDH("FTS US Equity","CUR_MKT_CAP","1993-06-18","2026-05-02","Per=M","Days=T","Dir=V")</f>
        <v>0</v>
      </c>
      <c r="AU2">
        <f>BDH("FTS US Equity","EQY_SH_OUT","1993-06-18","2026-05-02","Per=M","Days=T","Dir=V")</f>
        <v>0</v>
      </c>
      <c r="AW2">
        <f>BDH("FTS US Equity","PX_VOLUME","1993-06-18","2026-05-02","Per=M","Days=T","Dir=V")</f>
        <v>0</v>
      </c>
      <c r="AY2">
        <f>BDH("FTS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BDH("FTV US Equity","BS_TOT_ASSET","1993-06-18","2026-05-02","Per=Y","Days=T","Dir=V")</f>
        <v>0</v>
      </c>
      <c r="C2">
        <f>BDH("FTV US Equity","BS_TOT_LIAB2","1993-06-18","2026-05-02","Per=Y","Days=T","Dir=V")</f>
        <v>0</v>
      </c>
      <c r="E2">
        <f>BDH("FTV US Equity","SHORT_AND_LONG_TERM_DEBT","1993-06-18","2026-05-02","Per=Y","Days=T","Dir=V")</f>
        <v>0</v>
      </c>
      <c r="G2">
        <f>BDH("FTV US Equity","BS_ST_BORROW","1993-06-18","2026-05-02","Per=Y","Days=T","Dir=V")</f>
        <v>0</v>
      </c>
      <c r="I2">
        <f>BDH("FTV US Equity","BS_LT_BORROW","1993-06-18","2026-05-02","Per=Y","Days=T","Dir=V")</f>
        <v>0</v>
      </c>
      <c r="K2">
        <f>BDH("FTV US Equity","BS_CASH_NEAR_CASH_ITEM","1993-06-18","2026-05-02","Per=Y","Days=T","Dir=V")</f>
        <v>0</v>
      </c>
      <c r="M2">
        <f>BDH("FTV US Equity","BS_CUR_ASSET_REPORT","1993-06-18","2026-05-02","Per=Y","Days=T","Dir=V")</f>
        <v>0</v>
      </c>
      <c r="O2">
        <f>BDH("FTV US Equity","BS_CUR_LIAB","1993-06-18","2026-05-02","Per=Y","Days=T","Dir=V")</f>
        <v>0</v>
      </c>
      <c r="Q2">
        <f>BDH("FTV US Equity","BS_SHAREHOLDER_EQY_ENDING_PERIOD","1993-06-18","2026-05-02","Per=Y","Days=T","Dir=V")</f>
        <v>0</v>
      </c>
      <c r="S2">
        <f>BDH("FTV US Equity","BS_ACCT_NOTE_RCV","1993-06-18","2026-05-02","Per=Y","Days=T","Dir=V")</f>
        <v>0</v>
      </c>
      <c r="U2">
        <f>BDH("FTV US Equity","BS_INVENTORIES","1993-06-18","2026-05-02","Per=Y","Days=T","Dir=V")</f>
        <v>0</v>
      </c>
      <c r="W2">
        <f>BDH("FTV US Equity","WORKING_CAPITAL","1993-06-18","2026-05-02","Per=Y","Days=T","Dir=V")</f>
        <v>0</v>
      </c>
      <c r="Y2">
        <f>BDH("FTV US Equity","SALES_REV_TURN","1993-06-18","2026-05-02","Per=Y","Days=T","Dir=V")</f>
        <v>0</v>
      </c>
      <c r="AA2">
        <f>BDH("FTV US Equity","EBIT","1993-06-18","2026-05-02","Per=Y","Days=T","Dir=V")</f>
        <v>0</v>
      </c>
      <c r="AC2">
        <f>BDH("FTV US Equity","EBITDA","1993-06-18","2026-05-02","Per=Y","Days=T","Dir=V")</f>
        <v>0</v>
      </c>
      <c r="AE2">
        <f>BDH("FTV US Equity","NET_INCOME","1993-06-18","2026-05-02","Per=Y","Days=T","Dir=V")</f>
        <v>0</v>
      </c>
      <c r="AG2">
        <f>BDH("FTV US Equity","IS_INT_EXPENSE","1993-06-18","2026-05-02","Per=Y","Days=T","Dir=V")</f>
        <v>0</v>
      </c>
      <c r="AI2">
        <f>BDH("FTV US Equity","IS_DEPR_EXP","1993-06-18","2026-05-02","Per=Y","Days=T","Dir=V")</f>
        <v>0</v>
      </c>
      <c r="AK2">
        <f>BDH("FTV US Equity","CF_CASH_FROM_OPER","1993-06-18","2026-05-02","Per=Y","Days=T","Dir=V")</f>
        <v>0</v>
      </c>
      <c r="AM2">
        <f>BDH("FTV US Equity","CAPITAL_EXPEND","1993-06-18","2026-05-02","Per=Y","Days=T","Dir=V")</f>
        <v>0</v>
      </c>
      <c r="AO2">
        <f>BDH("FTV US Equity","CF_FREE_CASH_FLOW","1993-06-18","2026-05-02","Per=Y","Days=T","Dir=V")</f>
        <v>0</v>
      </c>
      <c r="AQ2">
        <f>BDH("FTV US Equity","PX_LAST","1993-06-18","2026-05-02","Per=M","Days=T","Dir=V")</f>
        <v>0</v>
      </c>
      <c r="AS2">
        <f>BDH("FTV US Equity","CUR_MKT_CAP","1993-06-18","2026-05-02","Per=M","Days=T","Dir=V")</f>
        <v>0</v>
      </c>
      <c r="AU2">
        <f>BDH("FTV US Equity","EQY_SH_OUT","1993-06-18","2026-05-02","Per=M","Days=T","Dir=V")</f>
        <v>0</v>
      </c>
      <c r="AW2">
        <f>BDH("FTV US Equity","PX_VOLUME","1993-06-18","2026-05-02","Per=M","Days=T","Dir=V")</f>
        <v>0</v>
      </c>
      <c r="AY2">
        <f>BDH("FTV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BDH("FUBO US Equity","BS_TOT_ASSET","1993-06-18","2026-05-02","Per=Y","Days=T","Dir=V")</f>
        <v>0</v>
      </c>
      <c r="C2">
        <f>BDH("FUBO US Equity","BS_TOT_LIAB2","1993-06-18","2026-05-02","Per=Y","Days=T","Dir=V")</f>
        <v>0</v>
      </c>
      <c r="E2">
        <f>BDH("FUBO US Equity","SHORT_AND_LONG_TERM_DEBT","1993-06-18","2026-05-02","Per=Y","Days=T","Dir=V")</f>
        <v>0</v>
      </c>
      <c r="G2">
        <f>BDH("FUBO US Equity","BS_ST_BORROW","1993-06-18","2026-05-02","Per=Y","Days=T","Dir=V")</f>
        <v>0</v>
      </c>
      <c r="I2">
        <f>BDH("FUBO US Equity","BS_LT_BORROW","1993-06-18","2026-05-02","Per=Y","Days=T","Dir=V")</f>
        <v>0</v>
      </c>
      <c r="K2">
        <f>BDH("FUBO US Equity","BS_CASH_NEAR_CASH_ITEM","1993-06-18","2026-05-02","Per=Y","Days=T","Dir=V")</f>
        <v>0</v>
      </c>
      <c r="M2">
        <f>BDH("FUBO US Equity","BS_CUR_ASSET_REPORT","1993-06-18","2026-05-02","Per=Y","Days=T","Dir=V")</f>
        <v>0</v>
      </c>
      <c r="O2">
        <f>BDH("FUBO US Equity","BS_CUR_LIAB","1993-06-18","2026-05-02","Per=Y","Days=T","Dir=V")</f>
        <v>0</v>
      </c>
      <c r="Q2">
        <f>BDH("FUBO US Equity","BS_SHAREHOLDER_EQY_ENDING_PERIOD","1993-06-18","2026-05-02","Per=Y","Days=T","Dir=V")</f>
        <v>0</v>
      </c>
      <c r="S2">
        <f>BDH("FUBO US Equity","BS_ACCT_NOTE_RCV","1993-06-18","2026-05-02","Per=Y","Days=T","Dir=V")</f>
        <v>0</v>
      </c>
      <c r="U2">
        <f>BDH("FUBO US Equity","BS_INVENTORIES","1993-06-18","2026-05-02","Per=Y","Days=T","Dir=V")</f>
        <v>0</v>
      </c>
      <c r="W2">
        <f>BDH("FUBO US Equity","WORKING_CAPITAL","1993-06-18","2026-05-02","Per=Y","Days=T","Dir=V")</f>
        <v>0</v>
      </c>
      <c r="Y2">
        <f>BDH("FUBO US Equity","SALES_REV_TURN","1993-06-18","2026-05-02","Per=Y","Days=T","Dir=V")</f>
        <v>0</v>
      </c>
      <c r="AA2">
        <f>BDH("FUBO US Equity","EBIT","1993-06-18","2026-05-02","Per=Y","Days=T","Dir=V")</f>
        <v>0</v>
      </c>
      <c r="AC2">
        <f>BDH("FUBO US Equity","EBITDA","1993-06-18","2026-05-02","Per=Y","Days=T","Dir=V")</f>
        <v>0</v>
      </c>
      <c r="AE2">
        <f>BDH("FUBO US Equity","NET_INCOME","1993-06-18","2026-05-02","Per=Y","Days=T","Dir=V")</f>
        <v>0</v>
      </c>
      <c r="AG2">
        <f>BDH("FUBO US Equity","IS_INT_EXPENSE","1993-06-18","2026-05-02","Per=Y","Days=T","Dir=V")</f>
        <v>0</v>
      </c>
      <c r="AI2">
        <f>BDH("FUBO US Equity","IS_DEPR_EXP","1993-06-18","2026-05-02","Per=Y","Days=T","Dir=V")</f>
        <v>0</v>
      </c>
      <c r="AK2">
        <f>BDH("FUBO US Equity","CF_CASH_FROM_OPER","1993-06-18","2026-05-02","Per=Y","Days=T","Dir=V")</f>
        <v>0</v>
      </c>
      <c r="AM2">
        <f>BDH("FUBO US Equity","CAPITAL_EXPEND","1993-06-18","2026-05-02","Per=Y","Days=T","Dir=V")</f>
        <v>0</v>
      </c>
      <c r="AO2">
        <f>BDH("FUBO US Equity","CF_FREE_CASH_FLOW","1993-06-18","2026-05-02","Per=Y","Days=T","Dir=V")</f>
        <v>0</v>
      </c>
      <c r="AQ2">
        <f>BDH("FUBO US Equity","PX_LAST","1993-06-18","2026-05-02","Per=M","Days=T","Dir=V")</f>
        <v>0</v>
      </c>
      <c r="AS2">
        <f>BDH("FUBO US Equity","CUR_MKT_CAP","1993-06-18","2026-05-02","Per=M","Days=T","Dir=V")</f>
        <v>0</v>
      </c>
      <c r="AU2">
        <f>BDH("FUBO US Equity","EQY_SH_OUT","1993-06-18","2026-05-02","Per=M","Days=T","Dir=V")</f>
        <v>0</v>
      </c>
      <c r="AW2">
        <f>BDH("FUBO US Equity","PX_VOLUME","1993-06-18","2026-05-02","Per=M","Days=T","Dir=V")</f>
        <v>0</v>
      </c>
      <c r="AY2">
        <f>BDH("FUBO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BDH("FUL US Equity","BS_TOT_ASSET","1993-06-18","2026-05-02","Per=Y","Days=T","Dir=V")</f>
        <v>0</v>
      </c>
      <c r="C2">
        <f>BDH("FUL US Equity","BS_TOT_LIAB2","1993-06-18","2026-05-02","Per=Y","Days=T","Dir=V")</f>
        <v>0</v>
      </c>
      <c r="E2">
        <f>BDH("FUL US Equity","SHORT_AND_LONG_TERM_DEBT","1993-06-18","2026-05-02","Per=Y","Days=T","Dir=V")</f>
        <v>0</v>
      </c>
      <c r="G2">
        <f>BDH("FUL US Equity","BS_ST_BORROW","1993-06-18","2026-05-02","Per=Y","Days=T","Dir=V")</f>
        <v>0</v>
      </c>
      <c r="I2">
        <f>BDH("FUL US Equity","BS_LT_BORROW","1993-06-18","2026-05-02","Per=Y","Days=T","Dir=V")</f>
        <v>0</v>
      </c>
      <c r="K2">
        <f>BDH("FUL US Equity","BS_CASH_NEAR_CASH_ITEM","1993-06-18","2026-05-02","Per=Y","Days=T","Dir=V")</f>
        <v>0</v>
      </c>
      <c r="M2">
        <f>BDH("FUL US Equity","BS_CUR_ASSET_REPORT","1993-06-18","2026-05-02","Per=Y","Days=T","Dir=V")</f>
        <v>0</v>
      </c>
      <c r="O2">
        <f>BDH("FUL US Equity","BS_CUR_LIAB","1993-06-18","2026-05-02","Per=Y","Days=T","Dir=V")</f>
        <v>0</v>
      </c>
      <c r="Q2">
        <f>BDH("FUL US Equity","BS_SHAREHOLDER_EQY_ENDING_PERIOD","1993-06-18","2026-05-02","Per=Y","Days=T","Dir=V")</f>
        <v>0</v>
      </c>
      <c r="S2">
        <f>BDH("FUL US Equity","BS_ACCT_NOTE_RCV","1993-06-18","2026-05-02","Per=Y","Days=T","Dir=V")</f>
        <v>0</v>
      </c>
      <c r="U2">
        <f>BDH("FUL US Equity","BS_INVENTORIES","1993-06-18","2026-05-02","Per=Y","Days=T","Dir=V")</f>
        <v>0</v>
      </c>
      <c r="W2">
        <f>BDH("FUL US Equity","WORKING_CAPITAL","1993-06-18","2026-05-02","Per=Y","Days=T","Dir=V")</f>
        <v>0</v>
      </c>
      <c r="Y2">
        <f>BDH("FUL US Equity","SALES_REV_TURN","1993-06-18","2026-05-02","Per=Y","Days=T","Dir=V")</f>
        <v>0</v>
      </c>
      <c r="AA2">
        <f>BDH("FUL US Equity","EBIT","1993-06-18","2026-05-02","Per=Y","Days=T","Dir=V")</f>
        <v>0</v>
      </c>
      <c r="AC2">
        <f>BDH("FUL US Equity","EBITDA","1993-06-18","2026-05-02","Per=Y","Days=T","Dir=V")</f>
        <v>0</v>
      </c>
      <c r="AE2">
        <f>BDH("FUL US Equity","NET_INCOME","1993-06-18","2026-05-02","Per=Y","Days=T","Dir=V")</f>
        <v>0</v>
      </c>
      <c r="AG2">
        <f>BDH("FUL US Equity","IS_INT_EXPENSE","1993-06-18","2026-05-02","Per=Y","Days=T","Dir=V")</f>
        <v>0</v>
      </c>
      <c r="AI2">
        <f>BDH("FUL US Equity","IS_DEPR_EXP","1993-06-18","2026-05-02","Per=Y","Days=T","Dir=V")</f>
        <v>0</v>
      </c>
      <c r="AK2">
        <f>BDH("FUL US Equity","CF_CASH_FROM_OPER","1993-06-18","2026-05-02","Per=Y","Days=T","Dir=V")</f>
        <v>0</v>
      </c>
      <c r="AM2">
        <f>BDH("FUL US Equity","CAPITAL_EXPEND","1993-06-18","2026-05-02","Per=Y","Days=T","Dir=V")</f>
        <v>0</v>
      </c>
      <c r="AO2">
        <f>BDH("FUL US Equity","CF_FREE_CASH_FLOW","1993-06-18","2026-05-02","Per=Y","Days=T","Dir=V")</f>
        <v>0</v>
      </c>
      <c r="AQ2">
        <f>BDH("FUL US Equity","PX_LAST","1993-06-18","2026-05-02","Per=M","Days=T","Dir=V")</f>
        <v>0</v>
      </c>
      <c r="AS2">
        <f>BDH("FUL US Equity","CUR_MKT_CAP","1993-06-18","2026-05-02","Per=M","Days=T","Dir=V")</f>
        <v>0</v>
      </c>
      <c r="AU2">
        <f>BDH("FUL US Equity","EQY_SH_OUT","1993-06-18","2026-05-02","Per=M","Days=T","Dir=V")</f>
        <v>0</v>
      </c>
      <c r="AW2">
        <f>BDH("FUL US Equity","PX_VOLUME","1993-06-18","2026-05-02","Per=M","Days=T","Dir=V")</f>
        <v>0</v>
      </c>
      <c r="AY2">
        <f>BDH("FUL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BDH("FULC US Equity","BS_TOT_ASSET","1993-06-18","2026-05-02","Per=Y","Days=T","Dir=V")</f>
        <v>0</v>
      </c>
      <c r="C2">
        <f>BDH("FULC US Equity","BS_TOT_LIAB2","1993-06-18","2026-05-02","Per=Y","Days=T","Dir=V")</f>
        <v>0</v>
      </c>
      <c r="E2">
        <f>BDH("FULC US Equity","SHORT_AND_LONG_TERM_DEBT","1993-06-18","2026-05-02","Per=Y","Days=T","Dir=V")</f>
        <v>0</v>
      </c>
      <c r="G2">
        <f>BDH("FULC US Equity","BS_ST_BORROW","1993-06-18","2026-05-02","Per=Y","Days=T","Dir=V")</f>
        <v>0</v>
      </c>
      <c r="I2">
        <f>BDH("FULC US Equity","BS_LT_BORROW","1993-06-18","2026-05-02","Per=Y","Days=T","Dir=V")</f>
        <v>0</v>
      </c>
      <c r="K2">
        <f>BDH("FULC US Equity","BS_CASH_NEAR_CASH_ITEM","1993-06-18","2026-05-02","Per=Y","Days=T","Dir=V")</f>
        <v>0</v>
      </c>
      <c r="M2">
        <f>BDH("FULC US Equity","BS_CUR_ASSET_REPORT","1993-06-18","2026-05-02","Per=Y","Days=T","Dir=V")</f>
        <v>0</v>
      </c>
      <c r="O2">
        <f>BDH("FULC US Equity","BS_CUR_LIAB","1993-06-18","2026-05-02","Per=Y","Days=T","Dir=V")</f>
        <v>0</v>
      </c>
      <c r="Q2">
        <f>BDH("FULC US Equity","BS_SHAREHOLDER_EQY_ENDING_PERIOD","1993-06-18","2026-05-02","Per=Y","Days=T","Dir=V")</f>
        <v>0</v>
      </c>
      <c r="S2">
        <f>BDH("FULC US Equity","BS_ACCT_NOTE_RCV","1993-06-18","2026-05-02","Per=Y","Days=T","Dir=V")</f>
        <v>0</v>
      </c>
      <c r="U2">
        <f>BDH("FULC US Equity","BS_INVENTORIES","1993-06-18","2026-05-02","Per=Y","Days=T","Dir=V")</f>
        <v>0</v>
      </c>
      <c r="W2">
        <f>BDH("FULC US Equity","WORKING_CAPITAL","1993-06-18","2026-05-02","Per=Y","Days=T","Dir=V")</f>
        <v>0</v>
      </c>
      <c r="Y2">
        <f>BDH("FULC US Equity","SALES_REV_TURN","1993-06-18","2026-05-02","Per=Y","Days=T","Dir=V")</f>
        <v>0</v>
      </c>
      <c r="AA2">
        <f>BDH("FULC US Equity","EBIT","1993-06-18","2026-05-02","Per=Y","Days=T","Dir=V")</f>
        <v>0</v>
      </c>
      <c r="AC2">
        <f>BDH("FULC US Equity","EBITDA","1993-06-18","2026-05-02","Per=Y","Days=T","Dir=V")</f>
        <v>0</v>
      </c>
      <c r="AE2">
        <f>BDH("FULC US Equity","NET_INCOME","1993-06-18","2026-05-02","Per=Y","Days=T","Dir=V")</f>
        <v>0</v>
      </c>
      <c r="AG2">
        <f>BDH("FULC US Equity","IS_INT_EXPENSE","1993-06-18","2026-05-02","Per=Y","Days=T","Dir=V")</f>
        <v>0</v>
      </c>
      <c r="AI2">
        <f>BDH("FULC US Equity","IS_DEPR_EXP","1993-06-18","2026-05-02","Per=Y","Days=T","Dir=V")</f>
        <v>0</v>
      </c>
      <c r="AK2">
        <f>BDH("FULC US Equity","CF_CASH_FROM_OPER","1993-06-18","2026-05-02","Per=Y","Days=T","Dir=V")</f>
        <v>0</v>
      </c>
      <c r="AM2">
        <f>BDH("FULC US Equity","CAPITAL_EXPEND","1993-06-18","2026-05-02","Per=Y","Days=T","Dir=V")</f>
        <v>0</v>
      </c>
      <c r="AO2">
        <f>BDH("FULC US Equity","CF_FREE_CASH_FLOW","1993-06-18","2026-05-02","Per=Y","Days=T","Dir=V")</f>
        <v>0</v>
      </c>
      <c r="AQ2">
        <f>BDH("FULC US Equity","PX_LAST","1993-06-18","2026-05-02","Per=M","Days=T","Dir=V")</f>
        <v>0</v>
      </c>
      <c r="AS2">
        <f>BDH("FULC US Equity","CUR_MKT_CAP","1993-06-18","2026-05-02","Per=M","Days=T","Dir=V")</f>
        <v>0</v>
      </c>
      <c r="AU2">
        <f>BDH("FULC US Equity","EQY_SH_OUT","1993-06-18","2026-05-02","Per=M","Days=T","Dir=V")</f>
        <v>0</v>
      </c>
      <c r="AW2">
        <f>BDH("FULC US Equity","PX_VOLUME","1993-06-18","2026-05-02","Per=M","Days=T","Dir=V")</f>
        <v>0</v>
      </c>
      <c r="AY2">
        <f>BDH("FULC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BDH("FUN US Equity","BS_TOT_ASSET","1993-06-18","2026-05-02","Per=Y","Days=T","Dir=V")</f>
        <v>0</v>
      </c>
      <c r="C2">
        <f>BDH("FUN US Equity","BS_TOT_LIAB2","1993-06-18","2026-05-02","Per=Y","Days=T","Dir=V")</f>
        <v>0</v>
      </c>
      <c r="E2">
        <f>BDH("FUN US Equity","SHORT_AND_LONG_TERM_DEBT","1993-06-18","2026-05-02","Per=Y","Days=T","Dir=V")</f>
        <v>0</v>
      </c>
      <c r="G2">
        <f>BDH("FUN US Equity","BS_ST_BORROW","1993-06-18","2026-05-02","Per=Y","Days=T","Dir=V")</f>
        <v>0</v>
      </c>
      <c r="I2">
        <f>BDH("FUN US Equity","BS_LT_BORROW","1993-06-18","2026-05-02","Per=Y","Days=T","Dir=V")</f>
        <v>0</v>
      </c>
      <c r="K2">
        <f>BDH("FUN US Equity","BS_CASH_NEAR_CASH_ITEM","1993-06-18","2026-05-02","Per=Y","Days=T","Dir=V")</f>
        <v>0</v>
      </c>
      <c r="M2">
        <f>BDH("FUN US Equity","BS_CUR_ASSET_REPORT","1993-06-18","2026-05-02","Per=Y","Days=T","Dir=V")</f>
        <v>0</v>
      </c>
      <c r="O2">
        <f>BDH("FUN US Equity","BS_CUR_LIAB","1993-06-18","2026-05-02","Per=Y","Days=T","Dir=V")</f>
        <v>0</v>
      </c>
      <c r="Q2">
        <f>BDH("FUN US Equity","BS_SHAREHOLDER_EQY_ENDING_PERIOD","1993-06-18","2026-05-02","Per=Y","Days=T","Dir=V")</f>
        <v>0</v>
      </c>
      <c r="S2">
        <f>BDH("FUN US Equity","BS_ACCT_NOTE_RCV","1993-06-18","2026-05-02","Per=Y","Days=T","Dir=V")</f>
        <v>0</v>
      </c>
      <c r="U2">
        <f>BDH("FUN US Equity","BS_INVENTORIES","1993-06-18","2026-05-02","Per=Y","Days=T","Dir=V")</f>
        <v>0</v>
      </c>
      <c r="W2">
        <f>BDH("FUN US Equity","WORKING_CAPITAL","1993-06-18","2026-05-02","Per=Y","Days=T","Dir=V")</f>
        <v>0</v>
      </c>
      <c r="Y2">
        <f>BDH("FUN US Equity","SALES_REV_TURN","1993-06-18","2026-05-02","Per=Y","Days=T","Dir=V")</f>
        <v>0</v>
      </c>
      <c r="AA2">
        <f>BDH("FUN US Equity","EBIT","1993-06-18","2026-05-02","Per=Y","Days=T","Dir=V")</f>
        <v>0</v>
      </c>
      <c r="AC2">
        <f>BDH("FUN US Equity","EBITDA","1993-06-18","2026-05-02","Per=Y","Days=T","Dir=V")</f>
        <v>0</v>
      </c>
      <c r="AE2">
        <f>BDH("FUN US Equity","NET_INCOME","1993-06-18","2026-05-02","Per=Y","Days=T","Dir=V")</f>
        <v>0</v>
      </c>
      <c r="AG2">
        <f>BDH("FUN US Equity","IS_INT_EXPENSE","1993-06-18","2026-05-02","Per=Y","Days=T","Dir=V")</f>
        <v>0</v>
      </c>
      <c r="AI2">
        <f>BDH("FUN US Equity","IS_DEPR_EXP","1993-06-18","2026-05-02","Per=Y","Days=T","Dir=V")</f>
        <v>0</v>
      </c>
      <c r="AK2">
        <f>BDH("FUN US Equity","CF_CASH_FROM_OPER","1993-06-18","2026-05-02","Per=Y","Days=T","Dir=V")</f>
        <v>0</v>
      </c>
      <c r="AM2">
        <f>BDH("FUN US Equity","CAPITAL_EXPEND","1993-06-18","2026-05-02","Per=Y","Days=T","Dir=V")</f>
        <v>0</v>
      </c>
      <c r="AO2">
        <f>BDH("FUN US Equity","CF_FREE_CASH_FLOW","1993-06-18","2026-05-02","Per=Y","Days=T","Dir=V")</f>
        <v>0</v>
      </c>
      <c r="AQ2">
        <f>BDH("FUN US Equity","PX_LAST","1993-06-18","2026-05-02","Per=M","Days=T","Dir=V")</f>
        <v>0</v>
      </c>
      <c r="AS2">
        <f>BDH("FUN US Equity","CUR_MKT_CAP","1993-06-18","2026-05-02","Per=M","Days=T","Dir=V")</f>
        <v>0</v>
      </c>
      <c r="AU2">
        <f>BDH("FUN US Equity","EQY_SH_OUT","1993-06-18","2026-05-02","Per=M","Days=T","Dir=V")</f>
        <v>0</v>
      </c>
      <c r="AW2">
        <f>BDH("FUN US Equity","PX_VOLUME","1993-06-18","2026-05-02","Per=M","Days=T","Dir=V")</f>
        <v>0</v>
      </c>
      <c r="AY2">
        <f>BDH("FUN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BDH("FUSE US Equity","BS_TOT_ASSET","1993-06-18","2026-05-02","Per=Y","Days=T","Dir=V")</f>
        <v>0</v>
      </c>
      <c r="C2">
        <f>BDH("FUSE US Equity","BS_TOT_LIAB2","1993-06-18","2026-05-02","Per=Y","Days=T","Dir=V")</f>
        <v>0</v>
      </c>
      <c r="E2">
        <f>BDH("FUSE US Equity","SHORT_AND_LONG_TERM_DEBT","1993-06-18","2026-05-02","Per=Y","Days=T","Dir=V")</f>
        <v>0</v>
      </c>
      <c r="G2">
        <f>BDH("FUSE US Equity","BS_ST_BORROW","1993-06-18","2026-05-02","Per=Y","Days=T","Dir=V")</f>
        <v>0</v>
      </c>
      <c r="I2">
        <f>BDH("FUSE US Equity","BS_LT_BORROW","1993-06-18","2026-05-02","Per=Y","Days=T","Dir=V")</f>
        <v>0</v>
      </c>
      <c r="K2">
        <f>BDH("FUSE US Equity","BS_CASH_NEAR_CASH_ITEM","1993-06-18","2026-05-02","Per=Y","Days=T","Dir=V")</f>
        <v>0</v>
      </c>
      <c r="M2">
        <f>BDH("FUSE US Equity","BS_CUR_ASSET_REPORT","1993-06-18","2026-05-02","Per=Y","Days=T","Dir=V")</f>
        <v>0</v>
      </c>
      <c r="O2">
        <f>BDH("FUSE US Equity","BS_CUR_LIAB","1993-06-18","2026-05-02","Per=Y","Days=T","Dir=V")</f>
        <v>0</v>
      </c>
      <c r="Q2">
        <f>BDH("FUSE US Equity","BS_SHAREHOLDER_EQY_ENDING_PERIOD","1993-06-18","2026-05-02","Per=Y","Days=T","Dir=V")</f>
        <v>0</v>
      </c>
      <c r="S2">
        <f>BDH("FUSE US Equity","BS_ACCT_NOTE_RCV","1993-06-18","2026-05-02","Per=Y","Days=T","Dir=V")</f>
        <v>0</v>
      </c>
      <c r="U2">
        <f>BDH("FUSE US Equity","BS_INVENTORIES","1993-06-18","2026-05-02","Per=Y","Days=T","Dir=V")</f>
        <v>0</v>
      </c>
      <c r="W2">
        <f>BDH("FUSE US Equity","WORKING_CAPITAL","1993-06-18","2026-05-02","Per=Y","Days=T","Dir=V")</f>
        <v>0</v>
      </c>
      <c r="Y2">
        <f>BDH("FUSE US Equity","SALES_REV_TURN","1993-06-18","2026-05-02","Per=Y","Days=T","Dir=V")</f>
        <v>0</v>
      </c>
      <c r="AA2">
        <f>BDH("FUSE US Equity","EBIT","1993-06-18","2026-05-02","Per=Y","Days=T","Dir=V")</f>
        <v>0</v>
      </c>
      <c r="AC2">
        <f>BDH("FUSE US Equity","EBITDA","1993-06-18","2026-05-02","Per=Y","Days=T","Dir=V")</f>
        <v>0</v>
      </c>
      <c r="AE2">
        <f>BDH("FUSE US Equity","NET_INCOME","1993-06-18","2026-05-02","Per=Y","Days=T","Dir=V")</f>
        <v>0</v>
      </c>
      <c r="AG2">
        <f>BDH("FUSE US Equity","IS_INT_EXPENSE","1993-06-18","2026-05-02","Per=Y","Days=T","Dir=V")</f>
        <v>0</v>
      </c>
      <c r="AI2">
        <f>BDH("FUSE US Equity","IS_DEPR_EXP","1993-06-18","2026-05-02","Per=Y","Days=T","Dir=V")</f>
        <v>0</v>
      </c>
      <c r="AK2">
        <f>BDH("FUSE US Equity","CF_CASH_FROM_OPER","1993-06-18","2026-05-02","Per=Y","Days=T","Dir=V")</f>
        <v>0</v>
      </c>
      <c r="AM2">
        <f>BDH("FUSE US Equity","CAPITAL_EXPEND","1993-06-18","2026-05-02","Per=Y","Days=T","Dir=V")</f>
        <v>0</v>
      </c>
      <c r="AO2">
        <f>BDH("FUSE US Equity","CF_FREE_CASH_FLOW","1993-06-18","2026-05-02","Per=Y","Days=T","Dir=V")</f>
        <v>0</v>
      </c>
      <c r="AQ2">
        <f>BDH("FUSE US Equity","PX_LAST","1993-06-18","2026-05-02","Per=M","Days=T","Dir=V")</f>
        <v>0</v>
      </c>
      <c r="AS2">
        <f>BDH("FUSE US Equity","CUR_MKT_CAP","1993-06-18","2026-05-02","Per=M","Days=T","Dir=V")</f>
        <v>0</v>
      </c>
      <c r="AU2">
        <f>BDH("FUSE US Equity","EQY_SH_OUT","1993-06-18","2026-05-02","Per=M","Days=T","Dir=V")</f>
        <v>0</v>
      </c>
      <c r="AW2">
        <f>BDH("FUSE US Equity","PX_VOLUME","1993-06-18","2026-05-02","Per=M","Days=T","Dir=V")</f>
        <v>0</v>
      </c>
      <c r="AY2">
        <f>BDH("FUSE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BDH("FUSEW US Equity","BS_TOT_ASSET","1993-06-18","2026-05-02","Per=Y","Days=T","Dir=V")</f>
        <v>0</v>
      </c>
      <c r="C2">
        <f>BDH("FUSEW US Equity","BS_TOT_LIAB2","1993-06-18","2026-05-02","Per=Y","Days=T","Dir=V")</f>
        <v>0</v>
      </c>
      <c r="E2">
        <f>BDH("FUSEW US Equity","SHORT_AND_LONG_TERM_DEBT","1993-06-18","2026-05-02","Per=Y","Days=T","Dir=V")</f>
        <v>0</v>
      </c>
      <c r="G2">
        <f>BDH("FUSEW US Equity","BS_ST_BORROW","1993-06-18","2026-05-02","Per=Y","Days=T","Dir=V")</f>
        <v>0</v>
      </c>
      <c r="I2">
        <f>BDH("FUSEW US Equity","BS_LT_BORROW","1993-06-18","2026-05-02","Per=Y","Days=T","Dir=V")</f>
        <v>0</v>
      </c>
      <c r="K2">
        <f>BDH("FUSEW US Equity","BS_CASH_NEAR_CASH_ITEM","1993-06-18","2026-05-02","Per=Y","Days=T","Dir=V")</f>
        <v>0</v>
      </c>
      <c r="M2">
        <f>BDH("FUSEW US Equity","BS_CUR_ASSET_REPORT","1993-06-18","2026-05-02","Per=Y","Days=T","Dir=V")</f>
        <v>0</v>
      </c>
      <c r="O2">
        <f>BDH("FUSEW US Equity","BS_CUR_LIAB","1993-06-18","2026-05-02","Per=Y","Days=T","Dir=V")</f>
        <v>0</v>
      </c>
      <c r="Q2">
        <f>BDH("FUSEW US Equity","BS_SHAREHOLDER_EQY_ENDING_PERIOD","1993-06-18","2026-05-02","Per=Y","Days=T","Dir=V")</f>
        <v>0</v>
      </c>
      <c r="S2">
        <f>BDH("FUSEW US Equity","BS_ACCT_NOTE_RCV","1993-06-18","2026-05-02","Per=Y","Days=T","Dir=V")</f>
        <v>0</v>
      </c>
      <c r="U2">
        <f>BDH("FUSEW US Equity","BS_INVENTORIES","1993-06-18","2026-05-02","Per=Y","Days=T","Dir=V")</f>
        <v>0</v>
      </c>
      <c r="W2">
        <f>BDH("FUSEW US Equity","WORKING_CAPITAL","1993-06-18","2026-05-02","Per=Y","Days=T","Dir=V")</f>
        <v>0</v>
      </c>
      <c r="Y2">
        <f>BDH("FUSEW US Equity","SALES_REV_TURN","1993-06-18","2026-05-02","Per=Y","Days=T","Dir=V")</f>
        <v>0</v>
      </c>
      <c r="AA2">
        <f>BDH("FUSEW US Equity","EBIT","1993-06-18","2026-05-02","Per=Y","Days=T","Dir=V")</f>
        <v>0</v>
      </c>
      <c r="AC2">
        <f>BDH("FUSEW US Equity","EBITDA","1993-06-18","2026-05-02","Per=Y","Days=T","Dir=V")</f>
        <v>0</v>
      </c>
      <c r="AE2">
        <f>BDH("FUSEW US Equity","NET_INCOME","1993-06-18","2026-05-02","Per=Y","Days=T","Dir=V")</f>
        <v>0</v>
      </c>
      <c r="AG2">
        <f>BDH("FUSEW US Equity","IS_INT_EXPENSE","1993-06-18","2026-05-02","Per=Y","Days=T","Dir=V")</f>
        <v>0</v>
      </c>
      <c r="AI2">
        <f>BDH("FUSEW US Equity","IS_DEPR_EXP","1993-06-18","2026-05-02","Per=Y","Days=T","Dir=V")</f>
        <v>0</v>
      </c>
      <c r="AK2">
        <f>BDH("FUSEW US Equity","CF_CASH_FROM_OPER","1993-06-18","2026-05-02","Per=Y","Days=T","Dir=V")</f>
        <v>0</v>
      </c>
      <c r="AM2">
        <f>BDH("FUSEW US Equity","CAPITAL_EXPEND","1993-06-18","2026-05-02","Per=Y","Days=T","Dir=V")</f>
        <v>0</v>
      </c>
      <c r="AO2">
        <f>BDH("FUSEW US Equity","CF_FREE_CASH_FLOW","1993-06-18","2026-05-02","Per=Y","Days=T","Dir=V")</f>
        <v>0</v>
      </c>
      <c r="AQ2">
        <f>BDH("FUSEW US Equity","PX_LAST","1993-06-18","2026-05-02","Per=M","Days=T","Dir=V")</f>
        <v>0</v>
      </c>
      <c r="AS2">
        <f>BDH("FUSEW US Equity","CUR_MKT_CAP","1993-06-18","2026-05-02","Per=M","Days=T","Dir=V")</f>
        <v>0</v>
      </c>
      <c r="AU2">
        <f>BDH("FUSEW US Equity","EQY_SH_OUT","1993-06-18","2026-05-02","Per=M","Days=T","Dir=V")</f>
        <v>0</v>
      </c>
      <c r="AW2">
        <f>BDH("FUSEW US Equity","PX_VOLUME","1993-06-18","2026-05-02","Per=M","Days=T","Dir=V")</f>
        <v>0</v>
      </c>
      <c r="AY2">
        <f>BDH("FUSEW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BDH("FWONA US Equity","BS_TOT_ASSET","1993-06-18","2026-05-02","Per=Y","Days=T","Dir=V")</f>
        <v>0</v>
      </c>
      <c r="C2">
        <f>BDH("FWONA US Equity","BS_TOT_LIAB2","1993-06-18","2026-05-02","Per=Y","Days=T","Dir=V")</f>
        <v>0</v>
      </c>
      <c r="E2">
        <f>BDH("FWONA US Equity","SHORT_AND_LONG_TERM_DEBT","1993-06-18","2026-05-02","Per=Y","Days=T","Dir=V")</f>
        <v>0</v>
      </c>
      <c r="G2">
        <f>BDH("FWONA US Equity","BS_ST_BORROW","1993-06-18","2026-05-02","Per=Y","Days=T","Dir=V")</f>
        <v>0</v>
      </c>
      <c r="I2">
        <f>BDH("FWONA US Equity","BS_LT_BORROW","1993-06-18","2026-05-02","Per=Y","Days=T","Dir=V")</f>
        <v>0</v>
      </c>
      <c r="K2">
        <f>BDH("FWONA US Equity","BS_CASH_NEAR_CASH_ITEM","1993-06-18","2026-05-02","Per=Y","Days=T","Dir=V")</f>
        <v>0</v>
      </c>
      <c r="M2">
        <f>BDH("FWONA US Equity","BS_CUR_ASSET_REPORT","1993-06-18","2026-05-02","Per=Y","Days=T","Dir=V")</f>
        <v>0</v>
      </c>
      <c r="O2">
        <f>BDH("FWONA US Equity","BS_CUR_LIAB","1993-06-18","2026-05-02","Per=Y","Days=T","Dir=V")</f>
        <v>0</v>
      </c>
      <c r="Q2">
        <f>BDH("FWONA US Equity","BS_SHAREHOLDER_EQY_ENDING_PERIOD","1993-06-18","2026-05-02","Per=Y","Days=T","Dir=V")</f>
        <v>0</v>
      </c>
      <c r="S2">
        <f>BDH("FWONA US Equity","BS_ACCT_NOTE_RCV","1993-06-18","2026-05-02","Per=Y","Days=T","Dir=V")</f>
        <v>0</v>
      </c>
      <c r="U2">
        <f>BDH("FWONA US Equity","BS_INVENTORIES","1993-06-18","2026-05-02","Per=Y","Days=T","Dir=V")</f>
        <v>0</v>
      </c>
      <c r="W2">
        <f>BDH("FWONA US Equity","WORKING_CAPITAL","1993-06-18","2026-05-02","Per=Y","Days=T","Dir=V")</f>
        <v>0</v>
      </c>
      <c r="Y2">
        <f>BDH("FWONA US Equity","SALES_REV_TURN","1993-06-18","2026-05-02","Per=Y","Days=T","Dir=V")</f>
        <v>0</v>
      </c>
      <c r="AA2">
        <f>BDH("FWONA US Equity","EBIT","1993-06-18","2026-05-02","Per=Y","Days=T","Dir=V")</f>
        <v>0</v>
      </c>
      <c r="AC2">
        <f>BDH("FWONA US Equity","EBITDA","1993-06-18","2026-05-02","Per=Y","Days=T","Dir=V")</f>
        <v>0</v>
      </c>
      <c r="AE2">
        <f>BDH("FWONA US Equity","NET_INCOME","1993-06-18","2026-05-02","Per=Y","Days=T","Dir=V")</f>
        <v>0</v>
      </c>
      <c r="AG2">
        <f>BDH("FWONA US Equity","IS_INT_EXPENSE","1993-06-18","2026-05-02","Per=Y","Days=T","Dir=V")</f>
        <v>0</v>
      </c>
      <c r="AI2">
        <f>BDH("FWONA US Equity","IS_DEPR_EXP","1993-06-18","2026-05-02","Per=Y","Days=T","Dir=V")</f>
        <v>0</v>
      </c>
      <c r="AK2">
        <f>BDH("FWONA US Equity","CF_CASH_FROM_OPER","1993-06-18","2026-05-02","Per=Y","Days=T","Dir=V")</f>
        <v>0</v>
      </c>
      <c r="AM2">
        <f>BDH("FWONA US Equity","CAPITAL_EXPEND","1993-06-18","2026-05-02","Per=Y","Days=T","Dir=V")</f>
        <v>0</v>
      </c>
      <c r="AO2">
        <f>BDH("FWONA US Equity","CF_FREE_CASH_FLOW","1993-06-18","2026-05-02","Per=Y","Days=T","Dir=V")</f>
        <v>0</v>
      </c>
      <c r="AQ2">
        <f>BDH("FWONA US Equity","PX_LAST","1993-06-18","2026-05-02","Per=M","Days=T","Dir=V")</f>
        <v>0</v>
      </c>
      <c r="AS2">
        <f>BDH("FWONA US Equity","CUR_MKT_CAP","1993-06-18","2026-05-02","Per=M","Days=T","Dir=V")</f>
        <v>0</v>
      </c>
      <c r="AU2">
        <f>BDH("FWONA US Equity","EQY_SH_OUT","1993-06-18","2026-05-02","Per=M","Days=T","Dir=V")</f>
        <v>0</v>
      </c>
      <c r="AW2">
        <f>BDH("FWONA US Equity","PX_VOLUME","1993-06-18","2026-05-02","Per=M","Days=T","Dir=V")</f>
        <v>0</v>
      </c>
      <c r="AY2">
        <f>BDH("FWONA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BDH("FWONK US Equity","BS_TOT_ASSET","1993-06-18","2026-05-02","Per=Y","Days=T","Dir=V")</f>
        <v>0</v>
      </c>
      <c r="C2">
        <f>BDH("FWONK US Equity","BS_TOT_LIAB2","1993-06-18","2026-05-02","Per=Y","Days=T","Dir=V")</f>
        <v>0</v>
      </c>
      <c r="E2">
        <f>BDH("FWONK US Equity","SHORT_AND_LONG_TERM_DEBT","1993-06-18","2026-05-02","Per=Y","Days=T","Dir=V")</f>
        <v>0</v>
      </c>
      <c r="G2">
        <f>BDH("FWONK US Equity","BS_ST_BORROW","1993-06-18","2026-05-02","Per=Y","Days=T","Dir=V")</f>
        <v>0</v>
      </c>
      <c r="I2">
        <f>BDH("FWONK US Equity","BS_LT_BORROW","1993-06-18","2026-05-02","Per=Y","Days=T","Dir=V")</f>
        <v>0</v>
      </c>
      <c r="K2">
        <f>BDH("FWONK US Equity","BS_CASH_NEAR_CASH_ITEM","1993-06-18","2026-05-02","Per=Y","Days=T","Dir=V")</f>
        <v>0</v>
      </c>
      <c r="M2">
        <f>BDH("FWONK US Equity","BS_CUR_ASSET_REPORT","1993-06-18","2026-05-02","Per=Y","Days=T","Dir=V")</f>
        <v>0</v>
      </c>
      <c r="O2">
        <f>BDH("FWONK US Equity","BS_CUR_LIAB","1993-06-18","2026-05-02","Per=Y","Days=T","Dir=V")</f>
        <v>0</v>
      </c>
      <c r="Q2">
        <f>BDH("FWONK US Equity","BS_SHAREHOLDER_EQY_ENDING_PERIOD","1993-06-18","2026-05-02","Per=Y","Days=T","Dir=V")</f>
        <v>0</v>
      </c>
      <c r="S2">
        <f>BDH("FWONK US Equity","BS_ACCT_NOTE_RCV","1993-06-18","2026-05-02","Per=Y","Days=T","Dir=V")</f>
        <v>0</v>
      </c>
      <c r="U2">
        <f>BDH("FWONK US Equity","BS_INVENTORIES","1993-06-18","2026-05-02","Per=Y","Days=T","Dir=V")</f>
        <v>0</v>
      </c>
      <c r="W2">
        <f>BDH("FWONK US Equity","WORKING_CAPITAL","1993-06-18","2026-05-02","Per=Y","Days=T","Dir=V")</f>
        <v>0</v>
      </c>
      <c r="Y2">
        <f>BDH("FWONK US Equity","SALES_REV_TURN","1993-06-18","2026-05-02","Per=Y","Days=T","Dir=V")</f>
        <v>0</v>
      </c>
      <c r="AA2">
        <f>BDH("FWONK US Equity","EBIT","1993-06-18","2026-05-02","Per=Y","Days=T","Dir=V")</f>
        <v>0</v>
      </c>
      <c r="AC2">
        <f>BDH("FWONK US Equity","EBITDA","1993-06-18","2026-05-02","Per=Y","Days=T","Dir=V")</f>
        <v>0</v>
      </c>
      <c r="AE2">
        <f>BDH("FWONK US Equity","NET_INCOME","1993-06-18","2026-05-02","Per=Y","Days=T","Dir=V")</f>
        <v>0</v>
      </c>
      <c r="AG2">
        <f>BDH("FWONK US Equity","IS_INT_EXPENSE","1993-06-18","2026-05-02","Per=Y","Days=T","Dir=V")</f>
        <v>0</v>
      </c>
      <c r="AI2">
        <f>BDH("FWONK US Equity","IS_DEPR_EXP","1993-06-18","2026-05-02","Per=Y","Days=T","Dir=V")</f>
        <v>0</v>
      </c>
      <c r="AK2">
        <f>BDH("FWONK US Equity","CF_CASH_FROM_OPER","1993-06-18","2026-05-02","Per=Y","Days=T","Dir=V")</f>
        <v>0</v>
      </c>
      <c r="AM2">
        <f>BDH("FWONK US Equity","CAPITAL_EXPEND","1993-06-18","2026-05-02","Per=Y","Days=T","Dir=V")</f>
        <v>0</v>
      </c>
      <c r="AO2">
        <f>BDH("FWONK US Equity","CF_FREE_CASH_FLOW","1993-06-18","2026-05-02","Per=Y","Days=T","Dir=V")</f>
        <v>0</v>
      </c>
      <c r="AQ2">
        <f>BDH("FWONK US Equity","PX_LAST","1993-06-18","2026-05-02","Per=M","Days=T","Dir=V")</f>
        <v>0</v>
      </c>
      <c r="AS2">
        <f>BDH("FWONK US Equity","CUR_MKT_CAP","1993-06-18","2026-05-02","Per=M","Days=T","Dir=V")</f>
        <v>0</v>
      </c>
      <c r="AU2">
        <f>BDH("FWONK US Equity","EQY_SH_OUT","1993-06-18","2026-05-02","Per=M","Days=T","Dir=V")</f>
        <v>0</v>
      </c>
      <c r="AW2">
        <f>BDH("FWONK US Equity","PX_VOLUME","1993-06-18","2026-05-02","Per=M","Days=T","Dir=V")</f>
        <v>0</v>
      </c>
      <c r="AY2">
        <f>BDH("FWONK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BDH("FWRD US Equity","BS_TOT_ASSET","1993-06-18","2026-05-02","Per=Y","Days=T","Dir=V")</f>
        <v>0</v>
      </c>
      <c r="C2">
        <f>BDH("FWRD US Equity","BS_TOT_LIAB2","1993-06-18","2026-05-02","Per=Y","Days=T","Dir=V")</f>
        <v>0</v>
      </c>
      <c r="E2">
        <f>BDH("FWRD US Equity","SHORT_AND_LONG_TERM_DEBT","1993-06-18","2026-05-02","Per=Y","Days=T","Dir=V")</f>
        <v>0</v>
      </c>
      <c r="G2">
        <f>BDH("FWRD US Equity","BS_ST_BORROW","1993-06-18","2026-05-02","Per=Y","Days=T","Dir=V")</f>
        <v>0</v>
      </c>
      <c r="I2">
        <f>BDH("FWRD US Equity","BS_LT_BORROW","1993-06-18","2026-05-02","Per=Y","Days=T","Dir=V")</f>
        <v>0</v>
      </c>
      <c r="K2">
        <f>BDH("FWRD US Equity","BS_CASH_NEAR_CASH_ITEM","1993-06-18","2026-05-02","Per=Y","Days=T","Dir=V")</f>
        <v>0</v>
      </c>
      <c r="M2">
        <f>BDH("FWRD US Equity","BS_CUR_ASSET_REPORT","1993-06-18","2026-05-02","Per=Y","Days=T","Dir=V")</f>
        <v>0</v>
      </c>
      <c r="O2">
        <f>BDH("FWRD US Equity","BS_CUR_LIAB","1993-06-18","2026-05-02","Per=Y","Days=T","Dir=V")</f>
        <v>0</v>
      </c>
      <c r="Q2">
        <f>BDH("FWRD US Equity","BS_SHAREHOLDER_EQY_ENDING_PERIOD","1993-06-18","2026-05-02","Per=Y","Days=T","Dir=V")</f>
        <v>0</v>
      </c>
      <c r="S2">
        <f>BDH("FWRD US Equity","BS_ACCT_NOTE_RCV","1993-06-18","2026-05-02","Per=Y","Days=T","Dir=V")</f>
        <v>0</v>
      </c>
      <c r="U2">
        <f>BDH("FWRD US Equity","BS_INVENTORIES","1993-06-18","2026-05-02","Per=Y","Days=T","Dir=V")</f>
        <v>0</v>
      </c>
      <c r="W2">
        <f>BDH("FWRD US Equity","WORKING_CAPITAL","1993-06-18","2026-05-02","Per=Y","Days=T","Dir=V")</f>
        <v>0</v>
      </c>
      <c r="Y2">
        <f>BDH("FWRD US Equity","SALES_REV_TURN","1993-06-18","2026-05-02","Per=Y","Days=T","Dir=V")</f>
        <v>0</v>
      </c>
      <c r="AA2">
        <f>BDH("FWRD US Equity","EBIT","1993-06-18","2026-05-02","Per=Y","Days=T","Dir=V")</f>
        <v>0</v>
      </c>
      <c r="AC2">
        <f>BDH("FWRD US Equity","EBITDA","1993-06-18","2026-05-02","Per=Y","Days=T","Dir=V")</f>
        <v>0</v>
      </c>
      <c r="AE2">
        <f>BDH("FWRD US Equity","NET_INCOME","1993-06-18","2026-05-02","Per=Y","Days=T","Dir=V")</f>
        <v>0</v>
      </c>
      <c r="AG2">
        <f>BDH("FWRD US Equity","IS_INT_EXPENSE","1993-06-18","2026-05-02","Per=Y","Days=T","Dir=V")</f>
        <v>0</v>
      </c>
      <c r="AI2">
        <f>BDH("FWRD US Equity","IS_DEPR_EXP","1993-06-18","2026-05-02","Per=Y","Days=T","Dir=V")</f>
        <v>0</v>
      </c>
      <c r="AK2">
        <f>BDH("FWRD US Equity","CF_CASH_FROM_OPER","1993-06-18","2026-05-02","Per=Y","Days=T","Dir=V")</f>
        <v>0</v>
      </c>
      <c r="AM2">
        <f>BDH("FWRD US Equity","CAPITAL_EXPEND","1993-06-18","2026-05-02","Per=Y","Days=T","Dir=V")</f>
        <v>0</v>
      </c>
      <c r="AO2">
        <f>BDH("FWRD US Equity","CF_FREE_CASH_FLOW","1993-06-18","2026-05-02","Per=Y","Days=T","Dir=V")</f>
        <v>0</v>
      </c>
      <c r="AQ2">
        <f>BDH("FWRD US Equity","PX_LAST","1993-06-18","2026-05-02","Per=M","Days=T","Dir=V")</f>
        <v>0</v>
      </c>
      <c r="AS2">
        <f>BDH("FWRD US Equity","CUR_MKT_CAP","1993-06-18","2026-05-02","Per=M","Days=T","Dir=V")</f>
        <v>0</v>
      </c>
      <c r="AU2">
        <f>BDH("FWRD US Equity","EQY_SH_OUT","1993-06-18","2026-05-02","Per=M","Days=T","Dir=V")</f>
        <v>0</v>
      </c>
      <c r="AW2">
        <f>BDH("FWRD US Equity","PX_VOLUME","1993-06-18","2026-05-02","Per=M","Days=T","Dir=V")</f>
        <v>0</v>
      </c>
      <c r="AY2">
        <f>BDH("FWRD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BDH("FWRG US Equity","BS_TOT_ASSET","1993-06-18","2026-05-02","Per=Y","Days=T","Dir=V")</f>
        <v>0</v>
      </c>
      <c r="C2">
        <f>BDH("FWRG US Equity","BS_TOT_LIAB2","1993-06-18","2026-05-02","Per=Y","Days=T","Dir=V")</f>
        <v>0</v>
      </c>
      <c r="E2">
        <f>BDH("FWRG US Equity","SHORT_AND_LONG_TERM_DEBT","1993-06-18","2026-05-02","Per=Y","Days=T","Dir=V")</f>
        <v>0</v>
      </c>
      <c r="G2">
        <f>BDH("FWRG US Equity","BS_ST_BORROW","1993-06-18","2026-05-02","Per=Y","Days=T","Dir=V")</f>
        <v>0</v>
      </c>
      <c r="I2">
        <f>BDH("FWRG US Equity","BS_LT_BORROW","1993-06-18","2026-05-02","Per=Y","Days=T","Dir=V")</f>
        <v>0</v>
      </c>
      <c r="K2">
        <f>BDH("FWRG US Equity","BS_CASH_NEAR_CASH_ITEM","1993-06-18","2026-05-02","Per=Y","Days=T","Dir=V")</f>
        <v>0</v>
      </c>
      <c r="M2">
        <f>BDH("FWRG US Equity","BS_CUR_ASSET_REPORT","1993-06-18","2026-05-02","Per=Y","Days=T","Dir=V")</f>
        <v>0</v>
      </c>
      <c r="O2">
        <f>BDH("FWRG US Equity","BS_CUR_LIAB","1993-06-18","2026-05-02","Per=Y","Days=T","Dir=V")</f>
        <v>0</v>
      </c>
      <c r="Q2">
        <f>BDH("FWRG US Equity","BS_SHAREHOLDER_EQY_ENDING_PERIOD","1993-06-18","2026-05-02","Per=Y","Days=T","Dir=V")</f>
        <v>0</v>
      </c>
      <c r="S2">
        <f>BDH("FWRG US Equity","BS_ACCT_NOTE_RCV","1993-06-18","2026-05-02","Per=Y","Days=T","Dir=V")</f>
        <v>0</v>
      </c>
      <c r="U2">
        <f>BDH("FWRG US Equity","BS_INVENTORIES","1993-06-18","2026-05-02","Per=Y","Days=T","Dir=V")</f>
        <v>0</v>
      </c>
      <c r="W2">
        <f>BDH("FWRG US Equity","WORKING_CAPITAL","1993-06-18","2026-05-02","Per=Y","Days=T","Dir=V")</f>
        <v>0</v>
      </c>
      <c r="Y2">
        <f>BDH("FWRG US Equity","SALES_REV_TURN","1993-06-18","2026-05-02","Per=Y","Days=T","Dir=V")</f>
        <v>0</v>
      </c>
      <c r="AA2">
        <f>BDH("FWRG US Equity","EBIT","1993-06-18","2026-05-02","Per=Y","Days=T","Dir=V")</f>
        <v>0</v>
      </c>
      <c r="AC2">
        <f>BDH("FWRG US Equity","EBITDA","1993-06-18","2026-05-02","Per=Y","Days=T","Dir=V")</f>
        <v>0</v>
      </c>
      <c r="AE2">
        <f>BDH("FWRG US Equity","NET_INCOME","1993-06-18","2026-05-02","Per=Y","Days=T","Dir=V")</f>
        <v>0</v>
      </c>
      <c r="AG2">
        <f>BDH("FWRG US Equity","IS_INT_EXPENSE","1993-06-18","2026-05-02","Per=Y","Days=T","Dir=V")</f>
        <v>0</v>
      </c>
      <c r="AI2">
        <f>BDH("FWRG US Equity","IS_DEPR_EXP","1993-06-18","2026-05-02","Per=Y","Days=T","Dir=V")</f>
        <v>0</v>
      </c>
      <c r="AK2">
        <f>BDH("FWRG US Equity","CF_CASH_FROM_OPER","1993-06-18","2026-05-02","Per=Y","Days=T","Dir=V")</f>
        <v>0</v>
      </c>
      <c r="AM2">
        <f>BDH("FWRG US Equity","CAPITAL_EXPEND","1993-06-18","2026-05-02","Per=Y","Days=T","Dir=V")</f>
        <v>0</v>
      </c>
      <c r="AO2">
        <f>BDH("FWRG US Equity","CF_FREE_CASH_FLOW","1993-06-18","2026-05-02","Per=Y","Days=T","Dir=V")</f>
        <v>0</v>
      </c>
      <c r="AQ2">
        <f>BDH("FWRG US Equity","PX_LAST","1993-06-18","2026-05-02","Per=M","Days=T","Dir=V")</f>
        <v>0</v>
      </c>
      <c r="AS2">
        <f>BDH("FWRG US Equity","CUR_MKT_CAP","1993-06-18","2026-05-02","Per=M","Days=T","Dir=V")</f>
        <v>0</v>
      </c>
      <c r="AU2">
        <f>BDH("FWRG US Equity","EQY_SH_OUT","1993-06-18","2026-05-02","Per=M","Days=T","Dir=V")</f>
        <v>0</v>
      </c>
      <c r="AW2">
        <f>BDH("FWRG US Equity","PX_VOLUME","1993-06-18","2026-05-02","Per=M","Days=T","Dir=V")</f>
        <v>0</v>
      </c>
      <c r="AY2">
        <f>BDH("FWRG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BDH("GAIA US Equity","BS_TOT_ASSET","1993-06-18","2026-05-02","Per=Y","Days=T","Dir=V")</f>
        <v>0</v>
      </c>
      <c r="C2">
        <f>BDH("GAIA US Equity","BS_TOT_LIAB2","1993-06-18","2026-05-02","Per=Y","Days=T","Dir=V")</f>
        <v>0</v>
      </c>
      <c r="E2">
        <f>BDH("GAIA US Equity","SHORT_AND_LONG_TERM_DEBT","1993-06-18","2026-05-02","Per=Y","Days=T","Dir=V")</f>
        <v>0</v>
      </c>
      <c r="G2">
        <f>BDH("GAIA US Equity","BS_ST_BORROW","1993-06-18","2026-05-02","Per=Y","Days=T","Dir=V")</f>
        <v>0</v>
      </c>
      <c r="I2">
        <f>BDH("GAIA US Equity","BS_LT_BORROW","1993-06-18","2026-05-02","Per=Y","Days=T","Dir=V")</f>
        <v>0</v>
      </c>
      <c r="K2">
        <f>BDH("GAIA US Equity","BS_CASH_NEAR_CASH_ITEM","1993-06-18","2026-05-02","Per=Y","Days=T","Dir=V")</f>
        <v>0</v>
      </c>
      <c r="M2">
        <f>BDH("GAIA US Equity","BS_CUR_ASSET_REPORT","1993-06-18","2026-05-02","Per=Y","Days=T","Dir=V")</f>
        <v>0</v>
      </c>
      <c r="O2">
        <f>BDH("GAIA US Equity","BS_CUR_LIAB","1993-06-18","2026-05-02","Per=Y","Days=T","Dir=V")</f>
        <v>0</v>
      </c>
      <c r="Q2">
        <f>BDH("GAIA US Equity","BS_SHAREHOLDER_EQY_ENDING_PERIOD","1993-06-18","2026-05-02","Per=Y","Days=T","Dir=V")</f>
        <v>0</v>
      </c>
      <c r="S2">
        <f>BDH("GAIA US Equity","BS_ACCT_NOTE_RCV","1993-06-18","2026-05-02","Per=Y","Days=T","Dir=V")</f>
        <v>0</v>
      </c>
      <c r="U2">
        <f>BDH("GAIA US Equity","BS_INVENTORIES","1993-06-18","2026-05-02","Per=Y","Days=T","Dir=V")</f>
        <v>0</v>
      </c>
      <c r="W2">
        <f>BDH("GAIA US Equity","WORKING_CAPITAL","1993-06-18","2026-05-02","Per=Y","Days=T","Dir=V")</f>
        <v>0</v>
      </c>
      <c r="Y2">
        <f>BDH("GAIA US Equity","SALES_REV_TURN","1993-06-18","2026-05-02","Per=Y","Days=T","Dir=V")</f>
        <v>0</v>
      </c>
      <c r="AA2">
        <f>BDH("GAIA US Equity","EBIT","1993-06-18","2026-05-02","Per=Y","Days=T","Dir=V")</f>
        <v>0</v>
      </c>
      <c r="AC2">
        <f>BDH("GAIA US Equity","EBITDA","1993-06-18","2026-05-02","Per=Y","Days=T","Dir=V")</f>
        <v>0</v>
      </c>
      <c r="AE2">
        <f>BDH("GAIA US Equity","NET_INCOME","1993-06-18","2026-05-02","Per=Y","Days=T","Dir=V")</f>
        <v>0</v>
      </c>
      <c r="AG2">
        <f>BDH("GAIA US Equity","IS_INT_EXPENSE","1993-06-18","2026-05-02","Per=Y","Days=T","Dir=V")</f>
        <v>0</v>
      </c>
      <c r="AI2">
        <f>BDH("GAIA US Equity","IS_DEPR_EXP","1993-06-18","2026-05-02","Per=Y","Days=T","Dir=V")</f>
        <v>0</v>
      </c>
      <c r="AK2">
        <f>BDH("GAIA US Equity","CF_CASH_FROM_OPER","1993-06-18","2026-05-02","Per=Y","Days=T","Dir=V")</f>
        <v>0</v>
      </c>
      <c r="AM2">
        <f>BDH("GAIA US Equity","CAPITAL_EXPEND","1993-06-18","2026-05-02","Per=Y","Days=T","Dir=V")</f>
        <v>0</v>
      </c>
      <c r="AO2">
        <f>BDH("GAIA US Equity","CF_FREE_CASH_FLOW","1993-06-18","2026-05-02","Per=Y","Days=T","Dir=V")</f>
        <v>0</v>
      </c>
      <c r="AQ2">
        <f>BDH("GAIA US Equity","PX_LAST","1993-06-18","2026-05-02","Per=M","Days=T","Dir=V")</f>
        <v>0</v>
      </c>
      <c r="AS2">
        <f>BDH("GAIA US Equity","CUR_MKT_CAP","1993-06-18","2026-05-02","Per=M","Days=T","Dir=V")</f>
        <v>0</v>
      </c>
      <c r="AU2">
        <f>BDH("GAIA US Equity","EQY_SH_OUT","1993-06-18","2026-05-02","Per=M","Days=T","Dir=V")</f>
        <v>0</v>
      </c>
      <c r="AW2">
        <f>BDH("GAIA US Equity","PX_VOLUME","1993-06-18","2026-05-02","Per=M","Days=T","Dir=V")</f>
        <v>0</v>
      </c>
      <c r="AY2">
        <f>BDH("GAIA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BDH("GALT US Equity","BS_TOT_ASSET","1993-06-18","2026-05-02","Per=Y","Days=T","Dir=V")</f>
        <v>0</v>
      </c>
      <c r="C2">
        <f>BDH("GALT US Equity","BS_TOT_LIAB2","1993-06-18","2026-05-02","Per=Y","Days=T","Dir=V")</f>
        <v>0</v>
      </c>
      <c r="E2">
        <f>BDH("GALT US Equity","SHORT_AND_LONG_TERM_DEBT","1993-06-18","2026-05-02","Per=Y","Days=T","Dir=V")</f>
        <v>0</v>
      </c>
      <c r="G2">
        <f>BDH("GALT US Equity","BS_ST_BORROW","1993-06-18","2026-05-02","Per=Y","Days=T","Dir=V")</f>
        <v>0</v>
      </c>
      <c r="I2">
        <f>BDH("GALT US Equity","BS_LT_BORROW","1993-06-18","2026-05-02","Per=Y","Days=T","Dir=V")</f>
        <v>0</v>
      </c>
      <c r="K2">
        <f>BDH("GALT US Equity","BS_CASH_NEAR_CASH_ITEM","1993-06-18","2026-05-02","Per=Y","Days=T","Dir=V")</f>
        <v>0</v>
      </c>
      <c r="M2">
        <f>BDH("GALT US Equity","BS_CUR_ASSET_REPORT","1993-06-18","2026-05-02","Per=Y","Days=T","Dir=V")</f>
        <v>0</v>
      </c>
      <c r="O2">
        <f>BDH("GALT US Equity","BS_CUR_LIAB","1993-06-18","2026-05-02","Per=Y","Days=T","Dir=V")</f>
        <v>0</v>
      </c>
      <c r="Q2">
        <f>BDH("GALT US Equity","BS_SHAREHOLDER_EQY_ENDING_PERIOD","1993-06-18","2026-05-02","Per=Y","Days=T","Dir=V")</f>
        <v>0</v>
      </c>
      <c r="S2">
        <f>BDH("GALT US Equity","BS_ACCT_NOTE_RCV","1993-06-18","2026-05-02","Per=Y","Days=T","Dir=V")</f>
        <v>0</v>
      </c>
      <c r="U2">
        <f>BDH("GALT US Equity","BS_INVENTORIES","1993-06-18","2026-05-02","Per=Y","Days=T","Dir=V")</f>
        <v>0</v>
      </c>
      <c r="W2">
        <f>BDH("GALT US Equity","WORKING_CAPITAL","1993-06-18","2026-05-02","Per=Y","Days=T","Dir=V")</f>
        <v>0</v>
      </c>
      <c r="Y2">
        <f>BDH("GALT US Equity","SALES_REV_TURN","1993-06-18","2026-05-02","Per=Y","Days=T","Dir=V")</f>
        <v>0</v>
      </c>
      <c r="AA2">
        <f>BDH("GALT US Equity","EBIT","1993-06-18","2026-05-02","Per=Y","Days=T","Dir=V")</f>
        <v>0</v>
      </c>
      <c r="AC2">
        <f>BDH("GALT US Equity","EBITDA","1993-06-18","2026-05-02","Per=Y","Days=T","Dir=V")</f>
        <v>0</v>
      </c>
      <c r="AE2">
        <f>BDH("GALT US Equity","NET_INCOME","1993-06-18","2026-05-02","Per=Y","Days=T","Dir=V")</f>
        <v>0</v>
      </c>
      <c r="AG2">
        <f>BDH("GALT US Equity","IS_INT_EXPENSE","1993-06-18","2026-05-02","Per=Y","Days=T","Dir=V")</f>
        <v>0</v>
      </c>
      <c r="AI2">
        <f>BDH("GALT US Equity","IS_DEPR_EXP","1993-06-18","2026-05-02","Per=Y","Days=T","Dir=V")</f>
        <v>0</v>
      </c>
      <c r="AK2">
        <f>BDH("GALT US Equity","CF_CASH_FROM_OPER","1993-06-18","2026-05-02","Per=Y","Days=T","Dir=V")</f>
        <v>0</v>
      </c>
      <c r="AM2">
        <f>BDH("GALT US Equity","CAPITAL_EXPEND","1993-06-18","2026-05-02","Per=Y","Days=T","Dir=V")</f>
        <v>0</v>
      </c>
      <c r="AO2">
        <f>BDH("GALT US Equity","CF_FREE_CASH_FLOW","1993-06-18","2026-05-02","Per=Y","Days=T","Dir=V")</f>
        <v>0</v>
      </c>
      <c r="AQ2">
        <f>BDH("GALT US Equity","PX_LAST","1993-06-18","2026-05-02","Per=M","Days=T","Dir=V")</f>
        <v>0</v>
      </c>
      <c r="AS2">
        <f>BDH("GALT US Equity","CUR_MKT_CAP","1993-06-18","2026-05-02","Per=M","Days=T","Dir=V")</f>
        <v>0</v>
      </c>
      <c r="AU2">
        <f>BDH("GALT US Equity","EQY_SH_OUT","1993-06-18","2026-05-02","Per=M","Days=T","Dir=V")</f>
        <v>0</v>
      </c>
      <c r="AW2">
        <f>BDH("GALT US Equity","PX_VOLUME","1993-06-18","2026-05-02","Per=M","Days=T","Dir=V")</f>
        <v>0</v>
      </c>
      <c r="AY2">
        <f>BDH("GALT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BDH("GAME US Equity","BS_TOT_ASSET","1993-06-18","2026-05-02","Per=Y","Days=T","Dir=V")</f>
        <v>0</v>
      </c>
      <c r="C2">
        <f>BDH("GAME US Equity","BS_TOT_LIAB2","1993-06-18","2026-05-02","Per=Y","Days=T","Dir=V")</f>
        <v>0</v>
      </c>
      <c r="E2">
        <f>BDH("GAME US Equity","SHORT_AND_LONG_TERM_DEBT","1993-06-18","2026-05-02","Per=Y","Days=T","Dir=V")</f>
        <v>0</v>
      </c>
      <c r="G2">
        <f>BDH("GAME US Equity","BS_ST_BORROW","1993-06-18","2026-05-02","Per=Y","Days=T","Dir=V")</f>
        <v>0</v>
      </c>
      <c r="I2">
        <f>BDH("GAME US Equity","BS_LT_BORROW","1993-06-18","2026-05-02","Per=Y","Days=T","Dir=V")</f>
        <v>0</v>
      </c>
      <c r="K2">
        <f>BDH("GAME US Equity","BS_CASH_NEAR_CASH_ITEM","1993-06-18","2026-05-02","Per=Y","Days=T","Dir=V")</f>
        <v>0</v>
      </c>
      <c r="M2">
        <f>BDH("GAME US Equity","BS_CUR_ASSET_REPORT","1993-06-18","2026-05-02","Per=Y","Days=T","Dir=V")</f>
        <v>0</v>
      </c>
      <c r="O2">
        <f>BDH("GAME US Equity","BS_CUR_LIAB","1993-06-18","2026-05-02","Per=Y","Days=T","Dir=V")</f>
        <v>0</v>
      </c>
      <c r="Q2">
        <f>BDH("GAME US Equity","BS_SHAREHOLDER_EQY_ENDING_PERIOD","1993-06-18","2026-05-02","Per=Y","Days=T","Dir=V")</f>
        <v>0</v>
      </c>
      <c r="S2">
        <f>BDH("GAME US Equity","BS_ACCT_NOTE_RCV","1993-06-18","2026-05-02","Per=Y","Days=T","Dir=V")</f>
        <v>0</v>
      </c>
      <c r="U2">
        <f>BDH("GAME US Equity","BS_INVENTORIES","1993-06-18","2026-05-02","Per=Y","Days=T","Dir=V")</f>
        <v>0</v>
      </c>
      <c r="W2">
        <f>BDH("GAME US Equity","WORKING_CAPITAL","1993-06-18","2026-05-02","Per=Y","Days=T","Dir=V")</f>
        <v>0</v>
      </c>
      <c r="Y2">
        <f>BDH("GAME US Equity","SALES_REV_TURN","1993-06-18","2026-05-02","Per=Y","Days=T","Dir=V")</f>
        <v>0</v>
      </c>
      <c r="AA2">
        <f>BDH("GAME US Equity","EBIT","1993-06-18","2026-05-02","Per=Y","Days=T","Dir=V")</f>
        <v>0</v>
      </c>
      <c r="AC2">
        <f>BDH("GAME US Equity","EBITDA","1993-06-18","2026-05-02","Per=Y","Days=T","Dir=V")</f>
        <v>0</v>
      </c>
      <c r="AE2">
        <f>BDH("GAME US Equity","NET_INCOME","1993-06-18","2026-05-02","Per=Y","Days=T","Dir=V")</f>
        <v>0</v>
      </c>
      <c r="AG2">
        <f>BDH("GAME US Equity","IS_INT_EXPENSE","1993-06-18","2026-05-02","Per=Y","Days=T","Dir=V")</f>
        <v>0</v>
      </c>
      <c r="AI2">
        <f>BDH("GAME US Equity","IS_DEPR_EXP","1993-06-18","2026-05-02","Per=Y","Days=T","Dir=V")</f>
        <v>0</v>
      </c>
      <c r="AK2">
        <f>BDH("GAME US Equity","CF_CASH_FROM_OPER","1993-06-18","2026-05-02","Per=Y","Days=T","Dir=V")</f>
        <v>0</v>
      </c>
      <c r="AM2">
        <f>BDH("GAME US Equity","CAPITAL_EXPEND","1993-06-18","2026-05-02","Per=Y","Days=T","Dir=V")</f>
        <v>0</v>
      </c>
      <c r="AO2">
        <f>BDH("GAME US Equity","CF_FREE_CASH_FLOW","1993-06-18","2026-05-02","Per=Y","Days=T","Dir=V")</f>
        <v>0</v>
      </c>
      <c r="AQ2">
        <f>BDH("GAME US Equity","PX_LAST","1993-06-18","2026-05-02","Per=M","Days=T","Dir=V")</f>
        <v>0</v>
      </c>
      <c r="AS2">
        <f>BDH("GAME US Equity","CUR_MKT_CAP","1993-06-18","2026-05-02","Per=M","Days=T","Dir=V")</f>
        <v>0</v>
      </c>
      <c r="AU2">
        <f>BDH("GAME US Equity","EQY_SH_OUT","1993-06-18","2026-05-02","Per=M","Days=T","Dir=V")</f>
        <v>0</v>
      </c>
      <c r="AW2">
        <f>BDH("GAME US Equity","PX_VOLUME","1993-06-18","2026-05-02","Per=M","Days=T","Dir=V")</f>
        <v>0</v>
      </c>
      <c r="AY2">
        <f>BDH("GAME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BDH("GANX US Equity","BS_TOT_ASSET","1993-06-18","2026-05-02","Per=Y","Days=T","Dir=V")</f>
        <v>0</v>
      </c>
      <c r="C2">
        <f>BDH("GANX US Equity","BS_TOT_LIAB2","1993-06-18","2026-05-02","Per=Y","Days=T","Dir=V")</f>
        <v>0</v>
      </c>
      <c r="E2">
        <f>BDH("GANX US Equity","SHORT_AND_LONG_TERM_DEBT","1993-06-18","2026-05-02","Per=Y","Days=T","Dir=V")</f>
        <v>0</v>
      </c>
      <c r="G2">
        <f>BDH("GANX US Equity","BS_ST_BORROW","1993-06-18","2026-05-02","Per=Y","Days=T","Dir=V")</f>
        <v>0</v>
      </c>
      <c r="I2">
        <f>BDH("GANX US Equity","BS_LT_BORROW","1993-06-18","2026-05-02","Per=Y","Days=T","Dir=V")</f>
        <v>0</v>
      </c>
      <c r="K2">
        <f>BDH("GANX US Equity","BS_CASH_NEAR_CASH_ITEM","1993-06-18","2026-05-02","Per=Y","Days=T","Dir=V")</f>
        <v>0</v>
      </c>
      <c r="M2">
        <f>BDH("GANX US Equity","BS_CUR_ASSET_REPORT","1993-06-18","2026-05-02","Per=Y","Days=T","Dir=V")</f>
        <v>0</v>
      </c>
      <c r="O2">
        <f>BDH("GANX US Equity","BS_CUR_LIAB","1993-06-18","2026-05-02","Per=Y","Days=T","Dir=V")</f>
        <v>0</v>
      </c>
      <c r="Q2">
        <f>BDH("GANX US Equity","BS_SHAREHOLDER_EQY_ENDING_PERIOD","1993-06-18","2026-05-02","Per=Y","Days=T","Dir=V")</f>
        <v>0</v>
      </c>
      <c r="S2">
        <f>BDH("GANX US Equity","BS_ACCT_NOTE_RCV","1993-06-18","2026-05-02","Per=Y","Days=T","Dir=V")</f>
        <v>0</v>
      </c>
      <c r="U2">
        <f>BDH("GANX US Equity","BS_INVENTORIES","1993-06-18","2026-05-02","Per=Y","Days=T","Dir=V")</f>
        <v>0</v>
      </c>
      <c r="W2">
        <f>BDH("GANX US Equity","WORKING_CAPITAL","1993-06-18","2026-05-02","Per=Y","Days=T","Dir=V")</f>
        <v>0</v>
      </c>
      <c r="Y2">
        <f>BDH("GANX US Equity","SALES_REV_TURN","1993-06-18","2026-05-02","Per=Y","Days=T","Dir=V")</f>
        <v>0</v>
      </c>
      <c r="AA2">
        <f>BDH("GANX US Equity","EBIT","1993-06-18","2026-05-02","Per=Y","Days=T","Dir=V")</f>
        <v>0</v>
      </c>
      <c r="AC2">
        <f>BDH("GANX US Equity","EBITDA","1993-06-18","2026-05-02","Per=Y","Days=T","Dir=V")</f>
        <v>0</v>
      </c>
      <c r="AE2">
        <f>BDH("GANX US Equity","NET_INCOME","1993-06-18","2026-05-02","Per=Y","Days=T","Dir=V")</f>
        <v>0</v>
      </c>
      <c r="AG2">
        <f>BDH("GANX US Equity","IS_INT_EXPENSE","1993-06-18","2026-05-02","Per=Y","Days=T","Dir=V")</f>
        <v>0</v>
      </c>
      <c r="AI2">
        <f>BDH("GANX US Equity","IS_DEPR_EXP","1993-06-18","2026-05-02","Per=Y","Days=T","Dir=V")</f>
        <v>0</v>
      </c>
      <c r="AK2">
        <f>BDH("GANX US Equity","CF_CASH_FROM_OPER","1993-06-18","2026-05-02","Per=Y","Days=T","Dir=V")</f>
        <v>0</v>
      </c>
      <c r="AM2">
        <f>BDH("GANX US Equity","CAPITAL_EXPEND","1993-06-18","2026-05-02","Per=Y","Days=T","Dir=V")</f>
        <v>0</v>
      </c>
      <c r="AO2">
        <f>BDH("GANX US Equity","CF_FREE_CASH_FLOW","1993-06-18","2026-05-02","Per=Y","Days=T","Dir=V")</f>
        <v>0</v>
      </c>
      <c r="AQ2">
        <f>BDH("GANX US Equity","PX_LAST","1993-06-18","2026-05-02","Per=M","Days=T","Dir=V")</f>
        <v>0</v>
      </c>
      <c r="AS2">
        <f>BDH("GANX US Equity","CUR_MKT_CAP","1993-06-18","2026-05-02","Per=M","Days=T","Dir=V")</f>
        <v>0</v>
      </c>
      <c r="AU2">
        <f>BDH("GANX US Equity","EQY_SH_OUT","1993-06-18","2026-05-02","Per=M","Days=T","Dir=V")</f>
        <v>0</v>
      </c>
      <c r="AW2">
        <f>BDH("GANX US Equity","PX_VOLUME","1993-06-18","2026-05-02","Per=M","Days=T","Dir=V")</f>
        <v>0</v>
      </c>
      <c r="AY2">
        <f>BDH("GANX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BDH("GAP US Equity","BS_TOT_ASSET","1993-06-18","2026-05-02","Per=Y","Days=T","Dir=V")</f>
        <v>0</v>
      </c>
      <c r="C2">
        <f>BDH("GAP US Equity","BS_TOT_LIAB2","1993-06-18","2026-05-02","Per=Y","Days=T","Dir=V")</f>
        <v>0</v>
      </c>
      <c r="E2">
        <f>BDH("GAP US Equity","SHORT_AND_LONG_TERM_DEBT","1993-06-18","2026-05-02","Per=Y","Days=T","Dir=V")</f>
        <v>0</v>
      </c>
      <c r="G2">
        <f>BDH("GAP US Equity","BS_ST_BORROW","1993-06-18","2026-05-02","Per=Y","Days=T","Dir=V")</f>
        <v>0</v>
      </c>
      <c r="I2">
        <f>BDH("GAP US Equity","BS_LT_BORROW","1993-06-18","2026-05-02","Per=Y","Days=T","Dir=V")</f>
        <v>0</v>
      </c>
      <c r="K2">
        <f>BDH("GAP US Equity","BS_CASH_NEAR_CASH_ITEM","1993-06-18","2026-05-02","Per=Y","Days=T","Dir=V")</f>
        <v>0</v>
      </c>
      <c r="M2">
        <f>BDH("GAP US Equity","BS_CUR_ASSET_REPORT","1993-06-18","2026-05-02","Per=Y","Days=T","Dir=V")</f>
        <v>0</v>
      </c>
      <c r="O2">
        <f>BDH("GAP US Equity","BS_CUR_LIAB","1993-06-18","2026-05-02","Per=Y","Days=T","Dir=V")</f>
        <v>0</v>
      </c>
      <c r="Q2">
        <f>BDH("GAP US Equity","BS_SHAREHOLDER_EQY_ENDING_PERIOD","1993-06-18","2026-05-02","Per=Y","Days=T","Dir=V")</f>
        <v>0</v>
      </c>
      <c r="S2">
        <f>BDH("GAP US Equity","BS_ACCT_NOTE_RCV","1993-06-18","2026-05-02","Per=Y","Days=T","Dir=V")</f>
        <v>0</v>
      </c>
      <c r="U2">
        <f>BDH("GAP US Equity","BS_INVENTORIES","1993-06-18","2026-05-02","Per=Y","Days=T","Dir=V")</f>
        <v>0</v>
      </c>
      <c r="W2">
        <f>BDH("GAP US Equity","WORKING_CAPITAL","1993-06-18","2026-05-02","Per=Y","Days=T","Dir=V")</f>
        <v>0</v>
      </c>
      <c r="Y2">
        <f>BDH("GAP US Equity","SALES_REV_TURN","1993-06-18","2026-05-02","Per=Y","Days=T","Dir=V")</f>
        <v>0</v>
      </c>
      <c r="AA2">
        <f>BDH("GAP US Equity","EBIT","1993-06-18","2026-05-02","Per=Y","Days=T","Dir=V")</f>
        <v>0</v>
      </c>
      <c r="AC2">
        <f>BDH("GAP US Equity","EBITDA","1993-06-18","2026-05-02","Per=Y","Days=T","Dir=V")</f>
        <v>0</v>
      </c>
      <c r="AE2">
        <f>BDH("GAP US Equity","NET_INCOME","1993-06-18","2026-05-02","Per=Y","Days=T","Dir=V")</f>
        <v>0</v>
      </c>
      <c r="AG2">
        <f>BDH("GAP US Equity","IS_INT_EXPENSE","1993-06-18","2026-05-02","Per=Y","Days=T","Dir=V")</f>
        <v>0</v>
      </c>
      <c r="AI2">
        <f>BDH("GAP US Equity","IS_DEPR_EXP","1993-06-18","2026-05-02","Per=Y","Days=T","Dir=V")</f>
        <v>0</v>
      </c>
      <c r="AK2">
        <f>BDH("GAP US Equity","CF_CASH_FROM_OPER","1993-06-18","2026-05-02","Per=Y","Days=T","Dir=V")</f>
        <v>0</v>
      </c>
      <c r="AM2">
        <f>BDH("GAP US Equity","CAPITAL_EXPEND","1993-06-18","2026-05-02","Per=Y","Days=T","Dir=V")</f>
        <v>0</v>
      </c>
      <c r="AO2">
        <f>BDH("GAP US Equity","CF_FREE_CASH_FLOW","1993-06-18","2026-05-02","Per=Y","Days=T","Dir=V")</f>
        <v>0</v>
      </c>
      <c r="AQ2">
        <f>BDH("GAP US Equity","PX_LAST","1993-06-18","2026-05-02","Per=M","Days=T","Dir=V")</f>
        <v>0</v>
      </c>
      <c r="AS2">
        <f>BDH("GAP US Equity","CUR_MKT_CAP","1993-06-18","2026-05-02","Per=M","Days=T","Dir=V")</f>
        <v>0</v>
      </c>
      <c r="AU2">
        <f>BDH("GAP US Equity","EQY_SH_OUT","1993-06-18","2026-05-02","Per=M","Days=T","Dir=V")</f>
        <v>0</v>
      </c>
      <c r="AW2">
        <f>BDH("GAP US Equity","PX_VOLUME","1993-06-18","2026-05-02","Per=M","Days=T","Dir=V")</f>
        <v>0</v>
      </c>
      <c r="AY2">
        <f>BDH("GAP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BDH("GATX US Equity","BS_TOT_ASSET","1993-06-18","2026-05-02","Per=Y","Days=T","Dir=V")</f>
        <v>0</v>
      </c>
      <c r="C2">
        <f>BDH("GATX US Equity","BS_TOT_LIAB2","1993-06-18","2026-05-02","Per=Y","Days=T","Dir=V")</f>
        <v>0</v>
      </c>
      <c r="E2">
        <f>BDH("GATX US Equity","SHORT_AND_LONG_TERM_DEBT","1993-06-18","2026-05-02","Per=Y","Days=T","Dir=V")</f>
        <v>0</v>
      </c>
      <c r="G2">
        <f>BDH("GATX US Equity","BS_ST_BORROW","1993-06-18","2026-05-02","Per=Y","Days=T","Dir=V")</f>
        <v>0</v>
      </c>
      <c r="I2">
        <f>BDH("GATX US Equity","BS_LT_BORROW","1993-06-18","2026-05-02","Per=Y","Days=T","Dir=V")</f>
        <v>0</v>
      </c>
      <c r="K2">
        <f>BDH("GATX US Equity","BS_CASH_NEAR_CASH_ITEM","1993-06-18","2026-05-02","Per=Y","Days=T","Dir=V")</f>
        <v>0</v>
      </c>
      <c r="M2">
        <f>BDH("GATX US Equity","BS_CUR_ASSET_REPORT","1993-06-18","2026-05-02","Per=Y","Days=T","Dir=V")</f>
        <v>0</v>
      </c>
      <c r="O2">
        <f>BDH("GATX US Equity","BS_CUR_LIAB","1993-06-18","2026-05-02","Per=Y","Days=T","Dir=V")</f>
        <v>0</v>
      </c>
      <c r="Q2">
        <f>BDH("GATX US Equity","BS_SHAREHOLDER_EQY_ENDING_PERIOD","1993-06-18","2026-05-02","Per=Y","Days=T","Dir=V")</f>
        <v>0</v>
      </c>
      <c r="S2">
        <f>BDH("GATX US Equity","BS_ACCT_NOTE_RCV","1993-06-18","2026-05-02","Per=Y","Days=T","Dir=V")</f>
        <v>0</v>
      </c>
      <c r="U2">
        <f>BDH("GATX US Equity","BS_INVENTORIES","1993-06-18","2026-05-02","Per=Y","Days=T","Dir=V")</f>
        <v>0</v>
      </c>
      <c r="W2">
        <f>BDH("GATX US Equity","WORKING_CAPITAL","1993-06-18","2026-05-02","Per=Y","Days=T","Dir=V")</f>
        <v>0</v>
      </c>
      <c r="Y2">
        <f>BDH("GATX US Equity","SALES_REV_TURN","1993-06-18","2026-05-02","Per=Y","Days=T","Dir=V")</f>
        <v>0</v>
      </c>
      <c r="AA2">
        <f>BDH("GATX US Equity","EBIT","1993-06-18","2026-05-02","Per=Y","Days=T","Dir=V")</f>
        <v>0</v>
      </c>
      <c r="AC2">
        <f>BDH("GATX US Equity","EBITDA","1993-06-18","2026-05-02","Per=Y","Days=T","Dir=V")</f>
        <v>0</v>
      </c>
      <c r="AE2">
        <f>BDH("GATX US Equity","NET_INCOME","1993-06-18","2026-05-02","Per=Y","Days=T","Dir=V")</f>
        <v>0</v>
      </c>
      <c r="AG2">
        <f>BDH("GATX US Equity","IS_INT_EXPENSE","1993-06-18","2026-05-02","Per=Y","Days=T","Dir=V")</f>
        <v>0</v>
      </c>
      <c r="AI2">
        <f>BDH("GATX US Equity","IS_DEPR_EXP","1993-06-18","2026-05-02","Per=Y","Days=T","Dir=V")</f>
        <v>0</v>
      </c>
      <c r="AK2">
        <f>BDH("GATX US Equity","CF_CASH_FROM_OPER","1993-06-18","2026-05-02","Per=Y","Days=T","Dir=V")</f>
        <v>0</v>
      </c>
      <c r="AM2">
        <f>BDH("GATX US Equity","CAPITAL_EXPEND","1993-06-18","2026-05-02","Per=Y","Days=T","Dir=V")</f>
        <v>0</v>
      </c>
      <c r="AO2">
        <f>BDH("GATX US Equity","CF_FREE_CASH_FLOW","1993-06-18","2026-05-02","Per=Y","Days=T","Dir=V")</f>
        <v>0</v>
      </c>
      <c r="AQ2">
        <f>BDH("GATX US Equity","PX_LAST","1993-06-18","2026-05-02","Per=M","Days=T","Dir=V")</f>
        <v>0</v>
      </c>
      <c r="AS2">
        <f>BDH("GATX US Equity","CUR_MKT_CAP","1993-06-18","2026-05-02","Per=M","Days=T","Dir=V")</f>
        <v>0</v>
      </c>
      <c r="AU2">
        <f>BDH("GATX US Equity","EQY_SH_OUT","1993-06-18","2026-05-02","Per=M","Days=T","Dir=V")</f>
        <v>0</v>
      </c>
      <c r="AW2">
        <f>BDH("GATX US Equity","PX_VOLUME","1993-06-18","2026-05-02","Per=M","Days=T","Dir=V")</f>
        <v>0</v>
      </c>
      <c r="AY2">
        <f>BDH("GATX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BDH("GBR US Equity","BS_TOT_ASSET","1993-06-18","2026-05-02","Per=Y","Days=T","Dir=V")</f>
        <v>0</v>
      </c>
      <c r="C2">
        <f>BDH("GBR US Equity","BS_TOT_LIAB2","1993-06-18","2026-05-02","Per=Y","Days=T","Dir=V")</f>
        <v>0</v>
      </c>
      <c r="E2">
        <f>BDH("GBR US Equity","SHORT_AND_LONG_TERM_DEBT","1993-06-18","2026-05-02","Per=Y","Days=T","Dir=V")</f>
        <v>0</v>
      </c>
      <c r="G2">
        <f>BDH("GBR US Equity","BS_ST_BORROW","1993-06-18","2026-05-02","Per=Y","Days=T","Dir=V")</f>
        <v>0</v>
      </c>
      <c r="I2">
        <f>BDH("GBR US Equity","BS_LT_BORROW","1993-06-18","2026-05-02","Per=Y","Days=T","Dir=V")</f>
        <v>0</v>
      </c>
      <c r="K2">
        <f>BDH("GBR US Equity","BS_CASH_NEAR_CASH_ITEM","1993-06-18","2026-05-02","Per=Y","Days=T","Dir=V")</f>
        <v>0</v>
      </c>
      <c r="M2">
        <f>BDH("GBR US Equity","BS_CUR_ASSET_REPORT","1993-06-18","2026-05-02","Per=Y","Days=T","Dir=V")</f>
        <v>0</v>
      </c>
      <c r="O2">
        <f>BDH("GBR US Equity","BS_CUR_LIAB","1993-06-18","2026-05-02","Per=Y","Days=T","Dir=V")</f>
        <v>0</v>
      </c>
      <c r="Q2">
        <f>BDH("GBR US Equity","BS_SHAREHOLDER_EQY_ENDING_PERIOD","1993-06-18","2026-05-02","Per=Y","Days=T","Dir=V")</f>
        <v>0</v>
      </c>
      <c r="S2">
        <f>BDH("GBR US Equity","BS_ACCT_NOTE_RCV","1993-06-18","2026-05-02","Per=Y","Days=T","Dir=V")</f>
        <v>0</v>
      </c>
      <c r="U2">
        <f>BDH("GBR US Equity","BS_INVENTORIES","1993-06-18","2026-05-02","Per=Y","Days=T","Dir=V")</f>
        <v>0</v>
      </c>
      <c r="W2">
        <f>BDH("GBR US Equity","WORKING_CAPITAL","1993-06-18","2026-05-02","Per=Y","Days=T","Dir=V")</f>
        <v>0</v>
      </c>
      <c r="Y2">
        <f>BDH("GBR US Equity","SALES_REV_TURN","1993-06-18","2026-05-02","Per=Y","Days=T","Dir=V")</f>
        <v>0</v>
      </c>
      <c r="AA2">
        <f>BDH("GBR US Equity","EBIT","1993-06-18","2026-05-02","Per=Y","Days=T","Dir=V")</f>
        <v>0</v>
      </c>
      <c r="AC2">
        <f>BDH("GBR US Equity","EBITDA","1993-06-18","2026-05-02","Per=Y","Days=T","Dir=V")</f>
        <v>0</v>
      </c>
      <c r="AE2">
        <f>BDH("GBR US Equity","NET_INCOME","1993-06-18","2026-05-02","Per=Y","Days=T","Dir=V")</f>
        <v>0</v>
      </c>
      <c r="AG2">
        <f>BDH("GBR US Equity","IS_INT_EXPENSE","1993-06-18","2026-05-02","Per=Y","Days=T","Dir=V")</f>
        <v>0</v>
      </c>
      <c r="AI2">
        <f>BDH("GBR US Equity","IS_DEPR_EXP","1993-06-18","2026-05-02","Per=Y","Days=T","Dir=V")</f>
        <v>0</v>
      </c>
      <c r="AK2">
        <f>BDH("GBR US Equity","CF_CASH_FROM_OPER","1993-06-18","2026-05-02","Per=Y","Days=T","Dir=V")</f>
        <v>0</v>
      </c>
      <c r="AM2">
        <f>BDH("GBR US Equity","CAPITAL_EXPEND","1993-06-18","2026-05-02","Per=Y","Days=T","Dir=V")</f>
        <v>0</v>
      </c>
      <c r="AO2">
        <f>BDH("GBR US Equity","CF_FREE_CASH_FLOW","1993-06-18","2026-05-02","Per=Y","Days=T","Dir=V")</f>
        <v>0</v>
      </c>
      <c r="AQ2">
        <f>BDH("GBR US Equity","PX_LAST","1993-06-18","2026-05-02","Per=M","Days=T","Dir=V")</f>
        <v>0</v>
      </c>
      <c r="AS2">
        <f>BDH("GBR US Equity","CUR_MKT_CAP","1993-06-18","2026-05-02","Per=M","Days=T","Dir=V")</f>
        <v>0</v>
      </c>
      <c r="AU2">
        <f>BDH("GBR US Equity","EQY_SH_OUT","1993-06-18","2026-05-02","Per=M","Days=T","Dir=V")</f>
        <v>0</v>
      </c>
      <c r="AW2">
        <f>BDH("GBR US Equity","PX_VOLUME","1993-06-18","2026-05-02","Per=M","Days=T","Dir=V")</f>
        <v>0</v>
      </c>
      <c r="AY2">
        <f>BDH("GBR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BDH("GBTG US Equity","BS_TOT_ASSET","1993-06-18","2026-05-02","Per=Y","Days=T","Dir=V")</f>
        <v>0</v>
      </c>
      <c r="C2">
        <f>BDH("GBTG US Equity","BS_TOT_LIAB2","1993-06-18","2026-05-02","Per=Y","Days=T","Dir=V")</f>
        <v>0</v>
      </c>
      <c r="E2">
        <f>BDH("GBTG US Equity","SHORT_AND_LONG_TERM_DEBT","1993-06-18","2026-05-02","Per=Y","Days=T","Dir=V")</f>
        <v>0</v>
      </c>
      <c r="G2">
        <f>BDH("GBTG US Equity","BS_ST_BORROW","1993-06-18","2026-05-02","Per=Y","Days=T","Dir=V")</f>
        <v>0</v>
      </c>
      <c r="I2">
        <f>BDH("GBTG US Equity","BS_LT_BORROW","1993-06-18","2026-05-02","Per=Y","Days=T","Dir=V")</f>
        <v>0</v>
      </c>
      <c r="K2">
        <f>BDH("GBTG US Equity","BS_CASH_NEAR_CASH_ITEM","1993-06-18","2026-05-02","Per=Y","Days=T","Dir=V")</f>
        <v>0</v>
      </c>
      <c r="M2">
        <f>BDH("GBTG US Equity","BS_CUR_ASSET_REPORT","1993-06-18","2026-05-02","Per=Y","Days=T","Dir=V")</f>
        <v>0</v>
      </c>
      <c r="O2">
        <f>BDH("GBTG US Equity","BS_CUR_LIAB","1993-06-18","2026-05-02","Per=Y","Days=T","Dir=V")</f>
        <v>0</v>
      </c>
      <c r="Q2">
        <f>BDH("GBTG US Equity","BS_SHAREHOLDER_EQY_ENDING_PERIOD","1993-06-18","2026-05-02","Per=Y","Days=T","Dir=V")</f>
        <v>0</v>
      </c>
      <c r="S2">
        <f>BDH("GBTG US Equity","BS_ACCT_NOTE_RCV","1993-06-18","2026-05-02","Per=Y","Days=T","Dir=V")</f>
        <v>0</v>
      </c>
      <c r="U2">
        <f>BDH("GBTG US Equity","BS_INVENTORIES","1993-06-18","2026-05-02","Per=Y","Days=T","Dir=V")</f>
        <v>0</v>
      </c>
      <c r="W2">
        <f>BDH("GBTG US Equity","WORKING_CAPITAL","1993-06-18","2026-05-02","Per=Y","Days=T","Dir=V")</f>
        <v>0</v>
      </c>
      <c r="Y2">
        <f>BDH("GBTG US Equity","SALES_REV_TURN","1993-06-18","2026-05-02","Per=Y","Days=T","Dir=V")</f>
        <v>0</v>
      </c>
      <c r="AA2">
        <f>BDH("GBTG US Equity","EBIT","1993-06-18","2026-05-02","Per=Y","Days=T","Dir=V")</f>
        <v>0</v>
      </c>
      <c r="AC2">
        <f>BDH("GBTG US Equity","EBITDA","1993-06-18","2026-05-02","Per=Y","Days=T","Dir=V")</f>
        <v>0</v>
      </c>
      <c r="AE2">
        <f>BDH("GBTG US Equity","NET_INCOME","1993-06-18","2026-05-02","Per=Y","Days=T","Dir=V")</f>
        <v>0</v>
      </c>
      <c r="AG2">
        <f>BDH("GBTG US Equity","IS_INT_EXPENSE","1993-06-18","2026-05-02","Per=Y","Days=T","Dir=V")</f>
        <v>0</v>
      </c>
      <c r="AI2">
        <f>BDH("GBTG US Equity","IS_DEPR_EXP","1993-06-18","2026-05-02","Per=Y","Days=T","Dir=V")</f>
        <v>0</v>
      </c>
      <c r="AK2">
        <f>BDH("GBTG US Equity","CF_CASH_FROM_OPER","1993-06-18","2026-05-02","Per=Y","Days=T","Dir=V")</f>
        <v>0</v>
      </c>
      <c r="AM2">
        <f>BDH("GBTG US Equity","CAPITAL_EXPEND","1993-06-18","2026-05-02","Per=Y","Days=T","Dir=V")</f>
        <v>0</v>
      </c>
      <c r="AO2">
        <f>BDH("GBTG US Equity","CF_FREE_CASH_FLOW","1993-06-18","2026-05-02","Per=Y","Days=T","Dir=V")</f>
        <v>0</v>
      </c>
      <c r="AQ2">
        <f>BDH("GBTG US Equity","PX_LAST","1993-06-18","2026-05-02","Per=M","Days=T","Dir=V")</f>
        <v>0</v>
      </c>
      <c r="AS2">
        <f>BDH("GBTG US Equity","CUR_MKT_CAP","1993-06-18","2026-05-02","Per=M","Days=T","Dir=V")</f>
        <v>0</v>
      </c>
      <c r="AU2">
        <f>BDH("GBTG US Equity","EQY_SH_OUT","1993-06-18","2026-05-02","Per=M","Days=T","Dir=V")</f>
        <v>0</v>
      </c>
      <c r="AW2">
        <f>BDH("GBTG US Equity","PX_VOLUME","1993-06-18","2026-05-02","Per=M","Days=T","Dir=V")</f>
        <v>0</v>
      </c>
      <c r="AY2">
        <f>BDH("GBTG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BDH("GBX US Equity","BS_TOT_ASSET","1993-06-18","2026-05-02","Per=Y","Days=T","Dir=V")</f>
        <v>0</v>
      </c>
      <c r="C2">
        <f>BDH("GBX US Equity","BS_TOT_LIAB2","1993-06-18","2026-05-02","Per=Y","Days=T","Dir=V")</f>
        <v>0</v>
      </c>
      <c r="E2">
        <f>BDH("GBX US Equity","SHORT_AND_LONG_TERM_DEBT","1993-06-18","2026-05-02","Per=Y","Days=T","Dir=V")</f>
        <v>0</v>
      </c>
      <c r="G2">
        <f>BDH("GBX US Equity","BS_ST_BORROW","1993-06-18","2026-05-02","Per=Y","Days=T","Dir=V")</f>
        <v>0</v>
      </c>
      <c r="I2">
        <f>BDH("GBX US Equity","BS_LT_BORROW","1993-06-18","2026-05-02","Per=Y","Days=T","Dir=V")</f>
        <v>0</v>
      </c>
      <c r="K2">
        <f>BDH("GBX US Equity","BS_CASH_NEAR_CASH_ITEM","1993-06-18","2026-05-02","Per=Y","Days=T","Dir=V")</f>
        <v>0</v>
      </c>
      <c r="M2">
        <f>BDH("GBX US Equity","BS_CUR_ASSET_REPORT","1993-06-18","2026-05-02","Per=Y","Days=T","Dir=V")</f>
        <v>0</v>
      </c>
      <c r="O2">
        <f>BDH("GBX US Equity","BS_CUR_LIAB","1993-06-18","2026-05-02","Per=Y","Days=T","Dir=V")</f>
        <v>0</v>
      </c>
      <c r="Q2">
        <f>BDH("GBX US Equity","BS_SHAREHOLDER_EQY_ENDING_PERIOD","1993-06-18","2026-05-02","Per=Y","Days=T","Dir=V")</f>
        <v>0</v>
      </c>
      <c r="S2">
        <f>BDH("GBX US Equity","BS_ACCT_NOTE_RCV","1993-06-18","2026-05-02","Per=Y","Days=T","Dir=V")</f>
        <v>0</v>
      </c>
      <c r="U2">
        <f>BDH("GBX US Equity","BS_INVENTORIES","1993-06-18","2026-05-02","Per=Y","Days=T","Dir=V")</f>
        <v>0</v>
      </c>
      <c r="W2">
        <f>BDH("GBX US Equity","WORKING_CAPITAL","1993-06-18","2026-05-02","Per=Y","Days=T","Dir=V")</f>
        <v>0</v>
      </c>
      <c r="Y2">
        <f>BDH("GBX US Equity","SALES_REV_TURN","1993-06-18","2026-05-02","Per=Y","Days=T","Dir=V")</f>
        <v>0</v>
      </c>
      <c r="AA2">
        <f>BDH("GBX US Equity","EBIT","1993-06-18","2026-05-02","Per=Y","Days=T","Dir=V")</f>
        <v>0</v>
      </c>
      <c r="AC2">
        <f>BDH("GBX US Equity","EBITDA","1993-06-18","2026-05-02","Per=Y","Days=T","Dir=V")</f>
        <v>0</v>
      </c>
      <c r="AE2">
        <f>BDH("GBX US Equity","NET_INCOME","1993-06-18","2026-05-02","Per=Y","Days=T","Dir=V")</f>
        <v>0</v>
      </c>
      <c r="AG2">
        <f>BDH("GBX US Equity","IS_INT_EXPENSE","1993-06-18","2026-05-02","Per=Y","Days=T","Dir=V")</f>
        <v>0</v>
      </c>
      <c r="AI2">
        <f>BDH("GBX US Equity","IS_DEPR_EXP","1993-06-18","2026-05-02","Per=Y","Days=T","Dir=V")</f>
        <v>0</v>
      </c>
      <c r="AK2">
        <f>BDH("GBX US Equity","CF_CASH_FROM_OPER","1993-06-18","2026-05-02","Per=Y","Days=T","Dir=V")</f>
        <v>0</v>
      </c>
      <c r="AM2">
        <f>BDH("GBX US Equity","CAPITAL_EXPEND","1993-06-18","2026-05-02","Per=Y","Days=T","Dir=V")</f>
        <v>0</v>
      </c>
      <c r="AO2">
        <f>BDH("GBX US Equity","CF_FREE_CASH_FLOW","1993-06-18","2026-05-02","Per=Y","Days=T","Dir=V")</f>
        <v>0</v>
      </c>
      <c r="AQ2">
        <f>BDH("GBX US Equity","PX_LAST","1993-06-18","2026-05-02","Per=M","Days=T","Dir=V")</f>
        <v>0</v>
      </c>
      <c r="AS2">
        <f>BDH("GBX US Equity","CUR_MKT_CAP","1993-06-18","2026-05-02","Per=M","Days=T","Dir=V")</f>
        <v>0</v>
      </c>
      <c r="AU2">
        <f>BDH("GBX US Equity","EQY_SH_OUT","1993-06-18","2026-05-02","Per=M","Days=T","Dir=V")</f>
        <v>0</v>
      </c>
      <c r="AW2">
        <f>BDH("GBX US Equity","PX_VOLUME","1993-06-18","2026-05-02","Per=M","Days=T","Dir=V")</f>
        <v>0</v>
      </c>
      <c r="AY2">
        <f>BDH("GBX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BDH("GCO US Equity","BS_TOT_ASSET","1993-06-18","2026-05-02","Per=Y","Days=T","Dir=V")</f>
        <v>0</v>
      </c>
      <c r="C2">
        <f>BDH("GCO US Equity","BS_TOT_LIAB2","1993-06-18","2026-05-02","Per=Y","Days=T","Dir=V")</f>
        <v>0</v>
      </c>
      <c r="E2">
        <f>BDH("GCO US Equity","SHORT_AND_LONG_TERM_DEBT","1993-06-18","2026-05-02","Per=Y","Days=T","Dir=V")</f>
        <v>0</v>
      </c>
      <c r="G2">
        <f>BDH("GCO US Equity","BS_ST_BORROW","1993-06-18","2026-05-02","Per=Y","Days=T","Dir=V")</f>
        <v>0</v>
      </c>
      <c r="I2">
        <f>BDH("GCO US Equity","BS_LT_BORROW","1993-06-18","2026-05-02","Per=Y","Days=T","Dir=V")</f>
        <v>0</v>
      </c>
      <c r="K2">
        <f>BDH("GCO US Equity","BS_CASH_NEAR_CASH_ITEM","1993-06-18","2026-05-02","Per=Y","Days=T","Dir=V")</f>
        <v>0</v>
      </c>
      <c r="M2">
        <f>BDH("GCO US Equity","BS_CUR_ASSET_REPORT","1993-06-18","2026-05-02","Per=Y","Days=T","Dir=V")</f>
        <v>0</v>
      </c>
      <c r="O2">
        <f>BDH("GCO US Equity","BS_CUR_LIAB","1993-06-18","2026-05-02","Per=Y","Days=T","Dir=V")</f>
        <v>0</v>
      </c>
      <c r="Q2">
        <f>BDH("GCO US Equity","BS_SHAREHOLDER_EQY_ENDING_PERIOD","1993-06-18","2026-05-02","Per=Y","Days=T","Dir=V")</f>
        <v>0</v>
      </c>
      <c r="S2">
        <f>BDH("GCO US Equity","BS_ACCT_NOTE_RCV","1993-06-18","2026-05-02","Per=Y","Days=T","Dir=V")</f>
        <v>0</v>
      </c>
      <c r="U2">
        <f>BDH("GCO US Equity","BS_INVENTORIES","1993-06-18","2026-05-02","Per=Y","Days=T","Dir=V")</f>
        <v>0</v>
      </c>
      <c r="W2">
        <f>BDH("GCO US Equity","WORKING_CAPITAL","1993-06-18","2026-05-02","Per=Y","Days=T","Dir=V")</f>
        <v>0</v>
      </c>
      <c r="Y2">
        <f>BDH("GCO US Equity","SALES_REV_TURN","1993-06-18","2026-05-02","Per=Y","Days=T","Dir=V")</f>
        <v>0</v>
      </c>
      <c r="AA2">
        <f>BDH("GCO US Equity","EBIT","1993-06-18","2026-05-02","Per=Y","Days=T","Dir=V")</f>
        <v>0</v>
      </c>
      <c r="AC2">
        <f>BDH("GCO US Equity","EBITDA","1993-06-18","2026-05-02","Per=Y","Days=T","Dir=V")</f>
        <v>0</v>
      </c>
      <c r="AE2">
        <f>BDH("GCO US Equity","NET_INCOME","1993-06-18","2026-05-02","Per=Y","Days=T","Dir=V")</f>
        <v>0</v>
      </c>
      <c r="AG2">
        <f>BDH("GCO US Equity","IS_INT_EXPENSE","1993-06-18","2026-05-02","Per=Y","Days=T","Dir=V")</f>
        <v>0</v>
      </c>
      <c r="AI2">
        <f>BDH("GCO US Equity","IS_DEPR_EXP","1993-06-18","2026-05-02","Per=Y","Days=T","Dir=V")</f>
        <v>0</v>
      </c>
      <c r="AK2">
        <f>BDH("GCO US Equity","CF_CASH_FROM_OPER","1993-06-18","2026-05-02","Per=Y","Days=T","Dir=V")</f>
        <v>0</v>
      </c>
      <c r="AM2">
        <f>BDH("GCO US Equity","CAPITAL_EXPEND","1993-06-18","2026-05-02","Per=Y","Days=T","Dir=V")</f>
        <v>0</v>
      </c>
      <c r="AO2">
        <f>BDH("GCO US Equity","CF_FREE_CASH_FLOW","1993-06-18","2026-05-02","Per=Y","Days=T","Dir=V")</f>
        <v>0</v>
      </c>
      <c r="AQ2">
        <f>BDH("GCO US Equity","PX_LAST","1993-06-18","2026-05-02","Per=M","Days=T","Dir=V")</f>
        <v>0</v>
      </c>
      <c r="AS2">
        <f>BDH("GCO US Equity","CUR_MKT_CAP","1993-06-18","2026-05-02","Per=M","Days=T","Dir=V")</f>
        <v>0</v>
      </c>
      <c r="AU2">
        <f>BDH("GCO US Equity","EQY_SH_OUT","1993-06-18","2026-05-02","Per=M","Days=T","Dir=V")</f>
        <v>0</v>
      </c>
      <c r="AW2">
        <f>BDH("GCO US Equity","PX_VOLUME","1993-06-18","2026-05-02","Per=M","Days=T","Dir=V")</f>
        <v>0</v>
      </c>
      <c r="AY2">
        <f>BDH("GCO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BDH("GCT US Equity","BS_TOT_ASSET","1993-06-18","2026-05-02","Per=Y","Days=T","Dir=V")</f>
        <v>0</v>
      </c>
      <c r="C2">
        <f>BDH("GCT US Equity","BS_TOT_LIAB2","1993-06-18","2026-05-02","Per=Y","Days=T","Dir=V")</f>
        <v>0</v>
      </c>
      <c r="E2">
        <f>BDH("GCT US Equity","SHORT_AND_LONG_TERM_DEBT","1993-06-18","2026-05-02","Per=Y","Days=T","Dir=V")</f>
        <v>0</v>
      </c>
      <c r="G2">
        <f>BDH("GCT US Equity","BS_ST_BORROW","1993-06-18","2026-05-02","Per=Y","Days=T","Dir=V")</f>
        <v>0</v>
      </c>
      <c r="I2">
        <f>BDH("GCT US Equity","BS_LT_BORROW","1993-06-18","2026-05-02","Per=Y","Days=T","Dir=V")</f>
        <v>0</v>
      </c>
      <c r="K2">
        <f>BDH("GCT US Equity","BS_CASH_NEAR_CASH_ITEM","1993-06-18","2026-05-02","Per=Y","Days=T","Dir=V")</f>
        <v>0</v>
      </c>
      <c r="M2">
        <f>BDH("GCT US Equity","BS_CUR_ASSET_REPORT","1993-06-18","2026-05-02","Per=Y","Days=T","Dir=V")</f>
        <v>0</v>
      </c>
      <c r="O2">
        <f>BDH("GCT US Equity","BS_CUR_LIAB","1993-06-18","2026-05-02","Per=Y","Days=T","Dir=V")</f>
        <v>0</v>
      </c>
      <c r="Q2">
        <f>BDH("GCT US Equity","BS_SHAREHOLDER_EQY_ENDING_PERIOD","1993-06-18","2026-05-02","Per=Y","Days=T","Dir=V")</f>
        <v>0</v>
      </c>
      <c r="S2">
        <f>BDH("GCT US Equity","BS_ACCT_NOTE_RCV","1993-06-18","2026-05-02","Per=Y","Days=T","Dir=V")</f>
        <v>0</v>
      </c>
      <c r="U2">
        <f>BDH("GCT US Equity","BS_INVENTORIES","1993-06-18","2026-05-02","Per=Y","Days=T","Dir=V")</f>
        <v>0</v>
      </c>
      <c r="W2">
        <f>BDH("GCT US Equity","WORKING_CAPITAL","1993-06-18","2026-05-02","Per=Y","Days=T","Dir=V")</f>
        <v>0</v>
      </c>
      <c r="Y2">
        <f>BDH("GCT US Equity","SALES_REV_TURN","1993-06-18","2026-05-02","Per=Y","Days=T","Dir=V")</f>
        <v>0</v>
      </c>
      <c r="AA2">
        <f>BDH("GCT US Equity","EBIT","1993-06-18","2026-05-02","Per=Y","Days=T","Dir=V")</f>
        <v>0</v>
      </c>
      <c r="AC2">
        <f>BDH("GCT US Equity","EBITDA","1993-06-18","2026-05-02","Per=Y","Days=T","Dir=V")</f>
        <v>0</v>
      </c>
      <c r="AE2">
        <f>BDH("GCT US Equity","NET_INCOME","1993-06-18","2026-05-02","Per=Y","Days=T","Dir=V")</f>
        <v>0</v>
      </c>
      <c r="AG2">
        <f>BDH("GCT US Equity","IS_INT_EXPENSE","1993-06-18","2026-05-02","Per=Y","Days=T","Dir=V")</f>
        <v>0</v>
      </c>
      <c r="AI2">
        <f>BDH("GCT US Equity","IS_DEPR_EXP","1993-06-18","2026-05-02","Per=Y","Days=T","Dir=V")</f>
        <v>0</v>
      </c>
      <c r="AK2">
        <f>BDH("GCT US Equity","CF_CASH_FROM_OPER","1993-06-18","2026-05-02","Per=Y","Days=T","Dir=V")</f>
        <v>0</v>
      </c>
      <c r="AM2">
        <f>BDH("GCT US Equity","CAPITAL_EXPEND","1993-06-18","2026-05-02","Per=Y","Days=T","Dir=V")</f>
        <v>0</v>
      </c>
      <c r="AO2">
        <f>BDH("GCT US Equity","CF_FREE_CASH_FLOW","1993-06-18","2026-05-02","Per=Y","Days=T","Dir=V")</f>
        <v>0</v>
      </c>
      <c r="AQ2">
        <f>BDH("GCT US Equity","PX_LAST","1993-06-18","2026-05-02","Per=M","Days=T","Dir=V")</f>
        <v>0</v>
      </c>
      <c r="AS2">
        <f>BDH("GCT US Equity","CUR_MKT_CAP","1993-06-18","2026-05-02","Per=M","Days=T","Dir=V")</f>
        <v>0</v>
      </c>
      <c r="AU2">
        <f>BDH("GCT US Equity","EQY_SH_OUT","1993-06-18","2026-05-02","Per=M","Days=T","Dir=V")</f>
        <v>0</v>
      </c>
      <c r="AW2">
        <f>BDH("GCT US Equity","PX_VOLUME","1993-06-18","2026-05-02","Per=M","Days=T","Dir=V")</f>
        <v>0</v>
      </c>
      <c r="AY2">
        <f>BDH("GCT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BDH("GCTK US Equity","BS_TOT_ASSET","1993-06-18","2026-05-02","Per=Y","Days=T","Dir=V")</f>
        <v>0</v>
      </c>
      <c r="C2">
        <f>BDH("GCTK US Equity","BS_TOT_LIAB2","1993-06-18","2026-05-02","Per=Y","Days=T","Dir=V")</f>
        <v>0</v>
      </c>
      <c r="E2">
        <f>BDH("GCTK US Equity","SHORT_AND_LONG_TERM_DEBT","1993-06-18","2026-05-02","Per=Y","Days=T","Dir=V")</f>
        <v>0</v>
      </c>
      <c r="G2">
        <f>BDH("GCTK US Equity","BS_ST_BORROW","1993-06-18","2026-05-02","Per=Y","Days=T","Dir=V")</f>
        <v>0</v>
      </c>
      <c r="I2">
        <f>BDH("GCTK US Equity","BS_LT_BORROW","1993-06-18","2026-05-02","Per=Y","Days=T","Dir=V")</f>
        <v>0</v>
      </c>
      <c r="K2">
        <f>BDH("GCTK US Equity","BS_CASH_NEAR_CASH_ITEM","1993-06-18","2026-05-02","Per=Y","Days=T","Dir=V")</f>
        <v>0</v>
      </c>
      <c r="M2">
        <f>BDH("GCTK US Equity","BS_CUR_ASSET_REPORT","1993-06-18","2026-05-02","Per=Y","Days=T","Dir=V")</f>
        <v>0</v>
      </c>
      <c r="O2">
        <f>BDH("GCTK US Equity","BS_CUR_LIAB","1993-06-18","2026-05-02","Per=Y","Days=T","Dir=V")</f>
        <v>0</v>
      </c>
      <c r="Q2">
        <f>BDH("GCTK US Equity","BS_SHAREHOLDER_EQY_ENDING_PERIOD","1993-06-18","2026-05-02","Per=Y","Days=T","Dir=V")</f>
        <v>0</v>
      </c>
      <c r="S2">
        <f>BDH("GCTK US Equity","BS_ACCT_NOTE_RCV","1993-06-18","2026-05-02","Per=Y","Days=T","Dir=V")</f>
        <v>0</v>
      </c>
      <c r="U2">
        <f>BDH("GCTK US Equity","BS_INVENTORIES","1993-06-18","2026-05-02","Per=Y","Days=T","Dir=V")</f>
        <v>0</v>
      </c>
      <c r="W2">
        <f>BDH("GCTK US Equity","WORKING_CAPITAL","1993-06-18","2026-05-02","Per=Y","Days=T","Dir=V")</f>
        <v>0</v>
      </c>
      <c r="Y2">
        <f>BDH("GCTK US Equity","SALES_REV_TURN","1993-06-18","2026-05-02","Per=Y","Days=T","Dir=V")</f>
        <v>0</v>
      </c>
      <c r="AA2">
        <f>BDH("GCTK US Equity","EBIT","1993-06-18","2026-05-02","Per=Y","Days=T","Dir=V")</f>
        <v>0</v>
      </c>
      <c r="AC2">
        <f>BDH("GCTK US Equity","EBITDA","1993-06-18","2026-05-02","Per=Y","Days=T","Dir=V")</f>
        <v>0</v>
      </c>
      <c r="AE2">
        <f>BDH("GCTK US Equity","NET_INCOME","1993-06-18","2026-05-02","Per=Y","Days=T","Dir=V")</f>
        <v>0</v>
      </c>
      <c r="AG2">
        <f>BDH("GCTK US Equity","IS_INT_EXPENSE","1993-06-18","2026-05-02","Per=Y","Days=T","Dir=V")</f>
        <v>0</v>
      </c>
      <c r="AI2">
        <f>BDH("GCTK US Equity","IS_DEPR_EXP","1993-06-18","2026-05-02","Per=Y","Days=T","Dir=V")</f>
        <v>0</v>
      </c>
      <c r="AK2">
        <f>BDH("GCTK US Equity","CF_CASH_FROM_OPER","1993-06-18","2026-05-02","Per=Y","Days=T","Dir=V")</f>
        <v>0</v>
      </c>
      <c r="AM2">
        <f>BDH("GCTK US Equity","CAPITAL_EXPEND","1993-06-18","2026-05-02","Per=Y","Days=T","Dir=V")</f>
        <v>0</v>
      </c>
      <c r="AO2">
        <f>BDH("GCTK US Equity","CF_FREE_CASH_FLOW","1993-06-18","2026-05-02","Per=Y","Days=T","Dir=V")</f>
        <v>0</v>
      </c>
      <c r="AQ2">
        <f>BDH("GCTK US Equity","PX_LAST","1993-06-18","2026-05-02","Per=M","Days=T","Dir=V")</f>
        <v>0</v>
      </c>
      <c r="AS2">
        <f>BDH("GCTK US Equity","CUR_MKT_CAP","1993-06-18","2026-05-02","Per=M","Days=T","Dir=V")</f>
        <v>0</v>
      </c>
      <c r="AU2">
        <f>BDH("GCTK US Equity","EQY_SH_OUT","1993-06-18","2026-05-02","Per=M","Days=T","Dir=V")</f>
        <v>0</v>
      </c>
      <c r="AW2">
        <f>BDH("GCTK US Equity","PX_VOLUME","1993-06-18","2026-05-02","Per=M","Days=T","Dir=V")</f>
        <v>0</v>
      </c>
      <c r="AY2">
        <f>BDH("GCTK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BDH("GCTS US Equity","BS_TOT_ASSET","1993-06-18","2026-05-02","Per=Y","Days=T","Dir=V")</f>
        <v>0</v>
      </c>
      <c r="C2">
        <f>BDH("GCTS US Equity","BS_TOT_LIAB2","1993-06-18","2026-05-02","Per=Y","Days=T","Dir=V")</f>
        <v>0</v>
      </c>
      <c r="E2">
        <f>BDH("GCTS US Equity","SHORT_AND_LONG_TERM_DEBT","1993-06-18","2026-05-02","Per=Y","Days=T","Dir=V")</f>
        <v>0</v>
      </c>
      <c r="G2">
        <f>BDH("GCTS US Equity","BS_ST_BORROW","1993-06-18","2026-05-02","Per=Y","Days=T","Dir=V")</f>
        <v>0</v>
      </c>
      <c r="I2">
        <f>BDH("GCTS US Equity","BS_LT_BORROW","1993-06-18","2026-05-02","Per=Y","Days=T","Dir=V")</f>
        <v>0</v>
      </c>
      <c r="K2">
        <f>BDH("GCTS US Equity","BS_CASH_NEAR_CASH_ITEM","1993-06-18","2026-05-02","Per=Y","Days=T","Dir=V")</f>
        <v>0</v>
      </c>
      <c r="M2">
        <f>BDH("GCTS US Equity","BS_CUR_ASSET_REPORT","1993-06-18","2026-05-02","Per=Y","Days=T","Dir=V")</f>
        <v>0</v>
      </c>
      <c r="O2">
        <f>BDH("GCTS US Equity","BS_CUR_LIAB","1993-06-18","2026-05-02","Per=Y","Days=T","Dir=V")</f>
        <v>0</v>
      </c>
      <c r="Q2">
        <f>BDH("GCTS US Equity","BS_SHAREHOLDER_EQY_ENDING_PERIOD","1993-06-18","2026-05-02","Per=Y","Days=T","Dir=V")</f>
        <v>0</v>
      </c>
      <c r="S2">
        <f>BDH("GCTS US Equity","BS_ACCT_NOTE_RCV","1993-06-18","2026-05-02","Per=Y","Days=T","Dir=V")</f>
        <v>0</v>
      </c>
      <c r="U2">
        <f>BDH("GCTS US Equity","BS_INVENTORIES","1993-06-18","2026-05-02","Per=Y","Days=T","Dir=V")</f>
        <v>0</v>
      </c>
      <c r="W2">
        <f>BDH("GCTS US Equity","WORKING_CAPITAL","1993-06-18","2026-05-02","Per=Y","Days=T","Dir=V")</f>
        <v>0</v>
      </c>
      <c r="Y2">
        <f>BDH("GCTS US Equity","SALES_REV_TURN","1993-06-18","2026-05-02","Per=Y","Days=T","Dir=V")</f>
        <v>0</v>
      </c>
      <c r="AA2">
        <f>BDH("GCTS US Equity","EBIT","1993-06-18","2026-05-02","Per=Y","Days=T","Dir=V")</f>
        <v>0</v>
      </c>
      <c r="AC2">
        <f>BDH("GCTS US Equity","EBITDA","1993-06-18","2026-05-02","Per=Y","Days=T","Dir=V")</f>
        <v>0</v>
      </c>
      <c r="AE2">
        <f>BDH("GCTS US Equity","NET_INCOME","1993-06-18","2026-05-02","Per=Y","Days=T","Dir=V")</f>
        <v>0</v>
      </c>
      <c r="AG2">
        <f>BDH("GCTS US Equity","IS_INT_EXPENSE","1993-06-18","2026-05-02","Per=Y","Days=T","Dir=V")</f>
        <v>0</v>
      </c>
      <c r="AI2">
        <f>BDH("GCTS US Equity","IS_DEPR_EXP","1993-06-18","2026-05-02","Per=Y","Days=T","Dir=V")</f>
        <v>0</v>
      </c>
      <c r="AK2">
        <f>BDH("GCTS US Equity","CF_CASH_FROM_OPER","1993-06-18","2026-05-02","Per=Y","Days=T","Dir=V")</f>
        <v>0</v>
      </c>
      <c r="AM2">
        <f>BDH("GCTS US Equity","CAPITAL_EXPEND","1993-06-18","2026-05-02","Per=Y","Days=T","Dir=V")</f>
        <v>0</v>
      </c>
      <c r="AO2">
        <f>BDH("GCTS US Equity","CF_FREE_CASH_FLOW","1993-06-18","2026-05-02","Per=Y","Days=T","Dir=V")</f>
        <v>0</v>
      </c>
      <c r="AQ2">
        <f>BDH("GCTS US Equity","PX_LAST","1993-06-18","2026-05-02","Per=M","Days=T","Dir=V")</f>
        <v>0</v>
      </c>
      <c r="AS2">
        <f>BDH("GCTS US Equity","CUR_MKT_CAP","1993-06-18","2026-05-02","Per=M","Days=T","Dir=V")</f>
        <v>0</v>
      </c>
      <c r="AU2">
        <f>BDH("GCTS US Equity","EQY_SH_OUT","1993-06-18","2026-05-02","Per=M","Days=T","Dir=V")</f>
        <v>0</v>
      </c>
      <c r="AW2">
        <f>BDH("GCTS US Equity","PX_VOLUME","1993-06-18","2026-05-02","Per=M","Days=T","Dir=V")</f>
        <v>0</v>
      </c>
      <c r="AY2">
        <f>BDH("GCTS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BDH("GD US Equity","BS_TOT_ASSET","1993-06-18","2026-05-02","Per=Y","Days=T","Dir=V")</f>
        <v>0</v>
      </c>
      <c r="C2">
        <f>BDH("GD US Equity","BS_TOT_LIAB2","1993-06-18","2026-05-02","Per=Y","Days=T","Dir=V")</f>
        <v>0</v>
      </c>
      <c r="E2">
        <f>BDH("GD US Equity","SHORT_AND_LONG_TERM_DEBT","1993-06-18","2026-05-02","Per=Y","Days=T","Dir=V")</f>
        <v>0</v>
      </c>
      <c r="G2">
        <f>BDH("GD US Equity","BS_ST_BORROW","1993-06-18","2026-05-02","Per=Y","Days=T","Dir=V")</f>
        <v>0</v>
      </c>
      <c r="I2">
        <f>BDH("GD US Equity","BS_LT_BORROW","1993-06-18","2026-05-02","Per=Y","Days=T","Dir=V")</f>
        <v>0</v>
      </c>
      <c r="K2">
        <f>BDH("GD US Equity","BS_CASH_NEAR_CASH_ITEM","1993-06-18","2026-05-02","Per=Y","Days=T","Dir=V")</f>
        <v>0</v>
      </c>
      <c r="M2">
        <f>BDH("GD US Equity","BS_CUR_ASSET_REPORT","1993-06-18","2026-05-02","Per=Y","Days=T","Dir=V")</f>
        <v>0</v>
      </c>
      <c r="O2">
        <f>BDH("GD US Equity","BS_CUR_LIAB","1993-06-18","2026-05-02","Per=Y","Days=T","Dir=V")</f>
        <v>0</v>
      </c>
      <c r="Q2">
        <f>BDH("GD US Equity","BS_SHAREHOLDER_EQY_ENDING_PERIOD","1993-06-18","2026-05-02","Per=Y","Days=T","Dir=V")</f>
        <v>0</v>
      </c>
      <c r="S2">
        <f>BDH("GD US Equity","BS_ACCT_NOTE_RCV","1993-06-18","2026-05-02","Per=Y","Days=T","Dir=V")</f>
        <v>0</v>
      </c>
      <c r="U2">
        <f>BDH("GD US Equity","BS_INVENTORIES","1993-06-18","2026-05-02","Per=Y","Days=T","Dir=V")</f>
        <v>0</v>
      </c>
      <c r="W2">
        <f>BDH("GD US Equity","WORKING_CAPITAL","1993-06-18","2026-05-02","Per=Y","Days=T","Dir=V")</f>
        <v>0</v>
      </c>
      <c r="Y2">
        <f>BDH("GD US Equity","SALES_REV_TURN","1993-06-18","2026-05-02","Per=Y","Days=T","Dir=V")</f>
        <v>0</v>
      </c>
      <c r="AA2">
        <f>BDH("GD US Equity","EBIT","1993-06-18","2026-05-02","Per=Y","Days=T","Dir=V")</f>
        <v>0</v>
      </c>
      <c r="AC2">
        <f>BDH("GD US Equity","EBITDA","1993-06-18","2026-05-02","Per=Y","Days=T","Dir=V")</f>
        <v>0</v>
      </c>
      <c r="AE2">
        <f>BDH("GD US Equity","NET_INCOME","1993-06-18","2026-05-02","Per=Y","Days=T","Dir=V")</f>
        <v>0</v>
      </c>
      <c r="AG2">
        <f>BDH("GD US Equity","IS_INT_EXPENSE","1993-06-18","2026-05-02","Per=Y","Days=T","Dir=V")</f>
        <v>0</v>
      </c>
      <c r="AI2">
        <f>BDH("GD US Equity","IS_DEPR_EXP","1993-06-18","2026-05-02","Per=Y","Days=T","Dir=V")</f>
        <v>0</v>
      </c>
      <c r="AK2">
        <f>BDH("GD US Equity","CF_CASH_FROM_OPER","1993-06-18","2026-05-02","Per=Y","Days=T","Dir=V")</f>
        <v>0</v>
      </c>
      <c r="AM2">
        <f>BDH("GD US Equity","CAPITAL_EXPEND","1993-06-18","2026-05-02","Per=Y","Days=T","Dir=V")</f>
        <v>0</v>
      </c>
      <c r="AO2">
        <f>BDH("GD US Equity","CF_FREE_CASH_FLOW","1993-06-18","2026-05-02","Per=Y","Days=T","Dir=V")</f>
        <v>0</v>
      </c>
      <c r="AQ2">
        <f>BDH("GD US Equity","PX_LAST","1993-06-18","2026-05-02","Per=M","Days=T","Dir=V")</f>
        <v>0</v>
      </c>
      <c r="AS2">
        <f>BDH("GD US Equity","CUR_MKT_CAP","1993-06-18","2026-05-02","Per=M","Days=T","Dir=V")</f>
        <v>0</v>
      </c>
      <c r="AU2">
        <f>BDH("GD US Equity","EQY_SH_OUT","1993-06-18","2026-05-02","Per=M","Days=T","Dir=V")</f>
        <v>0</v>
      </c>
      <c r="AW2">
        <f>BDH("GD US Equity","PX_VOLUME","1993-06-18","2026-05-02","Per=M","Days=T","Dir=V")</f>
        <v>0</v>
      </c>
      <c r="AY2">
        <f>BDH("GD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BDH("GDC US Equity","BS_TOT_ASSET","1993-06-18","2026-05-02","Per=Y","Days=T","Dir=V")</f>
        <v>0</v>
      </c>
      <c r="C2">
        <f>BDH("GDC US Equity","BS_TOT_LIAB2","1993-06-18","2026-05-02","Per=Y","Days=T","Dir=V")</f>
        <v>0</v>
      </c>
      <c r="E2">
        <f>BDH("GDC US Equity","SHORT_AND_LONG_TERM_DEBT","1993-06-18","2026-05-02","Per=Y","Days=T","Dir=V")</f>
        <v>0</v>
      </c>
      <c r="G2">
        <f>BDH("GDC US Equity","BS_ST_BORROW","1993-06-18","2026-05-02","Per=Y","Days=T","Dir=V")</f>
        <v>0</v>
      </c>
      <c r="I2">
        <f>BDH("GDC US Equity","BS_LT_BORROW","1993-06-18","2026-05-02","Per=Y","Days=T","Dir=V")</f>
        <v>0</v>
      </c>
      <c r="K2">
        <f>BDH("GDC US Equity","BS_CASH_NEAR_CASH_ITEM","1993-06-18","2026-05-02","Per=Y","Days=T","Dir=V")</f>
        <v>0</v>
      </c>
      <c r="M2">
        <f>BDH("GDC US Equity","BS_CUR_ASSET_REPORT","1993-06-18","2026-05-02","Per=Y","Days=T","Dir=V")</f>
        <v>0</v>
      </c>
      <c r="O2">
        <f>BDH("GDC US Equity","BS_CUR_LIAB","1993-06-18","2026-05-02","Per=Y","Days=T","Dir=V")</f>
        <v>0</v>
      </c>
      <c r="Q2">
        <f>BDH("GDC US Equity","BS_SHAREHOLDER_EQY_ENDING_PERIOD","1993-06-18","2026-05-02","Per=Y","Days=T","Dir=V")</f>
        <v>0</v>
      </c>
      <c r="S2">
        <f>BDH("GDC US Equity","BS_ACCT_NOTE_RCV","1993-06-18","2026-05-02","Per=Y","Days=T","Dir=V")</f>
        <v>0</v>
      </c>
      <c r="U2">
        <f>BDH("GDC US Equity","BS_INVENTORIES","1993-06-18","2026-05-02","Per=Y","Days=T","Dir=V")</f>
        <v>0</v>
      </c>
      <c r="W2">
        <f>BDH("GDC US Equity","WORKING_CAPITAL","1993-06-18","2026-05-02","Per=Y","Days=T","Dir=V")</f>
        <v>0</v>
      </c>
      <c r="Y2">
        <f>BDH("GDC US Equity","SALES_REV_TURN","1993-06-18","2026-05-02","Per=Y","Days=T","Dir=V")</f>
        <v>0</v>
      </c>
      <c r="AA2">
        <f>BDH("GDC US Equity","EBIT","1993-06-18","2026-05-02","Per=Y","Days=T","Dir=V")</f>
        <v>0</v>
      </c>
      <c r="AC2">
        <f>BDH("GDC US Equity","EBITDA","1993-06-18","2026-05-02","Per=Y","Days=T","Dir=V")</f>
        <v>0</v>
      </c>
      <c r="AE2">
        <f>BDH("GDC US Equity","NET_INCOME","1993-06-18","2026-05-02","Per=Y","Days=T","Dir=V")</f>
        <v>0</v>
      </c>
      <c r="AG2">
        <f>BDH("GDC US Equity","IS_INT_EXPENSE","1993-06-18","2026-05-02","Per=Y","Days=T","Dir=V")</f>
        <v>0</v>
      </c>
      <c r="AI2">
        <f>BDH("GDC US Equity","IS_DEPR_EXP","1993-06-18","2026-05-02","Per=Y","Days=T","Dir=V")</f>
        <v>0</v>
      </c>
      <c r="AK2">
        <f>BDH("GDC US Equity","CF_CASH_FROM_OPER","1993-06-18","2026-05-02","Per=Y","Days=T","Dir=V")</f>
        <v>0</v>
      </c>
      <c r="AM2">
        <f>BDH("GDC US Equity","CAPITAL_EXPEND","1993-06-18","2026-05-02","Per=Y","Days=T","Dir=V")</f>
        <v>0</v>
      </c>
      <c r="AO2">
        <f>BDH("GDC US Equity","CF_FREE_CASH_FLOW","1993-06-18","2026-05-02","Per=Y","Days=T","Dir=V")</f>
        <v>0</v>
      </c>
      <c r="AQ2">
        <f>BDH("GDC US Equity","PX_LAST","1993-06-18","2026-05-02","Per=M","Days=T","Dir=V")</f>
        <v>0</v>
      </c>
      <c r="AS2">
        <f>BDH("GDC US Equity","CUR_MKT_CAP","1993-06-18","2026-05-02","Per=M","Days=T","Dir=V")</f>
        <v>0</v>
      </c>
      <c r="AU2">
        <f>BDH("GDC US Equity","EQY_SH_OUT","1993-06-18","2026-05-02","Per=M","Days=T","Dir=V")</f>
        <v>0</v>
      </c>
      <c r="AW2">
        <f>BDH("GDC US Equity","PX_VOLUME","1993-06-18","2026-05-02","Per=M","Days=T","Dir=V")</f>
        <v>0</v>
      </c>
      <c r="AY2">
        <f>BDH("GDC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BDH("GDDY US Equity","BS_TOT_ASSET","1993-06-18","2026-05-02","Per=Y","Days=T","Dir=V")</f>
        <v>0</v>
      </c>
      <c r="C2">
        <f>BDH("GDDY US Equity","BS_TOT_LIAB2","1993-06-18","2026-05-02","Per=Y","Days=T","Dir=V")</f>
        <v>0</v>
      </c>
      <c r="E2">
        <f>BDH("GDDY US Equity","SHORT_AND_LONG_TERM_DEBT","1993-06-18","2026-05-02","Per=Y","Days=T","Dir=V")</f>
        <v>0</v>
      </c>
      <c r="G2">
        <f>BDH("GDDY US Equity","BS_ST_BORROW","1993-06-18","2026-05-02","Per=Y","Days=T","Dir=V")</f>
        <v>0</v>
      </c>
      <c r="I2">
        <f>BDH("GDDY US Equity","BS_LT_BORROW","1993-06-18","2026-05-02","Per=Y","Days=T","Dir=V")</f>
        <v>0</v>
      </c>
      <c r="K2">
        <f>BDH("GDDY US Equity","BS_CASH_NEAR_CASH_ITEM","1993-06-18","2026-05-02","Per=Y","Days=T","Dir=V")</f>
        <v>0</v>
      </c>
      <c r="M2">
        <f>BDH("GDDY US Equity","BS_CUR_ASSET_REPORT","1993-06-18","2026-05-02","Per=Y","Days=T","Dir=V")</f>
        <v>0</v>
      </c>
      <c r="O2">
        <f>BDH("GDDY US Equity","BS_CUR_LIAB","1993-06-18","2026-05-02","Per=Y","Days=T","Dir=V")</f>
        <v>0</v>
      </c>
      <c r="Q2">
        <f>BDH("GDDY US Equity","BS_SHAREHOLDER_EQY_ENDING_PERIOD","1993-06-18","2026-05-02","Per=Y","Days=T","Dir=V")</f>
        <v>0</v>
      </c>
      <c r="S2">
        <f>BDH("GDDY US Equity","BS_ACCT_NOTE_RCV","1993-06-18","2026-05-02","Per=Y","Days=T","Dir=V")</f>
        <v>0</v>
      </c>
      <c r="U2">
        <f>BDH("GDDY US Equity","BS_INVENTORIES","1993-06-18","2026-05-02","Per=Y","Days=T","Dir=V")</f>
        <v>0</v>
      </c>
      <c r="W2">
        <f>BDH("GDDY US Equity","WORKING_CAPITAL","1993-06-18","2026-05-02","Per=Y","Days=T","Dir=V")</f>
        <v>0</v>
      </c>
      <c r="Y2">
        <f>BDH("GDDY US Equity","SALES_REV_TURN","1993-06-18","2026-05-02","Per=Y","Days=T","Dir=V")</f>
        <v>0</v>
      </c>
      <c r="AA2">
        <f>BDH("GDDY US Equity","EBIT","1993-06-18","2026-05-02","Per=Y","Days=T","Dir=V")</f>
        <v>0</v>
      </c>
      <c r="AC2">
        <f>BDH("GDDY US Equity","EBITDA","1993-06-18","2026-05-02","Per=Y","Days=T","Dir=V")</f>
        <v>0</v>
      </c>
      <c r="AE2">
        <f>BDH("GDDY US Equity","NET_INCOME","1993-06-18","2026-05-02","Per=Y","Days=T","Dir=V")</f>
        <v>0</v>
      </c>
      <c r="AG2">
        <f>BDH("GDDY US Equity","IS_INT_EXPENSE","1993-06-18","2026-05-02","Per=Y","Days=T","Dir=V")</f>
        <v>0</v>
      </c>
      <c r="AI2">
        <f>BDH("GDDY US Equity","IS_DEPR_EXP","1993-06-18","2026-05-02","Per=Y","Days=T","Dir=V")</f>
        <v>0</v>
      </c>
      <c r="AK2">
        <f>BDH("GDDY US Equity","CF_CASH_FROM_OPER","1993-06-18","2026-05-02","Per=Y","Days=T","Dir=V")</f>
        <v>0</v>
      </c>
      <c r="AM2">
        <f>BDH("GDDY US Equity","CAPITAL_EXPEND","1993-06-18","2026-05-02","Per=Y","Days=T","Dir=V")</f>
        <v>0</v>
      </c>
      <c r="AO2">
        <f>BDH("GDDY US Equity","CF_FREE_CASH_FLOW","1993-06-18","2026-05-02","Per=Y","Days=T","Dir=V")</f>
        <v>0</v>
      </c>
      <c r="AQ2">
        <f>BDH("GDDY US Equity","PX_LAST","1993-06-18","2026-05-02","Per=M","Days=T","Dir=V")</f>
        <v>0</v>
      </c>
      <c r="AS2">
        <f>BDH("GDDY US Equity","CUR_MKT_CAP","1993-06-18","2026-05-02","Per=M","Days=T","Dir=V")</f>
        <v>0</v>
      </c>
      <c r="AU2">
        <f>BDH("GDDY US Equity","EQY_SH_OUT","1993-06-18","2026-05-02","Per=M","Days=T","Dir=V")</f>
        <v>0</v>
      </c>
      <c r="AW2">
        <f>BDH("GDDY US Equity","PX_VOLUME","1993-06-18","2026-05-02","Per=M","Days=T","Dir=V")</f>
        <v>0</v>
      </c>
      <c r="AY2">
        <f>BDH("GDDY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BDH("GDRX US Equity","BS_TOT_ASSET","1993-06-18","2026-05-02","Per=Y","Days=T","Dir=V")</f>
        <v>0</v>
      </c>
      <c r="C2">
        <f>BDH("GDRX US Equity","BS_TOT_LIAB2","1993-06-18","2026-05-02","Per=Y","Days=T","Dir=V")</f>
        <v>0</v>
      </c>
      <c r="E2">
        <f>BDH("GDRX US Equity","SHORT_AND_LONG_TERM_DEBT","1993-06-18","2026-05-02","Per=Y","Days=T","Dir=V")</f>
        <v>0</v>
      </c>
      <c r="G2">
        <f>BDH("GDRX US Equity","BS_ST_BORROW","1993-06-18","2026-05-02","Per=Y","Days=T","Dir=V")</f>
        <v>0</v>
      </c>
      <c r="I2">
        <f>BDH("GDRX US Equity","BS_LT_BORROW","1993-06-18","2026-05-02","Per=Y","Days=T","Dir=V")</f>
        <v>0</v>
      </c>
      <c r="K2">
        <f>BDH("GDRX US Equity","BS_CASH_NEAR_CASH_ITEM","1993-06-18","2026-05-02","Per=Y","Days=T","Dir=V")</f>
        <v>0</v>
      </c>
      <c r="M2">
        <f>BDH("GDRX US Equity","BS_CUR_ASSET_REPORT","1993-06-18","2026-05-02","Per=Y","Days=T","Dir=V")</f>
        <v>0</v>
      </c>
      <c r="O2">
        <f>BDH("GDRX US Equity","BS_CUR_LIAB","1993-06-18","2026-05-02","Per=Y","Days=T","Dir=V")</f>
        <v>0</v>
      </c>
      <c r="Q2">
        <f>BDH("GDRX US Equity","BS_SHAREHOLDER_EQY_ENDING_PERIOD","1993-06-18","2026-05-02","Per=Y","Days=T","Dir=V")</f>
        <v>0</v>
      </c>
      <c r="S2">
        <f>BDH("GDRX US Equity","BS_ACCT_NOTE_RCV","1993-06-18","2026-05-02","Per=Y","Days=T","Dir=V")</f>
        <v>0</v>
      </c>
      <c r="U2">
        <f>BDH("GDRX US Equity","BS_INVENTORIES","1993-06-18","2026-05-02","Per=Y","Days=T","Dir=V")</f>
        <v>0</v>
      </c>
      <c r="W2">
        <f>BDH("GDRX US Equity","WORKING_CAPITAL","1993-06-18","2026-05-02","Per=Y","Days=T","Dir=V")</f>
        <v>0</v>
      </c>
      <c r="Y2">
        <f>BDH("GDRX US Equity","SALES_REV_TURN","1993-06-18","2026-05-02","Per=Y","Days=T","Dir=V")</f>
        <v>0</v>
      </c>
      <c r="AA2">
        <f>BDH("GDRX US Equity","EBIT","1993-06-18","2026-05-02","Per=Y","Days=T","Dir=V")</f>
        <v>0</v>
      </c>
      <c r="AC2">
        <f>BDH("GDRX US Equity","EBITDA","1993-06-18","2026-05-02","Per=Y","Days=T","Dir=V")</f>
        <v>0</v>
      </c>
      <c r="AE2">
        <f>BDH("GDRX US Equity","NET_INCOME","1993-06-18","2026-05-02","Per=Y","Days=T","Dir=V")</f>
        <v>0</v>
      </c>
      <c r="AG2">
        <f>BDH("GDRX US Equity","IS_INT_EXPENSE","1993-06-18","2026-05-02","Per=Y","Days=T","Dir=V")</f>
        <v>0</v>
      </c>
      <c r="AI2">
        <f>BDH("GDRX US Equity","IS_DEPR_EXP","1993-06-18","2026-05-02","Per=Y","Days=T","Dir=V")</f>
        <v>0</v>
      </c>
      <c r="AK2">
        <f>BDH("GDRX US Equity","CF_CASH_FROM_OPER","1993-06-18","2026-05-02","Per=Y","Days=T","Dir=V")</f>
        <v>0</v>
      </c>
      <c r="AM2">
        <f>BDH("GDRX US Equity","CAPITAL_EXPEND","1993-06-18","2026-05-02","Per=Y","Days=T","Dir=V")</f>
        <v>0</v>
      </c>
      <c r="AO2">
        <f>BDH("GDRX US Equity","CF_FREE_CASH_FLOW","1993-06-18","2026-05-02","Per=Y","Days=T","Dir=V")</f>
        <v>0</v>
      </c>
      <c r="AQ2">
        <f>BDH("GDRX US Equity","PX_LAST","1993-06-18","2026-05-02","Per=M","Days=T","Dir=V")</f>
        <v>0</v>
      </c>
      <c r="AS2">
        <f>BDH("GDRX US Equity","CUR_MKT_CAP","1993-06-18","2026-05-02","Per=M","Days=T","Dir=V")</f>
        <v>0</v>
      </c>
      <c r="AU2">
        <f>BDH("GDRX US Equity","EQY_SH_OUT","1993-06-18","2026-05-02","Per=M","Days=T","Dir=V")</f>
        <v>0</v>
      </c>
      <c r="AW2">
        <f>BDH("GDRX US Equity","PX_VOLUME","1993-06-18","2026-05-02","Per=M","Days=T","Dir=V")</f>
        <v>0</v>
      </c>
      <c r="AY2">
        <f>BDH("GDRX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BDH("GDYN US Equity","BS_TOT_ASSET","1993-06-18","2026-05-02","Per=Y","Days=T","Dir=V")</f>
        <v>0</v>
      </c>
      <c r="C2">
        <f>BDH("GDYN US Equity","BS_TOT_LIAB2","1993-06-18","2026-05-02","Per=Y","Days=T","Dir=V")</f>
        <v>0</v>
      </c>
      <c r="E2">
        <f>BDH("GDYN US Equity","SHORT_AND_LONG_TERM_DEBT","1993-06-18","2026-05-02","Per=Y","Days=T","Dir=V")</f>
        <v>0</v>
      </c>
      <c r="G2">
        <f>BDH("GDYN US Equity","BS_ST_BORROW","1993-06-18","2026-05-02","Per=Y","Days=T","Dir=V")</f>
        <v>0</v>
      </c>
      <c r="I2">
        <f>BDH("GDYN US Equity","BS_LT_BORROW","1993-06-18","2026-05-02","Per=Y","Days=T","Dir=V")</f>
        <v>0</v>
      </c>
      <c r="K2">
        <f>BDH("GDYN US Equity","BS_CASH_NEAR_CASH_ITEM","1993-06-18","2026-05-02","Per=Y","Days=T","Dir=V")</f>
        <v>0</v>
      </c>
      <c r="M2">
        <f>BDH("GDYN US Equity","BS_CUR_ASSET_REPORT","1993-06-18","2026-05-02","Per=Y","Days=T","Dir=V")</f>
        <v>0</v>
      </c>
      <c r="O2">
        <f>BDH("GDYN US Equity","BS_CUR_LIAB","1993-06-18","2026-05-02","Per=Y","Days=T","Dir=V")</f>
        <v>0</v>
      </c>
      <c r="Q2">
        <f>BDH("GDYN US Equity","BS_SHAREHOLDER_EQY_ENDING_PERIOD","1993-06-18","2026-05-02","Per=Y","Days=T","Dir=V")</f>
        <v>0</v>
      </c>
      <c r="S2">
        <f>BDH("GDYN US Equity","BS_ACCT_NOTE_RCV","1993-06-18","2026-05-02","Per=Y","Days=T","Dir=V")</f>
        <v>0</v>
      </c>
      <c r="U2">
        <f>BDH("GDYN US Equity","BS_INVENTORIES","1993-06-18","2026-05-02","Per=Y","Days=T","Dir=V")</f>
        <v>0</v>
      </c>
      <c r="W2">
        <f>BDH("GDYN US Equity","WORKING_CAPITAL","1993-06-18","2026-05-02","Per=Y","Days=T","Dir=V")</f>
        <v>0</v>
      </c>
      <c r="Y2">
        <f>BDH("GDYN US Equity","SALES_REV_TURN","1993-06-18","2026-05-02","Per=Y","Days=T","Dir=V")</f>
        <v>0</v>
      </c>
      <c r="AA2">
        <f>BDH("GDYN US Equity","EBIT","1993-06-18","2026-05-02","Per=Y","Days=T","Dir=V")</f>
        <v>0</v>
      </c>
      <c r="AC2">
        <f>BDH("GDYN US Equity","EBITDA","1993-06-18","2026-05-02","Per=Y","Days=T","Dir=V")</f>
        <v>0</v>
      </c>
      <c r="AE2">
        <f>BDH("GDYN US Equity","NET_INCOME","1993-06-18","2026-05-02","Per=Y","Days=T","Dir=V")</f>
        <v>0</v>
      </c>
      <c r="AG2">
        <f>BDH("GDYN US Equity","IS_INT_EXPENSE","1993-06-18","2026-05-02","Per=Y","Days=T","Dir=V")</f>
        <v>0</v>
      </c>
      <c r="AI2">
        <f>BDH("GDYN US Equity","IS_DEPR_EXP","1993-06-18","2026-05-02","Per=Y","Days=T","Dir=V")</f>
        <v>0</v>
      </c>
      <c r="AK2">
        <f>BDH("GDYN US Equity","CF_CASH_FROM_OPER","1993-06-18","2026-05-02","Per=Y","Days=T","Dir=V")</f>
        <v>0</v>
      </c>
      <c r="AM2">
        <f>BDH("GDYN US Equity","CAPITAL_EXPEND","1993-06-18","2026-05-02","Per=Y","Days=T","Dir=V")</f>
        <v>0</v>
      </c>
      <c r="AO2">
        <f>BDH("GDYN US Equity","CF_FREE_CASH_FLOW","1993-06-18","2026-05-02","Per=Y","Days=T","Dir=V")</f>
        <v>0</v>
      </c>
      <c r="AQ2">
        <f>BDH("GDYN US Equity","PX_LAST","1993-06-18","2026-05-02","Per=M","Days=T","Dir=V")</f>
        <v>0</v>
      </c>
      <c r="AS2">
        <f>BDH("GDYN US Equity","CUR_MKT_CAP","1993-06-18","2026-05-02","Per=M","Days=T","Dir=V")</f>
        <v>0</v>
      </c>
      <c r="AU2">
        <f>BDH("GDYN US Equity","EQY_SH_OUT","1993-06-18","2026-05-02","Per=M","Days=T","Dir=V")</f>
        <v>0</v>
      </c>
      <c r="AW2">
        <f>BDH("GDYN US Equity","PX_VOLUME","1993-06-18","2026-05-02","Per=M","Days=T","Dir=V")</f>
        <v>0</v>
      </c>
      <c r="AY2">
        <f>BDH("GDYN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 US Equity","BS_TOT_ASSET","1993-06-18","2026-05-02","Per=Y","Days=T","Dir=V")</f>
        <v>0</v>
      </c>
      <c r="C2">
        <f>BDH("GE US Equity","BS_TOT_LIAB2","1993-06-18","2026-05-02","Per=Y","Days=T","Dir=V")</f>
        <v>0</v>
      </c>
      <c r="E2">
        <f>BDH("GE US Equity","SHORT_AND_LONG_TERM_DEBT","1993-06-18","2026-05-02","Per=Y","Days=T","Dir=V")</f>
        <v>0</v>
      </c>
      <c r="G2">
        <f>BDH("GE US Equity","BS_ST_BORROW","1993-06-18","2026-05-02","Per=Y","Days=T","Dir=V")</f>
        <v>0</v>
      </c>
      <c r="I2">
        <f>BDH("GE US Equity","BS_LT_BORROW","1993-06-18","2026-05-02","Per=Y","Days=T","Dir=V")</f>
        <v>0</v>
      </c>
      <c r="K2">
        <f>BDH("GE US Equity","BS_CASH_NEAR_CASH_ITEM","1993-06-18","2026-05-02","Per=Y","Days=T","Dir=V")</f>
        <v>0</v>
      </c>
      <c r="M2">
        <f>BDH("GE US Equity","BS_CUR_ASSET_REPORT","1993-06-18","2026-05-02","Per=Y","Days=T","Dir=V")</f>
        <v>0</v>
      </c>
      <c r="O2">
        <f>BDH("GE US Equity","BS_CUR_LIAB","1993-06-18","2026-05-02","Per=Y","Days=T","Dir=V")</f>
        <v>0</v>
      </c>
      <c r="Q2">
        <f>BDH("GE US Equity","BS_SHAREHOLDER_EQY_ENDING_PERIOD","1993-06-18","2026-05-02","Per=Y","Days=T","Dir=V")</f>
        <v>0</v>
      </c>
      <c r="S2">
        <f>BDH("GE US Equity","BS_ACCT_NOTE_RCV","1993-06-18","2026-05-02","Per=Y","Days=T","Dir=V")</f>
        <v>0</v>
      </c>
      <c r="U2">
        <f>BDH("GE US Equity","BS_INVENTORIES","1993-06-18","2026-05-02","Per=Y","Days=T","Dir=V")</f>
        <v>0</v>
      </c>
      <c r="W2">
        <f>BDH("GE US Equity","WORKING_CAPITAL","1993-06-18","2026-05-02","Per=Y","Days=T","Dir=V")</f>
        <v>0</v>
      </c>
      <c r="Y2">
        <f>BDH("GE US Equity","SALES_REV_TURN","1993-06-18","2026-05-02","Per=Y","Days=T","Dir=V")</f>
        <v>0</v>
      </c>
      <c r="AA2">
        <f>BDH("GE US Equity","EBIT","1993-06-18","2026-05-02","Per=Y","Days=T","Dir=V")</f>
        <v>0</v>
      </c>
      <c r="AC2">
        <f>BDH("GE US Equity","EBITDA","1993-06-18","2026-05-02","Per=Y","Days=T","Dir=V")</f>
        <v>0</v>
      </c>
      <c r="AE2">
        <f>BDH("GE US Equity","NET_INCOME","1993-06-18","2026-05-02","Per=Y","Days=T","Dir=V")</f>
        <v>0</v>
      </c>
      <c r="AG2">
        <f>BDH("GE US Equity","IS_INT_EXPENSE","1993-06-18","2026-05-02","Per=Y","Days=T","Dir=V")</f>
        <v>0</v>
      </c>
      <c r="AI2">
        <f>BDH("GE US Equity","IS_DEPR_EXP","1993-06-18","2026-05-02","Per=Y","Days=T","Dir=V")</f>
        <v>0</v>
      </c>
      <c r="AK2">
        <f>BDH("GE US Equity","CF_CASH_FROM_OPER","1993-06-18","2026-05-02","Per=Y","Days=T","Dir=V")</f>
        <v>0</v>
      </c>
      <c r="AM2">
        <f>BDH("GE US Equity","CAPITAL_EXPEND","1993-06-18","2026-05-02","Per=Y","Days=T","Dir=V")</f>
        <v>0</v>
      </c>
      <c r="AO2">
        <f>BDH("GE US Equity","CF_FREE_CASH_FLOW","1993-06-18","2026-05-02","Per=Y","Days=T","Dir=V")</f>
        <v>0</v>
      </c>
      <c r="AQ2">
        <f>BDH("GE US Equity","PX_LAST","1993-06-18","2026-05-02","Per=M","Days=T","Dir=V")</f>
        <v>0</v>
      </c>
      <c r="AS2">
        <f>BDH("GE US Equity","CUR_MKT_CAP","1993-06-18","2026-05-02","Per=M","Days=T","Dir=V")</f>
        <v>0</v>
      </c>
      <c r="AU2">
        <f>BDH("GE US Equity","EQY_SH_OUT","1993-06-18","2026-05-02","Per=M","Days=T","Dir=V")</f>
        <v>0</v>
      </c>
      <c r="AW2">
        <f>BDH("GE US Equity","PX_VOLUME","1993-06-18","2026-05-02","Per=M","Days=T","Dir=V")</f>
        <v>0</v>
      </c>
      <c r="AY2">
        <f>BDH("GE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BDH("GEG US Equity","BS_TOT_ASSET","1993-06-18","2026-05-02","Per=Y","Days=T","Dir=V")</f>
        <v>0</v>
      </c>
      <c r="C2">
        <f>BDH("GEG US Equity","BS_TOT_LIAB2","1993-06-18","2026-05-02","Per=Y","Days=T","Dir=V")</f>
        <v>0</v>
      </c>
      <c r="E2">
        <f>BDH("GEG US Equity","SHORT_AND_LONG_TERM_DEBT","1993-06-18","2026-05-02","Per=Y","Days=T","Dir=V")</f>
        <v>0</v>
      </c>
      <c r="G2">
        <f>BDH("GEG US Equity","BS_ST_BORROW","1993-06-18","2026-05-02","Per=Y","Days=T","Dir=V")</f>
        <v>0</v>
      </c>
      <c r="I2">
        <f>BDH("GEG US Equity","BS_LT_BORROW","1993-06-18","2026-05-02","Per=Y","Days=T","Dir=V")</f>
        <v>0</v>
      </c>
      <c r="K2">
        <f>BDH("GEG US Equity","BS_CASH_NEAR_CASH_ITEM","1993-06-18","2026-05-02","Per=Y","Days=T","Dir=V")</f>
        <v>0</v>
      </c>
      <c r="M2">
        <f>BDH("GEG US Equity","BS_CUR_ASSET_REPORT","1993-06-18","2026-05-02","Per=Y","Days=T","Dir=V")</f>
        <v>0</v>
      </c>
      <c r="O2">
        <f>BDH("GEG US Equity","BS_CUR_LIAB","1993-06-18","2026-05-02","Per=Y","Days=T","Dir=V")</f>
        <v>0</v>
      </c>
      <c r="Q2">
        <f>BDH("GEG US Equity","BS_SHAREHOLDER_EQY_ENDING_PERIOD","1993-06-18","2026-05-02","Per=Y","Days=T","Dir=V")</f>
        <v>0</v>
      </c>
      <c r="S2">
        <f>BDH("GEG US Equity","BS_ACCT_NOTE_RCV","1993-06-18","2026-05-02","Per=Y","Days=T","Dir=V")</f>
        <v>0</v>
      </c>
      <c r="U2">
        <f>BDH("GEG US Equity","BS_INVENTORIES","1993-06-18","2026-05-02","Per=Y","Days=T","Dir=V")</f>
        <v>0</v>
      </c>
      <c r="W2">
        <f>BDH("GEG US Equity","WORKING_CAPITAL","1993-06-18","2026-05-02","Per=Y","Days=T","Dir=V")</f>
        <v>0</v>
      </c>
      <c r="Y2">
        <f>BDH("GEG US Equity","SALES_REV_TURN","1993-06-18","2026-05-02","Per=Y","Days=T","Dir=V")</f>
        <v>0</v>
      </c>
      <c r="AA2">
        <f>BDH("GEG US Equity","EBIT","1993-06-18","2026-05-02","Per=Y","Days=T","Dir=V")</f>
        <v>0</v>
      </c>
      <c r="AC2">
        <f>BDH("GEG US Equity","EBITDA","1993-06-18","2026-05-02","Per=Y","Days=T","Dir=V")</f>
        <v>0</v>
      </c>
      <c r="AE2">
        <f>BDH("GEG US Equity","NET_INCOME","1993-06-18","2026-05-02","Per=Y","Days=T","Dir=V")</f>
        <v>0</v>
      </c>
      <c r="AG2">
        <f>BDH("GEG US Equity","IS_INT_EXPENSE","1993-06-18","2026-05-02","Per=Y","Days=T","Dir=V")</f>
        <v>0</v>
      </c>
      <c r="AI2">
        <f>BDH("GEG US Equity","IS_DEPR_EXP","1993-06-18","2026-05-02","Per=Y","Days=T","Dir=V")</f>
        <v>0</v>
      </c>
      <c r="AK2">
        <f>BDH("GEG US Equity","CF_CASH_FROM_OPER","1993-06-18","2026-05-02","Per=Y","Days=T","Dir=V")</f>
        <v>0</v>
      </c>
      <c r="AM2">
        <f>BDH("GEG US Equity","CAPITAL_EXPEND","1993-06-18","2026-05-02","Per=Y","Days=T","Dir=V")</f>
        <v>0</v>
      </c>
      <c r="AO2">
        <f>BDH("GEG US Equity","CF_FREE_CASH_FLOW","1993-06-18","2026-05-02","Per=Y","Days=T","Dir=V")</f>
        <v>0</v>
      </c>
      <c r="AQ2">
        <f>BDH("GEG US Equity","PX_LAST","1993-06-18","2026-05-02","Per=M","Days=T","Dir=V")</f>
        <v>0</v>
      </c>
      <c r="AS2">
        <f>BDH("GEG US Equity","CUR_MKT_CAP","1993-06-18","2026-05-02","Per=M","Days=T","Dir=V")</f>
        <v>0</v>
      </c>
      <c r="AU2">
        <f>BDH("GEG US Equity","EQY_SH_OUT","1993-06-18","2026-05-02","Per=M","Days=T","Dir=V")</f>
        <v>0</v>
      </c>
      <c r="AW2">
        <f>BDH("GEG US Equity","PX_VOLUME","1993-06-18","2026-05-02","Per=M","Days=T","Dir=V")</f>
        <v>0</v>
      </c>
      <c r="AY2">
        <f>BDH("GEG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BDH("GEGGL US Equity","BS_TOT_ASSET","1993-06-18","2026-05-02","Per=Y","Days=T","Dir=V")</f>
        <v>0</v>
      </c>
      <c r="C2">
        <f>BDH("GEGGL US Equity","BS_TOT_LIAB2","1993-06-18","2026-05-02","Per=Y","Days=T","Dir=V")</f>
        <v>0</v>
      </c>
      <c r="E2">
        <f>BDH("GEGGL US Equity","SHORT_AND_LONG_TERM_DEBT","1993-06-18","2026-05-02","Per=Y","Days=T","Dir=V")</f>
        <v>0</v>
      </c>
      <c r="G2">
        <f>BDH("GEGGL US Equity","BS_ST_BORROW","1993-06-18","2026-05-02","Per=Y","Days=T","Dir=V")</f>
        <v>0</v>
      </c>
      <c r="I2">
        <f>BDH("GEGGL US Equity","BS_LT_BORROW","1993-06-18","2026-05-02","Per=Y","Days=T","Dir=V")</f>
        <v>0</v>
      </c>
      <c r="K2">
        <f>BDH("GEGGL US Equity","BS_CASH_NEAR_CASH_ITEM","1993-06-18","2026-05-02","Per=Y","Days=T","Dir=V")</f>
        <v>0</v>
      </c>
      <c r="M2">
        <f>BDH("GEGGL US Equity","BS_CUR_ASSET_REPORT","1993-06-18","2026-05-02","Per=Y","Days=T","Dir=V")</f>
        <v>0</v>
      </c>
      <c r="O2">
        <f>BDH("GEGGL US Equity","BS_CUR_LIAB","1993-06-18","2026-05-02","Per=Y","Days=T","Dir=V")</f>
        <v>0</v>
      </c>
      <c r="Q2">
        <f>BDH("GEGGL US Equity","BS_SHAREHOLDER_EQY_ENDING_PERIOD","1993-06-18","2026-05-02","Per=Y","Days=T","Dir=V")</f>
        <v>0</v>
      </c>
      <c r="S2">
        <f>BDH("GEGGL US Equity","BS_ACCT_NOTE_RCV","1993-06-18","2026-05-02","Per=Y","Days=T","Dir=V")</f>
        <v>0</v>
      </c>
      <c r="U2">
        <f>BDH("GEGGL US Equity","BS_INVENTORIES","1993-06-18","2026-05-02","Per=Y","Days=T","Dir=V")</f>
        <v>0</v>
      </c>
      <c r="W2">
        <f>BDH("GEGGL US Equity","WORKING_CAPITAL","1993-06-18","2026-05-02","Per=Y","Days=T","Dir=V")</f>
        <v>0</v>
      </c>
      <c r="Y2">
        <f>BDH("GEGGL US Equity","SALES_REV_TURN","1993-06-18","2026-05-02","Per=Y","Days=T","Dir=V")</f>
        <v>0</v>
      </c>
      <c r="AA2">
        <f>BDH("GEGGL US Equity","EBIT","1993-06-18","2026-05-02","Per=Y","Days=T","Dir=V")</f>
        <v>0</v>
      </c>
      <c r="AC2">
        <f>BDH("GEGGL US Equity","EBITDA","1993-06-18","2026-05-02","Per=Y","Days=T","Dir=V")</f>
        <v>0</v>
      </c>
      <c r="AE2">
        <f>BDH("GEGGL US Equity","NET_INCOME","1993-06-18","2026-05-02","Per=Y","Days=T","Dir=V")</f>
        <v>0</v>
      </c>
      <c r="AG2">
        <f>BDH("GEGGL US Equity","IS_INT_EXPENSE","1993-06-18","2026-05-02","Per=Y","Days=T","Dir=V")</f>
        <v>0</v>
      </c>
      <c r="AI2">
        <f>BDH("GEGGL US Equity","IS_DEPR_EXP","1993-06-18","2026-05-02","Per=Y","Days=T","Dir=V")</f>
        <v>0</v>
      </c>
      <c r="AK2">
        <f>BDH("GEGGL US Equity","CF_CASH_FROM_OPER","1993-06-18","2026-05-02","Per=Y","Days=T","Dir=V")</f>
        <v>0</v>
      </c>
      <c r="AM2">
        <f>BDH("GEGGL US Equity","CAPITAL_EXPEND","1993-06-18","2026-05-02","Per=Y","Days=T","Dir=V")</f>
        <v>0</v>
      </c>
      <c r="AO2">
        <f>BDH("GEGGL US Equity","CF_FREE_CASH_FLOW","1993-06-18","2026-05-02","Per=Y","Days=T","Dir=V")</f>
        <v>0</v>
      </c>
      <c r="AQ2">
        <f>BDH("GEGGL US Equity","PX_LAST","1993-06-18","2026-05-02","Per=M","Days=T","Dir=V")</f>
        <v>0</v>
      </c>
      <c r="AS2">
        <f>BDH("GEGGL US Equity","CUR_MKT_CAP","1993-06-18","2026-05-02","Per=M","Days=T","Dir=V")</f>
        <v>0</v>
      </c>
      <c r="AU2">
        <f>BDH("GEGGL US Equity","EQY_SH_OUT","1993-06-18","2026-05-02","Per=M","Days=T","Dir=V")</f>
        <v>0</v>
      </c>
      <c r="AW2">
        <f>BDH("GEGGL US Equity","PX_VOLUME","1993-06-18","2026-05-02","Per=M","Days=T","Dir=V")</f>
        <v>0</v>
      </c>
      <c r="AY2">
        <f>BDH("GEGGL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BDH("GEHC US Equity","BS_TOT_ASSET","1993-06-18","2026-05-02","Per=Y","Days=T","Dir=V")</f>
        <v>0</v>
      </c>
      <c r="C2">
        <f>BDH("GEHC US Equity","BS_TOT_LIAB2","1993-06-18","2026-05-02","Per=Y","Days=T","Dir=V")</f>
        <v>0</v>
      </c>
      <c r="E2">
        <f>BDH("GEHC US Equity","SHORT_AND_LONG_TERM_DEBT","1993-06-18","2026-05-02","Per=Y","Days=T","Dir=V")</f>
        <v>0</v>
      </c>
      <c r="G2">
        <f>BDH("GEHC US Equity","BS_ST_BORROW","1993-06-18","2026-05-02","Per=Y","Days=T","Dir=V")</f>
        <v>0</v>
      </c>
      <c r="I2">
        <f>BDH("GEHC US Equity","BS_LT_BORROW","1993-06-18","2026-05-02","Per=Y","Days=T","Dir=V")</f>
        <v>0</v>
      </c>
      <c r="K2">
        <f>BDH("GEHC US Equity","BS_CASH_NEAR_CASH_ITEM","1993-06-18","2026-05-02","Per=Y","Days=T","Dir=V")</f>
        <v>0</v>
      </c>
      <c r="M2">
        <f>BDH("GEHC US Equity","BS_CUR_ASSET_REPORT","1993-06-18","2026-05-02","Per=Y","Days=T","Dir=V")</f>
        <v>0</v>
      </c>
      <c r="O2">
        <f>BDH("GEHC US Equity","BS_CUR_LIAB","1993-06-18","2026-05-02","Per=Y","Days=T","Dir=V")</f>
        <v>0</v>
      </c>
      <c r="Q2">
        <f>BDH("GEHC US Equity","BS_SHAREHOLDER_EQY_ENDING_PERIOD","1993-06-18","2026-05-02","Per=Y","Days=T","Dir=V")</f>
        <v>0</v>
      </c>
      <c r="S2">
        <f>BDH("GEHC US Equity","BS_ACCT_NOTE_RCV","1993-06-18","2026-05-02","Per=Y","Days=T","Dir=V")</f>
        <v>0</v>
      </c>
      <c r="U2">
        <f>BDH("GEHC US Equity","BS_INVENTORIES","1993-06-18","2026-05-02","Per=Y","Days=T","Dir=V")</f>
        <v>0</v>
      </c>
      <c r="W2">
        <f>BDH("GEHC US Equity","WORKING_CAPITAL","1993-06-18","2026-05-02","Per=Y","Days=T","Dir=V")</f>
        <v>0</v>
      </c>
      <c r="Y2">
        <f>BDH("GEHC US Equity","SALES_REV_TURN","1993-06-18","2026-05-02","Per=Y","Days=T","Dir=V")</f>
        <v>0</v>
      </c>
      <c r="AA2">
        <f>BDH("GEHC US Equity","EBIT","1993-06-18","2026-05-02","Per=Y","Days=T","Dir=V")</f>
        <v>0</v>
      </c>
      <c r="AC2">
        <f>BDH("GEHC US Equity","EBITDA","1993-06-18","2026-05-02","Per=Y","Days=T","Dir=V")</f>
        <v>0</v>
      </c>
      <c r="AE2">
        <f>BDH("GEHC US Equity","NET_INCOME","1993-06-18","2026-05-02","Per=Y","Days=T","Dir=V")</f>
        <v>0</v>
      </c>
      <c r="AG2">
        <f>BDH("GEHC US Equity","IS_INT_EXPENSE","1993-06-18","2026-05-02","Per=Y","Days=T","Dir=V")</f>
        <v>0</v>
      </c>
      <c r="AI2">
        <f>BDH("GEHC US Equity","IS_DEPR_EXP","1993-06-18","2026-05-02","Per=Y","Days=T","Dir=V")</f>
        <v>0</v>
      </c>
      <c r="AK2">
        <f>BDH("GEHC US Equity","CF_CASH_FROM_OPER","1993-06-18","2026-05-02","Per=Y","Days=T","Dir=V")</f>
        <v>0</v>
      </c>
      <c r="AM2">
        <f>BDH("GEHC US Equity","CAPITAL_EXPEND","1993-06-18","2026-05-02","Per=Y","Days=T","Dir=V")</f>
        <v>0</v>
      </c>
      <c r="AO2">
        <f>BDH("GEHC US Equity","CF_FREE_CASH_FLOW","1993-06-18","2026-05-02","Per=Y","Days=T","Dir=V")</f>
        <v>0</v>
      </c>
      <c r="AQ2">
        <f>BDH("GEHC US Equity","PX_LAST","1993-06-18","2026-05-02","Per=M","Days=T","Dir=V")</f>
        <v>0</v>
      </c>
      <c r="AS2">
        <f>BDH("GEHC US Equity","CUR_MKT_CAP","1993-06-18","2026-05-02","Per=M","Days=T","Dir=V")</f>
        <v>0</v>
      </c>
      <c r="AU2">
        <f>BDH("GEHC US Equity","EQY_SH_OUT","1993-06-18","2026-05-02","Per=M","Days=T","Dir=V")</f>
        <v>0</v>
      </c>
      <c r="AW2">
        <f>BDH("GEHC US Equity","PX_VOLUME","1993-06-18","2026-05-02","Per=M","Days=T","Dir=V")</f>
        <v>0</v>
      </c>
      <c r="AY2">
        <f>BDH("GEHC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BDH("GEL US Equity","BS_TOT_ASSET","1993-06-18","2026-05-02","Per=Y","Days=T","Dir=V")</f>
        <v>0</v>
      </c>
      <c r="C2">
        <f>BDH("GEL US Equity","BS_TOT_LIAB2","1993-06-18","2026-05-02","Per=Y","Days=T","Dir=V")</f>
        <v>0</v>
      </c>
      <c r="E2">
        <f>BDH("GEL US Equity","SHORT_AND_LONG_TERM_DEBT","1993-06-18","2026-05-02","Per=Y","Days=T","Dir=V")</f>
        <v>0</v>
      </c>
      <c r="G2">
        <f>BDH("GEL US Equity","BS_ST_BORROW","1993-06-18","2026-05-02","Per=Y","Days=T","Dir=V")</f>
        <v>0</v>
      </c>
      <c r="I2">
        <f>BDH("GEL US Equity","BS_LT_BORROW","1993-06-18","2026-05-02","Per=Y","Days=T","Dir=V")</f>
        <v>0</v>
      </c>
      <c r="K2">
        <f>BDH("GEL US Equity","BS_CASH_NEAR_CASH_ITEM","1993-06-18","2026-05-02","Per=Y","Days=T","Dir=V")</f>
        <v>0</v>
      </c>
      <c r="M2">
        <f>BDH("GEL US Equity","BS_CUR_ASSET_REPORT","1993-06-18","2026-05-02","Per=Y","Days=T","Dir=V")</f>
        <v>0</v>
      </c>
      <c r="O2">
        <f>BDH("GEL US Equity","BS_CUR_LIAB","1993-06-18","2026-05-02","Per=Y","Days=T","Dir=V")</f>
        <v>0</v>
      </c>
      <c r="Q2">
        <f>BDH("GEL US Equity","BS_SHAREHOLDER_EQY_ENDING_PERIOD","1993-06-18","2026-05-02","Per=Y","Days=T","Dir=V")</f>
        <v>0</v>
      </c>
      <c r="S2">
        <f>BDH("GEL US Equity","BS_ACCT_NOTE_RCV","1993-06-18","2026-05-02","Per=Y","Days=T","Dir=V")</f>
        <v>0</v>
      </c>
      <c r="U2">
        <f>BDH("GEL US Equity","BS_INVENTORIES","1993-06-18","2026-05-02","Per=Y","Days=T","Dir=V")</f>
        <v>0</v>
      </c>
      <c r="W2">
        <f>BDH("GEL US Equity","WORKING_CAPITAL","1993-06-18","2026-05-02","Per=Y","Days=T","Dir=V")</f>
        <v>0</v>
      </c>
      <c r="Y2">
        <f>BDH("GEL US Equity","SALES_REV_TURN","1993-06-18","2026-05-02","Per=Y","Days=T","Dir=V")</f>
        <v>0</v>
      </c>
      <c r="AA2">
        <f>BDH("GEL US Equity","EBIT","1993-06-18","2026-05-02","Per=Y","Days=T","Dir=V")</f>
        <v>0</v>
      </c>
      <c r="AC2">
        <f>BDH("GEL US Equity","EBITDA","1993-06-18","2026-05-02","Per=Y","Days=T","Dir=V")</f>
        <v>0</v>
      </c>
      <c r="AE2">
        <f>BDH("GEL US Equity","NET_INCOME","1993-06-18","2026-05-02","Per=Y","Days=T","Dir=V")</f>
        <v>0</v>
      </c>
      <c r="AG2">
        <f>BDH("GEL US Equity","IS_INT_EXPENSE","1993-06-18","2026-05-02","Per=Y","Days=T","Dir=V")</f>
        <v>0</v>
      </c>
      <c r="AI2">
        <f>BDH("GEL US Equity","IS_DEPR_EXP","1993-06-18","2026-05-02","Per=Y","Days=T","Dir=V")</f>
        <v>0</v>
      </c>
      <c r="AK2">
        <f>BDH("GEL US Equity","CF_CASH_FROM_OPER","1993-06-18","2026-05-02","Per=Y","Days=T","Dir=V")</f>
        <v>0</v>
      </c>
      <c r="AM2">
        <f>BDH("GEL US Equity","CAPITAL_EXPEND","1993-06-18","2026-05-02","Per=Y","Days=T","Dir=V")</f>
        <v>0</v>
      </c>
      <c r="AO2">
        <f>BDH("GEL US Equity","CF_FREE_CASH_FLOW","1993-06-18","2026-05-02","Per=Y","Days=T","Dir=V")</f>
        <v>0</v>
      </c>
      <c r="AQ2">
        <f>BDH("GEL US Equity","PX_LAST","1993-06-18","2026-05-02","Per=M","Days=T","Dir=V")</f>
        <v>0</v>
      </c>
      <c r="AS2">
        <f>BDH("GEL US Equity","CUR_MKT_CAP","1993-06-18","2026-05-02","Per=M","Days=T","Dir=V")</f>
        <v>0</v>
      </c>
      <c r="AU2">
        <f>BDH("GEL US Equity","EQY_SH_OUT","1993-06-18","2026-05-02","Per=M","Days=T","Dir=V")</f>
        <v>0</v>
      </c>
      <c r="AW2">
        <f>BDH("GEL US Equity","PX_VOLUME","1993-06-18","2026-05-02","Per=M","Days=T","Dir=V")</f>
        <v>0</v>
      </c>
      <c r="AY2">
        <f>BDH("GEL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BDH("GEN US Equity","BS_TOT_ASSET","1993-06-18","2026-05-02","Per=Y","Days=T","Dir=V")</f>
        <v>0</v>
      </c>
      <c r="C2">
        <f>BDH("GEN US Equity","BS_TOT_LIAB2","1993-06-18","2026-05-02","Per=Y","Days=T","Dir=V")</f>
        <v>0</v>
      </c>
      <c r="E2">
        <f>BDH("GEN US Equity","SHORT_AND_LONG_TERM_DEBT","1993-06-18","2026-05-02","Per=Y","Days=T","Dir=V")</f>
        <v>0</v>
      </c>
      <c r="G2">
        <f>BDH("GEN US Equity","BS_ST_BORROW","1993-06-18","2026-05-02","Per=Y","Days=T","Dir=V")</f>
        <v>0</v>
      </c>
      <c r="I2">
        <f>BDH("GEN US Equity","BS_LT_BORROW","1993-06-18","2026-05-02","Per=Y","Days=T","Dir=V")</f>
        <v>0</v>
      </c>
      <c r="K2">
        <f>BDH("GEN US Equity","BS_CASH_NEAR_CASH_ITEM","1993-06-18","2026-05-02","Per=Y","Days=T","Dir=V")</f>
        <v>0</v>
      </c>
      <c r="M2">
        <f>BDH("GEN US Equity","BS_CUR_ASSET_REPORT","1993-06-18","2026-05-02","Per=Y","Days=T","Dir=V")</f>
        <v>0</v>
      </c>
      <c r="O2">
        <f>BDH("GEN US Equity","BS_CUR_LIAB","1993-06-18","2026-05-02","Per=Y","Days=T","Dir=V")</f>
        <v>0</v>
      </c>
      <c r="Q2">
        <f>BDH("GEN US Equity","BS_SHAREHOLDER_EQY_ENDING_PERIOD","1993-06-18","2026-05-02","Per=Y","Days=T","Dir=V")</f>
        <v>0</v>
      </c>
      <c r="S2">
        <f>BDH("GEN US Equity","BS_ACCT_NOTE_RCV","1993-06-18","2026-05-02","Per=Y","Days=T","Dir=V")</f>
        <v>0</v>
      </c>
      <c r="U2">
        <f>BDH("GEN US Equity","BS_INVENTORIES","1993-06-18","2026-05-02","Per=Y","Days=T","Dir=V")</f>
        <v>0</v>
      </c>
      <c r="W2">
        <f>BDH("GEN US Equity","WORKING_CAPITAL","1993-06-18","2026-05-02","Per=Y","Days=T","Dir=V")</f>
        <v>0</v>
      </c>
      <c r="Y2">
        <f>BDH("GEN US Equity","SALES_REV_TURN","1993-06-18","2026-05-02","Per=Y","Days=T","Dir=V")</f>
        <v>0</v>
      </c>
      <c r="AA2">
        <f>BDH("GEN US Equity","EBIT","1993-06-18","2026-05-02","Per=Y","Days=T","Dir=V")</f>
        <v>0</v>
      </c>
      <c r="AC2">
        <f>BDH("GEN US Equity","EBITDA","1993-06-18","2026-05-02","Per=Y","Days=T","Dir=V")</f>
        <v>0</v>
      </c>
      <c r="AE2">
        <f>BDH("GEN US Equity","NET_INCOME","1993-06-18","2026-05-02","Per=Y","Days=T","Dir=V")</f>
        <v>0</v>
      </c>
      <c r="AG2">
        <f>BDH("GEN US Equity","IS_INT_EXPENSE","1993-06-18","2026-05-02","Per=Y","Days=T","Dir=V")</f>
        <v>0</v>
      </c>
      <c r="AI2">
        <f>BDH("GEN US Equity","IS_DEPR_EXP","1993-06-18","2026-05-02","Per=Y","Days=T","Dir=V")</f>
        <v>0</v>
      </c>
      <c r="AK2">
        <f>BDH("GEN US Equity","CF_CASH_FROM_OPER","1993-06-18","2026-05-02","Per=Y","Days=T","Dir=V")</f>
        <v>0</v>
      </c>
      <c r="AM2">
        <f>BDH("GEN US Equity","CAPITAL_EXPEND","1993-06-18","2026-05-02","Per=Y","Days=T","Dir=V")</f>
        <v>0</v>
      </c>
      <c r="AO2">
        <f>BDH("GEN US Equity","CF_FREE_CASH_FLOW","1993-06-18","2026-05-02","Per=Y","Days=T","Dir=V")</f>
        <v>0</v>
      </c>
      <c r="AQ2">
        <f>BDH("GEN US Equity","PX_LAST","1993-06-18","2026-05-02","Per=M","Days=T","Dir=V")</f>
        <v>0</v>
      </c>
      <c r="AS2">
        <f>BDH("GEN US Equity","CUR_MKT_CAP","1993-06-18","2026-05-02","Per=M","Days=T","Dir=V")</f>
        <v>0</v>
      </c>
      <c r="AU2">
        <f>BDH("GEN US Equity","EQY_SH_OUT","1993-06-18","2026-05-02","Per=M","Days=T","Dir=V")</f>
        <v>0</v>
      </c>
      <c r="AW2">
        <f>BDH("GEN US Equity","PX_VOLUME","1993-06-18","2026-05-02","Per=M","Days=T","Dir=V")</f>
        <v>0</v>
      </c>
      <c r="AY2">
        <f>BDH("GEN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BDH("GENB US Equity","BS_TOT_ASSET","1993-06-18","2026-05-02","Per=Y","Days=T","Dir=V")</f>
        <v>0</v>
      </c>
      <c r="C2">
        <f>BDH("GENB US Equity","BS_TOT_LIAB2","1993-06-18","2026-05-02","Per=Y","Days=T","Dir=V")</f>
        <v>0</v>
      </c>
      <c r="E2">
        <f>BDH("GENB US Equity","SHORT_AND_LONG_TERM_DEBT","1993-06-18","2026-05-02","Per=Y","Days=T","Dir=V")</f>
        <v>0</v>
      </c>
      <c r="G2">
        <f>BDH("GENB US Equity","BS_ST_BORROW","1993-06-18","2026-05-02","Per=Y","Days=T","Dir=V")</f>
        <v>0</v>
      </c>
      <c r="I2">
        <f>BDH("GENB US Equity","BS_LT_BORROW","1993-06-18","2026-05-02","Per=Y","Days=T","Dir=V")</f>
        <v>0</v>
      </c>
      <c r="K2">
        <f>BDH("GENB US Equity","BS_CASH_NEAR_CASH_ITEM","1993-06-18","2026-05-02","Per=Y","Days=T","Dir=V")</f>
        <v>0</v>
      </c>
      <c r="M2">
        <f>BDH("GENB US Equity","BS_CUR_ASSET_REPORT","1993-06-18","2026-05-02","Per=Y","Days=T","Dir=V")</f>
        <v>0</v>
      </c>
      <c r="O2">
        <f>BDH("GENB US Equity","BS_CUR_LIAB","1993-06-18","2026-05-02","Per=Y","Days=T","Dir=V")</f>
        <v>0</v>
      </c>
      <c r="Q2">
        <f>BDH("GENB US Equity","BS_SHAREHOLDER_EQY_ENDING_PERIOD","1993-06-18","2026-05-02","Per=Y","Days=T","Dir=V")</f>
        <v>0</v>
      </c>
      <c r="S2">
        <f>BDH("GENB US Equity","BS_ACCT_NOTE_RCV","1993-06-18","2026-05-02","Per=Y","Days=T","Dir=V")</f>
        <v>0</v>
      </c>
      <c r="U2">
        <f>BDH("GENB US Equity","BS_INVENTORIES","1993-06-18","2026-05-02","Per=Y","Days=T","Dir=V")</f>
        <v>0</v>
      </c>
      <c r="W2">
        <f>BDH("GENB US Equity","WORKING_CAPITAL","1993-06-18","2026-05-02","Per=Y","Days=T","Dir=V")</f>
        <v>0</v>
      </c>
      <c r="Y2">
        <f>BDH("GENB US Equity","SALES_REV_TURN","1993-06-18","2026-05-02","Per=Y","Days=T","Dir=V")</f>
        <v>0</v>
      </c>
      <c r="AA2">
        <f>BDH("GENB US Equity","EBIT","1993-06-18","2026-05-02","Per=Y","Days=T","Dir=V")</f>
        <v>0</v>
      </c>
      <c r="AC2">
        <f>BDH("GENB US Equity","EBITDA","1993-06-18","2026-05-02","Per=Y","Days=T","Dir=V")</f>
        <v>0</v>
      </c>
      <c r="AE2">
        <f>BDH("GENB US Equity","NET_INCOME","1993-06-18","2026-05-02","Per=Y","Days=T","Dir=V")</f>
        <v>0</v>
      </c>
      <c r="AG2">
        <f>BDH("GENB US Equity","IS_INT_EXPENSE","1993-06-18","2026-05-02","Per=Y","Days=T","Dir=V")</f>
        <v>0</v>
      </c>
      <c r="AI2">
        <f>BDH("GENB US Equity","IS_DEPR_EXP","1993-06-18","2026-05-02","Per=Y","Days=T","Dir=V")</f>
        <v>0</v>
      </c>
      <c r="AK2">
        <f>BDH("GENB US Equity","CF_CASH_FROM_OPER","1993-06-18","2026-05-02","Per=Y","Days=T","Dir=V")</f>
        <v>0</v>
      </c>
      <c r="AM2">
        <f>BDH("GENB US Equity","CAPITAL_EXPEND","1993-06-18","2026-05-02","Per=Y","Days=T","Dir=V")</f>
        <v>0</v>
      </c>
      <c r="AO2">
        <f>BDH("GENB US Equity","CF_FREE_CASH_FLOW","1993-06-18","2026-05-02","Per=Y","Days=T","Dir=V")</f>
        <v>0</v>
      </c>
      <c r="AQ2">
        <f>BDH("GENB US Equity","PX_LAST","1993-06-18","2026-05-02","Per=M","Days=T","Dir=V")</f>
        <v>0</v>
      </c>
      <c r="AS2">
        <f>BDH("GENB US Equity","CUR_MKT_CAP","1993-06-18","2026-05-02","Per=M","Days=T","Dir=V")</f>
        <v>0</v>
      </c>
      <c r="AU2">
        <f>BDH("GENB US Equity","EQY_SH_OUT","1993-06-18","2026-05-02","Per=M","Days=T","Dir=V")</f>
        <v>0</v>
      </c>
      <c r="AW2">
        <f>BDH("GENB US Equity","PX_VOLUME","1993-06-18","2026-05-02","Per=M","Days=T","Dir=V")</f>
        <v>0</v>
      </c>
      <c r="AY2">
        <f>BDH("GENB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BDH("GENC US Equity","BS_TOT_ASSET","1993-06-18","2026-05-02","Per=Y","Days=T","Dir=V")</f>
        <v>0</v>
      </c>
      <c r="C2">
        <f>BDH("GENC US Equity","BS_TOT_LIAB2","1993-06-18","2026-05-02","Per=Y","Days=T","Dir=V")</f>
        <v>0</v>
      </c>
      <c r="E2">
        <f>BDH("GENC US Equity","SHORT_AND_LONG_TERM_DEBT","1993-06-18","2026-05-02","Per=Y","Days=T","Dir=V")</f>
        <v>0</v>
      </c>
      <c r="G2">
        <f>BDH("GENC US Equity","BS_ST_BORROW","1993-06-18","2026-05-02","Per=Y","Days=T","Dir=V")</f>
        <v>0</v>
      </c>
      <c r="I2">
        <f>BDH("GENC US Equity","BS_LT_BORROW","1993-06-18","2026-05-02","Per=Y","Days=T","Dir=V")</f>
        <v>0</v>
      </c>
      <c r="K2">
        <f>BDH("GENC US Equity","BS_CASH_NEAR_CASH_ITEM","1993-06-18","2026-05-02","Per=Y","Days=T","Dir=V")</f>
        <v>0</v>
      </c>
      <c r="M2">
        <f>BDH("GENC US Equity","BS_CUR_ASSET_REPORT","1993-06-18","2026-05-02","Per=Y","Days=T","Dir=V")</f>
        <v>0</v>
      </c>
      <c r="O2">
        <f>BDH("GENC US Equity","BS_CUR_LIAB","1993-06-18","2026-05-02","Per=Y","Days=T","Dir=V")</f>
        <v>0</v>
      </c>
      <c r="Q2">
        <f>BDH("GENC US Equity","BS_SHAREHOLDER_EQY_ENDING_PERIOD","1993-06-18","2026-05-02","Per=Y","Days=T","Dir=V")</f>
        <v>0</v>
      </c>
      <c r="S2">
        <f>BDH("GENC US Equity","BS_ACCT_NOTE_RCV","1993-06-18","2026-05-02","Per=Y","Days=T","Dir=V")</f>
        <v>0</v>
      </c>
      <c r="U2">
        <f>BDH("GENC US Equity","BS_INVENTORIES","1993-06-18","2026-05-02","Per=Y","Days=T","Dir=V")</f>
        <v>0</v>
      </c>
      <c r="W2">
        <f>BDH("GENC US Equity","WORKING_CAPITAL","1993-06-18","2026-05-02","Per=Y","Days=T","Dir=V")</f>
        <v>0</v>
      </c>
      <c r="Y2">
        <f>BDH("GENC US Equity","SALES_REV_TURN","1993-06-18","2026-05-02","Per=Y","Days=T","Dir=V")</f>
        <v>0</v>
      </c>
      <c r="AA2">
        <f>BDH("GENC US Equity","EBIT","1993-06-18","2026-05-02","Per=Y","Days=T","Dir=V")</f>
        <v>0</v>
      </c>
      <c r="AC2">
        <f>BDH("GENC US Equity","EBITDA","1993-06-18","2026-05-02","Per=Y","Days=T","Dir=V")</f>
        <v>0</v>
      </c>
      <c r="AE2">
        <f>BDH("GENC US Equity","NET_INCOME","1993-06-18","2026-05-02","Per=Y","Days=T","Dir=V")</f>
        <v>0</v>
      </c>
      <c r="AG2">
        <f>BDH("GENC US Equity","IS_INT_EXPENSE","1993-06-18","2026-05-02","Per=Y","Days=T","Dir=V")</f>
        <v>0</v>
      </c>
      <c r="AI2">
        <f>BDH("GENC US Equity","IS_DEPR_EXP","1993-06-18","2026-05-02","Per=Y","Days=T","Dir=V")</f>
        <v>0</v>
      </c>
      <c r="AK2">
        <f>BDH("GENC US Equity","CF_CASH_FROM_OPER","1993-06-18","2026-05-02","Per=Y","Days=T","Dir=V")</f>
        <v>0</v>
      </c>
      <c r="AM2">
        <f>BDH("GENC US Equity","CAPITAL_EXPEND","1993-06-18","2026-05-02","Per=Y","Days=T","Dir=V")</f>
        <v>0</v>
      </c>
      <c r="AO2">
        <f>BDH("GENC US Equity","CF_FREE_CASH_FLOW","1993-06-18","2026-05-02","Per=Y","Days=T","Dir=V")</f>
        <v>0</v>
      </c>
      <c r="AQ2">
        <f>BDH("GENC US Equity","PX_LAST","1993-06-18","2026-05-02","Per=M","Days=T","Dir=V")</f>
        <v>0</v>
      </c>
      <c r="AS2">
        <f>BDH("GENC US Equity","CUR_MKT_CAP","1993-06-18","2026-05-02","Per=M","Days=T","Dir=V")</f>
        <v>0</v>
      </c>
      <c r="AU2">
        <f>BDH("GENC US Equity","EQY_SH_OUT","1993-06-18","2026-05-02","Per=M","Days=T","Dir=V")</f>
        <v>0</v>
      </c>
      <c r="AW2">
        <f>BDH("GENC US Equity","PX_VOLUME","1993-06-18","2026-05-02","Per=M","Days=T","Dir=V")</f>
        <v>0</v>
      </c>
      <c r="AY2">
        <f>BDH("GENC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BDH("GENK US Equity","BS_TOT_ASSET","1993-06-18","2026-05-02","Per=Y","Days=T","Dir=V")</f>
        <v>0</v>
      </c>
      <c r="C2">
        <f>BDH("GENK US Equity","BS_TOT_LIAB2","1993-06-18","2026-05-02","Per=Y","Days=T","Dir=V")</f>
        <v>0</v>
      </c>
      <c r="E2">
        <f>BDH("GENK US Equity","SHORT_AND_LONG_TERM_DEBT","1993-06-18","2026-05-02","Per=Y","Days=T","Dir=V")</f>
        <v>0</v>
      </c>
      <c r="G2">
        <f>BDH("GENK US Equity","BS_ST_BORROW","1993-06-18","2026-05-02","Per=Y","Days=T","Dir=V")</f>
        <v>0</v>
      </c>
      <c r="I2">
        <f>BDH("GENK US Equity","BS_LT_BORROW","1993-06-18","2026-05-02","Per=Y","Days=T","Dir=V")</f>
        <v>0</v>
      </c>
      <c r="K2">
        <f>BDH("GENK US Equity","BS_CASH_NEAR_CASH_ITEM","1993-06-18","2026-05-02","Per=Y","Days=T","Dir=V")</f>
        <v>0</v>
      </c>
      <c r="M2">
        <f>BDH("GENK US Equity","BS_CUR_ASSET_REPORT","1993-06-18","2026-05-02","Per=Y","Days=T","Dir=V")</f>
        <v>0</v>
      </c>
      <c r="O2">
        <f>BDH("GENK US Equity","BS_CUR_LIAB","1993-06-18","2026-05-02","Per=Y","Days=T","Dir=V")</f>
        <v>0</v>
      </c>
      <c r="Q2">
        <f>BDH("GENK US Equity","BS_SHAREHOLDER_EQY_ENDING_PERIOD","1993-06-18","2026-05-02","Per=Y","Days=T","Dir=V")</f>
        <v>0</v>
      </c>
      <c r="S2">
        <f>BDH("GENK US Equity","BS_ACCT_NOTE_RCV","1993-06-18","2026-05-02","Per=Y","Days=T","Dir=V")</f>
        <v>0</v>
      </c>
      <c r="U2">
        <f>BDH("GENK US Equity","BS_INVENTORIES","1993-06-18","2026-05-02","Per=Y","Days=T","Dir=V")</f>
        <v>0</v>
      </c>
      <c r="W2">
        <f>BDH("GENK US Equity","WORKING_CAPITAL","1993-06-18","2026-05-02","Per=Y","Days=T","Dir=V")</f>
        <v>0</v>
      </c>
      <c r="Y2">
        <f>BDH("GENK US Equity","SALES_REV_TURN","1993-06-18","2026-05-02","Per=Y","Days=T","Dir=V")</f>
        <v>0</v>
      </c>
      <c r="AA2">
        <f>BDH("GENK US Equity","EBIT","1993-06-18","2026-05-02","Per=Y","Days=T","Dir=V")</f>
        <v>0</v>
      </c>
      <c r="AC2">
        <f>BDH("GENK US Equity","EBITDA","1993-06-18","2026-05-02","Per=Y","Days=T","Dir=V")</f>
        <v>0</v>
      </c>
      <c r="AE2">
        <f>BDH("GENK US Equity","NET_INCOME","1993-06-18","2026-05-02","Per=Y","Days=T","Dir=V")</f>
        <v>0</v>
      </c>
      <c r="AG2">
        <f>BDH("GENK US Equity","IS_INT_EXPENSE","1993-06-18","2026-05-02","Per=Y","Days=T","Dir=V")</f>
        <v>0</v>
      </c>
      <c r="AI2">
        <f>BDH("GENK US Equity","IS_DEPR_EXP","1993-06-18","2026-05-02","Per=Y","Days=T","Dir=V")</f>
        <v>0</v>
      </c>
      <c r="AK2">
        <f>BDH("GENK US Equity","CF_CASH_FROM_OPER","1993-06-18","2026-05-02","Per=Y","Days=T","Dir=V")</f>
        <v>0</v>
      </c>
      <c r="AM2">
        <f>BDH("GENK US Equity","CAPITAL_EXPEND","1993-06-18","2026-05-02","Per=Y","Days=T","Dir=V")</f>
        <v>0</v>
      </c>
      <c r="AO2">
        <f>BDH("GENK US Equity","CF_FREE_CASH_FLOW","1993-06-18","2026-05-02","Per=Y","Days=T","Dir=V")</f>
        <v>0</v>
      </c>
      <c r="AQ2">
        <f>BDH("GENK US Equity","PX_LAST","1993-06-18","2026-05-02","Per=M","Days=T","Dir=V")</f>
        <v>0</v>
      </c>
      <c r="AS2">
        <f>BDH("GENK US Equity","CUR_MKT_CAP","1993-06-18","2026-05-02","Per=M","Days=T","Dir=V")</f>
        <v>0</v>
      </c>
      <c r="AU2">
        <f>BDH("GENK US Equity","EQY_SH_OUT","1993-06-18","2026-05-02","Per=M","Days=T","Dir=V")</f>
        <v>0</v>
      </c>
      <c r="AW2">
        <f>BDH("GENK US Equity","PX_VOLUME","1993-06-18","2026-05-02","Per=M","Days=T","Dir=V")</f>
        <v>0</v>
      </c>
      <c r="AY2">
        <f>BDH("GENK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BDH("GENVR US Equity","BS_TOT_ASSET","1993-06-18","2026-05-02","Per=Y","Days=T","Dir=V")</f>
        <v>0</v>
      </c>
      <c r="C2">
        <f>BDH("GENVR US Equity","BS_TOT_LIAB2","1993-06-18","2026-05-02","Per=Y","Days=T","Dir=V")</f>
        <v>0</v>
      </c>
      <c r="E2">
        <f>BDH("GENVR US Equity","SHORT_AND_LONG_TERM_DEBT","1993-06-18","2026-05-02","Per=Y","Days=T","Dir=V")</f>
        <v>0</v>
      </c>
      <c r="G2">
        <f>BDH("GENVR US Equity","BS_ST_BORROW","1993-06-18","2026-05-02","Per=Y","Days=T","Dir=V")</f>
        <v>0</v>
      </c>
      <c r="I2">
        <f>BDH("GENVR US Equity","BS_LT_BORROW","1993-06-18","2026-05-02","Per=Y","Days=T","Dir=V")</f>
        <v>0</v>
      </c>
      <c r="K2">
        <f>BDH("GENVR US Equity","BS_CASH_NEAR_CASH_ITEM","1993-06-18","2026-05-02","Per=Y","Days=T","Dir=V")</f>
        <v>0</v>
      </c>
      <c r="M2">
        <f>BDH("GENVR US Equity","BS_CUR_ASSET_REPORT","1993-06-18","2026-05-02","Per=Y","Days=T","Dir=V")</f>
        <v>0</v>
      </c>
      <c r="O2">
        <f>BDH("GENVR US Equity","BS_CUR_LIAB","1993-06-18","2026-05-02","Per=Y","Days=T","Dir=V")</f>
        <v>0</v>
      </c>
      <c r="Q2">
        <f>BDH("GENVR US Equity","BS_SHAREHOLDER_EQY_ENDING_PERIOD","1993-06-18","2026-05-02","Per=Y","Days=T","Dir=V")</f>
        <v>0</v>
      </c>
      <c r="S2">
        <f>BDH("GENVR US Equity","BS_ACCT_NOTE_RCV","1993-06-18","2026-05-02","Per=Y","Days=T","Dir=V")</f>
        <v>0</v>
      </c>
      <c r="U2">
        <f>BDH("GENVR US Equity","BS_INVENTORIES","1993-06-18","2026-05-02","Per=Y","Days=T","Dir=V")</f>
        <v>0</v>
      </c>
      <c r="W2">
        <f>BDH("GENVR US Equity","WORKING_CAPITAL","1993-06-18","2026-05-02","Per=Y","Days=T","Dir=V")</f>
        <v>0</v>
      </c>
      <c r="Y2">
        <f>BDH("GENVR US Equity","SALES_REV_TURN","1993-06-18","2026-05-02","Per=Y","Days=T","Dir=V")</f>
        <v>0</v>
      </c>
      <c r="AA2">
        <f>BDH("GENVR US Equity","EBIT","1993-06-18","2026-05-02","Per=Y","Days=T","Dir=V")</f>
        <v>0</v>
      </c>
      <c r="AC2">
        <f>BDH("GENVR US Equity","EBITDA","1993-06-18","2026-05-02","Per=Y","Days=T","Dir=V")</f>
        <v>0</v>
      </c>
      <c r="AE2">
        <f>BDH("GENVR US Equity","NET_INCOME","1993-06-18","2026-05-02","Per=Y","Days=T","Dir=V")</f>
        <v>0</v>
      </c>
      <c r="AG2">
        <f>BDH("GENVR US Equity","IS_INT_EXPENSE","1993-06-18","2026-05-02","Per=Y","Days=T","Dir=V")</f>
        <v>0</v>
      </c>
      <c r="AI2">
        <f>BDH("GENVR US Equity","IS_DEPR_EXP","1993-06-18","2026-05-02","Per=Y","Days=T","Dir=V")</f>
        <v>0</v>
      </c>
      <c r="AK2">
        <f>BDH("GENVR US Equity","CF_CASH_FROM_OPER","1993-06-18","2026-05-02","Per=Y","Days=T","Dir=V")</f>
        <v>0</v>
      </c>
      <c r="AM2">
        <f>BDH("GENVR US Equity","CAPITAL_EXPEND","1993-06-18","2026-05-02","Per=Y","Days=T","Dir=V")</f>
        <v>0</v>
      </c>
      <c r="AO2">
        <f>BDH("GENVR US Equity","CF_FREE_CASH_FLOW","1993-06-18","2026-05-02","Per=Y","Days=T","Dir=V")</f>
        <v>0</v>
      </c>
      <c r="AQ2">
        <f>BDH("GENVR US Equity","PX_LAST","1993-06-18","2026-05-02","Per=M","Days=T","Dir=V")</f>
        <v>0</v>
      </c>
      <c r="AS2">
        <f>BDH("GENVR US Equity","CUR_MKT_CAP","1993-06-18","2026-05-02","Per=M","Days=T","Dir=V")</f>
        <v>0</v>
      </c>
      <c r="AU2">
        <f>BDH("GENVR US Equity","EQY_SH_OUT","1993-06-18","2026-05-02","Per=M","Days=T","Dir=V")</f>
        <v>0</v>
      </c>
      <c r="AW2">
        <f>BDH("GENVR US Equity","PX_VOLUME","1993-06-18","2026-05-02","Per=M","Days=T","Dir=V")</f>
        <v>0</v>
      </c>
      <c r="AY2">
        <f>BDH("GENVR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BDH("GEO US Equity","BS_TOT_ASSET","1993-06-18","2026-05-02","Per=Y","Days=T","Dir=V")</f>
        <v>0</v>
      </c>
      <c r="C2">
        <f>BDH("GEO US Equity","BS_TOT_LIAB2","1993-06-18","2026-05-02","Per=Y","Days=T","Dir=V")</f>
        <v>0</v>
      </c>
      <c r="E2">
        <f>BDH("GEO US Equity","SHORT_AND_LONG_TERM_DEBT","1993-06-18","2026-05-02","Per=Y","Days=T","Dir=V")</f>
        <v>0</v>
      </c>
      <c r="G2">
        <f>BDH("GEO US Equity","BS_ST_BORROW","1993-06-18","2026-05-02","Per=Y","Days=T","Dir=V")</f>
        <v>0</v>
      </c>
      <c r="I2">
        <f>BDH("GEO US Equity","BS_LT_BORROW","1993-06-18","2026-05-02","Per=Y","Days=T","Dir=V")</f>
        <v>0</v>
      </c>
      <c r="K2">
        <f>BDH("GEO US Equity","BS_CASH_NEAR_CASH_ITEM","1993-06-18","2026-05-02","Per=Y","Days=T","Dir=V")</f>
        <v>0</v>
      </c>
      <c r="M2">
        <f>BDH("GEO US Equity","BS_CUR_ASSET_REPORT","1993-06-18","2026-05-02","Per=Y","Days=T","Dir=V")</f>
        <v>0</v>
      </c>
      <c r="O2">
        <f>BDH("GEO US Equity","BS_CUR_LIAB","1993-06-18","2026-05-02","Per=Y","Days=T","Dir=V")</f>
        <v>0</v>
      </c>
      <c r="Q2">
        <f>BDH("GEO US Equity","BS_SHAREHOLDER_EQY_ENDING_PERIOD","1993-06-18","2026-05-02","Per=Y","Days=T","Dir=V")</f>
        <v>0</v>
      </c>
      <c r="S2">
        <f>BDH("GEO US Equity","BS_ACCT_NOTE_RCV","1993-06-18","2026-05-02","Per=Y","Days=T","Dir=V")</f>
        <v>0</v>
      </c>
      <c r="U2">
        <f>BDH("GEO US Equity","BS_INVENTORIES","1993-06-18","2026-05-02","Per=Y","Days=T","Dir=V")</f>
        <v>0</v>
      </c>
      <c r="W2">
        <f>BDH("GEO US Equity","WORKING_CAPITAL","1993-06-18","2026-05-02","Per=Y","Days=T","Dir=V")</f>
        <v>0</v>
      </c>
      <c r="Y2">
        <f>BDH("GEO US Equity","SALES_REV_TURN","1993-06-18","2026-05-02","Per=Y","Days=T","Dir=V")</f>
        <v>0</v>
      </c>
      <c r="AA2">
        <f>BDH("GEO US Equity","EBIT","1993-06-18","2026-05-02","Per=Y","Days=T","Dir=V")</f>
        <v>0</v>
      </c>
      <c r="AC2">
        <f>BDH("GEO US Equity","EBITDA","1993-06-18","2026-05-02","Per=Y","Days=T","Dir=V")</f>
        <v>0</v>
      </c>
      <c r="AE2">
        <f>BDH("GEO US Equity","NET_INCOME","1993-06-18","2026-05-02","Per=Y","Days=T","Dir=V")</f>
        <v>0</v>
      </c>
      <c r="AG2">
        <f>BDH("GEO US Equity","IS_INT_EXPENSE","1993-06-18","2026-05-02","Per=Y","Days=T","Dir=V")</f>
        <v>0</v>
      </c>
      <c r="AI2">
        <f>BDH("GEO US Equity","IS_DEPR_EXP","1993-06-18","2026-05-02","Per=Y","Days=T","Dir=V")</f>
        <v>0</v>
      </c>
      <c r="AK2">
        <f>BDH("GEO US Equity","CF_CASH_FROM_OPER","1993-06-18","2026-05-02","Per=Y","Days=T","Dir=V")</f>
        <v>0</v>
      </c>
      <c r="AM2">
        <f>BDH("GEO US Equity","CAPITAL_EXPEND","1993-06-18","2026-05-02","Per=Y","Days=T","Dir=V")</f>
        <v>0</v>
      </c>
      <c r="AO2">
        <f>BDH("GEO US Equity","CF_FREE_CASH_FLOW","1993-06-18","2026-05-02","Per=Y","Days=T","Dir=V")</f>
        <v>0</v>
      </c>
      <c r="AQ2">
        <f>BDH("GEO US Equity","PX_LAST","1993-06-18","2026-05-02","Per=M","Days=T","Dir=V")</f>
        <v>0</v>
      </c>
      <c r="AS2">
        <f>BDH("GEO US Equity","CUR_MKT_CAP","1993-06-18","2026-05-02","Per=M","Days=T","Dir=V")</f>
        <v>0</v>
      </c>
      <c r="AU2">
        <f>BDH("GEO US Equity","EQY_SH_OUT","1993-06-18","2026-05-02","Per=M","Days=T","Dir=V")</f>
        <v>0</v>
      </c>
      <c r="AW2">
        <f>BDH("GEO US Equity","PX_VOLUME","1993-06-18","2026-05-02","Per=M","Days=T","Dir=V")</f>
        <v>0</v>
      </c>
      <c r="AY2">
        <f>BDH("GEO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BDH("GEOS US Equity","BS_TOT_ASSET","1993-06-18","2026-05-02","Per=Y","Days=T","Dir=V")</f>
        <v>0</v>
      </c>
      <c r="C2">
        <f>BDH("GEOS US Equity","BS_TOT_LIAB2","1993-06-18","2026-05-02","Per=Y","Days=T","Dir=V")</f>
        <v>0</v>
      </c>
      <c r="E2">
        <f>BDH("GEOS US Equity","SHORT_AND_LONG_TERM_DEBT","1993-06-18","2026-05-02","Per=Y","Days=T","Dir=V")</f>
        <v>0</v>
      </c>
      <c r="G2">
        <f>BDH("GEOS US Equity","BS_ST_BORROW","1993-06-18","2026-05-02","Per=Y","Days=T","Dir=V")</f>
        <v>0</v>
      </c>
      <c r="I2">
        <f>BDH("GEOS US Equity","BS_LT_BORROW","1993-06-18","2026-05-02","Per=Y","Days=T","Dir=V")</f>
        <v>0</v>
      </c>
      <c r="K2">
        <f>BDH("GEOS US Equity","BS_CASH_NEAR_CASH_ITEM","1993-06-18","2026-05-02","Per=Y","Days=T","Dir=V")</f>
        <v>0</v>
      </c>
      <c r="M2">
        <f>BDH("GEOS US Equity","BS_CUR_ASSET_REPORT","1993-06-18","2026-05-02","Per=Y","Days=T","Dir=V")</f>
        <v>0</v>
      </c>
      <c r="O2">
        <f>BDH("GEOS US Equity","BS_CUR_LIAB","1993-06-18","2026-05-02","Per=Y","Days=T","Dir=V")</f>
        <v>0</v>
      </c>
      <c r="Q2">
        <f>BDH("GEOS US Equity","BS_SHAREHOLDER_EQY_ENDING_PERIOD","1993-06-18","2026-05-02","Per=Y","Days=T","Dir=V")</f>
        <v>0</v>
      </c>
      <c r="S2">
        <f>BDH("GEOS US Equity","BS_ACCT_NOTE_RCV","1993-06-18","2026-05-02","Per=Y","Days=T","Dir=V")</f>
        <v>0</v>
      </c>
      <c r="U2">
        <f>BDH("GEOS US Equity","BS_INVENTORIES","1993-06-18","2026-05-02","Per=Y","Days=T","Dir=V")</f>
        <v>0</v>
      </c>
      <c r="W2">
        <f>BDH("GEOS US Equity","WORKING_CAPITAL","1993-06-18","2026-05-02","Per=Y","Days=T","Dir=V")</f>
        <v>0</v>
      </c>
      <c r="Y2">
        <f>BDH("GEOS US Equity","SALES_REV_TURN","1993-06-18","2026-05-02","Per=Y","Days=T","Dir=V")</f>
        <v>0</v>
      </c>
      <c r="AA2">
        <f>BDH("GEOS US Equity","EBIT","1993-06-18","2026-05-02","Per=Y","Days=T","Dir=V")</f>
        <v>0</v>
      </c>
      <c r="AC2">
        <f>BDH("GEOS US Equity","EBITDA","1993-06-18","2026-05-02","Per=Y","Days=T","Dir=V")</f>
        <v>0</v>
      </c>
      <c r="AE2">
        <f>BDH("GEOS US Equity","NET_INCOME","1993-06-18","2026-05-02","Per=Y","Days=T","Dir=V")</f>
        <v>0</v>
      </c>
      <c r="AG2">
        <f>BDH("GEOS US Equity","IS_INT_EXPENSE","1993-06-18","2026-05-02","Per=Y","Days=T","Dir=V")</f>
        <v>0</v>
      </c>
      <c r="AI2">
        <f>BDH("GEOS US Equity","IS_DEPR_EXP","1993-06-18","2026-05-02","Per=Y","Days=T","Dir=V")</f>
        <v>0</v>
      </c>
      <c r="AK2">
        <f>BDH("GEOS US Equity","CF_CASH_FROM_OPER","1993-06-18","2026-05-02","Per=Y","Days=T","Dir=V")</f>
        <v>0</v>
      </c>
      <c r="AM2">
        <f>BDH("GEOS US Equity","CAPITAL_EXPEND","1993-06-18","2026-05-02","Per=Y","Days=T","Dir=V")</f>
        <v>0</v>
      </c>
      <c r="AO2">
        <f>BDH("GEOS US Equity","CF_FREE_CASH_FLOW","1993-06-18","2026-05-02","Per=Y","Days=T","Dir=V")</f>
        <v>0</v>
      </c>
      <c r="AQ2">
        <f>BDH("GEOS US Equity","PX_LAST","1993-06-18","2026-05-02","Per=M","Days=T","Dir=V")</f>
        <v>0</v>
      </c>
      <c r="AS2">
        <f>BDH("GEOS US Equity","CUR_MKT_CAP","1993-06-18","2026-05-02","Per=M","Days=T","Dir=V")</f>
        <v>0</v>
      </c>
      <c r="AU2">
        <f>BDH("GEOS US Equity","EQY_SH_OUT","1993-06-18","2026-05-02","Per=M","Days=T","Dir=V")</f>
        <v>0</v>
      </c>
      <c r="AW2">
        <f>BDH("GEOS US Equity","PX_VOLUME","1993-06-18","2026-05-02","Per=M","Days=T","Dir=V")</f>
        <v>0</v>
      </c>
      <c r="AY2">
        <f>BDH("GEOS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BDH("GERN US Equity","BS_TOT_ASSET","1993-06-18","2026-05-02","Per=Y","Days=T","Dir=V")</f>
        <v>0</v>
      </c>
      <c r="C2">
        <f>BDH("GERN US Equity","BS_TOT_LIAB2","1993-06-18","2026-05-02","Per=Y","Days=T","Dir=V")</f>
        <v>0</v>
      </c>
      <c r="E2">
        <f>BDH("GERN US Equity","SHORT_AND_LONG_TERM_DEBT","1993-06-18","2026-05-02","Per=Y","Days=T","Dir=V")</f>
        <v>0</v>
      </c>
      <c r="G2">
        <f>BDH("GERN US Equity","BS_ST_BORROW","1993-06-18","2026-05-02","Per=Y","Days=T","Dir=V")</f>
        <v>0</v>
      </c>
      <c r="I2">
        <f>BDH("GERN US Equity","BS_LT_BORROW","1993-06-18","2026-05-02","Per=Y","Days=T","Dir=V")</f>
        <v>0</v>
      </c>
      <c r="K2">
        <f>BDH("GERN US Equity","BS_CASH_NEAR_CASH_ITEM","1993-06-18","2026-05-02","Per=Y","Days=T","Dir=V")</f>
        <v>0</v>
      </c>
      <c r="M2">
        <f>BDH("GERN US Equity","BS_CUR_ASSET_REPORT","1993-06-18","2026-05-02","Per=Y","Days=T","Dir=V")</f>
        <v>0</v>
      </c>
      <c r="O2">
        <f>BDH("GERN US Equity","BS_CUR_LIAB","1993-06-18","2026-05-02","Per=Y","Days=T","Dir=V")</f>
        <v>0</v>
      </c>
      <c r="Q2">
        <f>BDH("GERN US Equity","BS_SHAREHOLDER_EQY_ENDING_PERIOD","1993-06-18","2026-05-02","Per=Y","Days=T","Dir=V")</f>
        <v>0</v>
      </c>
      <c r="S2">
        <f>BDH("GERN US Equity","BS_ACCT_NOTE_RCV","1993-06-18","2026-05-02","Per=Y","Days=T","Dir=V")</f>
        <v>0</v>
      </c>
      <c r="U2">
        <f>BDH("GERN US Equity","BS_INVENTORIES","1993-06-18","2026-05-02","Per=Y","Days=T","Dir=V")</f>
        <v>0</v>
      </c>
      <c r="W2">
        <f>BDH("GERN US Equity","WORKING_CAPITAL","1993-06-18","2026-05-02","Per=Y","Days=T","Dir=V")</f>
        <v>0</v>
      </c>
      <c r="Y2">
        <f>BDH("GERN US Equity","SALES_REV_TURN","1993-06-18","2026-05-02","Per=Y","Days=T","Dir=V")</f>
        <v>0</v>
      </c>
      <c r="AA2">
        <f>BDH("GERN US Equity","EBIT","1993-06-18","2026-05-02","Per=Y","Days=T","Dir=V")</f>
        <v>0</v>
      </c>
      <c r="AC2">
        <f>BDH("GERN US Equity","EBITDA","1993-06-18","2026-05-02","Per=Y","Days=T","Dir=V")</f>
        <v>0</v>
      </c>
      <c r="AE2">
        <f>BDH("GERN US Equity","NET_INCOME","1993-06-18","2026-05-02","Per=Y","Days=T","Dir=V")</f>
        <v>0</v>
      </c>
      <c r="AG2">
        <f>BDH("GERN US Equity","IS_INT_EXPENSE","1993-06-18","2026-05-02","Per=Y","Days=T","Dir=V")</f>
        <v>0</v>
      </c>
      <c r="AI2">
        <f>BDH("GERN US Equity","IS_DEPR_EXP","1993-06-18","2026-05-02","Per=Y","Days=T","Dir=V")</f>
        <v>0</v>
      </c>
      <c r="AK2">
        <f>BDH("GERN US Equity","CF_CASH_FROM_OPER","1993-06-18","2026-05-02","Per=Y","Days=T","Dir=V")</f>
        <v>0</v>
      </c>
      <c r="AM2">
        <f>BDH("GERN US Equity","CAPITAL_EXPEND","1993-06-18","2026-05-02","Per=Y","Days=T","Dir=V")</f>
        <v>0</v>
      </c>
      <c r="AO2">
        <f>BDH("GERN US Equity","CF_FREE_CASH_FLOW","1993-06-18","2026-05-02","Per=Y","Days=T","Dir=V")</f>
        <v>0</v>
      </c>
      <c r="AQ2">
        <f>BDH("GERN US Equity","PX_LAST","1993-06-18","2026-05-02","Per=M","Days=T","Dir=V")</f>
        <v>0</v>
      </c>
      <c r="AS2">
        <f>BDH("GERN US Equity","CUR_MKT_CAP","1993-06-18","2026-05-02","Per=M","Days=T","Dir=V")</f>
        <v>0</v>
      </c>
      <c r="AU2">
        <f>BDH("GERN US Equity","EQY_SH_OUT","1993-06-18","2026-05-02","Per=M","Days=T","Dir=V")</f>
        <v>0</v>
      </c>
      <c r="AW2">
        <f>BDH("GERN US Equity","PX_VOLUME","1993-06-18","2026-05-02","Per=M","Days=T","Dir=V")</f>
        <v>0</v>
      </c>
      <c r="AY2">
        <f>BDH("GERN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BDH("GETY US Equity","BS_TOT_ASSET","1993-06-18","2026-05-02","Per=Y","Days=T","Dir=V")</f>
        <v>0</v>
      </c>
      <c r="C2">
        <f>BDH("GETY US Equity","BS_TOT_LIAB2","1993-06-18","2026-05-02","Per=Y","Days=T","Dir=V")</f>
        <v>0</v>
      </c>
      <c r="E2">
        <f>BDH("GETY US Equity","SHORT_AND_LONG_TERM_DEBT","1993-06-18","2026-05-02","Per=Y","Days=T","Dir=V")</f>
        <v>0</v>
      </c>
      <c r="G2">
        <f>BDH("GETY US Equity","BS_ST_BORROW","1993-06-18","2026-05-02","Per=Y","Days=T","Dir=V")</f>
        <v>0</v>
      </c>
      <c r="I2">
        <f>BDH("GETY US Equity","BS_LT_BORROW","1993-06-18","2026-05-02","Per=Y","Days=T","Dir=V")</f>
        <v>0</v>
      </c>
      <c r="K2">
        <f>BDH("GETY US Equity","BS_CASH_NEAR_CASH_ITEM","1993-06-18","2026-05-02","Per=Y","Days=T","Dir=V")</f>
        <v>0</v>
      </c>
      <c r="M2">
        <f>BDH("GETY US Equity","BS_CUR_ASSET_REPORT","1993-06-18","2026-05-02","Per=Y","Days=T","Dir=V")</f>
        <v>0</v>
      </c>
      <c r="O2">
        <f>BDH("GETY US Equity","BS_CUR_LIAB","1993-06-18","2026-05-02","Per=Y","Days=T","Dir=V")</f>
        <v>0</v>
      </c>
      <c r="Q2">
        <f>BDH("GETY US Equity","BS_SHAREHOLDER_EQY_ENDING_PERIOD","1993-06-18","2026-05-02","Per=Y","Days=T","Dir=V")</f>
        <v>0</v>
      </c>
      <c r="S2">
        <f>BDH("GETY US Equity","BS_ACCT_NOTE_RCV","1993-06-18","2026-05-02","Per=Y","Days=T","Dir=V")</f>
        <v>0</v>
      </c>
      <c r="U2">
        <f>BDH("GETY US Equity","BS_INVENTORIES","1993-06-18","2026-05-02","Per=Y","Days=T","Dir=V")</f>
        <v>0</v>
      </c>
      <c r="W2">
        <f>BDH("GETY US Equity","WORKING_CAPITAL","1993-06-18","2026-05-02","Per=Y","Days=T","Dir=V")</f>
        <v>0</v>
      </c>
      <c r="Y2">
        <f>BDH("GETY US Equity","SALES_REV_TURN","1993-06-18","2026-05-02","Per=Y","Days=T","Dir=V")</f>
        <v>0</v>
      </c>
      <c r="AA2">
        <f>BDH("GETY US Equity","EBIT","1993-06-18","2026-05-02","Per=Y","Days=T","Dir=V")</f>
        <v>0</v>
      </c>
      <c r="AC2">
        <f>BDH("GETY US Equity","EBITDA","1993-06-18","2026-05-02","Per=Y","Days=T","Dir=V")</f>
        <v>0</v>
      </c>
      <c r="AE2">
        <f>BDH("GETY US Equity","NET_INCOME","1993-06-18","2026-05-02","Per=Y","Days=T","Dir=V")</f>
        <v>0</v>
      </c>
      <c r="AG2">
        <f>BDH("GETY US Equity","IS_INT_EXPENSE","1993-06-18","2026-05-02","Per=Y","Days=T","Dir=V")</f>
        <v>0</v>
      </c>
      <c r="AI2">
        <f>BDH("GETY US Equity","IS_DEPR_EXP","1993-06-18","2026-05-02","Per=Y","Days=T","Dir=V")</f>
        <v>0</v>
      </c>
      <c r="AK2">
        <f>BDH("GETY US Equity","CF_CASH_FROM_OPER","1993-06-18","2026-05-02","Per=Y","Days=T","Dir=V")</f>
        <v>0</v>
      </c>
      <c r="AM2">
        <f>BDH("GETY US Equity","CAPITAL_EXPEND","1993-06-18","2026-05-02","Per=Y","Days=T","Dir=V")</f>
        <v>0</v>
      </c>
      <c r="AO2">
        <f>BDH("GETY US Equity","CF_FREE_CASH_FLOW","1993-06-18","2026-05-02","Per=Y","Days=T","Dir=V")</f>
        <v>0</v>
      </c>
      <c r="AQ2">
        <f>BDH("GETY US Equity","PX_LAST","1993-06-18","2026-05-02","Per=M","Days=T","Dir=V")</f>
        <v>0</v>
      </c>
      <c r="AS2">
        <f>BDH("GETY US Equity","CUR_MKT_CAP","1993-06-18","2026-05-02","Per=M","Days=T","Dir=V")</f>
        <v>0</v>
      </c>
      <c r="AU2">
        <f>BDH("GETY US Equity","EQY_SH_OUT","1993-06-18","2026-05-02","Per=M","Days=T","Dir=V")</f>
        <v>0</v>
      </c>
      <c r="AW2">
        <f>BDH("GETY US Equity","PX_VOLUME","1993-06-18","2026-05-02","Per=M","Days=T","Dir=V")</f>
        <v>0</v>
      </c>
      <c r="AY2">
        <f>BDH("GETY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BDH("GEV US Equity","BS_TOT_ASSET","1993-06-18","2026-05-02","Per=Y","Days=T","Dir=V")</f>
        <v>0</v>
      </c>
      <c r="C2">
        <f>BDH("GEV US Equity","BS_TOT_LIAB2","1993-06-18","2026-05-02","Per=Y","Days=T","Dir=V")</f>
        <v>0</v>
      </c>
      <c r="E2">
        <f>BDH("GEV US Equity","SHORT_AND_LONG_TERM_DEBT","1993-06-18","2026-05-02","Per=Y","Days=T","Dir=V")</f>
        <v>0</v>
      </c>
      <c r="G2">
        <f>BDH("GEV US Equity","BS_ST_BORROW","1993-06-18","2026-05-02","Per=Y","Days=T","Dir=V")</f>
        <v>0</v>
      </c>
      <c r="I2">
        <f>BDH("GEV US Equity","BS_LT_BORROW","1993-06-18","2026-05-02","Per=Y","Days=T","Dir=V")</f>
        <v>0</v>
      </c>
      <c r="K2">
        <f>BDH("GEV US Equity","BS_CASH_NEAR_CASH_ITEM","1993-06-18","2026-05-02","Per=Y","Days=T","Dir=V")</f>
        <v>0</v>
      </c>
      <c r="M2">
        <f>BDH("GEV US Equity","BS_CUR_ASSET_REPORT","1993-06-18","2026-05-02","Per=Y","Days=T","Dir=V")</f>
        <v>0</v>
      </c>
      <c r="O2">
        <f>BDH("GEV US Equity","BS_CUR_LIAB","1993-06-18","2026-05-02","Per=Y","Days=T","Dir=V")</f>
        <v>0</v>
      </c>
      <c r="Q2">
        <f>BDH("GEV US Equity","BS_SHAREHOLDER_EQY_ENDING_PERIOD","1993-06-18","2026-05-02","Per=Y","Days=T","Dir=V")</f>
        <v>0</v>
      </c>
      <c r="S2">
        <f>BDH("GEV US Equity","BS_ACCT_NOTE_RCV","1993-06-18","2026-05-02","Per=Y","Days=T","Dir=V")</f>
        <v>0</v>
      </c>
      <c r="U2">
        <f>BDH("GEV US Equity","BS_INVENTORIES","1993-06-18","2026-05-02","Per=Y","Days=T","Dir=V")</f>
        <v>0</v>
      </c>
      <c r="W2">
        <f>BDH("GEV US Equity","WORKING_CAPITAL","1993-06-18","2026-05-02","Per=Y","Days=T","Dir=V")</f>
        <v>0</v>
      </c>
      <c r="Y2">
        <f>BDH("GEV US Equity","SALES_REV_TURN","1993-06-18","2026-05-02","Per=Y","Days=T","Dir=V")</f>
        <v>0</v>
      </c>
      <c r="AA2">
        <f>BDH("GEV US Equity","EBIT","1993-06-18","2026-05-02","Per=Y","Days=T","Dir=V")</f>
        <v>0</v>
      </c>
      <c r="AC2">
        <f>BDH("GEV US Equity","EBITDA","1993-06-18","2026-05-02","Per=Y","Days=T","Dir=V")</f>
        <v>0</v>
      </c>
      <c r="AE2">
        <f>BDH("GEV US Equity","NET_INCOME","1993-06-18","2026-05-02","Per=Y","Days=T","Dir=V")</f>
        <v>0</v>
      </c>
      <c r="AG2">
        <f>BDH("GEV US Equity","IS_INT_EXPENSE","1993-06-18","2026-05-02","Per=Y","Days=T","Dir=V")</f>
        <v>0</v>
      </c>
      <c r="AI2">
        <f>BDH("GEV US Equity","IS_DEPR_EXP","1993-06-18","2026-05-02","Per=Y","Days=T","Dir=V")</f>
        <v>0</v>
      </c>
      <c r="AK2">
        <f>BDH("GEV US Equity","CF_CASH_FROM_OPER","1993-06-18","2026-05-02","Per=Y","Days=T","Dir=V")</f>
        <v>0</v>
      </c>
      <c r="AM2">
        <f>BDH("GEV US Equity","CAPITAL_EXPEND","1993-06-18","2026-05-02","Per=Y","Days=T","Dir=V")</f>
        <v>0</v>
      </c>
      <c r="AO2">
        <f>BDH("GEV US Equity","CF_FREE_CASH_FLOW","1993-06-18","2026-05-02","Per=Y","Days=T","Dir=V")</f>
        <v>0</v>
      </c>
      <c r="AQ2">
        <f>BDH("GEV US Equity","PX_LAST","1993-06-18","2026-05-02","Per=M","Days=T","Dir=V")</f>
        <v>0</v>
      </c>
      <c r="AS2">
        <f>BDH("GEV US Equity","CUR_MKT_CAP","1993-06-18","2026-05-02","Per=M","Days=T","Dir=V")</f>
        <v>0</v>
      </c>
      <c r="AU2">
        <f>BDH("GEV US Equity","EQY_SH_OUT","1993-06-18","2026-05-02","Per=M","Days=T","Dir=V")</f>
        <v>0</v>
      </c>
      <c r="AW2">
        <f>BDH("GEV US Equity","PX_VOLUME","1993-06-18","2026-05-02","Per=M","Days=T","Dir=V")</f>
        <v>0</v>
      </c>
      <c r="AY2">
        <f>BDH("GEV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BDH("GEVO US Equity","BS_TOT_ASSET","1993-06-18","2026-05-02","Per=Y","Days=T","Dir=V")</f>
        <v>0</v>
      </c>
      <c r="C2">
        <f>BDH("GEVO US Equity","BS_TOT_LIAB2","1993-06-18","2026-05-02","Per=Y","Days=T","Dir=V")</f>
        <v>0</v>
      </c>
      <c r="E2">
        <f>BDH("GEVO US Equity","SHORT_AND_LONG_TERM_DEBT","1993-06-18","2026-05-02","Per=Y","Days=T","Dir=V")</f>
        <v>0</v>
      </c>
      <c r="G2">
        <f>BDH("GEVO US Equity","BS_ST_BORROW","1993-06-18","2026-05-02","Per=Y","Days=T","Dir=V")</f>
        <v>0</v>
      </c>
      <c r="I2">
        <f>BDH("GEVO US Equity","BS_LT_BORROW","1993-06-18","2026-05-02","Per=Y","Days=T","Dir=V")</f>
        <v>0</v>
      </c>
      <c r="K2">
        <f>BDH("GEVO US Equity","BS_CASH_NEAR_CASH_ITEM","1993-06-18","2026-05-02","Per=Y","Days=T","Dir=V")</f>
        <v>0</v>
      </c>
      <c r="M2">
        <f>BDH("GEVO US Equity","BS_CUR_ASSET_REPORT","1993-06-18","2026-05-02","Per=Y","Days=T","Dir=V")</f>
        <v>0</v>
      </c>
      <c r="O2">
        <f>BDH("GEVO US Equity","BS_CUR_LIAB","1993-06-18","2026-05-02","Per=Y","Days=T","Dir=V")</f>
        <v>0</v>
      </c>
      <c r="Q2">
        <f>BDH("GEVO US Equity","BS_SHAREHOLDER_EQY_ENDING_PERIOD","1993-06-18","2026-05-02","Per=Y","Days=T","Dir=V")</f>
        <v>0</v>
      </c>
      <c r="S2">
        <f>BDH("GEVO US Equity","BS_ACCT_NOTE_RCV","1993-06-18","2026-05-02","Per=Y","Days=T","Dir=V")</f>
        <v>0</v>
      </c>
      <c r="U2">
        <f>BDH("GEVO US Equity","BS_INVENTORIES","1993-06-18","2026-05-02","Per=Y","Days=T","Dir=V")</f>
        <v>0</v>
      </c>
      <c r="W2">
        <f>BDH("GEVO US Equity","WORKING_CAPITAL","1993-06-18","2026-05-02","Per=Y","Days=T","Dir=V")</f>
        <v>0</v>
      </c>
      <c r="Y2">
        <f>BDH("GEVO US Equity","SALES_REV_TURN","1993-06-18","2026-05-02","Per=Y","Days=T","Dir=V")</f>
        <v>0</v>
      </c>
      <c r="AA2">
        <f>BDH("GEVO US Equity","EBIT","1993-06-18","2026-05-02","Per=Y","Days=T","Dir=V")</f>
        <v>0</v>
      </c>
      <c r="AC2">
        <f>BDH("GEVO US Equity","EBITDA","1993-06-18","2026-05-02","Per=Y","Days=T","Dir=V")</f>
        <v>0</v>
      </c>
      <c r="AE2">
        <f>BDH("GEVO US Equity","NET_INCOME","1993-06-18","2026-05-02","Per=Y","Days=T","Dir=V")</f>
        <v>0</v>
      </c>
      <c r="AG2">
        <f>BDH("GEVO US Equity","IS_INT_EXPENSE","1993-06-18","2026-05-02","Per=Y","Days=T","Dir=V")</f>
        <v>0</v>
      </c>
      <c r="AI2">
        <f>BDH("GEVO US Equity","IS_DEPR_EXP","1993-06-18","2026-05-02","Per=Y","Days=T","Dir=V")</f>
        <v>0</v>
      </c>
      <c r="AK2">
        <f>BDH("GEVO US Equity","CF_CASH_FROM_OPER","1993-06-18","2026-05-02","Per=Y","Days=T","Dir=V")</f>
        <v>0</v>
      </c>
      <c r="AM2">
        <f>BDH("GEVO US Equity","CAPITAL_EXPEND","1993-06-18","2026-05-02","Per=Y","Days=T","Dir=V")</f>
        <v>0</v>
      </c>
      <c r="AO2">
        <f>BDH("GEVO US Equity","CF_FREE_CASH_FLOW","1993-06-18","2026-05-02","Per=Y","Days=T","Dir=V")</f>
        <v>0</v>
      </c>
      <c r="AQ2">
        <f>BDH("GEVO US Equity","PX_LAST","1993-06-18","2026-05-02","Per=M","Days=T","Dir=V")</f>
        <v>0</v>
      </c>
      <c r="AS2">
        <f>BDH("GEVO US Equity","CUR_MKT_CAP","1993-06-18","2026-05-02","Per=M","Days=T","Dir=V")</f>
        <v>0</v>
      </c>
      <c r="AU2">
        <f>BDH("GEVO US Equity","EQY_SH_OUT","1993-06-18","2026-05-02","Per=M","Days=T","Dir=V")</f>
        <v>0</v>
      </c>
      <c r="AW2">
        <f>BDH("GEVO US Equity","PX_VOLUME","1993-06-18","2026-05-02","Per=M","Days=T","Dir=V")</f>
        <v>0</v>
      </c>
      <c r="AY2">
        <f>BDH("GEVO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BDH("GFF US Equity","BS_TOT_ASSET","1993-06-18","2026-05-02","Per=Y","Days=T","Dir=V")</f>
        <v>0</v>
      </c>
      <c r="C2">
        <f>BDH("GFF US Equity","BS_TOT_LIAB2","1993-06-18","2026-05-02","Per=Y","Days=T","Dir=V")</f>
        <v>0</v>
      </c>
      <c r="E2">
        <f>BDH("GFF US Equity","SHORT_AND_LONG_TERM_DEBT","1993-06-18","2026-05-02","Per=Y","Days=T","Dir=V")</f>
        <v>0</v>
      </c>
      <c r="G2">
        <f>BDH("GFF US Equity","BS_ST_BORROW","1993-06-18","2026-05-02","Per=Y","Days=T","Dir=V")</f>
        <v>0</v>
      </c>
      <c r="I2">
        <f>BDH("GFF US Equity","BS_LT_BORROW","1993-06-18","2026-05-02","Per=Y","Days=T","Dir=V")</f>
        <v>0</v>
      </c>
      <c r="K2">
        <f>BDH("GFF US Equity","BS_CASH_NEAR_CASH_ITEM","1993-06-18","2026-05-02","Per=Y","Days=T","Dir=V")</f>
        <v>0</v>
      </c>
      <c r="M2">
        <f>BDH("GFF US Equity","BS_CUR_ASSET_REPORT","1993-06-18","2026-05-02","Per=Y","Days=T","Dir=V")</f>
        <v>0</v>
      </c>
      <c r="O2">
        <f>BDH("GFF US Equity","BS_CUR_LIAB","1993-06-18","2026-05-02","Per=Y","Days=T","Dir=V")</f>
        <v>0</v>
      </c>
      <c r="Q2">
        <f>BDH("GFF US Equity","BS_SHAREHOLDER_EQY_ENDING_PERIOD","1993-06-18","2026-05-02","Per=Y","Days=T","Dir=V")</f>
        <v>0</v>
      </c>
      <c r="S2">
        <f>BDH("GFF US Equity","BS_ACCT_NOTE_RCV","1993-06-18","2026-05-02","Per=Y","Days=T","Dir=V")</f>
        <v>0</v>
      </c>
      <c r="U2">
        <f>BDH("GFF US Equity","BS_INVENTORIES","1993-06-18","2026-05-02","Per=Y","Days=T","Dir=V")</f>
        <v>0</v>
      </c>
      <c r="W2">
        <f>BDH("GFF US Equity","WORKING_CAPITAL","1993-06-18","2026-05-02","Per=Y","Days=T","Dir=V")</f>
        <v>0</v>
      </c>
      <c r="Y2">
        <f>BDH("GFF US Equity","SALES_REV_TURN","1993-06-18","2026-05-02","Per=Y","Days=T","Dir=V")</f>
        <v>0</v>
      </c>
      <c r="AA2">
        <f>BDH("GFF US Equity","EBIT","1993-06-18","2026-05-02","Per=Y","Days=T","Dir=V")</f>
        <v>0</v>
      </c>
      <c r="AC2">
        <f>BDH("GFF US Equity","EBITDA","1993-06-18","2026-05-02","Per=Y","Days=T","Dir=V")</f>
        <v>0</v>
      </c>
      <c r="AE2">
        <f>BDH("GFF US Equity","NET_INCOME","1993-06-18","2026-05-02","Per=Y","Days=T","Dir=V")</f>
        <v>0</v>
      </c>
      <c r="AG2">
        <f>BDH("GFF US Equity","IS_INT_EXPENSE","1993-06-18","2026-05-02","Per=Y","Days=T","Dir=V")</f>
        <v>0</v>
      </c>
      <c r="AI2">
        <f>BDH("GFF US Equity","IS_DEPR_EXP","1993-06-18","2026-05-02","Per=Y","Days=T","Dir=V")</f>
        <v>0</v>
      </c>
      <c r="AK2">
        <f>BDH("GFF US Equity","CF_CASH_FROM_OPER","1993-06-18","2026-05-02","Per=Y","Days=T","Dir=V")</f>
        <v>0</v>
      </c>
      <c r="AM2">
        <f>BDH("GFF US Equity","CAPITAL_EXPEND","1993-06-18","2026-05-02","Per=Y","Days=T","Dir=V")</f>
        <v>0</v>
      </c>
      <c r="AO2">
        <f>BDH("GFF US Equity","CF_FREE_CASH_FLOW","1993-06-18","2026-05-02","Per=Y","Days=T","Dir=V")</f>
        <v>0</v>
      </c>
      <c r="AQ2">
        <f>BDH("GFF US Equity","PX_LAST","1993-06-18","2026-05-02","Per=M","Days=T","Dir=V")</f>
        <v>0</v>
      </c>
      <c r="AS2">
        <f>BDH("GFF US Equity","CUR_MKT_CAP","1993-06-18","2026-05-02","Per=M","Days=T","Dir=V")</f>
        <v>0</v>
      </c>
      <c r="AU2">
        <f>BDH("GFF US Equity","EQY_SH_OUT","1993-06-18","2026-05-02","Per=M","Days=T","Dir=V")</f>
        <v>0</v>
      </c>
      <c r="AW2">
        <f>BDH("GFF US Equity","PX_VOLUME","1993-06-18","2026-05-02","Per=M","Days=T","Dir=V")</f>
        <v>0</v>
      </c>
      <c r="AY2">
        <f>BDH("GFF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BDH("GFS US Equity","BS_TOT_ASSET","1993-06-18","2026-05-02","Per=Y","Days=T","Dir=V")</f>
        <v>0</v>
      </c>
      <c r="C2">
        <f>BDH("GFS US Equity","BS_TOT_LIAB2","1993-06-18","2026-05-02","Per=Y","Days=T","Dir=V")</f>
        <v>0</v>
      </c>
      <c r="E2">
        <f>BDH("GFS US Equity","SHORT_AND_LONG_TERM_DEBT","1993-06-18","2026-05-02","Per=Y","Days=T","Dir=V")</f>
        <v>0</v>
      </c>
      <c r="G2">
        <f>BDH("GFS US Equity","BS_ST_BORROW","1993-06-18","2026-05-02","Per=Y","Days=T","Dir=V")</f>
        <v>0</v>
      </c>
      <c r="I2">
        <f>BDH("GFS US Equity","BS_LT_BORROW","1993-06-18","2026-05-02","Per=Y","Days=T","Dir=V")</f>
        <v>0</v>
      </c>
      <c r="K2">
        <f>BDH("GFS US Equity","BS_CASH_NEAR_CASH_ITEM","1993-06-18","2026-05-02","Per=Y","Days=T","Dir=V")</f>
        <v>0</v>
      </c>
      <c r="M2">
        <f>BDH("GFS US Equity","BS_CUR_ASSET_REPORT","1993-06-18","2026-05-02","Per=Y","Days=T","Dir=V")</f>
        <v>0</v>
      </c>
      <c r="O2">
        <f>BDH("GFS US Equity","BS_CUR_LIAB","1993-06-18","2026-05-02","Per=Y","Days=T","Dir=V")</f>
        <v>0</v>
      </c>
      <c r="Q2">
        <f>BDH("GFS US Equity","BS_SHAREHOLDER_EQY_ENDING_PERIOD","1993-06-18","2026-05-02","Per=Y","Days=T","Dir=V")</f>
        <v>0</v>
      </c>
      <c r="S2">
        <f>BDH("GFS US Equity","BS_ACCT_NOTE_RCV","1993-06-18","2026-05-02","Per=Y","Days=T","Dir=V")</f>
        <v>0</v>
      </c>
      <c r="U2">
        <f>BDH("GFS US Equity","BS_INVENTORIES","1993-06-18","2026-05-02","Per=Y","Days=T","Dir=V")</f>
        <v>0</v>
      </c>
      <c r="W2">
        <f>BDH("GFS US Equity","WORKING_CAPITAL","1993-06-18","2026-05-02","Per=Y","Days=T","Dir=V")</f>
        <v>0</v>
      </c>
      <c r="Y2">
        <f>BDH("GFS US Equity","SALES_REV_TURN","1993-06-18","2026-05-02","Per=Y","Days=T","Dir=V")</f>
        <v>0</v>
      </c>
      <c r="AA2">
        <f>BDH("GFS US Equity","EBIT","1993-06-18","2026-05-02","Per=Y","Days=T","Dir=V")</f>
        <v>0</v>
      </c>
      <c r="AC2">
        <f>BDH("GFS US Equity","EBITDA","1993-06-18","2026-05-02","Per=Y","Days=T","Dir=V")</f>
        <v>0</v>
      </c>
      <c r="AE2">
        <f>BDH("GFS US Equity","NET_INCOME","1993-06-18","2026-05-02","Per=Y","Days=T","Dir=V")</f>
        <v>0</v>
      </c>
      <c r="AG2">
        <f>BDH("GFS US Equity","IS_INT_EXPENSE","1993-06-18","2026-05-02","Per=Y","Days=T","Dir=V")</f>
        <v>0</v>
      </c>
      <c r="AI2">
        <f>BDH("GFS US Equity","IS_DEPR_EXP","1993-06-18","2026-05-02","Per=Y","Days=T","Dir=V")</f>
        <v>0</v>
      </c>
      <c r="AK2">
        <f>BDH("GFS US Equity","CF_CASH_FROM_OPER","1993-06-18","2026-05-02","Per=Y","Days=T","Dir=V")</f>
        <v>0</v>
      </c>
      <c r="AM2">
        <f>BDH("GFS US Equity","CAPITAL_EXPEND","1993-06-18","2026-05-02","Per=Y","Days=T","Dir=V")</f>
        <v>0</v>
      </c>
      <c r="AO2">
        <f>BDH("GFS US Equity","CF_FREE_CASH_FLOW","1993-06-18","2026-05-02","Per=Y","Days=T","Dir=V")</f>
        <v>0</v>
      </c>
      <c r="AQ2">
        <f>BDH("GFS US Equity","PX_LAST","1993-06-18","2026-05-02","Per=M","Days=T","Dir=V")</f>
        <v>0</v>
      </c>
      <c r="AS2">
        <f>BDH("GFS US Equity","CUR_MKT_CAP","1993-06-18","2026-05-02","Per=M","Days=T","Dir=V")</f>
        <v>0</v>
      </c>
      <c r="AU2">
        <f>BDH("GFS US Equity","EQY_SH_OUT","1993-06-18","2026-05-02","Per=M","Days=T","Dir=V")</f>
        <v>0</v>
      </c>
      <c r="AW2">
        <f>BDH("GFS US Equity","PX_VOLUME","1993-06-18","2026-05-02","Per=M","Days=T","Dir=V")</f>
        <v>0</v>
      </c>
      <c r="AY2">
        <f>BDH("GFS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BDH("GFUZ US Equity","BS_TOT_ASSET","1993-06-18","2026-05-02","Per=Y","Days=T","Dir=V")</f>
        <v>0</v>
      </c>
      <c r="C2">
        <f>BDH("GFUZ US Equity","BS_TOT_LIAB2","1993-06-18","2026-05-02","Per=Y","Days=T","Dir=V")</f>
        <v>0</v>
      </c>
      <c r="E2">
        <f>BDH("GFUZ US Equity","SHORT_AND_LONG_TERM_DEBT","1993-06-18","2026-05-02","Per=Y","Days=T","Dir=V")</f>
        <v>0</v>
      </c>
      <c r="G2">
        <f>BDH("GFUZ US Equity","BS_ST_BORROW","1993-06-18","2026-05-02","Per=Y","Days=T","Dir=V")</f>
        <v>0</v>
      </c>
      <c r="I2">
        <f>BDH("GFUZ US Equity","BS_LT_BORROW","1993-06-18","2026-05-02","Per=Y","Days=T","Dir=V")</f>
        <v>0</v>
      </c>
      <c r="K2">
        <f>BDH("GFUZ US Equity","BS_CASH_NEAR_CASH_ITEM","1993-06-18","2026-05-02","Per=Y","Days=T","Dir=V")</f>
        <v>0</v>
      </c>
      <c r="M2">
        <f>BDH("GFUZ US Equity","BS_CUR_ASSET_REPORT","1993-06-18","2026-05-02","Per=Y","Days=T","Dir=V")</f>
        <v>0</v>
      </c>
      <c r="O2">
        <f>BDH("GFUZ US Equity","BS_CUR_LIAB","1993-06-18","2026-05-02","Per=Y","Days=T","Dir=V")</f>
        <v>0</v>
      </c>
      <c r="Q2">
        <f>BDH("GFUZ US Equity","BS_SHAREHOLDER_EQY_ENDING_PERIOD","1993-06-18","2026-05-02","Per=Y","Days=T","Dir=V")</f>
        <v>0</v>
      </c>
      <c r="S2">
        <f>BDH("GFUZ US Equity","BS_ACCT_NOTE_RCV","1993-06-18","2026-05-02","Per=Y","Days=T","Dir=V")</f>
        <v>0</v>
      </c>
      <c r="U2">
        <f>BDH("GFUZ US Equity","BS_INVENTORIES","1993-06-18","2026-05-02","Per=Y","Days=T","Dir=V")</f>
        <v>0</v>
      </c>
      <c r="W2">
        <f>BDH("GFUZ US Equity","WORKING_CAPITAL","1993-06-18","2026-05-02","Per=Y","Days=T","Dir=V")</f>
        <v>0</v>
      </c>
      <c r="Y2">
        <f>BDH("GFUZ US Equity","SALES_REV_TURN","1993-06-18","2026-05-02","Per=Y","Days=T","Dir=V")</f>
        <v>0</v>
      </c>
      <c r="AA2">
        <f>BDH("GFUZ US Equity","EBIT","1993-06-18","2026-05-02","Per=Y","Days=T","Dir=V")</f>
        <v>0</v>
      </c>
      <c r="AC2">
        <f>BDH("GFUZ US Equity","EBITDA","1993-06-18","2026-05-02","Per=Y","Days=T","Dir=V")</f>
        <v>0</v>
      </c>
      <c r="AE2">
        <f>BDH("GFUZ US Equity","NET_INCOME","1993-06-18","2026-05-02","Per=Y","Days=T","Dir=V")</f>
        <v>0</v>
      </c>
      <c r="AG2">
        <f>BDH("GFUZ US Equity","IS_INT_EXPENSE","1993-06-18","2026-05-02","Per=Y","Days=T","Dir=V")</f>
        <v>0</v>
      </c>
      <c r="AI2">
        <f>BDH("GFUZ US Equity","IS_DEPR_EXP","1993-06-18","2026-05-02","Per=Y","Days=T","Dir=V")</f>
        <v>0</v>
      </c>
      <c r="AK2">
        <f>BDH("GFUZ US Equity","CF_CASH_FROM_OPER","1993-06-18","2026-05-02","Per=Y","Days=T","Dir=V")</f>
        <v>0</v>
      </c>
      <c r="AM2">
        <f>BDH("GFUZ US Equity","CAPITAL_EXPEND","1993-06-18","2026-05-02","Per=Y","Days=T","Dir=V")</f>
        <v>0</v>
      </c>
      <c r="AO2">
        <f>BDH("GFUZ US Equity","CF_FREE_CASH_FLOW","1993-06-18","2026-05-02","Per=Y","Days=T","Dir=V")</f>
        <v>0</v>
      </c>
      <c r="AQ2">
        <f>BDH("GFUZ US Equity","PX_LAST","1993-06-18","2026-05-02","Per=M","Days=T","Dir=V")</f>
        <v>0</v>
      </c>
      <c r="AS2">
        <f>BDH("GFUZ US Equity","CUR_MKT_CAP","1993-06-18","2026-05-02","Per=M","Days=T","Dir=V")</f>
        <v>0</v>
      </c>
      <c r="AU2">
        <f>BDH("GFUZ US Equity","EQY_SH_OUT","1993-06-18","2026-05-02","Per=M","Days=T","Dir=V")</f>
        <v>0</v>
      </c>
      <c r="AW2">
        <f>BDH("GFUZ US Equity","PX_VOLUME","1993-06-18","2026-05-02","Per=M","Days=T","Dir=V")</f>
        <v>0</v>
      </c>
      <c r="AY2">
        <f>BDH("GFUZ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BDH("GFUZW US Equity","BS_TOT_ASSET","1993-06-18","2026-05-02","Per=Y","Days=T","Dir=V")</f>
        <v>0</v>
      </c>
      <c r="C2">
        <f>BDH("GFUZW US Equity","BS_TOT_LIAB2","1993-06-18","2026-05-02","Per=Y","Days=T","Dir=V")</f>
        <v>0</v>
      </c>
      <c r="E2">
        <f>BDH("GFUZW US Equity","SHORT_AND_LONG_TERM_DEBT","1993-06-18","2026-05-02","Per=Y","Days=T","Dir=V")</f>
        <v>0</v>
      </c>
      <c r="G2">
        <f>BDH("GFUZW US Equity","BS_ST_BORROW","1993-06-18","2026-05-02","Per=Y","Days=T","Dir=V")</f>
        <v>0</v>
      </c>
      <c r="I2">
        <f>BDH("GFUZW US Equity","BS_LT_BORROW","1993-06-18","2026-05-02","Per=Y","Days=T","Dir=V")</f>
        <v>0</v>
      </c>
      <c r="K2">
        <f>BDH("GFUZW US Equity","BS_CASH_NEAR_CASH_ITEM","1993-06-18","2026-05-02","Per=Y","Days=T","Dir=V")</f>
        <v>0</v>
      </c>
      <c r="M2">
        <f>BDH("GFUZW US Equity","BS_CUR_ASSET_REPORT","1993-06-18","2026-05-02","Per=Y","Days=T","Dir=V")</f>
        <v>0</v>
      </c>
      <c r="O2">
        <f>BDH("GFUZW US Equity","BS_CUR_LIAB","1993-06-18","2026-05-02","Per=Y","Days=T","Dir=V")</f>
        <v>0</v>
      </c>
      <c r="Q2">
        <f>BDH("GFUZW US Equity","BS_SHAREHOLDER_EQY_ENDING_PERIOD","1993-06-18","2026-05-02","Per=Y","Days=T","Dir=V")</f>
        <v>0</v>
      </c>
      <c r="S2">
        <f>BDH("GFUZW US Equity","BS_ACCT_NOTE_RCV","1993-06-18","2026-05-02","Per=Y","Days=T","Dir=V")</f>
        <v>0</v>
      </c>
      <c r="U2">
        <f>BDH("GFUZW US Equity","BS_INVENTORIES","1993-06-18","2026-05-02","Per=Y","Days=T","Dir=V")</f>
        <v>0</v>
      </c>
      <c r="W2">
        <f>BDH("GFUZW US Equity","WORKING_CAPITAL","1993-06-18","2026-05-02","Per=Y","Days=T","Dir=V")</f>
        <v>0</v>
      </c>
      <c r="Y2">
        <f>BDH("GFUZW US Equity","SALES_REV_TURN","1993-06-18","2026-05-02","Per=Y","Days=T","Dir=V")</f>
        <v>0</v>
      </c>
      <c r="AA2">
        <f>BDH("GFUZW US Equity","EBIT","1993-06-18","2026-05-02","Per=Y","Days=T","Dir=V")</f>
        <v>0</v>
      </c>
      <c r="AC2">
        <f>BDH("GFUZW US Equity","EBITDA","1993-06-18","2026-05-02","Per=Y","Days=T","Dir=V")</f>
        <v>0</v>
      </c>
      <c r="AE2">
        <f>BDH("GFUZW US Equity","NET_INCOME","1993-06-18","2026-05-02","Per=Y","Days=T","Dir=V")</f>
        <v>0</v>
      </c>
      <c r="AG2">
        <f>BDH("GFUZW US Equity","IS_INT_EXPENSE","1993-06-18","2026-05-02","Per=Y","Days=T","Dir=V")</f>
        <v>0</v>
      </c>
      <c r="AI2">
        <f>BDH("GFUZW US Equity","IS_DEPR_EXP","1993-06-18","2026-05-02","Per=Y","Days=T","Dir=V")</f>
        <v>0</v>
      </c>
      <c r="AK2">
        <f>BDH("GFUZW US Equity","CF_CASH_FROM_OPER","1993-06-18","2026-05-02","Per=Y","Days=T","Dir=V")</f>
        <v>0</v>
      </c>
      <c r="AM2">
        <f>BDH("GFUZW US Equity","CAPITAL_EXPEND","1993-06-18","2026-05-02","Per=Y","Days=T","Dir=V")</f>
        <v>0</v>
      </c>
      <c r="AO2">
        <f>BDH("GFUZW US Equity","CF_FREE_CASH_FLOW","1993-06-18","2026-05-02","Per=Y","Days=T","Dir=V")</f>
        <v>0</v>
      </c>
      <c r="AQ2">
        <f>BDH("GFUZW US Equity","PX_LAST","1993-06-18","2026-05-02","Per=M","Days=T","Dir=V")</f>
        <v>0</v>
      </c>
      <c r="AS2">
        <f>BDH("GFUZW US Equity","CUR_MKT_CAP","1993-06-18","2026-05-02","Per=M","Days=T","Dir=V")</f>
        <v>0</v>
      </c>
      <c r="AU2">
        <f>BDH("GFUZW US Equity","EQY_SH_OUT","1993-06-18","2026-05-02","Per=M","Days=T","Dir=V")</f>
        <v>0</v>
      </c>
      <c r="AW2">
        <f>BDH("GFUZW US Equity","PX_VOLUME","1993-06-18","2026-05-02","Per=M","Days=T","Dir=V")</f>
        <v>0</v>
      </c>
      <c r="AY2">
        <f>BDH("GFUZW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BDH("GGG US Equity","BS_TOT_ASSET","1993-06-18","2026-05-02","Per=Y","Days=T","Dir=V")</f>
        <v>0</v>
      </c>
      <c r="C2">
        <f>BDH("GGG US Equity","BS_TOT_LIAB2","1993-06-18","2026-05-02","Per=Y","Days=T","Dir=V")</f>
        <v>0</v>
      </c>
      <c r="E2">
        <f>BDH("GGG US Equity","SHORT_AND_LONG_TERM_DEBT","1993-06-18","2026-05-02","Per=Y","Days=T","Dir=V")</f>
        <v>0</v>
      </c>
      <c r="G2">
        <f>BDH("GGG US Equity","BS_ST_BORROW","1993-06-18","2026-05-02","Per=Y","Days=T","Dir=V")</f>
        <v>0</v>
      </c>
      <c r="I2">
        <f>BDH("GGG US Equity","BS_LT_BORROW","1993-06-18","2026-05-02","Per=Y","Days=T","Dir=V")</f>
        <v>0</v>
      </c>
      <c r="K2">
        <f>BDH("GGG US Equity","BS_CASH_NEAR_CASH_ITEM","1993-06-18","2026-05-02","Per=Y","Days=T","Dir=V")</f>
        <v>0</v>
      </c>
      <c r="M2">
        <f>BDH("GGG US Equity","BS_CUR_ASSET_REPORT","1993-06-18","2026-05-02","Per=Y","Days=T","Dir=V")</f>
        <v>0</v>
      </c>
      <c r="O2">
        <f>BDH("GGG US Equity","BS_CUR_LIAB","1993-06-18","2026-05-02","Per=Y","Days=T","Dir=V")</f>
        <v>0</v>
      </c>
      <c r="Q2">
        <f>BDH("GGG US Equity","BS_SHAREHOLDER_EQY_ENDING_PERIOD","1993-06-18","2026-05-02","Per=Y","Days=T","Dir=V")</f>
        <v>0</v>
      </c>
      <c r="S2">
        <f>BDH("GGG US Equity","BS_ACCT_NOTE_RCV","1993-06-18","2026-05-02","Per=Y","Days=T","Dir=V")</f>
        <v>0</v>
      </c>
      <c r="U2">
        <f>BDH("GGG US Equity","BS_INVENTORIES","1993-06-18","2026-05-02","Per=Y","Days=T","Dir=V")</f>
        <v>0</v>
      </c>
      <c r="W2">
        <f>BDH("GGG US Equity","WORKING_CAPITAL","1993-06-18","2026-05-02","Per=Y","Days=T","Dir=V")</f>
        <v>0</v>
      </c>
      <c r="Y2">
        <f>BDH("GGG US Equity","SALES_REV_TURN","1993-06-18","2026-05-02","Per=Y","Days=T","Dir=V")</f>
        <v>0</v>
      </c>
      <c r="AA2">
        <f>BDH("GGG US Equity","EBIT","1993-06-18","2026-05-02","Per=Y","Days=T","Dir=V")</f>
        <v>0</v>
      </c>
      <c r="AC2">
        <f>BDH("GGG US Equity","EBITDA","1993-06-18","2026-05-02","Per=Y","Days=T","Dir=V")</f>
        <v>0</v>
      </c>
      <c r="AE2">
        <f>BDH("GGG US Equity","NET_INCOME","1993-06-18","2026-05-02","Per=Y","Days=T","Dir=V")</f>
        <v>0</v>
      </c>
      <c r="AG2">
        <f>BDH("GGG US Equity","IS_INT_EXPENSE","1993-06-18","2026-05-02","Per=Y","Days=T","Dir=V")</f>
        <v>0</v>
      </c>
      <c r="AI2">
        <f>BDH("GGG US Equity","IS_DEPR_EXP","1993-06-18","2026-05-02","Per=Y","Days=T","Dir=V")</f>
        <v>0</v>
      </c>
      <c r="AK2">
        <f>BDH("GGG US Equity","CF_CASH_FROM_OPER","1993-06-18","2026-05-02","Per=Y","Days=T","Dir=V")</f>
        <v>0</v>
      </c>
      <c r="AM2">
        <f>BDH("GGG US Equity","CAPITAL_EXPEND","1993-06-18","2026-05-02","Per=Y","Days=T","Dir=V")</f>
        <v>0</v>
      </c>
      <c r="AO2">
        <f>BDH("GGG US Equity","CF_FREE_CASH_FLOW","1993-06-18","2026-05-02","Per=Y","Days=T","Dir=V")</f>
        <v>0</v>
      </c>
      <c r="AQ2">
        <f>BDH("GGG US Equity","PX_LAST","1993-06-18","2026-05-02","Per=M","Days=T","Dir=V")</f>
        <v>0</v>
      </c>
      <c r="AS2">
        <f>BDH("GGG US Equity","CUR_MKT_CAP","1993-06-18","2026-05-02","Per=M","Days=T","Dir=V")</f>
        <v>0</v>
      </c>
      <c r="AU2">
        <f>BDH("GGG US Equity","EQY_SH_OUT","1993-06-18","2026-05-02","Per=M","Days=T","Dir=V")</f>
        <v>0</v>
      </c>
      <c r="AW2">
        <f>BDH("GGG US Equity","PX_VOLUME","1993-06-18","2026-05-02","Per=M","Days=T","Dir=V")</f>
        <v>0</v>
      </c>
      <c r="AY2">
        <f>BDH("GGG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BDH("GH US Equity","BS_TOT_ASSET","1993-06-18","2026-05-02","Per=Y","Days=T","Dir=V")</f>
        <v>0</v>
      </c>
      <c r="C2">
        <f>BDH("GH US Equity","BS_TOT_LIAB2","1993-06-18","2026-05-02","Per=Y","Days=T","Dir=V")</f>
        <v>0</v>
      </c>
      <c r="E2">
        <f>BDH("GH US Equity","SHORT_AND_LONG_TERM_DEBT","1993-06-18","2026-05-02","Per=Y","Days=T","Dir=V")</f>
        <v>0</v>
      </c>
      <c r="G2">
        <f>BDH("GH US Equity","BS_ST_BORROW","1993-06-18","2026-05-02","Per=Y","Days=T","Dir=V")</f>
        <v>0</v>
      </c>
      <c r="I2">
        <f>BDH("GH US Equity","BS_LT_BORROW","1993-06-18","2026-05-02","Per=Y","Days=T","Dir=V")</f>
        <v>0</v>
      </c>
      <c r="K2">
        <f>BDH("GH US Equity","BS_CASH_NEAR_CASH_ITEM","1993-06-18","2026-05-02","Per=Y","Days=T","Dir=V")</f>
        <v>0</v>
      </c>
      <c r="M2">
        <f>BDH("GH US Equity","BS_CUR_ASSET_REPORT","1993-06-18","2026-05-02","Per=Y","Days=T","Dir=V")</f>
        <v>0</v>
      </c>
      <c r="O2">
        <f>BDH("GH US Equity","BS_CUR_LIAB","1993-06-18","2026-05-02","Per=Y","Days=T","Dir=V")</f>
        <v>0</v>
      </c>
      <c r="Q2">
        <f>BDH("GH US Equity","BS_SHAREHOLDER_EQY_ENDING_PERIOD","1993-06-18","2026-05-02","Per=Y","Days=T","Dir=V")</f>
        <v>0</v>
      </c>
      <c r="S2">
        <f>BDH("GH US Equity","BS_ACCT_NOTE_RCV","1993-06-18","2026-05-02","Per=Y","Days=T","Dir=V")</f>
        <v>0</v>
      </c>
      <c r="U2">
        <f>BDH("GH US Equity","BS_INVENTORIES","1993-06-18","2026-05-02","Per=Y","Days=T","Dir=V")</f>
        <v>0</v>
      </c>
      <c r="W2">
        <f>BDH("GH US Equity","WORKING_CAPITAL","1993-06-18","2026-05-02","Per=Y","Days=T","Dir=V")</f>
        <v>0</v>
      </c>
      <c r="Y2">
        <f>BDH("GH US Equity","SALES_REV_TURN","1993-06-18","2026-05-02","Per=Y","Days=T","Dir=V")</f>
        <v>0</v>
      </c>
      <c r="AA2">
        <f>BDH("GH US Equity","EBIT","1993-06-18","2026-05-02","Per=Y","Days=T","Dir=V")</f>
        <v>0</v>
      </c>
      <c r="AC2">
        <f>BDH("GH US Equity","EBITDA","1993-06-18","2026-05-02","Per=Y","Days=T","Dir=V")</f>
        <v>0</v>
      </c>
      <c r="AE2">
        <f>BDH("GH US Equity","NET_INCOME","1993-06-18","2026-05-02","Per=Y","Days=T","Dir=V")</f>
        <v>0</v>
      </c>
      <c r="AG2">
        <f>BDH("GH US Equity","IS_INT_EXPENSE","1993-06-18","2026-05-02","Per=Y","Days=T","Dir=V")</f>
        <v>0</v>
      </c>
      <c r="AI2">
        <f>BDH("GH US Equity","IS_DEPR_EXP","1993-06-18","2026-05-02","Per=Y","Days=T","Dir=V")</f>
        <v>0</v>
      </c>
      <c r="AK2">
        <f>BDH("GH US Equity","CF_CASH_FROM_OPER","1993-06-18","2026-05-02","Per=Y","Days=T","Dir=V")</f>
        <v>0</v>
      </c>
      <c r="AM2">
        <f>BDH("GH US Equity","CAPITAL_EXPEND","1993-06-18","2026-05-02","Per=Y","Days=T","Dir=V")</f>
        <v>0</v>
      </c>
      <c r="AO2">
        <f>BDH("GH US Equity","CF_FREE_CASH_FLOW","1993-06-18","2026-05-02","Per=Y","Days=T","Dir=V")</f>
        <v>0</v>
      </c>
      <c r="AQ2">
        <f>BDH("GH US Equity","PX_LAST","1993-06-18","2026-05-02","Per=M","Days=T","Dir=V")</f>
        <v>0</v>
      </c>
      <c r="AS2">
        <f>BDH("GH US Equity","CUR_MKT_CAP","1993-06-18","2026-05-02","Per=M","Days=T","Dir=V")</f>
        <v>0</v>
      </c>
      <c r="AU2">
        <f>BDH("GH US Equity","EQY_SH_OUT","1993-06-18","2026-05-02","Per=M","Days=T","Dir=V")</f>
        <v>0</v>
      </c>
      <c r="AW2">
        <f>BDH("GH US Equity","PX_VOLUME","1993-06-18","2026-05-02","Per=M","Days=T","Dir=V")</f>
        <v>0</v>
      </c>
      <c r="AY2">
        <f>BDH("GH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BDH("GHM US Equity","BS_TOT_ASSET","1993-06-18","2026-05-02","Per=Y","Days=T","Dir=V")</f>
        <v>0</v>
      </c>
      <c r="C2">
        <f>BDH("GHM US Equity","BS_TOT_LIAB2","1993-06-18","2026-05-02","Per=Y","Days=T","Dir=V")</f>
        <v>0</v>
      </c>
      <c r="E2">
        <f>BDH("GHM US Equity","SHORT_AND_LONG_TERM_DEBT","1993-06-18","2026-05-02","Per=Y","Days=T","Dir=V")</f>
        <v>0</v>
      </c>
      <c r="G2">
        <f>BDH("GHM US Equity","BS_ST_BORROW","1993-06-18","2026-05-02","Per=Y","Days=T","Dir=V")</f>
        <v>0</v>
      </c>
      <c r="I2">
        <f>BDH("GHM US Equity","BS_LT_BORROW","1993-06-18","2026-05-02","Per=Y","Days=T","Dir=V")</f>
        <v>0</v>
      </c>
      <c r="K2">
        <f>BDH("GHM US Equity","BS_CASH_NEAR_CASH_ITEM","1993-06-18","2026-05-02","Per=Y","Days=T","Dir=V")</f>
        <v>0</v>
      </c>
      <c r="M2">
        <f>BDH("GHM US Equity","BS_CUR_ASSET_REPORT","1993-06-18","2026-05-02","Per=Y","Days=T","Dir=V")</f>
        <v>0</v>
      </c>
      <c r="O2">
        <f>BDH("GHM US Equity","BS_CUR_LIAB","1993-06-18","2026-05-02","Per=Y","Days=T","Dir=V")</f>
        <v>0</v>
      </c>
      <c r="Q2">
        <f>BDH("GHM US Equity","BS_SHAREHOLDER_EQY_ENDING_PERIOD","1993-06-18","2026-05-02","Per=Y","Days=T","Dir=V")</f>
        <v>0</v>
      </c>
      <c r="S2">
        <f>BDH("GHM US Equity","BS_ACCT_NOTE_RCV","1993-06-18","2026-05-02","Per=Y","Days=T","Dir=V")</f>
        <v>0</v>
      </c>
      <c r="U2">
        <f>BDH("GHM US Equity","BS_INVENTORIES","1993-06-18","2026-05-02","Per=Y","Days=T","Dir=V")</f>
        <v>0</v>
      </c>
      <c r="W2">
        <f>BDH("GHM US Equity","WORKING_CAPITAL","1993-06-18","2026-05-02","Per=Y","Days=T","Dir=V")</f>
        <v>0</v>
      </c>
      <c r="Y2">
        <f>BDH("GHM US Equity","SALES_REV_TURN","1993-06-18","2026-05-02","Per=Y","Days=T","Dir=V")</f>
        <v>0</v>
      </c>
      <c r="AA2">
        <f>BDH("GHM US Equity","EBIT","1993-06-18","2026-05-02","Per=Y","Days=T","Dir=V")</f>
        <v>0</v>
      </c>
      <c r="AC2">
        <f>BDH("GHM US Equity","EBITDA","1993-06-18","2026-05-02","Per=Y","Days=T","Dir=V")</f>
        <v>0</v>
      </c>
      <c r="AE2">
        <f>BDH("GHM US Equity","NET_INCOME","1993-06-18","2026-05-02","Per=Y","Days=T","Dir=V")</f>
        <v>0</v>
      </c>
      <c r="AG2">
        <f>BDH("GHM US Equity","IS_INT_EXPENSE","1993-06-18","2026-05-02","Per=Y","Days=T","Dir=V")</f>
        <v>0</v>
      </c>
      <c r="AI2">
        <f>BDH("GHM US Equity","IS_DEPR_EXP","1993-06-18","2026-05-02","Per=Y","Days=T","Dir=V")</f>
        <v>0</v>
      </c>
      <c r="AK2">
        <f>BDH("GHM US Equity","CF_CASH_FROM_OPER","1993-06-18","2026-05-02","Per=Y","Days=T","Dir=V")</f>
        <v>0</v>
      </c>
      <c r="AM2">
        <f>BDH("GHM US Equity","CAPITAL_EXPEND","1993-06-18","2026-05-02","Per=Y","Days=T","Dir=V")</f>
        <v>0</v>
      </c>
      <c r="AO2">
        <f>BDH("GHM US Equity","CF_FREE_CASH_FLOW","1993-06-18","2026-05-02","Per=Y","Days=T","Dir=V")</f>
        <v>0</v>
      </c>
      <c r="AQ2">
        <f>BDH("GHM US Equity","PX_LAST","1993-06-18","2026-05-02","Per=M","Days=T","Dir=V")</f>
        <v>0</v>
      </c>
      <c r="AS2">
        <f>BDH("GHM US Equity","CUR_MKT_CAP","1993-06-18","2026-05-02","Per=M","Days=T","Dir=V")</f>
        <v>0</v>
      </c>
      <c r="AU2">
        <f>BDH("GHM US Equity","EQY_SH_OUT","1993-06-18","2026-05-02","Per=M","Days=T","Dir=V")</f>
        <v>0</v>
      </c>
      <c r="AW2">
        <f>BDH("GHM US Equity","PX_VOLUME","1993-06-18","2026-05-02","Per=M","Days=T","Dir=V")</f>
        <v>0</v>
      </c>
      <c r="AY2">
        <f>BDH("GHM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BDH("GIC US Equity","BS_TOT_ASSET","1993-06-18","2026-05-02","Per=Y","Days=T","Dir=V")</f>
        <v>0</v>
      </c>
      <c r="C2">
        <f>BDH("GIC US Equity","BS_TOT_LIAB2","1993-06-18","2026-05-02","Per=Y","Days=T","Dir=V")</f>
        <v>0</v>
      </c>
      <c r="E2">
        <f>BDH("GIC US Equity","SHORT_AND_LONG_TERM_DEBT","1993-06-18","2026-05-02","Per=Y","Days=T","Dir=V")</f>
        <v>0</v>
      </c>
      <c r="G2">
        <f>BDH("GIC US Equity","BS_ST_BORROW","1993-06-18","2026-05-02","Per=Y","Days=T","Dir=V")</f>
        <v>0</v>
      </c>
      <c r="I2">
        <f>BDH("GIC US Equity","BS_LT_BORROW","1993-06-18","2026-05-02","Per=Y","Days=T","Dir=V")</f>
        <v>0</v>
      </c>
      <c r="K2">
        <f>BDH("GIC US Equity","BS_CASH_NEAR_CASH_ITEM","1993-06-18","2026-05-02","Per=Y","Days=T","Dir=V")</f>
        <v>0</v>
      </c>
      <c r="M2">
        <f>BDH("GIC US Equity","BS_CUR_ASSET_REPORT","1993-06-18","2026-05-02","Per=Y","Days=T","Dir=V")</f>
        <v>0</v>
      </c>
      <c r="O2">
        <f>BDH("GIC US Equity","BS_CUR_LIAB","1993-06-18","2026-05-02","Per=Y","Days=T","Dir=V")</f>
        <v>0</v>
      </c>
      <c r="Q2">
        <f>BDH("GIC US Equity","BS_SHAREHOLDER_EQY_ENDING_PERIOD","1993-06-18","2026-05-02","Per=Y","Days=T","Dir=V")</f>
        <v>0</v>
      </c>
      <c r="S2">
        <f>BDH("GIC US Equity","BS_ACCT_NOTE_RCV","1993-06-18","2026-05-02","Per=Y","Days=T","Dir=V")</f>
        <v>0</v>
      </c>
      <c r="U2">
        <f>BDH("GIC US Equity","BS_INVENTORIES","1993-06-18","2026-05-02","Per=Y","Days=T","Dir=V")</f>
        <v>0</v>
      </c>
      <c r="W2">
        <f>BDH("GIC US Equity","WORKING_CAPITAL","1993-06-18","2026-05-02","Per=Y","Days=T","Dir=V")</f>
        <v>0</v>
      </c>
      <c r="Y2">
        <f>BDH("GIC US Equity","SALES_REV_TURN","1993-06-18","2026-05-02","Per=Y","Days=T","Dir=V")</f>
        <v>0</v>
      </c>
      <c r="AA2">
        <f>BDH("GIC US Equity","EBIT","1993-06-18","2026-05-02","Per=Y","Days=T","Dir=V")</f>
        <v>0</v>
      </c>
      <c r="AC2">
        <f>BDH("GIC US Equity","EBITDA","1993-06-18","2026-05-02","Per=Y","Days=T","Dir=V")</f>
        <v>0</v>
      </c>
      <c r="AE2">
        <f>BDH("GIC US Equity","NET_INCOME","1993-06-18","2026-05-02","Per=Y","Days=T","Dir=V")</f>
        <v>0</v>
      </c>
      <c r="AG2">
        <f>BDH("GIC US Equity","IS_INT_EXPENSE","1993-06-18","2026-05-02","Per=Y","Days=T","Dir=V")</f>
        <v>0</v>
      </c>
      <c r="AI2">
        <f>BDH("GIC US Equity","IS_DEPR_EXP","1993-06-18","2026-05-02","Per=Y","Days=T","Dir=V")</f>
        <v>0</v>
      </c>
      <c r="AK2">
        <f>BDH("GIC US Equity","CF_CASH_FROM_OPER","1993-06-18","2026-05-02","Per=Y","Days=T","Dir=V")</f>
        <v>0</v>
      </c>
      <c r="AM2">
        <f>BDH("GIC US Equity","CAPITAL_EXPEND","1993-06-18","2026-05-02","Per=Y","Days=T","Dir=V")</f>
        <v>0</v>
      </c>
      <c r="AO2">
        <f>BDH("GIC US Equity","CF_FREE_CASH_FLOW","1993-06-18","2026-05-02","Per=Y","Days=T","Dir=V")</f>
        <v>0</v>
      </c>
      <c r="AQ2">
        <f>BDH("GIC US Equity","PX_LAST","1993-06-18","2026-05-02","Per=M","Days=T","Dir=V")</f>
        <v>0</v>
      </c>
      <c r="AS2">
        <f>BDH("GIC US Equity","CUR_MKT_CAP","1993-06-18","2026-05-02","Per=M","Days=T","Dir=V")</f>
        <v>0</v>
      </c>
      <c r="AU2">
        <f>BDH("GIC US Equity","EQY_SH_OUT","1993-06-18","2026-05-02","Per=M","Days=T","Dir=V")</f>
        <v>0</v>
      </c>
      <c r="AW2">
        <f>BDH("GIC US Equity","PX_VOLUME","1993-06-18","2026-05-02","Per=M","Days=T","Dir=V")</f>
        <v>0</v>
      </c>
      <c r="AY2">
        <f>BDH("GIC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BDH("GIFT US Equity","BS_TOT_ASSET","1993-06-18","2026-05-02","Per=Y","Days=T","Dir=V")</f>
        <v>0</v>
      </c>
      <c r="C2">
        <f>BDH("GIFT US Equity","BS_TOT_LIAB2","1993-06-18","2026-05-02","Per=Y","Days=T","Dir=V")</f>
        <v>0</v>
      </c>
      <c r="E2">
        <f>BDH("GIFT US Equity","SHORT_AND_LONG_TERM_DEBT","1993-06-18","2026-05-02","Per=Y","Days=T","Dir=V")</f>
        <v>0</v>
      </c>
      <c r="G2">
        <f>BDH("GIFT US Equity","BS_ST_BORROW","1993-06-18","2026-05-02","Per=Y","Days=T","Dir=V")</f>
        <v>0</v>
      </c>
      <c r="I2">
        <f>BDH("GIFT US Equity","BS_LT_BORROW","1993-06-18","2026-05-02","Per=Y","Days=T","Dir=V")</f>
        <v>0</v>
      </c>
      <c r="K2">
        <f>BDH("GIFT US Equity","BS_CASH_NEAR_CASH_ITEM","1993-06-18","2026-05-02","Per=Y","Days=T","Dir=V")</f>
        <v>0</v>
      </c>
      <c r="M2">
        <f>BDH("GIFT US Equity","BS_CUR_ASSET_REPORT","1993-06-18","2026-05-02","Per=Y","Days=T","Dir=V")</f>
        <v>0</v>
      </c>
      <c r="O2">
        <f>BDH("GIFT US Equity","BS_CUR_LIAB","1993-06-18","2026-05-02","Per=Y","Days=T","Dir=V")</f>
        <v>0</v>
      </c>
      <c r="Q2">
        <f>BDH("GIFT US Equity","BS_SHAREHOLDER_EQY_ENDING_PERIOD","1993-06-18","2026-05-02","Per=Y","Days=T","Dir=V")</f>
        <v>0</v>
      </c>
      <c r="S2">
        <f>BDH("GIFT US Equity","BS_ACCT_NOTE_RCV","1993-06-18","2026-05-02","Per=Y","Days=T","Dir=V")</f>
        <v>0</v>
      </c>
      <c r="U2">
        <f>BDH("GIFT US Equity","BS_INVENTORIES","1993-06-18","2026-05-02","Per=Y","Days=T","Dir=V")</f>
        <v>0</v>
      </c>
      <c r="W2">
        <f>BDH("GIFT US Equity","WORKING_CAPITAL","1993-06-18","2026-05-02","Per=Y","Days=T","Dir=V")</f>
        <v>0</v>
      </c>
      <c r="Y2">
        <f>BDH("GIFT US Equity","SALES_REV_TURN","1993-06-18","2026-05-02","Per=Y","Days=T","Dir=V")</f>
        <v>0</v>
      </c>
      <c r="AA2">
        <f>BDH("GIFT US Equity","EBIT","1993-06-18","2026-05-02","Per=Y","Days=T","Dir=V")</f>
        <v>0</v>
      </c>
      <c r="AC2">
        <f>BDH("GIFT US Equity","EBITDA","1993-06-18","2026-05-02","Per=Y","Days=T","Dir=V")</f>
        <v>0</v>
      </c>
      <c r="AE2">
        <f>BDH("GIFT US Equity","NET_INCOME","1993-06-18","2026-05-02","Per=Y","Days=T","Dir=V")</f>
        <v>0</v>
      </c>
      <c r="AG2">
        <f>BDH("GIFT US Equity","IS_INT_EXPENSE","1993-06-18","2026-05-02","Per=Y","Days=T","Dir=V")</f>
        <v>0</v>
      </c>
      <c r="AI2">
        <f>BDH("GIFT US Equity","IS_DEPR_EXP","1993-06-18","2026-05-02","Per=Y","Days=T","Dir=V")</f>
        <v>0</v>
      </c>
      <c r="AK2">
        <f>BDH("GIFT US Equity","CF_CASH_FROM_OPER","1993-06-18","2026-05-02","Per=Y","Days=T","Dir=V")</f>
        <v>0</v>
      </c>
      <c r="AM2">
        <f>BDH("GIFT US Equity","CAPITAL_EXPEND","1993-06-18","2026-05-02","Per=Y","Days=T","Dir=V")</f>
        <v>0</v>
      </c>
      <c r="AO2">
        <f>BDH("GIFT US Equity","CF_FREE_CASH_FLOW","1993-06-18","2026-05-02","Per=Y","Days=T","Dir=V")</f>
        <v>0</v>
      </c>
      <c r="AQ2">
        <f>BDH("GIFT US Equity","PX_LAST","1993-06-18","2026-05-02","Per=M","Days=T","Dir=V")</f>
        <v>0</v>
      </c>
      <c r="AS2">
        <f>BDH("GIFT US Equity","CUR_MKT_CAP","1993-06-18","2026-05-02","Per=M","Days=T","Dir=V")</f>
        <v>0</v>
      </c>
      <c r="AU2">
        <f>BDH("GIFT US Equity","EQY_SH_OUT","1993-06-18","2026-05-02","Per=M","Days=T","Dir=V")</f>
        <v>0</v>
      </c>
      <c r="AW2">
        <f>BDH("GIFT US Equity","PX_VOLUME","1993-06-18","2026-05-02","Per=M","Days=T","Dir=V")</f>
        <v>0</v>
      </c>
      <c r="AY2">
        <f>BDH("GIFT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BDH("GIII US Equity","BS_TOT_ASSET","1993-06-18","2026-05-02","Per=Y","Days=T","Dir=V")</f>
        <v>0</v>
      </c>
      <c r="C2">
        <f>BDH("GIII US Equity","BS_TOT_LIAB2","1993-06-18","2026-05-02","Per=Y","Days=T","Dir=V")</f>
        <v>0</v>
      </c>
      <c r="E2">
        <f>BDH("GIII US Equity","SHORT_AND_LONG_TERM_DEBT","1993-06-18","2026-05-02","Per=Y","Days=T","Dir=V")</f>
        <v>0</v>
      </c>
      <c r="G2">
        <f>BDH("GIII US Equity","BS_ST_BORROW","1993-06-18","2026-05-02","Per=Y","Days=T","Dir=V")</f>
        <v>0</v>
      </c>
      <c r="I2">
        <f>BDH("GIII US Equity","BS_LT_BORROW","1993-06-18","2026-05-02","Per=Y","Days=T","Dir=V")</f>
        <v>0</v>
      </c>
      <c r="K2">
        <f>BDH("GIII US Equity","BS_CASH_NEAR_CASH_ITEM","1993-06-18","2026-05-02","Per=Y","Days=T","Dir=V")</f>
        <v>0</v>
      </c>
      <c r="M2">
        <f>BDH("GIII US Equity","BS_CUR_ASSET_REPORT","1993-06-18","2026-05-02","Per=Y","Days=T","Dir=V")</f>
        <v>0</v>
      </c>
      <c r="O2">
        <f>BDH("GIII US Equity","BS_CUR_LIAB","1993-06-18","2026-05-02","Per=Y","Days=T","Dir=V")</f>
        <v>0</v>
      </c>
      <c r="Q2">
        <f>BDH("GIII US Equity","BS_SHAREHOLDER_EQY_ENDING_PERIOD","1993-06-18","2026-05-02","Per=Y","Days=T","Dir=V")</f>
        <v>0</v>
      </c>
      <c r="S2">
        <f>BDH("GIII US Equity","BS_ACCT_NOTE_RCV","1993-06-18","2026-05-02","Per=Y","Days=T","Dir=V")</f>
        <v>0</v>
      </c>
      <c r="U2">
        <f>BDH("GIII US Equity","BS_INVENTORIES","1993-06-18","2026-05-02","Per=Y","Days=T","Dir=V")</f>
        <v>0</v>
      </c>
      <c r="W2">
        <f>BDH("GIII US Equity","WORKING_CAPITAL","1993-06-18","2026-05-02","Per=Y","Days=T","Dir=V")</f>
        <v>0</v>
      </c>
      <c r="Y2">
        <f>BDH("GIII US Equity","SALES_REV_TURN","1993-06-18","2026-05-02","Per=Y","Days=T","Dir=V")</f>
        <v>0</v>
      </c>
      <c r="AA2">
        <f>BDH("GIII US Equity","EBIT","1993-06-18","2026-05-02","Per=Y","Days=T","Dir=V")</f>
        <v>0</v>
      </c>
      <c r="AC2">
        <f>BDH("GIII US Equity","EBITDA","1993-06-18","2026-05-02","Per=Y","Days=T","Dir=V")</f>
        <v>0</v>
      </c>
      <c r="AE2">
        <f>BDH("GIII US Equity","NET_INCOME","1993-06-18","2026-05-02","Per=Y","Days=T","Dir=V")</f>
        <v>0</v>
      </c>
      <c r="AG2">
        <f>BDH("GIII US Equity","IS_INT_EXPENSE","1993-06-18","2026-05-02","Per=Y","Days=T","Dir=V")</f>
        <v>0</v>
      </c>
      <c r="AI2">
        <f>BDH("GIII US Equity","IS_DEPR_EXP","1993-06-18","2026-05-02","Per=Y","Days=T","Dir=V")</f>
        <v>0</v>
      </c>
      <c r="AK2">
        <f>BDH("GIII US Equity","CF_CASH_FROM_OPER","1993-06-18","2026-05-02","Per=Y","Days=T","Dir=V")</f>
        <v>0</v>
      </c>
      <c r="AM2">
        <f>BDH("GIII US Equity","CAPITAL_EXPEND","1993-06-18","2026-05-02","Per=Y","Days=T","Dir=V")</f>
        <v>0</v>
      </c>
      <c r="AO2">
        <f>BDH("GIII US Equity","CF_FREE_CASH_FLOW","1993-06-18","2026-05-02","Per=Y","Days=T","Dir=V")</f>
        <v>0</v>
      </c>
      <c r="AQ2">
        <f>BDH("GIII US Equity","PX_LAST","1993-06-18","2026-05-02","Per=M","Days=T","Dir=V")</f>
        <v>0</v>
      </c>
      <c r="AS2">
        <f>BDH("GIII US Equity","CUR_MKT_CAP","1993-06-18","2026-05-02","Per=M","Days=T","Dir=V")</f>
        <v>0</v>
      </c>
      <c r="AU2">
        <f>BDH("GIII US Equity","EQY_SH_OUT","1993-06-18","2026-05-02","Per=M","Days=T","Dir=V")</f>
        <v>0</v>
      </c>
      <c r="AW2">
        <f>BDH("GIII US Equity","PX_VOLUME","1993-06-18","2026-05-02","Per=M","Days=T","Dir=V")</f>
        <v>0</v>
      </c>
      <c r="AY2">
        <f>BDH("GIII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BDH("GILD US Equity","BS_TOT_ASSET","1993-06-18","2026-05-02","Per=Y","Days=T","Dir=V")</f>
        <v>0</v>
      </c>
      <c r="C2">
        <f>BDH("GILD US Equity","BS_TOT_LIAB2","1993-06-18","2026-05-02","Per=Y","Days=T","Dir=V")</f>
        <v>0</v>
      </c>
      <c r="E2">
        <f>BDH("GILD US Equity","SHORT_AND_LONG_TERM_DEBT","1993-06-18","2026-05-02","Per=Y","Days=T","Dir=V")</f>
        <v>0</v>
      </c>
      <c r="G2">
        <f>BDH("GILD US Equity","BS_ST_BORROW","1993-06-18","2026-05-02","Per=Y","Days=T","Dir=V")</f>
        <v>0</v>
      </c>
      <c r="I2">
        <f>BDH("GILD US Equity","BS_LT_BORROW","1993-06-18","2026-05-02","Per=Y","Days=T","Dir=V")</f>
        <v>0</v>
      </c>
      <c r="K2">
        <f>BDH("GILD US Equity","BS_CASH_NEAR_CASH_ITEM","1993-06-18","2026-05-02","Per=Y","Days=T","Dir=V")</f>
        <v>0</v>
      </c>
      <c r="M2">
        <f>BDH("GILD US Equity","BS_CUR_ASSET_REPORT","1993-06-18","2026-05-02","Per=Y","Days=T","Dir=V")</f>
        <v>0</v>
      </c>
      <c r="O2">
        <f>BDH("GILD US Equity","BS_CUR_LIAB","1993-06-18","2026-05-02","Per=Y","Days=T","Dir=V")</f>
        <v>0</v>
      </c>
      <c r="Q2">
        <f>BDH("GILD US Equity","BS_SHAREHOLDER_EQY_ENDING_PERIOD","1993-06-18","2026-05-02","Per=Y","Days=T","Dir=V")</f>
        <v>0</v>
      </c>
      <c r="S2">
        <f>BDH("GILD US Equity","BS_ACCT_NOTE_RCV","1993-06-18","2026-05-02","Per=Y","Days=T","Dir=V")</f>
        <v>0</v>
      </c>
      <c r="U2">
        <f>BDH("GILD US Equity","BS_INVENTORIES","1993-06-18","2026-05-02","Per=Y","Days=T","Dir=V")</f>
        <v>0</v>
      </c>
      <c r="W2">
        <f>BDH("GILD US Equity","WORKING_CAPITAL","1993-06-18","2026-05-02","Per=Y","Days=T","Dir=V")</f>
        <v>0</v>
      </c>
      <c r="Y2">
        <f>BDH("GILD US Equity","SALES_REV_TURN","1993-06-18","2026-05-02","Per=Y","Days=T","Dir=V")</f>
        <v>0</v>
      </c>
      <c r="AA2">
        <f>BDH("GILD US Equity","EBIT","1993-06-18","2026-05-02","Per=Y","Days=T","Dir=V")</f>
        <v>0</v>
      </c>
      <c r="AC2">
        <f>BDH("GILD US Equity","EBITDA","1993-06-18","2026-05-02","Per=Y","Days=T","Dir=V")</f>
        <v>0</v>
      </c>
      <c r="AE2">
        <f>BDH("GILD US Equity","NET_INCOME","1993-06-18","2026-05-02","Per=Y","Days=T","Dir=V")</f>
        <v>0</v>
      </c>
      <c r="AG2">
        <f>BDH("GILD US Equity","IS_INT_EXPENSE","1993-06-18","2026-05-02","Per=Y","Days=T","Dir=V")</f>
        <v>0</v>
      </c>
      <c r="AI2">
        <f>BDH("GILD US Equity","IS_DEPR_EXP","1993-06-18","2026-05-02","Per=Y","Days=T","Dir=V")</f>
        <v>0</v>
      </c>
      <c r="AK2">
        <f>BDH("GILD US Equity","CF_CASH_FROM_OPER","1993-06-18","2026-05-02","Per=Y","Days=T","Dir=V")</f>
        <v>0</v>
      </c>
      <c r="AM2">
        <f>BDH("GILD US Equity","CAPITAL_EXPEND","1993-06-18","2026-05-02","Per=Y","Days=T","Dir=V")</f>
        <v>0</v>
      </c>
      <c r="AO2">
        <f>BDH("GILD US Equity","CF_FREE_CASH_FLOW","1993-06-18","2026-05-02","Per=Y","Days=T","Dir=V")</f>
        <v>0</v>
      </c>
      <c r="AQ2">
        <f>BDH("GILD US Equity","PX_LAST","1993-06-18","2026-05-02","Per=M","Days=T","Dir=V")</f>
        <v>0</v>
      </c>
      <c r="AS2">
        <f>BDH("GILD US Equity","CUR_MKT_CAP","1993-06-18","2026-05-02","Per=M","Days=T","Dir=V")</f>
        <v>0</v>
      </c>
      <c r="AU2">
        <f>BDH("GILD US Equity","EQY_SH_OUT","1993-06-18","2026-05-02","Per=M","Days=T","Dir=V")</f>
        <v>0</v>
      </c>
      <c r="AW2">
        <f>BDH("GILD US Equity","PX_VOLUME","1993-06-18","2026-05-02","Per=M","Days=T","Dir=V")</f>
        <v>0</v>
      </c>
      <c r="AY2">
        <f>BDH("GILD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BDH("GIS US Equity","BS_TOT_ASSET","1993-06-18","2026-05-02","Per=Y","Days=T","Dir=V")</f>
        <v>0</v>
      </c>
      <c r="C2">
        <f>BDH("GIS US Equity","BS_TOT_LIAB2","1993-06-18","2026-05-02","Per=Y","Days=T","Dir=V")</f>
        <v>0</v>
      </c>
      <c r="E2">
        <f>BDH("GIS US Equity","SHORT_AND_LONG_TERM_DEBT","1993-06-18","2026-05-02","Per=Y","Days=T","Dir=V")</f>
        <v>0</v>
      </c>
      <c r="G2">
        <f>BDH("GIS US Equity","BS_ST_BORROW","1993-06-18","2026-05-02","Per=Y","Days=T","Dir=V")</f>
        <v>0</v>
      </c>
      <c r="I2">
        <f>BDH("GIS US Equity","BS_LT_BORROW","1993-06-18","2026-05-02","Per=Y","Days=T","Dir=V")</f>
        <v>0</v>
      </c>
      <c r="K2">
        <f>BDH("GIS US Equity","BS_CASH_NEAR_CASH_ITEM","1993-06-18","2026-05-02","Per=Y","Days=T","Dir=V")</f>
        <v>0</v>
      </c>
      <c r="M2">
        <f>BDH("GIS US Equity","BS_CUR_ASSET_REPORT","1993-06-18","2026-05-02","Per=Y","Days=T","Dir=V")</f>
        <v>0</v>
      </c>
      <c r="O2">
        <f>BDH("GIS US Equity","BS_CUR_LIAB","1993-06-18","2026-05-02","Per=Y","Days=T","Dir=V")</f>
        <v>0</v>
      </c>
      <c r="Q2">
        <f>BDH("GIS US Equity","BS_SHAREHOLDER_EQY_ENDING_PERIOD","1993-06-18","2026-05-02","Per=Y","Days=T","Dir=V")</f>
        <v>0</v>
      </c>
      <c r="S2">
        <f>BDH("GIS US Equity","BS_ACCT_NOTE_RCV","1993-06-18","2026-05-02","Per=Y","Days=T","Dir=V")</f>
        <v>0</v>
      </c>
      <c r="U2">
        <f>BDH("GIS US Equity","BS_INVENTORIES","1993-06-18","2026-05-02","Per=Y","Days=T","Dir=V")</f>
        <v>0</v>
      </c>
      <c r="W2">
        <f>BDH("GIS US Equity","WORKING_CAPITAL","1993-06-18","2026-05-02","Per=Y","Days=T","Dir=V")</f>
        <v>0</v>
      </c>
      <c r="Y2">
        <f>BDH("GIS US Equity","SALES_REV_TURN","1993-06-18","2026-05-02","Per=Y","Days=T","Dir=V")</f>
        <v>0</v>
      </c>
      <c r="AA2">
        <f>BDH("GIS US Equity","EBIT","1993-06-18","2026-05-02","Per=Y","Days=T","Dir=V")</f>
        <v>0</v>
      </c>
      <c r="AC2">
        <f>BDH("GIS US Equity","EBITDA","1993-06-18","2026-05-02","Per=Y","Days=T","Dir=V")</f>
        <v>0</v>
      </c>
      <c r="AE2">
        <f>BDH("GIS US Equity","NET_INCOME","1993-06-18","2026-05-02","Per=Y","Days=T","Dir=V")</f>
        <v>0</v>
      </c>
      <c r="AG2">
        <f>BDH("GIS US Equity","IS_INT_EXPENSE","1993-06-18","2026-05-02","Per=Y","Days=T","Dir=V")</f>
        <v>0</v>
      </c>
      <c r="AI2">
        <f>BDH("GIS US Equity","IS_DEPR_EXP","1993-06-18","2026-05-02","Per=Y","Days=T","Dir=V")</f>
        <v>0</v>
      </c>
      <c r="AK2">
        <f>BDH("GIS US Equity","CF_CASH_FROM_OPER","1993-06-18","2026-05-02","Per=Y","Days=T","Dir=V")</f>
        <v>0</v>
      </c>
      <c r="AM2">
        <f>BDH("GIS US Equity","CAPITAL_EXPEND","1993-06-18","2026-05-02","Per=Y","Days=T","Dir=V")</f>
        <v>0</v>
      </c>
      <c r="AO2">
        <f>BDH("GIS US Equity","CF_FREE_CASH_FLOW","1993-06-18","2026-05-02","Per=Y","Days=T","Dir=V")</f>
        <v>0</v>
      </c>
      <c r="AQ2">
        <f>BDH("GIS US Equity","PX_LAST","1993-06-18","2026-05-02","Per=M","Days=T","Dir=V")</f>
        <v>0</v>
      </c>
      <c r="AS2">
        <f>BDH("GIS US Equity","CUR_MKT_CAP","1993-06-18","2026-05-02","Per=M","Days=T","Dir=V")</f>
        <v>0</v>
      </c>
      <c r="AU2">
        <f>BDH("GIS US Equity","EQY_SH_OUT","1993-06-18","2026-05-02","Per=M","Days=T","Dir=V")</f>
        <v>0</v>
      </c>
      <c r="AW2">
        <f>BDH("GIS US Equity","PX_VOLUME","1993-06-18","2026-05-02","Per=M","Days=T","Dir=V")</f>
        <v>0</v>
      </c>
      <c r="AY2">
        <f>BDH("GIS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BDH("GKOS US Equity","BS_TOT_ASSET","1993-06-18","2026-05-02","Per=Y","Days=T","Dir=V")</f>
        <v>0</v>
      </c>
      <c r="C2">
        <f>BDH("GKOS US Equity","BS_TOT_LIAB2","1993-06-18","2026-05-02","Per=Y","Days=T","Dir=V")</f>
        <v>0</v>
      </c>
      <c r="E2">
        <f>BDH("GKOS US Equity","SHORT_AND_LONG_TERM_DEBT","1993-06-18","2026-05-02","Per=Y","Days=T","Dir=V")</f>
        <v>0</v>
      </c>
      <c r="G2">
        <f>BDH("GKOS US Equity","BS_ST_BORROW","1993-06-18","2026-05-02","Per=Y","Days=T","Dir=V")</f>
        <v>0</v>
      </c>
      <c r="I2">
        <f>BDH("GKOS US Equity","BS_LT_BORROW","1993-06-18","2026-05-02","Per=Y","Days=T","Dir=V")</f>
        <v>0</v>
      </c>
      <c r="K2">
        <f>BDH("GKOS US Equity","BS_CASH_NEAR_CASH_ITEM","1993-06-18","2026-05-02","Per=Y","Days=T","Dir=V")</f>
        <v>0</v>
      </c>
      <c r="M2">
        <f>BDH("GKOS US Equity","BS_CUR_ASSET_REPORT","1993-06-18","2026-05-02","Per=Y","Days=T","Dir=V")</f>
        <v>0</v>
      </c>
      <c r="O2">
        <f>BDH("GKOS US Equity","BS_CUR_LIAB","1993-06-18","2026-05-02","Per=Y","Days=T","Dir=V")</f>
        <v>0</v>
      </c>
      <c r="Q2">
        <f>BDH("GKOS US Equity","BS_SHAREHOLDER_EQY_ENDING_PERIOD","1993-06-18","2026-05-02","Per=Y","Days=T","Dir=V")</f>
        <v>0</v>
      </c>
      <c r="S2">
        <f>BDH("GKOS US Equity","BS_ACCT_NOTE_RCV","1993-06-18","2026-05-02","Per=Y","Days=T","Dir=V")</f>
        <v>0</v>
      </c>
      <c r="U2">
        <f>BDH("GKOS US Equity","BS_INVENTORIES","1993-06-18","2026-05-02","Per=Y","Days=T","Dir=V")</f>
        <v>0</v>
      </c>
      <c r="W2">
        <f>BDH("GKOS US Equity","WORKING_CAPITAL","1993-06-18","2026-05-02","Per=Y","Days=T","Dir=V")</f>
        <v>0</v>
      </c>
      <c r="Y2">
        <f>BDH("GKOS US Equity","SALES_REV_TURN","1993-06-18","2026-05-02","Per=Y","Days=T","Dir=V")</f>
        <v>0</v>
      </c>
      <c r="AA2">
        <f>BDH("GKOS US Equity","EBIT","1993-06-18","2026-05-02","Per=Y","Days=T","Dir=V")</f>
        <v>0</v>
      </c>
      <c r="AC2">
        <f>BDH("GKOS US Equity","EBITDA","1993-06-18","2026-05-02","Per=Y","Days=T","Dir=V")</f>
        <v>0</v>
      </c>
      <c r="AE2">
        <f>BDH("GKOS US Equity","NET_INCOME","1993-06-18","2026-05-02","Per=Y","Days=T","Dir=V")</f>
        <v>0</v>
      </c>
      <c r="AG2">
        <f>BDH("GKOS US Equity","IS_INT_EXPENSE","1993-06-18","2026-05-02","Per=Y","Days=T","Dir=V")</f>
        <v>0</v>
      </c>
      <c r="AI2">
        <f>BDH("GKOS US Equity","IS_DEPR_EXP","1993-06-18","2026-05-02","Per=Y","Days=T","Dir=V")</f>
        <v>0</v>
      </c>
      <c r="AK2">
        <f>BDH("GKOS US Equity","CF_CASH_FROM_OPER","1993-06-18","2026-05-02","Per=Y","Days=T","Dir=V")</f>
        <v>0</v>
      </c>
      <c r="AM2">
        <f>BDH("GKOS US Equity","CAPITAL_EXPEND","1993-06-18","2026-05-02","Per=Y","Days=T","Dir=V")</f>
        <v>0</v>
      </c>
      <c r="AO2">
        <f>BDH("GKOS US Equity","CF_FREE_CASH_FLOW","1993-06-18","2026-05-02","Per=Y","Days=T","Dir=V")</f>
        <v>0</v>
      </c>
      <c r="AQ2">
        <f>BDH("GKOS US Equity","PX_LAST","1993-06-18","2026-05-02","Per=M","Days=T","Dir=V")</f>
        <v>0</v>
      </c>
      <c r="AS2">
        <f>BDH("GKOS US Equity","CUR_MKT_CAP","1993-06-18","2026-05-02","Per=M","Days=T","Dir=V")</f>
        <v>0</v>
      </c>
      <c r="AU2">
        <f>BDH("GKOS US Equity","EQY_SH_OUT","1993-06-18","2026-05-02","Per=M","Days=T","Dir=V")</f>
        <v>0</v>
      </c>
      <c r="AW2">
        <f>BDH("GKOS US Equity","PX_VOLUME","1993-06-18","2026-05-02","Per=M","Days=T","Dir=V")</f>
        <v>0</v>
      </c>
      <c r="AY2">
        <f>BDH("GKOS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BDH("GLAD US Equity","BS_TOT_ASSET","1993-06-18","2026-05-02","Per=Y","Days=T","Dir=V")</f>
        <v>0</v>
      </c>
      <c r="C2">
        <f>BDH("GLAD US Equity","BS_TOT_LIAB2","1993-06-18","2026-05-02","Per=Y","Days=T","Dir=V")</f>
        <v>0</v>
      </c>
      <c r="E2">
        <f>BDH("GLAD US Equity","SHORT_AND_LONG_TERM_DEBT","1993-06-18","2026-05-02","Per=Y","Days=T","Dir=V")</f>
        <v>0</v>
      </c>
      <c r="G2">
        <f>BDH("GLAD US Equity","BS_ST_BORROW","1993-06-18","2026-05-02","Per=Y","Days=T","Dir=V")</f>
        <v>0</v>
      </c>
      <c r="I2">
        <f>BDH("GLAD US Equity","BS_LT_BORROW","1993-06-18","2026-05-02","Per=Y","Days=T","Dir=V")</f>
        <v>0</v>
      </c>
      <c r="K2">
        <f>BDH("GLAD US Equity","BS_CASH_NEAR_CASH_ITEM","1993-06-18","2026-05-02","Per=Y","Days=T","Dir=V")</f>
        <v>0</v>
      </c>
      <c r="M2">
        <f>BDH("GLAD US Equity","BS_CUR_ASSET_REPORT","1993-06-18","2026-05-02","Per=Y","Days=T","Dir=V")</f>
        <v>0</v>
      </c>
      <c r="O2">
        <f>BDH("GLAD US Equity","BS_CUR_LIAB","1993-06-18","2026-05-02","Per=Y","Days=T","Dir=V")</f>
        <v>0</v>
      </c>
      <c r="Q2">
        <f>BDH("GLAD US Equity","BS_SHAREHOLDER_EQY_ENDING_PERIOD","1993-06-18","2026-05-02","Per=Y","Days=T","Dir=V")</f>
        <v>0</v>
      </c>
      <c r="S2">
        <f>BDH("GLAD US Equity","BS_ACCT_NOTE_RCV","1993-06-18","2026-05-02","Per=Y","Days=T","Dir=V")</f>
        <v>0</v>
      </c>
      <c r="U2">
        <f>BDH("GLAD US Equity","BS_INVENTORIES","1993-06-18","2026-05-02","Per=Y","Days=T","Dir=V")</f>
        <v>0</v>
      </c>
      <c r="W2">
        <f>BDH("GLAD US Equity","WORKING_CAPITAL","1993-06-18","2026-05-02","Per=Y","Days=T","Dir=V")</f>
        <v>0</v>
      </c>
      <c r="Y2">
        <f>BDH("GLAD US Equity","SALES_REV_TURN","1993-06-18","2026-05-02","Per=Y","Days=T","Dir=V")</f>
        <v>0</v>
      </c>
      <c r="AA2">
        <f>BDH("GLAD US Equity","EBIT","1993-06-18","2026-05-02","Per=Y","Days=T","Dir=V")</f>
        <v>0</v>
      </c>
      <c r="AC2">
        <f>BDH("GLAD US Equity","EBITDA","1993-06-18","2026-05-02","Per=Y","Days=T","Dir=V")</f>
        <v>0</v>
      </c>
      <c r="AE2">
        <f>BDH("GLAD US Equity","NET_INCOME","1993-06-18","2026-05-02","Per=Y","Days=T","Dir=V")</f>
        <v>0</v>
      </c>
      <c r="AG2">
        <f>BDH("GLAD US Equity","IS_INT_EXPENSE","1993-06-18","2026-05-02","Per=Y","Days=T","Dir=V")</f>
        <v>0</v>
      </c>
      <c r="AI2">
        <f>BDH("GLAD US Equity","IS_DEPR_EXP","1993-06-18","2026-05-02","Per=Y","Days=T","Dir=V")</f>
        <v>0</v>
      </c>
      <c r="AK2">
        <f>BDH("GLAD US Equity","CF_CASH_FROM_OPER","1993-06-18","2026-05-02","Per=Y","Days=T","Dir=V")</f>
        <v>0</v>
      </c>
      <c r="AM2">
        <f>BDH("GLAD US Equity","CAPITAL_EXPEND","1993-06-18","2026-05-02","Per=Y","Days=T","Dir=V")</f>
        <v>0</v>
      </c>
      <c r="AO2">
        <f>BDH("GLAD US Equity","CF_FREE_CASH_FLOW","1993-06-18","2026-05-02","Per=Y","Days=T","Dir=V")</f>
        <v>0</v>
      </c>
      <c r="AQ2">
        <f>BDH("GLAD US Equity","PX_LAST","1993-06-18","2026-05-02","Per=M","Days=T","Dir=V")</f>
        <v>0</v>
      </c>
      <c r="AS2">
        <f>BDH("GLAD US Equity","CUR_MKT_CAP","1993-06-18","2026-05-02","Per=M","Days=T","Dir=V")</f>
        <v>0</v>
      </c>
      <c r="AU2">
        <f>BDH("GLAD US Equity","EQY_SH_OUT","1993-06-18","2026-05-02","Per=M","Days=T","Dir=V")</f>
        <v>0</v>
      </c>
      <c r="AW2">
        <f>BDH("GLAD US Equity","PX_VOLUME","1993-06-18","2026-05-02","Per=M","Days=T","Dir=V")</f>
        <v>0</v>
      </c>
      <c r="AY2">
        <f>BDH("GLAD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BDH("GLIBA US Equity","BS_TOT_ASSET","1993-06-18","2026-05-02","Per=Y","Days=T","Dir=V")</f>
        <v>0</v>
      </c>
      <c r="C2">
        <f>BDH("GLIBA US Equity","BS_TOT_LIAB2","1993-06-18","2026-05-02","Per=Y","Days=T","Dir=V")</f>
        <v>0</v>
      </c>
      <c r="E2">
        <f>BDH("GLIBA US Equity","SHORT_AND_LONG_TERM_DEBT","1993-06-18","2026-05-02","Per=Y","Days=T","Dir=V")</f>
        <v>0</v>
      </c>
      <c r="G2">
        <f>BDH("GLIBA US Equity","BS_ST_BORROW","1993-06-18","2026-05-02","Per=Y","Days=T","Dir=V")</f>
        <v>0</v>
      </c>
      <c r="I2">
        <f>BDH("GLIBA US Equity","BS_LT_BORROW","1993-06-18","2026-05-02","Per=Y","Days=T","Dir=V")</f>
        <v>0</v>
      </c>
      <c r="K2">
        <f>BDH("GLIBA US Equity","BS_CASH_NEAR_CASH_ITEM","1993-06-18","2026-05-02","Per=Y","Days=T","Dir=V")</f>
        <v>0</v>
      </c>
      <c r="M2">
        <f>BDH("GLIBA US Equity","BS_CUR_ASSET_REPORT","1993-06-18","2026-05-02","Per=Y","Days=T","Dir=V")</f>
        <v>0</v>
      </c>
      <c r="O2">
        <f>BDH("GLIBA US Equity","BS_CUR_LIAB","1993-06-18","2026-05-02","Per=Y","Days=T","Dir=V")</f>
        <v>0</v>
      </c>
      <c r="Q2">
        <f>BDH("GLIBA US Equity","BS_SHAREHOLDER_EQY_ENDING_PERIOD","1993-06-18","2026-05-02","Per=Y","Days=T","Dir=V")</f>
        <v>0</v>
      </c>
      <c r="S2">
        <f>BDH("GLIBA US Equity","BS_ACCT_NOTE_RCV","1993-06-18","2026-05-02","Per=Y","Days=T","Dir=V")</f>
        <v>0</v>
      </c>
      <c r="U2">
        <f>BDH("GLIBA US Equity","BS_INVENTORIES","1993-06-18","2026-05-02","Per=Y","Days=T","Dir=V")</f>
        <v>0</v>
      </c>
      <c r="W2">
        <f>BDH("GLIBA US Equity","WORKING_CAPITAL","1993-06-18","2026-05-02","Per=Y","Days=T","Dir=V")</f>
        <v>0</v>
      </c>
      <c r="Y2">
        <f>BDH("GLIBA US Equity","SALES_REV_TURN","1993-06-18","2026-05-02","Per=Y","Days=T","Dir=V")</f>
        <v>0</v>
      </c>
      <c r="AA2">
        <f>BDH("GLIBA US Equity","EBIT","1993-06-18","2026-05-02","Per=Y","Days=T","Dir=V")</f>
        <v>0</v>
      </c>
      <c r="AC2">
        <f>BDH("GLIBA US Equity","EBITDA","1993-06-18","2026-05-02","Per=Y","Days=T","Dir=V")</f>
        <v>0</v>
      </c>
      <c r="AE2">
        <f>BDH("GLIBA US Equity","NET_INCOME","1993-06-18","2026-05-02","Per=Y","Days=T","Dir=V")</f>
        <v>0</v>
      </c>
      <c r="AG2">
        <f>BDH("GLIBA US Equity","IS_INT_EXPENSE","1993-06-18","2026-05-02","Per=Y","Days=T","Dir=V")</f>
        <v>0</v>
      </c>
      <c r="AI2">
        <f>BDH("GLIBA US Equity","IS_DEPR_EXP","1993-06-18","2026-05-02","Per=Y","Days=T","Dir=V")</f>
        <v>0</v>
      </c>
      <c r="AK2">
        <f>BDH("GLIBA US Equity","CF_CASH_FROM_OPER","1993-06-18","2026-05-02","Per=Y","Days=T","Dir=V")</f>
        <v>0</v>
      </c>
      <c r="AM2">
        <f>BDH("GLIBA US Equity","CAPITAL_EXPEND","1993-06-18","2026-05-02","Per=Y","Days=T","Dir=V")</f>
        <v>0</v>
      </c>
      <c r="AO2">
        <f>BDH("GLIBA US Equity","CF_FREE_CASH_FLOW","1993-06-18","2026-05-02","Per=Y","Days=T","Dir=V")</f>
        <v>0</v>
      </c>
      <c r="AQ2">
        <f>BDH("GLIBA US Equity","PX_LAST","1993-06-18","2026-05-02","Per=M","Days=T","Dir=V")</f>
        <v>0</v>
      </c>
      <c r="AS2">
        <f>BDH("GLIBA US Equity","CUR_MKT_CAP","1993-06-18","2026-05-02","Per=M","Days=T","Dir=V")</f>
        <v>0</v>
      </c>
      <c r="AU2">
        <f>BDH("GLIBA US Equity","EQY_SH_OUT","1993-06-18","2026-05-02","Per=M","Days=T","Dir=V")</f>
        <v>0</v>
      </c>
      <c r="AW2">
        <f>BDH("GLIBA US Equity","PX_VOLUME","1993-06-18","2026-05-02","Per=M","Days=T","Dir=V")</f>
        <v>0</v>
      </c>
      <c r="AY2">
        <f>BDH("GLIBA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BDH("GLIBK US Equity","BS_TOT_ASSET","1993-06-18","2026-05-02","Per=Y","Days=T","Dir=V")</f>
        <v>0</v>
      </c>
      <c r="C2">
        <f>BDH("GLIBK US Equity","BS_TOT_LIAB2","1993-06-18","2026-05-02","Per=Y","Days=T","Dir=V")</f>
        <v>0</v>
      </c>
      <c r="E2">
        <f>BDH("GLIBK US Equity","SHORT_AND_LONG_TERM_DEBT","1993-06-18","2026-05-02","Per=Y","Days=T","Dir=V")</f>
        <v>0</v>
      </c>
      <c r="G2">
        <f>BDH("GLIBK US Equity","BS_ST_BORROW","1993-06-18","2026-05-02","Per=Y","Days=T","Dir=V")</f>
        <v>0</v>
      </c>
      <c r="I2">
        <f>BDH("GLIBK US Equity","BS_LT_BORROW","1993-06-18","2026-05-02","Per=Y","Days=T","Dir=V")</f>
        <v>0</v>
      </c>
      <c r="K2">
        <f>BDH("GLIBK US Equity","BS_CASH_NEAR_CASH_ITEM","1993-06-18","2026-05-02","Per=Y","Days=T","Dir=V")</f>
        <v>0</v>
      </c>
      <c r="M2">
        <f>BDH("GLIBK US Equity","BS_CUR_ASSET_REPORT","1993-06-18","2026-05-02","Per=Y","Days=T","Dir=V")</f>
        <v>0</v>
      </c>
      <c r="O2">
        <f>BDH("GLIBK US Equity","BS_CUR_LIAB","1993-06-18","2026-05-02","Per=Y","Days=T","Dir=V")</f>
        <v>0</v>
      </c>
      <c r="Q2">
        <f>BDH("GLIBK US Equity","BS_SHAREHOLDER_EQY_ENDING_PERIOD","1993-06-18","2026-05-02","Per=Y","Days=T","Dir=V")</f>
        <v>0</v>
      </c>
      <c r="S2">
        <f>BDH("GLIBK US Equity","BS_ACCT_NOTE_RCV","1993-06-18","2026-05-02","Per=Y","Days=T","Dir=V")</f>
        <v>0</v>
      </c>
      <c r="U2">
        <f>BDH("GLIBK US Equity","BS_INVENTORIES","1993-06-18","2026-05-02","Per=Y","Days=T","Dir=V")</f>
        <v>0</v>
      </c>
      <c r="W2">
        <f>BDH("GLIBK US Equity","WORKING_CAPITAL","1993-06-18","2026-05-02","Per=Y","Days=T","Dir=V")</f>
        <v>0</v>
      </c>
      <c r="Y2">
        <f>BDH("GLIBK US Equity","SALES_REV_TURN","1993-06-18","2026-05-02","Per=Y","Days=T","Dir=V")</f>
        <v>0</v>
      </c>
      <c r="AA2">
        <f>BDH("GLIBK US Equity","EBIT","1993-06-18","2026-05-02","Per=Y","Days=T","Dir=V")</f>
        <v>0</v>
      </c>
      <c r="AC2">
        <f>BDH("GLIBK US Equity","EBITDA","1993-06-18","2026-05-02","Per=Y","Days=T","Dir=V")</f>
        <v>0</v>
      </c>
      <c r="AE2">
        <f>BDH("GLIBK US Equity","NET_INCOME","1993-06-18","2026-05-02","Per=Y","Days=T","Dir=V")</f>
        <v>0</v>
      </c>
      <c r="AG2">
        <f>BDH("GLIBK US Equity","IS_INT_EXPENSE","1993-06-18","2026-05-02","Per=Y","Days=T","Dir=V")</f>
        <v>0</v>
      </c>
      <c r="AI2">
        <f>BDH("GLIBK US Equity","IS_DEPR_EXP","1993-06-18","2026-05-02","Per=Y","Days=T","Dir=V")</f>
        <v>0</v>
      </c>
      <c r="AK2">
        <f>BDH("GLIBK US Equity","CF_CASH_FROM_OPER","1993-06-18","2026-05-02","Per=Y","Days=T","Dir=V")</f>
        <v>0</v>
      </c>
      <c r="AM2">
        <f>BDH("GLIBK US Equity","CAPITAL_EXPEND","1993-06-18","2026-05-02","Per=Y","Days=T","Dir=V")</f>
        <v>0</v>
      </c>
      <c r="AO2">
        <f>BDH("GLIBK US Equity","CF_FREE_CASH_FLOW","1993-06-18","2026-05-02","Per=Y","Days=T","Dir=V")</f>
        <v>0</v>
      </c>
      <c r="AQ2">
        <f>BDH("GLIBK US Equity","PX_LAST","1993-06-18","2026-05-02","Per=M","Days=T","Dir=V")</f>
        <v>0</v>
      </c>
      <c r="AS2">
        <f>BDH("GLIBK US Equity","CUR_MKT_CAP","1993-06-18","2026-05-02","Per=M","Days=T","Dir=V")</f>
        <v>0</v>
      </c>
      <c r="AU2">
        <f>BDH("GLIBK US Equity","EQY_SH_OUT","1993-06-18","2026-05-02","Per=M","Days=T","Dir=V")</f>
        <v>0</v>
      </c>
      <c r="AW2">
        <f>BDH("GLIBK US Equity","PX_VOLUME","1993-06-18","2026-05-02","Per=M","Days=T","Dir=V")</f>
        <v>0</v>
      </c>
      <c r="AY2">
        <f>BDH("GLIBK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BDH("GLND US Equity","BS_TOT_ASSET","1993-06-18","2026-05-02","Per=Y","Days=T","Dir=V")</f>
        <v>0</v>
      </c>
      <c r="C2">
        <f>BDH("GLND US Equity","BS_TOT_LIAB2","1993-06-18","2026-05-02","Per=Y","Days=T","Dir=V")</f>
        <v>0</v>
      </c>
      <c r="E2">
        <f>BDH("GLND US Equity","SHORT_AND_LONG_TERM_DEBT","1993-06-18","2026-05-02","Per=Y","Days=T","Dir=V")</f>
        <v>0</v>
      </c>
      <c r="G2">
        <f>BDH("GLND US Equity","BS_ST_BORROW","1993-06-18","2026-05-02","Per=Y","Days=T","Dir=V")</f>
        <v>0</v>
      </c>
      <c r="I2">
        <f>BDH("GLND US Equity","BS_LT_BORROW","1993-06-18","2026-05-02","Per=Y","Days=T","Dir=V")</f>
        <v>0</v>
      </c>
      <c r="K2">
        <f>BDH("GLND US Equity","BS_CASH_NEAR_CASH_ITEM","1993-06-18","2026-05-02","Per=Y","Days=T","Dir=V")</f>
        <v>0</v>
      </c>
      <c r="M2">
        <f>BDH("GLND US Equity","BS_CUR_ASSET_REPORT","1993-06-18","2026-05-02","Per=Y","Days=T","Dir=V")</f>
        <v>0</v>
      </c>
      <c r="O2">
        <f>BDH("GLND US Equity","BS_CUR_LIAB","1993-06-18","2026-05-02","Per=Y","Days=T","Dir=V")</f>
        <v>0</v>
      </c>
      <c r="Q2">
        <f>BDH("GLND US Equity","BS_SHAREHOLDER_EQY_ENDING_PERIOD","1993-06-18","2026-05-02","Per=Y","Days=T","Dir=V")</f>
        <v>0</v>
      </c>
      <c r="S2">
        <f>BDH("GLND US Equity","BS_ACCT_NOTE_RCV","1993-06-18","2026-05-02","Per=Y","Days=T","Dir=V")</f>
        <v>0</v>
      </c>
      <c r="U2">
        <f>BDH("GLND US Equity","BS_INVENTORIES","1993-06-18","2026-05-02","Per=Y","Days=T","Dir=V")</f>
        <v>0</v>
      </c>
      <c r="W2">
        <f>BDH("GLND US Equity","WORKING_CAPITAL","1993-06-18","2026-05-02","Per=Y","Days=T","Dir=V")</f>
        <v>0</v>
      </c>
      <c r="Y2">
        <f>BDH("GLND US Equity","SALES_REV_TURN","1993-06-18","2026-05-02","Per=Y","Days=T","Dir=V")</f>
        <v>0</v>
      </c>
      <c r="AA2">
        <f>BDH("GLND US Equity","EBIT","1993-06-18","2026-05-02","Per=Y","Days=T","Dir=V")</f>
        <v>0</v>
      </c>
      <c r="AC2">
        <f>BDH("GLND US Equity","EBITDA","1993-06-18","2026-05-02","Per=Y","Days=T","Dir=V")</f>
        <v>0</v>
      </c>
      <c r="AE2">
        <f>BDH("GLND US Equity","NET_INCOME","1993-06-18","2026-05-02","Per=Y","Days=T","Dir=V")</f>
        <v>0</v>
      </c>
      <c r="AG2">
        <f>BDH("GLND US Equity","IS_INT_EXPENSE","1993-06-18","2026-05-02","Per=Y","Days=T","Dir=V")</f>
        <v>0</v>
      </c>
      <c r="AI2">
        <f>BDH("GLND US Equity","IS_DEPR_EXP","1993-06-18","2026-05-02","Per=Y","Days=T","Dir=V")</f>
        <v>0</v>
      </c>
      <c r="AK2">
        <f>BDH("GLND US Equity","CF_CASH_FROM_OPER","1993-06-18","2026-05-02","Per=Y","Days=T","Dir=V")</f>
        <v>0</v>
      </c>
      <c r="AM2">
        <f>BDH("GLND US Equity","CAPITAL_EXPEND","1993-06-18","2026-05-02","Per=Y","Days=T","Dir=V")</f>
        <v>0</v>
      </c>
      <c r="AO2">
        <f>BDH("GLND US Equity","CF_FREE_CASH_FLOW","1993-06-18","2026-05-02","Per=Y","Days=T","Dir=V")</f>
        <v>0</v>
      </c>
      <c r="AQ2">
        <f>BDH("GLND US Equity","PX_LAST","1993-06-18","2026-05-02","Per=M","Days=T","Dir=V")</f>
        <v>0</v>
      </c>
      <c r="AS2">
        <f>BDH("GLND US Equity","CUR_MKT_CAP","1993-06-18","2026-05-02","Per=M","Days=T","Dir=V")</f>
        <v>0</v>
      </c>
      <c r="AU2">
        <f>BDH("GLND US Equity","EQY_SH_OUT","1993-06-18","2026-05-02","Per=M","Days=T","Dir=V")</f>
        <v>0</v>
      </c>
      <c r="AW2">
        <f>BDH("GLND US Equity","PX_VOLUME","1993-06-18","2026-05-02","Per=M","Days=T","Dir=V")</f>
        <v>0</v>
      </c>
      <c r="AY2">
        <f>BDH("GLND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BDH("GLNDW US Equity","BS_TOT_ASSET","1993-06-18","2026-05-02","Per=Y","Days=T","Dir=V")</f>
        <v>0</v>
      </c>
      <c r="C2">
        <f>BDH("GLNDW US Equity","BS_TOT_LIAB2","1993-06-18","2026-05-02","Per=Y","Days=T","Dir=V")</f>
        <v>0</v>
      </c>
      <c r="E2">
        <f>BDH("GLNDW US Equity","SHORT_AND_LONG_TERM_DEBT","1993-06-18","2026-05-02","Per=Y","Days=T","Dir=V")</f>
        <v>0</v>
      </c>
      <c r="G2">
        <f>BDH("GLNDW US Equity","BS_ST_BORROW","1993-06-18","2026-05-02","Per=Y","Days=T","Dir=V")</f>
        <v>0</v>
      </c>
      <c r="I2">
        <f>BDH("GLNDW US Equity","BS_LT_BORROW","1993-06-18","2026-05-02","Per=Y","Days=T","Dir=V")</f>
        <v>0</v>
      </c>
      <c r="K2">
        <f>BDH("GLNDW US Equity","BS_CASH_NEAR_CASH_ITEM","1993-06-18","2026-05-02","Per=Y","Days=T","Dir=V")</f>
        <v>0</v>
      </c>
      <c r="M2">
        <f>BDH("GLNDW US Equity","BS_CUR_ASSET_REPORT","1993-06-18","2026-05-02","Per=Y","Days=T","Dir=V")</f>
        <v>0</v>
      </c>
      <c r="O2">
        <f>BDH("GLNDW US Equity","BS_CUR_LIAB","1993-06-18","2026-05-02","Per=Y","Days=T","Dir=V")</f>
        <v>0</v>
      </c>
      <c r="Q2">
        <f>BDH("GLNDW US Equity","BS_SHAREHOLDER_EQY_ENDING_PERIOD","1993-06-18","2026-05-02","Per=Y","Days=T","Dir=V")</f>
        <v>0</v>
      </c>
      <c r="S2">
        <f>BDH("GLNDW US Equity","BS_ACCT_NOTE_RCV","1993-06-18","2026-05-02","Per=Y","Days=T","Dir=V")</f>
        <v>0</v>
      </c>
      <c r="U2">
        <f>BDH("GLNDW US Equity","BS_INVENTORIES","1993-06-18","2026-05-02","Per=Y","Days=T","Dir=V")</f>
        <v>0</v>
      </c>
      <c r="W2">
        <f>BDH("GLNDW US Equity","WORKING_CAPITAL","1993-06-18","2026-05-02","Per=Y","Days=T","Dir=V")</f>
        <v>0</v>
      </c>
      <c r="Y2">
        <f>BDH("GLNDW US Equity","SALES_REV_TURN","1993-06-18","2026-05-02","Per=Y","Days=T","Dir=V")</f>
        <v>0</v>
      </c>
      <c r="AA2">
        <f>BDH("GLNDW US Equity","EBIT","1993-06-18","2026-05-02","Per=Y","Days=T","Dir=V")</f>
        <v>0</v>
      </c>
      <c r="AC2">
        <f>BDH("GLNDW US Equity","EBITDA","1993-06-18","2026-05-02","Per=Y","Days=T","Dir=V")</f>
        <v>0</v>
      </c>
      <c r="AE2">
        <f>BDH("GLNDW US Equity","NET_INCOME","1993-06-18","2026-05-02","Per=Y","Days=T","Dir=V")</f>
        <v>0</v>
      </c>
      <c r="AG2">
        <f>BDH("GLNDW US Equity","IS_INT_EXPENSE","1993-06-18","2026-05-02","Per=Y","Days=T","Dir=V")</f>
        <v>0</v>
      </c>
      <c r="AI2">
        <f>BDH("GLNDW US Equity","IS_DEPR_EXP","1993-06-18","2026-05-02","Per=Y","Days=T","Dir=V")</f>
        <v>0</v>
      </c>
      <c r="AK2">
        <f>BDH("GLNDW US Equity","CF_CASH_FROM_OPER","1993-06-18","2026-05-02","Per=Y","Days=T","Dir=V")</f>
        <v>0</v>
      </c>
      <c r="AM2">
        <f>BDH("GLNDW US Equity","CAPITAL_EXPEND","1993-06-18","2026-05-02","Per=Y","Days=T","Dir=V")</f>
        <v>0</v>
      </c>
      <c r="AO2">
        <f>BDH("GLNDW US Equity","CF_FREE_CASH_FLOW","1993-06-18","2026-05-02","Per=Y","Days=T","Dir=V")</f>
        <v>0</v>
      </c>
      <c r="AQ2">
        <f>BDH("GLNDW US Equity","PX_LAST","1993-06-18","2026-05-02","Per=M","Days=T","Dir=V")</f>
        <v>0</v>
      </c>
      <c r="AS2">
        <f>BDH("GLNDW US Equity","CUR_MKT_CAP","1993-06-18","2026-05-02","Per=M","Days=T","Dir=V")</f>
        <v>0</v>
      </c>
      <c r="AU2">
        <f>BDH("GLNDW US Equity","EQY_SH_OUT","1993-06-18","2026-05-02","Per=M","Days=T","Dir=V")</f>
        <v>0</v>
      </c>
      <c r="AW2">
        <f>BDH("GLNDW US Equity","PX_VOLUME","1993-06-18","2026-05-02","Per=M","Days=T","Dir=V")</f>
        <v>0</v>
      </c>
      <c r="AY2">
        <f>BDH("GLNDW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BDH("GLOB US Equity","BS_TOT_ASSET","1993-06-18","2026-05-02","Per=Y","Days=T","Dir=V")</f>
        <v>0</v>
      </c>
      <c r="C2">
        <f>BDH("GLOB US Equity","BS_TOT_LIAB2","1993-06-18","2026-05-02","Per=Y","Days=T","Dir=V")</f>
        <v>0</v>
      </c>
      <c r="E2">
        <f>BDH("GLOB US Equity","SHORT_AND_LONG_TERM_DEBT","1993-06-18","2026-05-02","Per=Y","Days=T","Dir=V")</f>
        <v>0</v>
      </c>
      <c r="G2">
        <f>BDH("GLOB US Equity","BS_ST_BORROW","1993-06-18","2026-05-02","Per=Y","Days=T","Dir=V")</f>
        <v>0</v>
      </c>
      <c r="I2">
        <f>BDH("GLOB US Equity","BS_LT_BORROW","1993-06-18","2026-05-02","Per=Y","Days=T","Dir=V")</f>
        <v>0</v>
      </c>
      <c r="K2">
        <f>BDH("GLOB US Equity","BS_CASH_NEAR_CASH_ITEM","1993-06-18","2026-05-02","Per=Y","Days=T","Dir=V")</f>
        <v>0</v>
      </c>
      <c r="M2">
        <f>BDH("GLOB US Equity","BS_CUR_ASSET_REPORT","1993-06-18","2026-05-02","Per=Y","Days=T","Dir=V")</f>
        <v>0</v>
      </c>
      <c r="O2">
        <f>BDH("GLOB US Equity","BS_CUR_LIAB","1993-06-18","2026-05-02","Per=Y","Days=T","Dir=V")</f>
        <v>0</v>
      </c>
      <c r="Q2">
        <f>BDH("GLOB US Equity","BS_SHAREHOLDER_EQY_ENDING_PERIOD","1993-06-18","2026-05-02","Per=Y","Days=T","Dir=V")</f>
        <v>0</v>
      </c>
      <c r="S2">
        <f>BDH("GLOB US Equity","BS_ACCT_NOTE_RCV","1993-06-18","2026-05-02","Per=Y","Days=T","Dir=V")</f>
        <v>0</v>
      </c>
      <c r="U2">
        <f>BDH("GLOB US Equity","BS_INVENTORIES","1993-06-18","2026-05-02","Per=Y","Days=T","Dir=V")</f>
        <v>0</v>
      </c>
      <c r="W2">
        <f>BDH("GLOB US Equity","WORKING_CAPITAL","1993-06-18","2026-05-02","Per=Y","Days=T","Dir=V")</f>
        <v>0</v>
      </c>
      <c r="Y2">
        <f>BDH("GLOB US Equity","SALES_REV_TURN","1993-06-18","2026-05-02","Per=Y","Days=T","Dir=V")</f>
        <v>0</v>
      </c>
      <c r="AA2">
        <f>BDH("GLOB US Equity","EBIT","1993-06-18","2026-05-02","Per=Y","Days=T","Dir=V")</f>
        <v>0</v>
      </c>
      <c r="AC2">
        <f>BDH("GLOB US Equity","EBITDA","1993-06-18","2026-05-02","Per=Y","Days=T","Dir=V")</f>
        <v>0</v>
      </c>
      <c r="AE2">
        <f>BDH("GLOB US Equity","NET_INCOME","1993-06-18","2026-05-02","Per=Y","Days=T","Dir=V")</f>
        <v>0</v>
      </c>
      <c r="AG2">
        <f>BDH("GLOB US Equity","IS_INT_EXPENSE","1993-06-18","2026-05-02","Per=Y","Days=T","Dir=V")</f>
        <v>0</v>
      </c>
      <c r="AI2">
        <f>BDH("GLOB US Equity","IS_DEPR_EXP","1993-06-18","2026-05-02","Per=Y","Days=T","Dir=V")</f>
        <v>0</v>
      </c>
      <c r="AK2">
        <f>BDH("GLOB US Equity","CF_CASH_FROM_OPER","1993-06-18","2026-05-02","Per=Y","Days=T","Dir=V")</f>
        <v>0</v>
      </c>
      <c r="AM2">
        <f>BDH("GLOB US Equity","CAPITAL_EXPEND","1993-06-18","2026-05-02","Per=Y","Days=T","Dir=V")</f>
        <v>0</v>
      </c>
      <c r="AO2">
        <f>BDH("GLOB US Equity","CF_FREE_CASH_FLOW","1993-06-18","2026-05-02","Per=Y","Days=T","Dir=V")</f>
        <v>0</v>
      </c>
      <c r="AQ2">
        <f>BDH("GLOB US Equity","PX_LAST","1993-06-18","2026-05-02","Per=M","Days=T","Dir=V")</f>
        <v>0</v>
      </c>
      <c r="AS2">
        <f>BDH("GLOB US Equity","CUR_MKT_CAP","1993-06-18","2026-05-02","Per=M","Days=T","Dir=V")</f>
        <v>0</v>
      </c>
      <c r="AU2">
        <f>BDH("GLOB US Equity","EQY_SH_OUT","1993-06-18","2026-05-02","Per=M","Days=T","Dir=V")</f>
        <v>0</v>
      </c>
      <c r="AW2">
        <f>BDH("GLOB US Equity","PX_VOLUME","1993-06-18","2026-05-02","Per=M","Days=T","Dir=V")</f>
        <v>0</v>
      </c>
      <c r="AY2">
        <f>BDH("GLOB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BDH("GLOO US Equity","BS_TOT_ASSET","1993-06-18","2026-05-02","Per=Y","Days=T","Dir=V")</f>
        <v>0</v>
      </c>
      <c r="C2">
        <f>BDH("GLOO US Equity","BS_TOT_LIAB2","1993-06-18","2026-05-02","Per=Y","Days=T","Dir=V")</f>
        <v>0</v>
      </c>
      <c r="E2">
        <f>BDH("GLOO US Equity","SHORT_AND_LONG_TERM_DEBT","1993-06-18","2026-05-02","Per=Y","Days=T","Dir=V")</f>
        <v>0</v>
      </c>
      <c r="G2">
        <f>BDH("GLOO US Equity","BS_ST_BORROW","1993-06-18","2026-05-02","Per=Y","Days=T","Dir=V")</f>
        <v>0</v>
      </c>
      <c r="I2">
        <f>BDH("GLOO US Equity","BS_LT_BORROW","1993-06-18","2026-05-02","Per=Y","Days=T","Dir=V")</f>
        <v>0</v>
      </c>
      <c r="K2">
        <f>BDH("GLOO US Equity","BS_CASH_NEAR_CASH_ITEM","1993-06-18","2026-05-02","Per=Y","Days=T","Dir=V")</f>
        <v>0</v>
      </c>
      <c r="M2">
        <f>BDH("GLOO US Equity","BS_CUR_ASSET_REPORT","1993-06-18","2026-05-02","Per=Y","Days=T","Dir=V")</f>
        <v>0</v>
      </c>
      <c r="O2">
        <f>BDH("GLOO US Equity","BS_CUR_LIAB","1993-06-18","2026-05-02","Per=Y","Days=T","Dir=V")</f>
        <v>0</v>
      </c>
      <c r="Q2">
        <f>BDH("GLOO US Equity","BS_SHAREHOLDER_EQY_ENDING_PERIOD","1993-06-18","2026-05-02","Per=Y","Days=T","Dir=V")</f>
        <v>0</v>
      </c>
      <c r="S2">
        <f>BDH("GLOO US Equity","BS_ACCT_NOTE_RCV","1993-06-18","2026-05-02","Per=Y","Days=T","Dir=V")</f>
        <v>0</v>
      </c>
      <c r="U2">
        <f>BDH("GLOO US Equity","BS_INVENTORIES","1993-06-18","2026-05-02","Per=Y","Days=T","Dir=V")</f>
        <v>0</v>
      </c>
      <c r="W2">
        <f>BDH("GLOO US Equity","WORKING_CAPITAL","1993-06-18","2026-05-02","Per=Y","Days=T","Dir=V")</f>
        <v>0</v>
      </c>
      <c r="Y2">
        <f>BDH("GLOO US Equity","SALES_REV_TURN","1993-06-18","2026-05-02","Per=Y","Days=T","Dir=V")</f>
        <v>0</v>
      </c>
      <c r="AA2">
        <f>BDH("GLOO US Equity","EBIT","1993-06-18","2026-05-02","Per=Y","Days=T","Dir=V")</f>
        <v>0</v>
      </c>
      <c r="AC2">
        <f>BDH("GLOO US Equity","EBITDA","1993-06-18","2026-05-02","Per=Y","Days=T","Dir=V")</f>
        <v>0</v>
      </c>
      <c r="AE2">
        <f>BDH("GLOO US Equity","NET_INCOME","1993-06-18","2026-05-02","Per=Y","Days=T","Dir=V")</f>
        <v>0</v>
      </c>
      <c r="AG2">
        <f>BDH("GLOO US Equity","IS_INT_EXPENSE","1993-06-18","2026-05-02","Per=Y","Days=T","Dir=V")</f>
        <v>0</v>
      </c>
      <c r="AI2">
        <f>BDH("GLOO US Equity","IS_DEPR_EXP","1993-06-18","2026-05-02","Per=Y","Days=T","Dir=V")</f>
        <v>0</v>
      </c>
      <c r="AK2">
        <f>BDH("GLOO US Equity","CF_CASH_FROM_OPER","1993-06-18","2026-05-02","Per=Y","Days=T","Dir=V")</f>
        <v>0</v>
      </c>
      <c r="AM2">
        <f>BDH("GLOO US Equity","CAPITAL_EXPEND","1993-06-18","2026-05-02","Per=Y","Days=T","Dir=V")</f>
        <v>0</v>
      </c>
      <c r="AO2">
        <f>BDH("GLOO US Equity","CF_FREE_CASH_FLOW","1993-06-18","2026-05-02","Per=Y","Days=T","Dir=V")</f>
        <v>0</v>
      </c>
      <c r="AQ2">
        <f>BDH("GLOO US Equity","PX_LAST","1993-06-18","2026-05-02","Per=M","Days=T","Dir=V")</f>
        <v>0</v>
      </c>
      <c r="AS2">
        <f>BDH("GLOO US Equity","CUR_MKT_CAP","1993-06-18","2026-05-02","Per=M","Days=T","Dir=V")</f>
        <v>0</v>
      </c>
      <c r="AU2">
        <f>BDH("GLOO US Equity","EQY_SH_OUT","1993-06-18","2026-05-02","Per=M","Days=T","Dir=V")</f>
        <v>0</v>
      </c>
      <c r="AW2">
        <f>BDH("GLOO US Equity","PX_VOLUME","1993-06-18","2026-05-02","Per=M","Days=T","Dir=V")</f>
        <v>0</v>
      </c>
      <c r="AY2">
        <f>BDH("GLOO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BDH("GLP US Equity","BS_TOT_ASSET","1993-06-18","2026-05-02","Per=Y","Days=T","Dir=V")</f>
        <v>0</v>
      </c>
      <c r="C2">
        <f>BDH("GLP US Equity","BS_TOT_LIAB2","1993-06-18","2026-05-02","Per=Y","Days=T","Dir=V")</f>
        <v>0</v>
      </c>
      <c r="E2">
        <f>BDH("GLP US Equity","SHORT_AND_LONG_TERM_DEBT","1993-06-18","2026-05-02","Per=Y","Days=T","Dir=V")</f>
        <v>0</v>
      </c>
      <c r="G2">
        <f>BDH("GLP US Equity","BS_ST_BORROW","1993-06-18","2026-05-02","Per=Y","Days=T","Dir=V")</f>
        <v>0</v>
      </c>
      <c r="I2">
        <f>BDH("GLP US Equity","BS_LT_BORROW","1993-06-18","2026-05-02","Per=Y","Days=T","Dir=V")</f>
        <v>0</v>
      </c>
      <c r="K2">
        <f>BDH("GLP US Equity","BS_CASH_NEAR_CASH_ITEM","1993-06-18","2026-05-02","Per=Y","Days=T","Dir=V")</f>
        <v>0</v>
      </c>
      <c r="M2">
        <f>BDH("GLP US Equity","BS_CUR_ASSET_REPORT","1993-06-18","2026-05-02","Per=Y","Days=T","Dir=V")</f>
        <v>0</v>
      </c>
      <c r="O2">
        <f>BDH("GLP US Equity","BS_CUR_LIAB","1993-06-18","2026-05-02","Per=Y","Days=T","Dir=V")</f>
        <v>0</v>
      </c>
      <c r="Q2">
        <f>BDH("GLP US Equity","BS_SHAREHOLDER_EQY_ENDING_PERIOD","1993-06-18","2026-05-02","Per=Y","Days=T","Dir=V")</f>
        <v>0</v>
      </c>
      <c r="S2">
        <f>BDH("GLP US Equity","BS_ACCT_NOTE_RCV","1993-06-18","2026-05-02","Per=Y","Days=T","Dir=V")</f>
        <v>0</v>
      </c>
      <c r="U2">
        <f>BDH("GLP US Equity","BS_INVENTORIES","1993-06-18","2026-05-02","Per=Y","Days=T","Dir=V")</f>
        <v>0</v>
      </c>
      <c r="W2">
        <f>BDH("GLP US Equity","WORKING_CAPITAL","1993-06-18","2026-05-02","Per=Y","Days=T","Dir=V")</f>
        <v>0</v>
      </c>
      <c r="Y2">
        <f>BDH("GLP US Equity","SALES_REV_TURN","1993-06-18","2026-05-02","Per=Y","Days=T","Dir=V")</f>
        <v>0</v>
      </c>
      <c r="AA2">
        <f>BDH("GLP US Equity","EBIT","1993-06-18","2026-05-02","Per=Y","Days=T","Dir=V")</f>
        <v>0</v>
      </c>
      <c r="AC2">
        <f>BDH("GLP US Equity","EBITDA","1993-06-18","2026-05-02","Per=Y","Days=T","Dir=V")</f>
        <v>0</v>
      </c>
      <c r="AE2">
        <f>BDH("GLP US Equity","NET_INCOME","1993-06-18","2026-05-02","Per=Y","Days=T","Dir=V")</f>
        <v>0</v>
      </c>
      <c r="AG2">
        <f>BDH("GLP US Equity","IS_INT_EXPENSE","1993-06-18","2026-05-02","Per=Y","Days=T","Dir=V")</f>
        <v>0</v>
      </c>
      <c r="AI2">
        <f>BDH("GLP US Equity","IS_DEPR_EXP","1993-06-18","2026-05-02","Per=Y","Days=T","Dir=V")</f>
        <v>0</v>
      </c>
      <c r="AK2">
        <f>BDH("GLP US Equity","CF_CASH_FROM_OPER","1993-06-18","2026-05-02","Per=Y","Days=T","Dir=V")</f>
        <v>0</v>
      </c>
      <c r="AM2">
        <f>BDH("GLP US Equity","CAPITAL_EXPEND","1993-06-18","2026-05-02","Per=Y","Days=T","Dir=V")</f>
        <v>0</v>
      </c>
      <c r="AO2">
        <f>BDH("GLP US Equity","CF_FREE_CASH_FLOW","1993-06-18","2026-05-02","Per=Y","Days=T","Dir=V")</f>
        <v>0</v>
      </c>
      <c r="AQ2">
        <f>BDH("GLP US Equity","PX_LAST","1993-06-18","2026-05-02","Per=M","Days=T","Dir=V")</f>
        <v>0</v>
      </c>
      <c r="AS2">
        <f>BDH("GLP US Equity","CUR_MKT_CAP","1993-06-18","2026-05-02","Per=M","Days=T","Dir=V")</f>
        <v>0</v>
      </c>
      <c r="AU2">
        <f>BDH("GLP US Equity","EQY_SH_OUT","1993-06-18","2026-05-02","Per=M","Days=T","Dir=V")</f>
        <v>0</v>
      </c>
      <c r="AW2">
        <f>BDH("GLP US Equity","PX_VOLUME","1993-06-18","2026-05-02","Per=M","Days=T","Dir=V")</f>
        <v>0</v>
      </c>
      <c r="AY2">
        <f>BDH("GLP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BDH("GLSI US Equity","BS_TOT_ASSET","1993-06-18","2026-05-02","Per=Y","Days=T","Dir=V")</f>
        <v>0</v>
      </c>
      <c r="C2">
        <f>BDH("GLSI US Equity","BS_TOT_LIAB2","1993-06-18","2026-05-02","Per=Y","Days=T","Dir=V")</f>
        <v>0</v>
      </c>
      <c r="E2">
        <f>BDH("GLSI US Equity","SHORT_AND_LONG_TERM_DEBT","1993-06-18","2026-05-02","Per=Y","Days=T","Dir=V")</f>
        <v>0</v>
      </c>
      <c r="G2">
        <f>BDH("GLSI US Equity","BS_ST_BORROW","1993-06-18","2026-05-02","Per=Y","Days=T","Dir=V")</f>
        <v>0</v>
      </c>
      <c r="I2">
        <f>BDH("GLSI US Equity","BS_LT_BORROW","1993-06-18","2026-05-02","Per=Y","Days=T","Dir=V")</f>
        <v>0</v>
      </c>
      <c r="K2">
        <f>BDH("GLSI US Equity","BS_CASH_NEAR_CASH_ITEM","1993-06-18","2026-05-02","Per=Y","Days=T","Dir=V")</f>
        <v>0</v>
      </c>
      <c r="M2">
        <f>BDH("GLSI US Equity","BS_CUR_ASSET_REPORT","1993-06-18","2026-05-02","Per=Y","Days=T","Dir=V")</f>
        <v>0</v>
      </c>
      <c r="O2">
        <f>BDH("GLSI US Equity","BS_CUR_LIAB","1993-06-18","2026-05-02","Per=Y","Days=T","Dir=V")</f>
        <v>0</v>
      </c>
      <c r="Q2">
        <f>BDH("GLSI US Equity","BS_SHAREHOLDER_EQY_ENDING_PERIOD","1993-06-18","2026-05-02","Per=Y","Days=T","Dir=V")</f>
        <v>0</v>
      </c>
      <c r="S2">
        <f>BDH("GLSI US Equity","BS_ACCT_NOTE_RCV","1993-06-18","2026-05-02","Per=Y","Days=T","Dir=V")</f>
        <v>0</v>
      </c>
      <c r="U2">
        <f>BDH("GLSI US Equity","BS_INVENTORIES","1993-06-18","2026-05-02","Per=Y","Days=T","Dir=V")</f>
        <v>0</v>
      </c>
      <c r="W2">
        <f>BDH("GLSI US Equity","WORKING_CAPITAL","1993-06-18","2026-05-02","Per=Y","Days=T","Dir=V")</f>
        <v>0</v>
      </c>
      <c r="Y2">
        <f>BDH("GLSI US Equity","SALES_REV_TURN","1993-06-18","2026-05-02","Per=Y","Days=T","Dir=V")</f>
        <v>0</v>
      </c>
      <c r="AA2">
        <f>BDH("GLSI US Equity","EBIT","1993-06-18","2026-05-02","Per=Y","Days=T","Dir=V")</f>
        <v>0</v>
      </c>
      <c r="AC2">
        <f>BDH("GLSI US Equity","EBITDA","1993-06-18","2026-05-02","Per=Y","Days=T","Dir=V")</f>
        <v>0</v>
      </c>
      <c r="AE2">
        <f>BDH("GLSI US Equity","NET_INCOME","1993-06-18","2026-05-02","Per=Y","Days=T","Dir=V")</f>
        <v>0</v>
      </c>
      <c r="AG2">
        <f>BDH("GLSI US Equity","IS_INT_EXPENSE","1993-06-18","2026-05-02","Per=Y","Days=T","Dir=V")</f>
        <v>0</v>
      </c>
      <c r="AI2">
        <f>BDH("GLSI US Equity","IS_DEPR_EXP","1993-06-18","2026-05-02","Per=Y","Days=T","Dir=V")</f>
        <v>0</v>
      </c>
      <c r="AK2">
        <f>BDH("GLSI US Equity","CF_CASH_FROM_OPER","1993-06-18","2026-05-02","Per=Y","Days=T","Dir=V")</f>
        <v>0</v>
      </c>
      <c r="AM2">
        <f>BDH("GLSI US Equity","CAPITAL_EXPEND","1993-06-18","2026-05-02","Per=Y","Days=T","Dir=V")</f>
        <v>0</v>
      </c>
      <c r="AO2">
        <f>BDH("GLSI US Equity","CF_FREE_CASH_FLOW","1993-06-18","2026-05-02","Per=Y","Days=T","Dir=V")</f>
        <v>0</v>
      </c>
      <c r="AQ2">
        <f>BDH("GLSI US Equity","PX_LAST","1993-06-18","2026-05-02","Per=M","Days=T","Dir=V")</f>
        <v>0</v>
      </c>
      <c r="AS2">
        <f>BDH("GLSI US Equity","CUR_MKT_CAP","1993-06-18","2026-05-02","Per=M","Days=T","Dir=V")</f>
        <v>0</v>
      </c>
      <c r="AU2">
        <f>BDH("GLSI US Equity","EQY_SH_OUT","1993-06-18","2026-05-02","Per=M","Days=T","Dir=V")</f>
        <v>0</v>
      </c>
      <c r="AW2">
        <f>BDH("GLSI US Equity","PX_VOLUME","1993-06-18","2026-05-02","Per=M","Days=T","Dir=V")</f>
        <v>0</v>
      </c>
      <c r="AY2">
        <f>BDH("GLSI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BDH("GLUE US Equity","BS_TOT_ASSET","1993-06-18","2026-05-02","Per=Y","Days=T","Dir=V")</f>
        <v>0</v>
      </c>
      <c r="C2">
        <f>BDH("GLUE US Equity","BS_TOT_LIAB2","1993-06-18","2026-05-02","Per=Y","Days=T","Dir=V")</f>
        <v>0</v>
      </c>
      <c r="E2">
        <f>BDH("GLUE US Equity","SHORT_AND_LONG_TERM_DEBT","1993-06-18","2026-05-02","Per=Y","Days=T","Dir=V")</f>
        <v>0</v>
      </c>
      <c r="G2">
        <f>BDH("GLUE US Equity","BS_ST_BORROW","1993-06-18","2026-05-02","Per=Y","Days=T","Dir=V")</f>
        <v>0</v>
      </c>
      <c r="I2">
        <f>BDH("GLUE US Equity","BS_LT_BORROW","1993-06-18","2026-05-02","Per=Y","Days=T","Dir=V")</f>
        <v>0</v>
      </c>
      <c r="K2">
        <f>BDH("GLUE US Equity","BS_CASH_NEAR_CASH_ITEM","1993-06-18","2026-05-02","Per=Y","Days=T","Dir=V")</f>
        <v>0</v>
      </c>
      <c r="M2">
        <f>BDH("GLUE US Equity","BS_CUR_ASSET_REPORT","1993-06-18","2026-05-02","Per=Y","Days=T","Dir=V")</f>
        <v>0</v>
      </c>
      <c r="O2">
        <f>BDH("GLUE US Equity","BS_CUR_LIAB","1993-06-18","2026-05-02","Per=Y","Days=T","Dir=V")</f>
        <v>0</v>
      </c>
      <c r="Q2">
        <f>BDH("GLUE US Equity","BS_SHAREHOLDER_EQY_ENDING_PERIOD","1993-06-18","2026-05-02","Per=Y","Days=T","Dir=V")</f>
        <v>0</v>
      </c>
      <c r="S2">
        <f>BDH("GLUE US Equity","BS_ACCT_NOTE_RCV","1993-06-18","2026-05-02","Per=Y","Days=T","Dir=V")</f>
        <v>0</v>
      </c>
      <c r="U2">
        <f>BDH("GLUE US Equity","BS_INVENTORIES","1993-06-18","2026-05-02","Per=Y","Days=T","Dir=V")</f>
        <v>0</v>
      </c>
      <c r="W2">
        <f>BDH("GLUE US Equity","WORKING_CAPITAL","1993-06-18","2026-05-02","Per=Y","Days=T","Dir=V")</f>
        <v>0</v>
      </c>
      <c r="Y2">
        <f>BDH("GLUE US Equity","SALES_REV_TURN","1993-06-18","2026-05-02","Per=Y","Days=T","Dir=V")</f>
        <v>0</v>
      </c>
      <c r="AA2">
        <f>BDH("GLUE US Equity","EBIT","1993-06-18","2026-05-02","Per=Y","Days=T","Dir=V")</f>
        <v>0</v>
      </c>
      <c r="AC2">
        <f>BDH("GLUE US Equity","EBITDA","1993-06-18","2026-05-02","Per=Y","Days=T","Dir=V")</f>
        <v>0</v>
      </c>
      <c r="AE2">
        <f>BDH("GLUE US Equity","NET_INCOME","1993-06-18","2026-05-02","Per=Y","Days=T","Dir=V")</f>
        <v>0</v>
      </c>
      <c r="AG2">
        <f>BDH("GLUE US Equity","IS_INT_EXPENSE","1993-06-18","2026-05-02","Per=Y","Days=T","Dir=V")</f>
        <v>0</v>
      </c>
      <c r="AI2">
        <f>BDH("GLUE US Equity","IS_DEPR_EXP","1993-06-18","2026-05-02","Per=Y","Days=T","Dir=V")</f>
        <v>0</v>
      </c>
      <c r="AK2">
        <f>BDH("GLUE US Equity","CF_CASH_FROM_OPER","1993-06-18","2026-05-02","Per=Y","Days=T","Dir=V")</f>
        <v>0</v>
      </c>
      <c r="AM2">
        <f>BDH("GLUE US Equity","CAPITAL_EXPEND","1993-06-18","2026-05-02","Per=Y","Days=T","Dir=V")</f>
        <v>0</v>
      </c>
      <c r="AO2">
        <f>BDH("GLUE US Equity","CF_FREE_CASH_FLOW","1993-06-18","2026-05-02","Per=Y","Days=T","Dir=V")</f>
        <v>0</v>
      </c>
      <c r="AQ2">
        <f>BDH("GLUE US Equity","PX_LAST","1993-06-18","2026-05-02","Per=M","Days=T","Dir=V")</f>
        <v>0</v>
      </c>
      <c r="AS2">
        <f>BDH("GLUE US Equity","CUR_MKT_CAP","1993-06-18","2026-05-02","Per=M","Days=T","Dir=V")</f>
        <v>0</v>
      </c>
      <c r="AU2">
        <f>BDH("GLUE US Equity","EQY_SH_OUT","1993-06-18","2026-05-02","Per=M","Days=T","Dir=V")</f>
        <v>0</v>
      </c>
      <c r="AW2">
        <f>BDH("GLUE US Equity","PX_VOLUME","1993-06-18","2026-05-02","Per=M","Days=T","Dir=V")</f>
        <v>0</v>
      </c>
      <c r="AY2">
        <f>BDH("GLUE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BDH("GLW US Equity","BS_TOT_ASSET","1993-06-18","2026-05-02","Per=Y","Days=T","Dir=V")</f>
        <v>0</v>
      </c>
      <c r="C2">
        <f>BDH("GLW US Equity","BS_TOT_LIAB2","1993-06-18","2026-05-02","Per=Y","Days=T","Dir=V")</f>
        <v>0</v>
      </c>
      <c r="E2">
        <f>BDH("GLW US Equity","SHORT_AND_LONG_TERM_DEBT","1993-06-18","2026-05-02","Per=Y","Days=T","Dir=V")</f>
        <v>0</v>
      </c>
      <c r="G2">
        <f>BDH("GLW US Equity","BS_ST_BORROW","1993-06-18","2026-05-02","Per=Y","Days=T","Dir=V")</f>
        <v>0</v>
      </c>
      <c r="I2">
        <f>BDH("GLW US Equity","BS_LT_BORROW","1993-06-18","2026-05-02","Per=Y","Days=T","Dir=V")</f>
        <v>0</v>
      </c>
      <c r="K2">
        <f>BDH("GLW US Equity","BS_CASH_NEAR_CASH_ITEM","1993-06-18","2026-05-02","Per=Y","Days=T","Dir=V")</f>
        <v>0</v>
      </c>
      <c r="M2">
        <f>BDH("GLW US Equity","BS_CUR_ASSET_REPORT","1993-06-18","2026-05-02","Per=Y","Days=T","Dir=V")</f>
        <v>0</v>
      </c>
      <c r="O2">
        <f>BDH("GLW US Equity","BS_CUR_LIAB","1993-06-18","2026-05-02","Per=Y","Days=T","Dir=V")</f>
        <v>0</v>
      </c>
      <c r="Q2">
        <f>BDH("GLW US Equity","BS_SHAREHOLDER_EQY_ENDING_PERIOD","1993-06-18","2026-05-02","Per=Y","Days=T","Dir=V")</f>
        <v>0</v>
      </c>
      <c r="S2">
        <f>BDH("GLW US Equity","BS_ACCT_NOTE_RCV","1993-06-18","2026-05-02","Per=Y","Days=T","Dir=V")</f>
        <v>0</v>
      </c>
      <c r="U2">
        <f>BDH("GLW US Equity","BS_INVENTORIES","1993-06-18","2026-05-02","Per=Y","Days=T","Dir=V")</f>
        <v>0</v>
      </c>
      <c r="W2">
        <f>BDH("GLW US Equity","WORKING_CAPITAL","1993-06-18","2026-05-02","Per=Y","Days=T","Dir=V")</f>
        <v>0</v>
      </c>
      <c r="Y2">
        <f>BDH("GLW US Equity","SALES_REV_TURN","1993-06-18","2026-05-02","Per=Y","Days=T","Dir=V")</f>
        <v>0</v>
      </c>
      <c r="AA2">
        <f>BDH("GLW US Equity","EBIT","1993-06-18","2026-05-02","Per=Y","Days=T","Dir=V")</f>
        <v>0</v>
      </c>
      <c r="AC2">
        <f>BDH("GLW US Equity","EBITDA","1993-06-18","2026-05-02","Per=Y","Days=T","Dir=V")</f>
        <v>0</v>
      </c>
      <c r="AE2">
        <f>BDH("GLW US Equity","NET_INCOME","1993-06-18","2026-05-02","Per=Y","Days=T","Dir=V")</f>
        <v>0</v>
      </c>
      <c r="AG2">
        <f>BDH("GLW US Equity","IS_INT_EXPENSE","1993-06-18","2026-05-02","Per=Y","Days=T","Dir=V")</f>
        <v>0</v>
      </c>
      <c r="AI2">
        <f>BDH("GLW US Equity","IS_DEPR_EXP","1993-06-18","2026-05-02","Per=Y","Days=T","Dir=V")</f>
        <v>0</v>
      </c>
      <c r="AK2">
        <f>BDH("GLW US Equity","CF_CASH_FROM_OPER","1993-06-18","2026-05-02","Per=Y","Days=T","Dir=V")</f>
        <v>0</v>
      </c>
      <c r="AM2">
        <f>BDH("GLW US Equity","CAPITAL_EXPEND","1993-06-18","2026-05-02","Per=Y","Days=T","Dir=V")</f>
        <v>0</v>
      </c>
      <c r="AO2">
        <f>BDH("GLW US Equity","CF_FREE_CASH_FLOW","1993-06-18","2026-05-02","Per=Y","Days=T","Dir=V")</f>
        <v>0</v>
      </c>
      <c r="AQ2">
        <f>BDH("GLW US Equity","PX_LAST","1993-06-18","2026-05-02","Per=M","Days=T","Dir=V")</f>
        <v>0</v>
      </c>
      <c r="AS2">
        <f>BDH("GLW US Equity","CUR_MKT_CAP","1993-06-18","2026-05-02","Per=M","Days=T","Dir=V")</f>
        <v>0</v>
      </c>
      <c r="AU2">
        <f>BDH("GLW US Equity","EQY_SH_OUT","1993-06-18","2026-05-02","Per=M","Days=T","Dir=V")</f>
        <v>0</v>
      </c>
      <c r="AW2">
        <f>BDH("GLW US Equity","PX_VOLUME","1993-06-18","2026-05-02","Per=M","Days=T","Dir=V")</f>
        <v>0</v>
      </c>
      <c r="AY2">
        <f>BDH("GLW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BDH("GM US Equity","BS_TOT_ASSET","1993-06-18","2026-05-02","Per=Y","Days=T","Dir=V")</f>
        <v>0</v>
      </c>
      <c r="C2">
        <f>BDH("GM US Equity","BS_TOT_LIAB2","1993-06-18","2026-05-02","Per=Y","Days=T","Dir=V")</f>
        <v>0</v>
      </c>
      <c r="E2">
        <f>BDH("GM US Equity","SHORT_AND_LONG_TERM_DEBT","1993-06-18","2026-05-02","Per=Y","Days=T","Dir=V")</f>
        <v>0</v>
      </c>
      <c r="G2">
        <f>BDH("GM US Equity","BS_ST_BORROW","1993-06-18","2026-05-02","Per=Y","Days=T","Dir=V")</f>
        <v>0</v>
      </c>
      <c r="I2">
        <f>BDH("GM US Equity","BS_LT_BORROW","1993-06-18","2026-05-02","Per=Y","Days=T","Dir=V")</f>
        <v>0</v>
      </c>
      <c r="K2">
        <f>BDH("GM US Equity","BS_CASH_NEAR_CASH_ITEM","1993-06-18","2026-05-02","Per=Y","Days=T","Dir=V")</f>
        <v>0</v>
      </c>
      <c r="M2">
        <f>BDH("GM US Equity","BS_CUR_ASSET_REPORT","1993-06-18","2026-05-02","Per=Y","Days=T","Dir=V")</f>
        <v>0</v>
      </c>
      <c r="O2">
        <f>BDH("GM US Equity","BS_CUR_LIAB","1993-06-18","2026-05-02","Per=Y","Days=T","Dir=V")</f>
        <v>0</v>
      </c>
      <c r="Q2">
        <f>BDH("GM US Equity","BS_SHAREHOLDER_EQY_ENDING_PERIOD","1993-06-18","2026-05-02","Per=Y","Days=T","Dir=V")</f>
        <v>0</v>
      </c>
      <c r="S2">
        <f>BDH("GM US Equity","BS_ACCT_NOTE_RCV","1993-06-18","2026-05-02","Per=Y","Days=T","Dir=V")</f>
        <v>0</v>
      </c>
      <c r="U2">
        <f>BDH("GM US Equity","BS_INVENTORIES","1993-06-18","2026-05-02","Per=Y","Days=T","Dir=V")</f>
        <v>0</v>
      </c>
      <c r="W2">
        <f>BDH("GM US Equity","WORKING_CAPITAL","1993-06-18","2026-05-02","Per=Y","Days=T","Dir=V")</f>
        <v>0</v>
      </c>
      <c r="Y2">
        <f>BDH("GM US Equity","SALES_REV_TURN","1993-06-18","2026-05-02","Per=Y","Days=T","Dir=V")</f>
        <v>0</v>
      </c>
      <c r="AA2">
        <f>BDH("GM US Equity","EBIT","1993-06-18","2026-05-02","Per=Y","Days=T","Dir=V")</f>
        <v>0</v>
      </c>
      <c r="AC2">
        <f>BDH("GM US Equity","EBITDA","1993-06-18","2026-05-02","Per=Y","Days=T","Dir=V")</f>
        <v>0</v>
      </c>
      <c r="AE2">
        <f>BDH("GM US Equity","NET_INCOME","1993-06-18","2026-05-02","Per=Y","Days=T","Dir=V")</f>
        <v>0</v>
      </c>
      <c r="AG2">
        <f>BDH("GM US Equity","IS_INT_EXPENSE","1993-06-18","2026-05-02","Per=Y","Days=T","Dir=V")</f>
        <v>0</v>
      </c>
      <c r="AI2">
        <f>BDH("GM US Equity","IS_DEPR_EXP","1993-06-18","2026-05-02","Per=Y","Days=T","Dir=V")</f>
        <v>0</v>
      </c>
      <c r="AK2">
        <f>BDH("GM US Equity","CF_CASH_FROM_OPER","1993-06-18","2026-05-02","Per=Y","Days=T","Dir=V")</f>
        <v>0</v>
      </c>
      <c r="AM2">
        <f>BDH("GM US Equity","CAPITAL_EXPEND","1993-06-18","2026-05-02","Per=Y","Days=T","Dir=V")</f>
        <v>0</v>
      </c>
      <c r="AO2">
        <f>BDH("GM US Equity","CF_FREE_CASH_FLOW","1993-06-18","2026-05-02","Per=Y","Days=T","Dir=V")</f>
        <v>0</v>
      </c>
      <c r="AQ2">
        <f>BDH("GM US Equity","PX_LAST","1993-06-18","2026-05-02","Per=M","Days=T","Dir=V")</f>
        <v>0</v>
      </c>
      <c r="AS2">
        <f>BDH("GM US Equity","CUR_MKT_CAP","1993-06-18","2026-05-02","Per=M","Days=T","Dir=V")</f>
        <v>0</v>
      </c>
      <c r="AU2">
        <f>BDH("GM US Equity","EQY_SH_OUT","1993-06-18","2026-05-02","Per=M","Days=T","Dir=V")</f>
        <v>0</v>
      </c>
      <c r="AW2">
        <f>BDH("GM US Equity","PX_VOLUME","1993-06-18","2026-05-02","Per=M","Days=T","Dir=V")</f>
        <v>0</v>
      </c>
      <c r="AY2">
        <f>BDH("GM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BDH("GME US Equity","BS_TOT_ASSET","1993-06-18","2026-05-02","Per=Y","Days=T","Dir=V")</f>
        <v>0</v>
      </c>
      <c r="C2">
        <f>BDH("GME US Equity","BS_TOT_LIAB2","1993-06-18","2026-05-02","Per=Y","Days=T","Dir=V")</f>
        <v>0</v>
      </c>
      <c r="E2">
        <f>BDH("GME US Equity","SHORT_AND_LONG_TERM_DEBT","1993-06-18","2026-05-02","Per=Y","Days=T","Dir=V")</f>
        <v>0</v>
      </c>
      <c r="G2">
        <f>BDH("GME US Equity","BS_ST_BORROW","1993-06-18","2026-05-02","Per=Y","Days=T","Dir=V")</f>
        <v>0</v>
      </c>
      <c r="I2">
        <f>BDH("GME US Equity","BS_LT_BORROW","1993-06-18","2026-05-02","Per=Y","Days=T","Dir=V")</f>
        <v>0</v>
      </c>
      <c r="K2">
        <f>BDH("GME US Equity","BS_CASH_NEAR_CASH_ITEM","1993-06-18","2026-05-02","Per=Y","Days=T","Dir=V")</f>
        <v>0</v>
      </c>
      <c r="M2">
        <f>BDH("GME US Equity","BS_CUR_ASSET_REPORT","1993-06-18","2026-05-02","Per=Y","Days=T","Dir=V")</f>
        <v>0</v>
      </c>
      <c r="O2">
        <f>BDH("GME US Equity","BS_CUR_LIAB","1993-06-18","2026-05-02","Per=Y","Days=T","Dir=V")</f>
        <v>0</v>
      </c>
      <c r="Q2">
        <f>BDH("GME US Equity","BS_SHAREHOLDER_EQY_ENDING_PERIOD","1993-06-18","2026-05-02","Per=Y","Days=T","Dir=V")</f>
        <v>0</v>
      </c>
      <c r="S2">
        <f>BDH("GME US Equity","BS_ACCT_NOTE_RCV","1993-06-18","2026-05-02","Per=Y","Days=T","Dir=V")</f>
        <v>0</v>
      </c>
      <c r="U2">
        <f>BDH("GME US Equity","BS_INVENTORIES","1993-06-18","2026-05-02","Per=Y","Days=T","Dir=V")</f>
        <v>0</v>
      </c>
      <c r="W2">
        <f>BDH("GME US Equity","WORKING_CAPITAL","1993-06-18","2026-05-02","Per=Y","Days=T","Dir=V")</f>
        <v>0</v>
      </c>
      <c r="Y2">
        <f>BDH("GME US Equity","SALES_REV_TURN","1993-06-18","2026-05-02","Per=Y","Days=T","Dir=V")</f>
        <v>0</v>
      </c>
      <c r="AA2">
        <f>BDH("GME US Equity","EBIT","1993-06-18","2026-05-02","Per=Y","Days=T","Dir=V")</f>
        <v>0</v>
      </c>
      <c r="AC2">
        <f>BDH("GME US Equity","EBITDA","1993-06-18","2026-05-02","Per=Y","Days=T","Dir=V")</f>
        <v>0</v>
      </c>
      <c r="AE2">
        <f>BDH("GME US Equity","NET_INCOME","1993-06-18","2026-05-02","Per=Y","Days=T","Dir=V")</f>
        <v>0</v>
      </c>
      <c r="AG2">
        <f>BDH("GME US Equity","IS_INT_EXPENSE","1993-06-18","2026-05-02","Per=Y","Days=T","Dir=V")</f>
        <v>0</v>
      </c>
      <c r="AI2">
        <f>BDH("GME US Equity","IS_DEPR_EXP","1993-06-18","2026-05-02","Per=Y","Days=T","Dir=V")</f>
        <v>0</v>
      </c>
      <c r="AK2">
        <f>BDH("GME US Equity","CF_CASH_FROM_OPER","1993-06-18","2026-05-02","Per=Y","Days=T","Dir=V")</f>
        <v>0</v>
      </c>
      <c r="AM2">
        <f>BDH("GME US Equity","CAPITAL_EXPEND","1993-06-18","2026-05-02","Per=Y","Days=T","Dir=V")</f>
        <v>0</v>
      </c>
      <c r="AO2">
        <f>BDH("GME US Equity","CF_FREE_CASH_FLOW","1993-06-18","2026-05-02","Per=Y","Days=T","Dir=V")</f>
        <v>0</v>
      </c>
      <c r="AQ2">
        <f>BDH("GME US Equity","PX_LAST","1993-06-18","2026-05-02","Per=M","Days=T","Dir=V")</f>
        <v>0</v>
      </c>
      <c r="AS2">
        <f>BDH("GME US Equity","CUR_MKT_CAP","1993-06-18","2026-05-02","Per=M","Days=T","Dir=V")</f>
        <v>0</v>
      </c>
      <c r="AU2">
        <f>BDH("GME US Equity","EQY_SH_OUT","1993-06-18","2026-05-02","Per=M","Days=T","Dir=V")</f>
        <v>0</v>
      </c>
      <c r="AW2">
        <f>BDH("GME US Equity","PX_VOLUME","1993-06-18","2026-05-02","Per=M","Days=T","Dir=V")</f>
        <v>0</v>
      </c>
      <c r="AY2">
        <f>BDH("GME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BDH("GMED US Equity","BS_TOT_ASSET","1993-06-18","2026-05-02","Per=Y","Days=T","Dir=V")</f>
        <v>0</v>
      </c>
      <c r="C2">
        <f>BDH("GMED US Equity","BS_TOT_LIAB2","1993-06-18","2026-05-02","Per=Y","Days=T","Dir=V")</f>
        <v>0</v>
      </c>
      <c r="E2">
        <f>BDH("GMED US Equity","SHORT_AND_LONG_TERM_DEBT","1993-06-18","2026-05-02","Per=Y","Days=T","Dir=V")</f>
        <v>0</v>
      </c>
      <c r="G2">
        <f>BDH("GMED US Equity","BS_ST_BORROW","1993-06-18","2026-05-02","Per=Y","Days=T","Dir=V")</f>
        <v>0</v>
      </c>
      <c r="I2">
        <f>BDH("GMED US Equity","BS_LT_BORROW","1993-06-18","2026-05-02","Per=Y","Days=T","Dir=V")</f>
        <v>0</v>
      </c>
      <c r="K2">
        <f>BDH("GMED US Equity","BS_CASH_NEAR_CASH_ITEM","1993-06-18","2026-05-02","Per=Y","Days=T","Dir=V")</f>
        <v>0</v>
      </c>
      <c r="M2">
        <f>BDH("GMED US Equity","BS_CUR_ASSET_REPORT","1993-06-18","2026-05-02","Per=Y","Days=T","Dir=V")</f>
        <v>0</v>
      </c>
      <c r="O2">
        <f>BDH("GMED US Equity","BS_CUR_LIAB","1993-06-18","2026-05-02","Per=Y","Days=T","Dir=V")</f>
        <v>0</v>
      </c>
      <c r="Q2">
        <f>BDH("GMED US Equity","BS_SHAREHOLDER_EQY_ENDING_PERIOD","1993-06-18","2026-05-02","Per=Y","Days=T","Dir=V")</f>
        <v>0</v>
      </c>
      <c r="S2">
        <f>BDH("GMED US Equity","BS_ACCT_NOTE_RCV","1993-06-18","2026-05-02","Per=Y","Days=T","Dir=V")</f>
        <v>0</v>
      </c>
      <c r="U2">
        <f>BDH("GMED US Equity","BS_INVENTORIES","1993-06-18","2026-05-02","Per=Y","Days=T","Dir=V")</f>
        <v>0</v>
      </c>
      <c r="W2">
        <f>BDH("GMED US Equity","WORKING_CAPITAL","1993-06-18","2026-05-02","Per=Y","Days=T","Dir=V")</f>
        <v>0</v>
      </c>
      <c r="Y2">
        <f>BDH("GMED US Equity","SALES_REV_TURN","1993-06-18","2026-05-02","Per=Y","Days=T","Dir=V")</f>
        <v>0</v>
      </c>
      <c r="AA2">
        <f>BDH("GMED US Equity","EBIT","1993-06-18","2026-05-02","Per=Y","Days=T","Dir=V")</f>
        <v>0</v>
      </c>
      <c r="AC2">
        <f>BDH("GMED US Equity","EBITDA","1993-06-18","2026-05-02","Per=Y","Days=T","Dir=V")</f>
        <v>0</v>
      </c>
      <c r="AE2">
        <f>BDH("GMED US Equity","NET_INCOME","1993-06-18","2026-05-02","Per=Y","Days=T","Dir=V")</f>
        <v>0</v>
      </c>
      <c r="AG2">
        <f>BDH("GMED US Equity","IS_INT_EXPENSE","1993-06-18","2026-05-02","Per=Y","Days=T","Dir=V")</f>
        <v>0</v>
      </c>
      <c r="AI2">
        <f>BDH("GMED US Equity","IS_DEPR_EXP","1993-06-18","2026-05-02","Per=Y","Days=T","Dir=V")</f>
        <v>0</v>
      </c>
      <c r="AK2">
        <f>BDH("GMED US Equity","CF_CASH_FROM_OPER","1993-06-18","2026-05-02","Per=Y","Days=T","Dir=V")</f>
        <v>0</v>
      </c>
      <c r="AM2">
        <f>BDH("GMED US Equity","CAPITAL_EXPEND","1993-06-18","2026-05-02","Per=Y","Days=T","Dir=V")</f>
        <v>0</v>
      </c>
      <c r="AO2">
        <f>BDH("GMED US Equity","CF_FREE_CASH_FLOW","1993-06-18","2026-05-02","Per=Y","Days=T","Dir=V")</f>
        <v>0</v>
      </c>
      <c r="AQ2">
        <f>BDH("GMED US Equity","PX_LAST","1993-06-18","2026-05-02","Per=M","Days=T","Dir=V")</f>
        <v>0</v>
      </c>
      <c r="AS2">
        <f>BDH("GMED US Equity","CUR_MKT_CAP","1993-06-18","2026-05-02","Per=M","Days=T","Dir=V")</f>
        <v>0</v>
      </c>
      <c r="AU2">
        <f>BDH("GMED US Equity","EQY_SH_OUT","1993-06-18","2026-05-02","Per=M","Days=T","Dir=V")</f>
        <v>0</v>
      </c>
      <c r="AW2">
        <f>BDH("GMED US Equity","PX_VOLUME","1993-06-18","2026-05-02","Per=M","Days=T","Dir=V")</f>
        <v>0</v>
      </c>
      <c r="AY2">
        <f>BDH("GMED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BDH("GNE US Equity","BS_TOT_ASSET","1993-06-18","2026-05-02","Per=Y","Days=T","Dir=V")</f>
        <v>0</v>
      </c>
      <c r="C2">
        <f>BDH("GNE US Equity","BS_TOT_LIAB2","1993-06-18","2026-05-02","Per=Y","Days=T","Dir=V")</f>
        <v>0</v>
      </c>
      <c r="E2">
        <f>BDH("GNE US Equity","SHORT_AND_LONG_TERM_DEBT","1993-06-18","2026-05-02","Per=Y","Days=T","Dir=V")</f>
        <v>0</v>
      </c>
      <c r="G2">
        <f>BDH("GNE US Equity","BS_ST_BORROW","1993-06-18","2026-05-02","Per=Y","Days=T","Dir=V")</f>
        <v>0</v>
      </c>
      <c r="I2">
        <f>BDH("GNE US Equity","BS_LT_BORROW","1993-06-18","2026-05-02","Per=Y","Days=T","Dir=V")</f>
        <v>0</v>
      </c>
      <c r="K2">
        <f>BDH("GNE US Equity","BS_CASH_NEAR_CASH_ITEM","1993-06-18","2026-05-02","Per=Y","Days=T","Dir=V")</f>
        <v>0</v>
      </c>
      <c r="M2">
        <f>BDH("GNE US Equity","BS_CUR_ASSET_REPORT","1993-06-18","2026-05-02","Per=Y","Days=T","Dir=V")</f>
        <v>0</v>
      </c>
      <c r="O2">
        <f>BDH("GNE US Equity","BS_CUR_LIAB","1993-06-18","2026-05-02","Per=Y","Days=T","Dir=V")</f>
        <v>0</v>
      </c>
      <c r="Q2">
        <f>BDH("GNE US Equity","BS_SHAREHOLDER_EQY_ENDING_PERIOD","1993-06-18","2026-05-02","Per=Y","Days=T","Dir=V")</f>
        <v>0</v>
      </c>
      <c r="S2">
        <f>BDH("GNE US Equity","BS_ACCT_NOTE_RCV","1993-06-18","2026-05-02","Per=Y","Days=T","Dir=V")</f>
        <v>0</v>
      </c>
      <c r="U2">
        <f>BDH("GNE US Equity","BS_INVENTORIES","1993-06-18","2026-05-02","Per=Y","Days=T","Dir=V")</f>
        <v>0</v>
      </c>
      <c r="W2">
        <f>BDH("GNE US Equity","WORKING_CAPITAL","1993-06-18","2026-05-02","Per=Y","Days=T","Dir=V")</f>
        <v>0</v>
      </c>
      <c r="Y2">
        <f>BDH("GNE US Equity","SALES_REV_TURN","1993-06-18","2026-05-02","Per=Y","Days=T","Dir=V")</f>
        <v>0</v>
      </c>
      <c r="AA2">
        <f>BDH("GNE US Equity","EBIT","1993-06-18","2026-05-02","Per=Y","Days=T","Dir=V")</f>
        <v>0</v>
      </c>
      <c r="AC2">
        <f>BDH("GNE US Equity","EBITDA","1993-06-18","2026-05-02","Per=Y","Days=T","Dir=V")</f>
        <v>0</v>
      </c>
      <c r="AE2">
        <f>BDH("GNE US Equity","NET_INCOME","1993-06-18","2026-05-02","Per=Y","Days=T","Dir=V")</f>
        <v>0</v>
      </c>
      <c r="AG2">
        <f>BDH("GNE US Equity","IS_INT_EXPENSE","1993-06-18","2026-05-02","Per=Y","Days=T","Dir=V")</f>
        <v>0</v>
      </c>
      <c r="AI2">
        <f>BDH("GNE US Equity","IS_DEPR_EXP","1993-06-18","2026-05-02","Per=Y","Days=T","Dir=V")</f>
        <v>0</v>
      </c>
      <c r="AK2">
        <f>BDH("GNE US Equity","CF_CASH_FROM_OPER","1993-06-18","2026-05-02","Per=Y","Days=T","Dir=V")</f>
        <v>0</v>
      </c>
      <c r="AM2">
        <f>BDH("GNE US Equity","CAPITAL_EXPEND","1993-06-18","2026-05-02","Per=Y","Days=T","Dir=V")</f>
        <v>0</v>
      </c>
      <c r="AO2">
        <f>BDH("GNE US Equity","CF_FREE_CASH_FLOW","1993-06-18","2026-05-02","Per=Y","Days=T","Dir=V")</f>
        <v>0</v>
      </c>
      <c r="AQ2">
        <f>BDH("GNE US Equity","PX_LAST","1993-06-18","2026-05-02","Per=M","Days=T","Dir=V")</f>
        <v>0</v>
      </c>
      <c r="AS2">
        <f>BDH("GNE US Equity","CUR_MKT_CAP","1993-06-18","2026-05-02","Per=M","Days=T","Dir=V")</f>
        <v>0</v>
      </c>
      <c r="AU2">
        <f>BDH("GNE US Equity","EQY_SH_OUT","1993-06-18","2026-05-02","Per=M","Days=T","Dir=V")</f>
        <v>0</v>
      </c>
      <c r="AW2">
        <f>BDH("GNE US Equity","PX_VOLUME","1993-06-18","2026-05-02","Per=M","Days=T","Dir=V")</f>
        <v>0</v>
      </c>
      <c r="AY2">
        <f>BDH("GNE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BDH("GNK US Equity","BS_TOT_ASSET","1993-06-18","2026-05-02","Per=Y","Days=T","Dir=V")</f>
        <v>0</v>
      </c>
      <c r="C2">
        <f>BDH("GNK US Equity","BS_TOT_LIAB2","1993-06-18","2026-05-02","Per=Y","Days=T","Dir=V")</f>
        <v>0</v>
      </c>
      <c r="E2">
        <f>BDH("GNK US Equity","SHORT_AND_LONG_TERM_DEBT","1993-06-18","2026-05-02","Per=Y","Days=T","Dir=V")</f>
        <v>0</v>
      </c>
      <c r="G2">
        <f>BDH("GNK US Equity","BS_ST_BORROW","1993-06-18","2026-05-02","Per=Y","Days=T","Dir=V")</f>
        <v>0</v>
      </c>
      <c r="I2">
        <f>BDH("GNK US Equity","BS_LT_BORROW","1993-06-18","2026-05-02","Per=Y","Days=T","Dir=V")</f>
        <v>0</v>
      </c>
      <c r="K2">
        <f>BDH("GNK US Equity","BS_CASH_NEAR_CASH_ITEM","1993-06-18","2026-05-02","Per=Y","Days=T","Dir=V")</f>
        <v>0</v>
      </c>
      <c r="M2">
        <f>BDH("GNK US Equity","BS_CUR_ASSET_REPORT","1993-06-18","2026-05-02","Per=Y","Days=T","Dir=V")</f>
        <v>0</v>
      </c>
      <c r="O2">
        <f>BDH("GNK US Equity","BS_CUR_LIAB","1993-06-18","2026-05-02","Per=Y","Days=T","Dir=V")</f>
        <v>0</v>
      </c>
      <c r="Q2">
        <f>BDH("GNK US Equity","BS_SHAREHOLDER_EQY_ENDING_PERIOD","1993-06-18","2026-05-02","Per=Y","Days=T","Dir=V")</f>
        <v>0</v>
      </c>
      <c r="S2">
        <f>BDH("GNK US Equity","BS_ACCT_NOTE_RCV","1993-06-18","2026-05-02","Per=Y","Days=T","Dir=V")</f>
        <v>0</v>
      </c>
      <c r="U2">
        <f>BDH("GNK US Equity","BS_INVENTORIES","1993-06-18","2026-05-02","Per=Y","Days=T","Dir=V")</f>
        <v>0</v>
      </c>
      <c r="W2">
        <f>BDH("GNK US Equity","WORKING_CAPITAL","1993-06-18","2026-05-02","Per=Y","Days=T","Dir=V")</f>
        <v>0</v>
      </c>
      <c r="Y2">
        <f>BDH("GNK US Equity","SALES_REV_TURN","1993-06-18","2026-05-02","Per=Y","Days=T","Dir=V")</f>
        <v>0</v>
      </c>
      <c r="AA2">
        <f>BDH("GNK US Equity","EBIT","1993-06-18","2026-05-02","Per=Y","Days=T","Dir=V")</f>
        <v>0</v>
      </c>
      <c r="AC2">
        <f>BDH("GNK US Equity","EBITDA","1993-06-18","2026-05-02","Per=Y","Days=T","Dir=V")</f>
        <v>0</v>
      </c>
      <c r="AE2">
        <f>BDH("GNK US Equity","NET_INCOME","1993-06-18","2026-05-02","Per=Y","Days=T","Dir=V")</f>
        <v>0</v>
      </c>
      <c r="AG2">
        <f>BDH("GNK US Equity","IS_INT_EXPENSE","1993-06-18","2026-05-02","Per=Y","Days=T","Dir=V")</f>
        <v>0</v>
      </c>
      <c r="AI2">
        <f>BDH("GNK US Equity","IS_DEPR_EXP","1993-06-18","2026-05-02","Per=Y","Days=T","Dir=V")</f>
        <v>0</v>
      </c>
      <c r="AK2">
        <f>BDH("GNK US Equity","CF_CASH_FROM_OPER","1993-06-18","2026-05-02","Per=Y","Days=T","Dir=V")</f>
        <v>0</v>
      </c>
      <c r="AM2">
        <f>BDH("GNK US Equity","CAPITAL_EXPEND","1993-06-18","2026-05-02","Per=Y","Days=T","Dir=V")</f>
        <v>0</v>
      </c>
      <c r="AO2">
        <f>BDH("GNK US Equity","CF_FREE_CASH_FLOW","1993-06-18","2026-05-02","Per=Y","Days=T","Dir=V")</f>
        <v>0</v>
      </c>
      <c r="AQ2">
        <f>BDH("GNK US Equity","PX_LAST","1993-06-18","2026-05-02","Per=M","Days=T","Dir=V")</f>
        <v>0</v>
      </c>
      <c r="AS2">
        <f>BDH("GNK US Equity","CUR_MKT_CAP","1993-06-18","2026-05-02","Per=M","Days=T","Dir=V")</f>
        <v>0</v>
      </c>
      <c r="AU2">
        <f>BDH("GNK US Equity","EQY_SH_OUT","1993-06-18","2026-05-02","Per=M","Days=T","Dir=V")</f>
        <v>0</v>
      </c>
      <c r="AW2">
        <f>BDH("GNK US Equity","PX_VOLUME","1993-06-18","2026-05-02","Per=M","Days=T","Dir=V")</f>
        <v>0</v>
      </c>
      <c r="AY2">
        <f>BDH("GNK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BDH("GNLN US Equity","BS_TOT_ASSET","1993-06-18","2026-05-02","Per=Y","Days=T","Dir=V")</f>
        <v>0</v>
      </c>
      <c r="C2">
        <f>BDH("GNLN US Equity","BS_TOT_LIAB2","1993-06-18","2026-05-02","Per=Y","Days=T","Dir=V")</f>
        <v>0</v>
      </c>
      <c r="E2">
        <f>BDH("GNLN US Equity","SHORT_AND_LONG_TERM_DEBT","1993-06-18","2026-05-02","Per=Y","Days=T","Dir=V")</f>
        <v>0</v>
      </c>
      <c r="G2">
        <f>BDH("GNLN US Equity","BS_ST_BORROW","1993-06-18","2026-05-02","Per=Y","Days=T","Dir=V")</f>
        <v>0</v>
      </c>
      <c r="I2">
        <f>BDH("GNLN US Equity","BS_LT_BORROW","1993-06-18","2026-05-02","Per=Y","Days=T","Dir=V")</f>
        <v>0</v>
      </c>
      <c r="K2">
        <f>BDH("GNLN US Equity","BS_CASH_NEAR_CASH_ITEM","1993-06-18","2026-05-02","Per=Y","Days=T","Dir=V")</f>
        <v>0</v>
      </c>
      <c r="M2">
        <f>BDH("GNLN US Equity","BS_CUR_ASSET_REPORT","1993-06-18","2026-05-02","Per=Y","Days=T","Dir=V")</f>
        <v>0</v>
      </c>
      <c r="O2">
        <f>BDH("GNLN US Equity","BS_CUR_LIAB","1993-06-18","2026-05-02","Per=Y","Days=T","Dir=V")</f>
        <v>0</v>
      </c>
      <c r="Q2">
        <f>BDH("GNLN US Equity","BS_SHAREHOLDER_EQY_ENDING_PERIOD","1993-06-18","2026-05-02","Per=Y","Days=T","Dir=V")</f>
        <v>0</v>
      </c>
      <c r="S2">
        <f>BDH("GNLN US Equity","BS_ACCT_NOTE_RCV","1993-06-18","2026-05-02","Per=Y","Days=T","Dir=V")</f>
        <v>0</v>
      </c>
      <c r="U2">
        <f>BDH("GNLN US Equity","BS_INVENTORIES","1993-06-18","2026-05-02","Per=Y","Days=T","Dir=V")</f>
        <v>0</v>
      </c>
      <c r="W2">
        <f>BDH("GNLN US Equity","WORKING_CAPITAL","1993-06-18","2026-05-02","Per=Y","Days=T","Dir=V")</f>
        <v>0</v>
      </c>
      <c r="Y2">
        <f>BDH("GNLN US Equity","SALES_REV_TURN","1993-06-18","2026-05-02","Per=Y","Days=T","Dir=V")</f>
        <v>0</v>
      </c>
      <c r="AA2">
        <f>BDH("GNLN US Equity","EBIT","1993-06-18","2026-05-02","Per=Y","Days=T","Dir=V")</f>
        <v>0</v>
      </c>
      <c r="AC2">
        <f>BDH("GNLN US Equity","EBITDA","1993-06-18","2026-05-02","Per=Y","Days=T","Dir=V")</f>
        <v>0</v>
      </c>
      <c r="AE2">
        <f>BDH("GNLN US Equity","NET_INCOME","1993-06-18","2026-05-02","Per=Y","Days=T","Dir=V")</f>
        <v>0</v>
      </c>
      <c r="AG2">
        <f>BDH("GNLN US Equity","IS_INT_EXPENSE","1993-06-18","2026-05-02","Per=Y","Days=T","Dir=V")</f>
        <v>0</v>
      </c>
      <c r="AI2">
        <f>BDH("GNLN US Equity","IS_DEPR_EXP","1993-06-18","2026-05-02","Per=Y","Days=T","Dir=V")</f>
        <v>0</v>
      </c>
      <c r="AK2">
        <f>BDH("GNLN US Equity","CF_CASH_FROM_OPER","1993-06-18","2026-05-02","Per=Y","Days=T","Dir=V")</f>
        <v>0</v>
      </c>
      <c r="AM2">
        <f>BDH("GNLN US Equity","CAPITAL_EXPEND","1993-06-18","2026-05-02","Per=Y","Days=T","Dir=V")</f>
        <v>0</v>
      </c>
      <c r="AO2">
        <f>BDH("GNLN US Equity","CF_FREE_CASH_FLOW","1993-06-18","2026-05-02","Per=Y","Days=T","Dir=V")</f>
        <v>0</v>
      </c>
      <c r="AQ2">
        <f>BDH("GNLN US Equity","PX_LAST","1993-06-18","2026-05-02","Per=M","Days=T","Dir=V")</f>
        <v>0</v>
      </c>
      <c r="AS2">
        <f>BDH("GNLN US Equity","CUR_MKT_CAP","1993-06-18","2026-05-02","Per=M","Days=T","Dir=V")</f>
        <v>0</v>
      </c>
      <c r="AU2">
        <f>BDH("GNLN US Equity","EQY_SH_OUT","1993-06-18","2026-05-02","Per=M","Days=T","Dir=V")</f>
        <v>0</v>
      </c>
      <c r="AW2">
        <f>BDH("GNLN US Equity","PX_VOLUME","1993-06-18","2026-05-02","Per=M","Days=T","Dir=V")</f>
        <v>0</v>
      </c>
      <c r="AY2">
        <f>BDH("GNLN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BDH("GNLX US Equity","BS_TOT_ASSET","1993-06-18","2026-05-02","Per=Y","Days=T","Dir=V")</f>
        <v>0</v>
      </c>
      <c r="C2">
        <f>BDH("GNLX US Equity","BS_TOT_LIAB2","1993-06-18","2026-05-02","Per=Y","Days=T","Dir=V")</f>
        <v>0</v>
      </c>
      <c r="E2">
        <f>BDH("GNLX US Equity","SHORT_AND_LONG_TERM_DEBT","1993-06-18","2026-05-02","Per=Y","Days=T","Dir=V")</f>
        <v>0</v>
      </c>
      <c r="G2">
        <f>BDH("GNLX US Equity","BS_ST_BORROW","1993-06-18","2026-05-02","Per=Y","Days=T","Dir=V")</f>
        <v>0</v>
      </c>
      <c r="I2">
        <f>BDH("GNLX US Equity","BS_LT_BORROW","1993-06-18","2026-05-02","Per=Y","Days=T","Dir=V")</f>
        <v>0</v>
      </c>
      <c r="K2">
        <f>BDH("GNLX US Equity","BS_CASH_NEAR_CASH_ITEM","1993-06-18","2026-05-02","Per=Y","Days=T","Dir=V")</f>
        <v>0</v>
      </c>
      <c r="M2">
        <f>BDH("GNLX US Equity","BS_CUR_ASSET_REPORT","1993-06-18","2026-05-02","Per=Y","Days=T","Dir=V")</f>
        <v>0</v>
      </c>
      <c r="O2">
        <f>BDH("GNLX US Equity","BS_CUR_LIAB","1993-06-18","2026-05-02","Per=Y","Days=T","Dir=V")</f>
        <v>0</v>
      </c>
      <c r="Q2">
        <f>BDH("GNLX US Equity","BS_SHAREHOLDER_EQY_ENDING_PERIOD","1993-06-18","2026-05-02","Per=Y","Days=T","Dir=V")</f>
        <v>0</v>
      </c>
      <c r="S2">
        <f>BDH("GNLX US Equity","BS_ACCT_NOTE_RCV","1993-06-18","2026-05-02","Per=Y","Days=T","Dir=V")</f>
        <v>0</v>
      </c>
      <c r="U2">
        <f>BDH("GNLX US Equity","BS_INVENTORIES","1993-06-18","2026-05-02","Per=Y","Days=T","Dir=V")</f>
        <v>0</v>
      </c>
      <c r="W2">
        <f>BDH("GNLX US Equity","WORKING_CAPITAL","1993-06-18","2026-05-02","Per=Y","Days=T","Dir=V")</f>
        <v>0</v>
      </c>
      <c r="Y2">
        <f>BDH("GNLX US Equity","SALES_REV_TURN","1993-06-18","2026-05-02","Per=Y","Days=T","Dir=V")</f>
        <v>0</v>
      </c>
      <c r="AA2">
        <f>BDH("GNLX US Equity","EBIT","1993-06-18","2026-05-02","Per=Y","Days=T","Dir=V")</f>
        <v>0</v>
      </c>
      <c r="AC2">
        <f>BDH("GNLX US Equity","EBITDA","1993-06-18","2026-05-02","Per=Y","Days=T","Dir=V")</f>
        <v>0</v>
      </c>
      <c r="AE2">
        <f>BDH("GNLX US Equity","NET_INCOME","1993-06-18","2026-05-02","Per=Y","Days=T","Dir=V")</f>
        <v>0</v>
      </c>
      <c r="AG2">
        <f>BDH("GNLX US Equity","IS_INT_EXPENSE","1993-06-18","2026-05-02","Per=Y","Days=T","Dir=V")</f>
        <v>0</v>
      </c>
      <c r="AI2">
        <f>BDH("GNLX US Equity","IS_DEPR_EXP","1993-06-18","2026-05-02","Per=Y","Days=T","Dir=V")</f>
        <v>0</v>
      </c>
      <c r="AK2">
        <f>BDH("GNLX US Equity","CF_CASH_FROM_OPER","1993-06-18","2026-05-02","Per=Y","Days=T","Dir=V")</f>
        <v>0</v>
      </c>
      <c r="AM2">
        <f>BDH("GNLX US Equity","CAPITAL_EXPEND","1993-06-18","2026-05-02","Per=Y","Days=T","Dir=V")</f>
        <v>0</v>
      </c>
      <c r="AO2">
        <f>BDH("GNLX US Equity","CF_FREE_CASH_FLOW","1993-06-18","2026-05-02","Per=Y","Days=T","Dir=V")</f>
        <v>0</v>
      </c>
      <c r="AQ2">
        <f>BDH("GNLX US Equity","PX_LAST","1993-06-18","2026-05-02","Per=M","Days=T","Dir=V")</f>
        <v>0</v>
      </c>
      <c r="AS2">
        <f>BDH("GNLX US Equity","CUR_MKT_CAP","1993-06-18","2026-05-02","Per=M","Days=T","Dir=V")</f>
        <v>0</v>
      </c>
      <c r="AU2">
        <f>BDH("GNLX US Equity","EQY_SH_OUT","1993-06-18","2026-05-02","Per=M","Days=T","Dir=V")</f>
        <v>0</v>
      </c>
      <c r="AW2">
        <f>BDH("GNLX US Equity","PX_VOLUME","1993-06-18","2026-05-02","Per=M","Days=T","Dir=V")</f>
        <v>0</v>
      </c>
      <c r="AY2">
        <f>BDH("GNLX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BDH("GNPX US Equity","BS_TOT_ASSET","1993-06-18","2026-05-02","Per=Y","Days=T","Dir=V")</f>
        <v>0</v>
      </c>
      <c r="C2">
        <f>BDH("GNPX US Equity","BS_TOT_LIAB2","1993-06-18","2026-05-02","Per=Y","Days=T","Dir=V")</f>
        <v>0</v>
      </c>
      <c r="E2">
        <f>BDH("GNPX US Equity","SHORT_AND_LONG_TERM_DEBT","1993-06-18","2026-05-02","Per=Y","Days=T","Dir=V")</f>
        <v>0</v>
      </c>
      <c r="G2">
        <f>BDH("GNPX US Equity","BS_ST_BORROW","1993-06-18","2026-05-02","Per=Y","Days=T","Dir=V")</f>
        <v>0</v>
      </c>
      <c r="I2">
        <f>BDH("GNPX US Equity","BS_LT_BORROW","1993-06-18","2026-05-02","Per=Y","Days=T","Dir=V")</f>
        <v>0</v>
      </c>
      <c r="K2">
        <f>BDH("GNPX US Equity","BS_CASH_NEAR_CASH_ITEM","1993-06-18","2026-05-02","Per=Y","Days=T","Dir=V")</f>
        <v>0</v>
      </c>
      <c r="M2">
        <f>BDH("GNPX US Equity","BS_CUR_ASSET_REPORT","1993-06-18","2026-05-02","Per=Y","Days=T","Dir=V")</f>
        <v>0</v>
      </c>
      <c r="O2">
        <f>BDH("GNPX US Equity","BS_CUR_LIAB","1993-06-18","2026-05-02","Per=Y","Days=T","Dir=V")</f>
        <v>0</v>
      </c>
      <c r="Q2">
        <f>BDH("GNPX US Equity","BS_SHAREHOLDER_EQY_ENDING_PERIOD","1993-06-18","2026-05-02","Per=Y","Days=T","Dir=V")</f>
        <v>0</v>
      </c>
      <c r="S2">
        <f>BDH("GNPX US Equity","BS_ACCT_NOTE_RCV","1993-06-18","2026-05-02","Per=Y","Days=T","Dir=V")</f>
        <v>0</v>
      </c>
      <c r="U2">
        <f>BDH("GNPX US Equity","BS_INVENTORIES","1993-06-18","2026-05-02","Per=Y","Days=T","Dir=V")</f>
        <v>0</v>
      </c>
      <c r="W2">
        <f>BDH("GNPX US Equity","WORKING_CAPITAL","1993-06-18","2026-05-02","Per=Y","Days=T","Dir=V")</f>
        <v>0</v>
      </c>
      <c r="Y2">
        <f>BDH("GNPX US Equity","SALES_REV_TURN","1993-06-18","2026-05-02","Per=Y","Days=T","Dir=V")</f>
        <v>0</v>
      </c>
      <c r="AA2">
        <f>BDH("GNPX US Equity","EBIT","1993-06-18","2026-05-02","Per=Y","Days=T","Dir=V")</f>
        <v>0</v>
      </c>
      <c r="AC2">
        <f>BDH("GNPX US Equity","EBITDA","1993-06-18","2026-05-02","Per=Y","Days=T","Dir=V")</f>
        <v>0</v>
      </c>
      <c r="AE2">
        <f>BDH("GNPX US Equity","NET_INCOME","1993-06-18","2026-05-02","Per=Y","Days=T","Dir=V")</f>
        <v>0</v>
      </c>
      <c r="AG2">
        <f>BDH("GNPX US Equity","IS_INT_EXPENSE","1993-06-18","2026-05-02","Per=Y","Days=T","Dir=V")</f>
        <v>0</v>
      </c>
      <c r="AI2">
        <f>BDH("GNPX US Equity","IS_DEPR_EXP","1993-06-18","2026-05-02","Per=Y","Days=T","Dir=V")</f>
        <v>0</v>
      </c>
      <c r="AK2">
        <f>BDH("GNPX US Equity","CF_CASH_FROM_OPER","1993-06-18","2026-05-02","Per=Y","Days=T","Dir=V")</f>
        <v>0</v>
      </c>
      <c r="AM2">
        <f>BDH("GNPX US Equity","CAPITAL_EXPEND","1993-06-18","2026-05-02","Per=Y","Days=T","Dir=V")</f>
        <v>0</v>
      </c>
      <c r="AO2">
        <f>BDH("GNPX US Equity","CF_FREE_CASH_FLOW","1993-06-18","2026-05-02","Per=Y","Days=T","Dir=V")</f>
        <v>0</v>
      </c>
      <c r="AQ2">
        <f>BDH("GNPX US Equity","PX_LAST","1993-06-18","2026-05-02","Per=M","Days=T","Dir=V")</f>
        <v>0</v>
      </c>
      <c r="AS2">
        <f>BDH("GNPX US Equity","CUR_MKT_CAP","1993-06-18","2026-05-02","Per=M","Days=T","Dir=V")</f>
        <v>0</v>
      </c>
      <c r="AU2">
        <f>BDH("GNPX US Equity","EQY_SH_OUT","1993-06-18","2026-05-02","Per=M","Days=T","Dir=V")</f>
        <v>0</v>
      </c>
      <c r="AW2">
        <f>BDH("GNPX US Equity","PX_VOLUME","1993-06-18","2026-05-02","Per=M","Days=T","Dir=V")</f>
        <v>0</v>
      </c>
      <c r="AY2">
        <f>BDH("GNPX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BDH("GNRC US Equity","BS_TOT_ASSET","1993-06-18","2026-05-02","Per=Y","Days=T","Dir=V")</f>
        <v>0</v>
      </c>
      <c r="C2">
        <f>BDH("GNRC US Equity","BS_TOT_LIAB2","1993-06-18","2026-05-02","Per=Y","Days=T","Dir=V")</f>
        <v>0</v>
      </c>
      <c r="E2">
        <f>BDH("GNRC US Equity","SHORT_AND_LONG_TERM_DEBT","1993-06-18","2026-05-02","Per=Y","Days=T","Dir=V")</f>
        <v>0</v>
      </c>
      <c r="G2">
        <f>BDH("GNRC US Equity","BS_ST_BORROW","1993-06-18","2026-05-02","Per=Y","Days=T","Dir=V")</f>
        <v>0</v>
      </c>
      <c r="I2">
        <f>BDH("GNRC US Equity","BS_LT_BORROW","1993-06-18","2026-05-02","Per=Y","Days=T","Dir=V")</f>
        <v>0</v>
      </c>
      <c r="K2">
        <f>BDH("GNRC US Equity","BS_CASH_NEAR_CASH_ITEM","1993-06-18","2026-05-02","Per=Y","Days=T","Dir=V")</f>
        <v>0</v>
      </c>
      <c r="M2">
        <f>BDH("GNRC US Equity","BS_CUR_ASSET_REPORT","1993-06-18","2026-05-02","Per=Y","Days=T","Dir=V")</f>
        <v>0</v>
      </c>
      <c r="O2">
        <f>BDH("GNRC US Equity","BS_CUR_LIAB","1993-06-18","2026-05-02","Per=Y","Days=T","Dir=V")</f>
        <v>0</v>
      </c>
      <c r="Q2">
        <f>BDH("GNRC US Equity","BS_SHAREHOLDER_EQY_ENDING_PERIOD","1993-06-18","2026-05-02","Per=Y","Days=T","Dir=V")</f>
        <v>0</v>
      </c>
      <c r="S2">
        <f>BDH("GNRC US Equity","BS_ACCT_NOTE_RCV","1993-06-18","2026-05-02","Per=Y","Days=T","Dir=V")</f>
        <v>0</v>
      </c>
      <c r="U2">
        <f>BDH("GNRC US Equity","BS_INVENTORIES","1993-06-18","2026-05-02","Per=Y","Days=T","Dir=V")</f>
        <v>0</v>
      </c>
      <c r="W2">
        <f>BDH("GNRC US Equity","WORKING_CAPITAL","1993-06-18","2026-05-02","Per=Y","Days=T","Dir=V")</f>
        <v>0</v>
      </c>
      <c r="Y2">
        <f>BDH("GNRC US Equity","SALES_REV_TURN","1993-06-18","2026-05-02","Per=Y","Days=T","Dir=V")</f>
        <v>0</v>
      </c>
      <c r="AA2">
        <f>BDH("GNRC US Equity","EBIT","1993-06-18","2026-05-02","Per=Y","Days=T","Dir=V")</f>
        <v>0</v>
      </c>
      <c r="AC2">
        <f>BDH("GNRC US Equity","EBITDA","1993-06-18","2026-05-02","Per=Y","Days=T","Dir=V")</f>
        <v>0</v>
      </c>
      <c r="AE2">
        <f>BDH("GNRC US Equity","NET_INCOME","1993-06-18","2026-05-02","Per=Y","Days=T","Dir=V")</f>
        <v>0</v>
      </c>
      <c r="AG2">
        <f>BDH("GNRC US Equity","IS_INT_EXPENSE","1993-06-18","2026-05-02","Per=Y","Days=T","Dir=V")</f>
        <v>0</v>
      </c>
      <c r="AI2">
        <f>BDH("GNRC US Equity","IS_DEPR_EXP","1993-06-18","2026-05-02","Per=Y","Days=T","Dir=V")</f>
        <v>0</v>
      </c>
      <c r="AK2">
        <f>BDH("GNRC US Equity","CF_CASH_FROM_OPER","1993-06-18","2026-05-02","Per=Y","Days=T","Dir=V")</f>
        <v>0</v>
      </c>
      <c r="AM2">
        <f>BDH("GNRC US Equity","CAPITAL_EXPEND","1993-06-18","2026-05-02","Per=Y","Days=T","Dir=V")</f>
        <v>0</v>
      </c>
      <c r="AO2">
        <f>BDH("GNRC US Equity","CF_FREE_CASH_FLOW","1993-06-18","2026-05-02","Per=Y","Days=T","Dir=V")</f>
        <v>0</v>
      </c>
      <c r="AQ2">
        <f>BDH("GNRC US Equity","PX_LAST","1993-06-18","2026-05-02","Per=M","Days=T","Dir=V")</f>
        <v>0</v>
      </c>
      <c r="AS2">
        <f>BDH("GNRC US Equity","CUR_MKT_CAP","1993-06-18","2026-05-02","Per=M","Days=T","Dir=V")</f>
        <v>0</v>
      </c>
      <c r="AU2">
        <f>BDH("GNRC US Equity","EQY_SH_OUT","1993-06-18","2026-05-02","Per=M","Days=T","Dir=V")</f>
        <v>0</v>
      </c>
      <c r="AW2">
        <f>BDH("GNRC US Equity","PX_VOLUME","1993-06-18","2026-05-02","Per=M","Days=T","Dir=V")</f>
        <v>0</v>
      </c>
      <c r="AY2">
        <f>BDH("GNRC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BDH("GNSS US Equity","BS_TOT_ASSET","1993-06-18","2026-05-02","Per=Y","Days=T","Dir=V")</f>
        <v>0</v>
      </c>
      <c r="C2">
        <f>BDH("GNSS US Equity","BS_TOT_LIAB2","1993-06-18","2026-05-02","Per=Y","Days=T","Dir=V")</f>
        <v>0</v>
      </c>
      <c r="E2">
        <f>BDH("GNSS US Equity","SHORT_AND_LONG_TERM_DEBT","1993-06-18","2026-05-02","Per=Y","Days=T","Dir=V")</f>
        <v>0</v>
      </c>
      <c r="G2">
        <f>BDH("GNSS US Equity","BS_ST_BORROW","1993-06-18","2026-05-02","Per=Y","Days=T","Dir=V")</f>
        <v>0</v>
      </c>
      <c r="I2">
        <f>BDH("GNSS US Equity","BS_LT_BORROW","1993-06-18","2026-05-02","Per=Y","Days=T","Dir=V")</f>
        <v>0</v>
      </c>
      <c r="K2">
        <f>BDH("GNSS US Equity","BS_CASH_NEAR_CASH_ITEM","1993-06-18","2026-05-02","Per=Y","Days=T","Dir=V")</f>
        <v>0</v>
      </c>
      <c r="M2">
        <f>BDH("GNSS US Equity","BS_CUR_ASSET_REPORT","1993-06-18","2026-05-02","Per=Y","Days=T","Dir=V")</f>
        <v>0</v>
      </c>
      <c r="O2">
        <f>BDH("GNSS US Equity","BS_CUR_LIAB","1993-06-18","2026-05-02","Per=Y","Days=T","Dir=V")</f>
        <v>0</v>
      </c>
      <c r="Q2">
        <f>BDH("GNSS US Equity","BS_SHAREHOLDER_EQY_ENDING_PERIOD","1993-06-18","2026-05-02","Per=Y","Days=T","Dir=V")</f>
        <v>0</v>
      </c>
      <c r="S2">
        <f>BDH("GNSS US Equity","BS_ACCT_NOTE_RCV","1993-06-18","2026-05-02","Per=Y","Days=T","Dir=V")</f>
        <v>0</v>
      </c>
      <c r="U2">
        <f>BDH("GNSS US Equity","BS_INVENTORIES","1993-06-18","2026-05-02","Per=Y","Days=T","Dir=V")</f>
        <v>0</v>
      </c>
      <c r="W2">
        <f>BDH("GNSS US Equity","WORKING_CAPITAL","1993-06-18","2026-05-02","Per=Y","Days=T","Dir=V")</f>
        <v>0</v>
      </c>
      <c r="Y2">
        <f>BDH("GNSS US Equity","SALES_REV_TURN","1993-06-18","2026-05-02","Per=Y","Days=T","Dir=V")</f>
        <v>0</v>
      </c>
      <c r="AA2">
        <f>BDH("GNSS US Equity","EBIT","1993-06-18","2026-05-02","Per=Y","Days=T","Dir=V")</f>
        <v>0</v>
      </c>
      <c r="AC2">
        <f>BDH("GNSS US Equity","EBITDA","1993-06-18","2026-05-02","Per=Y","Days=T","Dir=V")</f>
        <v>0</v>
      </c>
      <c r="AE2">
        <f>BDH("GNSS US Equity","NET_INCOME","1993-06-18","2026-05-02","Per=Y","Days=T","Dir=V")</f>
        <v>0</v>
      </c>
      <c r="AG2">
        <f>BDH("GNSS US Equity","IS_INT_EXPENSE","1993-06-18","2026-05-02","Per=Y","Days=T","Dir=V")</f>
        <v>0</v>
      </c>
      <c r="AI2">
        <f>BDH("GNSS US Equity","IS_DEPR_EXP","1993-06-18","2026-05-02","Per=Y","Days=T","Dir=V")</f>
        <v>0</v>
      </c>
      <c r="AK2">
        <f>BDH("GNSS US Equity","CF_CASH_FROM_OPER","1993-06-18","2026-05-02","Per=Y","Days=T","Dir=V")</f>
        <v>0</v>
      </c>
      <c r="AM2">
        <f>BDH("GNSS US Equity","CAPITAL_EXPEND","1993-06-18","2026-05-02","Per=Y","Days=T","Dir=V")</f>
        <v>0</v>
      </c>
      <c r="AO2">
        <f>BDH("GNSS US Equity","CF_FREE_CASH_FLOW","1993-06-18","2026-05-02","Per=Y","Days=T","Dir=V")</f>
        <v>0</v>
      </c>
      <c r="AQ2">
        <f>BDH("GNSS US Equity","PX_LAST","1993-06-18","2026-05-02","Per=M","Days=T","Dir=V")</f>
        <v>0</v>
      </c>
      <c r="AS2">
        <f>BDH("GNSS US Equity","CUR_MKT_CAP","1993-06-18","2026-05-02","Per=M","Days=T","Dir=V")</f>
        <v>0</v>
      </c>
      <c r="AU2">
        <f>BDH("GNSS US Equity","EQY_SH_OUT","1993-06-18","2026-05-02","Per=M","Days=T","Dir=V")</f>
        <v>0</v>
      </c>
      <c r="AW2">
        <f>BDH("GNSS US Equity","PX_VOLUME","1993-06-18","2026-05-02","Per=M","Days=T","Dir=V")</f>
        <v>0</v>
      </c>
      <c r="AY2">
        <f>BDH("GNSS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BDH("GNTX US Equity","BS_TOT_ASSET","1993-06-18","2026-05-02","Per=Y","Days=T","Dir=V")</f>
        <v>0</v>
      </c>
      <c r="C2">
        <f>BDH("GNTX US Equity","BS_TOT_LIAB2","1993-06-18","2026-05-02","Per=Y","Days=T","Dir=V")</f>
        <v>0</v>
      </c>
      <c r="E2">
        <f>BDH("GNTX US Equity","SHORT_AND_LONG_TERM_DEBT","1993-06-18","2026-05-02","Per=Y","Days=T","Dir=V")</f>
        <v>0</v>
      </c>
      <c r="G2">
        <f>BDH("GNTX US Equity","BS_ST_BORROW","1993-06-18","2026-05-02","Per=Y","Days=T","Dir=V")</f>
        <v>0</v>
      </c>
      <c r="I2">
        <f>BDH("GNTX US Equity","BS_LT_BORROW","1993-06-18","2026-05-02","Per=Y","Days=T","Dir=V")</f>
        <v>0</v>
      </c>
      <c r="K2">
        <f>BDH("GNTX US Equity","BS_CASH_NEAR_CASH_ITEM","1993-06-18","2026-05-02","Per=Y","Days=T","Dir=V")</f>
        <v>0</v>
      </c>
      <c r="M2">
        <f>BDH("GNTX US Equity","BS_CUR_ASSET_REPORT","1993-06-18","2026-05-02","Per=Y","Days=T","Dir=V")</f>
        <v>0</v>
      </c>
      <c r="O2">
        <f>BDH("GNTX US Equity","BS_CUR_LIAB","1993-06-18","2026-05-02","Per=Y","Days=T","Dir=V")</f>
        <v>0</v>
      </c>
      <c r="Q2">
        <f>BDH("GNTX US Equity","BS_SHAREHOLDER_EQY_ENDING_PERIOD","1993-06-18","2026-05-02","Per=Y","Days=T","Dir=V")</f>
        <v>0</v>
      </c>
      <c r="S2">
        <f>BDH("GNTX US Equity","BS_ACCT_NOTE_RCV","1993-06-18","2026-05-02","Per=Y","Days=T","Dir=V")</f>
        <v>0</v>
      </c>
      <c r="U2">
        <f>BDH("GNTX US Equity","BS_INVENTORIES","1993-06-18","2026-05-02","Per=Y","Days=T","Dir=V")</f>
        <v>0</v>
      </c>
      <c r="W2">
        <f>BDH("GNTX US Equity","WORKING_CAPITAL","1993-06-18","2026-05-02","Per=Y","Days=T","Dir=V")</f>
        <v>0</v>
      </c>
      <c r="Y2">
        <f>BDH("GNTX US Equity","SALES_REV_TURN","1993-06-18","2026-05-02","Per=Y","Days=T","Dir=V")</f>
        <v>0</v>
      </c>
      <c r="AA2">
        <f>BDH("GNTX US Equity","EBIT","1993-06-18","2026-05-02","Per=Y","Days=T","Dir=V")</f>
        <v>0</v>
      </c>
      <c r="AC2">
        <f>BDH("GNTX US Equity","EBITDA","1993-06-18","2026-05-02","Per=Y","Days=T","Dir=V")</f>
        <v>0</v>
      </c>
      <c r="AE2">
        <f>BDH("GNTX US Equity","NET_INCOME","1993-06-18","2026-05-02","Per=Y","Days=T","Dir=V")</f>
        <v>0</v>
      </c>
      <c r="AG2">
        <f>BDH("GNTX US Equity","IS_INT_EXPENSE","1993-06-18","2026-05-02","Per=Y","Days=T","Dir=V")</f>
        <v>0</v>
      </c>
      <c r="AI2">
        <f>BDH("GNTX US Equity","IS_DEPR_EXP","1993-06-18","2026-05-02","Per=Y","Days=T","Dir=V")</f>
        <v>0</v>
      </c>
      <c r="AK2">
        <f>BDH("GNTX US Equity","CF_CASH_FROM_OPER","1993-06-18","2026-05-02","Per=Y","Days=T","Dir=V")</f>
        <v>0</v>
      </c>
      <c r="AM2">
        <f>BDH("GNTX US Equity","CAPITAL_EXPEND","1993-06-18","2026-05-02","Per=Y","Days=T","Dir=V")</f>
        <v>0</v>
      </c>
      <c r="AO2">
        <f>BDH("GNTX US Equity","CF_FREE_CASH_FLOW","1993-06-18","2026-05-02","Per=Y","Days=T","Dir=V")</f>
        <v>0</v>
      </c>
      <c r="AQ2">
        <f>BDH("GNTX US Equity","PX_LAST","1993-06-18","2026-05-02","Per=M","Days=T","Dir=V")</f>
        <v>0</v>
      </c>
      <c r="AS2">
        <f>BDH("GNTX US Equity","CUR_MKT_CAP","1993-06-18","2026-05-02","Per=M","Days=T","Dir=V")</f>
        <v>0</v>
      </c>
      <c r="AU2">
        <f>BDH("GNTX US Equity","EQY_SH_OUT","1993-06-18","2026-05-02","Per=M","Days=T","Dir=V")</f>
        <v>0</v>
      </c>
      <c r="AW2">
        <f>BDH("GNTX US Equity","PX_VOLUME","1993-06-18","2026-05-02","Per=M","Days=T","Dir=V")</f>
        <v>0</v>
      </c>
      <c r="AY2">
        <f>BDH("GNTX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 US Equity","BS_TOT_ASSET","1993-06-18","2026-05-02","Per=Y","Days=T","Dir=V")</f>
        <v>0</v>
      </c>
      <c r="C2">
        <f>BDH("GO US Equity","BS_TOT_LIAB2","1993-06-18","2026-05-02","Per=Y","Days=T","Dir=V")</f>
        <v>0</v>
      </c>
      <c r="E2">
        <f>BDH("GO US Equity","SHORT_AND_LONG_TERM_DEBT","1993-06-18","2026-05-02","Per=Y","Days=T","Dir=V")</f>
        <v>0</v>
      </c>
      <c r="G2">
        <f>BDH("GO US Equity","BS_ST_BORROW","1993-06-18","2026-05-02","Per=Y","Days=T","Dir=V")</f>
        <v>0</v>
      </c>
      <c r="I2">
        <f>BDH("GO US Equity","BS_LT_BORROW","1993-06-18","2026-05-02","Per=Y","Days=T","Dir=V")</f>
        <v>0</v>
      </c>
      <c r="K2">
        <f>BDH("GO US Equity","BS_CASH_NEAR_CASH_ITEM","1993-06-18","2026-05-02","Per=Y","Days=T","Dir=V")</f>
        <v>0</v>
      </c>
      <c r="M2">
        <f>BDH("GO US Equity","BS_CUR_ASSET_REPORT","1993-06-18","2026-05-02","Per=Y","Days=T","Dir=V")</f>
        <v>0</v>
      </c>
      <c r="O2">
        <f>BDH("GO US Equity","BS_CUR_LIAB","1993-06-18","2026-05-02","Per=Y","Days=T","Dir=V")</f>
        <v>0</v>
      </c>
      <c r="Q2">
        <f>BDH("GO US Equity","BS_SHAREHOLDER_EQY_ENDING_PERIOD","1993-06-18","2026-05-02","Per=Y","Days=T","Dir=V")</f>
        <v>0</v>
      </c>
      <c r="S2">
        <f>BDH("GO US Equity","BS_ACCT_NOTE_RCV","1993-06-18","2026-05-02","Per=Y","Days=T","Dir=V")</f>
        <v>0</v>
      </c>
      <c r="U2">
        <f>BDH("GO US Equity","BS_INVENTORIES","1993-06-18","2026-05-02","Per=Y","Days=T","Dir=V")</f>
        <v>0</v>
      </c>
      <c r="W2">
        <f>BDH("GO US Equity","WORKING_CAPITAL","1993-06-18","2026-05-02","Per=Y","Days=T","Dir=V")</f>
        <v>0</v>
      </c>
      <c r="Y2">
        <f>BDH("GO US Equity","SALES_REV_TURN","1993-06-18","2026-05-02","Per=Y","Days=T","Dir=V")</f>
        <v>0</v>
      </c>
      <c r="AA2">
        <f>BDH("GO US Equity","EBIT","1993-06-18","2026-05-02","Per=Y","Days=T","Dir=V")</f>
        <v>0</v>
      </c>
      <c r="AC2">
        <f>BDH("GO US Equity","EBITDA","1993-06-18","2026-05-02","Per=Y","Days=T","Dir=V")</f>
        <v>0</v>
      </c>
      <c r="AE2">
        <f>BDH("GO US Equity","NET_INCOME","1993-06-18","2026-05-02","Per=Y","Days=T","Dir=V")</f>
        <v>0</v>
      </c>
      <c r="AG2">
        <f>BDH("GO US Equity","IS_INT_EXPENSE","1993-06-18","2026-05-02","Per=Y","Days=T","Dir=V")</f>
        <v>0</v>
      </c>
      <c r="AI2">
        <f>BDH("GO US Equity","IS_DEPR_EXP","1993-06-18","2026-05-02","Per=Y","Days=T","Dir=V")</f>
        <v>0</v>
      </c>
      <c r="AK2">
        <f>BDH("GO US Equity","CF_CASH_FROM_OPER","1993-06-18","2026-05-02","Per=Y","Days=T","Dir=V")</f>
        <v>0</v>
      </c>
      <c r="AM2">
        <f>BDH("GO US Equity","CAPITAL_EXPEND","1993-06-18","2026-05-02","Per=Y","Days=T","Dir=V")</f>
        <v>0</v>
      </c>
      <c r="AO2">
        <f>BDH("GO US Equity","CF_FREE_CASH_FLOW","1993-06-18","2026-05-02","Per=Y","Days=T","Dir=V")</f>
        <v>0</v>
      </c>
      <c r="AQ2">
        <f>BDH("GO US Equity","PX_LAST","1993-06-18","2026-05-02","Per=M","Days=T","Dir=V")</f>
        <v>0</v>
      </c>
      <c r="AS2">
        <f>BDH("GO US Equity","CUR_MKT_CAP","1993-06-18","2026-05-02","Per=M","Days=T","Dir=V")</f>
        <v>0</v>
      </c>
      <c r="AU2">
        <f>BDH("GO US Equity","EQY_SH_OUT","1993-06-18","2026-05-02","Per=M","Days=T","Dir=V")</f>
        <v>0</v>
      </c>
      <c r="AW2">
        <f>BDH("GO US Equity","PX_VOLUME","1993-06-18","2026-05-02","Per=M","Days=T","Dir=V")</f>
        <v>0</v>
      </c>
      <c r="AY2">
        <f>BDH("GO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BDH("GOAI US Equity","BS_TOT_ASSET","1993-06-18","2026-05-02","Per=Y","Days=T","Dir=V")</f>
        <v>0</v>
      </c>
      <c r="C2">
        <f>BDH("GOAI US Equity","BS_TOT_LIAB2","1993-06-18","2026-05-02","Per=Y","Days=T","Dir=V")</f>
        <v>0</v>
      </c>
      <c r="E2">
        <f>BDH("GOAI US Equity","SHORT_AND_LONG_TERM_DEBT","1993-06-18","2026-05-02","Per=Y","Days=T","Dir=V")</f>
        <v>0</v>
      </c>
      <c r="G2">
        <f>BDH("GOAI US Equity","BS_ST_BORROW","1993-06-18","2026-05-02","Per=Y","Days=T","Dir=V")</f>
        <v>0</v>
      </c>
      <c r="I2">
        <f>BDH("GOAI US Equity","BS_LT_BORROW","1993-06-18","2026-05-02","Per=Y","Days=T","Dir=V")</f>
        <v>0</v>
      </c>
      <c r="K2">
        <f>BDH("GOAI US Equity","BS_CASH_NEAR_CASH_ITEM","1993-06-18","2026-05-02","Per=Y","Days=T","Dir=V")</f>
        <v>0</v>
      </c>
      <c r="M2">
        <f>BDH("GOAI US Equity","BS_CUR_ASSET_REPORT","1993-06-18","2026-05-02","Per=Y","Days=T","Dir=V")</f>
        <v>0</v>
      </c>
      <c r="O2">
        <f>BDH("GOAI US Equity","BS_CUR_LIAB","1993-06-18","2026-05-02","Per=Y","Days=T","Dir=V")</f>
        <v>0</v>
      </c>
      <c r="Q2">
        <f>BDH("GOAI US Equity","BS_SHAREHOLDER_EQY_ENDING_PERIOD","1993-06-18","2026-05-02","Per=Y","Days=T","Dir=V")</f>
        <v>0</v>
      </c>
      <c r="S2">
        <f>BDH("GOAI US Equity","BS_ACCT_NOTE_RCV","1993-06-18","2026-05-02","Per=Y","Days=T","Dir=V")</f>
        <v>0</v>
      </c>
      <c r="U2">
        <f>BDH("GOAI US Equity","BS_INVENTORIES","1993-06-18","2026-05-02","Per=Y","Days=T","Dir=V")</f>
        <v>0</v>
      </c>
      <c r="W2">
        <f>BDH("GOAI US Equity","WORKING_CAPITAL","1993-06-18","2026-05-02","Per=Y","Days=T","Dir=V")</f>
        <v>0</v>
      </c>
      <c r="Y2">
        <f>BDH("GOAI US Equity","SALES_REV_TURN","1993-06-18","2026-05-02","Per=Y","Days=T","Dir=V")</f>
        <v>0</v>
      </c>
      <c r="AA2">
        <f>BDH("GOAI US Equity","EBIT","1993-06-18","2026-05-02","Per=Y","Days=T","Dir=V")</f>
        <v>0</v>
      </c>
      <c r="AC2">
        <f>BDH("GOAI US Equity","EBITDA","1993-06-18","2026-05-02","Per=Y","Days=T","Dir=V")</f>
        <v>0</v>
      </c>
      <c r="AE2">
        <f>BDH("GOAI US Equity","NET_INCOME","1993-06-18","2026-05-02","Per=Y","Days=T","Dir=V")</f>
        <v>0</v>
      </c>
      <c r="AG2">
        <f>BDH("GOAI US Equity","IS_INT_EXPENSE","1993-06-18","2026-05-02","Per=Y","Days=T","Dir=V")</f>
        <v>0</v>
      </c>
      <c r="AI2">
        <f>BDH("GOAI US Equity","IS_DEPR_EXP","1993-06-18","2026-05-02","Per=Y","Days=T","Dir=V")</f>
        <v>0</v>
      </c>
      <c r="AK2">
        <f>BDH("GOAI US Equity","CF_CASH_FROM_OPER","1993-06-18","2026-05-02","Per=Y","Days=T","Dir=V")</f>
        <v>0</v>
      </c>
      <c r="AM2">
        <f>BDH("GOAI US Equity","CAPITAL_EXPEND","1993-06-18","2026-05-02","Per=Y","Days=T","Dir=V")</f>
        <v>0</v>
      </c>
      <c r="AO2">
        <f>BDH("GOAI US Equity","CF_FREE_CASH_FLOW","1993-06-18","2026-05-02","Per=Y","Days=T","Dir=V")</f>
        <v>0</v>
      </c>
      <c r="AQ2">
        <f>BDH("GOAI US Equity","PX_LAST","1993-06-18","2026-05-02","Per=M","Days=T","Dir=V")</f>
        <v>0</v>
      </c>
      <c r="AS2">
        <f>BDH("GOAI US Equity","CUR_MKT_CAP","1993-06-18","2026-05-02","Per=M","Days=T","Dir=V")</f>
        <v>0</v>
      </c>
      <c r="AU2">
        <f>BDH("GOAI US Equity","EQY_SH_OUT","1993-06-18","2026-05-02","Per=M","Days=T","Dir=V")</f>
        <v>0</v>
      </c>
      <c r="AW2">
        <f>BDH("GOAI US Equity","PX_VOLUME","1993-06-18","2026-05-02","Per=M","Days=T","Dir=V")</f>
        <v>0</v>
      </c>
      <c r="AY2">
        <f>BDH("GOAI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BDH("GOGO US Equity","BS_TOT_ASSET","1993-06-18","2026-05-02","Per=Y","Days=T","Dir=V")</f>
        <v>0</v>
      </c>
      <c r="C2">
        <f>BDH("GOGO US Equity","BS_TOT_LIAB2","1993-06-18","2026-05-02","Per=Y","Days=T","Dir=V")</f>
        <v>0</v>
      </c>
      <c r="E2">
        <f>BDH("GOGO US Equity","SHORT_AND_LONG_TERM_DEBT","1993-06-18","2026-05-02","Per=Y","Days=T","Dir=V")</f>
        <v>0</v>
      </c>
      <c r="G2">
        <f>BDH("GOGO US Equity","BS_ST_BORROW","1993-06-18","2026-05-02","Per=Y","Days=T","Dir=V")</f>
        <v>0</v>
      </c>
      <c r="I2">
        <f>BDH("GOGO US Equity","BS_LT_BORROW","1993-06-18","2026-05-02","Per=Y","Days=T","Dir=V")</f>
        <v>0</v>
      </c>
      <c r="K2">
        <f>BDH("GOGO US Equity","BS_CASH_NEAR_CASH_ITEM","1993-06-18","2026-05-02","Per=Y","Days=T","Dir=V")</f>
        <v>0</v>
      </c>
      <c r="M2">
        <f>BDH("GOGO US Equity","BS_CUR_ASSET_REPORT","1993-06-18","2026-05-02","Per=Y","Days=T","Dir=V")</f>
        <v>0</v>
      </c>
      <c r="O2">
        <f>BDH("GOGO US Equity","BS_CUR_LIAB","1993-06-18","2026-05-02","Per=Y","Days=T","Dir=V")</f>
        <v>0</v>
      </c>
      <c r="Q2">
        <f>BDH("GOGO US Equity","BS_SHAREHOLDER_EQY_ENDING_PERIOD","1993-06-18","2026-05-02","Per=Y","Days=T","Dir=V")</f>
        <v>0</v>
      </c>
      <c r="S2">
        <f>BDH("GOGO US Equity","BS_ACCT_NOTE_RCV","1993-06-18","2026-05-02","Per=Y","Days=T","Dir=V")</f>
        <v>0</v>
      </c>
      <c r="U2">
        <f>BDH("GOGO US Equity","BS_INVENTORIES","1993-06-18","2026-05-02","Per=Y","Days=T","Dir=V")</f>
        <v>0</v>
      </c>
      <c r="W2">
        <f>BDH("GOGO US Equity","WORKING_CAPITAL","1993-06-18","2026-05-02","Per=Y","Days=T","Dir=V")</f>
        <v>0</v>
      </c>
      <c r="Y2">
        <f>BDH("GOGO US Equity","SALES_REV_TURN","1993-06-18","2026-05-02","Per=Y","Days=T","Dir=V")</f>
        <v>0</v>
      </c>
      <c r="AA2">
        <f>BDH("GOGO US Equity","EBIT","1993-06-18","2026-05-02","Per=Y","Days=T","Dir=V")</f>
        <v>0</v>
      </c>
      <c r="AC2">
        <f>BDH("GOGO US Equity","EBITDA","1993-06-18","2026-05-02","Per=Y","Days=T","Dir=V")</f>
        <v>0</v>
      </c>
      <c r="AE2">
        <f>BDH("GOGO US Equity","NET_INCOME","1993-06-18","2026-05-02","Per=Y","Days=T","Dir=V")</f>
        <v>0</v>
      </c>
      <c r="AG2">
        <f>BDH("GOGO US Equity","IS_INT_EXPENSE","1993-06-18","2026-05-02","Per=Y","Days=T","Dir=V")</f>
        <v>0</v>
      </c>
      <c r="AI2">
        <f>BDH("GOGO US Equity","IS_DEPR_EXP","1993-06-18","2026-05-02","Per=Y","Days=T","Dir=V")</f>
        <v>0</v>
      </c>
      <c r="AK2">
        <f>BDH("GOGO US Equity","CF_CASH_FROM_OPER","1993-06-18","2026-05-02","Per=Y","Days=T","Dir=V")</f>
        <v>0</v>
      </c>
      <c r="AM2">
        <f>BDH("GOGO US Equity","CAPITAL_EXPEND","1993-06-18","2026-05-02","Per=Y","Days=T","Dir=V")</f>
        <v>0</v>
      </c>
      <c r="AO2">
        <f>BDH("GOGO US Equity","CF_FREE_CASH_FLOW","1993-06-18","2026-05-02","Per=Y","Days=T","Dir=V")</f>
        <v>0</v>
      </c>
      <c r="AQ2">
        <f>BDH("GOGO US Equity","PX_LAST","1993-06-18","2026-05-02","Per=M","Days=T","Dir=V")</f>
        <v>0</v>
      </c>
      <c r="AS2">
        <f>BDH("GOGO US Equity","CUR_MKT_CAP","1993-06-18","2026-05-02","Per=M","Days=T","Dir=V")</f>
        <v>0</v>
      </c>
      <c r="AU2">
        <f>BDH("GOGO US Equity","EQY_SH_OUT","1993-06-18","2026-05-02","Per=M","Days=T","Dir=V")</f>
        <v>0</v>
      </c>
      <c r="AW2">
        <f>BDH("GOGO US Equity","PX_VOLUME","1993-06-18","2026-05-02","Per=M","Days=T","Dir=V")</f>
        <v>0</v>
      </c>
      <c r="AY2">
        <f>BDH("GOGO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BDH("GOLD US Equity","BS_TOT_ASSET","1993-06-18","2026-05-02","Per=Y","Days=T","Dir=V")</f>
        <v>0</v>
      </c>
      <c r="C2">
        <f>BDH("GOLD US Equity","BS_TOT_LIAB2","1993-06-18","2026-05-02","Per=Y","Days=T","Dir=V")</f>
        <v>0</v>
      </c>
      <c r="E2">
        <f>BDH("GOLD US Equity","SHORT_AND_LONG_TERM_DEBT","1993-06-18","2026-05-02","Per=Y","Days=T","Dir=V")</f>
        <v>0</v>
      </c>
      <c r="G2">
        <f>BDH("GOLD US Equity","BS_ST_BORROW","1993-06-18","2026-05-02","Per=Y","Days=T","Dir=V")</f>
        <v>0</v>
      </c>
      <c r="I2">
        <f>BDH("GOLD US Equity","BS_LT_BORROW","1993-06-18","2026-05-02","Per=Y","Days=T","Dir=V")</f>
        <v>0</v>
      </c>
      <c r="K2">
        <f>BDH("GOLD US Equity","BS_CASH_NEAR_CASH_ITEM","1993-06-18","2026-05-02","Per=Y","Days=T","Dir=V")</f>
        <v>0</v>
      </c>
      <c r="M2">
        <f>BDH("GOLD US Equity","BS_CUR_ASSET_REPORT","1993-06-18","2026-05-02","Per=Y","Days=T","Dir=V")</f>
        <v>0</v>
      </c>
      <c r="O2">
        <f>BDH("GOLD US Equity","BS_CUR_LIAB","1993-06-18","2026-05-02","Per=Y","Days=T","Dir=V")</f>
        <v>0</v>
      </c>
      <c r="Q2">
        <f>BDH("GOLD US Equity","BS_SHAREHOLDER_EQY_ENDING_PERIOD","1993-06-18","2026-05-02","Per=Y","Days=T","Dir=V")</f>
        <v>0</v>
      </c>
      <c r="S2">
        <f>BDH("GOLD US Equity","BS_ACCT_NOTE_RCV","1993-06-18","2026-05-02","Per=Y","Days=T","Dir=V")</f>
        <v>0</v>
      </c>
      <c r="U2">
        <f>BDH("GOLD US Equity","BS_INVENTORIES","1993-06-18","2026-05-02","Per=Y","Days=T","Dir=V")</f>
        <v>0</v>
      </c>
      <c r="W2">
        <f>BDH("GOLD US Equity","WORKING_CAPITAL","1993-06-18","2026-05-02","Per=Y","Days=T","Dir=V")</f>
        <v>0</v>
      </c>
      <c r="Y2">
        <f>BDH("GOLD US Equity","SALES_REV_TURN","1993-06-18","2026-05-02","Per=Y","Days=T","Dir=V")</f>
        <v>0</v>
      </c>
      <c r="AA2">
        <f>BDH("GOLD US Equity","EBIT","1993-06-18","2026-05-02","Per=Y","Days=T","Dir=V")</f>
        <v>0</v>
      </c>
      <c r="AC2">
        <f>BDH("GOLD US Equity","EBITDA","1993-06-18","2026-05-02","Per=Y","Days=T","Dir=V")</f>
        <v>0</v>
      </c>
      <c r="AE2">
        <f>BDH("GOLD US Equity","NET_INCOME","1993-06-18","2026-05-02","Per=Y","Days=T","Dir=V")</f>
        <v>0</v>
      </c>
      <c r="AG2">
        <f>BDH("GOLD US Equity","IS_INT_EXPENSE","1993-06-18","2026-05-02","Per=Y","Days=T","Dir=V")</f>
        <v>0</v>
      </c>
      <c r="AI2">
        <f>BDH("GOLD US Equity","IS_DEPR_EXP","1993-06-18","2026-05-02","Per=Y","Days=T","Dir=V")</f>
        <v>0</v>
      </c>
      <c r="AK2">
        <f>BDH("GOLD US Equity","CF_CASH_FROM_OPER","1993-06-18","2026-05-02","Per=Y","Days=T","Dir=V")</f>
        <v>0</v>
      </c>
      <c r="AM2">
        <f>BDH("GOLD US Equity","CAPITAL_EXPEND","1993-06-18","2026-05-02","Per=Y","Days=T","Dir=V")</f>
        <v>0</v>
      </c>
      <c r="AO2">
        <f>BDH("GOLD US Equity","CF_FREE_CASH_FLOW","1993-06-18","2026-05-02","Per=Y","Days=T","Dir=V")</f>
        <v>0</v>
      </c>
      <c r="AQ2">
        <f>BDH("GOLD US Equity","PX_LAST","1993-06-18","2026-05-02","Per=M","Days=T","Dir=V")</f>
        <v>0</v>
      </c>
      <c r="AS2">
        <f>BDH("GOLD US Equity","CUR_MKT_CAP","1993-06-18","2026-05-02","Per=M","Days=T","Dir=V")</f>
        <v>0</v>
      </c>
      <c r="AU2">
        <f>BDH("GOLD US Equity","EQY_SH_OUT","1993-06-18","2026-05-02","Per=M","Days=T","Dir=V")</f>
        <v>0</v>
      </c>
      <c r="AW2">
        <f>BDH("GOLD US Equity","PX_VOLUME","1993-06-18","2026-05-02","Per=M","Days=T","Dir=V")</f>
        <v>0</v>
      </c>
      <c r="AY2">
        <f>BDH("GOLD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BDH("GOLF US Equity","BS_TOT_ASSET","1993-06-18","2026-05-02","Per=Y","Days=T","Dir=V")</f>
        <v>0</v>
      </c>
      <c r="C2">
        <f>BDH("GOLF US Equity","BS_TOT_LIAB2","1993-06-18","2026-05-02","Per=Y","Days=T","Dir=V")</f>
        <v>0</v>
      </c>
      <c r="E2">
        <f>BDH("GOLF US Equity","SHORT_AND_LONG_TERM_DEBT","1993-06-18","2026-05-02","Per=Y","Days=T","Dir=V")</f>
        <v>0</v>
      </c>
      <c r="G2">
        <f>BDH("GOLF US Equity","BS_ST_BORROW","1993-06-18","2026-05-02","Per=Y","Days=T","Dir=V")</f>
        <v>0</v>
      </c>
      <c r="I2">
        <f>BDH("GOLF US Equity","BS_LT_BORROW","1993-06-18","2026-05-02","Per=Y","Days=T","Dir=V")</f>
        <v>0</v>
      </c>
      <c r="K2">
        <f>BDH("GOLF US Equity","BS_CASH_NEAR_CASH_ITEM","1993-06-18","2026-05-02","Per=Y","Days=T","Dir=V")</f>
        <v>0</v>
      </c>
      <c r="M2">
        <f>BDH("GOLF US Equity","BS_CUR_ASSET_REPORT","1993-06-18","2026-05-02","Per=Y","Days=T","Dir=V")</f>
        <v>0</v>
      </c>
      <c r="O2">
        <f>BDH("GOLF US Equity","BS_CUR_LIAB","1993-06-18","2026-05-02","Per=Y","Days=T","Dir=V")</f>
        <v>0</v>
      </c>
      <c r="Q2">
        <f>BDH("GOLF US Equity","BS_SHAREHOLDER_EQY_ENDING_PERIOD","1993-06-18","2026-05-02","Per=Y","Days=T","Dir=V")</f>
        <v>0</v>
      </c>
      <c r="S2">
        <f>BDH("GOLF US Equity","BS_ACCT_NOTE_RCV","1993-06-18","2026-05-02","Per=Y","Days=T","Dir=V")</f>
        <v>0</v>
      </c>
      <c r="U2">
        <f>BDH("GOLF US Equity","BS_INVENTORIES","1993-06-18","2026-05-02","Per=Y","Days=T","Dir=V")</f>
        <v>0</v>
      </c>
      <c r="W2">
        <f>BDH("GOLF US Equity","WORKING_CAPITAL","1993-06-18","2026-05-02","Per=Y","Days=T","Dir=V")</f>
        <v>0</v>
      </c>
      <c r="Y2">
        <f>BDH("GOLF US Equity","SALES_REV_TURN","1993-06-18","2026-05-02","Per=Y","Days=T","Dir=V")</f>
        <v>0</v>
      </c>
      <c r="AA2">
        <f>BDH("GOLF US Equity","EBIT","1993-06-18","2026-05-02","Per=Y","Days=T","Dir=V")</f>
        <v>0</v>
      </c>
      <c r="AC2">
        <f>BDH("GOLF US Equity","EBITDA","1993-06-18","2026-05-02","Per=Y","Days=T","Dir=V")</f>
        <v>0</v>
      </c>
      <c r="AE2">
        <f>BDH("GOLF US Equity","NET_INCOME","1993-06-18","2026-05-02","Per=Y","Days=T","Dir=V")</f>
        <v>0</v>
      </c>
      <c r="AG2">
        <f>BDH("GOLF US Equity","IS_INT_EXPENSE","1993-06-18","2026-05-02","Per=Y","Days=T","Dir=V")</f>
        <v>0</v>
      </c>
      <c r="AI2">
        <f>BDH("GOLF US Equity","IS_DEPR_EXP","1993-06-18","2026-05-02","Per=Y","Days=T","Dir=V")</f>
        <v>0</v>
      </c>
      <c r="AK2">
        <f>BDH("GOLF US Equity","CF_CASH_FROM_OPER","1993-06-18","2026-05-02","Per=Y","Days=T","Dir=V")</f>
        <v>0</v>
      </c>
      <c r="AM2">
        <f>BDH("GOLF US Equity","CAPITAL_EXPEND","1993-06-18","2026-05-02","Per=Y","Days=T","Dir=V")</f>
        <v>0</v>
      </c>
      <c r="AO2">
        <f>BDH("GOLF US Equity","CF_FREE_CASH_FLOW","1993-06-18","2026-05-02","Per=Y","Days=T","Dir=V")</f>
        <v>0</v>
      </c>
      <c r="AQ2">
        <f>BDH("GOLF US Equity","PX_LAST","1993-06-18","2026-05-02","Per=M","Days=T","Dir=V")</f>
        <v>0</v>
      </c>
      <c r="AS2">
        <f>BDH("GOLF US Equity","CUR_MKT_CAP","1993-06-18","2026-05-02","Per=M","Days=T","Dir=V")</f>
        <v>0</v>
      </c>
      <c r="AU2">
        <f>BDH("GOLF US Equity","EQY_SH_OUT","1993-06-18","2026-05-02","Per=M","Days=T","Dir=V")</f>
        <v>0</v>
      </c>
      <c r="AW2">
        <f>BDH("GOLF US Equity","PX_VOLUME","1993-06-18","2026-05-02","Per=M","Days=T","Dir=V")</f>
        <v>0</v>
      </c>
      <c r="AY2">
        <f>BDH("GOLF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BDH("GOOG US Equity","BS_TOT_ASSET","1993-06-18","2026-05-02","Per=Y","Days=T","Dir=V")</f>
        <v>0</v>
      </c>
      <c r="C2">
        <f>BDH("GOOG US Equity","BS_TOT_LIAB2","1993-06-18","2026-05-02","Per=Y","Days=T","Dir=V")</f>
        <v>0</v>
      </c>
      <c r="E2">
        <f>BDH("GOOG US Equity","SHORT_AND_LONG_TERM_DEBT","1993-06-18","2026-05-02","Per=Y","Days=T","Dir=V")</f>
        <v>0</v>
      </c>
      <c r="G2">
        <f>BDH("GOOG US Equity","BS_ST_BORROW","1993-06-18","2026-05-02","Per=Y","Days=T","Dir=V")</f>
        <v>0</v>
      </c>
      <c r="I2">
        <f>BDH("GOOG US Equity","BS_LT_BORROW","1993-06-18","2026-05-02","Per=Y","Days=T","Dir=V")</f>
        <v>0</v>
      </c>
      <c r="K2">
        <f>BDH("GOOG US Equity","BS_CASH_NEAR_CASH_ITEM","1993-06-18","2026-05-02","Per=Y","Days=T","Dir=V")</f>
        <v>0</v>
      </c>
      <c r="M2">
        <f>BDH("GOOG US Equity","BS_CUR_ASSET_REPORT","1993-06-18","2026-05-02","Per=Y","Days=T","Dir=V")</f>
        <v>0</v>
      </c>
      <c r="O2">
        <f>BDH("GOOG US Equity","BS_CUR_LIAB","1993-06-18","2026-05-02","Per=Y","Days=T","Dir=V")</f>
        <v>0</v>
      </c>
      <c r="Q2">
        <f>BDH("GOOG US Equity","BS_SHAREHOLDER_EQY_ENDING_PERIOD","1993-06-18","2026-05-02","Per=Y","Days=T","Dir=V")</f>
        <v>0</v>
      </c>
      <c r="S2">
        <f>BDH("GOOG US Equity","BS_ACCT_NOTE_RCV","1993-06-18","2026-05-02","Per=Y","Days=T","Dir=V")</f>
        <v>0</v>
      </c>
      <c r="U2">
        <f>BDH("GOOG US Equity","BS_INVENTORIES","1993-06-18","2026-05-02","Per=Y","Days=T","Dir=V")</f>
        <v>0</v>
      </c>
      <c r="W2">
        <f>BDH("GOOG US Equity","WORKING_CAPITAL","1993-06-18","2026-05-02","Per=Y","Days=T","Dir=V")</f>
        <v>0</v>
      </c>
      <c r="Y2">
        <f>BDH("GOOG US Equity","SALES_REV_TURN","1993-06-18","2026-05-02","Per=Y","Days=T","Dir=V")</f>
        <v>0</v>
      </c>
      <c r="AA2">
        <f>BDH("GOOG US Equity","EBIT","1993-06-18","2026-05-02","Per=Y","Days=T","Dir=V")</f>
        <v>0</v>
      </c>
      <c r="AC2">
        <f>BDH("GOOG US Equity","EBITDA","1993-06-18","2026-05-02","Per=Y","Days=T","Dir=V")</f>
        <v>0</v>
      </c>
      <c r="AE2">
        <f>BDH("GOOG US Equity","NET_INCOME","1993-06-18","2026-05-02","Per=Y","Days=T","Dir=V")</f>
        <v>0</v>
      </c>
      <c r="AG2">
        <f>BDH("GOOG US Equity","IS_INT_EXPENSE","1993-06-18","2026-05-02","Per=Y","Days=T","Dir=V")</f>
        <v>0</v>
      </c>
      <c r="AI2">
        <f>BDH("GOOG US Equity","IS_DEPR_EXP","1993-06-18","2026-05-02","Per=Y","Days=T","Dir=V")</f>
        <v>0</v>
      </c>
      <c r="AK2">
        <f>BDH("GOOG US Equity","CF_CASH_FROM_OPER","1993-06-18","2026-05-02","Per=Y","Days=T","Dir=V")</f>
        <v>0</v>
      </c>
      <c r="AM2">
        <f>BDH("GOOG US Equity","CAPITAL_EXPEND","1993-06-18","2026-05-02","Per=Y","Days=T","Dir=V")</f>
        <v>0</v>
      </c>
      <c r="AO2">
        <f>BDH("GOOG US Equity","CF_FREE_CASH_FLOW","1993-06-18","2026-05-02","Per=Y","Days=T","Dir=V")</f>
        <v>0</v>
      </c>
      <c r="AQ2">
        <f>BDH("GOOG US Equity","PX_LAST","1993-06-18","2026-05-02","Per=M","Days=T","Dir=V")</f>
        <v>0</v>
      </c>
      <c r="AS2">
        <f>BDH("GOOG US Equity","CUR_MKT_CAP","1993-06-18","2026-05-02","Per=M","Days=T","Dir=V")</f>
        <v>0</v>
      </c>
      <c r="AU2">
        <f>BDH("GOOG US Equity","EQY_SH_OUT","1993-06-18","2026-05-02","Per=M","Days=T","Dir=V")</f>
        <v>0</v>
      </c>
      <c r="AW2">
        <f>BDH("GOOG US Equity","PX_VOLUME","1993-06-18","2026-05-02","Per=M","Days=T","Dir=V")</f>
        <v>0</v>
      </c>
      <c r="AY2">
        <f>BDH("GOOG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BDH("GOOGL US Equity","BS_TOT_ASSET","1993-06-18","2026-05-02","Per=Y","Days=T","Dir=V")</f>
        <v>0</v>
      </c>
      <c r="C2">
        <f>BDH("GOOGL US Equity","BS_TOT_LIAB2","1993-06-18","2026-05-02","Per=Y","Days=T","Dir=V")</f>
        <v>0</v>
      </c>
      <c r="E2">
        <f>BDH("GOOGL US Equity","SHORT_AND_LONG_TERM_DEBT","1993-06-18","2026-05-02","Per=Y","Days=T","Dir=V")</f>
        <v>0</v>
      </c>
      <c r="G2">
        <f>BDH("GOOGL US Equity","BS_ST_BORROW","1993-06-18","2026-05-02","Per=Y","Days=T","Dir=V")</f>
        <v>0</v>
      </c>
      <c r="I2">
        <f>BDH("GOOGL US Equity","BS_LT_BORROW","1993-06-18","2026-05-02","Per=Y","Days=T","Dir=V")</f>
        <v>0</v>
      </c>
      <c r="K2">
        <f>BDH("GOOGL US Equity","BS_CASH_NEAR_CASH_ITEM","1993-06-18","2026-05-02","Per=Y","Days=T","Dir=V")</f>
        <v>0</v>
      </c>
      <c r="M2">
        <f>BDH("GOOGL US Equity","BS_CUR_ASSET_REPORT","1993-06-18","2026-05-02","Per=Y","Days=T","Dir=V")</f>
        <v>0</v>
      </c>
      <c r="O2">
        <f>BDH("GOOGL US Equity","BS_CUR_LIAB","1993-06-18","2026-05-02","Per=Y","Days=T","Dir=V")</f>
        <v>0</v>
      </c>
      <c r="Q2">
        <f>BDH("GOOGL US Equity","BS_SHAREHOLDER_EQY_ENDING_PERIOD","1993-06-18","2026-05-02","Per=Y","Days=T","Dir=V")</f>
        <v>0</v>
      </c>
      <c r="S2">
        <f>BDH("GOOGL US Equity","BS_ACCT_NOTE_RCV","1993-06-18","2026-05-02","Per=Y","Days=T","Dir=V")</f>
        <v>0</v>
      </c>
      <c r="U2">
        <f>BDH("GOOGL US Equity","BS_INVENTORIES","1993-06-18","2026-05-02","Per=Y","Days=T","Dir=V")</f>
        <v>0</v>
      </c>
      <c r="W2">
        <f>BDH("GOOGL US Equity","WORKING_CAPITAL","1993-06-18","2026-05-02","Per=Y","Days=T","Dir=V")</f>
        <v>0</v>
      </c>
      <c r="Y2">
        <f>BDH("GOOGL US Equity","SALES_REV_TURN","1993-06-18","2026-05-02","Per=Y","Days=T","Dir=V")</f>
        <v>0</v>
      </c>
      <c r="AA2">
        <f>BDH("GOOGL US Equity","EBIT","1993-06-18","2026-05-02","Per=Y","Days=T","Dir=V")</f>
        <v>0</v>
      </c>
      <c r="AC2">
        <f>BDH("GOOGL US Equity","EBITDA","1993-06-18","2026-05-02","Per=Y","Days=T","Dir=V")</f>
        <v>0</v>
      </c>
      <c r="AE2">
        <f>BDH("GOOGL US Equity","NET_INCOME","1993-06-18","2026-05-02","Per=Y","Days=T","Dir=V")</f>
        <v>0</v>
      </c>
      <c r="AG2">
        <f>BDH("GOOGL US Equity","IS_INT_EXPENSE","1993-06-18","2026-05-02","Per=Y","Days=T","Dir=V")</f>
        <v>0</v>
      </c>
      <c r="AI2">
        <f>BDH("GOOGL US Equity","IS_DEPR_EXP","1993-06-18","2026-05-02","Per=Y","Days=T","Dir=V")</f>
        <v>0</v>
      </c>
      <c r="AK2">
        <f>BDH("GOOGL US Equity","CF_CASH_FROM_OPER","1993-06-18","2026-05-02","Per=Y","Days=T","Dir=V")</f>
        <v>0</v>
      </c>
      <c r="AM2">
        <f>BDH("GOOGL US Equity","CAPITAL_EXPEND","1993-06-18","2026-05-02","Per=Y","Days=T","Dir=V")</f>
        <v>0</v>
      </c>
      <c r="AO2">
        <f>BDH("GOOGL US Equity","CF_FREE_CASH_FLOW","1993-06-18","2026-05-02","Per=Y","Days=T","Dir=V")</f>
        <v>0</v>
      </c>
      <c r="AQ2">
        <f>BDH("GOOGL US Equity","PX_LAST","1993-06-18","2026-05-02","Per=M","Days=T","Dir=V")</f>
        <v>0</v>
      </c>
      <c r="AS2">
        <f>BDH("GOOGL US Equity","CUR_MKT_CAP","1993-06-18","2026-05-02","Per=M","Days=T","Dir=V")</f>
        <v>0</v>
      </c>
      <c r="AU2">
        <f>BDH("GOOGL US Equity","EQY_SH_OUT","1993-06-18","2026-05-02","Per=M","Days=T","Dir=V")</f>
        <v>0</v>
      </c>
      <c r="AW2">
        <f>BDH("GOOGL US Equity","PX_VOLUME","1993-06-18","2026-05-02","Per=M","Days=T","Dir=V")</f>
        <v>0</v>
      </c>
      <c r="AY2">
        <f>BDH("GOOGL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BDH("GOOGM US Equity","BS_TOT_ASSET","1993-06-18","2026-05-02","Per=Y","Days=T","Dir=V")</f>
        <v>0</v>
      </c>
      <c r="C2">
        <f>BDH("GOOGM US Equity","BS_TOT_LIAB2","1993-06-18","2026-05-02","Per=Y","Days=T","Dir=V")</f>
        <v>0</v>
      </c>
      <c r="E2">
        <f>BDH("GOOGM US Equity","SHORT_AND_LONG_TERM_DEBT","1993-06-18","2026-05-02","Per=Y","Days=T","Dir=V")</f>
        <v>0</v>
      </c>
      <c r="G2">
        <f>BDH("GOOGM US Equity","BS_ST_BORROW","1993-06-18","2026-05-02","Per=Y","Days=T","Dir=V")</f>
        <v>0</v>
      </c>
      <c r="I2">
        <f>BDH("GOOGM US Equity","BS_LT_BORROW","1993-06-18","2026-05-02","Per=Y","Days=T","Dir=V")</f>
        <v>0</v>
      </c>
      <c r="K2">
        <f>BDH("GOOGM US Equity","BS_CASH_NEAR_CASH_ITEM","1993-06-18","2026-05-02","Per=Y","Days=T","Dir=V")</f>
        <v>0</v>
      </c>
      <c r="M2">
        <f>BDH("GOOGM US Equity","BS_CUR_ASSET_REPORT","1993-06-18","2026-05-02","Per=Y","Days=T","Dir=V")</f>
        <v>0</v>
      </c>
      <c r="O2">
        <f>BDH("GOOGM US Equity","BS_CUR_LIAB","1993-06-18","2026-05-02","Per=Y","Days=T","Dir=V")</f>
        <v>0</v>
      </c>
      <c r="Q2">
        <f>BDH("GOOGM US Equity","BS_SHAREHOLDER_EQY_ENDING_PERIOD","1993-06-18","2026-05-02","Per=Y","Days=T","Dir=V")</f>
        <v>0</v>
      </c>
      <c r="S2">
        <f>BDH("GOOGM US Equity","BS_ACCT_NOTE_RCV","1993-06-18","2026-05-02","Per=Y","Days=T","Dir=V")</f>
        <v>0</v>
      </c>
      <c r="U2">
        <f>BDH("GOOGM US Equity","BS_INVENTORIES","1993-06-18","2026-05-02","Per=Y","Days=T","Dir=V")</f>
        <v>0</v>
      </c>
      <c r="W2">
        <f>BDH("GOOGM US Equity","WORKING_CAPITAL","1993-06-18","2026-05-02","Per=Y","Days=T","Dir=V")</f>
        <v>0</v>
      </c>
      <c r="Y2">
        <f>BDH("GOOGM US Equity","SALES_REV_TURN","1993-06-18","2026-05-02","Per=Y","Days=T","Dir=V")</f>
        <v>0</v>
      </c>
      <c r="AA2">
        <f>BDH("GOOGM US Equity","EBIT","1993-06-18","2026-05-02","Per=Y","Days=T","Dir=V")</f>
        <v>0</v>
      </c>
      <c r="AC2">
        <f>BDH("GOOGM US Equity","EBITDA","1993-06-18","2026-05-02","Per=Y","Days=T","Dir=V")</f>
        <v>0</v>
      </c>
      <c r="AE2">
        <f>BDH("GOOGM US Equity","NET_INCOME","1993-06-18","2026-05-02","Per=Y","Days=T","Dir=V")</f>
        <v>0</v>
      </c>
      <c r="AG2">
        <f>BDH("GOOGM US Equity","IS_INT_EXPENSE","1993-06-18","2026-05-02","Per=Y","Days=T","Dir=V")</f>
        <v>0</v>
      </c>
      <c r="AI2">
        <f>BDH("GOOGM US Equity","IS_DEPR_EXP","1993-06-18","2026-05-02","Per=Y","Days=T","Dir=V")</f>
        <v>0</v>
      </c>
      <c r="AK2">
        <f>BDH("GOOGM US Equity","CF_CASH_FROM_OPER","1993-06-18","2026-05-02","Per=Y","Days=T","Dir=V")</f>
        <v>0</v>
      </c>
      <c r="AM2">
        <f>BDH("GOOGM US Equity","CAPITAL_EXPEND","1993-06-18","2026-05-02","Per=Y","Days=T","Dir=V")</f>
        <v>0</v>
      </c>
      <c r="AO2">
        <f>BDH("GOOGM US Equity","CF_FREE_CASH_FLOW","1993-06-18","2026-05-02","Per=Y","Days=T","Dir=V")</f>
        <v>0</v>
      </c>
      <c r="AQ2">
        <f>BDH("GOOGM US Equity","PX_LAST","1993-06-18","2026-05-02","Per=M","Days=T","Dir=V")</f>
        <v>0</v>
      </c>
      <c r="AS2">
        <f>BDH("GOOGM US Equity","CUR_MKT_CAP","1993-06-18","2026-05-02","Per=M","Days=T","Dir=V")</f>
        <v>0</v>
      </c>
      <c r="AU2">
        <f>BDH("GOOGM US Equity","EQY_SH_OUT","1993-06-18","2026-05-02","Per=M","Days=T","Dir=V")</f>
        <v>0</v>
      </c>
      <c r="AW2">
        <f>BDH("GOOGM US Equity","PX_VOLUME","1993-06-18","2026-05-02","Per=M","Days=T","Dir=V")</f>
        <v>0</v>
      </c>
      <c r="AY2">
        <f>BDH("GOOGM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BDH("GOOGN US Equity","BS_TOT_ASSET","1993-06-18","2026-05-02","Per=Y","Days=T","Dir=V")</f>
        <v>0</v>
      </c>
      <c r="C2">
        <f>BDH("GOOGN US Equity","BS_TOT_LIAB2","1993-06-18","2026-05-02","Per=Y","Days=T","Dir=V")</f>
        <v>0</v>
      </c>
      <c r="E2">
        <f>BDH("GOOGN US Equity","SHORT_AND_LONG_TERM_DEBT","1993-06-18","2026-05-02","Per=Y","Days=T","Dir=V")</f>
        <v>0</v>
      </c>
      <c r="G2">
        <f>BDH("GOOGN US Equity","BS_ST_BORROW","1993-06-18","2026-05-02","Per=Y","Days=T","Dir=V")</f>
        <v>0</v>
      </c>
      <c r="I2">
        <f>BDH("GOOGN US Equity","BS_LT_BORROW","1993-06-18","2026-05-02","Per=Y","Days=T","Dir=V")</f>
        <v>0</v>
      </c>
      <c r="K2">
        <f>BDH("GOOGN US Equity","BS_CASH_NEAR_CASH_ITEM","1993-06-18","2026-05-02","Per=Y","Days=T","Dir=V")</f>
        <v>0</v>
      </c>
      <c r="M2">
        <f>BDH("GOOGN US Equity","BS_CUR_ASSET_REPORT","1993-06-18","2026-05-02","Per=Y","Days=T","Dir=V")</f>
        <v>0</v>
      </c>
      <c r="O2">
        <f>BDH("GOOGN US Equity","BS_CUR_LIAB","1993-06-18","2026-05-02","Per=Y","Days=T","Dir=V")</f>
        <v>0</v>
      </c>
      <c r="Q2">
        <f>BDH("GOOGN US Equity","BS_SHAREHOLDER_EQY_ENDING_PERIOD","1993-06-18","2026-05-02","Per=Y","Days=T","Dir=V")</f>
        <v>0</v>
      </c>
      <c r="S2">
        <f>BDH("GOOGN US Equity","BS_ACCT_NOTE_RCV","1993-06-18","2026-05-02","Per=Y","Days=T","Dir=V")</f>
        <v>0</v>
      </c>
      <c r="U2">
        <f>BDH("GOOGN US Equity","BS_INVENTORIES","1993-06-18","2026-05-02","Per=Y","Days=T","Dir=V")</f>
        <v>0</v>
      </c>
      <c r="W2">
        <f>BDH("GOOGN US Equity","WORKING_CAPITAL","1993-06-18","2026-05-02","Per=Y","Days=T","Dir=V")</f>
        <v>0</v>
      </c>
      <c r="Y2">
        <f>BDH("GOOGN US Equity","SALES_REV_TURN","1993-06-18","2026-05-02","Per=Y","Days=T","Dir=V")</f>
        <v>0</v>
      </c>
      <c r="AA2">
        <f>BDH("GOOGN US Equity","EBIT","1993-06-18","2026-05-02","Per=Y","Days=T","Dir=V")</f>
        <v>0</v>
      </c>
      <c r="AC2">
        <f>BDH("GOOGN US Equity","EBITDA","1993-06-18","2026-05-02","Per=Y","Days=T","Dir=V")</f>
        <v>0</v>
      </c>
      <c r="AE2">
        <f>BDH("GOOGN US Equity","NET_INCOME","1993-06-18","2026-05-02","Per=Y","Days=T","Dir=V")</f>
        <v>0</v>
      </c>
      <c r="AG2">
        <f>BDH("GOOGN US Equity","IS_INT_EXPENSE","1993-06-18","2026-05-02","Per=Y","Days=T","Dir=V")</f>
        <v>0</v>
      </c>
      <c r="AI2">
        <f>BDH("GOOGN US Equity","IS_DEPR_EXP","1993-06-18","2026-05-02","Per=Y","Days=T","Dir=V")</f>
        <v>0</v>
      </c>
      <c r="AK2">
        <f>BDH("GOOGN US Equity","CF_CASH_FROM_OPER","1993-06-18","2026-05-02","Per=Y","Days=T","Dir=V")</f>
        <v>0</v>
      </c>
      <c r="AM2">
        <f>BDH("GOOGN US Equity","CAPITAL_EXPEND","1993-06-18","2026-05-02","Per=Y","Days=T","Dir=V")</f>
        <v>0</v>
      </c>
      <c r="AO2">
        <f>BDH("GOOGN US Equity","CF_FREE_CASH_FLOW","1993-06-18","2026-05-02","Per=Y","Days=T","Dir=V")</f>
        <v>0</v>
      </c>
      <c r="AQ2">
        <f>BDH("GOOGN US Equity","PX_LAST","1993-06-18","2026-05-02","Per=M","Days=T","Dir=V")</f>
        <v>0</v>
      </c>
      <c r="AS2">
        <f>BDH("GOOGN US Equity","CUR_MKT_CAP","1993-06-18","2026-05-02","Per=M","Days=T","Dir=V")</f>
        <v>0</v>
      </c>
      <c r="AU2">
        <f>BDH("GOOGN US Equity","EQY_SH_OUT","1993-06-18","2026-05-02","Per=M","Days=T","Dir=V")</f>
        <v>0</v>
      </c>
      <c r="AW2">
        <f>BDH("GOOGN US Equity","PX_VOLUME","1993-06-18","2026-05-02","Per=M","Days=T","Dir=V")</f>
        <v>0</v>
      </c>
      <c r="AY2">
        <f>BDH("GOOGN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BDH("GOSS US Equity","BS_TOT_ASSET","1993-06-18","2026-05-02","Per=Y","Days=T","Dir=V")</f>
        <v>0</v>
      </c>
      <c r="C2">
        <f>BDH("GOSS US Equity","BS_TOT_LIAB2","1993-06-18","2026-05-02","Per=Y","Days=T","Dir=V")</f>
        <v>0</v>
      </c>
      <c r="E2">
        <f>BDH("GOSS US Equity","SHORT_AND_LONG_TERM_DEBT","1993-06-18","2026-05-02","Per=Y","Days=T","Dir=V")</f>
        <v>0</v>
      </c>
      <c r="G2">
        <f>BDH("GOSS US Equity","BS_ST_BORROW","1993-06-18","2026-05-02","Per=Y","Days=T","Dir=V")</f>
        <v>0</v>
      </c>
      <c r="I2">
        <f>BDH("GOSS US Equity","BS_LT_BORROW","1993-06-18","2026-05-02","Per=Y","Days=T","Dir=V")</f>
        <v>0</v>
      </c>
      <c r="K2">
        <f>BDH("GOSS US Equity","BS_CASH_NEAR_CASH_ITEM","1993-06-18","2026-05-02","Per=Y","Days=T","Dir=V")</f>
        <v>0</v>
      </c>
      <c r="M2">
        <f>BDH("GOSS US Equity","BS_CUR_ASSET_REPORT","1993-06-18","2026-05-02","Per=Y","Days=T","Dir=V")</f>
        <v>0</v>
      </c>
      <c r="O2">
        <f>BDH("GOSS US Equity","BS_CUR_LIAB","1993-06-18","2026-05-02","Per=Y","Days=T","Dir=V")</f>
        <v>0</v>
      </c>
      <c r="Q2">
        <f>BDH("GOSS US Equity","BS_SHAREHOLDER_EQY_ENDING_PERIOD","1993-06-18","2026-05-02","Per=Y","Days=T","Dir=V")</f>
        <v>0</v>
      </c>
      <c r="S2">
        <f>BDH("GOSS US Equity","BS_ACCT_NOTE_RCV","1993-06-18","2026-05-02","Per=Y","Days=T","Dir=V")</f>
        <v>0</v>
      </c>
      <c r="U2">
        <f>BDH("GOSS US Equity","BS_INVENTORIES","1993-06-18","2026-05-02","Per=Y","Days=T","Dir=V")</f>
        <v>0</v>
      </c>
      <c r="W2">
        <f>BDH("GOSS US Equity","WORKING_CAPITAL","1993-06-18","2026-05-02","Per=Y","Days=T","Dir=V")</f>
        <v>0</v>
      </c>
      <c r="Y2">
        <f>BDH("GOSS US Equity","SALES_REV_TURN","1993-06-18","2026-05-02","Per=Y","Days=T","Dir=V")</f>
        <v>0</v>
      </c>
      <c r="AA2">
        <f>BDH("GOSS US Equity","EBIT","1993-06-18","2026-05-02","Per=Y","Days=T","Dir=V")</f>
        <v>0</v>
      </c>
      <c r="AC2">
        <f>BDH("GOSS US Equity","EBITDA","1993-06-18","2026-05-02","Per=Y","Days=T","Dir=V")</f>
        <v>0</v>
      </c>
      <c r="AE2">
        <f>BDH("GOSS US Equity","NET_INCOME","1993-06-18","2026-05-02","Per=Y","Days=T","Dir=V")</f>
        <v>0</v>
      </c>
      <c r="AG2">
        <f>BDH("GOSS US Equity","IS_INT_EXPENSE","1993-06-18","2026-05-02","Per=Y","Days=T","Dir=V")</f>
        <v>0</v>
      </c>
      <c r="AI2">
        <f>BDH("GOSS US Equity","IS_DEPR_EXP","1993-06-18","2026-05-02","Per=Y","Days=T","Dir=V")</f>
        <v>0</v>
      </c>
      <c r="AK2">
        <f>BDH("GOSS US Equity","CF_CASH_FROM_OPER","1993-06-18","2026-05-02","Per=Y","Days=T","Dir=V")</f>
        <v>0</v>
      </c>
      <c r="AM2">
        <f>BDH("GOSS US Equity","CAPITAL_EXPEND","1993-06-18","2026-05-02","Per=Y","Days=T","Dir=V")</f>
        <v>0</v>
      </c>
      <c r="AO2">
        <f>BDH("GOSS US Equity","CF_FREE_CASH_FLOW","1993-06-18","2026-05-02","Per=Y","Days=T","Dir=V")</f>
        <v>0</v>
      </c>
      <c r="AQ2">
        <f>BDH("GOSS US Equity","PX_LAST","1993-06-18","2026-05-02","Per=M","Days=T","Dir=V")</f>
        <v>0</v>
      </c>
      <c r="AS2">
        <f>BDH("GOSS US Equity","CUR_MKT_CAP","1993-06-18","2026-05-02","Per=M","Days=T","Dir=V")</f>
        <v>0</v>
      </c>
      <c r="AU2">
        <f>BDH("GOSS US Equity","EQY_SH_OUT","1993-06-18","2026-05-02","Per=M","Days=T","Dir=V")</f>
        <v>0</v>
      </c>
      <c r="AW2">
        <f>BDH("GOSS US Equity","PX_VOLUME","1993-06-18","2026-05-02","Per=M","Days=T","Dir=V")</f>
        <v>0</v>
      </c>
      <c r="AY2">
        <f>BDH("GOSS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BDH("GOVX US Equity","BS_TOT_ASSET","1993-06-18","2026-05-02","Per=Y","Days=T","Dir=V")</f>
        <v>0</v>
      </c>
      <c r="C2">
        <f>BDH("GOVX US Equity","BS_TOT_LIAB2","1993-06-18","2026-05-02","Per=Y","Days=T","Dir=V")</f>
        <v>0</v>
      </c>
      <c r="E2">
        <f>BDH("GOVX US Equity","SHORT_AND_LONG_TERM_DEBT","1993-06-18","2026-05-02","Per=Y","Days=T","Dir=V")</f>
        <v>0</v>
      </c>
      <c r="G2">
        <f>BDH("GOVX US Equity","BS_ST_BORROW","1993-06-18","2026-05-02","Per=Y","Days=T","Dir=V")</f>
        <v>0</v>
      </c>
      <c r="I2">
        <f>BDH("GOVX US Equity","BS_LT_BORROW","1993-06-18","2026-05-02","Per=Y","Days=T","Dir=V")</f>
        <v>0</v>
      </c>
      <c r="K2">
        <f>BDH("GOVX US Equity","BS_CASH_NEAR_CASH_ITEM","1993-06-18","2026-05-02","Per=Y","Days=T","Dir=V")</f>
        <v>0</v>
      </c>
      <c r="M2">
        <f>BDH("GOVX US Equity","BS_CUR_ASSET_REPORT","1993-06-18","2026-05-02","Per=Y","Days=T","Dir=V")</f>
        <v>0</v>
      </c>
      <c r="O2">
        <f>BDH("GOVX US Equity","BS_CUR_LIAB","1993-06-18","2026-05-02","Per=Y","Days=T","Dir=V")</f>
        <v>0</v>
      </c>
      <c r="Q2">
        <f>BDH("GOVX US Equity","BS_SHAREHOLDER_EQY_ENDING_PERIOD","1993-06-18","2026-05-02","Per=Y","Days=T","Dir=V")</f>
        <v>0</v>
      </c>
      <c r="S2">
        <f>BDH("GOVX US Equity","BS_ACCT_NOTE_RCV","1993-06-18","2026-05-02","Per=Y","Days=T","Dir=V")</f>
        <v>0</v>
      </c>
      <c r="U2">
        <f>BDH("GOVX US Equity","BS_INVENTORIES","1993-06-18","2026-05-02","Per=Y","Days=T","Dir=V")</f>
        <v>0</v>
      </c>
      <c r="W2">
        <f>BDH("GOVX US Equity","WORKING_CAPITAL","1993-06-18","2026-05-02","Per=Y","Days=T","Dir=V")</f>
        <v>0</v>
      </c>
      <c r="Y2">
        <f>BDH("GOVX US Equity","SALES_REV_TURN","1993-06-18","2026-05-02","Per=Y","Days=T","Dir=V")</f>
        <v>0</v>
      </c>
      <c r="AA2">
        <f>BDH("GOVX US Equity","EBIT","1993-06-18","2026-05-02","Per=Y","Days=T","Dir=V")</f>
        <v>0</v>
      </c>
      <c r="AC2">
        <f>BDH("GOVX US Equity","EBITDA","1993-06-18","2026-05-02","Per=Y","Days=T","Dir=V")</f>
        <v>0</v>
      </c>
      <c r="AE2">
        <f>BDH("GOVX US Equity","NET_INCOME","1993-06-18","2026-05-02","Per=Y","Days=T","Dir=V")</f>
        <v>0</v>
      </c>
      <c r="AG2">
        <f>BDH("GOVX US Equity","IS_INT_EXPENSE","1993-06-18","2026-05-02","Per=Y","Days=T","Dir=V")</f>
        <v>0</v>
      </c>
      <c r="AI2">
        <f>BDH("GOVX US Equity","IS_DEPR_EXP","1993-06-18","2026-05-02","Per=Y","Days=T","Dir=V")</f>
        <v>0</v>
      </c>
      <c r="AK2">
        <f>BDH("GOVX US Equity","CF_CASH_FROM_OPER","1993-06-18","2026-05-02","Per=Y","Days=T","Dir=V")</f>
        <v>0</v>
      </c>
      <c r="AM2">
        <f>BDH("GOVX US Equity","CAPITAL_EXPEND","1993-06-18","2026-05-02","Per=Y","Days=T","Dir=V")</f>
        <v>0</v>
      </c>
      <c r="AO2">
        <f>BDH("GOVX US Equity","CF_FREE_CASH_FLOW","1993-06-18","2026-05-02","Per=Y","Days=T","Dir=V")</f>
        <v>0</v>
      </c>
      <c r="AQ2">
        <f>BDH("GOVX US Equity","PX_LAST","1993-06-18","2026-05-02","Per=M","Days=T","Dir=V")</f>
        <v>0</v>
      </c>
      <c r="AS2">
        <f>BDH("GOVX US Equity","CUR_MKT_CAP","1993-06-18","2026-05-02","Per=M","Days=T","Dir=V")</f>
        <v>0</v>
      </c>
      <c r="AU2">
        <f>BDH("GOVX US Equity","EQY_SH_OUT","1993-06-18","2026-05-02","Per=M","Days=T","Dir=V")</f>
        <v>0</v>
      </c>
      <c r="AW2">
        <f>BDH("GOVX US Equity","PX_VOLUME","1993-06-18","2026-05-02","Per=M","Days=T","Dir=V")</f>
        <v>0</v>
      </c>
      <c r="AY2">
        <f>BDH("GOVX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BDH("GPACW US Equity","BS_TOT_ASSET","1993-06-18","2026-05-02","Per=Y","Days=T","Dir=V")</f>
        <v>0</v>
      </c>
      <c r="C2">
        <f>BDH("GPACW US Equity","BS_TOT_LIAB2","1993-06-18","2026-05-02","Per=Y","Days=T","Dir=V")</f>
        <v>0</v>
      </c>
      <c r="E2">
        <f>BDH("GPACW US Equity","SHORT_AND_LONG_TERM_DEBT","1993-06-18","2026-05-02","Per=Y","Days=T","Dir=V")</f>
        <v>0</v>
      </c>
      <c r="G2">
        <f>BDH("GPACW US Equity","BS_ST_BORROW","1993-06-18","2026-05-02","Per=Y","Days=T","Dir=V")</f>
        <v>0</v>
      </c>
      <c r="I2">
        <f>BDH("GPACW US Equity","BS_LT_BORROW","1993-06-18","2026-05-02","Per=Y","Days=T","Dir=V")</f>
        <v>0</v>
      </c>
      <c r="K2">
        <f>BDH("GPACW US Equity","BS_CASH_NEAR_CASH_ITEM","1993-06-18","2026-05-02","Per=Y","Days=T","Dir=V")</f>
        <v>0</v>
      </c>
      <c r="M2">
        <f>BDH("GPACW US Equity","BS_CUR_ASSET_REPORT","1993-06-18","2026-05-02","Per=Y","Days=T","Dir=V")</f>
        <v>0</v>
      </c>
      <c r="O2">
        <f>BDH("GPACW US Equity","BS_CUR_LIAB","1993-06-18","2026-05-02","Per=Y","Days=T","Dir=V")</f>
        <v>0</v>
      </c>
      <c r="Q2">
        <f>BDH("GPACW US Equity","BS_SHAREHOLDER_EQY_ENDING_PERIOD","1993-06-18","2026-05-02","Per=Y","Days=T","Dir=V")</f>
        <v>0</v>
      </c>
      <c r="S2">
        <f>BDH("GPACW US Equity","BS_ACCT_NOTE_RCV","1993-06-18","2026-05-02","Per=Y","Days=T","Dir=V")</f>
        <v>0</v>
      </c>
      <c r="U2">
        <f>BDH("GPACW US Equity","BS_INVENTORIES","1993-06-18","2026-05-02","Per=Y","Days=T","Dir=V")</f>
        <v>0</v>
      </c>
      <c r="W2">
        <f>BDH("GPACW US Equity","WORKING_CAPITAL","1993-06-18","2026-05-02","Per=Y","Days=T","Dir=V")</f>
        <v>0</v>
      </c>
      <c r="Y2">
        <f>BDH("GPACW US Equity","SALES_REV_TURN","1993-06-18","2026-05-02","Per=Y","Days=T","Dir=V")</f>
        <v>0</v>
      </c>
      <c r="AA2">
        <f>BDH("GPACW US Equity","EBIT","1993-06-18","2026-05-02","Per=Y","Days=T","Dir=V")</f>
        <v>0</v>
      </c>
      <c r="AC2">
        <f>BDH("GPACW US Equity","EBITDA","1993-06-18","2026-05-02","Per=Y","Days=T","Dir=V")</f>
        <v>0</v>
      </c>
      <c r="AE2">
        <f>BDH("GPACW US Equity","NET_INCOME","1993-06-18","2026-05-02","Per=Y","Days=T","Dir=V")</f>
        <v>0</v>
      </c>
      <c r="AG2">
        <f>BDH("GPACW US Equity","IS_INT_EXPENSE","1993-06-18","2026-05-02","Per=Y","Days=T","Dir=V")</f>
        <v>0</v>
      </c>
      <c r="AI2">
        <f>BDH("GPACW US Equity","IS_DEPR_EXP","1993-06-18","2026-05-02","Per=Y","Days=T","Dir=V")</f>
        <v>0</v>
      </c>
      <c r="AK2">
        <f>BDH("GPACW US Equity","CF_CASH_FROM_OPER","1993-06-18","2026-05-02","Per=Y","Days=T","Dir=V")</f>
        <v>0</v>
      </c>
      <c r="AM2">
        <f>BDH("GPACW US Equity","CAPITAL_EXPEND","1993-06-18","2026-05-02","Per=Y","Days=T","Dir=V")</f>
        <v>0</v>
      </c>
      <c r="AO2">
        <f>BDH("GPACW US Equity","CF_FREE_CASH_FLOW","1993-06-18","2026-05-02","Per=Y","Days=T","Dir=V")</f>
        <v>0</v>
      </c>
      <c r="AQ2">
        <f>BDH("GPACW US Equity","PX_LAST","1993-06-18","2026-05-02","Per=M","Days=T","Dir=V")</f>
        <v>0</v>
      </c>
      <c r="AS2">
        <f>BDH("GPACW US Equity","CUR_MKT_CAP","1993-06-18","2026-05-02","Per=M","Days=T","Dir=V")</f>
        <v>0</v>
      </c>
      <c r="AU2">
        <f>BDH("GPACW US Equity","EQY_SH_OUT","1993-06-18","2026-05-02","Per=M","Days=T","Dir=V")</f>
        <v>0</v>
      </c>
      <c r="AW2">
        <f>BDH("GPACW US Equity","PX_VOLUME","1993-06-18","2026-05-02","Per=M","Days=T","Dir=V")</f>
        <v>0</v>
      </c>
      <c r="AY2">
        <f>BDH("GPACW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BDH("GPC US Equity","BS_TOT_ASSET","1993-06-18","2026-05-02","Per=Y","Days=T","Dir=V")</f>
        <v>0</v>
      </c>
      <c r="C2">
        <f>BDH("GPC US Equity","BS_TOT_LIAB2","1993-06-18","2026-05-02","Per=Y","Days=T","Dir=V")</f>
        <v>0</v>
      </c>
      <c r="E2">
        <f>BDH("GPC US Equity","SHORT_AND_LONG_TERM_DEBT","1993-06-18","2026-05-02","Per=Y","Days=T","Dir=V")</f>
        <v>0</v>
      </c>
      <c r="G2">
        <f>BDH("GPC US Equity","BS_ST_BORROW","1993-06-18","2026-05-02","Per=Y","Days=T","Dir=V")</f>
        <v>0</v>
      </c>
      <c r="I2">
        <f>BDH("GPC US Equity","BS_LT_BORROW","1993-06-18","2026-05-02","Per=Y","Days=T","Dir=V")</f>
        <v>0</v>
      </c>
      <c r="K2">
        <f>BDH("GPC US Equity","BS_CASH_NEAR_CASH_ITEM","1993-06-18","2026-05-02","Per=Y","Days=T","Dir=V")</f>
        <v>0</v>
      </c>
      <c r="M2">
        <f>BDH("GPC US Equity","BS_CUR_ASSET_REPORT","1993-06-18","2026-05-02","Per=Y","Days=T","Dir=V")</f>
        <v>0</v>
      </c>
      <c r="O2">
        <f>BDH("GPC US Equity","BS_CUR_LIAB","1993-06-18","2026-05-02","Per=Y","Days=T","Dir=V")</f>
        <v>0</v>
      </c>
      <c r="Q2">
        <f>BDH("GPC US Equity","BS_SHAREHOLDER_EQY_ENDING_PERIOD","1993-06-18","2026-05-02","Per=Y","Days=T","Dir=V")</f>
        <v>0</v>
      </c>
      <c r="S2">
        <f>BDH("GPC US Equity","BS_ACCT_NOTE_RCV","1993-06-18","2026-05-02","Per=Y","Days=T","Dir=V")</f>
        <v>0</v>
      </c>
      <c r="U2">
        <f>BDH("GPC US Equity","BS_INVENTORIES","1993-06-18","2026-05-02","Per=Y","Days=T","Dir=V")</f>
        <v>0</v>
      </c>
      <c r="W2">
        <f>BDH("GPC US Equity","WORKING_CAPITAL","1993-06-18","2026-05-02","Per=Y","Days=T","Dir=V")</f>
        <v>0</v>
      </c>
      <c r="Y2">
        <f>BDH("GPC US Equity","SALES_REV_TURN","1993-06-18","2026-05-02","Per=Y","Days=T","Dir=V")</f>
        <v>0</v>
      </c>
      <c r="AA2">
        <f>BDH("GPC US Equity","EBIT","1993-06-18","2026-05-02","Per=Y","Days=T","Dir=V")</f>
        <v>0</v>
      </c>
      <c r="AC2">
        <f>BDH("GPC US Equity","EBITDA","1993-06-18","2026-05-02","Per=Y","Days=T","Dir=V")</f>
        <v>0</v>
      </c>
      <c r="AE2">
        <f>BDH("GPC US Equity","NET_INCOME","1993-06-18","2026-05-02","Per=Y","Days=T","Dir=V")</f>
        <v>0</v>
      </c>
      <c r="AG2">
        <f>BDH("GPC US Equity","IS_INT_EXPENSE","1993-06-18","2026-05-02","Per=Y","Days=T","Dir=V")</f>
        <v>0</v>
      </c>
      <c r="AI2">
        <f>BDH("GPC US Equity","IS_DEPR_EXP","1993-06-18","2026-05-02","Per=Y","Days=T","Dir=V")</f>
        <v>0</v>
      </c>
      <c r="AK2">
        <f>BDH("GPC US Equity","CF_CASH_FROM_OPER","1993-06-18","2026-05-02","Per=Y","Days=T","Dir=V")</f>
        <v>0</v>
      </c>
      <c r="AM2">
        <f>BDH("GPC US Equity","CAPITAL_EXPEND","1993-06-18","2026-05-02","Per=Y","Days=T","Dir=V")</f>
        <v>0</v>
      </c>
      <c r="AO2">
        <f>BDH("GPC US Equity","CF_FREE_CASH_FLOW","1993-06-18","2026-05-02","Per=Y","Days=T","Dir=V")</f>
        <v>0</v>
      </c>
      <c r="AQ2">
        <f>BDH("GPC US Equity","PX_LAST","1993-06-18","2026-05-02","Per=M","Days=T","Dir=V")</f>
        <v>0</v>
      </c>
      <c r="AS2">
        <f>BDH("GPC US Equity","CUR_MKT_CAP","1993-06-18","2026-05-02","Per=M","Days=T","Dir=V")</f>
        <v>0</v>
      </c>
      <c r="AU2">
        <f>BDH("GPC US Equity","EQY_SH_OUT","1993-06-18","2026-05-02","Per=M","Days=T","Dir=V")</f>
        <v>0</v>
      </c>
      <c r="AW2">
        <f>BDH("GPC US Equity","PX_VOLUME","1993-06-18","2026-05-02","Per=M","Days=T","Dir=V")</f>
        <v>0</v>
      </c>
      <c r="AY2">
        <f>BDH("GPC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BDH("GPCR US Equity","BS_TOT_ASSET","1993-06-18","2026-05-02","Per=Y","Days=T","Dir=V")</f>
        <v>0</v>
      </c>
      <c r="C2">
        <f>BDH("GPCR US Equity","BS_TOT_LIAB2","1993-06-18","2026-05-02","Per=Y","Days=T","Dir=V")</f>
        <v>0</v>
      </c>
      <c r="E2">
        <f>BDH("GPCR US Equity","SHORT_AND_LONG_TERM_DEBT","1993-06-18","2026-05-02","Per=Y","Days=T","Dir=V")</f>
        <v>0</v>
      </c>
      <c r="G2">
        <f>BDH("GPCR US Equity","BS_ST_BORROW","1993-06-18","2026-05-02","Per=Y","Days=T","Dir=V")</f>
        <v>0</v>
      </c>
      <c r="I2">
        <f>BDH("GPCR US Equity","BS_LT_BORROW","1993-06-18","2026-05-02","Per=Y","Days=T","Dir=V")</f>
        <v>0</v>
      </c>
      <c r="K2">
        <f>BDH("GPCR US Equity","BS_CASH_NEAR_CASH_ITEM","1993-06-18","2026-05-02","Per=Y","Days=T","Dir=V")</f>
        <v>0</v>
      </c>
      <c r="M2">
        <f>BDH("GPCR US Equity","BS_CUR_ASSET_REPORT","1993-06-18","2026-05-02","Per=Y","Days=T","Dir=V")</f>
        <v>0</v>
      </c>
      <c r="O2">
        <f>BDH("GPCR US Equity","BS_CUR_LIAB","1993-06-18","2026-05-02","Per=Y","Days=T","Dir=V")</f>
        <v>0</v>
      </c>
      <c r="Q2">
        <f>BDH("GPCR US Equity","BS_SHAREHOLDER_EQY_ENDING_PERIOD","1993-06-18","2026-05-02","Per=Y","Days=T","Dir=V")</f>
        <v>0</v>
      </c>
      <c r="S2">
        <f>BDH("GPCR US Equity","BS_ACCT_NOTE_RCV","1993-06-18","2026-05-02","Per=Y","Days=T","Dir=V")</f>
        <v>0</v>
      </c>
      <c r="U2">
        <f>BDH("GPCR US Equity","BS_INVENTORIES","1993-06-18","2026-05-02","Per=Y","Days=T","Dir=V")</f>
        <v>0</v>
      </c>
      <c r="W2">
        <f>BDH("GPCR US Equity","WORKING_CAPITAL","1993-06-18","2026-05-02","Per=Y","Days=T","Dir=V")</f>
        <v>0</v>
      </c>
      <c r="Y2">
        <f>BDH("GPCR US Equity","SALES_REV_TURN","1993-06-18","2026-05-02","Per=Y","Days=T","Dir=V")</f>
        <v>0</v>
      </c>
      <c r="AA2">
        <f>BDH("GPCR US Equity","EBIT","1993-06-18","2026-05-02","Per=Y","Days=T","Dir=V")</f>
        <v>0</v>
      </c>
      <c r="AC2">
        <f>BDH("GPCR US Equity","EBITDA","1993-06-18","2026-05-02","Per=Y","Days=T","Dir=V")</f>
        <v>0</v>
      </c>
      <c r="AE2">
        <f>BDH("GPCR US Equity","NET_INCOME","1993-06-18","2026-05-02","Per=Y","Days=T","Dir=V")</f>
        <v>0</v>
      </c>
      <c r="AG2">
        <f>BDH("GPCR US Equity","IS_INT_EXPENSE","1993-06-18","2026-05-02","Per=Y","Days=T","Dir=V")</f>
        <v>0</v>
      </c>
      <c r="AI2">
        <f>BDH("GPCR US Equity","IS_DEPR_EXP","1993-06-18","2026-05-02","Per=Y","Days=T","Dir=V")</f>
        <v>0</v>
      </c>
      <c r="AK2">
        <f>BDH("GPCR US Equity","CF_CASH_FROM_OPER","1993-06-18","2026-05-02","Per=Y","Days=T","Dir=V")</f>
        <v>0</v>
      </c>
      <c r="AM2">
        <f>BDH("GPCR US Equity","CAPITAL_EXPEND","1993-06-18","2026-05-02","Per=Y","Days=T","Dir=V")</f>
        <v>0</v>
      </c>
      <c r="AO2">
        <f>BDH("GPCR US Equity","CF_FREE_CASH_FLOW","1993-06-18","2026-05-02","Per=Y","Days=T","Dir=V")</f>
        <v>0</v>
      </c>
      <c r="AQ2">
        <f>BDH("GPCR US Equity","PX_LAST","1993-06-18","2026-05-02","Per=M","Days=T","Dir=V")</f>
        <v>0</v>
      </c>
      <c r="AS2">
        <f>BDH("GPCR US Equity","CUR_MKT_CAP","1993-06-18","2026-05-02","Per=M","Days=T","Dir=V")</f>
        <v>0</v>
      </c>
      <c r="AU2">
        <f>BDH("GPCR US Equity","EQY_SH_OUT","1993-06-18","2026-05-02","Per=M","Days=T","Dir=V")</f>
        <v>0</v>
      </c>
      <c r="AW2">
        <f>BDH("GPCR US Equity","PX_VOLUME","1993-06-18","2026-05-02","Per=M","Days=T","Dir=V")</f>
        <v>0</v>
      </c>
      <c r="AY2">
        <f>BDH("GPCR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BDH("GPI US Equity","BS_TOT_ASSET","1993-06-18","2026-05-02","Per=Y","Days=T","Dir=V")</f>
        <v>0</v>
      </c>
      <c r="C2">
        <f>BDH("GPI US Equity","BS_TOT_LIAB2","1993-06-18","2026-05-02","Per=Y","Days=T","Dir=V")</f>
        <v>0</v>
      </c>
      <c r="E2">
        <f>BDH("GPI US Equity","SHORT_AND_LONG_TERM_DEBT","1993-06-18","2026-05-02","Per=Y","Days=T","Dir=V")</f>
        <v>0</v>
      </c>
      <c r="G2">
        <f>BDH("GPI US Equity","BS_ST_BORROW","1993-06-18","2026-05-02","Per=Y","Days=T","Dir=V")</f>
        <v>0</v>
      </c>
      <c r="I2">
        <f>BDH("GPI US Equity","BS_LT_BORROW","1993-06-18","2026-05-02","Per=Y","Days=T","Dir=V")</f>
        <v>0</v>
      </c>
      <c r="K2">
        <f>BDH("GPI US Equity","BS_CASH_NEAR_CASH_ITEM","1993-06-18","2026-05-02","Per=Y","Days=T","Dir=V")</f>
        <v>0</v>
      </c>
      <c r="M2">
        <f>BDH("GPI US Equity","BS_CUR_ASSET_REPORT","1993-06-18","2026-05-02","Per=Y","Days=T","Dir=V")</f>
        <v>0</v>
      </c>
      <c r="O2">
        <f>BDH("GPI US Equity","BS_CUR_LIAB","1993-06-18","2026-05-02","Per=Y","Days=T","Dir=V")</f>
        <v>0</v>
      </c>
      <c r="Q2">
        <f>BDH("GPI US Equity","BS_SHAREHOLDER_EQY_ENDING_PERIOD","1993-06-18","2026-05-02","Per=Y","Days=T","Dir=V")</f>
        <v>0</v>
      </c>
      <c r="S2">
        <f>BDH("GPI US Equity","BS_ACCT_NOTE_RCV","1993-06-18","2026-05-02","Per=Y","Days=T","Dir=V")</f>
        <v>0</v>
      </c>
      <c r="U2">
        <f>BDH("GPI US Equity","BS_INVENTORIES","1993-06-18","2026-05-02","Per=Y","Days=T","Dir=V")</f>
        <v>0</v>
      </c>
      <c r="W2">
        <f>BDH("GPI US Equity","WORKING_CAPITAL","1993-06-18","2026-05-02","Per=Y","Days=T","Dir=V")</f>
        <v>0</v>
      </c>
      <c r="Y2">
        <f>BDH("GPI US Equity","SALES_REV_TURN","1993-06-18","2026-05-02","Per=Y","Days=T","Dir=V")</f>
        <v>0</v>
      </c>
      <c r="AA2">
        <f>BDH("GPI US Equity","EBIT","1993-06-18","2026-05-02","Per=Y","Days=T","Dir=V")</f>
        <v>0</v>
      </c>
      <c r="AC2">
        <f>BDH("GPI US Equity","EBITDA","1993-06-18","2026-05-02","Per=Y","Days=T","Dir=V")</f>
        <v>0</v>
      </c>
      <c r="AE2">
        <f>BDH("GPI US Equity","NET_INCOME","1993-06-18","2026-05-02","Per=Y","Days=T","Dir=V")</f>
        <v>0</v>
      </c>
      <c r="AG2">
        <f>BDH("GPI US Equity","IS_INT_EXPENSE","1993-06-18","2026-05-02","Per=Y","Days=T","Dir=V")</f>
        <v>0</v>
      </c>
      <c r="AI2">
        <f>BDH("GPI US Equity","IS_DEPR_EXP","1993-06-18","2026-05-02","Per=Y","Days=T","Dir=V")</f>
        <v>0</v>
      </c>
      <c r="AK2">
        <f>BDH("GPI US Equity","CF_CASH_FROM_OPER","1993-06-18","2026-05-02","Per=Y","Days=T","Dir=V")</f>
        <v>0</v>
      </c>
      <c r="AM2">
        <f>BDH("GPI US Equity","CAPITAL_EXPEND","1993-06-18","2026-05-02","Per=Y","Days=T","Dir=V")</f>
        <v>0</v>
      </c>
      <c r="AO2">
        <f>BDH("GPI US Equity","CF_FREE_CASH_FLOW","1993-06-18","2026-05-02","Per=Y","Days=T","Dir=V")</f>
        <v>0</v>
      </c>
      <c r="AQ2">
        <f>BDH("GPI US Equity","PX_LAST","1993-06-18","2026-05-02","Per=M","Days=T","Dir=V")</f>
        <v>0</v>
      </c>
      <c r="AS2">
        <f>BDH("GPI US Equity","CUR_MKT_CAP","1993-06-18","2026-05-02","Per=M","Days=T","Dir=V")</f>
        <v>0</v>
      </c>
      <c r="AU2">
        <f>BDH("GPI US Equity","EQY_SH_OUT","1993-06-18","2026-05-02","Per=M","Days=T","Dir=V")</f>
        <v>0</v>
      </c>
      <c r="AW2">
        <f>BDH("GPI US Equity","PX_VOLUME","1993-06-18","2026-05-02","Per=M","Days=T","Dir=V")</f>
        <v>0</v>
      </c>
      <c r="AY2">
        <f>BDH("GPI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BDH("GPJA US Equity","BS_TOT_ASSET","1993-06-18","2026-05-02","Per=Y","Days=T","Dir=V")</f>
        <v>0</v>
      </c>
      <c r="C2">
        <f>BDH("GPJA US Equity","BS_TOT_LIAB2","1993-06-18","2026-05-02","Per=Y","Days=T","Dir=V")</f>
        <v>0</v>
      </c>
      <c r="E2">
        <f>BDH("GPJA US Equity","SHORT_AND_LONG_TERM_DEBT","1993-06-18","2026-05-02","Per=Y","Days=T","Dir=V")</f>
        <v>0</v>
      </c>
      <c r="G2">
        <f>BDH("GPJA US Equity","BS_ST_BORROW","1993-06-18","2026-05-02","Per=Y","Days=T","Dir=V")</f>
        <v>0</v>
      </c>
      <c r="I2">
        <f>BDH("GPJA US Equity","BS_LT_BORROW","1993-06-18","2026-05-02","Per=Y","Days=T","Dir=V")</f>
        <v>0</v>
      </c>
      <c r="K2">
        <f>BDH("GPJA US Equity","BS_CASH_NEAR_CASH_ITEM","1993-06-18","2026-05-02","Per=Y","Days=T","Dir=V")</f>
        <v>0</v>
      </c>
      <c r="M2">
        <f>BDH("GPJA US Equity","BS_CUR_ASSET_REPORT","1993-06-18","2026-05-02","Per=Y","Days=T","Dir=V")</f>
        <v>0</v>
      </c>
      <c r="O2">
        <f>BDH("GPJA US Equity","BS_CUR_LIAB","1993-06-18","2026-05-02","Per=Y","Days=T","Dir=V")</f>
        <v>0</v>
      </c>
      <c r="Q2">
        <f>BDH("GPJA US Equity","BS_SHAREHOLDER_EQY_ENDING_PERIOD","1993-06-18","2026-05-02","Per=Y","Days=T","Dir=V")</f>
        <v>0</v>
      </c>
      <c r="S2">
        <f>BDH("GPJA US Equity","BS_ACCT_NOTE_RCV","1993-06-18","2026-05-02","Per=Y","Days=T","Dir=V")</f>
        <v>0</v>
      </c>
      <c r="U2">
        <f>BDH("GPJA US Equity","BS_INVENTORIES","1993-06-18","2026-05-02","Per=Y","Days=T","Dir=V")</f>
        <v>0</v>
      </c>
      <c r="W2">
        <f>BDH("GPJA US Equity","WORKING_CAPITAL","1993-06-18","2026-05-02","Per=Y","Days=T","Dir=V")</f>
        <v>0</v>
      </c>
      <c r="Y2">
        <f>BDH("GPJA US Equity","SALES_REV_TURN","1993-06-18","2026-05-02","Per=Y","Days=T","Dir=V")</f>
        <v>0</v>
      </c>
      <c r="AA2">
        <f>BDH("GPJA US Equity","EBIT","1993-06-18","2026-05-02","Per=Y","Days=T","Dir=V")</f>
        <v>0</v>
      </c>
      <c r="AC2">
        <f>BDH("GPJA US Equity","EBITDA","1993-06-18","2026-05-02","Per=Y","Days=T","Dir=V")</f>
        <v>0</v>
      </c>
      <c r="AE2">
        <f>BDH("GPJA US Equity","NET_INCOME","1993-06-18","2026-05-02","Per=Y","Days=T","Dir=V")</f>
        <v>0</v>
      </c>
      <c r="AG2">
        <f>BDH("GPJA US Equity","IS_INT_EXPENSE","1993-06-18","2026-05-02","Per=Y","Days=T","Dir=V")</f>
        <v>0</v>
      </c>
      <c r="AI2">
        <f>BDH("GPJA US Equity","IS_DEPR_EXP","1993-06-18","2026-05-02","Per=Y","Days=T","Dir=V")</f>
        <v>0</v>
      </c>
      <c r="AK2">
        <f>BDH("GPJA US Equity","CF_CASH_FROM_OPER","1993-06-18","2026-05-02","Per=Y","Days=T","Dir=V")</f>
        <v>0</v>
      </c>
      <c r="AM2">
        <f>BDH("GPJA US Equity","CAPITAL_EXPEND","1993-06-18","2026-05-02","Per=Y","Days=T","Dir=V")</f>
        <v>0</v>
      </c>
      <c r="AO2">
        <f>BDH("GPJA US Equity","CF_FREE_CASH_FLOW","1993-06-18","2026-05-02","Per=Y","Days=T","Dir=V")</f>
        <v>0</v>
      </c>
      <c r="AQ2">
        <f>BDH("GPJA US Equity","PX_LAST","1993-06-18","2026-05-02","Per=M","Days=T","Dir=V")</f>
        <v>0</v>
      </c>
      <c r="AS2">
        <f>BDH("GPJA US Equity","CUR_MKT_CAP","1993-06-18","2026-05-02","Per=M","Days=T","Dir=V")</f>
        <v>0</v>
      </c>
      <c r="AU2">
        <f>BDH("GPJA US Equity","EQY_SH_OUT","1993-06-18","2026-05-02","Per=M","Days=T","Dir=V")</f>
        <v>0</v>
      </c>
      <c r="AW2">
        <f>BDH("GPJA US Equity","PX_VOLUME","1993-06-18","2026-05-02","Per=M","Days=T","Dir=V")</f>
        <v>0</v>
      </c>
      <c r="AY2">
        <f>BDH("GPJA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BDH("GPK US Equity","BS_TOT_ASSET","1993-06-18","2026-05-02","Per=Y","Days=T","Dir=V")</f>
        <v>0</v>
      </c>
      <c r="C2">
        <f>BDH("GPK US Equity","BS_TOT_LIAB2","1993-06-18","2026-05-02","Per=Y","Days=T","Dir=V")</f>
        <v>0</v>
      </c>
      <c r="E2">
        <f>BDH("GPK US Equity","SHORT_AND_LONG_TERM_DEBT","1993-06-18","2026-05-02","Per=Y","Days=T","Dir=V")</f>
        <v>0</v>
      </c>
      <c r="G2">
        <f>BDH("GPK US Equity","BS_ST_BORROW","1993-06-18","2026-05-02","Per=Y","Days=T","Dir=V")</f>
        <v>0</v>
      </c>
      <c r="I2">
        <f>BDH("GPK US Equity","BS_LT_BORROW","1993-06-18","2026-05-02","Per=Y","Days=T","Dir=V")</f>
        <v>0</v>
      </c>
      <c r="K2">
        <f>BDH("GPK US Equity","BS_CASH_NEAR_CASH_ITEM","1993-06-18","2026-05-02","Per=Y","Days=T","Dir=V")</f>
        <v>0</v>
      </c>
      <c r="M2">
        <f>BDH("GPK US Equity","BS_CUR_ASSET_REPORT","1993-06-18","2026-05-02","Per=Y","Days=T","Dir=V")</f>
        <v>0</v>
      </c>
      <c r="O2">
        <f>BDH("GPK US Equity","BS_CUR_LIAB","1993-06-18","2026-05-02","Per=Y","Days=T","Dir=V")</f>
        <v>0</v>
      </c>
      <c r="Q2">
        <f>BDH("GPK US Equity","BS_SHAREHOLDER_EQY_ENDING_PERIOD","1993-06-18","2026-05-02","Per=Y","Days=T","Dir=V")</f>
        <v>0</v>
      </c>
      <c r="S2">
        <f>BDH("GPK US Equity","BS_ACCT_NOTE_RCV","1993-06-18","2026-05-02","Per=Y","Days=T","Dir=V")</f>
        <v>0</v>
      </c>
      <c r="U2">
        <f>BDH("GPK US Equity","BS_INVENTORIES","1993-06-18","2026-05-02","Per=Y","Days=T","Dir=V")</f>
        <v>0</v>
      </c>
      <c r="W2">
        <f>BDH("GPK US Equity","WORKING_CAPITAL","1993-06-18","2026-05-02","Per=Y","Days=T","Dir=V")</f>
        <v>0</v>
      </c>
      <c r="Y2">
        <f>BDH("GPK US Equity","SALES_REV_TURN","1993-06-18","2026-05-02","Per=Y","Days=T","Dir=V")</f>
        <v>0</v>
      </c>
      <c r="AA2">
        <f>BDH("GPK US Equity","EBIT","1993-06-18","2026-05-02","Per=Y","Days=T","Dir=V")</f>
        <v>0</v>
      </c>
      <c r="AC2">
        <f>BDH("GPK US Equity","EBITDA","1993-06-18","2026-05-02","Per=Y","Days=T","Dir=V")</f>
        <v>0</v>
      </c>
      <c r="AE2">
        <f>BDH("GPK US Equity","NET_INCOME","1993-06-18","2026-05-02","Per=Y","Days=T","Dir=V")</f>
        <v>0</v>
      </c>
      <c r="AG2">
        <f>BDH("GPK US Equity","IS_INT_EXPENSE","1993-06-18","2026-05-02","Per=Y","Days=T","Dir=V")</f>
        <v>0</v>
      </c>
      <c r="AI2">
        <f>BDH("GPK US Equity","IS_DEPR_EXP","1993-06-18","2026-05-02","Per=Y","Days=T","Dir=V")</f>
        <v>0</v>
      </c>
      <c r="AK2">
        <f>BDH("GPK US Equity","CF_CASH_FROM_OPER","1993-06-18","2026-05-02","Per=Y","Days=T","Dir=V")</f>
        <v>0</v>
      </c>
      <c r="AM2">
        <f>BDH("GPK US Equity","CAPITAL_EXPEND","1993-06-18","2026-05-02","Per=Y","Days=T","Dir=V")</f>
        <v>0</v>
      </c>
      <c r="AO2">
        <f>BDH("GPK US Equity","CF_FREE_CASH_FLOW","1993-06-18","2026-05-02","Per=Y","Days=T","Dir=V")</f>
        <v>0</v>
      </c>
      <c r="AQ2">
        <f>BDH("GPK US Equity","PX_LAST","1993-06-18","2026-05-02","Per=M","Days=T","Dir=V")</f>
        <v>0</v>
      </c>
      <c r="AS2">
        <f>BDH("GPK US Equity","CUR_MKT_CAP","1993-06-18","2026-05-02","Per=M","Days=T","Dir=V")</f>
        <v>0</v>
      </c>
      <c r="AU2">
        <f>BDH("GPK US Equity","EQY_SH_OUT","1993-06-18","2026-05-02","Per=M","Days=T","Dir=V")</f>
        <v>0</v>
      </c>
      <c r="AW2">
        <f>BDH("GPK US Equity","PX_VOLUME","1993-06-18","2026-05-02","Per=M","Days=T","Dir=V")</f>
        <v>0</v>
      </c>
      <c r="AY2">
        <f>BDH("GPK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BDH("GPN US Equity","BS_TOT_ASSET","1993-06-18","2026-05-02","Per=Y","Days=T","Dir=V")</f>
        <v>0</v>
      </c>
      <c r="C2">
        <f>BDH("GPN US Equity","BS_TOT_LIAB2","1993-06-18","2026-05-02","Per=Y","Days=T","Dir=V")</f>
        <v>0</v>
      </c>
      <c r="E2">
        <f>BDH("GPN US Equity","SHORT_AND_LONG_TERM_DEBT","1993-06-18","2026-05-02","Per=Y","Days=T","Dir=V")</f>
        <v>0</v>
      </c>
      <c r="G2">
        <f>BDH("GPN US Equity","BS_ST_BORROW","1993-06-18","2026-05-02","Per=Y","Days=T","Dir=V")</f>
        <v>0</v>
      </c>
      <c r="I2">
        <f>BDH("GPN US Equity","BS_LT_BORROW","1993-06-18","2026-05-02","Per=Y","Days=T","Dir=V")</f>
        <v>0</v>
      </c>
      <c r="K2">
        <f>BDH("GPN US Equity","BS_CASH_NEAR_CASH_ITEM","1993-06-18","2026-05-02","Per=Y","Days=T","Dir=V")</f>
        <v>0</v>
      </c>
      <c r="M2">
        <f>BDH("GPN US Equity","BS_CUR_ASSET_REPORT","1993-06-18","2026-05-02","Per=Y","Days=T","Dir=V")</f>
        <v>0</v>
      </c>
      <c r="O2">
        <f>BDH("GPN US Equity","BS_CUR_LIAB","1993-06-18","2026-05-02","Per=Y","Days=T","Dir=V")</f>
        <v>0</v>
      </c>
      <c r="Q2">
        <f>BDH("GPN US Equity","BS_SHAREHOLDER_EQY_ENDING_PERIOD","1993-06-18","2026-05-02","Per=Y","Days=T","Dir=V")</f>
        <v>0</v>
      </c>
      <c r="S2">
        <f>BDH("GPN US Equity","BS_ACCT_NOTE_RCV","1993-06-18","2026-05-02","Per=Y","Days=T","Dir=V")</f>
        <v>0</v>
      </c>
      <c r="U2">
        <f>BDH("GPN US Equity","BS_INVENTORIES","1993-06-18","2026-05-02","Per=Y","Days=T","Dir=V")</f>
        <v>0</v>
      </c>
      <c r="W2">
        <f>BDH("GPN US Equity","WORKING_CAPITAL","1993-06-18","2026-05-02","Per=Y","Days=T","Dir=V")</f>
        <v>0</v>
      </c>
      <c r="Y2">
        <f>BDH("GPN US Equity","SALES_REV_TURN","1993-06-18","2026-05-02","Per=Y","Days=T","Dir=V")</f>
        <v>0</v>
      </c>
      <c r="AA2">
        <f>BDH("GPN US Equity","EBIT","1993-06-18","2026-05-02","Per=Y","Days=T","Dir=V")</f>
        <v>0</v>
      </c>
      <c r="AC2">
        <f>BDH("GPN US Equity","EBITDA","1993-06-18","2026-05-02","Per=Y","Days=T","Dir=V")</f>
        <v>0</v>
      </c>
      <c r="AE2">
        <f>BDH("GPN US Equity","NET_INCOME","1993-06-18","2026-05-02","Per=Y","Days=T","Dir=V")</f>
        <v>0</v>
      </c>
      <c r="AG2">
        <f>BDH("GPN US Equity","IS_INT_EXPENSE","1993-06-18","2026-05-02","Per=Y","Days=T","Dir=V")</f>
        <v>0</v>
      </c>
      <c r="AI2">
        <f>BDH("GPN US Equity","IS_DEPR_EXP","1993-06-18","2026-05-02","Per=Y","Days=T","Dir=V")</f>
        <v>0</v>
      </c>
      <c r="AK2">
        <f>BDH("GPN US Equity","CF_CASH_FROM_OPER","1993-06-18","2026-05-02","Per=Y","Days=T","Dir=V")</f>
        <v>0</v>
      </c>
      <c r="AM2">
        <f>BDH("GPN US Equity","CAPITAL_EXPEND","1993-06-18","2026-05-02","Per=Y","Days=T","Dir=V")</f>
        <v>0</v>
      </c>
      <c r="AO2">
        <f>BDH("GPN US Equity","CF_FREE_CASH_FLOW","1993-06-18","2026-05-02","Per=Y","Days=T","Dir=V")</f>
        <v>0</v>
      </c>
      <c r="AQ2">
        <f>BDH("GPN US Equity","PX_LAST","1993-06-18","2026-05-02","Per=M","Days=T","Dir=V")</f>
        <v>0</v>
      </c>
      <c r="AS2">
        <f>BDH("GPN US Equity","CUR_MKT_CAP","1993-06-18","2026-05-02","Per=M","Days=T","Dir=V")</f>
        <v>0</v>
      </c>
      <c r="AU2">
        <f>BDH("GPN US Equity","EQY_SH_OUT","1993-06-18","2026-05-02","Per=M","Days=T","Dir=V")</f>
        <v>0</v>
      </c>
      <c r="AW2">
        <f>BDH("GPN US Equity","PX_VOLUME","1993-06-18","2026-05-02","Per=M","Days=T","Dir=V")</f>
        <v>0</v>
      </c>
      <c r="AY2">
        <f>BDH("GPN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BDH("GPOR US Equity","BS_TOT_ASSET","1993-06-18","2026-05-02","Per=Y","Days=T","Dir=V")</f>
        <v>0</v>
      </c>
      <c r="C2">
        <f>BDH("GPOR US Equity","BS_TOT_LIAB2","1993-06-18","2026-05-02","Per=Y","Days=T","Dir=V")</f>
        <v>0</v>
      </c>
      <c r="E2">
        <f>BDH("GPOR US Equity","SHORT_AND_LONG_TERM_DEBT","1993-06-18","2026-05-02","Per=Y","Days=T","Dir=V")</f>
        <v>0</v>
      </c>
      <c r="G2">
        <f>BDH("GPOR US Equity","BS_ST_BORROW","1993-06-18","2026-05-02","Per=Y","Days=T","Dir=V")</f>
        <v>0</v>
      </c>
      <c r="I2">
        <f>BDH("GPOR US Equity","BS_LT_BORROW","1993-06-18","2026-05-02","Per=Y","Days=T","Dir=V")</f>
        <v>0</v>
      </c>
      <c r="K2">
        <f>BDH("GPOR US Equity","BS_CASH_NEAR_CASH_ITEM","1993-06-18","2026-05-02","Per=Y","Days=T","Dir=V")</f>
        <v>0</v>
      </c>
      <c r="M2">
        <f>BDH("GPOR US Equity","BS_CUR_ASSET_REPORT","1993-06-18","2026-05-02","Per=Y","Days=T","Dir=V")</f>
        <v>0</v>
      </c>
      <c r="O2">
        <f>BDH("GPOR US Equity","BS_CUR_LIAB","1993-06-18","2026-05-02","Per=Y","Days=T","Dir=V")</f>
        <v>0</v>
      </c>
      <c r="Q2">
        <f>BDH("GPOR US Equity","BS_SHAREHOLDER_EQY_ENDING_PERIOD","1993-06-18","2026-05-02","Per=Y","Days=T","Dir=V")</f>
        <v>0</v>
      </c>
      <c r="S2">
        <f>BDH("GPOR US Equity","BS_ACCT_NOTE_RCV","1993-06-18","2026-05-02","Per=Y","Days=T","Dir=V")</f>
        <v>0</v>
      </c>
      <c r="U2">
        <f>BDH("GPOR US Equity","BS_INVENTORIES","1993-06-18","2026-05-02","Per=Y","Days=T","Dir=V")</f>
        <v>0</v>
      </c>
      <c r="W2">
        <f>BDH("GPOR US Equity","WORKING_CAPITAL","1993-06-18","2026-05-02","Per=Y","Days=T","Dir=V")</f>
        <v>0</v>
      </c>
      <c r="Y2">
        <f>BDH("GPOR US Equity","SALES_REV_TURN","1993-06-18","2026-05-02","Per=Y","Days=T","Dir=V")</f>
        <v>0</v>
      </c>
      <c r="AA2">
        <f>BDH("GPOR US Equity","EBIT","1993-06-18","2026-05-02","Per=Y","Days=T","Dir=V")</f>
        <v>0</v>
      </c>
      <c r="AC2">
        <f>BDH("GPOR US Equity","EBITDA","1993-06-18","2026-05-02","Per=Y","Days=T","Dir=V")</f>
        <v>0</v>
      </c>
      <c r="AE2">
        <f>BDH("GPOR US Equity","NET_INCOME","1993-06-18","2026-05-02","Per=Y","Days=T","Dir=V")</f>
        <v>0</v>
      </c>
      <c r="AG2">
        <f>BDH("GPOR US Equity","IS_INT_EXPENSE","1993-06-18","2026-05-02","Per=Y","Days=T","Dir=V")</f>
        <v>0</v>
      </c>
      <c r="AI2">
        <f>BDH("GPOR US Equity","IS_DEPR_EXP","1993-06-18","2026-05-02","Per=Y","Days=T","Dir=V")</f>
        <v>0</v>
      </c>
      <c r="AK2">
        <f>BDH("GPOR US Equity","CF_CASH_FROM_OPER","1993-06-18","2026-05-02","Per=Y","Days=T","Dir=V")</f>
        <v>0</v>
      </c>
      <c r="AM2">
        <f>BDH("GPOR US Equity","CAPITAL_EXPEND","1993-06-18","2026-05-02","Per=Y","Days=T","Dir=V")</f>
        <v>0</v>
      </c>
      <c r="AO2">
        <f>BDH("GPOR US Equity","CF_FREE_CASH_FLOW","1993-06-18","2026-05-02","Per=Y","Days=T","Dir=V")</f>
        <v>0</v>
      </c>
      <c r="AQ2">
        <f>BDH("GPOR US Equity","PX_LAST","1993-06-18","2026-05-02","Per=M","Days=T","Dir=V")</f>
        <v>0</v>
      </c>
      <c r="AS2">
        <f>BDH("GPOR US Equity","CUR_MKT_CAP","1993-06-18","2026-05-02","Per=M","Days=T","Dir=V")</f>
        <v>0</v>
      </c>
      <c r="AU2">
        <f>BDH("GPOR US Equity","EQY_SH_OUT","1993-06-18","2026-05-02","Per=M","Days=T","Dir=V")</f>
        <v>0</v>
      </c>
      <c r="AW2">
        <f>BDH("GPOR US Equity","PX_VOLUME","1993-06-18","2026-05-02","Per=M","Days=T","Dir=V")</f>
        <v>0</v>
      </c>
      <c r="AY2">
        <f>BDH("GPOR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BDH("GPRE US Equity","BS_TOT_ASSET","1993-06-18","2026-05-02","Per=Y","Days=T","Dir=V")</f>
        <v>0</v>
      </c>
      <c r="C2">
        <f>BDH("GPRE US Equity","BS_TOT_LIAB2","1993-06-18","2026-05-02","Per=Y","Days=T","Dir=V")</f>
        <v>0</v>
      </c>
      <c r="E2">
        <f>BDH("GPRE US Equity","SHORT_AND_LONG_TERM_DEBT","1993-06-18","2026-05-02","Per=Y","Days=T","Dir=V")</f>
        <v>0</v>
      </c>
      <c r="G2">
        <f>BDH("GPRE US Equity","BS_ST_BORROW","1993-06-18","2026-05-02","Per=Y","Days=T","Dir=V")</f>
        <v>0</v>
      </c>
      <c r="I2">
        <f>BDH("GPRE US Equity","BS_LT_BORROW","1993-06-18","2026-05-02","Per=Y","Days=T","Dir=V")</f>
        <v>0</v>
      </c>
      <c r="K2">
        <f>BDH("GPRE US Equity","BS_CASH_NEAR_CASH_ITEM","1993-06-18","2026-05-02","Per=Y","Days=T","Dir=V")</f>
        <v>0</v>
      </c>
      <c r="M2">
        <f>BDH("GPRE US Equity","BS_CUR_ASSET_REPORT","1993-06-18","2026-05-02","Per=Y","Days=T","Dir=V")</f>
        <v>0</v>
      </c>
      <c r="O2">
        <f>BDH("GPRE US Equity","BS_CUR_LIAB","1993-06-18","2026-05-02","Per=Y","Days=T","Dir=V")</f>
        <v>0</v>
      </c>
      <c r="Q2">
        <f>BDH("GPRE US Equity","BS_SHAREHOLDER_EQY_ENDING_PERIOD","1993-06-18","2026-05-02","Per=Y","Days=T","Dir=V")</f>
        <v>0</v>
      </c>
      <c r="S2">
        <f>BDH("GPRE US Equity","BS_ACCT_NOTE_RCV","1993-06-18","2026-05-02","Per=Y","Days=T","Dir=V")</f>
        <v>0</v>
      </c>
      <c r="U2">
        <f>BDH("GPRE US Equity","BS_INVENTORIES","1993-06-18","2026-05-02","Per=Y","Days=T","Dir=V")</f>
        <v>0</v>
      </c>
      <c r="W2">
        <f>BDH("GPRE US Equity","WORKING_CAPITAL","1993-06-18","2026-05-02","Per=Y","Days=T","Dir=V")</f>
        <v>0</v>
      </c>
      <c r="Y2">
        <f>BDH("GPRE US Equity","SALES_REV_TURN","1993-06-18","2026-05-02","Per=Y","Days=T","Dir=V")</f>
        <v>0</v>
      </c>
      <c r="AA2">
        <f>BDH("GPRE US Equity","EBIT","1993-06-18","2026-05-02","Per=Y","Days=T","Dir=V")</f>
        <v>0</v>
      </c>
      <c r="AC2">
        <f>BDH("GPRE US Equity","EBITDA","1993-06-18","2026-05-02","Per=Y","Days=T","Dir=V")</f>
        <v>0</v>
      </c>
      <c r="AE2">
        <f>BDH("GPRE US Equity","NET_INCOME","1993-06-18","2026-05-02","Per=Y","Days=T","Dir=V")</f>
        <v>0</v>
      </c>
      <c r="AG2">
        <f>BDH("GPRE US Equity","IS_INT_EXPENSE","1993-06-18","2026-05-02","Per=Y","Days=T","Dir=V")</f>
        <v>0</v>
      </c>
      <c r="AI2">
        <f>BDH("GPRE US Equity","IS_DEPR_EXP","1993-06-18","2026-05-02","Per=Y","Days=T","Dir=V")</f>
        <v>0</v>
      </c>
      <c r="AK2">
        <f>BDH("GPRE US Equity","CF_CASH_FROM_OPER","1993-06-18","2026-05-02","Per=Y","Days=T","Dir=V")</f>
        <v>0</v>
      </c>
      <c r="AM2">
        <f>BDH("GPRE US Equity","CAPITAL_EXPEND","1993-06-18","2026-05-02","Per=Y","Days=T","Dir=V")</f>
        <v>0</v>
      </c>
      <c r="AO2">
        <f>BDH("GPRE US Equity","CF_FREE_CASH_FLOW","1993-06-18","2026-05-02","Per=Y","Days=T","Dir=V")</f>
        <v>0</v>
      </c>
      <c r="AQ2">
        <f>BDH("GPRE US Equity","PX_LAST","1993-06-18","2026-05-02","Per=M","Days=T","Dir=V")</f>
        <v>0</v>
      </c>
      <c r="AS2">
        <f>BDH("GPRE US Equity","CUR_MKT_CAP","1993-06-18","2026-05-02","Per=M","Days=T","Dir=V")</f>
        <v>0</v>
      </c>
      <c r="AU2">
        <f>BDH("GPRE US Equity","EQY_SH_OUT","1993-06-18","2026-05-02","Per=M","Days=T","Dir=V")</f>
        <v>0</v>
      </c>
      <c r="AW2">
        <f>BDH("GPRE US Equity","PX_VOLUME","1993-06-18","2026-05-02","Per=M","Days=T","Dir=V")</f>
        <v>0</v>
      </c>
      <c r="AY2">
        <f>BDH("GPRE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BDH("GPRO US Equity","BS_TOT_ASSET","1993-06-18","2026-05-02","Per=Y","Days=T","Dir=V")</f>
        <v>0</v>
      </c>
      <c r="C2">
        <f>BDH("GPRO US Equity","BS_TOT_LIAB2","1993-06-18","2026-05-02","Per=Y","Days=T","Dir=V")</f>
        <v>0</v>
      </c>
      <c r="E2">
        <f>BDH("GPRO US Equity","SHORT_AND_LONG_TERM_DEBT","1993-06-18","2026-05-02","Per=Y","Days=T","Dir=V")</f>
        <v>0</v>
      </c>
      <c r="G2">
        <f>BDH("GPRO US Equity","BS_ST_BORROW","1993-06-18","2026-05-02","Per=Y","Days=T","Dir=V")</f>
        <v>0</v>
      </c>
      <c r="I2">
        <f>BDH("GPRO US Equity","BS_LT_BORROW","1993-06-18","2026-05-02","Per=Y","Days=T","Dir=V")</f>
        <v>0</v>
      </c>
      <c r="K2">
        <f>BDH("GPRO US Equity","BS_CASH_NEAR_CASH_ITEM","1993-06-18","2026-05-02","Per=Y","Days=T","Dir=V")</f>
        <v>0</v>
      </c>
      <c r="M2">
        <f>BDH("GPRO US Equity","BS_CUR_ASSET_REPORT","1993-06-18","2026-05-02","Per=Y","Days=T","Dir=V")</f>
        <v>0</v>
      </c>
      <c r="O2">
        <f>BDH("GPRO US Equity","BS_CUR_LIAB","1993-06-18","2026-05-02","Per=Y","Days=T","Dir=V")</f>
        <v>0</v>
      </c>
      <c r="Q2">
        <f>BDH("GPRO US Equity","BS_SHAREHOLDER_EQY_ENDING_PERIOD","1993-06-18","2026-05-02","Per=Y","Days=T","Dir=V")</f>
        <v>0</v>
      </c>
      <c r="S2">
        <f>BDH("GPRO US Equity","BS_ACCT_NOTE_RCV","1993-06-18","2026-05-02","Per=Y","Days=T","Dir=V")</f>
        <v>0</v>
      </c>
      <c r="U2">
        <f>BDH("GPRO US Equity","BS_INVENTORIES","1993-06-18","2026-05-02","Per=Y","Days=T","Dir=V")</f>
        <v>0</v>
      </c>
      <c r="W2">
        <f>BDH("GPRO US Equity","WORKING_CAPITAL","1993-06-18","2026-05-02","Per=Y","Days=T","Dir=V")</f>
        <v>0</v>
      </c>
      <c r="Y2">
        <f>BDH("GPRO US Equity","SALES_REV_TURN","1993-06-18","2026-05-02","Per=Y","Days=T","Dir=V")</f>
        <v>0</v>
      </c>
      <c r="AA2">
        <f>BDH("GPRO US Equity","EBIT","1993-06-18","2026-05-02","Per=Y","Days=T","Dir=V")</f>
        <v>0</v>
      </c>
      <c r="AC2">
        <f>BDH("GPRO US Equity","EBITDA","1993-06-18","2026-05-02","Per=Y","Days=T","Dir=V")</f>
        <v>0</v>
      </c>
      <c r="AE2">
        <f>BDH("GPRO US Equity","NET_INCOME","1993-06-18","2026-05-02","Per=Y","Days=T","Dir=V")</f>
        <v>0</v>
      </c>
      <c r="AG2">
        <f>BDH("GPRO US Equity","IS_INT_EXPENSE","1993-06-18","2026-05-02","Per=Y","Days=T","Dir=V")</f>
        <v>0</v>
      </c>
      <c r="AI2">
        <f>BDH("GPRO US Equity","IS_DEPR_EXP","1993-06-18","2026-05-02","Per=Y","Days=T","Dir=V")</f>
        <v>0</v>
      </c>
      <c r="AK2">
        <f>BDH("GPRO US Equity","CF_CASH_FROM_OPER","1993-06-18","2026-05-02","Per=Y","Days=T","Dir=V")</f>
        <v>0</v>
      </c>
      <c r="AM2">
        <f>BDH("GPRO US Equity","CAPITAL_EXPEND","1993-06-18","2026-05-02","Per=Y","Days=T","Dir=V")</f>
        <v>0</v>
      </c>
      <c r="AO2">
        <f>BDH("GPRO US Equity","CF_FREE_CASH_FLOW","1993-06-18","2026-05-02","Per=Y","Days=T","Dir=V")</f>
        <v>0</v>
      </c>
      <c r="AQ2">
        <f>BDH("GPRO US Equity","PX_LAST","1993-06-18","2026-05-02","Per=M","Days=T","Dir=V")</f>
        <v>0</v>
      </c>
      <c r="AS2">
        <f>BDH("GPRO US Equity","CUR_MKT_CAP","1993-06-18","2026-05-02","Per=M","Days=T","Dir=V")</f>
        <v>0</v>
      </c>
      <c r="AU2">
        <f>BDH("GPRO US Equity","EQY_SH_OUT","1993-06-18","2026-05-02","Per=M","Days=T","Dir=V")</f>
        <v>0</v>
      </c>
      <c r="AW2">
        <f>BDH("GPRO US Equity","PX_VOLUME","1993-06-18","2026-05-02","Per=M","Days=T","Dir=V")</f>
        <v>0</v>
      </c>
      <c r="AY2">
        <f>BDH("GPRO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BDH("GPUS US Equity","BS_TOT_ASSET","1993-06-18","2026-05-02","Per=Y","Days=T","Dir=V")</f>
        <v>0</v>
      </c>
      <c r="C2">
        <f>BDH("GPUS US Equity","BS_TOT_LIAB2","1993-06-18","2026-05-02","Per=Y","Days=T","Dir=V")</f>
        <v>0</v>
      </c>
      <c r="E2">
        <f>BDH("GPUS US Equity","SHORT_AND_LONG_TERM_DEBT","1993-06-18","2026-05-02","Per=Y","Days=T","Dir=V")</f>
        <v>0</v>
      </c>
      <c r="G2">
        <f>BDH("GPUS US Equity","BS_ST_BORROW","1993-06-18","2026-05-02","Per=Y","Days=T","Dir=V")</f>
        <v>0</v>
      </c>
      <c r="I2">
        <f>BDH("GPUS US Equity","BS_LT_BORROW","1993-06-18","2026-05-02","Per=Y","Days=T","Dir=V")</f>
        <v>0</v>
      </c>
      <c r="K2">
        <f>BDH("GPUS US Equity","BS_CASH_NEAR_CASH_ITEM","1993-06-18","2026-05-02","Per=Y","Days=T","Dir=V")</f>
        <v>0</v>
      </c>
      <c r="M2">
        <f>BDH("GPUS US Equity","BS_CUR_ASSET_REPORT","1993-06-18","2026-05-02","Per=Y","Days=T","Dir=V")</f>
        <v>0</v>
      </c>
      <c r="O2">
        <f>BDH("GPUS US Equity","BS_CUR_LIAB","1993-06-18","2026-05-02","Per=Y","Days=T","Dir=V")</f>
        <v>0</v>
      </c>
      <c r="Q2">
        <f>BDH("GPUS US Equity","BS_SHAREHOLDER_EQY_ENDING_PERIOD","1993-06-18","2026-05-02","Per=Y","Days=T","Dir=V")</f>
        <v>0</v>
      </c>
      <c r="S2">
        <f>BDH("GPUS US Equity","BS_ACCT_NOTE_RCV","1993-06-18","2026-05-02","Per=Y","Days=T","Dir=V")</f>
        <v>0</v>
      </c>
      <c r="U2">
        <f>BDH("GPUS US Equity","BS_INVENTORIES","1993-06-18","2026-05-02","Per=Y","Days=T","Dir=V")</f>
        <v>0</v>
      </c>
      <c r="W2">
        <f>BDH("GPUS US Equity","WORKING_CAPITAL","1993-06-18","2026-05-02","Per=Y","Days=T","Dir=V")</f>
        <v>0</v>
      </c>
      <c r="Y2">
        <f>BDH("GPUS US Equity","SALES_REV_TURN","1993-06-18","2026-05-02","Per=Y","Days=T","Dir=V")</f>
        <v>0</v>
      </c>
      <c r="AA2">
        <f>BDH("GPUS US Equity","EBIT","1993-06-18","2026-05-02","Per=Y","Days=T","Dir=V")</f>
        <v>0</v>
      </c>
      <c r="AC2">
        <f>BDH("GPUS US Equity","EBITDA","1993-06-18","2026-05-02","Per=Y","Days=T","Dir=V")</f>
        <v>0</v>
      </c>
      <c r="AE2">
        <f>BDH("GPUS US Equity","NET_INCOME","1993-06-18","2026-05-02","Per=Y","Days=T","Dir=V")</f>
        <v>0</v>
      </c>
      <c r="AG2">
        <f>BDH("GPUS US Equity","IS_INT_EXPENSE","1993-06-18","2026-05-02","Per=Y","Days=T","Dir=V")</f>
        <v>0</v>
      </c>
      <c r="AI2">
        <f>BDH("GPUS US Equity","IS_DEPR_EXP","1993-06-18","2026-05-02","Per=Y","Days=T","Dir=V")</f>
        <v>0</v>
      </c>
      <c r="AK2">
        <f>BDH("GPUS US Equity","CF_CASH_FROM_OPER","1993-06-18","2026-05-02","Per=Y","Days=T","Dir=V")</f>
        <v>0</v>
      </c>
      <c r="AM2">
        <f>BDH("GPUS US Equity","CAPITAL_EXPEND","1993-06-18","2026-05-02","Per=Y","Days=T","Dir=V")</f>
        <v>0</v>
      </c>
      <c r="AO2">
        <f>BDH("GPUS US Equity","CF_FREE_CASH_FLOW","1993-06-18","2026-05-02","Per=Y","Days=T","Dir=V")</f>
        <v>0</v>
      </c>
      <c r="AQ2">
        <f>BDH("GPUS US Equity","PX_LAST","1993-06-18","2026-05-02","Per=M","Days=T","Dir=V")</f>
        <v>0</v>
      </c>
      <c r="AS2">
        <f>BDH("GPUS US Equity","CUR_MKT_CAP","1993-06-18","2026-05-02","Per=M","Days=T","Dir=V")</f>
        <v>0</v>
      </c>
      <c r="AU2">
        <f>BDH("GPUS US Equity","EQY_SH_OUT","1993-06-18","2026-05-02","Per=M","Days=T","Dir=V")</f>
        <v>0</v>
      </c>
      <c r="AW2">
        <f>BDH("GPUS US Equity","PX_VOLUME","1993-06-18","2026-05-02","Per=M","Days=T","Dir=V")</f>
        <v>0</v>
      </c>
      <c r="AY2">
        <f>BDH("GPUS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BDH("GRAL US Equity","BS_TOT_ASSET","1993-06-18","2026-05-02","Per=Y","Days=T","Dir=V")</f>
        <v>0</v>
      </c>
      <c r="C2">
        <f>BDH("GRAL US Equity","BS_TOT_LIAB2","1993-06-18","2026-05-02","Per=Y","Days=T","Dir=V")</f>
        <v>0</v>
      </c>
      <c r="E2">
        <f>BDH("GRAL US Equity","SHORT_AND_LONG_TERM_DEBT","1993-06-18","2026-05-02","Per=Y","Days=T","Dir=V")</f>
        <v>0</v>
      </c>
      <c r="G2">
        <f>BDH("GRAL US Equity","BS_ST_BORROW","1993-06-18","2026-05-02","Per=Y","Days=T","Dir=V")</f>
        <v>0</v>
      </c>
      <c r="I2">
        <f>BDH("GRAL US Equity","BS_LT_BORROW","1993-06-18","2026-05-02","Per=Y","Days=T","Dir=V")</f>
        <v>0</v>
      </c>
      <c r="K2">
        <f>BDH("GRAL US Equity","BS_CASH_NEAR_CASH_ITEM","1993-06-18","2026-05-02","Per=Y","Days=T","Dir=V")</f>
        <v>0</v>
      </c>
      <c r="M2">
        <f>BDH("GRAL US Equity","BS_CUR_ASSET_REPORT","1993-06-18","2026-05-02","Per=Y","Days=T","Dir=V")</f>
        <v>0</v>
      </c>
      <c r="O2">
        <f>BDH("GRAL US Equity","BS_CUR_LIAB","1993-06-18","2026-05-02","Per=Y","Days=T","Dir=V")</f>
        <v>0</v>
      </c>
      <c r="Q2">
        <f>BDH("GRAL US Equity","BS_SHAREHOLDER_EQY_ENDING_PERIOD","1993-06-18","2026-05-02","Per=Y","Days=T","Dir=V")</f>
        <v>0</v>
      </c>
      <c r="S2">
        <f>BDH("GRAL US Equity","BS_ACCT_NOTE_RCV","1993-06-18","2026-05-02","Per=Y","Days=T","Dir=V")</f>
        <v>0</v>
      </c>
      <c r="U2">
        <f>BDH("GRAL US Equity","BS_INVENTORIES","1993-06-18","2026-05-02","Per=Y","Days=T","Dir=V")</f>
        <v>0</v>
      </c>
      <c r="W2">
        <f>BDH("GRAL US Equity","WORKING_CAPITAL","1993-06-18","2026-05-02","Per=Y","Days=T","Dir=V")</f>
        <v>0</v>
      </c>
      <c r="Y2">
        <f>BDH("GRAL US Equity","SALES_REV_TURN","1993-06-18","2026-05-02","Per=Y","Days=T","Dir=V")</f>
        <v>0</v>
      </c>
      <c r="AA2">
        <f>BDH("GRAL US Equity","EBIT","1993-06-18","2026-05-02","Per=Y","Days=T","Dir=V")</f>
        <v>0</v>
      </c>
      <c r="AC2">
        <f>BDH("GRAL US Equity","EBITDA","1993-06-18","2026-05-02","Per=Y","Days=T","Dir=V")</f>
        <v>0</v>
      </c>
      <c r="AE2">
        <f>BDH("GRAL US Equity","NET_INCOME","1993-06-18","2026-05-02","Per=Y","Days=T","Dir=V")</f>
        <v>0</v>
      </c>
      <c r="AG2">
        <f>BDH("GRAL US Equity","IS_INT_EXPENSE","1993-06-18","2026-05-02","Per=Y","Days=T","Dir=V")</f>
        <v>0</v>
      </c>
      <c r="AI2">
        <f>BDH("GRAL US Equity","IS_DEPR_EXP","1993-06-18","2026-05-02","Per=Y","Days=T","Dir=V")</f>
        <v>0</v>
      </c>
      <c r="AK2">
        <f>BDH("GRAL US Equity","CF_CASH_FROM_OPER","1993-06-18","2026-05-02","Per=Y","Days=T","Dir=V")</f>
        <v>0</v>
      </c>
      <c r="AM2">
        <f>BDH("GRAL US Equity","CAPITAL_EXPEND","1993-06-18","2026-05-02","Per=Y","Days=T","Dir=V")</f>
        <v>0</v>
      </c>
      <c r="AO2">
        <f>BDH("GRAL US Equity","CF_FREE_CASH_FLOW","1993-06-18","2026-05-02","Per=Y","Days=T","Dir=V")</f>
        <v>0</v>
      </c>
      <c r="AQ2">
        <f>BDH("GRAL US Equity","PX_LAST","1993-06-18","2026-05-02","Per=M","Days=T","Dir=V")</f>
        <v>0</v>
      </c>
      <c r="AS2">
        <f>BDH("GRAL US Equity","CUR_MKT_CAP","1993-06-18","2026-05-02","Per=M","Days=T","Dir=V")</f>
        <v>0</v>
      </c>
      <c r="AU2">
        <f>BDH("GRAL US Equity","EQY_SH_OUT","1993-06-18","2026-05-02","Per=M","Days=T","Dir=V")</f>
        <v>0</v>
      </c>
      <c r="AW2">
        <f>BDH("GRAL US Equity","PX_VOLUME","1993-06-18","2026-05-02","Per=M","Days=T","Dir=V")</f>
        <v>0</v>
      </c>
      <c r="AY2">
        <f>BDH("GRAL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BDH("GRBK US Equity","BS_TOT_ASSET","1993-06-18","2026-05-02","Per=Y","Days=T","Dir=V")</f>
        <v>0</v>
      </c>
      <c r="C2">
        <f>BDH("GRBK US Equity","BS_TOT_LIAB2","1993-06-18","2026-05-02","Per=Y","Days=T","Dir=V")</f>
        <v>0</v>
      </c>
      <c r="E2">
        <f>BDH("GRBK US Equity","SHORT_AND_LONG_TERM_DEBT","1993-06-18","2026-05-02","Per=Y","Days=T","Dir=V")</f>
        <v>0</v>
      </c>
      <c r="G2">
        <f>BDH("GRBK US Equity","BS_ST_BORROW","1993-06-18","2026-05-02","Per=Y","Days=T","Dir=V")</f>
        <v>0</v>
      </c>
      <c r="I2">
        <f>BDH("GRBK US Equity","BS_LT_BORROW","1993-06-18","2026-05-02","Per=Y","Days=T","Dir=V")</f>
        <v>0</v>
      </c>
      <c r="K2">
        <f>BDH("GRBK US Equity","BS_CASH_NEAR_CASH_ITEM","1993-06-18","2026-05-02","Per=Y","Days=T","Dir=V")</f>
        <v>0</v>
      </c>
      <c r="M2">
        <f>BDH("GRBK US Equity","BS_CUR_ASSET_REPORT","1993-06-18","2026-05-02","Per=Y","Days=T","Dir=V")</f>
        <v>0</v>
      </c>
      <c r="O2">
        <f>BDH("GRBK US Equity","BS_CUR_LIAB","1993-06-18","2026-05-02","Per=Y","Days=T","Dir=V")</f>
        <v>0</v>
      </c>
      <c r="Q2">
        <f>BDH("GRBK US Equity","BS_SHAREHOLDER_EQY_ENDING_PERIOD","1993-06-18","2026-05-02","Per=Y","Days=T","Dir=V")</f>
        <v>0</v>
      </c>
      <c r="S2">
        <f>BDH("GRBK US Equity","BS_ACCT_NOTE_RCV","1993-06-18","2026-05-02","Per=Y","Days=T","Dir=V")</f>
        <v>0</v>
      </c>
      <c r="U2">
        <f>BDH("GRBK US Equity","BS_INVENTORIES","1993-06-18","2026-05-02","Per=Y","Days=T","Dir=V")</f>
        <v>0</v>
      </c>
      <c r="W2">
        <f>BDH("GRBK US Equity","WORKING_CAPITAL","1993-06-18","2026-05-02","Per=Y","Days=T","Dir=V")</f>
        <v>0</v>
      </c>
      <c r="Y2">
        <f>BDH("GRBK US Equity","SALES_REV_TURN","1993-06-18","2026-05-02","Per=Y","Days=T","Dir=V")</f>
        <v>0</v>
      </c>
      <c r="AA2">
        <f>BDH("GRBK US Equity","EBIT","1993-06-18","2026-05-02","Per=Y","Days=T","Dir=V")</f>
        <v>0</v>
      </c>
      <c r="AC2">
        <f>BDH("GRBK US Equity","EBITDA","1993-06-18","2026-05-02","Per=Y","Days=T","Dir=V")</f>
        <v>0</v>
      </c>
      <c r="AE2">
        <f>BDH("GRBK US Equity","NET_INCOME","1993-06-18","2026-05-02","Per=Y","Days=T","Dir=V")</f>
        <v>0</v>
      </c>
      <c r="AG2">
        <f>BDH("GRBK US Equity","IS_INT_EXPENSE","1993-06-18","2026-05-02","Per=Y","Days=T","Dir=V")</f>
        <v>0</v>
      </c>
      <c r="AI2">
        <f>BDH("GRBK US Equity","IS_DEPR_EXP","1993-06-18","2026-05-02","Per=Y","Days=T","Dir=V")</f>
        <v>0</v>
      </c>
      <c r="AK2">
        <f>BDH("GRBK US Equity","CF_CASH_FROM_OPER","1993-06-18","2026-05-02","Per=Y","Days=T","Dir=V")</f>
        <v>0</v>
      </c>
      <c r="AM2">
        <f>BDH("GRBK US Equity","CAPITAL_EXPEND","1993-06-18","2026-05-02","Per=Y","Days=T","Dir=V")</f>
        <v>0</v>
      </c>
      <c r="AO2">
        <f>BDH("GRBK US Equity","CF_FREE_CASH_FLOW","1993-06-18","2026-05-02","Per=Y","Days=T","Dir=V")</f>
        <v>0</v>
      </c>
      <c r="AQ2">
        <f>BDH("GRBK US Equity","PX_LAST","1993-06-18","2026-05-02","Per=M","Days=T","Dir=V")</f>
        <v>0</v>
      </c>
      <c r="AS2">
        <f>BDH("GRBK US Equity","CUR_MKT_CAP","1993-06-18","2026-05-02","Per=M","Days=T","Dir=V")</f>
        <v>0</v>
      </c>
      <c r="AU2">
        <f>BDH("GRBK US Equity","EQY_SH_OUT","1993-06-18","2026-05-02","Per=M","Days=T","Dir=V")</f>
        <v>0</v>
      </c>
      <c r="AW2">
        <f>BDH("GRBK US Equity","PX_VOLUME","1993-06-18","2026-05-02","Per=M","Days=T","Dir=V")</f>
        <v>0</v>
      </c>
      <c r="AY2">
        <f>BDH("GRBK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BDH("GRC US Equity","BS_TOT_ASSET","1993-06-18","2026-05-02","Per=Y","Days=T","Dir=V")</f>
        <v>0</v>
      </c>
      <c r="C2">
        <f>BDH("GRC US Equity","BS_TOT_LIAB2","1993-06-18","2026-05-02","Per=Y","Days=T","Dir=V")</f>
        <v>0</v>
      </c>
      <c r="E2">
        <f>BDH("GRC US Equity","SHORT_AND_LONG_TERM_DEBT","1993-06-18","2026-05-02","Per=Y","Days=T","Dir=V")</f>
        <v>0</v>
      </c>
      <c r="G2">
        <f>BDH("GRC US Equity","BS_ST_BORROW","1993-06-18","2026-05-02","Per=Y","Days=T","Dir=V")</f>
        <v>0</v>
      </c>
      <c r="I2">
        <f>BDH("GRC US Equity","BS_LT_BORROW","1993-06-18","2026-05-02","Per=Y","Days=T","Dir=V")</f>
        <v>0</v>
      </c>
      <c r="K2">
        <f>BDH("GRC US Equity","BS_CASH_NEAR_CASH_ITEM","1993-06-18","2026-05-02","Per=Y","Days=T","Dir=V")</f>
        <v>0</v>
      </c>
      <c r="M2">
        <f>BDH("GRC US Equity","BS_CUR_ASSET_REPORT","1993-06-18","2026-05-02","Per=Y","Days=T","Dir=V")</f>
        <v>0</v>
      </c>
      <c r="O2">
        <f>BDH("GRC US Equity","BS_CUR_LIAB","1993-06-18","2026-05-02","Per=Y","Days=T","Dir=V")</f>
        <v>0</v>
      </c>
      <c r="Q2">
        <f>BDH("GRC US Equity","BS_SHAREHOLDER_EQY_ENDING_PERIOD","1993-06-18","2026-05-02","Per=Y","Days=T","Dir=V")</f>
        <v>0</v>
      </c>
      <c r="S2">
        <f>BDH("GRC US Equity","BS_ACCT_NOTE_RCV","1993-06-18","2026-05-02","Per=Y","Days=T","Dir=V")</f>
        <v>0</v>
      </c>
      <c r="U2">
        <f>BDH("GRC US Equity","BS_INVENTORIES","1993-06-18","2026-05-02","Per=Y","Days=T","Dir=V")</f>
        <v>0</v>
      </c>
      <c r="W2">
        <f>BDH("GRC US Equity","WORKING_CAPITAL","1993-06-18","2026-05-02","Per=Y","Days=T","Dir=V")</f>
        <v>0</v>
      </c>
      <c r="Y2">
        <f>BDH("GRC US Equity","SALES_REV_TURN","1993-06-18","2026-05-02","Per=Y","Days=T","Dir=V")</f>
        <v>0</v>
      </c>
      <c r="AA2">
        <f>BDH("GRC US Equity","EBIT","1993-06-18","2026-05-02","Per=Y","Days=T","Dir=V")</f>
        <v>0</v>
      </c>
      <c r="AC2">
        <f>BDH("GRC US Equity","EBITDA","1993-06-18","2026-05-02","Per=Y","Days=T","Dir=V")</f>
        <v>0</v>
      </c>
      <c r="AE2">
        <f>BDH("GRC US Equity","NET_INCOME","1993-06-18","2026-05-02","Per=Y","Days=T","Dir=V")</f>
        <v>0</v>
      </c>
      <c r="AG2">
        <f>BDH("GRC US Equity","IS_INT_EXPENSE","1993-06-18","2026-05-02","Per=Y","Days=T","Dir=V")</f>
        <v>0</v>
      </c>
      <c r="AI2">
        <f>BDH("GRC US Equity","IS_DEPR_EXP","1993-06-18","2026-05-02","Per=Y","Days=T","Dir=V")</f>
        <v>0</v>
      </c>
      <c r="AK2">
        <f>BDH("GRC US Equity","CF_CASH_FROM_OPER","1993-06-18","2026-05-02","Per=Y","Days=T","Dir=V")</f>
        <v>0</v>
      </c>
      <c r="AM2">
        <f>BDH("GRC US Equity","CAPITAL_EXPEND","1993-06-18","2026-05-02","Per=Y","Days=T","Dir=V")</f>
        <v>0</v>
      </c>
      <c r="AO2">
        <f>BDH("GRC US Equity","CF_FREE_CASH_FLOW","1993-06-18","2026-05-02","Per=Y","Days=T","Dir=V")</f>
        <v>0</v>
      </c>
      <c r="AQ2">
        <f>BDH("GRC US Equity","PX_LAST","1993-06-18","2026-05-02","Per=M","Days=T","Dir=V")</f>
        <v>0</v>
      </c>
      <c r="AS2">
        <f>BDH("GRC US Equity","CUR_MKT_CAP","1993-06-18","2026-05-02","Per=M","Days=T","Dir=V")</f>
        <v>0</v>
      </c>
      <c r="AU2">
        <f>BDH("GRC US Equity","EQY_SH_OUT","1993-06-18","2026-05-02","Per=M","Days=T","Dir=V")</f>
        <v>0</v>
      </c>
      <c r="AW2">
        <f>BDH("GRC US Equity","PX_VOLUME","1993-06-18","2026-05-02","Per=M","Days=T","Dir=V")</f>
        <v>0</v>
      </c>
      <c r="AY2">
        <f>BDH("GRC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BDH("GRDN US Equity","BS_TOT_ASSET","1993-06-18","2026-05-02","Per=Y","Days=T","Dir=V")</f>
        <v>0</v>
      </c>
      <c r="C2">
        <f>BDH("GRDN US Equity","BS_TOT_LIAB2","1993-06-18","2026-05-02","Per=Y","Days=T","Dir=V")</f>
        <v>0</v>
      </c>
      <c r="E2">
        <f>BDH("GRDN US Equity","SHORT_AND_LONG_TERM_DEBT","1993-06-18","2026-05-02","Per=Y","Days=T","Dir=V")</f>
        <v>0</v>
      </c>
      <c r="G2">
        <f>BDH("GRDN US Equity","BS_ST_BORROW","1993-06-18","2026-05-02","Per=Y","Days=T","Dir=V")</f>
        <v>0</v>
      </c>
      <c r="I2">
        <f>BDH("GRDN US Equity","BS_LT_BORROW","1993-06-18","2026-05-02","Per=Y","Days=T","Dir=V")</f>
        <v>0</v>
      </c>
      <c r="K2">
        <f>BDH("GRDN US Equity","BS_CASH_NEAR_CASH_ITEM","1993-06-18","2026-05-02","Per=Y","Days=T","Dir=V")</f>
        <v>0</v>
      </c>
      <c r="M2">
        <f>BDH("GRDN US Equity","BS_CUR_ASSET_REPORT","1993-06-18","2026-05-02","Per=Y","Days=T","Dir=V")</f>
        <v>0</v>
      </c>
      <c r="O2">
        <f>BDH("GRDN US Equity","BS_CUR_LIAB","1993-06-18","2026-05-02","Per=Y","Days=T","Dir=V")</f>
        <v>0</v>
      </c>
      <c r="Q2">
        <f>BDH("GRDN US Equity","BS_SHAREHOLDER_EQY_ENDING_PERIOD","1993-06-18","2026-05-02","Per=Y","Days=T","Dir=V")</f>
        <v>0</v>
      </c>
      <c r="S2">
        <f>BDH("GRDN US Equity","BS_ACCT_NOTE_RCV","1993-06-18","2026-05-02","Per=Y","Days=T","Dir=V")</f>
        <v>0</v>
      </c>
      <c r="U2">
        <f>BDH("GRDN US Equity","BS_INVENTORIES","1993-06-18","2026-05-02","Per=Y","Days=T","Dir=V")</f>
        <v>0</v>
      </c>
      <c r="W2">
        <f>BDH("GRDN US Equity","WORKING_CAPITAL","1993-06-18","2026-05-02","Per=Y","Days=T","Dir=V")</f>
        <v>0</v>
      </c>
      <c r="Y2">
        <f>BDH("GRDN US Equity","SALES_REV_TURN","1993-06-18","2026-05-02","Per=Y","Days=T","Dir=V")</f>
        <v>0</v>
      </c>
      <c r="AA2">
        <f>BDH("GRDN US Equity","EBIT","1993-06-18","2026-05-02","Per=Y","Days=T","Dir=V")</f>
        <v>0</v>
      </c>
      <c r="AC2">
        <f>BDH("GRDN US Equity","EBITDA","1993-06-18","2026-05-02","Per=Y","Days=T","Dir=V")</f>
        <v>0</v>
      </c>
      <c r="AE2">
        <f>BDH("GRDN US Equity","NET_INCOME","1993-06-18","2026-05-02","Per=Y","Days=T","Dir=V")</f>
        <v>0</v>
      </c>
      <c r="AG2">
        <f>BDH("GRDN US Equity","IS_INT_EXPENSE","1993-06-18","2026-05-02","Per=Y","Days=T","Dir=V")</f>
        <v>0</v>
      </c>
      <c r="AI2">
        <f>BDH("GRDN US Equity","IS_DEPR_EXP","1993-06-18","2026-05-02","Per=Y","Days=T","Dir=V")</f>
        <v>0</v>
      </c>
      <c r="AK2">
        <f>BDH("GRDN US Equity","CF_CASH_FROM_OPER","1993-06-18","2026-05-02","Per=Y","Days=T","Dir=V")</f>
        <v>0</v>
      </c>
      <c r="AM2">
        <f>BDH("GRDN US Equity","CAPITAL_EXPEND","1993-06-18","2026-05-02","Per=Y","Days=T","Dir=V")</f>
        <v>0</v>
      </c>
      <c r="AO2">
        <f>BDH("GRDN US Equity","CF_FREE_CASH_FLOW","1993-06-18","2026-05-02","Per=Y","Days=T","Dir=V")</f>
        <v>0</v>
      </c>
      <c r="AQ2">
        <f>BDH("GRDN US Equity","PX_LAST","1993-06-18","2026-05-02","Per=M","Days=T","Dir=V")</f>
        <v>0</v>
      </c>
      <c r="AS2">
        <f>BDH("GRDN US Equity","CUR_MKT_CAP","1993-06-18","2026-05-02","Per=M","Days=T","Dir=V")</f>
        <v>0</v>
      </c>
      <c r="AU2">
        <f>BDH("GRDN US Equity","EQY_SH_OUT","1993-06-18","2026-05-02","Per=M","Days=T","Dir=V")</f>
        <v>0</v>
      </c>
      <c r="AW2">
        <f>BDH("GRDN US Equity","PX_VOLUME","1993-06-18","2026-05-02","Per=M","Days=T","Dir=V")</f>
        <v>0</v>
      </c>
      <c r="AY2">
        <f>BDH("GRDN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BDH("GRDX US Equity","BS_TOT_ASSET","1993-06-18","2026-05-02","Per=Y","Days=T","Dir=V")</f>
        <v>0</v>
      </c>
      <c r="C2">
        <f>BDH("GRDX US Equity","BS_TOT_LIAB2","1993-06-18","2026-05-02","Per=Y","Days=T","Dir=V")</f>
        <v>0</v>
      </c>
      <c r="E2">
        <f>BDH("GRDX US Equity","SHORT_AND_LONG_TERM_DEBT","1993-06-18","2026-05-02","Per=Y","Days=T","Dir=V")</f>
        <v>0</v>
      </c>
      <c r="G2">
        <f>BDH("GRDX US Equity","BS_ST_BORROW","1993-06-18","2026-05-02","Per=Y","Days=T","Dir=V")</f>
        <v>0</v>
      </c>
      <c r="I2">
        <f>BDH("GRDX US Equity","BS_LT_BORROW","1993-06-18","2026-05-02","Per=Y","Days=T","Dir=V")</f>
        <v>0</v>
      </c>
      <c r="K2">
        <f>BDH("GRDX US Equity","BS_CASH_NEAR_CASH_ITEM","1993-06-18","2026-05-02","Per=Y","Days=T","Dir=V")</f>
        <v>0</v>
      </c>
      <c r="M2">
        <f>BDH("GRDX US Equity","BS_CUR_ASSET_REPORT","1993-06-18","2026-05-02","Per=Y","Days=T","Dir=V")</f>
        <v>0</v>
      </c>
      <c r="O2">
        <f>BDH("GRDX US Equity","BS_CUR_LIAB","1993-06-18","2026-05-02","Per=Y","Days=T","Dir=V")</f>
        <v>0</v>
      </c>
      <c r="Q2">
        <f>BDH("GRDX US Equity","BS_SHAREHOLDER_EQY_ENDING_PERIOD","1993-06-18","2026-05-02","Per=Y","Days=T","Dir=V")</f>
        <v>0</v>
      </c>
      <c r="S2">
        <f>BDH("GRDX US Equity","BS_ACCT_NOTE_RCV","1993-06-18","2026-05-02","Per=Y","Days=T","Dir=V")</f>
        <v>0</v>
      </c>
      <c r="U2">
        <f>BDH("GRDX US Equity","BS_INVENTORIES","1993-06-18","2026-05-02","Per=Y","Days=T","Dir=V")</f>
        <v>0</v>
      </c>
      <c r="W2">
        <f>BDH("GRDX US Equity","WORKING_CAPITAL","1993-06-18","2026-05-02","Per=Y","Days=T","Dir=V")</f>
        <v>0</v>
      </c>
      <c r="Y2">
        <f>BDH("GRDX US Equity","SALES_REV_TURN","1993-06-18","2026-05-02","Per=Y","Days=T","Dir=V")</f>
        <v>0</v>
      </c>
      <c r="AA2">
        <f>BDH("GRDX US Equity","EBIT","1993-06-18","2026-05-02","Per=Y","Days=T","Dir=V")</f>
        <v>0</v>
      </c>
      <c r="AC2">
        <f>BDH("GRDX US Equity","EBITDA","1993-06-18","2026-05-02","Per=Y","Days=T","Dir=V")</f>
        <v>0</v>
      </c>
      <c r="AE2">
        <f>BDH("GRDX US Equity","NET_INCOME","1993-06-18","2026-05-02","Per=Y","Days=T","Dir=V")</f>
        <v>0</v>
      </c>
      <c r="AG2">
        <f>BDH("GRDX US Equity","IS_INT_EXPENSE","1993-06-18","2026-05-02","Per=Y","Days=T","Dir=V")</f>
        <v>0</v>
      </c>
      <c r="AI2">
        <f>BDH("GRDX US Equity","IS_DEPR_EXP","1993-06-18","2026-05-02","Per=Y","Days=T","Dir=V")</f>
        <v>0</v>
      </c>
      <c r="AK2">
        <f>BDH("GRDX US Equity","CF_CASH_FROM_OPER","1993-06-18","2026-05-02","Per=Y","Days=T","Dir=V")</f>
        <v>0</v>
      </c>
      <c r="AM2">
        <f>BDH("GRDX US Equity","CAPITAL_EXPEND","1993-06-18","2026-05-02","Per=Y","Days=T","Dir=V")</f>
        <v>0</v>
      </c>
      <c r="AO2">
        <f>BDH("GRDX US Equity","CF_FREE_CASH_FLOW","1993-06-18","2026-05-02","Per=Y","Days=T","Dir=V")</f>
        <v>0</v>
      </c>
      <c r="AQ2">
        <f>BDH("GRDX US Equity","PX_LAST","1993-06-18","2026-05-02","Per=M","Days=T","Dir=V")</f>
        <v>0</v>
      </c>
      <c r="AS2">
        <f>BDH("GRDX US Equity","CUR_MKT_CAP","1993-06-18","2026-05-02","Per=M","Days=T","Dir=V")</f>
        <v>0</v>
      </c>
      <c r="AU2">
        <f>BDH("GRDX US Equity","EQY_SH_OUT","1993-06-18","2026-05-02","Per=M","Days=T","Dir=V")</f>
        <v>0</v>
      </c>
      <c r="AW2">
        <f>BDH("GRDX US Equity","PX_VOLUME","1993-06-18","2026-05-02","Per=M","Days=T","Dir=V")</f>
        <v>0</v>
      </c>
      <c r="AY2">
        <f>BDH("GRDX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BDH("GRI US Equity","BS_TOT_ASSET","1993-06-18","2026-05-02","Per=Y","Days=T","Dir=V")</f>
        <v>0</v>
      </c>
      <c r="C2">
        <f>BDH("GRI US Equity","BS_TOT_LIAB2","1993-06-18","2026-05-02","Per=Y","Days=T","Dir=V")</f>
        <v>0</v>
      </c>
      <c r="E2">
        <f>BDH("GRI US Equity","SHORT_AND_LONG_TERM_DEBT","1993-06-18","2026-05-02","Per=Y","Days=T","Dir=V")</f>
        <v>0</v>
      </c>
      <c r="G2">
        <f>BDH("GRI US Equity","BS_ST_BORROW","1993-06-18","2026-05-02","Per=Y","Days=T","Dir=V")</f>
        <v>0</v>
      </c>
      <c r="I2">
        <f>BDH("GRI US Equity","BS_LT_BORROW","1993-06-18","2026-05-02","Per=Y","Days=T","Dir=V")</f>
        <v>0</v>
      </c>
      <c r="K2">
        <f>BDH("GRI US Equity","BS_CASH_NEAR_CASH_ITEM","1993-06-18","2026-05-02","Per=Y","Days=T","Dir=V")</f>
        <v>0</v>
      </c>
      <c r="M2">
        <f>BDH("GRI US Equity","BS_CUR_ASSET_REPORT","1993-06-18","2026-05-02","Per=Y","Days=T","Dir=V")</f>
        <v>0</v>
      </c>
      <c r="O2">
        <f>BDH("GRI US Equity","BS_CUR_LIAB","1993-06-18","2026-05-02","Per=Y","Days=T","Dir=V")</f>
        <v>0</v>
      </c>
      <c r="Q2">
        <f>BDH("GRI US Equity","BS_SHAREHOLDER_EQY_ENDING_PERIOD","1993-06-18","2026-05-02","Per=Y","Days=T","Dir=V")</f>
        <v>0</v>
      </c>
      <c r="S2">
        <f>BDH("GRI US Equity","BS_ACCT_NOTE_RCV","1993-06-18","2026-05-02","Per=Y","Days=T","Dir=V")</f>
        <v>0</v>
      </c>
      <c r="U2">
        <f>BDH("GRI US Equity","BS_INVENTORIES","1993-06-18","2026-05-02","Per=Y","Days=T","Dir=V")</f>
        <v>0</v>
      </c>
      <c r="W2">
        <f>BDH("GRI US Equity","WORKING_CAPITAL","1993-06-18","2026-05-02","Per=Y","Days=T","Dir=V")</f>
        <v>0</v>
      </c>
      <c r="Y2">
        <f>BDH("GRI US Equity","SALES_REV_TURN","1993-06-18","2026-05-02","Per=Y","Days=T","Dir=V")</f>
        <v>0</v>
      </c>
      <c r="AA2">
        <f>BDH("GRI US Equity","EBIT","1993-06-18","2026-05-02","Per=Y","Days=T","Dir=V")</f>
        <v>0</v>
      </c>
      <c r="AC2">
        <f>BDH("GRI US Equity","EBITDA","1993-06-18","2026-05-02","Per=Y","Days=T","Dir=V")</f>
        <v>0</v>
      </c>
      <c r="AE2">
        <f>BDH("GRI US Equity","NET_INCOME","1993-06-18","2026-05-02","Per=Y","Days=T","Dir=V")</f>
        <v>0</v>
      </c>
      <c r="AG2">
        <f>BDH("GRI US Equity","IS_INT_EXPENSE","1993-06-18","2026-05-02","Per=Y","Days=T","Dir=V")</f>
        <v>0</v>
      </c>
      <c r="AI2">
        <f>BDH("GRI US Equity","IS_DEPR_EXP","1993-06-18","2026-05-02","Per=Y","Days=T","Dir=V")</f>
        <v>0</v>
      </c>
      <c r="AK2">
        <f>BDH("GRI US Equity","CF_CASH_FROM_OPER","1993-06-18","2026-05-02","Per=Y","Days=T","Dir=V")</f>
        <v>0</v>
      </c>
      <c r="AM2">
        <f>BDH("GRI US Equity","CAPITAL_EXPEND","1993-06-18","2026-05-02","Per=Y","Days=T","Dir=V")</f>
        <v>0</v>
      </c>
      <c r="AO2">
        <f>BDH("GRI US Equity","CF_FREE_CASH_FLOW","1993-06-18","2026-05-02","Per=Y","Days=T","Dir=V")</f>
        <v>0</v>
      </c>
      <c r="AQ2">
        <f>BDH("GRI US Equity","PX_LAST","1993-06-18","2026-05-02","Per=M","Days=T","Dir=V")</f>
        <v>0</v>
      </c>
      <c r="AS2">
        <f>BDH("GRI US Equity","CUR_MKT_CAP","1993-06-18","2026-05-02","Per=M","Days=T","Dir=V")</f>
        <v>0</v>
      </c>
      <c r="AU2">
        <f>BDH("GRI US Equity","EQY_SH_OUT","1993-06-18","2026-05-02","Per=M","Days=T","Dir=V")</f>
        <v>0</v>
      </c>
      <c r="AW2">
        <f>BDH("GRI US Equity","PX_VOLUME","1993-06-18","2026-05-02","Per=M","Days=T","Dir=V")</f>
        <v>0</v>
      </c>
      <c r="AY2">
        <f>BDH("GRI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BDH("GRML US Equity","BS_TOT_ASSET","1993-06-18","2026-05-02","Per=Y","Days=T","Dir=V")</f>
        <v>0</v>
      </c>
      <c r="C2">
        <f>BDH("GRML US Equity","BS_TOT_LIAB2","1993-06-18","2026-05-02","Per=Y","Days=T","Dir=V")</f>
        <v>0</v>
      </c>
      <c r="E2">
        <f>BDH("GRML US Equity","SHORT_AND_LONG_TERM_DEBT","1993-06-18","2026-05-02","Per=Y","Days=T","Dir=V")</f>
        <v>0</v>
      </c>
      <c r="G2">
        <f>BDH("GRML US Equity","BS_ST_BORROW","1993-06-18","2026-05-02","Per=Y","Days=T","Dir=V")</f>
        <v>0</v>
      </c>
      <c r="I2">
        <f>BDH("GRML US Equity","BS_LT_BORROW","1993-06-18","2026-05-02","Per=Y","Days=T","Dir=V")</f>
        <v>0</v>
      </c>
      <c r="K2">
        <f>BDH("GRML US Equity","BS_CASH_NEAR_CASH_ITEM","1993-06-18","2026-05-02","Per=Y","Days=T","Dir=V")</f>
        <v>0</v>
      </c>
      <c r="M2">
        <f>BDH("GRML US Equity","BS_CUR_ASSET_REPORT","1993-06-18","2026-05-02","Per=Y","Days=T","Dir=V")</f>
        <v>0</v>
      </c>
      <c r="O2">
        <f>BDH("GRML US Equity","BS_CUR_LIAB","1993-06-18","2026-05-02","Per=Y","Days=T","Dir=V")</f>
        <v>0</v>
      </c>
      <c r="Q2">
        <f>BDH("GRML US Equity","BS_SHAREHOLDER_EQY_ENDING_PERIOD","1993-06-18","2026-05-02","Per=Y","Days=T","Dir=V")</f>
        <v>0</v>
      </c>
      <c r="S2">
        <f>BDH("GRML US Equity","BS_ACCT_NOTE_RCV","1993-06-18","2026-05-02","Per=Y","Days=T","Dir=V")</f>
        <v>0</v>
      </c>
      <c r="U2">
        <f>BDH("GRML US Equity","BS_INVENTORIES","1993-06-18","2026-05-02","Per=Y","Days=T","Dir=V")</f>
        <v>0</v>
      </c>
      <c r="W2">
        <f>BDH("GRML US Equity","WORKING_CAPITAL","1993-06-18","2026-05-02","Per=Y","Days=T","Dir=V")</f>
        <v>0</v>
      </c>
      <c r="Y2">
        <f>BDH("GRML US Equity","SALES_REV_TURN","1993-06-18","2026-05-02","Per=Y","Days=T","Dir=V")</f>
        <v>0</v>
      </c>
      <c r="AA2">
        <f>BDH("GRML US Equity","EBIT","1993-06-18","2026-05-02","Per=Y","Days=T","Dir=V")</f>
        <v>0</v>
      </c>
      <c r="AC2">
        <f>BDH("GRML US Equity","EBITDA","1993-06-18","2026-05-02","Per=Y","Days=T","Dir=V")</f>
        <v>0</v>
      </c>
      <c r="AE2">
        <f>BDH("GRML US Equity","NET_INCOME","1993-06-18","2026-05-02","Per=Y","Days=T","Dir=V")</f>
        <v>0</v>
      </c>
      <c r="AG2">
        <f>BDH("GRML US Equity","IS_INT_EXPENSE","1993-06-18","2026-05-02","Per=Y","Days=T","Dir=V")</f>
        <v>0</v>
      </c>
      <c r="AI2">
        <f>BDH("GRML US Equity","IS_DEPR_EXP","1993-06-18","2026-05-02","Per=Y","Days=T","Dir=V")</f>
        <v>0</v>
      </c>
      <c r="AK2">
        <f>BDH("GRML US Equity","CF_CASH_FROM_OPER","1993-06-18","2026-05-02","Per=Y","Days=T","Dir=V")</f>
        <v>0</v>
      </c>
      <c r="AM2">
        <f>BDH("GRML US Equity","CAPITAL_EXPEND","1993-06-18","2026-05-02","Per=Y","Days=T","Dir=V")</f>
        <v>0</v>
      </c>
      <c r="AO2">
        <f>BDH("GRML US Equity","CF_FREE_CASH_FLOW","1993-06-18","2026-05-02","Per=Y","Days=T","Dir=V")</f>
        <v>0</v>
      </c>
      <c r="AQ2">
        <f>BDH("GRML US Equity","PX_LAST","1993-06-18","2026-05-02","Per=M","Days=T","Dir=V")</f>
        <v>0</v>
      </c>
      <c r="AS2">
        <f>BDH("GRML US Equity","CUR_MKT_CAP","1993-06-18","2026-05-02","Per=M","Days=T","Dir=V")</f>
        <v>0</v>
      </c>
      <c r="AU2">
        <f>BDH("GRML US Equity","EQY_SH_OUT","1993-06-18","2026-05-02","Per=M","Days=T","Dir=V")</f>
        <v>0</v>
      </c>
      <c r="AW2">
        <f>BDH("GRML US Equity","PX_VOLUME","1993-06-18","2026-05-02","Per=M","Days=T","Dir=V")</f>
        <v>0</v>
      </c>
      <c r="AY2">
        <f>BDH("GRML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BDH("GRMLW US Equity","BS_TOT_ASSET","1993-06-18","2026-05-02","Per=Y","Days=T","Dir=V")</f>
        <v>0</v>
      </c>
      <c r="C2">
        <f>BDH("GRMLW US Equity","BS_TOT_LIAB2","1993-06-18","2026-05-02","Per=Y","Days=T","Dir=V")</f>
        <v>0</v>
      </c>
      <c r="E2">
        <f>BDH("GRMLW US Equity","SHORT_AND_LONG_TERM_DEBT","1993-06-18","2026-05-02","Per=Y","Days=T","Dir=V")</f>
        <v>0</v>
      </c>
      <c r="G2">
        <f>BDH("GRMLW US Equity","BS_ST_BORROW","1993-06-18","2026-05-02","Per=Y","Days=T","Dir=V")</f>
        <v>0</v>
      </c>
      <c r="I2">
        <f>BDH("GRMLW US Equity","BS_LT_BORROW","1993-06-18","2026-05-02","Per=Y","Days=T","Dir=V")</f>
        <v>0</v>
      </c>
      <c r="K2">
        <f>BDH("GRMLW US Equity","BS_CASH_NEAR_CASH_ITEM","1993-06-18","2026-05-02","Per=Y","Days=T","Dir=V")</f>
        <v>0</v>
      </c>
      <c r="M2">
        <f>BDH("GRMLW US Equity","BS_CUR_ASSET_REPORT","1993-06-18","2026-05-02","Per=Y","Days=T","Dir=V")</f>
        <v>0</v>
      </c>
      <c r="O2">
        <f>BDH("GRMLW US Equity","BS_CUR_LIAB","1993-06-18","2026-05-02","Per=Y","Days=T","Dir=V")</f>
        <v>0</v>
      </c>
      <c r="Q2">
        <f>BDH("GRMLW US Equity","BS_SHAREHOLDER_EQY_ENDING_PERIOD","1993-06-18","2026-05-02","Per=Y","Days=T","Dir=V")</f>
        <v>0</v>
      </c>
      <c r="S2">
        <f>BDH("GRMLW US Equity","BS_ACCT_NOTE_RCV","1993-06-18","2026-05-02","Per=Y","Days=T","Dir=V")</f>
        <v>0</v>
      </c>
      <c r="U2">
        <f>BDH("GRMLW US Equity","BS_INVENTORIES","1993-06-18","2026-05-02","Per=Y","Days=T","Dir=V")</f>
        <v>0</v>
      </c>
      <c r="W2">
        <f>BDH("GRMLW US Equity","WORKING_CAPITAL","1993-06-18","2026-05-02","Per=Y","Days=T","Dir=V")</f>
        <v>0</v>
      </c>
      <c r="Y2">
        <f>BDH("GRMLW US Equity","SALES_REV_TURN","1993-06-18","2026-05-02","Per=Y","Days=T","Dir=V")</f>
        <v>0</v>
      </c>
      <c r="AA2">
        <f>BDH("GRMLW US Equity","EBIT","1993-06-18","2026-05-02","Per=Y","Days=T","Dir=V")</f>
        <v>0</v>
      </c>
      <c r="AC2">
        <f>BDH("GRMLW US Equity","EBITDA","1993-06-18","2026-05-02","Per=Y","Days=T","Dir=V")</f>
        <v>0</v>
      </c>
      <c r="AE2">
        <f>BDH("GRMLW US Equity","NET_INCOME","1993-06-18","2026-05-02","Per=Y","Days=T","Dir=V")</f>
        <v>0</v>
      </c>
      <c r="AG2">
        <f>BDH("GRMLW US Equity","IS_INT_EXPENSE","1993-06-18","2026-05-02","Per=Y","Days=T","Dir=V")</f>
        <v>0</v>
      </c>
      <c r="AI2">
        <f>BDH("GRMLW US Equity","IS_DEPR_EXP","1993-06-18","2026-05-02","Per=Y","Days=T","Dir=V")</f>
        <v>0</v>
      </c>
      <c r="AK2">
        <f>BDH("GRMLW US Equity","CF_CASH_FROM_OPER","1993-06-18","2026-05-02","Per=Y","Days=T","Dir=V")</f>
        <v>0</v>
      </c>
      <c r="AM2">
        <f>BDH("GRMLW US Equity","CAPITAL_EXPEND","1993-06-18","2026-05-02","Per=Y","Days=T","Dir=V")</f>
        <v>0</v>
      </c>
      <c r="AO2">
        <f>BDH("GRMLW US Equity","CF_FREE_CASH_FLOW","1993-06-18","2026-05-02","Per=Y","Days=T","Dir=V")</f>
        <v>0</v>
      </c>
      <c r="AQ2">
        <f>BDH("GRMLW US Equity","PX_LAST","1993-06-18","2026-05-02","Per=M","Days=T","Dir=V")</f>
        <v>0</v>
      </c>
      <c r="AS2">
        <f>BDH("GRMLW US Equity","CUR_MKT_CAP","1993-06-18","2026-05-02","Per=M","Days=T","Dir=V")</f>
        <v>0</v>
      </c>
      <c r="AU2">
        <f>BDH("GRMLW US Equity","EQY_SH_OUT","1993-06-18","2026-05-02","Per=M","Days=T","Dir=V")</f>
        <v>0</v>
      </c>
      <c r="AW2">
        <f>BDH("GRMLW US Equity","PX_VOLUME","1993-06-18","2026-05-02","Per=M","Days=T","Dir=V")</f>
        <v>0</v>
      </c>
      <c r="AY2">
        <f>BDH("GRMLW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BDH("GRNT US Equity","BS_TOT_ASSET","1993-06-18","2026-05-02","Per=Y","Days=T","Dir=V")</f>
        <v>0</v>
      </c>
      <c r="C2">
        <f>BDH("GRNT US Equity","BS_TOT_LIAB2","1993-06-18","2026-05-02","Per=Y","Days=T","Dir=V")</f>
        <v>0</v>
      </c>
      <c r="E2">
        <f>BDH("GRNT US Equity","SHORT_AND_LONG_TERM_DEBT","1993-06-18","2026-05-02","Per=Y","Days=T","Dir=V")</f>
        <v>0</v>
      </c>
      <c r="G2">
        <f>BDH("GRNT US Equity","BS_ST_BORROW","1993-06-18","2026-05-02","Per=Y","Days=T","Dir=V")</f>
        <v>0</v>
      </c>
      <c r="I2">
        <f>BDH("GRNT US Equity","BS_LT_BORROW","1993-06-18","2026-05-02","Per=Y","Days=T","Dir=V")</f>
        <v>0</v>
      </c>
      <c r="K2">
        <f>BDH("GRNT US Equity","BS_CASH_NEAR_CASH_ITEM","1993-06-18","2026-05-02","Per=Y","Days=T","Dir=V")</f>
        <v>0</v>
      </c>
      <c r="M2">
        <f>BDH("GRNT US Equity","BS_CUR_ASSET_REPORT","1993-06-18","2026-05-02","Per=Y","Days=T","Dir=V")</f>
        <v>0</v>
      </c>
      <c r="O2">
        <f>BDH("GRNT US Equity","BS_CUR_LIAB","1993-06-18","2026-05-02","Per=Y","Days=T","Dir=V")</f>
        <v>0</v>
      </c>
      <c r="Q2">
        <f>BDH("GRNT US Equity","BS_SHAREHOLDER_EQY_ENDING_PERIOD","1993-06-18","2026-05-02","Per=Y","Days=T","Dir=V")</f>
        <v>0</v>
      </c>
      <c r="S2">
        <f>BDH("GRNT US Equity","BS_ACCT_NOTE_RCV","1993-06-18","2026-05-02","Per=Y","Days=T","Dir=V")</f>
        <v>0</v>
      </c>
      <c r="U2">
        <f>BDH("GRNT US Equity","BS_INVENTORIES","1993-06-18","2026-05-02","Per=Y","Days=T","Dir=V")</f>
        <v>0</v>
      </c>
      <c r="W2">
        <f>BDH("GRNT US Equity","WORKING_CAPITAL","1993-06-18","2026-05-02","Per=Y","Days=T","Dir=V")</f>
        <v>0</v>
      </c>
      <c r="Y2">
        <f>BDH("GRNT US Equity","SALES_REV_TURN","1993-06-18","2026-05-02","Per=Y","Days=T","Dir=V")</f>
        <v>0</v>
      </c>
      <c r="AA2">
        <f>BDH("GRNT US Equity","EBIT","1993-06-18","2026-05-02","Per=Y","Days=T","Dir=V")</f>
        <v>0</v>
      </c>
      <c r="AC2">
        <f>BDH("GRNT US Equity","EBITDA","1993-06-18","2026-05-02","Per=Y","Days=T","Dir=V")</f>
        <v>0</v>
      </c>
      <c r="AE2">
        <f>BDH("GRNT US Equity","NET_INCOME","1993-06-18","2026-05-02","Per=Y","Days=T","Dir=V")</f>
        <v>0</v>
      </c>
      <c r="AG2">
        <f>BDH("GRNT US Equity","IS_INT_EXPENSE","1993-06-18","2026-05-02","Per=Y","Days=T","Dir=V")</f>
        <v>0</v>
      </c>
      <c r="AI2">
        <f>BDH("GRNT US Equity","IS_DEPR_EXP","1993-06-18","2026-05-02","Per=Y","Days=T","Dir=V")</f>
        <v>0</v>
      </c>
      <c r="AK2">
        <f>BDH("GRNT US Equity","CF_CASH_FROM_OPER","1993-06-18","2026-05-02","Per=Y","Days=T","Dir=V")</f>
        <v>0</v>
      </c>
      <c r="AM2">
        <f>BDH("GRNT US Equity","CAPITAL_EXPEND","1993-06-18","2026-05-02","Per=Y","Days=T","Dir=V")</f>
        <v>0</v>
      </c>
      <c r="AO2">
        <f>BDH("GRNT US Equity","CF_FREE_CASH_FLOW","1993-06-18","2026-05-02","Per=Y","Days=T","Dir=V")</f>
        <v>0</v>
      </c>
      <c r="AQ2">
        <f>BDH("GRNT US Equity","PX_LAST","1993-06-18","2026-05-02","Per=M","Days=T","Dir=V")</f>
        <v>0</v>
      </c>
      <c r="AS2">
        <f>BDH("GRNT US Equity","CUR_MKT_CAP","1993-06-18","2026-05-02","Per=M","Days=T","Dir=V")</f>
        <v>0</v>
      </c>
      <c r="AU2">
        <f>BDH("GRNT US Equity","EQY_SH_OUT","1993-06-18","2026-05-02","Per=M","Days=T","Dir=V")</f>
        <v>0</v>
      </c>
      <c r="AW2">
        <f>BDH("GRNT US Equity","PX_VOLUME","1993-06-18","2026-05-02","Per=M","Days=T","Dir=V")</f>
        <v>0</v>
      </c>
      <c r="AY2">
        <f>BDH("GRNT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BDH("GRPN US Equity","BS_TOT_ASSET","1993-06-18","2026-05-02","Per=Y","Days=T","Dir=V")</f>
        <v>0</v>
      </c>
      <c r="C2">
        <f>BDH("GRPN US Equity","BS_TOT_LIAB2","1993-06-18","2026-05-02","Per=Y","Days=T","Dir=V")</f>
        <v>0</v>
      </c>
      <c r="E2">
        <f>BDH("GRPN US Equity","SHORT_AND_LONG_TERM_DEBT","1993-06-18","2026-05-02","Per=Y","Days=T","Dir=V")</f>
        <v>0</v>
      </c>
      <c r="G2">
        <f>BDH("GRPN US Equity","BS_ST_BORROW","1993-06-18","2026-05-02","Per=Y","Days=T","Dir=V")</f>
        <v>0</v>
      </c>
      <c r="I2">
        <f>BDH("GRPN US Equity","BS_LT_BORROW","1993-06-18","2026-05-02","Per=Y","Days=T","Dir=V")</f>
        <v>0</v>
      </c>
      <c r="K2">
        <f>BDH("GRPN US Equity","BS_CASH_NEAR_CASH_ITEM","1993-06-18","2026-05-02","Per=Y","Days=T","Dir=V")</f>
        <v>0</v>
      </c>
      <c r="M2">
        <f>BDH("GRPN US Equity","BS_CUR_ASSET_REPORT","1993-06-18","2026-05-02","Per=Y","Days=T","Dir=V")</f>
        <v>0</v>
      </c>
      <c r="O2">
        <f>BDH("GRPN US Equity","BS_CUR_LIAB","1993-06-18","2026-05-02","Per=Y","Days=T","Dir=V")</f>
        <v>0</v>
      </c>
      <c r="Q2">
        <f>BDH("GRPN US Equity","BS_SHAREHOLDER_EQY_ENDING_PERIOD","1993-06-18","2026-05-02","Per=Y","Days=T","Dir=V")</f>
        <v>0</v>
      </c>
      <c r="S2">
        <f>BDH("GRPN US Equity","BS_ACCT_NOTE_RCV","1993-06-18","2026-05-02","Per=Y","Days=T","Dir=V")</f>
        <v>0</v>
      </c>
      <c r="U2">
        <f>BDH("GRPN US Equity","BS_INVENTORIES","1993-06-18","2026-05-02","Per=Y","Days=T","Dir=V")</f>
        <v>0</v>
      </c>
      <c r="W2">
        <f>BDH("GRPN US Equity","WORKING_CAPITAL","1993-06-18","2026-05-02","Per=Y","Days=T","Dir=V")</f>
        <v>0</v>
      </c>
      <c r="Y2">
        <f>BDH("GRPN US Equity","SALES_REV_TURN","1993-06-18","2026-05-02","Per=Y","Days=T","Dir=V")</f>
        <v>0</v>
      </c>
      <c r="AA2">
        <f>BDH("GRPN US Equity","EBIT","1993-06-18","2026-05-02","Per=Y","Days=T","Dir=V")</f>
        <v>0</v>
      </c>
      <c r="AC2">
        <f>BDH("GRPN US Equity","EBITDA","1993-06-18","2026-05-02","Per=Y","Days=T","Dir=V")</f>
        <v>0</v>
      </c>
      <c r="AE2">
        <f>BDH("GRPN US Equity","NET_INCOME","1993-06-18","2026-05-02","Per=Y","Days=T","Dir=V")</f>
        <v>0</v>
      </c>
      <c r="AG2">
        <f>BDH("GRPN US Equity","IS_INT_EXPENSE","1993-06-18","2026-05-02","Per=Y","Days=T","Dir=V")</f>
        <v>0</v>
      </c>
      <c r="AI2">
        <f>BDH("GRPN US Equity","IS_DEPR_EXP","1993-06-18","2026-05-02","Per=Y","Days=T","Dir=V")</f>
        <v>0</v>
      </c>
      <c r="AK2">
        <f>BDH("GRPN US Equity","CF_CASH_FROM_OPER","1993-06-18","2026-05-02","Per=Y","Days=T","Dir=V")</f>
        <v>0</v>
      </c>
      <c r="AM2">
        <f>BDH("GRPN US Equity","CAPITAL_EXPEND","1993-06-18","2026-05-02","Per=Y","Days=T","Dir=V")</f>
        <v>0</v>
      </c>
      <c r="AO2">
        <f>BDH("GRPN US Equity","CF_FREE_CASH_FLOW","1993-06-18","2026-05-02","Per=Y","Days=T","Dir=V")</f>
        <v>0</v>
      </c>
      <c r="AQ2">
        <f>BDH("GRPN US Equity","PX_LAST","1993-06-18","2026-05-02","Per=M","Days=T","Dir=V")</f>
        <v>0</v>
      </c>
      <c r="AS2">
        <f>BDH("GRPN US Equity","CUR_MKT_CAP","1993-06-18","2026-05-02","Per=M","Days=T","Dir=V")</f>
        <v>0</v>
      </c>
      <c r="AU2">
        <f>BDH("GRPN US Equity","EQY_SH_OUT","1993-06-18","2026-05-02","Per=M","Days=T","Dir=V")</f>
        <v>0</v>
      </c>
      <c r="AW2">
        <f>BDH("GRPN US Equity","PX_VOLUME","1993-06-18","2026-05-02","Per=M","Days=T","Dir=V")</f>
        <v>0</v>
      </c>
      <c r="AY2">
        <f>BDH("GRPN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BDH("GRWG US Equity","BS_TOT_ASSET","1993-06-18","2026-05-02","Per=Y","Days=T","Dir=V")</f>
        <v>0</v>
      </c>
      <c r="C2">
        <f>BDH("GRWG US Equity","BS_TOT_LIAB2","1993-06-18","2026-05-02","Per=Y","Days=T","Dir=V")</f>
        <v>0</v>
      </c>
      <c r="E2">
        <f>BDH("GRWG US Equity","SHORT_AND_LONG_TERM_DEBT","1993-06-18","2026-05-02","Per=Y","Days=T","Dir=V")</f>
        <v>0</v>
      </c>
      <c r="G2">
        <f>BDH("GRWG US Equity","BS_ST_BORROW","1993-06-18","2026-05-02","Per=Y","Days=T","Dir=V")</f>
        <v>0</v>
      </c>
      <c r="I2">
        <f>BDH("GRWG US Equity","BS_LT_BORROW","1993-06-18","2026-05-02","Per=Y","Days=T","Dir=V")</f>
        <v>0</v>
      </c>
      <c r="K2">
        <f>BDH("GRWG US Equity","BS_CASH_NEAR_CASH_ITEM","1993-06-18","2026-05-02","Per=Y","Days=T","Dir=V")</f>
        <v>0</v>
      </c>
      <c r="M2">
        <f>BDH("GRWG US Equity","BS_CUR_ASSET_REPORT","1993-06-18","2026-05-02","Per=Y","Days=T","Dir=V")</f>
        <v>0</v>
      </c>
      <c r="O2">
        <f>BDH("GRWG US Equity","BS_CUR_LIAB","1993-06-18","2026-05-02","Per=Y","Days=T","Dir=V")</f>
        <v>0</v>
      </c>
      <c r="Q2">
        <f>BDH("GRWG US Equity","BS_SHAREHOLDER_EQY_ENDING_PERIOD","1993-06-18","2026-05-02","Per=Y","Days=T","Dir=V")</f>
        <v>0</v>
      </c>
      <c r="S2">
        <f>BDH("GRWG US Equity","BS_ACCT_NOTE_RCV","1993-06-18","2026-05-02","Per=Y","Days=T","Dir=V")</f>
        <v>0</v>
      </c>
      <c r="U2">
        <f>BDH("GRWG US Equity","BS_INVENTORIES","1993-06-18","2026-05-02","Per=Y","Days=T","Dir=V")</f>
        <v>0</v>
      </c>
      <c r="W2">
        <f>BDH("GRWG US Equity","WORKING_CAPITAL","1993-06-18","2026-05-02","Per=Y","Days=T","Dir=V")</f>
        <v>0</v>
      </c>
      <c r="Y2">
        <f>BDH("GRWG US Equity","SALES_REV_TURN","1993-06-18","2026-05-02","Per=Y","Days=T","Dir=V")</f>
        <v>0</v>
      </c>
      <c r="AA2">
        <f>BDH("GRWG US Equity","EBIT","1993-06-18","2026-05-02","Per=Y","Days=T","Dir=V")</f>
        <v>0</v>
      </c>
      <c r="AC2">
        <f>BDH("GRWG US Equity","EBITDA","1993-06-18","2026-05-02","Per=Y","Days=T","Dir=V")</f>
        <v>0</v>
      </c>
      <c r="AE2">
        <f>BDH("GRWG US Equity","NET_INCOME","1993-06-18","2026-05-02","Per=Y","Days=T","Dir=V")</f>
        <v>0</v>
      </c>
      <c r="AG2">
        <f>BDH("GRWG US Equity","IS_INT_EXPENSE","1993-06-18","2026-05-02","Per=Y","Days=T","Dir=V")</f>
        <v>0</v>
      </c>
      <c r="AI2">
        <f>BDH("GRWG US Equity","IS_DEPR_EXP","1993-06-18","2026-05-02","Per=Y","Days=T","Dir=V")</f>
        <v>0</v>
      </c>
      <c r="AK2">
        <f>BDH("GRWG US Equity","CF_CASH_FROM_OPER","1993-06-18","2026-05-02","Per=Y","Days=T","Dir=V")</f>
        <v>0</v>
      </c>
      <c r="AM2">
        <f>BDH("GRWG US Equity","CAPITAL_EXPEND","1993-06-18","2026-05-02","Per=Y","Days=T","Dir=V")</f>
        <v>0</v>
      </c>
      <c r="AO2">
        <f>BDH("GRWG US Equity","CF_FREE_CASH_FLOW","1993-06-18","2026-05-02","Per=Y","Days=T","Dir=V")</f>
        <v>0</v>
      </c>
      <c r="AQ2">
        <f>BDH("GRWG US Equity","PX_LAST","1993-06-18","2026-05-02","Per=M","Days=T","Dir=V")</f>
        <v>0</v>
      </c>
      <c r="AS2">
        <f>BDH("GRWG US Equity","CUR_MKT_CAP","1993-06-18","2026-05-02","Per=M","Days=T","Dir=V")</f>
        <v>0</v>
      </c>
      <c r="AU2">
        <f>BDH("GRWG US Equity","EQY_SH_OUT","1993-06-18","2026-05-02","Per=M","Days=T","Dir=V")</f>
        <v>0</v>
      </c>
      <c r="AW2">
        <f>BDH("GRWG US Equity","PX_VOLUME","1993-06-18","2026-05-02","Per=M","Days=T","Dir=V")</f>
        <v>0</v>
      </c>
      <c r="AY2">
        <f>BDH("GRWG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BDH("GSAT US Equity","BS_TOT_ASSET","1993-06-18","2026-05-02","Per=Y","Days=T","Dir=V")</f>
        <v>0</v>
      </c>
      <c r="C2">
        <f>BDH("GSAT US Equity","BS_TOT_LIAB2","1993-06-18","2026-05-02","Per=Y","Days=T","Dir=V")</f>
        <v>0</v>
      </c>
      <c r="E2">
        <f>BDH("GSAT US Equity","SHORT_AND_LONG_TERM_DEBT","1993-06-18","2026-05-02","Per=Y","Days=T","Dir=V")</f>
        <v>0</v>
      </c>
      <c r="G2">
        <f>BDH("GSAT US Equity","BS_ST_BORROW","1993-06-18","2026-05-02","Per=Y","Days=T","Dir=V")</f>
        <v>0</v>
      </c>
      <c r="I2">
        <f>BDH("GSAT US Equity","BS_LT_BORROW","1993-06-18","2026-05-02","Per=Y","Days=T","Dir=V")</f>
        <v>0</v>
      </c>
      <c r="K2">
        <f>BDH("GSAT US Equity","BS_CASH_NEAR_CASH_ITEM","1993-06-18","2026-05-02","Per=Y","Days=T","Dir=V")</f>
        <v>0</v>
      </c>
      <c r="M2">
        <f>BDH("GSAT US Equity","BS_CUR_ASSET_REPORT","1993-06-18","2026-05-02","Per=Y","Days=T","Dir=V")</f>
        <v>0</v>
      </c>
      <c r="O2">
        <f>BDH("GSAT US Equity","BS_CUR_LIAB","1993-06-18","2026-05-02","Per=Y","Days=T","Dir=V")</f>
        <v>0</v>
      </c>
      <c r="Q2">
        <f>BDH("GSAT US Equity","BS_SHAREHOLDER_EQY_ENDING_PERIOD","1993-06-18","2026-05-02","Per=Y","Days=T","Dir=V")</f>
        <v>0</v>
      </c>
      <c r="S2">
        <f>BDH("GSAT US Equity","BS_ACCT_NOTE_RCV","1993-06-18","2026-05-02","Per=Y","Days=T","Dir=V")</f>
        <v>0</v>
      </c>
      <c r="U2">
        <f>BDH("GSAT US Equity","BS_INVENTORIES","1993-06-18","2026-05-02","Per=Y","Days=T","Dir=V")</f>
        <v>0</v>
      </c>
      <c r="W2">
        <f>BDH("GSAT US Equity","WORKING_CAPITAL","1993-06-18","2026-05-02","Per=Y","Days=T","Dir=V")</f>
        <v>0</v>
      </c>
      <c r="Y2">
        <f>BDH("GSAT US Equity","SALES_REV_TURN","1993-06-18","2026-05-02","Per=Y","Days=T","Dir=V")</f>
        <v>0</v>
      </c>
      <c r="AA2">
        <f>BDH("GSAT US Equity","EBIT","1993-06-18","2026-05-02","Per=Y","Days=T","Dir=V")</f>
        <v>0</v>
      </c>
      <c r="AC2">
        <f>BDH("GSAT US Equity","EBITDA","1993-06-18","2026-05-02","Per=Y","Days=T","Dir=V")</f>
        <v>0</v>
      </c>
      <c r="AE2">
        <f>BDH("GSAT US Equity","NET_INCOME","1993-06-18","2026-05-02","Per=Y","Days=T","Dir=V")</f>
        <v>0</v>
      </c>
      <c r="AG2">
        <f>BDH("GSAT US Equity","IS_INT_EXPENSE","1993-06-18","2026-05-02","Per=Y","Days=T","Dir=V")</f>
        <v>0</v>
      </c>
      <c r="AI2">
        <f>BDH("GSAT US Equity","IS_DEPR_EXP","1993-06-18","2026-05-02","Per=Y","Days=T","Dir=V")</f>
        <v>0</v>
      </c>
      <c r="AK2">
        <f>BDH("GSAT US Equity","CF_CASH_FROM_OPER","1993-06-18","2026-05-02","Per=Y","Days=T","Dir=V")</f>
        <v>0</v>
      </c>
      <c r="AM2">
        <f>BDH("GSAT US Equity","CAPITAL_EXPEND","1993-06-18","2026-05-02","Per=Y","Days=T","Dir=V")</f>
        <v>0</v>
      </c>
      <c r="AO2">
        <f>BDH("GSAT US Equity","CF_FREE_CASH_FLOW","1993-06-18","2026-05-02","Per=Y","Days=T","Dir=V")</f>
        <v>0</v>
      </c>
      <c r="AQ2">
        <f>BDH("GSAT US Equity","PX_LAST","1993-06-18","2026-05-02","Per=M","Days=T","Dir=V")</f>
        <v>0</v>
      </c>
      <c r="AS2">
        <f>BDH("GSAT US Equity","CUR_MKT_CAP","1993-06-18","2026-05-02","Per=M","Days=T","Dir=V")</f>
        <v>0</v>
      </c>
      <c r="AU2">
        <f>BDH("GSAT US Equity","EQY_SH_OUT","1993-06-18","2026-05-02","Per=M","Days=T","Dir=V")</f>
        <v>0</v>
      </c>
      <c r="AW2">
        <f>BDH("GSAT US Equity","PX_VOLUME","1993-06-18","2026-05-02","Per=M","Days=T","Dir=V")</f>
        <v>0</v>
      </c>
      <c r="AY2">
        <f>BDH("GSAT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BDH("GSIT US Equity","BS_TOT_ASSET","1993-06-18","2026-05-02","Per=Y","Days=T","Dir=V")</f>
        <v>0</v>
      </c>
      <c r="C2">
        <f>BDH("GSIT US Equity","BS_TOT_LIAB2","1993-06-18","2026-05-02","Per=Y","Days=T","Dir=V")</f>
        <v>0</v>
      </c>
      <c r="E2">
        <f>BDH("GSIT US Equity","SHORT_AND_LONG_TERM_DEBT","1993-06-18","2026-05-02","Per=Y","Days=T","Dir=V")</f>
        <v>0</v>
      </c>
      <c r="G2">
        <f>BDH("GSIT US Equity","BS_ST_BORROW","1993-06-18","2026-05-02","Per=Y","Days=T","Dir=V")</f>
        <v>0</v>
      </c>
      <c r="I2">
        <f>BDH("GSIT US Equity","BS_LT_BORROW","1993-06-18","2026-05-02","Per=Y","Days=T","Dir=V")</f>
        <v>0</v>
      </c>
      <c r="K2">
        <f>BDH("GSIT US Equity","BS_CASH_NEAR_CASH_ITEM","1993-06-18","2026-05-02","Per=Y","Days=T","Dir=V")</f>
        <v>0</v>
      </c>
      <c r="M2">
        <f>BDH("GSIT US Equity","BS_CUR_ASSET_REPORT","1993-06-18","2026-05-02","Per=Y","Days=T","Dir=V")</f>
        <v>0</v>
      </c>
      <c r="O2">
        <f>BDH("GSIT US Equity","BS_CUR_LIAB","1993-06-18","2026-05-02","Per=Y","Days=T","Dir=V")</f>
        <v>0</v>
      </c>
      <c r="Q2">
        <f>BDH("GSIT US Equity","BS_SHAREHOLDER_EQY_ENDING_PERIOD","1993-06-18","2026-05-02","Per=Y","Days=T","Dir=V")</f>
        <v>0</v>
      </c>
      <c r="S2">
        <f>BDH("GSIT US Equity","BS_ACCT_NOTE_RCV","1993-06-18","2026-05-02","Per=Y","Days=T","Dir=V")</f>
        <v>0</v>
      </c>
      <c r="U2">
        <f>BDH("GSIT US Equity","BS_INVENTORIES","1993-06-18","2026-05-02","Per=Y","Days=T","Dir=V")</f>
        <v>0</v>
      </c>
      <c r="W2">
        <f>BDH("GSIT US Equity","WORKING_CAPITAL","1993-06-18","2026-05-02","Per=Y","Days=T","Dir=V")</f>
        <v>0</v>
      </c>
      <c r="Y2">
        <f>BDH("GSIT US Equity","SALES_REV_TURN","1993-06-18","2026-05-02","Per=Y","Days=T","Dir=V")</f>
        <v>0</v>
      </c>
      <c r="AA2">
        <f>BDH("GSIT US Equity","EBIT","1993-06-18","2026-05-02","Per=Y","Days=T","Dir=V")</f>
        <v>0</v>
      </c>
      <c r="AC2">
        <f>BDH("GSIT US Equity","EBITDA","1993-06-18","2026-05-02","Per=Y","Days=T","Dir=V")</f>
        <v>0</v>
      </c>
      <c r="AE2">
        <f>BDH("GSIT US Equity","NET_INCOME","1993-06-18","2026-05-02","Per=Y","Days=T","Dir=V")</f>
        <v>0</v>
      </c>
      <c r="AG2">
        <f>BDH("GSIT US Equity","IS_INT_EXPENSE","1993-06-18","2026-05-02","Per=Y","Days=T","Dir=V")</f>
        <v>0</v>
      </c>
      <c r="AI2">
        <f>BDH("GSIT US Equity","IS_DEPR_EXP","1993-06-18","2026-05-02","Per=Y","Days=T","Dir=V")</f>
        <v>0</v>
      </c>
      <c r="AK2">
        <f>BDH("GSIT US Equity","CF_CASH_FROM_OPER","1993-06-18","2026-05-02","Per=Y","Days=T","Dir=V")</f>
        <v>0</v>
      </c>
      <c r="AM2">
        <f>BDH("GSIT US Equity","CAPITAL_EXPEND","1993-06-18","2026-05-02","Per=Y","Days=T","Dir=V")</f>
        <v>0</v>
      </c>
      <c r="AO2">
        <f>BDH("GSIT US Equity","CF_FREE_CASH_FLOW","1993-06-18","2026-05-02","Per=Y","Days=T","Dir=V")</f>
        <v>0</v>
      </c>
      <c r="AQ2">
        <f>BDH("GSIT US Equity","PX_LAST","1993-06-18","2026-05-02","Per=M","Days=T","Dir=V")</f>
        <v>0</v>
      </c>
      <c r="AS2">
        <f>BDH("GSIT US Equity","CUR_MKT_CAP","1993-06-18","2026-05-02","Per=M","Days=T","Dir=V")</f>
        <v>0</v>
      </c>
      <c r="AU2">
        <f>BDH("GSIT US Equity","EQY_SH_OUT","1993-06-18","2026-05-02","Per=M","Days=T","Dir=V")</f>
        <v>0</v>
      </c>
      <c r="AW2">
        <f>BDH("GSIT US Equity","PX_VOLUME","1993-06-18","2026-05-02","Per=M","Days=T","Dir=V")</f>
        <v>0</v>
      </c>
      <c r="AY2">
        <f>BDH("GSIT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BDH("GT US Equity","BS_TOT_ASSET","1993-06-18","2026-05-02","Per=Y","Days=T","Dir=V")</f>
        <v>0</v>
      </c>
      <c r="C2">
        <f>BDH("GT US Equity","BS_TOT_LIAB2","1993-06-18","2026-05-02","Per=Y","Days=T","Dir=V")</f>
        <v>0</v>
      </c>
      <c r="E2">
        <f>BDH("GT US Equity","SHORT_AND_LONG_TERM_DEBT","1993-06-18","2026-05-02","Per=Y","Days=T","Dir=V")</f>
        <v>0</v>
      </c>
      <c r="G2">
        <f>BDH("GT US Equity","BS_ST_BORROW","1993-06-18","2026-05-02","Per=Y","Days=T","Dir=V")</f>
        <v>0</v>
      </c>
      <c r="I2">
        <f>BDH("GT US Equity","BS_LT_BORROW","1993-06-18","2026-05-02","Per=Y","Days=T","Dir=V")</f>
        <v>0</v>
      </c>
      <c r="K2">
        <f>BDH("GT US Equity","BS_CASH_NEAR_CASH_ITEM","1993-06-18","2026-05-02","Per=Y","Days=T","Dir=V")</f>
        <v>0</v>
      </c>
      <c r="M2">
        <f>BDH("GT US Equity","BS_CUR_ASSET_REPORT","1993-06-18","2026-05-02","Per=Y","Days=T","Dir=V")</f>
        <v>0</v>
      </c>
      <c r="O2">
        <f>BDH("GT US Equity","BS_CUR_LIAB","1993-06-18","2026-05-02","Per=Y","Days=T","Dir=V")</f>
        <v>0</v>
      </c>
      <c r="Q2">
        <f>BDH("GT US Equity","BS_SHAREHOLDER_EQY_ENDING_PERIOD","1993-06-18","2026-05-02","Per=Y","Days=T","Dir=V")</f>
        <v>0</v>
      </c>
      <c r="S2">
        <f>BDH("GT US Equity","BS_ACCT_NOTE_RCV","1993-06-18","2026-05-02","Per=Y","Days=T","Dir=V")</f>
        <v>0</v>
      </c>
      <c r="U2">
        <f>BDH("GT US Equity","BS_INVENTORIES","1993-06-18","2026-05-02","Per=Y","Days=T","Dir=V")</f>
        <v>0</v>
      </c>
      <c r="W2">
        <f>BDH("GT US Equity","WORKING_CAPITAL","1993-06-18","2026-05-02","Per=Y","Days=T","Dir=V")</f>
        <v>0</v>
      </c>
      <c r="Y2">
        <f>BDH("GT US Equity","SALES_REV_TURN","1993-06-18","2026-05-02","Per=Y","Days=T","Dir=V")</f>
        <v>0</v>
      </c>
      <c r="AA2">
        <f>BDH("GT US Equity","EBIT","1993-06-18","2026-05-02","Per=Y","Days=T","Dir=V")</f>
        <v>0</v>
      </c>
      <c r="AC2">
        <f>BDH("GT US Equity","EBITDA","1993-06-18","2026-05-02","Per=Y","Days=T","Dir=V")</f>
        <v>0</v>
      </c>
      <c r="AE2">
        <f>BDH("GT US Equity","NET_INCOME","1993-06-18","2026-05-02","Per=Y","Days=T","Dir=V")</f>
        <v>0</v>
      </c>
      <c r="AG2">
        <f>BDH("GT US Equity","IS_INT_EXPENSE","1993-06-18","2026-05-02","Per=Y","Days=T","Dir=V")</f>
        <v>0</v>
      </c>
      <c r="AI2">
        <f>BDH("GT US Equity","IS_DEPR_EXP","1993-06-18","2026-05-02","Per=Y","Days=T","Dir=V")</f>
        <v>0</v>
      </c>
      <c r="AK2">
        <f>BDH("GT US Equity","CF_CASH_FROM_OPER","1993-06-18","2026-05-02","Per=Y","Days=T","Dir=V")</f>
        <v>0</v>
      </c>
      <c r="AM2">
        <f>BDH("GT US Equity","CAPITAL_EXPEND","1993-06-18","2026-05-02","Per=Y","Days=T","Dir=V")</f>
        <v>0</v>
      </c>
      <c r="AO2">
        <f>BDH("GT US Equity","CF_FREE_CASH_FLOW","1993-06-18","2026-05-02","Per=Y","Days=T","Dir=V")</f>
        <v>0</v>
      </c>
      <c r="AQ2">
        <f>BDH("GT US Equity","PX_LAST","1993-06-18","2026-05-02","Per=M","Days=T","Dir=V")</f>
        <v>0</v>
      </c>
      <c r="AS2">
        <f>BDH("GT US Equity","CUR_MKT_CAP","1993-06-18","2026-05-02","Per=M","Days=T","Dir=V")</f>
        <v>0</v>
      </c>
      <c r="AU2">
        <f>BDH("GT US Equity","EQY_SH_OUT","1993-06-18","2026-05-02","Per=M","Days=T","Dir=V")</f>
        <v>0</v>
      </c>
      <c r="AW2">
        <f>BDH("GT US Equity","PX_VOLUME","1993-06-18","2026-05-02","Per=M","Days=T","Dir=V")</f>
        <v>0</v>
      </c>
      <c r="AY2">
        <f>BDH("GT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BDH("GTBP US Equity","BS_TOT_ASSET","1993-06-18","2026-05-02","Per=Y","Days=T","Dir=V")</f>
        <v>0</v>
      </c>
      <c r="C2">
        <f>BDH("GTBP US Equity","BS_TOT_LIAB2","1993-06-18","2026-05-02","Per=Y","Days=T","Dir=V")</f>
        <v>0</v>
      </c>
      <c r="E2">
        <f>BDH("GTBP US Equity","SHORT_AND_LONG_TERM_DEBT","1993-06-18","2026-05-02","Per=Y","Days=T","Dir=V")</f>
        <v>0</v>
      </c>
      <c r="G2">
        <f>BDH("GTBP US Equity","BS_ST_BORROW","1993-06-18","2026-05-02","Per=Y","Days=T","Dir=V")</f>
        <v>0</v>
      </c>
      <c r="I2">
        <f>BDH("GTBP US Equity","BS_LT_BORROW","1993-06-18","2026-05-02","Per=Y","Days=T","Dir=V")</f>
        <v>0</v>
      </c>
      <c r="K2">
        <f>BDH("GTBP US Equity","BS_CASH_NEAR_CASH_ITEM","1993-06-18","2026-05-02","Per=Y","Days=T","Dir=V")</f>
        <v>0</v>
      </c>
      <c r="M2">
        <f>BDH("GTBP US Equity","BS_CUR_ASSET_REPORT","1993-06-18","2026-05-02","Per=Y","Days=T","Dir=V")</f>
        <v>0</v>
      </c>
      <c r="O2">
        <f>BDH("GTBP US Equity","BS_CUR_LIAB","1993-06-18","2026-05-02","Per=Y","Days=T","Dir=V")</f>
        <v>0</v>
      </c>
      <c r="Q2">
        <f>BDH("GTBP US Equity","BS_SHAREHOLDER_EQY_ENDING_PERIOD","1993-06-18","2026-05-02","Per=Y","Days=T","Dir=V")</f>
        <v>0</v>
      </c>
      <c r="S2">
        <f>BDH("GTBP US Equity","BS_ACCT_NOTE_RCV","1993-06-18","2026-05-02","Per=Y","Days=T","Dir=V")</f>
        <v>0</v>
      </c>
      <c r="U2">
        <f>BDH("GTBP US Equity","BS_INVENTORIES","1993-06-18","2026-05-02","Per=Y","Days=T","Dir=V")</f>
        <v>0</v>
      </c>
      <c r="W2">
        <f>BDH("GTBP US Equity","WORKING_CAPITAL","1993-06-18","2026-05-02","Per=Y","Days=T","Dir=V")</f>
        <v>0</v>
      </c>
      <c r="Y2">
        <f>BDH("GTBP US Equity","SALES_REV_TURN","1993-06-18","2026-05-02","Per=Y","Days=T","Dir=V")</f>
        <v>0</v>
      </c>
      <c r="AA2">
        <f>BDH("GTBP US Equity","EBIT","1993-06-18","2026-05-02","Per=Y","Days=T","Dir=V")</f>
        <v>0</v>
      </c>
      <c r="AC2">
        <f>BDH("GTBP US Equity","EBITDA","1993-06-18","2026-05-02","Per=Y","Days=T","Dir=V")</f>
        <v>0</v>
      </c>
      <c r="AE2">
        <f>BDH("GTBP US Equity","NET_INCOME","1993-06-18","2026-05-02","Per=Y","Days=T","Dir=V")</f>
        <v>0</v>
      </c>
      <c r="AG2">
        <f>BDH("GTBP US Equity","IS_INT_EXPENSE","1993-06-18","2026-05-02","Per=Y","Days=T","Dir=V")</f>
        <v>0</v>
      </c>
      <c r="AI2">
        <f>BDH("GTBP US Equity","IS_DEPR_EXP","1993-06-18","2026-05-02","Per=Y","Days=T","Dir=V")</f>
        <v>0</v>
      </c>
      <c r="AK2">
        <f>BDH("GTBP US Equity","CF_CASH_FROM_OPER","1993-06-18","2026-05-02","Per=Y","Days=T","Dir=V")</f>
        <v>0</v>
      </c>
      <c r="AM2">
        <f>BDH("GTBP US Equity","CAPITAL_EXPEND","1993-06-18","2026-05-02","Per=Y","Days=T","Dir=V")</f>
        <v>0</v>
      </c>
      <c r="AO2">
        <f>BDH("GTBP US Equity","CF_FREE_CASH_FLOW","1993-06-18","2026-05-02","Per=Y","Days=T","Dir=V")</f>
        <v>0</v>
      </c>
      <c r="AQ2">
        <f>BDH("GTBP US Equity","PX_LAST","1993-06-18","2026-05-02","Per=M","Days=T","Dir=V")</f>
        <v>0</v>
      </c>
      <c r="AS2">
        <f>BDH("GTBP US Equity","CUR_MKT_CAP","1993-06-18","2026-05-02","Per=M","Days=T","Dir=V")</f>
        <v>0</v>
      </c>
      <c r="AU2">
        <f>BDH("GTBP US Equity","EQY_SH_OUT","1993-06-18","2026-05-02","Per=M","Days=T","Dir=V")</f>
        <v>0</v>
      </c>
      <c r="AW2">
        <f>BDH("GTBP US Equity","PX_VOLUME","1993-06-18","2026-05-02","Per=M","Days=T","Dir=V")</f>
        <v>0</v>
      </c>
      <c r="AY2">
        <f>BDH("GTBP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BDH("GTIM US Equity","BS_TOT_ASSET","1993-06-18","2026-05-02","Per=Y","Days=T","Dir=V")</f>
        <v>0</v>
      </c>
      <c r="C2">
        <f>BDH("GTIM US Equity","BS_TOT_LIAB2","1993-06-18","2026-05-02","Per=Y","Days=T","Dir=V")</f>
        <v>0</v>
      </c>
      <c r="E2">
        <f>BDH("GTIM US Equity","SHORT_AND_LONG_TERM_DEBT","1993-06-18","2026-05-02","Per=Y","Days=T","Dir=V")</f>
        <v>0</v>
      </c>
      <c r="G2">
        <f>BDH("GTIM US Equity","BS_ST_BORROW","1993-06-18","2026-05-02","Per=Y","Days=T","Dir=V")</f>
        <v>0</v>
      </c>
      <c r="I2">
        <f>BDH("GTIM US Equity","BS_LT_BORROW","1993-06-18","2026-05-02","Per=Y","Days=T","Dir=V")</f>
        <v>0</v>
      </c>
      <c r="K2">
        <f>BDH("GTIM US Equity","BS_CASH_NEAR_CASH_ITEM","1993-06-18","2026-05-02","Per=Y","Days=T","Dir=V")</f>
        <v>0</v>
      </c>
      <c r="M2">
        <f>BDH("GTIM US Equity","BS_CUR_ASSET_REPORT","1993-06-18","2026-05-02","Per=Y","Days=T","Dir=V")</f>
        <v>0</v>
      </c>
      <c r="O2">
        <f>BDH("GTIM US Equity","BS_CUR_LIAB","1993-06-18","2026-05-02","Per=Y","Days=T","Dir=V")</f>
        <v>0</v>
      </c>
      <c r="Q2">
        <f>BDH("GTIM US Equity","BS_SHAREHOLDER_EQY_ENDING_PERIOD","1993-06-18","2026-05-02","Per=Y","Days=T","Dir=V")</f>
        <v>0</v>
      </c>
      <c r="S2">
        <f>BDH("GTIM US Equity","BS_ACCT_NOTE_RCV","1993-06-18","2026-05-02","Per=Y","Days=T","Dir=V")</f>
        <v>0</v>
      </c>
      <c r="U2">
        <f>BDH("GTIM US Equity","BS_INVENTORIES","1993-06-18","2026-05-02","Per=Y","Days=T","Dir=V")</f>
        <v>0</v>
      </c>
      <c r="W2">
        <f>BDH("GTIM US Equity","WORKING_CAPITAL","1993-06-18","2026-05-02","Per=Y","Days=T","Dir=V")</f>
        <v>0</v>
      </c>
      <c r="Y2">
        <f>BDH("GTIM US Equity","SALES_REV_TURN","1993-06-18","2026-05-02","Per=Y","Days=T","Dir=V")</f>
        <v>0</v>
      </c>
      <c r="AA2">
        <f>BDH("GTIM US Equity","EBIT","1993-06-18","2026-05-02","Per=Y","Days=T","Dir=V")</f>
        <v>0</v>
      </c>
      <c r="AC2">
        <f>BDH("GTIM US Equity","EBITDA","1993-06-18","2026-05-02","Per=Y","Days=T","Dir=V")</f>
        <v>0</v>
      </c>
      <c r="AE2">
        <f>BDH("GTIM US Equity","NET_INCOME","1993-06-18","2026-05-02","Per=Y","Days=T","Dir=V")</f>
        <v>0</v>
      </c>
      <c r="AG2">
        <f>BDH("GTIM US Equity","IS_INT_EXPENSE","1993-06-18","2026-05-02","Per=Y","Days=T","Dir=V")</f>
        <v>0</v>
      </c>
      <c r="AI2">
        <f>BDH("GTIM US Equity","IS_DEPR_EXP","1993-06-18","2026-05-02","Per=Y","Days=T","Dir=V")</f>
        <v>0</v>
      </c>
      <c r="AK2">
        <f>BDH("GTIM US Equity","CF_CASH_FROM_OPER","1993-06-18","2026-05-02","Per=Y","Days=T","Dir=V")</f>
        <v>0</v>
      </c>
      <c r="AM2">
        <f>BDH("GTIM US Equity","CAPITAL_EXPEND","1993-06-18","2026-05-02","Per=Y","Days=T","Dir=V")</f>
        <v>0</v>
      </c>
      <c r="AO2">
        <f>BDH("GTIM US Equity","CF_FREE_CASH_FLOW","1993-06-18","2026-05-02","Per=Y","Days=T","Dir=V")</f>
        <v>0</v>
      </c>
      <c r="AQ2">
        <f>BDH("GTIM US Equity","PX_LAST","1993-06-18","2026-05-02","Per=M","Days=T","Dir=V")</f>
        <v>0</v>
      </c>
      <c r="AS2">
        <f>BDH("GTIM US Equity","CUR_MKT_CAP","1993-06-18","2026-05-02","Per=M","Days=T","Dir=V")</f>
        <v>0</v>
      </c>
      <c r="AU2">
        <f>BDH("GTIM US Equity","EQY_SH_OUT","1993-06-18","2026-05-02","Per=M","Days=T","Dir=V")</f>
        <v>0</v>
      </c>
      <c r="AW2">
        <f>BDH("GTIM US Equity","PX_VOLUME","1993-06-18","2026-05-02","Per=M","Days=T","Dir=V")</f>
        <v>0</v>
      </c>
      <c r="AY2">
        <f>BDH("GTIM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BDH("GTLB US Equity","BS_TOT_ASSET","1993-06-18","2026-05-02","Per=Y","Days=T","Dir=V")</f>
        <v>0</v>
      </c>
      <c r="C2">
        <f>BDH("GTLB US Equity","BS_TOT_LIAB2","1993-06-18","2026-05-02","Per=Y","Days=T","Dir=V")</f>
        <v>0</v>
      </c>
      <c r="E2">
        <f>BDH("GTLB US Equity","SHORT_AND_LONG_TERM_DEBT","1993-06-18","2026-05-02","Per=Y","Days=T","Dir=V")</f>
        <v>0</v>
      </c>
      <c r="G2">
        <f>BDH("GTLB US Equity","BS_ST_BORROW","1993-06-18","2026-05-02","Per=Y","Days=T","Dir=V")</f>
        <v>0</v>
      </c>
      <c r="I2">
        <f>BDH("GTLB US Equity","BS_LT_BORROW","1993-06-18","2026-05-02","Per=Y","Days=T","Dir=V")</f>
        <v>0</v>
      </c>
      <c r="K2">
        <f>BDH("GTLB US Equity","BS_CASH_NEAR_CASH_ITEM","1993-06-18","2026-05-02","Per=Y","Days=T","Dir=V")</f>
        <v>0</v>
      </c>
      <c r="M2">
        <f>BDH("GTLB US Equity","BS_CUR_ASSET_REPORT","1993-06-18","2026-05-02","Per=Y","Days=T","Dir=V")</f>
        <v>0</v>
      </c>
      <c r="O2">
        <f>BDH("GTLB US Equity","BS_CUR_LIAB","1993-06-18","2026-05-02","Per=Y","Days=T","Dir=V")</f>
        <v>0</v>
      </c>
      <c r="Q2">
        <f>BDH("GTLB US Equity","BS_SHAREHOLDER_EQY_ENDING_PERIOD","1993-06-18","2026-05-02","Per=Y","Days=T","Dir=V")</f>
        <v>0</v>
      </c>
      <c r="S2">
        <f>BDH("GTLB US Equity","BS_ACCT_NOTE_RCV","1993-06-18","2026-05-02","Per=Y","Days=T","Dir=V")</f>
        <v>0</v>
      </c>
      <c r="U2">
        <f>BDH("GTLB US Equity","BS_INVENTORIES","1993-06-18","2026-05-02","Per=Y","Days=T","Dir=V")</f>
        <v>0</v>
      </c>
      <c r="W2">
        <f>BDH("GTLB US Equity","WORKING_CAPITAL","1993-06-18","2026-05-02","Per=Y","Days=T","Dir=V")</f>
        <v>0</v>
      </c>
      <c r="Y2">
        <f>BDH("GTLB US Equity","SALES_REV_TURN","1993-06-18","2026-05-02","Per=Y","Days=T","Dir=V")</f>
        <v>0</v>
      </c>
      <c r="AA2">
        <f>BDH("GTLB US Equity","EBIT","1993-06-18","2026-05-02","Per=Y","Days=T","Dir=V")</f>
        <v>0</v>
      </c>
      <c r="AC2">
        <f>BDH("GTLB US Equity","EBITDA","1993-06-18","2026-05-02","Per=Y","Days=T","Dir=V")</f>
        <v>0</v>
      </c>
      <c r="AE2">
        <f>BDH("GTLB US Equity","NET_INCOME","1993-06-18","2026-05-02","Per=Y","Days=T","Dir=V")</f>
        <v>0</v>
      </c>
      <c r="AG2">
        <f>BDH("GTLB US Equity","IS_INT_EXPENSE","1993-06-18","2026-05-02","Per=Y","Days=T","Dir=V")</f>
        <v>0</v>
      </c>
      <c r="AI2">
        <f>BDH("GTLB US Equity","IS_DEPR_EXP","1993-06-18","2026-05-02","Per=Y","Days=T","Dir=V")</f>
        <v>0</v>
      </c>
      <c r="AK2">
        <f>BDH("GTLB US Equity","CF_CASH_FROM_OPER","1993-06-18","2026-05-02","Per=Y","Days=T","Dir=V")</f>
        <v>0</v>
      </c>
      <c r="AM2">
        <f>BDH("GTLB US Equity","CAPITAL_EXPEND","1993-06-18","2026-05-02","Per=Y","Days=T","Dir=V")</f>
        <v>0</v>
      </c>
      <c r="AO2">
        <f>BDH("GTLB US Equity","CF_FREE_CASH_FLOW","1993-06-18","2026-05-02","Per=Y","Days=T","Dir=V")</f>
        <v>0</v>
      </c>
      <c r="AQ2">
        <f>BDH("GTLB US Equity","PX_LAST","1993-06-18","2026-05-02","Per=M","Days=T","Dir=V")</f>
        <v>0</v>
      </c>
      <c r="AS2">
        <f>BDH("GTLB US Equity","CUR_MKT_CAP","1993-06-18","2026-05-02","Per=M","Days=T","Dir=V")</f>
        <v>0</v>
      </c>
      <c r="AU2">
        <f>BDH("GTLB US Equity","EQY_SH_OUT","1993-06-18","2026-05-02","Per=M","Days=T","Dir=V")</f>
        <v>0</v>
      </c>
      <c r="AW2">
        <f>BDH("GTLB US Equity","PX_VOLUME","1993-06-18","2026-05-02","Per=M","Days=T","Dir=V")</f>
        <v>0</v>
      </c>
      <c r="AY2">
        <f>BDH("GTLB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BDH("GTM US Equity","BS_TOT_ASSET","1993-06-18","2026-05-02","Per=Y","Days=T","Dir=V")</f>
        <v>0</v>
      </c>
      <c r="C2">
        <f>BDH("GTM US Equity","BS_TOT_LIAB2","1993-06-18","2026-05-02","Per=Y","Days=T","Dir=V")</f>
        <v>0</v>
      </c>
      <c r="E2">
        <f>BDH("GTM US Equity","SHORT_AND_LONG_TERM_DEBT","1993-06-18","2026-05-02","Per=Y","Days=T","Dir=V")</f>
        <v>0</v>
      </c>
      <c r="G2">
        <f>BDH("GTM US Equity","BS_ST_BORROW","1993-06-18","2026-05-02","Per=Y","Days=T","Dir=V")</f>
        <v>0</v>
      </c>
      <c r="I2">
        <f>BDH("GTM US Equity","BS_LT_BORROW","1993-06-18","2026-05-02","Per=Y","Days=T","Dir=V")</f>
        <v>0</v>
      </c>
      <c r="K2">
        <f>BDH("GTM US Equity","BS_CASH_NEAR_CASH_ITEM","1993-06-18","2026-05-02","Per=Y","Days=T","Dir=V")</f>
        <v>0</v>
      </c>
      <c r="M2">
        <f>BDH("GTM US Equity","BS_CUR_ASSET_REPORT","1993-06-18","2026-05-02","Per=Y","Days=T","Dir=V")</f>
        <v>0</v>
      </c>
      <c r="O2">
        <f>BDH("GTM US Equity","BS_CUR_LIAB","1993-06-18","2026-05-02","Per=Y","Days=T","Dir=V")</f>
        <v>0</v>
      </c>
      <c r="Q2">
        <f>BDH("GTM US Equity","BS_SHAREHOLDER_EQY_ENDING_PERIOD","1993-06-18","2026-05-02","Per=Y","Days=T","Dir=V")</f>
        <v>0</v>
      </c>
      <c r="S2">
        <f>BDH("GTM US Equity","BS_ACCT_NOTE_RCV","1993-06-18","2026-05-02","Per=Y","Days=T","Dir=V")</f>
        <v>0</v>
      </c>
      <c r="U2">
        <f>BDH("GTM US Equity","BS_INVENTORIES","1993-06-18","2026-05-02","Per=Y","Days=T","Dir=V")</f>
        <v>0</v>
      </c>
      <c r="W2">
        <f>BDH("GTM US Equity","WORKING_CAPITAL","1993-06-18","2026-05-02","Per=Y","Days=T","Dir=V")</f>
        <v>0</v>
      </c>
      <c r="Y2">
        <f>BDH("GTM US Equity","SALES_REV_TURN","1993-06-18","2026-05-02","Per=Y","Days=T","Dir=V")</f>
        <v>0</v>
      </c>
      <c r="AA2">
        <f>BDH("GTM US Equity","EBIT","1993-06-18","2026-05-02","Per=Y","Days=T","Dir=V")</f>
        <v>0</v>
      </c>
      <c r="AC2">
        <f>BDH("GTM US Equity","EBITDA","1993-06-18","2026-05-02","Per=Y","Days=T","Dir=V")</f>
        <v>0</v>
      </c>
      <c r="AE2">
        <f>BDH("GTM US Equity","NET_INCOME","1993-06-18","2026-05-02","Per=Y","Days=T","Dir=V")</f>
        <v>0</v>
      </c>
      <c r="AG2">
        <f>BDH("GTM US Equity","IS_INT_EXPENSE","1993-06-18","2026-05-02","Per=Y","Days=T","Dir=V")</f>
        <v>0</v>
      </c>
      <c r="AI2">
        <f>BDH("GTM US Equity","IS_DEPR_EXP","1993-06-18","2026-05-02","Per=Y","Days=T","Dir=V")</f>
        <v>0</v>
      </c>
      <c r="AK2">
        <f>BDH("GTM US Equity","CF_CASH_FROM_OPER","1993-06-18","2026-05-02","Per=Y","Days=T","Dir=V")</f>
        <v>0</v>
      </c>
      <c r="AM2">
        <f>BDH("GTM US Equity","CAPITAL_EXPEND","1993-06-18","2026-05-02","Per=Y","Days=T","Dir=V")</f>
        <v>0</v>
      </c>
      <c r="AO2">
        <f>BDH("GTM US Equity","CF_FREE_CASH_FLOW","1993-06-18","2026-05-02","Per=Y","Days=T","Dir=V")</f>
        <v>0</v>
      </c>
      <c r="AQ2">
        <f>BDH("GTM US Equity","PX_LAST","1993-06-18","2026-05-02","Per=M","Days=T","Dir=V")</f>
        <v>0</v>
      </c>
      <c r="AS2">
        <f>BDH("GTM US Equity","CUR_MKT_CAP","1993-06-18","2026-05-02","Per=M","Days=T","Dir=V")</f>
        <v>0</v>
      </c>
      <c r="AU2">
        <f>BDH("GTM US Equity","EQY_SH_OUT","1993-06-18","2026-05-02","Per=M","Days=T","Dir=V")</f>
        <v>0</v>
      </c>
      <c r="AW2">
        <f>BDH("GTM US Equity","PX_VOLUME","1993-06-18","2026-05-02","Per=M","Days=T","Dir=V")</f>
        <v>0</v>
      </c>
      <c r="AY2">
        <f>BDH("GTM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BDH("GTN US Equity","BS_TOT_ASSET","1993-06-18","2026-05-02","Per=Y","Days=T","Dir=V")</f>
        <v>0</v>
      </c>
      <c r="C2">
        <f>BDH("GTN US Equity","BS_TOT_LIAB2","1993-06-18","2026-05-02","Per=Y","Days=T","Dir=V")</f>
        <v>0</v>
      </c>
      <c r="E2">
        <f>BDH("GTN US Equity","SHORT_AND_LONG_TERM_DEBT","1993-06-18","2026-05-02","Per=Y","Days=T","Dir=V")</f>
        <v>0</v>
      </c>
      <c r="G2">
        <f>BDH("GTN US Equity","BS_ST_BORROW","1993-06-18","2026-05-02","Per=Y","Days=T","Dir=V")</f>
        <v>0</v>
      </c>
      <c r="I2">
        <f>BDH("GTN US Equity","BS_LT_BORROW","1993-06-18","2026-05-02","Per=Y","Days=T","Dir=V")</f>
        <v>0</v>
      </c>
      <c r="K2">
        <f>BDH("GTN US Equity","BS_CASH_NEAR_CASH_ITEM","1993-06-18","2026-05-02","Per=Y","Days=T","Dir=V")</f>
        <v>0</v>
      </c>
      <c r="M2">
        <f>BDH("GTN US Equity","BS_CUR_ASSET_REPORT","1993-06-18","2026-05-02","Per=Y","Days=T","Dir=V")</f>
        <v>0</v>
      </c>
      <c r="O2">
        <f>BDH("GTN US Equity","BS_CUR_LIAB","1993-06-18","2026-05-02","Per=Y","Days=T","Dir=V")</f>
        <v>0</v>
      </c>
      <c r="Q2">
        <f>BDH("GTN US Equity","BS_SHAREHOLDER_EQY_ENDING_PERIOD","1993-06-18","2026-05-02","Per=Y","Days=T","Dir=V")</f>
        <v>0</v>
      </c>
      <c r="S2">
        <f>BDH("GTN US Equity","BS_ACCT_NOTE_RCV","1993-06-18","2026-05-02","Per=Y","Days=T","Dir=V")</f>
        <v>0</v>
      </c>
      <c r="U2">
        <f>BDH("GTN US Equity","BS_INVENTORIES","1993-06-18","2026-05-02","Per=Y","Days=T","Dir=V")</f>
        <v>0</v>
      </c>
      <c r="W2">
        <f>BDH("GTN US Equity","WORKING_CAPITAL","1993-06-18","2026-05-02","Per=Y","Days=T","Dir=V")</f>
        <v>0</v>
      </c>
      <c r="Y2">
        <f>BDH("GTN US Equity","SALES_REV_TURN","1993-06-18","2026-05-02","Per=Y","Days=T","Dir=V")</f>
        <v>0</v>
      </c>
      <c r="AA2">
        <f>BDH("GTN US Equity","EBIT","1993-06-18","2026-05-02","Per=Y","Days=T","Dir=V")</f>
        <v>0</v>
      </c>
      <c r="AC2">
        <f>BDH("GTN US Equity","EBITDA","1993-06-18","2026-05-02","Per=Y","Days=T","Dir=V")</f>
        <v>0</v>
      </c>
      <c r="AE2">
        <f>BDH("GTN US Equity","NET_INCOME","1993-06-18","2026-05-02","Per=Y","Days=T","Dir=V")</f>
        <v>0</v>
      </c>
      <c r="AG2">
        <f>BDH("GTN US Equity","IS_INT_EXPENSE","1993-06-18","2026-05-02","Per=Y","Days=T","Dir=V")</f>
        <v>0</v>
      </c>
      <c r="AI2">
        <f>BDH("GTN US Equity","IS_DEPR_EXP","1993-06-18","2026-05-02","Per=Y","Days=T","Dir=V")</f>
        <v>0</v>
      </c>
      <c r="AK2">
        <f>BDH("GTN US Equity","CF_CASH_FROM_OPER","1993-06-18","2026-05-02","Per=Y","Days=T","Dir=V")</f>
        <v>0</v>
      </c>
      <c r="AM2">
        <f>BDH("GTN US Equity","CAPITAL_EXPEND","1993-06-18","2026-05-02","Per=Y","Days=T","Dir=V")</f>
        <v>0</v>
      </c>
      <c r="AO2">
        <f>BDH("GTN US Equity","CF_FREE_CASH_FLOW","1993-06-18","2026-05-02","Per=Y","Days=T","Dir=V")</f>
        <v>0</v>
      </c>
      <c r="AQ2">
        <f>BDH("GTN US Equity","PX_LAST","1993-06-18","2026-05-02","Per=M","Days=T","Dir=V")</f>
        <v>0</v>
      </c>
      <c r="AS2">
        <f>BDH("GTN US Equity","CUR_MKT_CAP","1993-06-18","2026-05-02","Per=M","Days=T","Dir=V")</f>
        <v>0</v>
      </c>
      <c r="AU2">
        <f>BDH("GTN US Equity","EQY_SH_OUT","1993-06-18","2026-05-02","Per=M","Days=T","Dir=V")</f>
        <v>0</v>
      </c>
      <c r="AW2">
        <f>BDH("GTN US Equity","PX_VOLUME","1993-06-18","2026-05-02","Per=M","Days=T","Dir=V")</f>
        <v>0</v>
      </c>
      <c r="AY2">
        <f>BDH("GTN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BDH("GUTS US Equity","BS_TOT_ASSET","1993-06-18","2026-05-02","Per=Y","Days=T","Dir=V")</f>
        <v>0</v>
      </c>
      <c r="C2">
        <f>BDH("GUTS US Equity","BS_TOT_LIAB2","1993-06-18","2026-05-02","Per=Y","Days=T","Dir=V")</f>
        <v>0</v>
      </c>
      <c r="E2">
        <f>BDH("GUTS US Equity","SHORT_AND_LONG_TERM_DEBT","1993-06-18","2026-05-02","Per=Y","Days=T","Dir=V")</f>
        <v>0</v>
      </c>
      <c r="G2">
        <f>BDH("GUTS US Equity","BS_ST_BORROW","1993-06-18","2026-05-02","Per=Y","Days=T","Dir=V")</f>
        <v>0</v>
      </c>
      <c r="I2">
        <f>BDH("GUTS US Equity","BS_LT_BORROW","1993-06-18","2026-05-02","Per=Y","Days=T","Dir=V")</f>
        <v>0</v>
      </c>
      <c r="K2">
        <f>BDH("GUTS US Equity","BS_CASH_NEAR_CASH_ITEM","1993-06-18","2026-05-02","Per=Y","Days=T","Dir=V")</f>
        <v>0</v>
      </c>
      <c r="M2">
        <f>BDH("GUTS US Equity","BS_CUR_ASSET_REPORT","1993-06-18","2026-05-02","Per=Y","Days=T","Dir=V")</f>
        <v>0</v>
      </c>
      <c r="O2">
        <f>BDH("GUTS US Equity","BS_CUR_LIAB","1993-06-18","2026-05-02","Per=Y","Days=T","Dir=V")</f>
        <v>0</v>
      </c>
      <c r="Q2">
        <f>BDH("GUTS US Equity","BS_SHAREHOLDER_EQY_ENDING_PERIOD","1993-06-18","2026-05-02","Per=Y","Days=T","Dir=V")</f>
        <v>0</v>
      </c>
      <c r="S2">
        <f>BDH("GUTS US Equity","BS_ACCT_NOTE_RCV","1993-06-18","2026-05-02","Per=Y","Days=T","Dir=V")</f>
        <v>0</v>
      </c>
      <c r="U2">
        <f>BDH("GUTS US Equity","BS_INVENTORIES","1993-06-18","2026-05-02","Per=Y","Days=T","Dir=V")</f>
        <v>0</v>
      </c>
      <c r="W2">
        <f>BDH("GUTS US Equity","WORKING_CAPITAL","1993-06-18","2026-05-02","Per=Y","Days=T","Dir=V")</f>
        <v>0</v>
      </c>
      <c r="Y2">
        <f>BDH("GUTS US Equity","SALES_REV_TURN","1993-06-18","2026-05-02","Per=Y","Days=T","Dir=V")</f>
        <v>0</v>
      </c>
      <c r="AA2">
        <f>BDH("GUTS US Equity","EBIT","1993-06-18","2026-05-02","Per=Y","Days=T","Dir=V")</f>
        <v>0</v>
      </c>
      <c r="AC2">
        <f>BDH("GUTS US Equity","EBITDA","1993-06-18","2026-05-02","Per=Y","Days=T","Dir=V")</f>
        <v>0</v>
      </c>
      <c r="AE2">
        <f>BDH("GUTS US Equity","NET_INCOME","1993-06-18","2026-05-02","Per=Y","Days=T","Dir=V")</f>
        <v>0</v>
      </c>
      <c r="AG2">
        <f>BDH("GUTS US Equity","IS_INT_EXPENSE","1993-06-18","2026-05-02","Per=Y","Days=T","Dir=V")</f>
        <v>0</v>
      </c>
      <c r="AI2">
        <f>BDH("GUTS US Equity","IS_DEPR_EXP","1993-06-18","2026-05-02","Per=Y","Days=T","Dir=V")</f>
        <v>0</v>
      </c>
      <c r="AK2">
        <f>BDH("GUTS US Equity","CF_CASH_FROM_OPER","1993-06-18","2026-05-02","Per=Y","Days=T","Dir=V")</f>
        <v>0</v>
      </c>
      <c r="AM2">
        <f>BDH("GUTS US Equity","CAPITAL_EXPEND","1993-06-18","2026-05-02","Per=Y","Days=T","Dir=V")</f>
        <v>0</v>
      </c>
      <c r="AO2">
        <f>BDH("GUTS US Equity","CF_FREE_CASH_FLOW","1993-06-18","2026-05-02","Per=Y","Days=T","Dir=V")</f>
        <v>0</v>
      </c>
      <c r="AQ2">
        <f>BDH("GUTS US Equity","PX_LAST","1993-06-18","2026-05-02","Per=M","Days=T","Dir=V")</f>
        <v>0</v>
      </c>
      <c r="AS2">
        <f>BDH("GUTS US Equity","CUR_MKT_CAP","1993-06-18","2026-05-02","Per=M","Days=T","Dir=V")</f>
        <v>0</v>
      </c>
      <c r="AU2">
        <f>BDH("GUTS US Equity","EQY_SH_OUT","1993-06-18","2026-05-02","Per=M","Days=T","Dir=V")</f>
        <v>0</v>
      </c>
      <c r="AW2">
        <f>BDH("GUTS US Equity","PX_VOLUME","1993-06-18","2026-05-02","Per=M","Days=T","Dir=V")</f>
        <v>0</v>
      </c>
      <c r="AY2">
        <f>BDH("GUTS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BDH("GVA US Equity","BS_TOT_ASSET","1993-06-18","2026-05-02","Per=Y","Days=T","Dir=V")</f>
        <v>0</v>
      </c>
      <c r="C2">
        <f>BDH("GVA US Equity","BS_TOT_LIAB2","1993-06-18","2026-05-02","Per=Y","Days=T","Dir=V")</f>
        <v>0</v>
      </c>
      <c r="E2">
        <f>BDH("GVA US Equity","SHORT_AND_LONG_TERM_DEBT","1993-06-18","2026-05-02","Per=Y","Days=T","Dir=V")</f>
        <v>0</v>
      </c>
      <c r="G2">
        <f>BDH("GVA US Equity","BS_ST_BORROW","1993-06-18","2026-05-02","Per=Y","Days=T","Dir=V")</f>
        <v>0</v>
      </c>
      <c r="I2">
        <f>BDH("GVA US Equity","BS_LT_BORROW","1993-06-18","2026-05-02","Per=Y","Days=T","Dir=V")</f>
        <v>0</v>
      </c>
      <c r="K2">
        <f>BDH("GVA US Equity","BS_CASH_NEAR_CASH_ITEM","1993-06-18","2026-05-02","Per=Y","Days=T","Dir=V")</f>
        <v>0</v>
      </c>
      <c r="M2">
        <f>BDH("GVA US Equity","BS_CUR_ASSET_REPORT","1993-06-18","2026-05-02","Per=Y","Days=T","Dir=V")</f>
        <v>0</v>
      </c>
      <c r="O2">
        <f>BDH("GVA US Equity","BS_CUR_LIAB","1993-06-18","2026-05-02","Per=Y","Days=T","Dir=V")</f>
        <v>0</v>
      </c>
      <c r="Q2">
        <f>BDH("GVA US Equity","BS_SHAREHOLDER_EQY_ENDING_PERIOD","1993-06-18","2026-05-02","Per=Y","Days=T","Dir=V")</f>
        <v>0</v>
      </c>
      <c r="S2">
        <f>BDH("GVA US Equity","BS_ACCT_NOTE_RCV","1993-06-18","2026-05-02","Per=Y","Days=T","Dir=V")</f>
        <v>0</v>
      </c>
      <c r="U2">
        <f>BDH("GVA US Equity","BS_INVENTORIES","1993-06-18","2026-05-02","Per=Y","Days=T","Dir=V")</f>
        <v>0</v>
      </c>
      <c r="W2">
        <f>BDH("GVA US Equity","WORKING_CAPITAL","1993-06-18","2026-05-02","Per=Y","Days=T","Dir=V")</f>
        <v>0</v>
      </c>
      <c r="Y2">
        <f>BDH("GVA US Equity","SALES_REV_TURN","1993-06-18","2026-05-02","Per=Y","Days=T","Dir=V")</f>
        <v>0</v>
      </c>
      <c r="AA2">
        <f>BDH("GVA US Equity","EBIT","1993-06-18","2026-05-02","Per=Y","Days=T","Dir=V")</f>
        <v>0</v>
      </c>
      <c r="AC2">
        <f>BDH("GVA US Equity","EBITDA","1993-06-18","2026-05-02","Per=Y","Days=T","Dir=V")</f>
        <v>0</v>
      </c>
      <c r="AE2">
        <f>BDH("GVA US Equity","NET_INCOME","1993-06-18","2026-05-02","Per=Y","Days=T","Dir=V")</f>
        <v>0</v>
      </c>
      <c r="AG2">
        <f>BDH("GVA US Equity","IS_INT_EXPENSE","1993-06-18","2026-05-02","Per=Y","Days=T","Dir=V")</f>
        <v>0</v>
      </c>
      <c r="AI2">
        <f>BDH("GVA US Equity","IS_DEPR_EXP","1993-06-18","2026-05-02","Per=Y","Days=T","Dir=V")</f>
        <v>0</v>
      </c>
      <c r="AK2">
        <f>BDH("GVA US Equity","CF_CASH_FROM_OPER","1993-06-18","2026-05-02","Per=Y","Days=T","Dir=V")</f>
        <v>0</v>
      </c>
      <c r="AM2">
        <f>BDH("GVA US Equity","CAPITAL_EXPEND","1993-06-18","2026-05-02","Per=Y","Days=T","Dir=V")</f>
        <v>0</v>
      </c>
      <c r="AO2">
        <f>BDH("GVA US Equity","CF_FREE_CASH_FLOW","1993-06-18","2026-05-02","Per=Y","Days=T","Dir=V")</f>
        <v>0</v>
      </c>
      <c r="AQ2">
        <f>BDH("GVA US Equity","PX_LAST","1993-06-18","2026-05-02","Per=M","Days=T","Dir=V")</f>
        <v>0</v>
      </c>
      <c r="AS2">
        <f>BDH("GVA US Equity","CUR_MKT_CAP","1993-06-18","2026-05-02","Per=M","Days=T","Dir=V")</f>
        <v>0</v>
      </c>
      <c r="AU2">
        <f>BDH("GVA US Equity","EQY_SH_OUT","1993-06-18","2026-05-02","Per=M","Days=T","Dir=V")</f>
        <v>0</v>
      </c>
      <c r="AW2">
        <f>BDH("GVA US Equity","PX_VOLUME","1993-06-18","2026-05-02","Per=M","Days=T","Dir=V")</f>
        <v>0</v>
      </c>
      <c r="AY2">
        <f>BDH("GVA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BDH("GWAV US Equity","BS_TOT_ASSET","1993-06-18","2026-05-02","Per=Y","Days=T","Dir=V")</f>
        <v>0</v>
      </c>
      <c r="C2">
        <f>BDH("GWAV US Equity","BS_TOT_LIAB2","1993-06-18","2026-05-02","Per=Y","Days=T","Dir=V")</f>
        <v>0</v>
      </c>
      <c r="E2">
        <f>BDH("GWAV US Equity","SHORT_AND_LONG_TERM_DEBT","1993-06-18","2026-05-02","Per=Y","Days=T","Dir=V")</f>
        <v>0</v>
      </c>
      <c r="G2">
        <f>BDH("GWAV US Equity","BS_ST_BORROW","1993-06-18","2026-05-02","Per=Y","Days=T","Dir=V")</f>
        <v>0</v>
      </c>
      <c r="I2">
        <f>BDH("GWAV US Equity","BS_LT_BORROW","1993-06-18","2026-05-02","Per=Y","Days=T","Dir=V")</f>
        <v>0</v>
      </c>
      <c r="K2">
        <f>BDH("GWAV US Equity","BS_CASH_NEAR_CASH_ITEM","1993-06-18","2026-05-02","Per=Y","Days=T","Dir=V")</f>
        <v>0</v>
      </c>
      <c r="M2">
        <f>BDH("GWAV US Equity","BS_CUR_ASSET_REPORT","1993-06-18","2026-05-02","Per=Y","Days=T","Dir=V")</f>
        <v>0</v>
      </c>
      <c r="O2">
        <f>BDH("GWAV US Equity","BS_CUR_LIAB","1993-06-18","2026-05-02","Per=Y","Days=T","Dir=V")</f>
        <v>0</v>
      </c>
      <c r="Q2">
        <f>BDH("GWAV US Equity","BS_SHAREHOLDER_EQY_ENDING_PERIOD","1993-06-18","2026-05-02","Per=Y","Days=T","Dir=V")</f>
        <v>0</v>
      </c>
      <c r="S2">
        <f>BDH("GWAV US Equity","BS_ACCT_NOTE_RCV","1993-06-18","2026-05-02","Per=Y","Days=T","Dir=V")</f>
        <v>0</v>
      </c>
      <c r="U2">
        <f>BDH("GWAV US Equity","BS_INVENTORIES","1993-06-18","2026-05-02","Per=Y","Days=T","Dir=V")</f>
        <v>0</v>
      </c>
      <c r="W2">
        <f>BDH("GWAV US Equity","WORKING_CAPITAL","1993-06-18","2026-05-02","Per=Y","Days=T","Dir=V")</f>
        <v>0</v>
      </c>
      <c r="Y2">
        <f>BDH("GWAV US Equity","SALES_REV_TURN","1993-06-18","2026-05-02","Per=Y","Days=T","Dir=V")</f>
        <v>0</v>
      </c>
      <c r="AA2">
        <f>BDH("GWAV US Equity","EBIT","1993-06-18","2026-05-02","Per=Y","Days=T","Dir=V")</f>
        <v>0</v>
      </c>
      <c r="AC2">
        <f>BDH("GWAV US Equity","EBITDA","1993-06-18","2026-05-02","Per=Y","Days=T","Dir=V")</f>
        <v>0</v>
      </c>
      <c r="AE2">
        <f>BDH("GWAV US Equity","NET_INCOME","1993-06-18","2026-05-02","Per=Y","Days=T","Dir=V")</f>
        <v>0</v>
      </c>
      <c r="AG2">
        <f>BDH("GWAV US Equity","IS_INT_EXPENSE","1993-06-18","2026-05-02","Per=Y","Days=T","Dir=V")</f>
        <v>0</v>
      </c>
      <c r="AI2">
        <f>BDH("GWAV US Equity","IS_DEPR_EXP","1993-06-18","2026-05-02","Per=Y","Days=T","Dir=V")</f>
        <v>0</v>
      </c>
      <c r="AK2">
        <f>BDH("GWAV US Equity","CF_CASH_FROM_OPER","1993-06-18","2026-05-02","Per=Y","Days=T","Dir=V")</f>
        <v>0</v>
      </c>
      <c r="AM2">
        <f>BDH("GWAV US Equity","CAPITAL_EXPEND","1993-06-18","2026-05-02","Per=Y","Days=T","Dir=V")</f>
        <v>0</v>
      </c>
      <c r="AO2">
        <f>BDH("GWAV US Equity","CF_FREE_CASH_FLOW","1993-06-18","2026-05-02","Per=Y","Days=T","Dir=V")</f>
        <v>0</v>
      </c>
      <c r="AQ2">
        <f>BDH("GWAV US Equity","PX_LAST","1993-06-18","2026-05-02","Per=M","Days=T","Dir=V")</f>
        <v>0</v>
      </c>
      <c r="AS2">
        <f>BDH("GWAV US Equity","CUR_MKT_CAP","1993-06-18","2026-05-02","Per=M","Days=T","Dir=V")</f>
        <v>0</v>
      </c>
      <c r="AU2">
        <f>BDH("GWAV US Equity","EQY_SH_OUT","1993-06-18","2026-05-02","Per=M","Days=T","Dir=V")</f>
        <v>0</v>
      </c>
      <c r="AW2">
        <f>BDH("GWAV US Equity","PX_VOLUME","1993-06-18","2026-05-02","Per=M","Days=T","Dir=V")</f>
        <v>0</v>
      </c>
      <c r="AY2">
        <f>BDH("GWAV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BDH("GWRE US Equity","BS_TOT_ASSET","1993-06-18","2026-05-02","Per=Y","Days=T","Dir=V")</f>
        <v>0</v>
      </c>
      <c r="C2">
        <f>BDH("GWRE US Equity","BS_TOT_LIAB2","1993-06-18","2026-05-02","Per=Y","Days=T","Dir=V")</f>
        <v>0</v>
      </c>
      <c r="E2">
        <f>BDH("GWRE US Equity","SHORT_AND_LONG_TERM_DEBT","1993-06-18","2026-05-02","Per=Y","Days=T","Dir=V")</f>
        <v>0</v>
      </c>
      <c r="G2">
        <f>BDH("GWRE US Equity","BS_ST_BORROW","1993-06-18","2026-05-02","Per=Y","Days=T","Dir=V")</f>
        <v>0</v>
      </c>
      <c r="I2">
        <f>BDH("GWRE US Equity","BS_LT_BORROW","1993-06-18","2026-05-02","Per=Y","Days=T","Dir=V")</f>
        <v>0</v>
      </c>
      <c r="K2">
        <f>BDH("GWRE US Equity","BS_CASH_NEAR_CASH_ITEM","1993-06-18","2026-05-02","Per=Y","Days=T","Dir=V")</f>
        <v>0</v>
      </c>
      <c r="M2">
        <f>BDH("GWRE US Equity","BS_CUR_ASSET_REPORT","1993-06-18","2026-05-02","Per=Y","Days=T","Dir=V")</f>
        <v>0</v>
      </c>
      <c r="O2">
        <f>BDH("GWRE US Equity","BS_CUR_LIAB","1993-06-18","2026-05-02","Per=Y","Days=T","Dir=V")</f>
        <v>0</v>
      </c>
      <c r="Q2">
        <f>BDH("GWRE US Equity","BS_SHAREHOLDER_EQY_ENDING_PERIOD","1993-06-18","2026-05-02","Per=Y","Days=T","Dir=V")</f>
        <v>0</v>
      </c>
      <c r="S2">
        <f>BDH("GWRE US Equity","BS_ACCT_NOTE_RCV","1993-06-18","2026-05-02","Per=Y","Days=T","Dir=V")</f>
        <v>0</v>
      </c>
      <c r="U2">
        <f>BDH("GWRE US Equity","BS_INVENTORIES","1993-06-18","2026-05-02","Per=Y","Days=T","Dir=V")</f>
        <v>0</v>
      </c>
      <c r="W2">
        <f>BDH("GWRE US Equity","WORKING_CAPITAL","1993-06-18","2026-05-02","Per=Y","Days=T","Dir=V")</f>
        <v>0</v>
      </c>
      <c r="Y2">
        <f>BDH("GWRE US Equity","SALES_REV_TURN","1993-06-18","2026-05-02","Per=Y","Days=T","Dir=V")</f>
        <v>0</v>
      </c>
      <c r="AA2">
        <f>BDH("GWRE US Equity","EBIT","1993-06-18","2026-05-02","Per=Y","Days=T","Dir=V")</f>
        <v>0</v>
      </c>
      <c r="AC2">
        <f>BDH("GWRE US Equity","EBITDA","1993-06-18","2026-05-02","Per=Y","Days=T","Dir=V")</f>
        <v>0</v>
      </c>
      <c r="AE2">
        <f>BDH("GWRE US Equity","NET_INCOME","1993-06-18","2026-05-02","Per=Y","Days=T","Dir=V")</f>
        <v>0</v>
      </c>
      <c r="AG2">
        <f>BDH("GWRE US Equity","IS_INT_EXPENSE","1993-06-18","2026-05-02","Per=Y","Days=T","Dir=V")</f>
        <v>0</v>
      </c>
      <c r="AI2">
        <f>BDH("GWRE US Equity","IS_DEPR_EXP","1993-06-18","2026-05-02","Per=Y","Days=T","Dir=V")</f>
        <v>0</v>
      </c>
      <c r="AK2">
        <f>BDH("GWRE US Equity","CF_CASH_FROM_OPER","1993-06-18","2026-05-02","Per=Y","Days=T","Dir=V")</f>
        <v>0</v>
      </c>
      <c r="AM2">
        <f>BDH("GWRE US Equity","CAPITAL_EXPEND","1993-06-18","2026-05-02","Per=Y","Days=T","Dir=V")</f>
        <v>0</v>
      </c>
      <c r="AO2">
        <f>BDH("GWRE US Equity","CF_FREE_CASH_FLOW","1993-06-18","2026-05-02","Per=Y","Days=T","Dir=V")</f>
        <v>0</v>
      </c>
      <c r="AQ2">
        <f>BDH("GWRE US Equity","PX_LAST","1993-06-18","2026-05-02","Per=M","Days=T","Dir=V")</f>
        <v>0</v>
      </c>
      <c r="AS2">
        <f>BDH("GWRE US Equity","CUR_MKT_CAP","1993-06-18","2026-05-02","Per=M","Days=T","Dir=V")</f>
        <v>0</v>
      </c>
      <c r="AU2">
        <f>BDH("GWRE US Equity","EQY_SH_OUT","1993-06-18","2026-05-02","Per=M","Days=T","Dir=V")</f>
        <v>0</v>
      </c>
      <c r="AW2">
        <f>BDH("GWRE US Equity","PX_VOLUME","1993-06-18","2026-05-02","Per=M","Days=T","Dir=V")</f>
        <v>0</v>
      </c>
      <c r="AY2">
        <f>BDH("GWRE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BDH("GWRS US Equity","BS_TOT_ASSET","1993-06-18","2026-05-02","Per=Y","Days=T","Dir=V")</f>
        <v>0</v>
      </c>
      <c r="C2">
        <f>BDH("GWRS US Equity","BS_TOT_LIAB2","1993-06-18","2026-05-02","Per=Y","Days=T","Dir=V")</f>
        <v>0</v>
      </c>
      <c r="E2">
        <f>BDH("GWRS US Equity","SHORT_AND_LONG_TERM_DEBT","1993-06-18","2026-05-02","Per=Y","Days=T","Dir=V")</f>
        <v>0</v>
      </c>
      <c r="G2">
        <f>BDH("GWRS US Equity","BS_ST_BORROW","1993-06-18","2026-05-02","Per=Y","Days=T","Dir=V")</f>
        <v>0</v>
      </c>
      <c r="I2">
        <f>BDH("GWRS US Equity","BS_LT_BORROW","1993-06-18","2026-05-02","Per=Y","Days=T","Dir=V")</f>
        <v>0</v>
      </c>
      <c r="K2">
        <f>BDH("GWRS US Equity","BS_CASH_NEAR_CASH_ITEM","1993-06-18","2026-05-02","Per=Y","Days=T","Dir=V")</f>
        <v>0</v>
      </c>
      <c r="M2">
        <f>BDH("GWRS US Equity","BS_CUR_ASSET_REPORT","1993-06-18","2026-05-02","Per=Y","Days=T","Dir=V")</f>
        <v>0</v>
      </c>
      <c r="O2">
        <f>BDH("GWRS US Equity","BS_CUR_LIAB","1993-06-18","2026-05-02","Per=Y","Days=T","Dir=V")</f>
        <v>0</v>
      </c>
      <c r="Q2">
        <f>BDH("GWRS US Equity","BS_SHAREHOLDER_EQY_ENDING_PERIOD","1993-06-18","2026-05-02","Per=Y","Days=T","Dir=V")</f>
        <v>0</v>
      </c>
      <c r="S2">
        <f>BDH("GWRS US Equity","BS_ACCT_NOTE_RCV","1993-06-18","2026-05-02","Per=Y","Days=T","Dir=V")</f>
        <v>0</v>
      </c>
      <c r="U2">
        <f>BDH("GWRS US Equity","BS_INVENTORIES","1993-06-18","2026-05-02","Per=Y","Days=T","Dir=V")</f>
        <v>0</v>
      </c>
      <c r="W2">
        <f>BDH("GWRS US Equity","WORKING_CAPITAL","1993-06-18","2026-05-02","Per=Y","Days=T","Dir=V")</f>
        <v>0</v>
      </c>
      <c r="Y2">
        <f>BDH("GWRS US Equity","SALES_REV_TURN","1993-06-18","2026-05-02","Per=Y","Days=T","Dir=V")</f>
        <v>0</v>
      </c>
      <c r="AA2">
        <f>BDH("GWRS US Equity","EBIT","1993-06-18","2026-05-02","Per=Y","Days=T","Dir=V")</f>
        <v>0</v>
      </c>
      <c r="AC2">
        <f>BDH("GWRS US Equity","EBITDA","1993-06-18","2026-05-02","Per=Y","Days=T","Dir=V")</f>
        <v>0</v>
      </c>
      <c r="AE2">
        <f>BDH("GWRS US Equity","NET_INCOME","1993-06-18","2026-05-02","Per=Y","Days=T","Dir=V")</f>
        <v>0</v>
      </c>
      <c r="AG2">
        <f>BDH("GWRS US Equity","IS_INT_EXPENSE","1993-06-18","2026-05-02","Per=Y","Days=T","Dir=V")</f>
        <v>0</v>
      </c>
      <c r="AI2">
        <f>BDH("GWRS US Equity","IS_DEPR_EXP","1993-06-18","2026-05-02","Per=Y","Days=T","Dir=V")</f>
        <v>0</v>
      </c>
      <c r="AK2">
        <f>BDH("GWRS US Equity","CF_CASH_FROM_OPER","1993-06-18","2026-05-02","Per=Y","Days=T","Dir=V")</f>
        <v>0</v>
      </c>
      <c r="AM2">
        <f>BDH("GWRS US Equity","CAPITAL_EXPEND","1993-06-18","2026-05-02","Per=Y","Days=T","Dir=V")</f>
        <v>0</v>
      </c>
      <c r="AO2">
        <f>BDH("GWRS US Equity","CF_FREE_CASH_FLOW","1993-06-18","2026-05-02","Per=Y","Days=T","Dir=V")</f>
        <v>0</v>
      </c>
      <c r="AQ2">
        <f>BDH("GWRS US Equity","PX_LAST","1993-06-18","2026-05-02","Per=M","Days=T","Dir=V")</f>
        <v>0</v>
      </c>
      <c r="AS2">
        <f>BDH("GWRS US Equity","CUR_MKT_CAP","1993-06-18","2026-05-02","Per=M","Days=T","Dir=V")</f>
        <v>0</v>
      </c>
      <c r="AU2">
        <f>BDH("GWRS US Equity","EQY_SH_OUT","1993-06-18","2026-05-02","Per=M","Days=T","Dir=V")</f>
        <v>0</v>
      </c>
      <c r="AW2">
        <f>BDH("GWRS US Equity","PX_VOLUME","1993-06-18","2026-05-02","Per=M","Days=T","Dir=V")</f>
        <v>0</v>
      </c>
      <c r="AY2">
        <f>BDH("GWRS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BDH("GWW US Equity","BS_TOT_ASSET","1993-06-18","2026-05-02","Per=Y","Days=T","Dir=V")</f>
        <v>0</v>
      </c>
      <c r="C2">
        <f>BDH("GWW US Equity","BS_TOT_LIAB2","1993-06-18","2026-05-02","Per=Y","Days=T","Dir=V")</f>
        <v>0</v>
      </c>
      <c r="E2">
        <f>BDH("GWW US Equity","SHORT_AND_LONG_TERM_DEBT","1993-06-18","2026-05-02","Per=Y","Days=T","Dir=V")</f>
        <v>0</v>
      </c>
      <c r="G2">
        <f>BDH("GWW US Equity","BS_ST_BORROW","1993-06-18","2026-05-02","Per=Y","Days=T","Dir=V")</f>
        <v>0</v>
      </c>
      <c r="I2">
        <f>BDH("GWW US Equity","BS_LT_BORROW","1993-06-18","2026-05-02","Per=Y","Days=T","Dir=V")</f>
        <v>0</v>
      </c>
      <c r="K2">
        <f>BDH("GWW US Equity","BS_CASH_NEAR_CASH_ITEM","1993-06-18","2026-05-02","Per=Y","Days=T","Dir=V")</f>
        <v>0</v>
      </c>
      <c r="M2">
        <f>BDH("GWW US Equity","BS_CUR_ASSET_REPORT","1993-06-18","2026-05-02","Per=Y","Days=T","Dir=V")</f>
        <v>0</v>
      </c>
      <c r="O2">
        <f>BDH("GWW US Equity","BS_CUR_LIAB","1993-06-18","2026-05-02","Per=Y","Days=T","Dir=V")</f>
        <v>0</v>
      </c>
      <c r="Q2">
        <f>BDH("GWW US Equity","BS_SHAREHOLDER_EQY_ENDING_PERIOD","1993-06-18","2026-05-02","Per=Y","Days=T","Dir=V")</f>
        <v>0</v>
      </c>
      <c r="S2">
        <f>BDH("GWW US Equity","BS_ACCT_NOTE_RCV","1993-06-18","2026-05-02","Per=Y","Days=T","Dir=V")</f>
        <v>0</v>
      </c>
      <c r="U2">
        <f>BDH("GWW US Equity","BS_INVENTORIES","1993-06-18","2026-05-02","Per=Y","Days=T","Dir=V")</f>
        <v>0</v>
      </c>
      <c r="W2">
        <f>BDH("GWW US Equity","WORKING_CAPITAL","1993-06-18","2026-05-02","Per=Y","Days=T","Dir=V")</f>
        <v>0</v>
      </c>
      <c r="Y2">
        <f>BDH("GWW US Equity","SALES_REV_TURN","1993-06-18","2026-05-02","Per=Y","Days=T","Dir=V")</f>
        <v>0</v>
      </c>
      <c r="AA2">
        <f>BDH("GWW US Equity","EBIT","1993-06-18","2026-05-02","Per=Y","Days=T","Dir=V")</f>
        <v>0</v>
      </c>
      <c r="AC2">
        <f>BDH("GWW US Equity","EBITDA","1993-06-18","2026-05-02","Per=Y","Days=T","Dir=V")</f>
        <v>0</v>
      </c>
      <c r="AE2">
        <f>BDH("GWW US Equity","NET_INCOME","1993-06-18","2026-05-02","Per=Y","Days=T","Dir=V")</f>
        <v>0</v>
      </c>
      <c r="AG2">
        <f>BDH("GWW US Equity","IS_INT_EXPENSE","1993-06-18","2026-05-02","Per=Y","Days=T","Dir=V")</f>
        <v>0</v>
      </c>
      <c r="AI2">
        <f>BDH("GWW US Equity","IS_DEPR_EXP","1993-06-18","2026-05-02","Per=Y","Days=T","Dir=V")</f>
        <v>0</v>
      </c>
      <c r="AK2">
        <f>BDH("GWW US Equity","CF_CASH_FROM_OPER","1993-06-18","2026-05-02","Per=Y","Days=T","Dir=V")</f>
        <v>0</v>
      </c>
      <c r="AM2">
        <f>BDH("GWW US Equity","CAPITAL_EXPEND","1993-06-18","2026-05-02","Per=Y","Days=T","Dir=V")</f>
        <v>0</v>
      </c>
      <c r="AO2">
        <f>BDH("GWW US Equity","CF_FREE_CASH_FLOW","1993-06-18","2026-05-02","Per=Y","Days=T","Dir=V")</f>
        <v>0</v>
      </c>
      <c r="AQ2">
        <f>BDH("GWW US Equity","PX_LAST","1993-06-18","2026-05-02","Per=M","Days=T","Dir=V")</f>
        <v>0</v>
      </c>
      <c r="AS2">
        <f>BDH("GWW US Equity","CUR_MKT_CAP","1993-06-18","2026-05-02","Per=M","Days=T","Dir=V")</f>
        <v>0</v>
      </c>
      <c r="AU2">
        <f>BDH("GWW US Equity","EQY_SH_OUT","1993-06-18","2026-05-02","Per=M","Days=T","Dir=V")</f>
        <v>0</v>
      </c>
      <c r="AW2">
        <f>BDH("GWW US Equity","PX_VOLUME","1993-06-18","2026-05-02","Per=M","Days=T","Dir=V")</f>
        <v>0</v>
      </c>
      <c r="AY2">
        <f>BDH("GWW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BDH("GXAI US Equity","BS_TOT_ASSET","1993-06-18","2026-05-02","Per=Y","Days=T","Dir=V")</f>
        <v>0</v>
      </c>
      <c r="C2">
        <f>BDH("GXAI US Equity","BS_TOT_LIAB2","1993-06-18","2026-05-02","Per=Y","Days=T","Dir=V")</f>
        <v>0</v>
      </c>
      <c r="E2">
        <f>BDH("GXAI US Equity","SHORT_AND_LONG_TERM_DEBT","1993-06-18","2026-05-02","Per=Y","Days=T","Dir=V")</f>
        <v>0</v>
      </c>
      <c r="G2">
        <f>BDH("GXAI US Equity","BS_ST_BORROW","1993-06-18","2026-05-02","Per=Y","Days=T","Dir=V")</f>
        <v>0</v>
      </c>
      <c r="I2">
        <f>BDH("GXAI US Equity","BS_LT_BORROW","1993-06-18","2026-05-02","Per=Y","Days=T","Dir=V")</f>
        <v>0</v>
      </c>
      <c r="K2">
        <f>BDH("GXAI US Equity","BS_CASH_NEAR_CASH_ITEM","1993-06-18","2026-05-02","Per=Y","Days=T","Dir=V")</f>
        <v>0</v>
      </c>
      <c r="M2">
        <f>BDH("GXAI US Equity","BS_CUR_ASSET_REPORT","1993-06-18","2026-05-02","Per=Y","Days=T","Dir=V")</f>
        <v>0</v>
      </c>
      <c r="O2">
        <f>BDH("GXAI US Equity","BS_CUR_LIAB","1993-06-18","2026-05-02","Per=Y","Days=T","Dir=V")</f>
        <v>0</v>
      </c>
      <c r="Q2">
        <f>BDH("GXAI US Equity","BS_SHAREHOLDER_EQY_ENDING_PERIOD","1993-06-18","2026-05-02","Per=Y","Days=T","Dir=V")</f>
        <v>0</v>
      </c>
      <c r="S2">
        <f>BDH("GXAI US Equity","BS_ACCT_NOTE_RCV","1993-06-18","2026-05-02","Per=Y","Days=T","Dir=V")</f>
        <v>0</v>
      </c>
      <c r="U2">
        <f>BDH("GXAI US Equity","BS_INVENTORIES","1993-06-18","2026-05-02","Per=Y","Days=T","Dir=V")</f>
        <v>0</v>
      </c>
      <c r="W2">
        <f>BDH("GXAI US Equity","WORKING_CAPITAL","1993-06-18","2026-05-02","Per=Y","Days=T","Dir=V")</f>
        <v>0</v>
      </c>
      <c r="Y2">
        <f>BDH("GXAI US Equity","SALES_REV_TURN","1993-06-18","2026-05-02","Per=Y","Days=T","Dir=V")</f>
        <v>0</v>
      </c>
      <c r="AA2">
        <f>BDH("GXAI US Equity","EBIT","1993-06-18","2026-05-02","Per=Y","Days=T","Dir=V")</f>
        <v>0</v>
      </c>
      <c r="AC2">
        <f>BDH("GXAI US Equity","EBITDA","1993-06-18","2026-05-02","Per=Y","Days=T","Dir=V")</f>
        <v>0</v>
      </c>
      <c r="AE2">
        <f>BDH("GXAI US Equity","NET_INCOME","1993-06-18","2026-05-02","Per=Y","Days=T","Dir=V")</f>
        <v>0</v>
      </c>
      <c r="AG2">
        <f>BDH("GXAI US Equity","IS_INT_EXPENSE","1993-06-18","2026-05-02","Per=Y","Days=T","Dir=V")</f>
        <v>0</v>
      </c>
      <c r="AI2">
        <f>BDH("GXAI US Equity","IS_DEPR_EXP","1993-06-18","2026-05-02","Per=Y","Days=T","Dir=V")</f>
        <v>0</v>
      </c>
      <c r="AK2">
        <f>BDH("GXAI US Equity","CF_CASH_FROM_OPER","1993-06-18","2026-05-02","Per=Y","Days=T","Dir=V")</f>
        <v>0</v>
      </c>
      <c r="AM2">
        <f>BDH("GXAI US Equity","CAPITAL_EXPEND","1993-06-18","2026-05-02","Per=Y","Days=T","Dir=V")</f>
        <v>0</v>
      </c>
      <c r="AO2">
        <f>BDH("GXAI US Equity","CF_FREE_CASH_FLOW","1993-06-18","2026-05-02","Per=Y","Days=T","Dir=V")</f>
        <v>0</v>
      </c>
      <c r="AQ2">
        <f>BDH("GXAI US Equity","PX_LAST","1993-06-18","2026-05-02","Per=M","Days=T","Dir=V")</f>
        <v>0</v>
      </c>
      <c r="AS2">
        <f>BDH("GXAI US Equity","CUR_MKT_CAP","1993-06-18","2026-05-02","Per=M","Days=T","Dir=V")</f>
        <v>0</v>
      </c>
      <c r="AU2">
        <f>BDH("GXAI US Equity","EQY_SH_OUT","1993-06-18","2026-05-02","Per=M","Days=T","Dir=V")</f>
        <v>0</v>
      </c>
      <c r="AW2">
        <f>BDH("GXAI US Equity","PX_VOLUME","1993-06-18","2026-05-02","Per=M","Days=T","Dir=V")</f>
        <v>0</v>
      </c>
      <c r="AY2">
        <f>BDH("GXAI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BDH("GXO US Equity","BS_TOT_ASSET","1993-06-18","2026-05-02","Per=Y","Days=T","Dir=V")</f>
        <v>0</v>
      </c>
      <c r="C2">
        <f>BDH("GXO US Equity","BS_TOT_LIAB2","1993-06-18","2026-05-02","Per=Y","Days=T","Dir=V")</f>
        <v>0</v>
      </c>
      <c r="E2">
        <f>BDH("GXO US Equity","SHORT_AND_LONG_TERM_DEBT","1993-06-18","2026-05-02","Per=Y","Days=T","Dir=V")</f>
        <v>0</v>
      </c>
      <c r="G2">
        <f>BDH("GXO US Equity","BS_ST_BORROW","1993-06-18","2026-05-02","Per=Y","Days=T","Dir=V")</f>
        <v>0</v>
      </c>
      <c r="I2">
        <f>BDH("GXO US Equity","BS_LT_BORROW","1993-06-18","2026-05-02","Per=Y","Days=T","Dir=V")</f>
        <v>0</v>
      </c>
      <c r="K2">
        <f>BDH("GXO US Equity","BS_CASH_NEAR_CASH_ITEM","1993-06-18","2026-05-02","Per=Y","Days=T","Dir=V")</f>
        <v>0</v>
      </c>
      <c r="M2">
        <f>BDH("GXO US Equity","BS_CUR_ASSET_REPORT","1993-06-18","2026-05-02","Per=Y","Days=T","Dir=V")</f>
        <v>0</v>
      </c>
      <c r="O2">
        <f>BDH("GXO US Equity","BS_CUR_LIAB","1993-06-18","2026-05-02","Per=Y","Days=T","Dir=V")</f>
        <v>0</v>
      </c>
      <c r="Q2">
        <f>BDH("GXO US Equity","BS_SHAREHOLDER_EQY_ENDING_PERIOD","1993-06-18","2026-05-02","Per=Y","Days=T","Dir=V")</f>
        <v>0</v>
      </c>
      <c r="S2">
        <f>BDH("GXO US Equity","BS_ACCT_NOTE_RCV","1993-06-18","2026-05-02","Per=Y","Days=T","Dir=V")</f>
        <v>0</v>
      </c>
      <c r="U2">
        <f>BDH("GXO US Equity","BS_INVENTORIES","1993-06-18","2026-05-02","Per=Y","Days=T","Dir=V")</f>
        <v>0</v>
      </c>
      <c r="W2">
        <f>BDH("GXO US Equity","WORKING_CAPITAL","1993-06-18","2026-05-02","Per=Y","Days=T","Dir=V")</f>
        <v>0</v>
      </c>
      <c r="Y2">
        <f>BDH("GXO US Equity","SALES_REV_TURN","1993-06-18","2026-05-02","Per=Y","Days=T","Dir=V")</f>
        <v>0</v>
      </c>
      <c r="AA2">
        <f>BDH("GXO US Equity","EBIT","1993-06-18","2026-05-02","Per=Y","Days=T","Dir=V")</f>
        <v>0</v>
      </c>
      <c r="AC2">
        <f>BDH("GXO US Equity","EBITDA","1993-06-18","2026-05-02","Per=Y","Days=T","Dir=V")</f>
        <v>0</v>
      </c>
      <c r="AE2">
        <f>BDH("GXO US Equity","NET_INCOME","1993-06-18","2026-05-02","Per=Y","Days=T","Dir=V")</f>
        <v>0</v>
      </c>
      <c r="AG2">
        <f>BDH("GXO US Equity","IS_INT_EXPENSE","1993-06-18","2026-05-02","Per=Y","Days=T","Dir=V")</f>
        <v>0</v>
      </c>
      <c r="AI2">
        <f>BDH("GXO US Equity","IS_DEPR_EXP","1993-06-18","2026-05-02","Per=Y","Days=T","Dir=V")</f>
        <v>0</v>
      </c>
      <c r="AK2">
        <f>BDH("GXO US Equity","CF_CASH_FROM_OPER","1993-06-18","2026-05-02","Per=Y","Days=T","Dir=V")</f>
        <v>0</v>
      </c>
      <c r="AM2">
        <f>BDH("GXO US Equity","CAPITAL_EXPEND","1993-06-18","2026-05-02","Per=Y","Days=T","Dir=V")</f>
        <v>0</v>
      </c>
      <c r="AO2">
        <f>BDH("GXO US Equity","CF_FREE_CASH_FLOW","1993-06-18","2026-05-02","Per=Y","Days=T","Dir=V")</f>
        <v>0</v>
      </c>
      <c r="AQ2">
        <f>BDH("GXO US Equity","PX_LAST","1993-06-18","2026-05-02","Per=M","Days=T","Dir=V")</f>
        <v>0</v>
      </c>
      <c r="AS2">
        <f>BDH("GXO US Equity","CUR_MKT_CAP","1993-06-18","2026-05-02","Per=M","Days=T","Dir=V")</f>
        <v>0</v>
      </c>
      <c r="AU2">
        <f>BDH("GXO US Equity","EQY_SH_OUT","1993-06-18","2026-05-02","Per=M","Days=T","Dir=V")</f>
        <v>0</v>
      </c>
      <c r="AW2">
        <f>BDH("GXO US Equity","PX_VOLUME","1993-06-18","2026-05-02","Per=M","Days=T","Dir=V")</f>
        <v>0</v>
      </c>
      <c r="AY2">
        <f>BDH("GXO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BDH("GYGY US Equity","BS_TOT_ASSET","1993-06-18","2026-05-02","Per=Y","Days=T","Dir=V")</f>
        <v>0</v>
      </c>
      <c r="C2">
        <f>BDH("GYGY US Equity","BS_TOT_LIAB2","1993-06-18","2026-05-02","Per=Y","Days=T","Dir=V")</f>
        <v>0</v>
      </c>
      <c r="E2">
        <f>BDH("GYGY US Equity","SHORT_AND_LONG_TERM_DEBT","1993-06-18","2026-05-02","Per=Y","Days=T","Dir=V")</f>
        <v>0</v>
      </c>
      <c r="G2">
        <f>BDH("GYGY US Equity","BS_ST_BORROW","1993-06-18","2026-05-02","Per=Y","Days=T","Dir=V")</f>
        <v>0</v>
      </c>
      <c r="I2">
        <f>BDH("GYGY US Equity","BS_LT_BORROW","1993-06-18","2026-05-02","Per=Y","Days=T","Dir=V")</f>
        <v>0</v>
      </c>
      <c r="K2">
        <f>BDH("GYGY US Equity","BS_CASH_NEAR_CASH_ITEM","1993-06-18","2026-05-02","Per=Y","Days=T","Dir=V")</f>
        <v>0</v>
      </c>
      <c r="M2">
        <f>BDH("GYGY US Equity","BS_CUR_ASSET_REPORT","1993-06-18","2026-05-02","Per=Y","Days=T","Dir=V")</f>
        <v>0</v>
      </c>
      <c r="O2">
        <f>BDH("GYGY US Equity","BS_CUR_LIAB","1993-06-18","2026-05-02","Per=Y","Days=T","Dir=V")</f>
        <v>0</v>
      </c>
      <c r="Q2">
        <f>BDH("GYGY US Equity","BS_SHAREHOLDER_EQY_ENDING_PERIOD","1993-06-18","2026-05-02","Per=Y","Days=T","Dir=V")</f>
        <v>0</v>
      </c>
      <c r="S2">
        <f>BDH("GYGY US Equity","BS_ACCT_NOTE_RCV","1993-06-18","2026-05-02","Per=Y","Days=T","Dir=V")</f>
        <v>0</v>
      </c>
      <c r="U2">
        <f>BDH("GYGY US Equity","BS_INVENTORIES","1993-06-18","2026-05-02","Per=Y","Days=T","Dir=V")</f>
        <v>0</v>
      </c>
      <c r="W2">
        <f>BDH("GYGY US Equity","WORKING_CAPITAL","1993-06-18","2026-05-02","Per=Y","Days=T","Dir=V")</f>
        <v>0</v>
      </c>
      <c r="Y2">
        <f>BDH("GYGY US Equity","SALES_REV_TURN","1993-06-18","2026-05-02","Per=Y","Days=T","Dir=V")</f>
        <v>0</v>
      </c>
      <c r="AA2">
        <f>BDH("GYGY US Equity","EBIT","1993-06-18","2026-05-02","Per=Y","Days=T","Dir=V")</f>
        <v>0</v>
      </c>
      <c r="AC2">
        <f>BDH("GYGY US Equity","EBITDA","1993-06-18","2026-05-02","Per=Y","Days=T","Dir=V")</f>
        <v>0</v>
      </c>
      <c r="AE2">
        <f>BDH("GYGY US Equity","NET_INCOME","1993-06-18","2026-05-02","Per=Y","Days=T","Dir=V")</f>
        <v>0</v>
      </c>
      <c r="AG2">
        <f>BDH("GYGY US Equity","IS_INT_EXPENSE","1993-06-18","2026-05-02","Per=Y","Days=T","Dir=V")</f>
        <v>0</v>
      </c>
      <c r="AI2">
        <f>BDH("GYGY US Equity","IS_DEPR_EXP","1993-06-18","2026-05-02","Per=Y","Days=T","Dir=V")</f>
        <v>0</v>
      </c>
      <c r="AK2">
        <f>BDH("GYGY US Equity","CF_CASH_FROM_OPER","1993-06-18","2026-05-02","Per=Y","Days=T","Dir=V")</f>
        <v>0</v>
      </c>
      <c r="AM2">
        <f>BDH("GYGY US Equity","CAPITAL_EXPEND","1993-06-18","2026-05-02","Per=Y","Days=T","Dir=V")</f>
        <v>0</v>
      </c>
      <c r="AO2">
        <f>BDH("GYGY US Equity","CF_FREE_CASH_FLOW","1993-06-18","2026-05-02","Per=Y","Days=T","Dir=V")</f>
        <v>0</v>
      </c>
      <c r="AQ2">
        <f>BDH("GYGY US Equity","PX_LAST","1993-06-18","2026-05-02","Per=M","Days=T","Dir=V")</f>
        <v>0</v>
      </c>
      <c r="AS2">
        <f>BDH("GYGY US Equity","CUR_MKT_CAP","1993-06-18","2026-05-02","Per=M","Days=T","Dir=V")</f>
        <v>0</v>
      </c>
      <c r="AU2">
        <f>BDH("GYGY US Equity","EQY_SH_OUT","1993-06-18","2026-05-02","Per=M","Days=T","Dir=V")</f>
        <v>0</v>
      </c>
      <c r="AW2">
        <f>BDH("GYGY US Equity","PX_VOLUME","1993-06-18","2026-05-02","Per=M","Days=T","Dir=V")</f>
        <v>0</v>
      </c>
      <c r="AY2">
        <f>BDH("GYGY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BDH("GYRE US Equity","BS_TOT_ASSET","1993-06-18","2026-05-02","Per=Y","Days=T","Dir=V")</f>
        <v>0</v>
      </c>
      <c r="C2">
        <f>BDH("GYRE US Equity","BS_TOT_LIAB2","1993-06-18","2026-05-02","Per=Y","Days=T","Dir=V")</f>
        <v>0</v>
      </c>
      <c r="E2">
        <f>BDH("GYRE US Equity","SHORT_AND_LONG_TERM_DEBT","1993-06-18","2026-05-02","Per=Y","Days=T","Dir=V")</f>
        <v>0</v>
      </c>
      <c r="G2">
        <f>BDH("GYRE US Equity","BS_ST_BORROW","1993-06-18","2026-05-02","Per=Y","Days=T","Dir=V")</f>
        <v>0</v>
      </c>
      <c r="I2">
        <f>BDH("GYRE US Equity","BS_LT_BORROW","1993-06-18","2026-05-02","Per=Y","Days=T","Dir=V")</f>
        <v>0</v>
      </c>
      <c r="K2">
        <f>BDH("GYRE US Equity","BS_CASH_NEAR_CASH_ITEM","1993-06-18","2026-05-02","Per=Y","Days=T","Dir=V")</f>
        <v>0</v>
      </c>
      <c r="M2">
        <f>BDH("GYRE US Equity","BS_CUR_ASSET_REPORT","1993-06-18","2026-05-02","Per=Y","Days=T","Dir=V")</f>
        <v>0</v>
      </c>
      <c r="O2">
        <f>BDH("GYRE US Equity","BS_CUR_LIAB","1993-06-18","2026-05-02","Per=Y","Days=T","Dir=V")</f>
        <v>0</v>
      </c>
      <c r="Q2">
        <f>BDH("GYRE US Equity","BS_SHAREHOLDER_EQY_ENDING_PERIOD","1993-06-18","2026-05-02","Per=Y","Days=T","Dir=V")</f>
        <v>0</v>
      </c>
      <c r="S2">
        <f>BDH("GYRE US Equity","BS_ACCT_NOTE_RCV","1993-06-18","2026-05-02","Per=Y","Days=T","Dir=V")</f>
        <v>0</v>
      </c>
      <c r="U2">
        <f>BDH("GYRE US Equity","BS_INVENTORIES","1993-06-18","2026-05-02","Per=Y","Days=T","Dir=V")</f>
        <v>0</v>
      </c>
      <c r="W2">
        <f>BDH("GYRE US Equity","WORKING_CAPITAL","1993-06-18","2026-05-02","Per=Y","Days=T","Dir=V")</f>
        <v>0</v>
      </c>
      <c r="Y2">
        <f>BDH("GYRE US Equity","SALES_REV_TURN","1993-06-18","2026-05-02","Per=Y","Days=T","Dir=V")</f>
        <v>0</v>
      </c>
      <c r="AA2">
        <f>BDH("GYRE US Equity","EBIT","1993-06-18","2026-05-02","Per=Y","Days=T","Dir=V")</f>
        <v>0</v>
      </c>
      <c r="AC2">
        <f>BDH("GYRE US Equity","EBITDA","1993-06-18","2026-05-02","Per=Y","Days=T","Dir=V")</f>
        <v>0</v>
      </c>
      <c r="AE2">
        <f>BDH("GYRE US Equity","NET_INCOME","1993-06-18","2026-05-02","Per=Y","Days=T","Dir=V")</f>
        <v>0</v>
      </c>
      <c r="AG2">
        <f>BDH("GYRE US Equity","IS_INT_EXPENSE","1993-06-18","2026-05-02","Per=Y","Days=T","Dir=V")</f>
        <v>0</v>
      </c>
      <c r="AI2">
        <f>BDH("GYRE US Equity","IS_DEPR_EXP","1993-06-18","2026-05-02","Per=Y","Days=T","Dir=V")</f>
        <v>0</v>
      </c>
      <c r="AK2">
        <f>BDH("GYRE US Equity","CF_CASH_FROM_OPER","1993-06-18","2026-05-02","Per=Y","Days=T","Dir=V")</f>
        <v>0</v>
      </c>
      <c r="AM2">
        <f>BDH("GYRE US Equity","CAPITAL_EXPEND","1993-06-18","2026-05-02","Per=Y","Days=T","Dir=V")</f>
        <v>0</v>
      </c>
      <c r="AO2">
        <f>BDH("GYRE US Equity","CF_FREE_CASH_FLOW","1993-06-18","2026-05-02","Per=Y","Days=T","Dir=V")</f>
        <v>0</v>
      </c>
      <c r="AQ2">
        <f>BDH("GYRE US Equity","PX_LAST","1993-06-18","2026-05-02","Per=M","Days=T","Dir=V")</f>
        <v>0</v>
      </c>
      <c r="AS2">
        <f>BDH("GYRE US Equity","CUR_MKT_CAP","1993-06-18","2026-05-02","Per=M","Days=T","Dir=V")</f>
        <v>0</v>
      </c>
      <c r="AU2">
        <f>BDH("GYRE US Equity","EQY_SH_OUT","1993-06-18","2026-05-02","Per=M","Days=T","Dir=V")</f>
        <v>0</v>
      </c>
      <c r="AW2">
        <f>BDH("GYRE US Equity","PX_VOLUME","1993-06-18","2026-05-02","Per=M","Days=T","Dir=V")</f>
        <v>0</v>
      </c>
      <c r="AY2">
        <f>BDH("GYRE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BDH("H US Equity","BS_TOT_ASSET","1993-06-18","2026-05-02","Per=Y","Days=T","Dir=V")</f>
        <v>0</v>
      </c>
      <c r="C2">
        <f>BDH("H US Equity","BS_TOT_LIAB2","1993-06-18","2026-05-02","Per=Y","Days=T","Dir=V")</f>
        <v>0</v>
      </c>
      <c r="E2">
        <f>BDH("H US Equity","SHORT_AND_LONG_TERM_DEBT","1993-06-18","2026-05-02","Per=Y","Days=T","Dir=V")</f>
        <v>0</v>
      </c>
      <c r="G2">
        <f>BDH("H US Equity","BS_ST_BORROW","1993-06-18","2026-05-02","Per=Y","Days=T","Dir=V")</f>
        <v>0</v>
      </c>
      <c r="I2">
        <f>BDH("H US Equity","BS_LT_BORROW","1993-06-18","2026-05-02","Per=Y","Days=T","Dir=V")</f>
        <v>0</v>
      </c>
      <c r="K2">
        <f>BDH("H US Equity","BS_CASH_NEAR_CASH_ITEM","1993-06-18","2026-05-02","Per=Y","Days=T","Dir=V")</f>
        <v>0</v>
      </c>
      <c r="M2">
        <f>BDH("H US Equity","BS_CUR_ASSET_REPORT","1993-06-18","2026-05-02","Per=Y","Days=T","Dir=V")</f>
        <v>0</v>
      </c>
      <c r="O2">
        <f>BDH("H US Equity","BS_CUR_LIAB","1993-06-18","2026-05-02","Per=Y","Days=T","Dir=V")</f>
        <v>0</v>
      </c>
      <c r="Q2">
        <f>BDH("H US Equity","BS_SHAREHOLDER_EQY_ENDING_PERIOD","1993-06-18","2026-05-02","Per=Y","Days=T","Dir=V")</f>
        <v>0</v>
      </c>
      <c r="S2">
        <f>BDH("H US Equity","BS_ACCT_NOTE_RCV","1993-06-18","2026-05-02","Per=Y","Days=T","Dir=V")</f>
        <v>0</v>
      </c>
      <c r="U2">
        <f>BDH("H US Equity","BS_INVENTORIES","1993-06-18","2026-05-02","Per=Y","Days=T","Dir=V")</f>
        <v>0</v>
      </c>
      <c r="W2">
        <f>BDH("H US Equity","WORKING_CAPITAL","1993-06-18","2026-05-02","Per=Y","Days=T","Dir=V")</f>
        <v>0</v>
      </c>
      <c r="Y2">
        <f>BDH("H US Equity","SALES_REV_TURN","1993-06-18","2026-05-02","Per=Y","Days=T","Dir=V")</f>
        <v>0</v>
      </c>
      <c r="AA2">
        <f>BDH("H US Equity","EBIT","1993-06-18","2026-05-02","Per=Y","Days=T","Dir=V")</f>
        <v>0</v>
      </c>
      <c r="AC2">
        <f>BDH("H US Equity","EBITDA","1993-06-18","2026-05-02","Per=Y","Days=T","Dir=V")</f>
        <v>0</v>
      </c>
      <c r="AE2">
        <f>BDH("H US Equity","NET_INCOME","1993-06-18","2026-05-02","Per=Y","Days=T","Dir=V")</f>
        <v>0</v>
      </c>
      <c r="AG2">
        <f>BDH("H US Equity","IS_INT_EXPENSE","1993-06-18","2026-05-02","Per=Y","Days=T","Dir=V")</f>
        <v>0</v>
      </c>
      <c r="AI2">
        <f>BDH("H US Equity","IS_DEPR_EXP","1993-06-18","2026-05-02","Per=Y","Days=T","Dir=V")</f>
        <v>0</v>
      </c>
      <c r="AK2">
        <f>BDH("H US Equity","CF_CASH_FROM_OPER","1993-06-18","2026-05-02","Per=Y","Days=T","Dir=V")</f>
        <v>0</v>
      </c>
      <c r="AM2">
        <f>BDH("H US Equity","CAPITAL_EXPEND","1993-06-18","2026-05-02","Per=Y","Days=T","Dir=V")</f>
        <v>0</v>
      </c>
      <c r="AO2">
        <f>BDH("H US Equity","CF_FREE_CASH_FLOW","1993-06-18","2026-05-02","Per=Y","Days=T","Dir=V")</f>
        <v>0</v>
      </c>
      <c r="AQ2">
        <f>BDH("H US Equity","PX_LAST","1993-06-18","2026-05-02","Per=M","Days=T","Dir=V")</f>
        <v>0</v>
      </c>
      <c r="AS2">
        <f>BDH("H US Equity","CUR_MKT_CAP","1993-06-18","2026-05-02","Per=M","Days=T","Dir=V")</f>
        <v>0</v>
      </c>
      <c r="AU2">
        <f>BDH("H US Equity","EQY_SH_OUT","1993-06-18","2026-05-02","Per=M","Days=T","Dir=V")</f>
        <v>0</v>
      </c>
      <c r="AW2">
        <f>BDH("H US Equity","PX_VOLUME","1993-06-18","2026-05-02","Per=M","Days=T","Dir=V")</f>
        <v>0</v>
      </c>
      <c r="AY2">
        <f>BDH("H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BDH("HAE US Equity","BS_TOT_ASSET","1993-06-18","2026-05-02","Per=Y","Days=T","Dir=V")</f>
        <v>0</v>
      </c>
      <c r="C2">
        <f>BDH("HAE US Equity","BS_TOT_LIAB2","1993-06-18","2026-05-02","Per=Y","Days=T","Dir=V")</f>
        <v>0</v>
      </c>
      <c r="E2">
        <f>BDH("HAE US Equity","SHORT_AND_LONG_TERM_DEBT","1993-06-18","2026-05-02","Per=Y","Days=T","Dir=V")</f>
        <v>0</v>
      </c>
      <c r="G2">
        <f>BDH("HAE US Equity","BS_ST_BORROW","1993-06-18","2026-05-02","Per=Y","Days=T","Dir=V")</f>
        <v>0</v>
      </c>
      <c r="I2">
        <f>BDH("HAE US Equity","BS_LT_BORROW","1993-06-18","2026-05-02","Per=Y","Days=T","Dir=V")</f>
        <v>0</v>
      </c>
      <c r="K2">
        <f>BDH("HAE US Equity","BS_CASH_NEAR_CASH_ITEM","1993-06-18","2026-05-02","Per=Y","Days=T","Dir=V")</f>
        <v>0</v>
      </c>
      <c r="M2">
        <f>BDH("HAE US Equity","BS_CUR_ASSET_REPORT","1993-06-18","2026-05-02","Per=Y","Days=T","Dir=V")</f>
        <v>0</v>
      </c>
      <c r="O2">
        <f>BDH("HAE US Equity","BS_CUR_LIAB","1993-06-18","2026-05-02","Per=Y","Days=T","Dir=V")</f>
        <v>0</v>
      </c>
      <c r="Q2">
        <f>BDH("HAE US Equity","BS_SHAREHOLDER_EQY_ENDING_PERIOD","1993-06-18","2026-05-02","Per=Y","Days=T","Dir=V")</f>
        <v>0</v>
      </c>
      <c r="S2">
        <f>BDH("HAE US Equity","BS_ACCT_NOTE_RCV","1993-06-18","2026-05-02","Per=Y","Days=T","Dir=V")</f>
        <v>0</v>
      </c>
      <c r="U2">
        <f>BDH("HAE US Equity","BS_INVENTORIES","1993-06-18","2026-05-02","Per=Y","Days=T","Dir=V")</f>
        <v>0</v>
      </c>
      <c r="W2">
        <f>BDH("HAE US Equity","WORKING_CAPITAL","1993-06-18","2026-05-02","Per=Y","Days=T","Dir=V")</f>
        <v>0</v>
      </c>
      <c r="Y2">
        <f>BDH("HAE US Equity","SALES_REV_TURN","1993-06-18","2026-05-02","Per=Y","Days=T","Dir=V")</f>
        <v>0</v>
      </c>
      <c r="AA2">
        <f>BDH("HAE US Equity","EBIT","1993-06-18","2026-05-02","Per=Y","Days=T","Dir=V")</f>
        <v>0</v>
      </c>
      <c r="AC2">
        <f>BDH("HAE US Equity","EBITDA","1993-06-18","2026-05-02","Per=Y","Days=T","Dir=V")</f>
        <v>0</v>
      </c>
      <c r="AE2">
        <f>BDH("HAE US Equity","NET_INCOME","1993-06-18","2026-05-02","Per=Y","Days=T","Dir=V")</f>
        <v>0</v>
      </c>
      <c r="AG2">
        <f>BDH("HAE US Equity","IS_INT_EXPENSE","1993-06-18","2026-05-02","Per=Y","Days=T","Dir=V")</f>
        <v>0</v>
      </c>
      <c r="AI2">
        <f>BDH("HAE US Equity","IS_DEPR_EXP","1993-06-18","2026-05-02","Per=Y","Days=T","Dir=V")</f>
        <v>0</v>
      </c>
      <c r="AK2">
        <f>BDH("HAE US Equity","CF_CASH_FROM_OPER","1993-06-18","2026-05-02","Per=Y","Days=T","Dir=V")</f>
        <v>0</v>
      </c>
      <c r="AM2">
        <f>BDH("HAE US Equity","CAPITAL_EXPEND","1993-06-18","2026-05-02","Per=Y","Days=T","Dir=V")</f>
        <v>0</v>
      </c>
      <c r="AO2">
        <f>BDH("HAE US Equity","CF_FREE_CASH_FLOW","1993-06-18","2026-05-02","Per=Y","Days=T","Dir=V")</f>
        <v>0</v>
      </c>
      <c r="AQ2">
        <f>BDH("HAE US Equity","PX_LAST","1993-06-18","2026-05-02","Per=M","Days=T","Dir=V")</f>
        <v>0</v>
      </c>
      <c r="AS2">
        <f>BDH("HAE US Equity","CUR_MKT_CAP","1993-06-18","2026-05-02","Per=M","Days=T","Dir=V")</f>
        <v>0</v>
      </c>
      <c r="AU2">
        <f>BDH("HAE US Equity","EQY_SH_OUT","1993-06-18","2026-05-02","Per=M","Days=T","Dir=V")</f>
        <v>0</v>
      </c>
      <c r="AW2">
        <f>BDH("HAE US Equity","PX_VOLUME","1993-06-18","2026-05-02","Per=M","Days=T","Dir=V")</f>
        <v>0</v>
      </c>
      <c r="AY2">
        <f>BDH("HAE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BDH("HAIN US Equity","BS_TOT_ASSET","1993-06-18","2026-05-02","Per=Y","Days=T","Dir=V")</f>
        <v>0</v>
      </c>
      <c r="C2">
        <f>BDH("HAIN US Equity","BS_TOT_LIAB2","1993-06-18","2026-05-02","Per=Y","Days=T","Dir=V")</f>
        <v>0</v>
      </c>
      <c r="E2">
        <f>BDH("HAIN US Equity","SHORT_AND_LONG_TERM_DEBT","1993-06-18","2026-05-02","Per=Y","Days=T","Dir=V")</f>
        <v>0</v>
      </c>
      <c r="G2">
        <f>BDH("HAIN US Equity","BS_ST_BORROW","1993-06-18","2026-05-02","Per=Y","Days=T","Dir=V")</f>
        <v>0</v>
      </c>
      <c r="I2">
        <f>BDH("HAIN US Equity","BS_LT_BORROW","1993-06-18","2026-05-02","Per=Y","Days=T","Dir=V")</f>
        <v>0</v>
      </c>
      <c r="K2">
        <f>BDH("HAIN US Equity","BS_CASH_NEAR_CASH_ITEM","1993-06-18","2026-05-02","Per=Y","Days=T","Dir=V")</f>
        <v>0</v>
      </c>
      <c r="M2">
        <f>BDH("HAIN US Equity","BS_CUR_ASSET_REPORT","1993-06-18","2026-05-02","Per=Y","Days=T","Dir=V")</f>
        <v>0</v>
      </c>
      <c r="O2">
        <f>BDH("HAIN US Equity","BS_CUR_LIAB","1993-06-18","2026-05-02","Per=Y","Days=T","Dir=V")</f>
        <v>0</v>
      </c>
      <c r="Q2">
        <f>BDH("HAIN US Equity","BS_SHAREHOLDER_EQY_ENDING_PERIOD","1993-06-18","2026-05-02","Per=Y","Days=T","Dir=V")</f>
        <v>0</v>
      </c>
      <c r="S2">
        <f>BDH("HAIN US Equity","BS_ACCT_NOTE_RCV","1993-06-18","2026-05-02","Per=Y","Days=T","Dir=V")</f>
        <v>0</v>
      </c>
      <c r="U2">
        <f>BDH("HAIN US Equity","BS_INVENTORIES","1993-06-18","2026-05-02","Per=Y","Days=T","Dir=V")</f>
        <v>0</v>
      </c>
      <c r="W2">
        <f>BDH("HAIN US Equity","WORKING_CAPITAL","1993-06-18","2026-05-02","Per=Y","Days=T","Dir=V")</f>
        <v>0</v>
      </c>
      <c r="Y2">
        <f>BDH("HAIN US Equity","SALES_REV_TURN","1993-06-18","2026-05-02","Per=Y","Days=T","Dir=V")</f>
        <v>0</v>
      </c>
      <c r="AA2">
        <f>BDH("HAIN US Equity","EBIT","1993-06-18","2026-05-02","Per=Y","Days=T","Dir=V")</f>
        <v>0</v>
      </c>
      <c r="AC2">
        <f>BDH("HAIN US Equity","EBITDA","1993-06-18","2026-05-02","Per=Y","Days=T","Dir=V")</f>
        <v>0</v>
      </c>
      <c r="AE2">
        <f>BDH("HAIN US Equity","NET_INCOME","1993-06-18","2026-05-02","Per=Y","Days=T","Dir=V")</f>
        <v>0</v>
      </c>
      <c r="AG2">
        <f>BDH("HAIN US Equity","IS_INT_EXPENSE","1993-06-18","2026-05-02","Per=Y","Days=T","Dir=V")</f>
        <v>0</v>
      </c>
      <c r="AI2">
        <f>BDH("HAIN US Equity","IS_DEPR_EXP","1993-06-18","2026-05-02","Per=Y","Days=T","Dir=V")</f>
        <v>0</v>
      </c>
      <c r="AK2">
        <f>BDH("HAIN US Equity","CF_CASH_FROM_OPER","1993-06-18","2026-05-02","Per=Y","Days=T","Dir=V")</f>
        <v>0</v>
      </c>
      <c r="AM2">
        <f>BDH("HAIN US Equity","CAPITAL_EXPEND","1993-06-18","2026-05-02","Per=Y","Days=T","Dir=V")</f>
        <v>0</v>
      </c>
      <c r="AO2">
        <f>BDH("HAIN US Equity","CF_FREE_CASH_FLOW","1993-06-18","2026-05-02","Per=Y","Days=T","Dir=V")</f>
        <v>0</v>
      </c>
      <c r="AQ2">
        <f>BDH("HAIN US Equity","PX_LAST","1993-06-18","2026-05-02","Per=M","Days=T","Dir=V")</f>
        <v>0</v>
      </c>
      <c r="AS2">
        <f>BDH("HAIN US Equity","CUR_MKT_CAP","1993-06-18","2026-05-02","Per=M","Days=T","Dir=V")</f>
        <v>0</v>
      </c>
      <c r="AU2">
        <f>BDH("HAIN US Equity","EQY_SH_OUT","1993-06-18","2026-05-02","Per=M","Days=T","Dir=V")</f>
        <v>0</v>
      </c>
      <c r="AW2">
        <f>BDH("HAIN US Equity","PX_VOLUME","1993-06-18","2026-05-02","Per=M","Days=T","Dir=V")</f>
        <v>0</v>
      </c>
      <c r="AY2">
        <f>BDH("HAIN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BDH("HAL US Equity","BS_TOT_ASSET","1993-06-18","2026-05-02","Per=Y","Days=T","Dir=V")</f>
        <v>0</v>
      </c>
      <c r="C2">
        <f>BDH("HAL US Equity","BS_TOT_LIAB2","1993-06-18","2026-05-02","Per=Y","Days=T","Dir=V")</f>
        <v>0</v>
      </c>
      <c r="E2">
        <f>BDH("HAL US Equity","SHORT_AND_LONG_TERM_DEBT","1993-06-18","2026-05-02","Per=Y","Days=T","Dir=V")</f>
        <v>0</v>
      </c>
      <c r="G2">
        <f>BDH("HAL US Equity","BS_ST_BORROW","1993-06-18","2026-05-02","Per=Y","Days=T","Dir=V")</f>
        <v>0</v>
      </c>
      <c r="I2">
        <f>BDH("HAL US Equity","BS_LT_BORROW","1993-06-18","2026-05-02","Per=Y","Days=T","Dir=V")</f>
        <v>0</v>
      </c>
      <c r="K2">
        <f>BDH("HAL US Equity","BS_CASH_NEAR_CASH_ITEM","1993-06-18","2026-05-02","Per=Y","Days=T","Dir=V")</f>
        <v>0</v>
      </c>
      <c r="M2">
        <f>BDH("HAL US Equity","BS_CUR_ASSET_REPORT","1993-06-18","2026-05-02","Per=Y","Days=T","Dir=V")</f>
        <v>0</v>
      </c>
      <c r="O2">
        <f>BDH("HAL US Equity","BS_CUR_LIAB","1993-06-18","2026-05-02","Per=Y","Days=T","Dir=V")</f>
        <v>0</v>
      </c>
      <c r="Q2">
        <f>BDH("HAL US Equity","BS_SHAREHOLDER_EQY_ENDING_PERIOD","1993-06-18","2026-05-02","Per=Y","Days=T","Dir=V")</f>
        <v>0</v>
      </c>
      <c r="S2">
        <f>BDH("HAL US Equity","BS_ACCT_NOTE_RCV","1993-06-18","2026-05-02","Per=Y","Days=T","Dir=V")</f>
        <v>0</v>
      </c>
      <c r="U2">
        <f>BDH("HAL US Equity","BS_INVENTORIES","1993-06-18","2026-05-02","Per=Y","Days=T","Dir=V")</f>
        <v>0</v>
      </c>
      <c r="W2">
        <f>BDH("HAL US Equity","WORKING_CAPITAL","1993-06-18","2026-05-02","Per=Y","Days=T","Dir=V")</f>
        <v>0</v>
      </c>
      <c r="Y2">
        <f>BDH("HAL US Equity","SALES_REV_TURN","1993-06-18","2026-05-02","Per=Y","Days=T","Dir=V")</f>
        <v>0</v>
      </c>
      <c r="AA2">
        <f>BDH("HAL US Equity","EBIT","1993-06-18","2026-05-02","Per=Y","Days=T","Dir=V")</f>
        <v>0</v>
      </c>
      <c r="AC2">
        <f>BDH("HAL US Equity","EBITDA","1993-06-18","2026-05-02","Per=Y","Days=T","Dir=V")</f>
        <v>0</v>
      </c>
      <c r="AE2">
        <f>BDH("HAL US Equity","NET_INCOME","1993-06-18","2026-05-02","Per=Y","Days=T","Dir=V")</f>
        <v>0</v>
      </c>
      <c r="AG2">
        <f>BDH("HAL US Equity","IS_INT_EXPENSE","1993-06-18","2026-05-02","Per=Y","Days=T","Dir=V")</f>
        <v>0</v>
      </c>
      <c r="AI2">
        <f>BDH("HAL US Equity","IS_DEPR_EXP","1993-06-18","2026-05-02","Per=Y","Days=T","Dir=V")</f>
        <v>0</v>
      </c>
      <c r="AK2">
        <f>BDH("HAL US Equity","CF_CASH_FROM_OPER","1993-06-18","2026-05-02","Per=Y","Days=T","Dir=V")</f>
        <v>0</v>
      </c>
      <c r="AM2">
        <f>BDH("HAL US Equity","CAPITAL_EXPEND","1993-06-18","2026-05-02","Per=Y","Days=T","Dir=V")</f>
        <v>0</v>
      </c>
      <c r="AO2">
        <f>BDH("HAL US Equity","CF_FREE_CASH_FLOW","1993-06-18","2026-05-02","Per=Y","Days=T","Dir=V")</f>
        <v>0</v>
      </c>
      <c r="AQ2">
        <f>BDH("HAL US Equity","PX_LAST","1993-06-18","2026-05-02","Per=M","Days=T","Dir=V")</f>
        <v>0</v>
      </c>
      <c r="AS2">
        <f>BDH("HAL US Equity","CUR_MKT_CAP","1993-06-18","2026-05-02","Per=M","Days=T","Dir=V")</f>
        <v>0</v>
      </c>
      <c r="AU2">
        <f>BDH("HAL US Equity","EQY_SH_OUT","1993-06-18","2026-05-02","Per=M","Days=T","Dir=V")</f>
        <v>0</v>
      </c>
      <c r="AW2">
        <f>BDH("HAL US Equity","PX_VOLUME","1993-06-18","2026-05-02","Per=M","Days=T","Dir=V")</f>
        <v>0</v>
      </c>
      <c r="AY2">
        <f>BDH("HAL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BDH("HALO US Equity","BS_TOT_ASSET","1993-06-18","2026-05-02","Per=Y","Days=T","Dir=V")</f>
        <v>0</v>
      </c>
      <c r="C2">
        <f>BDH("HALO US Equity","BS_TOT_LIAB2","1993-06-18","2026-05-02","Per=Y","Days=T","Dir=V")</f>
        <v>0</v>
      </c>
      <c r="E2">
        <f>BDH("HALO US Equity","SHORT_AND_LONG_TERM_DEBT","1993-06-18","2026-05-02","Per=Y","Days=T","Dir=V")</f>
        <v>0</v>
      </c>
      <c r="G2">
        <f>BDH("HALO US Equity","BS_ST_BORROW","1993-06-18","2026-05-02","Per=Y","Days=T","Dir=V")</f>
        <v>0</v>
      </c>
      <c r="I2">
        <f>BDH("HALO US Equity","BS_LT_BORROW","1993-06-18","2026-05-02","Per=Y","Days=T","Dir=V")</f>
        <v>0</v>
      </c>
      <c r="K2">
        <f>BDH("HALO US Equity","BS_CASH_NEAR_CASH_ITEM","1993-06-18","2026-05-02","Per=Y","Days=T","Dir=V")</f>
        <v>0</v>
      </c>
      <c r="M2">
        <f>BDH("HALO US Equity","BS_CUR_ASSET_REPORT","1993-06-18","2026-05-02","Per=Y","Days=T","Dir=V")</f>
        <v>0</v>
      </c>
      <c r="O2">
        <f>BDH("HALO US Equity","BS_CUR_LIAB","1993-06-18","2026-05-02","Per=Y","Days=T","Dir=V")</f>
        <v>0</v>
      </c>
      <c r="Q2">
        <f>BDH("HALO US Equity","BS_SHAREHOLDER_EQY_ENDING_PERIOD","1993-06-18","2026-05-02","Per=Y","Days=T","Dir=V")</f>
        <v>0</v>
      </c>
      <c r="S2">
        <f>BDH("HALO US Equity","BS_ACCT_NOTE_RCV","1993-06-18","2026-05-02","Per=Y","Days=T","Dir=V")</f>
        <v>0</v>
      </c>
      <c r="U2">
        <f>BDH("HALO US Equity","BS_INVENTORIES","1993-06-18","2026-05-02","Per=Y","Days=T","Dir=V")</f>
        <v>0</v>
      </c>
      <c r="W2">
        <f>BDH("HALO US Equity","WORKING_CAPITAL","1993-06-18","2026-05-02","Per=Y","Days=T","Dir=V")</f>
        <v>0</v>
      </c>
      <c r="Y2">
        <f>BDH("HALO US Equity","SALES_REV_TURN","1993-06-18","2026-05-02","Per=Y","Days=T","Dir=V")</f>
        <v>0</v>
      </c>
      <c r="AA2">
        <f>BDH("HALO US Equity","EBIT","1993-06-18","2026-05-02","Per=Y","Days=T","Dir=V")</f>
        <v>0</v>
      </c>
      <c r="AC2">
        <f>BDH("HALO US Equity","EBITDA","1993-06-18","2026-05-02","Per=Y","Days=T","Dir=V")</f>
        <v>0</v>
      </c>
      <c r="AE2">
        <f>BDH("HALO US Equity","NET_INCOME","1993-06-18","2026-05-02","Per=Y","Days=T","Dir=V")</f>
        <v>0</v>
      </c>
      <c r="AG2">
        <f>BDH("HALO US Equity","IS_INT_EXPENSE","1993-06-18","2026-05-02","Per=Y","Days=T","Dir=V")</f>
        <v>0</v>
      </c>
      <c r="AI2">
        <f>BDH("HALO US Equity","IS_DEPR_EXP","1993-06-18","2026-05-02","Per=Y","Days=T","Dir=V")</f>
        <v>0</v>
      </c>
      <c r="AK2">
        <f>BDH("HALO US Equity","CF_CASH_FROM_OPER","1993-06-18","2026-05-02","Per=Y","Days=T","Dir=V")</f>
        <v>0</v>
      </c>
      <c r="AM2">
        <f>BDH("HALO US Equity","CAPITAL_EXPEND","1993-06-18","2026-05-02","Per=Y","Days=T","Dir=V")</f>
        <v>0</v>
      </c>
      <c r="AO2">
        <f>BDH("HALO US Equity","CF_FREE_CASH_FLOW","1993-06-18","2026-05-02","Per=Y","Days=T","Dir=V")</f>
        <v>0</v>
      </c>
      <c r="AQ2">
        <f>BDH("HALO US Equity","PX_LAST","1993-06-18","2026-05-02","Per=M","Days=T","Dir=V")</f>
        <v>0</v>
      </c>
      <c r="AS2">
        <f>BDH("HALO US Equity","CUR_MKT_CAP","1993-06-18","2026-05-02","Per=M","Days=T","Dir=V")</f>
        <v>0</v>
      </c>
      <c r="AU2">
        <f>BDH("HALO US Equity","EQY_SH_OUT","1993-06-18","2026-05-02","Per=M","Days=T","Dir=V")</f>
        <v>0</v>
      </c>
      <c r="AW2">
        <f>BDH("HALO US Equity","PX_VOLUME","1993-06-18","2026-05-02","Per=M","Days=T","Dir=V")</f>
        <v>0</v>
      </c>
      <c r="AY2">
        <f>BDH("HALO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</row>
    <row r="2" spans="1:52">
      <c r="A2">
        <f>BDH("HAS US Equity","BS_TOT_ASSET","1993-06-18","2026-05-02","Per=Y","Days=T","Dir=V")</f>
        <v>0</v>
      </c>
      <c r="C2">
        <f>BDH("HAS US Equity","BS_TOT_LIAB2","1993-06-18","2026-05-02","Per=Y","Days=T","Dir=V")</f>
        <v>0</v>
      </c>
      <c r="E2">
        <f>BDH("HAS US Equity","SHORT_AND_LONG_TERM_DEBT","1993-06-18","2026-05-02","Per=Y","Days=T","Dir=V")</f>
        <v>0</v>
      </c>
      <c r="G2">
        <f>BDH("HAS US Equity","BS_ST_BORROW","1993-06-18","2026-05-02","Per=Y","Days=T","Dir=V")</f>
        <v>0</v>
      </c>
      <c r="I2">
        <f>BDH("HAS US Equity","BS_LT_BORROW","1993-06-18","2026-05-02","Per=Y","Days=T","Dir=V")</f>
        <v>0</v>
      </c>
      <c r="K2">
        <f>BDH("HAS US Equity","BS_CASH_NEAR_CASH_ITEM","1993-06-18","2026-05-02","Per=Y","Days=T","Dir=V")</f>
        <v>0</v>
      </c>
      <c r="M2">
        <f>BDH("HAS US Equity","BS_CUR_ASSET_REPORT","1993-06-18","2026-05-02","Per=Y","Days=T","Dir=V")</f>
        <v>0</v>
      </c>
      <c r="O2">
        <f>BDH("HAS US Equity","BS_CUR_LIAB","1993-06-18","2026-05-02","Per=Y","Days=T","Dir=V")</f>
        <v>0</v>
      </c>
      <c r="Q2">
        <f>BDH("HAS US Equity","BS_SHAREHOLDER_EQY_ENDING_PERIOD","1993-06-18","2026-05-02","Per=Y","Days=T","Dir=V")</f>
        <v>0</v>
      </c>
      <c r="S2">
        <f>BDH("HAS US Equity","BS_ACCT_NOTE_RCV","1993-06-18","2026-05-02","Per=Y","Days=T","Dir=V")</f>
        <v>0</v>
      </c>
      <c r="U2">
        <f>BDH("HAS US Equity","BS_INVENTORIES","1993-06-18","2026-05-02","Per=Y","Days=T","Dir=V")</f>
        <v>0</v>
      </c>
      <c r="W2">
        <f>BDH("HAS US Equity","WORKING_CAPITAL","1993-06-18","2026-05-02","Per=Y","Days=T","Dir=V")</f>
        <v>0</v>
      </c>
      <c r="Y2">
        <f>BDH("HAS US Equity","SALES_REV_TURN","1993-06-18","2026-05-02","Per=Y","Days=T","Dir=V")</f>
        <v>0</v>
      </c>
      <c r="AA2">
        <f>BDH("HAS US Equity","EBIT","1993-06-18","2026-05-02","Per=Y","Days=T","Dir=V")</f>
        <v>0</v>
      </c>
      <c r="AC2">
        <f>BDH("HAS US Equity","EBITDA","1993-06-18","2026-05-02","Per=Y","Days=T","Dir=V")</f>
        <v>0</v>
      </c>
      <c r="AE2">
        <f>BDH("HAS US Equity","NET_INCOME","1993-06-18","2026-05-02","Per=Y","Days=T","Dir=V")</f>
        <v>0</v>
      </c>
      <c r="AG2">
        <f>BDH("HAS US Equity","IS_INT_EXPENSE","1993-06-18","2026-05-02","Per=Y","Days=T","Dir=V")</f>
        <v>0</v>
      </c>
      <c r="AI2">
        <f>BDH("HAS US Equity","IS_DEPR_EXP","1993-06-18","2026-05-02","Per=Y","Days=T","Dir=V")</f>
        <v>0</v>
      </c>
      <c r="AK2">
        <f>BDH("HAS US Equity","CF_CASH_FROM_OPER","1993-06-18","2026-05-02","Per=Y","Days=T","Dir=V")</f>
        <v>0</v>
      </c>
      <c r="AM2">
        <f>BDH("HAS US Equity","CAPITAL_EXPEND","1993-06-18","2026-05-02","Per=Y","Days=T","Dir=V")</f>
        <v>0</v>
      </c>
      <c r="AO2">
        <f>BDH("HAS US Equity","CF_FREE_CASH_FLOW","1993-06-18","2026-05-02","Per=Y","Days=T","Dir=V")</f>
        <v>0</v>
      </c>
      <c r="AQ2">
        <f>BDH("HAS US Equity","PX_LAST","1993-06-18","2026-05-02","Per=M","Days=T","Dir=V")</f>
        <v>0</v>
      </c>
      <c r="AS2">
        <f>BDH("HAS US Equity","CUR_MKT_CAP","1993-06-18","2026-05-02","Per=M","Days=T","Dir=V")</f>
        <v>0</v>
      </c>
      <c r="AU2">
        <f>BDH("HAS US Equity","EQY_SH_OUT","1993-06-18","2026-05-02","Per=M","Days=T","Dir=V")</f>
        <v>0</v>
      </c>
      <c r="AW2">
        <f>BDH("HAS US Equity","PX_VOLUME","1993-06-18","2026-05-02","Per=M","Days=T","Dir=V")</f>
        <v>0</v>
      </c>
      <c r="AY2">
        <f>BDH("HAS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NB_981_Expand Energy Corporatio</vt:lpstr>
      <vt:lpstr>NB_982_Exelixis Inc. Common Sto</vt:lpstr>
      <vt:lpstr>NB_983_Expensify Inc. Class A C</vt:lpstr>
      <vt:lpstr>NB_984_ExlService Holdings Inc.</vt:lpstr>
      <vt:lpstr>NB_985_eXoZymes Inc. Common Sto</vt:lpstr>
      <vt:lpstr>NB_986_Eagle Materials Inc Comm</vt:lpstr>
      <vt:lpstr>NB_987_Expeditors International</vt:lpstr>
      <vt:lpstr>NB_988_Expedia Group Inc. Commo</vt:lpstr>
      <vt:lpstr>NB_989_Exponent Inc. Common Sto</vt:lpstr>
      <vt:lpstr>NB_990_Extreme Networks Inc. Co</vt:lpstr>
      <vt:lpstr>NB_991_Exyn Technologies Inc. C</vt:lpstr>
      <vt:lpstr>NB_992_Exyn Technologies Inc. W</vt:lpstr>
      <vt:lpstr>NB_993_National Vision Holdings</vt:lpstr>
      <vt:lpstr>NB_994_EyePoint Inc. Common Sto</vt:lpstr>
      <vt:lpstr>NB_995_EZCORP Inc. Class A Non </vt:lpstr>
      <vt:lpstr>NB_996_Ford Motor Company Commo</vt:lpstr>
      <vt:lpstr>NB_997_First Advantage Corporat</vt:lpstr>
      <vt:lpstr>NB_998_Fabric.AI Inc. Common St</vt:lpstr>
      <vt:lpstr>NB_999_Diamondback Energy Inc. </vt:lpstr>
      <vt:lpstr>NB_1000_Fastenal Company Common</vt:lpstr>
      <vt:lpstr>NB_1001_Fate Therapeutics Inc. </vt:lpstr>
      <vt:lpstr>NB_1002_FatPipe Inc. Common Sto</vt:lpstr>
      <vt:lpstr>NB_1003_First Breach Inc. Commo</vt:lpstr>
      <vt:lpstr>NB_1004_Fortune Brands Innovati</vt:lpstr>
      <vt:lpstr>NB_1005_Fortress Biotech Inc. C</vt:lpstr>
      <vt:lpstr>NB_1006_Fortress Biotech Inc. 9</vt:lpstr>
      <vt:lpstr>NB_1007_FibroBiologics Inc. Com</vt:lpstr>
      <vt:lpstr>NB_1008_Falcon's Beyond Global </vt:lpstr>
      <vt:lpstr>NB_1009_Franklin Covey Company </vt:lpstr>
      <vt:lpstr>NB_1010_FuelCell Energy Inc. Co</vt:lpstr>
      <vt:lpstr>NB_1011_FirstCash Holdings Inc.</vt:lpstr>
      <vt:lpstr>NB_1012_FTI Consulting Inc. Com</vt:lpstr>
      <vt:lpstr>NB_1013_Focus Universal Inc. Co</vt:lpstr>
      <vt:lpstr>NB_1014_Freeport-McMoRan Inc. C</vt:lpstr>
      <vt:lpstr>NB_1015_4D Molecular Therapeuti</vt:lpstr>
      <vt:lpstr>NB_1016_FactSet Research System</vt:lpstr>
      <vt:lpstr>NB_1017_FedEx Corporation Commo</vt:lpstr>
      <vt:lpstr>NB_1018_FedEx Freight Holding C</vt:lpstr>
      <vt:lpstr>NB_1019_FirstEnergy Corp. Commo</vt:lpstr>
      <vt:lpstr>NB_1020_5E Advanced Materials I</vt:lpstr>
      <vt:lpstr>NB_1021_Frequency Electronics I</vt:lpstr>
      <vt:lpstr>NB_1022_Franklin Electric Co. I</vt:lpstr>
      <vt:lpstr>NB_1023_Femasys Inc. Common Sto</vt:lpstr>
      <vt:lpstr>NB_1024_Fennec Pharmaceuticals </vt:lpstr>
      <vt:lpstr>NB_1025_Forum Energy Technologi</vt:lpstr>
      <vt:lpstr>NB_1026_FutureFuel Corp.  Commo</vt:lpstr>
      <vt:lpstr>NB_1027_Faraday Future Intellig</vt:lpstr>
      <vt:lpstr>NB_1028_F5 Inc. Common Stock</vt:lpstr>
      <vt:lpstr>NB_1029_FGI Industries Ltd. Ord</vt:lpstr>
      <vt:lpstr>NB_1030_Foghorn Therapeutics In</vt:lpstr>
      <vt:lpstr>NB_1031_Fair Isaac Corporation </vt:lpstr>
      <vt:lpstr>NB_1032_FiEE Inc Common Stock</vt:lpstr>
      <vt:lpstr>NB_1033_Figma Inc. Class A Comm</vt:lpstr>
      <vt:lpstr>NB_1034_FIGS Inc. Class A Commo</vt:lpstr>
      <vt:lpstr>NB_1035_FTAI Infrastructure Inc</vt:lpstr>
      <vt:lpstr>NB_1036_Firy Inc. Class A Commo</vt:lpstr>
      <vt:lpstr>NB_1037_Fidelity National Infor</vt:lpstr>
      <vt:lpstr>NB_1038_Deep Fission Inc. Commo</vt:lpstr>
      <vt:lpstr>NB_1039_Fiserv Inc. Common Stoc</vt:lpstr>
      <vt:lpstr>NB_1040_Five Below Inc. Common </vt:lpstr>
      <vt:lpstr>NB_1041_Five9 Inc. Common Stock</vt:lpstr>
      <vt:lpstr>NB_1042_Comfort Systems USA Inc</vt:lpstr>
      <vt:lpstr>NB_1043_National Beverage Corp.</vt:lpstr>
      <vt:lpstr>NB_1044_Starfighters Space Inc.</vt:lpstr>
      <vt:lpstr>NB_1045_Franklin Wireless Corp.</vt:lpstr>
      <vt:lpstr>NB_1046_Fulgent Genetics Inc. C</vt:lpstr>
      <vt:lpstr>NB_1047_Full House Resorts Inc.</vt:lpstr>
      <vt:lpstr>NB_1048_Filana Therapeutics Inc</vt:lpstr>
      <vt:lpstr>NB_1049_Fluent Inc. Common Stoc</vt:lpstr>
      <vt:lpstr>NB_1050_Flowers Foods Inc. Comm</vt:lpstr>
      <vt:lpstr>NB_1051_Flowco Holdings Inc. Cl</vt:lpstr>
      <vt:lpstr>NB_1052_Fluor Corporation Commo</vt:lpstr>
      <vt:lpstr>NB_1053_Flowserve Corporation C</vt:lpstr>
      <vt:lpstr>NB_1054_1-800-FLOWERS.COM Inc. </vt:lpstr>
      <vt:lpstr>NB_1055_Flexsteel Industries In</vt:lpstr>
      <vt:lpstr>NB_1056_Firefly Aerospace Inc. </vt:lpstr>
      <vt:lpstr>NB_1057_Fly-E Group Inc. Common</vt:lpstr>
      <vt:lpstr>NB_1058_Flywire Corporation Vot</vt:lpstr>
      <vt:lpstr>NB_1059_FMC Corporation Common </vt:lpstr>
      <vt:lpstr>NB_1060_Floor &amp; Decor Holdings </vt:lpstr>
      <vt:lpstr>NB_1061_FingerMotion Inc. Commo</vt:lpstr>
      <vt:lpstr>NB_1062_Funko Inc. Class A Comm</vt:lpstr>
      <vt:lpstr>NB_1063_FormFactor Inc. FormFac</vt:lpstr>
      <vt:lpstr>NB_1064_Forrester Research Inc.</vt:lpstr>
      <vt:lpstr>NB_1065_Fossil Group Inc. Commo</vt:lpstr>
      <vt:lpstr>NB_1066_Shift4 Payments Inc. Cl</vt:lpstr>
      <vt:lpstr>NB_1067_Fox Corporation Class B</vt:lpstr>
      <vt:lpstr>NB_1068_Fox Corporation Class A</vt:lpstr>
      <vt:lpstr>NB_1069_Fox Factory Holding Cor</vt:lpstr>
      <vt:lpstr>NB_1070_Foxx Development Holdin</vt:lpstr>
      <vt:lpstr>NB_1071_Forgent Power Solutions</vt:lpstr>
      <vt:lpstr>NB_1072_Friedman Industries Inc</vt:lpstr>
      <vt:lpstr>NB_1073_Freight Technologies In</vt:lpstr>
      <vt:lpstr>NB_1074_Freenome Inc. Common st</vt:lpstr>
      <vt:lpstr>NB_1075_JFrog Ltd. Ordinary Sha</vt:lpstr>
      <vt:lpstr>NB_1076_Freshpet Inc. Common St</vt:lpstr>
      <vt:lpstr>NB_1077_Freshworks Inc. Class A</vt:lpstr>
      <vt:lpstr>NB_1078_Fervo Energy Company Cl</vt:lpstr>
      <vt:lpstr>NB_1079_First Solar Inc. Common</vt:lpstr>
      <vt:lpstr>NB_1080_Fastly Inc. Class A Com</vt:lpstr>
      <vt:lpstr>NB_1081_Federal Signal Corporat</vt:lpstr>
      <vt:lpstr>NB_1082_L.B. Foster Company Com</vt:lpstr>
      <vt:lpstr>NB_1083_FTAI Aviation Ltd. Comm</vt:lpstr>
      <vt:lpstr>NB_1084_FTAI Aviation Ltd. 9.50</vt:lpstr>
      <vt:lpstr>NB_1085_FTC Solar Inc. Common S</vt:lpstr>
      <vt:lpstr>NB_1086_Frontdoor Inc. Common S</vt:lpstr>
      <vt:lpstr>NB_1087_Fuel Tech Inc. Common S</vt:lpstr>
      <vt:lpstr>NB_1088_Faeth Therapeutics Inc.</vt:lpstr>
      <vt:lpstr>NB_1089_Flotek Industries Inc. </vt:lpstr>
      <vt:lpstr>NB_1090_FitLife Brands Inc. Com</vt:lpstr>
      <vt:lpstr>NB_1091_Fortinet Inc. Common St</vt:lpstr>
      <vt:lpstr>NB_1092_Fortrea Holdings Inc. C</vt:lpstr>
      <vt:lpstr>NB_1093_Fortis Inc. Common Shar</vt:lpstr>
      <vt:lpstr>NB_1094_Fortive Corporation Com</vt:lpstr>
      <vt:lpstr>NB_1095_FuboTV Inc. Class A Com</vt:lpstr>
      <vt:lpstr>NB_1096_H. B. Fuller Company Co</vt:lpstr>
      <vt:lpstr>NB_1097_Fulcrum Therapeutics In</vt:lpstr>
      <vt:lpstr>NB_1098_Six Flags Entertainment</vt:lpstr>
      <vt:lpstr>NB_1099_Fusemachines Inc. Commo</vt:lpstr>
      <vt:lpstr>NB_1100_Fusemachines Inc. Warra</vt:lpstr>
      <vt:lpstr>NB_1101_Liberty Media Corporati</vt:lpstr>
      <vt:lpstr>NB_1102_Liberty Media Corporati</vt:lpstr>
      <vt:lpstr>NB_1103_Forward Air Corporation</vt:lpstr>
      <vt:lpstr>NB_1104_First Watch Restaurant </vt:lpstr>
      <vt:lpstr>NB_1105_Gaia Inc. Class A Commo</vt:lpstr>
      <vt:lpstr>NB_1106_Galectin Therapeutics I</vt:lpstr>
      <vt:lpstr>NB_1107_GameSquare Holdings Inc</vt:lpstr>
      <vt:lpstr>NB_1108_Gain Therapeutics Inc. </vt:lpstr>
      <vt:lpstr>NB_1109_Gap Inc. (The) Common S</vt:lpstr>
      <vt:lpstr>NB_1110_GATX Corporation Common</vt:lpstr>
      <vt:lpstr>NB_1111_New Concept Energy Inc </vt:lpstr>
      <vt:lpstr>NB_1112_Global Business Travel </vt:lpstr>
      <vt:lpstr>NB_1113_Greenbrier Companies In</vt:lpstr>
      <vt:lpstr>NB_1114_Genesco Inc. Common Sto</vt:lpstr>
      <vt:lpstr>NB_1115_GigaCloud Technology In</vt:lpstr>
      <vt:lpstr>NB_1116_GlucoTrack Inc. Common </vt:lpstr>
      <vt:lpstr>NB_1117_GCT Semiconductor Holdi</vt:lpstr>
      <vt:lpstr>NB_1118_General Dynamics Corpor</vt:lpstr>
      <vt:lpstr>NB_1119_GD Culture Group Limite</vt:lpstr>
      <vt:lpstr>NB_1120_GoDaddy Inc. Class A Co</vt:lpstr>
      <vt:lpstr>NB_1121_GoodRx Holdings Inc. Cl</vt:lpstr>
      <vt:lpstr>NB_1122_Grid Dynamics Holdings </vt:lpstr>
      <vt:lpstr>NB_1123_GE Aerospace Common Sto</vt:lpstr>
      <vt:lpstr>NB_1124_Great Elm Group Inc. Co</vt:lpstr>
      <vt:lpstr>NB_1125_Great Elm Group Inc.  7</vt:lpstr>
      <vt:lpstr>NB_1126_GE HealthCare Technolog</vt:lpstr>
      <vt:lpstr>NB_1127_Genesis Energy L.P. Com</vt:lpstr>
      <vt:lpstr>NB_1128_Gen Digital Inc. Common</vt:lpstr>
      <vt:lpstr>NB_1129_Generate Biomedicines I</vt:lpstr>
      <vt:lpstr>NB_1130_Gencor Industries Inc. </vt:lpstr>
      <vt:lpstr>NB_1131_GEN Restaurant Group In</vt:lpstr>
      <vt:lpstr>NB_1132_Gen Digital Inc. Contin</vt:lpstr>
      <vt:lpstr>NB_1133_Geo Group Inc (The) REI</vt:lpstr>
      <vt:lpstr>NB_1134_Geospace Technologies C</vt:lpstr>
      <vt:lpstr>NB_1135_Geron Corporation Commo</vt:lpstr>
      <vt:lpstr>NB_1136_Getty Images Holdings I</vt:lpstr>
      <vt:lpstr>NB_1137_GE Vernova Inc. Common </vt:lpstr>
      <vt:lpstr>NB_1138_Gevo Inc. Common Stock</vt:lpstr>
      <vt:lpstr>NB_1139_Griffon Corporation Com</vt:lpstr>
      <vt:lpstr>NB_1140_GlobalFoundries Inc. Or</vt:lpstr>
      <vt:lpstr>NB_1141_General Fusion Group Lt</vt:lpstr>
      <vt:lpstr>NB_1142_General Fusion Group Lt</vt:lpstr>
      <vt:lpstr>NB_1143_Graco Inc. Common Stock</vt:lpstr>
      <vt:lpstr>NB_1144_Guardant Health Inc. Co</vt:lpstr>
      <vt:lpstr>NB_1145_Graham Corporation Comm</vt:lpstr>
      <vt:lpstr>NB_1146_Global Industrial Compa</vt:lpstr>
      <vt:lpstr>NB_1147_Giftify Inc. Common Sto</vt:lpstr>
      <vt:lpstr>NB_1148_G-III Apparel Group LTD</vt:lpstr>
      <vt:lpstr>NB_1149_Gilead Sciences Inc. Co</vt:lpstr>
      <vt:lpstr>NB_1150_General Mills Inc. Comm</vt:lpstr>
      <vt:lpstr>NB_1151_Glaukos Corporation Com</vt:lpstr>
      <vt:lpstr>NB_1152_Gladstone Capital Corpo</vt:lpstr>
      <vt:lpstr>NB_1153_Liberty Capital Corpora</vt:lpstr>
      <vt:lpstr>NB_1154_Liberty Capital Corpora</vt:lpstr>
      <vt:lpstr>NB_1155_Greenland Energy Compan</vt:lpstr>
      <vt:lpstr>NB_1156_Greenland Energy Compan</vt:lpstr>
      <vt:lpstr>NB_1157_Globant S.A. Common Sha</vt:lpstr>
      <vt:lpstr>NB_1158_Gloo Holdings Inc. Clas</vt:lpstr>
      <vt:lpstr>NB_1159_Global Partners LP Comm</vt:lpstr>
      <vt:lpstr>NB_1160_Greenwich LifeSciences </vt:lpstr>
      <vt:lpstr>NB_1161_Monte Rosa Therapeutics</vt:lpstr>
      <vt:lpstr>NB_1162_Corning Incorporated Co</vt:lpstr>
      <vt:lpstr>NB_1163_General Motors Company </vt:lpstr>
      <vt:lpstr>NB_1164_GameStop Corporation Co</vt:lpstr>
      <vt:lpstr>NB_1165_Globus Medical Inc. Cla</vt:lpstr>
      <vt:lpstr>NB_1166_Genie Energy Ltd. Class</vt:lpstr>
      <vt:lpstr>NB_1167_Genco Shipping &amp; Tradin</vt:lpstr>
      <vt:lpstr>NB_1168_Greenlane Holdings Inc.</vt:lpstr>
      <vt:lpstr>NB_1169_Genelux Corporation Com</vt:lpstr>
      <vt:lpstr>NB_1170_Genprex Inc. Common Sto</vt:lpstr>
      <vt:lpstr>NB_1171_Generac Holdlings Inc. </vt:lpstr>
      <vt:lpstr>NB_1172_Genasys Inc. Common Sto</vt:lpstr>
      <vt:lpstr>NB_1173_Gentex Corporation Comm</vt:lpstr>
      <vt:lpstr>NB_1174_Grocery Outlet Holding </vt:lpstr>
      <vt:lpstr>NB_1175_Eva Live Inc. Common St</vt:lpstr>
      <vt:lpstr>NB_1176_Gogo Inc. Common Stock</vt:lpstr>
      <vt:lpstr>NB_1177_Gold.com Inc. Common St</vt:lpstr>
      <vt:lpstr>NB_1178_Acushnet Holdings Corp.</vt:lpstr>
      <vt:lpstr>NB_1179_Alphabet Inc. Class C C</vt:lpstr>
      <vt:lpstr>NB_1180_Alphabet Inc. Class A C</vt:lpstr>
      <vt:lpstr>NB_1181_Alphabet Inc. Depositar</vt:lpstr>
      <vt:lpstr>NB_1182_Alphabet Inc. Depositar</vt:lpstr>
      <vt:lpstr>NB_1183_Gossamer Bio Inc. Commo</vt:lpstr>
      <vt:lpstr>NB_1184_GeoVax Labs Inc. Common</vt:lpstr>
      <vt:lpstr>NB_1185_General Purpose Acquisi</vt:lpstr>
      <vt:lpstr>NB_1186_Genuine Parts Company C</vt:lpstr>
      <vt:lpstr>NB_1187_Structure Therapeutics </vt:lpstr>
      <vt:lpstr>NB_1188_Group 1 Automotive Inc.</vt:lpstr>
      <vt:lpstr>NB_1189_Georgia Power Company S</vt:lpstr>
      <vt:lpstr>NB_1190_Graphic Packaging Holdi</vt:lpstr>
      <vt:lpstr>NB_1191_Global Payments Inc. Co</vt:lpstr>
      <vt:lpstr>NB_1192_Gulfport Energy Corpora</vt:lpstr>
      <vt:lpstr>NB_1193_Green Plains Inc. Commo</vt:lpstr>
      <vt:lpstr>NB_1194_GoPro Inc. Class A Comm</vt:lpstr>
      <vt:lpstr>NB_1195_Hyperscale Data Inc. Co</vt:lpstr>
      <vt:lpstr>NB_1196_GRAIL Inc. Common Stock</vt:lpstr>
      <vt:lpstr>NB_1197_Green Brick Partners In</vt:lpstr>
      <vt:lpstr>NB_1198_Gorman-Rupp Company (Th</vt:lpstr>
      <vt:lpstr>NB_1199_Guardian Pharmacy Servi</vt:lpstr>
      <vt:lpstr>NB_1200_GridAI Technologies Cor</vt:lpstr>
      <vt:lpstr>NB_1201_GRI Bio Inc. Common Sto</vt:lpstr>
      <vt:lpstr>NB_1202_Greenland Mines Ltd. Co</vt:lpstr>
      <vt:lpstr>NB_1203_Greenland Mines Ltd War</vt:lpstr>
      <vt:lpstr>NB_1204_Granite Ridge Resources</vt:lpstr>
      <vt:lpstr>NB_1205_Groupon Inc. Common Sto</vt:lpstr>
      <vt:lpstr>NB_1206_GrowGeneration Corp. Co</vt:lpstr>
      <vt:lpstr>NB_1207_Globalstar Inc. Common </vt:lpstr>
      <vt:lpstr>NB_1208_GSI Technology Common S</vt:lpstr>
      <vt:lpstr>NB_1209_The Goodyear Tire &amp; Rub</vt:lpstr>
      <vt:lpstr>NB_1210_GT Biopharma Inc. Commo</vt:lpstr>
      <vt:lpstr>NB_1211_Good Times Restaurants </vt:lpstr>
      <vt:lpstr>NB_1212_GitLab Inc. Class A Com</vt:lpstr>
      <vt:lpstr>NB_1213_ZoomInfo Technologies I</vt:lpstr>
      <vt:lpstr>NB_1214_Gray Media Inc. Common </vt:lpstr>
      <vt:lpstr>NB_1215_Fractyl Health Inc. Com</vt:lpstr>
      <vt:lpstr>NB_1216_Granite Construction In</vt:lpstr>
      <vt:lpstr>NB_1217_Greenwave Technology So</vt:lpstr>
      <vt:lpstr>NB_1218_Guidewire Software Inc.</vt:lpstr>
      <vt:lpstr>NB_1219_Global Water Resources </vt:lpstr>
      <vt:lpstr>NB_1220_W.W. Grainger Inc. Comm</vt:lpstr>
      <vt:lpstr>NB_1221_Gaxos.ai Inc. Common St</vt:lpstr>
      <vt:lpstr>NB_1222_GXO Logistics Inc. Comm</vt:lpstr>
      <vt:lpstr>NB_1223_Game Your Game Inc. Com</vt:lpstr>
      <vt:lpstr>NB_1224_Gyre Therapeutics Inc. </vt:lpstr>
      <vt:lpstr>NB_1225_Hyatt Hotels Corporatio</vt:lpstr>
      <vt:lpstr>NB_1226_Haemonetics Corporation</vt:lpstr>
      <vt:lpstr>NB_1227_Hain Celestial Group In</vt:lpstr>
      <vt:lpstr>NB_1228_Halliburton Company Com</vt:lpstr>
      <vt:lpstr>NB_1229_Halozyme Therapeutics I</vt:lpstr>
      <vt:lpstr>NB_1230_Hasbro Inc. Common Stoc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2026-10-05T19:45:14Z</dcterms:created>
  <dcterms:modified xsi:type="dcterms:W3CDTF">2026-10-05T19:45:14Z</dcterms:modified>
</cp:coreProperties>
</file>