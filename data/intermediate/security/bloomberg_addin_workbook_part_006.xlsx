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SA_293_Zynex Inc" sheetId="2" r:id="rId2"/>
    <sheet name="SA_306_Luminar Technologies Inc" sheetId="3" r:id="rId3"/>
    <sheet name="SA_16_Ecd Automotive Design Inc" sheetId="4" r:id="rId4"/>
    <sheet name="SA_201_Inspire Veterinary Partn" sheetId="5" r:id="rId5"/>
    <sheet name="SA_300_Nine Energy Service Inc" sheetId="6" r:id="rId6"/>
    <sheet name="SA_1_Twin Hospitality Group Inc" sheetId="7" r:id="rId7"/>
    <sheet name="SA_147_Fat Brands Inc" sheetId="8" r:id="rId8"/>
    <sheet name="SA_101_Blue Hat Interactive Ent" sheetId="9" r:id="rId9"/>
    <sheet name="SA_167_Io Biotech Inc" sheetId="10" r:id="rId10"/>
    <sheet name="SA_98_Qvc Group Inc" sheetId="11" r:id="rId11"/>
    <sheet name="SA_245_American Rebel Holdings " sheetId="12" r:id="rId12"/>
    <sheet name="SA_37_Society Pass Incorporated" sheetId="13" r:id="rId13"/>
    <sheet name="SA_183_Inotiv Inc" sheetId="14" r:id="rId14"/>
    <sheet name="SA_229_Gohealth Inc" sheetId="15" r:id="rId15"/>
    <sheet name="SA_146_Sleep Number Corp" sheetId="16" r:id="rId16"/>
    <sheet name="SA_301_Devvstream Corp" sheetId="17" r:id="rId17"/>
    <sheet name="SA_63_Aditxt Inc" sheetId="18" r:id="rId18"/>
    <sheet name="SA_148_Origin Materials Inc" sheetId="19" r:id="rId19"/>
    <sheet name="SA_269_Visionary Holdings Inc" sheetId="20" r:id="rId20"/>
    <sheet name="NB_1092_Fortune Brands Innovati" sheetId="21" r:id="rId21"/>
    <sheet name="NB_2950_Tronox Holdings plc Ord" sheetId="22" r:id="rId22"/>
    <sheet name="NB_3043_U.S. Gold Corp. Common " sheetId="23" r:id="rId23"/>
    <sheet name="NB_1533_IperionX Limited Americ" sheetId="24" r:id="rId24"/>
    <sheet name="NB_658_Clearwater Paper Corpora" sheetId="25" r:id="rId25"/>
    <sheet name="NB_772_Contango Silver &amp; Gold I" sheetId="26" r:id="rId26"/>
    <sheet name="NB_202_Angi Inc. Class A Common" sheetId="27" r:id="rId27"/>
    <sheet name="NB_1572_JetBlue Airways Corpora" sheetId="28" r:id="rId28"/>
    <sheet name="NB_2900_Tandy Leather Factory I" sheetId="29" r:id="rId29"/>
    <sheet name="NB_5_Advance Auto Parts Inc." sheetId="30" r:id="rId30"/>
    <sheet name="NB_798_Commercial Vehicle Group" sheetId="31" r:id="rId31"/>
    <sheet name="NB_1059_EVgo Inc. Class A Commo" sheetId="32" r:id="rId32"/>
    <sheet name="NB_2602_Scholastic Corporation " sheetId="33" r:id="rId33"/>
    <sheet name="NB_3032_Urban One Inc. Class A " sheetId="34" r:id="rId34"/>
    <sheet name="NB_728_CPS Technologies Corp. C" sheetId="35" r:id="rId35"/>
    <sheet name="NB_973_Energy Focus Inc. Common" sheetId="36" r:id="rId36"/>
    <sheet name="NB_45_ACV Auctions Inc. Class A" sheetId="37" r:id="rId37"/>
    <sheet name="NB_3170_WEX Inc. common stock" sheetId="38" r:id="rId38"/>
    <sheet name="NB_3278_Zillow Group Inc. Class" sheetId="39" r:id="rId39"/>
    <sheet name="NB_196_Amazon.com Inc. Common S" sheetId="40" r:id="rId40"/>
    <sheet name="NB_2529_Ross Stores Inc. Common" sheetId="41" r:id="rId41"/>
    <sheet name="NB_432_Blue Bird Corporation Co" sheetId="42" r:id="rId42"/>
    <sheet name="NB_711_Traeger Inc. Common Stoc" sheetId="43" r:id="rId43"/>
    <sheet name="NB_372_Best Buy Co. Inc. Common" sheetId="44" r:id="rId44"/>
    <sheet name="NB_2035_Natural Health Trends C" sheetId="45" r:id="rId45"/>
    <sheet name="NB_2743_Sonoco Products Company" sheetId="46" r:id="rId46"/>
    <sheet name="NB_1803_Macy's Inc Common Stock" sheetId="47" r:id="rId47"/>
    <sheet name="NB_13_ABM Industries Incorporat" sheetId="48" r:id="rId48"/>
    <sheet name="NB_79_Alliance Entertainment Ho" sheetId="49" r:id="rId49"/>
    <sheet name="NB_1263_GameStop Corporation Co" sheetId="50" r:id="rId50"/>
    <sheet name="NB_186_Ameresco Inc. Class A Co" sheetId="51" r:id="rId51"/>
  </sheets>
  <calcPr calcId="124519" fullCalcOnLoad="1"/>
</workbook>
</file>

<file path=xl/sharedStrings.xml><?xml version="1.0" encoding="utf-8"?>
<sst xmlns="http://schemas.openxmlformats.org/spreadsheetml/2006/main" count="3361" uniqueCount="354">
  <si>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</si>
  <si>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</si>
  <si>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</si>
  <si>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</si>
  <si>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</si>
  <si>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</si>
  <si>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</si>
  <si>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</si>
  <si>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</si>
  <si>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</si>
  <si>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</si>
  <si>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SA_293</t>
  </si>
  <si>
    <t>bankrupt</t>
  </si>
  <si>
    <t>2025-12-23</t>
  </si>
  <si>
    <t>ZYXIQ</t>
  </si>
  <si>
    <t>Zynex Inc</t>
  </si>
  <si>
    <t/>
  </si>
  <si>
    <t>ZYXIQ US Equity</t>
  </si>
  <si>
    <t>2025-09-24</t>
  </si>
  <si>
    <t>2020-09-24</t>
  </si>
  <si>
    <t>SA_306</t>
  </si>
  <si>
    <t>LAZRQ</t>
  </si>
  <si>
    <t>Luminar Technologies Inc</t>
  </si>
  <si>
    <t>1707890D US Equity</t>
  </si>
  <si>
    <t>SA_16</t>
  </si>
  <si>
    <t>2026-01-15</t>
  </si>
  <si>
    <t>ECDA</t>
  </si>
  <si>
    <t>Ecd Automotive Design Inc</t>
  </si>
  <si>
    <t>ECDA US Equity</t>
  </si>
  <si>
    <t>2025-10-17</t>
  </si>
  <si>
    <t>2020-10-17</t>
  </si>
  <si>
    <t>SA_201</t>
  </si>
  <si>
    <t>2026-01-20</t>
  </si>
  <si>
    <t>IVPR</t>
  </si>
  <si>
    <t>Inspire Veterinary Partners Inc</t>
  </si>
  <si>
    <t>IVPR US Equity</t>
  </si>
  <si>
    <t>2025-10-22</t>
  </si>
  <si>
    <t>2020-10-22</t>
  </si>
  <si>
    <t>SA_300</t>
  </si>
  <si>
    <t>2026-01-30</t>
  </si>
  <si>
    <t>NINEQ</t>
  </si>
  <si>
    <t>Nine Energy Service Inc</t>
  </si>
  <si>
    <t>NINE US Equity</t>
  </si>
  <si>
    <t>2025-11-01</t>
  </si>
  <si>
    <t>2020-11-01</t>
  </si>
  <si>
    <t>SA_1</t>
  </si>
  <si>
    <t>2026-02-03</t>
  </si>
  <si>
    <t>TWNPQ</t>
  </si>
  <si>
    <t>Twin Hospitality Group Inc</t>
  </si>
  <si>
    <t>TWNPQ US Equity</t>
  </si>
  <si>
    <t>2025-11-05</t>
  </si>
  <si>
    <t>2020-11-05</t>
  </si>
  <si>
    <t>SA_147</t>
  </si>
  <si>
    <t>FATAQ</t>
  </si>
  <si>
    <t>Fat Brands Inc</t>
  </si>
  <si>
    <t>FATAQ US Equity</t>
  </si>
  <si>
    <t>SA_101</t>
  </si>
  <si>
    <t>2026-03-13</t>
  </si>
  <si>
    <t>BHATF</t>
  </si>
  <si>
    <t>Blue Hat Interactive Entertainment Technology</t>
  </si>
  <si>
    <t>BHATF US Equity</t>
  </si>
  <si>
    <t>2025-12-13</t>
  </si>
  <si>
    <t>2020-12-13</t>
  </si>
  <si>
    <t>SA_167</t>
  </si>
  <si>
    <t>2026-04-06</t>
  </si>
  <si>
    <t>IOBTQ</t>
  </si>
  <si>
    <t>Io Biotech Inc</t>
  </si>
  <si>
    <t>IOBTQ US Equity</t>
  </si>
  <si>
    <t>2026-01-06</t>
  </si>
  <si>
    <t>2021-01-06</t>
  </si>
  <si>
    <t>SA_98</t>
  </si>
  <si>
    <t>2026-04-24</t>
  </si>
  <si>
    <t>QVCAQ</t>
  </si>
  <si>
    <t>Qvc Group Inc</t>
  </si>
  <si>
    <t>QVCG US Equity</t>
  </si>
  <si>
    <t>2026-01-24</t>
  </si>
  <si>
    <t>2021-01-24</t>
  </si>
  <si>
    <t>SA_245</t>
  </si>
  <si>
    <t>2026-05-12</t>
  </si>
  <si>
    <t>AREB</t>
  </si>
  <si>
    <t>American Rebel Holdings Inc</t>
  </si>
  <si>
    <t>AREB US Equity</t>
  </si>
  <si>
    <t>2026-02-11</t>
  </si>
  <si>
    <t>2021-02-11</t>
  </si>
  <si>
    <t>SA_37</t>
  </si>
  <si>
    <t>2026-05-20</t>
  </si>
  <si>
    <t>SOPAQ</t>
  </si>
  <si>
    <t>Society Pass Incorporated</t>
  </si>
  <si>
    <t>SOPAQ US Equity</t>
  </si>
  <si>
    <t>2026-02-19</t>
  </si>
  <si>
    <t>2021-02-19</t>
  </si>
  <si>
    <t>SA_183</t>
  </si>
  <si>
    <t>2026-06-10</t>
  </si>
  <si>
    <t>NOTVQ</t>
  </si>
  <si>
    <t>Inotiv Inc</t>
  </si>
  <si>
    <t>NOTVQ US Equity</t>
  </si>
  <si>
    <t>2026-03-12</t>
  </si>
  <si>
    <t>2021-03-12</t>
  </si>
  <si>
    <t>SA_229</t>
  </si>
  <si>
    <t>2026-06-15</t>
  </si>
  <si>
    <t>GOCOQ</t>
  </si>
  <si>
    <t>Gohealth Inc</t>
  </si>
  <si>
    <t>GOCOQ US Equity</t>
  </si>
  <si>
    <t>2026-03-17</t>
  </si>
  <si>
    <t>2021-03-17</t>
  </si>
  <si>
    <t>SA_146</t>
  </si>
  <si>
    <t>2026-06-22</t>
  </si>
  <si>
    <t>SNBRQ</t>
  </si>
  <si>
    <t>Sleep Number Corp</t>
  </si>
  <si>
    <t>SNBRQ US Equity</t>
  </si>
  <si>
    <t>2026-03-24</t>
  </si>
  <si>
    <t>2021-03-24</t>
  </si>
  <si>
    <t>SA_301</t>
  </si>
  <si>
    <t>2026-06-23</t>
  </si>
  <si>
    <t>DEVSF</t>
  </si>
  <si>
    <t>Devvstream Corp</t>
  </si>
  <si>
    <t>DEVSF US Equity</t>
  </si>
  <si>
    <t>2026-03-25</t>
  </si>
  <si>
    <t>2021-03-25</t>
  </si>
  <si>
    <t>SA_63</t>
  </si>
  <si>
    <t>2026-06-24</t>
  </si>
  <si>
    <t>ADTX</t>
  </si>
  <si>
    <t>Aditxt Inc</t>
  </si>
  <si>
    <t>ADTX US Equity</t>
  </si>
  <si>
    <t>2026-03-26</t>
  </si>
  <si>
    <t>2021-03-26</t>
  </si>
  <si>
    <t>SA_148</t>
  </si>
  <si>
    <t>2026-07-01</t>
  </si>
  <si>
    <t>ORGN</t>
  </si>
  <si>
    <t>Origin Materials Inc</t>
  </si>
  <si>
    <t>ORGN US Equity</t>
  </si>
  <si>
    <t>2026-04-02</t>
  </si>
  <si>
    <t>2021-04-02</t>
  </si>
  <si>
    <t>SA_269</t>
  </si>
  <si>
    <t>2026-07-31</t>
  </si>
  <si>
    <t>GVHGF</t>
  </si>
  <si>
    <t>Visionary Holdings Inc</t>
  </si>
  <si>
    <t>GVHGF US Equity</t>
  </si>
  <si>
    <t>2026-05-02</t>
  </si>
  <si>
    <t>2021-05-02</t>
  </si>
  <si>
    <t>NB_1092</t>
  </si>
  <si>
    <t>nonbankrupt</t>
  </si>
  <si>
    <t>FBIN</t>
  </si>
  <si>
    <t>Fortune Brands Innovations Inc. Common Stock</t>
  </si>
  <si>
    <t>Basic Materials</t>
  </si>
  <si>
    <t>Forest Products</t>
  </si>
  <si>
    <t>FBIN US Equity</t>
  </si>
  <si>
    <t>2021-06-30</t>
  </si>
  <si>
    <t>2016-06-30</t>
  </si>
  <si>
    <t>NB_2950</t>
  </si>
  <si>
    <t>TROX</t>
  </si>
  <si>
    <t>Tronox Holdings plc Ordinary Shares (UK)</t>
  </si>
  <si>
    <t>Major Chemicals</t>
  </si>
  <si>
    <t>TROX US Equity</t>
  </si>
  <si>
    <t>NB_3043</t>
  </si>
  <si>
    <t>USAU</t>
  </si>
  <si>
    <t>U.S. Gold Corp. Common Stock</t>
  </si>
  <si>
    <t>Metal Mining</t>
  </si>
  <si>
    <t>USAU US Equity</t>
  </si>
  <si>
    <t>NB_1533</t>
  </si>
  <si>
    <t>IPX</t>
  </si>
  <si>
    <t>IperionX Limited American Depositary Share</t>
  </si>
  <si>
    <t>Other Metals and Minerals</t>
  </si>
  <si>
    <t>IPX US Equity</t>
  </si>
  <si>
    <t>NB_658</t>
  </si>
  <si>
    <t>CLW</t>
  </si>
  <si>
    <t>Clearwater Paper Corporation Common Stock</t>
  </si>
  <si>
    <t>Paper</t>
  </si>
  <si>
    <t>CLW US Equity</t>
  </si>
  <si>
    <t>NB_772</t>
  </si>
  <si>
    <t>CTGO</t>
  </si>
  <si>
    <t>Contango Silver &amp; Gold Inc. Common Stock</t>
  </si>
  <si>
    <t>Precious Metals</t>
  </si>
  <si>
    <t>CTGO US Equity</t>
  </si>
  <si>
    <t>NB_202</t>
  </si>
  <si>
    <t>ANGI</t>
  </si>
  <si>
    <t>Angi Inc. Class A Common Stock</t>
  </si>
  <si>
    <t>Consumer Discretionary</t>
  </si>
  <si>
    <t>Advertising</t>
  </si>
  <si>
    <t>ANGI US Equity</t>
  </si>
  <si>
    <t>NB_1572</t>
  </si>
  <si>
    <t>JBLU</t>
  </si>
  <si>
    <t>JetBlue Airways Corporation Common Stock</t>
  </si>
  <si>
    <t>Air Freight/Delivery Services</t>
  </si>
  <si>
    <t>JBLU US Equity</t>
  </si>
  <si>
    <t>NB_2900</t>
  </si>
  <si>
    <t>TLF</t>
  </si>
  <si>
    <t>Tandy Leather Factory Inc. Common Stock</t>
  </si>
  <si>
    <t>Apparel</t>
  </si>
  <si>
    <t>TLF US Equity</t>
  </si>
  <si>
    <t>NB_5</t>
  </si>
  <si>
    <t>AAP</t>
  </si>
  <si>
    <t>Advance Auto Parts Inc.</t>
  </si>
  <si>
    <t>Auto &amp; Home Supply Stores</t>
  </si>
  <si>
    <t>AAP US Equity</t>
  </si>
  <si>
    <t>NB_798</t>
  </si>
  <si>
    <t>CVGI</t>
  </si>
  <si>
    <t>Commercial Vehicle Group Inc. Common Stock</t>
  </si>
  <si>
    <t>Auto Parts:O.E.M.</t>
  </si>
  <si>
    <t>CVGI US Equity</t>
  </si>
  <si>
    <t>NB_1059</t>
  </si>
  <si>
    <t>EVGO</t>
  </si>
  <si>
    <t>EVgo Inc. Class A Common Stock</t>
  </si>
  <si>
    <t>Automotive Aftermarket</t>
  </si>
  <si>
    <t>EVGO US Equity</t>
  </si>
  <si>
    <t>NB_2602</t>
  </si>
  <si>
    <t>SCHL</t>
  </si>
  <si>
    <t>Scholastic Corporation Common Stock</t>
  </si>
  <si>
    <t>Books</t>
  </si>
  <si>
    <t>SCHL US Equity</t>
  </si>
  <si>
    <t>NB_3032</t>
  </si>
  <si>
    <t>UONE</t>
  </si>
  <si>
    <t>Urban One Inc. Class A Common Stock</t>
  </si>
  <si>
    <t>Broadcasting</t>
  </si>
  <si>
    <t>UONE US Equity</t>
  </si>
  <si>
    <t>NB_728</t>
  </si>
  <si>
    <t>CPSH</t>
  </si>
  <si>
    <t>CPS Technologies Corp. Common Stock</t>
  </si>
  <si>
    <t>Building Materials</t>
  </si>
  <si>
    <t>CPSH US Equity</t>
  </si>
  <si>
    <t>NB_973</t>
  </si>
  <si>
    <t>EFOI</t>
  </si>
  <si>
    <t>Energy Focus Inc. Common Stock</t>
  </si>
  <si>
    <t>Building Products</t>
  </si>
  <si>
    <t>EFOI US Equity</t>
  </si>
  <si>
    <t>NB_45</t>
  </si>
  <si>
    <t>ACVA</t>
  </si>
  <si>
    <t>ACV Auctions Inc. Class A Common Stock</t>
  </si>
  <si>
    <t>Business Services</t>
  </si>
  <si>
    <t>ACVA US Equity</t>
  </si>
  <si>
    <t>NB_3170</t>
  </si>
  <si>
    <t>WEX</t>
  </si>
  <si>
    <t>WEX Inc. common stock</t>
  </si>
  <si>
    <t>WEX US Equity</t>
  </si>
  <si>
    <t>NB_3278</t>
  </si>
  <si>
    <t>Z</t>
  </si>
  <si>
    <t>Zillow Group Inc. Class C Capital Stock</t>
  </si>
  <si>
    <t>Z US Equity</t>
  </si>
  <si>
    <t>NB_196</t>
  </si>
  <si>
    <t>AMZN</t>
  </si>
  <si>
    <t>Amazon.com Inc. Common Stock</t>
  </si>
  <si>
    <t>Catalog/Specialty Distribution</t>
  </si>
  <si>
    <t>AMZN US Equity</t>
  </si>
  <si>
    <t>NB_2529</t>
  </si>
  <si>
    <t>ROST</t>
  </si>
  <si>
    <t>Ross Stores Inc. Common Stock</t>
  </si>
  <si>
    <t>Clothing/Shoe/Accessory Stores</t>
  </si>
  <si>
    <t>ROST US Equity</t>
  </si>
  <si>
    <t>NB_432</t>
  </si>
  <si>
    <t>BLBD</t>
  </si>
  <si>
    <t>Blue Bird Corporation Common Stock</t>
  </si>
  <si>
    <t>Construction/Ag Equipment/Trucks</t>
  </si>
  <si>
    <t>BLBD US Equity</t>
  </si>
  <si>
    <t>NB_711</t>
  </si>
  <si>
    <t>COOK</t>
  </si>
  <si>
    <t>Traeger Inc. Common Stock</t>
  </si>
  <si>
    <t>Consumer Electronics/Appliances</t>
  </si>
  <si>
    <t>COOK US Equity</t>
  </si>
  <si>
    <t>NB_372</t>
  </si>
  <si>
    <t>BBY</t>
  </si>
  <si>
    <t>Best Buy Co. Inc. Common Stock</t>
  </si>
  <si>
    <t>Consumer Electronics/Video Chains</t>
  </si>
  <si>
    <t>BBY US Equity</t>
  </si>
  <si>
    <t>NB_2035</t>
  </si>
  <si>
    <t>NHTC</t>
  </si>
  <si>
    <t>Natural Health Trends Corp. Common Stock</t>
  </si>
  <si>
    <t>Consumer Specialties</t>
  </si>
  <si>
    <t>NHTC US Equity</t>
  </si>
  <si>
    <t>NB_2743</t>
  </si>
  <si>
    <t>SON</t>
  </si>
  <si>
    <t>Sonoco Products Company Common Stock</t>
  </si>
  <si>
    <t>Containers/Packaging</t>
  </si>
  <si>
    <t>SON US Equity</t>
  </si>
  <si>
    <t>NB_1803</t>
  </si>
  <si>
    <t>M</t>
  </si>
  <si>
    <t>Macy's Inc Common Stock</t>
  </si>
  <si>
    <t>Department/Specialty Retail Stores</t>
  </si>
  <si>
    <t>M US Equity</t>
  </si>
  <si>
    <t>NB_13</t>
  </si>
  <si>
    <t>ABM</t>
  </si>
  <si>
    <t>ABM Industries Incorporated Common Stock</t>
  </si>
  <si>
    <t>Diversified Commercial Services</t>
  </si>
  <si>
    <t>ABM US Equity</t>
  </si>
  <si>
    <t>NB_79</t>
  </si>
  <si>
    <t>AENT</t>
  </si>
  <si>
    <t>Alliance Entertainment Holding Corporation Class A Common Stock</t>
  </si>
  <si>
    <t>Durable Goods</t>
  </si>
  <si>
    <t>AENT US Equity</t>
  </si>
  <si>
    <t>NB_1263</t>
  </si>
  <si>
    <t>GME</t>
  </si>
  <si>
    <t>GameStop Corporation Common Stock</t>
  </si>
  <si>
    <t>Electronics Distribution</t>
  </si>
  <si>
    <t>GME US Equity</t>
  </si>
  <si>
    <t>NB_186</t>
  </si>
  <si>
    <t>AMRC</t>
  </si>
  <si>
    <t>Ameresco Inc. Class A Common Stock</t>
  </si>
  <si>
    <t>Engineering &amp; Construction</t>
  </si>
  <si>
    <t>AMRC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</si>
  <si>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</si>
  <si>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</si>
  <si>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</si>
  <si>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</si>
  <si>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</si>
  <si>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</si>
  <si>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</si>
  <si>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</si>
  <si>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</si>
  <si>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</si>
  <si>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</si>
  <si>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</si>
  <si>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</si>
  <si>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</si>
  <si>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</si>
  <si>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</si>
  <si>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</si>
  <si>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</si>
  <si>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</si>
  <si>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</si>
  <si>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</si>
  <si>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</si>
  <si>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</si>
  <si>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</si>
  <si>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</si>
  <si>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</si>
  <si>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</si>
  <si>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</si>
  <si>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</si>
  <si>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</si>
  <si>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</si>
  <si>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</si>
  <si>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</si>
  <si>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</si>
  <si>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</si>
  <si>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</si>
  <si>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</si>
  <si>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</si>
  <si>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</si>
  <si>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</si>
  <si>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</si>
  <si>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</si>
  <si>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</si>
  <si>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</si>
  <si>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</si>
  <si>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</si>
  <si>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</si>
  <si>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</si>
  <si>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beta_Date</t>
  </si>
  <si>
    <t>beta_Value</t>
  </si>
  <si>
    <t>volume_Date</t>
  </si>
  <si>
    <t>volume_Value</t>
  </si>
  <si>
    <t>turnover_Date</t>
  </si>
  <si>
    <t>turnover_Value</t>
  </si>
  <si>
    <t>bid_ask_spread_Date</t>
  </si>
  <si>
    <t>bid_ask_spread_Value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</si>
</sst>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theme" Target="theme/theme1.xml"/><Relationship Id="rId53" Type="http://schemas.openxmlformats.org/officeDocument/2006/relationships/styles" Target="styles.xml"/><Relationship Id="rId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1"/>
  <sheetViews>
    <sheetView tabSelected="1" workbookViewId="0"/>
  </sheetViews>
  <sheetFormatPr defaultRowHeight="15"/>
  <cols>
    <col min="1" max="11" width="18.710937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16</v>
      </c>
      <c r="H2" t="s">
        <v>17</v>
      </c>
      <c r="I2" t="s">
        <v>18</v>
      </c>
      <c r="J2" t="s">
        <v>19</v>
      </c>
      <c r="K2" t="s">
        <v>18</v>
      </c>
    </row>
    <row r="3" spans="1:11">
      <c r="A3" t="s">
        <v>20</v>
      </c>
      <c r="B3" t="s">
        <v>12</v>
      </c>
      <c r="C3" t="s">
        <v>13</v>
      </c>
      <c r="D3" t="s">
        <v>21</v>
      </c>
      <c r="E3" t="s">
        <v>22</v>
      </c>
      <c r="F3" t="s">
        <v>16</v>
      </c>
      <c r="G3" t="s">
        <v>16</v>
      </c>
      <c r="H3" t="s">
        <v>23</v>
      </c>
      <c r="I3" t="s">
        <v>18</v>
      </c>
      <c r="J3" t="s">
        <v>19</v>
      </c>
      <c r="K3" t="s">
        <v>18</v>
      </c>
    </row>
    <row r="4" spans="1:11">
      <c r="A4" t="s">
        <v>24</v>
      </c>
      <c r="B4" t="s">
        <v>12</v>
      </c>
      <c r="C4" t="s">
        <v>25</v>
      </c>
      <c r="D4" t="s">
        <v>26</v>
      </c>
      <c r="E4" t="s">
        <v>27</v>
      </c>
      <c r="F4" t="s">
        <v>16</v>
      </c>
      <c r="G4" t="s">
        <v>16</v>
      </c>
      <c r="H4" t="s">
        <v>28</v>
      </c>
      <c r="I4" t="s">
        <v>29</v>
      </c>
      <c r="J4" t="s">
        <v>30</v>
      </c>
      <c r="K4" t="s">
        <v>29</v>
      </c>
    </row>
    <row r="5" spans="1:11">
      <c r="A5" t="s">
        <v>31</v>
      </c>
      <c r="B5" t="s">
        <v>12</v>
      </c>
      <c r="C5" t="s">
        <v>32</v>
      </c>
      <c r="D5" t="s">
        <v>33</v>
      </c>
      <c r="E5" t="s">
        <v>34</v>
      </c>
      <c r="F5" t="s">
        <v>16</v>
      </c>
      <c r="G5" t="s">
        <v>16</v>
      </c>
      <c r="H5" t="s">
        <v>35</v>
      </c>
      <c r="I5" t="s">
        <v>36</v>
      </c>
      <c r="J5" t="s">
        <v>37</v>
      </c>
      <c r="K5" t="s">
        <v>36</v>
      </c>
    </row>
    <row r="6" spans="1:11">
      <c r="A6" t="s">
        <v>38</v>
      </c>
      <c r="B6" t="s">
        <v>12</v>
      </c>
      <c r="C6" t="s">
        <v>39</v>
      </c>
      <c r="D6" t="s">
        <v>40</v>
      </c>
      <c r="E6" t="s">
        <v>41</v>
      </c>
      <c r="F6" t="s">
        <v>16</v>
      </c>
      <c r="G6" t="s">
        <v>16</v>
      </c>
      <c r="H6" t="s">
        <v>42</v>
      </c>
      <c r="I6" t="s">
        <v>43</v>
      </c>
      <c r="J6" t="s">
        <v>44</v>
      </c>
      <c r="K6" t="s">
        <v>43</v>
      </c>
    </row>
    <row r="7" spans="1:11">
      <c r="A7" t="s">
        <v>45</v>
      </c>
      <c r="B7" t="s">
        <v>12</v>
      </c>
      <c r="C7" t="s">
        <v>46</v>
      </c>
      <c r="D7" t="s">
        <v>47</v>
      </c>
      <c r="E7" t="s">
        <v>48</v>
      </c>
      <c r="F7" t="s">
        <v>16</v>
      </c>
      <c r="G7" t="s">
        <v>16</v>
      </c>
      <c r="H7" t="s">
        <v>49</v>
      </c>
      <c r="I7" t="s">
        <v>50</v>
      </c>
      <c r="J7" t="s">
        <v>51</v>
      </c>
      <c r="K7" t="s">
        <v>50</v>
      </c>
    </row>
    <row r="8" spans="1:11">
      <c r="A8" t="s">
        <v>52</v>
      </c>
      <c r="B8" t="s">
        <v>12</v>
      </c>
      <c r="C8" t="s">
        <v>46</v>
      </c>
      <c r="D8" t="s">
        <v>53</v>
      </c>
      <c r="E8" t="s">
        <v>54</v>
      </c>
      <c r="F8" t="s">
        <v>16</v>
      </c>
      <c r="G8" t="s">
        <v>16</v>
      </c>
      <c r="H8" t="s">
        <v>55</v>
      </c>
      <c r="I8" t="s">
        <v>50</v>
      </c>
      <c r="J8" t="s">
        <v>51</v>
      </c>
      <c r="K8" t="s">
        <v>50</v>
      </c>
    </row>
    <row r="9" spans="1:11">
      <c r="A9" t="s">
        <v>56</v>
      </c>
      <c r="B9" t="s">
        <v>12</v>
      </c>
      <c r="C9" t="s">
        <v>57</v>
      </c>
      <c r="D9" t="s">
        <v>58</v>
      </c>
      <c r="E9" t="s">
        <v>59</v>
      </c>
      <c r="F9" t="s">
        <v>16</v>
      </c>
      <c r="G9" t="s">
        <v>16</v>
      </c>
      <c r="H9" t="s">
        <v>60</v>
      </c>
      <c r="I9" t="s">
        <v>61</v>
      </c>
      <c r="J9" t="s">
        <v>62</v>
      </c>
      <c r="K9" t="s">
        <v>61</v>
      </c>
    </row>
    <row r="10" spans="1:11">
      <c r="A10" t="s">
        <v>63</v>
      </c>
      <c r="B10" t="s">
        <v>12</v>
      </c>
      <c r="C10" t="s">
        <v>64</v>
      </c>
      <c r="D10" t="s">
        <v>65</v>
      </c>
      <c r="E10" t="s">
        <v>66</v>
      </c>
      <c r="F10" t="s">
        <v>16</v>
      </c>
      <c r="G10" t="s">
        <v>16</v>
      </c>
      <c r="H10" t="s">
        <v>67</v>
      </c>
      <c r="I10" t="s">
        <v>68</v>
      </c>
      <c r="J10" t="s">
        <v>69</v>
      </c>
      <c r="K10" t="s">
        <v>68</v>
      </c>
    </row>
    <row r="11" spans="1:11">
      <c r="A11" t="s">
        <v>70</v>
      </c>
      <c r="B11" t="s">
        <v>12</v>
      </c>
      <c r="C11" t="s">
        <v>71</v>
      </c>
      <c r="D11" t="s">
        <v>72</v>
      </c>
      <c r="E11" t="s">
        <v>73</v>
      </c>
      <c r="F11" t="s">
        <v>16</v>
      </c>
      <c r="G11" t="s">
        <v>16</v>
      </c>
      <c r="H11" t="s">
        <v>74</v>
      </c>
      <c r="I11" t="s">
        <v>75</v>
      </c>
      <c r="J11" t="s">
        <v>76</v>
      </c>
      <c r="K11" t="s">
        <v>75</v>
      </c>
    </row>
    <row r="12" spans="1:11">
      <c r="A12" t="s">
        <v>77</v>
      </c>
      <c r="B12" t="s">
        <v>12</v>
      </c>
      <c r="C12" t="s">
        <v>78</v>
      </c>
      <c r="D12" t="s">
        <v>79</v>
      </c>
      <c r="E12" t="s">
        <v>80</v>
      </c>
      <c r="F12" t="s">
        <v>16</v>
      </c>
      <c r="G12" t="s">
        <v>16</v>
      </c>
      <c r="H12" t="s">
        <v>81</v>
      </c>
      <c r="I12" t="s">
        <v>82</v>
      </c>
      <c r="J12" t="s">
        <v>83</v>
      </c>
      <c r="K12" t="s">
        <v>82</v>
      </c>
    </row>
    <row r="13" spans="1:11">
      <c r="A13" t="s">
        <v>84</v>
      </c>
      <c r="B13" t="s">
        <v>12</v>
      </c>
      <c r="C13" t="s">
        <v>85</v>
      </c>
      <c r="D13" t="s">
        <v>86</v>
      </c>
      <c r="E13" t="s">
        <v>87</v>
      </c>
      <c r="F13" t="s">
        <v>16</v>
      </c>
      <c r="G13" t="s">
        <v>16</v>
      </c>
      <c r="H13" t="s">
        <v>88</v>
      </c>
      <c r="I13" t="s">
        <v>89</v>
      </c>
      <c r="J13" t="s">
        <v>90</v>
      </c>
      <c r="K13" t="s">
        <v>89</v>
      </c>
    </row>
    <row r="14" spans="1:11">
      <c r="A14" t="s">
        <v>91</v>
      </c>
      <c r="B14" t="s">
        <v>12</v>
      </c>
      <c r="C14" t="s">
        <v>92</v>
      </c>
      <c r="D14" t="s">
        <v>93</v>
      </c>
      <c r="E14" t="s">
        <v>94</v>
      </c>
      <c r="F14" t="s">
        <v>16</v>
      </c>
      <c r="G14" t="s">
        <v>16</v>
      </c>
      <c r="H14" t="s">
        <v>95</v>
      </c>
      <c r="I14" t="s">
        <v>96</v>
      </c>
      <c r="J14" t="s">
        <v>97</v>
      </c>
      <c r="K14" t="s">
        <v>96</v>
      </c>
    </row>
    <row r="15" spans="1:11">
      <c r="A15" t="s">
        <v>98</v>
      </c>
      <c r="B15" t="s">
        <v>12</v>
      </c>
      <c r="C15" t="s">
        <v>99</v>
      </c>
      <c r="D15" t="s">
        <v>100</v>
      </c>
      <c r="E15" t="s">
        <v>101</v>
      </c>
      <c r="F15" t="s">
        <v>16</v>
      </c>
      <c r="G15" t="s">
        <v>16</v>
      </c>
      <c r="H15" t="s">
        <v>102</v>
      </c>
      <c r="I15" t="s">
        <v>103</v>
      </c>
      <c r="J15" t="s">
        <v>104</v>
      </c>
      <c r="K15" t="s">
        <v>103</v>
      </c>
    </row>
    <row r="16" spans="1:11">
      <c r="A16" t="s">
        <v>105</v>
      </c>
      <c r="B16" t="s">
        <v>12</v>
      </c>
      <c r="C16" t="s">
        <v>106</v>
      </c>
      <c r="D16" t="s">
        <v>107</v>
      </c>
      <c r="E16" t="s">
        <v>108</v>
      </c>
      <c r="F16" t="s">
        <v>16</v>
      </c>
      <c r="G16" t="s">
        <v>16</v>
      </c>
      <c r="H16" t="s">
        <v>109</v>
      </c>
      <c r="I16" t="s">
        <v>110</v>
      </c>
      <c r="J16" t="s">
        <v>111</v>
      </c>
      <c r="K16" t="s">
        <v>110</v>
      </c>
    </row>
    <row r="17" spans="1:11">
      <c r="A17" t="s">
        <v>112</v>
      </c>
      <c r="B17" t="s">
        <v>12</v>
      </c>
      <c r="C17" t="s">
        <v>113</v>
      </c>
      <c r="D17" t="s">
        <v>114</v>
      </c>
      <c r="E17" t="s">
        <v>115</v>
      </c>
      <c r="F17" t="s">
        <v>16</v>
      </c>
      <c r="G17" t="s">
        <v>16</v>
      </c>
      <c r="H17" t="s">
        <v>116</v>
      </c>
      <c r="I17" t="s">
        <v>117</v>
      </c>
      <c r="J17" t="s">
        <v>118</v>
      </c>
      <c r="K17" t="s">
        <v>117</v>
      </c>
    </row>
    <row r="18" spans="1:11">
      <c r="A18" t="s">
        <v>119</v>
      </c>
      <c r="B18" t="s">
        <v>12</v>
      </c>
      <c r="C18" t="s">
        <v>120</v>
      </c>
      <c r="D18" t="s">
        <v>121</v>
      </c>
      <c r="E18" t="s">
        <v>122</v>
      </c>
      <c r="F18" t="s">
        <v>16</v>
      </c>
      <c r="G18" t="s">
        <v>16</v>
      </c>
      <c r="H18" t="s">
        <v>123</v>
      </c>
      <c r="I18" t="s">
        <v>124</v>
      </c>
      <c r="J18" t="s">
        <v>125</v>
      </c>
      <c r="K18" t="s">
        <v>124</v>
      </c>
    </row>
    <row r="19" spans="1:11">
      <c r="A19" t="s">
        <v>126</v>
      </c>
      <c r="B19" t="s">
        <v>12</v>
      </c>
      <c r="C19" t="s">
        <v>127</v>
      </c>
      <c r="D19" t="s">
        <v>128</v>
      </c>
      <c r="E19" t="s">
        <v>129</v>
      </c>
      <c r="F19" t="s">
        <v>16</v>
      </c>
      <c r="G19" t="s">
        <v>16</v>
      </c>
      <c r="H19" t="s">
        <v>130</v>
      </c>
      <c r="I19" t="s">
        <v>131</v>
      </c>
      <c r="J19" t="s">
        <v>132</v>
      </c>
      <c r="K19" t="s">
        <v>131</v>
      </c>
    </row>
    <row r="20" spans="1:11">
      <c r="A20" t="s">
        <v>133</v>
      </c>
      <c r="B20" t="s">
        <v>12</v>
      </c>
      <c r="C20" t="s">
        <v>134</v>
      </c>
      <c r="D20" t="s">
        <v>135</v>
      </c>
      <c r="E20" t="s">
        <v>136</v>
      </c>
      <c r="F20" t="s">
        <v>16</v>
      </c>
      <c r="G20" t="s">
        <v>16</v>
      </c>
      <c r="H20" t="s">
        <v>137</v>
      </c>
      <c r="I20" t="s">
        <v>138</v>
      </c>
      <c r="J20" t="s">
        <v>139</v>
      </c>
      <c r="K20" t="s">
        <v>138</v>
      </c>
    </row>
    <row r="21" spans="1:11">
      <c r="A21" t="s">
        <v>140</v>
      </c>
      <c r="B21" t="s">
        <v>141</v>
      </c>
      <c r="C21" t="s">
        <v>16</v>
      </c>
      <c r="D21" t="s">
        <v>142</v>
      </c>
      <c r="E21" t="s">
        <v>143</v>
      </c>
      <c r="F21" t="s">
        <v>144</v>
      </c>
      <c r="G21" t="s">
        <v>145</v>
      </c>
      <c r="H21" t="s">
        <v>146</v>
      </c>
      <c r="I21" t="s">
        <v>147</v>
      </c>
      <c r="J21" t="s">
        <v>148</v>
      </c>
      <c r="K21" t="s">
        <v>147</v>
      </c>
    </row>
    <row r="22" spans="1:11">
      <c r="A22" t="s">
        <v>149</v>
      </c>
      <c r="B22" t="s">
        <v>141</v>
      </c>
      <c r="C22" t="s">
        <v>16</v>
      </c>
      <c r="D22" t="s">
        <v>150</v>
      </c>
      <c r="E22" t="s">
        <v>151</v>
      </c>
      <c r="F22" t="s">
        <v>144</v>
      </c>
      <c r="G22" t="s">
        <v>152</v>
      </c>
      <c r="H22" t="s">
        <v>153</v>
      </c>
      <c r="I22" t="s">
        <v>147</v>
      </c>
      <c r="J22" t="s">
        <v>148</v>
      </c>
      <c r="K22" t="s">
        <v>147</v>
      </c>
    </row>
    <row r="23" spans="1:11">
      <c r="A23" t="s">
        <v>154</v>
      </c>
      <c r="B23" t="s">
        <v>141</v>
      </c>
      <c r="C23" t="s">
        <v>16</v>
      </c>
      <c r="D23" t="s">
        <v>155</v>
      </c>
      <c r="E23" t="s">
        <v>156</v>
      </c>
      <c r="F23" t="s">
        <v>144</v>
      </c>
      <c r="G23" t="s">
        <v>157</v>
      </c>
      <c r="H23" t="s">
        <v>158</v>
      </c>
      <c r="I23" t="s">
        <v>147</v>
      </c>
      <c r="J23" t="s">
        <v>148</v>
      </c>
      <c r="K23" t="s">
        <v>147</v>
      </c>
    </row>
    <row r="24" spans="1:11">
      <c r="A24" t="s">
        <v>159</v>
      </c>
      <c r="B24" t="s">
        <v>141</v>
      </c>
      <c r="C24" t="s">
        <v>16</v>
      </c>
      <c r="D24" t="s">
        <v>160</v>
      </c>
      <c r="E24" t="s">
        <v>161</v>
      </c>
      <c r="F24" t="s">
        <v>144</v>
      </c>
      <c r="G24" t="s">
        <v>162</v>
      </c>
      <c r="H24" t="s">
        <v>163</v>
      </c>
      <c r="I24" t="s">
        <v>147</v>
      </c>
      <c r="J24" t="s">
        <v>148</v>
      </c>
      <c r="K24" t="s">
        <v>147</v>
      </c>
    </row>
    <row r="25" spans="1:11">
      <c r="A25" t="s">
        <v>164</v>
      </c>
      <c r="B25" t="s">
        <v>141</v>
      </c>
      <c r="C25" t="s">
        <v>16</v>
      </c>
      <c r="D25" t="s">
        <v>165</v>
      </c>
      <c r="E25" t="s">
        <v>166</v>
      </c>
      <c r="F25" t="s">
        <v>144</v>
      </c>
      <c r="G25" t="s">
        <v>167</v>
      </c>
      <c r="H25" t="s">
        <v>168</v>
      </c>
      <c r="I25" t="s">
        <v>147</v>
      </c>
      <c r="J25" t="s">
        <v>148</v>
      </c>
      <c r="K25" t="s">
        <v>147</v>
      </c>
    </row>
    <row r="26" spans="1:11">
      <c r="A26" t="s">
        <v>169</v>
      </c>
      <c r="B26" t="s">
        <v>141</v>
      </c>
      <c r="C26" t="s">
        <v>16</v>
      </c>
      <c r="D26" t="s">
        <v>170</v>
      </c>
      <c r="E26" t="s">
        <v>171</v>
      </c>
      <c r="F26" t="s">
        <v>144</v>
      </c>
      <c r="G26" t="s">
        <v>172</v>
      </c>
      <c r="H26" t="s">
        <v>173</v>
      </c>
      <c r="I26" t="s">
        <v>147</v>
      </c>
      <c r="J26" t="s">
        <v>148</v>
      </c>
      <c r="K26" t="s">
        <v>147</v>
      </c>
    </row>
    <row r="27" spans="1:11">
      <c r="A27" t="s">
        <v>174</v>
      </c>
      <c r="B27" t="s">
        <v>141</v>
      </c>
      <c r="C27" t="s">
        <v>16</v>
      </c>
      <c r="D27" t="s">
        <v>175</v>
      </c>
      <c r="E27" t="s">
        <v>176</v>
      </c>
      <c r="F27" t="s">
        <v>177</v>
      </c>
      <c r="G27" t="s">
        <v>178</v>
      </c>
      <c r="H27" t="s">
        <v>179</v>
      </c>
      <c r="I27" t="s">
        <v>147</v>
      </c>
      <c r="J27" t="s">
        <v>148</v>
      </c>
      <c r="K27" t="s">
        <v>147</v>
      </c>
    </row>
    <row r="28" spans="1:11">
      <c r="A28" t="s">
        <v>180</v>
      </c>
      <c r="B28" t="s">
        <v>141</v>
      </c>
      <c r="C28" t="s">
        <v>16</v>
      </c>
      <c r="D28" t="s">
        <v>181</v>
      </c>
      <c r="E28" t="s">
        <v>182</v>
      </c>
      <c r="F28" t="s">
        <v>177</v>
      </c>
      <c r="G28" t="s">
        <v>183</v>
      </c>
      <c r="H28" t="s">
        <v>184</v>
      </c>
      <c r="I28" t="s">
        <v>147</v>
      </c>
      <c r="J28" t="s">
        <v>148</v>
      </c>
      <c r="K28" t="s">
        <v>147</v>
      </c>
    </row>
    <row r="29" spans="1:11">
      <c r="A29" t="s">
        <v>185</v>
      </c>
      <c r="B29" t="s">
        <v>141</v>
      </c>
      <c r="C29" t="s">
        <v>16</v>
      </c>
      <c r="D29" t="s">
        <v>186</v>
      </c>
      <c r="E29" t="s">
        <v>187</v>
      </c>
      <c r="F29" t="s">
        <v>177</v>
      </c>
      <c r="G29" t="s">
        <v>188</v>
      </c>
      <c r="H29" t="s">
        <v>189</v>
      </c>
      <c r="I29" t="s">
        <v>147</v>
      </c>
      <c r="J29" t="s">
        <v>148</v>
      </c>
      <c r="K29" t="s">
        <v>147</v>
      </c>
    </row>
    <row r="30" spans="1:11">
      <c r="A30" t="s">
        <v>190</v>
      </c>
      <c r="B30" t="s">
        <v>141</v>
      </c>
      <c r="C30" t="s">
        <v>16</v>
      </c>
      <c r="D30" t="s">
        <v>191</v>
      </c>
      <c r="E30" t="s">
        <v>192</v>
      </c>
      <c r="F30" t="s">
        <v>177</v>
      </c>
      <c r="G30" t="s">
        <v>193</v>
      </c>
      <c r="H30" t="s">
        <v>194</v>
      </c>
      <c r="I30" t="s">
        <v>147</v>
      </c>
      <c r="J30" t="s">
        <v>148</v>
      </c>
      <c r="K30" t="s">
        <v>147</v>
      </c>
    </row>
    <row r="31" spans="1:11">
      <c r="A31" t="s">
        <v>195</v>
      </c>
      <c r="B31" t="s">
        <v>141</v>
      </c>
      <c r="C31" t="s">
        <v>16</v>
      </c>
      <c r="D31" t="s">
        <v>196</v>
      </c>
      <c r="E31" t="s">
        <v>197</v>
      </c>
      <c r="F31" t="s">
        <v>177</v>
      </c>
      <c r="G31" t="s">
        <v>198</v>
      </c>
      <c r="H31" t="s">
        <v>199</v>
      </c>
      <c r="I31" t="s">
        <v>147</v>
      </c>
      <c r="J31" t="s">
        <v>148</v>
      </c>
      <c r="K31" t="s">
        <v>147</v>
      </c>
    </row>
    <row r="32" spans="1:11">
      <c r="A32" t="s">
        <v>200</v>
      </c>
      <c r="B32" t="s">
        <v>141</v>
      </c>
      <c r="C32" t="s">
        <v>16</v>
      </c>
      <c r="D32" t="s">
        <v>201</v>
      </c>
      <c r="E32" t="s">
        <v>202</v>
      </c>
      <c r="F32" t="s">
        <v>177</v>
      </c>
      <c r="G32" t="s">
        <v>203</v>
      </c>
      <c r="H32" t="s">
        <v>204</v>
      </c>
      <c r="I32" t="s">
        <v>147</v>
      </c>
      <c r="J32" t="s">
        <v>148</v>
      </c>
      <c r="K32" t="s">
        <v>147</v>
      </c>
    </row>
    <row r="33" spans="1:11">
      <c r="A33" t="s">
        <v>205</v>
      </c>
      <c r="B33" t="s">
        <v>141</v>
      </c>
      <c r="C33" t="s">
        <v>16</v>
      </c>
      <c r="D33" t="s">
        <v>206</v>
      </c>
      <c r="E33" t="s">
        <v>207</v>
      </c>
      <c r="F33" t="s">
        <v>177</v>
      </c>
      <c r="G33" t="s">
        <v>208</v>
      </c>
      <c r="H33" t="s">
        <v>209</v>
      </c>
      <c r="I33" t="s">
        <v>147</v>
      </c>
      <c r="J33" t="s">
        <v>148</v>
      </c>
      <c r="K33" t="s">
        <v>147</v>
      </c>
    </row>
    <row r="34" spans="1:11">
      <c r="A34" t="s">
        <v>210</v>
      </c>
      <c r="B34" t="s">
        <v>141</v>
      </c>
      <c r="C34" t="s">
        <v>16</v>
      </c>
      <c r="D34" t="s">
        <v>211</v>
      </c>
      <c r="E34" t="s">
        <v>212</v>
      </c>
      <c r="F34" t="s">
        <v>177</v>
      </c>
      <c r="G34" t="s">
        <v>213</v>
      </c>
      <c r="H34" t="s">
        <v>214</v>
      </c>
      <c r="I34" t="s">
        <v>147</v>
      </c>
      <c r="J34" t="s">
        <v>148</v>
      </c>
      <c r="K34" t="s">
        <v>147</v>
      </c>
    </row>
    <row r="35" spans="1:11">
      <c r="A35" t="s">
        <v>215</v>
      </c>
      <c r="B35" t="s">
        <v>141</v>
      </c>
      <c r="C35" t="s">
        <v>16</v>
      </c>
      <c r="D35" t="s">
        <v>216</v>
      </c>
      <c r="E35" t="s">
        <v>217</v>
      </c>
      <c r="F35" t="s">
        <v>177</v>
      </c>
      <c r="G35" t="s">
        <v>218</v>
      </c>
      <c r="H35" t="s">
        <v>219</v>
      </c>
      <c r="I35" t="s">
        <v>147</v>
      </c>
      <c r="J35" t="s">
        <v>148</v>
      </c>
      <c r="K35" t="s">
        <v>147</v>
      </c>
    </row>
    <row r="36" spans="1:11">
      <c r="A36" t="s">
        <v>220</v>
      </c>
      <c r="B36" t="s">
        <v>141</v>
      </c>
      <c r="C36" t="s">
        <v>16</v>
      </c>
      <c r="D36" t="s">
        <v>221</v>
      </c>
      <c r="E36" t="s">
        <v>222</v>
      </c>
      <c r="F36" t="s">
        <v>177</v>
      </c>
      <c r="G36" t="s">
        <v>223</v>
      </c>
      <c r="H36" t="s">
        <v>224</v>
      </c>
      <c r="I36" t="s">
        <v>147</v>
      </c>
      <c r="J36" t="s">
        <v>148</v>
      </c>
      <c r="K36" t="s">
        <v>147</v>
      </c>
    </row>
    <row r="37" spans="1:11">
      <c r="A37" t="s">
        <v>225</v>
      </c>
      <c r="B37" t="s">
        <v>141</v>
      </c>
      <c r="C37" t="s">
        <v>16</v>
      </c>
      <c r="D37" t="s">
        <v>226</v>
      </c>
      <c r="E37" t="s">
        <v>227</v>
      </c>
      <c r="F37" t="s">
        <v>177</v>
      </c>
      <c r="G37" t="s">
        <v>228</v>
      </c>
      <c r="H37" t="s">
        <v>229</v>
      </c>
      <c r="I37" t="s">
        <v>147</v>
      </c>
      <c r="J37" t="s">
        <v>148</v>
      </c>
      <c r="K37" t="s">
        <v>147</v>
      </c>
    </row>
    <row r="38" spans="1:11">
      <c r="A38" t="s">
        <v>230</v>
      </c>
      <c r="B38" t="s">
        <v>141</v>
      </c>
      <c r="C38" t="s">
        <v>16</v>
      </c>
      <c r="D38" t="s">
        <v>231</v>
      </c>
      <c r="E38" t="s">
        <v>232</v>
      </c>
      <c r="F38" t="s">
        <v>177</v>
      </c>
      <c r="G38" t="s">
        <v>228</v>
      </c>
      <c r="H38" t="s">
        <v>233</v>
      </c>
      <c r="I38" t="s">
        <v>147</v>
      </c>
      <c r="J38" t="s">
        <v>148</v>
      </c>
      <c r="K38" t="s">
        <v>147</v>
      </c>
    </row>
    <row r="39" spans="1:11">
      <c r="A39" t="s">
        <v>234</v>
      </c>
      <c r="B39" t="s">
        <v>141</v>
      </c>
      <c r="C39" t="s">
        <v>16</v>
      </c>
      <c r="D39" t="s">
        <v>235</v>
      </c>
      <c r="E39" t="s">
        <v>236</v>
      </c>
      <c r="F39" t="s">
        <v>177</v>
      </c>
      <c r="G39" t="s">
        <v>228</v>
      </c>
      <c r="H39" t="s">
        <v>237</v>
      </c>
      <c r="I39" t="s">
        <v>147</v>
      </c>
      <c r="J39" t="s">
        <v>148</v>
      </c>
      <c r="K39" t="s">
        <v>147</v>
      </c>
    </row>
    <row r="40" spans="1:11">
      <c r="A40" t="s">
        <v>238</v>
      </c>
      <c r="B40" t="s">
        <v>141</v>
      </c>
      <c r="C40" t="s">
        <v>16</v>
      </c>
      <c r="D40" t="s">
        <v>239</v>
      </c>
      <c r="E40" t="s">
        <v>240</v>
      </c>
      <c r="F40" t="s">
        <v>177</v>
      </c>
      <c r="G40" t="s">
        <v>241</v>
      </c>
      <c r="H40" t="s">
        <v>242</v>
      </c>
      <c r="I40" t="s">
        <v>147</v>
      </c>
      <c r="J40" t="s">
        <v>148</v>
      </c>
      <c r="K40" t="s">
        <v>147</v>
      </c>
    </row>
    <row r="41" spans="1:11">
      <c r="A41" t="s">
        <v>243</v>
      </c>
      <c r="B41" t="s">
        <v>141</v>
      </c>
      <c r="C41" t="s">
        <v>16</v>
      </c>
      <c r="D41" t="s">
        <v>244</v>
      </c>
      <c r="E41" t="s">
        <v>245</v>
      </c>
      <c r="F41" t="s">
        <v>177</v>
      </c>
      <c r="G41" t="s">
        <v>246</v>
      </c>
      <c r="H41" t="s">
        <v>247</v>
      </c>
      <c r="I41" t="s">
        <v>147</v>
      </c>
      <c r="J41" t="s">
        <v>148</v>
      </c>
      <c r="K41" t="s">
        <v>147</v>
      </c>
    </row>
    <row r="42" spans="1:11">
      <c r="A42" t="s">
        <v>248</v>
      </c>
      <c r="B42" t="s">
        <v>141</v>
      </c>
      <c r="C42" t="s">
        <v>16</v>
      </c>
      <c r="D42" t="s">
        <v>249</v>
      </c>
      <c r="E42" t="s">
        <v>250</v>
      </c>
      <c r="F42" t="s">
        <v>177</v>
      </c>
      <c r="G42" t="s">
        <v>251</v>
      </c>
      <c r="H42" t="s">
        <v>252</v>
      </c>
      <c r="I42" t="s">
        <v>147</v>
      </c>
      <c r="J42" t="s">
        <v>148</v>
      </c>
      <c r="K42" t="s">
        <v>147</v>
      </c>
    </row>
    <row r="43" spans="1:11">
      <c r="A43" t="s">
        <v>253</v>
      </c>
      <c r="B43" t="s">
        <v>141</v>
      </c>
      <c r="C43" t="s">
        <v>16</v>
      </c>
      <c r="D43" t="s">
        <v>254</v>
      </c>
      <c r="E43" t="s">
        <v>255</v>
      </c>
      <c r="F43" t="s">
        <v>177</v>
      </c>
      <c r="G43" t="s">
        <v>256</v>
      </c>
      <c r="H43" t="s">
        <v>257</v>
      </c>
      <c r="I43" t="s">
        <v>147</v>
      </c>
      <c r="J43" t="s">
        <v>148</v>
      </c>
      <c r="K43" t="s">
        <v>147</v>
      </c>
    </row>
    <row r="44" spans="1:11">
      <c r="A44" t="s">
        <v>258</v>
      </c>
      <c r="B44" t="s">
        <v>141</v>
      </c>
      <c r="C44" t="s">
        <v>16</v>
      </c>
      <c r="D44" t="s">
        <v>259</v>
      </c>
      <c r="E44" t="s">
        <v>260</v>
      </c>
      <c r="F44" t="s">
        <v>177</v>
      </c>
      <c r="G44" t="s">
        <v>261</v>
      </c>
      <c r="H44" t="s">
        <v>262</v>
      </c>
      <c r="I44" t="s">
        <v>147</v>
      </c>
      <c r="J44" t="s">
        <v>148</v>
      </c>
      <c r="K44" t="s">
        <v>147</v>
      </c>
    </row>
    <row r="45" spans="1:11">
      <c r="A45" t="s">
        <v>263</v>
      </c>
      <c r="B45" t="s">
        <v>141</v>
      </c>
      <c r="C45" t="s">
        <v>16</v>
      </c>
      <c r="D45" t="s">
        <v>264</v>
      </c>
      <c r="E45" t="s">
        <v>265</v>
      </c>
      <c r="F45" t="s">
        <v>177</v>
      </c>
      <c r="G45" t="s">
        <v>266</v>
      </c>
      <c r="H45" t="s">
        <v>267</v>
      </c>
      <c r="I45" t="s">
        <v>147</v>
      </c>
      <c r="J45" t="s">
        <v>148</v>
      </c>
      <c r="K45" t="s">
        <v>147</v>
      </c>
    </row>
    <row r="46" spans="1:11">
      <c r="A46" t="s">
        <v>268</v>
      </c>
      <c r="B46" t="s">
        <v>141</v>
      </c>
      <c r="C46" t="s">
        <v>16</v>
      </c>
      <c r="D46" t="s">
        <v>269</v>
      </c>
      <c r="E46" t="s">
        <v>270</v>
      </c>
      <c r="F46" t="s">
        <v>177</v>
      </c>
      <c r="G46" t="s">
        <v>271</v>
      </c>
      <c r="H46" t="s">
        <v>272</v>
      </c>
      <c r="I46" t="s">
        <v>147</v>
      </c>
      <c r="J46" t="s">
        <v>148</v>
      </c>
      <c r="K46" t="s">
        <v>147</v>
      </c>
    </row>
    <row r="47" spans="1:11">
      <c r="A47" t="s">
        <v>273</v>
      </c>
      <c r="B47" t="s">
        <v>141</v>
      </c>
      <c r="C47" t="s">
        <v>16</v>
      </c>
      <c r="D47" t="s">
        <v>274</v>
      </c>
      <c r="E47" t="s">
        <v>275</v>
      </c>
      <c r="F47" t="s">
        <v>177</v>
      </c>
      <c r="G47" t="s">
        <v>276</v>
      </c>
      <c r="H47" t="s">
        <v>277</v>
      </c>
      <c r="I47" t="s">
        <v>147</v>
      </c>
      <c r="J47" t="s">
        <v>148</v>
      </c>
      <c r="K47" t="s">
        <v>147</v>
      </c>
    </row>
    <row r="48" spans="1:11">
      <c r="A48" t="s">
        <v>278</v>
      </c>
      <c r="B48" t="s">
        <v>141</v>
      </c>
      <c r="C48" t="s">
        <v>16</v>
      </c>
      <c r="D48" t="s">
        <v>279</v>
      </c>
      <c r="E48" t="s">
        <v>280</v>
      </c>
      <c r="F48" t="s">
        <v>177</v>
      </c>
      <c r="G48" t="s">
        <v>281</v>
      </c>
      <c r="H48" t="s">
        <v>282</v>
      </c>
      <c r="I48" t="s">
        <v>147</v>
      </c>
      <c r="J48" t="s">
        <v>148</v>
      </c>
      <c r="K48" t="s">
        <v>147</v>
      </c>
    </row>
    <row r="49" spans="1:11">
      <c r="A49" t="s">
        <v>283</v>
      </c>
      <c r="B49" t="s">
        <v>141</v>
      </c>
      <c r="C49" t="s">
        <v>16</v>
      </c>
      <c r="D49" t="s">
        <v>284</v>
      </c>
      <c r="E49" t="s">
        <v>285</v>
      </c>
      <c r="F49" t="s">
        <v>177</v>
      </c>
      <c r="G49" t="s">
        <v>286</v>
      </c>
      <c r="H49" t="s">
        <v>287</v>
      </c>
      <c r="I49" t="s">
        <v>147</v>
      </c>
      <c r="J49" t="s">
        <v>148</v>
      </c>
      <c r="K49" t="s">
        <v>147</v>
      </c>
    </row>
    <row r="50" spans="1:11">
      <c r="A50" t="s">
        <v>288</v>
      </c>
      <c r="B50" t="s">
        <v>141</v>
      </c>
      <c r="C50" t="s">
        <v>16</v>
      </c>
      <c r="D50" t="s">
        <v>289</v>
      </c>
      <c r="E50" t="s">
        <v>290</v>
      </c>
      <c r="F50" t="s">
        <v>177</v>
      </c>
      <c r="G50" t="s">
        <v>291</v>
      </c>
      <c r="H50" t="s">
        <v>292</v>
      </c>
      <c r="I50" t="s">
        <v>147</v>
      </c>
      <c r="J50" t="s">
        <v>148</v>
      </c>
      <c r="K50" t="s">
        <v>147</v>
      </c>
    </row>
    <row r="51" spans="1:11">
      <c r="A51" t="s">
        <v>293</v>
      </c>
      <c r="B51" t="s">
        <v>141</v>
      </c>
      <c r="C51" t="s">
        <v>16</v>
      </c>
      <c r="D51" t="s">
        <v>294</v>
      </c>
      <c r="E51" t="s">
        <v>295</v>
      </c>
      <c r="F51" t="s">
        <v>177</v>
      </c>
      <c r="G51" t="s">
        <v>296</v>
      </c>
      <c r="H51" t="s">
        <v>297</v>
      </c>
      <c r="I51" t="s">
        <v>147</v>
      </c>
      <c r="J51" t="s">
        <v>148</v>
      </c>
      <c r="K51" t="s">
        <v>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BDH("ZYXIQ US Equity","BS_TOT_ASSET","2020-09-24","2025-09-24","Per=Y","Days=T","Dir=V")</f>
        <v>0</v>
      </c>
      <c r="C2">
        <f>BDH("ZYXIQ US Equity","BS_TOT_LIAB2","2020-09-24","2025-09-24","Per=Y","Days=T","Dir=V")</f>
        <v>0</v>
      </c>
      <c r="E2">
        <f>BDH("ZYXIQ US Equity","SHORT_AND_LONG_TERM_DEBT","2020-09-24","2025-09-24","Per=Y","Days=T","Dir=V")</f>
        <v>0</v>
      </c>
      <c r="G2">
        <f>BDH("ZYXIQ US Equity","BS_ST_BORROW","2020-09-24","2025-09-24","Per=Y","Days=T","Dir=V")</f>
        <v>0</v>
      </c>
      <c r="I2">
        <f>BDH("ZYXIQ US Equity","BS_LT_BORROW","2020-09-24","2025-09-24","Per=Y","Days=T","Dir=V")</f>
        <v>0</v>
      </c>
      <c r="K2">
        <f>BDH("ZYXIQ US Equity","BS_CASH_NEAR_CASH_ITEM","2020-09-24","2025-09-24","Per=Y","Days=T","Dir=V")</f>
        <v>0</v>
      </c>
      <c r="M2">
        <f>BDH("ZYXIQ US Equity","BS_CUR_ASSET_REPORT","2020-09-24","2025-09-24","Per=Y","Days=T","Dir=V")</f>
        <v>0</v>
      </c>
      <c r="O2">
        <f>BDH("ZYXIQ US Equity","BS_CUR_LIAB","2020-09-24","2025-09-24","Per=Y","Days=T","Dir=V")</f>
        <v>0</v>
      </c>
      <c r="Q2">
        <f>BDH("ZYXIQ US Equity","BS_SHAREHOLDER_EQY_ENDING_PERIOD","2020-09-24","2025-09-24","Per=Y","Days=T","Dir=V")</f>
        <v>0</v>
      </c>
      <c r="S2">
        <f>BDH("ZYXIQ US Equity","BS_ACCT_NOTE_RCV","2020-09-24","2025-09-24","Per=Y","Days=T","Dir=V")</f>
        <v>0</v>
      </c>
      <c r="U2">
        <f>BDH("ZYXIQ US Equity","BS_INVENTORIES","2020-09-24","2025-09-24","Per=Y","Days=T","Dir=V")</f>
        <v>0</v>
      </c>
      <c r="W2">
        <f>BDH("ZYXIQ US Equity","WORKING_CAPITAL","2020-09-24","2025-09-24","Per=Y","Days=T","Dir=V")</f>
        <v>0</v>
      </c>
      <c r="Y2">
        <f>BDH("ZYXIQ US Equity","SALES_REV_TURN","2020-09-24","2025-09-24","Per=Y","Days=T","Dir=V")</f>
        <v>0</v>
      </c>
      <c r="AA2">
        <f>BDH("ZYXIQ US Equity","EBIT","2020-09-24","2025-09-24","Per=Y","Days=T","Dir=V")</f>
        <v>0</v>
      </c>
      <c r="AC2">
        <f>BDH("ZYXIQ US Equity","EBITDA","2020-09-24","2025-09-24","Per=Y","Days=T","Dir=V")</f>
        <v>0</v>
      </c>
      <c r="AE2">
        <f>BDH("ZYXIQ US Equity","NET_INCOME","2020-09-24","2025-09-24","Per=Y","Days=T","Dir=V")</f>
        <v>0</v>
      </c>
      <c r="AG2">
        <f>BDH("ZYXIQ US Equity","IS_INT_EXPENSE","2020-09-24","2025-09-24","Per=Y","Days=T","Dir=V")</f>
        <v>0</v>
      </c>
      <c r="AI2">
        <f>BDH("ZYXIQ US Equity","IS_DEPR_EXP","2020-09-24","2025-09-24","Per=Y","Days=T","Dir=V")</f>
        <v>0</v>
      </c>
      <c r="AK2">
        <f>BDH("ZYXIQ US Equity","CF_CASH_FROM_OPER","2020-09-24","2025-09-24","Per=Y","Days=T","Dir=V")</f>
        <v>0</v>
      </c>
      <c r="AM2">
        <f>BDH("ZYXIQ US Equity","CAPITAL_EXPEND","2020-09-24","2025-09-24","Per=Y","Days=T","Dir=V")</f>
        <v>0</v>
      </c>
      <c r="AO2">
        <f>BDH("ZYXIQ US Equity","CF_FREE_CASH_FLOW","2020-09-24","2025-09-24","Per=Y","Days=T","Dir=V")</f>
        <v>0</v>
      </c>
      <c r="AQ2">
        <f>BDH("ZYXIQ US Equity","PX_LAST","2020-09-24","2025-09-24","Per=M","Days=T","Dir=V")</f>
        <v>0</v>
      </c>
      <c r="AS2">
        <f>BDH("ZYXIQ US Equity","CUR_MKT_CAP","2020-09-24","2025-09-24","Per=M","Days=T","Dir=V")</f>
        <v>0</v>
      </c>
      <c r="AU2">
        <f>BDH("ZYXIQ US Equity","EQY_SH_OUT","2020-09-24","2025-09-24","Per=M","Days=T","Dir=V")</f>
        <v>0</v>
      </c>
      <c r="AW2">
        <f>BDH("ZYXIQ US Equity","BETA_RAW_OVERRIABLE","2020-09-24","2025-09-24","Per=M","Days=T","Dir=V")</f>
        <v>0</v>
      </c>
      <c r="AY2">
        <f>BDH("ZYXIQ US Equity","PX_VOLUME","2020-09-24","2025-09-24","Per=M","Days=T","Dir=V")</f>
        <v>0</v>
      </c>
      <c r="BA2">
        <f>BDH("ZYXIQ US Equity","TURNOVER","2020-09-24","2025-09-24","Per=M","Days=T","Dir=V")</f>
        <v>0</v>
      </c>
      <c r="BC2">
        <f>BDH("ZYXIQ US Equity","SPREAD_BA_CR","2020-09-24","2025-09-24","Per=M","Days=T","Dir=V")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BDH("1707890D US Equity","BS_TOT_ASSET","2020-09-24","2025-09-24","Per=Y","Days=T","Dir=V")</f>
        <v>0</v>
      </c>
      <c r="C2">
        <f>BDH("1707890D US Equity","BS_TOT_LIAB2","2020-09-24","2025-09-24","Per=Y","Days=T","Dir=V")</f>
        <v>0</v>
      </c>
      <c r="E2">
        <f>BDH("1707890D US Equity","SHORT_AND_LONG_TERM_DEBT","2020-09-24","2025-09-24","Per=Y","Days=T","Dir=V")</f>
        <v>0</v>
      </c>
      <c r="G2">
        <f>BDH("1707890D US Equity","BS_ST_BORROW","2020-09-24","2025-09-24","Per=Y","Days=T","Dir=V")</f>
        <v>0</v>
      </c>
      <c r="I2">
        <f>BDH("1707890D US Equity","BS_LT_BORROW","2020-09-24","2025-09-24","Per=Y","Days=T","Dir=V")</f>
        <v>0</v>
      </c>
      <c r="K2">
        <f>BDH("1707890D US Equity","BS_CASH_NEAR_CASH_ITEM","2020-09-24","2025-09-24","Per=Y","Days=T","Dir=V")</f>
        <v>0</v>
      </c>
      <c r="M2">
        <f>BDH("1707890D US Equity","BS_CUR_ASSET_REPORT","2020-09-24","2025-09-24","Per=Y","Days=T","Dir=V")</f>
        <v>0</v>
      </c>
      <c r="O2">
        <f>BDH("1707890D US Equity","BS_CUR_LIAB","2020-09-24","2025-09-24","Per=Y","Days=T","Dir=V")</f>
        <v>0</v>
      </c>
      <c r="Q2">
        <f>BDH("1707890D US Equity","BS_SHAREHOLDER_EQY_ENDING_PERIOD","2020-09-24","2025-09-24","Per=Y","Days=T","Dir=V")</f>
        <v>0</v>
      </c>
      <c r="S2">
        <f>BDH("1707890D US Equity","BS_ACCT_NOTE_RCV","2020-09-24","2025-09-24","Per=Y","Days=T","Dir=V")</f>
        <v>0</v>
      </c>
      <c r="U2">
        <f>BDH("1707890D US Equity","BS_INVENTORIES","2020-09-24","2025-09-24","Per=Y","Days=T","Dir=V")</f>
        <v>0</v>
      </c>
      <c r="W2">
        <f>BDH("1707890D US Equity","WORKING_CAPITAL","2020-09-24","2025-09-24","Per=Y","Days=T","Dir=V")</f>
        <v>0</v>
      </c>
      <c r="Y2">
        <f>BDH("1707890D US Equity","SALES_REV_TURN","2020-09-24","2025-09-24","Per=Y","Days=T","Dir=V")</f>
        <v>0</v>
      </c>
      <c r="AA2">
        <f>BDH("1707890D US Equity","EBIT","2020-09-24","2025-09-24","Per=Y","Days=T","Dir=V")</f>
        <v>0</v>
      </c>
      <c r="AC2">
        <f>BDH("1707890D US Equity","EBITDA","2020-09-24","2025-09-24","Per=Y","Days=T","Dir=V")</f>
        <v>0</v>
      </c>
      <c r="AE2">
        <f>BDH("1707890D US Equity","NET_INCOME","2020-09-24","2025-09-24","Per=Y","Days=T","Dir=V")</f>
        <v>0</v>
      </c>
      <c r="AG2">
        <f>BDH("1707890D US Equity","IS_INT_EXPENSE","2020-09-24","2025-09-24","Per=Y","Days=T","Dir=V")</f>
        <v>0</v>
      </c>
      <c r="AI2">
        <f>BDH("1707890D US Equity","IS_DEPR_EXP","2020-09-24","2025-09-24","Per=Y","Days=T","Dir=V")</f>
        <v>0</v>
      </c>
      <c r="AK2">
        <f>BDH("1707890D US Equity","CF_CASH_FROM_OPER","2020-09-24","2025-09-24","Per=Y","Days=T","Dir=V")</f>
        <v>0</v>
      </c>
      <c r="AM2">
        <f>BDH("1707890D US Equity","CAPITAL_EXPEND","2020-09-24","2025-09-24","Per=Y","Days=T","Dir=V")</f>
        <v>0</v>
      </c>
      <c r="AO2">
        <f>BDH("1707890D US Equity","CF_FREE_CASH_FLOW","2020-09-24","2025-09-24","Per=Y","Days=T","Dir=V")</f>
        <v>0</v>
      </c>
      <c r="AQ2">
        <f>BDH("1707890D US Equity","PX_LAST","2020-09-24","2025-09-24","Per=M","Days=T","Dir=V")</f>
        <v>0</v>
      </c>
      <c r="AS2">
        <f>BDH("1707890D US Equity","CUR_MKT_CAP","2020-09-24","2025-09-24","Per=M","Days=T","Dir=V")</f>
        <v>0</v>
      </c>
      <c r="AU2">
        <f>BDH("1707890D US Equity","EQY_SH_OUT","2020-09-24","2025-09-24","Per=M","Days=T","Dir=V")</f>
        <v>0</v>
      </c>
      <c r="AW2">
        <f>BDH("1707890D US Equity","BETA_RAW_OVERRIABLE","2020-09-24","2025-09-24","Per=M","Days=T","Dir=V")</f>
        <v>0</v>
      </c>
      <c r="AY2">
        <f>BDH("1707890D US Equity","PX_VOLUME","2020-09-24","2025-09-24","Per=M","Days=T","Dir=V")</f>
        <v>0</v>
      </c>
      <c r="BA2">
        <f>BDH("1707890D US Equity","TURNOVER","2020-09-24","2025-09-24","Per=M","Days=T","Dir=V")</f>
        <v>0</v>
      </c>
      <c r="BC2">
        <f>BDH("1707890D US Equity","SPREAD_BA_CR","2020-09-24","2025-09-24","Per=M","Days=T","Dir=V")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BDH("ECDA US Equity","BS_TOT_ASSET","2020-10-17","2025-10-17","Per=Y","Days=T","Dir=V")</f>
        <v>0</v>
      </c>
      <c r="C2">
        <f>BDH("ECDA US Equity","BS_TOT_LIAB2","2020-10-17","2025-10-17","Per=Y","Days=T","Dir=V")</f>
        <v>0</v>
      </c>
      <c r="E2">
        <f>BDH("ECDA US Equity","SHORT_AND_LONG_TERM_DEBT","2020-10-17","2025-10-17","Per=Y","Days=T","Dir=V")</f>
        <v>0</v>
      </c>
      <c r="G2">
        <f>BDH("ECDA US Equity","BS_ST_BORROW","2020-10-17","2025-10-17","Per=Y","Days=T","Dir=V")</f>
        <v>0</v>
      </c>
      <c r="I2">
        <f>BDH("ECDA US Equity","BS_LT_BORROW","2020-10-17","2025-10-17","Per=Y","Days=T","Dir=V")</f>
        <v>0</v>
      </c>
      <c r="K2">
        <f>BDH("ECDA US Equity","BS_CASH_NEAR_CASH_ITEM","2020-10-17","2025-10-17","Per=Y","Days=T","Dir=V")</f>
        <v>0</v>
      </c>
      <c r="M2">
        <f>BDH("ECDA US Equity","BS_CUR_ASSET_REPORT","2020-10-17","2025-10-17","Per=Y","Days=T","Dir=V")</f>
        <v>0</v>
      </c>
      <c r="O2">
        <f>BDH("ECDA US Equity","BS_CUR_LIAB","2020-10-17","2025-10-17","Per=Y","Days=T","Dir=V")</f>
        <v>0</v>
      </c>
      <c r="Q2">
        <f>BDH("ECDA US Equity","BS_SHAREHOLDER_EQY_ENDING_PERIOD","2020-10-17","2025-10-17","Per=Y","Days=T","Dir=V")</f>
        <v>0</v>
      </c>
      <c r="S2">
        <f>BDH("ECDA US Equity","BS_ACCT_NOTE_RCV","2020-10-17","2025-10-17","Per=Y","Days=T","Dir=V")</f>
        <v>0</v>
      </c>
      <c r="U2">
        <f>BDH("ECDA US Equity","BS_INVENTORIES","2020-10-17","2025-10-17","Per=Y","Days=T","Dir=V")</f>
        <v>0</v>
      </c>
      <c r="W2">
        <f>BDH("ECDA US Equity","WORKING_CAPITAL","2020-10-17","2025-10-17","Per=Y","Days=T","Dir=V")</f>
        <v>0</v>
      </c>
      <c r="Y2">
        <f>BDH("ECDA US Equity","SALES_REV_TURN","2020-10-17","2025-10-17","Per=Y","Days=T","Dir=V")</f>
        <v>0</v>
      </c>
      <c r="AA2">
        <f>BDH("ECDA US Equity","EBIT","2020-10-17","2025-10-17","Per=Y","Days=T","Dir=V")</f>
        <v>0</v>
      </c>
      <c r="AC2">
        <f>BDH("ECDA US Equity","EBITDA","2020-10-17","2025-10-17","Per=Y","Days=T","Dir=V")</f>
        <v>0</v>
      </c>
      <c r="AE2">
        <f>BDH("ECDA US Equity","NET_INCOME","2020-10-17","2025-10-17","Per=Y","Days=T","Dir=V")</f>
        <v>0</v>
      </c>
      <c r="AG2">
        <f>BDH("ECDA US Equity","IS_INT_EXPENSE","2020-10-17","2025-10-17","Per=Y","Days=T","Dir=V")</f>
        <v>0</v>
      </c>
      <c r="AI2">
        <f>BDH("ECDA US Equity","IS_DEPR_EXP","2020-10-17","2025-10-17","Per=Y","Days=T","Dir=V")</f>
        <v>0</v>
      </c>
      <c r="AK2">
        <f>BDH("ECDA US Equity","CF_CASH_FROM_OPER","2020-10-17","2025-10-17","Per=Y","Days=T","Dir=V")</f>
        <v>0</v>
      </c>
      <c r="AM2">
        <f>BDH("ECDA US Equity","CAPITAL_EXPEND","2020-10-17","2025-10-17","Per=Y","Days=T","Dir=V")</f>
        <v>0</v>
      </c>
      <c r="AO2">
        <f>BDH("ECDA US Equity","CF_FREE_CASH_FLOW","2020-10-17","2025-10-17","Per=Y","Days=T","Dir=V")</f>
        <v>0</v>
      </c>
      <c r="AQ2">
        <f>BDH("ECDA US Equity","PX_LAST","2020-10-17","2025-10-17","Per=M","Days=T","Dir=V")</f>
        <v>0</v>
      </c>
      <c r="AS2">
        <f>BDH("ECDA US Equity","CUR_MKT_CAP","2020-10-17","2025-10-17","Per=M","Days=T","Dir=V")</f>
        <v>0</v>
      </c>
      <c r="AU2">
        <f>BDH("ECDA US Equity","EQY_SH_OUT","2020-10-17","2025-10-17","Per=M","Days=T","Dir=V")</f>
        <v>0</v>
      </c>
      <c r="AW2">
        <f>BDH("ECDA US Equity","BETA_RAW_OVERRIABLE","2020-10-17","2025-10-17","Per=M","Days=T","Dir=V")</f>
        <v>0</v>
      </c>
      <c r="AY2">
        <f>BDH("ECDA US Equity","PX_VOLUME","2020-10-17","2025-10-17","Per=M","Days=T","Dir=V")</f>
        <v>0</v>
      </c>
      <c r="BA2">
        <f>BDH("ECDA US Equity","TURNOVER","2020-10-17","2025-10-17","Per=M","Days=T","Dir=V")</f>
        <v>0</v>
      </c>
      <c r="BC2">
        <f>BDH("ECDA US Equity","SPREAD_BA_CR","2020-10-17","2025-10-17","Per=M","Days=T","Dir=V")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BDH("IVPR US Equity","BS_TOT_ASSET","2020-10-22","2025-10-22","Per=Y","Days=T","Dir=V")</f>
        <v>0</v>
      </c>
      <c r="C2">
        <f>BDH("IVPR US Equity","BS_TOT_LIAB2","2020-10-22","2025-10-22","Per=Y","Days=T","Dir=V")</f>
        <v>0</v>
      </c>
      <c r="E2">
        <f>BDH("IVPR US Equity","SHORT_AND_LONG_TERM_DEBT","2020-10-22","2025-10-22","Per=Y","Days=T","Dir=V")</f>
        <v>0</v>
      </c>
      <c r="G2">
        <f>BDH("IVPR US Equity","BS_ST_BORROW","2020-10-22","2025-10-22","Per=Y","Days=T","Dir=V")</f>
        <v>0</v>
      </c>
      <c r="I2">
        <f>BDH("IVPR US Equity","BS_LT_BORROW","2020-10-22","2025-10-22","Per=Y","Days=T","Dir=V")</f>
        <v>0</v>
      </c>
      <c r="K2">
        <f>BDH("IVPR US Equity","BS_CASH_NEAR_CASH_ITEM","2020-10-22","2025-10-22","Per=Y","Days=T","Dir=V")</f>
        <v>0</v>
      </c>
      <c r="M2">
        <f>BDH("IVPR US Equity","BS_CUR_ASSET_REPORT","2020-10-22","2025-10-22","Per=Y","Days=T","Dir=V")</f>
        <v>0</v>
      </c>
      <c r="O2">
        <f>BDH("IVPR US Equity","BS_CUR_LIAB","2020-10-22","2025-10-22","Per=Y","Days=T","Dir=V")</f>
        <v>0</v>
      </c>
      <c r="Q2">
        <f>BDH("IVPR US Equity","BS_SHAREHOLDER_EQY_ENDING_PERIOD","2020-10-22","2025-10-22","Per=Y","Days=T","Dir=V")</f>
        <v>0</v>
      </c>
      <c r="S2">
        <f>BDH("IVPR US Equity","BS_ACCT_NOTE_RCV","2020-10-22","2025-10-22","Per=Y","Days=T","Dir=V")</f>
        <v>0</v>
      </c>
      <c r="U2">
        <f>BDH("IVPR US Equity","BS_INVENTORIES","2020-10-22","2025-10-22","Per=Y","Days=T","Dir=V")</f>
        <v>0</v>
      </c>
      <c r="W2">
        <f>BDH("IVPR US Equity","WORKING_CAPITAL","2020-10-22","2025-10-22","Per=Y","Days=T","Dir=V")</f>
        <v>0</v>
      </c>
      <c r="Y2">
        <f>BDH("IVPR US Equity","SALES_REV_TURN","2020-10-22","2025-10-22","Per=Y","Days=T","Dir=V")</f>
        <v>0</v>
      </c>
      <c r="AA2">
        <f>BDH("IVPR US Equity","EBIT","2020-10-22","2025-10-22","Per=Y","Days=T","Dir=V")</f>
        <v>0</v>
      </c>
      <c r="AC2">
        <f>BDH("IVPR US Equity","EBITDA","2020-10-22","2025-10-22","Per=Y","Days=T","Dir=V")</f>
        <v>0</v>
      </c>
      <c r="AE2">
        <f>BDH("IVPR US Equity","NET_INCOME","2020-10-22","2025-10-22","Per=Y","Days=T","Dir=V")</f>
        <v>0</v>
      </c>
      <c r="AG2">
        <f>BDH("IVPR US Equity","IS_INT_EXPENSE","2020-10-22","2025-10-22","Per=Y","Days=T","Dir=V")</f>
        <v>0</v>
      </c>
      <c r="AI2">
        <f>BDH("IVPR US Equity","IS_DEPR_EXP","2020-10-22","2025-10-22","Per=Y","Days=T","Dir=V")</f>
        <v>0</v>
      </c>
      <c r="AK2">
        <f>BDH("IVPR US Equity","CF_CASH_FROM_OPER","2020-10-22","2025-10-22","Per=Y","Days=T","Dir=V")</f>
        <v>0</v>
      </c>
      <c r="AM2">
        <f>BDH("IVPR US Equity","CAPITAL_EXPEND","2020-10-22","2025-10-22","Per=Y","Days=T","Dir=V")</f>
        <v>0</v>
      </c>
      <c r="AO2">
        <f>BDH("IVPR US Equity","CF_FREE_CASH_FLOW","2020-10-22","2025-10-22","Per=Y","Days=T","Dir=V")</f>
        <v>0</v>
      </c>
      <c r="AQ2">
        <f>BDH("IVPR US Equity","PX_LAST","2020-10-22","2025-10-22","Per=M","Days=T","Dir=V")</f>
        <v>0</v>
      </c>
      <c r="AS2">
        <f>BDH("IVPR US Equity","CUR_MKT_CAP","2020-10-22","2025-10-22","Per=M","Days=T","Dir=V")</f>
        <v>0</v>
      </c>
      <c r="AU2">
        <f>BDH("IVPR US Equity","EQY_SH_OUT","2020-10-22","2025-10-22","Per=M","Days=T","Dir=V")</f>
        <v>0</v>
      </c>
      <c r="AW2">
        <f>BDH("IVPR US Equity","BETA_RAW_OVERRIABLE","2020-10-22","2025-10-22","Per=M","Days=T","Dir=V")</f>
        <v>0</v>
      </c>
      <c r="AY2">
        <f>BDH("IVPR US Equity","PX_VOLUME","2020-10-22","2025-10-22","Per=M","Days=T","Dir=V")</f>
        <v>0</v>
      </c>
      <c r="BA2">
        <f>BDH("IVPR US Equity","TURNOVER","2020-10-22","2025-10-22","Per=M","Days=T","Dir=V")</f>
        <v>0</v>
      </c>
      <c r="BC2">
        <f>BDH("IVPR US Equity","SPREAD_BA_CR","2020-10-22","2025-10-22","Per=M","Days=T","Dir=V")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BDH("NINE US Equity","BS_TOT_ASSET","2020-11-01","2025-11-01","Per=Y","Days=T","Dir=V")</f>
        <v>0</v>
      </c>
      <c r="C2">
        <f>BDH("NINE US Equity","BS_TOT_LIAB2","2020-11-01","2025-11-01","Per=Y","Days=T","Dir=V")</f>
        <v>0</v>
      </c>
      <c r="E2">
        <f>BDH("NINE US Equity","SHORT_AND_LONG_TERM_DEBT","2020-11-01","2025-11-01","Per=Y","Days=T","Dir=V")</f>
        <v>0</v>
      </c>
      <c r="G2">
        <f>BDH("NINE US Equity","BS_ST_BORROW","2020-11-01","2025-11-01","Per=Y","Days=T","Dir=V")</f>
        <v>0</v>
      </c>
      <c r="I2">
        <f>BDH("NINE US Equity","BS_LT_BORROW","2020-11-01","2025-11-01","Per=Y","Days=T","Dir=V")</f>
        <v>0</v>
      </c>
      <c r="K2">
        <f>BDH("NINE US Equity","BS_CASH_NEAR_CASH_ITEM","2020-11-01","2025-11-01","Per=Y","Days=T","Dir=V")</f>
        <v>0</v>
      </c>
      <c r="M2">
        <f>BDH("NINE US Equity","BS_CUR_ASSET_REPORT","2020-11-01","2025-11-01","Per=Y","Days=T","Dir=V")</f>
        <v>0</v>
      </c>
      <c r="O2">
        <f>BDH("NINE US Equity","BS_CUR_LIAB","2020-11-01","2025-11-01","Per=Y","Days=T","Dir=V")</f>
        <v>0</v>
      </c>
      <c r="Q2">
        <f>BDH("NINE US Equity","BS_SHAREHOLDER_EQY_ENDING_PERIOD","2020-11-01","2025-11-01","Per=Y","Days=T","Dir=V")</f>
        <v>0</v>
      </c>
      <c r="S2">
        <f>BDH("NINE US Equity","BS_ACCT_NOTE_RCV","2020-11-01","2025-11-01","Per=Y","Days=T","Dir=V")</f>
        <v>0</v>
      </c>
      <c r="U2">
        <f>BDH("NINE US Equity","BS_INVENTORIES","2020-11-01","2025-11-01","Per=Y","Days=T","Dir=V")</f>
        <v>0</v>
      </c>
      <c r="W2">
        <f>BDH("NINE US Equity","WORKING_CAPITAL","2020-11-01","2025-11-01","Per=Y","Days=T","Dir=V")</f>
        <v>0</v>
      </c>
      <c r="Y2">
        <f>BDH("NINE US Equity","SALES_REV_TURN","2020-11-01","2025-11-01","Per=Y","Days=T","Dir=V")</f>
        <v>0</v>
      </c>
      <c r="AA2">
        <f>BDH("NINE US Equity","EBIT","2020-11-01","2025-11-01","Per=Y","Days=T","Dir=V")</f>
        <v>0</v>
      </c>
      <c r="AC2">
        <f>BDH("NINE US Equity","EBITDA","2020-11-01","2025-11-01","Per=Y","Days=T","Dir=V")</f>
        <v>0</v>
      </c>
      <c r="AE2">
        <f>BDH("NINE US Equity","NET_INCOME","2020-11-01","2025-11-01","Per=Y","Days=T","Dir=V")</f>
        <v>0</v>
      </c>
      <c r="AG2">
        <f>BDH("NINE US Equity","IS_INT_EXPENSE","2020-11-01","2025-11-01","Per=Y","Days=T","Dir=V")</f>
        <v>0</v>
      </c>
      <c r="AI2">
        <f>BDH("NINE US Equity","IS_DEPR_EXP","2020-11-01","2025-11-01","Per=Y","Days=T","Dir=V")</f>
        <v>0</v>
      </c>
      <c r="AK2">
        <f>BDH("NINE US Equity","CF_CASH_FROM_OPER","2020-11-01","2025-11-01","Per=Y","Days=T","Dir=V")</f>
        <v>0</v>
      </c>
      <c r="AM2">
        <f>BDH("NINE US Equity","CAPITAL_EXPEND","2020-11-01","2025-11-01","Per=Y","Days=T","Dir=V")</f>
        <v>0</v>
      </c>
      <c r="AO2">
        <f>BDH("NINE US Equity","CF_FREE_CASH_FLOW","2020-11-01","2025-11-01","Per=Y","Days=T","Dir=V")</f>
        <v>0</v>
      </c>
      <c r="AQ2">
        <f>BDH("NINE US Equity","PX_LAST","2020-11-01","2025-11-01","Per=M","Days=T","Dir=V")</f>
        <v>0</v>
      </c>
      <c r="AS2">
        <f>BDH("NINE US Equity","CUR_MKT_CAP","2020-11-01","2025-11-01","Per=M","Days=T","Dir=V")</f>
        <v>0</v>
      </c>
      <c r="AU2">
        <f>BDH("NINE US Equity","EQY_SH_OUT","2020-11-01","2025-11-01","Per=M","Days=T","Dir=V")</f>
        <v>0</v>
      </c>
      <c r="AW2">
        <f>BDH("NINE US Equity","BETA_RAW_OVERRIABLE","2020-11-01","2025-11-01","Per=M","Days=T","Dir=V")</f>
        <v>0</v>
      </c>
      <c r="AY2">
        <f>BDH("NINE US Equity","PX_VOLUME","2020-11-01","2025-11-01","Per=M","Days=T","Dir=V")</f>
        <v>0</v>
      </c>
      <c r="BA2">
        <f>BDH("NINE US Equity","TURNOVER","2020-11-01","2025-11-01","Per=M","Days=T","Dir=V")</f>
        <v>0</v>
      </c>
      <c r="BC2">
        <f>BDH("NINE US Equity","SPREAD_BA_CR","2020-11-01","2025-11-01","Per=M","Days=T","Dir=V")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BDH("TWNPQ US Equity","BS_TOT_ASSET","2020-11-05","2025-11-05","Per=Y","Days=T","Dir=V")</f>
        <v>0</v>
      </c>
      <c r="C2">
        <f>BDH("TWNPQ US Equity","BS_TOT_LIAB2","2020-11-05","2025-11-05","Per=Y","Days=T","Dir=V")</f>
        <v>0</v>
      </c>
      <c r="E2">
        <f>BDH("TWNPQ US Equity","SHORT_AND_LONG_TERM_DEBT","2020-11-05","2025-11-05","Per=Y","Days=T","Dir=V")</f>
        <v>0</v>
      </c>
      <c r="G2">
        <f>BDH("TWNPQ US Equity","BS_ST_BORROW","2020-11-05","2025-11-05","Per=Y","Days=T","Dir=V")</f>
        <v>0</v>
      </c>
      <c r="I2">
        <f>BDH("TWNPQ US Equity","BS_LT_BORROW","2020-11-05","2025-11-05","Per=Y","Days=T","Dir=V")</f>
        <v>0</v>
      </c>
      <c r="K2">
        <f>BDH("TWNPQ US Equity","BS_CASH_NEAR_CASH_ITEM","2020-11-05","2025-11-05","Per=Y","Days=T","Dir=V")</f>
        <v>0</v>
      </c>
      <c r="M2">
        <f>BDH("TWNPQ US Equity","BS_CUR_ASSET_REPORT","2020-11-05","2025-11-05","Per=Y","Days=T","Dir=V")</f>
        <v>0</v>
      </c>
      <c r="O2">
        <f>BDH("TWNPQ US Equity","BS_CUR_LIAB","2020-11-05","2025-11-05","Per=Y","Days=T","Dir=V")</f>
        <v>0</v>
      </c>
      <c r="Q2">
        <f>BDH("TWNPQ US Equity","BS_SHAREHOLDER_EQY_ENDING_PERIOD","2020-11-05","2025-11-05","Per=Y","Days=T","Dir=V")</f>
        <v>0</v>
      </c>
      <c r="S2">
        <f>BDH("TWNPQ US Equity","BS_ACCT_NOTE_RCV","2020-11-05","2025-11-05","Per=Y","Days=T","Dir=V")</f>
        <v>0</v>
      </c>
      <c r="U2">
        <f>BDH("TWNPQ US Equity","BS_INVENTORIES","2020-11-05","2025-11-05","Per=Y","Days=T","Dir=V")</f>
        <v>0</v>
      </c>
      <c r="W2">
        <f>BDH("TWNPQ US Equity","WORKING_CAPITAL","2020-11-05","2025-11-05","Per=Y","Days=T","Dir=V")</f>
        <v>0</v>
      </c>
      <c r="Y2">
        <f>BDH("TWNPQ US Equity","SALES_REV_TURN","2020-11-05","2025-11-05","Per=Y","Days=T","Dir=V")</f>
        <v>0</v>
      </c>
      <c r="AA2">
        <f>BDH("TWNPQ US Equity","EBIT","2020-11-05","2025-11-05","Per=Y","Days=T","Dir=V")</f>
        <v>0</v>
      </c>
      <c r="AC2">
        <f>BDH("TWNPQ US Equity","EBITDA","2020-11-05","2025-11-05","Per=Y","Days=T","Dir=V")</f>
        <v>0</v>
      </c>
      <c r="AE2">
        <f>BDH("TWNPQ US Equity","NET_INCOME","2020-11-05","2025-11-05","Per=Y","Days=T","Dir=V")</f>
        <v>0</v>
      </c>
      <c r="AG2">
        <f>BDH("TWNPQ US Equity","IS_INT_EXPENSE","2020-11-05","2025-11-05","Per=Y","Days=T","Dir=V")</f>
        <v>0</v>
      </c>
      <c r="AI2">
        <f>BDH("TWNPQ US Equity","IS_DEPR_EXP","2020-11-05","2025-11-05","Per=Y","Days=T","Dir=V")</f>
        <v>0</v>
      </c>
      <c r="AK2">
        <f>BDH("TWNPQ US Equity","CF_CASH_FROM_OPER","2020-11-05","2025-11-05","Per=Y","Days=T","Dir=V")</f>
        <v>0</v>
      </c>
      <c r="AM2">
        <f>BDH("TWNPQ US Equity","CAPITAL_EXPEND","2020-11-05","2025-11-05","Per=Y","Days=T","Dir=V")</f>
        <v>0</v>
      </c>
      <c r="AO2">
        <f>BDH("TWNPQ US Equity","CF_FREE_CASH_FLOW","2020-11-05","2025-11-05","Per=Y","Days=T","Dir=V")</f>
        <v>0</v>
      </c>
      <c r="AQ2">
        <f>BDH("TWNPQ US Equity","PX_LAST","2020-11-05","2025-11-05","Per=M","Days=T","Dir=V")</f>
        <v>0</v>
      </c>
      <c r="AS2">
        <f>BDH("TWNPQ US Equity","CUR_MKT_CAP","2020-11-05","2025-11-05","Per=M","Days=T","Dir=V")</f>
        <v>0</v>
      </c>
      <c r="AU2">
        <f>BDH("TWNPQ US Equity","EQY_SH_OUT","2020-11-05","2025-11-05","Per=M","Days=T","Dir=V")</f>
        <v>0</v>
      </c>
      <c r="AW2">
        <f>BDH("TWNPQ US Equity","BETA_RAW_OVERRIABLE","2020-11-05","2025-11-05","Per=M","Days=T","Dir=V")</f>
        <v>0</v>
      </c>
      <c r="AY2">
        <f>BDH("TWNPQ US Equity","PX_VOLUME","2020-11-05","2025-11-05","Per=M","Days=T","Dir=V")</f>
        <v>0</v>
      </c>
      <c r="BA2">
        <f>BDH("TWNPQ US Equity","TURNOVER","2020-11-05","2025-11-05","Per=M","Days=T","Dir=V")</f>
        <v>0</v>
      </c>
      <c r="BC2">
        <f>BDH("TWNPQ US Equity","SPREAD_BA_CR","2020-11-05","2025-11-05","Per=M","Days=T","Dir=V")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BDH("FATAQ US Equity","BS_TOT_ASSET","2020-11-05","2025-11-05","Per=Y","Days=T","Dir=V")</f>
        <v>0</v>
      </c>
      <c r="C2">
        <f>BDH("FATAQ US Equity","BS_TOT_LIAB2","2020-11-05","2025-11-05","Per=Y","Days=T","Dir=V")</f>
        <v>0</v>
      </c>
      <c r="E2">
        <f>BDH("FATAQ US Equity","SHORT_AND_LONG_TERM_DEBT","2020-11-05","2025-11-05","Per=Y","Days=T","Dir=V")</f>
        <v>0</v>
      </c>
      <c r="G2">
        <f>BDH("FATAQ US Equity","BS_ST_BORROW","2020-11-05","2025-11-05","Per=Y","Days=T","Dir=V")</f>
        <v>0</v>
      </c>
      <c r="I2">
        <f>BDH("FATAQ US Equity","BS_LT_BORROW","2020-11-05","2025-11-05","Per=Y","Days=T","Dir=V")</f>
        <v>0</v>
      </c>
      <c r="K2">
        <f>BDH("FATAQ US Equity","BS_CASH_NEAR_CASH_ITEM","2020-11-05","2025-11-05","Per=Y","Days=T","Dir=V")</f>
        <v>0</v>
      </c>
      <c r="M2">
        <f>BDH("FATAQ US Equity","BS_CUR_ASSET_REPORT","2020-11-05","2025-11-05","Per=Y","Days=T","Dir=V")</f>
        <v>0</v>
      </c>
      <c r="O2">
        <f>BDH("FATAQ US Equity","BS_CUR_LIAB","2020-11-05","2025-11-05","Per=Y","Days=T","Dir=V")</f>
        <v>0</v>
      </c>
      <c r="Q2">
        <f>BDH("FATAQ US Equity","BS_SHAREHOLDER_EQY_ENDING_PERIOD","2020-11-05","2025-11-05","Per=Y","Days=T","Dir=V")</f>
        <v>0</v>
      </c>
      <c r="S2">
        <f>BDH("FATAQ US Equity","BS_ACCT_NOTE_RCV","2020-11-05","2025-11-05","Per=Y","Days=T","Dir=V")</f>
        <v>0</v>
      </c>
      <c r="U2">
        <f>BDH("FATAQ US Equity","BS_INVENTORIES","2020-11-05","2025-11-05","Per=Y","Days=T","Dir=V")</f>
        <v>0</v>
      </c>
      <c r="W2">
        <f>BDH("FATAQ US Equity","WORKING_CAPITAL","2020-11-05","2025-11-05","Per=Y","Days=T","Dir=V")</f>
        <v>0</v>
      </c>
      <c r="Y2">
        <f>BDH("FATAQ US Equity","SALES_REV_TURN","2020-11-05","2025-11-05","Per=Y","Days=T","Dir=V")</f>
        <v>0</v>
      </c>
      <c r="AA2">
        <f>BDH("FATAQ US Equity","EBIT","2020-11-05","2025-11-05","Per=Y","Days=T","Dir=V")</f>
        <v>0</v>
      </c>
      <c r="AC2">
        <f>BDH("FATAQ US Equity","EBITDA","2020-11-05","2025-11-05","Per=Y","Days=T","Dir=V")</f>
        <v>0</v>
      </c>
      <c r="AE2">
        <f>BDH("FATAQ US Equity","NET_INCOME","2020-11-05","2025-11-05","Per=Y","Days=T","Dir=V")</f>
        <v>0</v>
      </c>
      <c r="AG2">
        <f>BDH("FATAQ US Equity","IS_INT_EXPENSE","2020-11-05","2025-11-05","Per=Y","Days=T","Dir=V")</f>
        <v>0</v>
      </c>
      <c r="AI2">
        <f>BDH("FATAQ US Equity","IS_DEPR_EXP","2020-11-05","2025-11-05","Per=Y","Days=T","Dir=V")</f>
        <v>0</v>
      </c>
      <c r="AK2">
        <f>BDH("FATAQ US Equity","CF_CASH_FROM_OPER","2020-11-05","2025-11-05","Per=Y","Days=T","Dir=V")</f>
        <v>0</v>
      </c>
      <c r="AM2">
        <f>BDH("FATAQ US Equity","CAPITAL_EXPEND","2020-11-05","2025-11-05","Per=Y","Days=T","Dir=V")</f>
        <v>0</v>
      </c>
      <c r="AO2">
        <f>BDH("FATAQ US Equity","CF_FREE_CASH_FLOW","2020-11-05","2025-11-05","Per=Y","Days=T","Dir=V")</f>
        <v>0</v>
      </c>
      <c r="AQ2">
        <f>BDH("FATAQ US Equity","PX_LAST","2020-11-05","2025-11-05","Per=M","Days=T","Dir=V")</f>
        <v>0</v>
      </c>
      <c r="AS2">
        <f>BDH("FATAQ US Equity","CUR_MKT_CAP","2020-11-05","2025-11-05","Per=M","Days=T","Dir=V")</f>
        <v>0</v>
      </c>
      <c r="AU2">
        <f>BDH("FATAQ US Equity","EQY_SH_OUT","2020-11-05","2025-11-05","Per=M","Days=T","Dir=V")</f>
        <v>0</v>
      </c>
      <c r="AW2">
        <f>BDH("FATAQ US Equity","BETA_RAW_OVERRIABLE","2020-11-05","2025-11-05","Per=M","Days=T","Dir=V")</f>
        <v>0</v>
      </c>
      <c r="AY2">
        <f>BDH("FATAQ US Equity","PX_VOLUME","2020-11-05","2025-11-05","Per=M","Days=T","Dir=V")</f>
        <v>0</v>
      </c>
      <c r="BA2">
        <f>BDH("FATAQ US Equity","TURNOVER","2020-11-05","2025-11-05","Per=M","Days=T","Dir=V")</f>
        <v>0</v>
      </c>
      <c r="BC2">
        <f>BDH("FATAQ US Equity","SPREAD_BA_CR","2020-11-05","2025-11-05","Per=M","Days=T","Dir=V")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BDH("BHATF US Equity","BS_TOT_ASSET","2020-12-13","2025-12-13","Per=Y","Days=T","Dir=V")</f>
        <v>0</v>
      </c>
      <c r="C2">
        <f>BDH("BHATF US Equity","BS_TOT_LIAB2","2020-12-13","2025-12-13","Per=Y","Days=T","Dir=V")</f>
        <v>0</v>
      </c>
      <c r="E2">
        <f>BDH("BHATF US Equity","SHORT_AND_LONG_TERM_DEBT","2020-12-13","2025-12-13","Per=Y","Days=T","Dir=V")</f>
        <v>0</v>
      </c>
      <c r="G2">
        <f>BDH("BHATF US Equity","BS_ST_BORROW","2020-12-13","2025-12-13","Per=Y","Days=T","Dir=V")</f>
        <v>0</v>
      </c>
      <c r="I2">
        <f>BDH("BHATF US Equity","BS_LT_BORROW","2020-12-13","2025-12-13","Per=Y","Days=T","Dir=V")</f>
        <v>0</v>
      </c>
      <c r="K2">
        <f>BDH("BHATF US Equity","BS_CASH_NEAR_CASH_ITEM","2020-12-13","2025-12-13","Per=Y","Days=T","Dir=V")</f>
        <v>0</v>
      </c>
      <c r="M2">
        <f>BDH("BHATF US Equity","BS_CUR_ASSET_REPORT","2020-12-13","2025-12-13","Per=Y","Days=T","Dir=V")</f>
        <v>0</v>
      </c>
      <c r="O2">
        <f>BDH("BHATF US Equity","BS_CUR_LIAB","2020-12-13","2025-12-13","Per=Y","Days=T","Dir=V")</f>
        <v>0</v>
      </c>
      <c r="Q2">
        <f>BDH("BHATF US Equity","BS_SHAREHOLDER_EQY_ENDING_PERIOD","2020-12-13","2025-12-13","Per=Y","Days=T","Dir=V")</f>
        <v>0</v>
      </c>
      <c r="S2">
        <f>BDH("BHATF US Equity","BS_ACCT_NOTE_RCV","2020-12-13","2025-12-13","Per=Y","Days=T","Dir=V")</f>
        <v>0</v>
      </c>
      <c r="U2">
        <f>BDH("BHATF US Equity","BS_INVENTORIES","2020-12-13","2025-12-13","Per=Y","Days=T","Dir=V")</f>
        <v>0</v>
      </c>
      <c r="W2">
        <f>BDH("BHATF US Equity","WORKING_CAPITAL","2020-12-13","2025-12-13","Per=Y","Days=T","Dir=V")</f>
        <v>0</v>
      </c>
      <c r="Y2">
        <f>BDH("BHATF US Equity","SALES_REV_TURN","2020-12-13","2025-12-13","Per=Y","Days=T","Dir=V")</f>
        <v>0</v>
      </c>
      <c r="AA2">
        <f>BDH("BHATF US Equity","EBIT","2020-12-13","2025-12-13","Per=Y","Days=T","Dir=V")</f>
        <v>0</v>
      </c>
      <c r="AC2">
        <f>BDH("BHATF US Equity","EBITDA","2020-12-13","2025-12-13","Per=Y","Days=T","Dir=V")</f>
        <v>0</v>
      </c>
      <c r="AE2">
        <f>BDH("BHATF US Equity","NET_INCOME","2020-12-13","2025-12-13","Per=Y","Days=T","Dir=V")</f>
        <v>0</v>
      </c>
      <c r="AG2">
        <f>BDH("BHATF US Equity","IS_INT_EXPENSE","2020-12-13","2025-12-13","Per=Y","Days=T","Dir=V")</f>
        <v>0</v>
      </c>
      <c r="AI2">
        <f>BDH("BHATF US Equity","IS_DEPR_EXP","2020-12-13","2025-12-13","Per=Y","Days=T","Dir=V")</f>
        <v>0</v>
      </c>
      <c r="AK2">
        <f>BDH("BHATF US Equity","CF_CASH_FROM_OPER","2020-12-13","2025-12-13","Per=Y","Days=T","Dir=V")</f>
        <v>0</v>
      </c>
      <c r="AM2">
        <f>BDH("BHATF US Equity","CAPITAL_EXPEND","2020-12-13","2025-12-13","Per=Y","Days=T","Dir=V")</f>
        <v>0</v>
      </c>
      <c r="AO2">
        <f>BDH("BHATF US Equity","CF_FREE_CASH_FLOW","2020-12-13","2025-12-13","Per=Y","Days=T","Dir=V")</f>
        <v>0</v>
      </c>
      <c r="AQ2">
        <f>BDH("BHATF US Equity","PX_LAST","2020-12-13","2025-12-13","Per=M","Days=T","Dir=V")</f>
        <v>0</v>
      </c>
      <c r="AS2">
        <f>BDH("BHATF US Equity","CUR_MKT_CAP","2020-12-13","2025-12-13","Per=M","Days=T","Dir=V")</f>
        <v>0</v>
      </c>
      <c r="AU2">
        <f>BDH("BHATF US Equity","EQY_SH_OUT","2020-12-13","2025-12-13","Per=M","Days=T","Dir=V")</f>
        <v>0</v>
      </c>
      <c r="AW2">
        <f>BDH("BHATF US Equity","BETA_RAW_OVERRIABLE","2020-12-13","2025-12-13","Per=M","Days=T","Dir=V")</f>
        <v>0</v>
      </c>
      <c r="AY2">
        <f>BDH("BHATF US Equity","PX_VOLUME","2020-12-13","2025-12-13","Per=M","Days=T","Dir=V")</f>
        <v>0</v>
      </c>
      <c r="BA2">
        <f>BDH("BHATF US Equity","TURNOVER","2020-12-13","2025-12-13","Per=M","Days=T","Dir=V")</f>
        <v>0</v>
      </c>
      <c r="BC2">
        <f>BDH("BHATF US Equity","SPREAD_BA_CR","2020-12-13","2025-12-13","Per=M","Days=T","Dir=V")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BDH("IOBTQ US Equity","BS_TOT_ASSET","2021-01-06","2026-01-06","Per=Y","Days=T","Dir=V")</f>
        <v>0</v>
      </c>
      <c r="C2">
        <f>BDH("IOBTQ US Equity","BS_TOT_LIAB2","2021-01-06","2026-01-06","Per=Y","Days=T","Dir=V")</f>
        <v>0</v>
      </c>
      <c r="E2">
        <f>BDH("IOBTQ US Equity","SHORT_AND_LONG_TERM_DEBT","2021-01-06","2026-01-06","Per=Y","Days=T","Dir=V")</f>
        <v>0</v>
      </c>
      <c r="G2">
        <f>BDH("IOBTQ US Equity","BS_ST_BORROW","2021-01-06","2026-01-06","Per=Y","Days=T","Dir=V")</f>
        <v>0</v>
      </c>
      <c r="I2">
        <f>BDH("IOBTQ US Equity","BS_LT_BORROW","2021-01-06","2026-01-06","Per=Y","Days=T","Dir=V")</f>
        <v>0</v>
      </c>
      <c r="K2">
        <f>BDH("IOBTQ US Equity","BS_CASH_NEAR_CASH_ITEM","2021-01-06","2026-01-06","Per=Y","Days=T","Dir=V")</f>
        <v>0</v>
      </c>
      <c r="M2">
        <f>BDH("IOBTQ US Equity","BS_CUR_ASSET_REPORT","2021-01-06","2026-01-06","Per=Y","Days=T","Dir=V")</f>
        <v>0</v>
      </c>
      <c r="O2">
        <f>BDH("IOBTQ US Equity","BS_CUR_LIAB","2021-01-06","2026-01-06","Per=Y","Days=T","Dir=V")</f>
        <v>0</v>
      </c>
      <c r="Q2">
        <f>BDH("IOBTQ US Equity","BS_SHAREHOLDER_EQY_ENDING_PERIOD","2021-01-06","2026-01-06","Per=Y","Days=T","Dir=V")</f>
        <v>0</v>
      </c>
      <c r="S2">
        <f>BDH("IOBTQ US Equity","BS_ACCT_NOTE_RCV","2021-01-06","2026-01-06","Per=Y","Days=T","Dir=V")</f>
        <v>0</v>
      </c>
      <c r="U2">
        <f>BDH("IOBTQ US Equity","BS_INVENTORIES","2021-01-06","2026-01-06","Per=Y","Days=T","Dir=V")</f>
        <v>0</v>
      </c>
      <c r="W2">
        <f>BDH("IOBTQ US Equity","WORKING_CAPITAL","2021-01-06","2026-01-06","Per=Y","Days=T","Dir=V")</f>
        <v>0</v>
      </c>
      <c r="Y2">
        <f>BDH("IOBTQ US Equity","SALES_REV_TURN","2021-01-06","2026-01-06","Per=Y","Days=T","Dir=V")</f>
        <v>0</v>
      </c>
      <c r="AA2">
        <f>BDH("IOBTQ US Equity","EBIT","2021-01-06","2026-01-06","Per=Y","Days=T","Dir=V")</f>
        <v>0</v>
      </c>
      <c r="AC2">
        <f>BDH("IOBTQ US Equity","EBITDA","2021-01-06","2026-01-06","Per=Y","Days=T","Dir=V")</f>
        <v>0</v>
      </c>
      <c r="AE2">
        <f>BDH("IOBTQ US Equity","NET_INCOME","2021-01-06","2026-01-06","Per=Y","Days=T","Dir=V")</f>
        <v>0</v>
      </c>
      <c r="AG2">
        <f>BDH("IOBTQ US Equity","IS_INT_EXPENSE","2021-01-06","2026-01-06","Per=Y","Days=T","Dir=V")</f>
        <v>0</v>
      </c>
      <c r="AI2">
        <f>BDH("IOBTQ US Equity","IS_DEPR_EXP","2021-01-06","2026-01-06","Per=Y","Days=T","Dir=V")</f>
        <v>0</v>
      </c>
      <c r="AK2">
        <f>BDH("IOBTQ US Equity","CF_CASH_FROM_OPER","2021-01-06","2026-01-06","Per=Y","Days=T","Dir=V")</f>
        <v>0</v>
      </c>
      <c r="AM2">
        <f>BDH("IOBTQ US Equity","CAPITAL_EXPEND","2021-01-06","2026-01-06","Per=Y","Days=T","Dir=V")</f>
        <v>0</v>
      </c>
      <c r="AO2">
        <f>BDH("IOBTQ US Equity","CF_FREE_CASH_FLOW","2021-01-06","2026-01-06","Per=Y","Days=T","Dir=V")</f>
        <v>0</v>
      </c>
      <c r="AQ2">
        <f>BDH("IOBTQ US Equity","PX_LAST","2021-01-06","2026-01-06","Per=M","Days=T","Dir=V")</f>
        <v>0</v>
      </c>
      <c r="AS2">
        <f>BDH("IOBTQ US Equity","CUR_MKT_CAP","2021-01-06","2026-01-06","Per=M","Days=T","Dir=V")</f>
        <v>0</v>
      </c>
      <c r="AU2">
        <f>BDH("IOBTQ US Equity","EQY_SH_OUT","2021-01-06","2026-01-06","Per=M","Days=T","Dir=V")</f>
        <v>0</v>
      </c>
      <c r="AW2">
        <f>BDH("IOBTQ US Equity","BETA_RAW_OVERRIABLE","2021-01-06","2026-01-06","Per=M","Days=T","Dir=V")</f>
        <v>0</v>
      </c>
      <c r="AY2">
        <f>BDH("IOBTQ US Equity","PX_VOLUME","2021-01-06","2026-01-06","Per=M","Days=T","Dir=V")</f>
        <v>0</v>
      </c>
      <c r="BA2">
        <f>BDH("IOBTQ US Equity","TURNOVER","2021-01-06","2026-01-06","Per=M","Days=T","Dir=V")</f>
        <v>0</v>
      </c>
      <c r="BC2">
        <f>BDH("IOBTQ US Equity","SPREAD_BA_CR","2021-01-06","2026-01-06","Per=M","Days=T","Dir=V")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BDH("QVCG US Equity","BS_TOT_ASSET","2021-01-24","2026-01-24","Per=Y","Days=T","Dir=V")</f>
        <v>0</v>
      </c>
      <c r="C2">
        <f>BDH("QVCG US Equity","BS_TOT_LIAB2","2021-01-24","2026-01-24","Per=Y","Days=T","Dir=V")</f>
        <v>0</v>
      </c>
      <c r="E2">
        <f>BDH("QVCG US Equity","SHORT_AND_LONG_TERM_DEBT","2021-01-24","2026-01-24","Per=Y","Days=T","Dir=V")</f>
        <v>0</v>
      </c>
      <c r="G2">
        <f>BDH("QVCG US Equity","BS_ST_BORROW","2021-01-24","2026-01-24","Per=Y","Days=T","Dir=V")</f>
        <v>0</v>
      </c>
      <c r="I2">
        <f>BDH("QVCG US Equity","BS_LT_BORROW","2021-01-24","2026-01-24","Per=Y","Days=T","Dir=V")</f>
        <v>0</v>
      </c>
      <c r="K2">
        <f>BDH("QVCG US Equity","BS_CASH_NEAR_CASH_ITEM","2021-01-24","2026-01-24","Per=Y","Days=T","Dir=V")</f>
        <v>0</v>
      </c>
      <c r="M2">
        <f>BDH("QVCG US Equity","BS_CUR_ASSET_REPORT","2021-01-24","2026-01-24","Per=Y","Days=T","Dir=V")</f>
        <v>0</v>
      </c>
      <c r="O2">
        <f>BDH("QVCG US Equity","BS_CUR_LIAB","2021-01-24","2026-01-24","Per=Y","Days=T","Dir=V")</f>
        <v>0</v>
      </c>
      <c r="Q2">
        <f>BDH("QVCG US Equity","BS_SHAREHOLDER_EQY_ENDING_PERIOD","2021-01-24","2026-01-24","Per=Y","Days=T","Dir=V")</f>
        <v>0</v>
      </c>
      <c r="S2">
        <f>BDH("QVCG US Equity","BS_ACCT_NOTE_RCV","2021-01-24","2026-01-24","Per=Y","Days=T","Dir=V")</f>
        <v>0</v>
      </c>
      <c r="U2">
        <f>BDH("QVCG US Equity","BS_INVENTORIES","2021-01-24","2026-01-24","Per=Y","Days=T","Dir=V")</f>
        <v>0</v>
      </c>
      <c r="W2">
        <f>BDH("QVCG US Equity","WORKING_CAPITAL","2021-01-24","2026-01-24","Per=Y","Days=T","Dir=V")</f>
        <v>0</v>
      </c>
      <c r="Y2">
        <f>BDH("QVCG US Equity","SALES_REV_TURN","2021-01-24","2026-01-24","Per=Y","Days=T","Dir=V")</f>
        <v>0</v>
      </c>
      <c r="AA2">
        <f>BDH("QVCG US Equity","EBIT","2021-01-24","2026-01-24","Per=Y","Days=T","Dir=V")</f>
        <v>0</v>
      </c>
      <c r="AC2">
        <f>BDH("QVCG US Equity","EBITDA","2021-01-24","2026-01-24","Per=Y","Days=T","Dir=V")</f>
        <v>0</v>
      </c>
      <c r="AE2">
        <f>BDH("QVCG US Equity","NET_INCOME","2021-01-24","2026-01-24","Per=Y","Days=T","Dir=V")</f>
        <v>0</v>
      </c>
      <c r="AG2">
        <f>BDH("QVCG US Equity","IS_INT_EXPENSE","2021-01-24","2026-01-24","Per=Y","Days=T","Dir=V")</f>
        <v>0</v>
      </c>
      <c r="AI2">
        <f>BDH("QVCG US Equity","IS_DEPR_EXP","2021-01-24","2026-01-24","Per=Y","Days=T","Dir=V")</f>
        <v>0</v>
      </c>
      <c r="AK2">
        <f>BDH("QVCG US Equity","CF_CASH_FROM_OPER","2021-01-24","2026-01-24","Per=Y","Days=T","Dir=V")</f>
        <v>0</v>
      </c>
      <c r="AM2">
        <f>BDH("QVCG US Equity","CAPITAL_EXPEND","2021-01-24","2026-01-24","Per=Y","Days=T","Dir=V")</f>
        <v>0</v>
      </c>
      <c r="AO2">
        <f>BDH("QVCG US Equity","CF_FREE_CASH_FLOW","2021-01-24","2026-01-24","Per=Y","Days=T","Dir=V")</f>
        <v>0</v>
      </c>
      <c r="AQ2">
        <f>BDH("QVCG US Equity","PX_LAST","2021-01-24","2026-01-24","Per=M","Days=T","Dir=V")</f>
        <v>0</v>
      </c>
      <c r="AS2">
        <f>BDH("QVCG US Equity","CUR_MKT_CAP","2021-01-24","2026-01-24","Per=M","Days=T","Dir=V")</f>
        <v>0</v>
      </c>
      <c r="AU2">
        <f>BDH("QVCG US Equity","EQY_SH_OUT","2021-01-24","2026-01-24","Per=M","Days=T","Dir=V")</f>
        <v>0</v>
      </c>
      <c r="AW2">
        <f>BDH("QVCG US Equity","BETA_RAW_OVERRIABLE","2021-01-24","2026-01-24","Per=M","Days=T","Dir=V")</f>
        <v>0</v>
      </c>
      <c r="AY2">
        <f>BDH("QVCG US Equity","PX_VOLUME","2021-01-24","2026-01-24","Per=M","Days=T","Dir=V")</f>
        <v>0</v>
      </c>
      <c r="BA2">
        <f>BDH("QVCG US Equity","TURNOVER","2021-01-24","2026-01-24","Per=M","Days=T","Dir=V")</f>
        <v>0</v>
      </c>
      <c r="BC2">
        <f>BDH("QVCG US Equity","SPREAD_BA_CR","2021-01-24","2026-01-24","Per=M","Days=T","Dir=V")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BDH("AREB US Equity","BS_TOT_ASSET","2021-02-11","2026-02-11","Per=Y","Days=T","Dir=V")</f>
        <v>0</v>
      </c>
      <c r="C2">
        <f>BDH("AREB US Equity","BS_TOT_LIAB2","2021-02-11","2026-02-11","Per=Y","Days=T","Dir=V")</f>
        <v>0</v>
      </c>
      <c r="E2">
        <f>BDH("AREB US Equity","SHORT_AND_LONG_TERM_DEBT","2021-02-11","2026-02-11","Per=Y","Days=T","Dir=V")</f>
        <v>0</v>
      </c>
      <c r="G2">
        <f>BDH("AREB US Equity","BS_ST_BORROW","2021-02-11","2026-02-11","Per=Y","Days=T","Dir=V")</f>
        <v>0</v>
      </c>
      <c r="I2">
        <f>BDH("AREB US Equity","BS_LT_BORROW","2021-02-11","2026-02-11","Per=Y","Days=T","Dir=V")</f>
        <v>0</v>
      </c>
      <c r="K2">
        <f>BDH("AREB US Equity","BS_CASH_NEAR_CASH_ITEM","2021-02-11","2026-02-11","Per=Y","Days=T","Dir=V")</f>
        <v>0</v>
      </c>
      <c r="M2">
        <f>BDH("AREB US Equity","BS_CUR_ASSET_REPORT","2021-02-11","2026-02-11","Per=Y","Days=T","Dir=V")</f>
        <v>0</v>
      </c>
      <c r="O2">
        <f>BDH("AREB US Equity","BS_CUR_LIAB","2021-02-11","2026-02-11","Per=Y","Days=T","Dir=V")</f>
        <v>0</v>
      </c>
      <c r="Q2">
        <f>BDH("AREB US Equity","BS_SHAREHOLDER_EQY_ENDING_PERIOD","2021-02-11","2026-02-11","Per=Y","Days=T","Dir=V")</f>
        <v>0</v>
      </c>
      <c r="S2">
        <f>BDH("AREB US Equity","BS_ACCT_NOTE_RCV","2021-02-11","2026-02-11","Per=Y","Days=T","Dir=V")</f>
        <v>0</v>
      </c>
      <c r="U2">
        <f>BDH("AREB US Equity","BS_INVENTORIES","2021-02-11","2026-02-11","Per=Y","Days=T","Dir=V")</f>
        <v>0</v>
      </c>
      <c r="W2">
        <f>BDH("AREB US Equity","WORKING_CAPITAL","2021-02-11","2026-02-11","Per=Y","Days=T","Dir=V")</f>
        <v>0</v>
      </c>
      <c r="Y2">
        <f>BDH("AREB US Equity","SALES_REV_TURN","2021-02-11","2026-02-11","Per=Y","Days=T","Dir=V")</f>
        <v>0</v>
      </c>
      <c r="AA2">
        <f>BDH("AREB US Equity","EBIT","2021-02-11","2026-02-11","Per=Y","Days=T","Dir=V")</f>
        <v>0</v>
      </c>
      <c r="AC2">
        <f>BDH("AREB US Equity","EBITDA","2021-02-11","2026-02-11","Per=Y","Days=T","Dir=V")</f>
        <v>0</v>
      </c>
      <c r="AE2">
        <f>BDH("AREB US Equity","NET_INCOME","2021-02-11","2026-02-11","Per=Y","Days=T","Dir=V")</f>
        <v>0</v>
      </c>
      <c r="AG2">
        <f>BDH("AREB US Equity","IS_INT_EXPENSE","2021-02-11","2026-02-11","Per=Y","Days=T","Dir=V")</f>
        <v>0</v>
      </c>
      <c r="AI2">
        <f>BDH("AREB US Equity","IS_DEPR_EXP","2021-02-11","2026-02-11","Per=Y","Days=T","Dir=V")</f>
        <v>0</v>
      </c>
      <c r="AK2">
        <f>BDH("AREB US Equity","CF_CASH_FROM_OPER","2021-02-11","2026-02-11","Per=Y","Days=T","Dir=V")</f>
        <v>0</v>
      </c>
      <c r="AM2">
        <f>BDH("AREB US Equity","CAPITAL_EXPEND","2021-02-11","2026-02-11","Per=Y","Days=T","Dir=V")</f>
        <v>0</v>
      </c>
      <c r="AO2">
        <f>BDH("AREB US Equity","CF_FREE_CASH_FLOW","2021-02-11","2026-02-11","Per=Y","Days=T","Dir=V")</f>
        <v>0</v>
      </c>
      <c r="AQ2">
        <f>BDH("AREB US Equity","PX_LAST","2021-02-11","2026-02-11","Per=M","Days=T","Dir=V")</f>
        <v>0</v>
      </c>
      <c r="AS2">
        <f>BDH("AREB US Equity","CUR_MKT_CAP","2021-02-11","2026-02-11","Per=M","Days=T","Dir=V")</f>
        <v>0</v>
      </c>
      <c r="AU2">
        <f>BDH("AREB US Equity","EQY_SH_OUT","2021-02-11","2026-02-11","Per=M","Days=T","Dir=V")</f>
        <v>0</v>
      </c>
      <c r="AW2">
        <f>BDH("AREB US Equity","BETA_RAW_OVERRIABLE","2021-02-11","2026-02-11","Per=M","Days=T","Dir=V")</f>
        <v>0</v>
      </c>
      <c r="AY2">
        <f>BDH("AREB US Equity","PX_VOLUME","2021-02-11","2026-02-11","Per=M","Days=T","Dir=V")</f>
        <v>0</v>
      </c>
      <c r="BA2">
        <f>BDH("AREB US Equity","TURNOVER","2021-02-11","2026-02-11","Per=M","Days=T","Dir=V")</f>
        <v>0</v>
      </c>
      <c r="BC2">
        <f>BDH("AREB US Equity","SPREAD_BA_CR","2021-02-11","2026-02-11","Per=M","Days=T","Dir=V")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BDH("SOPAQ US Equity","BS_TOT_ASSET","2021-02-19","2026-02-19","Per=Y","Days=T","Dir=V")</f>
        <v>0</v>
      </c>
      <c r="C2">
        <f>BDH("SOPAQ US Equity","BS_TOT_LIAB2","2021-02-19","2026-02-19","Per=Y","Days=T","Dir=V")</f>
        <v>0</v>
      </c>
      <c r="E2">
        <f>BDH("SOPAQ US Equity","SHORT_AND_LONG_TERM_DEBT","2021-02-19","2026-02-19","Per=Y","Days=T","Dir=V")</f>
        <v>0</v>
      </c>
      <c r="G2">
        <f>BDH("SOPAQ US Equity","BS_ST_BORROW","2021-02-19","2026-02-19","Per=Y","Days=T","Dir=V")</f>
        <v>0</v>
      </c>
      <c r="I2">
        <f>BDH("SOPAQ US Equity","BS_LT_BORROW","2021-02-19","2026-02-19","Per=Y","Days=T","Dir=V")</f>
        <v>0</v>
      </c>
      <c r="K2">
        <f>BDH("SOPAQ US Equity","BS_CASH_NEAR_CASH_ITEM","2021-02-19","2026-02-19","Per=Y","Days=T","Dir=V")</f>
        <v>0</v>
      </c>
      <c r="M2">
        <f>BDH("SOPAQ US Equity","BS_CUR_ASSET_REPORT","2021-02-19","2026-02-19","Per=Y","Days=T","Dir=V")</f>
        <v>0</v>
      </c>
      <c r="O2">
        <f>BDH("SOPAQ US Equity","BS_CUR_LIAB","2021-02-19","2026-02-19","Per=Y","Days=T","Dir=V")</f>
        <v>0</v>
      </c>
      <c r="Q2">
        <f>BDH("SOPAQ US Equity","BS_SHAREHOLDER_EQY_ENDING_PERIOD","2021-02-19","2026-02-19","Per=Y","Days=T","Dir=V")</f>
        <v>0</v>
      </c>
      <c r="S2">
        <f>BDH("SOPAQ US Equity","BS_ACCT_NOTE_RCV","2021-02-19","2026-02-19","Per=Y","Days=T","Dir=V")</f>
        <v>0</v>
      </c>
      <c r="U2">
        <f>BDH("SOPAQ US Equity","BS_INVENTORIES","2021-02-19","2026-02-19","Per=Y","Days=T","Dir=V")</f>
        <v>0</v>
      </c>
      <c r="W2">
        <f>BDH("SOPAQ US Equity","WORKING_CAPITAL","2021-02-19","2026-02-19","Per=Y","Days=T","Dir=V")</f>
        <v>0</v>
      </c>
      <c r="Y2">
        <f>BDH("SOPAQ US Equity","SALES_REV_TURN","2021-02-19","2026-02-19","Per=Y","Days=T","Dir=V")</f>
        <v>0</v>
      </c>
      <c r="AA2">
        <f>BDH("SOPAQ US Equity","EBIT","2021-02-19","2026-02-19","Per=Y","Days=T","Dir=V")</f>
        <v>0</v>
      </c>
      <c r="AC2">
        <f>BDH("SOPAQ US Equity","EBITDA","2021-02-19","2026-02-19","Per=Y","Days=T","Dir=V")</f>
        <v>0</v>
      </c>
      <c r="AE2">
        <f>BDH("SOPAQ US Equity","NET_INCOME","2021-02-19","2026-02-19","Per=Y","Days=T","Dir=V")</f>
        <v>0</v>
      </c>
      <c r="AG2">
        <f>BDH("SOPAQ US Equity","IS_INT_EXPENSE","2021-02-19","2026-02-19","Per=Y","Days=T","Dir=V")</f>
        <v>0</v>
      </c>
      <c r="AI2">
        <f>BDH("SOPAQ US Equity","IS_DEPR_EXP","2021-02-19","2026-02-19","Per=Y","Days=T","Dir=V")</f>
        <v>0</v>
      </c>
      <c r="AK2">
        <f>BDH("SOPAQ US Equity","CF_CASH_FROM_OPER","2021-02-19","2026-02-19","Per=Y","Days=T","Dir=V")</f>
        <v>0</v>
      </c>
      <c r="AM2">
        <f>BDH("SOPAQ US Equity","CAPITAL_EXPEND","2021-02-19","2026-02-19","Per=Y","Days=T","Dir=V")</f>
        <v>0</v>
      </c>
      <c r="AO2">
        <f>BDH("SOPAQ US Equity","CF_FREE_CASH_FLOW","2021-02-19","2026-02-19","Per=Y","Days=T","Dir=V")</f>
        <v>0</v>
      </c>
      <c r="AQ2">
        <f>BDH("SOPAQ US Equity","PX_LAST","2021-02-19","2026-02-19","Per=M","Days=T","Dir=V")</f>
        <v>0</v>
      </c>
      <c r="AS2">
        <f>BDH("SOPAQ US Equity","CUR_MKT_CAP","2021-02-19","2026-02-19","Per=M","Days=T","Dir=V")</f>
        <v>0</v>
      </c>
      <c r="AU2">
        <f>BDH("SOPAQ US Equity","EQY_SH_OUT","2021-02-19","2026-02-19","Per=M","Days=T","Dir=V")</f>
        <v>0</v>
      </c>
      <c r="AW2">
        <f>BDH("SOPAQ US Equity","BETA_RAW_OVERRIABLE","2021-02-19","2026-02-19","Per=M","Days=T","Dir=V")</f>
        <v>0</v>
      </c>
      <c r="AY2">
        <f>BDH("SOPAQ US Equity","PX_VOLUME","2021-02-19","2026-02-19","Per=M","Days=T","Dir=V")</f>
        <v>0</v>
      </c>
      <c r="BA2">
        <f>BDH("SOPAQ US Equity","TURNOVER","2021-02-19","2026-02-19","Per=M","Days=T","Dir=V")</f>
        <v>0</v>
      </c>
      <c r="BC2">
        <f>BDH("SOPAQ US Equity","SPREAD_BA_CR","2021-02-19","2026-02-19","Per=M","Days=T","Dir=V")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BDH("NOTVQ US Equity","BS_TOT_ASSET","2021-03-12","2026-03-12","Per=Y","Days=T","Dir=V")</f>
        <v>0</v>
      </c>
      <c r="C2">
        <f>BDH("NOTVQ US Equity","BS_TOT_LIAB2","2021-03-12","2026-03-12","Per=Y","Days=T","Dir=V")</f>
        <v>0</v>
      </c>
      <c r="E2">
        <f>BDH("NOTVQ US Equity","SHORT_AND_LONG_TERM_DEBT","2021-03-12","2026-03-12","Per=Y","Days=T","Dir=V")</f>
        <v>0</v>
      </c>
      <c r="G2">
        <f>BDH("NOTVQ US Equity","BS_ST_BORROW","2021-03-12","2026-03-12","Per=Y","Days=T","Dir=V")</f>
        <v>0</v>
      </c>
      <c r="I2">
        <f>BDH("NOTVQ US Equity","BS_LT_BORROW","2021-03-12","2026-03-12","Per=Y","Days=T","Dir=V")</f>
        <v>0</v>
      </c>
      <c r="K2">
        <f>BDH("NOTVQ US Equity","BS_CASH_NEAR_CASH_ITEM","2021-03-12","2026-03-12","Per=Y","Days=T","Dir=V")</f>
        <v>0</v>
      </c>
      <c r="M2">
        <f>BDH("NOTVQ US Equity","BS_CUR_ASSET_REPORT","2021-03-12","2026-03-12","Per=Y","Days=T","Dir=V")</f>
        <v>0</v>
      </c>
      <c r="O2">
        <f>BDH("NOTVQ US Equity","BS_CUR_LIAB","2021-03-12","2026-03-12","Per=Y","Days=T","Dir=V")</f>
        <v>0</v>
      </c>
      <c r="Q2">
        <f>BDH("NOTVQ US Equity","BS_SHAREHOLDER_EQY_ENDING_PERIOD","2021-03-12","2026-03-12","Per=Y","Days=T","Dir=V")</f>
        <v>0</v>
      </c>
      <c r="S2">
        <f>BDH("NOTVQ US Equity","BS_ACCT_NOTE_RCV","2021-03-12","2026-03-12","Per=Y","Days=T","Dir=V")</f>
        <v>0</v>
      </c>
      <c r="U2">
        <f>BDH("NOTVQ US Equity","BS_INVENTORIES","2021-03-12","2026-03-12","Per=Y","Days=T","Dir=V")</f>
        <v>0</v>
      </c>
      <c r="W2">
        <f>BDH("NOTVQ US Equity","WORKING_CAPITAL","2021-03-12","2026-03-12","Per=Y","Days=T","Dir=V")</f>
        <v>0</v>
      </c>
      <c r="Y2">
        <f>BDH("NOTVQ US Equity","SALES_REV_TURN","2021-03-12","2026-03-12","Per=Y","Days=T","Dir=V")</f>
        <v>0</v>
      </c>
      <c r="AA2">
        <f>BDH("NOTVQ US Equity","EBIT","2021-03-12","2026-03-12","Per=Y","Days=T","Dir=V")</f>
        <v>0</v>
      </c>
      <c r="AC2">
        <f>BDH("NOTVQ US Equity","EBITDA","2021-03-12","2026-03-12","Per=Y","Days=T","Dir=V")</f>
        <v>0</v>
      </c>
      <c r="AE2">
        <f>BDH("NOTVQ US Equity","NET_INCOME","2021-03-12","2026-03-12","Per=Y","Days=T","Dir=V")</f>
        <v>0</v>
      </c>
      <c r="AG2">
        <f>BDH("NOTVQ US Equity","IS_INT_EXPENSE","2021-03-12","2026-03-12","Per=Y","Days=T","Dir=V")</f>
        <v>0</v>
      </c>
      <c r="AI2">
        <f>BDH("NOTVQ US Equity","IS_DEPR_EXP","2021-03-12","2026-03-12","Per=Y","Days=T","Dir=V")</f>
        <v>0</v>
      </c>
      <c r="AK2">
        <f>BDH("NOTVQ US Equity","CF_CASH_FROM_OPER","2021-03-12","2026-03-12","Per=Y","Days=T","Dir=V")</f>
        <v>0</v>
      </c>
      <c r="AM2">
        <f>BDH("NOTVQ US Equity","CAPITAL_EXPEND","2021-03-12","2026-03-12","Per=Y","Days=T","Dir=V")</f>
        <v>0</v>
      </c>
      <c r="AO2">
        <f>BDH("NOTVQ US Equity","CF_FREE_CASH_FLOW","2021-03-12","2026-03-12","Per=Y","Days=T","Dir=V")</f>
        <v>0</v>
      </c>
      <c r="AQ2">
        <f>BDH("NOTVQ US Equity","PX_LAST","2021-03-12","2026-03-12","Per=M","Days=T","Dir=V")</f>
        <v>0</v>
      </c>
      <c r="AS2">
        <f>BDH("NOTVQ US Equity","CUR_MKT_CAP","2021-03-12","2026-03-12","Per=M","Days=T","Dir=V")</f>
        <v>0</v>
      </c>
      <c r="AU2">
        <f>BDH("NOTVQ US Equity","EQY_SH_OUT","2021-03-12","2026-03-12","Per=M","Days=T","Dir=V")</f>
        <v>0</v>
      </c>
      <c r="AW2">
        <f>BDH("NOTVQ US Equity","BETA_RAW_OVERRIABLE","2021-03-12","2026-03-12","Per=M","Days=T","Dir=V")</f>
        <v>0</v>
      </c>
      <c r="AY2">
        <f>BDH("NOTVQ US Equity","PX_VOLUME","2021-03-12","2026-03-12","Per=M","Days=T","Dir=V")</f>
        <v>0</v>
      </c>
      <c r="BA2">
        <f>BDH("NOTVQ US Equity","TURNOVER","2021-03-12","2026-03-12","Per=M","Days=T","Dir=V")</f>
        <v>0</v>
      </c>
      <c r="BC2">
        <f>BDH("NOTVQ US Equity","SPREAD_BA_CR","2021-03-12","2026-03-12","Per=M","Days=T","Dir=V")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BDH("GOCOQ US Equity","BS_TOT_ASSET","2021-03-17","2026-03-17","Per=Y","Days=T","Dir=V")</f>
        <v>0</v>
      </c>
      <c r="C2">
        <f>BDH("GOCOQ US Equity","BS_TOT_LIAB2","2021-03-17","2026-03-17","Per=Y","Days=T","Dir=V")</f>
        <v>0</v>
      </c>
      <c r="E2">
        <f>BDH("GOCOQ US Equity","SHORT_AND_LONG_TERM_DEBT","2021-03-17","2026-03-17","Per=Y","Days=T","Dir=V")</f>
        <v>0</v>
      </c>
      <c r="G2">
        <f>BDH("GOCOQ US Equity","BS_ST_BORROW","2021-03-17","2026-03-17","Per=Y","Days=T","Dir=V")</f>
        <v>0</v>
      </c>
      <c r="I2">
        <f>BDH("GOCOQ US Equity","BS_LT_BORROW","2021-03-17","2026-03-17","Per=Y","Days=T","Dir=V")</f>
        <v>0</v>
      </c>
      <c r="K2">
        <f>BDH("GOCOQ US Equity","BS_CASH_NEAR_CASH_ITEM","2021-03-17","2026-03-17","Per=Y","Days=T","Dir=V")</f>
        <v>0</v>
      </c>
      <c r="M2">
        <f>BDH("GOCOQ US Equity","BS_CUR_ASSET_REPORT","2021-03-17","2026-03-17","Per=Y","Days=T","Dir=V")</f>
        <v>0</v>
      </c>
      <c r="O2">
        <f>BDH("GOCOQ US Equity","BS_CUR_LIAB","2021-03-17","2026-03-17","Per=Y","Days=T","Dir=V")</f>
        <v>0</v>
      </c>
      <c r="Q2">
        <f>BDH("GOCOQ US Equity","BS_SHAREHOLDER_EQY_ENDING_PERIOD","2021-03-17","2026-03-17","Per=Y","Days=T","Dir=V")</f>
        <v>0</v>
      </c>
      <c r="S2">
        <f>BDH("GOCOQ US Equity","BS_ACCT_NOTE_RCV","2021-03-17","2026-03-17","Per=Y","Days=T","Dir=V")</f>
        <v>0</v>
      </c>
      <c r="U2">
        <f>BDH("GOCOQ US Equity","BS_INVENTORIES","2021-03-17","2026-03-17","Per=Y","Days=T","Dir=V")</f>
        <v>0</v>
      </c>
      <c r="W2">
        <f>BDH("GOCOQ US Equity","WORKING_CAPITAL","2021-03-17","2026-03-17","Per=Y","Days=T","Dir=V")</f>
        <v>0</v>
      </c>
      <c r="Y2">
        <f>BDH("GOCOQ US Equity","SALES_REV_TURN","2021-03-17","2026-03-17","Per=Y","Days=T","Dir=V")</f>
        <v>0</v>
      </c>
      <c r="AA2">
        <f>BDH("GOCOQ US Equity","EBIT","2021-03-17","2026-03-17","Per=Y","Days=T","Dir=V")</f>
        <v>0</v>
      </c>
      <c r="AC2">
        <f>BDH("GOCOQ US Equity","EBITDA","2021-03-17","2026-03-17","Per=Y","Days=T","Dir=V")</f>
        <v>0</v>
      </c>
      <c r="AE2">
        <f>BDH("GOCOQ US Equity","NET_INCOME","2021-03-17","2026-03-17","Per=Y","Days=T","Dir=V")</f>
        <v>0</v>
      </c>
      <c r="AG2">
        <f>BDH("GOCOQ US Equity","IS_INT_EXPENSE","2021-03-17","2026-03-17","Per=Y","Days=T","Dir=V")</f>
        <v>0</v>
      </c>
      <c r="AI2">
        <f>BDH("GOCOQ US Equity","IS_DEPR_EXP","2021-03-17","2026-03-17","Per=Y","Days=T","Dir=V")</f>
        <v>0</v>
      </c>
      <c r="AK2">
        <f>BDH("GOCOQ US Equity","CF_CASH_FROM_OPER","2021-03-17","2026-03-17","Per=Y","Days=T","Dir=V")</f>
        <v>0</v>
      </c>
      <c r="AM2">
        <f>BDH("GOCOQ US Equity","CAPITAL_EXPEND","2021-03-17","2026-03-17","Per=Y","Days=T","Dir=V")</f>
        <v>0</v>
      </c>
      <c r="AO2">
        <f>BDH("GOCOQ US Equity","CF_FREE_CASH_FLOW","2021-03-17","2026-03-17","Per=Y","Days=T","Dir=V")</f>
        <v>0</v>
      </c>
      <c r="AQ2">
        <f>BDH("GOCOQ US Equity","PX_LAST","2021-03-17","2026-03-17","Per=M","Days=T","Dir=V")</f>
        <v>0</v>
      </c>
      <c r="AS2">
        <f>BDH("GOCOQ US Equity","CUR_MKT_CAP","2021-03-17","2026-03-17","Per=M","Days=T","Dir=V")</f>
        <v>0</v>
      </c>
      <c r="AU2">
        <f>BDH("GOCOQ US Equity","EQY_SH_OUT","2021-03-17","2026-03-17","Per=M","Days=T","Dir=V")</f>
        <v>0</v>
      </c>
      <c r="AW2">
        <f>BDH("GOCOQ US Equity","BETA_RAW_OVERRIABLE","2021-03-17","2026-03-17","Per=M","Days=T","Dir=V")</f>
        <v>0</v>
      </c>
      <c r="AY2">
        <f>BDH("GOCOQ US Equity","PX_VOLUME","2021-03-17","2026-03-17","Per=M","Days=T","Dir=V")</f>
        <v>0</v>
      </c>
      <c r="BA2">
        <f>BDH("GOCOQ US Equity","TURNOVER","2021-03-17","2026-03-17","Per=M","Days=T","Dir=V")</f>
        <v>0</v>
      </c>
      <c r="BC2">
        <f>BDH("GOCOQ US Equity","SPREAD_BA_CR","2021-03-17","2026-03-17","Per=M","Days=T","Dir=V")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BDH("SNBRQ US Equity","BS_TOT_ASSET","2021-03-24","2026-03-24","Per=Y","Days=T","Dir=V")</f>
        <v>0</v>
      </c>
      <c r="C2">
        <f>BDH("SNBRQ US Equity","BS_TOT_LIAB2","2021-03-24","2026-03-24","Per=Y","Days=T","Dir=V")</f>
        <v>0</v>
      </c>
      <c r="E2">
        <f>BDH("SNBRQ US Equity","SHORT_AND_LONG_TERM_DEBT","2021-03-24","2026-03-24","Per=Y","Days=T","Dir=V")</f>
        <v>0</v>
      </c>
      <c r="G2">
        <f>BDH("SNBRQ US Equity","BS_ST_BORROW","2021-03-24","2026-03-24","Per=Y","Days=T","Dir=V")</f>
        <v>0</v>
      </c>
      <c r="I2">
        <f>BDH("SNBRQ US Equity","BS_LT_BORROW","2021-03-24","2026-03-24","Per=Y","Days=T","Dir=V")</f>
        <v>0</v>
      </c>
      <c r="K2">
        <f>BDH("SNBRQ US Equity","BS_CASH_NEAR_CASH_ITEM","2021-03-24","2026-03-24","Per=Y","Days=T","Dir=V")</f>
        <v>0</v>
      </c>
      <c r="M2">
        <f>BDH("SNBRQ US Equity","BS_CUR_ASSET_REPORT","2021-03-24","2026-03-24","Per=Y","Days=T","Dir=V")</f>
        <v>0</v>
      </c>
      <c r="O2">
        <f>BDH("SNBRQ US Equity","BS_CUR_LIAB","2021-03-24","2026-03-24","Per=Y","Days=T","Dir=V")</f>
        <v>0</v>
      </c>
      <c r="Q2">
        <f>BDH("SNBRQ US Equity","BS_SHAREHOLDER_EQY_ENDING_PERIOD","2021-03-24","2026-03-24","Per=Y","Days=T","Dir=V")</f>
        <v>0</v>
      </c>
      <c r="S2">
        <f>BDH("SNBRQ US Equity","BS_ACCT_NOTE_RCV","2021-03-24","2026-03-24","Per=Y","Days=T","Dir=V")</f>
        <v>0</v>
      </c>
      <c r="U2">
        <f>BDH("SNBRQ US Equity","BS_INVENTORIES","2021-03-24","2026-03-24","Per=Y","Days=T","Dir=V")</f>
        <v>0</v>
      </c>
      <c r="W2">
        <f>BDH("SNBRQ US Equity","WORKING_CAPITAL","2021-03-24","2026-03-24","Per=Y","Days=T","Dir=V")</f>
        <v>0</v>
      </c>
      <c r="Y2">
        <f>BDH("SNBRQ US Equity","SALES_REV_TURN","2021-03-24","2026-03-24","Per=Y","Days=T","Dir=V")</f>
        <v>0</v>
      </c>
      <c r="AA2">
        <f>BDH("SNBRQ US Equity","EBIT","2021-03-24","2026-03-24","Per=Y","Days=T","Dir=V")</f>
        <v>0</v>
      </c>
      <c r="AC2">
        <f>BDH("SNBRQ US Equity","EBITDA","2021-03-24","2026-03-24","Per=Y","Days=T","Dir=V")</f>
        <v>0</v>
      </c>
      <c r="AE2">
        <f>BDH("SNBRQ US Equity","NET_INCOME","2021-03-24","2026-03-24","Per=Y","Days=T","Dir=V")</f>
        <v>0</v>
      </c>
      <c r="AG2">
        <f>BDH("SNBRQ US Equity","IS_INT_EXPENSE","2021-03-24","2026-03-24","Per=Y","Days=T","Dir=V")</f>
        <v>0</v>
      </c>
      <c r="AI2">
        <f>BDH("SNBRQ US Equity","IS_DEPR_EXP","2021-03-24","2026-03-24","Per=Y","Days=T","Dir=V")</f>
        <v>0</v>
      </c>
      <c r="AK2">
        <f>BDH("SNBRQ US Equity","CF_CASH_FROM_OPER","2021-03-24","2026-03-24","Per=Y","Days=T","Dir=V")</f>
        <v>0</v>
      </c>
      <c r="AM2">
        <f>BDH("SNBRQ US Equity","CAPITAL_EXPEND","2021-03-24","2026-03-24","Per=Y","Days=T","Dir=V")</f>
        <v>0</v>
      </c>
      <c r="AO2">
        <f>BDH("SNBRQ US Equity","CF_FREE_CASH_FLOW","2021-03-24","2026-03-24","Per=Y","Days=T","Dir=V")</f>
        <v>0</v>
      </c>
      <c r="AQ2">
        <f>BDH("SNBRQ US Equity","PX_LAST","2021-03-24","2026-03-24","Per=M","Days=T","Dir=V")</f>
        <v>0</v>
      </c>
      <c r="AS2">
        <f>BDH("SNBRQ US Equity","CUR_MKT_CAP","2021-03-24","2026-03-24","Per=M","Days=T","Dir=V")</f>
        <v>0</v>
      </c>
      <c r="AU2">
        <f>BDH("SNBRQ US Equity","EQY_SH_OUT","2021-03-24","2026-03-24","Per=M","Days=T","Dir=V")</f>
        <v>0</v>
      </c>
      <c r="AW2">
        <f>BDH("SNBRQ US Equity","BETA_RAW_OVERRIABLE","2021-03-24","2026-03-24","Per=M","Days=T","Dir=V")</f>
        <v>0</v>
      </c>
      <c r="AY2">
        <f>BDH("SNBRQ US Equity","PX_VOLUME","2021-03-24","2026-03-24","Per=M","Days=T","Dir=V")</f>
        <v>0</v>
      </c>
      <c r="BA2">
        <f>BDH("SNBRQ US Equity","TURNOVER","2021-03-24","2026-03-24","Per=M","Days=T","Dir=V")</f>
        <v>0</v>
      </c>
      <c r="BC2">
        <f>BDH("SNBRQ US Equity","SPREAD_BA_CR","2021-03-24","2026-03-24","Per=M","Days=T","Dir=V")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BDH("DEVSF US Equity","BS_TOT_ASSET","2021-03-25","2026-03-25","Per=Y","Days=T","Dir=V")</f>
        <v>0</v>
      </c>
      <c r="C2">
        <f>BDH("DEVSF US Equity","BS_TOT_LIAB2","2021-03-25","2026-03-25","Per=Y","Days=T","Dir=V")</f>
        <v>0</v>
      </c>
      <c r="E2">
        <f>BDH("DEVSF US Equity","SHORT_AND_LONG_TERM_DEBT","2021-03-25","2026-03-25","Per=Y","Days=T","Dir=V")</f>
        <v>0</v>
      </c>
      <c r="G2">
        <f>BDH("DEVSF US Equity","BS_ST_BORROW","2021-03-25","2026-03-25","Per=Y","Days=T","Dir=V")</f>
        <v>0</v>
      </c>
      <c r="I2">
        <f>BDH("DEVSF US Equity","BS_LT_BORROW","2021-03-25","2026-03-25","Per=Y","Days=T","Dir=V")</f>
        <v>0</v>
      </c>
      <c r="K2">
        <f>BDH("DEVSF US Equity","BS_CASH_NEAR_CASH_ITEM","2021-03-25","2026-03-25","Per=Y","Days=T","Dir=V")</f>
        <v>0</v>
      </c>
      <c r="M2">
        <f>BDH("DEVSF US Equity","BS_CUR_ASSET_REPORT","2021-03-25","2026-03-25","Per=Y","Days=T","Dir=V")</f>
        <v>0</v>
      </c>
      <c r="O2">
        <f>BDH("DEVSF US Equity","BS_CUR_LIAB","2021-03-25","2026-03-25","Per=Y","Days=T","Dir=V")</f>
        <v>0</v>
      </c>
      <c r="Q2">
        <f>BDH("DEVSF US Equity","BS_SHAREHOLDER_EQY_ENDING_PERIOD","2021-03-25","2026-03-25","Per=Y","Days=T","Dir=V")</f>
        <v>0</v>
      </c>
      <c r="S2">
        <f>BDH("DEVSF US Equity","BS_ACCT_NOTE_RCV","2021-03-25","2026-03-25","Per=Y","Days=T","Dir=V")</f>
        <v>0</v>
      </c>
      <c r="U2">
        <f>BDH("DEVSF US Equity","BS_INVENTORIES","2021-03-25","2026-03-25","Per=Y","Days=T","Dir=V")</f>
        <v>0</v>
      </c>
      <c r="W2">
        <f>BDH("DEVSF US Equity","WORKING_CAPITAL","2021-03-25","2026-03-25","Per=Y","Days=T","Dir=V")</f>
        <v>0</v>
      </c>
      <c r="Y2">
        <f>BDH("DEVSF US Equity","SALES_REV_TURN","2021-03-25","2026-03-25","Per=Y","Days=T","Dir=V")</f>
        <v>0</v>
      </c>
      <c r="AA2">
        <f>BDH("DEVSF US Equity","EBIT","2021-03-25","2026-03-25","Per=Y","Days=T","Dir=V")</f>
        <v>0</v>
      </c>
      <c r="AC2">
        <f>BDH("DEVSF US Equity","EBITDA","2021-03-25","2026-03-25","Per=Y","Days=T","Dir=V")</f>
        <v>0</v>
      </c>
      <c r="AE2">
        <f>BDH("DEVSF US Equity","NET_INCOME","2021-03-25","2026-03-25","Per=Y","Days=T","Dir=V")</f>
        <v>0</v>
      </c>
      <c r="AG2">
        <f>BDH("DEVSF US Equity","IS_INT_EXPENSE","2021-03-25","2026-03-25","Per=Y","Days=T","Dir=V")</f>
        <v>0</v>
      </c>
      <c r="AI2">
        <f>BDH("DEVSF US Equity","IS_DEPR_EXP","2021-03-25","2026-03-25","Per=Y","Days=T","Dir=V")</f>
        <v>0</v>
      </c>
      <c r="AK2">
        <f>BDH("DEVSF US Equity","CF_CASH_FROM_OPER","2021-03-25","2026-03-25","Per=Y","Days=T","Dir=V")</f>
        <v>0</v>
      </c>
      <c r="AM2">
        <f>BDH("DEVSF US Equity","CAPITAL_EXPEND","2021-03-25","2026-03-25","Per=Y","Days=T","Dir=V")</f>
        <v>0</v>
      </c>
      <c r="AO2">
        <f>BDH("DEVSF US Equity","CF_FREE_CASH_FLOW","2021-03-25","2026-03-25","Per=Y","Days=T","Dir=V")</f>
        <v>0</v>
      </c>
      <c r="AQ2">
        <f>BDH("DEVSF US Equity","PX_LAST","2021-03-25","2026-03-25","Per=M","Days=T","Dir=V")</f>
        <v>0</v>
      </c>
      <c r="AS2">
        <f>BDH("DEVSF US Equity","CUR_MKT_CAP","2021-03-25","2026-03-25","Per=M","Days=T","Dir=V")</f>
        <v>0</v>
      </c>
      <c r="AU2">
        <f>BDH("DEVSF US Equity","EQY_SH_OUT","2021-03-25","2026-03-25","Per=M","Days=T","Dir=V")</f>
        <v>0</v>
      </c>
      <c r="AW2">
        <f>BDH("DEVSF US Equity","BETA_RAW_OVERRIABLE","2021-03-25","2026-03-25","Per=M","Days=T","Dir=V")</f>
        <v>0</v>
      </c>
      <c r="AY2">
        <f>BDH("DEVSF US Equity","PX_VOLUME","2021-03-25","2026-03-25","Per=M","Days=T","Dir=V")</f>
        <v>0</v>
      </c>
      <c r="BA2">
        <f>BDH("DEVSF US Equity","TURNOVER","2021-03-25","2026-03-25","Per=M","Days=T","Dir=V")</f>
        <v>0</v>
      </c>
      <c r="BC2">
        <f>BDH("DEVSF US Equity","SPREAD_BA_CR","2021-03-25","2026-03-25","Per=M","Days=T","Dir=V")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BDH("ADTX US Equity","BS_TOT_ASSET","2021-03-26","2026-03-26","Per=Y","Days=T","Dir=V")</f>
        <v>0</v>
      </c>
      <c r="C2">
        <f>BDH("ADTX US Equity","BS_TOT_LIAB2","2021-03-26","2026-03-26","Per=Y","Days=T","Dir=V")</f>
        <v>0</v>
      </c>
      <c r="E2">
        <f>BDH("ADTX US Equity","SHORT_AND_LONG_TERM_DEBT","2021-03-26","2026-03-26","Per=Y","Days=T","Dir=V")</f>
        <v>0</v>
      </c>
      <c r="G2">
        <f>BDH("ADTX US Equity","BS_ST_BORROW","2021-03-26","2026-03-26","Per=Y","Days=T","Dir=V")</f>
        <v>0</v>
      </c>
      <c r="I2">
        <f>BDH("ADTX US Equity","BS_LT_BORROW","2021-03-26","2026-03-26","Per=Y","Days=T","Dir=V")</f>
        <v>0</v>
      </c>
      <c r="K2">
        <f>BDH("ADTX US Equity","BS_CASH_NEAR_CASH_ITEM","2021-03-26","2026-03-26","Per=Y","Days=T","Dir=V")</f>
        <v>0</v>
      </c>
      <c r="M2">
        <f>BDH("ADTX US Equity","BS_CUR_ASSET_REPORT","2021-03-26","2026-03-26","Per=Y","Days=T","Dir=V")</f>
        <v>0</v>
      </c>
      <c r="O2">
        <f>BDH("ADTX US Equity","BS_CUR_LIAB","2021-03-26","2026-03-26","Per=Y","Days=T","Dir=V")</f>
        <v>0</v>
      </c>
      <c r="Q2">
        <f>BDH("ADTX US Equity","BS_SHAREHOLDER_EQY_ENDING_PERIOD","2021-03-26","2026-03-26","Per=Y","Days=T","Dir=V")</f>
        <v>0</v>
      </c>
      <c r="S2">
        <f>BDH("ADTX US Equity","BS_ACCT_NOTE_RCV","2021-03-26","2026-03-26","Per=Y","Days=T","Dir=V")</f>
        <v>0</v>
      </c>
      <c r="U2">
        <f>BDH("ADTX US Equity","BS_INVENTORIES","2021-03-26","2026-03-26","Per=Y","Days=T","Dir=V")</f>
        <v>0</v>
      </c>
      <c r="W2">
        <f>BDH("ADTX US Equity","WORKING_CAPITAL","2021-03-26","2026-03-26","Per=Y","Days=T","Dir=V")</f>
        <v>0</v>
      </c>
      <c r="Y2">
        <f>BDH("ADTX US Equity","SALES_REV_TURN","2021-03-26","2026-03-26","Per=Y","Days=T","Dir=V")</f>
        <v>0</v>
      </c>
      <c r="AA2">
        <f>BDH("ADTX US Equity","EBIT","2021-03-26","2026-03-26","Per=Y","Days=T","Dir=V")</f>
        <v>0</v>
      </c>
      <c r="AC2">
        <f>BDH("ADTX US Equity","EBITDA","2021-03-26","2026-03-26","Per=Y","Days=T","Dir=V")</f>
        <v>0</v>
      </c>
      <c r="AE2">
        <f>BDH("ADTX US Equity","NET_INCOME","2021-03-26","2026-03-26","Per=Y","Days=T","Dir=V")</f>
        <v>0</v>
      </c>
      <c r="AG2">
        <f>BDH("ADTX US Equity","IS_INT_EXPENSE","2021-03-26","2026-03-26","Per=Y","Days=T","Dir=V")</f>
        <v>0</v>
      </c>
      <c r="AI2">
        <f>BDH("ADTX US Equity","IS_DEPR_EXP","2021-03-26","2026-03-26","Per=Y","Days=T","Dir=V")</f>
        <v>0</v>
      </c>
      <c r="AK2">
        <f>BDH("ADTX US Equity","CF_CASH_FROM_OPER","2021-03-26","2026-03-26","Per=Y","Days=T","Dir=V")</f>
        <v>0</v>
      </c>
      <c r="AM2">
        <f>BDH("ADTX US Equity","CAPITAL_EXPEND","2021-03-26","2026-03-26","Per=Y","Days=T","Dir=V")</f>
        <v>0</v>
      </c>
      <c r="AO2">
        <f>BDH("ADTX US Equity","CF_FREE_CASH_FLOW","2021-03-26","2026-03-26","Per=Y","Days=T","Dir=V")</f>
        <v>0</v>
      </c>
      <c r="AQ2">
        <f>BDH("ADTX US Equity","PX_LAST","2021-03-26","2026-03-26","Per=M","Days=T","Dir=V")</f>
        <v>0</v>
      </c>
      <c r="AS2">
        <f>BDH("ADTX US Equity","CUR_MKT_CAP","2021-03-26","2026-03-26","Per=M","Days=T","Dir=V")</f>
        <v>0</v>
      </c>
      <c r="AU2">
        <f>BDH("ADTX US Equity","EQY_SH_OUT","2021-03-26","2026-03-26","Per=M","Days=T","Dir=V")</f>
        <v>0</v>
      </c>
      <c r="AW2">
        <f>BDH("ADTX US Equity","BETA_RAW_OVERRIABLE","2021-03-26","2026-03-26","Per=M","Days=T","Dir=V")</f>
        <v>0</v>
      </c>
      <c r="AY2">
        <f>BDH("ADTX US Equity","PX_VOLUME","2021-03-26","2026-03-26","Per=M","Days=T","Dir=V")</f>
        <v>0</v>
      </c>
      <c r="BA2">
        <f>BDH("ADTX US Equity","TURNOVER","2021-03-26","2026-03-26","Per=M","Days=T","Dir=V")</f>
        <v>0</v>
      </c>
      <c r="BC2">
        <f>BDH("ADTX US Equity","SPREAD_BA_CR","2021-03-26","2026-03-26","Per=M","Days=T","Dir=V")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BDH("ORGN US Equity","BS_TOT_ASSET","2021-04-02","2026-04-02","Per=Y","Days=T","Dir=V")</f>
        <v>0</v>
      </c>
      <c r="C2">
        <f>BDH("ORGN US Equity","BS_TOT_LIAB2","2021-04-02","2026-04-02","Per=Y","Days=T","Dir=V")</f>
        <v>0</v>
      </c>
      <c r="E2">
        <f>BDH("ORGN US Equity","SHORT_AND_LONG_TERM_DEBT","2021-04-02","2026-04-02","Per=Y","Days=T","Dir=V")</f>
        <v>0</v>
      </c>
      <c r="G2">
        <f>BDH("ORGN US Equity","BS_ST_BORROW","2021-04-02","2026-04-02","Per=Y","Days=T","Dir=V")</f>
        <v>0</v>
      </c>
      <c r="I2">
        <f>BDH("ORGN US Equity","BS_LT_BORROW","2021-04-02","2026-04-02","Per=Y","Days=T","Dir=V")</f>
        <v>0</v>
      </c>
      <c r="K2">
        <f>BDH("ORGN US Equity","BS_CASH_NEAR_CASH_ITEM","2021-04-02","2026-04-02","Per=Y","Days=T","Dir=V")</f>
        <v>0</v>
      </c>
      <c r="M2">
        <f>BDH("ORGN US Equity","BS_CUR_ASSET_REPORT","2021-04-02","2026-04-02","Per=Y","Days=T","Dir=V")</f>
        <v>0</v>
      </c>
      <c r="O2">
        <f>BDH("ORGN US Equity","BS_CUR_LIAB","2021-04-02","2026-04-02","Per=Y","Days=T","Dir=V")</f>
        <v>0</v>
      </c>
      <c r="Q2">
        <f>BDH("ORGN US Equity","BS_SHAREHOLDER_EQY_ENDING_PERIOD","2021-04-02","2026-04-02","Per=Y","Days=T","Dir=V")</f>
        <v>0</v>
      </c>
      <c r="S2">
        <f>BDH("ORGN US Equity","BS_ACCT_NOTE_RCV","2021-04-02","2026-04-02","Per=Y","Days=T","Dir=V")</f>
        <v>0</v>
      </c>
      <c r="U2">
        <f>BDH("ORGN US Equity","BS_INVENTORIES","2021-04-02","2026-04-02","Per=Y","Days=T","Dir=V")</f>
        <v>0</v>
      </c>
      <c r="W2">
        <f>BDH("ORGN US Equity","WORKING_CAPITAL","2021-04-02","2026-04-02","Per=Y","Days=T","Dir=V")</f>
        <v>0</v>
      </c>
      <c r="Y2">
        <f>BDH("ORGN US Equity","SALES_REV_TURN","2021-04-02","2026-04-02","Per=Y","Days=T","Dir=V")</f>
        <v>0</v>
      </c>
      <c r="AA2">
        <f>BDH("ORGN US Equity","EBIT","2021-04-02","2026-04-02","Per=Y","Days=T","Dir=V")</f>
        <v>0</v>
      </c>
      <c r="AC2">
        <f>BDH("ORGN US Equity","EBITDA","2021-04-02","2026-04-02","Per=Y","Days=T","Dir=V")</f>
        <v>0</v>
      </c>
      <c r="AE2">
        <f>BDH("ORGN US Equity","NET_INCOME","2021-04-02","2026-04-02","Per=Y","Days=T","Dir=V")</f>
        <v>0</v>
      </c>
      <c r="AG2">
        <f>BDH("ORGN US Equity","IS_INT_EXPENSE","2021-04-02","2026-04-02","Per=Y","Days=T","Dir=V")</f>
        <v>0</v>
      </c>
      <c r="AI2">
        <f>BDH("ORGN US Equity","IS_DEPR_EXP","2021-04-02","2026-04-02","Per=Y","Days=T","Dir=V")</f>
        <v>0</v>
      </c>
      <c r="AK2">
        <f>BDH("ORGN US Equity","CF_CASH_FROM_OPER","2021-04-02","2026-04-02","Per=Y","Days=T","Dir=V")</f>
        <v>0</v>
      </c>
      <c r="AM2">
        <f>BDH("ORGN US Equity","CAPITAL_EXPEND","2021-04-02","2026-04-02","Per=Y","Days=T","Dir=V")</f>
        <v>0</v>
      </c>
      <c r="AO2">
        <f>BDH("ORGN US Equity","CF_FREE_CASH_FLOW","2021-04-02","2026-04-02","Per=Y","Days=T","Dir=V")</f>
        <v>0</v>
      </c>
      <c r="AQ2">
        <f>BDH("ORGN US Equity","PX_LAST","2021-04-02","2026-04-02","Per=M","Days=T","Dir=V")</f>
        <v>0</v>
      </c>
      <c r="AS2">
        <f>BDH("ORGN US Equity","CUR_MKT_CAP","2021-04-02","2026-04-02","Per=M","Days=T","Dir=V")</f>
        <v>0</v>
      </c>
      <c r="AU2">
        <f>BDH("ORGN US Equity","EQY_SH_OUT","2021-04-02","2026-04-02","Per=M","Days=T","Dir=V")</f>
        <v>0</v>
      </c>
      <c r="AW2">
        <f>BDH("ORGN US Equity","BETA_RAW_OVERRIABLE","2021-04-02","2026-04-02","Per=M","Days=T","Dir=V")</f>
        <v>0</v>
      </c>
      <c r="AY2">
        <f>BDH("ORGN US Equity","PX_VOLUME","2021-04-02","2026-04-02","Per=M","Days=T","Dir=V")</f>
        <v>0</v>
      </c>
      <c r="BA2">
        <f>BDH("ORGN US Equity","TURNOVER","2021-04-02","2026-04-02","Per=M","Days=T","Dir=V")</f>
        <v>0</v>
      </c>
      <c r="BC2">
        <f>BDH("ORGN US Equity","SPREAD_BA_CR","2021-04-02","2026-04-02","Per=M","Days=T","Dir=V")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BDH("GVHGF US Equity","BS_TOT_ASSET","2021-05-02","2026-05-02","Per=Y","Days=T","Dir=V")</f>
        <v>0</v>
      </c>
      <c r="C2">
        <f>BDH("GVHGF US Equity","BS_TOT_LIAB2","2021-05-02","2026-05-02","Per=Y","Days=T","Dir=V")</f>
        <v>0</v>
      </c>
      <c r="E2">
        <f>BDH("GVHGF US Equity","SHORT_AND_LONG_TERM_DEBT","2021-05-02","2026-05-02","Per=Y","Days=T","Dir=V")</f>
        <v>0</v>
      </c>
      <c r="G2">
        <f>BDH("GVHGF US Equity","BS_ST_BORROW","2021-05-02","2026-05-02","Per=Y","Days=T","Dir=V")</f>
        <v>0</v>
      </c>
      <c r="I2">
        <f>BDH("GVHGF US Equity","BS_LT_BORROW","2021-05-02","2026-05-02","Per=Y","Days=T","Dir=V")</f>
        <v>0</v>
      </c>
      <c r="K2">
        <f>BDH("GVHGF US Equity","BS_CASH_NEAR_CASH_ITEM","2021-05-02","2026-05-02","Per=Y","Days=T","Dir=V")</f>
        <v>0</v>
      </c>
      <c r="M2">
        <f>BDH("GVHGF US Equity","BS_CUR_ASSET_REPORT","2021-05-02","2026-05-02","Per=Y","Days=T","Dir=V")</f>
        <v>0</v>
      </c>
      <c r="O2">
        <f>BDH("GVHGF US Equity","BS_CUR_LIAB","2021-05-02","2026-05-02","Per=Y","Days=T","Dir=V")</f>
        <v>0</v>
      </c>
      <c r="Q2">
        <f>BDH("GVHGF US Equity","BS_SHAREHOLDER_EQY_ENDING_PERIOD","2021-05-02","2026-05-02","Per=Y","Days=T","Dir=V")</f>
        <v>0</v>
      </c>
      <c r="S2">
        <f>BDH("GVHGF US Equity","BS_ACCT_NOTE_RCV","2021-05-02","2026-05-02","Per=Y","Days=T","Dir=V")</f>
        <v>0</v>
      </c>
      <c r="U2">
        <f>BDH("GVHGF US Equity","BS_INVENTORIES","2021-05-02","2026-05-02","Per=Y","Days=T","Dir=V")</f>
        <v>0</v>
      </c>
      <c r="W2">
        <f>BDH("GVHGF US Equity","WORKING_CAPITAL","2021-05-02","2026-05-02","Per=Y","Days=T","Dir=V")</f>
        <v>0</v>
      </c>
      <c r="Y2">
        <f>BDH("GVHGF US Equity","SALES_REV_TURN","2021-05-02","2026-05-02","Per=Y","Days=T","Dir=V")</f>
        <v>0</v>
      </c>
      <c r="AA2">
        <f>BDH("GVHGF US Equity","EBIT","2021-05-02","2026-05-02","Per=Y","Days=T","Dir=V")</f>
        <v>0</v>
      </c>
      <c r="AC2">
        <f>BDH("GVHGF US Equity","EBITDA","2021-05-02","2026-05-02","Per=Y","Days=T","Dir=V")</f>
        <v>0</v>
      </c>
      <c r="AE2">
        <f>BDH("GVHGF US Equity","NET_INCOME","2021-05-02","2026-05-02","Per=Y","Days=T","Dir=V")</f>
        <v>0</v>
      </c>
      <c r="AG2">
        <f>BDH("GVHGF US Equity","IS_INT_EXPENSE","2021-05-02","2026-05-02","Per=Y","Days=T","Dir=V")</f>
        <v>0</v>
      </c>
      <c r="AI2">
        <f>BDH("GVHGF US Equity","IS_DEPR_EXP","2021-05-02","2026-05-02","Per=Y","Days=T","Dir=V")</f>
        <v>0</v>
      </c>
      <c r="AK2">
        <f>BDH("GVHGF US Equity","CF_CASH_FROM_OPER","2021-05-02","2026-05-02","Per=Y","Days=T","Dir=V")</f>
        <v>0</v>
      </c>
      <c r="AM2">
        <f>BDH("GVHGF US Equity","CAPITAL_EXPEND","2021-05-02","2026-05-02","Per=Y","Days=T","Dir=V")</f>
        <v>0</v>
      </c>
      <c r="AO2">
        <f>BDH("GVHGF US Equity","CF_FREE_CASH_FLOW","2021-05-02","2026-05-02","Per=Y","Days=T","Dir=V")</f>
        <v>0</v>
      </c>
      <c r="AQ2">
        <f>BDH("GVHGF US Equity","PX_LAST","2021-05-02","2026-05-02","Per=M","Days=T","Dir=V")</f>
        <v>0</v>
      </c>
      <c r="AS2">
        <f>BDH("GVHGF US Equity","CUR_MKT_CAP","2021-05-02","2026-05-02","Per=M","Days=T","Dir=V")</f>
        <v>0</v>
      </c>
      <c r="AU2">
        <f>BDH("GVHGF US Equity","EQY_SH_OUT","2021-05-02","2026-05-02","Per=M","Days=T","Dir=V")</f>
        <v>0</v>
      </c>
      <c r="AW2">
        <f>BDH("GVHGF US Equity","BETA_RAW_OVERRIABLE","2021-05-02","2026-05-02","Per=M","Days=T","Dir=V")</f>
        <v>0</v>
      </c>
      <c r="AY2">
        <f>BDH("GVHGF US Equity","PX_VOLUME","2021-05-02","2026-05-02","Per=M","Days=T","Dir=V")</f>
        <v>0</v>
      </c>
      <c r="BA2">
        <f>BDH("GVHGF US Equity","TURNOVER","2021-05-02","2026-05-02","Per=M","Days=T","Dir=V")</f>
        <v>0</v>
      </c>
      <c r="BC2">
        <f>BDH("GVHGF US Equity","SPREAD_BA_CR","2021-05-02","2026-05-02","Per=M","Days=T","Dir=V")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BDH("FBIN US Equity","BS_TOT_ASSET","2016-06-30","2021-06-30","Per=Y","Days=T","Dir=V")</f>
        <v>0</v>
      </c>
      <c r="C2">
        <f>BDH("FBIN US Equity","BS_TOT_LIAB2","2016-06-30","2021-06-30","Per=Y","Days=T","Dir=V")</f>
        <v>0</v>
      </c>
      <c r="E2">
        <f>BDH("FBIN US Equity","SHORT_AND_LONG_TERM_DEBT","2016-06-30","2021-06-30","Per=Y","Days=T","Dir=V")</f>
        <v>0</v>
      </c>
      <c r="G2">
        <f>BDH("FBIN US Equity","BS_ST_BORROW","2016-06-30","2021-06-30","Per=Y","Days=T","Dir=V")</f>
        <v>0</v>
      </c>
      <c r="I2">
        <f>BDH("FBIN US Equity","BS_LT_BORROW","2016-06-30","2021-06-30","Per=Y","Days=T","Dir=V")</f>
        <v>0</v>
      </c>
      <c r="K2">
        <f>BDH("FBIN US Equity","BS_CASH_NEAR_CASH_ITEM","2016-06-30","2021-06-30","Per=Y","Days=T","Dir=V")</f>
        <v>0</v>
      </c>
      <c r="M2">
        <f>BDH("FBIN US Equity","BS_CUR_ASSET_REPORT","2016-06-30","2021-06-30","Per=Y","Days=T","Dir=V")</f>
        <v>0</v>
      </c>
      <c r="O2">
        <f>BDH("FBIN US Equity","BS_CUR_LIAB","2016-06-30","2021-06-30","Per=Y","Days=T","Dir=V")</f>
        <v>0</v>
      </c>
      <c r="Q2">
        <f>BDH("FBIN US Equity","BS_SHAREHOLDER_EQY_ENDING_PERIOD","2016-06-30","2021-06-30","Per=Y","Days=T","Dir=V")</f>
        <v>0</v>
      </c>
      <c r="S2">
        <f>BDH("FBIN US Equity","BS_ACCT_NOTE_RCV","2016-06-30","2021-06-30","Per=Y","Days=T","Dir=V")</f>
        <v>0</v>
      </c>
      <c r="U2">
        <f>BDH("FBIN US Equity","BS_INVENTORIES","2016-06-30","2021-06-30","Per=Y","Days=T","Dir=V")</f>
        <v>0</v>
      </c>
      <c r="W2">
        <f>BDH("FBIN US Equity","WORKING_CAPITAL","2016-06-30","2021-06-30","Per=Y","Days=T","Dir=V")</f>
        <v>0</v>
      </c>
      <c r="Y2">
        <f>BDH("FBIN US Equity","SALES_REV_TURN","2016-06-30","2021-06-30","Per=Y","Days=T","Dir=V")</f>
        <v>0</v>
      </c>
      <c r="AA2">
        <f>BDH("FBIN US Equity","EBIT","2016-06-30","2021-06-30","Per=Y","Days=T","Dir=V")</f>
        <v>0</v>
      </c>
      <c r="AC2">
        <f>BDH("FBIN US Equity","EBITDA","2016-06-30","2021-06-30","Per=Y","Days=T","Dir=V")</f>
        <v>0</v>
      </c>
      <c r="AE2">
        <f>BDH("FBIN US Equity","NET_INCOME","2016-06-30","2021-06-30","Per=Y","Days=T","Dir=V")</f>
        <v>0</v>
      </c>
      <c r="AG2">
        <f>BDH("FBIN US Equity","IS_INT_EXPENSE","2016-06-30","2021-06-30","Per=Y","Days=T","Dir=V")</f>
        <v>0</v>
      </c>
      <c r="AI2">
        <f>BDH("FBIN US Equity","IS_DEPR_EXP","2016-06-30","2021-06-30","Per=Y","Days=T","Dir=V")</f>
        <v>0</v>
      </c>
      <c r="AK2">
        <f>BDH("FBIN US Equity","CF_CASH_FROM_OPER","2016-06-30","2021-06-30","Per=Y","Days=T","Dir=V")</f>
        <v>0</v>
      </c>
      <c r="AM2">
        <f>BDH("FBIN US Equity","CAPITAL_EXPEND","2016-06-30","2021-06-30","Per=Y","Days=T","Dir=V")</f>
        <v>0</v>
      </c>
      <c r="AO2">
        <f>BDH("FBIN US Equity","CF_FREE_CASH_FLOW","2016-06-30","2021-06-30","Per=Y","Days=T","Dir=V")</f>
        <v>0</v>
      </c>
      <c r="AQ2">
        <f>BDH("FBIN US Equity","PX_LAST","2016-06-30","2021-06-30","Per=M","Days=T","Dir=V")</f>
        <v>0</v>
      </c>
      <c r="AS2">
        <f>BDH("FBIN US Equity","CUR_MKT_CAP","2016-06-30","2021-06-30","Per=M","Days=T","Dir=V")</f>
        <v>0</v>
      </c>
      <c r="AU2">
        <f>BDH("FBIN US Equity","EQY_SH_OUT","2016-06-30","2021-06-30","Per=M","Days=T","Dir=V")</f>
        <v>0</v>
      </c>
      <c r="AW2">
        <f>BDH("FBIN US Equity","BETA_RAW_OVERRIABLE","2016-06-30","2021-06-30","Per=M","Days=T","Dir=V")</f>
        <v>0</v>
      </c>
      <c r="AY2">
        <f>BDH("FBIN US Equity","PX_VOLUME","2016-06-30","2021-06-30","Per=M","Days=T","Dir=V")</f>
        <v>0</v>
      </c>
      <c r="BA2">
        <f>BDH("FBIN US Equity","TURNOVER","2016-06-30","2021-06-30","Per=M","Days=T","Dir=V")</f>
        <v>0</v>
      </c>
      <c r="BC2">
        <f>BDH("FBIN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BDH("TROX US Equity","BS_TOT_ASSET","2016-06-30","2021-06-30","Per=Y","Days=T","Dir=V")</f>
        <v>0</v>
      </c>
      <c r="C2">
        <f>BDH("TROX US Equity","BS_TOT_LIAB2","2016-06-30","2021-06-30","Per=Y","Days=T","Dir=V")</f>
        <v>0</v>
      </c>
      <c r="E2">
        <f>BDH("TROX US Equity","SHORT_AND_LONG_TERM_DEBT","2016-06-30","2021-06-30","Per=Y","Days=T","Dir=V")</f>
        <v>0</v>
      </c>
      <c r="G2">
        <f>BDH("TROX US Equity","BS_ST_BORROW","2016-06-30","2021-06-30","Per=Y","Days=T","Dir=V")</f>
        <v>0</v>
      </c>
      <c r="I2">
        <f>BDH("TROX US Equity","BS_LT_BORROW","2016-06-30","2021-06-30","Per=Y","Days=T","Dir=V")</f>
        <v>0</v>
      </c>
      <c r="K2">
        <f>BDH("TROX US Equity","BS_CASH_NEAR_CASH_ITEM","2016-06-30","2021-06-30","Per=Y","Days=T","Dir=V")</f>
        <v>0</v>
      </c>
      <c r="M2">
        <f>BDH("TROX US Equity","BS_CUR_ASSET_REPORT","2016-06-30","2021-06-30","Per=Y","Days=T","Dir=V")</f>
        <v>0</v>
      </c>
      <c r="O2">
        <f>BDH("TROX US Equity","BS_CUR_LIAB","2016-06-30","2021-06-30","Per=Y","Days=T","Dir=V")</f>
        <v>0</v>
      </c>
      <c r="Q2">
        <f>BDH("TROX US Equity","BS_SHAREHOLDER_EQY_ENDING_PERIOD","2016-06-30","2021-06-30","Per=Y","Days=T","Dir=V")</f>
        <v>0</v>
      </c>
      <c r="S2">
        <f>BDH("TROX US Equity","BS_ACCT_NOTE_RCV","2016-06-30","2021-06-30","Per=Y","Days=T","Dir=V")</f>
        <v>0</v>
      </c>
      <c r="U2">
        <f>BDH("TROX US Equity","BS_INVENTORIES","2016-06-30","2021-06-30","Per=Y","Days=T","Dir=V")</f>
        <v>0</v>
      </c>
      <c r="W2">
        <f>BDH("TROX US Equity","WORKING_CAPITAL","2016-06-30","2021-06-30","Per=Y","Days=T","Dir=V")</f>
        <v>0</v>
      </c>
      <c r="Y2">
        <f>BDH("TROX US Equity","SALES_REV_TURN","2016-06-30","2021-06-30","Per=Y","Days=T","Dir=V")</f>
        <v>0</v>
      </c>
      <c r="AA2">
        <f>BDH("TROX US Equity","EBIT","2016-06-30","2021-06-30","Per=Y","Days=T","Dir=V")</f>
        <v>0</v>
      </c>
      <c r="AC2">
        <f>BDH("TROX US Equity","EBITDA","2016-06-30","2021-06-30","Per=Y","Days=T","Dir=V")</f>
        <v>0</v>
      </c>
      <c r="AE2">
        <f>BDH("TROX US Equity","NET_INCOME","2016-06-30","2021-06-30","Per=Y","Days=T","Dir=V")</f>
        <v>0</v>
      </c>
      <c r="AG2">
        <f>BDH("TROX US Equity","IS_INT_EXPENSE","2016-06-30","2021-06-30","Per=Y","Days=T","Dir=V")</f>
        <v>0</v>
      </c>
      <c r="AI2">
        <f>BDH("TROX US Equity","IS_DEPR_EXP","2016-06-30","2021-06-30","Per=Y","Days=T","Dir=V")</f>
        <v>0</v>
      </c>
      <c r="AK2">
        <f>BDH("TROX US Equity","CF_CASH_FROM_OPER","2016-06-30","2021-06-30","Per=Y","Days=T","Dir=V")</f>
        <v>0</v>
      </c>
      <c r="AM2">
        <f>BDH("TROX US Equity","CAPITAL_EXPEND","2016-06-30","2021-06-30","Per=Y","Days=T","Dir=V")</f>
        <v>0</v>
      </c>
      <c r="AO2">
        <f>BDH("TROX US Equity","CF_FREE_CASH_FLOW","2016-06-30","2021-06-30","Per=Y","Days=T","Dir=V")</f>
        <v>0</v>
      </c>
      <c r="AQ2">
        <f>BDH("TROX US Equity","PX_LAST","2016-06-30","2021-06-30","Per=M","Days=T","Dir=V")</f>
        <v>0</v>
      </c>
      <c r="AS2">
        <f>BDH("TROX US Equity","CUR_MKT_CAP","2016-06-30","2021-06-30","Per=M","Days=T","Dir=V")</f>
        <v>0</v>
      </c>
      <c r="AU2">
        <f>BDH("TROX US Equity","EQY_SH_OUT","2016-06-30","2021-06-30","Per=M","Days=T","Dir=V")</f>
        <v>0</v>
      </c>
      <c r="AW2">
        <f>BDH("TROX US Equity","BETA_RAW_OVERRIABLE","2016-06-30","2021-06-30","Per=M","Days=T","Dir=V")</f>
        <v>0</v>
      </c>
      <c r="AY2">
        <f>BDH("TROX US Equity","PX_VOLUME","2016-06-30","2021-06-30","Per=M","Days=T","Dir=V")</f>
        <v>0</v>
      </c>
      <c r="BA2">
        <f>BDH("TROX US Equity","TURNOVER","2016-06-30","2021-06-30","Per=M","Days=T","Dir=V")</f>
        <v>0</v>
      </c>
      <c r="BC2">
        <f>BDH("TROX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BDH("USAU US Equity","BS_TOT_ASSET","2016-06-30","2021-06-30","Per=Y","Days=T","Dir=V")</f>
        <v>0</v>
      </c>
      <c r="C2">
        <f>BDH("USAU US Equity","BS_TOT_LIAB2","2016-06-30","2021-06-30","Per=Y","Days=T","Dir=V")</f>
        <v>0</v>
      </c>
      <c r="E2">
        <f>BDH("USAU US Equity","SHORT_AND_LONG_TERM_DEBT","2016-06-30","2021-06-30","Per=Y","Days=T","Dir=V")</f>
        <v>0</v>
      </c>
      <c r="G2">
        <f>BDH("USAU US Equity","BS_ST_BORROW","2016-06-30","2021-06-30","Per=Y","Days=T","Dir=V")</f>
        <v>0</v>
      </c>
      <c r="I2">
        <f>BDH("USAU US Equity","BS_LT_BORROW","2016-06-30","2021-06-30","Per=Y","Days=T","Dir=V")</f>
        <v>0</v>
      </c>
      <c r="K2">
        <f>BDH("USAU US Equity","BS_CASH_NEAR_CASH_ITEM","2016-06-30","2021-06-30","Per=Y","Days=T","Dir=V")</f>
        <v>0</v>
      </c>
      <c r="M2">
        <f>BDH("USAU US Equity","BS_CUR_ASSET_REPORT","2016-06-30","2021-06-30","Per=Y","Days=T","Dir=V")</f>
        <v>0</v>
      </c>
      <c r="O2">
        <f>BDH("USAU US Equity","BS_CUR_LIAB","2016-06-30","2021-06-30","Per=Y","Days=T","Dir=V")</f>
        <v>0</v>
      </c>
      <c r="Q2">
        <f>BDH("USAU US Equity","BS_SHAREHOLDER_EQY_ENDING_PERIOD","2016-06-30","2021-06-30","Per=Y","Days=T","Dir=V")</f>
        <v>0</v>
      </c>
      <c r="S2">
        <f>BDH("USAU US Equity","BS_ACCT_NOTE_RCV","2016-06-30","2021-06-30","Per=Y","Days=T","Dir=V")</f>
        <v>0</v>
      </c>
      <c r="U2">
        <f>BDH("USAU US Equity","BS_INVENTORIES","2016-06-30","2021-06-30","Per=Y","Days=T","Dir=V")</f>
        <v>0</v>
      </c>
      <c r="W2">
        <f>BDH("USAU US Equity","WORKING_CAPITAL","2016-06-30","2021-06-30","Per=Y","Days=T","Dir=V")</f>
        <v>0</v>
      </c>
      <c r="Y2">
        <f>BDH("USAU US Equity","SALES_REV_TURN","2016-06-30","2021-06-30","Per=Y","Days=T","Dir=V")</f>
        <v>0</v>
      </c>
      <c r="AA2">
        <f>BDH("USAU US Equity","EBIT","2016-06-30","2021-06-30","Per=Y","Days=T","Dir=V")</f>
        <v>0</v>
      </c>
      <c r="AC2">
        <f>BDH("USAU US Equity","EBITDA","2016-06-30","2021-06-30","Per=Y","Days=T","Dir=V")</f>
        <v>0</v>
      </c>
      <c r="AE2">
        <f>BDH("USAU US Equity","NET_INCOME","2016-06-30","2021-06-30","Per=Y","Days=T","Dir=V")</f>
        <v>0</v>
      </c>
      <c r="AG2">
        <f>BDH("USAU US Equity","IS_INT_EXPENSE","2016-06-30","2021-06-30","Per=Y","Days=T","Dir=V")</f>
        <v>0</v>
      </c>
      <c r="AI2">
        <f>BDH("USAU US Equity","IS_DEPR_EXP","2016-06-30","2021-06-30","Per=Y","Days=T","Dir=V")</f>
        <v>0</v>
      </c>
      <c r="AK2">
        <f>BDH("USAU US Equity","CF_CASH_FROM_OPER","2016-06-30","2021-06-30","Per=Y","Days=T","Dir=V")</f>
        <v>0</v>
      </c>
      <c r="AM2">
        <f>BDH("USAU US Equity","CAPITAL_EXPEND","2016-06-30","2021-06-30","Per=Y","Days=T","Dir=V")</f>
        <v>0</v>
      </c>
      <c r="AO2">
        <f>BDH("USAU US Equity","CF_FREE_CASH_FLOW","2016-06-30","2021-06-30","Per=Y","Days=T","Dir=V")</f>
        <v>0</v>
      </c>
      <c r="AQ2">
        <f>BDH("USAU US Equity","PX_LAST","2016-06-30","2021-06-30","Per=M","Days=T","Dir=V")</f>
        <v>0</v>
      </c>
      <c r="AS2">
        <f>BDH("USAU US Equity","CUR_MKT_CAP","2016-06-30","2021-06-30","Per=M","Days=T","Dir=V")</f>
        <v>0</v>
      </c>
      <c r="AU2">
        <f>BDH("USAU US Equity","EQY_SH_OUT","2016-06-30","2021-06-30","Per=M","Days=T","Dir=V")</f>
        <v>0</v>
      </c>
      <c r="AW2">
        <f>BDH("USAU US Equity","BETA_RAW_OVERRIABLE","2016-06-30","2021-06-30","Per=M","Days=T","Dir=V")</f>
        <v>0</v>
      </c>
      <c r="AY2">
        <f>BDH("USAU US Equity","PX_VOLUME","2016-06-30","2021-06-30","Per=M","Days=T","Dir=V")</f>
        <v>0</v>
      </c>
      <c r="BA2">
        <f>BDH("USAU US Equity","TURNOVER","2016-06-30","2021-06-30","Per=M","Days=T","Dir=V")</f>
        <v>0</v>
      </c>
      <c r="BC2">
        <f>BDH("USAU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BDH("IPX US Equity","BS_TOT_ASSET","2016-06-30","2021-06-30","Per=Y","Days=T","Dir=V")</f>
        <v>0</v>
      </c>
      <c r="C2">
        <f>BDH("IPX US Equity","BS_TOT_LIAB2","2016-06-30","2021-06-30","Per=Y","Days=T","Dir=V")</f>
        <v>0</v>
      </c>
      <c r="E2">
        <f>BDH("IPX US Equity","SHORT_AND_LONG_TERM_DEBT","2016-06-30","2021-06-30","Per=Y","Days=T","Dir=V")</f>
        <v>0</v>
      </c>
      <c r="G2">
        <f>BDH("IPX US Equity","BS_ST_BORROW","2016-06-30","2021-06-30","Per=Y","Days=T","Dir=V")</f>
        <v>0</v>
      </c>
      <c r="I2">
        <f>BDH("IPX US Equity","BS_LT_BORROW","2016-06-30","2021-06-30","Per=Y","Days=T","Dir=V")</f>
        <v>0</v>
      </c>
      <c r="K2">
        <f>BDH("IPX US Equity","BS_CASH_NEAR_CASH_ITEM","2016-06-30","2021-06-30","Per=Y","Days=T","Dir=V")</f>
        <v>0</v>
      </c>
      <c r="M2">
        <f>BDH("IPX US Equity","BS_CUR_ASSET_REPORT","2016-06-30","2021-06-30","Per=Y","Days=T","Dir=V")</f>
        <v>0</v>
      </c>
      <c r="O2">
        <f>BDH("IPX US Equity","BS_CUR_LIAB","2016-06-30","2021-06-30","Per=Y","Days=T","Dir=V")</f>
        <v>0</v>
      </c>
      <c r="Q2">
        <f>BDH("IPX US Equity","BS_SHAREHOLDER_EQY_ENDING_PERIOD","2016-06-30","2021-06-30","Per=Y","Days=T","Dir=V")</f>
        <v>0</v>
      </c>
      <c r="S2">
        <f>BDH("IPX US Equity","BS_ACCT_NOTE_RCV","2016-06-30","2021-06-30","Per=Y","Days=T","Dir=V")</f>
        <v>0</v>
      </c>
      <c r="U2">
        <f>BDH("IPX US Equity","BS_INVENTORIES","2016-06-30","2021-06-30","Per=Y","Days=T","Dir=V")</f>
        <v>0</v>
      </c>
      <c r="W2">
        <f>BDH("IPX US Equity","WORKING_CAPITAL","2016-06-30","2021-06-30","Per=Y","Days=T","Dir=V")</f>
        <v>0</v>
      </c>
      <c r="Y2">
        <f>BDH("IPX US Equity","SALES_REV_TURN","2016-06-30","2021-06-30","Per=Y","Days=T","Dir=V")</f>
        <v>0</v>
      </c>
      <c r="AA2">
        <f>BDH("IPX US Equity","EBIT","2016-06-30","2021-06-30","Per=Y","Days=T","Dir=V")</f>
        <v>0</v>
      </c>
      <c r="AC2">
        <f>BDH("IPX US Equity","EBITDA","2016-06-30","2021-06-30","Per=Y","Days=T","Dir=V")</f>
        <v>0</v>
      </c>
      <c r="AE2">
        <f>BDH("IPX US Equity","NET_INCOME","2016-06-30","2021-06-30","Per=Y","Days=T","Dir=V")</f>
        <v>0</v>
      </c>
      <c r="AG2">
        <f>BDH("IPX US Equity","IS_INT_EXPENSE","2016-06-30","2021-06-30","Per=Y","Days=T","Dir=V")</f>
        <v>0</v>
      </c>
      <c r="AI2">
        <f>BDH("IPX US Equity","IS_DEPR_EXP","2016-06-30","2021-06-30","Per=Y","Days=T","Dir=V")</f>
        <v>0</v>
      </c>
      <c r="AK2">
        <f>BDH("IPX US Equity","CF_CASH_FROM_OPER","2016-06-30","2021-06-30","Per=Y","Days=T","Dir=V")</f>
        <v>0</v>
      </c>
      <c r="AM2">
        <f>BDH("IPX US Equity","CAPITAL_EXPEND","2016-06-30","2021-06-30","Per=Y","Days=T","Dir=V")</f>
        <v>0</v>
      </c>
      <c r="AO2">
        <f>BDH("IPX US Equity","CF_FREE_CASH_FLOW","2016-06-30","2021-06-30","Per=Y","Days=T","Dir=V")</f>
        <v>0</v>
      </c>
      <c r="AQ2">
        <f>BDH("IPX US Equity","PX_LAST","2016-06-30","2021-06-30","Per=M","Days=T","Dir=V")</f>
        <v>0</v>
      </c>
      <c r="AS2">
        <f>BDH("IPX US Equity","CUR_MKT_CAP","2016-06-30","2021-06-30","Per=M","Days=T","Dir=V")</f>
        <v>0</v>
      </c>
      <c r="AU2">
        <f>BDH("IPX US Equity","EQY_SH_OUT","2016-06-30","2021-06-30","Per=M","Days=T","Dir=V")</f>
        <v>0</v>
      </c>
      <c r="AW2">
        <f>BDH("IPX US Equity","BETA_RAW_OVERRIABLE","2016-06-30","2021-06-30","Per=M","Days=T","Dir=V")</f>
        <v>0</v>
      </c>
      <c r="AY2">
        <f>BDH("IPX US Equity","PX_VOLUME","2016-06-30","2021-06-30","Per=M","Days=T","Dir=V")</f>
        <v>0</v>
      </c>
      <c r="BA2">
        <f>BDH("IPX US Equity","TURNOVER","2016-06-30","2021-06-30","Per=M","Days=T","Dir=V")</f>
        <v>0</v>
      </c>
      <c r="BC2">
        <f>BDH("IPX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BDH("CLW US Equity","BS_TOT_ASSET","2016-06-30","2021-06-30","Per=Y","Days=T","Dir=V")</f>
        <v>0</v>
      </c>
      <c r="C2">
        <f>BDH("CLW US Equity","BS_TOT_LIAB2","2016-06-30","2021-06-30","Per=Y","Days=T","Dir=V")</f>
        <v>0</v>
      </c>
      <c r="E2">
        <f>BDH("CLW US Equity","SHORT_AND_LONG_TERM_DEBT","2016-06-30","2021-06-30","Per=Y","Days=T","Dir=V")</f>
        <v>0</v>
      </c>
      <c r="G2">
        <f>BDH("CLW US Equity","BS_ST_BORROW","2016-06-30","2021-06-30","Per=Y","Days=T","Dir=V")</f>
        <v>0</v>
      </c>
      <c r="I2">
        <f>BDH("CLW US Equity","BS_LT_BORROW","2016-06-30","2021-06-30","Per=Y","Days=T","Dir=V")</f>
        <v>0</v>
      </c>
      <c r="K2">
        <f>BDH("CLW US Equity","BS_CASH_NEAR_CASH_ITEM","2016-06-30","2021-06-30","Per=Y","Days=T","Dir=V")</f>
        <v>0</v>
      </c>
      <c r="M2">
        <f>BDH("CLW US Equity","BS_CUR_ASSET_REPORT","2016-06-30","2021-06-30","Per=Y","Days=T","Dir=V")</f>
        <v>0</v>
      </c>
      <c r="O2">
        <f>BDH("CLW US Equity","BS_CUR_LIAB","2016-06-30","2021-06-30","Per=Y","Days=T","Dir=V")</f>
        <v>0</v>
      </c>
      <c r="Q2">
        <f>BDH("CLW US Equity","BS_SHAREHOLDER_EQY_ENDING_PERIOD","2016-06-30","2021-06-30","Per=Y","Days=T","Dir=V")</f>
        <v>0</v>
      </c>
      <c r="S2">
        <f>BDH("CLW US Equity","BS_ACCT_NOTE_RCV","2016-06-30","2021-06-30","Per=Y","Days=T","Dir=V")</f>
        <v>0</v>
      </c>
      <c r="U2">
        <f>BDH("CLW US Equity","BS_INVENTORIES","2016-06-30","2021-06-30","Per=Y","Days=T","Dir=V")</f>
        <v>0</v>
      </c>
      <c r="W2">
        <f>BDH("CLW US Equity","WORKING_CAPITAL","2016-06-30","2021-06-30","Per=Y","Days=T","Dir=V")</f>
        <v>0</v>
      </c>
      <c r="Y2">
        <f>BDH("CLW US Equity","SALES_REV_TURN","2016-06-30","2021-06-30","Per=Y","Days=T","Dir=V")</f>
        <v>0</v>
      </c>
      <c r="AA2">
        <f>BDH("CLW US Equity","EBIT","2016-06-30","2021-06-30","Per=Y","Days=T","Dir=V")</f>
        <v>0</v>
      </c>
      <c r="AC2">
        <f>BDH("CLW US Equity","EBITDA","2016-06-30","2021-06-30","Per=Y","Days=T","Dir=V")</f>
        <v>0</v>
      </c>
      <c r="AE2">
        <f>BDH("CLW US Equity","NET_INCOME","2016-06-30","2021-06-30","Per=Y","Days=T","Dir=V")</f>
        <v>0</v>
      </c>
      <c r="AG2">
        <f>BDH("CLW US Equity","IS_INT_EXPENSE","2016-06-30","2021-06-30","Per=Y","Days=T","Dir=V")</f>
        <v>0</v>
      </c>
      <c r="AI2">
        <f>BDH("CLW US Equity","IS_DEPR_EXP","2016-06-30","2021-06-30","Per=Y","Days=T","Dir=V")</f>
        <v>0</v>
      </c>
      <c r="AK2">
        <f>BDH("CLW US Equity","CF_CASH_FROM_OPER","2016-06-30","2021-06-30","Per=Y","Days=T","Dir=V")</f>
        <v>0</v>
      </c>
      <c r="AM2">
        <f>BDH("CLW US Equity","CAPITAL_EXPEND","2016-06-30","2021-06-30","Per=Y","Days=T","Dir=V")</f>
        <v>0</v>
      </c>
      <c r="AO2">
        <f>BDH("CLW US Equity","CF_FREE_CASH_FLOW","2016-06-30","2021-06-30","Per=Y","Days=T","Dir=V")</f>
        <v>0</v>
      </c>
      <c r="AQ2">
        <f>BDH("CLW US Equity","PX_LAST","2016-06-30","2021-06-30","Per=M","Days=T","Dir=V")</f>
        <v>0</v>
      </c>
      <c r="AS2">
        <f>BDH("CLW US Equity","CUR_MKT_CAP","2016-06-30","2021-06-30","Per=M","Days=T","Dir=V")</f>
        <v>0</v>
      </c>
      <c r="AU2">
        <f>BDH("CLW US Equity","EQY_SH_OUT","2016-06-30","2021-06-30","Per=M","Days=T","Dir=V")</f>
        <v>0</v>
      </c>
      <c r="AW2">
        <f>BDH("CLW US Equity","BETA_RAW_OVERRIABLE","2016-06-30","2021-06-30","Per=M","Days=T","Dir=V")</f>
        <v>0</v>
      </c>
      <c r="AY2">
        <f>BDH("CLW US Equity","PX_VOLUME","2016-06-30","2021-06-30","Per=M","Days=T","Dir=V")</f>
        <v>0</v>
      </c>
      <c r="BA2">
        <f>BDH("CLW US Equity","TURNOVER","2016-06-30","2021-06-30","Per=M","Days=T","Dir=V")</f>
        <v>0</v>
      </c>
      <c r="BC2">
        <f>BDH("CLW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BDH("CTGO US Equity","BS_TOT_ASSET","2016-06-30","2021-06-30","Per=Y","Days=T","Dir=V")</f>
        <v>0</v>
      </c>
      <c r="C2">
        <f>BDH("CTGO US Equity","BS_TOT_LIAB2","2016-06-30","2021-06-30","Per=Y","Days=T","Dir=V")</f>
        <v>0</v>
      </c>
      <c r="E2">
        <f>BDH("CTGO US Equity","SHORT_AND_LONG_TERM_DEBT","2016-06-30","2021-06-30","Per=Y","Days=T","Dir=V")</f>
        <v>0</v>
      </c>
      <c r="G2">
        <f>BDH("CTGO US Equity","BS_ST_BORROW","2016-06-30","2021-06-30","Per=Y","Days=T","Dir=V")</f>
        <v>0</v>
      </c>
      <c r="I2">
        <f>BDH("CTGO US Equity","BS_LT_BORROW","2016-06-30","2021-06-30","Per=Y","Days=T","Dir=V")</f>
        <v>0</v>
      </c>
      <c r="K2">
        <f>BDH("CTGO US Equity","BS_CASH_NEAR_CASH_ITEM","2016-06-30","2021-06-30","Per=Y","Days=T","Dir=V")</f>
        <v>0</v>
      </c>
      <c r="M2">
        <f>BDH("CTGO US Equity","BS_CUR_ASSET_REPORT","2016-06-30","2021-06-30","Per=Y","Days=T","Dir=V")</f>
        <v>0</v>
      </c>
      <c r="O2">
        <f>BDH("CTGO US Equity","BS_CUR_LIAB","2016-06-30","2021-06-30","Per=Y","Days=T","Dir=V")</f>
        <v>0</v>
      </c>
      <c r="Q2">
        <f>BDH("CTGO US Equity","BS_SHAREHOLDER_EQY_ENDING_PERIOD","2016-06-30","2021-06-30","Per=Y","Days=T","Dir=V")</f>
        <v>0</v>
      </c>
      <c r="S2">
        <f>BDH("CTGO US Equity","BS_ACCT_NOTE_RCV","2016-06-30","2021-06-30","Per=Y","Days=T","Dir=V")</f>
        <v>0</v>
      </c>
      <c r="U2">
        <f>BDH("CTGO US Equity","BS_INVENTORIES","2016-06-30","2021-06-30","Per=Y","Days=T","Dir=V")</f>
        <v>0</v>
      </c>
      <c r="W2">
        <f>BDH("CTGO US Equity","WORKING_CAPITAL","2016-06-30","2021-06-30","Per=Y","Days=T","Dir=V")</f>
        <v>0</v>
      </c>
      <c r="Y2">
        <f>BDH("CTGO US Equity","SALES_REV_TURN","2016-06-30","2021-06-30","Per=Y","Days=T","Dir=V")</f>
        <v>0</v>
      </c>
      <c r="AA2">
        <f>BDH("CTGO US Equity","EBIT","2016-06-30","2021-06-30","Per=Y","Days=T","Dir=V")</f>
        <v>0</v>
      </c>
      <c r="AC2">
        <f>BDH("CTGO US Equity","EBITDA","2016-06-30","2021-06-30","Per=Y","Days=T","Dir=V")</f>
        <v>0</v>
      </c>
      <c r="AE2">
        <f>BDH("CTGO US Equity","NET_INCOME","2016-06-30","2021-06-30","Per=Y","Days=T","Dir=V")</f>
        <v>0</v>
      </c>
      <c r="AG2">
        <f>BDH("CTGO US Equity","IS_INT_EXPENSE","2016-06-30","2021-06-30","Per=Y","Days=T","Dir=V")</f>
        <v>0</v>
      </c>
      <c r="AI2">
        <f>BDH("CTGO US Equity","IS_DEPR_EXP","2016-06-30","2021-06-30","Per=Y","Days=T","Dir=V")</f>
        <v>0</v>
      </c>
      <c r="AK2">
        <f>BDH("CTGO US Equity","CF_CASH_FROM_OPER","2016-06-30","2021-06-30","Per=Y","Days=T","Dir=V")</f>
        <v>0</v>
      </c>
      <c r="AM2">
        <f>BDH("CTGO US Equity","CAPITAL_EXPEND","2016-06-30","2021-06-30","Per=Y","Days=T","Dir=V")</f>
        <v>0</v>
      </c>
      <c r="AO2">
        <f>BDH("CTGO US Equity","CF_FREE_CASH_FLOW","2016-06-30","2021-06-30","Per=Y","Days=T","Dir=V")</f>
        <v>0</v>
      </c>
      <c r="AQ2">
        <f>BDH("CTGO US Equity","PX_LAST","2016-06-30","2021-06-30","Per=M","Days=T","Dir=V")</f>
        <v>0</v>
      </c>
      <c r="AS2">
        <f>BDH("CTGO US Equity","CUR_MKT_CAP","2016-06-30","2021-06-30","Per=M","Days=T","Dir=V")</f>
        <v>0</v>
      </c>
      <c r="AU2">
        <f>BDH("CTGO US Equity","EQY_SH_OUT","2016-06-30","2021-06-30","Per=M","Days=T","Dir=V")</f>
        <v>0</v>
      </c>
      <c r="AW2">
        <f>BDH("CTGO US Equity","BETA_RAW_OVERRIABLE","2016-06-30","2021-06-30","Per=M","Days=T","Dir=V")</f>
        <v>0</v>
      </c>
      <c r="AY2">
        <f>BDH("CTGO US Equity","PX_VOLUME","2016-06-30","2021-06-30","Per=M","Days=T","Dir=V")</f>
        <v>0</v>
      </c>
      <c r="BA2">
        <f>BDH("CTGO US Equity","TURNOVER","2016-06-30","2021-06-30","Per=M","Days=T","Dir=V")</f>
        <v>0</v>
      </c>
      <c r="BC2">
        <f>BDH("CTGO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BDH("ANGI US Equity","BS_TOT_ASSET","2016-06-30","2021-06-30","Per=Y","Days=T","Dir=V")</f>
        <v>0</v>
      </c>
      <c r="C2">
        <f>BDH("ANGI US Equity","BS_TOT_LIAB2","2016-06-30","2021-06-30","Per=Y","Days=T","Dir=V")</f>
        <v>0</v>
      </c>
      <c r="E2">
        <f>BDH("ANGI US Equity","SHORT_AND_LONG_TERM_DEBT","2016-06-30","2021-06-30","Per=Y","Days=T","Dir=V")</f>
        <v>0</v>
      </c>
      <c r="G2">
        <f>BDH("ANGI US Equity","BS_ST_BORROW","2016-06-30","2021-06-30","Per=Y","Days=T","Dir=V")</f>
        <v>0</v>
      </c>
      <c r="I2">
        <f>BDH("ANGI US Equity","BS_LT_BORROW","2016-06-30","2021-06-30","Per=Y","Days=T","Dir=V")</f>
        <v>0</v>
      </c>
      <c r="K2">
        <f>BDH("ANGI US Equity","BS_CASH_NEAR_CASH_ITEM","2016-06-30","2021-06-30","Per=Y","Days=T","Dir=V")</f>
        <v>0</v>
      </c>
      <c r="M2">
        <f>BDH("ANGI US Equity","BS_CUR_ASSET_REPORT","2016-06-30","2021-06-30","Per=Y","Days=T","Dir=V")</f>
        <v>0</v>
      </c>
      <c r="O2">
        <f>BDH("ANGI US Equity","BS_CUR_LIAB","2016-06-30","2021-06-30","Per=Y","Days=T","Dir=V")</f>
        <v>0</v>
      </c>
      <c r="Q2">
        <f>BDH("ANGI US Equity","BS_SHAREHOLDER_EQY_ENDING_PERIOD","2016-06-30","2021-06-30","Per=Y","Days=T","Dir=V")</f>
        <v>0</v>
      </c>
      <c r="S2">
        <f>BDH("ANGI US Equity","BS_ACCT_NOTE_RCV","2016-06-30","2021-06-30","Per=Y","Days=T","Dir=V")</f>
        <v>0</v>
      </c>
      <c r="U2">
        <f>BDH("ANGI US Equity","BS_INVENTORIES","2016-06-30","2021-06-30","Per=Y","Days=T","Dir=V")</f>
        <v>0</v>
      </c>
      <c r="W2">
        <f>BDH("ANGI US Equity","WORKING_CAPITAL","2016-06-30","2021-06-30","Per=Y","Days=T","Dir=V")</f>
        <v>0</v>
      </c>
      <c r="Y2">
        <f>BDH("ANGI US Equity","SALES_REV_TURN","2016-06-30","2021-06-30","Per=Y","Days=T","Dir=V")</f>
        <v>0</v>
      </c>
      <c r="AA2">
        <f>BDH("ANGI US Equity","EBIT","2016-06-30","2021-06-30","Per=Y","Days=T","Dir=V")</f>
        <v>0</v>
      </c>
      <c r="AC2">
        <f>BDH("ANGI US Equity","EBITDA","2016-06-30","2021-06-30","Per=Y","Days=T","Dir=V")</f>
        <v>0</v>
      </c>
      <c r="AE2">
        <f>BDH("ANGI US Equity","NET_INCOME","2016-06-30","2021-06-30","Per=Y","Days=T","Dir=V")</f>
        <v>0</v>
      </c>
      <c r="AG2">
        <f>BDH("ANGI US Equity","IS_INT_EXPENSE","2016-06-30","2021-06-30","Per=Y","Days=T","Dir=V")</f>
        <v>0</v>
      </c>
      <c r="AI2">
        <f>BDH("ANGI US Equity","IS_DEPR_EXP","2016-06-30","2021-06-30","Per=Y","Days=T","Dir=V")</f>
        <v>0</v>
      </c>
      <c r="AK2">
        <f>BDH("ANGI US Equity","CF_CASH_FROM_OPER","2016-06-30","2021-06-30","Per=Y","Days=T","Dir=V")</f>
        <v>0</v>
      </c>
      <c r="AM2">
        <f>BDH("ANGI US Equity","CAPITAL_EXPEND","2016-06-30","2021-06-30","Per=Y","Days=T","Dir=V")</f>
        <v>0</v>
      </c>
      <c r="AO2">
        <f>BDH("ANGI US Equity","CF_FREE_CASH_FLOW","2016-06-30","2021-06-30","Per=Y","Days=T","Dir=V")</f>
        <v>0</v>
      </c>
      <c r="AQ2">
        <f>BDH("ANGI US Equity","PX_LAST","2016-06-30","2021-06-30","Per=M","Days=T","Dir=V")</f>
        <v>0</v>
      </c>
      <c r="AS2">
        <f>BDH("ANGI US Equity","CUR_MKT_CAP","2016-06-30","2021-06-30","Per=M","Days=T","Dir=V")</f>
        <v>0</v>
      </c>
      <c r="AU2">
        <f>BDH("ANGI US Equity","EQY_SH_OUT","2016-06-30","2021-06-30","Per=M","Days=T","Dir=V")</f>
        <v>0</v>
      </c>
      <c r="AW2">
        <f>BDH("ANGI US Equity","BETA_RAW_OVERRIABLE","2016-06-30","2021-06-30","Per=M","Days=T","Dir=V")</f>
        <v>0</v>
      </c>
      <c r="AY2">
        <f>BDH("ANGI US Equity","PX_VOLUME","2016-06-30","2021-06-30","Per=M","Days=T","Dir=V")</f>
        <v>0</v>
      </c>
      <c r="BA2">
        <f>BDH("ANGI US Equity","TURNOVER","2016-06-30","2021-06-30","Per=M","Days=T","Dir=V")</f>
        <v>0</v>
      </c>
      <c r="BC2">
        <f>BDH("ANGI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BDH("JBLU US Equity","BS_TOT_ASSET","2016-06-30","2021-06-30","Per=Y","Days=T","Dir=V")</f>
        <v>0</v>
      </c>
      <c r="C2">
        <f>BDH("JBLU US Equity","BS_TOT_LIAB2","2016-06-30","2021-06-30","Per=Y","Days=T","Dir=V")</f>
        <v>0</v>
      </c>
      <c r="E2">
        <f>BDH("JBLU US Equity","SHORT_AND_LONG_TERM_DEBT","2016-06-30","2021-06-30","Per=Y","Days=T","Dir=V")</f>
        <v>0</v>
      </c>
      <c r="G2">
        <f>BDH("JBLU US Equity","BS_ST_BORROW","2016-06-30","2021-06-30","Per=Y","Days=T","Dir=V")</f>
        <v>0</v>
      </c>
      <c r="I2">
        <f>BDH("JBLU US Equity","BS_LT_BORROW","2016-06-30","2021-06-30","Per=Y","Days=T","Dir=V")</f>
        <v>0</v>
      </c>
      <c r="K2">
        <f>BDH("JBLU US Equity","BS_CASH_NEAR_CASH_ITEM","2016-06-30","2021-06-30","Per=Y","Days=T","Dir=V")</f>
        <v>0</v>
      </c>
      <c r="M2">
        <f>BDH("JBLU US Equity","BS_CUR_ASSET_REPORT","2016-06-30","2021-06-30","Per=Y","Days=T","Dir=V")</f>
        <v>0</v>
      </c>
      <c r="O2">
        <f>BDH("JBLU US Equity","BS_CUR_LIAB","2016-06-30","2021-06-30","Per=Y","Days=T","Dir=V")</f>
        <v>0</v>
      </c>
      <c r="Q2">
        <f>BDH("JBLU US Equity","BS_SHAREHOLDER_EQY_ENDING_PERIOD","2016-06-30","2021-06-30","Per=Y","Days=T","Dir=V")</f>
        <v>0</v>
      </c>
      <c r="S2">
        <f>BDH("JBLU US Equity","BS_ACCT_NOTE_RCV","2016-06-30","2021-06-30","Per=Y","Days=T","Dir=V")</f>
        <v>0</v>
      </c>
      <c r="U2">
        <f>BDH("JBLU US Equity","BS_INVENTORIES","2016-06-30","2021-06-30","Per=Y","Days=T","Dir=V")</f>
        <v>0</v>
      </c>
      <c r="W2">
        <f>BDH("JBLU US Equity","WORKING_CAPITAL","2016-06-30","2021-06-30","Per=Y","Days=T","Dir=V")</f>
        <v>0</v>
      </c>
      <c r="Y2">
        <f>BDH("JBLU US Equity","SALES_REV_TURN","2016-06-30","2021-06-30","Per=Y","Days=T","Dir=V")</f>
        <v>0</v>
      </c>
      <c r="AA2">
        <f>BDH("JBLU US Equity","EBIT","2016-06-30","2021-06-30","Per=Y","Days=T","Dir=V")</f>
        <v>0</v>
      </c>
      <c r="AC2">
        <f>BDH("JBLU US Equity","EBITDA","2016-06-30","2021-06-30","Per=Y","Days=T","Dir=V")</f>
        <v>0</v>
      </c>
      <c r="AE2">
        <f>BDH("JBLU US Equity","NET_INCOME","2016-06-30","2021-06-30","Per=Y","Days=T","Dir=V")</f>
        <v>0</v>
      </c>
      <c r="AG2">
        <f>BDH("JBLU US Equity","IS_INT_EXPENSE","2016-06-30","2021-06-30","Per=Y","Days=T","Dir=V")</f>
        <v>0</v>
      </c>
      <c r="AI2">
        <f>BDH("JBLU US Equity","IS_DEPR_EXP","2016-06-30","2021-06-30","Per=Y","Days=T","Dir=V")</f>
        <v>0</v>
      </c>
      <c r="AK2">
        <f>BDH("JBLU US Equity","CF_CASH_FROM_OPER","2016-06-30","2021-06-30","Per=Y","Days=T","Dir=V")</f>
        <v>0</v>
      </c>
      <c r="AM2">
        <f>BDH("JBLU US Equity","CAPITAL_EXPEND","2016-06-30","2021-06-30","Per=Y","Days=T","Dir=V")</f>
        <v>0</v>
      </c>
      <c r="AO2">
        <f>BDH("JBLU US Equity","CF_FREE_CASH_FLOW","2016-06-30","2021-06-30","Per=Y","Days=T","Dir=V")</f>
        <v>0</v>
      </c>
      <c r="AQ2">
        <f>BDH("JBLU US Equity","PX_LAST","2016-06-30","2021-06-30","Per=M","Days=T","Dir=V")</f>
        <v>0</v>
      </c>
      <c r="AS2">
        <f>BDH("JBLU US Equity","CUR_MKT_CAP","2016-06-30","2021-06-30","Per=M","Days=T","Dir=V")</f>
        <v>0</v>
      </c>
      <c r="AU2">
        <f>BDH("JBLU US Equity","EQY_SH_OUT","2016-06-30","2021-06-30","Per=M","Days=T","Dir=V")</f>
        <v>0</v>
      </c>
      <c r="AW2">
        <f>BDH("JBLU US Equity","BETA_RAW_OVERRIABLE","2016-06-30","2021-06-30","Per=M","Days=T","Dir=V")</f>
        <v>0</v>
      </c>
      <c r="AY2">
        <f>BDH("JBLU US Equity","PX_VOLUME","2016-06-30","2021-06-30","Per=M","Days=T","Dir=V")</f>
        <v>0</v>
      </c>
      <c r="BA2">
        <f>BDH("JBLU US Equity","TURNOVER","2016-06-30","2021-06-30","Per=M","Days=T","Dir=V")</f>
        <v>0</v>
      </c>
      <c r="BC2">
        <f>BDH("JBLU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BDH("TLF US Equity","BS_TOT_ASSET","2016-06-30","2021-06-30","Per=Y","Days=T","Dir=V")</f>
        <v>0</v>
      </c>
      <c r="C2">
        <f>BDH("TLF US Equity","BS_TOT_LIAB2","2016-06-30","2021-06-30","Per=Y","Days=T","Dir=V")</f>
        <v>0</v>
      </c>
      <c r="E2">
        <f>BDH("TLF US Equity","SHORT_AND_LONG_TERM_DEBT","2016-06-30","2021-06-30","Per=Y","Days=T","Dir=V")</f>
        <v>0</v>
      </c>
      <c r="G2">
        <f>BDH("TLF US Equity","BS_ST_BORROW","2016-06-30","2021-06-30","Per=Y","Days=T","Dir=V")</f>
        <v>0</v>
      </c>
      <c r="I2">
        <f>BDH("TLF US Equity","BS_LT_BORROW","2016-06-30","2021-06-30","Per=Y","Days=T","Dir=V")</f>
        <v>0</v>
      </c>
      <c r="K2">
        <f>BDH("TLF US Equity","BS_CASH_NEAR_CASH_ITEM","2016-06-30","2021-06-30","Per=Y","Days=T","Dir=V")</f>
        <v>0</v>
      </c>
      <c r="M2">
        <f>BDH("TLF US Equity","BS_CUR_ASSET_REPORT","2016-06-30","2021-06-30","Per=Y","Days=T","Dir=V")</f>
        <v>0</v>
      </c>
      <c r="O2">
        <f>BDH("TLF US Equity","BS_CUR_LIAB","2016-06-30","2021-06-30","Per=Y","Days=T","Dir=V")</f>
        <v>0</v>
      </c>
      <c r="Q2">
        <f>BDH("TLF US Equity","BS_SHAREHOLDER_EQY_ENDING_PERIOD","2016-06-30","2021-06-30","Per=Y","Days=T","Dir=V")</f>
        <v>0</v>
      </c>
      <c r="S2">
        <f>BDH("TLF US Equity","BS_ACCT_NOTE_RCV","2016-06-30","2021-06-30","Per=Y","Days=T","Dir=V")</f>
        <v>0</v>
      </c>
      <c r="U2">
        <f>BDH("TLF US Equity","BS_INVENTORIES","2016-06-30","2021-06-30","Per=Y","Days=T","Dir=V")</f>
        <v>0</v>
      </c>
      <c r="W2">
        <f>BDH("TLF US Equity","WORKING_CAPITAL","2016-06-30","2021-06-30","Per=Y","Days=T","Dir=V")</f>
        <v>0</v>
      </c>
      <c r="Y2">
        <f>BDH("TLF US Equity","SALES_REV_TURN","2016-06-30","2021-06-30","Per=Y","Days=T","Dir=V")</f>
        <v>0</v>
      </c>
      <c r="AA2">
        <f>BDH("TLF US Equity","EBIT","2016-06-30","2021-06-30","Per=Y","Days=T","Dir=V")</f>
        <v>0</v>
      </c>
      <c r="AC2">
        <f>BDH("TLF US Equity","EBITDA","2016-06-30","2021-06-30","Per=Y","Days=T","Dir=V")</f>
        <v>0</v>
      </c>
      <c r="AE2">
        <f>BDH("TLF US Equity","NET_INCOME","2016-06-30","2021-06-30","Per=Y","Days=T","Dir=V")</f>
        <v>0</v>
      </c>
      <c r="AG2">
        <f>BDH("TLF US Equity","IS_INT_EXPENSE","2016-06-30","2021-06-30","Per=Y","Days=T","Dir=V")</f>
        <v>0</v>
      </c>
      <c r="AI2">
        <f>BDH("TLF US Equity","IS_DEPR_EXP","2016-06-30","2021-06-30","Per=Y","Days=T","Dir=V")</f>
        <v>0</v>
      </c>
      <c r="AK2">
        <f>BDH("TLF US Equity","CF_CASH_FROM_OPER","2016-06-30","2021-06-30","Per=Y","Days=T","Dir=V")</f>
        <v>0</v>
      </c>
      <c r="AM2">
        <f>BDH("TLF US Equity","CAPITAL_EXPEND","2016-06-30","2021-06-30","Per=Y","Days=T","Dir=V")</f>
        <v>0</v>
      </c>
      <c r="AO2">
        <f>BDH("TLF US Equity","CF_FREE_CASH_FLOW","2016-06-30","2021-06-30","Per=Y","Days=T","Dir=V")</f>
        <v>0</v>
      </c>
      <c r="AQ2">
        <f>BDH("TLF US Equity","PX_LAST","2016-06-30","2021-06-30","Per=M","Days=T","Dir=V")</f>
        <v>0</v>
      </c>
      <c r="AS2">
        <f>BDH("TLF US Equity","CUR_MKT_CAP","2016-06-30","2021-06-30","Per=M","Days=T","Dir=V")</f>
        <v>0</v>
      </c>
      <c r="AU2">
        <f>BDH("TLF US Equity","EQY_SH_OUT","2016-06-30","2021-06-30","Per=M","Days=T","Dir=V")</f>
        <v>0</v>
      </c>
      <c r="AW2">
        <f>BDH("TLF US Equity","BETA_RAW_OVERRIABLE","2016-06-30","2021-06-30","Per=M","Days=T","Dir=V")</f>
        <v>0</v>
      </c>
      <c r="AY2">
        <f>BDH("TLF US Equity","PX_VOLUME","2016-06-30","2021-06-30","Per=M","Days=T","Dir=V")</f>
        <v>0</v>
      </c>
      <c r="BA2">
        <f>BDH("TLF US Equity","TURNOVER","2016-06-30","2021-06-30","Per=M","Days=T","Dir=V")</f>
        <v>0</v>
      </c>
      <c r="BC2">
        <f>BDH("TLF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BDH("AAP US Equity","BS_TOT_ASSET","2016-06-30","2021-06-30","Per=Y","Days=T","Dir=V")</f>
        <v>0</v>
      </c>
      <c r="C2">
        <f>BDH("AAP US Equity","BS_TOT_LIAB2","2016-06-30","2021-06-30","Per=Y","Days=T","Dir=V")</f>
        <v>0</v>
      </c>
      <c r="E2">
        <f>BDH("AAP US Equity","SHORT_AND_LONG_TERM_DEBT","2016-06-30","2021-06-30","Per=Y","Days=T","Dir=V")</f>
        <v>0</v>
      </c>
      <c r="G2">
        <f>BDH("AAP US Equity","BS_ST_BORROW","2016-06-30","2021-06-30","Per=Y","Days=T","Dir=V")</f>
        <v>0</v>
      </c>
      <c r="I2">
        <f>BDH("AAP US Equity","BS_LT_BORROW","2016-06-30","2021-06-30","Per=Y","Days=T","Dir=V")</f>
        <v>0</v>
      </c>
      <c r="K2">
        <f>BDH("AAP US Equity","BS_CASH_NEAR_CASH_ITEM","2016-06-30","2021-06-30","Per=Y","Days=T","Dir=V")</f>
        <v>0</v>
      </c>
      <c r="M2">
        <f>BDH("AAP US Equity","BS_CUR_ASSET_REPORT","2016-06-30","2021-06-30","Per=Y","Days=T","Dir=V")</f>
        <v>0</v>
      </c>
      <c r="O2">
        <f>BDH("AAP US Equity","BS_CUR_LIAB","2016-06-30","2021-06-30","Per=Y","Days=T","Dir=V")</f>
        <v>0</v>
      </c>
      <c r="Q2">
        <f>BDH("AAP US Equity","BS_SHAREHOLDER_EQY_ENDING_PERIOD","2016-06-30","2021-06-30","Per=Y","Days=T","Dir=V")</f>
        <v>0</v>
      </c>
      <c r="S2">
        <f>BDH("AAP US Equity","BS_ACCT_NOTE_RCV","2016-06-30","2021-06-30","Per=Y","Days=T","Dir=V")</f>
        <v>0</v>
      </c>
      <c r="U2">
        <f>BDH("AAP US Equity","BS_INVENTORIES","2016-06-30","2021-06-30","Per=Y","Days=T","Dir=V")</f>
        <v>0</v>
      </c>
      <c r="W2">
        <f>BDH("AAP US Equity","WORKING_CAPITAL","2016-06-30","2021-06-30","Per=Y","Days=T","Dir=V")</f>
        <v>0</v>
      </c>
      <c r="Y2">
        <f>BDH("AAP US Equity","SALES_REV_TURN","2016-06-30","2021-06-30","Per=Y","Days=T","Dir=V")</f>
        <v>0</v>
      </c>
      <c r="AA2">
        <f>BDH("AAP US Equity","EBIT","2016-06-30","2021-06-30","Per=Y","Days=T","Dir=V")</f>
        <v>0</v>
      </c>
      <c r="AC2">
        <f>BDH("AAP US Equity","EBITDA","2016-06-30","2021-06-30","Per=Y","Days=T","Dir=V")</f>
        <v>0</v>
      </c>
      <c r="AE2">
        <f>BDH("AAP US Equity","NET_INCOME","2016-06-30","2021-06-30","Per=Y","Days=T","Dir=V")</f>
        <v>0</v>
      </c>
      <c r="AG2">
        <f>BDH("AAP US Equity","IS_INT_EXPENSE","2016-06-30","2021-06-30","Per=Y","Days=T","Dir=V")</f>
        <v>0</v>
      </c>
      <c r="AI2">
        <f>BDH("AAP US Equity","IS_DEPR_EXP","2016-06-30","2021-06-30","Per=Y","Days=T","Dir=V")</f>
        <v>0</v>
      </c>
      <c r="AK2">
        <f>BDH("AAP US Equity","CF_CASH_FROM_OPER","2016-06-30","2021-06-30","Per=Y","Days=T","Dir=V")</f>
        <v>0</v>
      </c>
      <c r="AM2">
        <f>BDH("AAP US Equity","CAPITAL_EXPEND","2016-06-30","2021-06-30","Per=Y","Days=T","Dir=V")</f>
        <v>0</v>
      </c>
      <c r="AO2">
        <f>BDH("AAP US Equity","CF_FREE_CASH_FLOW","2016-06-30","2021-06-30","Per=Y","Days=T","Dir=V")</f>
        <v>0</v>
      </c>
      <c r="AQ2">
        <f>BDH("AAP US Equity","PX_LAST","2016-06-30","2021-06-30","Per=M","Days=T","Dir=V")</f>
        <v>0</v>
      </c>
      <c r="AS2">
        <f>BDH("AAP US Equity","CUR_MKT_CAP","2016-06-30","2021-06-30","Per=M","Days=T","Dir=V")</f>
        <v>0</v>
      </c>
      <c r="AU2">
        <f>BDH("AAP US Equity","EQY_SH_OUT","2016-06-30","2021-06-30","Per=M","Days=T","Dir=V")</f>
        <v>0</v>
      </c>
      <c r="AW2">
        <f>BDH("AAP US Equity","BETA_RAW_OVERRIABLE","2016-06-30","2021-06-30","Per=M","Days=T","Dir=V")</f>
        <v>0</v>
      </c>
      <c r="AY2">
        <f>BDH("AAP US Equity","PX_VOLUME","2016-06-30","2021-06-30","Per=M","Days=T","Dir=V")</f>
        <v>0</v>
      </c>
      <c r="BA2">
        <f>BDH("AAP US Equity","TURNOVER","2016-06-30","2021-06-30","Per=M","Days=T","Dir=V")</f>
        <v>0</v>
      </c>
      <c r="BC2">
        <f>BDH("AAP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BDH("CVGI US Equity","BS_TOT_ASSET","2016-06-30","2021-06-30","Per=Y","Days=T","Dir=V")</f>
        <v>0</v>
      </c>
      <c r="C2">
        <f>BDH("CVGI US Equity","BS_TOT_LIAB2","2016-06-30","2021-06-30","Per=Y","Days=T","Dir=V")</f>
        <v>0</v>
      </c>
      <c r="E2">
        <f>BDH("CVGI US Equity","SHORT_AND_LONG_TERM_DEBT","2016-06-30","2021-06-30","Per=Y","Days=T","Dir=V")</f>
        <v>0</v>
      </c>
      <c r="G2">
        <f>BDH("CVGI US Equity","BS_ST_BORROW","2016-06-30","2021-06-30","Per=Y","Days=T","Dir=V")</f>
        <v>0</v>
      </c>
      <c r="I2">
        <f>BDH("CVGI US Equity","BS_LT_BORROW","2016-06-30","2021-06-30","Per=Y","Days=T","Dir=V")</f>
        <v>0</v>
      </c>
      <c r="K2">
        <f>BDH("CVGI US Equity","BS_CASH_NEAR_CASH_ITEM","2016-06-30","2021-06-30","Per=Y","Days=T","Dir=V")</f>
        <v>0</v>
      </c>
      <c r="M2">
        <f>BDH("CVGI US Equity","BS_CUR_ASSET_REPORT","2016-06-30","2021-06-30","Per=Y","Days=T","Dir=V")</f>
        <v>0</v>
      </c>
      <c r="O2">
        <f>BDH("CVGI US Equity","BS_CUR_LIAB","2016-06-30","2021-06-30","Per=Y","Days=T","Dir=V")</f>
        <v>0</v>
      </c>
      <c r="Q2">
        <f>BDH("CVGI US Equity","BS_SHAREHOLDER_EQY_ENDING_PERIOD","2016-06-30","2021-06-30","Per=Y","Days=T","Dir=V")</f>
        <v>0</v>
      </c>
      <c r="S2">
        <f>BDH("CVGI US Equity","BS_ACCT_NOTE_RCV","2016-06-30","2021-06-30","Per=Y","Days=T","Dir=V")</f>
        <v>0</v>
      </c>
      <c r="U2">
        <f>BDH("CVGI US Equity","BS_INVENTORIES","2016-06-30","2021-06-30","Per=Y","Days=T","Dir=V")</f>
        <v>0</v>
      </c>
      <c r="W2">
        <f>BDH("CVGI US Equity","WORKING_CAPITAL","2016-06-30","2021-06-30","Per=Y","Days=T","Dir=V")</f>
        <v>0</v>
      </c>
      <c r="Y2">
        <f>BDH("CVGI US Equity","SALES_REV_TURN","2016-06-30","2021-06-30","Per=Y","Days=T","Dir=V")</f>
        <v>0</v>
      </c>
      <c r="AA2">
        <f>BDH("CVGI US Equity","EBIT","2016-06-30","2021-06-30","Per=Y","Days=T","Dir=V")</f>
        <v>0</v>
      </c>
      <c r="AC2">
        <f>BDH("CVGI US Equity","EBITDA","2016-06-30","2021-06-30","Per=Y","Days=T","Dir=V")</f>
        <v>0</v>
      </c>
      <c r="AE2">
        <f>BDH("CVGI US Equity","NET_INCOME","2016-06-30","2021-06-30","Per=Y","Days=T","Dir=V")</f>
        <v>0</v>
      </c>
      <c r="AG2">
        <f>BDH("CVGI US Equity","IS_INT_EXPENSE","2016-06-30","2021-06-30","Per=Y","Days=T","Dir=V")</f>
        <v>0</v>
      </c>
      <c r="AI2">
        <f>BDH("CVGI US Equity","IS_DEPR_EXP","2016-06-30","2021-06-30","Per=Y","Days=T","Dir=V")</f>
        <v>0</v>
      </c>
      <c r="AK2">
        <f>BDH("CVGI US Equity","CF_CASH_FROM_OPER","2016-06-30","2021-06-30","Per=Y","Days=T","Dir=V")</f>
        <v>0</v>
      </c>
      <c r="AM2">
        <f>BDH("CVGI US Equity","CAPITAL_EXPEND","2016-06-30","2021-06-30","Per=Y","Days=T","Dir=V")</f>
        <v>0</v>
      </c>
      <c r="AO2">
        <f>BDH("CVGI US Equity","CF_FREE_CASH_FLOW","2016-06-30","2021-06-30","Per=Y","Days=T","Dir=V")</f>
        <v>0</v>
      </c>
      <c r="AQ2">
        <f>BDH("CVGI US Equity","PX_LAST","2016-06-30","2021-06-30","Per=M","Days=T","Dir=V")</f>
        <v>0</v>
      </c>
      <c r="AS2">
        <f>BDH("CVGI US Equity","CUR_MKT_CAP","2016-06-30","2021-06-30","Per=M","Days=T","Dir=V")</f>
        <v>0</v>
      </c>
      <c r="AU2">
        <f>BDH("CVGI US Equity","EQY_SH_OUT","2016-06-30","2021-06-30","Per=M","Days=T","Dir=V")</f>
        <v>0</v>
      </c>
      <c r="AW2">
        <f>BDH("CVGI US Equity","BETA_RAW_OVERRIABLE","2016-06-30","2021-06-30","Per=M","Days=T","Dir=V")</f>
        <v>0</v>
      </c>
      <c r="AY2">
        <f>BDH("CVGI US Equity","PX_VOLUME","2016-06-30","2021-06-30","Per=M","Days=T","Dir=V")</f>
        <v>0</v>
      </c>
      <c r="BA2">
        <f>BDH("CVGI US Equity","TURNOVER","2016-06-30","2021-06-30","Per=M","Days=T","Dir=V")</f>
        <v>0</v>
      </c>
      <c r="BC2">
        <f>BDH("CVGI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BDH("EVGO US Equity","BS_TOT_ASSET","2016-06-30","2021-06-30","Per=Y","Days=T","Dir=V")</f>
        <v>0</v>
      </c>
      <c r="C2">
        <f>BDH("EVGO US Equity","BS_TOT_LIAB2","2016-06-30","2021-06-30","Per=Y","Days=T","Dir=V")</f>
        <v>0</v>
      </c>
      <c r="E2">
        <f>BDH("EVGO US Equity","SHORT_AND_LONG_TERM_DEBT","2016-06-30","2021-06-30","Per=Y","Days=T","Dir=V")</f>
        <v>0</v>
      </c>
      <c r="G2">
        <f>BDH("EVGO US Equity","BS_ST_BORROW","2016-06-30","2021-06-30","Per=Y","Days=T","Dir=V")</f>
        <v>0</v>
      </c>
      <c r="I2">
        <f>BDH("EVGO US Equity","BS_LT_BORROW","2016-06-30","2021-06-30","Per=Y","Days=T","Dir=V")</f>
        <v>0</v>
      </c>
      <c r="K2">
        <f>BDH("EVGO US Equity","BS_CASH_NEAR_CASH_ITEM","2016-06-30","2021-06-30","Per=Y","Days=T","Dir=V")</f>
        <v>0</v>
      </c>
      <c r="M2">
        <f>BDH("EVGO US Equity","BS_CUR_ASSET_REPORT","2016-06-30","2021-06-30","Per=Y","Days=T","Dir=V")</f>
        <v>0</v>
      </c>
      <c r="O2">
        <f>BDH("EVGO US Equity","BS_CUR_LIAB","2016-06-30","2021-06-30","Per=Y","Days=T","Dir=V")</f>
        <v>0</v>
      </c>
      <c r="Q2">
        <f>BDH("EVGO US Equity","BS_SHAREHOLDER_EQY_ENDING_PERIOD","2016-06-30","2021-06-30","Per=Y","Days=T","Dir=V")</f>
        <v>0</v>
      </c>
      <c r="S2">
        <f>BDH("EVGO US Equity","BS_ACCT_NOTE_RCV","2016-06-30","2021-06-30","Per=Y","Days=T","Dir=V")</f>
        <v>0</v>
      </c>
      <c r="U2">
        <f>BDH("EVGO US Equity","BS_INVENTORIES","2016-06-30","2021-06-30","Per=Y","Days=T","Dir=V")</f>
        <v>0</v>
      </c>
      <c r="W2">
        <f>BDH("EVGO US Equity","WORKING_CAPITAL","2016-06-30","2021-06-30","Per=Y","Days=T","Dir=V")</f>
        <v>0</v>
      </c>
      <c r="Y2">
        <f>BDH("EVGO US Equity","SALES_REV_TURN","2016-06-30","2021-06-30","Per=Y","Days=T","Dir=V")</f>
        <v>0</v>
      </c>
      <c r="AA2">
        <f>BDH("EVGO US Equity","EBIT","2016-06-30","2021-06-30","Per=Y","Days=T","Dir=V")</f>
        <v>0</v>
      </c>
      <c r="AC2">
        <f>BDH("EVGO US Equity","EBITDA","2016-06-30","2021-06-30","Per=Y","Days=T","Dir=V")</f>
        <v>0</v>
      </c>
      <c r="AE2">
        <f>BDH("EVGO US Equity","NET_INCOME","2016-06-30","2021-06-30","Per=Y","Days=T","Dir=V")</f>
        <v>0</v>
      </c>
      <c r="AG2">
        <f>BDH("EVGO US Equity","IS_INT_EXPENSE","2016-06-30","2021-06-30","Per=Y","Days=T","Dir=V")</f>
        <v>0</v>
      </c>
      <c r="AI2">
        <f>BDH("EVGO US Equity","IS_DEPR_EXP","2016-06-30","2021-06-30","Per=Y","Days=T","Dir=V")</f>
        <v>0</v>
      </c>
      <c r="AK2">
        <f>BDH("EVGO US Equity","CF_CASH_FROM_OPER","2016-06-30","2021-06-30","Per=Y","Days=T","Dir=V")</f>
        <v>0</v>
      </c>
      <c r="AM2">
        <f>BDH("EVGO US Equity","CAPITAL_EXPEND","2016-06-30","2021-06-30","Per=Y","Days=T","Dir=V")</f>
        <v>0</v>
      </c>
      <c r="AO2">
        <f>BDH("EVGO US Equity","CF_FREE_CASH_FLOW","2016-06-30","2021-06-30","Per=Y","Days=T","Dir=V")</f>
        <v>0</v>
      </c>
      <c r="AQ2">
        <f>BDH("EVGO US Equity","PX_LAST","2016-06-30","2021-06-30","Per=M","Days=T","Dir=V")</f>
        <v>0</v>
      </c>
      <c r="AS2">
        <f>BDH("EVGO US Equity","CUR_MKT_CAP","2016-06-30","2021-06-30","Per=M","Days=T","Dir=V")</f>
        <v>0</v>
      </c>
      <c r="AU2">
        <f>BDH("EVGO US Equity","EQY_SH_OUT","2016-06-30","2021-06-30","Per=M","Days=T","Dir=V")</f>
        <v>0</v>
      </c>
      <c r="AW2">
        <f>BDH("EVGO US Equity","BETA_RAW_OVERRIABLE","2016-06-30","2021-06-30","Per=M","Days=T","Dir=V")</f>
        <v>0</v>
      </c>
      <c r="AY2">
        <f>BDH("EVGO US Equity","PX_VOLUME","2016-06-30","2021-06-30","Per=M","Days=T","Dir=V")</f>
        <v>0</v>
      </c>
      <c r="BA2">
        <f>BDH("EVGO US Equity","TURNOVER","2016-06-30","2021-06-30","Per=M","Days=T","Dir=V")</f>
        <v>0</v>
      </c>
      <c r="BC2">
        <f>BDH("EVGO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BDH("SCHL US Equity","BS_TOT_ASSET","2016-06-30","2021-06-30","Per=Y","Days=T","Dir=V")</f>
        <v>0</v>
      </c>
      <c r="C2">
        <f>BDH("SCHL US Equity","BS_TOT_LIAB2","2016-06-30","2021-06-30","Per=Y","Days=T","Dir=V")</f>
        <v>0</v>
      </c>
      <c r="E2">
        <f>BDH("SCHL US Equity","SHORT_AND_LONG_TERM_DEBT","2016-06-30","2021-06-30","Per=Y","Days=T","Dir=V")</f>
        <v>0</v>
      </c>
      <c r="G2">
        <f>BDH("SCHL US Equity","BS_ST_BORROW","2016-06-30","2021-06-30","Per=Y","Days=T","Dir=V")</f>
        <v>0</v>
      </c>
      <c r="I2">
        <f>BDH("SCHL US Equity","BS_LT_BORROW","2016-06-30","2021-06-30","Per=Y","Days=T","Dir=V")</f>
        <v>0</v>
      </c>
      <c r="K2">
        <f>BDH("SCHL US Equity","BS_CASH_NEAR_CASH_ITEM","2016-06-30","2021-06-30","Per=Y","Days=T","Dir=V")</f>
        <v>0</v>
      </c>
      <c r="M2">
        <f>BDH("SCHL US Equity","BS_CUR_ASSET_REPORT","2016-06-30","2021-06-30","Per=Y","Days=T","Dir=V")</f>
        <v>0</v>
      </c>
      <c r="O2">
        <f>BDH("SCHL US Equity","BS_CUR_LIAB","2016-06-30","2021-06-30","Per=Y","Days=T","Dir=V")</f>
        <v>0</v>
      </c>
      <c r="Q2">
        <f>BDH("SCHL US Equity","BS_SHAREHOLDER_EQY_ENDING_PERIOD","2016-06-30","2021-06-30","Per=Y","Days=T","Dir=V")</f>
        <v>0</v>
      </c>
      <c r="S2">
        <f>BDH("SCHL US Equity","BS_ACCT_NOTE_RCV","2016-06-30","2021-06-30","Per=Y","Days=T","Dir=V")</f>
        <v>0</v>
      </c>
      <c r="U2">
        <f>BDH("SCHL US Equity","BS_INVENTORIES","2016-06-30","2021-06-30","Per=Y","Days=T","Dir=V")</f>
        <v>0</v>
      </c>
      <c r="W2">
        <f>BDH("SCHL US Equity","WORKING_CAPITAL","2016-06-30","2021-06-30","Per=Y","Days=T","Dir=V")</f>
        <v>0</v>
      </c>
      <c r="Y2">
        <f>BDH("SCHL US Equity","SALES_REV_TURN","2016-06-30","2021-06-30","Per=Y","Days=T","Dir=V")</f>
        <v>0</v>
      </c>
      <c r="AA2">
        <f>BDH("SCHL US Equity","EBIT","2016-06-30","2021-06-30","Per=Y","Days=T","Dir=V")</f>
        <v>0</v>
      </c>
      <c r="AC2">
        <f>BDH("SCHL US Equity","EBITDA","2016-06-30","2021-06-30","Per=Y","Days=T","Dir=V")</f>
        <v>0</v>
      </c>
      <c r="AE2">
        <f>BDH("SCHL US Equity","NET_INCOME","2016-06-30","2021-06-30","Per=Y","Days=T","Dir=V")</f>
        <v>0</v>
      </c>
      <c r="AG2">
        <f>BDH("SCHL US Equity","IS_INT_EXPENSE","2016-06-30","2021-06-30","Per=Y","Days=T","Dir=V")</f>
        <v>0</v>
      </c>
      <c r="AI2">
        <f>BDH("SCHL US Equity","IS_DEPR_EXP","2016-06-30","2021-06-30","Per=Y","Days=T","Dir=V")</f>
        <v>0</v>
      </c>
      <c r="AK2">
        <f>BDH("SCHL US Equity","CF_CASH_FROM_OPER","2016-06-30","2021-06-30","Per=Y","Days=T","Dir=V")</f>
        <v>0</v>
      </c>
      <c r="AM2">
        <f>BDH("SCHL US Equity","CAPITAL_EXPEND","2016-06-30","2021-06-30","Per=Y","Days=T","Dir=V")</f>
        <v>0</v>
      </c>
      <c r="AO2">
        <f>BDH("SCHL US Equity","CF_FREE_CASH_FLOW","2016-06-30","2021-06-30","Per=Y","Days=T","Dir=V")</f>
        <v>0</v>
      </c>
      <c r="AQ2">
        <f>BDH("SCHL US Equity","PX_LAST","2016-06-30","2021-06-30","Per=M","Days=T","Dir=V")</f>
        <v>0</v>
      </c>
      <c r="AS2">
        <f>BDH("SCHL US Equity","CUR_MKT_CAP","2016-06-30","2021-06-30","Per=M","Days=T","Dir=V")</f>
        <v>0</v>
      </c>
      <c r="AU2">
        <f>BDH("SCHL US Equity","EQY_SH_OUT","2016-06-30","2021-06-30","Per=M","Days=T","Dir=V")</f>
        <v>0</v>
      </c>
      <c r="AW2">
        <f>BDH("SCHL US Equity","BETA_RAW_OVERRIABLE","2016-06-30","2021-06-30","Per=M","Days=T","Dir=V")</f>
        <v>0</v>
      </c>
      <c r="AY2">
        <f>BDH("SCHL US Equity","PX_VOLUME","2016-06-30","2021-06-30","Per=M","Days=T","Dir=V")</f>
        <v>0</v>
      </c>
      <c r="BA2">
        <f>BDH("SCHL US Equity","TURNOVER","2016-06-30","2021-06-30","Per=M","Days=T","Dir=V")</f>
        <v>0</v>
      </c>
      <c r="BC2">
        <f>BDH("SCHL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BDH("UONE US Equity","BS_TOT_ASSET","2016-06-30","2021-06-30","Per=Y","Days=T","Dir=V")</f>
        <v>0</v>
      </c>
      <c r="C2">
        <f>BDH("UONE US Equity","BS_TOT_LIAB2","2016-06-30","2021-06-30","Per=Y","Days=T","Dir=V")</f>
        <v>0</v>
      </c>
      <c r="E2">
        <f>BDH("UONE US Equity","SHORT_AND_LONG_TERM_DEBT","2016-06-30","2021-06-30","Per=Y","Days=T","Dir=V")</f>
        <v>0</v>
      </c>
      <c r="G2">
        <f>BDH("UONE US Equity","BS_ST_BORROW","2016-06-30","2021-06-30","Per=Y","Days=T","Dir=V")</f>
        <v>0</v>
      </c>
      <c r="I2">
        <f>BDH("UONE US Equity","BS_LT_BORROW","2016-06-30","2021-06-30","Per=Y","Days=T","Dir=V")</f>
        <v>0</v>
      </c>
      <c r="K2">
        <f>BDH("UONE US Equity","BS_CASH_NEAR_CASH_ITEM","2016-06-30","2021-06-30","Per=Y","Days=T","Dir=V")</f>
        <v>0</v>
      </c>
      <c r="M2">
        <f>BDH("UONE US Equity","BS_CUR_ASSET_REPORT","2016-06-30","2021-06-30","Per=Y","Days=T","Dir=V")</f>
        <v>0</v>
      </c>
      <c r="O2">
        <f>BDH("UONE US Equity","BS_CUR_LIAB","2016-06-30","2021-06-30","Per=Y","Days=T","Dir=V")</f>
        <v>0</v>
      </c>
      <c r="Q2">
        <f>BDH("UONE US Equity","BS_SHAREHOLDER_EQY_ENDING_PERIOD","2016-06-30","2021-06-30","Per=Y","Days=T","Dir=V")</f>
        <v>0</v>
      </c>
      <c r="S2">
        <f>BDH("UONE US Equity","BS_ACCT_NOTE_RCV","2016-06-30","2021-06-30","Per=Y","Days=T","Dir=V")</f>
        <v>0</v>
      </c>
      <c r="U2">
        <f>BDH("UONE US Equity","BS_INVENTORIES","2016-06-30","2021-06-30","Per=Y","Days=T","Dir=V")</f>
        <v>0</v>
      </c>
      <c r="W2">
        <f>BDH("UONE US Equity","WORKING_CAPITAL","2016-06-30","2021-06-30","Per=Y","Days=T","Dir=V")</f>
        <v>0</v>
      </c>
      <c r="Y2">
        <f>BDH("UONE US Equity","SALES_REV_TURN","2016-06-30","2021-06-30","Per=Y","Days=T","Dir=V")</f>
        <v>0</v>
      </c>
      <c r="AA2">
        <f>BDH("UONE US Equity","EBIT","2016-06-30","2021-06-30","Per=Y","Days=T","Dir=V")</f>
        <v>0</v>
      </c>
      <c r="AC2">
        <f>BDH("UONE US Equity","EBITDA","2016-06-30","2021-06-30","Per=Y","Days=T","Dir=V")</f>
        <v>0</v>
      </c>
      <c r="AE2">
        <f>BDH("UONE US Equity","NET_INCOME","2016-06-30","2021-06-30","Per=Y","Days=T","Dir=V")</f>
        <v>0</v>
      </c>
      <c r="AG2">
        <f>BDH("UONE US Equity","IS_INT_EXPENSE","2016-06-30","2021-06-30","Per=Y","Days=T","Dir=V")</f>
        <v>0</v>
      </c>
      <c r="AI2">
        <f>BDH("UONE US Equity","IS_DEPR_EXP","2016-06-30","2021-06-30","Per=Y","Days=T","Dir=V")</f>
        <v>0</v>
      </c>
      <c r="AK2">
        <f>BDH("UONE US Equity","CF_CASH_FROM_OPER","2016-06-30","2021-06-30","Per=Y","Days=T","Dir=V")</f>
        <v>0</v>
      </c>
      <c r="AM2">
        <f>BDH("UONE US Equity","CAPITAL_EXPEND","2016-06-30","2021-06-30","Per=Y","Days=T","Dir=V")</f>
        <v>0</v>
      </c>
      <c r="AO2">
        <f>BDH("UONE US Equity","CF_FREE_CASH_FLOW","2016-06-30","2021-06-30","Per=Y","Days=T","Dir=V")</f>
        <v>0</v>
      </c>
      <c r="AQ2">
        <f>BDH("UONE US Equity","PX_LAST","2016-06-30","2021-06-30","Per=M","Days=T","Dir=V")</f>
        <v>0</v>
      </c>
      <c r="AS2">
        <f>BDH("UONE US Equity","CUR_MKT_CAP","2016-06-30","2021-06-30","Per=M","Days=T","Dir=V")</f>
        <v>0</v>
      </c>
      <c r="AU2">
        <f>BDH("UONE US Equity","EQY_SH_OUT","2016-06-30","2021-06-30","Per=M","Days=T","Dir=V")</f>
        <v>0</v>
      </c>
      <c r="AW2">
        <f>BDH("UONE US Equity","BETA_RAW_OVERRIABLE","2016-06-30","2021-06-30","Per=M","Days=T","Dir=V")</f>
        <v>0</v>
      </c>
      <c r="AY2">
        <f>BDH("UONE US Equity","PX_VOLUME","2016-06-30","2021-06-30","Per=M","Days=T","Dir=V")</f>
        <v>0</v>
      </c>
      <c r="BA2">
        <f>BDH("UONE US Equity","TURNOVER","2016-06-30","2021-06-30","Per=M","Days=T","Dir=V")</f>
        <v>0</v>
      </c>
      <c r="BC2">
        <f>BDH("UONE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BDH("CPSH US Equity","BS_TOT_ASSET","2016-06-30","2021-06-30","Per=Y","Days=T","Dir=V")</f>
        <v>0</v>
      </c>
      <c r="C2">
        <f>BDH("CPSH US Equity","BS_TOT_LIAB2","2016-06-30","2021-06-30","Per=Y","Days=T","Dir=V")</f>
        <v>0</v>
      </c>
      <c r="E2">
        <f>BDH("CPSH US Equity","SHORT_AND_LONG_TERM_DEBT","2016-06-30","2021-06-30","Per=Y","Days=T","Dir=V")</f>
        <v>0</v>
      </c>
      <c r="G2">
        <f>BDH("CPSH US Equity","BS_ST_BORROW","2016-06-30","2021-06-30","Per=Y","Days=T","Dir=V")</f>
        <v>0</v>
      </c>
      <c r="I2">
        <f>BDH("CPSH US Equity","BS_LT_BORROW","2016-06-30","2021-06-30","Per=Y","Days=T","Dir=V")</f>
        <v>0</v>
      </c>
      <c r="K2">
        <f>BDH("CPSH US Equity","BS_CASH_NEAR_CASH_ITEM","2016-06-30","2021-06-30","Per=Y","Days=T","Dir=V")</f>
        <v>0</v>
      </c>
      <c r="M2">
        <f>BDH("CPSH US Equity","BS_CUR_ASSET_REPORT","2016-06-30","2021-06-30","Per=Y","Days=T","Dir=V")</f>
        <v>0</v>
      </c>
      <c r="O2">
        <f>BDH("CPSH US Equity","BS_CUR_LIAB","2016-06-30","2021-06-30","Per=Y","Days=T","Dir=V")</f>
        <v>0</v>
      </c>
      <c r="Q2">
        <f>BDH("CPSH US Equity","BS_SHAREHOLDER_EQY_ENDING_PERIOD","2016-06-30","2021-06-30","Per=Y","Days=T","Dir=V")</f>
        <v>0</v>
      </c>
      <c r="S2">
        <f>BDH("CPSH US Equity","BS_ACCT_NOTE_RCV","2016-06-30","2021-06-30","Per=Y","Days=T","Dir=V")</f>
        <v>0</v>
      </c>
      <c r="U2">
        <f>BDH("CPSH US Equity","BS_INVENTORIES","2016-06-30","2021-06-30","Per=Y","Days=T","Dir=V")</f>
        <v>0</v>
      </c>
      <c r="W2">
        <f>BDH("CPSH US Equity","WORKING_CAPITAL","2016-06-30","2021-06-30","Per=Y","Days=T","Dir=V")</f>
        <v>0</v>
      </c>
      <c r="Y2">
        <f>BDH("CPSH US Equity","SALES_REV_TURN","2016-06-30","2021-06-30","Per=Y","Days=T","Dir=V")</f>
        <v>0</v>
      </c>
      <c r="AA2">
        <f>BDH("CPSH US Equity","EBIT","2016-06-30","2021-06-30","Per=Y","Days=T","Dir=V")</f>
        <v>0</v>
      </c>
      <c r="AC2">
        <f>BDH("CPSH US Equity","EBITDA","2016-06-30","2021-06-30","Per=Y","Days=T","Dir=V")</f>
        <v>0</v>
      </c>
      <c r="AE2">
        <f>BDH("CPSH US Equity","NET_INCOME","2016-06-30","2021-06-30","Per=Y","Days=T","Dir=V")</f>
        <v>0</v>
      </c>
      <c r="AG2">
        <f>BDH("CPSH US Equity","IS_INT_EXPENSE","2016-06-30","2021-06-30","Per=Y","Days=T","Dir=V")</f>
        <v>0</v>
      </c>
      <c r="AI2">
        <f>BDH("CPSH US Equity","IS_DEPR_EXP","2016-06-30","2021-06-30","Per=Y","Days=T","Dir=V")</f>
        <v>0</v>
      </c>
      <c r="AK2">
        <f>BDH("CPSH US Equity","CF_CASH_FROM_OPER","2016-06-30","2021-06-30","Per=Y","Days=T","Dir=V")</f>
        <v>0</v>
      </c>
      <c r="AM2">
        <f>BDH("CPSH US Equity","CAPITAL_EXPEND","2016-06-30","2021-06-30","Per=Y","Days=T","Dir=V")</f>
        <v>0</v>
      </c>
      <c r="AO2">
        <f>BDH("CPSH US Equity","CF_FREE_CASH_FLOW","2016-06-30","2021-06-30","Per=Y","Days=T","Dir=V")</f>
        <v>0</v>
      </c>
      <c r="AQ2">
        <f>BDH("CPSH US Equity","PX_LAST","2016-06-30","2021-06-30","Per=M","Days=T","Dir=V")</f>
        <v>0</v>
      </c>
      <c r="AS2">
        <f>BDH("CPSH US Equity","CUR_MKT_CAP","2016-06-30","2021-06-30","Per=M","Days=T","Dir=V")</f>
        <v>0</v>
      </c>
      <c r="AU2">
        <f>BDH("CPSH US Equity","EQY_SH_OUT","2016-06-30","2021-06-30","Per=M","Days=T","Dir=V")</f>
        <v>0</v>
      </c>
      <c r="AW2">
        <f>BDH("CPSH US Equity","BETA_RAW_OVERRIABLE","2016-06-30","2021-06-30","Per=M","Days=T","Dir=V")</f>
        <v>0</v>
      </c>
      <c r="AY2">
        <f>BDH("CPSH US Equity","PX_VOLUME","2016-06-30","2021-06-30","Per=M","Days=T","Dir=V")</f>
        <v>0</v>
      </c>
      <c r="BA2">
        <f>BDH("CPSH US Equity","TURNOVER","2016-06-30","2021-06-30","Per=M","Days=T","Dir=V")</f>
        <v>0</v>
      </c>
      <c r="BC2">
        <f>BDH("CPSH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BDH("EFOI US Equity","BS_TOT_ASSET","2016-06-30","2021-06-30","Per=Y","Days=T","Dir=V")</f>
        <v>0</v>
      </c>
      <c r="C2">
        <f>BDH("EFOI US Equity","BS_TOT_LIAB2","2016-06-30","2021-06-30","Per=Y","Days=T","Dir=V")</f>
        <v>0</v>
      </c>
      <c r="E2">
        <f>BDH("EFOI US Equity","SHORT_AND_LONG_TERM_DEBT","2016-06-30","2021-06-30","Per=Y","Days=T","Dir=V")</f>
        <v>0</v>
      </c>
      <c r="G2">
        <f>BDH("EFOI US Equity","BS_ST_BORROW","2016-06-30","2021-06-30","Per=Y","Days=T","Dir=V")</f>
        <v>0</v>
      </c>
      <c r="I2">
        <f>BDH("EFOI US Equity","BS_LT_BORROW","2016-06-30","2021-06-30","Per=Y","Days=T","Dir=V")</f>
        <v>0</v>
      </c>
      <c r="K2">
        <f>BDH("EFOI US Equity","BS_CASH_NEAR_CASH_ITEM","2016-06-30","2021-06-30","Per=Y","Days=T","Dir=V")</f>
        <v>0</v>
      </c>
      <c r="M2">
        <f>BDH("EFOI US Equity","BS_CUR_ASSET_REPORT","2016-06-30","2021-06-30","Per=Y","Days=T","Dir=V")</f>
        <v>0</v>
      </c>
      <c r="O2">
        <f>BDH("EFOI US Equity","BS_CUR_LIAB","2016-06-30","2021-06-30","Per=Y","Days=T","Dir=V")</f>
        <v>0</v>
      </c>
      <c r="Q2">
        <f>BDH("EFOI US Equity","BS_SHAREHOLDER_EQY_ENDING_PERIOD","2016-06-30","2021-06-30","Per=Y","Days=T","Dir=V")</f>
        <v>0</v>
      </c>
      <c r="S2">
        <f>BDH("EFOI US Equity","BS_ACCT_NOTE_RCV","2016-06-30","2021-06-30","Per=Y","Days=T","Dir=V")</f>
        <v>0</v>
      </c>
      <c r="U2">
        <f>BDH("EFOI US Equity","BS_INVENTORIES","2016-06-30","2021-06-30","Per=Y","Days=T","Dir=V")</f>
        <v>0</v>
      </c>
      <c r="W2">
        <f>BDH("EFOI US Equity","WORKING_CAPITAL","2016-06-30","2021-06-30","Per=Y","Days=T","Dir=V")</f>
        <v>0</v>
      </c>
      <c r="Y2">
        <f>BDH("EFOI US Equity","SALES_REV_TURN","2016-06-30","2021-06-30","Per=Y","Days=T","Dir=V")</f>
        <v>0</v>
      </c>
      <c r="AA2">
        <f>BDH("EFOI US Equity","EBIT","2016-06-30","2021-06-30","Per=Y","Days=T","Dir=V")</f>
        <v>0</v>
      </c>
      <c r="AC2">
        <f>BDH("EFOI US Equity","EBITDA","2016-06-30","2021-06-30","Per=Y","Days=T","Dir=V")</f>
        <v>0</v>
      </c>
      <c r="AE2">
        <f>BDH("EFOI US Equity","NET_INCOME","2016-06-30","2021-06-30","Per=Y","Days=T","Dir=V")</f>
        <v>0</v>
      </c>
      <c r="AG2">
        <f>BDH("EFOI US Equity","IS_INT_EXPENSE","2016-06-30","2021-06-30","Per=Y","Days=T","Dir=V")</f>
        <v>0</v>
      </c>
      <c r="AI2">
        <f>BDH("EFOI US Equity","IS_DEPR_EXP","2016-06-30","2021-06-30","Per=Y","Days=T","Dir=V")</f>
        <v>0</v>
      </c>
      <c r="AK2">
        <f>BDH("EFOI US Equity","CF_CASH_FROM_OPER","2016-06-30","2021-06-30","Per=Y","Days=T","Dir=V")</f>
        <v>0</v>
      </c>
      <c r="AM2">
        <f>BDH("EFOI US Equity","CAPITAL_EXPEND","2016-06-30","2021-06-30","Per=Y","Days=T","Dir=V")</f>
        <v>0</v>
      </c>
      <c r="AO2">
        <f>BDH("EFOI US Equity","CF_FREE_CASH_FLOW","2016-06-30","2021-06-30","Per=Y","Days=T","Dir=V")</f>
        <v>0</v>
      </c>
      <c r="AQ2">
        <f>BDH("EFOI US Equity","PX_LAST","2016-06-30","2021-06-30","Per=M","Days=T","Dir=V")</f>
        <v>0</v>
      </c>
      <c r="AS2">
        <f>BDH("EFOI US Equity","CUR_MKT_CAP","2016-06-30","2021-06-30","Per=M","Days=T","Dir=V")</f>
        <v>0</v>
      </c>
      <c r="AU2">
        <f>BDH("EFOI US Equity","EQY_SH_OUT","2016-06-30","2021-06-30","Per=M","Days=T","Dir=V")</f>
        <v>0</v>
      </c>
      <c r="AW2">
        <f>BDH("EFOI US Equity","BETA_RAW_OVERRIABLE","2016-06-30","2021-06-30","Per=M","Days=T","Dir=V")</f>
        <v>0</v>
      </c>
      <c r="AY2">
        <f>BDH("EFOI US Equity","PX_VOLUME","2016-06-30","2021-06-30","Per=M","Days=T","Dir=V")</f>
        <v>0</v>
      </c>
      <c r="BA2">
        <f>BDH("EFOI US Equity","TURNOVER","2016-06-30","2021-06-30","Per=M","Days=T","Dir=V")</f>
        <v>0</v>
      </c>
      <c r="BC2">
        <f>BDH("EFOI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BDH("ACVA US Equity","BS_TOT_ASSET","2016-06-30","2021-06-30","Per=Y","Days=T","Dir=V")</f>
        <v>0</v>
      </c>
      <c r="C2">
        <f>BDH("ACVA US Equity","BS_TOT_LIAB2","2016-06-30","2021-06-30","Per=Y","Days=T","Dir=V")</f>
        <v>0</v>
      </c>
      <c r="E2">
        <f>BDH("ACVA US Equity","SHORT_AND_LONG_TERM_DEBT","2016-06-30","2021-06-30","Per=Y","Days=T","Dir=V")</f>
        <v>0</v>
      </c>
      <c r="G2">
        <f>BDH("ACVA US Equity","BS_ST_BORROW","2016-06-30","2021-06-30","Per=Y","Days=T","Dir=V")</f>
        <v>0</v>
      </c>
      <c r="I2">
        <f>BDH("ACVA US Equity","BS_LT_BORROW","2016-06-30","2021-06-30","Per=Y","Days=T","Dir=V")</f>
        <v>0</v>
      </c>
      <c r="K2">
        <f>BDH("ACVA US Equity","BS_CASH_NEAR_CASH_ITEM","2016-06-30","2021-06-30","Per=Y","Days=T","Dir=V")</f>
        <v>0</v>
      </c>
      <c r="M2">
        <f>BDH("ACVA US Equity","BS_CUR_ASSET_REPORT","2016-06-30","2021-06-30","Per=Y","Days=T","Dir=V")</f>
        <v>0</v>
      </c>
      <c r="O2">
        <f>BDH("ACVA US Equity","BS_CUR_LIAB","2016-06-30","2021-06-30","Per=Y","Days=T","Dir=V")</f>
        <v>0</v>
      </c>
      <c r="Q2">
        <f>BDH("ACVA US Equity","BS_SHAREHOLDER_EQY_ENDING_PERIOD","2016-06-30","2021-06-30","Per=Y","Days=T","Dir=V")</f>
        <v>0</v>
      </c>
      <c r="S2">
        <f>BDH("ACVA US Equity","BS_ACCT_NOTE_RCV","2016-06-30","2021-06-30","Per=Y","Days=T","Dir=V")</f>
        <v>0</v>
      </c>
      <c r="U2">
        <f>BDH("ACVA US Equity","BS_INVENTORIES","2016-06-30","2021-06-30","Per=Y","Days=T","Dir=V")</f>
        <v>0</v>
      </c>
      <c r="W2">
        <f>BDH("ACVA US Equity","WORKING_CAPITAL","2016-06-30","2021-06-30","Per=Y","Days=T","Dir=V")</f>
        <v>0</v>
      </c>
      <c r="Y2">
        <f>BDH("ACVA US Equity","SALES_REV_TURN","2016-06-30","2021-06-30","Per=Y","Days=T","Dir=V")</f>
        <v>0</v>
      </c>
      <c r="AA2">
        <f>BDH("ACVA US Equity","EBIT","2016-06-30","2021-06-30","Per=Y","Days=T","Dir=V")</f>
        <v>0</v>
      </c>
      <c r="AC2">
        <f>BDH("ACVA US Equity","EBITDA","2016-06-30","2021-06-30","Per=Y","Days=T","Dir=V")</f>
        <v>0</v>
      </c>
      <c r="AE2">
        <f>BDH("ACVA US Equity","NET_INCOME","2016-06-30","2021-06-30","Per=Y","Days=T","Dir=V")</f>
        <v>0</v>
      </c>
      <c r="AG2">
        <f>BDH("ACVA US Equity","IS_INT_EXPENSE","2016-06-30","2021-06-30","Per=Y","Days=T","Dir=V")</f>
        <v>0</v>
      </c>
      <c r="AI2">
        <f>BDH("ACVA US Equity","IS_DEPR_EXP","2016-06-30","2021-06-30","Per=Y","Days=T","Dir=V")</f>
        <v>0</v>
      </c>
      <c r="AK2">
        <f>BDH("ACVA US Equity","CF_CASH_FROM_OPER","2016-06-30","2021-06-30","Per=Y","Days=T","Dir=V")</f>
        <v>0</v>
      </c>
      <c r="AM2">
        <f>BDH("ACVA US Equity","CAPITAL_EXPEND","2016-06-30","2021-06-30","Per=Y","Days=T","Dir=V")</f>
        <v>0</v>
      </c>
      <c r="AO2">
        <f>BDH("ACVA US Equity","CF_FREE_CASH_FLOW","2016-06-30","2021-06-30","Per=Y","Days=T","Dir=V")</f>
        <v>0</v>
      </c>
      <c r="AQ2">
        <f>BDH("ACVA US Equity","PX_LAST","2016-06-30","2021-06-30","Per=M","Days=T","Dir=V")</f>
        <v>0</v>
      </c>
      <c r="AS2">
        <f>BDH("ACVA US Equity","CUR_MKT_CAP","2016-06-30","2021-06-30","Per=M","Days=T","Dir=V")</f>
        <v>0</v>
      </c>
      <c r="AU2">
        <f>BDH("ACVA US Equity","EQY_SH_OUT","2016-06-30","2021-06-30","Per=M","Days=T","Dir=V")</f>
        <v>0</v>
      </c>
      <c r="AW2">
        <f>BDH("ACVA US Equity","BETA_RAW_OVERRIABLE","2016-06-30","2021-06-30","Per=M","Days=T","Dir=V")</f>
        <v>0</v>
      </c>
      <c r="AY2">
        <f>BDH("ACVA US Equity","PX_VOLUME","2016-06-30","2021-06-30","Per=M","Days=T","Dir=V")</f>
        <v>0</v>
      </c>
      <c r="BA2">
        <f>BDH("ACVA US Equity","TURNOVER","2016-06-30","2021-06-30","Per=M","Days=T","Dir=V")</f>
        <v>0</v>
      </c>
      <c r="BC2">
        <f>BDH("ACVA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BDH("WEX US Equity","BS_TOT_ASSET","2016-06-30","2021-06-30","Per=Y","Days=T","Dir=V")</f>
        <v>0</v>
      </c>
      <c r="C2">
        <f>BDH("WEX US Equity","BS_TOT_LIAB2","2016-06-30","2021-06-30","Per=Y","Days=T","Dir=V")</f>
        <v>0</v>
      </c>
      <c r="E2">
        <f>BDH("WEX US Equity","SHORT_AND_LONG_TERM_DEBT","2016-06-30","2021-06-30","Per=Y","Days=T","Dir=V")</f>
        <v>0</v>
      </c>
      <c r="G2">
        <f>BDH("WEX US Equity","BS_ST_BORROW","2016-06-30","2021-06-30","Per=Y","Days=T","Dir=V")</f>
        <v>0</v>
      </c>
      <c r="I2">
        <f>BDH("WEX US Equity","BS_LT_BORROW","2016-06-30","2021-06-30","Per=Y","Days=T","Dir=V")</f>
        <v>0</v>
      </c>
      <c r="K2">
        <f>BDH("WEX US Equity","BS_CASH_NEAR_CASH_ITEM","2016-06-30","2021-06-30","Per=Y","Days=T","Dir=V")</f>
        <v>0</v>
      </c>
      <c r="M2">
        <f>BDH("WEX US Equity","BS_CUR_ASSET_REPORT","2016-06-30","2021-06-30","Per=Y","Days=T","Dir=V")</f>
        <v>0</v>
      </c>
      <c r="O2">
        <f>BDH("WEX US Equity","BS_CUR_LIAB","2016-06-30","2021-06-30","Per=Y","Days=T","Dir=V")</f>
        <v>0</v>
      </c>
      <c r="Q2">
        <f>BDH("WEX US Equity","BS_SHAREHOLDER_EQY_ENDING_PERIOD","2016-06-30","2021-06-30","Per=Y","Days=T","Dir=V")</f>
        <v>0</v>
      </c>
      <c r="S2">
        <f>BDH("WEX US Equity","BS_ACCT_NOTE_RCV","2016-06-30","2021-06-30","Per=Y","Days=T","Dir=V")</f>
        <v>0</v>
      </c>
      <c r="U2">
        <f>BDH("WEX US Equity","BS_INVENTORIES","2016-06-30","2021-06-30","Per=Y","Days=T","Dir=V")</f>
        <v>0</v>
      </c>
      <c r="W2">
        <f>BDH("WEX US Equity","WORKING_CAPITAL","2016-06-30","2021-06-30","Per=Y","Days=T","Dir=V")</f>
        <v>0</v>
      </c>
      <c r="Y2">
        <f>BDH("WEX US Equity","SALES_REV_TURN","2016-06-30","2021-06-30","Per=Y","Days=T","Dir=V")</f>
        <v>0</v>
      </c>
      <c r="AA2">
        <f>BDH("WEX US Equity","EBIT","2016-06-30","2021-06-30","Per=Y","Days=T","Dir=V")</f>
        <v>0</v>
      </c>
      <c r="AC2">
        <f>BDH("WEX US Equity","EBITDA","2016-06-30","2021-06-30","Per=Y","Days=T","Dir=V")</f>
        <v>0</v>
      </c>
      <c r="AE2">
        <f>BDH("WEX US Equity","NET_INCOME","2016-06-30","2021-06-30","Per=Y","Days=T","Dir=V")</f>
        <v>0</v>
      </c>
      <c r="AG2">
        <f>BDH("WEX US Equity","IS_INT_EXPENSE","2016-06-30","2021-06-30","Per=Y","Days=T","Dir=V")</f>
        <v>0</v>
      </c>
      <c r="AI2">
        <f>BDH("WEX US Equity","IS_DEPR_EXP","2016-06-30","2021-06-30","Per=Y","Days=T","Dir=V")</f>
        <v>0</v>
      </c>
      <c r="AK2">
        <f>BDH("WEX US Equity","CF_CASH_FROM_OPER","2016-06-30","2021-06-30","Per=Y","Days=T","Dir=V")</f>
        <v>0</v>
      </c>
      <c r="AM2">
        <f>BDH("WEX US Equity","CAPITAL_EXPEND","2016-06-30","2021-06-30","Per=Y","Days=T","Dir=V")</f>
        <v>0</v>
      </c>
      <c r="AO2">
        <f>BDH("WEX US Equity","CF_FREE_CASH_FLOW","2016-06-30","2021-06-30","Per=Y","Days=T","Dir=V")</f>
        <v>0</v>
      </c>
      <c r="AQ2">
        <f>BDH("WEX US Equity","PX_LAST","2016-06-30","2021-06-30","Per=M","Days=T","Dir=V")</f>
        <v>0</v>
      </c>
      <c r="AS2">
        <f>BDH("WEX US Equity","CUR_MKT_CAP","2016-06-30","2021-06-30","Per=M","Days=T","Dir=V")</f>
        <v>0</v>
      </c>
      <c r="AU2">
        <f>BDH("WEX US Equity","EQY_SH_OUT","2016-06-30","2021-06-30","Per=M","Days=T","Dir=V")</f>
        <v>0</v>
      </c>
      <c r="AW2">
        <f>BDH("WEX US Equity","BETA_RAW_OVERRIABLE","2016-06-30","2021-06-30","Per=M","Days=T","Dir=V")</f>
        <v>0</v>
      </c>
      <c r="AY2">
        <f>BDH("WEX US Equity","PX_VOLUME","2016-06-30","2021-06-30","Per=M","Days=T","Dir=V")</f>
        <v>0</v>
      </c>
      <c r="BA2">
        <f>BDH("WEX US Equity","TURNOVER","2016-06-30","2021-06-30","Per=M","Days=T","Dir=V")</f>
        <v>0</v>
      </c>
      <c r="BC2">
        <f>BDH("WEX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BDH("Z US Equity","BS_TOT_ASSET","2016-06-30","2021-06-30","Per=Y","Days=T","Dir=V")</f>
        <v>0</v>
      </c>
      <c r="C2">
        <f>BDH("Z US Equity","BS_TOT_LIAB2","2016-06-30","2021-06-30","Per=Y","Days=T","Dir=V")</f>
        <v>0</v>
      </c>
      <c r="E2">
        <f>BDH("Z US Equity","SHORT_AND_LONG_TERM_DEBT","2016-06-30","2021-06-30","Per=Y","Days=T","Dir=V")</f>
        <v>0</v>
      </c>
      <c r="G2">
        <f>BDH("Z US Equity","BS_ST_BORROW","2016-06-30","2021-06-30","Per=Y","Days=T","Dir=V")</f>
        <v>0</v>
      </c>
      <c r="I2">
        <f>BDH("Z US Equity","BS_LT_BORROW","2016-06-30","2021-06-30","Per=Y","Days=T","Dir=V")</f>
        <v>0</v>
      </c>
      <c r="K2">
        <f>BDH("Z US Equity","BS_CASH_NEAR_CASH_ITEM","2016-06-30","2021-06-30","Per=Y","Days=T","Dir=V")</f>
        <v>0</v>
      </c>
      <c r="M2">
        <f>BDH("Z US Equity","BS_CUR_ASSET_REPORT","2016-06-30","2021-06-30","Per=Y","Days=T","Dir=V")</f>
        <v>0</v>
      </c>
      <c r="O2">
        <f>BDH("Z US Equity","BS_CUR_LIAB","2016-06-30","2021-06-30","Per=Y","Days=T","Dir=V")</f>
        <v>0</v>
      </c>
      <c r="Q2">
        <f>BDH("Z US Equity","BS_SHAREHOLDER_EQY_ENDING_PERIOD","2016-06-30","2021-06-30","Per=Y","Days=T","Dir=V")</f>
        <v>0</v>
      </c>
      <c r="S2">
        <f>BDH("Z US Equity","BS_ACCT_NOTE_RCV","2016-06-30","2021-06-30","Per=Y","Days=T","Dir=V")</f>
        <v>0</v>
      </c>
      <c r="U2">
        <f>BDH("Z US Equity","BS_INVENTORIES","2016-06-30","2021-06-30","Per=Y","Days=T","Dir=V")</f>
        <v>0</v>
      </c>
      <c r="W2">
        <f>BDH("Z US Equity","WORKING_CAPITAL","2016-06-30","2021-06-30","Per=Y","Days=T","Dir=V")</f>
        <v>0</v>
      </c>
      <c r="Y2">
        <f>BDH("Z US Equity","SALES_REV_TURN","2016-06-30","2021-06-30","Per=Y","Days=T","Dir=V")</f>
        <v>0</v>
      </c>
      <c r="AA2">
        <f>BDH("Z US Equity","EBIT","2016-06-30","2021-06-30","Per=Y","Days=T","Dir=V")</f>
        <v>0</v>
      </c>
      <c r="AC2">
        <f>BDH("Z US Equity","EBITDA","2016-06-30","2021-06-30","Per=Y","Days=T","Dir=V")</f>
        <v>0</v>
      </c>
      <c r="AE2">
        <f>BDH("Z US Equity","NET_INCOME","2016-06-30","2021-06-30","Per=Y","Days=T","Dir=V")</f>
        <v>0</v>
      </c>
      <c r="AG2">
        <f>BDH("Z US Equity","IS_INT_EXPENSE","2016-06-30","2021-06-30","Per=Y","Days=T","Dir=V")</f>
        <v>0</v>
      </c>
      <c r="AI2">
        <f>BDH("Z US Equity","IS_DEPR_EXP","2016-06-30","2021-06-30","Per=Y","Days=T","Dir=V")</f>
        <v>0</v>
      </c>
      <c r="AK2">
        <f>BDH("Z US Equity","CF_CASH_FROM_OPER","2016-06-30","2021-06-30","Per=Y","Days=T","Dir=V")</f>
        <v>0</v>
      </c>
      <c r="AM2">
        <f>BDH("Z US Equity","CAPITAL_EXPEND","2016-06-30","2021-06-30","Per=Y","Days=T","Dir=V")</f>
        <v>0</v>
      </c>
      <c r="AO2">
        <f>BDH("Z US Equity","CF_FREE_CASH_FLOW","2016-06-30","2021-06-30","Per=Y","Days=T","Dir=V")</f>
        <v>0</v>
      </c>
      <c r="AQ2">
        <f>BDH("Z US Equity","PX_LAST","2016-06-30","2021-06-30","Per=M","Days=T","Dir=V")</f>
        <v>0</v>
      </c>
      <c r="AS2">
        <f>BDH("Z US Equity","CUR_MKT_CAP","2016-06-30","2021-06-30","Per=M","Days=T","Dir=V")</f>
        <v>0</v>
      </c>
      <c r="AU2">
        <f>BDH("Z US Equity","EQY_SH_OUT","2016-06-30","2021-06-30","Per=M","Days=T","Dir=V")</f>
        <v>0</v>
      </c>
      <c r="AW2">
        <f>BDH("Z US Equity","BETA_RAW_OVERRIABLE","2016-06-30","2021-06-30","Per=M","Days=T","Dir=V")</f>
        <v>0</v>
      </c>
      <c r="AY2">
        <f>BDH("Z US Equity","PX_VOLUME","2016-06-30","2021-06-30","Per=M","Days=T","Dir=V")</f>
        <v>0</v>
      </c>
      <c r="BA2">
        <f>BDH("Z US Equity","TURNOVER","2016-06-30","2021-06-30","Per=M","Days=T","Dir=V")</f>
        <v>0</v>
      </c>
      <c r="BC2">
        <f>BDH("Z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BDH("AMZN US Equity","BS_TOT_ASSET","2016-06-30","2021-06-30","Per=Y","Days=T","Dir=V")</f>
        <v>0</v>
      </c>
      <c r="C2">
        <f>BDH("AMZN US Equity","BS_TOT_LIAB2","2016-06-30","2021-06-30","Per=Y","Days=T","Dir=V")</f>
        <v>0</v>
      </c>
      <c r="E2">
        <f>BDH("AMZN US Equity","SHORT_AND_LONG_TERM_DEBT","2016-06-30","2021-06-30","Per=Y","Days=T","Dir=V")</f>
        <v>0</v>
      </c>
      <c r="G2">
        <f>BDH("AMZN US Equity","BS_ST_BORROW","2016-06-30","2021-06-30","Per=Y","Days=T","Dir=V")</f>
        <v>0</v>
      </c>
      <c r="I2">
        <f>BDH("AMZN US Equity","BS_LT_BORROW","2016-06-30","2021-06-30","Per=Y","Days=T","Dir=V")</f>
        <v>0</v>
      </c>
      <c r="K2">
        <f>BDH("AMZN US Equity","BS_CASH_NEAR_CASH_ITEM","2016-06-30","2021-06-30","Per=Y","Days=T","Dir=V")</f>
        <v>0</v>
      </c>
      <c r="M2">
        <f>BDH("AMZN US Equity","BS_CUR_ASSET_REPORT","2016-06-30","2021-06-30","Per=Y","Days=T","Dir=V")</f>
        <v>0</v>
      </c>
      <c r="O2">
        <f>BDH("AMZN US Equity","BS_CUR_LIAB","2016-06-30","2021-06-30","Per=Y","Days=T","Dir=V")</f>
        <v>0</v>
      </c>
      <c r="Q2">
        <f>BDH("AMZN US Equity","BS_SHAREHOLDER_EQY_ENDING_PERIOD","2016-06-30","2021-06-30","Per=Y","Days=T","Dir=V")</f>
        <v>0</v>
      </c>
      <c r="S2">
        <f>BDH("AMZN US Equity","BS_ACCT_NOTE_RCV","2016-06-30","2021-06-30","Per=Y","Days=T","Dir=V")</f>
        <v>0</v>
      </c>
      <c r="U2">
        <f>BDH("AMZN US Equity","BS_INVENTORIES","2016-06-30","2021-06-30","Per=Y","Days=T","Dir=V")</f>
        <v>0</v>
      </c>
      <c r="W2">
        <f>BDH("AMZN US Equity","WORKING_CAPITAL","2016-06-30","2021-06-30","Per=Y","Days=T","Dir=V")</f>
        <v>0</v>
      </c>
      <c r="Y2">
        <f>BDH("AMZN US Equity","SALES_REV_TURN","2016-06-30","2021-06-30","Per=Y","Days=T","Dir=V")</f>
        <v>0</v>
      </c>
      <c r="AA2">
        <f>BDH("AMZN US Equity","EBIT","2016-06-30","2021-06-30","Per=Y","Days=T","Dir=V")</f>
        <v>0</v>
      </c>
      <c r="AC2">
        <f>BDH("AMZN US Equity","EBITDA","2016-06-30","2021-06-30","Per=Y","Days=T","Dir=V")</f>
        <v>0</v>
      </c>
      <c r="AE2">
        <f>BDH("AMZN US Equity","NET_INCOME","2016-06-30","2021-06-30","Per=Y","Days=T","Dir=V")</f>
        <v>0</v>
      </c>
      <c r="AG2">
        <f>BDH("AMZN US Equity","IS_INT_EXPENSE","2016-06-30","2021-06-30","Per=Y","Days=T","Dir=V")</f>
        <v>0</v>
      </c>
      <c r="AI2">
        <f>BDH("AMZN US Equity","IS_DEPR_EXP","2016-06-30","2021-06-30","Per=Y","Days=T","Dir=V")</f>
        <v>0</v>
      </c>
      <c r="AK2">
        <f>BDH("AMZN US Equity","CF_CASH_FROM_OPER","2016-06-30","2021-06-30","Per=Y","Days=T","Dir=V")</f>
        <v>0</v>
      </c>
      <c r="AM2">
        <f>BDH("AMZN US Equity","CAPITAL_EXPEND","2016-06-30","2021-06-30","Per=Y","Days=T","Dir=V")</f>
        <v>0</v>
      </c>
      <c r="AO2">
        <f>BDH("AMZN US Equity","CF_FREE_CASH_FLOW","2016-06-30","2021-06-30","Per=Y","Days=T","Dir=V")</f>
        <v>0</v>
      </c>
      <c r="AQ2">
        <f>BDH("AMZN US Equity","PX_LAST","2016-06-30","2021-06-30","Per=M","Days=T","Dir=V")</f>
        <v>0</v>
      </c>
      <c r="AS2">
        <f>BDH("AMZN US Equity","CUR_MKT_CAP","2016-06-30","2021-06-30","Per=M","Days=T","Dir=V")</f>
        <v>0</v>
      </c>
      <c r="AU2">
        <f>BDH("AMZN US Equity","EQY_SH_OUT","2016-06-30","2021-06-30","Per=M","Days=T","Dir=V")</f>
        <v>0</v>
      </c>
      <c r="AW2">
        <f>BDH("AMZN US Equity","BETA_RAW_OVERRIABLE","2016-06-30","2021-06-30","Per=M","Days=T","Dir=V")</f>
        <v>0</v>
      </c>
      <c r="AY2">
        <f>BDH("AMZN US Equity","PX_VOLUME","2016-06-30","2021-06-30","Per=M","Days=T","Dir=V")</f>
        <v>0</v>
      </c>
      <c r="BA2">
        <f>BDH("AMZN US Equity","TURNOVER","2016-06-30","2021-06-30","Per=M","Days=T","Dir=V")</f>
        <v>0</v>
      </c>
      <c r="BC2">
        <f>BDH("AMZN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BDH("ROST US Equity","BS_TOT_ASSET","2016-06-30","2021-06-30","Per=Y","Days=T","Dir=V")</f>
        <v>0</v>
      </c>
      <c r="C2">
        <f>BDH("ROST US Equity","BS_TOT_LIAB2","2016-06-30","2021-06-30","Per=Y","Days=T","Dir=V")</f>
        <v>0</v>
      </c>
      <c r="E2">
        <f>BDH("ROST US Equity","SHORT_AND_LONG_TERM_DEBT","2016-06-30","2021-06-30","Per=Y","Days=T","Dir=V")</f>
        <v>0</v>
      </c>
      <c r="G2">
        <f>BDH("ROST US Equity","BS_ST_BORROW","2016-06-30","2021-06-30","Per=Y","Days=T","Dir=V")</f>
        <v>0</v>
      </c>
      <c r="I2">
        <f>BDH("ROST US Equity","BS_LT_BORROW","2016-06-30","2021-06-30","Per=Y","Days=T","Dir=V")</f>
        <v>0</v>
      </c>
      <c r="K2">
        <f>BDH("ROST US Equity","BS_CASH_NEAR_CASH_ITEM","2016-06-30","2021-06-30","Per=Y","Days=T","Dir=V")</f>
        <v>0</v>
      </c>
      <c r="M2">
        <f>BDH("ROST US Equity","BS_CUR_ASSET_REPORT","2016-06-30","2021-06-30","Per=Y","Days=T","Dir=V")</f>
        <v>0</v>
      </c>
      <c r="O2">
        <f>BDH("ROST US Equity","BS_CUR_LIAB","2016-06-30","2021-06-30","Per=Y","Days=T","Dir=V")</f>
        <v>0</v>
      </c>
      <c r="Q2">
        <f>BDH("ROST US Equity","BS_SHAREHOLDER_EQY_ENDING_PERIOD","2016-06-30","2021-06-30","Per=Y","Days=T","Dir=V")</f>
        <v>0</v>
      </c>
      <c r="S2">
        <f>BDH("ROST US Equity","BS_ACCT_NOTE_RCV","2016-06-30","2021-06-30","Per=Y","Days=T","Dir=V")</f>
        <v>0</v>
      </c>
      <c r="U2">
        <f>BDH("ROST US Equity","BS_INVENTORIES","2016-06-30","2021-06-30","Per=Y","Days=T","Dir=V")</f>
        <v>0</v>
      </c>
      <c r="W2">
        <f>BDH("ROST US Equity","WORKING_CAPITAL","2016-06-30","2021-06-30","Per=Y","Days=T","Dir=V")</f>
        <v>0</v>
      </c>
      <c r="Y2">
        <f>BDH("ROST US Equity","SALES_REV_TURN","2016-06-30","2021-06-30","Per=Y","Days=T","Dir=V")</f>
        <v>0</v>
      </c>
      <c r="AA2">
        <f>BDH("ROST US Equity","EBIT","2016-06-30","2021-06-30","Per=Y","Days=T","Dir=V")</f>
        <v>0</v>
      </c>
      <c r="AC2">
        <f>BDH("ROST US Equity","EBITDA","2016-06-30","2021-06-30","Per=Y","Days=T","Dir=V")</f>
        <v>0</v>
      </c>
      <c r="AE2">
        <f>BDH("ROST US Equity","NET_INCOME","2016-06-30","2021-06-30","Per=Y","Days=T","Dir=V")</f>
        <v>0</v>
      </c>
      <c r="AG2">
        <f>BDH("ROST US Equity","IS_INT_EXPENSE","2016-06-30","2021-06-30","Per=Y","Days=T","Dir=V")</f>
        <v>0</v>
      </c>
      <c r="AI2">
        <f>BDH("ROST US Equity","IS_DEPR_EXP","2016-06-30","2021-06-30","Per=Y","Days=T","Dir=V")</f>
        <v>0</v>
      </c>
      <c r="AK2">
        <f>BDH("ROST US Equity","CF_CASH_FROM_OPER","2016-06-30","2021-06-30","Per=Y","Days=T","Dir=V")</f>
        <v>0</v>
      </c>
      <c r="AM2">
        <f>BDH("ROST US Equity","CAPITAL_EXPEND","2016-06-30","2021-06-30","Per=Y","Days=T","Dir=V")</f>
        <v>0</v>
      </c>
      <c r="AO2">
        <f>BDH("ROST US Equity","CF_FREE_CASH_FLOW","2016-06-30","2021-06-30","Per=Y","Days=T","Dir=V")</f>
        <v>0</v>
      </c>
      <c r="AQ2">
        <f>BDH("ROST US Equity","PX_LAST","2016-06-30","2021-06-30","Per=M","Days=T","Dir=V")</f>
        <v>0</v>
      </c>
      <c r="AS2">
        <f>BDH("ROST US Equity","CUR_MKT_CAP","2016-06-30","2021-06-30","Per=M","Days=T","Dir=V")</f>
        <v>0</v>
      </c>
      <c r="AU2">
        <f>BDH("ROST US Equity","EQY_SH_OUT","2016-06-30","2021-06-30","Per=M","Days=T","Dir=V")</f>
        <v>0</v>
      </c>
      <c r="AW2">
        <f>BDH("ROST US Equity","BETA_RAW_OVERRIABLE","2016-06-30","2021-06-30","Per=M","Days=T","Dir=V")</f>
        <v>0</v>
      </c>
      <c r="AY2">
        <f>BDH("ROST US Equity","PX_VOLUME","2016-06-30","2021-06-30","Per=M","Days=T","Dir=V")</f>
        <v>0</v>
      </c>
      <c r="BA2">
        <f>BDH("ROST US Equity","TURNOVER","2016-06-30","2021-06-30","Per=M","Days=T","Dir=V")</f>
        <v>0</v>
      </c>
      <c r="BC2">
        <f>BDH("ROST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BDH("BLBD US Equity","BS_TOT_ASSET","2016-06-30","2021-06-30","Per=Y","Days=T","Dir=V")</f>
        <v>0</v>
      </c>
      <c r="C2">
        <f>BDH("BLBD US Equity","BS_TOT_LIAB2","2016-06-30","2021-06-30","Per=Y","Days=T","Dir=V")</f>
        <v>0</v>
      </c>
      <c r="E2">
        <f>BDH("BLBD US Equity","SHORT_AND_LONG_TERM_DEBT","2016-06-30","2021-06-30","Per=Y","Days=T","Dir=V")</f>
        <v>0</v>
      </c>
      <c r="G2">
        <f>BDH("BLBD US Equity","BS_ST_BORROW","2016-06-30","2021-06-30","Per=Y","Days=T","Dir=V")</f>
        <v>0</v>
      </c>
      <c r="I2">
        <f>BDH("BLBD US Equity","BS_LT_BORROW","2016-06-30","2021-06-30","Per=Y","Days=T","Dir=V")</f>
        <v>0</v>
      </c>
      <c r="K2">
        <f>BDH("BLBD US Equity","BS_CASH_NEAR_CASH_ITEM","2016-06-30","2021-06-30","Per=Y","Days=T","Dir=V")</f>
        <v>0</v>
      </c>
      <c r="M2">
        <f>BDH("BLBD US Equity","BS_CUR_ASSET_REPORT","2016-06-30","2021-06-30","Per=Y","Days=T","Dir=V")</f>
        <v>0</v>
      </c>
      <c r="O2">
        <f>BDH("BLBD US Equity","BS_CUR_LIAB","2016-06-30","2021-06-30","Per=Y","Days=T","Dir=V")</f>
        <v>0</v>
      </c>
      <c r="Q2">
        <f>BDH("BLBD US Equity","BS_SHAREHOLDER_EQY_ENDING_PERIOD","2016-06-30","2021-06-30","Per=Y","Days=T","Dir=V")</f>
        <v>0</v>
      </c>
      <c r="S2">
        <f>BDH("BLBD US Equity","BS_ACCT_NOTE_RCV","2016-06-30","2021-06-30","Per=Y","Days=T","Dir=V")</f>
        <v>0</v>
      </c>
      <c r="U2">
        <f>BDH("BLBD US Equity","BS_INVENTORIES","2016-06-30","2021-06-30","Per=Y","Days=T","Dir=V")</f>
        <v>0</v>
      </c>
      <c r="W2">
        <f>BDH("BLBD US Equity","WORKING_CAPITAL","2016-06-30","2021-06-30","Per=Y","Days=T","Dir=V")</f>
        <v>0</v>
      </c>
      <c r="Y2">
        <f>BDH("BLBD US Equity","SALES_REV_TURN","2016-06-30","2021-06-30","Per=Y","Days=T","Dir=V")</f>
        <v>0</v>
      </c>
      <c r="AA2">
        <f>BDH("BLBD US Equity","EBIT","2016-06-30","2021-06-30","Per=Y","Days=T","Dir=V")</f>
        <v>0</v>
      </c>
      <c r="AC2">
        <f>BDH("BLBD US Equity","EBITDA","2016-06-30","2021-06-30","Per=Y","Days=T","Dir=V")</f>
        <v>0</v>
      </c>
      <c r="AE2">
        <f>BDH("BLBD US Equity","NET_INCOME","2016-06-30","2021-06-30","Per=Y","Days=T","Dir=V")</f>
        <v>0</v>
      </c>
      <c r="AG2">
        <f>BDH("BLBD US Equity","IS_INT_EXPENSE","2016-06-30","2021-06-30","Per=Y","Days=T","Dir=V")</f>
        <v>0</v>
      </c>
      <c r="AI2">
        <f>BDH("BLBD US Equity","IS_DEPR_EXP","2016-06-30","2021-06-30","Per=Y","Days=T","Dir=V")</f>
        <v>0</v>
      </c>
      <c r="AK2">
        <f>BDH("BLBD US Equity","CF_CASH_FROM_OPER","2016-06-30","2021-06-30","Per=Y","Days=T","Dir=V")</f>
        <v>0</v>
      </c>
      <c r="AM2">
        <f>BDH("BLBD US Equity","CAPITAL_EXPEND","2016-06-30","2021-06-30","Per=Y","Days=T","Dir=V")</f>
        <v>0</v>
      </c>
      <c r="AO2">
        <f>BDH("BLBD US Equity","CF_FREE_CASH_FLOW","2016-06-30","2021-06-30","Per=Y","Days=T","Dir=V")</f>
        <v>0</v>
      </c>
      <c r="AQ2">
        <f>BDH("BLBD US Equity","PX_LAST","2016-06-30","2021-06-30","Per=M","Days=T","Dir=V")</f>
        <v>0</v>
      </c>
      <c r="AS2">
        <f>BDH("BLBD US Equity","CUR_MKT_CAP","2016-06-30","2021-06-30","Per=M","Days=T","Dir=V")</f>
        <v>0</v>
      </c>
      <c r="AU2">
        <f>BDH("BLBD US Equity","EQY_SH_OUT","2016-06-30","2021-06-30","Per=M","Days=T","Dir=V")</f>
        <v>0</v>
      </c>
      <c r="AW2">
        <f>BDH("BLBD US Equity","BETA_RAW_OVERRIABLE","2016-06-30","2021-06-30","Per=M","Days=T","Dir=V")</f>
        <v>0</v>
      </c>
      <c r="AY2">
        <f>BDH("BLBD US Equity","PX_VOLUME","2016-06-30","2021-06-30","Per=M","Days=T","Dir=V")</f>
        <v>0</v>
      </c>
      <c r="BA2">
        <f>BDH("BLBD US Equity","TURNOVER","2016-06-30","2021-06-30","Per=M","Days=T","Dir=V")</f>
        <v>0</v>
      </c>
      <c r="BC2">
        <f>BDH("BLBD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BDH("COOK US Equity","BS_TOT_ASSET","2016-06-30","2021-06-30","Per=Y","Days=T","Dir=V")</f>
        <v>0</v>
      </c>
      <c r="C2">
        <f>BDH("COOK US Equity","BS_TOT_LIAB2","2016-06-30","2021-06-30","Per=Y","Days=T","Dir=V")</f>
        <v>0</v>
      </c>
      <c r="E2">
        <f>BDH("COOK US Equity","SHORT_AND_LONG_TERM_DEBT","2016-06-30","2021-06-30","Per=Y","Days=T","Dir=V")</f>
        <v>0</v>
      </c>
      <c r="G2">
        <f>BDH("COOK US Equity","BS_ST_BORROW","2016-06-30","2021-06-30","Per=Y","Days=T","Dir=V")</f>
        <v>0</v>
      </c>
      <c r="I2">
        <f>BDH("COOK US Equity","BS_LT_BORROW","2016-06-30","2021-06-30","Per=Y","Days=T","Dir=V")</f>
        <v>0</v>
      </c>
      <c r="K2">
        <f>BDH("COOK US Equity","BS_CASH_NEAR_CASH_ITEM","2016-06-30","2021-06-30","Per=Y","Days=T","Dir=V")</f>
        <v>0</v>
      </c>
      <c r="M2">
        <f>BDH("COOK US Equity","BS_CUR_ASSET_REPORT","2016-06-30","2021-06-30","Per=Y","Days=T","Dir=V")</f>
        <v>0</v>
      </c>
      <c r="O2">
        <f>BDH("COOK US Equity","BS_CUR_LIAB","2016-06-30","2021-06-30","Per=Y","Days=T","Dir=V")</f>
        <v>0</v>
      </c>
      <c r="Q2">
        <f>BDH("COOK US Equity","BS_SHAREHOLDER_EQY_ENDING_PERIOD","2016-06-30","2021-06-30","Per=Y","Days=T","Dir=V")</f>
        <v>0</v>
      </c>
      <c r="S2">
        <f>BDH("COOK US Equity","BS_ACCT_NOTE_RCV","2016-06-30","2021-06-30","Per=Y","Days=T","Dir=V")</f>
        <v>0</v>
      </c>
      <c r="U2">
        <f>BDH("COOK US Equity","BS_INVENTORIES","2016-06-30","2021-06-30","Per=Y","Days=T","Dir=V")</f>
        <v>0</v>
      </c>
      <c r="W2">
        <f>BDH("COOK US Equity","WORKING_CAPITAL","2016-06-30","2021-06-30","Per=Y","Days=T","Dir=V")</f>
        <v>0</v>
      </c>
      <c r="Y2">
        <f>BDH("COOK US Equity","SALES_REV_TURN","2016-06-30","2021-06-30","Per=Y","Days=T","Dir=V")</f>
        <v>0</v>
      </c>
      <c r="AA2">
        <f>BDH("COOK US Equity","EBIT","2016-06-30","2021-06-30","Per=Y","Days=T","Dir=V")</f>
        <v>0</v>
      </c>
      <c r="AC2">
        <f>BDH("COOK US Equity","EBITDA","2016-06-30","2021-06-30","Per=Y","Days=T","Dir=V")</f>
        <v>0</v>
      </c>
      <c r="AE2">
        <f>BDH("COOK US Equity","NET_INCOME","2016-06-30","2021-06-30","Per=Y","Days=T","Dir=V")</f>
        <v>0</v>
      </c>
      <c r="AG2">
        <f>BDH("COOK US Equity","IS_INT_EXPENSE","2016-06-30","2021-06-30","Per=Y","Days=T","Dir=V")</f>
        <v>0</v>
      </c>
      <c r="AI2">
        <f>BDH("COOK US Equity","IS_DEPR_EXP","2016-06-30","2021-06-30","Per=Y","Days=T","Dir=V")</f>
        <v>0</v>
      </c>
      <c r="AK2">
        <f>BDH("COOK US Equity","CF_CASH_FROM_OPER","2016-06-30","2021-06-30","Per=Y","Days=T","Dir=V")</f>
        <v>0</v>
      </c>
      <c r="AM2">
        <f>BDH("COOK US Equity","CAPITAL_EXPEND","2016-06-30","2021-06-30","Per=Y","Days=T","Dir=V")</f>
        <v>0</v>
      </c>
      <c r="AO2">
        <f>BDH("COOK US Equity","CF_FREE_CASH_FLOW","2016-06-30","2021-06-30","Per=Y","Days=T","Dir=V")</f>
        <v>0</v>
      </c>
      <c r="AQ2">
        <f>BDH("COOK US Equity","PX_LAST","2016-06-30","2021-06-30","Per=M","Days=T","Dir=V")</f>
        <v>0</v>
      </c>
      <c r="AS2">
        <f>BDH("COOK US Equity","CUR_MKT_CAP","2016-06-30","2021-06-30","Per=M","Days=T","Dir=V")</f>
        <v>0</v>
      </c>
      <c r="AU2">
        <f>BDH("COOK US Equity","EQY_SH_OUT","2016-06-30","2021-06-30","Per=M","Days=T","Dir=V")</f>
        <v>0</v>
      </c>
      <c r="AW2">
        <f>BDH("COOK US Equity","BETA_RAW_OVERRIABLE","2016-06-30","2021-06-30","Per=M","Days=T","Dir=V")</f>
        <v>0</v>
      </c>
      <c r="AY2">
        <f>BDH("COOK US Equity","PX_VOLUME","2016-06-30","2021-06-30","Per=M","Days=T","Dir=V")</f>
        <v>0</v>
      </c>
      <c r="BA2">
        <f>BDH("COOK US Equity","TURNOVER","2016-06-30","2021-06-30","Per=M","Days=T","Dir=V")</f>
        <v>0</v>
      </c>
      <c r="BC2">
        <f>BDH("COOK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BDH("BBY US Equity","BS_TOT_ASSET","2016-06-30","2021-06-30","Per=Y","Days=T","Dir=V")</f>
        <v>0</v>
      </c>
      <c r="C2">
        <f>BDH("BBY US Equity","BS_TOT_LIAB2","2016-06-30","2021-06-30","Per=Y","Days=T","Dir=V")</f>
        <v>0</v>
      </c>
      <c r="E2">
        <f>BDH("BBY US Equity","SHORT_AND_LONG_TERM_DEBT","2016-06-30","2021-06-30","Per=Y","Days=T","Dir=V")</f>
        <v>0</v>
      </c>
      <c r="G2">
        <f>BDH("BBY US Equity","BS_ST_BORROW","2016-06-30","2021-06-30","Per=Y","Days=T","Dir=V")</f>
        <v>0</v>
      </c>
      <c r="I2">
        <f>BDH("BBY US Equity","BS_LT_BORROW","2016-06-30","2021-06-30","Per=Y","Days=T","Dir=V")</f>
        <v>0</v>
      </c>
      <c r="K2">
        <f>BDH("BBY US Equity","BS_CASH_NEAR_CASH_ITEM","2016-06-30","2021-06-30","Per=Y","Days=T","Dir=V")</f>
        <v>0</v>
      </c>
      <c r="M2">
        <f>BDH("BBY US Equity","BS_CUR_ASSET_REPORT","2016-06-30","2021-06-30","Per=Y","Days=T","Dir=V")</f>
        <v>0</v>
      </c>
      <c r="O2">
        <f>BDH("BBY US Equity","BS_CUR_LIAB","2016-06-30","2021-06-30","Per=Y","Days=T","Dir=V")</f>
        <v>0</v>
      </c>
      <c r="Q2">
        <f>BDH("BBY US Equity","BS_SHAREHOLDER_EQY_ENDING_PERIOD","2016-06-30","2021-06-30","Per=Y","Days=T","Dir=V")</f>
        <v>0</v>
      </c>
      <c r="S2">
        <f>BDH("BBY US Equity","BS_ACCT_NOTE_RCV","2016-06-30","2021-06-30","Per=Y","Days=T","Dir=V")</f>
        <v>0</v>
      </c>
      <c r="U2">
        <f>BDH("BBY US Equity","BS_INVENTORIES","2016-06-30","2021-06-30","Per=Y","Days=T","Dir=V")</f>
        <v>0</v>
      </c>
      <c r="W2">
        <f>BDH("BBY US Equity","WORKING_CAPITAL","2016-06-30","2021-06-30","Per=Y","Days=T","Dir=V")</f>
        <v>0</v>
      </c>
      <c r="Y2">
        <f>BDH("BBY US Equity","SALES_REV_TURN","2016-06-30","2021-06-30","Per=Y","Days=T","Dir=V")</f>
        <v>0</v>
      </c>
      <c r="AA2">
        <f>BDH("BBY US Equity","EBIT","2016-06-30","2021-06-30","Per=Y","Days=T","Dir=V")</f>
        <v>0</v>
      </c>
      <c r="AC2">
        <f>BDH("BBY US Equity","EBITDA","2016-06-30","2021-06-30","Per=Y","Days=T","Dir=V")</f>
        <v>0</v>
      </c>
      <c r="AE2">
        <f>BDH("BBY US Equity","NET_INCOME","2016-06-30","2021-06-30","Per=Y","Days=T","Dir=V")</f>
        <v>0</v>
      </c>
      <c r="AG2">
        <f>BDH("BBY US Equity","IS_INT_EXPENSE","2016-06-30","2021-06-30","Per=Y","Days=T","Dir=V")</f>
        <v>0</v>
      </c>
      <c r="AI2">
        <f>BDH("BBY US Equity","IS_DEPR_EXP","2016-06-30","2021-06-30","Per=Y","Days=T","Dir=V")</f>
        <v>0</v>
      </c>
      <c r="AK2">
        <f>BDH("BBY US Equity","CF_CASH_FROM_OPER","2016-06-30","2021-06-30","Per=Y","Days=T","Dir=V")</f>
        <v>0</v>
      </c>
      <c r="AM2">
        <f>BDH("BBY US Equity","CAPITAL_EXPEND","2016-06-30","2021-06-30","Per=Y","Days=T","Dir=V")</f>
        <v>0</v>
      </c>
      <c r="AO2">
        <f>BDH("BBY US Equity","CF_FREE_CASH_FLOW","2016-06-30","2021-06-30","Per=Y","Days=T","Dir=V")</f>
        <v>0</v>
      </c>
      <c r="AQ2">
        <f>BDH("BBY US Equity","PX_LAST","2016-06-30","2021-06-30","Per=M","Days=T","Dir=V")</f>
        <v>0</v>
      </c>
      <c r="AS2">
        <f>BDH("BBY US Equity","CUR_MKT_CAP","2016-06-30","2021-06-30","Per=M","Days=T","Dir=V")</f>
        <v>0</v>
      </c>
      <c r="AU2">
        <f>BDH("BBY US Equity","EQY_SH_OUT","2016-06-30","2021-06-30","Per=M","Days=T","Dir=V")</f>
        <v>0</v>
      </c>
      <c r="AW2">
        <f>BDH("BBY US Equity","BETA_RAW_OVERRIABLE","2016-06-30","2021-06-30","Per=M","Days=T","Dir=V")</f>
        <v>0</v>
      </c>
      <c r="AY2">
        <f>BDH("BBY US Equity","PX_VOLUME","2016-06-30","2021-06-30","Per=M","Days=T","Dir=V")</f>
        <v>0</v>
      </c>
      <c r="BA2">
        <f>BDH("BBY US Equity","TURNOVER","2016-06-30","2021-06-30","Per=M","Days=T","Dir=V")</f>
        <v>0</v>
      </c>
      <c r="BC2">
        <f>BDH("BBY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BDH("NHTC US Equity","BS_TOT_ASSET","2016-06-30","2021-06-30","Per=Y","Days=T","Dir=V")</f>
        <v>0</v>
      </c>
      <c r="C2">
        <f>BDH("NHTC US Equity","BS_TOT_LIAB2","2016-06-30","2021-06-30","Per=Y","Days=T","Dir=V")</f>
        <v>0</v>
      </c>
      <c r="E2">
        <f>BDH("NHTC US Equity","SHORT_AND_LONG_TERM_DEBT","2016-06-30","2021-06-30","Per=Y","Days=T","Dir=V")</f>
        <v>0</v>
      </c>
      <c r="G2">
        <f>BDH("NHTC US Equity","BS_ST_BORROW","2016-06-30","2021-06-30","Per=Y","Days=T","Dir=V")</f>
        <v>0</v>
      </c>
      <c r="I2">
        <f>BDH("NHTC US Equity","BS_LT_BORROW","2016-06-30","2021-06-30","Per=Y","Days=T","Dir=V")</f>
        <v>0</v>
      </c>
      <c r="K2">
        <f>BDH("NHTC US Equity","BS_CASH_NEAR_CASH_ITEM","2016-06-30","2021-06-30","Per=Y","Days=T","Dir=V")</f>
        <v>0</v>
      </c>
      <c r="M2">
        <f>BDH("NHTC US Equity","BS_CUR_ASSET_REPORT","2016-06-30","2021-06-30","Per=Y","Days=T","Dir=V")</f>
        <v>0</v>
      </c>
      <c r="O2">
        <f>BDH("NHTC US Equity","BS_CUR_LIAB","2016-06-30","2021-06-30","Per=Y","Days=T","Dir=V")</f>
        <v>0</v>
      </c>
      <c r="Q2">
        <f>BDH("NHTC US Equity","BS_SHAREHOLDER_EQY_ENDING_PERIOD","2016-06-30","2021-06-30","Per=Y","Days=T","Dir=V")</f>
        <v>0</v>
      </c>
      <c r="S2">
        <f>BDH("NHTC US Equity","BS_ACCT_NOTE_RCV","2016-06-30","2021-06-30","Per=Y","Days=T","Dir=V")</f>
        <v>0</v>
      </c>
      <c r="U2">
        <f>BDH("NHTC US Equity","BS_INVENTORIES","2016-06-30","2021-06-30","Per=Y","Days=T","Dir=V")</f>
        <v>0</v>
      </c>
      <c r="W2">
        <f>BDH("NHTC US Equity","WORKING_CAPITAL","2016-06-30","2021-06-30","Per=Y","Days=T","Dir=V")</f>
        <v>0</v>
      </c>
      <c r="Y2">
        <f>BDH("NHTC US Equity","SALES_REV_TURN","2016-06-30","2021-06-30","Per=Y","Days=T","Dir=V")</f>
        <v>0</v>
      </c>
      <c r="AA2">
        <f>BDH("NHTC US Equity","EBIT","2016-06-30","2021-06-30","Per=Y","Days=T","Dir=V")</f>
        <v>0</v>
      </c>
      <c r="AC2">
        <f>BDH("NHTC US Equity","EBITDA","2016-06-30","2021-06-30","Per=Y","Days=T","Dir=V")</f>
        <v>0</v>
      </c>
      <c r="AE2">
        <f>BDH("NHTC US Equity","NET_INCOME","2016-06-30","2021-06-30","Per=Y","Days=T","Dir=V")</f>
        <v>0</v>
      </c>
      <c r="AG2">
        <f>BDH("NHTC US Equity","IS_INT_EXPENSE","2016-06-30","2021-06-30","Per=Y","Days=T","Dir=V")</f>
        <v>0</v>
      </c>
      <c r="AI2">
        <f>BDH("NHTC US Equity","IS_DEPR_EXP","2016-06-30","2021-06-30","Per=Y","Days=T","Dir=V")</f>
        <v>0</v>
      </c>
      <c r="AK2">
        <f>BDH("NHTC US Equity","CF_CASH_FROM_OPER","2016-06-30","2021-06-30","Per=Y","Days=T","Dir=V")</f>
        <v>0</v>
      </c>
      <c r="AM2">
        <f>BDH("NHTC US Equity","CAPITAL_EXPEND","2016-06-30","2021-06-30","Per=Y","Days=T","Dir=V")</f>
        <v>0</v>
      </c>
      <c r="AO2">
        <f>BDH("NHTC US Equity","CF_FREE_CASH_FLOW","2016-06-30","2021-06-30","Per=Y","Days=T","Dir=V")</f>
        <v>0</v>
      </c>
      <c r="AQ2">
        <f>BDH("NHTC US Equity","PX_LAST","2016-06-30","2021-06-30","Per=M","Days=T","Dir=V")</f>
        <v>0</v>
      </c>
      <c r="AS2">
        <f>BDH("NHTC US Equity","CUR_MKT_CAP","2016-06-30","2021-06-30","Per=M","Days=T","Dir=V")</f>
        <v>0</v>
      </c>
      <c r="AU2">
        <f>BDH("NHTC US Equity","EQY_SH_OUT","2016-06-30","2021-06-30","Per=M","Days=T","Dir=V")</f>
        <v>0</v>
      </c>
      <c r="AW2">
        <f>BDH("NHTC US Equity","BETA_RAW_OVERRIABLE","2016-06-30","2021-06-30","Per=M","Days=T","Dir=V")</f>
        <v>0</v>
      </c>
      <c r="AY2">
        <f>BDH("NHTC US Equity","PX_VOLUME","2016-06-30","2021-06-30","Per=M","Days=T","Dir=V")</f>
        <v>0</v>
      </c>
      <c r="BA2">
        <f>BDH("NHTC US Equity","TURNOVER","2016-06-30","2021-06-30","Per=M","Days=T","Dir=V")</f>
        <v>0</v>
      </c>
      <c r="BC2">
        <f>BDH("NHTC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BDH("SON US Equity","BS_TOT_ASSET","2016-06-30","2021-06-30","Per=Y","Days=T","Dir=V")</f>
        <v>0</v>
      </c>
      <c r="C2">
        <f>BDH("SON US Equity","BS_TOT_LIAB2","2016-06-30","2021-06-30","Per=Y","Days=T","Dir=V")</f>
        <v>0</v>
      </c>
      <c r="E2">
        <f>BDH("SON US Equity","SHORT_AND_LONG_TERM_DEBT","2016-06-30","2021-06-30","Per=Y","Days=T","Dir=V")</f>
        <v>0</v>
      </c>
      <c r="G2">
        <f>BDH("SON US Equity","BS_ST_BORROW","2016-06-30","2021-06-30","Per=Y","Days=T","Dir=V")</f>
        <v>0</v>
      </c>
      <c r="I2">
        <f>BDH("SON US Equity","BS_LT_BORROW","2016-06-30","2021-06-30","Per=Y","Days=T","Dir=V")</f>
        <v>0</v>
      </c>
      <c r="K2">
        <f>BDH("SON US Equity","BS_CASH_NEAR_CASH_ITEM","2016-06-30","2021-06-30","Per=Y","Days=T","Dir=V")</f>
        <v>0</v>
      </c>
      <c r="M2">
        <f>BDH("SON US Equity","BS_CUR_ASSET_REPORT","2016-06-30","2021-06-30","Per=Y","Days=T","Dir=V")</f>
        <v>0</v>
      </c>
      <c r="O2">
        <f>BDH("SON US Equity","BS_CUR_LIAB","2016-06-30","2021-06-30","Per=Y","Days=T","Dir=V")</f>
        <v>0</v>
      </c>
      <c r="Q2">
        <f>BDH("SON US Equity","BS_SHAREHOLDER_EQY_ENDING_PERIOD","2016-06-30","2021-06-30","Per=Y","Days=T","Dir=V")</f>
        <v>0</v>
      </c>
      <c r="S2">
        <f>BDH("SON US Equity","BS_ACCT_NOTE_RCV","2016-06-30","2021-06-30","Per=Y","Days=T","Dir=V")</f>
        <v>0</v>
      </c>
      <c r="U2">
        <f>BDH("SON US Equity","BS_INVENTORIES","2016-06-30","2021-06-30","Per=Y","Days=T","Dir=V")</f>
        <v>0</v>
      </c>
      <c r="W2">
        <f>BDH("SON US Equity","WORKING_CAPITAL","2016-06-30","2021-06-30","Per=Y","Days=T","Dir=V")</f>
        <v>0</v>
      </c>
      <c r="Y2">
        <f>BDH("SON US Equity","SALES_REV_TURN","2016-06-30","2021-06-30","Per=Y","Days=T","Dir=V")</f>
        <v>0</v>
      </c>
      <c r="AA2">
        <f>BDH("SON US Equity","EBIT","2016-06-30","2021-06-30","Per=Y","Days=T","Dir=V")</f>
        <v>0</v>
      </c>
      <c r="AC2">
        <f>BDH("SON US Equity","EBITDA","2016-06-30","2021-06-30","Per=Y","Days=T","Dir=V")</f>
        <v>0</v>
      </c>
      <c r="AE2">
        <f>BDH("SON US Equity","NET_INCOME","2016-06-30","2021-06-30","Per=Y","Days=T","Dir=V")</f>
        <v>0</v>
      </c>
      <c r="AG2">
        <f>BDH("SON US Equity","IS_INT_EXPENSE","2016-06-30","2021-06-30","Per=Y","Days=T","Dir=V")</f>
        <v>0</v>
      </c>
      <c r="AI2">
        <f>BDH("SON US Equity","IS_DEPR_EXP","2016-06-30","2021-06-30","Per=Y","Days=T","Dir=V")</f>
        <v>0</v>
      </c>
      <c r="AK2">
        <f>BDH("SON US Equity","CF_CASH_FROM_OPER","2016-06-30","2021-06-30","Per=Y","Days=T","Dir=V")</f>
        <v>0</v>
      </c>
      <c r="AM2">
        <f>BDH("SON US Equity","CAPITAL_EXPEND","2016-06-30","2021-06-30","Per=Y","Days=T","Dir=V")</f>
        <v>0</v>
      </c>
      <c r="AO2">
        <f>BDH("SON US Equity","CF_FREE_CASH_FLOW","2016-06-30","2021-06-30","Per=Y","Days=T","Dir=V")</f>
        <v>0</v>
      </c>
      <c r="AQ2">
        <f>BDH("SON US Equity","PX_LAST","2016-06-30","2021-06-30","Per=M","Days=T","Dir=V")</f>
        <v>0</v>
      </c>
      <c r="AS2">
        <f>BDH("SON US Equity","CUR_MKT_CAP","2016-06-30","2021-06-30","Per=M","Days=T","Dir=V")</f>
        <v>0</v>
      </c>
      <c r="AU2">
        <f>BDH("SON US Equity","EQY_SH_OUT","2016-06-30","2021-06-30","Per=M","Days=T","Dir=V")</f>
        <v>0</v>
      </c>
      <c r="AW2">
        <f>BDH("SON US Equity","BETA_RAW_OVERRIABLE","2016-06-30","2021-06-30","Per=M","Days=T","Dir=V")</f>
        <v>0</v>
      </c>
      <c r="AY2">
        <f>BDH("SON US Equity","PX_VOLUME","2016-06-30","2021-06-30","Per=M","Days=T","Dir=V")</f>
        <v>0</v>
      </c>
      <c r="BA2">
        <f>BDH("SON US Equity","TURNOVER","2016-06-30","2021-06-30","Per=M","Days=T","Dir=V")</f>
        <v>0</v>
      </c>
      <c r="BC2">
        <f>BDH("SON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BDH("M US Equity","BS_TOT_ASSET","2016-06-30","2021-06-30","Per=Y","Days=T","Dir=V")</f>
        <v>0</v>
      </c>
      <c r="C2">
        <f>BDH("M US Equity","BS_TOT_LIAB2","2016-06-30","2021-06-30","Per=Y","Days=T","Dir=V")</f>
        <v>0</v>
      </c>
      <c r="E2">
        <f>BDH("M US Equity","SHORT_AND_LONG_TERM_DEBT","2016-06-30","2021-06-30","Per=Y","Days=T","Dir=V")</f>
        <v>0</v>
      </c>
      <c r="G2">
        <f>BDH("M US Equity","BS_ST_BORROW","2016-06-30","2021-06-30","Per=Y","Days=T","Dir=V")</f>
        <v>0</v>
      </c>
      <c r="I2">
        <f>BDH("M US Equity","BS_LT_BORROW","2016-06-30","2021-06-30","Per=Y","Days=T","Dir=V")</f>
        <v>0</v>
      </c>
      <c r="K2">
        <f>BDH("M US Equity","BS_CASH_NEAR_CASH_ITEM","2016-06-30","2021-06-30","Per=Y","Days=T","Dir=V")</f>
        <v>0</v>
      </c>
      <c r="M2">
        <f>BDH("M US Equity","BS_CUR_ASSET_REPORT","2016-06-30","2021-06-30","Per=Y","Days=T","Dir=V")</f>
        <v>0</v>
      </c>
      <c r="O2">
        <f>BDH("M US Equity","BS_CUR_LIAB","2016-06-30","2021-06-30","Per=Y","Days=T","Dir=V")</f>
        <v>0</v>
      </c>
      <c r="Q2">
        <f>BDH("M US Equity","BS_SHAREHOLDER_EQY_ENDING_PERIOD","2016-06-30","2021-06-30","Per=Y","Days=T","Dir=V")</f>
        <v>0</v>
      </c>
      <c r="S2">
        <f>BDH("M US Equity","BS_ACCT_NOTE_RCV","2016-06-30","2021-06-30","Per=Y","Days=T","Dir=V")</f>
        <v>0</v>
      </c>
      <c r="U2">
        <f>BDH("M US Equity","BS_INVENTORIES","2016-06-30","2021-06-30","Per=Y","Days=T","Dir=V")</f>
        <v>0</v>
      </c>
      <c r="W2">
        <f>BDH("M US Equity","WORKING_CAPITAL","2016-06-30","2021-06-30","Per=Y","Days=T","Dir=V")</f>
        <v>0</v>
      </c>
      <c r="Y2">
        <f>BDH("M US Equity","SALES_REV_TURN","2016-06-30","2021-06-30","Per=Y","Days=T","Dir=V")</f>
        <v>0</v>
      </c>
      <c r="AA2">
        <f>BDH("M US Equity","EBIT","2016-06-30","2021-06-30","Per=Y","Days=T","Dir=V")</f>
        <v>0</v>
      </c>
      <c r="AC2">
        <f>BDH("M US Equity","EBITDA","2016-06-30","2021-06-30","Per=Y","Days=T","Dir=V")</f>
        <v>0</v>
      </c>
      <c r="AE2">
        <f>BDH("M US Equity","NET_INCOME","2016-06-30","2021-06-30","Per=Y","Days=T","Dir=V")</f>
        <v>0</v>
      </c>
      <c r="AG2">
        <f>BDH("M US Equity","IS_INT_EXPENSE","2016-06-30","2021-06-30","Per=Y","Days=T","Dir=V")</f>
        <v>0</v>
      </c>
      <c r="AI2">
        <f>BDH("M US Equity","IS_DEPR_EXP","2016-06-30","2021-06-30","Per=Y","Days=T","Dir=V")</f>
        <v>0</v>
      </c>
      <c r="AK2">
        <f>BDH("M US Equity","CF_CASH_FROM_OPER","2016-06-30","2021-06-30","Per=Y","Days=T","Dir=V")</f>
        <v>0</v>
      </c>
      <c r="AM2">
        <f>BDH("M US Equity","CAPITAL_EXPEND","2016-06-30","2021-06-30","Per=Y","Days=T","Dir=V")</f>
        <v>0</v>
      </c>
      <c r="AO2">
        <f>BDH("M US Equity","CF_FREE_CASH_FLOW","2016-06-30","2021-06-30","Per=Y","Days=T","Dir=V")</f>
        <v>0</v>
      </c>
      <c r="AQ2">
        <f>BDH("M US Equity","PX_LAST","2016-06-30","2021-06-30","Per=M","Days=T","Dir=V")</f>
        <v>0</v>
      </c>
      <c r="AS2">
        <f>BDH("M US Equity","CUR_MKT_CAP","2016-06-30","2021-06-30","Per=M","Days=T","Dir=V")</f>
        <v>0</v>
      </c>
      <c r="AU2">
        <f>BDH("M US Equity","EQY_SH_OUT","2016-06-30","2021-06-30","Per=M","Days=T","Dir=V")</f>
        <v>0</v>
      </c>
      <c r="AW2">
        <f>BDH("M US Equity","BETA_RAW_OVERRIABLE","2016-06-30","2021-06-30","Per=M","Days=T","Dir=V")</f>
        <v>0</v>
      </c>
      <c r="AY2">
        <f>BDH("M US Equity","PX_VOLUME","2016-06-30","2021-06-30","Per=M","Days=T","Dir=V")</f>
        <v>0</v>
      </c>
      <c r="BA2">
        <f>BDH("M US Equity","TURNOVER","2016-06-30","2021-06-30","Per=M","Days=T","Dir=V")</f>
        <v>0</v>
      </c>
      <c r="BC2">
        <f>BDH("M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BDH("ABM US Equity","BS_TOT_ASSET","2016-06-30","2021-06-30","Per=Y","Days=T","Dir=V")</f>
        <v>0</v>
      </c>
      <c r="C2">
        <f>BDH("ABM US Equity","BS_TOT_LIAB2","2016-06-30","2021-06-30","Per=Y","Days=T","Dir=V")</f>
        <v>0</v>
      </c>
      <c r="E2">
        <f>BDH("ABM US Equity","SHORT_AND_LONG_TERM_DEBT","2016-06-30","2021-06-30","Per=Y","Days=T","Dir=V")</f>
        <v>0</v>
      </c>
      <c r="G2">
        <f>BDH("ABM US Equity","BS_ST_BORROW","2016-06-30","2021-06-30","Per=Y","Days=T","Dir=V")</f>
        <v>0</v>
      </c>
      <c r="I2">
        <f>BDH("ABM US Equity","BS_LT_BORROW","2016-06-30","2021-06-30","Per=Y","Days=T","Dir=V")</f>
        <v>0</v>
      </c>
      <c r="K2">
        <f>BDH("ABM US Equity","BS_CASH_NEAR_CASH_ITEM","2016-06-30","2021-06-30","Per=Y","Days=T","Dir=V")</f>
        <v>0</v>
      </c>
      <c r="M2">
        <f>BDH("ABM US Equity","BS_CUR_ASSET_REPORT","2016-06-30","2021-06-30","Per=Y","Days=T","Dir=V")</f>
        <v>0</v>
      </c>
      <c r="O2">
        <f>BDH("ABM US Equity","BS_CUR_LIAB","2016-06-30","2021-06-30","Per=Y","Days=T","Dir=V")</f>
        <v>0</v>
      </c>
      <c r="Q2">
        <f>BDH("ABM US Equity","BS_SHAREHOLDER_EQY_ENDING_PERIOD","2016-06-30","2021-06-30","Per=Y","Days=T","Dir=V")</f>
        <v>0</v>
      </c>
      <c r="S2">
        <f>BDH("ABM US Equity","BS_ACCT_NOTE_RCV","2016-06-30","2021-06-30","Per=Y","Days=T","Dir=V")</f>
        <v>0</v>
      </c>
      <c r="U2">
        <f>BDH("ABM US Equity","BS_INVENTORIES","2016-06-30","2021-06-30","Per=Y","Days=T","Dir=V")</f>
        <v>0</v>
      </c>
      <c r="W2">
        <f>BDH("ABM US Equity","WORKING_CAPITAL","2016-06-30","2021-06-30","Per=Y","Days=T","Dir=V")</f>
        <v>0</v>
      </c>
      <c r="Y2">
        <f>BDH("ABM US Equity","SALES_REV_TURN","2016-06-30","2021-06-30","Per=Y","Days=T","Dir=V")</f>
        <v>0</v>
      </c>
      <c r="AA2">
        <f>BDH("ABM US Equity","EBIT","2016-06-30","2021-06-30","Per=Y","Days=T","Dir=V")</f>
        <v>0</v>
      </c>
      <c r="AC2">
        <f>BDH("ABM US Equity","EBITDA","2016-06-30","2021-06-30","Per=Y","Days=T","Dir=V")</f>
        <v>0</v>
      </c>
      <c r="AE2">
        <f>BDH("ABM US Equity","NET_INCOME","2016-06-30","2021-06-30","Per=Y","Days=T","Dir=V")</f>
        <v>0</v>
      </c>
      <c r="AG2">
        <f>BDH("ABM US Equity","IS_INT_EXPENSE","2016-06-30","2021-06-30","Per=Y","Days=T","Dir=V")</f>
        <v>0</v>
      </c>
      <c r="AI2">
        <f>BDH("ABM US Equity","IS_DEPR_EXP","2016-06-30","2021-06-30","Per=Y","Days=T","Dir=V")</f>
        <v>0</v>
      </c>
      <c r="AK2">
        <f>BDH("ABM US Equity","CF_CASH_FROM_OPER","2016-06-30","2021-06-30","Per=Y","Days=T","Dir=V")</f>
        <v>0</v>
      </c>
      <c r="AM2">
        <f>BDH("ABM US Equity","CAPITAL_EXPEND","2016-06-30","2021-06-30","Per=Y","Days=T","Dir=V")</f>
        <v>0</v>
      </c>
      <c r="AO2">
        <f>BDH("ABM US Equity","CF_FREE_CASH_FLOW","2016-06-30","2021-06-30","Per=Y","Days=T","Dir=V")</f>
        <v>0</v>
      </c>
      <c r="AQ2">
        <f>BDH("ABM US Equity","PX_LAST","2016-06-30","2021-06-30","Per=M","Days=T","Dir=V")</f>
        <v>0</v>
      </c>
      <c r="AS2">
        <f>BDH("ABM US Equity","CUR_MKT_CAP","2016-06-30","2021-06-30","Per=M","Days=T","Dir=V")</f>
        <v>0</v>
      </c>
      <c r="AU2">
        <f>BDH("ABM US Equity","EQY_SH_OUT","2016-06-30","2021-06-30","Per=M","Days=T","Dir=V")</f>
        <v>0</v>
      </c>
      <c r="AW2">
        <f>BDH("ABM US Equity","BETA_RAW_OVERRIABLE","2016-06-30","2021-06-30","Per=M","Days=T","Dir=V")</f>
        <v>0</v>
      </c>
      <c r="AY2">
        <f>BDH("ABM US Equity","PX_VOLUME","2016-06-30","2021-06-30","Per=M","Days=T","Dir=V")</f>
        <v>0</v>
      </c>
      <c r="BA2">
        <f>BDH("ABM US Equity","TURNOVER","2016-06-30","2021-06-30","Per=M","Days=T","Dir=V")</f>
        <v>0</v>
      </c>
      <c r="BC2">
        <f>BDH("ABM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BDH("AENT US Equity","BS_TOT_ASSET","2016-06-30","2021-06-30","Per=Y","Days=T","Dir=V")</f>
        <v>0</v>
      </c>
      <c r="C2">
        <f>BDH("AENT US Equity","BS_TOT_LIAB2","2016-06-30","2021-06-30","Per=Y","Days=T","Dir=V")</f>
        <v>0</v>
      </c>
      <c r="E2">
        <f>BDH("AENT US Equity","SHORT_AND_LONG_TERM_DEBT","2016-06-30","2021-06-30","Per=Y","Days=T","Dir=V")</f>
        <v>0</v>
      </c>
      <c r="G2">
        <f>BDH("AENT US Equity","BS_ST_BORROW","2016-06-30","2021-06-30","Per=Y","Days=T","Dir=V")</f>
        <v>0</v>
      </c>
      <c r="I2">
        <f>BDH("AENT US Equity","BS_LT_BORROW","2016-06-30","2021-06-30","Per=Y","Days=T","Dir=V")</f>
        <v>0</v>
      </c>
      <c r="K2">
        <f>BDH("AENT US Equity","BS_CASH_NEAR_CASH_ITEM","2016-06-30","2021-06-30","Per=Y","Days=T","Dir=V")</f>
        <v>0</v>
      </c>
      <c r="M2">
        <f>BDH("AENT US Equity","BS_CUR_ASSET_REPORT","2016-06-30","2021-06-30","Per=Y","Days=T","Dir=V")</f>
        <v>0</v>
      </c>
      <c r="O2">
        <f>BDH("AENT US Equity","BS_CUR_LIAB","2016-06-30","2021-06-30","Per=Y","Days=T","Dir=V")</f>
        <v>0</v>
      </c>
      <c r="Q2">
        <f>BDH("AENT US Equity","BS_SHAREHOLDER_EQY_ENDING_PERIOD","2016-06-30","2021-06-30","Per=Y","Days=T","Dir=V")</f>
        <v>0</v>
      </c>
      <c r="S2">
        <f>BDH("AENT US Equity","BS_ACCT_NOTE_RCV","2016-06-30","2021-06-30","Per=Y","Days=T","Dir=V")</f>
        <v>0</v>
      </c>
      <c r="U2">
        <f>BDH("AENT US Equity","BS_INVENTORIES","2016-06-30","2021-06-30","Per=Y","Days=T","Dir=V")</f>
        <v>0</v>
      </c>
      <c r="W2">
        <f>BDH("AENT US Equity","WORKING_CAPITAL","2016-06-30","2021-06-30","Per=Y","Days=T","Dir=V")</f>
        <v>0</v>
      </c>
      <c r="Y2">
        <f>BDH("AENT US Equity","SALES_REV_TURN","2016-06-30","2021-06-30","Per=Y","Days=T","Dir=V")</f>
        <v>0</v>
      </c>
      <c r="AA2">
        <f>BDH("AENT US Equity","EBIT","2016-06-30","2021-06-30","Per=Y","Days=T","Dir=V")</f>
        <v>0</v>
      </c>
      <c r="AC2">
        <f>BDH("AENT US Equity","EBITDA","2016-06-30","2021-06-30","Per=Y","Days=T","Dir=V")</f>
        <v>0</v>
      </c>
      <c r="AE2">
        <f>BDH("AENT US Equity","NET_INCOME","2016-06-30","2021-06-30","Per=Y","Days=T","Dir=V")</f>
        <v>0</v>
      </c>
      <c r="AG2">
        <f>BDH("AENT US Equity","IS_INT_EXPENSE","2016-06-30","2021-06-30","Per=Y","Days=T","Dir=V")</f>
        <v>0</v>
      </c>
      <c r="AI2">
        <f>BDH("AENT US Equity","IS_DEPR_EXP","2016-06-30","2021-06-30","Per=Y","Days=T","Dir=V")</f>
        <v>0</v>
      </c>
      <c r="AK2">
        <f>BDH("AENT US Equity","CF_CASH_FROM_OPER","2016-06-30","2021-06-30","Per=Y","Days=T","Dir=V")</f>
        <v>0</v>
      </c>
      <c r="AM2">
        <f>BDH("AENT US Equity","CAPITAL_EXPEND","2016-06-30","2021-06-30","Per=Y","Days=T","Dir=V")</f>
        <v>0</v>
      </c>
      <c r="AO2">
        <f>BDH("AENT US Equity","CF_FREE_CASH_FLOW","2016-06-30","2021-06-30","Per=Y","Days=T","Dir=V")</f>
        <v>0</v>
      </c>
      <c r="AQ2">
        <f>BDH("AENT US Equity","PX_LAST","2016-06-30","2021-06-30","Per=M","Days=T","Dir=V")</f>
        <v>0</v>
      </c>
      <c r="AS2">
        <f>BDH("AENT US Equity","CUR_MKT_CAP","2016-06-30","2021-06-30","Per=M","Days=T","Dir=V")</f>
        <v>0</v>
      </c>
      <c r="AU2">
        <f>BDH("AENT US Equity","EQY_SH_OUT","2016-06-30","2021-06-30","Per=M","Days=T","Dir=V")</f>
        <v>0</v>
      </c>
      <c r="AW2">
        <f>BDH("AENT US Equity","BETA_RAW_OVERRIABLE","2016-06-30","2021-06-30","Per=M","Days=T","Dir=V")</f>
        <v>0</v>
      </c>
      <c r="AY2">
        <f>BDH("AENT US Equity","PX_VOLUME","2016-06-30","2021-06-30","Per=M","Days=T","Dir=V")</f>
        <v>0</v>
      </c>
      <c r="BA2">
        <f>BDH("AENT US Equity","TURNOVER","2016-06-30","2021-06-30","Per=M","Days=T","Dir=V")</f>
        <v>0</v>
      </c>
      <c r="BC2">
        <f>BDH("AENT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BDH("GME US Equity","BS_TOT_ASSET","2016-06-30","2021-06-30","Per=Y","Days=T","Dir=V")</f>
        <v>0</v>
      </c>
      <c r="C2">
        <f>BDH("GME US Equity","BS_TOT_LIAB2","2016-06-30","2021-06-30","Per=Y","Days=T","Dir=V")</f>
        <v>0</v>
      </c>
      <c r="E2">
        <f>BDH("GME US Equity","SHORT_AND_LONG_TERM_DEBT","2016-06-30","2021-06-30","Per=Y","Days=T","Dir=V")</f>
        <v>0</v>
      </c>
      <c r="G2">
        <f>BDH("GME US Equity","BS_ST_BORROW","2016-06-30","2021-06-30","Per=Y","Days=T","Dir=V")</f>
        <v>0</v>
      </c>
      <c r="I2">
        <f>BDH("GME US Equity","BS_LT_BORROW","2016-06-30","2021-06-30","Per=Y","Days=T","Dir=V")</f>
        <v>0</v>
      </c>
      <c r="K2">
        <f>BDH("GME US Equity","BS_CASH_NEAR_CASH_ITEM","2016-06-30","2021-06-30","Per=Y","Days=T","Dir=V")</f>
        <v>0</v>
      </c>
      <c r="M2">
        <f>BDH("GME US Equity","BS_CUR_ASSET_REPORT","2016-06-30","2021-06-30","Per=Y","Days=T","Dir=V")</f>
        <v>0</v>
      </c>
      <c r="O2">
        <f>BDH("GME US Equity","BS_CUR_LIAB","2016-06-30","2021-06-30","Per=Y","Days=T","Dir=V")</f>
        <v>0</v>
      </c>
      <c r="Q2">
        <f>BDH("GME US Equity","BS_SHAREHOLDER_EQY_ENDING_PERIOD","2016-06-30","2021-06-30","Per=Y","Days=T","Dir=V")</f>
        <v>0</v>
      </c>
      <c r="S2">
        <f>BDH("GME US Equity","BS_ACCT_NOTE_RCV","2016-06-30","2021-06-30","Per=Y","Days=T","Dir=V")</f>
        <v>0</v>
      </c>
      <c r="U2">
        <f>BDH("GME US Equity","BS_INVENTORIES","2016-06-30","2021-06-30","Per=Y","Days=T","Dir=V")</f>
        <v>0</v>
      </c>
      <c r="W2">
        <f>BDH("GME US Equity","WORKING_CAPITAL","2016-06-30","2021-06-30","Per=Y","Days=T","Dir=V")</f>
        <v>0</v>
      </c>
      <c r="Y2">
        <f>BDH("GME US Equity","SALES_REV_TURN","2016-06-30","2021-06-30","Per=Y","Days=T","Dir=V")</f>
        <v>0</v>
      </c>
      <c r="AA2">
        <f>BDH("GME US Equity","EBIT","2016-06-30","2021-06-30","Per=Y","Days=T","Dir=V")</f>
        <v>0</v>
      </c>
      <c r="AC2">
        <f>BDH("GME US Equity","EBITDA","2016-06-30","2021-06-30","Per=Y","Days=T","Dir=V")</f>
        <v>0</v>
      </c>
      <c r="AE2">
        <f>BDH("GME US Equity","NET_INCOME","2016-06-30","2021-06-30","Per=Y","Days=T","Dir=V")</f>
        <v>0</v>
      </c>
      <c r="AG2">
        <f>BDH("GME US Equity","IS_INT_EXPENSE","2016-06-30","2021-06-30","Per=Y","Days=T","Dir=V")</f>
        <v>0</v>
      </c>
      <c r="AI2">
        <f>BDH("GME US Equity","IS_DEPR_EXP","2016-06-30","2021-06-30","Per=Y","Days=T","Dir=V")</f>
        <v>0</v>
      </c>
      <c r="AK2">
        <f>BDH("GME US Equity","CF_CASH_FROM_OPER","2016-06-30","2021-06-30","Per=Y","Days=T","Dir=V")</f>
        <v>0</v>
      </c>
      <c r="AM2">
        <f>BDH("GME US Equity","CAPITAL_EXPEND","2016-06-30","2021-06-30","Per=Y","Days=T","Dir=V")</f>
        <v>0</v>
      </c>
      <c r="AO2">
        <f>BDH("GME US Equity","CF_FREE_CASH_FLOW","2016-06-30","2021-06-30","Per=Y","Days=T","Dir=V")</f>
        <v>0</v>
      </c>
      <c r="AQ2">
        <f>BDH("GME US Equity","PX_LAST","2016-06-30","2021-06-30","Per=M","Days=T","Dir=V")</f>
        <v>0</v>
      </c>
      <c r="AS2">
        <f>BDH("GME US Equity","CUR_MKT_CAP","2016-06-30","2021-06-30","Per=M","Days=T","Dir=V")</f>
        <v>0</v>
      </c>
      <c r="AU2">
        <f>BDH("GME US Equity","EQY_SH_OUT","2016-06-30","2021-06-30","Per=M","Days=T","Dir=V")</f>
        <v>0</v>
      </c>
      <c r="AW2">
        <f>BDH("GME US Equity","BETA_RAW_OVERRIABLE","2016-06-30","2021-06-30","Per=M","Days=T","Dir=V")</f>
        <v>0</v>
      </c>
      <c r="AY2">
        <f>BDH("GME US Equity","PX_VOLUME","2016-06-30","2021-06-30","Per=M","Days=T","Dir=V")</f>
        <v>0</v>
      </c>
      <c r="BA2">
        <f>BDH("GME US Equity","TURNOVER","2016-06-30","2021-06-30","Per=M","Days=T","Dir=V")</f>
        <v>0</v>
      </c>
      <c r="BC2">
        <f>BDH("GME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298</v>
      </c>
      <c r="B1" t="s">
        <v>299</v>
      </c>
      <c r="C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336</v>
      </c>
      <c r="AN1" t="s">
        <v>337</v>
      </c>
      <c r="AO1" t="s">
        <v>338</v>
      </c>
      <c r="AP1" t="s">
        <v>339</v>
      </c>
      <c r="AQ1" t="s">
        <v>340</v>
      </c>
      <c r="AR1" t="s">
        <v>341</v>
      </c>
      <c r="AS1" t="s">
        <v>342</v>
      </c>
      <c r="AT1" t="s">
        <v>343</v>
      </c>
      <c r="AU1" t="s">
        <v>344</v>
      </c>
      <c r="AV1" t="s">
        <v>345</v>
      </c>
      <c r="AW1" t="s">
        <v>346</v>
      </c>
      <c r="AX1" t="s">
        <v>347</v>
      </c>
      <c r="AY1" t="s">
        <v>348</v>
      </c>
      <c r="AZ1" t="s">
        <v>349</v>
      </c>
      <c r="BA1" t="s">
        <v>350</v>
      </c>
      <c r="BB1" t="s">
        <v>351</v>
      </c>
      <c r="BC1" t="s">
        <v>352</v>
      </c>
      <c r="BD1" t="s">
        <v>353</v>
      </c>
    </row>
    <row r="2" spans="1:56">
      <c r="A2">
        <f>BDH("AMRC US Equity","BS_TOT_ASSET","2016-06-30","2021-06-30","Per=Y","Days=T","Dir=V")</f>
        <v>0</v>
      </c>
      <c r="C2">
        <f>BDH("AMRC US Equity","BS_TOT_LIAB2","2016-06-30","2021-06-30","Per=Y","Days=T","Dir=V")</f>
        <v>0</v>
      </c>
      <c r="E2">
        <f>BDH("AMRC US Equity","SHORT_AND_LONG_TERM_DEBT","2016-06-30","2021-06-30","Per=Y","Days=T","Dir=V")</f>
        <v>0</v>
      </c>
      <c r="G2">
        <f>BDH("AMRC US Equity","BS_ST_BORROW","2016-06-30","2021-06-30","Per=Y","Days=T","Dir=V")</f>
        <v>0</v>
      </c>
      <c r="I2">
        <f>BDH("AMRC US Equity","BS_LT_BORROW","2016-06-30","2021-06-30","Per=Y","Days=T","Dir=V")</f>
        <v>0</v>
      </c>
      <c r="K2">
        <f>BDH("AMRC US Equity","BS_CASH_NEAR_CASH_ITEM","2016-06-30","2021-06-30","Per=Y","Days=T","Dir=V")</f>
        <v>0</v>
      </c>
      <c r="M2">
        <f>BDH("AMRC US Equity","BS_CUR_ASSET_REPORT","2016-06-30","2021-06-30","Per=Y","Days=T","Dir=V")</f>
        <v>0</v>
      </c>
      <c r="O2">
        <f>BDH("AMRC US Equity","BS_CUR_LIAB","2016-06-30","2021-06-30","Per=Y","Days=T","Dir=V")</f>
        <v>0</v>
      </c>
      <c r="Q2">
        <f>BDH("AMRC US Equity","BS_SHAREHOLDER_EQY_ENDING_PERIOD","2016-06-30","2021-06-30","Per=Y","Days=T","Dir=V")</f>
        <v>0</v>
      </c>
      <c r="S2">
        <f>BDH("AMRC US Equity","BS_ACCT_NOTE_RCV","2016-06-30","2021-06-30","Per=Y","Days=T","Dir=V")</f>
        <v>0</v>
      </c>
      <c r="U2">
        <f>BDH("AMRC US Equity","BS_INVENTORIES","2016-06-30","2021-06-30","Per=Y","Days=T","Dir=V")</f>
        <v>0</v>
      </c>
      <c r="W2">
        <f>BDH("AMRC US Equity","WORKING_CAPITAL","2016-06-30","2021-06-30","Per=Y","Days=T","Dir=V")</f>
        <v>0</v>
      </c>
      <c r="Y2">
        <f>BDH("AMRC US Equity","SALES_REV_TURN","2016-06-30","2021-06-30","Per=Y","Days=T","Dir=V")</f>
        <v>0</v>
      </c>
      <c r="AA2">
        <f>BDH("AMRC US Equity","EBIT","2016-06-30","2021-06-30","Per=Y","Days=T","Dir=V")</f>
        <v>0</v>
      </c>
      <c r="AC2">
        <f>BDH("AMRC US Equity","EBITDA","2016-06-30","2021-06-30","Per=Y","Days=T","Dir=V")</f>
        <v>0</v>
      </c>
      <c r="AE2">
        <f>BDH("AMRC US Equity","NET_INCOME","2016-06-30","2021-06-30","Per=Y","Days=T","Dir=V")</f>
        <v>0</v>
      </c>
      <c r="AG2">
        <f>BDH("AMRC US Equity","IS_INT_EXPENSE","2016-06-30","2021-06-30","Per=Y","Days=T","Dir=V")</f>
        <v>0</v>
      </c>
      <c r="AI2">
        <f>BDH("AMRC US Equity","IS_DEPR_EXP","2016-06-30","2021-06-30","Per=Y","Days=T","Dir=V")</f>
        <v>0</v>
      </c>
      <c r="AK2">
        <f>BDH("AMRC US Equity","CF_CASH_FROM_OPER","2016-06-30","2021-06-30","Per=Y","Days=T","Dir=V")</f>
        <v>0</v>
      </c>
      <c r="AM2">
        <f>BDH("AMRC US Equity","CAPITAL_EXPEND","2016-06-30","2021-06-30","Per=Y","Days=T","Dir=V")</f>
        <v>0</v>
      </c>
      <c r="AO2">
        <f>BDH("AMRC US Equity","CF_FREE_CASH_FLOW","2016-06-30","2021-06-30","Per=Y","Days=T","Dir=V")</f>
        <v>0</v>
      </c>
      <c r="AQ2">
        <f>BDH("AMRC US Equity","PX_LAST","2016-06-30","2021-06-30","Per=M","Days=T","Dir=V")</f>
        <v>0</v>
      </c>
      <c r="AS2">
        <f>BDH("AMRC US Equity","CUR_MKT_CAP","2016-06-30","2021-06-30","Per=M","Days=T","Dir=V")</f>
        <v>0</v>
      </c>
      <c r="AU2">
        <f>BDH("AMRC US Equity","EQY_SH_OUT","2016-06-30","2021-06-30","Per=M","Days=T","Dir=V")</f>
        <v>0</v>
      </c>
      <c r="AW2">
        <f>BDH("AMRC US Equity","BETA_RAW_OVERRIABLE","2016-06-30","2021-06-30","Per=M","Days=T","Dir=V")</f>
        <v>0</v>
      </c>
      <c r="AY2">
        <f>BDH("AMRC US Equity","PX_VOLUME","2016-06-30","2021-06-30","Per=M","Days=T","Dir=V")</f>
        <v>0</v>
      </c>
      <c r="BA2">
        <f>BDH("AMRC US Equity","TURNOVER","2016-06-30","2021-06-30","Per=M","Days=T","Dir=V")</f>
        <v>0</v>
      </c>
      <c r="BC2">
        <f>BDH("AMRC US Equity","SPREAD_BA_CR","2016-06-30","2021-06-30","Per=M","Days=T","Dir=V")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Security_List</vt:lpstr>
      <vt:lpstr>SA_293_Zynex Inc</vt:lpstr>
      <vt:lpstr>SA_306_Luminar Technologies Inc</vt:lpstr>
      <vt:lpstr>SA_16_Ecd Automotive Design Inc</vt:lpstr>
      <vt:lpstr>SA_201_Inspire Veterinary Partn</vt:lpstr>
      <vt:lpstr>SA_300_Nine Energy Service Inc</vt:lpstr>
      <vt:lpstr>SA_1_Twin Hospitality Group Inc</vt:lpstr>
      <vt:lpstr>SA_147_Fat Brands Inc</vt:lpstr>
      <vt:lpstr>SA_101_Blue Hat Interactive Ent</vt:lpstr>
      <vt:lpstr>SA_167_Io Biotech Inc</vt:lpstr>
      <vt:lpstr>SA_98_Qvc Group Inc</vt:lpstr>
      <vt:lpstr>SA_245_American Rebel Holdings </vt:lpstr>
      <vt:lpstr>SA_37_Society Pass Incorporated</vt:lpstr>
      <vt:lpstr>SA_183_Inotiv Inc</vt:lpstr>
      <vt:lpstr>SA_229_Gohealth Inc</vt:lpstr>
      <vt:lpstr>SA_146_Sleep Number Corp</vt:lpstr>
      <vt:lpstr>SA_301_Devvstream Corp</vt:lpstr>
      <vt:lpstr>SA_63_Aditxt Inc</vt:lpstr>
      <vt:lpstr>SA_148_Origin Materials Inc</vt:lpstr>
      <vt:lpstr>SA_269_Visionary Holdings Inc</vt:lpstr>
      <vt:lpstr>NB_1092_Fortune Brands Innovati</vt:lpstr>
      <vt:lpstr>NB_2950_Tronox Holdings plc Ord</vt:lpstr>
      <vt:lpstr>NB_3043_U.S. Gold Corp. Common </vt:lpstr>
      <vt:lpstr>NB_1533_IperionX Limited Americ</vt:lpstr>
      <vt:lpstr>NB_658_Clearwater Paper Corpora</vt:lpstr>
      <vt:lpstr>NB_772_Contango Silver &amp; Gold I</vt:lpstr>
      <vt:lpstr>NB_202_Angi Inc. Class A Common</vt:lpstr>
      <vt:lpstr>NB_1572_JetBlue Airways Corpora</vt:lpstr>
      <vt:lpstr>NB_2900_Tandy Leather Factory I</vt:lpstr>
      <vt:lpstr>NB_5_Advance Auto Parts Inc.</vt:lpstr>
      <vt:lpstr>NB_798_Commercial Vehicle Group</vt:lpstr>
      <vt:lpstr>NB_1059_EVgo Inc. Class A Commo</vt:lpstr>
      <vt:lpstr>NB_2602_Scholastic Corporation </vt:lpstr>
      <vt:lpstr>NB_3032_Urban One Inc. Class A </vt:lpstr>
      <vt:lpstr>NB_728_CPS Technologies Corp. C</vt:lpstr>
      <vt:lpstr>NB_973_Energy Focus Inc. Common</vt:lpstr>
      <vt:lpstr>NB_45_ACV Auctions Inc. Class A</vt:lpstr>
      <vt:lpstr>NB_3170_WEX Inc. common stock</vt:lpstr>
      <vt:lpstr>NB_3278_Zillow Group Inc. Class</vt:lpstr>
      <vt:lpstr>NB_196_Amazon.com Inc. Common S</vt:lpstr>
      <vt:lpstr>NB_2529_Ross Stores Inc. Common</vt:lpstr>
      <vt:lpstr>NB_432_Blue Bird Corporation Co</vt:lpstr>
      <vt:lpstr>NB_711_Traeger Inc. Common Stoc</vt:lpstr>
      <vt:lpstr>NB_372_Best Buy Co. Inc. Common</vt:lpstr>
      <vt:lpstr>NB_2035_Natural Health Trends C</vt:lpstr>
      <vt:lpstr>NB_2743_Sonoco Products Company</vt:lpstr>
      <vt:lpstr>NB_1803_Macy's Inc Common Stock</vt:lpstr>
      <vt:lpstr>NB_13_ABM Industries Incorporat</vt:lpstr>
      <vt:lpstr>NB_79_Alliance Entertainment Ho</vt:lpstr>
      <vt:lpstr>NB_1263_GameStop Corporation Co</vt:lpstr>
      <vt:lpstr>NB_186_Ameresco Inc. Class A 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2026-09-30T16:51:35Z</dcterms:created>
  <dcterms:modified xsi:type="dcterms:W3CDTF">2026-09-30T16:51:35Z</dcterms:modified>
</cp:coreProperties>
</file>