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3028_United Natural Foods In" sheetId="2" r:id="rId2"/>
    <sheet name="NB_2931_Tutor Perini Corporatio" sheetId="3" r:id="rId3"/>
    <sheet name="NB_170_AMC Robotics Corporation" sheetId="4" r:id="rId4"/>
    <sheet name="NB_1710_LGI Homes Inc. Common S" sheetId="5" r:id="rId5"/>
    <sheet name="NB_1357_Hilton Grand Vacations " sheetId="6" r:id="rId6"/>
    <sheet name="NB_2833_Stanley Black &amp; Decker " sheetId="7" r:id="rId7"/>
    <sheet name="NB_3091_Virco Manufacturing Cor" sheetId="8" r:id="rId8"/>
    <sheet name="NB_2868_Tidewater Inc. Common S" sheetId="9" r:id="rId9"/>
    <sheet name="NB_1112_Franklin Electric Co. I" sheetId="10" r:id="rId10"/>
    <sheet name="NB_27_Acorn Energy Inc. Common " sheetId="11" r:id="rId11"/>
    <sheet name="NB_835_Daktronics Inc. Common S" sheetId="12" r:id="rId12"/>
    <sheet name="NB_1159_Fox Factory Holding Cor" sheetId="13" r:id="rId13"/>
    <sheet name="NB_2812_Starz Entertainment Cor" sheetId="14" r:id="rId14"/>
    <sheet name="NB_885_Daily Journal Corp. (S.C" sheetId="15" r:id="rId15"/>
    <sheet name="NB_959_Ennis Inc. Common Stock" sheetId="16" r:id="rId16"/>
    <sheet name="NB_3173_Weatherford Internation" sheetId="17" r:id="rId17"/>
    <sheet name="NB_1061_EVI Industries Inc.  Co" sheetId="18" r:id="rId18"/>
    <sheet name="NB_1144_1-800-FLOWERS.COM Inc. " sheetId="19" r:id="rId19"/>
    <sheet name="NB_456_Bonk Inc. Common Stock" sheetId="20" r:id="rId20"/>
    <sheet name="NB_340_Axalta Coating Systems L" sheetId="21" r:id="rId21"/>
    <sheet name="NB_1392_HireQuest Inc. Common S" sheetId="22" r:id="rId22"/>
    <sheet name="NB_2672_SiteOne Landscape Suppl" sheetId="23" r:id="rId23"/>
    <sheet name="NB_22_Acco Brands Corporation C" sheetId="24" r:id="rId24"/>
    <sheet name="NB_1575_Jewett-Cameron Trading " sheetId="25" r:id="rId25"/>
    <sheet name="NB_1584_Johnson Outdoors Inc. C" sheetId="26" r:id="rId26"/>
    <sheet name="NB_1411_Hertz Global Holdings I" sheetId="27" r:id="rId27"/>
    <sheet name="NB_1787_LiveOne Inc. Common Sto" sheetId="28" r:id="rId28"/>
    <sheet name="NB_2651_Shake Shack Inc. Class " sheetId="29" r:id="rId29"/>
    <sheet name="NB_12_Asbury Automotive Group I" sheetId="30" r:id="rId30"/>
    <sheet name="NB_3196_Warner Music Group Corp" sheetId="31" r:id="rId31"/>
    <sheet name="NB_531_Caleres Inc. Common Stoc" sheetId="32" r:id="rId32"/>
    <sheet name="NB_273_Ashland Inc. Common Stoc" sheetId="33" r:id="rId33"/>
    <sheet name="NB_284_AST SpaceMobile Inc. Cla" sheetId="34" r:id="rId34"/>
    <sheet name="NB_113_Albany International Cor" sheetId="35" r:id="rId35"/>
    <sheet name="NB_2930_Turning Point Brands In" sheetId="36" r:id="rId36"/>
    <sheet name="NB_2964_Toro Company (The) Comm" sheetId="37" r:id="rId37"/>
    <sheet name="NB_2564_RXO Inc. Common Stock" sheetId="38" r:id="rId38"/>
    <sheet name="NB_511_Bluelinx Holdings Inc. C" sheetId="39" r:id="rId39"/>
    <sheet name="NB_3171_Weyco Group Inc. Common" sheetId="40" r:id="rId40"/>
    <sheet name="NB_190_AMASS Brands Inc. Common" sheetId="41" r:id="rId41"/>
    <sheet name="NB_1272_Genasys Inc. Common Sto" sheetId="42" r:id="rId42"/>
    <sheet name="NB_2569_RYTHM Inc. Common Stock" sheetId="43" r:id="rId43"/>
    <sheet name="NB_3197_Weis Markets Inc. Commo" sheetId="44" r:id="rId44"/>
    <sheet name="NB_1397_Hormel Foods Corporatio" sheetId="45" r:id="rId45"/>
    <sheet name="NB_2709_The Simply Good Foods C" sheetId="46" r:id="rId46"/>
    <sheet name="NB_807_CVS Health Corporation C" sheetId="47" r:id="rId47"/>
    <sheet name="NB_473_Bridgford Foods Corporat" sheetId="48" r:id="rId48"/>
    <sheet name="NB_2003_NACCO Industries Inc. C" sheetId="49" r:id="rId49"/>
    <sheet name="NB_1866_MGE Energy Inc" sheetId="50" r:id="rId50"/>
    <sheet name="NB_2337_Powell Industries Inc. " sheetId="51" r:id="rId51"/>
  </sheets>
  <calcPr calcId="124519" fullCalcOnLoad="1"/>
</workbook>
</file>

<file path=xl/sharedStrings.xml><?xml version="1.0" encoding="utf-8"?>
<sst xmlns="http://schemas.openxmlformats.org/spreadsheetml/2006/main" count="3361" uniqueCount="323">
  <si>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</si>
  <si>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</si>
  <si>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</si>
  <si>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</si>
  <si>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</si>
  <si>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</si>
  <si>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</si>
  <si>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</si>
  <si>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</si>
  <si>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</si>
  <si>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</si>
  <si>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NB_3028</t>
  </si>
  <si>
    <t>nonbankrupt</t>
  </si>
  <si>
    <t/>
  </si>
  <si>
    <t>UNFI</t>
  </si>
  <si>
    <t>United Natural Foods Inc. Common Stock</t>
  </si>
  <si>
    <t>Consumer Discretionary</t>
  </si>
  <si>
    <t>Food Distributors</t>
  </si>
  <si>
    <t>UNFI US Equity</t>
  </si>
  <si>
    <t>2021-06-30</t>
  </si>
  <si>
    <t>2016-06-30</t>
  </si>
  <si>
    <t>NB_2931</t>
  </si>
  <si>
    <t>TPC</t>
  </si>
  <si>
    <t>Tutor Perini Corporation Common Stock</t>
  </si>
  <si>
    <t>General Bldg Contractors - Nonresidential Bldgs</t>
  </si>
  <si>
    <t>TPC US Equity</t>
  </si>
  <si>
    <t>NB_170</t>
  </si>
  <si>
    <t>AMCI</t>
  </si>
  <si>
    <t>AMC Robotics Corporation Common Stock</t>
  </si>
  <si>
    <t>Home Furnishings</t>
  </si>
  <si>
    <t>AMCI US Equity</t>
  </si>
  <si>
    <t>NB_1710</t>
  </si>
  <si>
    <t>LGIH</t>
  </si>
  <si>
    <t>LGI Homes Inc. Common Stock</t>
  </si>
  <si>
    <t>Homebuilding</t>
  </si>
  <si>
    <t>LGIH US Equity</t>
  </si>
  <si>
    <t>NB_1357</t>
  </si>
  <si>
    <t>HGV</t>
  </si>
  <si>
    <t>Hilton Grand Vacations Inc. Common Stock</t>
  </si>
  <si>
    <t>Hotels/Resorts</t>
  </si>
  <si>
    <t>HGV US Equity</t>
  </si>
  <si>
    <t>NB_2833</t>
  </si>
  <si>
    <t>SWK</t>
  </si>
  <si>
    <t>Stanley Black &amp; Decker Inc. Common Stock</t>
  </si>
  <si>
    <t>Industrial Machinery/Components</t>
  </si>
  <si>
    <t>SWK US Equity</t>
  </si>
  <si>
    <t>NB_3091</t>
  </si>
  <si>
    <t>VIRC</t>
  </si>
  <si>
    <t>Virco Manufacturing Corporation Common Stock</t>
  </si>
  <si>
    <t>Industrial Specialties</t>
  </si>
  <si>
    <t>VIRC US Equity</t>
  </si>
  <si>
    <t>NB_2868</t>
  </si>
  <si>
    <t>TDW</t>
  </si>
  <si>
    <t>Tidewater Inc. Common Stock</t>
  </si>
  <si>
    <t>Marine Transportation</t>
  </si>
  <si>
    <t>TDW US Equity</t>
  </si>
  <si>
    <t>NB_1112</t>
  </si>
  <si>
    <t>FELE</t>
  </si>
  <si>
    <t>Franklin Electric Co. Inc. Common Stock</t>
  </si>
  <si>
    <t>Metal Fabrications</t>
  </si>
  <si>
    <t>FELE US Equity</t>
  </si>
  <si>
    <t>NB_27</t>
  </si>
  <si>
    <t>ACFN</t>
  </si>
  <si>
    <t>Acorn Energy Inc. Common Stock</t>
  </si>
  <si>
    <t>Military/Government/Technical</t>
  </si>
  <si>
    <t>ACFN US Equity</t>
  </si>
  <si>
    <t>NB_835</t>
  </si>
  <si>
    <t>DAKT</t>
  </si>
  <si>
    <t>Daktronics Inc. Common Stock</t>
  </si>
  <si>
    <t>Miscellaneous manufacturing industries</t>
  </si>
  <si>
    <t>DAKT US Equity</t>
  </si>
  <si>
    <t>NB_1159</t>
  </si>
  <si>
    <t>FOXF</t>
  </si>
  <si>
    <t>Fox Factory Holding Corp. Common Stock</t>
  </si>
  <si>
    <t>Motor Vehicles</t>
  </si>
  <si>
    <t>FOXF US Equity</t>
  </si>
  <si>
    <t>NB_2812</t>
  </si>
  <si>
    <t>STRZ</t>
  </si>
  <si>
    <t>Starz Entertainment Corp. Common Shares</t>
  </si>
  <si>
    <t>Movies/Entertainment</t>
  </si>
  <si>
    <t>STRZ US Equity</t>
  </si>
  <si>
    <t>NB_885</t>
  </si>
  <si>
    <t>DJCO</t>
  </si>
  <si>
    <t>Daily Journal Corp. (S.C.) Common Stock</t>
  </si>
  <si>
    <t>Newspapers/Magazines</t>
  </si>
  <si>
    <t>DJCO US Equity</t>
  </si>
  <si>
    <t>NB_959</t>
  </si>
  <si>
    <t>EBF</t>
  </si>
  <si>
    <t>Ennis Inc. Common Stock</t>
  </si>
  <si>
    <t>Office Equipment/Supplies/Services</t>
  </si>
  <si>
    <t>EBF US Equity</t>
  </si>
  <si>
    <t>NB_3173</t>
  </si>
  <si>
    <t>WFRD</t>
  </si>
  <si>
    <t>Weatherford International plc Ordinary Shares</t>
  </si>
  <si>
    <t>Oil and Gas Field Machinery</t>
  </si>
  <si>
    <t>WFRD US Equity</t>
  </si>
  <si>
    <t>NB_1061</t>
  </si>
  <si>
    <t>EVI</t>
  </si>
  <si>
    <t>EVI Industries Inc.  Common Stock</t>
  </si>
  <si>
    <t>Other Consumer Services</t>
  </si>
  <si>
    <t>EVI US Equity</t>
  </si>
  <si>
    <t>NB_1144</t>
  </si>
  <si>
    <t>FLWS</t>
  </si>
  <si>
    <t>1-800-FLOWERS.COM Inc. Common Stock</t>
  </si>
  <si>
    <t>Other Specialty Stores</t>
  </si>
  <si>
    <t>FLWS US Equity</t>
  </si>
  <si>
    <t>NB_456</t>
  </si>
  <si>
    <t>BNKK</t>
  </si>
  <si>
    <t>Bonk Inc. Common Stock</t>
  </si>
  <si>
    <t>Package Goods/Cosmetics</t>
  </si>
  <si>
    <t>BNKK US Equity</t>
  </si>
  <si>
    <t>NB_340</t>
  </si>
  <si>
    <t>AXTA</t>
  </si>
  <si>
    <t>Axalta Coating Systems Ltd. Common Shares</t>
  </si>
  <si>
    <t>Paints/Coatings</t>
  </si>
  <si>
    <t>AXTA US Equity</t>
  </si>
  <si>
    <t>NB_1392</t>
  </si>
  <si>
    <t>HQI</t>
  </si>
  <si>
    <t>HireQuest Inc. Common Stock (DE)</t>
  </si>
  <si>
    <t>Professional Services</t>
  </si>
  <si>
    <t>HQI US Equity</t>
  </si>
  <si>
    <t>NB_2672</t>
  </si>
  <si>
    <t>SITE</t>
  </si>
  <si>
    <t>SiteOne Landscape Supply Inc. Common Stock</t>
  </si>
  <si>
    <t>Professional and commerical equipment</t>
  </si>
  <si>
    <t>SITE US Equity</t>
  </si>
  <si>
    <t>NB_22</t>
  </si>
  <si>
    <t>ACCO</t>
  </si>
  <si>
    <t>Acco Brands Corporation Common Stock</t>
  </si>
  <si>
    <t>Publishing</t>
  </si>
  <si>
    <t>ACCO US Equity</t>
  </si>
  <si>
    <t>NB_1575</t>
  </si>
  <si>
    <t>JCTC</t>
  </si>
  <si>
    <t>Jewett-Cameron Trading Company Common Shares</t>
  </si>
  <si>
    <t>RETAIL: Building Materials</t>
  </si>
  <si>
    <t>JCTC US Equity</t>
  </si>
  <si>
    <t>NB_1584</t>
  </si>
  <si>
    <t>JOUT</t>
  </si>
  <si>
    <t>Johnson Outdoors Inc. Class A Common Stock</t>
  </si>
  <si>
    <t>Recreational Games/Products/Toys</t>
  </si>
  <si>
    <t>JOUT US Equity</t>
  </si>
  <si>
    <t>NB_1411</t>
  </si>
  <si>
    <t>HTZ</t>
  </si>
  <si>
    <t>Hertz Global Holdings Inc Common Stock</t>
  </si>
  <si>
    <t>Rental/Leasing Companies</t>
  </si>
  <si>
    <t>HTZ US Equity</t>
  </si>
  <si>
    <t>NB_1787</t>
  </si>
  <si>
    <t>LVO</t>
  </si>
  <si>
    <t>LiveOne Inc. Common Stock</t>
  </si>
  <si>
    <t>Restaurants</t>
  </si>
  <si>
    <t>LVO US Equity</t>
  </si>
  <si>
    <t>NB_2651</t>
  </si>
  <si>
    <t>SHAK</t>
  </si>
  <si>
    <t>Shake Shack Inc. Class A Common Stock</t>
  </si>
  <si>
    <t>SHAK US Equity</t>
  </si>
  <si>
    <t>NB_12</t>
  </si>
  <si>
    <t>ABG</t>
  </si>
  <si>
    <t>Asbury Automotive Group Inc Common Stock</t>
  </si>
  <si>
    <t>Retail-Auto Dealers and Gas Stations</t>
  </si>
  <si>
    <t>ABG US Equity</t>
  </si>
  <si>
    <t>NB_3196</t>
  </si>
  <si>
    <t>WMG</t>
  </si>
  <si>
    <t>Warner Music Group Corp. Class A Common Stock</t>
  </si>
  <si>
    <t>Services-Misc. Amusement &amp; Recreation</t>
  </si>
  <si>
    <t>WMG US Equity</t>
  </si>
  <si>
    <t>NB_531</t>
  </si>
  <si>
    <t>CAL</t>
  </si>
  <si>
    <t>Caleres Inc. Common Stock</t>
  </si>
  <si>
    <t>Shoe Manufacturing</t>
  </si>
  <si>
    <t>CAL US Equity</t>
  </si>
  <si>
    <t>NB_273</t>
  </si>
  <si>
    <t>ASH</t>
  </si>
  <si>
    <t>Ashland Inc. Common Stock</t>
  </si>
  <si>
    <t>Specialty Chemicals</t>
  </si>
  <si>
    <t>ASH US Equity</t>
  </si>
  <si>
    <t>NB_284</t>
  </si>
  <si>
    <t>ASTS</t>
  </si>
  <si>
    <t>AST SpaceMobile Inc. Class A Common Stock</t>
  </si>
  <si>
    <t>Telecommunications Equipment</t>
  </si>
  <si>
    <t>ASTS US Equity</t>
  </si>
  <si>
    <t>NB_113</t>
  </si>
  <si>
    <t>AIN</t>
  </si>
  <si>
    <t>Albany International Corporation Common Stock</t>
  </si>
  <si>
    <t>Textiles</t>
  </si>
  <si>
    <t>AIN US Equity</t>
  </si>
  <si>
    <t>NB_2930</t>
  </si>
  <si>
    <t>TPB</t>
  </si>
  <si>
    <t>Turning Point Brands Inc. Common Stock</t>
  </si>
  <si>
    <t>Tobacco</t>
  </si>
  <si>
    <t>TPB US Equity</t>
  </si>
  <si>
    <t>NB_2964</t>
  </si>
  <si>
    <t>TTC</t>
  </si>
  <si>
    <t>Toro Company (The) Common Stock</t>
  </si>
  <si>
    <t>Tools/Hardware</t>
  </si>
  <si>
    <t>TTC US Equity</t>
  </si>
  <si>
    <t>NB_2564</t>
  </si>
  <si>
    <t>RXO</t>
  </si>
  <si>
    <t>RXO Inc. Common Stock</t>
  </si>
  <si>
    <t>Transportation Services</t>
  </si>
  <si>
    <t>RXO US Equity</t>
  </si>
  <si>
    <t>NB_511</t>
  </si>
  <si>
    <t>BXC</t>
  </si>
  <si>
    <t>Bluelinx Holdings Inc. Common Stock</t>
  </si>
  <si>
    <t>Wholesale Distributors</t>
  </si>
  <si>
    <t>BXC US Equity</t>
  </si>
  <si>
    <t>NB_3171</t>
  </si>
  <si>
    <t>WEYS</t>
  </si>
  <si>
    <t>Weyco Group Inc. Common Stock</t>
  </si>
  <si>
    <t>Consumer Staples</t>
  </si>
  <si>
    <t>Apparel</t>
  </si>
  <si>
    <t>WEYS US Equity</t>
  </si>
  <si>
    <t>NB_190</t>
  </si>
  <si>
    <t>AMSS</t>
  </si>
  <si>
    <t>AMASS Brands Inc. Common Stock</t>
  </si>
  <si>
    <t>Beverages (Production/Distribution)</t>
  </si>
  <si>
    <t>AMSS US Equity</t>
  </si>
  <si>
    <t>NB_1272</t>
  </si>
  <si>
    <t>GNSS</t>
  </si>
  <si>
    <t>Genasys Inc. Common Stock</t>
  </si>
  <si>
    <t>Consumer Electronics/Appliances</t>
  </si>
  <si>
    <t>GNSS US Equity</t>
  </si>
  <si>
    <t>NB_2569</t>
  </si>
  <si>
    <t>RYM</t>
  </si>
  <si>
    <t>RYTHM Inc. Common Stock</t>
  </si>
  <si>
    <t>Farming/Seeds/Milling</t>
  </si>
  <si>
    <t>RYM US Equity</t>
  </si>
  <si>
    <t>NB_3197</t>
  </si>
  <si>
    <t>WMK</t>
  </si>
  <si>
    <t>Weis Markets Inc. Common Stock</t>
  </si>
  <si>
    <t>Food Chains</t>
  </si>
  <si>
    <t>WMK US Equity</t>
  </si>
  <si>
    <t>NB_1397</t>
  </si>
  <si>
    <t>HRL</t>
  </si>
  <si>
    <t>Hormel Foods Corporation Common Stock</t>
  </si>
  <si>
    <t>Meat/Poultry/Fish</t>
  </si>
  <si>
    <t>HRL US Equity</t>
  </si>
  <si>
    <t>NB_2709</t>
  </si>
  <si>
    <t>SMPL</t>
  </si>
  <si>
    <t>The Simply Good Foods Company Common Stock</t>
  </si>
  <si>
    <t>Packaged Foods</t>
  </si>
  <si>
    <t>SMPL US Equity</t>
  </si>
  <si>
    <t>NB_807</t>
  </si>
  <si>
    <t>CVS</t>
  </si>
  <si>
    <t>CVS Health Corporation Common Stock</t>
  </si>
  <si>
    <t>Retail-Drug Stores and Proprietary Stores</t>
  </si>
  <si>
    <t>CVS US Equity</t>
  </si>
  <si>
    <t>NB_473</t>
  </si>
  <si>
    <t>BRID</t>
  </si>
  <si>
    <t>Bridgford Foods Corporation Common Stock</t>
  </si>
  <si>
    <t>Specialty Foods</t>
  </si>
  <si>
    <t>BRID US Equity</t>
  </si>
  <si>
    <t>NB_2003</t>
  </si>
  <si>
    <t>NC</t>
  </si>
  <si>
    <t>NACCO Industries Inc. Common Stock</t>
  </si>
  <si>
    <t>Energy</t>
  </si>
  <si>
    <t>Coal Mining</t>
  </si>
  <si>
    <t>NC US Equity</t>
  </si>
  <si>
    <t>NB_1866</t>
  </si>
  <si>
    <t>MGEE</t>
  </si>
  <si>
    <t>MGE Energy Inc</t>
  </si>
  <si>
    <t>Electric Utilities: Central</t>
  </si>
  <si>
    <t>MGEE US Equity</t>
  </si>
  <si>
    <t>NB_2337</t>
  </si>
  <si>
    <t>POWL</t>
  </si>
  <si>
    <t>Powell Industries Inc. Common Stock</t>
  </si>
  <si>
    <t>Electrical Products</t>
  </si>
  <si>
    <t>POWL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</si>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</sst>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19</v>
      </c>
    </row>
    <row r="3" spans="1:11">
      <c r="A3" t="s">
        <v>21</v>
      </c>
      <c r="B3" t="s">
        <v>12</v>
      </c>
      <c r="C3" t="s">
        <v>13</v>
      </c>
      <c r="D3" t="s">
        <v>22</v>
      </c>
      <c r="E3" t="s">
        <v>23</v>
      </c>
      <c r="F3" t="s">
        <v>16</v>
      </c>
      <c r="G3" t="s">
        <v>24</v>
      </c>
      <c r="H3" t="s">
        <v>25</v>
      </c>
      <c r="I3" t="s">
        <v>19</v>
      </c>
      <c r="J3" t="s">
        <v>20</v>
      </c>
      <c r="K3" t="s">
        <v>19</v>
      </c>
    </row>
    <row r="4" spans="1:11">
      <c r="A4" t="s">
        <v>26</v>
      </c>
      <c r="B4" t="s">
        <v>12</v>
      </c>
      <c r="C4" t="s">
        <v>13</v>
      </c>
      <c r="D4" t="s">
        <v>27</v>
      </c>
      <c r="E4" t="s">
        <v>28</v>
      </c>
      <c r="F4" t="s">
        <v>16</v>
      </c>
      <c r="G4" t="s">
        <v>29</v>
      </c>
      <c r="H4" t="s">
        <v>30</v>
      </c>
      <c r="I4" t="s">
        <v>19</v>
      </c>
      <c r="J4" t="s">
        <v>20</v>
      </c>
      <c r="K4" t="s">
        <v>19</v>
      </c>
    </row>
    <row r="5" spans="1:11">
      <c r="A5" t="s">
        <v>31</v>
      </c>
      <c r="B5" t="s">
        <v>12</v>
      </c>
      <c r="C5" t="s">
        <v>13</v>
      </c>
      <c r="D5" t="s">
        <v>32</v>
      </c>
      <c r="E5" t="s">
        <v>33</v>
      </c>
      <c r="F5" t="s">
        <v>16</v>
      </c>
      <c r="G5" t="s">
        <v>34</v>
      </c>
      <c r="H5" t="s">
        <v>35</v>
      </c>
      <c r="I5" t="s">
        <v>19</v>
      </c>
      <c r="J5" t="s">
        <v>20</v>
      </c>
      <c r="K5" t="s">
        <v>19</v>
      </c>
    </row>
    <row r="6" spans="1:11">
      <c r="A6" t="s">
        <v>36</v>
      </c>
      <c r="B6" t="s">
        <v>12</v>
      </c>
      <c r="C6" t="s">
        <v>13</v>
      </c>
      <c r="D6" t="s">
        <v>37</v>
      </c>
      <c r="E6" t="s">
        <v>38</v>
      </c>
      <c r="F6" t="s">
        <v>16</v>
      </c>
      <c r="G6" t="s">
        <v>39</v>
      </c>
      <c r="H6" t="s">
        <v>40</v>
      </c>
      <c r="I6" t="s">
        <v>19</v>
      </c>
      <c r="J6" t="s">
        <v>20</v>
      </c>
      <c r="K6" t="s">
        <v>19</v>
      </c>
    </row>
    <row r="7" spans="1:11">
      <c r="A7" t="s">
        <v>41</v>
      </c>
      <c r="B7" t="s">
        <v>12</v>
      </c>
      <c r="C7" t="s">
        <v>13</v>
      </c>
      <c r="D7" t="s">
        <v>42</v>
      </c>
      <c r="E7" t="s">
        <v>43</v>
      </c>
      <c r="F7" t="s">
        <v>16</v>
      </c>
      <c r="G7" t="s">
        <v>44</v>
      </c>
      <c r="H7" t="s">
        <v>45</v>
      </c>
      <c r="I7" t="s">
        <v>19</v>
      </c>
      <c r="J7" t="s">
        <v>20</v>
      </c>
      <c r="K7" t="s">
        <v>19</v>
      </c>
    </row>
    <row r="8" spans="1:11">
      <c r="A8" t="s">
        <v>46</v>
      </c>
      <c r="B8" t="s">
        <v>12</v>
      </c>
      <c r="C8" t="s">
        <v>13</v>
      </c>
      <c r="D8" t="s">
        <v>47</v>
      </c>
      <c r="E8" t="s">
        <v>48</v>
      </c>
      <c r="F8" t="s">
        <v>16</v>
      </c>
      <c r="G8" t="s">
        <v>49</v>
      </c>
      <c r="H8" t="s">
        <v>50</v>
      </c>
      <c r="I8" t="s">
        <v>19</v>
      </c>
      <c r="J8" t="s">
        <v>20</v>
      </c>
      <c r="K8" t="s">
        <v>19</v>
      </c>
    </row>
    <row r="9" spans="1:11">
      <c r="A9" t="s">
        <v>51</v>
      </c>
      <c r="B9" t="s">
        <v>12</v>
      </c>
      <c r="C9" t="s">
        <v>13</v>
      </c>
      <c r="D9" t="s">
        <v>52</v>
      </c>
      <c r="E9" t="s">
        <v>53</v>
      </c>
      <c r="F9" t="s">
        <v>16</v>
      </c>
      <c r="G9" t="s">
        <v>54</v>
      </c>
      <c r="H9" t="s">
        <v>55</v>
      </c>
      <c r="I9" t="s">
        <v>19</v>
      </c>
      <c r="J9" t="s">
        <v>20</v>
      </c>
      <c r="K9" t="s">
        <v>19</v>
      </c>
    </row>
    <row r="10" spans="1:11">
      <c r="A10" t="s">
        <v>56</v>
      </c>
      <c r="B10" t="s">
        <v>12</v>
      </c>
      <c r="C10" t="s">
        <v>13</v>
      </c>
      <c r="D10" t="s">
        <v>57</v>
      </c>
      <c r="E10" t="s">
        <v>58</v>
      </c>
      <c r="F10" t="s">
        <v>16</v>
      </c>
      <c r="G10" t="s">
        <v>59</v>
      </c>
      <c r="H10" t="s">
        <v>60</v>
      </c>
      <c r="I10" t="s">
        <v>19</v>
      </c>
      <c r="J10" t="s">
        <v>20</v>
      </c>
      <c r="K10" t="s">
        <v>19</v>
      </c>
    </row>
    <row r="11" spans="1:11">
      <c r="A11" t="s">
        <v>61</v>
      </c>
      <c r="B11" t="s">
        <v>12</v>
      </c>
      <c r="C11" t="s">
        <v>13</v>
      </c>
      <c r="D11" t="s">
        <v>62</v>
      </c>
      <c r="E11" t="s">
        <v>63</v>
      </c>
      <c r="F11" t="s">
        <v>16</v>
      </c>
      <c r="G11" t="s">
        <v>64</v>
      </c>
      <c r="H11" t="s">
        <v>65</v>
      </c>
      <c r="I11" t="s">
        <v>19</v>
      </c>
      <c r="J11" t="s">
        <v>20</v>
      </c>
      <c r="K11" t="s">
        <v>19</v>
      </c>
    </row>
    <row r="12" spans="1:11">
      <c r="A12" t="s">
        <v>66</v>
      </c>
      <c r="B12" t="s">
        <v>12</v>
      </c>
      <c r="C12" t="s">
        <v>13</v>
      </c>
      <c r="D12" t="s">
        <v>67</v>
      </c>
      <c r="E12" t="s">
        <v>68</v>
      </c>
      <c r="F12" t="s">
        <v>16</v>
      </c>
      <c r="G12" t="s">
        <v>69</v>
      </c>
      <c r="H12" t="s">
        <v>70</v>
      </c>
      <c r="I12" t="s">
        <v>19</v>
      </c>
      <c r="J12" t="s">
        <v>20</v>
      </c>
      <c r="K12" t="s">
        <v>19</v>
      </c>
    </row>
    <row r="13" spans="1:11">
      <c r="A13" t="s">
        <v>71</v>
      </c>
      <c r="B13" t="s">
        <v>12</v>
      </c>
      <c r="C13" t="s">
        <v>13</v>
      </c>
      <c r="D13" t="s">
        <v>72</v>
      </c>
      <c r="E13" t="s">
        <v>73</v>
      </c>
      <c r="F13" t="s">
        <v>16</v>
      </c>
      <c r="G13" t="s">
        <v>74</v>
      </c>
      <c r="H13" t="s">
        <v>75</v>
      </c>
      <c r="I13" t="s">
        <v>19</v>
      </c>
      <c r="J13" t="s">
        <v>20</v>
      </c>
      <c r="K13" t="s">
        <v>19</v>
      </c>
    </row>
    <row r="14" spans="1:11">
      <c r="A14" t="s">
        <v>76</v>
      </c>
      <c r="B14" t="s">
        <v>12</v>
      </c>
      <c r="C14" t="s">
        <v>13</v>
      </c>
      <c r="D14" t="s">
        <v>77</v>
      </c>
      <c r="E14" t="s">
        <v>78</v>
      </c>
      <c r="F14" t="s">
        <v>16</v>
      </c>
      <c r="G14" t="s">
        <v>79</v>
      </c>
      <c r="H14" t="s">
        <v>80</v>
      </c>
      <c r="I14" t="s">
        <v>19</v>
      </c>
      <c r="J14" t="s">
        <v>20</v>
      </c>
      <c r="K14" t="s">
        <v>19</v>
      </c>
    </row>
    <row r="15" spans="1:11">
      <c r="A15" t="s">
        <v>81</v>
      </c>
      <c r="B15" t="s">
        <v>12</v>
      </c>
      <c r="C15" t="s">
        <v>13</v>
      </c>
      <c r="D15" t="s">
        <v>82</v>
      </c>
      <c r="E15" t="s">
        <v>83</v>
      </c>
      <c r="F15" t="s">
        <v>16</v>
      </c>
      <c r="G15" t="s">
        <v>84</v>
      </c>
      <c r="H15" t="s">
        <v>85</v>
      </c>
      <c r="I15" t="s">
        <v>19</v>
      </c>
      <c r="J15" t="s">
        <v>20</v>
      </c>
      <c r="K15" t="s">
        <v>19</v>
      </c>
    </row>
    <row r="16" spans="1:11">
      <c r="A16" t="s">
        <v>86</v>
      </c>
      <c r="B16" t="s">
        <v>12</v>
      </c>
      <c r="C16" t="s">
        <v>13</v>
      </c>
      <c r="D16" t="s">
        <v>87</v>
      </c>
      <c r="E16" t="s">
        <v>88</v>
      </c>
      <c r="F16" t="s">
        <v>16</v>
      </c>
      <c r="G16" t="s">
        <v>89</v>
      </c>
      <c r="H16" t="s">
        <v>90</v>
      </c>
      <c r="I16" t="s">
        <v>19</v>
      </c>
      <c r="J16" t="s">
        <v>20</v>
      </c>
      <c r="K16" t="s">
        <v>19</v>
      </c>
    </row>
    <row r="17" spans="1:11">
      <c r="A17" t="s">
        <v>91</v>
      </c>
      <c r="B17" t="s">
        <v>12</v>
      </c>
      <c r="C17" t="s">
        <v>13</v>
      </c>
      <c r="D17" t="s">
        <v>92</v>
      </c>
      <c r="E17" t="s">
        <v>93</v>
      </c>
      <c r="F17" t="s">
        <v>16</v>
      </c>
      <c r="G17" t="s">
        <v>94</v>
      </c>
      <c r="H17" t="s">
        <v>95</v>
      </c>
      <c r="I17" t="s">
        <v>19</v>
      </c>
      <c r="J17" t="s">
        <v>20</v>
      </c>
      <c r="K17" t="s">
        <v>19</v>
      </c>
    </row>
    <row r="18" spans="1:11">
      <c r="A18" t="s">
        <v>96</v>
      </c>
      <c r="B18" t="s">
        <v>12</v>
      </c>
      <c r="C18" t="s">
        <v>13</v>
      </c>
      <c r="D18" t="s">
        <v>97</v>
      </c>
      <c r="E18" t="s">
        <v>98</v>
      </c>
      <c r="F18" t="s">
        <v>16</v>
      </c>
      <c r="G18" t="s">
        <v>99</v>
      </c>
      <c r="H18" t="s">
        <v>100</v>
      </c>
      <c r="I18" t="s">
        <v>19</v>
      </c>
      <c r="J18" t="s">
        <v>20</v>
      </c>
      <c r="K18" t="s">
        <v>19</v>
      </c>
    </row>
    <row r="19" spans="1:11">
      <c r="A19" t="s">
        <v>101</v>
      </c>
      <c r="B19" t="s">
        <v>12</v>
      </c>
      <c r="C19" t="s">
        <v>13</v>
      </c>
      <c r="D19" t="s">
        <v>102</v>
      </c>
      <c r="E19" t="s">
        <v>103</v>
      </c>
      <c r="F19" t="s">
        <v>16</v>
      </c>
      <c r="G19" t="s">
        <v>104</v>
      </c>
      <c r="H19" t="s">
        <v>105</v>
      </c>
      <c r="I19" t="s">
        <v>19</v>
      </c>
      <c r="J19" t="s">
        <v>20</v>
      </c>
      <c r="K19" t="s">
        <v>19</v>
      </c>
    </row>
    <row r="20" spans="1:11">
      <c r="A20" t="s">
        <v>106</v>
      </c>
      <c r="B20" t="s">
        <v>12</v>
      </c>
      <c r="C20" t="s">
        <v>13</v>
      </c>
      <c r="D20" t="s">
        <v>107</v>
      </c>
      <c r="E20" t="s">
        <v>108</v>
      </c>
      <c r="F20" t="s">
        <v>16</v>
      </c>
      <c r="G20" t="s">
        <v>109</v>
      </c>
      <c r="H20" t="s">
        <v>110</v>
      </c>
      <c r="I20" t="s">
        <v>19</v>
      </c>
      <c r="J20" t="s">
        <v>20</v>
      </c>
      <c r="K20" t="s">
        <v>19</v>
      </c>
    </row>
    <row r="21" spans="1:11">
      <c r="A21" t="s">
        <v>111</v>
      </c>
      <c r="B21" t="s">
        <v>12</v>
      </c>
      <c r="C21" t="s">
        <v>13</v>
      </c>
      <c r="D21" t="s">
        <v>112</v>
      </c>
      <c r="E21" t="s">
        <v>113</v>
      </c>
      <c r="F21" t="s">
        <v>16</v>
      </c>
      <c r="G21" t="s">
        <v>114</v>
      </c>
      <c r="H21" t="s">
        <v>115</v>
      </c>
      <c r="I21" t="s">
        <v>19</v>
      </c>
      <c r="J21" t="s">
        <v>20</v>
      </c>
      <c r="K21" t="s">
        <v>19</v>
      </c>
    </row>
    <row r="22" spans="1:11">
      <c r="A22" t="s">
        <v>116</v>
      </c>
      <c r="B22" t="s">
        <v>12</v>
      </c>
      <c r="C22" t="s">
        <v>13</v>
      </c>
      <c r="D22" t="s">
        <v>117</v>
      </c>
      <c r="E22" t="s">
        <v>118</v>
      </c>
      <c r="F22" t="s">
        <v>16</v>
      </c>
      <c r="G22" t="s">
        <v>119</v>
      </c>
      <c r="H22" t="s">
        <v>120</v>
      </c>
      <c r="I22" t="s">
        <v>19</v>
      </c>
      <c r="J22" t="s">
        <v>20</v>
      </c>
      <c r="K22" t="s">
        <v>19</v>
      </c>
    </row>
    <row r="23" spans="1:11">
      <c r="A23" t="s">
        <v>121</v>
      </c>
      <c r="B23" t="s">
        <v>12</v>
      </c>
      <c r="C23" t="s">
        <v>13</v>
      </c>
      <c r="D23" t="s">
        <v>122</v>
      </c>
      <c r="E23" t="s">
        <v>123</v>
      </c>
      <c r="F23" t="s">
        <v>16</v>
      </c>
      <c r="G23" t="s">
        <v>124</v>
      </c>
      <c r="H23" t="s">
        <v>125</v>
      </c>
      <c r="I23" t="s">
        <v>19</v>
      </c>
      <c r="J23" t="s">
        <v>20</v>
      </c>
      <c r="K23" t="s">
        <v>19</v>
      </c>
    </row>
    <row r="24" spans="1:11">
      <c r="A24" t="s">
        <v>126</v>
      </c>
      <c r="B24" t="s">
        <v>12</v>
      </c>
      <c r="C24" t="s">
        <v>13</v>
      </c>
      <c r="D24" t="s">
        <v>127</v>
      </c>
      <c r="E24" t="s">
        <v>128</v>
      </c>
      <c r="F24" t="s">
        <v>16</v>
      </c>
      <c r="G24" t="s">
        <v>129</v>
      </c>
      <c r="H24" t="s">
        <v>130</v>
      </c>
      <c r="I24" t="s">
        <v>19</v>
      </c>
      <c r="J24" t="s">
        <v>20</v>
      </c>
      <c r="K24" t="s">
        <v>19</v>
      </c>
    </row>
    <row r="25" spans="1:11">
      <c r="A25" t="s">
        <v>131</v>
      </c>
      <c r="B25" t="s">
        <v>12</v>
      </c>
      <c r="C25" t="s">
        <v>13</v>
      </c>
      <c r="D25" t="s">
        <v>132</v>
      </c>
      <c r="E25" t="s">
        <v>133</v>
      </c>
      <c r="F25" t="s">
        <v>16</v>
      </c>
      <c r="G25" t="s">
        <v>134</v>
      </c>
      <c r="H25" t="s">
        <v>135</v>
      </c>
      <c r="I25" t="s">
        <v>19</v>
      </c>
      <c r="J25" t="s">
        <v>20</v>
      </c>
      <c r="K25" t="s">
        <v>19</v>
      </c>
    </row>
    <row r="26" spans="1:11">
      <c r="A26" t="s">
        <v>136</v>
      </c>
      <c r="B26" t="s">
        <v>12</v>
      </c>
      <c r="C26" t="s">
        <v>13</v>
      </c>
      <c r="D26" t="s">
        <v>137</v>
      </c>
      <c r="E26" t="s">
        <v>138</v>
      </c>
      <c r="F26" t="s">
        <v>16</v>
      </c>
      <c r="G26" t="s">
        <v>139</v>
      </c>
      <c r="H26" t="s">
        <v>140</v>
      </c>
      <c r="I26" t="s">
        <v>19</v>
      </c>
      <c r="J26" t="s">
        <v>20</v>
      </c>
      <c r="K26" t="s">
        <v>19</v>
      </c>
    </row>
    <row r="27" spans="1:11">
      <c r="A27" t="s">
        <v>141</v>
      </c>
      <c r="B27" t="s">
        <v>12</v>
      </c>
      <c r="C27" t="s">
        <v>13</v>
      </c>
      <c r="D27" t="s">
        <v>142</v>
      </c>
      <c r="E27" t="s">
        <v>143</v>
      </c>
      <c r="F27" t="s">
        <v>16</v>
      </c>
      <c r="G27" t="s">
        <v>144</v>
      </c>
      <c r="H27" t="s">
        <v>145</v>
      </c>
      <c r="I27" t="s">
        <v>19</v>
      </c>
      <c r="J27" t="s">
        <v>20</v>
      </c>
      <c r="K27" t="s">
        <v>19</v>
      </c>
    </row>
    <row r="28" spans="1:11">
      <c r="A28" t="s">
        <v>146</v>
      </c>
      <c r="B28" t="s">
        <v>12</v>
      </c>
      <c r="C28" t="s">
        <v>13</v>
      </c>
      <c r="D28" t="s">
        <v>147</v>
      </c>
      <c r="E28" t="s">
        <v>148</v>
      </c>
      <c r="F28" t="s">
        <v>16</v>
      </c>
      <c r="G28" t="s">
        <v>149</v>
      </c>
      <c r="H28" t="s">
        <v>150</v>
      </c>
      <c r="I28" t="s">
        <v>19</v>
      </c>
      <c r="J28" t="s">
        <v>20</v>
      </c>
      <c r="K28" t="s">
        <v>19</v>
      </c>
    </row>
    <row r="29" spans="1:11">
      <c r="A29" t="s">
        <v>151</v>
      </c>
      <c r="B29" t="s">
        <v>12</v>
      </c>
      <c r="C29" t="s">
        <v>13</v>
      </c>
      <c r="D29" t="s">
        <v>152</v>
      </c>
      <c r="E29" t="s">
        <v>153</v>
      </c>
      <c r="F29" t="s">
        <v>16</v>
      </c>
      <c r="G29" t="s">
        <v>149</v>
      </c>
      <c r="H29" t="s">
        <v>154</v>
      </c>
      <c r="I29" t="s">
        <v>19</v>
      </c>
      <c r="J29" t="s">
        <v>20</v>
      </c>
      <c r="K29" t="s">
        <v>19</v>
      </c>
    </row>
    <row r="30" spans="1:11">
      <c r="A30" t="s">
        <v>155</v>
      </c>
      <c r="B30" t="s">
        <v>12</v>
      </c>
      <c r="C30" t="s">
        <v>13</v>
      </c>
      <c r="D30" t="s">
        <v>156</v>
      </c>
      <c r="E30" t="s">
        <v>157</v>
      </c>
      <c r="F30" t="s">
        <v>16</v>
      </c>
      <c r="G30" t="s">
        <v>158</v>
      </c>
      <c r="H30" t="s">
        <v>159</v>
      </c>
      <c r="I30" t="s">
        <v>19</v>
      </c>
      <c r="J30" t="s">
        <v>20</v>
      </c>
      <c r="K30" t="s">
        <v>19</v>
      </c>
    </row>
    <row r="31" spans="1:11">
      <c r="A31" t="s">
        <v>160</v>
      </c>
      <c r="B31" t="s">
        <v>12</v>
      </c>
      <c r="C31" t="s">
        <v>13</v>
      </c>
      <c r="D31" t="s">
        <v>161</v>
      </c>
      <c r="E31" t="s">
        <v>162</v>
      </c>
      <c r="F31" t="s">
        <v>16</v>
      </c>
      <c r="G31" t="s">
        <v>163</v>
      </c>
      <c r="H31" t="s">
        <v>164</v>
      </c>
      <c r="I31" t="s">
        <v>19</v>
      </c>
      <c r="J31" t="s">
        <v>20</v>
      </c>
      <c r="K31" t="s">
        <v>19</v>
      </c>
    </row>
    <row r="32" spans="1:11">
      <c r="A32" t="s">
        <v>165</v>
      </c>
      <c r="B32" t="s">
        <v>12</v>
      </c>
      <c r="C32" t="s">
        <v>13</v>
      </c>
      <c r="D32" t="s">
        <v>166</v>
      </c>
      <c r="E32" t="s">
        <v>167</v>
      </c>
      <c r="F32" t="s">
        <v>16</v>
      </c>
      <c r="G32" t="s">
        <v>168</v>
      </c>
      <c r="H32" t="s">
        <v>169</v>
      </c>
      <c r="I32" t="s">
        <v>19</v>
      </c>
      <c r="J32" t="s">
        <v>20</v>
      </c>
      <c r="K32" t="s">
        <v>19</v>
      </c>
    </row>
    <row r="33" spans="1:11">
      <c r="A33" t="s">
        <v>170</v>
      </c>
      <c r="B33" t="s">
        <v>12</v>
      </c>
      <c r="C33" t="s">
        <v>13</v>
      </c>
      <c r="D33" t="s">
        <v>171</v>
      </c>
      <c r="E33" t="s">
        <v>172</v>
      </c>
      <c r="F33" t="s">
        <v>16</v>
      </c>
      <c r="G33" t="s">
        <v>173</v>
      </c>
      <c r="H33" t="s">
        <v>174</v>
      </c>
      <c r="I33" t="s">
        <v>19</v>
      </c>
      <c r="J33" t="s">
        <v>20</v>
      </c>
      <c r="K33" t="s">
        <v>19</v>
      </c>
    </row>
    <row r="34" spans="1:11">
      <c r="A34" t="s">
        <v>175</v>
      </c>
      <c r="B34" t="s">
        <v>12</v>
      </c>
      <c r="C34" t="s">
        <v>13</v>
      </c>
      <c r="D34" t="s">
        <v>176</v>
      </c>
      <c r="E34" t="s">
        <v>177</v>
      </c>
      <c r="F34" t="s">
        <v>16</v>
      </c>
      <c r="G34" t="s">
        <v>178</v>
      </c>
      <c r="H34" t="s">
        <v>179</v>
      </c>
      <c r="I34" t="s">
        <v>19</v>
      </c>
      <c r="J34" t="s">
        <v>20</v>
      </c>
      <c r="K34" t="s">
        <v>19</v>
      </c>
    </row>
    <row r="35" spans="1:11">
      <c r="A35" t="s">
        <v>180</v>
      </c>
      <c r="B35" t="s">
        <v>12</v>
      </c>
      <c r="C35" t="s">
        <v>13</v>
      </c>
      <c r="D35" t="s">
        <v>181</v>
      </c>
      <c r="E35" t="s">
        <v>182</v>
      </c>
      <c r="F35" t="s">
        <v>16</v>
      </c>
      <c r="G35" t="s">
        <v>183</v>
      </c>
      <c r="H35" t="s">
        <v>184</v>
      </c>
      <c r="I35" t="s">
        <v>19</v>
      </c>
      <c r="J35" t="s">
        <v>20</v>
      </c>
      <c r="K35" t="s">
        <v>19</v>
      </c>
    </row>
    <row r="36" spans="1:11">
      <c r="A36" t="s">
        <v>185</v>
      </c>
      <c r="B36" t="s">
        <v>12</v>
      </c>
      <c r="C36" t="s">
        <v>13</v>
      </c>
      <c r="D36" t="s">
        <v>186</v>
      </c>
      <c r="E36" t="s">
        <v>187</v>
      </c>
      <c r="F36" t="s">
        <v>16</v>
      </c>
      <c r="G36" t="s">
        <v>188</v>
      </c>
      <c r="H36" t="s">
        <v>189</v>
      </c>
      <c r="I36" t="s">
        <v>19</v>
      </c>
      <c r="J36" t="s">
        <v>20</v>
      </c>
      <c r="K36" t="s">
        <v>19</v>
      </c>
    </row>
    <row r="37" spans="1:11">
      <c r="A37" t="s">
        <v>190</v>
      </c>
      <c r="B37" t="s">
        <v>12</v>
      </c>
      <c r="C37" t="s">
        <v>13</v>
      </c>
      <c r="D37" t="s">
        <v>191</v>
      </c>
      <c r="E37" t="s">
        <v>192</v>
      </c>
      <c r="F37" t="s">
        <v>16</v>
      </c>
      <c r="G37" t="s">
        <v>193</v>
      </c>
      <c r="H37" t="s">
        <v>194</v>
      </c>
      <c r="I37" t="s">
        <v>19</v>
      </c>
      <c r="J37" t="s">
        <v>20</v>
      </c>
      <c r="K37" t="s">
        <v>19</v>
      </c>
    </row>
    <row r="38" spans="1:11">
      <c r="A38" t="s">
        <v>195</v>
      </c>
      <c r="B38" t="s">
        <v>12</v>
      </c>
      <c r="C38" t="s">
        <v>13</v>
      </c>
      <c r="D38" t="s">
        <v>196</v>
      </c>
      <c r="E38" t="s">
        <v>197</v>
      </c>
      <c r="F38" t="s">
        <v>16</v>
      </c>
      <c r="G38" t="s">
        <v>198</v>
      </c>
      <c r="H38" t="s">
        <v>199</v>
      </c>
      <c r="I38" t="s">
        <v>19</v>
      </c>
      <c r="J38" t="s">
        <v>20</v>
      </c>
      <c r="K38" t="s">
        <v>19</v>
      </c>
    </row>
    <row r="39" spans="1:11">
      <c r="A39" t="s">
        <v>200</v>
      </c>
      <c r="B39" t="s">
        <v>12</v>
      </c>
      <c r="C39" t="s">
        <v>13</v>
      </c>
      <c r="D39" t="s">
        <v>201</v>
      </c>
      <c r="E39" t="s">
        <v>202</v>
      </c>
      <c r="F39" t="s">
        <v>16</v>
      </c>
      <c r="G39" t="s">
        <v>203</v>
      </c>
      <c r="H39" t="s">
        <v>204</v>
      </c>
      <c r="I39" t="s">
        <v>19</v>
      </c>
      <c r="J39" t="s">
        <v>20</v>
      </c>
      <c r="K39" t="s">
        <v>19</v>
      </c>
    </row>
    <row r="40" spans="1:11">
      <c r="A40" t="s">
        <v>205</v>
      </c>
      <c r="B40" t="s">
        <v>12</v>
      </c>
      <c r="C40" t="s">
        <v>13</v>
      </c>
      <c r="D40" t="s">
        <v>206</v>
      </c>
      <c r="E40" t="s">
        <v>207</v>
      </c>
      <c r="F40" t="s">
        <v>208</v>
      </c>
      <c r="G40" t="s">
        <v>209</v>
      </c>
      <c r="H40" t="s">
        <v>210</v>
      </c>
      <c r="I40" t="s">
        <v>19</v>
      </c>
      <c r="J40" t="s">
        <v>20</v>
      </c>
      <c r="K40" t="s">
        <v>19</v>
      </c>
    </row>
    <row r="41" spans="1:11">
      <c r="A41" t="s">
        <v>211</v>
      </c>
      <c r="B41" t="s">
        <v>12</v>
      </c>
      <c r="C41" t="s">
        <v>13</v>
      </c>
      <c r="D41" t="s">
        <v>212</v>
      </c>
      <c r="E41" t="s">
        <v>213</v>
      </c>
      <c r="F41" t="s">
        <v>208</v>
      </c>
      <c r="G41" t="s">
        <v>214</v>
      </c>
      <c r="H41" t="s">
        <v>215</v>
      </c>
      <c r="I41" t="s">
        <v>19</v>
      </c>
      <c r="J41" t="s">
        <v>20</v>
      </c>
      <c r="K41" t="s">
        <v>19</v>
      </c>
    </row>
    <row r="42" spans="1:11">
      <c r="A42" t="s">
        <v>216</v>
      </c>
      <c r="B42" t="s">
        <v>12</v>
      </c>
      <c r="C42" t="s">
        <v>13</v>
      </c>
      <c r="D42" t="s">
        <v>217</v>
      </c>
      <c r="E42" t="s">
        <v>218</v>
      </c>
      <c r="F42" t="s">
        <v>208</v>
      </c>
      <c r="G42" t="s">
        <v>219</v>
      </c>
      <c r="H42" t="s">
        <v>220</v>
      </c>
      <c r="I42" t="s">
        <v>19</v>
      </c>
      <c r="J42" t="s">
        <v>20</v>
      </c>
      <c r="K42" t="s">
        <v>19</v>
      </c>
    </row>
    <row r="43" spans="1:11">
      <c r="A43" t="s">
        <v>221</v>
      </c>
      <c r="B43" t="s">
        <v>12</v>
      </c>
      <c r="C43" t="s">
        <v>13</v>
      </c>
      <c r="D43" t="s">
        <v>222</v>
      </c>
      <c r="E43" t="s">
        <v>223</v>
      </c>
      <c r="F43" t="s">
        <v>208</v>
      </c>
      <c r="G43" t="s">
        <v>224</v>
      </c>
      <c r="H43" t="s">
        <v>225</v>
      </c>
      <c r="I43" t="s">
        <v>19</v>
      </c>
      <c r="J43" t="s">
        <v>20</v>
      </c>
      <c r="K43" t="s">
        <v>19</v>
      </c>
    </row>
    <row r="44" spans="1:11">
      <c r="A44" t="s">
        <v>226</v>
      </c>
      <c r="B44" t="s">
        <v>12</v>
      </c>
      <c r="C44" t="s">
        <v>13</v>
      </c>
      <c r="D44" t="s">
        <v>227</v>
      </c>
      <c r="E44" t="s">
        <v>228</v>
      </c>
      <c r="F44" t="s">
        <v>208</v>
      </c>
      <c r="G44" t="s">
        <v>229</v>
      </c>
      <c r="H44" t="s">
        <v>230</v>
      </c>
      <c r="I44" t="s">
        <v>19</v>
      </c>
      <c r="J44" t="s">
        <v>20</v>
      </c>
      <c r="K44" t="s">
        <v>19</v>
      </c>
    </row>
    <row r="45" spans="1:11">
      <c r="A45" t="s">
        <v>231</v>
      </c>
      <c r="B45" t="s">
        <v>12</v>
      </c>
      <c r="C45" t="s">
        <v>13</v>
      </c>
      <c r="D45" t="s">
        <v>232</v>
      </c>
      <c r="E45" t="s">
        <v>233</v>
      </c>
      <c r="F45" t="s">
        <v>208</v>
      </c>
      <c r="G45" t="s">
        <v>234</v>
      </c>
      <c r="H45" t="s">
        <v>235</v>
      </c>
      <c r="I45" t="s">
        <v>19</v>
      </c>
      <c r="J45" t="s">
        <v>20</v>
      </c>
      <c r="K45" t="s">
        <v>19</v>
      </c>
    </row>
    <row r="46" spans="1:11">
      <c r="A46" t="s">
        <v>236</v>
      </c>
      <c r="B46" t="s">
        <v>12</v>
      </c>
      <c r="C46" t="s">
        <v>13</v>
      </c>
      <c r="D46" t="s">
        <v>237</v>
      </c>
      <c r="E46" t="s">
        <v>238</v>
      </c>
      <c r="F46" t="s">
        <v>208</v>
      </c>
      <c r="G46" t="s">
        <v>239</v>
      </c>
      <c r="H46" t="s">
        <v>240</v>
      </c>
      <c r="I46" t="s">
        <v>19</v>
      </c>
      <c r="J46" t="s">
        <v>20</v>
      </c>
      <c r="K46" t="s">
        <v>19</v>
      </c>
    </row>
    <row r="47" spans="1:11">
      <c r="A47" t="s">
        <v>241</v>
      </c>
      <c r="B47" t="s">
        <v>12</v>
      </c>
      <c r="C47" t="s">
        <v>13</v>
      </c>
      <c r="D47" t="s">
        <v>242</v>
      </c>
      <c r="E47" t="s">
        <v>243</v>
      </c>
      <c r="F47" t="s">
        <v>208</v>
      </c>
      <c r="G47" t="s">
        <v>244</v>
      </c>
      <c r="H47" t="s">
        <v>245</v>
      </c>
      <c r="I47" t="s">
        <v>19</v>
      </c>
      <c r="J47" t="s">
        <v>20</v>
      </c>
      <c r="K47" t="s">
        <v>19</v>
      </c>
    </row>
    <row r="48" spans="1:11">
      <c r="A48" t="s">
        <v>246</v>
      </c>
      <c r="B48" t="s">
        <v>12</v>
      </c>
      <c r="C48" t="s">
        <v>13</v>
      </c>
      <c r="D48" t="s">
        <v>247</v>
      </c>
      <c r="E48" t="s">
        <v>248</v>
      </c>
      <c r="F48" t="s">
        <v>208</v>
      </c>
      <c r="G48" t="s">
        <v>249</v>
      </c>
      <c r="H48" t="s">
        <v>250</v>
      </c>
      <c r="I48" t="s">
        <v>19</v>
      </c>
      <c r="J48" t="s">
        <v>20</v>
      </c>
      <c r="K48" t="s">
        <v>19</v>
      </c>
    </row>
    <row r="49" spans="1:11">
      <c r="A49" t="s">
        <v>251</v>
      </c>
      <c r="B49" t="s">
        <v>12</v>
      </c>
      <c r="C49" t="s">
        <v>13</v>
      </c>
      <c r="D49" t="s">
        <v>252</v>
      </c>
      <c r="E49" t="s">
        <v>253</v>
      </c>
      <c r="F49" t="s">
        <v>254</v>
      </c>
      <c r="G49" t="s">
        <v>255</v>
      </c>
      <c r="H49" t="s">
        <v>256</v>
      </c>
      <c r="I49" t="s">
        <v>19</v>
      </c>
      <c r="J49" t="s">
        <v>20</v>
      </c>
      <c r="K49" t="s">
        <v>19</v>
      </c>
    </row>
    <row r="50" spans="1:11">
      <c r="A50" t="s">
        <v>257</v>
      </c>
      <c r="B50" t="s">
        <v>12</v>
      </c>
      <c r="C50" t="s">
        <v>13</v>
      </c>
      <c r="D50" t="s">
        <v>258</v>
      </c>
      <c r="E50" t="s">
        <v>259</v>
      </c>
      <c r="F50" t="s">
        <v>254</v>
      </c>
      <c r="G50" t="s">
        <v>260</v>
      </c>
      <c r="H50" t="s">
        <v>261</v>
      </c>
      <c r="I50" t="s">
        <v>19</v>
      </c>
      <c r="J50" t="s">
        <v>20</v>
      </c>
      <c r="K50" t="s">
        <v>19</v>
      </c>
    </row>
    <row r="51" spans="1:11">
      <c r="A51" t="s">
        <v>262</v>
      </c>
      <c r="B51" t="s">
        <v>12</v>
      </c>
      <c r="C51" t="s">
        <v>13</v>
      </c>
      <c r="D51" t="s">
        <v>263</v>
      </c>
      <c r="E51" t="s">
        <v>264</v>
      </c>
      <c r="F51" t="s">
        <v>254</v>
      </c>
      <c r="G51" t="s">
        <v>265</v>
      </c>
      <c r="H51" t="s">
        <v>266</v>
      </c>
      <c r="I51" t="s">
        <v>19</v>
      </c>
      <c r="J51" t="s">
        <v>20</v>
      </c>
      <c r="K51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BDH("UNFI US Equity","BS_TOT_ASSET","2016-06-30","2021-06-30","Per=Y","Days=T","Dir=V")</f>
        <v>0</v>
      </c>
      <c r="C2">
        <f>BDH("UNFI US Equity","BS_TOT_LIAB2","2016-06-30","2021-06-30","Per=Y","Days=T","Dir=V")</f>
        <v>0</v>
      </c>
      <c r="E2">
        <f>BDH("UNFI US Equity","SHORT_AND_LONG_TERM_DEBT","2016-06-30","2021-06-30","Per=Y","Days=T","Dir=V")</f>
        <v>0</v>
      </c>
      <c r="G2">
        <f>BDH("UNFI US Equity","BS_ST_BORROW","2016-06-30","2021-06-30","Per=Y","Days=T","Dir=V")</f>
        <v>0</v>
      </c>
      <c r="I2">
        <f>BDH("UNFI US Equity","BS_LT_BORROW","2016-06-30","2021-06-30","Per=Y","Days=T","Dir=V")</f>
        <v>0</v>
      </c>
      <c r="K2">
        <f>BDH("UNFI US Equity","BS_CASH_NEAR_CASH_ITEM","2016-06-30","2021-06-30","Per=Y","Days=T","Dir=V")</f>
        <v>0</v>
      </c>
      <c r="M2">
        <f>BDH("UNFI US Equity","BS_CUR_ASSET_REPORT","2016-06-30","2021-06-30","Per=Y","Days=T","Dir=V")</f>
        <v>0</v>
      </c>
      <c r="O2">
        <f>BDH("UNFI US Equity","BS_CUR_LIAB","2016-06-30","2021-06-30","Per=Y","Days=T","Dir=V")</f>
        <v>0</v>
      </c>
      <c r="Q2">
        <f>BDH("UNFI US Equity","BS_SHAREHOLDER_EQY_ENDING_PERIOD","2016-06-30","2021-06-30","Per=Y","Days=T","Dir=V")</f>
        <v>0</v>
      </c>
      <c r="S2">
        <f>BDH("UNFI US Equity","BS_ACCT_NOTE_RCV","2016-06-30","2021-06-30","Per=Y","Days=T","Dir=V")</f>
        <v>0</v>
      </c>
      <c r="U2">
        <f>BDH("UNFI US Equity","BS_INVENTORIES","2016-06-30","2021-06-30","Per=Y","Days=T","Dir=V")</f>
        <v>0</v>
      </c>
      <c r="W2">
        <f>BDH("UNFI US Equity","WORKING_CAPITAL","2016-06-30","2021-06-30","Per=Y","Days=T","Dir=V")</f>
        <v>0</v>
      </c>
      <c r="Y2">
        <f>BDH("UNFI US Equity","SALES_REV_TURN","2016-06-30","2021-06-30","Per=Y","Days=T","Dir=V")</f>
        <v>0</v>
      </c>
      <c r="AA2">
        <f>BDH("UNFI US Equity","EBIT","2016-06-30","2021-06-30","Per=Y","Days=T","Dir=V")</f>
        <v>0</v>
      </c>
      <c r="AC2">
        <f>BDH("UNFI US Equity","EBITDA","2016-06-30","2021-06-30","Per=Y","Days=T","Dir=V")</f>
        <v>0</v>
      </c>
      <c r="AE2">
        <f>BDH("UNFI US Equity","NET_INCOME","2016-06-30","2021-06-30","Per=Y","Days=T","Dir=V")</f>
        <v>0</v>
      </c>
      <c r="AG2">
        <f>BDH("UNFI US Equity","IS_INT_EXPENSE","2016-06-30","2021-06-30","Per=Y","Days=T","Dir=V")</f>
        <v>0</v>
      </c>
      <c r="AI2">
        <f>BDH("UNFI US Equity","IS_DEPR_EXP","2016-06-30","2021-06-30","Per=Y","Days=T","Dir=V")</f>
        <v>0</v>
      </c>
      <c r="AK2">
        <f>BDH("UNFI US Equity","CF_CASH_FROM_OPER","2016-06-30","2021-06-30","Per=Y","Days=T","Dir=V")</f>
        <v>0</v>
      </c>
      <c r="AM2">
        <f>BDH("UNFI US Equity","CAPITAL_EXPEND","2016-06-30","2021-06-30","Per=Y","Days=T","Dir=V")</f>
        <v>0</v>
      </c>
      <c r="AO2">
        <f>BDH("UNFI US Equity","CF_FREE_CASH_FLOW","2016-06-30","2021-06-30","Per=Y","Days=T","Dir=V")</f>
        <v>0</v>
      </c>
      <c r="AQ2">
        <f>BDH("UNFI US Equity","PX_LAST","2016-06-30","2021-06-30","Per=M","Days=T","Dir=V")</f>
        <v>0</v>
      </c>
      <c r="AS2">
        <f>BDH("UNFI US Equity","CUR_MKT_CAP","2016-06-30","2021-06-30","Per=M","Days=T","Dir=V")</f>
        <v>0</v>
      </c>
      <c r="AU2">
        <f>BDH("UNFI US Equity","EQY_SH_OUT","2016-06-30","2021-06-30","Per=M","Days=T","Dir=V")</f>
        <v>0</v>
      </c>
      <c r="AW2">
        <f>BDH("UNFI US Equity","BETA_RAW_OVERRIABLE","2016-06-30","2021-06-30","Per=M","Days=T","Dir=V")</f>
        <v>0</v>
      </c>
      <c r="AY2">
        <f>BDH("UNFI US Equity","PX_VOLUME","2016-06-30","2021-06-30","Per=M","Days=T","Dir=V")</f>
        <v>0</v>
      </c>
      <c r="BA2">
        <f>BDH("UNFI US Equity","TURNOVER","2016-06-30","2021-06-30","Per=M","Days=T","Dir=V")</f>
        <v>0</v>
      </c>
      <c r="BC2">
        <f>BDH("UNFI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BDH("TPC US Equity","BS_TOT_ASSET","2016-06-30","2021-06-30","Per=Y","Days=T","Dir=V")</f>
        <v>0</v>
      </c>
      <c r="C2">
        <f>BDH("TPC US Equity","BS_TOT_LIAB2","2016-06-30","2021-06-30","Per=Y","Days=T","Dir=V")</f>
        <v>0</v>
      </c>
      <c r="E2">
        <f>BDH("TPC US Equity","SHORT_AND_LONG_TERM_DEBT","2016-06-30","2021-06-30","Per=Y","Days=T","Dir=V")</f>
        <v>0</v>
      </c>
      <c r="G2">
        <f>BDH("TPC US Equity","BS_ST_BORROW","2016-06-30","2021-06-30","Per=Y","Days=T","Dir=V")</f>
        <v>0</v>
      </c>
      <c r="I2">
        <f>BDH("TPC US Equity","BS_LT_BORROW","2016-06-30","2021-06-30","Per=Y","Days=T","Dir=V")</f>
        <v>0</v>
      </c>
      <c r="K2">
        <f>BDH("TPC US Equity","BS_CASH_NEAR_CASH_ITEM","2016-06-30","2021-06-30","Per=Y","Days=T","Dir=V")</f>
        <v>0</v>
      </c>
      <c r="M2">
        <f>BDH("TPC US Equity","BS_CUR_ASSET_REPORT","2016-06-30","2021-06-30","Per=Y","Days=T","Dir=V")</f>
        <v>0</v>
      </c>
      <c r="O2">
        <f>BDH("TPC US Equity","BS_CUR_LIAB","2016-06-30","2021-06-30","Per=Y","Days=T","Dir=V")</f>
        <v>0</v>
      </c>
      <c r="Q2">
        <f>BDH("TPC US Equity","BS_SHAREHOLDER_EQY_ENDING_PERIOD","2016-06-30","2021-06-30","Per=Y","Days=T","Dir=V")</f>
        <v>0</v>
      </c>
      <c r="S2">
        <f>BDH("TPC US Equity","BS_ACCT_NOTE_RCV","2016-06-30","2021-06-30","Per=Y","Days=T","Dir=V")</f>
        <v>0</v>
      </c>
      <c r="U2">
        <f>BDH("TPC US Equity","BS_INVENTORIES","2016-06-30","2021-06-30","Per=Y","Days=T","Dir=V")</f>
        <v>0</v>
      </c>
      <c r="W2">
        <f>BDH("TPC US Equity","WORKING_CAPITAL","2016-06-30","2021-06-30","Per=Y","Days=T","Dir=V")</f>
        <v>0</v>
      </c>
      <c r="Y2">
        <f>BDH("TPC US Equity","SALES_REV_TURN","2016-06-30","2021-06-30","Per=Y","Days=T","Dir=V")</f>
        <v>0</v>
      </c>
      <c r="AA2">
        <f>BDH("TPC US Equity","EBIT","2016-06-30","2021-06-30","Per=Y","Days=T","Dir=V")</f>
        <v>0</v>
      </c>
      <c r="AC2">
        <f>BDH("TPC US Equity","EBITDA","2016-06-30","2021-06-30","Per=Y","Days=T","Dir=V")</f>
        <v>0</v>
      </c>
      <c r="AE2">
        <f>BDH("TPC US Equity","NET_INCOME","2016-06-30","2021-06-30","Per=Y","Days=T","Dir=V")</f>
        <v>0</v>
      </c>
      <c r="AG2">
        <f>BDH("TPC US Equity","IS_INT_EXPENSE","2016-06-30","2021-06-30","Per=Y","Days=T","Dir=V")</f>
        <v>0</v>
      </c>
      <c r="AI2">
        <f>BDH("TPC US Equity","IS_DEPR_EXP","2016-06-30","2021-06-30","Per=Y","Days=T","Dir=V")</f>
        <v>0</v>
      </c>
      <c r="AK2">
        <f>BDH("TPC US Equity","CF_CASH_FROM_OPER","2016-06-30","2021-06-30","Per=Y","Days=T","Dir=V")</f>
        <v>0</v>
      </c>
      <c r="AM2">
        <f>BDH("TPC US Equity","CAPITAL_EXPEND","2016-06-30","2021-06-30","Per=Y","Days=T","Dir=V")</f>
        <v>0</v>
      </c>
      <c r="AO2">
        <f>BDH("TPC US Equity","CF_FREE_CASH_FLOW","2016-06-30","2021-06-30","Per=Y","Days=T","Dir=V")</f>
        <v>0</v>
      </c>
      <c r="AQ2">
        <f>BDH("TPC US Equity","PX_LAST","2016-06-30","2021-06-30","Per=M","Days=T","Dir=V")</f>
        <v>0</v>
      </c>
      <c r="AS2">
        <f>BDH("TPC US Equity","CUR_MKT_CAP","2016-06-30","2021-06-30","Per=M","Days=T","Dir=V")</f>
        <v>0</v>
      </c>
      <c r="AU2">
        <f>BDH("TPC US Equity","EQY_SH_OUT","2016-06-30","2021-06-30","Per=M","Days=T","Dir=V")</f>
        <v>0</v>
      </c>
      <c r="AW2">
        <f>BDH("TPC US Equity","BETA_RAW_OVERRIABLE","2016-06-30","2021-06-30","Per=M","Days=T","Dir=V")</f>
        <v>0</v>
      </c>
      <c r="AY2">
        <f>BDH("TPC US Equity","PX_VOLUME","2016-06-30","2021-06-30","Per=M","Days=T","Dir=V")</f>
        <v>0</v>
      </c>
      <c r="BA2">
        <f>BDH("TPC US Equity","TURNOVER","2016-06-30","2021-06-30","Per=M","Days=T","Dir=V")</f>
        <v>0</v>
      </c>
      <c r="BC2">
        <f>BDH("TPC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BDH("AMCI US Equity","BS_TOT_ASSET","2016-06-30","2021-06-30","Per=Y","Days=T","Dir=V")</f>
        <v>0</v>
      </c>
      <c r="C2">
        <f>BDH("AMCI US Equity","BS_TOT_LIAB2","2016-06-30","2021-06-30","Per=Y","Days=T","Dir=V")</f>
        <v>0</v>
      </c>
      <c r="E2">
        <f>BDH("AMCI US Equity","SHORT_AND_LONG_TERM_DEBT","2016-06-30","2021-06-30","Per=Y","Days=T","Dir=V")</f>
        <v>0</v>
      </c>
      <c r="G2">
        <f>BDH("AMCI US Equity","BS_ST_BORROW","2016-06-30","2021-06-30","Per=Y","Days=T","Dir=V")</f>
        <v>0</v>
      </c>
      <c r="I2">
        <f>BDH("AMCI US Equity","BS_LT_BORROW","2016-06-30","2021-06-30","Per=Y","Days=T","Dir=V")</f>
        <v>0</v>
      </c>
      <c r="K2">
        <f>BDH("AMCI US Equity","BS_CASH_NEAR_CASH_ITEM","2016-06-30","2021-06-30","Per=Y","Days=T","Dir=V")</f>
        <v>0</v>
      </c>
      <c r="M2">
        <f>BDH("AMCI US Equity","BS_CUR_ASSET_REPORT","2016-06-30","2021-06-30","Per=Y","Days=T","Dir=V")</f>
        <v>0</v>
      </c>
      <c r="O2">
        <f>BDH("AMCI US Equity","BS_CUR_LIAB","2016-06-30","2021-06-30","Per=Y","Days=T","Dir=V")</f>
        <v>0</v>
      </c>
      <c r="Q2">
        <f>BDH("AMCI US Equity","BS_SHAREHOLDER_EQY_ENDING_PERIOD","2016-06-30","2021-06-30","Per=Y","Days=T","Dir=V")</f>
        <v>0</v>
      </c>
      <c r="S2">
        <f>BDH("AMCI US Equity","BS_ACCT_NOTE_RCV","2016-06-30","2021-06-30","Per=Y","Days=T","Dir=V")</f>
        <v>0</v>
      </c>
      <c r="U2">
        <f>BDH("AMCI US Equity","BS_INVENTORIES","2016-06-30","2021-06-30","Per=Y","Days=T","Dir=V")</f>
        <v>0</v>
      </c>
      <c r="W2">
        <f>BDH("AMCI US Equity","WORKING_CAPITAL","2016-06-30","2021-06-30","Per=Y","Days=T","Dir=V")</f>
        <v>0</v>
      </c>
      <c r="Y2">
        <f>BDH("AMCI US Equity","SALES_REV_TURN","2016-06-30","2021-06-30","Per=Y","Days=T","Dir=V")</f>
        <v>0</v>
      </c>
      <c r="AA2">
        <f>BDH("AMCI US Equity","EBIT","2016-06-30","2021-06-30","Per=Y","Days=T","Dir=V")</f>
        <v>0</v>
      </c>
      <c r="AC2">
        <f>BDH("AMCI US Equity","EBITDA","2016-06-30","2021-06-30","Per=Y","Days=T","Dir=V")</f>
        <v>0</v>
      </c>
      <c r="AE2">
        <f>BDH("AMCI US Equity","NET_INCOME","2016-06-30","2021-06-30","Per=Y","Days=T","Dir=V")</f>
        <v>0</v>
      </c>
      <c r="AG2">
        <f>BDH("AMCI US Equity","IS_INT_EXPENSE","2016-06-30","2021-06-30","Per=Y","Days=T","Dir=V")</f>
        <v>0</v>
      </c>
      <c r="AI2">
        <f>BDH("AMCI US Equity","IS_DEPR_EXP","2016-06-30","2021-06-30","Per=Y","Days=T","Dir=V")</f>
        <v>0</v>
      </c>
      <c r="AK2">
        <f>BDH("AMCI US Equity","CF_CASH_FROM_OPER","2016-06-30","2021-06-30","Per=Y","Days=T","Dir=V")</f>
        <v>0</v>
      </c>
      <c r="AM2">
        <f>BDH("AMCI US Equity","CAPITAL_EXPEND","2016-06-30","2021-06-30","Per=Y","Days=T","Dir=V")</f>
        <v>0</v>
      </c>
      <c r="AO2">
        <f>BDH("AMCI US Equity","CF_FREE_CASH_FLOW","2016-06-30","2021-06-30","Per=Y","Days=T","Dir=V")</f>
        <v>0</v>
      </c>
      <c r="AQ2">
        <f>BDH("AMCI US Equity","PX_LAST","2016-06-30","2021-06-30","Per=M","Days=T","Dir=V")</f>
        <v>0</v>
      </c>
      <c r="AS2">
        <f>BDH("AMCI US Equity","CUR_MKT_CAP","2016-06-30","2021-06-30","Per=M","Days=T","Dir=V")</f>
        <v>0</v>
      </c>
      <c r="AU2">
        <f>BDH("AMCI US Equity","EQY_SH_OUT","2016-06-30","2021-06-30","Per=M","Days=T","Dir=V")</f>
        <v>0</v>
      </c>
      <c r="AW2">
        <f>BDH("AMCI US Equity","BETA_RAW_OVERRIABLE","2016-06-30","2021-06-30","Per=M","Days=T","Dir=V")</f>
        <v>0</v>
      </c>
      <c r="AY2">
        <f>BDH("AMCI US Equity","PX_VOLUME","2016-06-30","2021-06-30","Per=M","Days=T","Dir=V")</f>
        <v>0</v>
      </c>
      <c r="BA2">
        <f>BDH("AMCI US Equity","TURNOVER","2016-06-30","2021-06-30","Per=M","Days=T","Dir=V")</f>
        <v>0</v>
      </c>
      <c r="BC2">
        <f>BDH("AMCI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BDH("LGIH US Equity","BS_TOT_ASSET","2016-06-30","2021-06-30","Per=Y","Days=T","Dir=V")</f>
        <v>0</v>
      </c>
      <c r="C2">
        <f>BDH("LGIH US Equity","BS_TOT_LIAB2","2016-06-30","2021-06-30","Per=Y","Days=T","Dir=V")</f>
        <v>0</v>
      </c>
      <c r="E2">
        <f>BDH("LGIH US Equity","SHORT_AND_LONG_TERM_DEBT","2016-06-30","2021-06-30","Per=Y","Days=T","Dir=V")</f>
        <v>0</v>
      </c>
      <c r="G2">
        <f>BDH("LGIH US Equity","BS_ST_BORROW","2016-06-30","2021-06-30","Per=Y","Days=T","Dir=V")</f>
        <v>0</v>
      </c>
      <c r="I2">
        <f>BDH("LGIH US Equity","BS_LT_BORROW","2016-06-30","2021-06-30","Per=Y","Days=T","Dir=V")</f>
        <v>0</v>
      </c>
      <c r="K2">
        <f>BDH("LGIH US Equity","BS_CASH_NEAR_CASH_ITEM","2016-06-30","2021-06-30","Per=Y","Days=T","Dir=V")</f>
        <v>0</v>
      </c>
      <c r="M2">
        <f>BDH("LGIH US Equity","BS_CUR_ASSET_REPORT","2016-06-30","2021-06-30","Per=Y","Days=T","Dir=V")</f>
        <v>0</v>
      </c>
      <c r="O2">
        <f>BDH("LGIH US Equity","BS_CUR_LIAB","2016-06-30","2021-06-30","Per=Y","Days=T","Dir=V")</f>
        <v>0</v>
      </c>
      <c r="Q2">
        <f>BDH("LGIH US Equity","BS_SHAREHOLDER_EQY_ENDING_PERIOD","2016-06-30","2021-06-30","Per=Y","Days=T","Dir=V")</f>
        <v>0</v>
      </c>
      <c r="S2">
        <f>BDH("LGIH US Equity","BS_ACCT_NOTE_RCV","2016-06-30","2021-06-30","Per=Y","Days=T","Dir=V")</f>
        <v>0</v>
      </c>
      <c r="U2">
        <f>BDH("LGIH US Equity","BS_INVENTORIES","2016-06-30","2021-06-30","Per=Y","Days=T","Dir=V")</f>
        <v>0</v>
      </c>
      <c r="W2">
        <f>BDH("LGIH US Equity","WORKING_CAPITAL","2016-06-30","2021-06-30","Per=Y","Days=T","Dir=V")</f>
        <v>0</v>
      </c>
      <c r="Y2">
        <f>BDH("LGIH US Equity","SALES_REV_TURN","2016-06-30","2021-06-30","Per=Y","Days=T","Dir=V")</f>
        <v>0</v>
      </c>
      <c r="AA2">
        <f>BDH("LGIH US Equity","EBIT","2016-06-30","2021-06-30","Per=Y","Days=T","Dir=V")</f>
        <v>0</v>
      </c>
      <c r="AC2">
        <f>BDH("LGIH US Equity","EBITDA","2016-06-30","2021-06-30","Per=Y","Days=T","Dir=V")</f>
        <v>0</v>
      </c>
      <c r="AE2">
        <f>BDH("LGIH US Equity","NET_INCOME","2016-06-30","2021-06-30","Per=Y","Days=T","Dir=V")</f>
        <v>0</v>
      </c>
      <c r="AG2">
        <f>BDH("LGIH US Equity","IS_INT_EXPENSE","2016-06-30","2021-06-30","Per=Y","Days=T","Dir=V")</f>
        <v>0</v>
      </c>
      <c r="AI2">
        <f>BDH("LGIH US Equity","IS_DEPR_EXP","2016-06-30","2021-06-30","Per=Y","Days=T","Dir=V")</f>
        <v>0</v>
      </c>
      <c r="AK2">
        <f>BDH("LGIH US Equity","CF_CASH_FROM_OPER","2016-06-30","2021-06-30","Per=Y","Days=T","Dir=V")</f>
        <v>0</v>
      </c>
      <c r="AM2">
        <f>BDH("LGIH US Equity","CAPITAL_EXPEND","2016-06-30","2021-06-30","Per=Y","Days=T","Dir=V")</f>
        <v>0</v>
      </c>
      <c r="AO2">
        <f>BDH("LGIH US Equity","CF_FREE_CASH_FLOW","2016-06-30","2021-06-30","Per=Y","Days=T","Dir=V")</f>
        <v>0</v>
      </c>
      <c r="AQ2">
        <f>BDH("LGIH US Equity","PX_LAST","2016-06-30","2021-06-30","Per=M","Days=T","Dir=V")</f>
        <v>0</v>
      </c>
      <c r="AS2">
        <f>BDH("LGIH US Equity","CUR_MKT_CAP","2016-06-30","2021-06-30","Per=M","Days=T","Dir=V")</f>
        <v>0</v>
      </c>
      <c r="AU2">
        <f>BDH("LGIH US Equity","EQY_SH_OUT","2016-06-30","2021-06-30","Per=M","Days=T","Dir=V")</f>
        <v>0</v>
      </c>
      <c r="AW2">
        <f>BDH("LGIH US Equity","BETA_RAW_OVERRIABLE","2016-06-30","2021-06-30","Per=M","Days=T","Dir=V")</f>
        <v>0</v>
      </c>
      <c r="AY2">
        <f>BDH("LGIH US Equity","PX_VOLUME","2016-06-30","2021-06-30","Per=M","Days=T","Dir=V")</f>
        <v>0</v>
      </c>
      <c r="BA2">
        <f>BDH("LGIH US Equity","TURNOVER","2016-06-30","2021-06-30","Per=M","Days=T","Dir=V")</f>
        <v>0</v>
      </c>
      <c r="BC2">
        <f>BDH("LGIH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BDH("HGV US Equity","BS_TOT_ASSET","2016-06-30","2021-06-30","Per=Y","Days=T","Dir=V")</f>
        <v>0</v>
      </c>
      <c r="C2">
        <f>BDH("HGV US Equity","BS_TOT_LIAB2","2016-06-30","2021-06-30","Per=Y","Days=T","Dir=V")</f>
        <v>0</v>
      </c>
      <c r="E2">
        <f>BDH("HGV US Equity","SHORT_AND_LONG_TERM_DEBT","2016-06-30","2021-06-30","Per=Y","Days=T","Dir=V")</f>
        <v>0</v>
      </c>
      <c r="G2">
        <f>BDH("HGV US Equity","BS_ST_BORROW","2016-06-30","2021-06-30","Per=Y","Days=T","Dir=V")</f>
        <v>0</v>
      </c>
      <c r="I2">
        <f>BDH("HGV US Equity","BS_LT_BORROW","2016-06-30","2021-06-30","Per=Y","Days=T","Dir=V")</f>
        <v>0</v>
      </c>
      <c r="K2">
        <f>BDH("HGV US Equity","BS_CASH_NEAR_CASH_ITEM","2016-06-30","2021-06-30","Per=Y","Days=T","Dir=V")</f>
        <v>0</v>
      </c>
      <c r="M2">
        <f>BDH("HGV US Equity","BS_CUR_ASSET_REPORT","2016-06-30","2021-06-30","Per=Y","Days=T","Dir=V")</f>
        <v>0</v>
      </c>
      <c r="O2">
        <f>BDH("HGV US Equity","BS_CUR_LIAB","2016-06-30","2021-06-30","Per=Y","Days=T","Dir=V")</f>
        <v>0</v>
      </c>
      <c r="Q2">
        <f>BDH("HGV US Equity","BS_SHAREHOLDER_EQY_ENDING_PERIOD","2016-06-30","2021-06-30","Per=Y","Days=T","Dir=V")</f>
        <v>0</v>
      </c>
      <c r="S2">
        <f>BDH("HGV US Equity","BS_ACCT_NOTE_RCV","2016-06-30","2021-06-30","Per=Y","Days=T","Dir=V")</f>
        <v>0</v>
      </c>
      <c r="U2">
        <f>BDH("HGV US Equity","BS_INVENTORIES","2016-06-30","2021-06-30","Per=Y","Days=T","Dir=V")</f>
        <v>0</v>
      </c>
      <c r="W2">
        <f>BDH("HGV US Equity","WORKING_CAPITAL","2016-06-30","2021-06-30","Per=Y","Days=T","Dir=V")</f>
        <v>0</v>
      </c>
      <c r="Y2">
        <f>BDH("HGV US Equity","SALES_REV_TURN","2016-06-30","2021-06-30","Per=Y","Days=T","Dir=V")</f>
        <v>0</v>
      </c>
      <c r="AA2">
        <f>BDH("HGV US Equity","EBIT","2016-06-30","2021-06-30","Per=Y","Days=T","Dir=V")</f>
        <v>0</v>
      </c>
      <c r="AC2">
        <f>BDH("HGV US Equity","EBITDA","2016-06-30","2021-06-30","Per=Y","Days=T","Dir=V")</f>
        <v>0</v>
      </c>
      <c r="AE2">
        <f>BDH("HGV US Equity","NET_INCOME","2016-06-30","2021-06-30","Per=Y","Days=T","Dir=V")</f>
        <v>0</v>
      </c>
      <c r="AG2">
        <f>BDH("HGV US Equity","IS_INT_EXPENSE","2016-06-30","2021-06-30","Per=Y","Days=T","Dir=V")</f>
        <v>0</v>
      </c>
      <c r="AI2">
        <f>BDH("HGV US Equity","IS_DEPR_EXP","2016-06-30","2021-06-30","Per=Y","Days=T","Dir=V")</f>
        <v>0</v>
      </c>
      <c r="AK2">
        <f>BDH("HGV US Equity","CF_CASH_FROM_OPER","2016-06-30","2021-06-30","Per=Y","Days=T","Dir=V")</f>
        <v>0</v>
      </c>
      <c r="AM2">
        <f>BDH("HGV US Equity","CAPITAL_EXPEND","2016-06-30","2021-06-30","Per=Y","Days=T","Dir=V")</f>
        <v>0</v>
      </c>
      <c r="AO2">
        <f>BDH("HGV US Equity","CF_FREE_CASH_FLOW","2016-06-30","2021-06-30","Per=Y","Days=T","Dir=V")</f>
        <v>0</v>
      </c>
      <c r="AQ2">
        <f>BDH("HGV US Equity","PX_LAST","2016-06-30","2021-06-30","Per=M","Days=T","Dir=V")</f>
        <v>0</v>
      </c>
      <c r="AS2">
        <f>BDH("HGV US Equity","CUR_MKT_CAP","2016-06-30","2021-06-30","Per=M","Days=T","Dir=V")</f>
        <v>0</v>
      </c>
      <c r="AU2">
        <f>BDH("HGV US Equity","EQY_SH_OUT","2016-06-30","2021-06-30","Per=M","Days=T","Dir=V")</f>
        <v>0</v>
      </c>
      <c r="AW2">
        <f>BDH("HGV US Equity","BETA_RAW_OVERRIABLE","2016-06-30","2021-06-30","Per=M","Days=T","Dir=V")</f>
        <v>0</v>
      </c>
      <c r="AY2">
        <f>BDH("HGV US Equity","PX_VOLUME","2016-06-30","2021-06-30","Per=M","Days=T","Dir=V")</f>
        <v>0</v>
      </c>
      <c r="BA2">
        <f>BDH("HGV US Equity","TURNOVER","2016-06-30","2021-06-30","Per=M","Days=T","Dir=V")</f>
        <v>0</v>
      </c>
      <c r="BC2">
        <f>BDH("HGV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BDH("SWK US Equity","BS_TOT_ASSET","2016-06-30","2021-06-30","Per=Y","Days=T","Dir=V")</f>
        <v>0</v>
      </c>
      <c r="C2">
        <f>BDH("SWK US Equity","BS_TOT_LIAB2","2016-06-30","2021-06-30","Per=Y","Days=T","Dir=V")</f>
        <v>0</v>
      </c>
      <c r="E2">
        <f>BDH("SWK US Equity","SHORT_AND_LONG_TERM_DEBT","2016-06-30","2021-06-30","Per=Y","Days=T","Dir=V")</f>
        <v>0</v>
      </c>
      <c r="G2">
        <f>BDH("SWK US Equity","BS_ST_BORROW","2016-06-30","2021-06-30","Per=Y","Days=T","Dir=V")</f>
        <v>0</v>
      </c>
      <c r="I2">
        <f>BDH("SWK US Equity","BS_LT_BORROW","2016-06-30","2021-06-30","Per=Y","Days=T","Dir=V")</f>
        <v>0</v>
      </c>
      <c r="K2">
        <f>BDH("SWK US Equity","BS_CASH_NEAR_CASH_ITEM","2016-06-30","2021-06-30","Per=Y","Days=T","Dir=V")</f>
        <v>0</v>
      </c>
      <c r="M2">
        <f>BDH("SWK US Equity","BS_CUR_ASSET_REPORT","2016-06-30","2021-06-30","Per=Y","Days=T","Dir=V")</f>
        <v>0</v>
      </c>
      <c r="O2">
        <f>BDH("SWK US Equity","BS_CUR_LIAB","2016-06-30","2021-06-30","Per=Y","Days=T","Dir=V")</f>
        <v>0</v>
      </c>
      <c r="Q2">
        <f>BDH("SWK US Equity","BS_SHAREHOLDER_EQY_ENDING_PERIOD","2016-06-30","2021-06-30","Per=Y","Days=T","Dir=V")</f>
        <v>0</v>
      </c>
      <c r="S2">
        <f>BDH("SWK US Equity","BS_ACCT_NOTE_RCV","2016-06-30","2021-06-30","Per=Y","Days=T","Dir=V")</f>
        <v>0</v>
      </c>
      <c r="U2">
        <f>BDH("SWK US Equity","BS_INVENTORIES","2016-06-30","2021-06-30","Per=Y","Days=T","Dir=V")</f>
        <v>0</v>
      </c>
      <c r="W2">
        <f>BDH("SWK US Equity","WORKING_CAPITAL","2016-06-30","2021-06-30","Per=Y","Days=T","Dir=V")</f>
        <v>0</v>
      </c>
      <c r="Y2">
        <f>BDH("SWK US Equity","SALES_REV_TURN","2016-06-30","2021-06-30","Per=Y","Days=T","Dir=V")</f>
        <v>0</v>
      </c>
      <c r="AA2">
        <f>BDH("SWK US Equity","EBIT","2016-06-30","2021-06-30","Per=Y","Days=T","Dir=V")</f>
        <v>0</v>
      </c>
      <c r="AC2">
        <f>BDH("SWK US Equity","EBITDA","2016-06-30","2021-06-30","Per=Y","Days=T","Dir=V")</f>
        <v>0</v>
      </c>
      <c r="AE2">
        <f>BDH("SWK US Equity","NET_INCOME","2016-06-30","2021-06-30","Per=Y","Days=T","Dir=V")</f>
        <v>0</v>
      </c>
      <c r="AG2">
        <f>BDH("SWK US Equity","IS_INT_EXPENSE","2016-06-30","2021-06-30","Per=Y","Days=T","Dir=V")</f>
        <v>0</v>
      </c>
      <c r="AI2">
        <f>BDH("SWK US Equity","IS_DEPR_EXP","2016-06-30","2021-06-30","Per=Y","Days=T","Dir=V")</f>
        <v>0</v>
      </c>
      <c r="AK2">
        <f>BDH("SWK US Equity","CF_CASH_FROM_OPER","2016-06-30","2021-06-30","Per=Y","Days=T","Dir=V")</f>
        <v>0</v>
      </c>
      <c r="AM2">
        <f>BDH("SWK US Equity","CAPITAL_EXPEND","2016-06-30","2021-06-30","Per=Y","Days=T","Dir=V")</f>
        <v>0</v>
      </c>
      <c r="AO2">
        <f>BDH("SWK US Equity","CF_FREE_CASH_FLOW","2016-06-30","2021-06-30","Per=Y","Days=T","Dir=V")</f>
        <v>0</v>
      </c>
      <c r="AQ2">
        <f>BDH("SWK US Equity","PX_LAST","2016-06-30","2021-06-30","Per=M","Days=T","Dir=V")</f>
        <v>0</v>
      </c>
      <c r="AS2">
        <f>BDH("SWK US Equity","CUR_MKT_CAP","2016-06-30","2021-06-30","Per=M","Days=T","Dir=V")</f>
        <v>0</v>
      </c>
      <c r="AU2">
        <f>BDH("SWK US Equity","EQY_SH_OUT","2016-06-30","2021-06-30","Per=M","Days=T","Dir=V")</f>
        <v>0</v>
      </c>
      <c r="AW2">
        <f>BDH("SWK US Equity","BETA_RAW_OVERRIABLE","2016-06-30","2021-06-30","Per=M","Days=T","Dir=V")</f>
        <v>0</v>
      </c>
      <c r="AY2">
        <f>BDH("SWK US Equity","PX_VOLUME","2016-06-30","2021-06-30","Per=M","Days=T","Dir=V")</f>
        <v>0</v>
      </c>
      <c r="BA2">
        <f>BDH("SWK US Equity","TURNOVER","2016-06-30","2021-06-30","Per=M","Days=T","Dir=V")</f>
        <v>0</v>
      </c>
      <c r="BC2">
        <f>BDH("SWK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BDH("VIRC US Equity","BS_TOT_ASSET","2016-06-30","2021-06-30","Per=Y","Days=T","Dir=V")</f>
        <v>0</v>
      </c>
      <c r="C2">
        <f>BDH("VIRC US Equity","BS_TOT_LIAB2","2016-06-30","2021-06-30","Per=Y","Days=T","Dir=V")</f>
        <v>0</v>
      </c>
      <c r="E2">
        <f>BDH("VIRC US Equity","SHORT_AND_LONG_TERM_DEBT","2016-06-30","2021-06-30","Per=Y","Days=T","Dir=V")</f>
        <v>0</v>
      </c>
      <c r="G2">
        <f>BDH("VIRC US Equity","BS_ST_BORROW","2016-06-30","2021-06-30","Per=Y","Days=T","Dir=V")</f>
        <v>0</v>
      </c>
      <c r="I2">
        <f>BDH("VIRC US Equity","BS_LT_BORROW","2016-06-30","2021-06-30","Per=Y","Days=T","Dir=V")</f>
        <v>0</v>
      </c>
      <c r="K2">
        <f>BDH("VIRC US Equity","BS_CASH_NEAR_CASH_ITEM","2016-06-30","2021-06-30","Per=Y","Days=T","Dir=V")</f>
        <v>0</v>
      </c>
      <c r="M2">
        <f>BDH("VIRC US Equity","BS_CUR_ASSET_REPORT","2016-06-30","2021-06-30","Per=Y","Days=T","Dir=V")</f>
        <v>0</v>
      </c>
      <c r="O2">
        <f>BDH("VIRC US Equity","BS_CUR_LIAB","2016-06-30","2021-06-30","Per=Y","Days=T","Dir=V")</f>
        <v>0</v>
      </c>
      <c r="Q2">
        <f>BDH("VIRC US Equity","BS_SHAREHOLDER_EQY_ENDING_PERIOD","2016-06-30","2021-06-30","Per=Y","Days=T","Dir=V")</f>
        <v>0</v>
      </c>
      <c r="S2">
        <f>BDH("VIRC US Equity","BS_ACCT_NOTE_RCV","2016-06-30","2021-06-30","Per=Y","Days=T","Dir=V")</f>
        <v>0</v>
      </c>
      <c r="U2">
        <f>BDH("VIRC US Equity","BS_INVENTORIES","2016-06-30","2021-06-30","Per=Y","Days=T","Dir=V")</f>
        <v>0</v>
      </c>
      <c r="W2">
        <f>BDH("VIRC US Equity","WORKING_CAPITAL","2016-06-30","2021-06-30","Per=Y","Days=T","Dir=V")</f>
        <v>0</v>
      </c>
      <c r="Y2">
        <f>BDH("VIRC US Equity","SALES_REV_TURN","2016-06-30","2021-06-30","Per=Y","Days=T","Dir=V")</f>
        <v>0</v>
      </c>
      <c r="AA2">
        <f>BDH("VIRC US Equity","EBIT","2016-06-30","2021-06-30","Per=Y","Days=T","Dir=V")</f>
        <v>0</v>
      </c>
      <c r="AC2">
        <f>BDH("VIRC US Equity","EBITDA","2016-06-30","2021-06-30","Per=Y","Days=T","Dir=V")</f>
        <v>0</v>
      </c>
      <c r="AE2">
        <f>BDH("VIRC US Equity","NET_INCOME","2016-06-30","2021-06-30","Per=Y","Days=T","Dir=V")</f>
        <v>0</v>
      </c>
      <c r="AG2">
        <f>BDH("VIRC US Equity","IS_INT_EXPENSE","2016-06-30","2021-06-30","Per=Y","Days=T","Dir=V")</f>
        <v>0</v>
      </c>
      <c r="AI2">
        <f>BDH("VIRC US Equity","IS_DEPR_EXP","2016-06-30","2021-06-30","Per=Y","Days=T","Dir=V")</f>
        <v>0</v>
      </c>
      <c r="AK2">
        <f>BDH("VIRC US Equity","CF_CASH_FROM_OPER","2016-06-30","2021-06-30","Per=Y","Days=T","Dir=V")</f>
        <v>0</v>
      </c>
      <c r="AM2">
        <f>BDH("VIRC US Equity","CAPITAL_EXPEND","2016-06-30","2021-06-30","Per=Y","Days=T","Dir=V")</f>
        <v>0</v>
      </c>
      <c r="AO2">
        <f>BDH("VIRC US Equity","CF_FREE_CASH_FLOW","2016-06-30","2021-06-30","Per=Y","Days=T","Dir=V")</f>
        <v>0</v>
      </c>
      <c r="AQ2">
        <f>BDH("VIRC US Equity","PX_LAST","2016-06-30","2021-06-30","Per=M","Days=T","Dir=V")</f>
        <v>0</v>
      </c>
      <c r="AS2">
        <f>BDH("VIRC US Equity","CUR_MKT_CAP","2016-06-30","2021-06-30","Per=M","Days=T","Dir=V")</f>
        <v>0</v>
      </c>
      <c r="AU2">
        <f>BDH("VIRC US Equity","EQY_SH_OUT","2016-06-30","2021-06-30","Per=M","Days=T","Dir=V")</f>
        <v>0</v>
      </c>
      <c r="AW2">
        <f>BDH("VIRC US Equity","BETA_RAW_OVERRIABLE","2016-06-30","2021-06-30","Per=M","Days=T","Dir=V")</f>
        <v>0</v>
      </c>
      <c r="AY2">
        <f>BDH("VIRC US Equity","PX_VOLUME","2016-06-30","2021-06-30","Per=M","Days=T","Dir=V")</f>
        <v>0</v>
      </c>
      <c r="BA2">
        <f>BDH("VIRC US Equity","TURNOVER","2016-06-30","2021-06-30","Per=M","Days=T","Dir=V")</f>
        <v>0</v>
      </c>
      <c r="BC2">
        <f>BDH("VIRC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BDH("TDW US Equity","BS_TOT_ASSET","2016-06-30","2021-06-30","Per=Y","Days=T","Dir=V")</f>
        <v>0</v>
      </c>
      <c r="C2">
        <f>BDH("TDW US Equity","BS_TOT_LIAB2","2016-06-30","2021-06-30","Per=Y","Days=T","Dir=V")</f>
        <v>0</v>
      </c>
      <c r="E2">
        <f>BDH("TDW US Equity","SHORT_AND_LONG_TERM_DEBT","2016-06-30","2021-06-30","Per=Y","Days=T","Dir=V")</f>
        <v>0</v>
      </c>
      <c r="G2">
        <f>BDH("TDW US Equity","BS_ST_BORROW","2016-06-30","2021-06-30","Per=Y","Days=T","Dir=V")</f>
        <v>0</v>
      </c>
      <c r="I2">
        <f>BDH("TDW US Equity","BS_LT_BORROW","2016-06-30","2021-06-30","Per=Y","Days=T","Dir=V")</f>
        <v>0</v>
      </c>
      <c r="K2">
        <f>BDH("TDW US Equity","BS_CASH_NEAR_CASH_ITEM","2016-06-30","2021-06-30","Per=Y","Days=T","Dir=V")</f>
        <v>0</v>
      </c>
      <c r="M2">
        <f>BDH("TDW US Equity","BS_CUR_ASSET_REPORT","2016-06-30","2021-06-30","Per=Y","Days=T","Dir=V")</f>
        <v>0</v>
      </c>
      <c r="O2">
        <f>BDH("TDW US Equity","BS_CUR_LIAB","2016-06-30","2021-06-30","Per=Y","Days=T","Dir=V")</f>
        <v>0</v>
      </c>
      <c r="Q2">
        <f>BDH("TDW US Equity","BS_SHAREHOLDER_EQY_ENDING_PERIOD","2016-06-30","2021-06-30","Per=Y","Days=T","Dir=V")</f>
        <v>0</v>
      </c>
      <c r="S2">
        <f>BDH("TDW US Equity","BS_ACCT_NOTE_RCV","2016-06-30","2021-06-30","Per=Y","Days=T","Dir=V")</f>
        <v>0</v>
      </c>
      <c r="U2">
        <f>BDH("TDW US Equity","BS_INVENTORIES","2016-06-30","2021-06-30","Per=Y","Days=T","Dir=V")</f>
        <v>0</v>
      </c>
      <c r="W2">
        <f>BDH("TDW US Equity","WORKING_CAPITAL","2016-06-30","2021-06-30","Per=Y","Days=T","Dir=V")</f>
        <v>0</v>
      </c>
      <c r="Y2">
        <f>BDH("TDW US Equity","SALES_REV_TURN","2016-06-30","2021-06-30","Per=Y","Days=T","Dir=V")</f>
        <v>0</v>
      </c>
      <c r="AA2">
        <f>BDH("TDW US Equity","EBIT","2016-06-30","2021-06-30","Per=Y","Days=T","Dir=V")</f>
        <v>0</v>
      </c>
      <c r="AC2">
        <f>BDH("TDW US Equity","EBITDA","2016-06-30","2021-06-30","Per=Y","Days=T","Dir=V")</f>
        <v>0</v>
      </c>
      <c r="AE2">
        <f>BDH("TDW US Equity","NET_INCOME","2016-06-30","2021-06-30","Per=Y","Days=T","Dir=V")</f>
        <v>0</v>
      </c>
      <c r="AG2">
        <f>BDH("TDW US Equity","IS_INT_EXPENSE","2016-06-30","2021-06-30","Per=Y","Days=T","Dir=V")</f>
        <v>0</v>
      </c>
      <c r="AI2">
        <f>BDH("TDW US Equity","IS_DEPR_EXP","2016-06-30","2021-06-30","Per=Y","Days=T","Dir=V")</f>
        <v>0</v>
      </c>
      <c r="AK2">
        <f>BDH("TDW US Equity","CF_CASH_FROM_OPER","2016-06-30","2021-06-30","Per=Y","Days=T","Dir=V")</f>
        <v>0</v>
      </c>
      <c r="AM2">
        <f>BDH("TDW US Equity","CAPITAL_EXPEND","2016-06-30","2021-06-30","Per=Y","Days=T","Dir=V")</f>
        <v>0</v>
      </c>
      <c r="AO2">
        <f>BDH("TDW US Equity","CF_FREE_CASH_FLOW","2016-06-30","2021-06-30","Per=Y","Days=T","Dir=V")</f>
        <v>0</v>
      </c>
      <c r="AQ2">
        <f>BDH("TDW US Equity","PX_LAST","2016-06-30","2021-06-30","Per=M","Days=T","Dir=V")</f>
        <v>0</v>
      </c>
      <c r="AS2">
        <f>BDH("TDW US Equity","CUR_MKT_CAP","2016-06-30","2021-06-30","Per=M","Days=T","Dir=V")</f>
        <v>0</v>
      </c>
      <c r="AU2">
        <f>BDH("TDW US Equity","EQY_SH_OUT","2016-06-30","2021-06-30","Per=M","Days=T","Dir=V")</f>
        <v>0</v>
      </c>
      <c r="AW2">
        <f>BDH("TDW US Equity","BETA_RAW_OVERRIABLE","2016-06-30","2021-06-30","Per=M","Days=T","Dir=V")</f>
        <v>0</v>
      </c>
      <c r="AY2">
        <f>BDH("TDW US Equity","PX_VOLUME","2016-06-30","2021-06-30","Per=M","Days=T","Dir=V")</f>
        <v>0</v>
      </c>
      <c r="BA2">
        <f>BDH("TDW US Equity","TURNOVER","2016-06-30","2021-06-30","Per=M","Days=T","Dir=V")</f>
        <v>0</v>
      </c>
      <c r="BC2">
        <f>BDH("TDW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BDH("FELE US Equity","BS_TOT_ASSET","2016-06-30","2021-06-30","Per=Y","Days=T","Dir=V")</f>
        <v>0</v>
      </c>
      <c r="C2">
        <f>BDH("FELE US Equity","BS_TOT_LIAB2","2016-06-30","2021-06-30","Per=Y","Days=T","Dir=V")</f>
        <v>0</v>
      </c>
      <c r="E2">
        <f>BDH("FELE US Equity","SHORT_AND_LONG_TERM_DEBT","2016-06-30","2021-06-30","Per=Y","Days=T","Dir=V")</f>
        <v>0</v>
      </c>
      <c r="G2">
        <f>BDH("FELE US Equity","BS_ST_BORROW","2016-06-30","2021-06-30","Per=Y","Days=T","Dir=V")</f>
        <v>0</v>
      </c>
      <c r="I2">
        <f>BDH("FELE US Equity","BS_LT_BORROW","2016-06-30","2021-06-30","Per=Y","Days=T","Dir=V")</f>
        <v>0</v>
      </c>
      <c r="K2">
        <f>BDH("FELE US Equity","BS_CASH_NEAR_CASH_ITEM","2016-06-30","2021-06-30","Per=Y","Days=T","Dir=V")</f>
        <v>0</v>
      </c>
      <c r="M2">
        <f>BDH("FELE US Equity","BS_CUR_ASSET_REPORT","2016-06-30","2021-06-30","Per=Y","Days=T","Dir=V")</f>
        <v>0</v>
      </c>
      <c r="O2">
        <f>BDH("FELE US Equity","BS_CUR_LIAB","2016-06-30","2021-06-30","Per=Y","Days=T","Dir=V")</f>
        <v>0</v>
      </c>
      <c r="Q2">
        <f>BDH("FELE US Equity","BS_SHAREHOLDER_EQY_ENDING_PERIOD","2016-06-30","2021-06-30","Per=Y","Days=T","Dir=V")</f>
        <v>0</v>
      </c>
      <c r="S2">
        <f>BDH("FELE US Equity","BS_ACCT_NOTE_RCV","2016-06-30","2021-06-30","Per=Y","Days=T","Dir=V")</f>
        <v>0</v>
      </c>
      <c r="U2">
        <f>BDH("FELE US Equity","BS_INVENTORIES","2016-06-30","2021-06-30","Per=Y","Days=T","Dir=V")</f>
        <v>0</v>
      </c>
      <c r="W2">
        <f>BDH("FELE US Equity","WORKING_CAPITAL","2016-06-30","2021-06-30","Per=Y","Days=T","Dir=V")</f>
        <v>0</v>
      </c>
      <c r="Y2">
        <f>BDH("FELE US Equity","SALES_REV_TURN","2016-06-30","2021-06-30","Per=Y","Days=T","Dir=V")</f>
        <v>0</v>
      </c>
      <c r="AA2">
        <f>BDH("FELE US Equity","EBIT","2016-06-30","2021-06-30","Per=Y","Days=T","Dir=V")</f>
        <v>0</v>
      </c>
      <c r="AC2">
        <f>BDH("FELE US Equity","EBITDA","2016-06-30","2021-06-30","Per=Y","Days=T","Dir=V")</f>
        <v>0</v>
      </c>
      <c r="AE2">
        <f>BDH("FELE US Equity","NET_INCOME","2016-06-30","2021-06-30","Per=Y","Days=T","Dir=V")</f>
        <v>0</v>
      </c>
      <c r="AG2">
        <f>BDH("FELE US Equity","IS_INT_EXPENSE","2016-06-30","2021-06-30","Per=Y","Days=T","Dir=V")</f>
        <v>0</v>
      </c>
      <c r="AI2">
        <f>BDH("FELE US Equity","IS_DEPR_EXP","2016-06-30","2021-06-30","Per=Y","Days=T","Dir=V")</f>
        <v>0</v>
      </c>
      <c r="AK2">
        <f>BDH("FELE US Equity","CF_CASH_FROM_OPER","2016-06-30","2021-06-30","Per=Y","Days=T","Dir=V")</f>
        <v>0</v>
      </c>
      <c r="AM2">
        <f>BDH("FELE US Equity","CAPITAL_EXPEND","2016-06-30","2021-06-30","Per=Y","Days=T","Dir=V")</f>
        <v>0</v>
      </c>
      <c r="AO2">
        <f>BDH("FELE US Equity","CF_FREE_CASH_FLOW","2016-06-30","2021-06-30","Per=Y","Days=T","Dir=V")</f>
        <v>0</v>
      </c>
      <c r="AQ2">
        <f>BDH("FELE US Equity","PX_LAST","2016-06-30","2021-06-30","Per=M","Days=T","Dir=V")</f>
        <v>0</v>
      </c>
      <c r="AS2">
        <f>BDH("FELE US Equity","CUR_MKT_CAP","2016-06-30","2021-06-30","Per=M","Days=T","Dir=V")</f>
        <v>0</v>
      </c>
      <c r="AU2">
        <f>BDH("FELE US Equity","EQY_SH_OUT","2016-06-30","2021-06-30","Per=M","Days=T","Dir=V")</f>
        <v>0</v>
      </c>
      <c r="AW2">
        <f>BDH("FELE US Equity","BETA_RAW_OVERRIABLE","2016-06-30","2021-06-30","Per=M","Days=T","Dir=V")</f>
        <v>0</v>
      </c>
      <c r="AY2">
        <f>BDH("FELE US Equity","PX_VOLUME","2016-06-30","2021-06-30","Per=M","Days=T","Dir=V")</f>
        <v>0</v>
      </c>
      <c r="BA2">
        <f>BDH("FELE US Equity","TURNOVER","2016-06-30","2021-06-30","Per=M","Days=T","Dir=V")</f>
        <v>0</v>
      </c>
      <c r="BC2">
        <f>BDH("FELE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BDH("ACFN US Equity","BS_TOT_ASSET","2016-06-30","2021-06-30","Per=Y","Days=T","Dir=V")</f>
        <v>0</v>
      </c>
      <c r="C2">
        <f>BDH("ACFN US Equity","BS_TOT_LIAB2","2016-06-30","2021-06-30","Per=Y","Days=T","Dir=V")</f>
        <v>0</v>
      </c>
      <c r="E2">
        <f>BDH("ACFN US Equity","SHORT_AND_LONG_TERM_DEBT","2016-06-30","2021-06-30","Per=Y","Days=T","Dir=V")</f>
        <v>0</v>
      </c>
      <c r="G2">
        <f>BDH("ACFN US Equity","BS_ST_BORROW","2016-06-30","2021-06-30","Per=Y","Days=T","Dir=V")</f>
        <v>0</v>
      </c>
      <c r="I2">
        <f>BDH("ACFN US Equity","BS_LT_BORROW","2016-06-30","2021-06-30","Per=Y","Days=T","Dir=V")</f>
        <v>0</v>
      </c>
      <c r="K2">
        <f>BDH("ACFN US Equity","BS_CASH_NEAR_CASH_ITEM","2016-06-30","2021-06-30","Per=Y","Days=T","Dir=V")</f>
        <v>0</v>
      </c>
      <c r="M2">
        <f>BDH("ACFN US Equity","BS_CUR_ASSET_REPORT","2016-06-30","2021-06-30","Per=Y","Days=T","Dir=V")</f>
        <v>0</v>
      </c>
      <c r="O2">
        <f>BDH("ACFN US Equity","BS_CUR_LIAB","2016-06-30","2021-06-30","Per=Y","Days=T","Dir=V")</f>
        <v>0</v>
      </c>
      <c r="Q2">
        <f>BDH("ACFN US Equity","BS_SHAREHOLDER_EQY_ENDING_PERIOD","2016-06-30","2021-06-30","Per=Y","Days=T","Dir=V")</f>
        <v>0</v>
      </c>
      <c r="S2">
        <f>BDH("ACFN US Equity","BS_ACCT_NOTE_RCV","2016-06-30","2021-06-30","Per=Y","Days=T","Dir=V")</f>
        <v>0</v>
      </c>
      <c r="U2">
        <f>BDH("ACFN US Equity","BS_INVENTORIES","2016-06-30","2021-06-30","Per=Y","Days=T","Dir=V")</f>
        <v>0</v>
      </c>
      <c r="W2">
        <f>BDH("ACFN US Equity","WORKING_CAPITAL","2016-06-30","2021-06-30","Per=Y","Days=T","Dir=V")</f>
        <v>0</v>
      </c>
      <c r="Y2">
        <f>BDH("ACFN US Equity","SALES_REV_TURN","2016-06-30","2021-06-30","Per=Y","Days=T","Dir=V")</f>
        <v>0</v>
      </c>
      <c r="AA2">
        <f>BDH("ACFN US Equity","EBIT","2016-06-30","2021-06-30","Per=Y","Days=T","Dir=V")</f>
        <v>0</v>
      </c>
      <c r="AC2">
        <f>BDH("ACFN US Equity","EBITDA","2016-06-30","2021-06-30","Per=Y","Days=T","Dir=V")</f>
        <v>0</v>
      </c>
      <c r="AE2">
        <f>BDH("ACFN US Equity","NET_INCOME","2016-06-30","2021-06-30","Per=Y","Days=T","Dir=V")</f>
        <v>0</v>
      </c>
      <c r="AG2">
        <f>BDH("ACFN US Equity","IS_INT_EXPENSE","2016-06-30","2021-06-30","Per=Y","Days=T","Dir=V")</f>
        <v>0</v>
      </c>
      <c r="AI2">
        <f>BDH("ACFN US Equity","IS_DEPR_EXP","2016-06-30","2021-06-30","Per=Y","Days=T","Dir=V")</f>
        <v>0</v>
      </c>
      <c r="AK2">
        <f>BDH("ACFN US Equity","CF_CASH_FROM_OPER","2016-06-30","2021-06-30","Per=Y","Days=T","Dir=V")</f>
        <v>0</v>
      </c>
      <c r="AM2">
        <f>BDH("ACFN US Equity","CAPITAL_EXPEND","2016-06-30","2021-06-30","Per=Y","Days=T","Dir=V")</f>
        <v>0</v>
      </c>
      <c r="AO2">
        <f>BDH("ACFN US Equity","CF_FREE_CASH_FLOW","2016-06-30","2021-06-30","Per=Y","Days=T","Dir=V")</f>
        <v>0</v>
      </c>
      <c r="AQ2">
        <f>BDH("ACFN US Equity","PX_LAST","2016-06-30","2021-06-30","Per=M","Days=T","Dir=V")</f>
        <v>0</v>
      </c>
      <c r="AS2">
        <f>BDH("ACFN US Equity","CUR_MKT_CAP","2016-06-30","2021-06-30","Per=M","Days=T","Dir=V")</f>
        <v>0</v>
      </c>
      <c r="AU2">
        <f>BDH("ACFN US Equity","EQY_SH_OUT","2016-06-30","2021-06-30","Per=M","Days=T","Dir=V")</f>
        <v>0</v>
      </c>
      <c r="AW2">
        <f>BDH("ACFN US Equity","BETA_RAW_OVERRIABLE","2016-06-30","2021-06-30","Per=M","Days=T","Dir=V")</f>
        <v>0</v>
      </c>
      <c r="AY2">
        <f>BDH("ACFN US Equity","PX_VOLUME","2016-06-30","2021-06-30","Per=M","Days=T","Dir=V")</f>
        <v>0</v>
      </c>
      <c r="BA2">
        <f>BDH("ACFN US Equity","TURNOVER","2016-06-30","2021-06-30","Per=M","Days=T","Dir=V")</f>
        <v>0</v>
      </c>
      <c r="BC2">
        <f>BDH("ACFN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BDH("DAKT US Equity","BS_TOT_ASSET","2016-06-30","2021-06-30","Per=Y","Days=T","Dir=V")</f>
        <v>0</v>
      </c>
      <c r="C2">
        <f>BDH("DAKT US Equity","BS_TOT_LIAB2","2016-06-30","2021-06-30","Per=Y","Days=T","Dir=V")</f>
        <v>0</v>
      </c>
      <c r="E2">
        <f>BDH("DAKT US Equity","SHORT_AND_LONG_TERM_DEBT","2016-06-30","2021-06-30","Per=Y","Days=T","Dir=V")</f>
        <v>0</v>
      </c>
      <c r="G2">
        <f>BDH("DAKT US Equity","BS_ST_BORROW","2016-06-30","2021-06-30","Per=Y","Days=T","Dir=V")</f>
        <v>0</v>
      </c>
      <c r="I2">
        <f>BDH("DAKT US Equity","BS_LT_BORROW","2016-06-30","2021-06-30","Per=Y","Days=T","Dir=V")</f>
        <v>0</v>
      </c>
      <c r="K2">
        <f>BDH("DAKT US Equity","BS_CASH_NEAR_CASH_ITEM","2016-06-30","2021-06-30","Per=Y","Days=T","Dir=V")</f>
        <v>0</v>
      </c>
      <c r="M2">
        <f>BDH("DAKT US Equity","BS_CUR_ASSET_REPORT","2016-06-30","2021-06-30","Per=Y","Days=T","Dir=V")</f>
        <v>0</v>
      </c>
      <c r="O2">
        <f>BDH("DAKT US Equity","BS_CUR_LIAB","2016-06-30","2021-06-30","Per=Y","Days=T","Dir=V")</f>
        <v>0</v>
      </c>
      <c r="Q2">
        <f>BDH("DAKT US Equity","BS_SHAREHOLDER_EQY_ENDING_PERIOD","2016-06-30","2021-06-30","Per=Y","Days=T","Dir=V")</f>
        <v>0</v>
      </c>
      <c r="S2">
        <f>BDH("DAKT US Equity","BS_ACCT_NOTE_RCV","2016-06-30","2021-06-30","Per=Y","Days=T","Dir=V")</f>
        <v>0</v>
      </c>
      <c r="U2">
        <f>BDH("DAKT US Equity","BS_INVENTORIES","2016-06-30","2021-06-30","Per=Y","Days=T","Dir=V")</f>
        <v>0</v>
      </c>
      <c r="W2">
        <f>BDH("DAKT US Equity","WORKING_CAPITAL","2016-06-30","2021-06-30","Per=Y","Days=T","Dir=V")</f>
        <v>0</v>
      </c>
      <c r="Y2">
        <f>BDH("DAKT US Equity","SALES_REV_TURN","2016-06-30","2021-06-30","Per=Y","Days=T","Dir=V")</f>
        <v>0</v>
      </c>
      <c r="AA2">
        <f>BDH("DAKT US Equity","EBIT","2016-06-30","2021-06-30","Per=Y","Days=T","Dir=V")</f>
        <v>0</v>
      </c>
      <c r="AC2">
        <f>BDH("DAKT US Equity","EBITDA","2016-06-30","2021-06-30","Per=Y","Days=T","Dir=V")</f>
        <v>0</v>
      </c>
      <c r="AE2">
        <f>BDH("DAKT US Equity","NET_INCOME","2016-06-30","2021-06-30","Per=Y","Days=T","Dir=V")</f>
        <v>0</v>
      </c>
      <c r="AG2">
        <f>BDH("DAKT US Equity","IS_INT_EXPENSE","2016-06-30","2021-06-30","Per=Y","Days=T","Dir=V")</f>
        <v>0</v>
      </c>
      <c r="AI2">
        <f>BDH("DAKT US Equity","IS_DEPR_EXP","2016-06-30","2021-06-30","Per=Y","Days=T","Dir=V")</f>
        <v>0</v>
      </c>
      <c r="AK2">
        <f>BDH("DAKT US Equity","CF_CASH_FROM_OPER","2016-06-30","2021-06-30","Per=Y","Days=T","Dir=V")</f>
        <v>0</v>
      </c>
      <c r="AM2">
        <f>BDH("DAKT US Equity","CAPITAL_EXPEND","2016-06-30","2021-06-30","Per=Y","Days=T","Dir=V")</f>
        <v>0</v>
      </c>
      <c r="AO2">
        <f>BDH("DAKT US Equity","CF_FREE_CASH_FLOW","2016-06-30","2021-06-30","Per=Y","Days=T","Dir=V")</f>
        <v>0</v>
      </c>
      <c r="AQ2">
        <f>BDH("DAKT US Equity","PX_LAST","2016-06-30","2021-06-30","Per=M","Days=T","Dir=V")</f>
        <v>0</v>
      </c>
      <c r="AS2">
        <f>BDH("DAKT US Equity","CUR_MKT_CAP","2016-06-30","2021-06-30","Per=M","Days=T","Dir=V")</f>
        <v>0</v>
      </c>
      <c r="AU2">
        <f>BDH("DAKT US Equity","EQY_SH_OUT","2016-06-30","2021-06-30","Per=M","Days=T","Dir=V")</f>
        <v>0</v>
      </c>
      <c r="AW2">
        <f>BDH("DAKT US Equity","BETA_RAW_OVERRIABLE","2016-06-30","2021-06-30","Per=M","Days=T","Dir=V")</f>
        <v>0</v>
      </c>
      <c r="AY2">
        <f>BDH("DAKT US Equity","PX_VOLUME","2016-06-30","2021-06-30","Per=M","Days=T","Dir=V")</f>
        <v>0</v>
      </c>
      <c r="BA2">
        <f>BDH("DAKT US Equity","TURNOVER","2016-06-30","2021-06-30","Per=M","Days=T","Dir=V")</f>
        <v>0</v>
      </c>
      <c r="BC2">
        <f>BDH("DAKT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BDH("FOXF US Equity","BS_TOT_ASSET","2016-06-30","2021-06-30","Per=Y","Days=T","Dir=V")</f>
        <v>0</v>
      </c>
      <c r="C2">
        <f>BDH("FOXF US Equity","BS_TOT_LIAB2","2016-06-30","2021-06-30","Per=Y","Days=T","Dir=V")</f>
        <v>0</v>
      </c>
      <c r="E2">
        <f>BDH("FOXF US Equity","SHORT_AND_LONG_TERM_DEBT","2016-06-30","2021-06-30","Per=Y","Days=T","Dir=V")</f>
        <v>0</v>
      </c>
      <c r="G2">
        <f>BDH("FOXF US Equity","BS_ST_BORROW","2016-06-30","2021-06-30","Per=Y","Days=T","Dir=V")</f>
        <v>0</v>
      </c>
      <c r="I2">
        <f>BDH("FOXF US Equity","BS_LT_BORROW","2016-06-30","2021-06-30","Per=Y","Days=T","Dir=V")</f>
        <v>0</v>
      </c>
      <c r="K2">
        <f>BDH("FOXF US Equity","BS_CASH_NEAR_CASH_ITEM","2016-06-30","2021-06-30","Per=Y","Days=T","Dir=V")</f>
        <v>0</v>
      </c>
      <c r="M2">
        <f>BDH("FOXF US Equity","BS_CUR_ASSET_REPORT","2016-06-30","2021-06-30","Per=Y","Days=T","Dir=V")</f>
        <v>0</v>
      </c>
      <c r="O2">
        <f>BDH("FOXF US Equity","BS_CUR_LIAB","2016-06-30","2021-06-30","Per=Y","Days=T","Dir=V")</f>
        <v>0</v>
      </c>
      <c r="Q2">
        <f>BDH("FOXF US Equity","BS_SHAREHOLDER_EQY_ENDING_PERIOD","2016-06-30","2021-06-30","Per=Y","Days=T","Dir=V")</f>
        <v>0</v>
      </c>
      <c r="S2">
        <f>BDH("FOXF US Equity","BS_ACCT_NOTE_RCV","2016-06-30","2021-06-30","Per=Y","Days=T","Dir=V")</f>
        <v>0</v>
      </c>
      <c r="U2">
        <f>BDH("FOXF US Equity","BS_INVENTORIES","2016-06-30","2021-06-30","Per=Y","Days=T","Dir=V")</f>
        <v>0</v>
      </c>
      <c r="W2">
        <f>BDH("FOXF US Equity","WORKING_CAPITAL","2016-06-30","2021-06-30","Per=Y","Days=T","Dir=V")</f>
        <v>0</v>
      </c>
      <c r="Y2">
        <f>BDH("FOXF US Equity","SALES_REV_TURN","2016-06-30","2021-06-30","Per=Y","Days=T","Dir=V")</f>
        <v>0</v>
      </c>
      <c r="AA2">
        <f>BDH("FOXF US Equity","EBIT","2016-06-30","2021-06-30","Per=Y","Days=T","Dir=V")</f>
        <v>0</v>
      </c>
      <c r="AC2">
        <f>BDH("FOXF US Equity","EBITDA","2016-06-30","2021-06-30","Per=Y","Days=T","Dir=V")</f>
        <v>0</v>
      </c>
      <c r="AE2">
        <f>BDH("FOXF US Equity","NET_INCOME","2016-06-30","2021-06-30","Per=Y","Days=T","Dir=V")</f>
        <v>0</v>
      </c>
      <c r="AG2">
        <f>BDH("FOXF US Equity","IS_INT_EXPENSE","2016-06-30","2021-06-30","Per=Y","Days=T","Dir=V")</f>
        <v>0</v>
      </c>
      <c r="AI2">
        <f>BDH("FOXF US Equity","IS_DEPR_EXP","2016-06-30","2021-06-30","Per=Y","Days=T","Dir=V")</f>
        <v>0</v>
      </c>
      <c r="AK2">
        <f>BDH("FOXF US Equity","CF_CASH_FROM_OPER","2016-06-30","2021-06-30","Per=Y","Days=T","Dir=V")</f>
        <v>0</v>
      </c>
      <c r="AM2">
        <f>BDH("FOXF US Equity","CAPITAL_EXPEND","2016-06-30","2021-06-30","Per=Y","Days=T","Dir=V")</f>
        <v>0</v>
      </c>
      <c r="AO2">
        <f>BDH("FOXF US Equity","CF_FREE_CASH_FLOW","2016-06-30","2021-06-30","Per=Y","Days=T","Dir=V")</f>
        <v>0</v>
      </c>
      <c r="AQ2">
        <f>BDH("FOXF US Equity","PX_LAST","2016-06-30","2021-06-30","Per=M","Days=T","Dir=V")</f>
        <v>0</v>
      </c>
      <c r="AS2">
        <f>BDH("FOXF US Equity","CUR_MKT_CAP","2016-06-30","2021-06-30","Per=M","Days=T","Dir=V")</f>
        <v>0</v>
      </c>
      <c r="AU2">
        <f>BDH("FOXF US Equity","EQY_SH_OUT","2016-06-30","2021-06-30","Per=M","Days=T","Dir=V")</f>
        <v>0</v>
      </c>
      <c r="AW2">
        <f>BDH("FOXF US Equity","BETA_RAW_OVERRIABLE","2016-06-30","2021-06-30","Per=M","Days=T","Dir=V")</f>
        <v>0</v>
      </c>
      <c r="AY2">
        <f>BDH("FOXF US Equity","PX_VOLUME","2016-06-30","2021-06-30","Per=M","Days=T","Dir=V")</f>
        <v>0</v>
      </c>
      <c r="BA2">
        <f>BDH("FOXF US Equity","TURNOVER","2016-06-30","2021-06-30","Per=M","Days=T","Dir=V")</f>
        <v>0</v>
      </c>
      <c r="BC2">
        <f>BDH("FOXF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BDH("STRZ US Equity","BS_TOT_ASSET","2016-06-30","2021-06-30","Per=Y","Days=T","Dir=V")</f>
        <v>0</v>
      </c>
      <c r="C2">
        <f>BDH("STRZ US Equity","BS_TOT_LIAB2","2016-06-30","2021-06-30","Per=Y","Days=T","Dir=V")</f>
        <v>0</v>
      </c>
      <c r="E2">
        <f>BDH("STRZ US Equity","SHORT_AND_LONG_TERM_DEBT","2016-06-30","2021-06-30","Per=Y","Days=T","Dir=V")</f>
        <v>0</v>
      </c>
      <c r="G2">
        <f>BDH("STRZ US Equity","BS_ST_BORROW","2016-06-30","2021-06-30","Per=Y","Days=T","Dir=V")</f>
        <v>0</v>
      </c>
      <c r="I2">
        <f>BDH("STRZ US Equity","BS_LT_BORROW","2016-06-30","2021-06-30","Per=Y","Days=T","Dir=V")</f>
        <v>0</v>
      </c>
      <c r="K2">
        <f>BDH("STRZ US Equity","BS_CASH_NEAR_CASH_ITEM","2016-06-30","2021-06-30","Per=Y","Days=T","Dir=V")</f>
        <v>0</v>
      </c>
      <c r="M2">
        <f>BDH("STRZ US Equity","BS_CUR_ASSET_REPORT","2016-06-30","2021-06-30","Per=Y","Days=T","Dir=V")</f>
        <v>0</v>
      </c>
      <c r="O2">
        <f>BDH("STRZ US Equity","BS_CUR_LIAB","2016-06-30","2021-06-30","Per=Y","Days=T","Dir=V")</f>
        <v>0</v>
      </c>
      <c r="Q2">
        <f>BDH("STRZ US Equity","BS_SHAREHOLDER_EQY_ENDING_PERIOD","2016-06-30","2021-06-30","Per=Y","Days=T","Dir=V")</f>
        <v>0</v>
      </c>
      <c r="S2">
        <f>BDH("STRZ US Equity","BS_ACCT_NOTE_RCV","2016-06-30","2021-06-30","Per=Y","Days=T","Dir=V")</f>
        <v>0</v>
      </c>
      <c r="U2">
        <f>BDH("STRZ US Equity","BS_INVENTORIES","2016-06-30","2021-06-30","Per=Y","Days=T","Dir=V")</f>
        <v>0</v>
      </c>
      <c r="W2">
        <f>BDH("STRZ US Equity","WORKING_CAPITAL","2016-06-30","2021-06-30","Per=Y","Days=T","Dir=V")</f>
        <v>0</v>
      </c>
      <c r="Y2">
        <f>BDH("STRZ US Equity","SALES_REV_TURN","2016-06-30","2021-06-30","Per=Y","Days=T","Dir=V")</f>
        <v>0</v>
      </c>
      <c r="AA2">
        <f>BDH("STRZ US Equity","EBIT","2016-06-30","2021-06-30","Per=Y","Days=T","Dir=V")</f>
        <v>0</v>
      </c>
      <c r="AC2">
        <f>BDH("STRZ US Equity","EBITDA","2016-06-30","2021-06-30","Per=Y","Days=T","Dir=V")</f>
        <v>0</v>
      </c>
      <c r="AE2">
        <f>BDH("STRZ US Equity","NET_INCOME","2016-06-30","2021-06-30","Per=Y","Days=T","Dir=V")</f>
        <v>0</v>
      </c>
      <c r="AG2">
        <f>BDH("STRZ US Equity","IS_INT_EXPENSE","2016-06-30","2021-06-30","Per=Y","Days=T","Dir=V")</f>
        <v>0</v>
      </c>
      <c r="AI2">
        <f>BDH("STRZ US Equity","IS_DEPR_EXP","2016-06-30","2021-06-30","Per=Y","Days=T","Dir=V")</f>
        <v>0</v>
      </c>
      <c r="AK2">
        <f>BDH("STRZ US Equity","CF_CASH_FROM_OPER","2016-06-30","2021-06-30","Per=Y","Days=T","Dir=V")</f>
        <v>0</v>
      </c>
      <c r="AM2">
        <f>BDH("STRZ US Equity","CAPITAL_EXPEND","2016-06-30","2021-06-30","Per=Y","Days=T","Dir=V")</f>
        <v>0</v>
      </c>
      <c r="AO2">
        <f>BDH("STRZ US Equity","CF_FREE_CASH_FLOW","2016-06-30","2021-06-30","Per=Y","Days=T","Dir=V")</f>
        <v>0</v>
      </c>
      <c r="AQ2">
        <f>BDH("STRZ US Equity","PX_LAST","2016-06-30","2021-06-30","Per=M","Days=T","Dir=V")</f>
        <v>0</v>
      </c>
      <c r="AS2">
        <f>BDH("STRZ US Equity","CUR_MKT_CAP","2016-06-30","2021-06-30","Per=M","Days=T","Dir=V")</f>
        <v>0</v>
      </c>
      <c r="AU2">
        <f>BDH("STRZ US Equity","EQY_SH_OUT","2016-06-30","2021-06-30","Per=M","Days=T","Dir=V")</f>
        <v>0</v>
      </c>
      <c r="AW2">
        <f>BDH("STRZ US Equity","BETA_RAW_OVERRIABLE","2016-06-30","2021-06-30","Per=M","Days=T","Dir=V")</f>
        <v>0</v>
      </c>
      <c r="AY2">
        <f>BDH("STRZ US Equity","PX_VOLUME","2016-06-30","2021-06-30","Per=M","Days=T","Dir=V")</f>
        <v>0</v>
      </c>
      <c r="BA2">
        <f>BDH("STRZ US Equity","TURNOVER","2016-06-30","2021-06-30","Per=M","Days=T","Dir=V")</f>
        <v>0</v>
      </c>
      <c r="BC2">
        <f>BDH("STRZ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BDH("DJCO US Equity","BS_TOT_ASSET","2016-06-30","2021-06-30","Per=Y","Days=T","Dir=V")</f>
        <v>0</v>
      </c>
      <c r="C2">
        <f>BDH("DJCO US Equity","BS_TOT_LIAB2","2016-06-30","2021-06-30","Per=Y","Days=T","Dir=V")</f>
        <v>0</v>
      </c>
      <c r="E2">
        <f>BDH("DJCO US Equity","SHORT_AND_LONG_TERM_DEBT","2016-06-30","2021-06-30","Per=Y","Days=T","Dir=V")</f>
        <v>0</v>
      </c>
      <c r="G2">
        <f>BDH("DJCO US Equity","BS_ST_BORROW","2016-06-30","2021-06-30","Per=Y","Days=T","Dir=V")</f>
        <v>0</v>
      </c>
      <c r="I2">
        <f>BDH("DJCO US Equity","BS_LT_BORROW","2016-06-30","2021-06-30","Per=Y","Days=T","Dir=V")</f>
        <v>0</v>
      </c>
      <c r="K2">
        <f>BDH("DJCO US Equity","BS_CASH_NEAR_CASH_ITEM","2016-06-30","2021-06-30","Per=Y","Days=T","Dir=V")</f>
        <v>0</v>
      </c>
      <c r="M2">
        <f>BDH("DJCO US Equity","BS_CUR_ASSET_REPORT","2016-06-30","2021-06-30","Per=Y","Days=T","Dir=V")</f>
        <v>0</v>
      </c>
      <c r="O2">
        <f>BDH("DJCO US Equity","BS_CUR_LIAB","2016-06-30","2021-06-30","Per=Y","Days=T","Dir=V")</f>
        <v>0</v>
      </c>
      <c r="Q2">
        <f>BDH("DJCO US Equity","BS_SHAREHOLDER_EQY_ENDING_PERIOD","2016-06-30","2021-06-30","Per=Y","Days=T","Dir=V")</f>
        <v>0</v>
      </c>
      <c r="S2">
        <f>BDH("DJCO US Equity","BS_ACCT_NOTE_RCV","2016-06-30","2021-06-30","Per=Y","Days=T","Dir=V")</f>
        <v>0</v>
      </c>
      <c r="U2">
        <f>BDH("DJCO US Equity","BS_INVENTORIES","2016-06-30","2021-06-30","Per=Y","Days=T","Dir=V")</f>
        <v>0</v>
      </c>
      <c r="W2">
        <f>BDH("DJCO US Equity","WORKING_CAPITAL","2016-06-30","2021-06-30","Per=Y","Days=T","Dir=V")</f>
        <v>0</v>
      </c>
      <c r="Y2">
        <f>BDH("DJCO US Equity","SALES_REV_TURN","2016-06-30","2021-06-30","Per=Y","Days=T","Dir=V")</f>
        <v>0</v>
      </c>
      <c r="AA2">
        <f>BDH("DJCO US Equity","EBIT","2016-06-30","2021-06-30","Per=Y","Days=T","Dir=V")</f>
        <v>0</v>
      </c>
      <c r="AC2">
        <f>BDH("DJCO US Equity","EBITDA","2016-06-30","2021-06-30","Per=Y","Days=T","Dir=V")</f>
        <v>0</v>
      </c>
      <c r="AE2">
        <f>BDH("DJCO US Equity","NET_INCOME","2016-06-30","2021-06-30","Per=Y","Days=T","Dir=V")</f>
        <v>0</v>
      </c>
      <c r="AG2">
        <f>BDH("DJCO US Equity","IS_INT_EXPENSE","2016-06-30","2021-06-30","Per=Y","Days=T","Dir=V")</f>
        <v>0</v>
      </c>
      <c r="AI2">
        <f>BDH("DJCO US Equity","IS_DEPR_EXP","2016-06-30","2021-06-30","Per=Y","Days=T","Dir=V")</f>
        <v>0</v>
      </c>
      <c r="AK2">
        <f>BDH("DJCO US Equity","CF_CASH_FROM_OPER","2016-06-30","2021-06-30","Per=Y","Days=T","Dir=V")</f>
        <v>0</v>
      </c>
      <c r="AM2">
        <f>BDH("DJCO US Equity","CAPITAL_EXPEND","2016-06-30","2021-06-30","Per=Y","Days=T","Dir=V")</f>
        <v>0</v>
      </c>
      <c r="AO2">
        <f>BDH("DJCO US Equity","CF_FREE_CASH_FLOW","2016-06-30","2021-06-30","Per=Y","Days=T","Dir=V")</f>
        <v>0</v>
      </c>
      <c r="AQ2">
        <f>BDH("DJCO US Equity","PX_LAST","2016-06-30","2021-06-30","Per=M","Days=T","Dir=V")</f>
        <v>0</v>
      </c>
      <c r="AS2">
        <f>BDH("DJCO US Equity","CUR_MKT_CAP","2016-06-30","2021-06-30","Per=M","Days=T","Dir=V")</f>
        <v>0</v>
      </c>
      <c r="AU2">
        <f>BDH("DJCO US Equity","EQY_SH_OUT","2016-06-30","2021-06-30","Per=M","Days=T","Dir=V")</f>
        <v>0</v>
      </c>
      <c r="AW2">
        <f>BDH("DJCO US Equity","BETA_RAW_OVERRIABLE","2016-06-30","2021-06-30","Per=M","Days=T","Dir=V")</f>
        <v>0</v>
      </c>
      <c r="AY2">
        <f>BDH("DJCO US Equity","PX_VOLUME","2016-06-30","2021-06-30","Per=M","Days=T","Dir=V")</f>
        <v>0</v>
      </c>
      <c r="BA2">
        <f>BDH("DJCO US Equity","TURNOVER","2016-06-30","2021-06-30","Per=M","Days=T","Dir=V")</f>
        <v>0</v>
      </c>
      <c r="BC2">
        <f>BDH("DJCO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BDH("EBF US Equity","BS_TOT_ASSET","2016-06-30","2021-06-30","Per=Y","Days=T","Dir=V")</f>
        <v>0</v>
      </c>
      <c r="C2">
        <f>BDH("EBF US Equity","BS_TOT_LIAB2","2016-06-30","2021-06-30","Per=Y","Days=T","Dir=V")</f>
        <v>0</v>
      </c>
      <c r="E2">
        <f>BDH("EBF US Equity","SHORT_AND_LONG_TERM_DEBT","2016-06-30","2021-06-30","Per=Y","Days=T","Dir=V")</f>
        <v>0</v>
      </c>
      <c r="G2">
        <f>BDH("EBF US Equity","BS_ST_BORROW","2016-06-30","2021-06-30","Per=Y","Days=T","Dir=V")</f>
        <v>0</v>
      </c>
      <c r="I2">
        <f>BDH("EBF US Equity","BS_LT_BORROW","2016-06-30","2021-06-30","Per=Y","Days=T","Dir=V")</f>
        <v>0</v>
      </c>
      <c r="K2">
        <f>BDH("EBF US Equity","BS_CASH_NEAR_CASH_ITEM","2016-06-30","2021-06-30","Per=Y","Days=T","Dir=V")</f>
        <v>0</v>
      </c>
      <c r="M2">
        <f>BDH("EBF US Equity","BS_CUR_ASSET_REPORT","2016-06-30","2021-06-30","Per=Y","Days=T","Dir=V")</f>
        <v>0</v>
      </c>
      <c r="O2">
        <f>BDH("EBF US Equity","BS_CUR_LIAB","2016-06-30","2021-06-30","Per=Y","Days=T","Dir=V")</f>
        <v>0</v>
      </c>
      <c r="Q2">
        <f>BDH("EBF US Equity","BS_SHAREHOLDER_EQY_ENDING_PERIOD","2016-06-30","2021-06-30","Per=Y","Days=T","Dir=V")</f>
        <v>0</v>
      </c>
      <c r="S2">
        <f>BDH("EBF US Equity","BS_ACCT_NOTE_RCV","2016-06-30","2021-06-30","Per=Y","Days=T","Dir=V")</f>
        <v>0</v>
      </c>
      <c r="U2">
        <f>BDH("EBF US Equity","BS_INVENTORIES","2016-06-30","2021-06-30","Per=Y","Days=T","Dir=V")</f>
        <v>0</v>
      </c>
      <c r="W2">
        <f>BDH("EBF US Equity","WORKING_CAPITAL","2016-06-30","2021-06-30","Per=Y","Days=T","Dir=V")</f>
        <v>0</v>
      </c>
      <c r="Y2">
        <f>BDH("EBF US Equity","SALES_REV_TURN","2016-06-30","2021-06-30","Per=Y","Days=T","Dir=V")</f>
        <v>0</v>
      </c>
      <c r="AA2">
        <f>BDH("EBF US Equity","EBIT","2016-06-30","2021-06-30","Per=Y","Days=T","Dir=V")</f>
        <v>0</v>
      </c>
      <c r="AC2">
        <f>BDH("EBF US Equity","EBITDA","2016-06-30","2021-06-30","Per=Y","Days=T","Dir=V")</f>
        <v>0</v>
      </c>
      <c r="AE2">
        <f>BDH("EBF US Equity","NET_INCOME","2016-06-30","2021-06-30","Per=Y","Days=T","Dir=V")</f>
        <v>0</v>
      </c>
      <c r="AG2">
        <f>BDH("EBF US Equity","IS_INT_EXPENSE","2016-06-30","2021-06-30","Per=Y","Days=T","Dir=V")</f>
        <v>0</v>
      </c>
      <c r="AI2">
        <f>BDH("EBF US Equity","IS_DEPR_EXP","2016-06-30","2021-06-30","Per=Y","Days=T","Dir=V")</f>
        <v>0</v>
      </c>
      <c r="AK2">
        <f>BDH("EBF US Equity","CF_CASH_FROM_OPER","2016-06-30","2021-06-30","Per=Y","Days=T","Dir=V")</f>
        <v>0</v>
      </c>
      <c r="AM2">
        <f>BDH("EBF US Equity","CAPITAL_EXPEND","2016-06-30","2021-06-30","Per=Y","Days=T","Dir=V")</f>
        <v>0</v>
      </c>
      <c r="AO2">
        <f>BDH("EBF US Equity","CF_FREE_CASH_FLOW","2016-06-30","2021-06-30","Per=Y","Days=T","Dir=V")</f>
        <v>0</v>
      </c>
      <c r="AQ2">
        <f>BDH("EBF US Equity","PX_LAST","2016-06-30","2021-06-30","Per=M","Days=T","Dir=V")</f>
        <v>0</v>
      </c>
      <c r="AS2">
        <f>BDH("EBF US Equity","CUR_MKT_CAP","2016-06-30","2021-06-30","Per=M","Days=T","Dir=V")</f>
        <v>0</v>
      </c>
      <c r="AU2">
        <f>BDH("EBF US Equity","EQY_SH_OUT","2016-06-30","2021-06-30","Per=M","Days=T","Dir=V")</f>
        <v>0</v>
      </c>
      <c r="AW2">
        <f>BDH("EBF US Equity","BETA_RAW_OVERRIABLE","2016-06-30","2021-06-30","Per=M","Days=T","Dir=V")</f>
        <v>0</v>
      </c>
      <c r="AY2">
        <f>BDH("EBF US Equity","PX_VOLUME","2016-06-30","2021-06-30","Per=M","Days=T","Dir=V")</f>
        <v>0</v>
      </c>
      <c r="BA2">
        <f>BDH("EBF US Equity","TURNOVER","2016-06-30","2021-06-30","Per=M","Days=T","Dir=V")</f>
        <v>0</v>
      </c>
      <c r="BC2">
        <f>BDH("EBF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BDH("WFRD US Equity","BS_TOT_ASSET","2016-06-30","2021-06-30","Per=Y","Days=T","Dir=V")</f>
        <v>0</v>
      </c>
      <c r="C2">
        <f>BDH("WFRD US Equity","BS_TOT_LIAB2","2016-06-30","2021-06-30","Per=Y","Days=T","Dir=V")</f>
        <v>0</v>
      </c>
      <c r="E2">
        <f>BDH("WFRD US Equity","SHORT_AND_LONG_TERM_DEBT","2016-06-30","2021-06-30","Per=Y","Days=T","Dir=V")</f>
        <v>0</v>
      </c>
      <c r="G2">
        <f>BDH("WFRD US Equity","BS_ST_BORROW","2016-06-30","2021-06-30","Per=Y","Days=T","Dir=V")</f>
        <v>0</v>
      </c>
      <c r="I2">
        <f>BDH("WFRD US Equity","BS_LT_BORROW","2016-06-30","2021-06-30","Per=Y","Days=T","Dir=V")</f>
        <v>0</v>
      </c>
      <c r="K2">
        <f>BDH("WFRD US Equity","BS_CASH_NEAR_CASH_ITEM","2016-06-30","2021-06-30","Per=Y","Days=T","Dir=V")</f>
        <v>0</v>
      </c>
      <c r="M2">
        <f>BDH("WFRD US Equity","BS_CUR_ASSET_REPORT","2016-06-30","2021-06-30","Per=Y","Days=T","Dir=V")</f>
        <v>0</v>
      </c>
      <c r="O2">
        <f>BDH("WFRD US Equity","BS_CUR_LIAB","2016-06-30","2021-06-30","Per=Y","Days=T","Dir=V")</f>
        <v>0</v>
      </c>
      <c r="Q2">
        <f>BDH("WFRD US Equity","BS_SHAREHOLDER_EQY_ENDING_PERIOD","2016-06-30","2021-06-30","Per=Y","Days=T","Dir=V")</f>
        <v>0</v>
      </c>
      <c r="S2">
        <f>BDH("WFRD US Equity","BS_ACCT_NOTE_RCV","2016-06-30","2021-06-30","Per=Y","Days=T","Dir=V")</f>
        <v>0</v>
      </c>
      <c r="U2">
        <f>BDH("WFRD US Equity","BS_INVENTORIES","2016-06-30","2021-06-30","Per=Y","Days=T","Dir=V")</f>
        <v>0</v>
      </c>
      <c r="W2">
        <f>BDH("WFRD US Equity","WORKING_CAPITAL","2016-06-30","2021-06-30","Per=Y","Days=T","Dir=V")</f>
        <v>0</v>
      </c>
      <c r="Y2">
        <f>BDH("WFRD US Equity","SALES_REV_TURN","2016-06-30","2021-06-30","Per=Y","Days=T","Dir=V")</f>
        <v>0</v>
      </c>
      <c r="AA2">
        <f>BDH("WFRD US Equity","EBIT","2016-06-30","2021-06-30","Per=Y","Days=T","Dir=V")</f>
        <v>0</v>
      </c>
      <c r="AC2">
        <f>BDH("WFRD US Equity","EBITDA","2016-06-30","2021-06-30","Per=Y","Days=T","Dir=V")</f>
        <v>0</v>
      </c>
      <c r="AE2">
        <f>BDH("WFRD US Equity","NET_INCOME","2016-06-30","2021-06-30","Per=Y","Days=T","Dir=V")</f>
        <v>0</v>
      </c>
      <c r="AG2">
        <f>BDH("WFRD US Equity","IS_INT_EXPENSE","2016-06-30","2021-06-30","Per=Y","Days=T","Dir=V")</f>
        <v>0</v>
      </c>
      <c r="AI2">
        <f>BDH("WFRD US Equity","IS_DEPR_EXP","2016-06-30","2021-06-30","Per=Y","Days=T","Dir=V")</f>
        <v>0</v>
      </c>
      <c r="AK2">
        <f>BDH("WFRD US Equity","CF_CASH_FROM_OPER","2016-06-30","2021-06-30","Per=Y","Days=T","Dir=V")</f>
        <v>0</v>
      </c>
      <c r="AM2">
        <f>BDH("WFRD US Equity","CAPITAL_EXPEND","2016-06-30","2021-06-30","Per=Y","Days=T","Dir=V")</f>
        <v>0</v>
      </c>
      <c r="AO2">
        <f>BDH("WFRD US Equity","CF_FREE_CASH_FLOW","2016-06-30","2021-06-30","Per=Y","Days=T","Dir=V")</f>
        <v>0</v>
      </c>
      <c r="AQ2">
        <f>BDH("WFRD US Equity","PX_LAST","2016-06-30","2021-06-30","Per=M","Days=T","Dir=V")</f>
        <v>0</v>
      </c>
      <c r="AS2">
        <f>BDH("WFRD US Equity","CUR_MKT_CAP","2016-06-30","2021-06-30","Per=M","Days=T","Dir=V")</f>
        <v>0</v>
      </c>
      <c r="AU2">
        <f>BDH("WFRD US Equity","EQY_SH_OUT","2016-06-30","2021-06-30","Per=M","Days=T","Dir=V")</f>
        <v>0</v>
      </c>
      <c r="AW2">
        <f>BDH("WFRD US Equity","BETA_RAW_OVERRIABLE","2016-06-30","2021-06-30","Per=M","Days=T","Dir=V")</f>
        <v>0</v>
      </c>
      <c r="AY2">
        <f>BDH("WFRD US Equity","PX_VOLUME","2016-06-30","2021-06-30","Per=M","Days=T","Dir=V")</f>
        <v>0</v>
      </c>
      <c r="BA2">
        <f>BDH("WFRD US Equity","TURNOVER","2016-06-30","2021-06-30","Per=M","Days=T","Dir=V")</f>
        <v>0</v>
      </c>
      <c r="BC2">
        <f>BDH("WFRD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BDH("EVI US Equity","BS_TOT_ASSET","2016-06-30","2021-06-30","Per=Y","Days=T","Dir=V")</f>
        <v>0</v>
      </c>
      <c r="C2">
        <f>BDH("EVI US Equity","BS_TOT_LIAB2","2016-06-30","2021-06-30","Per=Y","Days=T","Dir=V")</f>
        <v>0</v>
      </c>
      <c r="E2">
        <f>BDH("EVI US Equity","SHORT_AND_LONG_TERM_DEBT","2016-06-30","2021-06-30","Per=Y","Days=T","Dir=V")</f>
        <v>0</v>
      </c>
      <c r="G2">
        <f>BDH("EVI US Equity","BS_ST_BORROW","2016-06-30","2021-06-30","Per=Y","Days=T","Dir=V")</f>
        <v>0</v>
      </c>
      <c r="I2">
        <f>BDH("EVI US Equity","BS_LT_BORROW","2016-06-30","2021-06-30","Per=Y","Days=T","Dir=V")</f>
        <v>0</v>
      </c>
      <c r="K2">
        <f>BDH("EVI US Equity","BS_CASH_NEAR_CASH_ITEM","2016-06-30","2021-06-30","Per=Y","Days=T","Dir=V")</f>
        <v>0</v>
      </c>
      <c r="M2">
        <f>BDH("EVI US Equity","BS_CUR_ASSET_REPORT","2016-06-30","2021-06-30","Per=Y","Days=T","Dir=V")</f>
        <v>0</v>
      </c>
      <c r="O2">
        <f>BDH("EVI US Equity","BS_CUR_LIAB","2016-06-30","2021-06-30","Per=Y","Days=T","Dir=V")</f>
        <v>0</v>
      </c>
      <c r="Q2">
        <f>BDH("EVI US Equity","BS_SHAREHOLDER_EQY_ENDING_PERIOD","2016-06-30","2021-06-30","Per=Y","Days=T","Dir=V")</f>
        <v>0</v>
      </c>
      <c r="S2">
        <f>BDH("EVI US Equity","BS_ACCT_NOTE_RCV","2016-06-30","2021-06-30","Per=Y","Days=T","Dir=V")</f>
        <v>0</v>
      </c>
      <c r="U2">
        <f>BDH("EVI US Equity","BS_INVENTORIES","2016-06-30","2021-06-30","Per=Y","Days=T","Dir=V")</f>
        <v>0</v>
      </c>
      <c r="W2">
        <f>BDH("EVI US Equity","WORKING_CAPITAL","2016-06-30","2021-06-30","Per=Y","Days=T","Dir=V")</f>
        <v>0</v>
      </c>
      <c r="Y2">
        <f>BDH("EVI US Equity","SALES_REV_TURN","2016-06-30","2021-06-30","Per=Y","Days=T","Dir=V")</f>
        <v>0</v>
      </c>
      <c r="AA2">
        <f>BDH("EVI US Equity","EBIT","2016-06-30","2021-06-30","Per=Y","Days=T","Dir=V")</f>
        <v>0</v>
      </c>
      <c r="AC2">
        <f>BDH("EVI US Equity","EBITDA","2016-06-30","2021-06-30","Per=Y","Days=T","Dir=V")</f>
        <v>0</v>
      </c>
      <c r="AE2">
        <f>BDH("EVI US Equity","NET_INCOME","2016-06-30","2021-06-30","Per=Y","Days=T","Dir=V")</f>
        <v>0</v>
      </c>
      <c r="AG2">
        <f>BDH("EVI US Equity","IS_INT_EXPENSE","2016-06-30","2021-06-30","Per=Y","Days=T","Dir=V")</f>
        <v>0</v>
      </c>
      <c r="AI2">
        <f>BDH("EVI US Equity","IS_DEPR_EXP","2016-06-30","2021-06-30","Per=Y","Days=T","Dir=V")</f>
        <v>0</v>
      </c>
      <c r="AK2">
        <f>BDH("EVI US Equity","CF_CASH_FROM_OPER","2016-06-30","2021-06-30","Per=Y","Days=T","Dir=V")</f>
        <v>0</v>
      </c>
      <c r="AM2">
        <f>BDH("EVI US Equity","CAPITAL_EXPEND","2016-06-30","2021-06-30","Per=Y","Days=T","Dir=V")</f>
        <v>0</v>
      </c>
      <c r="AO2">
        <f>BDH("EVI US Equity","CF_FREE_CASH_FLOW","2016-06-30","2021-06-30","Per=Y","Days=T","Dir=V")</f>
        <v>0</v>
      </c>
      <c r="AQ2">
        <f>BDH("EVI US Equity","PX_LAST","2016-06-30","2021-06-30","Per=M","Days=T","Dir=V")</f>
        <v>0</v>
      </c>
      <c r="AS2">
        <f>BDH("EVI US Equity","CUR_MKT_CAP","2016-06-30","2021-06-30","Per=M","Days=T","Dir=V")</f>
        <v>0</v>
      </c>
      <c r="AU2">
        <f>BDH("EVI US Equity","EQY_SH_OUT","2016-06-30","2021-06-30","Per=M","Days=T","Dir=V")</f>
        <v>0</v>
      </c>
      <c r="AW2">
        <f>BDH("EVI US Equity","BETA_RAW_OVERRIABLE","2016-06-30","2021-06-30","Per=M","Days=T","Dir=V")</f>
        <v>0</v>
      </c>
      <c r="AY2">
        <f>BDH("EVI US Equity","PX_VOLUME","2016-06-30","2021-06-30","Per=M","Days=T","Dir=V")</f>
        <v>0</v>
      </c>
      <c r="BA2">
        <f>BDH("EVI US Equity","TURNOVER","2016-06-30","2021-06-30","Per=M","Days=T","Dir=V")</f>
        <v>0</v>
      </c>
      <c r="BC2">
        <f>BDH("EVI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BDH("FLWS US Equity","BS_TOT_ASSET","2016-06-30","2021-06-30","Per=Y","Days=T","Dir=V")</f>
        <v>0</v>
      </c>
      <c r="C2">
        <f>BDH("FLWS US Equity","BS_TOT_LIAB2","2016-06-30","2021-06-30","Per=Y","Days=T","Dir=V")</f>
        <v>0</v>
      </c>
      <c r="E2">
        <f>BDH("FLWS US Equity","SHORT_AND_LONG_TERM_DEBT","2016-06-30","2021-06-30","Per=Y","Days=T","Dir=V")</f>
        <v>0</v>
      </c>
      <c r="G2">
        <f>BDH("FLWS US Equity","BS_ST_BORROW","2016-06-30","2021-06-30","Per=Y","Days=T","Dir=V")</f>
        <v>0</v>
      </c>
      <c r="I2">
        <f>BDH("FLWS US Equity","BS_LT_BORROW","2016-06-30","2021-06-30","Per=Y","Days=T","Dir=V")</f>
        <v>0</v>
      </c>
      <c r="K2">
        <f>BDH("FLWS US Equity","BS_CASH_NEAR_CASH_ITEM","2016-06-30","2021-06-30","Per=Y","Days=T","Dir=V")</f>
        <v>0</v>
      </c>
      <c r="M2">
        <f>BDH("FLWS US Equity","BS_CUR_ASSET_REPORT","2016-06-30","2021-06-30","Per=Y","Days=T","Dir=V")</f>
        <v>0</v>
      </c>
      <c r="O2">
        <f>BDH("FLWS US Equity","BS_CUR_LIAB","2016-06-30","2021-06-30","Per=Y","Days=T","Dir=V")</f>
        <v>0</v>
      </c>
      <c r="Q2">
        <f>BDH("FLWS US Equity","BS_SHAREHOLDER_EQY_ENDING_PERIOD","2016-06-30","2021-06-30","Per=Y","Days=T","Dir=V")</f>
        <v>0</v>
      </c>
      <c r="S2">
        <f>BDH("FLWS US Equity","BS_ACCT_NOTE_RCV","2016-06-30","2021-06-30","Per=Y","Days=T","Dir=V")</f>
        <v>0</v>
      </c>
      <c r="U2">
        <f>BDH("FLWS US Equity","BS_INVENTORIES","2016-06-30","2021-06-30","Per=Y","Days=T","Dir=V")</f>
        <v>0</v>
      </c>
      <c r="W2">
        <f>BDH("FLWS US Equity","WORKING_CAPITAL","2016-06-30","2021-06-30","Per=Y","Days=T","Dir=V")</f>
        <v>0</v>
      </c>
      <c r="Y2">
        <f>BDH("FLWS US Equity","SALES_REV_TURN","2016-06-30","2021-06-30","Per=Y","Days=T","Dir=V")</f>
        <v>0</v>
      </c>
      <c r="AA2">
        <f>BDH("FLWS US Equity","EBIT","2016-06-30","2021-06-30","Per=Y","Days=T","Dir=V")</f>
        <v>0</v>
      </c>
      <c r="AC2">
        <f>BDH("FLWS US Equity","EBITDA","2016-06-30","2021-06-30","Per=Y","Days=T","Dir=V")</f>
        <v>0</v>
      </c>
      <c r="AE2">
        <f>BDH("FLWS US Equity","NET_INCOME","2016-06-30","2021-06-30","Per=Y","Days=T","Dir=V")</f>
        <v>0</v>
      </c>
      <c r="AG2">
        <f>BDH("FLWS US Equity","IS_INT_EXPENSE","2016-06-30","2021-06-30","Per=Y","Days=T","Dir=V")</f>
        <v>0</v>
      </c>
      <c r="AI2">
        <f>BDH("FLWS US Equity","IS_DEPR_EXP","2016-06-30","2021-06-30","Per=Y","Days=T","Dir=V")</f>
        <v>0</v>
      </c>
      <c r="AK2">
        <f>BDH("FLWS US Equity","CF_CASH_FROM_OPER","2016-06-30","2021-06-30","Per=Y","Days=T","Dir=V")</f>
        <v>0</v>
      </c>
      <c r="AM2">
        <f>BDH("FLWS US Equity","CAPITAL_EXPEND","2016-06-30","2021-06-30","Per=Y","Days=T","Dir=V")</f>
        <v>0</v>
      </c>
      <c r="AO2">
        <f>BDH("FLWS US Equity","CF_FREE_CASH_FLOW","2016-06-30","2021-06-30","Per=Y","Days=T","Dir=V")</f>
        <v>0</v>
      </c>
      <c r="AQ2">
        <f>BDH("FLWS US Equity","PX_LAST","2016-06-30","2021-06-30","Per=M","Days=T","Dir=V")</f>
        <v>0</v>
      </c>
      <c r="AS2">
        <f>BDH("FLWS US Equity","CUR_MKT_CAP","2016-06-30","2021-06-30","Per=M","Days=T","Dir=V")</f>
        <v>0</v>
      </c>
      <c r="AU2">
        <f>BDH("FLWS US Equity","EQY_SH_OUT","2016-06-30","2021-06-30","Per=M","Days=T","Dir=V")</f>
        <v>0</v>
      </c>
      <c r="AW2">
        <f>BDH("FLWS US Equity","BETA_RAW_OVERRIABLE","2016-06-30","2021-06-30","Per=M","Days=T","Dir=V")</f>
        <v>0</v>
      </c>
      <c r="AY2">
        <f>BDH("FLWS US Equity","PX_VOLUME","2016-06-30","2021-06-30","Per=M","Days=T","Dir=V")</f>
        <v>0</v>
      </c>
      <c r="BA2">
        <f>BDH("FLWS US Equity","TURNOVER","2016-06-30","2021-06-30","Per=M","Days=T","Dir=V")</f>
        <v>0</v>
      </c>
      <c r="BC2">
        <f>BDH("FLWS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BDH("BNKK US Equity","BS_TOT_ASSET","2016-06-30","2021-06-30","Per=Y","Days=T","Dir=V")</f>
        <v>0</v>
      </c>
      <c r="C2">
        <f>BDH("BNKK US Equity","BS_TOT_LIAB2","2016-06-30","2021-06-30","Per=Y","Days=T","Dir=V")</f>
        <v>0</v>
      </c>
      <c r="E2">
        <f>BDH("BNKK US Equity","SHORT_AND_LONG_TERM_DEBT","2016-06-30","2021-06-30","Per=Y","Days=T","Dir=V")</f>
        <v>0</v>
      </c>
      <c r="G2">
        <f>BDH("BNKK US Equity","BS_ST_BORROW","2016-06-30","2021-06-30","Per=Y","Days=T","Dir=V")</f>
        <v>0</v>
      </c>
      <c r="I2">
        <f>BDH("BNKK US Equity","BS_LT_BORROW","2016-06-30","2021-06-30","Per=Y","Days=T","Dir=V")</f>
        <v>0</v>
      </c>
      <c r="K2">
        <f>BDH("BNKK US Equity","BS_CASH_NEAR_CASH_ITEM","2016-06-30","2021-06-30","Per=Y","Days=T","Dir=V")</f>
        <v>0</v>
      </c>
      <c r="M2">
        <f>BDH("BNKK US Equity","BS_CUR_ASSET_REPORT","2016-06-30","2021-06-30","Per=Y","Days=T","Dir=V")</f>
        <v>0</v>
      </c>
      <c r="O2">
        <f>BDH("BNKK US Equity","BS_CUR_LIAB","2016-06-30","2021-06-30","Per=Y","Days=T","Dir=V")</f>
        <v>0</v>
      </c>
      <c r="Q2">
        <f>BDH("BNKK US Equity","BS_SHAREHOLDER_EQY_ENDING_PERIOD","2016-06-30","2021-06-30","Per=Y","Days=T","Dir=V")</f>
        <v>0</v>
      </c>
      <c r="S2">
        <f>BDH("BNKK US Equity","BS_ACCT_NOTE_RCV","2016-06-30","2021-06-30","Per=Y","Days=T","Dir=V")</f>
        <v>0</v>
      </c>
      <c r="U2">
        <f>BDH("BNKK US Equity","BS_INVENTORIES","2016-06-30","2021-06-30","Per=Y","Days=T","Dir=V")</f>
        <v>0</v>
      </c>
      <c r="W2">
        <f>BDH("BNKK US Equity","WORKING_CAPITAL","2016-06-30","2021-06-30","Per=Y","Days=T","Dir=V")</f>
        <v>0</v>
      </c>
      <c r="Y2">
        <f>BDH("BNKK US Equity","SALES_REV_TURN","2016-06-30","2021-06-30","Per=Y","Days=T","Dir=V")</f>
        <v>0</v>
      </c>
      <c r="AA2">
        <f>BDH("BNKK US Equity","EBIT","2016-06-30","2021-06-30","Per=Y","Days=T","Dir=V")</f>
        <v>0</v>
      </c>
      <c r="AC2">
        <f>BDH("BNKK US Equity","EBITDA","2016-06-30","2021-06-30","Per=Y","Days=T","Dir=V")</f>
        <v>0</v>
      </c>
      <c r="AE2">
        <f>BDH("BNKK US Equity","NET_INCOME","2016-06-30","2021-06-30","Per=Y","Days=T","Dir=V")</f>
        <v>0</v>
      </c>
      <c r="AG2">
        <f>BDH("BNKK US Equity","IS_INT_EXPENSE","2016-06-30","2021-06-30","Per=Y","Days=T","Dir=V")</f>
        <v>0</v>
      </c>
      <c r="AI2">
        <f>BDH("BNKK US Equity","IS_DEPR_EXP","2016-06-30","2021-06-30","Per=Y","Days=T","Dir=V")</f>
        <v>0</v>
      </c>
      <c r="AK2">
        <f>BDH("BNKK US Equity","CF_CASH_FROM_OPER","2016-06-30","2021-06-30","Per=Y","Days=T","Dir=V")</f>
        <v>0</v>
      </c>
      <c r="AM2">
        <f>BDH("BNKK US Equity","CAPITAL_EXPEND","2016-06-30","2021-06-30","Per=Y","Days=T","Dir=V")</f>
        <v>0</v>
      </c>
      <c r="AO2">
        <f>BDH("BNKK US Equity","CF_FREE_CASH_FLOW","2016-06-30","2021-06-30","Per=Y","Days=T","Dir=V")</f>
        <v>0</v>
      </c>
      <c r="AQ2">
        <f>BDH("BNKK US Equity","PX_LAST","2016-06-30","2021-06-30","Per=M","Days=T","Dir=V")</f>
        <v>0</v>
      </c>
      <c r="AS2">
        <f>BDH("BNKK US Equity","CUR_MKT_CAP","2016-06-30","2021-06-30","Per=M","Days=T","Dir=V")</f>
        <v>0</v>
      </c>
      <c r="AU2">
        <f>BDH("BNKK US Equity","EQY_SH_OUT","2016-06-30","2021-06-30","Per=M","Days=T","Dir=V")</f>
        <v>0</v>
      </c>
      <c r="AW2">
        <f>BDH("BNKK US Equity","BETA_RAW_OVERRIABLE","2016-06-30","2021-06-30","Per=M","Days=T","Dir=V")</f>
        <v>0</v>
      </c>
      <c r="AY2">
        <f>BDH("BNKK US Equity","PX_VOLUME","2016-06-30","2021-06-30","Per=M","Days=T","Dir=V")</f>
        <v>0</v>
      </c>
      <c r="BA2">
        <f>BDH("BNKK US Equity","TURNOVER","2016-06-30","2021-06-30","Per=M","Days=T","Dir=V")</f>
        <v>0</v>
      </c>
      <c r="BC2">
        <f>BDH("BNKK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BDH("AXTA US Equity","BS_TOT_ASSET","2016-06-30","2021-06-30","Per=Y","Days=T","Dir=V")</f>
        <v>0</v>
      </c>
      <c r="C2">
        <f>BDH("AXTA US Equity","BS_TOT_LIAB2","2016-06-30","2021-06-30","Per=Y","Days=T","Dir=V")</f>
        <v>0</v>
      </c>
      <c r="E2">
        <f>BDH("AXTA US Equity","SHORT_AND_LONG_TERM_DEBT","2016-06-30","2021-06-30","Per=Y","Days=T","Dir=V")</f>
        <v>0</v>
      </c>
      <c r="G2">
        <f>BDH("AXTA US Equity","BS_ST_BORROW","2016-06-30","2021-06-30","Per=Y","Days=T","Dir=V")</f>
        <v>0</v>
      </c>
      <c r="I2">
        <f>BDH("AXTA US Equity","BS_LT_BORROW","2016-06-30","2021-06-30","Per=Y","Days=T","Dir=V")</f>
        <v>0</v>
      </c>
      <c r="K2">
        <f>BDH("AXTA US Equity","BS_CASH_NEAR_CASH_ITEM","2016-06-30","2021-06-30","Per=Y","Days=T","Dir=V")</f>
        <v>0</v>
      </c>
      <c r="M2">
        <f>BDH("AXTA US Equity","BS_CUR_ASSET_REPORT","2016-06-30","2021-06-30","Per=Y","Days=T","Dir=V")</f>
        <v>0</v>
      </c>
      <c r="O2">
        <f>BDH("AXTA US Equity","BS_CUR_LIAB","2016-06-30","2021-06-30","Per=Y","Days=T","Dir=V")</f>
        <v>0</v>
      </c>
      <c r="Q2">
        <f>BDH("AXTA US Equity","BS_SHAREHOLDER_EQY_ENDING_PERIOD","2016-06-30","2021-06-30","Per=Y","Days=T","Dir=V")</f>
        <v>0</v>
      </c>
      <c r="S2">
        <f>BDH("AXTA US Equity","BS_ACCT_NOTE_RCV","2016-06-30","2021-06-30","Per=Y","Days=T","Dir=V")</f>
        <v>0</v>
      </c>
      <c r="U2">
        <f>BDH("AXTA US Equity","BS_INVENTORIES","2016-06-30","2021-06-30","Per=Y","Days=T","Dir=V")</f>
        <v>0</v>
      </c>
      <c r="W2">
        <f>BDH("AXTA US Equity","WORKING_CAPITAL","2016-06-30","2021-06-30","Per=Y","Days=T","Dir=V")</f>
        <v>0</v>
      </c>
      <c r="Y2">
        <f>BDH("AXTA US Equity","SALES_REV_TURN","2016-06-30","2021-06-30","Per=Y","Days=T","Dir=V")</f>
        <v>0</v>
      </c>
      <c r="AA2">
        <f>BDH("AXTA US Equity","EBIT","2016-06-30","2021-06-30","Per=Y","Days=T","Dir=V")</f>
        <v>0</v>
      </c>
      <c r="AC2">
        <f>BDH("AXTA US Equity","EBITDA","2016-06-30","2021-06-30","Per=Y","Days=T","Dir=V")</f>
        <v>0</v>
      </c>
      <c r="AE2">
        <f>BDH("AXTA US Equity","NET_INCOME","2016-06-30","2021-06-30","Per=Y","Days=T","Dir=V")</f>
        <v>0</v>
      </c>
      <c r="AG2">
        <f>BDH("AXTA US Equity","IS_INT_EXPENSE","2016-06-30","2021-06-30","Per=Y","Days=T","Dir=V")</f>
        <v>0</v>
      </c>
      <c r="AI2">
        <f>BDH("AXTA US Equity","IS_DEPR_EXP","2016-06-30","2021-06-30","Per=Y","Days=T","Dir=V")</f>
        <v>0</v>
      </c>
      <c r="AK2">
        <f>BDH("AXTA US Equity","CF_CASH_FROM_OPER","2016-06-30","2021-06-30","Per=Y","Days=T","Dir=V")</f>
        <v>0</v>
      </c>
      <c r="AM2">
        <f>BDH("AXTA US Equity","CAPITAL_EXPEND","2016-06-30","2021-06-30","Per=Y","Days=T","Dir=V")</f>
        <v>0</v>
      </c>
      <c r="AO2">
        <f>BDH("AXTA US Equity","CF_FREE_CASH_FLOW","2016-06-30","2021-06-30","Per=Y","Days=T","Dir=V")</f>
        <v>0</v>
      </c>
      <c r="AQ2">
        <f>BDH("AXTA US Equity","PX_LAST","2016-06-30","2021-06-30","Per=M","Days=T","Dir=V")</f>
        <v>0</v>
      </c>
      <c r="AS2">
        <f>BDH("AXTA US Equity","CUR_MKT_CAP","2016-06-30","2021-06-30","Per=M","Days=T","Dir=V")</f>
        <v>0</v>
      </c>
      <c r="AU2">
        <f>BDH("AXTA US Equity","EQY_SH_OUT","2016-06-30","2021-06-30","Per=M","Days=T","Dir=V")</f>
        <v>0</v>
      </c>
      <c r="AW2">
        <f>BDH("AXTA US Equity","BETA_RAW_OVERRIABLE","2016-06-30","2021-06-30","Per=M","Days=T","Dir=V")</f>
        <v>0</v>
      </c>
      <c r="AY2">
        <f>BDH("AXTA US Equity","PX_VOLUME","2016-06-30","2021-06-30","Per=M","Days=T","Dir=V")</f>
        <v>0</v>
      </c>
      <c r="BA2">
        <f>BDH("AXTA US Equity","TURNOVER","2016-06-30","2021-06-30","Per=M","Days=T","Dir=V")</f>
        <v>0</v>
      </c>
      <c r="BC2">
        <f>BDH("AXTA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BDH("HQI US Equity","BS_TOT_ASSET","2016-06-30","2021-06-30","Per=Y","Days=T","Dir=V")</f>
        <v>0</v>
      </c>
      <c r="C2">
        <f>BDH("HQI US Equity","BS_TOT_LIAB2","2016-06-30","2021-06-30","Per=Y","Days=T","Dir=V")</f>
        <v>0</v>
      </c>
      <c r="E2">
        <f>BDH("HQI US Equity","SHORT_AND_LONG_TERM_DEBT","2016-06-30","2021-06-30","Per=Y","Days=T","Dir=V")</f>
        <v>0</v>
      </c>
      <c r="G2">
        <f>BDH("HQI US Equity","BS_ST_BORROW","2016-06-30","2021-06-30","Per=Y","Days=T","Dir=V")</f>
        <v>0</v>
      </c>
      <c r="I2">
        <f>BDH("HQI US Equity","BS_LT_BORROW","2016-06-30","2021-06-30","Per=Y","Days=T","Dir=V")</f>
        <v>0</v>
      </c>
      <c r="K2">
        <f>BDH("HQI US Equity","BS_CASH_NEAR_CASH_ITEM","2016-06-30","2021-06-30","Per=Y","Days=T","Dir=V")</f>
        <v>0</v>
      </c>
      <c r="M2">
        <f>BDH("HQI US Equity","BS_CUR_ASSET_REPORT","2016-06-30","2021-06-30","Per=Y","Days=T","Dir=V")</f>
        <v>0</v>
      </c>
      <c r="O2">
        <f>BDH("HQI US Equity","BS_CUR_LIAB","2016-06-30","2021-06-30","Per=Y","Days=T","Dir=V")</f>
        <v>0</v>
      </c>
      <c r="Q2">
        <f>BDH("HQI US Equity","BS_SHAREHOLDER_EQY_ENDING_PERIOD","2016-06-30","2021-06-30","Per=Y","Days=T","Dir=V")</f>
        <v>0</v>
      </c>
      <c r="S2">
        <f>BDH("HQI US Equity","BS_ACCT_NOTE_RCV","2016-06-30","2021-06-30","Per=Y","Days=T","Dir=V")</f>
        <v>0</v>
      </c>
      <c r="U2">
        <f>BDH("HQI US Equity","BS_INVENTORIES","2016-06-30","2021-06-30","Per=Y","Days=T","Dir=V")</f>
        <v>0</v>
      </c>
      <c r="W2">
        <f>BDH("HQI US Equity","WORKING_CAPITAL","2016-06-30","2021-06-30","Per=Y","Days=T","Dir=V")</f>
        <v>0</v>
      </c>
      <c r="Y2">
        <f>BDH("HQI US Equity","SALES_REV_TURN","2016-06-30","2021-06-30","Per=Y","Days=T","Dir=V")</f>
        <v>0</v>
      </c>
      <c r="AA2">
        <f>BDH("HQI US Equity","EBIT","2016-06-30","2021-06-30","Per=Y","Days=T","Dir=V")</f>
        <v>0</v>
      </c>
      <c r="AC2">
        <f>BDH("HQI US Equity","EBITDA","2016-06-30","2021-06-30","Per=Y","Days=T","Dir=V")</f>
        <v>0</v>
      </c>
      <c r="AE2">
        <f>BDH("HQI US Equity","NET_INCOME","2016-06-30","2021-06-30","Per=Y","Days=T","Dir=V")</f>
        <v>0</v>
      </c>
      <c r="AG2">
        <f>BDH("HQI US Equity","IS_INT_EXPENSE","2016-06-30","2021-06-30","Per=Y","Days=T","Dir=V")</f>
        <v>0</v>
      </c>
      <c r="AI2">
        <f>BDH("HQI US Equity","IS_DEPR_EXP","2016-06-30","2021-06-30","Per=Y","Days=T","Dir=V")</f>
        <v>0</v>
      </c>
      <c r="AK2">
        <f>BDH("HQI US Equity","CF_CASH_FROM_OPER","2016-06-30","2021-06-30","Per=Y","Days=T","Dir=V")</f>
        <v>0</v>
      </c>
      <c r="AM2">
        <f>BDH("HQI US Equity","CAPITAL_EXPEND","2016-06-30","2021-06-30","Per=Y","Days=T","Dir=V")</f>
        <v>0</v>
      </c>
      <c r="AO2">
        <f>BDH("HQI US Equity","CF_FREE_CASH_FLOW","2016-06-30","2021-06-30","Per=Y","Days=T","Dir=V")</f>
        <v>0</v>
      </c>
      <c r="AQ2">
        <f>BDH("HQI US Equity","PX_LAST","2016-06-30","2021-06-30","Per=M","Days=T","Dir=V")</f>
        <v>0</v>
      </c>
      <c r="AS2">
        <f>BDH("HQI US Equity","CUR_MKT_CAP","2016-06-30","2021-06-30","Per=M","Days=T","Dir=V")</f>
        <v>0</v>
      </c>
      <c r="AU2">
        <f>BDH("HQI US Equity","EQY_SH_OUT","2016-06-30","2021-06-30","Per=M","Days=T","Dir=V")</f>
        <v>0</v>
      </c>
      <c r="AW2">
        <f>BDH("HQI US Equity","BETA_RAW_OVERRIABLE","2016-06-30","2021-06-30","Per=M","Days=T","Dir=V")</f>
        <v>0</v>
      </c>
      <c r="AY2">
        <f>BDH("HQI US Equity","PX_VOLUME","2016-06-30","2021-06-30","Per=M","Days=T","Dir=V")</f>
        <v>0</v>
      </c>
      <c r="BA2">
        <f>BDH("HQI US Equity","TURNOVER","2016-06-30","2021-06-30","Per=M","Days=T","Dir=V")</f>
        <v>0</v>
      </c>
      <c r="BC2">
        <f>BDH("HQI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BDH("SITE US Equity","BS_TOT_ASSET","2016-06-30","2021-06-30","Per=Y","Days=T","Dir=V")</f>
        <v>0</v>
      </c>
      <c r="C2">
        <f>BDH("SITE US Equity","BS_TOT_LIAB2","2016-06-30","2021-06-30","Per=Y","Days=T","Dir=V")</f>
        <v>0</v>
      </c>
      <c r="E2">
        <f>BDH("SITE US Equity","SHORT_AND_LONG_TERM_DEBT","2016-06-30","2021-06-30","Per=Y","Days=T","Dir=V")</f>
        <v>0</v>
      </c>
      <c r="G2">
        <f>BDH("SITE US Equity","BS_ST_BORROW","2016-06-30","2021-06-30","Per=Y","Days=T","Dir=V")</f>
        <v>0</v>
      </c>
      <c r="I2">
        <f>BDH("SITE US Equity","BS_LT_BORROW","2016-06-30","2021-06-30","Per=Y","Days=T","Dir=V")</f>
        <v>0</v>
      </c>
      <c r="K2">
        <f>BDH("SITE US Equity","BS_CASH_NEAR_CASH_ITEM","2016-06-30","2021-06-30","Per=Y","Days=T","Dir=V")</f>
        <v>0</v>
      </c>
      <c r="M2">
        <f>BDH("SITE US Equity","BS_CUR_ASSET_REPORT","2016-06-30","2021-06-30","Per=Y","Days=T","Dir=V")</f>
        <v>0</v>
      </c>
      <c r="O2">
        <f>BDH("SITE US Equity","BS_CUR_LIAB","2016-06-30","2021-06-30","Per=Y","Days=T","Dir=V")</f>
        <v>0</v>
      </c>
      <c r="Q2">
        <f>BDH("SITE US Equity","BS_SHAREHOLDER_EQY_ENDING_PERIOD","2016-06-30","2021-06-30","Per=Y","Days=T","Dir=V")</f>
        <v>0</v>
      </c>
      <c r="S2">
        <f>BDH("SITE US Equity","BS_ACCT_NOTE_RCV","2016-06-30","2021-06-30","Per=Y","Days=T","Dir=V")</f>
        <v>0</v>
      </c>
      <c r="U2">
        <f>BDH("SITE US Equity","BS_INVENTORIES","2016-06-30","2021-06-30","Per=Y","Days=T","Dir=V")</f>
        <v>0</v>
      </c>
      <c r="W2">
        <f>BDH("SITE US Equity","WORKING_CAPITAL","2016-06-30","2021-06-30","Per=Y","Days=T","Dir=V")</f>
        <v>0</v>
      </c>
      <c r="Y2">
        <f>BDH("SITE US Equity","SALES_REV_TURN","2016-06-30","2021-06-30","Per=Y","Days=T","Dir=V")</f>
        <v>0</v>
      </c>
      <c r="AA2">
        <f>BDH("SITE US Equity","EBIT","2016-06-30","2021-06-30","Per=Y","Days=T","Dir=V")</f>
        <v>0</v>
      </c>
      <c r="AC2">
        <f>BDH("SITE US Equity","EBITDA","2016-06-30","2021-06-30","Per=Y","Days=T","Dir=V")</f>
        <v>0</v>
      </c>
      <c r="AE2">
        <f>BDH("SITE US Equity","NET_INCOME","2016-06-30","2021-06-30","Per=Y","Days=T","Dir=V")</f>
        <v>0</v>
      </c>
      <c r="AG2">
        <f>BDH("SITE US Equity","IS_INT_EXPENSE","2016-06-30","2021-06-30","Per=Y","Days=T","Dir=V")</f>
        <v>0</v>
      </c>
      <c r="AI2">
        <f>BDH("SITE US Equity","IS_DEPR_EXP","2016-06-30","2021-06-30","Per=Y","Days=T","Dir=V")</f>
        <v>0</v>
      </c>
      <c r="AK2">
        <f>BDH("SITE US Equity","CF_CASH_FROM_OPER","2016-06-30","2021-06-30","Per=Y","Days=T","Dir=V")</f>
        <v>0</v>
      </c>
      <c r="AM2">
        <f>BDH("SITE US Equity","CAPITAL_EXPEND","2016-06-30","2021-06-30","Per=Y","Days=T","Dir=V")</f>
        <v>0</v>
      </c>
      <c r="AO2">
        <f>BDH("SITE US Equity","CF_FREE_CASH_FLOW","2016-06-30","2021-06-30","Per=Y","Days=T","Dir=V")</f>
        <v>0</v>
      </c>
      <c r="AQ2">
        <f>BDH("SITE US Equity","PX_LAST","2016-06-30","2021-06-30","Per=M","Days=T","Dir=V")</f>
        <v>0</v>
      </c>
      <c r="AS2">
        <f>BDH("SITE US Equity","CUR_MKT_CAP","2016-06-30","2021-06-30","Per=M","Days=T","Dir=V")</f>
        <v>0</v>
      </c>
      <c r="AU2">
        <f>BDH("SITE US Equity","EQY_SH_OUT","2016-06-30","2021-06-30","Per=M","Days=T","Dir=V")</f>
        <v>0</v>
      </c>
      <c r="AW2">
        <f>BDH("SITE US Equity","BETA_RAW_OVERRIABLE","2016-06-30","2021-06-30","Per=M","Days=T","Dir=V")</f>
        <v>0</v>
      </c>
      <c r="AY2">
        <f>BDH("SITE US Equity","PX_VOLUME","2016-06-30","2021-06-30","Per=M","Days=T","Dir=V")</f>
        <v>0</v>
      </c>
      <c r="BA2">
        <f>BDH("SITE US Equity","TURNOVER","2016-06-30","2021-06-30","Per=M","Days=T","Dir=V")</f>
        <v>0</v>
      </c>
      <c r="BC2">
        <f>BDH("SITE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BDH("ACCO US Equity","BS_TOT_ASSET","2016-06-30","2021-06-30","Per=Y","Days=T","Dir=V")</f>
        <v>0</v>
      </c>
      <c r="C2">
        <f>BDH("ACCO US Equity","BS_TOT_LIAB2","2016-06-30","2021-06-30","Per=Y","Days=T","Dir=V")</f>
        <v>0</v>
      </c>
      <c r="E2">
        <f>BDH("ACCO US Equity","SHORT_AND_LONG_TERM_DEBT","2016-06-30","2021-06-30","Per=Y","Days=T","Dir=V")</f>
        <v>0</v>
      </c>
      <c r="G2">
        <f>BDH("ACCO US Equity","BS_ST_BORROW","2016-06-30","2021-06-30","Per=Y","Days=T","Dir=V")</f>
        <v>0</v>
      </c>
      <c r="I2">
        <f>BDH("ACCO US Equity","BS_LT_BORROW","2016-06-30","2021-06-30","Per=Y","Days=T","Dir=V")</f>
        <v>0</v>
      </c>
      <c r="K2">
        <f>BDH("ACCO US Equity","BS_CASH_NEAR_CASH_ITEM","2016-06-30","2021-06-30","Per=Y","Days=T","Dir=V")</f>
        <v>0</v>
      </c>
      <c r="M2">
        <f>BDH("ACCO US Equity","BS_CUR_ASSET_REPORT","2016-06-30","2021-06-30","Per=Y","Days=T","Dir=V")</f>
        <v>0</v>
      </c>
      <c r="O2">
        <f>BDH("ACCO US Equity","BS_CUR_LIAB","2016-06-30","2021-06-30","Per=Y","Days=T","Dir=V")</f>
        <v>0</v>
      </c>
      <c r="Q2">
        <f>BDH("ACCO US Equity","BS_SHAREHOLDER_EQY_ENDING_PERIOD","2016-06-30","2021-06-30","Per=Y","Days=T","Dir=V")</f>
        <v>0</v>
      </c>
      <c r="S2">
        <f>BDH("ACCO US Equity","BS_ACCT_NOTE_RCV","2016-06-30","2021-06-30","Per=Y","Days=T","Dir=V")</f>
        <v>0</v>
      </c>
      <c r="U2">
        <f>BDH("ACCO US Equity","BS_INVENTORIES","2016-06-30","2021-06-30","Per=Y","Days=T","Dir=V")</f>
        <v>0</v>
      </c>
      <c r="W2">
        <f>BDH("ACCO US Equity","WORKING_CAPITAL","2016-06-30","2021-06-30","Per=Y","Days=T","Dir=V")</f>
        <v>0</v>
      </c>
      <c r="Y2">
        <f>BDH("ACCO US Equity","SALES_REV_TURN","2016-06-30","2021-06-30","Per=Y","Days=T","Dir=V")</f>
        <v>0</v>
      </c>
      <c r="AA2">
        <f>BDH("ACCO US Equity","EBIT","2016-06-30","2021-06-30","Per=Y","Days=T","Dir=V")</f>
        <v>0</v>
      </c>
      <c r="AC2">
        <f>BDH("ACCO US Equity","EBITDA","2016-06-30","2021-06-30","Per=Y","Days=T","Dir=V")</f>
        <v>0</v>
      </c>
      <c r="AE2">
        <f>BDH("ACCO US Equity","NET_INCOME","2016-06-30","2021-06-30","Per=Y","Days=T","Dir=V")</f>
        <v>0</v>
      </c>
      <c r="AG2">
        <f>BDH("ACCO US Equity","IS_INT_EXPENSE","2016-06-30","2021-06-30","Per=Y","Days=T","Dir=V")</f>
        <v>0</v>
      </c>
      <c r="AI2">
        <f>BDH("ACCO US Equity","IS_DEPR_EXP","2016-06-30","2021-06-30","Per=Y","Days=T","Dir=V")</f>
        <v>0</v>
      </c>
      <c r="AK2">
        <f>BDH("ACCO US Equity","CF_CASH_FROM_OPER","2016-06-30","2021-06-30","Per=Y","Days=T","Dir=V")</f>
        <v>0</v>
      </c>
      <c r="AM2">
        <f>BDH("ACCO US Equity","CAPITAL_EXPEND","2016-06-30","2021-06-30","Per=Y","Days=T","Dir=V")</f>
        <v>0</v>
      </c>
      <c r="AO2">
        <f>BDH("ACCO US Equity","CF_FREE_CASH_FLOW","2016-06-30","2021-06-30","Per=Y","Days=T","Dir=V")</f>
        <v>0</v>
      </c>
      <c r="AQ2">
        <f>BDH("ACCO US Equity","PX_LAST","2016-06-30","2021-06-30","Per=M","Days=T","Dir=V")</f>
        <v>0</v>
      </c>
      <c r="AS2">
        <f>BDH("ACCO US Equity","CUR_MKT_CAP","2016-06-30","2021-06-30","Per=M","Days=T","Dir=V")</f>
        <v>0</v>
      </c>
      <c r="AU2">
        <f>BDH("ACCO US Equity","EQY_SH_OUT","2016-06-30","2021-06-30","Per=M","Days=T","Dir=V")</f>
        <v>0</v>
      </c>
      <c r="AW2">
        <f>BDH("ACCO US Equity","BETA_RAW_OVERRIABLE","2016-06-30","2021-06-30","Per=M","Days=T","Dir=V")</f>
        <v>0</v>
      </c>
      <c r="AY2">
        <f>BDH("ACCO US Equity","PX_VOLUME","2016-06-30","2021-06-30","Per=M","Days=T","Dir=V")</f>
        <v>0</v>
      </c>
      <c r="BA2">
        <f>BDH("ACCO US Equity","TURNOVER","2016-06-30","2021-06-30","Per=M","Days=T","Dir=V")</f>
        <v>0</v>
      </c>
      <c r="BC2">
        <f>BDH("ACCO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BDH("JCTC US Equity","BS_TOT_ASSET","2016-06-30","2021-06-30","Per=Y","Days=T","Dir=V")</f>
        <v>0</v>
      </c>
      <c r="C2">
        <f>BDH("JCTC US Equity","BS_TOT_LIAB2","2016-06-30","2021-06-30","Per=Y","Days=T","Dir=V")</f>
        <v>0</v>
      </c>
      <c r="E2">
        <f>BDH("JCTC US Equity","SHORT_AND_LONG_TERM_DEBT","2016-06-30","2021-06-30","Per=Y","Days=T","Dir=V")</f>
        <v>0</v>
      </c>
      <c r="G2">
        <f>BDH("JCTC US Equity","BS_ST_BORROW","2016-06-30","2021-06-30","Per=Y","Days=T","Dir=V")</f>
        <v>0</v>
      </c>
      <c r="I2">
        <f>BDH("JCTC US Equity","BS_LT_BORROW","2016-06-30","2021-06-30","Per=Y","Days=T","Dir=V")</f>
        <v>0</v>
      </c>
      <c r="K2">
        <f>BDH("JCTC US Equity","BS_CASH_NEAR_CASH_ITEM","2016-06-30","2021-06-30","Per=Y","Days=T","Dir=V")</f>
        <v>0</v>
      </c>
      <c r="M2">
        <f>BDH("JCTC US Equity","BS_CUR_ASSET_REPORT","2016-06-30","2021-06-30","Per=Y","Days=T","Dir=V")</f>
        <v>0</v>
      </c>
      <c r="O2">
        <f>BDH("JCTC US Equity","BS_CUR_LIAB","2016-06-30","2021-06-30","Per=Y","Days=T","Dir=V")</f>
        <v>0</v>
      </c>
      <c r="Q2">
        <f>BDH("JCTC US Equity","BS_SHAREHOLDER_EQY_ENDING_PERIOD","2016-06-30","2021-06-30","Per=Y","Days=T","Dir=V")</f>
        <v>0</v>
      </c>
      <c r="S2">
        <f>BDH("JCTC US Equity","BS_ACCT_NOTE_RCV","2016-06-30","2021-06-30","Per=Y","Days=T","Dir=V")</f>
        <v>0</v>
      </c>
      <c r="U2">
        <f>BDH("JCTC US Equity","BS_INVENTORIES","2016-06-30","2021-06-30","Per=Y","Days=T","Dir=V")</f>
        <v>0</v>
      </c>
      <c r="W2">
        <f>BDH("JCTC US Equity","WORKING_CAPITAL","2016-06-30","2021-06-30","Per=Y","Days=T","Dir=V")</f>
        <v>0</v>
      </c>
      <c r="Y2">
        <f>BDH("JCTC US Equity","SALES_REV_TURN","2016-06-30","2021-06-30","Per=Y","Days=T","Dir=V")</f>
        <v>0</v>
      </c>
      <c r="AA2">
        <f>BDH("JCTC US Equity","EBIT","2016-06-30","2021-06-30","Per=Y","Days=T","Dir=V")</f>
        <v>0</v>
      </c>
      <c r="AC2">
        <f>BDH("JCTC US Equity","EBITDA","2016-06-30","2021-06-30","Per=Y","Days=T","Dir=V")</f>
        <v>0</v>
      </c>
      <c r="AE2">
        <f>BDH("JCTC US Equity","NET_INCOME","2016-06-30","2021-06-30","Per=Y","Days=T","Dir=V")</f>
        <v>0</v>
      </c>
      <c r="AG2">
        <f>BDH("JCTC US Equity","IS_INT_EXPENSE","2016-06-30","2021-06-30","Per=Y","Days=T","Dir=V")</f>
        <v>0</v>
      </c>
      <c r="AI2">
        <f>BDH("JCTC US Equity","IS_DEPR_EXP","2016-06-30","2021-06-30","Per=Y","Days=T","Dir=V")</f>
        <v>0</v>
      </c>
      <c r="AK2">
        <f>BDH("JCTC US Equity","CF_CASH_FROM_OPER","2016-06-30","2021-06-30","Per=Y","Days=T","Dir=V")</f>
        <v>0</v>
      </c>
      <c r="AM2">
        <f>BDH("JCTC US Equity","CAPITAL_EXPEND","2016-06-30","2021-06-30","Per=Y","Days=T","Dir=V")</f>
        <v>0</v>
      </c>
      <c r="AO2">
        <f>BDH("JCTC US Equity","CF_FREE_CASH_FLOW","2016-06-30","2021-06-30","Per=Y","Days=T","Dir=V")</f>
        <v>0</v>
      </c>
      <c r="AQ2">
        <f>BDH("JCTC US Equity","PX_LAST","2016-06-30","2021-06-30","Per=M","Days=T","Dir=V")</f>
        <v>0</v>
      </c>
      <c r="AS2">
        <f>BDH("JCTC US Equity","CUR_MKT_CAP","2016-06-30","2021-06-30","Per=M","Days=T","Dir=V")</f>
        <v>0</v>
      </c>
      <c r="AU2">
        <f>BDH("JCTC US Equity","EQY_SH_OUT","2016-06-30","2021-06-30","Per=M","Days=T","Dir=V")</f>
        <v>0</v>
      </c>
      <c r="AW2">
        <f>BDH("JCTC US Equity","BETA_RAW_OVERRIABLE","2016-06-30","2021-06-30","Per=M","Days=T","Dir=V")</f>
        <v>0</v>
      </c>
      <c r="AY2">
        <f>BDH("JCTC US Equity","PX_VOLUME","2016-06-30","2021-06-30","Per=M","Days=T","Dir=V")</f>
        <v>0</v>
      </c>
      <c r="BA2">
        <f>BDH("JCTC US Equity","TURNOVER","2016-06-30","2021-06-30","Per=M","Days=T","Dir=V")</f>
        <v>0</v>
      </c>
      <c r="BC2">
        <f>BDH("JCTC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BDH("JOUT US Equity","BS_TOT_ASSET","2016-06-30","2021-06-30","Per=Y","Days=T","Dir=V")</f>
        <v>0</v>
      </c>
      <c r="C2">
        <f>BDH("JOUT US Equity","BS_TOT_LIAB2","2016-06-30","2021-06-30","Per=Y","Days=T","Dir=V")</f>
        <v>0</v>
      </c>
      <c r="E2">
        <f>BDH("JOUT US Equity","SHORT_AND_LONG_TERM_DEBT","2016-06-30","2021-06-30","Per=Y","Days=T","Dir=V")</f>
        <v>0</v>
      </c>
      <c r="G2">
        <f>BDH("JOUT US Equity","BS_ST_BORROW","2016-06-30","2021-06-30","Per=Y","Days=T","Dir=V")</f>
        <v>0</v>
      </c>
      <c r="I2">
        <f>BDH("JOUT US Equity","BS_LT_BORROW","2016-06-30","2021-06-30","Per=Y","Days=T","Dir=V")</f>
        <v>0</v>
      </c>
      <c r="K2">
        <f>BDH("JOUT US Equity","BS_CASH_NEAR_CASH_ITEM","2016-06-30","2021-06-30","Per=Y","Days=T","Dir=V")</f>
        <v>0</v>
      </c>
      <c r="M2">
        <f>BDH("JOUT US Equity","BS_CUR_ASSET_REPORT","2016-06-30","2021-06-30","Per=Y","Days=T","Dir=V")</f>
        <v>0</v>
      </c>
      <c r="O2">
        <f>BDH("JOUT US Equity","BS_CUR_LIAB","2016-06-30","2021-06-30","Per=Y","Days=T","Dir=V")</f>
        <v>0</v>
      </c>
      <c r="Q2">
        <f>BDH("JOUT US Equity","BS_SHAREHOLDER_EQY_ENDING_PERIOD","2016-06-30","2021-06-30","Per=Y","Days=T","Dir=V")</f>
        <v>0</v>
      </c>
      <c r="S2">
        <f>BDH("JOUT US Equity","BS_ACCT_NOTE_RCV","2016-06-30","2021-06-30","Per=Y","Days=T","Dir=V")</f>
        <v>0</v>
      </c>
      <c r="U2">
        <f>BDH("JOUT US Equity","BS_INVENTORIES","2016-06-30","2021-06-30","Per=Y","Days=T","Dir=V")</f>
        <v>0</v>
      </c>
      <c r="W2">
        <f>BDH("JOUT US Equity","WORKING_CAPITAL","2016-06-30","2021-06-30","Per=Y","Days=T","Dir=V")</f>
        <v>0</v>
      </c>
      <c r="Y2">
        <f>BDH("JOUT US Equity","SALES_REV_TURN","2016-06-30","2021-06-30","Per=Y","Days=T","Dir=V")</f>
        <v>0</v>
      </c>
      <c r="AA2">
        <f>BDH("JOUT US Equity","EBIT","2016-06-30","2021-06-30","Per=Y","Days=T","Dir=V")</f>
        <v>0</v>
      </c>
      <c r="AC2">
        <f>BDH("JOUT US Equity","EBITDA","2016-06-30","2021-06-30","Per=Y","Days=T","Dir=V")</f>
        <v>0</v>
      </c>
      <c r="AE2">
        <f>BDH("JOUT US Equity","NET_INCOME","2016-06-30","2021-06-30","Per=Y","Days=T","Dir=V")</f>
        <v>0</v>
      </c>
      <c r="AG2">
        <f>BDH("JOUT US Equity","IS_INT_EXPENSE","2016-06-30","2021-06-30","Per=Y","Days=T","Dir=V")</f>
        <v>0</v>
      </c>
      <c r="AI2">
        <f>BDH("JOUT US Equity","IS_DEPR_EXP","2016-06-30","2021-06-30","Per=Y","Days=T","Dir=V")</f>
        <v>0</v>
      </c>
      <c r="AK2">
        <f>BDH("JOUT US Equity","CF_CASH_FROM_OPER","2016-06-30","2021-06-30","Per=Y","Days=T","Dir=V")</f>
        <v>0</v>
      </c>
      <c r="AM2">
        <f>BDH("JOUT US Equity","CAPITAL_EXPEND","2016-06-30","2021-06-30","Per=Y","Days=T","Dir=V")</f>
        <v>0</v>
      </c>
      <c r="AO2">
        <f>BDH("JOUT US Equity","CF_FREE_CASH_FLOW","2016-06-30","2021-06-30","Per=Y","Days=T","Dir=V")</f>
        <v>0</v>
      </c>
      <c r="AQ2">
        <f>BDH("JOUT US Equity","PX_LAST","2016-06-30","2021-06-30","Per=M","Days=T","Dir=V")</f>
        <v>0</v>
      </c>
      <c r="AS2">
        <f>BDH("JOUT US Equity","CUR_MKT_CAP","2016-06-30","2021-06-30","Per=M","Days=T","Dir=V")</f>
        <v>0</v>
      </c>
      <c r="AU2">
        <f>BDH("JOUT US Equity","EQY_SH_OUT","2016-06-30","2021-06-30","Per=M","Days=T","Dir=V")</f>
        <v>0</v>
      </c>
      <c r="AW2">
        <f>BDH("JOUT US Equity","BETA_RAW_OVERRIABLE","2016-06-30","2021-06-30","Per=M","Days=T","Dir=V")</f>
        <v>0</v>
      </c>
      <c r="AY2">
        <f>BDH("JOUT US Equity","PX_VOLUME","2016-06-30","2021-06-30","Per=M","Days=T","Dir=V")</f>
        <v>0</v>
      </c>
      <c r="BA2">
        <f>BDH("JOUT US Equity","TURNOVER","2016-06-30","2021-06-30","Per=M","Days=T","Dir=V")</f>
        <v>0</v>
      </c>
      <c r="BC2">
        <f>BDH("JOUT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BDH("HTZ US Equity","BS_TOT_ASSET","2016-06-30","2021-06-30","Per=Y","Days=T","Dir=V")</f>
        <v>0</v>
      </c>
      <c r="C2">
        <f>BDH("HTZ US Equity","BS_TOT_LIAB2","2016-06-30","2021-06-30","Per=Y","Days=T","Dir=V")</f>
        <v>0</v>
      </c>
      <c r="E2">
        <f>BDH("HTZ US Equity","SHORT_AND_LONG_TERM_DEBT","2016-06-30","2021-06-30","Per=Y","Days=T","Dir=V")</f>
        <v>0</v>
      </c>
      <c r="G2">
        <f>BDH("HTZ US Equity","BS_ST_BORROW","2016-06-30","2021-06-30","Per=Y","Days=T","Dir=V")</f>
        <v>0</v>
      </c>
      <c r="I2">
        <f>BDH("HTZ US Equity","BS_LT_BORROW","2016-06-30","2021-06-30","Per=Y","Days=T","Dir=V")</f>
        <v>0</v>
      </c>
      <c r="K2">
        <f>BDH("HTZ US Equity","BS_CASH_NEAR_CASH_ITEM","2016-06-30","2021-06-30","Per=Y","Days=T","Dir=V")</f>
        <v>0</v>
      </c>
      <c r="M2">
        <f>BDH("HTZ US Equity","BS_CUR_ASSET_REPORT","2016-06-30","2021-06-30","Per=Y","Days=T","Dir=V")</f>
        <v>0</v>
      </c>
      <c r="O2">
        <f>BDH("HTZ US Equity","BS_CUR_LIAB","2016-06-30","2021-06-30","Per=Y","Days=T","Dir=V")</f>
        <v>0</v>
      </c>
      <c r="Q2">
        <f>BDH("HTZ US Equity","BS_SHAREHOLDER_EQY_ENDING_PERIOD","2016-06-30","2021-06-30","Per=Y","Days=T","Dir=V")</f>
        <v>0</v>
      </c>
      <c r="S2">
        <f>BDH("HTZ US Equity","BS_ACCT_NOTE_RCV","2016-06-30","2021-06-30","Per=Y","Days=T","Dir=V")</f>
        <v>0</v>
      </c>
      <c r="U2">
        <f>BDH("HTZ US Equity","BS_INVENTORIES","2016-06-30","2021-06-30","Per=Y","Days=T","Dir=V")</f>
        <v>0</v>
      </c>
      <c r="W2">
        <f>BDH("HTZ US Equity","WORKING_CAPITAL","2016-06-30","2021-06-30","Per=Y","Days=T","Dir=V")</f>
        <v>0</v>
      </c>
      <c r="Y2">
        <f>BDH("HTZ US Equity","SALES_REV_TURN","2016-06-30","2021-06-30","Per=Y","Days=T","Dir=V")</f>
        <v>0</v>
      </c>
      <c r="AA2">
        <f>BDH("HTZ US Equity","EBIT","2016-06-30","2021-06-30","Per=Y","Days=T","Dir=V")</f>
        <v>0</v>
      </c>
      <c r="AC2">
        <f>BDH("HTZ US Equity","EBITDA","2016-06-30","2021-06-30","Per=Y","Days=T","Dir=V")</f>
        <v>0</v>
      </c>
      <c r="AE2">
        <f>BDH("HTZ US Equity","NET_INCOME","2016-06-30","2021-06-30","Per=Y","Days=T","Dir=V")</f>
        <v>0</v>
      </c>
      <c r="AG2">
        <f>BDH("HTZ US Equity","IS_INT_EXPENSE","2016-06-30","2021-06-30","Per=Y","Days=T","Dir=V")</f>
        <v>0</v>
      </c>
      <c r="AI2">
        <f>BDH("HTZ US Equity","IS_DEPR_EXP","2016-06-30","2021-06-30","Per=Y","Days=T","Dir=V")</f>
        <v>0</v>
      </c>
      <c r="AK2">
        <f>BDH("HTZ US Equity","CF_CASH_FROM_OPER","2016-06-30","2021-06-30","Per=Y","Days=T","Dir=V")</f>
        <v>0</v>
      </c>
      <c r="AM2">
        <f>BDH("HTZ US Equity","CAPITAL_EXPEND","2016-06-30","2021-06-30","Per=Y","Days=T","Dir=V")</f>
        <v>0</v>
      </c>
      <c r="AO2">
        <f>BDH("HTZ US Equity","CF_FREE_CASH_FLOW","2016-06-30","2021-06-30","Per=Y","Days=T","Dir=V")</f>
        <v>0</v>
      </c>
      <c r="AQ2">
        <f>BDH("HTZ US Equity","PX_LAST","2016-06-30","2021-06-30","Per=M","Days=T","Dir=V")</f>
        <v>0</v>
      </c>
      <c r="AS2">
        <f>BDH("HTZ US Equity","CUR_MKT_CAP","2016-06-30","2021-06-30","Per=M","Days=T","Dir=V")</f>
        <v>0</v>
      </c>
      <c r="AU2">
        <f>BDH("HTZ US Equity","EQY_SH_OUT","2016-06-30","2021-06-30","Per=M","Days=T","Dir=V")</f>
        <v>0</v>
      </c>
      <c r="AW2">
        <f>BDH("HTZ US Equity","BETA_RAW_OVERRIABLE","2016-06-30","2021-06-30","Per=M","Days=T","Dir=V")</f>
        <v>0</v>
      </c>
      <c r="AY2">
        <f>BDH("HTZ US Equity","PX_VOLUME","2016-06-30","2021-06-30","Per=M","Days=T","Dir=V")</f>
        <v>0</v>
      </c>
      <c r="BA2">
        <f>BDH("HTZ US Equity","TURNOVER","2016-06-30","2021-06-30","Per=M","Days=T","Dir=V")</f>
        <v>0</v>
      </c>
      <c r="BC2">
        <f>BDH("HTZ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BDH("LVO US Equity","BS_TOT_ASSET","2016-06-30","2021-06-30","Per=Y","Days=T","Dir=V")</f>
        <v>0</v>
      </c>
      <c r="C2">
        <f>BDH("LVO US Equity","BS_TOT_LIAB2","2016-06-30","2021-06-30","Per=Y","Days=T","Dir=V")</f>
        <v>0</v>
      </c>
      <c r="E2">
        <f>BDH("LVO US Equity","SHORT_AND_LONG_TERM_DEBT","2016-06-30","2021-06-30","Per=Y","Days=T","Dir=V")</f>
        <v>0</v>
      </c>
      <c r="G2">
        <f>BDH("LVO US Equity","BS_ST_BORROW","2016-06-30","2021-06-30","Per=Y","Days=T","Dir=V")</f>
        <v>0</v>
      </c>
      <c r="I2">
        <f>BDH("LVO US Equity","BS_LT_BORROW","2016-06-30","2021-06-30","Per=Y","Days=T","Dir=V")</f>
        <v>0</v>
      </c>
      <c r="K2">
        <f>BDH("LVO US Equity","BS_CASH_NEAR_CASH_ITEM","2016-06-30","2021-06-30","Per=Y","Days=T","Dir=V")</f>
        <v>0</v>
      </c>
      <c r="M2">
        <f>BDH("LVO US Equity","BS_CUR_ASSET_REPORT","2016-06-30","2021-06-30","Per=Y","Days=T","Dir=V")</f>
        <v>0</v>
      </c>
      <c r="O2">
        <f>BDH("LVO US Equity","BS_CUR_LIAB","2016-06-30","2021-06-30","Per=Y","Days=T","Dir=V")</f>
        <v>0</v>
      </c>
      <c r="Q2">
        <f>BDH("LVO US Equity","BS_SHAREHOLDER_EQY_ENDING_PERIOD","2016-06-30","2021-06-30","Per=Y","Days=T","Dir=V")</f>
        <v>0</v>
      </c>
      <c r="S2">
        <f>BDH("LVO US Equity","BS_ACCT_NOTE_RCV","2016-06-30","2021-06-30","Per=Y","Days=T","Dir=V")</f>
        <v>0</v>
      </c>
      <c r="U2">
        <f>BDH("LVO US Equity","BS_INVENTORIES","2016-06-30","2021-06-30","Per=Y","Days=T","Dir=V")</f>
        <v>0</v>
      </c>
      <c r="W2">
        <f>BDH("LVO US Equity","WORKING_CAPITAL","2016-06-30","2021-06-30","Per=Y","Days=T","Dir=V")</f>
        <v>0</v>
      </c>
      <c r="Y2">
        <f>BDH("LVO US Equity","SALES_REV_TURN","2016-06-30","2021-06-30","Per=Y","Days=T","Dir=V")</f>
        <v>0</v>
      </c>
      <c r="AA2">
        <f>BDH("LVO US Equity","EBIT","2016-06-30","2021-06-30","Per=Y","Days=T","Dir=V")</f>
        <v>0</v>
      </c>
      <c r="AC2">
        <f>BDH("LVO US Equity","EBITDA","2016-06-30","2021-06-30","Per=Y","Days=T","Dir=V")</f>
        <v>0</v>
      </c>
      <c r="AE2">
        <f>BDH("LVO US Equity","NET_INCOME","2016-06-30","2021-06-30","Per=Y","Days=T","Dir=V")</f>
        <v>0</v>
      </c>
      <c r="AG2">
        <f>BDH("LVO US Equity","IS_INT_EXPENSE","2016-06-30","2021-06-30","Per=Y","Days=T","Dir=V")</f>
        <v>0</v>
      </c>
      <c r="AI2">
        <f>BDH("LVO US Equity","IS_DEPR_EXP","2016-06-30","2021-06-30","Per=Y","Days=T","Dir=V")</f>
        <v>0</v>
      </c>
      <c r="AK2">
        <f>BDH("LVO US Equity","CF_CASH_FROM_OPER","2016-06-30","2021-06-30","Per=Y","Days=T","Dir=V")</f>
        <v>0</v>
      </c>
      <c r="AM2">
        <f>BDH("LVO US Equity","CAPITAL_EXPEND","2016-06-30","2021-06-30","Per=Y","Days=T","Dir=V")</f>
        <v>0</v>
      </c>
      <c r="AO2">
        <f>BDH("LVO US Equity","CF_FREE_CASH_FLOW","2016-06-30","2021-06-30","Per=Y","Days=T","Dir=V")</f>
        <v>0</v>
      </c>
      <c r="AQ2">
        <f>BDH("LVO US Equity","PX_LAST","2016-06-30","2021-06-30","Per=M","Days=T","Dir=V")</f>
        <v>0</v>
      </c>
      <c r="AS2">
        <f>BDH("LVO US Equity","CUR_MKT_CAP","2016-06-30","2021-06-30","Per=M","Days=T","Dir=V")</f>
        <v>0</v>
      </c>
      <c r="AU2">
        <f>BDH("LVO US Equity","EQY_SH_OUT","2016-06-30","2021-06-30","Per=M","Days=T","Dir=V")</f>
        <v>0</v>
      </c>
      <c r="AW2">
        <f>BDH("LVO US Equity","BETA_RAW_OVERRIABLE","2016-06-30","2021-06-30","Per=M","Days=T","Dir=V")</f>
        <v>0</v>
      </c>
      <c r="AY2">
        <f>BDH("LVO US Equity","PX_VOLUME","2016-06-30","2021-06-30","Per=M","Days=T","Dir=V")</f>
        <v>0</v>
      </c>
      <c r="BA2">
        <f>BDH("LVO US Equity","TURNOVER","2016-06-30","2021-06-30","Per=M","Days=T","Dir=V")</f>
        <v>0</v>
      </c>
      <c r="BC2">
        <f>BDH("LVO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BDH("SHAK US Equity","BS_TOT_ASSET","2016-06-30","2021-06-30","Per=Y","Days=T","Dir=V")</f>
        <v>0</v>
      </c>
      <c r="C2">
        <f>BDH("SHAK US Equity","BS_TOT_LIAB2","2016-06-30","2021-06-30","Per=Y","Days=T","Dir=V")</f>
        <v>0</v>
      </c>
      <c r="E2">
        <f>BDH("SHAK US Equity","SHORT_AND_LONG_TERM_DEBT","2016-06-30","2021-06-30","Per=Y","Days=T","Dir=V")</f>
        <v>0</v>
      </c>
      <c r="G2">
        <f>BDH("SHAK US Equity","BS_ST_BORROW","2016-06-30","2021-06-30","Per=Y","Days=T","Dir=V")</f>
        <v>0</v>
      </c>
      <c r="I2">
        <f>BDH("SHAK US Equity","BS_LT_BORROW","2016-06-30","2021-06-30","Per=Y","Days=T","Dir=V")</f>
        <v>0</v>
      </c>
      <c r="K2">
        <f>BDH("SHAK US Equity","BS_CASH_NEAR_CASH_ITEM","2016-06-30","2021-06-30","Per=Y","Days=T","Dir=V")</f>
        <v>0</v>
      </c>
      <c r="M2">
        <f>BDH("SHAK US Equity","BS_CUR_ASSET_REPORT","2016-06-30","2021-06-30","Per=Y","Days=T","Dir=V")</f>
        <v>0</v>
      </c>
      <c r="O2">
        <f>BDH("SHAK US Equity","BS_CUR_LIAB","2016-06-30","2021-06-30","Per=Y","Days=T","Dir=V")</f>
        <v>0</v>
      </c>
      <c r="Q2">
        <f>BDH("SHAK US Equity","BS_SHAREHOLDER_EQY_ENDING_PERIOD","2016-06-30","2021-06-30","Per=Y","Days=T","Dir=V")</f>
        <v>0</v>
      </c>
      <c r="S2">
        <f>BDH("SHAK US Equity","BS_ACCT_NOTE_RCV","2016-06-30","2021-06-30","Per=Y","Days=T","Dir=V")</f>
        <v>0</v>
      </c>
      <c r="U2">
        <f>BDH("SHAK US Equity","BS_INVENTORIES","2016-06-30","2021-06-30","Per=Y","Days=T","Dir=V")</f>
        <v>0</v>
      </c>
      <c r="W2">
        <f>BDH("SHAK US Equity","WORKING_CAPITAL","2016-06-30","2021-06-30","Per=Y","Days=T","Dir=V")</f>
        <v>0</v>
      </c>
      <c r="Y2">
        <f>BDH("SHAK US Equity","SALES_REV_TURN","2016-06-30","2021-06-30","Per=Y","Days=T","Dir=V")</f>
        <v>0</v>
      </c>
      <c r="AA2">
        <f>BDH("SHAK US Equity","EBIT","2016-06-30","2021-06-30","Per=Y","Days=T","Dir=V")</f>
        <v>0</v>
      </c>
      <c r="AC2">
        <f>BDH("SHAK US Equity","EBITDA","2016-06-30","2021-06-30","Per=Y","Days=T","Dir=V")</f>
        <v>0</v>
      </c>
      <c r="AE2">
        <f>BDH("SHAK US Equity","NET_INCOME","2016-06-30","2021-06-30","Per=Y","Days=T","Dir=V")</f>
        <v>0</v>
      </c>
      <c r="AG2">
        <f>BDH("SHAK US Equity","IS_INT_EXPENSE","2016-06-30","2021-06-30","Per=Y","Days=T","Dir=V")</f>
        <v>0</v>
      </c>
      <c r="AI2">
        <f>BDH("SHAK US Equity","IS_DEPR_EXP","2016-06-30","2021-06-30","Per=Y","Days=T","Dir=V")</f>
        <v>0</v>
      </c>
      <c r="AK2">
        <f>BDH("SHAK US Equity","CF_CASH_FROM_OPER","2016-06-30","2021-06-30","Per=Y","Days=T","Dir=V")</f>
        <v>0</v>
      </c>
      <c r="AM2">
        <f>BDH("SHAK US Equity","CAPITAL_EXPEND","2016-06-30","2021-06-30","Per=Y","Days=T","Dir=V")</f>
        <v>0</v>
      </c>
      <c r="AO2">
        <f>BDH("SHAK US Equity","CF_FREE_CASH_FLOW","2016-06-30","2021-06-30","Per=Y","Days=T","Dir=V")</f>
        <v>0</v>
      </c>
      <c r="AQ2">
        <f>BDH("SHAK US Equity","PX_LAST","2016-06-30","2021-06-30","Per=M","Days=T","Dir=V")</f>
        <v>0</v>
      </c>
      <c r="AS2">
        <f>BDH("SHAK US Equity","CUR_MKT_CAP","2016-06-30","2021-06-30","Per=M","Days=T","Dir=V")</f>
        <v>0</v>
      </c>
      <c r="AU2">
        <f>BDH("SHAK US Equity","EQY_SH_OUT","2016-06-30","2021-06-30","Per=M","Days=T","Dir=V")</f>
        <v>0</v>
      </c>
      <c r="AW2">
        <f>BDH("SHAK US Equity","BETA_RAW_OVERRIABLE","2016-06-30","2021-06-30","Per=M","Days=T","Dir=V")</f>
        <v>0</v>
      </c>
      <c r="AY2">
        <f>BDH("SHAK US Equity","PX_VOLUME","2016-06-30","2021-06-30","Per=M","Days=T","Dir=V")</f>
        <v>0</v>
      </c>
      <c r="BA2">
        <f>BDH("SHAK US Equity","TURNOVER","2016-06-30","2021-06-30","Per=M","Days=T","Dir=V")</f>
        <v>0</v>
      </c>
      <c r="BC2">
        <f>BDH("SHAK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BDH("ABG US Equity","BS_TOT_ASSET","2016-06-30","2021-06-30","Per=Y","Days=T","Dir=V")</f>
        <v>0</v>
      </c>
      <c r="C2">
        <f>BDH("ABG US Equity","BS_TOT_LIAB2","2016-06-30","2021-06-30","Per=Y","Days=T","Dir=V")</f>
        <v>0</v>
      </c>
      <c r="E2">
        <f>BDH("ABG US Equity","SHORT_AND_LONG_TERM_DEBT","2016-06-30","2021-06-30","Per=Y","Days=T","Dir=V")</f>
        <v>0</v>
      </c>
      <c r="G2">
        <f>BDH("ABG US Equity","BS_ST_BORROW","2016-06-30","2021-06-30","Per=Y","Days=T","Dir=V")</f>
        <v>0</v>
      </c>
      <c r="I2">
        <f>BDH("ABG US Equity","BS_LT_BORROW","2016-06-30","2021-06-30","Per=Y","Days=T","Dir=V")</f>
        <v>0</v>
      </c>
      <c r="K2">
        <f>BDH("ABG US Equity","BS_CASH_NEAR_CASH_ITEM","2016-06-30","2021-06-30","Per=Y","Days=T","Dir=V")</f>
        <v>0</v>
      </c>
      <c r="M2">
        <f>BDH("ABG US Equity","BS_CUR_ASSET_REPORT","2016-06-30","2021-06-30","Per=Y","Days=T","Dir=V")</f>
        <v>0</v>
      </c>
      <c r="O2">
        <f>BDH("ABG US Equity","BS_CUR_LIAB","2016-06-30","2021-06-30","Per=Y","Days=T","Dir=V")</f>
        <v>0</v>
      </c>
      <c r="Q2">
        <f>BDH("ABG US Equity","BS_SHAREHOLDER_EQY_ENDING_PERIOD","2016-06-30","2021-06-30","Per=Y","Days=T","Dir=V")</f>
        <v>0</v>
      </c>
      <c r="S2">
        <f>BDH("ABG US Equity","BS_ACCT_NOTE_RCV","2016-06-30","2021-06-30","Per=Y","Days=T","Dir=V")</f>
        <v>0</v>
      </c>
      <c r="U2">
        <f>BDH("ABG US Equity","BS_INVENTORIES","2016-06-30","2021-06-30","Per=Y","Days=T","Dir=V")</f>
        <v>0</v>
      </c>
      <c r="W2">
        <f>BDH("ABG US Equity","WORKING_CAPITAL","2016-06-30","2021-06-30","Per=Y","Days=T","Dir=V")</f>
        <v>0</v>
      </c>
      <c r="Y2">
        <f>BDH("ABG US Equity","SALES_REV_TURN","2016-06-30","2021-06-30","Per=Y","Days=T","Dir=V")</f>
        <v>0</v>
      </c>
      <c r="AA2">
        <f>BDH("ABG US Equity","EBIT","2016-06-30","2021-06-30","Per=Y","Days=T","Dir=V")</f>
        <v>0</v>
      </c>
      <c r="AC2">
        <f>BDH("ABG US Equity","EBITDA","2016-06-30","2021-06-30","Per=Y","Days=T","Dir=V")</f>
        <v>0</v>
      </c>
      <c r="AE2">
        <f>BDH("ABG US Equity","NET_INCOME","2016-06-30","2021-06-30","Per=Y","Days=T","Dir=V")</f>
        <v>0</v>
      </c>
      <c r="AG2">
        <f>BDH("ABG US Equity","IS_INT_EXPENSE","2016-06-30","2021-06-30","Per=Y","Days=T","Dir=V")</f>
        <v>0</v>
      </c>
      <c r="AI2">
        <f>BDH("ABG US Equity","IS_DEPR_EXP","2016-06-30","2021-06-30","Per=Y","Days=T","Dir=V")</f>
        <v>0</v>
      </c>
      <c r="AK2">
        <f>BDH("ABG US Equity","CF_CASH_FROM_OPER","2016-06-30","2021-06-30","Per=Y","Days=T","Dir=V")</f>
        <v>0</v>
      </c>
      <c r="AM2">
        <f>BDH("ABG US Equity","CAPITAL_EXPEND","2016-06-30","2021-06-30","Per=Y","Days=T","Dir=V")</f>
        <v>0</v>
      </c>
      <c r="AO2">
        <f>BDH("ABG US Equity","CF_FREE_CASH_FLOW","2016-06-30","2021-06-30","Per=Y","Days=T","Dir=V")</f>
        <v>0</v>
      </c>
      <c r="AQ2">
        <f>BDH("ABG US Equity","PX_LAST","2016-06-30","2021-06-30","Per=M","Days=T","Dir=V")</f>
        <v>0</v>
      </c>
      <c r="AS2">
        <f>BDH("ABG US Equity","CUR_MKT_CAP","2016-06-30","2021-06-30","Per=M","Days=T","Dir=V")</f>
        <v>0</v>
      </c>
      <c r="AU2">
        <f>BDH("ABG US Equity","EQY_SH_OUT","2016-06-30","2021-06-30","Per=M","Days=T","Dir=V")</f>
        <v>0</v>
      </c>
      <c r="AW2">
        <f>BDH("ABG US Equity","BETA_RAW_OVERRIABLE","2016-06-30","2021-06-30","Per=M","Days=T","Dir=V")</f>
        <v>0</v>
      </c>
      <c r="AY2">
        <f>BDH("ABG US Equity","PX_VOLUME","2016-06-30","2021-06-30","Per=M","Days=T","Dir=V")</f>
        <v>0</v>
      </c>
      <c r="BA2">
        <f>BDH("ABG US Equity","TURNOVER","2016-06-30","2021-06-30","Per=M","Days=T","Dir=V")</f>
        <v>0</v>
      </c>
      <c r="BC2">
        <f>BDH("ABG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BDH("WMG US Equity","BS_TOT_ASSET","2016-06-30","2021-06-30","Per=Y","Days=T","Dir=V")</f>
        <v>0</v>
      </c>
      <c r="C2">
        <f>BDH("WMG US Equity","BS_TOT_LIAB2","2016-06-30","2021-06-30","Per=Y","Days=T","Dir=V")</f>
        <v>0</v>
      </c>
      <c r="E2">
        <f>BDH("WMG US Equity","SHORT_AND_LONG_TERM_DEBT","2016-06-30","2021-06-30","Per=Y","Days=T","Dir=V")</f>
        <v>0</v>
      </c>
      <c r="G2">
        <f>BDH("WMG US Equity","BS_ST_BORROW","2016-06-30","2021-06-30","Per=Y","Days=T","Dir=V")</f>
        <v>0</v>
      </c>
      <c r="I2">
        <f>BDH("WMG US Equity","BS_LT_BORROW","2016-06-30","2021-06-30","Per=Y","Days=T","Dir=V")</f>
        <v>0</v>
      </c>
      <c r="K2">
        <f>BDH("WMG US Equity","BS_CASH_NEAR_CASH_ITEM","2016-06-30","2021-06-30","Per=Y","Days=T","Dir=V")</f>
        <v>0</v>
      </c>
      <c r="M2">
        <f>BDH("WMG US Equity","BS_CUR_ASSET_REPORT","2016-06-30","2021-06-30","Per=Y","Days=T","Dir=V")</f>
        <v>0</v>
      </c>
      <c r="O2">
        <f>BDH("WMG US Equity","BS_CUR_LIAB","2016-06-30","2021-06-30","Per=Y","Days=T","Dir=V")</f>
        <v>0</v>
      </c>
      <c r="Q2">
        <f>BDH("WMG US Equity","BS_SHAREHOLDER_EQY_ENDING_PERIOD","2016-06-30","2021-06-30","Per=Y","Days=T","Dir=V")</f>
        <v>0</v>
      </c>
      <c r="S2">
        <f>BDH("WMG US Equity","BS_ACCT_NOTE_RCV","2016-06-30","2021-06-30","Per=Y","Days=T","Dir=V")</f>
        <v>0</v>
      </c>
      <c r="U2">
        <f>BDH("WMG US Equity","BS_INVENTORIES","2016-06-30","2021-06-30","Per=Y","Days=T","Dir=V")</f>
        <v>0</v>
      </c>
      <c r="W2">
        <f>BDH("WMG US Equity","WORKING_CAPITAL","2016-06-30","2021-06-30","Per=Y","Days=T","Dir=V")</f>
        <v>0</v>
      </c>
      <c r="Y2">
        <f>BDH("WMG US Equity","SALES_REV_TURN","2016-06-30","2021-06-30","Per=Y","Days=T","Dir=V")</f>
        <v>0</v>
      </c>
      <c r="AA2">
        <f>BDH("WMG US Equity","EBIT","2016-06-30","2021-06-30","Per=Y","Days=T","Dir=V")</f>
        <v>0</v>
      </c>
      <c r="AC2">
        <f>BDH("WMG US Equity","EBITDA","2016-06-30","2021-06-30","Per=Y","Days=T","Dir=V")</f>
        <v>0</v>
      </c>
      <c r="AE2">
        <f>BDH("WMG US Equity","NET_INCOME","2016-06-30","2021-06-30","Per=Y","Days=T","Dir=V")</f>
        <v>0</v>
      </c>
      <c r="AG2">
        <f>BDH("WMG US Equity","IS_INT_EXPENSE","2016-06-30","2021-06-30","Per=Y","Days=T","Dir=V")</f>
        <v>0</v>
      </c>
      <c r="AI2">
        <f>BDH("WMG US Equity","IS_DEPR_EXP","2016-06-30","2021-06-30","Per=Y","Days=T","Dir=V")</f>
        <v>0</v>
      </c>
      <c r="AK2">
        <f>BDH("WMG US Equity","CF_CASH_FROM_OPER","2016-06-30","2021-06-30","Per=Y","Days=T","Dir=V")</f>
        <v>0</v>
      </c>
      <c r="AM2">
        <f>BDH("WMG US Equity","CAPITAL_EXPEND","2016-06-30","2021-06-30","Per=Y","Days=T","Dir=V")</f>
        <v>0</v>
      </c>
      <c r="AO2">
        <f>BDH("WMG US Equity","CF_FREE_CASH_FLOW","2016-06-30","2021-06-30","Per=Y","Days=T","Dir=V")</f>
        <v>0</v>
      </c>
      <c r="AQ2">
        <f>BDH("WMG US Equity","PX_LAST","2016-06-30","2021-06-30","Per=M","Days=T","Dir=V")</f>
        <v>0</v>
      </c>
      <c r="AS2">
        <f>BDH("WMG US Equity","CUR_MKT_CAP","2016-06-30","2021-06-30","Per=M","Days=T","Dir=V")</f>
        <v>0</v>
      </c>
      <c r="AU2">
        <f>BDH("WMG US Equity","EQY_SH_OUT","2016-06-30","2021-06-30","Per=M","Days=T","Dir=V")</f>
        <v>0</v>
      </c>
      <c r="AW2">
        <f>BDH("WMG US Equity","BETA_RAW_OVERRIABLE","2016-06-30","2021-06-30","Per=M","Days=T","Dir=V")</f>
        <v>0</v>
      </c>
      <c r="AY2">
        <f>BDH("WMG US Equity","PX_VOLUME","2016-06-30","2021-06-30","Per=M","Days=T","Dir=V")</f>
        <v>0</v>
      </c>
      <c r="BA2">
        <f>BDH("WMG US Equity","TURNOVER","2016-06-30","2021-06-30","Per=M","Days=T","Dir=V")</f>
        <v>0</v>
      </c>
      <c r="BC2">
        <f>BDH("WMG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BDH("CAL US Equity","BS_TOT_ASSET","2016-06-30","2021-06-30","Per=Y","Days=T","Dir=V")</f>
        <v>0</v>
      </c>
      <c r="C2">
        <f>BDH("CAL US Equity","BS_TOT_LIAB2","2016-06-30","2021-06-30","Per=Y","Days=T","Dir=V")</f>
        <v>0</v>
      </c>
      <c r="E2">
        <f>BDH("CAL US Equity","SHORT_AND_LONG_TERM_DEBT","2016-06-30","2021-06-30","Per=Y","Days=T","Dir=V")</f>
        <v>0</v>
      </c>
      <c r="G2">
        <f>BDH("CAL US Equity","BS_ST_BORROW","2016-06-30","2021-06-30","Per=Y","Days=T","Dir=V")</f>
        <v>0</v>
      </c>
      <c r="I2">
        <f>BDH("CAL US Equity","BS_LT_BORROW","2016-06-30","2021-06-30","Per=Y","Days=T","Dir=V")</f>
        <v>0</v>
      </c>
      <c r="K2">
        <f>BDH("CAL US Equity","BS_CASH_NEAR_CASH_ITEM","2016-06-30","2021-06-30","Per=Y","Days=T","Dir=V")</f>
        <v>0</v>
      </c>
      <c r="M2">
        <f>BDH("CAL US Equity","BS_CUR_ASSET_REPORT","2016-06-30","2021-06-30","Per=Y","Days=T","Dir=V")</f>
        <v>0</v>
      </c>
      <c r="O2">
        <f>BDH("CAL US Equity","BS_CUR_LIAB","2016-06-30","2021-06-30","Per=Y","Days=T","Dir=V")</f>
        <v>0</v>
      </c>
      <c r="Q2">
        <f>BDH("CAL US Equity","BS_SHAREHOLDER_EQY_ENDING_PERIOD","2016-06-30","2021-06-30","Per=Y","Days=T","Dir=V")</f>
        <v>0</v>
      </c>
      <c r="S2">
        <f>BDH("CAL US Equity","BS_ACCT_NOTE_RCV","2016-06-30","2021-06-30","Per=Y","Days=T","Dir=V")</f>
        <v>0</v>
      </c>
      <c r="U2">
        <f>BDH("CAL US Equity","BS_INVENTORIES","2016-06-30","2021-06-30","Per=Y","Days=T","Dir=V")</f>
        <v>0</v>
      </c>
      <c r="W2">
        <f>BDH("CAL US Equity","WORKING_CAPITAL","2016-06-30","2021-06-30","Per=Y","Days=T","Dir=V")</f>
        <v>0</v>
      </c>
      <c r="Y2">
        <f>BDH("CAL US Equity","SALES_REV_TURN","2016-06-30","2021-06-30","Per=Y","Days=T","Dir=V")</f>
        <v>0</v>
      </c>
      <c r="AA2">
        <f>BDH("CAL US Equity","EBIT","2016-06-30","2021-06-30","Per=Y","Days=T","Dir=V")</f>
        <v>0</v>
      </c>
      <c r="AC2">
        <f>BDH("CAL US Equity","EBITDA","2016-06-30","2021-06-30","Per=Y","Days=T","Dir=V")</f>
        <v>0</v>
      </c>
      <c r="AE2">
        <f>BDH("CAL US Equity","NET_INCOME","2016-06-30","2021-06-30","Per=Y","Days=T","Dir=V")</f>
        <v>0</v>
      </c>
      <c r="AG2">
        <f>BDH("CAL US Equity","IS_INT_EXPENSE","2016-06-30","2021-06-30","Per=Y","Days=T","Dir=V")</f>
        <v>0</v>
      </c>
      <c r="AI2">
        <f>BDH("CAL US Equity","IS_DEPR_EXP","2016-06-30","2021-06-30","Per=Y","Days=T","Dir=V")</f>
        <v>0</v>
      </c>
      <c r="AK2">
        <f>BDH("CAL US Equity","CF_CASH_FROM_OPER","2016-06-30","2021-06-30","Per=Y","Days=T","Dir=V")</f>
        <v>0</v>
      </c>
      <c r="AM2">
        <f>BDH("CAL US Equity","CAPITAL_EXPEND","2016-06-30","2021-06-30","Per=Y","Days=T","Dir=V")</f>
        <v>0</v>
      </c>
      <c r="AO2">
        <f>BDH("CAL US Equity","CF_FREE_CASH_FLOW","2016-06-30","2021-06-30","Per=Y","Days=T","Dir=V")</f>
        <v>0</v>
      </c>
      <c r="AQ2">
        <f>BDH("CAL US Equity","PX_LAST","2016-06-30","2021-06-30","Per=M","Days=T","Dir=V")</f>
        <v>0</v>
      </c>
      <c r="AS2">
        <f>BDH("CAL US Equity","CUR_MKT_CAP","2016-06-30","2021-06-30","Per=M","Days=T","Dir=V")</f>
        <v>0</v>
      </c>
      <c r="AU2">
        <f>BDH("CAL US Equity","EQY_SH_OUT","2016-06-30","2021-06-30","Per=M","Days=T","Dir=V")</f>
        <v>0</v>
      </c>
      <c r="AW2">
        <f>BDH("CAL US Equity","BETA_RAW_OVERRIABLE","2016-06-30","2021-06-30","Per=M","Days=T","Dir=V")</f>
        <v>0</v>
      </c>
      <c r="AY2">
        <f>BDH("CAL US Equity","PX_VOLUME","2016-06-30","2021-06-30","Per=M","Days=T","Dir=V")</f>
        <v>0</v>
      </c>
      <c r="BA2">
        <f>BDH("CAL US Equity","TURNOVER","2016-06-30","2021-06-30","Per=M","Days=T","Dir=V")</f>
        <v>0</v>
      </c>
      <c r="BC2">
        <f>BDH("CAL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BDH("ASH US Equity","BS_TOT_ASSET","2016-06-30","2021-06-30","Per=Y","Days=T","Dir=V")</f>
        <v>0</v>
      </c>
      <c r="C2">
        <f>BDH("ASH US Equity","BS_TOT_LIAB2","2016-06-30","2021-06-30","Per=Y","Days=T","Dir=V")</f>
        <v>0</v>
      </c>
      <c r="E2">
        <f>BDH("ASH US Equity","SHORT_AND_LONG_TERM_DEBT","2016-06-30","2021-06-30","Per=Y","Days=T","Dir=V")</f>
        <v>0</v>
      </c>
      <c r="G2">
        <f>BDH("ASH US Equity","BS_ST_BORROW","2016-06-30","2021-06-30","Per=Y","Days=T","Dir=V")</f>
        <v>0</v>
      </c>
      <c r="I2">
        <f>BDH("ASH US Equity","BS_LT_BORROW","2016-06-30","2021-06-30","Per=Y","Days=T","Dir=V")</f>
        <v>0</v>
      </c>
      <c r="K2">
        <f>BDH("ASH US Equity","BS_CASH_NEAR_CASH_ITEM","2016-06-30","2021-06-30","Per=Y","Days=T","Dir=V")</f>
        <v>0</v>
      </c>
      <c r="M2">
        <f>BDH("ASH US Equity","BS_CUR_ASSET_REPORT","2016-06-30","2021-06-30","Per=Y","Days=T","Dir=V")</f>
        <v>0</v>
      </c>
      <c r="O2">
        <f>BDH("ASH US Equity","BS_CUR_LIAB","2016-06-30","2021-06-30","Per=Y","Days=T","Dir=V")</f>
        <v>0</v>
      </c>
      <c r="Q2">
        <f>BDH("ASH US Equity","BS_SHAREHOLDER_EQY_ENDING_PERIOD","2016-06-30","2021-06-30","Per=Y","Days=T","Dir=V")</f>
        <v>0</v>
      </c>
      <c r="S2">
        <f>BDH("ASH US Equity","BS_ACCT_NOTE_RCV","2016-06-30","2021-06-30","Per=Y","Days=T","Dir=V")</f>
        <v>0</v>
      </c>
      <c r="U2">
        <f>BDH("ASH US Equity","BS_INVENTORIES","2016-06-30","2021-06-30","Per=Y","Days=T","Dir=V")</f>
        <v>0</v>
      </c>
      <c r="W2">
        <f>BDH("ASH US Equity","WORKING_CAPITAL","2016-06-30","2021-06-30","Per=Y","Days=T","Dir=V")</f>
        <v>0</v>
      </c>
      <c r="Y2">
        <f>BDH("ASH US Equity","SALES_REV_TURN","2016-06-30","2021-06-30","Per=Y","Days=T","Dir=V")</f>
        <v>0</v>
      </c>
      <c r="AA2">
        <f>BDH("ASH US Equity","EBIT","2016-06-30","2021-06-30","Per=Y","Days=T","Dir=V")</f>
        <v>0</v>
      </c>
      <c r="AC2">
        <f>BDH("ASH US Equity","EBITDA","2016-06-30","2021-06-30","Per=Y","Days=T","Dir=V")</f>
        <v>0</v>
      </c>
      <c r="AE2">
        <f>BDH("ASH US Equity","NET_INCOME","2016-06-30","2021-06-30","Per=Y","Days=T","Dir=V")</f>
        <v>0</v>
      </c>
      <c r="AG2">
        <f>BDH("ASH US Equity","IS_INT_EXPENSE","2016-06-30","2021-06-30","Per=Y","Days=T","Dir=V")</f>
        <v>0</v>
      </c>
      <c r="AI2">
        <f>BDH("ASH US Equity","IS_DEPR_EXP","2016-06-30","2021-06-30","Per=Y","Days=T","Dir=V")</f>
        <v>0</v>
      </c>
      <c r="AK2">
        <f>BDH("ASH US Equity","CF_CASH_FROM_OPER","2016-06-30","2021-06-30","Per=Y","Days=T","Dir=V")</f>
        <v>0</v>
      </c>
      <c r="AM2">
        <f>BDH("ASH US Equity","CAPITAL_EXPEND","2016-06-30","2021-06-30","Per=Y","Days=T","Dir=V")</f>
        <v>0</v>
      </c>
      <c r="AO2">
        <f>BDH("ASH US Equity","CF_FREE_CASH_FLOW","2016-06-30","2021-06-30","Per=Y","Days=T","Dir=V")</f>
        <v>0</v>
      </c>
      <c r="AQ2">
        <f>BDH("ASH US Equity","PX_LAST","2016-06-30","2021-06-30","Per=M","Days=T","Dir=V")</f>
        <v>0</v>
      </c>
      <c r="AS2">
        <f>BDH("ASH US Equity","CUR_MKT_CAP","2016-06-30","2021-06-30","Per=M","Days=T","Dir=V")</f>
        <v>0</v>
      </c>
      <c r="AU2">
        <f>BDH("ASH US Equity","EQY_SH_OUT","2016-06-30","2021-06-30","Per=M","Days=T","Dir=V")</f>
        <v>0</v>
      </c>
      <c r="AW2">
        <f>BDH("ASH US Equity","BETA_RAW_OVERRIABLE","2016-06-30","2021-06-30","Per=M","Days=T","Dir=V")</f>
        <v>0</v>
      </c>
      <c r="AY2">
        <f>BDH("ASH US Equity","PX_VOLUME","2016-06-30","2021-06-30","Per=M","Days=T","Dir=V")</f>
        <v>0</v>
      </c>
      <c r="BA2">
        <f>BDH("ASH US Equity","TURNOVER","2016-06-30","2021-06-30","Per=M","Days=T","Dir=V")</f>
        <v>0</v>
      </c>
      <c r="BC2">
        <f>BDH("ASH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BDH("ASTS US Equity","BS_TOT_ASSET","2016-06-30","2021-06-30","Per=Y","Days=T","Dir=V")</f>
        <v>0</v>
      </c>
      <c r="C2">
        <f>BDH("ASTS US Equity","BS_TOT_LIAB2","2016-06-30","2021-06-30","Per=Y","Days=T","Dir=V")</f>
        <v>0</v>
      </c>
      <c r="E2">
        <f>BDH("ASTS US Equity","SHORT_AND_LONG_TERM_DEBT","2016-06-30","2021-06-30","Per=Y","Days=T","Dir=V")</f>
        <v>0</v>
      </c>
      <c r="G2">
        <f>BDH("ASTS US Equity","BS_ST_BORROW","2016-06-30","2021-06-30","Per=Y","Days=T","Dir=V")</f>
        <v>0</v>
      </c>
      <c r="I2">
        <f>BDH("ASTS US Equity","BS_LT_BORROW","2016-06-30","2021-06-30","Per=Y","Days=T","Dir=V")</f>
        <v>0</v>
      </c>
      <c r="K2">
        <f>BDH("ASTS US Equity","BS_CASH_NEAR_CASH_ITEM","2016-06-30","2021-06-30","Per=Y","Days=T","Dir=V")</f>
        <v>0</v>
      </c>
      <c r="M2">
        <f>BDH("ASTS US Equity","BS_CUR_ASSET_REPORT","2016-06-30","2021-06-30","Per=Y","Days=T","Dir=V")</f>
        <v>0</v>
      </c>
      <c r="O2">
        <f>BDH("ASTS US Equity","BS_CUR_LIAB","2016-06-30","2021-06-30","Per=Y","Days=T","Dir=V")</f>
        <v>0</v>
      </c>
      <c r="Q2">
        <f>BDH("ASTS US Equity","BS_SHAREHOLDER_EQY_ENDING_PERIOD","2016-06-30","2021-06-30","Per=Y","Days=T","Dir=V")</f>
        <v>0</v>
      </c>
      <c r="S2">
        <f>BDH("ASTS US Equity","BS_ACCT_NOTE_RCV","2016-06-30","2021-06-30","Per=Y","Days=T","Dir=V")</f>
        <v>0</v>
      </c>
      <c r="U2">
        <f>BDH("ASTS US Equity","BS_INVENTORIES","2016-06-30","2021-06-30","Per=Y","Days=T","Dir=V")</f>
        <v>0</v>
      </c>
      <c r="W2">
        <f>BDH("ASTS US Equity","WORKING_CAPITAL","2016-06-30","2021-06-30","Per=Y","Days=T","Dir=V")</f>
        <v>0</v>
      </c>
      <c r="Y2">
        <f>BDH("ASTS US Equity","SALES_REV_TURN","2016-06-30","2021-06-30","Per=Y","Days=T","Dir=V")</f>
        <v>0</v>
      </c>
      <c r="AA2">
        <f>BDH("ASTS US Equity","EBIT","2016-06-30","2021-06-30","Per=Y","Days=T","Dir=V")</f>
        <v>0</v>
      </c>
      <c r="AC2">
        <f>BDH("ASTS US Equity","EBITDA","2016-06-30","2021-06-30","Per=Y","Days=T","Dir=V")</f>
        <v>0</v>
      </c>
      <c r="AE2">
        <f>BDH("ASTS US Equity","NET_INCOME","2016-06-30","2021-06-30","Per=Y","Days=T","Dir=V")</f>
        <v>0</v>
      </c>
      <c r="AG2">
        <f>BDH("ASTS US Equity","IS_INT_EXPENSE","2016-06-30","2021-06-30","Per=Y","Days=T","Dir=V")</f>
        <v>0</v>
      </c>
      <c r="AI2">
        <f>BDH("ASTS US Equity","IS_DEPR_EXP","2016-06-30","2021-06-30","Per=Y","Days=T","Dir=V")</f>
        <v>0</v>
      </c>
      <c r="AK2">
        <f>BDH("ASTS US Equity","CF_CASH_FROM_OPER","2016-06-30","2021-06-30","Per=Y","Days=T","Dir=V")</f>
        <v>0</v>
      </c>
      <c r="AM2">
        <f>BDH("ASTS US Equity","CAPITAL_EXPEND","2016-06-30","2021-06-30","Per=Y","Days=T","Dir=V")</f>
        <v>0</v>
      </c>
      <c r="AO2">
        <f>BDH("ASTS US Equity","CF_FREE_CASH_FLOW","2016-06-30","2021-06-30","Per=Y","Days=T","Dir=V")</f>
        <v>0</v>
      </c>
      <c r="AQ2">
        <f>BDH("ASTS US Equity","PX_LAST","2016-06-30","2021-06-30","Per=M","Days=T","Dir=V")</f>
        <v>0</v>
      </c>
      <c r="AS2">
        <f>BDH("ASTS US Equity","CUR_MKT_CAP","2016-06-30","2021-06-30","Per=M","Days=T","Dir=V")</f>
        <v>0</v>
      </c>
      <c r="AU2">
        <f>BDH("ASTS US Equity","EQY_SH_OUT","2016-06-30","2021-06-30","Per=M","Days=T","Dir=V")</f>
        <v>0</v>
      </c>
      <c r="AW2">
        <f>BDH("ASTS US Equity","BETA_RAW_OVERRIABLE","2016-06-30","2021-06-30","Per=M","Days=T","Dir=V")</f>
        <v>0</v>
      </c>
      <c r="AY2">
        <f>BDH("ASTS US Equity","PX_VOLUME","2016-06-30","2021-06-30","Per=M","Days=T","Dir=V")</f>
        <v>0</v>
      </c>
      <c r="BA2">
        <f>BDH("ASTS US Equity","TURNOVER","2016-06-30","2021-06-30","Per=M","Days=T","Dir=V")</f>
        <v>0</v>
      </c>
      <c r="BC2">
        <f>BDH("ASTS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BDH("AIN US Equity","BS_TOT_ASSET","2016-06-30","2021-06-30","Per=Y","Days=T","Dir=V")</f>
        <v>0</v>
      </c>
      <c r="C2">
        <f>BDH("AIN US Equity","BS_TOT_LIAB2","2016-06-30","2021-06-30","Per=Y","Days=T","Dir=V")</f>
        <v>0</v>
      </c>
      <c r="E2">
        <f>BDH("AIN US Equity","SHORT_AND_LONG_TERM_DEBT","2016-06-30","2021-06-30","Per=Y","Days=T","Dir=V")</f>
        <v>0</v>
      </c>
      <c r="G2">
        <f>BDH("AIN US Equity","BS_ST_BORROW","2016-06-30","2021-06-30","Per=Y","Days=T","Dir=V")</f>
        <v>0</v>
      </c>
      <c r="I2">
        <f>BDH("AIN US Equity","BS_LT_BORROW","2016-06-30","2021-06-30","Per=Y","Days=T","Dir=V")</f>
        <v>0</v>
      </c>
      <c r="K2">
        <f>BDH("AIN US Equity","BS_CASH_NEAR_CASH_ITEM","2016-06-30","2021-06-30","Per=Y","Days=T","Dir=V")</f>
        <v>0</v>
      </c>
      <c r="M2">
        <f>BDH("AIN US Equity","BS_CUR_ASSET_REPORT","2016-06-30","2021-06-30","Per=Y","Days=T","Dir=V")</f>
        <v>0</v>
      </c>
      <c r="O2">
        <f>BDH("AIN US Equity","BS_CUR_LIAB","2016-06-30","2021-06-30","Per=Y","Days=T","Dir=V")</f>
        <v>0</v>
      </c>
      <c r="Q2">
        <f>BDH("AIN US Equity","BS_SHAREHOLDER_EQY_ENDING_PERIOD","2016-06-30","2021-06-30","Per=Y","Days=T","Dir=V")</f>
        <v>0</v>
      </c>
      <c r="S2">
        <f>BDH("AIN US Equity","BS_ACCT_NOTE_RCV","2016-06-30","2021-06-30","Per=Y","Days=T","Dir=V")</f>
        <v>0</v>
      </c>
      <c r="U2">
        <f>BDH("AIN US Equity","BS_INVENTORIES","2016-06-30","2021-06-30","Per=Y","Days=T","Dir=V")</f>
        <v>0</v>
      </c>
      <c r="W2">
        <f>BDH("AIN US Equity","WORKING_CAPITAL","2016-06-30","2021-06-30","Per=Y","Days=T","Dir=V")</f>
        <v>0</v>
      </c>
      <c r="Y2">
        <f>BDH("AIN US Equity","SALES_REV_TURN","2016-06-30","2021-06-30","Per=Y","Days=T","Dir=V")</f>
        <v>0</v>
      </c>
      <c r="AA2">
        <f>BDH("AIN US Equity","EBIT","2016-06-30","2021-06-30","Per=Y","Days=T","Dir=V")</f>
        <v>0</v>
      </c>
      <c r="AC2">
        <f>BDH("AIN US Equity","EBITDA","2016-06-30","2021-06-30","Per=Y","Days=T","Dir=V")</f>
        <v>0</v>
      </c>
      <c r="AE2">
        <f>BDH("AIN US Equity","NET_INCOME","2016-06-30","2021-06-30","Per=Y","Days=T","Dir=V")</f>
        <v>0</v>
      </c>
      <c r="AG2">
        <f>BDH("AIN US Equity","IS_INT_EXPENSE","2016-06-30","2021-06-30","Per=Y","Days=T","Dir=V")</f>
        <v>0</v>
      </c>
      <c r="AI2">
        <f>BDH("AIN US Equity","IS_DEPR_EXP","2016-06-30","2021-06-30","Per=Y","Days=T","Dir=V")</f>
        <v>0</v>
      </c>
      <c r="AK2">
        <f>BDH("AIN US Equity","CF_CASH_FROM_OPER","2016-06-30","2021-06-30","Per=Y","Days=T","Dir=V")</f>
        <v>0</v>
      </c>
      <c r="AM2">
        <f>BDH("AIN US Equity","CAPITAL_EXPEND","2016-06-30","2021-06-30","Per=Y","Days=T","Dir=V")</f>
        <v>0</v>
      </c>
      <c r="AO2">
        <f>BDH("AIN US Equity","CF_FREE_CASH_FLOW","2016-06-30","2021-06-30","Per=Y","Days=T","Dir=V")</f>
        <v>0</v>
      </c>
      <c r="AQ2">
        <f>BDH("AIN US Equity","PX_LAST","2016-06-30","2021-06-30","Per=M","Days=T","Dir=V")</f>
        <v>0</v>
      </c>
      <c r="AS2">
        <f>BDH("AIN US Equity","CUR_MKT_CAP","2016-06-30","2021-06-30","Per=M","Days=T","Dir=V")</f>
        <v>0</v>
      </c>
      <c r="AU2">
        <f>BDH("AIN US Equity","EQY_SH_OUT","2016-06-30","2021-06-30","Per=M","Days=T","Dir=V")</f>
        <v>0</v>
      </c>
      <c r="AW2">
        <f>BDH("AIN US Equity","BETA_RAW_OVERRIABLE","2016-06-30","2021-06-30","Per=M","Days=T","Dir=V")</f>
        <v>0</v>
      </c>
      <c r="AY2">
        <f>BDH("AIN US Equity","PX_VOLUME","2016-06-30","2021-06-30","Per=M","Days=T","Dir=V")</f>
        <v>0</v>
      </c>
      <c r="BA2">
        <f>BDH("AIN US Equity","TURNOVER","2016-06-30","2021-06-30","Per=M","Days=T","Dir=V")</f>
        <v>0</v>
      </c>
      <c r="BC2">
        <f>BDH("AIN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BDH("TPB US Equity","BS_TOT_ASSET","2016-06-30","2021-06-30","Per=Y","Days=T","Dir=V")</f>
        <v>0</v>
      </c>
      <c r="C2">
        <f>BDH("TPB US Equity","BS_TOT_LIAB2","2016-06-30","2021-06-30","Per=Y","Days=T","Dir=V")</f>
        <v>0</v>
      </c>
      <c r="E2">
        <f>BDH("TPB US Equity","SHORT_AND_LONG_TERM_DEBT","2016-06-30","2021-06-30","Per=Y","Days=T","Dir=V")</f>
        <v>0</v>
      </c>
      <c r="G2">
        <f>BDH("TPB US Equity","BS_ST_BORROW","2016-06-30","2021-06-30","Per=Y","Days=T","Dir=V")</f>
        <v>0</v>
      </c>
      <c r="I2">
        <f>BDH("TPB US Equity","BS_LT_BORROW","2016-06-30","2021-06-30","Per=Y","Days=T","Dir=V")</f>
        <v>0</v>
      </c>
      <c r="K2">
        <f>BDH("TPB US Equity","BS_CASH_NEAR_CASH_ITEM","2016-06-30","2021-06-30","Per=Y","Days=T","Dir=V")</f>
        <v>0</v>
      </c>
      <c r="M2">
        <f>BDH("TPB US Equity","BS_CUR_ASSET_REPORT","2016-06-30","2021-06-30","Per=Y","Days=T","Dir=V")</f>
        <v>0</v>
      </c>
      <c r="O2">
        <f>BDH("TPB US Equity","BS_CUR_LIAB","2016-06-30","2021-06-30","Per=Y","Days=T","Dir=V")</f>
        <v>0</v>
      </c>
      <c r="Q2">
        <f>BDH("TPB US Equity","BS_SHAREHOLDER_EQY_ENDING_PERIOD","2016-06-30","2021-06-30","Per=Y","Days=T","Dir=V")</f>
        <v>0</v>
      </c>
      <c r="S2">
        <f>BDH("TPB US Equity","BS_ACCT_NOTE_RCV","2016-06-30","2021-06-30","Per=Y","Days=T","Dir=V")</f>
        <v>0</v>
      </c>
      <c r="U2">
        <f>BDH("TPB US Equity","BS_INVENTORIES","2016-06-30","2021-06-30","Per=Y","Days=T","Dir=V")</f>
        <v>0</v>
      </c>
      <c r="W2">
        <f>BDH("TPB US Equity","WORKING_CAPITAL","2016-06-30","2021-06-30","Per=Y","Days=T","Dir=V")</f>
        <v>0</v>
      </c>
      <c r="Y2">
        <f>BDH("TPB US Equity","SALES_REV_TURN","2016-06-30","2021-06-30","Per=Y","Days=T","Dir=V")</f>
        <v>0</v>
      </c>
      <c r="AA2">
        <f>BDH("TPB US Equity","EBIT","2016-06-30","2021-06-30","Per=Y","Days=T","Dir=V")</f>
        <v>0</v>
      </c>
      <c r="AC2">
        <f>BDH("TPB US Equity","EBITDA","2016-06-30","2021-06-30","Per=Y","Days=T","Dir=V")</f>
        <v>0</v>
      </c>
      <c r="AE2">
        <f>BDH("TPB US Equity","NET_INCOME","2016-06-30","2021-06-30","Per=Y","Days=T","Dir=V")</f>
        <v>0</v>
      </c>
      <c r="AG2">
        <f>BDH("TPB US Equity","IS_INT_EXPENSE","2016-06-30","2021-06-30","Per=Y","Days=T","Dir=V")</f>
        <v>0</v>
      </c>
      <c r="AI2">
        <f>BDH("TPB US Equity","IS_DEPR_EXP","2016-06-30","2021-06-30","Per=Y","Days=T","Dir=V")</f>
        <v>0</v>
      </c>
      <c r="AK2">
        <f>BDH("TPB US Equity","CF_CASH_FROM_OPER","2016-06-30","2021-06-30","Per=Y","Days=T","Dir=V")</f>
        <v>0</v>
      </c>
      <c r="AM2">
        <f>BDH("TPB US Equity","CAPITAL_EXPEND","2016-06-30","2021-06-30","Per=Y","Days=T","Dir=V")</f>
        <v>0</v>
      </c>
      <c r="AO2">
        <f>BDH("TPB US Equity","CF_FREE_CASH_FLOW","2016-06-30","2021-06-30","Per=Y","Days=T","Dir=V")</f>
        <v>0</v>
      </c>
      <c r="AQ2">
        <f>BDH("TPB US Equity","PX_LAST","2016-06-30","2021-06-30","Per=M","Days=T","Dir=V")</f>
        <v>0</v>
      </c>
      <c r="AS2">
        <f>BDH("TPB US Equity","CUR_MKT_CAP","2016-06-30","2021-06-30","Per=M","Days=T","Dir=V")</f>
        <v>0</v>
      </c>
      <c r="AU2">
        <f>BDH("TPB US Equity","EQY_SH_OUT","2016-06-30","2021-06-30","Per=M","Days=T","Dir=V")</f>
        <v>0</v>
      </c>
      <c r="AW2">
        <f>BDH("TPB US Equity","BETA_RAW_OVERRIABLE","2016-06-30","2021-06-30","Per=M","Days=T","Dir=V")</f>
        <v>0</v>
      </c>
      <c r="AY2">
        <f>BDH("TPB US Equity","PX_VOLUME","2016-06-30","2021-06-30","Per=M","Days=T","Dir=V")</f>
        <v>0</v>
      </c>
      <c r="BA2">
        <f>BDH("TPB US Equity","TURNOVER","2016-06-30","2021-06-30","Per=M","Days=T","Dir=V")</f>
        <v>0</v>
      </c>
      <c r="BC2">
        <f>BDH("TPB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BDH("TTC US Equity","BS_TOT_ASSET","2016-06-30","2021-06-30","Per=Y","Days=T","Dir=V")</f>
        <v>0</v>
      </c>
      <c r="C2">
        <f>BDH("TTC US Equity","BS_TOT_LIAB2","2016-06-30","2021-06-30","Per=Y","Days=T","Dir=V")</f>
        <v>0</v>
      </c>
      <c r="E2">
        <f>BDH("TTC US Equity","SHORT_AND_LONG_TERM_DEBT","2016-06-30","2021-06-30","Per=Y","Days=T","Dir=V")</f>
        <v>0</v>
      </c>
      <c r="G2">
        <f>BDH("TTC US Equity","BS_ST_BORROW","2016-06-30","2021-06-30","Per=Y","Days=T","Dir=V")</f>
        <v>0</v>
      </c>
      <c r="I2">
        <f>BDH("TTC US Equity","BS_LT_BORROW","2016-06-30","2021-06-30","Per=Y","Days=T","Dir=V")</f>
        <v>0</v>
      </c>
      <c r="K2">
        <f>BDH("TTC US Equity","BS_CASH_NEAR_CASH_ITEM","2016-06-30","2021-06-30","Per=Y","Days=T","Dir=V")</f>
        <v>0</v>
      </c>
      <c r="M2">
        <f>BDH("TTC US Equity","BS_CUR_ASSET_REPORT","2016-06-30","2021-06-30","Per=Y","Days=T","Dir=V")</f>
        <v>0</v>
      </c>
      <c r="O2">
        <f>BDH("TTC US Equity","BS_CUR_LIAB","2016-06-30","2021-06-30","Per=Y","Days=T","Dir=V")</f>
        <v>0</v>
      </c>
      <c r="Q2">
        <f>BDH("TTC US Equity","BS_SHAREHOLDER_EQY_ENDING_PERIOD","2016-06-30","2021-06-30","Per=Y","Days=T","Dir=V")</f>
        <v>0</v>
      </c>
      <c r="S2">
        <f>BDH("TTC US Equity","BS_ACCT_NOTE_RCV","2016-06-30","2021-06-30","Per=Y","Days=T","Dir=V")</f>
        <v>0</v>
      </c>
      <c r="U2">
        <f>BDH("TTC US Equity","BS_INVENTORIES","2016-06-30","2021-06-30","Per=Y","Days=T","Dir=V")</f>
        <v>0</v>
      </c>
      <c r="W2">
        <f>BDH("TTC US Equity","WORKING_CAPITAL","2016-06-30","2021-06-30","Per=Y","Days=T","Dir=V")</f>
        <v>0</v>
      </c>
      <c r="Y2">
        <f>BDH("TTC US Equity","SALES_REV_TURN","2016-06-30","2021-06-30","Per=Y","Days=T","Dir=V")</f>
        <v>0</v>
      </c>
      <c r="AA2">
        <f>BDH("TTC US Equity","EBIT","2016-06-30","2021-06-30","Per=Y","Days=T","Dir=V")</f>
        <v>0</v>
      </c>
      <c r="AC2">
        <f>BDH("TTC US Equity","EBITDA","2016-06-30","2021-06-30","Per=Y","Days=T","Dir=V")</f>
        <v>0</v>
      </c>
      <c r="AE2">
        <f>BDH("TTC US Equity","NET_INCOME","2016-06-30","2021-06-30","Per=Y","Days=T","Dir=V")</f>
        <v>0</v>
      </c>
      <c r="AG2">
        <f>BDH("TTC US Equity","IS_INT_EXPENSE","2016-06-30","2021-06-30","Per=Y","Days=T","Dir=V")</f>
        <v>0</v>
      </c>
      <c r="AI2">
        <f>BDH("TTC US Equity","IS_DEPR_EXP","2016-06-30","2021-06-30","Per=Y","Days=T","Dir=V")</f>
        <v>0</v>
      </c>
      <c r="AK2">
        <f>BDH("TTC US Equity","CF_CASH_FROM_OPER","2016-06-30","2021-06-30","Per=Y","Days=T","Dir=V")</f>
        <v>0</v>
      </c>
      <c r="AM2">
        <f>BDH("TTC US Equity","CAPITAL_EXPEND","2016-06-30","2021-06-30","Per=Y","Days=T","Dir=V")</f>
        <v>0</v>
      </c>
      <c r="AO2">
        <f>BDH("TTC US Equity","CF_FREE_CASH_FLOW","2016-06-30","2021-06-30","Per=Y","Days=T","Dir=V")</f>
        <v>0</v>
      </c>
      <c r="AQ2">
        <f>BDH("TTC US Equity","PX_LAST","2016-06-30","2021-06-30","Per=M","Days=T","Dir=V")</f>
        <v>0</v>
      </c>
      <c r="AS2">
        <f>BDH("TTC US Equity","CUR_MKT_CAP","2016-06-30","2021-06-30","Per=M","Days=T","Dir=V")</f>
        <v>0</v>
      </c>
      <c r="AU2">
        <f>BDH("TTC US Equity","EQY_SH_OUT","2016-06-30","2021-06-30","Per=M","Days=T","Dir=V")</f>
        <v>0</v>
      </c>
      <c r="AW2">
        <f>BDH("TTC US Equity","BETA_RAW_OVERRIABLE","2016-06-30","2021-06-30","Per=M","Days=T","Dir=V")</f>
        <v>0</v>
      </c>
      <c r="AY2">
        <f>BDH("TTC US Equity","PX_VOLUME","2016-06-30","2021-06-30","Per=M","Days=T","Dir=V")</f>
        <v>0</v>
      </c>
      <c r="BA2">
        <f>BDH("TTC US Equity","TURNOVER","2016-06-30","2021-06-30","Per=M","Days=T","Dir=V")</f>
        <v>0</v>
      </c>
      <c r="BC2">
        <f>BDH("TTC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BDH("RXO US Equity","BS_TOT_ASSET","2016-06-30","2021-06-30","Per=Y","Days=T","Dir=V")</f>
        <v>0</v>
      </c>
      <c r="C2">
        <f>BDH("RXO US Equity","BS_TOT_LIAB2","2016-06-30","2021-06-30","Per=Y","Days=T","Dir=V")</f>
        <v>0</v>
      </c>
      <c r="E2">
        <f>BDH("RXO US Equity","SHORT_AND_LONG_TERM_DEBT","2016-06-30","2021-06-30","Per=Y","Days=T","Dir=V")</f>
        <v>0</v>
      </c>
      <c r="G2">
        <f>BDH("RXO US Equity","BS_ST_BORROW","2016-06-30","2021-06-30","Per=Y","Days=T","Dir=V")</f>
        <v>0</v>
      </c>
      <c r="I2">
        <f>BDH("RXO US Equity","BS_LT_BORROW","2016-06-30","2021-06-30","Per=Y","Days=T","Dir=V")</f>
        <v>0</v>
      </c>
      <c r="K2">
        <f>BDH("RXO US Equity","BS_CASH_NEAR_CASH_ITEM","2016-06-30","2021-06-30","Per=Y","Days=T","Dir=V")</f>
        <v>0</v>
      </c>
      <c r="M2">
        <f>BDH("RXO US Equity","BS_CUR_ASSET_REPORT","2016-06-30","2021-06-30","Per=Y","Days=T","Dir=V")</f>
        <v>0</v>
      </c>
      <c r="O2">
        <f>BDH("RXO US Equity","BS_CUR_LIAB","2016-06-30","2021-06-30","Per=Y","Days=T","Dir=V")</f>
        <v>0</v>
      </c>
      <c r="Q2">
        <f>BDH("RXO US Equity","BS_SHAREHOLDER_EQY_ENDING_PERIOD","2016-06-30","2021-06-30","Per=Y","Days=T","Dir=V")</f>
        <v>0</v>
      </c>
      <c r="S2">
        <f>BDH("RXO US Equity","BS_ACCT_NOTE_RCV","2016-06-30","2021-06-30","Per=Y","Days=T","Dir=V")</f>
        <v>0</v>
      </c>
      <c r="U2">
        <f>BDH("RXO US Equity","BS_INVENTORIES","2016-06-30","2021-06-30","Per=Y","Days=T","Dir=V")</f>
        <v>0</v>
      </c>
      <c r="W2">
        <f>BDH("RXO US Equity","WORKING_CAPITAL","2016-06-30","2021-06-30","Per=Y","Days=T","Dir=V")</f>
        <v>0</v>
      </c>
      <c r="Y2">
        <f>BDH("RXO US Equity","SALES_REV_TURN","2016-06-30","2021-06-30","Per=Y","Days=T","Dir=V")</f>
        <v>0</v>
      </c>
      <c r="AA2">
        <f>BDH("RXO US Equity","EBIT","2016-06-30","2021-06-30","Per=Y","Days=T","Dir=V")</f>
        <v>0</v>
      </c>
      <c r="AC2">
        <f>BDH("RXO US Equity","EBITDA","2016-06-30","2021-06-30","Per=Y","Days=T","Dir=V")</f>
        <v>0</v>
      </c>
      <c r="AE2">
        <f>BDH("RXO US Equity","NET_INCOME","2016-06-30","2021-06-30","Per=Y","Days=T","Dir=V")</f>
        <v>0</v>
      </c>
      <c r="AG2">
        <f>BDH("RXO US Equity","IS_INT_EXPENSE","2016-06-30","2021-06-30","Per=Y","Days=T","Dir=V")</f>
        <v>0</v>
      </c>
      <c r="AI2">
        <f>BDH("RXO US Equity","IS_DEPR_EXP","2016-06-30","2021-06-30","Per=Y","Days=T","Dir=V")</f>
        <v>0</v>
      </c>
      <c r="AK2">
        <f>BDH("RXO US Equity","CF_CASH_FROM_OPER","2016-06-30","2021-06-30","Per=Y","Days=T","Dir=V")</f>
        <v>0</v>
      </c>
      <c r="AM2">
        <f>BDH("RXO US Equity","CAPITAL_EXPEND","2016-06-30","2021-06-30","Per=Y","Days=T","Dir=V")</f>
        <v>0</v>
      </c>
      <c r="AO2">
        <f>BDH("RXO US Equity","CF_FREE_CASH_FLOW","2016-06-30","2021-06-30","Per=Y","Days=T","Dir=V")</f>
        <v>0</v>
      </c>
      <c r="AQ2">
        <f>BDH("RXO US Equity","PX_LAST","2016-06-30","2021-06-30","Per=M","Days=T","Dir=V")</f>
        <v>0</v>
      </c>
      <c r="AS2">
        <f>BDH("RXO US Equity","CUR_MKT_CAP","2016-06-30","2021-06-30","Per=M","Days=T","Dir=V")</f>
        <v>0</v>
      </c>
      <c r="AU2">
        <f>BDH("RXO US Equity","EQY_SH_OUT","2016-06-30","2021-06-30","Per=M","Days=T","Dir=V")</f>
        <v>0</v>
      </c>
      <c r="AW2">
        <f>BDH("RXO US Equity","BETA_RAW_OVERRIABLE","2016-06-30","2021-06-30","Per=M","Days=T","Dir=V")</f>
        <v>0</v>
      </c>
      <c r="AY2">
        <f>BDH("RXO US Equity","PX_VOLUME","2016-06-30","2021-06-30","Per=M","Days=T","Dir=V")</f>
        <v>0</v>
      </c>
      <c r="BA2">
        <f>BDH("RXO US Equity","TURNOVER","2016-06-30","2021-06-30","Per=M","Days=T","Dir=V")</f>
        <v>0</v>
      </c>
      <c r="BC2">
        <f>BDH("RXO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BDH("BXC US Equity","BS_TOT_ASSET","2016-06-30","2021-06-30","Per=Y","Days=T","Dir=V")</f>
        <v>0</v>
      </c>
      <c r="C2">
        <f>BDH("BXC US Equity","BS_TOT_LIAB2","2016-06-30","2021-06-30","Per=Y","Days=T","Dir=V")</f>
        <v>0</v>
      </c>
      <c r="E2">
        <f>BDH("BXC US Equity","SHORT_AND_LONG_TERM_DEBT","2016-06-30","2021-06-30","Per=Y","Days=T","Dir=V")</f>
        <v>0</v>
      </c>
      <c r="G2">
        <f>BDH("BXC US Equity","BS_ST_BORROW","2016-06-30","2021-06-30","Per=Y","Days=T","Dir=V")</f>
        <v>0</v>
      </c>
      <c r="I2">
        <f>BDH("BXC US Equity","BS_LT_BORROW","2016-06-30","2021-06-30","Per=Y","Days=T","Dir=V")</f>
        <v>0</v>
      </c>
      <c r="K2">
        <f>BDH("BXC US Equity","BS_CASH_NEAR_CASH_ITEM","2016-06-30","2021-06-30","Per=Y","Days=T","Dir=V")</f>
        <v>0</v>
      </c>
      <c r="M2">
        <f>BDH("BXC US Equity","BS_CUR_ASSET_REPORT","2016-06-30","2021-06-30","Per=Y","Days=T","Dir=V")</f>
        <v>0</v>
      </c>
      <c r="O2">
        <f>BDH("BXC US Equity","BS_CUR_LIAB","2016-06-30","2021-06-30","Per=Y","Days=T","Dir=V")</f>
        <v>0</v>
      </c>
      <c r="Q2">
        <f>BDH("BXC US Equity","BS_SHAREHOLDER_EQY_ENDING_PERIOD","2016-06-30","2021-06-30","Per=Y","Days=T","Dir=V")</f>
        <v>0</v>
      </c>
      <c r="S2">
        <f>BDH("BXC US Equity","BS_ACCT_NOTE_RCV","2016-06-30","2021-06-30","Per=Y","Days=T","Dir=V")</f>
        <v>0</v>
      </c>
      <c r="U2">
        <f>BDH("BXC US Equity","BS_INVENTORIES","2016-06-30","2021-06-30","Per=Y","Days=T","Dir=V")</f>
        <v>0</v>
      </c>
      <c r="W2">
        <f>BDH("BXC US Equity","WORKING_CAPITAL","2016-06-30","2021-06-30","Per=Y","Days=T","Dir=V")</f>
        <v>0</v>
      </c>
      <c r="Y2">
        <f>BDH("BXC US Equity","SALES_REV_TURN","2016-06-30","2021-06-30","Per=Y","Days=T","Dir=V")</f>
        <v>0</v>
      </c>
      <c r="AA2">
        <f>BDH("BXC US Equity","EBIT","2016-06-30","2021-06-30","Per=Y","Days=T","Dir=V")</f>
        <v>0</v>
      </c>
      <c r="AC2">
        <f>BDH("BXC US Equity","EBITDA","2016-06-30","2021-06-30","Per=Y","Days=T","Dir=V")</f>
        <v>0</v>
      </c>
      <c r="AE2">
        <f>BDH("BXC US Equity","NET_INCOME","2016-06-30","2021-06-30","Per=Y","Days=T","Dir=V")</f>
        <v>0</v>
      </c>
      <c r="AG2">
        <f>BDH("BXC US Equity","IS_INT_EXPENSE","2016-06-30","2021-06-30","Per=Y","Days=T","Dir=V")</f>
        <v>0</v>
      </c>
      <c r="AI2">
        <f>BDH("BXC US Equity","IS_DEPR_EXP","2016-06-30","2021-06-30","Per=Y","Days=T","Dir=V")</f>
        <v>0</v>
      </c>
      <c r="AK2">
        <f>BDH("BXC US Equity","CF_CASH_FROM_OPER","2016-06-30","2021-06-30","Per=Y","Days=T","Dir=V")</f>
        <v>0</v>
      </c>
      <c r="AM2">
        <f>BDH("BXC US Equity","CAPITAL_EXPEND","2016-06-30","2021-06-30","Per=Y","Days=T","Dir=V")</f>
        <v>0</v>
      </c>
      <c r="AO2">
        <f>BDH("BXC US Equity","CF_FREE_CASH_FLOW","2016-06-30","2021-06-30","Per=Y","Days=T","Dir=V")</f>
        <v>0</v>
      </c>
      <c r="AQ2">
        <f>BDH("BXC US Equity","PX_LAST","2016-06-30","2021-06-30","Per=M","Days=T","Dir=V")</f>
        <v>0</v>
      </c>
      <c r="AS2">
        <f>BDH("BXC US Equity","CUR_MKT_CAP","2016-06-30","2021-06-30","Per=M","Days=T","Dir=V")</f>
        <v>0</v>
      </c>
      <c r="AU2">
        <f>BDH("BXC US Equity","EQY_SH_OUT","2016-06-30","2021-06-30","Per=M","Days=T","Dir=V")</f>
        <v>0</v>
      </c>
      <c r="AW2">
        <f>BDH("BXC US Equity","BETA_RAW_OVERRIABLE","2016-06-30","2021-06-30","Per=M","Days=T","Dir=V")</f>
        <v>0</v>
      </c>
      <c r="AY2">
        <f>BDH("BXC US Equity","PX_VOLUME","2016-06-30","2021-06-30","Per=M","Days=T","Dir=V")</f>
        <v>0</v>
      </c>
      <c r="BA2">
        <f>BDH("BXC US Equity","TURNOVER","2016-06-30","2021-06-30","Per=M","Days=T","Dir=V")</f>
        <v>0</v>
      </c>
      <c r="BC2">
        <f>BDH("BXC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BDH("WEYS US Equity","BS_TOT_ASSET","2016-06-30","2021-06-30","Per=Y","Days=T","Dir=V")</f>
        <v>0</v>
      </c>
      <c r="C2">
        <f>BDH("WEYS US Equity","BS_TOT_LIAB2","2016-06-30","2021-06-30","Per=Y","Days=T","Dir=V")</f>
        <v>0</v>
      </c>
      <c r="E2">
        <f>BDH("WEYS US Equity","SHORT_AND_LONG_TERM_DEBT","2016-06-30","2021-06-30","Per=Y","Days=T","Dir=V")</f>
        <v>0</v>
      </c>
      <c r="G2">
        <f>BDH("WEYS US Equity","BS_ST_BORROW","2016-06-30","2021-06-30","Per=Y","Days=T","Dir=V")</f>
        <v>0</v>
      </c>
      <c r="I2">
        <f>BDH("WEYS US Equity","BS_LT_BORROW","2016-06-30","2021-06-30","Per=Y","Days=T","Dir=V")</f>
        <v>0</v>
      </c>
      <c r="K2">
        <f>BDH("WEYS US Equity","BS_CASH_NEAR_CASH_ITEM","2016-06-30","2021-06-30","Per=Y","Days=T","Dir=V")</f>
        <v>0</v>
      </c>
      <c r="M2">
        <f>BDH("WEYS US Equity","BS_CUR_ASSET_REPORT","2016-06-30","2021-06-30","Per=Y","Days=T","Dir=V")</f>
        <v>0</v>
      </c>
      <c r="O2">
        <f>BDH("WEYS US Equity","BS_CUR_LIAB","2016-06-30","2021-06-30","Per=Y","Days=T","Dir=V")</f>
        <v>0</v>
      </c>
      <c r="Q2">
        <f>BDH("WEYS US Equity","BS_SHAREHOLDER_EQY_ENDING_PERIOD","2016-06-30","2021-06-30","Per=Y","Days=T","Dir=V")</f>
        <v>0</v>
      </c>
      <c r="S2">
        <f>BDH("WEYS US Equity","BS_ACCT_NOTE_RCV","2016-06-30","2021-06-30","Per=Y","Days=T","Dir=V")</f>
        <v>0</v>
      </c>
      <c r="U2">
        <f>BDH("WEYS US Equity","BS_INVENTORIES","2016-06-30","2021-06-30","Per=Y","Days=T","Dir=V")</f>
        <v>0</v>
      </c>
      <c r="W2">
        <f>BDH("WEYS US Equity","WORKING_CAPITAL","2016-06-30","2021-06-30","Per=Y","Days=T","Dir=V")</f>
        <v>0</v>
      </c>
      <c r="Y2">
        <f>BDH("WEYS US Equity","SALES_REV_TURN","2016-06-30","2021-06-30","Per=Y","Days=T","Dir=V")</f>
        <v>0</v>
      </c>
      <c r="AA2">
        <f>BDH("WEYS US Equity","EBIT","2016-06-30","2021-06-30","Per=Y","Days=T","Dir=V")</f>
        <v>0</v>
      </c>
      <c r="AC2">
        <f>BDH("WEYS US Equity","EBITDA","2016-06-30","2021-06-30","Per=Y","Days=T","Dir=V")</f>
        <v>0</v>
      </c>
      <c r="AE2">
        <f>BDH("WEYS US Equity","NET_INCOME","2016-06-30","2021-06-30","Per=Y","Days=T","Dir=V")</f>
        <v>0</v>
      </c>
      <c r="AG2">
        <f>BDH("WEYS US Equity","IS_INT_EXPENSE","2016-06-30","2021-06-30","Per=Y","Days=T","Dir=V")</f>
        <v>0</v>
      </c>
      <c r="AI2">
        <f>BDH("WEYS US Equity","IS_DEPR_EXP","2016-06-30","2021-06-30","Per=Y","Days=T","Dir=V")</f>
        <v>0</v>
      </c>
      <c r="AK2">
        <f>BDH("WEYS US Equity","CF_CASH_FROM_OPER","2016-06-30","2021-06-30","Per=Y","Days=T","Dir=V")</f>
        <v>0</v>
      </c>
      <c r="AM2">
        <f>BDH("WEYS US Equity","CAPITAL_EXPEND","2016-06-30","2021-06-30","Per=Y","Days=T","Dir=V")</f>
        <v>0</v>
      </c>
      <c r="AO2">
        <f>BDH("WEYS US Equity","CF_FREE_CASH_FLOW","2016-06-30","2021-06-30","Per=Y","Days=T","Dir=V")</f>
        <v>0</v>
      </c>
      <c r="AQ2">
        <f>BDH("WEYS US Equity","PX_LAST","2016-06-30","2021-06-30","Per=M","Days=T","Dir=V")</f>
        <v>0</v>
      </c>
      <c r="AS2">
        <f>BDH("WEYS US Equity","CUR_MKT_CAP","2016-06-30","2021-06-30","Per=M","Days=T","Dir=V")</f>
        <v>0</v>
      </c>
      <c r="AU2">
        <f>BDH("WEYS US Equity","EQY_SH_OUT","2016-06-30","2021-06-30","Per=M","Days=T","Dir=V")</f>
        <v>0</v>
      </c>
      <c r="AW2">
        <f>BDH("WEYS US Equity","BETA_RAW_OVERRIABLE","2016-06-30","2021-06-30","Per=M","Days=T","Dir=V")</f>
        <v>0</v>
      </c>
      <c r="AY2">
        <f>BDH("WEYS US Equity","PX_VOLUME","2016-06-30","2021-06-30","Per=M","Days=T","Dir=V")</f>
        <v>0</v>
      </c>
      <c r="BA2">
        <f>BDH("WEYS US Equity","TURNOVER","2016-06-30","2021-06-30","Per=M","Days=T","Dir=V")</f>
        <v>0</v>
      </c>
      <c r="BC2">
        <f>BDH("WEYS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BDH("AMSS US Equity","BS_TOT_ASSET","2016-06-30","2021-06-30","Per=Y","Days=T","Dir=V")</f>
        <v>0</v>
      </c>
      <c r="C2">
        <f>BDH("AMSS US Equity","BS_TOT_LIAB2","2016-06-30","2021-06-30","Per=Y","Days=T","Dir=V")</f>
        <v>0</v>
      </c>
      <c r="E2">
        <f>BDH("AMSS US Equity","SHORT_AND_LONG_TERM_DEBT","2016-06-30","2021-06-30","Per=Y","Days=T","Dir=V")</f>
        <v>0</v>
      </c>
      <c r="G2">
        <f>BDH("AMSS US Equity","BS_ST_BORROW","2016-06-30","2021-06-30","Per=Y","Days=T","Dir=V")</f>
        <v>0</v>
      </c>
      <c r="I2">
        <f>BDH("AMSS US Equity","BS_LT_BORROW","2016-06-30","2021-06-30","Per=Y","Days=T","Dir=V")</f>
        <v>0</v>
      </c>
      <c r="K2">
        <f>BDH("AMSS US Equity","BS_CASH_NEAR_CASH_ITEM","2016-06-30","2021-06-30","Per=Y","Days=T","Dir=V")</f>
        <v>0</v>
      </c>
      <c r="M2">
        <f>BDH("AMSS US Equity","BS_CUR_ASSET_REPORT","2016-06-30","2021-06-30","Per=Y","Days=T","Dir=V")</f>
        <v>0</v>
      </c>
      <c r="O2">
        <f>BDH("AMSS US Equity","BS_CUR_LIAB","2016-06-30","2021-06-30","Per=Y","Days=T","Dir=V")</f>
        <v>0</v>
      </c>
      <c r="Q2">
        <f>BDH("AMSS US Equity","BS_SHAREHOLDER_EQY_ENDING_PERIOD","2016-06-30","2021-06-30","Per=Y","Days=T","Dir=V")</f>
        <v>0</v>
      </c>
      <c r="S2">
        <f>BDH("AMSS US Equity","BS_ACCT_NOTE_RCV","2016-06-30","2021-06-30","Per=Y","Days=T","Dir=V")</f>
        <v>0</v>
      </c>
      <c r="U2">
        <f>BDH("AMSS US Equity","BS_INVENTORIES","2016-06-30","2021-06-30","Per=Y","Days=T","Dir=V")</f>
        <v>0</v>
      </c>
      <c r="W2">
        <f>BDH("AMSS US Equity","WORKING_CAPITAL","2016-06-30","2021-06-30","Per=Y","Days=T","Dir=V")</f>
        <v>0</v>
      </c>
      <c r="Y2">
        <f>BDH("AMSS US Equity","SALES_REV_TURN","2016-06-30","2021-06-30","Per=Y","Days=T","Dir=V")</f>
        <v>0</v>
      </c>
      <c r="AA2">
        <f>BDH("AMSS US Equity","EBIT","2016-06-30","2021-06-30","Per=Y","Days=T","Dir=V")</f>
        <v>0</v>
      </c>
      <c r="AC2">
        <f>BDH("AMSS US Equity","EBITDA","2016-06-30","2021-06-30","Per=Y","Days=T","Dir=V")</f>
        <v>0</v>
      </c>
      <c r="AE2">
        <f>BDH("AMSS US Equity","NET_INCOME","2016-06-30","2021-06-30","Per=Y","Days=T","Dir=V")</f>
        <v>0</v>
      </c>
      <c r="AG2">
        <f>BDH("AMSS US Equity","IS_INT_EXPENSE","2016-06-30","2021-06-30","Per=Y","Days=T","Dir=V")</f>
        <v>0</v>
      </c>
      <c r="AI2">
        <f>BDH("AMSS US Equity","IS_DEPR_EXP","2016-06-30","2021-06-30","Per=Y","Days=T","Dir=V")</f>
        <v>0</v>
      </c>
      <c r="AK2">
        <f>BDH("AMSS US Equity","CF_CASH_FROM_OPER","2016-06-30","2021-06-30","Per=Y","Days=T","Dir=V")</f>
        <v>0</v>
      </c>
      <c r="AM2">
        <f>BDH("AMSS US Equity","CAPITAL_EXPEND","2016-06-30","2021-06-30","Per=Y","Days=T","Dir=V")</f>
        <v>0</v>
      </c>
      <c r="AO2">
        <f>BDH("AMSS US Equity","CF_FREE_CASH_FLOW","2016-06-30","2021-06-30","Per=Y","Days=T","Dir=V")</f>
        <v>0</v>
      </c>
      <c r="AQ2">
        <f>BDH("AMSS US Equity","PX_LAST","2016-06-30","2021-06-30","Per=M","Days=T","Dir=V")</f>
        <v>0</v>
      </c>
      <c r="AS2">
        <f>BDH("AMSS US Equity","CUR_MKT_CAP","2016-06-30","2021-06-30","Per=M","Days=T","Dir=V")</f>
        <v>0</v>
      </c>
      <c r="AU2">
        <f>BDH("AMSS US Equity","EQY_SH_OUT","2016-06-30","2021-06-30","Per=M","Days=T","Dir=V")</f>
        <v>0</v>
      </c>
      <c r="AW2">
        <f>BDH("AMSS US Equity","BETA_RAW_OVERRIABLE","2016-06-30","2021-06-30","Per=M","Days=T","Dir=V")</f>
        <v>0</v>
      </c>
      <c r="AY2">
        <f>BDH("AMSS US Equity","PX_VOLUME","2016-06-30","2021-06-30","Per=M","Days=T","Dir=V")</f>
        <v>0</v>
      </c>
      <c r="BA2">
        <f>BDH("AMSS US Equity","TURNOVER","2016-06-30","2021-06-30","Per=M","Days=T","Dir=V")</f>
        <v>0</v>
      </c>
      <c r="BC2">
        <f>BDH("AMSS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BDH("GNSS US Equity","BS_TOT_ASSET","2016-06-30","2021-06-30","Per=Y","Days=T","Dir=V")</f>
        <v>0</v>
      </c>
      <c r="C2">
        <f>BDH("GNSS US Equity","BS_TOT_LIAB2","2016-06-30","2021-06-30","Per=Y","Days=T","Dir=V")</f>
        <v>0</v>
      </c>
      <c r="E2">
        <f>BDH("GNSS US Equity","SHORT_AND_LONG_TERM_DEBT","2016-06-30","2021-06-30","Per=Y","Days=T","Dir=V")</f>
        <v>0</v>
      </c>
      <c r="G2">
        <f>BDH("GNSS US Equity","BS_ST_BORROW","2016-06-30","2021-06-30","Per=Y","Days=T","Dir=V")</f>
        <v>0</v>
      </c>
      <c r="I2">
        <f>BDH("GNSS US Equity","BS_LT_BORROW","2016-06-30","2021-06-30","Per=Y","Days=T","Dir=V")</f>
        <v>0</v>
      </c>
      <c r="K2">
        <f>BDH("GNSS US Equity","BS_CASH_NEAR_CASH_ITEM","2016-06-30","2021-06-30","Per=Y","Days=T","Dir=V")</f>
        <v>0</v>
      </c>
      <c r="M2">
        <f>BDH("GNSS US Equity","BS_CUR_ASSET_REPORT","2016-06-30","2021-06-30","Per=Y","Days=T","Dir=V")</f>
        <v>0</v>
      </c>
      <c r="O2">
        <f>BDH("GNSS US Equity","BS_CUR_LIAB","2016-06-30","2021-06-30","Per=Y","Days=T","Dir=V")</f>
        <v>0</v>
      </c>
      <c r="Q2">
        <f>BDH("GNSS US Equity","BS_SHAREHOLDER_EQY_ENDING_PERIOD","2016-06-30","2021-06-30","Per=Y","Days=T","Dir=V")</f>
        <v>0</v>
      </c>
      <c r="S2">
        <f>BDH("GNSS US Equity","BS_ACCT_NOTE_RCV","2016-06-30","2021-06-30","Per=Y","Days=T","Dir=V")</f>
        <v>0</v>
      </c>
      <c r="U2">
        <f>BDH("GNSS US Equity","BS_INVENTORIES","2016-06-30","2021-06-30","Per=Y","Days=T","Dir=V")</f>
        <v>0</v>
      </c>
      <c r="W2">
        <f>BDH("GNSS US Equity","WORKING_CAPITAL","2016-06-30","2021-06-30","Per=Y","Days=T","Dir=V")</f>
        <v>0</v>
      </c>
      <c r="Y2">
        <f>BDH("GNSS US Equity","SALES_REV_TURN","2016-06-30","2021-06-30","Per=Y","Days=T","Dir=V")</f>
        <v>0</v>
      </c>
      <c r="AA2">
        <f>BDH("GNSS US Equity","EBIT","2016-06-30","2021-06-30","Per=Y","Days=T","Dir=V")</f>
        <v>0</v>
      </c>
      <c r="AC2">
        <f>BDH("GNSS US Equity","EBITDA","2016-06-30","2021-06-30","Per=Y","Days=T","Dir=V")</f>
        <v>0</v>
      </c>
      <c r="AE2">
        <f>BDH("GNSS US Equity","NET_INCOME","2016-06-30","2021-06-30","Per=Y","Days=T","Dir=V")</f>
        <v>0</v>
      </c>
      <c r="AG2">
        <f>BDH("GNSS US Equity","IS_INT_EXPENSE","2016-06-30","2021-06-30","Per=Y","Days=T","Dir=V")</f>
        <v>0</v>
      </c>
      <c r="AI2">
        <f>BDH("GNSS US Equity","IS_DEPR_EXP","2016-06-30","2021-06-30","Per=Y","Days=T","Dir=V")</f>
        <v>0</v>
      </c>
      <c r="AK2">
        <f>BDH("GNSS US Equity","CF_CASH_FROM_OPER","2016-06-30","2021-06-30","Per=Y","Days=T","Dir=V")</f>
        <v>0</v>
      </c>
      <c r="AM2">
        <f>BDH("GNSS US Equity","CAPITAL_EXPEND","2016-06-30","2021-06-30","Per=Y","Days=T","Dir=V")</f>
        <v>0</v>
      </c>
      <c r="AO2">
        <f>BDH("GNSS US Equity","CF_FREE_CASH_FLOW","2016-06-30","2021-06-30","Per=Y","Days=T","Dir=V")</f>
        <v>0</v>
      </c>
      <c r="AQ2">
        <f>BDH("GNSS US Equity","PX_LAST","2016-06-30","2021-06-30","Per=M","Days=T","Dir=V")</f>
        <v>0</v>
      </c>
      <c r="AS2">
        <f>BDH("GNSS US Equity","CUR_MKT_CAP","2016-06-30","2021-06-30","Per=M","Days=T","Dir=V")</f>
        <v>0</v>
      </c>
      <c r="AU2">
        <f>BDH("GNSS US Equity","EQY_SH_OUT","2016-06-30","2021-06-30","Per=M","Days=T","Dir=V")</f>
        <v>0</v>
      </c>
      <c r="AW2">
        <f>BDH("GNSS US Equity","BETA_RAW_OVERRIABLE","2016-06-30","2021-06-30","Per=M","Days=T","Dir=V")</f>
        <v>0</v>
      </c>
      <c r="AY2">
        <f>BDH("GNSS US Equity","PX_VOLUME","2016-06-30","2021-06-30","Per=M","Days=T","Dir=V")</f>
        <v>0</v>
      </c>
      <c r="BA2">
        <f>BDH("GNSS US Equity","TURNOVER","2016-06-30","2021-06-30","Per=M","Days=T","Dir=V")</f>
        <v>0</v>
      </c>
      <c r="BC2">
        <f>BDH("GNSS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BDH("RYM US Equity","BS_TOT_ASSET","2016-06-30","2021-06-30","Per=Y","Days=T","Dir=V")</f>
        <v>0</v>
      </c>
      <c r="C2">
        <f>BDH("RYM US Equity","BS_TOT_LIAB2","2016-06-30","2021-06-30","Per=Y","Days=T","Dir=V")</f>
        <v>0</v>
      </c>
      <c r="E2">
        <f>BDH("RYM US Equity","SHORT_AND_LONG_TERM_DEBT","2016-06-30","2021-06-30","Per=Y","Days=T","Dir=V")</f>
        <v>0</v>
      </c>
      <c r="G2">
        <f>BDH("RYM US Equity","BS_ST_BORROW","2016-06-30","2021-06-30","Per=Y","Days=T","Dir=V")</f>
        <v>0</v>
      </c>
      <c r="I2">
        <f>BDH("RYM US Equity","BS_LT_BORROW","2016-06-30","2021-06-30","Per=Y","Days=T","Dir=V")</f>
        <v>0</v>
      </c>
      <c r="K2">
        <f>BDH("RYM US Equity","BS_CASH_NEAR_CASH_ITEM","2016-06-30","2021-06-30","Per=Y","Days=T","Dir=V")</f>
        <v>0</v>
      </c>
      <c r="M2">
        <f>BDH("RYM US Equity","BS_CUR_ASSET_REPORT","2016-06-30","2021-06-30","Per=Y","Days=T","Dir=V")</f>
        <v>0</v>
      </c>
      <c r="O2">
        <f>BDH("RYM US Equity","BS_CUR_LIAB","2016-06-30","2021-06-30","Per=Y","Days=T","Dir=V")</f>
        <v>0</v>
      </c>
      <c r="Q2">
        <f>BDH("RYM US Equity","BS_SHAREHOLDER_EQY_ENDING_PERIOD","2016-06-30","2021-06-30","Per=Y","Days=T","Dir=V")</f>
        <v>0</v>
      </c>
      <c r="S2">
        <f>BDH("RYM US Equity","BS_ACCT_NOTE_RCV","2016-06-30","2021-06-30","Per=Y","Days=T","Dir=V")</f>
        <v>0</v>
      </c>
      <c r="U2">
        <f>BDH("RYM US Equity","BS_INVENTORIES","2016-06-30","2021-06-30","Per=Y","Days=T","Dir=V")</f>
        <v>0</v>
      </c>
      <c r="W2">
        <f>BDH("RYM US Equity","WORKING_CAPITAL","2016-06-30","2021-06-30","Per=Y","Days=T","Dir=V")</f>
        <v>0</v>
      </c>
      <c r="Y2">
        <f>BDH("RYM US Equity","SALES_REV_TURN","2016-06-30","2021-06-30","Per=Y","Days=T","Dir=V")</f>
        <v>0</v>
      </c>
      <c r="AA2">
        <f>BDH("RYM US Equity","EBIT","2016-06-30","2021-06-30","Per=Y","Days=T","Dir=V")</f>
        <v>0</v>
      </c>
      <c r="AC2">
        <f>BDH("RYM US Equity","EBITDA","2016-06-30","2021-06-30","Per=Y","Days=T","Dir=V")</f>
        <v>0</v>
      </c>
      <c r="AE2">
        <f>BDH("RYM US Equity","NET_INCOME","2016-06-30","2021-06-30","Per=Y","Days=T","Dir=V")</f>
        <v>0</v>
      </c>
      <c r="AG2">
        <f>BDH("RYM US Equity","IS_INT_EXPENSE","2016-06-30","2021-06-30","Per=Y","Days=T","Dir=V")</f>
        <v>0</v>
      </c>
      <c r="AI2">
        <f>BDH("RYM US Equity","IS_DEPR_EXP","2016-06-30","2021-06-30","Per=Y","Days=T","Dir=V")</f>
        <v>0</v>
      </c>
      <c r="AK2">
        <f>BDH("RYM US Equity","CF_CASH_FROM_OPER","2016-06-30","2021-06-30","Per=Y","Days=T","Dir=V")</f>
        <v>0</v>
      </c>
      <c r="AM2">
        <f>BDH("RYM US Equity","CAPITAL_EXPEND","2016-06-30","2021-06-30","Per=Y","Days=T","Dir=V")</f>
        <v>0</v>
      </c>
      <c r="AO2">
        <f>BDH("RYM US Equity","CF_FREE_CASH_FLOW","2016-06-30","2021-06-30","Per=Y","Days=T","Dir=V")</f>
        <v>0</v>
      </c>
      <c r="AQ2">
        <f>BDH("RYM US Equity","PX_LAST","2016-06-30","2021-06-30","Per=M","Days=T","Dir=V")</f>
        <v>0</v>
      </c>
      <c r="AS2">
        <f>BDH("RYM US Equity","CUR_MKT_CAP","2016-06-30","2021-06-30","Per=M","Days=T","Dir=V")</f>
        <v>0</v>
      </c>
      <c r="AU2">
        <f>BDH("RYM US Equity","EQY_SH_OUT","2016-06-30","2021-06-30","Per=M","Days=T","Dir=V")</f>
        <v>0</v>
      </c>
      <c r="AW2">
        <f>BDH("RYM US Equity","BETA_RAW_OVERRIABLE","2016-06-30","2021-06-30","Per=M","Days=T","Dir=V")</f>
        <v>0</v>
      </c>
      <c r="AY2">
        <f>BDH("RYM US Equity","PX_VOLUME","2016-06-30","2021-06-30","Per=M","Days=T","Dir=V")</f>
        <v>0</v>
      </c>
      <c r="BA2">
        <f>BDH("RYM US Equity","TURNOVER","2016-06-30","2021-06-30","Per=M","Days=T","Dir=V")</f>
        <v>0</v>
      </c>
      <c r="BC2">
        <f>BDH("RYM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BDH("WMK US Equity","BS_TOT_ASSET","2016-06-30","2021-06-30","Per=Y","Days=T","Dir=V")</f>
        <v>0</v>
      </c>
      <c r="C2">
        <f>BDH("WMK US Equity","BS_TOT_LIAB2","2016-06-30","2021-06-30","Per=Y","Days=T","Dir=V")</f>
        <v>0</v>
      </c>
      <c r="E2">
        <f>BDH("WMK US Equity","SHORT_AND_LONG_TERM_DEBT","2016-06-30","2021-06-30","Per=Y","Days=T","Dir=V")</f>
        <v>0</v>
      </c>
      <c r="G2">
        <f>BDH("WMK US Equity","BS_ST_BORROW","2016-06-30","2021-06-30","Per=Y","Days=T","Dir=V")</f>
        <v>0</v>
      </c>
      <c r="I2">
        <f>BDH("WMK US Equity","BS_LT_BORROW","2016-06-30","2021-06-30","Per=Y","Days=T","Dir=V")</f>
        <v>0</v>
      </c>
      <c r="K2">
        <f>BDH("WMK US Equity","BS_CASH_NEAR_CASH_ITEM","2016-06-30","2021-06-30","Per=Y","Days=T","Dir=V")</f>
        <v>0</v>
      </c>
      <c r="M2">
        <f>BDH("WMK US Equity","BS_CUR_ASSET_REPORT","2016-06-30","2021-06-30","Per=Y","Days=T","Dir=V")</f>
        <v>0</v>
      </c>
      <c r="O2">
        <f>BDH("WMK US Equity","BS_CUR_LIAB","2016-06-30","2021-06-30","Per=Y","Days=T","Dir=V")</f>
        <v>0</v>
      </c>
      <c r="Q2">
        <f>BDH("WMK US Equity","BS_SHAREHOLDER_EQY_ENDING_PERIOD","2016-06-30","2021-06-30","Per=Y","Days=T","Dir=V")</f>
        <v>0</v>
      </c>
      <c r="S2">
        <f>BDH("WMK US Equity","BS_ACCT_NOTE_RCV","2016-06-30","2021-06-30","Per=Y","Days=T","Dir=V")</f>
        <v>0</v>
      </c>
      <c r="U2">
        <f>BDH("WMK US Equity","BS_INVENTORIES","2016-06-30","2021-06-30","Per=Y","Days=T","Dir=V")</f>
        <v>0</v>
      </c>
      <c r="W2">
        <f>BDH("WMK US Equity","WORKING_CAPITAL","2016-06-30","2021-06-30","Per=Y","Days=T","Dir=V")</f>
        <v>0</v>
      </c>
      <c r="Y2">
        <f>BDH("WMK US Equity","SALES_REV_TURN","2016-06-30","2021-06-30","Per=Y","Days=T","Dir=V")</f>
        <v>0</v>
      </c>
      <c r="AA2">
        <f>BDH("WMK US Equity","EBIT","2016-06-30","2021-06-30","Per=Y","Days=T","Dir=V")</f>
        <v>0</v>
      </c>
      <c r="AC2">
        <f>BDH("WMK US Equity","EBITDA","2016-06-30","2021-06-30","Per=Y","Days=T","Dir=V")</f>
        <v>0</v>
      </c>
      <c r="AE2">
        <f>BDH("WMK US Equity","NET_INCOME","2016-06-30","2021-06-30","Per=Y","Days=T","Dir=V")</f>
        <v>0</v>
      </c>
      <c r="AG2">
        <f>BDH("WMK US Equity","IS_INT_EXPENSE","2016-06-30","2021-06-30","Per=Y","Days=T","Dir=V")</f>
        <v>0</v>
      </c>
      <c r="AI2">
        <f>BDH("WMK US Equity","IS_DEPR_EXP","2016-06-30","2021-06-30","Per=Y","Days=T","Dir=V")</f>
        <v>0</v>
      </c>
      <c r="AK2">
        <f>BDH("WMK US Equity","CF_CASH_FROM_OPER","2016-06-30","2021-06-30","Per=Y","Days=T","Dir=V")</f>
        <v>0</v>
      </c>
      <c r="AM2">
        <f>BDH("WMK US Equity","CAPITAL_EXPEND","2016-06-30","2021-06-30","Per=Y","Days=T","Dir=V")</f>
        <v>0</v>
      </c>
      <c r="AO2">
        <f>BDH("WMK US Equity","CF_FREE_CASH_FLOW","2016-06-30","2021-06-30","Per=Y","Days=T","Dir=V")</f>
        <v>0</v>
      </c>
      <c r="AQ2">
        <f>BDH("WMK US Equity","PX_LAST","2016-06-30","2021-06-30","Per=M","Days=T","Dir=V")</f>
        <v>0</v>
      </c>
      <c r="AS2">
        <f>BDH("WMK US Equity","CUR_MKT_CAP","2016-06-30","2021-06-30","Per=M","Days=T","Dir=V")</f>
        <v>0</v>
      </c>
      <c r="AU2">
        <f>BDH("WMK US Equity","EQY_SH_OUT","2016-06-30","2021-06-30","Per=M","Days=T","Dir=V")</f>
        <v>0</v>
      </c>
      <c r="AW2">
        <f>BDH("WMK US Equity","BETA_RAW_OVERRIABLE","2016-06-30","2021-06-30","Per=M","Days=T","Dir=V")</f>
        <v>0</v>
      </c>
      <c r="AY2">
        <f>BDH("WMK US Equity","PX_VOLUME","2016-06-30","2021-06-30","Per=M","Days=T","Dir=V")</f>
        <v>0</v>
      </c>
      <c r="BA2">
        <f>BDH("WMK US Equity","TURNOVER","2016-06-30","2021-06-30","Per=M","Days=T","Dir=V")</f>
        <v>0</v>
      </c>
      <c r="BC2">
        <f>BDH("WMK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BDH("HRL US Equity","BS_TOT_ASSET","2016-06-30","2021-06-30","Per=Y","Days=T","Dir=V")</f>
        <v>0</v>
      </c>
      <c r="C2">
        <f>BDH("HRL US Equity","BS_TOT_LIAB2","2016-06-30","2021-06-30","Per=Y","Days=T","Dir=V")</f>
        <v>0</v>
      </c>
      <c r="E2">
        <f>BDH("HRL US Equity","SHORT_AND_LONG_TERM_DEBT","2016-06-30","2021-06-30","Per=Y","Days=T","Dir=V")</f>
        <v>0</v>
      </c>
      <c r="G2">
        <f>BDH("HRL US Equity","BS_ST_BORROW","2016-06-30","2021-06-30","Per=Y","Days=T","Dir=V")</f>
        <v>0</v>
      </c>
      <c r="I2">
        <f>BDH("HRL US Equity","BS_LT_BORROW","2016-06-30","2021-06-30","Per=Y","Days=T","Dir=V")</f>
        <v>0</v>
      </c>
      <c r="K2">
        <f>BDH("HRL US Equity","BS_CASH_NEAR_CASH_ITEM","2016-06-30","2021-06-30","Per=Y","Days=T","Dir=V")</f>
        <v>0</v>
      </c>
      <c r="M2">
        <f>BDH("HRL US Equity","BS_CUR_ASSET_REPORT","2016-06-30","2021-06-30","Per=Y","Days=T","Dir=V")</f>
        <v>0</v>
      </c>
      <c r="O2">
        <f>BDH("HRL US Equity","BS_CUR_LIAB","2016-06-30","2021-06-30","Per=Y","Days=T","Dir=V")</f>
        <v>0</v>
      </c>
      <c r="Q2">
        <f>BDH("HRL US Equity","BS_SHAREHOLDER_EQY_ENDING_PERIOD","2016-06-30","2021-06-30","Per=Y","Days=T","Dir=V")</f>
        <v>0</v>
      </c>
      <c r="S2">
        <f>BDH("HRL US Equity","BS_ACCT_NOTE_RCV","2016-06-30","2021-06-30","Per=Y","Days=T","Dir=V")</f>
        <v>0</v>
      </c>
      <c r="U2">
        <f>BDH("HRL US Equity","BS_INVENTORIES","2016-06-30","2021-06-30","Per=Y","Days=T","Dir=V")</f>
        <v>0</v>
      </c>
      <c r="W2">
        <f>BDH("HRL US Equity","WORKING_CAPITAL","2016-06-30","2021-06-30","Per=Y","Days=T","Dir=V")</f>
        <v>0</v>
      </c>
      <c r="Y2">
        <f>BDH("HRL US Equity","SALES_REV_TURN","2016-06-30","2021-06-30","Per=Y","Days=T","Dir=V")</f>
        <v>0</v>
      </c>
      <c r="AA2">
        <f>BDH("HRL US Equity","EBIT","2016-06-30","2021-06-30","Per=Y","Days=T","Dir=V")</f>
        <v>0</v>
      </c>
      <c r="AC2">
        <f>BDH("HRL US Equity","EBITDA","2016-06-30","2021-06-30","Per=Y","Days=T","Dir=V")</f>
        <v>0</v>
      </c>
      <c r="AE2">
        <f>BDH("HRL US Equity","NET_INCOME","2016-06-30","2021-06-30","Per=Y","Days=T","Dir=V")</f>
        <v>0</v>
      </c>
      <c r="AG2">
        <f>BDH("HRL US Equity","IS_INT_EXPENSE","2016-06-30","2021-06-30","Per=Y","Days=T","Dir=V")</f>
        <v>0</v>
      </c>
      <c r="AI2">
        <f>BDH("HRL US Equity","IS_DEPR_EXP","2016-06-30","2021-06-30","Per=Y","Days=T","Dir=V")</f>
        <v>0</v>
      </c>
      <c r="AK2">
        <f>BDH("HRL US Equity","CF_CASH_FROM_OPER","2016-06-30","2021-06-30","Per=Y","Days=T","Dir=V")</f>
        <v>0</v>
      </c>
      <c r="AM2">
        <f>BDH("HRL US Equity","CAPITAL_EXPEND","2016-06-30","2021-06-30","Per=Y","Days=T","Dir=V")</f>
        <v>0</v>
      </c>
      <c r="AO2">
        <f>BDH("HRL US Equity","CF_FREE_CASH_FLOW","2016-06-30","2021-06-30","Per=Y","Days=T","Dir=V")</f>
        <v>0</v>
      </c>
      <c r="AQ2">
        <f>BDH("HRL US Equity","PX_LAST","2016-06-30","2021-06-30","Per=M","Days=T","Dir=V")</f>
        <v>0</v>
      </c>
      <c r="AS2">
        <f>BDH("HRL US Equity","CUR_MKT_CAP","2016-06-30","2021-06-30","Per=M","Days=T","Dir=V")</f>
        <v>0</v>
      </c>
      <c r="AU2">
        <f>BDH("HRL US Equity","EQY_SH_OUT","2016-06-30","2021-06-30","Per=M","Days=T","Dir=V")</f>
        <v>0</v>
      </c>
      <c r="AW2">
        <f>BDH("HRL US Equity","BETA_RAW_OVERRIABLE","2016-06-30","2021-06-30","Per=M","Days=T","Dir=V")</f>
        <v>0</v>
      </c>
      <c r="AY2">
        <f>BDH("HRL US Equity","PX_VOLUME","2016-06-30","2021-06-30","Per=M","Days=T","Dir=V")</f>
        <v>0</v>
      </c>
      <c r="BA2">
        <f>BDH("HRL US Equity","TURNOVER","2016-06-30","2021-06-30","Per=M","Days=T","Dir=V")</f>
        <v>0</v>
      </c>
      <c r="BC2">
        <f>BDH("HRL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BDH("SMPL US Equity","BS_TOT_ASSET","2016-06-30","2021-06-30","Per=Y","Days=T","Dir=V")</f>
        <v>0</v>
      </c>
      <c r="C2">
        <f>BDH("SMPL US Equity","BS_TOT_LIAB2","2016-06-30","2021-06-30","Per=Y","Days=T","Dir=V")</f>
        <v>0</v>
      </c>
      <c r="E2">
        <f>BDH("SMPL US Equity","SHORT_AND_LONG_TERM_DEBT","2016-06-30","2021-06-30","Per=Y","Days=T","Dir=V")</f>
        <v>0</v>
      </c>
      <c r="G2">
        <f>BDH("SMPL US Equity","BS_ST_BORROW","2016-06-30","2021-06-30","Per=Y","Days=T","Dir=V")</f>
        <v>0</v>
      </c>
      <c r="I2">
        <f>BDH("SMPL US Equity","BS_LT_BORROW","2016-06-30","2021-06-30","Per=Y","Days=T","Dir=V")</f>
        <v>0</v>
      </c>
      <c r="K2">
        <f>BDH("SMPL US Equity","BS_CASH_NEAR_CASH_ITEM","2016-06-30","2021-06-30","Per=Y","Days=T","Dir=V")</f>
        <v>0</v>
      </c>
      <c r="M2">
        <f>BDH("SMPL US Equity","BS_CUR_ASSET_REPORT","2016-06-30","2021-06-30","Per=Y","Days=T","Dir=V")</f>
        <v>0</v>
      </c>
      <c r="O2">
        <f>BDH("SMPL US Equity","BS_CUR_LIAB","2016-06-30","2021-06-30","Per=Y","Days=T","Dir=V")</f>
        <v>0</v>
      </c>
      <c r="Q2">
        <f>BDH("SMPL US Equity","BS_SHAREHOLDER_EQY_ENDING_PERIOD","2016-06-30","2021-06-30","Per=Y","Days=T","Dir=V")</f>
        <v>0</v>
      </c>
      <c r="S2">
        <f>BDH("SMPL US Equity","BS_ACCT_NOTE_RCV","2016-06-30","2021-06-30","Per=Y","Days=T","Dir=V")</f>
        <v>0</v>
      </c>
      <c r="U2">
        <f>BDH("SMPL US Equity","BS_INVENTORIES","2016-06-30","2021-06-30","Per=Y","Days=T","Dir=V")</f>
        <v>0</v>
      </c>
      <c r="W2">
        <f>BDH("SMPL US Equity","WORKING_CAPITAL","2016-06-30","2021-06-30","Per=Y","Days=T","Dir=V")</f>
        <v>0</v>
      </c>
      <c r="Y2">
        <f>BDH("SMPL US Equity","SALES_REV_TURN","2016-06-30","2021-06-30","Per=Y","Days=T","Dir=V")</f>
        <v>0</v>
      </c>
      <c r="AA2">
        <f>BDH("SMPL US Equity","EBIT","2016-06-30","2021-06-30","Per=Y","Days=T","Dir=V")</f>
        <v>0</v>
      </c>
      <c r="AC2">
        <f>BDH("SMPL US Equity","EBITDA","2016-06-30","2021-06-30","Per=Y","Days=T","Dir=V")</f>
        <v>0</v>
      </c>
      <c r="AE2">
        <f>BDH("SMPL US Equity","NET_INCOME","2016-06-30","2021-06-30","Per=Y","Days=T","Dir=V")</f>
        <v>0</v>
      </c>
      <c r="AG2">
        <f>BDH("SMPL US Equity","IS_INT_EXPENSE","2016-06-30","2021-06-30","Per=Y","Days=T","Dir=V")</f>
        <v>0</v>
      </c>
      <c r="AI2">
        <f>BDH("SMPL US Equity","IS_DEPR_EXP","2016-06-30","2021-06-30","Per=Y","Days=T","Dir=V")</f>
        <v>0</v>
      </c>
      <c r="AK2">
        <f>BDH("SMPL US Equity","CF_CASH_FROM_OPER","2016-06-30","2021-06-30","Per=Y","Days=T","Dir=V")</f>
        <v>0</v>
      </c>
      <c r="AM2">
        <f>BDH("SMPL US Equity","CAPITAL_EXPEND","2016-06-30","2021-06-30","Per=Y","Days=T","Dir=V")</f>
        <v>0</v>
      </c>
      <c r="AO2">
        <f>BDH("SMPL US Equity","CF_FREE_CASH_FLOW","2016-06-30","2021-06-30","Per=Y","Days=T","Dir=V")</f>
        <v>0</v>
      </c>
      <c r="AQ2">
        <f>BDH("SMPL US Equity","PX_LAST","2016-06-30","2021-06-30","Per=M","Days=T","Dir=V")</f>
        <v>0</v>
      </c>
      <c r="AS2">
        <f>BDH("SMPL US Equity","CUR_MKT_CAP","2016-06-30","2021-06-30","Per=M","Days=T","Dir=V")</f>
        <v>0</v>
      </c>
      <c r="AU2">
        <f>BDH("SMPL US Equity","EQY_SH_OUT","2016-06-30","2021-06-30","Per=M","Days=T","Dir=V")</f>
        <v>0</v>
      </c>
      <c r="AW2">
        <f>BDH("SMPL US Equity","BETA_RAW_OVERRIABLE","2016-06-30","2021-06-30","Per=M","Days=T","Dir=V")</f>
        <v>0</v>
      </c>
      <c r="AY2">
        <f>BDH("SMPL US Equity","PX_VOLUME","2016-06-30","2021-06-30","Per=M","Days=T","Dir=V")</f>
        <v>0</v>
      </c>
      <c r="BA2">
        <f>BDH("SMPL US Equity","TURNOVER","2016-06-30","2021-06-30","Per=M","Days=T","Dir=V")</f>
        <v>0</v>
      </c>
      <c r="BC2">
        <f>BDH("SMPL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BDH("CVS US Equity","BS_TOT_ASSET","2016-06-30","2021-06-30","Per=Y","Days=T","Dir=V")</f>
        <v>0</v>
      </c>
      <c r="C2">
        <f>BDH("CVS US Equity","BS_TOT_LIAB2","2016-06-30","2021-06-30","Per=Y","Days=T","Dir=V")</f>
        <v>0</v>
      </c>
      <c r="E2">
        <f>BDH("CVS US Equity","SHORT_AND_LONG_TERM_DEBT","2016-06-30","2021-06-30","Per=Y","Days=T","Dir=V")</f>
        <v>0</v>
      </c>
      <c r="G2">
        <f>BDH("CVS US Equity","BS_ST_BORROW","2016-06-30","2021-06-30","Per=Y","Days=T","Dir=V")</f>
        <v>0</v>
      </c>
      <c r="I2">
        <f>BDH("CVS US Equity","BS_LT_BORROW","2016-06-30","2021-06-30","Per=Y","Days=T","Dir=V")</f>
        <v>0</v>
      </c>
      <c r="K2">
        <f>BDH("CVS US Equity","BS_CASH_NEAR_CASH_ITEM","2016-06-30","2021-06-30","Per=Y","Days=T","Dir=V")</f>
        <v>0</v>
      </c>
      <c r="M2">
        <f>BDH("CVS US Equity","BS_CUR_ASSET_REPORT","2016-06-30","2021-06-30","Per=Y","Days=T","Dir=V")</f>
        <v>0</v>
      </c>
      <c r="O2">
        <f>BDH("CVS US Equity","BS_CUR_LIAB","2016-06-30","2021-06-30","Per=Y","Days=T","Dir=V")</f>
        <v>0</v>
      </c>
      <c r="Q2">
        <f>BDH("CVS US Equity","BS_SHAREHOLDER_EQY_ENDING_PERIOD","2016-06-30","2021-06-30","Per=Y","Days=T","Dir=V")</f>
        <v>0</v>
      </c>
      <c r="S2">
        <f>BDH("CVS US Equity","BS_ACCT_NOTE_RCV","2016-06-30","2021-06-30","Per=Y","Days=T","Dir=V")</f>
        <v>0</v>
      </c>
      <c r="U2">
        <f>BDH("CVS US Equity","BS_INVENTORIES","2016-06-30","2021-06-30","Per=Y","Days=T","Dir=V")</f>
        <v>0</v>
      </c>
      <c r="W2">
        <f>BDH("CVS US Equity","WORKING_CAPITAL","2016-06-30","2021-06-30","Per=Y","Days=T","Dir=V")</f>
        <v>0</v>
      </c>
      <c r="Y2">
        <f>BDH("CVS US Equity","SALES_REV_TURN","2016-06-30","2021-06-30","Per=Y","Days=T","Dir=V")</f>
        <v>0</v>
      </c>
      <c r="AA2">
        <f>BDH("CVS US Equity","EBIT","2016-06-30","2021-06-30","Per=Y","Days=T","Dir=V")</f>
        <v>0</v>
      </c>
      <c r="AC2">
        <f>BDH("CVS US Equity","EBITDA","2016-06-30","2021-06-30","Per=Y","Days=T","Dir=V")</f>
        <v>0</v>
      </c>
      <c r="AE2">
        <f>BDH("CVS US Equity","NET_INCOME","2016-06-30","2021-06-30","Per=Y","Days=T","Dir=V")</f>
        <v>0</v>
      </c>
      <c r="AG2">
        <f>BDH("CVS US Equity","IS_INT_EXPENSE","2016-06-30","2021-06-30","Per=Y","Days=T","Dir=V")</f>
        <v>0</v>
      </c>
      <c r="AI2">
        <f>BDH("CVS US Equity","IS_DEPR_EXP","2016-06-30","2021-06-30","Per=Y","Days=T","Dir=V")</f>
        <v>0</v>
      </c>
      <c r="AK2">
        <f>BDH("CVS US Equity","CF_CASH_FROM_OPER","2016-06-30","2021-06-30","Per=Y","Days=T","Dir=V")</f>
        <v>0</v>
      </c>
      <c r="AM2">
        <f>BDH("CVS US Equity","CAPITAL_EXPEND","2016-06-30","2021-06-30","Per=Y","Days=T","Dir=V")</f>
        <v>0</v>
      </c>
      <c r="AO2">
        <f>BDH("CVS US Equity","CF_FREE_CASH_FLOW","2016-06-30","2021-06-30","Per=Y","Days=T","Dir=V")</f>
        <v>0</v>
      </c>
      <c r="AQ2">
        <f>BDH("CVS US Equity","PX_LAST","2016-06-30","2021-06-30","Per=M","Days=T","Dir=V")</f>
        <v>0</v>
      </c>
      <c r="AS2">
        <f>BDH("CVS US Equity","CUR_MKT_CAP","2016-06-30","2021-06-30","Per=M","Days=T","Dir=V")</f>
        <v>0</v>
      </c>
      <c r="AU2">
        <f>BDH("CVS US Equity","EQY_SH_OUT","2016-06-30","2021-06-30","Per=M","Days=T","Dir=V")</f>
        <v>0</v>
      </c>
      <c r="AW2">
        <f>BDH("CVS US Equity","BETA_RAW_OVERRIABLE","2016-06-30","2021-06-30","Per=M","Days=T","Dir=V")</f>
        <v>0</v>
      </c>
      <c r="AY2">
        <f>BDH("CVS US Equity","PX_VOLUME","2016-06-30","2021-06-30","Per=M","Days=T","Dir=V")</f>
        <v>0</v>
      </c>
      <c r="BA2">
        <f>BDH("CVS US Equity","TURNOVER","2016-06-30","2021-06-30","Per=M","Days=T","Dir=V")</f>
        <v>0</v>
      </c>
      <c r="BC2">
        <f>BDH("CVS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BDH("BRID US Equity","BS_TOT_ASSET","2016-06-30","2021-06-30","Per=Y","Days=T","Dir=V")</f>
        <v>0</v>
      </c>
      <c r="C2">
        <f>BDH("BRID US Equity","BS_TOT_LIAB2","2016-06-30","2021-06-30","Per=Y","Days=T","Dir=V")</f>
        <v>0</v>
      </c>
      <c r="E2">
        <f>BDH("BRID US Equity","SHORT_AND_LONG_TERM_DEBT","2016-06-30","2021-06-30","Per=Y","Days=T","Dir=V")</f>
        <v>0</v>
      </c>
      <c r="G2">
        <f>BDH("BRID US Equity","BS_ST_BORROW","2016-06-30","2021-06-30","Per=Y","Days=T","Dir=V")</f>
        <v>0</v>
      </c>
      <c r="I2">
        <f>BDH("BRID US Equity","BS_LT_BORROW","2016-06-30","2021-06-30","Per=Y","Days=T","Dir=V")</f>
        <v>0</v>
      </c>
      <c r="K2">
        <f>BDH("BRID US Equity","BS_CASH_NEAR_CASH_ITEM","2016-06-30","2021-06-30","Per=Y","Days=T","Dir=V")</f>
        <v>0</v>
      </c>
      <c r="M2">
        <f>BDH("BRID US Equity","BS_CUR_ASSET_REPORT","2016-06-30","2021-06-30","Per=Y","Days=T","Dir=V")</f>
        <v>0</v>
      </c>
      <c r="O2">
        <f>BDH("BRID US Equity","BS_CUR_LIAB","2016-06-30","2021-06-30","Per=Y","Days=T","Dir=V")</f>
        <v>0</v>
      </c>
      <c r="Q2">
        <f>BDH("BRID US Equity","BS_SHAREHOLDER_EQY_ENDING_PERIOD","2016-06-30","2021-06-30","Per=Y","Days=T","Dir=V")</f>
        <v>0</v>
      </c>
      <c r="S2">
        <f>BDH("BRID US Equity","BS_ACCT_NOTE_RCV","2016-06-30","2021-06-30","Per=Y","Days=T","Dir=V")</f>
        <v>0</v>
      </c>
      <c r="U2">
        <f>BDH("BRID US Equity","BS_INVENTORIES","2016-06-30","2021-06-30","Per=Y","Days=T","Dir=V")</f>
        <v>0</v>
      </c>
      <c r="W2">
        <f>BDH("BRID US Equity","WORKING_CAPITAL","2016-06-30","2021-06-30","Per=Y","Days=T","Dir=V")</f>
        <v>0</v>
      </c>
      <c r="Y2">
        <f>BDH("BRID US Equity","SALES_REV_TURN","2016-06-30","2021-06-30","Per=Y","Days=T","Dir=V")</f>
        <v>0</v>
      </c>
      <c r="AA2">
        <f>BDH("BRID US Equity","EBIT","2016-06-30","2021-06-30","Per=Y","Days=T","Dir=V")</f>
        <v>0</v>
      </c>
      <c r="AC2">
        <f>BDH("BRID US Equity","EBITDA","2016-06-30","2021-06-30","Per=Y","Days=T","Dir=V")</f>
        <v>0</v>
      </c>
      <c r="AE2">
        <f>BDH("BRID US Equity","NET_INCOME","2016-06-30","2021-06-30","Per=Y","Days=T","Dir=V")</f>
        <v>0</v>
      </c>
      <c r="AG2">
        <f>BDH("BRID US Equity","IS_INT_EXPENSE","2016-06-30","2021-06-30","Per=Y","Days=T","Dir=V")</f>
        <v>0</v>
      </c>
      <c r="AI2">
        <f>BDH("BRID US Equity","IS_DEPR_EXP","2016-06-30","2021-06-30","Per=Y","Days=T","Dir=V")</f>
        <v>0</v>
      </c>
      <c r="AK2">
        <f>BDH("BRID US Equity","CF_CASH_FROM_OPER","2016-06-30","2021-06-30","Per=Y","Days=T","Dir=V")</f>
        <v>0</v>
      </c>
      <c r="AM2">
        <f>BDH("BRID US Equity","CAPITAL_EXPEND","2016-06-30","2021-06-30","Per=Y","Days=T","Dir=V")</f>
        <v>0</v>
      </c>
      <c r="AO2">
        <f>BDH("BRID US Equity","CF_FREE_CASH_FLOW","2016-06-30","2021-06-30","Per=Y","Days=T","Dir=V")</f>
        <v>0</v>
      </c>
      <c r="AQ2">
        <f>BDH("BRID US Equity","PX_LAST","2016-06-30","2021-06-30","Per=M","Days=T","Dir=V")</f>
        <v>0</v>
      </c>
      <c r="AS2">
        <f>BDH("BRID US Equity","CUR_MKT_CAP","2016-06-30","2021-06-30","Per=M","Days=T","Dir=V")</f>
        <v>0</v>
      </c>
      <c r="AU2">
        <f>BDH("BRID US Equity","EQY_SH_OUT","2016-06-30","2021-06-30","Per=M","Days=T","Dir=V")</f>
        <v>0</v>
      </c>
      <c r="AW2">
        <f>BDH("BRID US Equity","BETA_RAW_OVERRIABLE","2016-06-30","2021-06-30","Per=M","Days=T","Dir=V")</f>
        <v>0</v>
      </c>
      <c r="AY2">
        <f>BDH("BRID US Equity","PX_VOLUME","2016-06-30","2021-06-30","Per=M","Days=T","Dir=V")</f>
        <v>0</v>
      </c>
      <c r="BA2">
        <f>BDH("BRID US Equity","TURNOVER","2016-06-30","2021-06-30","Per=M","Days=T","Dir=V")</f>
        <v>0</v>
      </c>
      <c r="BC2">
        <f>BDH("BRID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BDH("NC US Equity","BS_TOT_ASSET","2016-06-30","2021-06-30","Per=Y","Days=T","Dir=V")</f>
        <v>0</v>
      </c>
      <c r="C2">
        <f>BDH("NC US Equity","BS_TOT_LIAB2","2016-06-30","2021-06-30","Per=Y","Days=T","Dir=V")</f>
        <v>0</v>
      </c>
      <c r="E2">
        <f>BDH("NC US Equity","SHORT_AND_LONG_TERM_DEBT","2016-06-30","2021-06-30","Per=Y","Days=T","Dir=V")</f>
        <v>0</v>
      </c>
      <c r="G2">
        <f>BDH("NC US Equity","BS_ST_BORROW","2016-06-30","2021-06-30","Per=Y","Days=T","Dir=V")</f>
        <v>0</v>
      </c>
      <c r="I2">
        <f>BDH("NC US Equity","BS_LT_BORROW","2016-06-30","2021-06-30","Per=Y","Days=T","Dir=V")</f>
        <v>0</v>
      </c>
      <c r="K2">
        <f>BDH("NC US Equity","BS_CASH_NEAR_CASH_ITEM","2016-06-30","2021-06-30","Per=Y","Days=T","Dir=V")</f>
        <v>0</v>
      </c>
      <c r="M2">
        <f>BDH("NC US Equity","BS_CUR_ASSET_REPORT","2016-06-30","2021-06-30","Per=Y","Days=T","Dir=V")</f>
        <v>0</v>
      </c>
      <c r="O2">
        <f>BDH("NC US Equity","BS_CUR_LIAB","2016-06-30","2021-06-30","Per=Y","Days=T","Dir=V")</f>
        <v>0</v>
      </c>
      <c r="Q2">
        <f>BDH("NC US Equity","BS_SHAREHOLDER_EQY_ENDING_PERIOD","2016-06-30","2021-06-30","Per=Y","Days=T","Dir=V")</f>
        <v>0</v>
      </c>
      <c r="S2">
        <f>BDH("NC US Equity","BS_ACCT_NOTE_RCV","2016-06-30","2021-06-30","Per=Y","Days=T","Dir=V")</f>
        <v>0</v>
      </c>
      <c r="U2">
        <f>BDH("NC US Equity","BS_INVENTORIES","2016-06-30","2021-06-30","Per=Y","Days=T","Dir=V")</f>
        <v>0</v>
      </c>
      <c r="W2">
        <f>BDH("NC US Equity","WORKING_CAPITAL","2016-06-30","2021-06-30","Per=Y","Days=T","Dir=V")</f>
        <v>0</v>
      </c>
      <c r="Y2">
        <f>BDH("NC US Equity","SALES_REV_TURN","2016-06-30","2021-06-30","Per=Y","Days=T","Dir=V")</f>
        <v>0</v>
      </c>
      <c r="AA2">
        <f>BDH("NC US Equity","EBIT","2016-06-30","2021-06-30","Per=Y","Days=T","Dir=V")</f>
        <v>0</v>
      </c>
      <c r="AC2">
        <f>BDH("NC US Equity","EBITDA","2016-06-30","2021-06-30","Per=Y","Days=T","Dir=V")</f>
        <v>0</v>
      </c>
      <c r="AE2">
        <f>BDH("NC US Equity","NET_INCOME","2016-06-30","2021-06-30","Per=Y","Days=T","Dir=V")</f>
        <v>0</v>
      </c>
      <c r="AG2">
        <f>BDH("NC US Equity","IS_INT_EXPENSE","2016-06-30","2021-06-30","Per=Y","Days=T","Dir=V")</f>
        <v>0</v>
      </c>
      <c r="AI2">
        <f>BDH("NC US Equity","IS_DEPR_EXP","2016-06-30","2021-06-30","Per=Y","Days=T","Dir=V")</f>
        <v>0</v>
      </c>
      <c r="AK2">
        <f>BDH("NC US Equity","CF_CASH_FROM_OPER","2016-06-30","2021-06-30","Per=Y","Days=T","Dir=V")</f>
        <v>0</v>
      </c>
      <c r="AM2">
        <f>BDH("NC US Equity","CAPITAL_EXPEND","2016-06-30","2021-06-30","Per=Y","Days=T","Dir=V")</f>
        <v>0</v>
      </c>
      <c r="AO2">
        <f>BDH("NC US Equity","CF_FREE_CASH_FLOW","2016-06-30","2021-06-30","Per=Y","Days=T","Dir=V")</f>
        <v>0</v>
      </c>
      <c r="AQ2">
        <f>BDH("NC US Equity","PX_LAST","2016-06-30","2021-06-30","Per=M","Days=T","Dir=V")</f>
        <v>0</v>
      </c>
      <c r="AS2">
        <f>BDH("NC US Equity","CUR_MKT_CAP","2016-06-30","2021-06-30","Per=M","Days=T","Dir=V")</f>
        <v>0</v>
      </c>
      <c r="AU2">
        <f>BDH("NC US Equity","EQY_SH_OUT","2016-06-30","2021-06-30","Per=M","Days=T","Dir=V")</f>
        <v>0</v>
      </c>
      <c r="AW2">
        <f>BDH("NC US Equity","BETA_RAW_OVERRIABLE","2016-06-30","2021-06-30","Per=M","Days=T","Dir=V")</f>
        <v>0</v>
      </c>
      <c r="AY2">
        <f>BDH("NC US Equity","PX_VOLUME","2016-06-30","2021-06-30","Per=M","Days=T","Dir=V")</f>
        <v>0</v>
      </c>
      <c r="BA2">
        <f>BDH("NC US Equity","TURNOVER","2016-06-30","2021-06-30","Per=M","Days=T","Dir=V")</f>
        <v>0</v>
      </c>
      <c r="BC2">
        <f>BDH("NC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BDH("MGEE US Equity","BS_TOT_ASSET","2016-06-30","2021-06-30","Per=Y","Days=T","Dir=V")</f>
        <v>0</v>
      </c>
      <c r="C2">
        <f>BDH("MGEE US Equity","BS_TOT_LIAB2","2016-06-30","2021-06-30","Per=Y","Days=T","Dir=V")</f>
        <v>0</v>
      </c>
      <c r="E2">
        <f>BDH("MGEE US Equity","SHORT_AND_LONG_TERM_DEBT","2016-06-30","2021-06-30","Per=Y","Days=T","Dir=V")</f>
        <v>0</v>
      </c>
      <c r="G2">
        <f>BDH("MGEE US Equity","BS_ST_BORROW","2016-06-30","2021-06-30","Per=Y","Days=T","Dir=V")</f>
        <v>0</v>
      </c>
      <c r="I2">
        <f>BDH("MGEE US Equity","BS_LT_BORROW","2016-06-30","2021-06-30","Per=Y","Days=T","Dir=V")</f>
        <v>0</v>
      </c>
      <c r="K2">
        <f>BDH("MGEE US Equity","BS_CASH_NEAR_CASH_ITEM","2016-06-30","2021-06-30","Per=Y","Days=T","Dir=V")</f>
        <v>0</v>
      </c>
      <c r="M2">
        <f>BDH("MGEE US Equity","BS_CUR_ASSET_REPORT","2016-06-30","2021-06-30","Per=Y","Days=T","Dir=V")</f>
        <v>0</v>
      </c>
      <c r="O2">
        <f>BDH("MGEE US Equity","BS_CUR_LIAB","2016-06-30","2021-06-30","Per=Y","Days=T","Dir=V")</f>
        <v>0</v>
      </c>
      <c r="Q2">
        <f>BDH("MGEE US Equity","BS_SHAREHOLDER_EQY_ENDING_PERIOD","2016-06-30","2021-06-30","Per=Y","Days=T","Dir=V")</f>
        <v>0</v>
      </c>
      <c r="S2">
        <f>BDH("MGEE US Equity","BS_ACCT_NOTE_RCV","2016-06-30","2021-06-30","Per=Y","Days=T","Dir=V")</f>
        <v>0</v>
      </c>
      <c r="U2">
        <f>BDH("MGEE US Equity","BS_INVENTORIES","2016-06-30","2021-06-30","Per=Y","Days=T","Dir=V")</f>
        <v>0</v>
      </c>
      <c r="W2">
        <f>BDH("MGEE US Equity","WORKING_CAPITAL","2016-06-30","2021-06-30","Per=Y","Days=T","Dir=V")</f>
        <v>0</v>
      </c>
      <c r="Y2">
        <f>BDH("MGEE US Equity","SALES_REV_TURN","2016-06-30","2021-06-30","Per=Y","Days=T","Dir=V")</f>
        <v>0</v>
      </c>
      <c r="AA2">
        <f>BDH("MGEE US Equity","EBIT","2016-06-30","2021-06-30","Per=Y","Days=T","Dir=V")</f>
        <v>0</v>
      </c>
      <c r="AC2">
        <f>BDH("MGEE US Equity","EBITDA","2016-06-30","2021-06-30","Per=Y","Days=T","Dir=V")</f>
        <v>0</v>
      </c>
      <c r="AE2">
        <f>BDH("MGEE US Equity","NET_INCOME","2016-06-30","2021-06-30","Per=Y","Days=T","Dir=V")</f>
        <v>0</v>
      </c>
      <c r="AG2">
        <f>BDH("MGEE US Equity","IS_INT_EXPENSE","2016-06-30","2021-06-30","Per=Y","Days=T","Dir=V")</f>
        <v>0</v>
      </c>
      <c r="AI2">
        <f>BDH("MGEE US Equity","IS_DEPR_EXP","2016-06-30","2021-06-30","Per=Y","Days=T","Dir=V")</f>
        <v>0</v>
      </c>
      <c r="AK2">
        <f>BDH("MGEE US Equity","CF_CASH_FROM_OPER","2016-06-30","2021-06-30","Per=Y","Days=T","Dir=V")</f>
        <v>0</v>
      </c>
      <c r="AM2">
        <f>BDH("MGEE US Equity","CAPITAL_EXPEND","2016-06-30","2021-06-30","Per=Y","Days=T","Dir=V")</f>
        <v>0</v>
      </c>
      <c r="AO2">
        <f>BDH("MGEE US Equity","CF_FREE_CASH_FLOW","2016-06-30","2021-06-30","Per=Y","Days=T","Dir=V")</f>
        <v>0</v>
      </c>
      <c r="AQ2">
        <f>BDH("MGEE US Equity","PX_LAST","2016-06-30","2021-06-30","Per=M","Days=T","Dir=V")</f>
        <v>0</v>
      </c>
      <c r="AS2">
        <f>BDH("MGEE US Equity","CUR_MKT_CAP","2016-06-30","2021-06-30","Per=M","Days=T","Dir=V")</f>
        <v>0</v>
      </c>
      <c r="AU2">
        <f>BDH("MGEE US Equity","EQY_SH_OUT","2016-06-30","2021-06-30","Per=M","Days=T","Dir=V")</f>
        <v>0</v>
      </c>
      <c r="AW2">
        <f>BDH("MGEE US Equity","BETA_RAW_OVERRIABLE","2016-06-30","2021-06-30","Per=M","Days=T","Dir=V")</f>
        <v>0</v>
      </c>
      <c r="AY2">
        <f>BDH("MGEE US Equity","PX_VOLUME","2016-06-30","2021-06-30","Per=M","Days=T","Dir=V")</f>
        <v>0</v>
      </c>
      <c r="BA2">
        <f>BDH("MGEE US Equity","TURNOVER","2016-06-30","2021-06-30","Per=M","Days=T","Dir=V")</f>
        <v>0</v>
      </c>
      <c r="BC2">
        <f>BDH("MGEE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  <c r="N1" t="s">
        <v>280</v>
      </c>
      <c r="O1" t="s">
        <v>281</v>
      </c>
      <c r="P1" t="s">
        <v>282</v>
      </c>
      <c r="Q1" t="s">
        <v>283</v>
      </c>
      <c r="R1" t="s">
        <v>284</v>
      </c>
      <c r="S1" t="s">
        <v>285</v>
      </c>
      <c r="T1" t="s">
        <v>286</v>
      </c>
      <c r="U1" t="s">
        <v>287</v>
      </c>
      <c r="V1" t="s">
        <v>288</v>
      </c>
      <c r="W1" t="s">
        <v>289</v>
      </c>
      <c r="X1" t="s">
        <v>290</v>
      </c>
      <c r="Y1" t="s">
        <v>291</v>
      </c>
      <c r="Z1" t="s">
        <v>292</v>
      </c>
      <c r="AA1" t="s">
        <v>293</v>
      </c>
      <c r="AB1" t="s">
        <v>294</v>
      </c>
      <c r="AC1" t="s">
        <v>295</v>
      </c>
      <c r="AD1" t="s">
        <v>296</v>
      </c>
      <c r="AE1" t="s">
        <v>297</v>
      </c>
      <c r="AF1" t="s">
        <v>298</v>
      </c>
      <c r="AG1" t="s">
        <v>299</v>
      </c>
      <c r="AH1" t="s">
        <v>300</v>
      </c>
      <c r="AI1" t="s">
        <v>301</v>
      </c>
      <c r="AJ1" t="s">
        <v>302</v>
      </c>
      <c r="AK1" t="s">
        <v>303</v>
      </c>
      <c r="AL1" t="s">
        <v>304</v>
      </c>
      <c r="AM1" t="s">
        <v>305</v>
      </c>
      <c r="AN1" t="s">
        <v>306</v>
      </c>
      <c r="AO1" t="s">
        <v>307</v>
      </c>
      <c r="AP1" t="s">
        <v>308</v>
      </c>
      <c r="AQ1" t="s">
        <v>309</v>
      </c>
      <c r="AR1" t="s">
        <v>310</v>
      </c>
      <c r="AS1" t="s">
        <v>311</v>
      </c>
      <c r="AT1" t="s">
        <v>312</v>
      </c>
      <c r="AU1" t="s">
        <v>313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</row>
    <row r="2" spans="1:56">
      <c r="A2">
        <f>BDH("POWL US Equity","BS_TOT_ASSET","2016-06-30","2021-06-30","Per=Y","Days=T","Dir=V")</f>
        <v>0</v>
      </c>
      <c r="C2">
        <f>BDH("POWL US Equity","BS_TOT_LIAB2","2016-06-30","2021-06-30","Per=Y","Days=T","Dir=V")</f>
        <v>0</v>
      </c>
      <c r="E2">
        <f>BDH("POWL US Equity","SHORT_AND_LONG_TERM_DEBT","2016-06-30","2021-06-30","Per=Y","Days=T","Dir=V")</f>
        <v>0</v>
      </c>
      <c r="G2">
        <f>BDH("POWL US Equity","BS_ST_BORROW","2016-06-30","2021-06-30","Per=Y","Days=T","Dir=V")</f>
        <v>0</v>
      </c>
      <c r="I2">
        <f>BDH("POWL US Equity","BS_LT_BORROW","2016-06-30","2021-06-30","Per=Y","Days=T","Dir=V")</f>
        <v>0</v>
      </c>
      <c r="K2">
        <f>BDH("POWL US Equity","BS_CASH_NEAR_CASH_ITEM","2016-06-30","2021-06-30","Per=Y","Days=T","Dir=V")</f>
        <v>0</v>
      </c>
      <c r="M2">
        <f>BDH("POWL US Equity","BS_CUR_ASSET_REPORT","2016-06-30","2021-06-30","Per=Y","Days=T","Dir=V")</f>
        <v>0</v>
      </c>
      <c r="O2">
        <f>BDH("POWL US Equity","BS_CUR_LIAB","2016-06-30","2021-06-30","Per=Y","Days=T","Dir=V")</f>
        <v>0</v>
      </c>
      <c r="Q2">
        <f>BDH("POWL US Equity","BS_SHAREHOLDER_EQY_ENDING_PERIOD","2016-06-30","2021-06-30","Per=Y","Days=T","Dir=V")</f>
        <v>0</v>
      </c>
      <c r="S2">
        <f>BDH("POWL US Equity","BS_ACCT_NOTE_RCV","2016-06-30","2021-06-30","Per=Y","Days=T","Dir=V")</f>
        <v>0</v>
      </c>
      <c r="U2">
        <f>BDH("POWL US Equity","BS_INVENTORIES","2016-06-30","2021-06-30","Per=Y","Days=T","Dir=V")</f>
        <v>0</v>
      </c>
      <c r="W2">
        <f>BDH("POWL US Equity","WORKING_CAPITAL","2016-06-30","2021-06-30","Per=Y","Days=T","Dir=V")</f>
        <v>0</v>
      </c>
      <c r="Y2">
        <f>BDH("POWL US Equity","SALES_REV_TURN","2016-06-30","2021-06-30","Per=Y","Days=T","Dir=V")</f>
        <v>0</v>
      </c>
      <c r="AA2">
        <f>BDH("POWL US Equity","EBIT","2016-06-30","2021-06-30","Per=Y","Days=T","Dir=V")</f>
        <v>0</v>
      </c>
      <c r="AC2">
        <f>BDH("POWL US Equity","EBITDA","2016-06-30","2021-06-30","Per=Y","Days=T","Dir=V")</f>
        <v>0</v>
      </c>
      <c r="AE2">
        <f>BDH("POWL US Equity","NET_INCOME","2016-06-30","2021-06-30","Per=Y","Days=T","Dir=V")</f>
        <v>0</v>
      </c>
      <c r="AG2">
        <f>BDH("POWL US Equity","IS_INT_EXPENSE","2016-06-30","2021-06-30","Per=Y","Days=T","Dir=V")</f>
        <v>0</v>
      </c>
      <c r="AI2">
        <f>BDH("POWL US Equity","IS_DEPR_EXP","2016-06-30","2021-06-30","Per=Y","Days=T","Dir=V")</f>
        <v>0</v>
      </c>
      <c r="AK2">
        <f>BDH("POWL US Equity","CF_CASH_FROM_OPER","2016-06-30","2021-06-30","Per=Y","Days=T","Dir=V")</f>
        <v>0</v>
      </c>
      <c r="AM2">
        <f>BDH("POWL US Equity","CAPITAL_EXPEND","2016-06-30","2021-06-30","Per=Y","Days=T","Dir=V")</f>
        <v>0</v>
      </c>
      <c r="AO2">
        <f>BDH("POWL US Equity","CF_FREE_CASH_FLOW","2016-06-30","2021-06-30","Per=Y","Days=T","Dir=V")</f>
        <v>0</v>
      </c>
      <c r="AQ2">
        <f>BDH("POWL US Equity","PX_LAST","2016-06-30","2021-06-30","Per=M","Days=T","Dir=V")</f>
        <v>0</v>
      </c>
      <c r="AS2">
        <f>BDH("POWL US Equity","CUR_MKT_CAP","2016-06-30","2021-06-30","Per=M","Days=T","Dir=V")</f>
        <v>0</v>
      </c>
      <c r="AU2">
        <f>BDH("POWL US Equity","EQY_SH_OUT","2016-06-30","2021-06-30","Per=M","Days=T","Dir=V")</f>
        <v>0</v>
      </c>
      <c r="AW2">
        <f>BDH("POWL US Equity","BETA_RAW_OVERRIABLE","2016-06-30","2021-06-30","Per=M","Days=T","Dir=V")</f>
        <v>0</v>
      </c>
      <c r="AY2">
        <f>BDH("POWL US Equity","PX_VOLUME","2016-06-30","2021-06-30","Per=M","Days=T","Dir=V")</f>
        <v>0</v>
      </c>
      <c r="BA2">
        <f>BDH("POWL US Equity","TURNOVER","2016-06-30","2021-06-30","Per=M","Days=T","Dir=V")</f>
        <v>0</v>
      </c>
      <c r="BC2">
        <f>BDH("POWL US Equity","SPREAD_BA_CR","2016-06-30","2021-06-30","Per=M","Days=T","Dir=V")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NB_3028_United Natural Foods In</vt:lpstr>
      <vt:lpstr>NB_2931_Tutor Perini Corporatio</vt:lpstr>
      <vt:lpstr>NB_170_AMC Robotics Corporation</vt:lpstr>
      <vt:lpstr>NB_1710_LGI Homes Inc. Common S</vt:lpstr>
      <vt:lpstr>NB_1357_Hilton Grand Vacations </vt:lpstr>
      <vt:lpstr>NB_2833_Stanley Black &amp; Decker </vt:lpstr>
      <vt:lpstr>NB_3091_Virco Manufacturing Cor</vt:lpstr>
      <vt:lpstr>NB_2868_Tidewater Inc. Common S</vt:lpstr>
      <vt:lpstr>NB_1112_Franklin Electric Co. I</vt:lpstr>
      <vt:lpstr>NB_27_Acorn Energy Inc. Common </vt:lpstr>
      <vt:lpstr>NB_835_Daktronics Inc. Common S</vt:lpstr>
      <vt:lpstr>NB_1159_Fox Factory Holding Cor</vt:lpstr>
      <vt:lpstr>NB_2812_Starz Entertainment Cor</vt:lpstr>
      <vt:lpstr>NB_885_Daily Journal Corp. (S.C</vt:lpstr>
      <vt:lpstr>NB_959_Ennis Inc. Common Stock</vt:lpstr>
      <vt:lpstr>NB_3173_Weatherford Internation</vt:lpstr>
      <vt:lpstr>NB_1061_EVI Industries Inc.  Co</vt:lpstr>
      <vt:lpstr>NB_1144_1-800-FLOWERS.COM Inc. </vt:lpstr>
      <vt:lpstr>NB_456_Bonk Inc. Common Stock</vt:lpstr>
      <vt:lpstr>NB_340_Axalta Coating Systems L</vt:lpstr>
      <vt:lpstr>NB_1392_HireQuest Inc. Common S</vt:lpstr>
      <vt:lpstr>NB_2672_SiteOne Landscape Suppl</vt:lpstr>
      <vt:lpstr>NB_22_Acco Brands Corporation C</vt:lpstr>
      <vt:lpstr>NB_1575_Jewett-Cameron Trading </vt:lpstr>
      <vt:lpstr>NB_1584_Johnson Outdoors Inc. C</vt:lpstr>
      <vt:lpstr>NB_1411_Hertz Global Holdings I</vt:lpstr>
      <vt:lpstr>NB_1787_LiveOne Inc. Common Sto</vt:lpstr>
      <vt:lpstr>NB_2651_Shake Shack Inc. Class </vt:lpstr>
      <vt:lpstr>NB_12_Asbury Automotive Group I</vt:lpstr>
      <vt:lpstr>NB_3196_Warner Music Group Corp</vt:lpstr>
      <vt:lpstr>NB_531_Caleres Inc. Common Stoc</vt:lpstr>
      <vt:lpstr>NB_273_Ashland Inc. Common Stoc</vt:lpstr>
      <vt:lpstr>NB_284_AST SpaceMobile Inc. Cla</vt:lpstr>
      <vt:lpstr>NB_113_Albany International Cor</vt:lpstr>
      <vt:lpstr>NB_2930_Turning Point Brands In</vt:lpstr>
      <vt:lpstr>NB_2964_Toro Company (The) Comm</vt:lpstr>
      <vt:lpstr>NB_2564_RXO Inc. Common Stock</vt:lpstr>
      <vt:lpstr>NB_511_Bluelinx Holdings Inc. C</vt:lpstr>
      <vt:lpstr>NB_3171_Weyco Group Inc. Common</vt:lpstr>
      <vt:lpstr>NB_190_AMASS Brands Inc. Common</vt:lpstr>
      <vt:lpstr>NB_1272_Genasys Inc. Common Sto</vt:lpstr>
      <vt:lpstr>NB_2569_RYTHM Inc. Common Stock</vt:lpstr>
      <vt:lpstr>NB_3197_Weis Markets Inc. Commo</vt:lpstr>
      <vt:lpstr>NB_1397_Hormel Foods Corporatio</vt:lpstr>
      <vt:lpstr>NB_2709_The Simply Good Foods C</vt:lpstr>
      <vt:lpstr>NB_807_CVS Health Corporation C</vt:lpstr>
      <vt:lpstr>NB_473_Bridgford Foods Corporat</vt:lpstr>
      <vt:lpstr>NB_2003_NACCO Industries Inc. C</vt:lpstr>
      <vt:lpstr>NB_1866_MGE Energy Inc</vt:lpstr>
      <vt:lpstr>NB_2337_Powell Industries Inc. 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2026-09-30T16:51:35Z</dcterms:created>
  <dcterms:modified xsi:type="dcterms:W3CDTF">2026-09-30T16:51:35Z</dcterms:modified>
</cp:coreProperties>
</file>