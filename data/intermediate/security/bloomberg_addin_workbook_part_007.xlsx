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1231_HawkEye 360 Inc. Common" sheetId="2" r:id="rId2"/>
    <sheet name="NB_1232_Hayward Holdings Inc. C" sheetId="3" r:id="rId3"/>
    <sheet name="NB_1233_Hamilton Beach Brands H" sheetId="4" r:id="rId4"/>
    <sheet name="NB_1234_Harvard Bioscience Inc." sheetId="5" r:id="rId5"/>
    <sheet name="NB_1235_HCA Healthcare Inc. Com" sheetId="6" r:id="rId6"/>
    <sheet name="NB_1236_Health Catalyst Inc Com" sheetId="7" r:id="rId7"/>
    <sheet name="NB_1237_Warrior Met Coal Inc. C" sheetId="8" r:id="rId8"/>
    <sheet name="NB_1238_Hackett Group Inc (The)" sheetId="9" r:id="rId9"/>
    <sheet name="NB_1239_HCM III Acquisition Cor" sheetId="10" r:id="rId10"/>
    <sheet name="NB_1240_Healthcare Services Gro" sheetId="11" r:id="rId11"/>
    <sheet name="NB_1241_Healthcare Triangle Inc" sheetId="12" r:id="rId12"/>
    <sheet name="NB_1242_HCW Biologics Inc. Comm" sheetId="13" r:id="rId13"/>
    <sheet name="NB_1243_Home Depot Inc. (The) C" sheetId="14" r:id="rId14"/>
    <sheet name="NB_1244_Hadron Energy Inc. Comm" sheetId="15" r:id="rId15"/>
    <sheet name="NB_1245_Hadron Energy Inc. Warr" sheetId="16" r:id="rId16"/>
    <sheet name="NB_1246_Hudson Technologies Inc" sheetId="17" r:id="rId17"/>
    <sheet name="NB_1247_Hawaiian Electric Indus" sheetId="18" r:id="rId18"/>
    <sheet name="NB_1248_Heico Corporation Commo" sheetId="19" r:id="rId19"/>
    <sheet name="NB_1249_Hess Midstream LP Class" sheetId="20" r:id="rId20"/>
    <sheet name="NB_1250_HF Foods Group Inc. Com" sheetId="21" r:id="rId21"/>
    <sheet name="NB_1251_Heritage Global Inc. Co" sheetId="22" r:id="rId22"/>
    <sheet name="NB_1252_Hilton Grand Vacations " sheetId="23" r:id="rId23"/>
    <sheet name="NB_1253_Harte Hanks Inc. Common" sheetId="24" r:id="rId24"/>
    <sheet name="NB_1254_Huntington Ingalls Indu" sheetId="25" r:id="rId25"/>
    <sheet name="NB_1255_Hims &amp; Hers Health Inc." sheetId="26" r:id="rId26"/>
    <sheet name="NB_1256_Vyome Holdings Inc. Com" sheetId="27" r:id="rId27"/>
    <sheet name="NB_1257_Hecla Mining Company Co" sheetId="28" r:id="rId28"/>
    <sheet name="NB_1258_Helios Technologies Inc" sheetId="29" r:id="rId29"/>
    <sheet name="NB_1259_Harmonic Inc. Common St" sheetId="30" r:id="rId30"/>
    <sheet name="NB_1260_Holley Inc. Common Stoc" sheetId="31" r:id="rId31"/>
    <sheet name="NB_1261_Hillman Solutions Corp." sheetId="32" r:id="rId32"/>
    <sheet name="NB_1262_Hilton Worldwide Holdin" sheetId="33" r:id="rId33"/>
    <sheet name="NB_1263_HMH Holding Inc. Class " sheetId="34" r:id="rId34"/>
    <sheet name="NB_1264_Hinge Health Inc. Class" sheetId="35" r:id="rId35"/>
    <sheet name="NB_1265_HNI Corporation Common " sheetId="36" r:id="rId36"/>
    <sheet name="NB_1266_Hallador Energy Company" sheetId="37" r:id="rId37"/>
    <sheet name="NB_1267_The Honest Company Inc." sheetId="38" r:id="rId38"/>
    <sheet name="NB_1268_Hooker Furnishings Corp" sheetId="39" r:id="rId39"/>
    <sheet name="NB_1269_Harley-Davidson Inc. Co" sheetId="40" r:id="rId40"/>
    <sheet name="NB_1270_MicroCloud Hologram Inc" sheetId="41" r:id="rId41"/>
    <sheet name="NB_1271_MicroCloud Hologram Inc" sheetId="42" r:id="rId42"/>
    <sheet name="NB_1272_Honeywell International" sheetId="43" r:id="rId43"/>
    <sheet name="NB_1273_Honeywell Aerospace Inc" sheetId="44" r:id="rId44"/>
    <sheet name="NB_1274_Hornbeck Offshore Servi" sheetId="45" r:id="rId45"/>
    <sheet name="NB_1275_Hour Loop Inc. Common S" sheetId="46" r:id="rId46"/>
    <sheet name="NB_1276_Hovnanian Enterprises I" sheetId="47" r:id="rId47"/>
    <sheet name="NB_1277_Hovnanian Enterprises I" sheetId="48" r:id="rId48"/>
    <sheet name="NB_1278_New Horizon Aircraft Lt" sheetId="49" r:id="rId49"/>
    <sheet name="NB_1279_New Horizon Aircraft Lt" sheetId="50" r:id="rId50"/>
    <sheet name="NB_1280_Werewolf Therapeutics I" sheetId="51" r:id="rId51"/>
    <sheet name="NB_1281_Helmerich &amp; Payne Inc. " sheetId="52" r:id="rId52"/>
    <sheet name="NB_1282_Hewlett Packard Enterpr" sheetId="53" r:id="rId53"/>
    <sheet name="NB_1283_HighPeak Energy Inc. Co" sheetId="54" r:id="rId54"/>
    <sheet name="NB_1284_HP Inc. Common Stock" sheetId="55" r:id="rId55"/>
    <sheet name="NB_1285_HireQuest Inc. Common S" sheetId="56" r:id="rId56"/>
    <sheet name="NB_1286_HealthEquity Inc. Commo" sheetId="57" r:id="rId57"/>
    <sheet name="NB_1287_H&amp;R Block Inc. Common S" sheetId="58" r:id="rId58"/>
    <sheet name="NB_1288_Herc Holdings Inc. Comm" sheetId="59" r:id="rId59"/>
    <sheet name="NB_1289_Hormel Foods Corporatio" sheetId="60" r:id="rId60"/>
    <sheet name="NB_1290_Harmony Biosciences Hol" sheetId="61" r:id="rId61"/>
    <sheet name="NB_1291_Harrow Inc. Common Stoc" sheetId="62" r:id="rId62"/>
    <sheet name="NB_1292_Heron Therapeutics Inc." sheetId="63" r:id="rId63"/>
    <sheet name="NB_1293_HeartSciences Inc. Comm" sheetId="64" r:id="rId64"/>
    <sheet name="NB_1294_HeartSciences Inc. Warr" sheetId="65" r:id="rId65"/>
    <sheet name="NB_1295_Solana Company Class A " sheetId="66" r:id="rId66"/>
    <sheet name="NB_1296_Henry Schein Inc. Commo" sheetId="67" r:id="rId67"/>
    <sheet name="NB_1297_HealthStream Inc. Commo" sheetId="68" r:id="rId68"/>
    <sheet name="NB_1298_The Hershey Company Com" sheetId="69" r:id="rId69"/>
    <sheet name="NB_1299_Heartflow Inc. Common S" sheetId="70" r:id="rId70"/>
    <sheet name="NB_1300_Heartland Express Inc. " sheetId="71" r:id="rId71"/>
    <sheet name="NB_1301_H2O America Common Stoc" sheetId="72" r:id="rId72"/>
    <sheet name="NB_1302_Hertz Global Holdings I" sheetId="73" r:id="rId73"/>
    <sheet name="NB_1303_Hertz Global Holdings I" sheetId="74" r:id="rId74"/>
    <sheet name="NB_1304_Hubbell Inc Common Stoc" sheetId="75" r:id="rId75"/>
    <sheet name="NB_1305_Hub Group Inc. Class A " sheetId="76" r:id="rId76"/>
    <sheet name="NB_1306_HubSpot Inc. Common Sto" sheetId="77" r:id="rId77"/>
    <sheet name="NB_1307_Huckleberry.ai Inc. Cla" sheetId="78" r:id="rId78"/>
    <sheet name="NB_1308_Humana Inc. Common Stoc" sheetId="79" r:id="rId79"/>
    <sheet name="NB_1309_Humacyte Inc. Common St" sheetId="80" r:id="rId80"/>
    <sheet name="NB_1310_Huntsman Corporation Co" sheetId="81" r:id="rId81"/>
    <sheet name="NB_1311_TuHURA Biosciences Inc." sheetId="82" r:id="rId82"/>
    <sheet name="NB_1312_Hurco Companies Inc. Co" sheetId="83" r:id="rId83"/>
    <sheet name="NB_1313_Huron Consulting Group " sheetId="84" r:id="rId84"/>
    <sheet name="NB_1314_HUYA Inc. American depo" sheetId="85" r:id="rId85"/>
    <sheet name="NB_1315_Haverty Furniture Compa" sheetId="86" r:id="rId86"/>
    <sheet name="NB_1316_Hawkins Inc. Common Sto" sheetId="87" r:id="rId87"/>
    <sheet name="NB_1317_Howmet Aerospace Inc. C" sheetId="88" r:id="rId88"/>
    <sheet name="NB_1318_Hexcel Corporation Comm" sheetId="89" r:id="rId89"/>
    <sheet name="NB_1319_Hyster-Yale Inc. Class " sheetId="90" r:id="rId90"/>
    <sheet name="NB_1320_Hydrofarm Holdings Grou" sheetId="91" r:id="rId91"/>
    <sheet name="NB_1321_Hyliion Holdings Corp. " sheetId="92" r:id="rId92"/>
    <sheet name="NB_1322_Hycroft Mining Holding " sheetId="93" r:id="rId93"/>
    <sheet name="NB_1323_Hyperion DeFi Inc. Comm" sheetId="94" r:id="rId94"/>
    <sheet name="NB_1324_Hyperfine Inc. Class A " sheetId="95" r:id="rId95"/>
    <sheet name="NB_1325_MarineMax Inc.  (FL) Co" sheetId="96" r:id="rId96"/>
    <sheet name="NB_1326_Innovative Solutions an" sheetId="97" r:id="rId97"/>
    <sheet name="NB_1327_Integra LifeSciences Ho" sheetId="98" r:id="rId98"/>
    <sheet name="NB_1328_iBio Inc. Common Stock" sheetId="99" r:id="rId99"/>
    <sheet name="NB_1329_International Business " sheetId="100" r:id="rId100"/>
    <sheet name="NB_1330_Installed Building Prod" sheetId="101" r:id="rId101"/>
    <sheet name="NB_1331_ImmunityBio Inc. Common" sheetId="102" r:id="rId102"/>
    <sheet name="NB_1332_Ibotta Inc. Class A Com" sheetId="103" r:id="rId103"/>
    <sheet name="NB_1333_ImmuCell Corporation Co" sheetId="104" r:id="rId104"/>
    <sheet name="NB_1334_ICF International Inc. " sheetId="105" r:id="rId105"/>
    <sheet name="NB_1335_Ichor Holdings Ordinary" sheetId="106" r:id="rId106"/>
    <sheet name="NB_1336_SeaStar Medical Holding" sheetId="107" r:id="rId107"/>
    <sheet name="NB_1337_SeaStar Medical Holding" sheetId="108" r:id="rId108"/>
    <sheet name="NB_1338_ICU Medical Inc. Common" sheetId="109" r:id="rId109"/>
    <sheet name="NB_1339_IDACORP Inc. Common Sto" sheetId="110" r:id="rId110"/>
    <sheet name="NB_1340_T Stamp Inc. Class A Co" sheetId="111" r:id="rId111"/>
    <sheet name="NB_1341_Intellicheck Inc. Commo" sheetId="112" r:id="rId112"/>
    <sheet name="NB_1342_Idaho Strategic Resourc" sheetId="113" r:id="rId113"/>
    <sheet name="NB_1343_IDT Corporation Class B" sheetId="114" r:id="rId114"/>
    <sheet name="NB_1344_IDEXX Laboratories Inc." sheetId="115" r:id="rId115"/>
    <sheet name="NB_1345_IDEAYA Biosciences Inc." sheetId="116" r:id="rId116"/>
    <sheet name="NB_1346_Icahn Enterprises L.P. " sheetId="117" r:id="rId117"/>
    <sheet name="NB_1347_IES Holdings Inc. Commo" sheetId="118" r:id="rId118"/>
    <sheet name="NB_1348_IDEX Corporation Common" sheetId="119" r:id="rId119"/>
    <sheet name="NB_1349_International Flavors &amp;" sheetId="120" r:id="rId120"/>
    <sheet name="NB_1350_IGC Pharma Inc. Common " sheetId="121" r:id="rId121"/>
    <sheet name="NB_1351_iHeartMedia Inc. Class " sheetId="122" r:id="rId122"/>
    <sheet name="NB_1352_Information Services Gr" sheetId="123" r:id="rId123"/>
    <sheet name="NB_1353_Insteel Industries Inc." sheetId="124" r:id="rId124"/>
    <sheet name="NB_1354_i3 Verticals Inc. Class" sheetId="125" r:id="rId125"/>
    <sheet name="NB_1355_Inhibikase Therapeutics" sheetId="126" r:id="rId126"/>
    <sheet name="NB_1356_Illumina Inc. Common St" sheetId="127" r:id="rId127"/>
    <sheet name="NB_1357_ImageneBio Inc. Common " sheetId="128" r:id="rId128"/>
    <sheet name="NB_1358_Insight Molecular Diagn" sheetId="129" r:id="rId129"/>
    <sheet name="NB_1359_Ingles Markets Incorpor" sheetId="130" r:id="rId130"/>
    <sheet name="NB_1360_Immersion Corporation C" sheetId="131" r:id="rId131"/>
    <sheet name="NB_1361_Immix Biopharma Inc. Co" sheetId="132" r:id="rId132"/>
    <sheet name="NB_1362_Immunome Inc. Common St" sheetId="133" r:id="rId133"/>
    <sheet name="NB_1363_Imunon Inc. Common Stoc" sheetId="134" r:id="rId134"/>
    <sheet name="NB_1364_Immuneering Corporation" sheetId="135" r:id="rId135"/>
    <sheet name="NB_1365_Terrestrial Energy Inc." sheetId="136" r:id="rId136"/>
    <sheet name="NB_1366_Terrestrial Energy Inc." sheetId="137" r:id="rId137"/>
    <sheet name="NB_1367_Immunic Inc. Common Sto" sheetId="138" r:id="rId138"/>
    <sheet name="NB_1368_Immunovant Inc. Common " sheetId="139" r:id="rId139"/>
    <sheet name="NB_1369_International Money Exp" sheetId="140" r:id="rId140"/>
    <sheet name="NB_1370_IN8bio Inc. Common Stoc" sheetId="141" r:id="rId141"/>
    <sheet name="NB_1371_Intelligent Bio Solutio" sheetId="142" r:id="rId142"/>
    <sheet name="NB_1372_Inhibrx Biosciences Inc" sheetId="143" r:id="rId143"/>
    <sheet name="NB_1373_Incyte Corp. Common Sto" sheetId="144" r:id="rId144"/>
    <sheet name="NB_1374_indie Semiconductor Inc" sheetId="145" r:id="rId145"/>
    <sheet name="NB_1375_Indaptus Therapeutics I" sheetId="146" r:id="rId146"/>
    <sheet name="NB_1376_InfuSystems Holdings In" sheetId="147" r:id="rId147"/>
    <sheet name="NB_1377_Ingram Micro Holding Co" sheetId="148" r:id="rId148"/>
    <sheet name="NB_1378_Inogen Inc Common Stock" sheetId="149" r:id="rId149"/>
    <sheet name="NB_1379_Ingredion Incorporated " sheetId="150" r:id="rId150"/>
    <sheet name="NB_1380_Inno Holdings Inc. Comm" sheetId="151" r:id="rId151"/>
    <sheet name="NB_1381_MiNK Therapeutics Inc. " sheetId="152" r:id="rId152"/>
    <sheet name="NB_1382_INmune Bio Inc. Common " sheetId="153" r:id="rId153"/>
    <sheet name="NB_1383_InnovAge Holding Corp. " sheetId="154" r:id="rId154"/>
    <sheet name="NB_1384_Inovio Pharmaceuticals " sheetId="155" r:id="rId155"/>
    <sheet name="NB_1385_Innodata Inc. Common St" sheetId="156" r:id="rId156"/>
    <sheet name="NB_1386_Infinity Natural Resour" sheetId="157" r:id="rId157"/>
    <sheet name="NB_1387_Inspired Entertainment " sheetId="158" r:id="rId158"/>
    <sheet name="NB_1388_Inseego Corp. Common St" sheetId="159" r:id="rId159"/>
    <sheet name="NB_1389_Insmed Incorporated Com" sheetId="160" r:id="rId160"/>
    <sheet name="NB_1390_Inspire Medical Systems" sheetId="161" r:id="rId161"/>
    <sheet name="NB_1391_International Seaways I" sheetId="162" r:id="rId162"/>
    <sheet name="NB_1392_Intapp Inc. Common Stoc" sheetId="163" r:id="rId163"/>
    <sheet name="NB_1393_Intel Corporation Commo" sheetId="164" r:id="rId164"/>
    <sheet name="NB_1394_Intensity Therapeutics " sheetId="165" r:id="rId165"/>
    <sheet name="NB_1395_inTest Corporation Comm" sheetId="166" r:id="rId166"/>
    <sheet name="NB_1396_Intuit Inc. Common Stoc" sheetId="167" r:id="rId167"/>
    <sheet name="NB_1397_Intrusion Inc. Common S" sheetId="168" r:id="rId168"/>
    <sheet name="NB_1398_Inuvo Inc." sheetId="169" r:id="rId169"/>
    <sheet name="NB_1399_Innoviva Inc. Common St" sheetId="170" r:id="rId170"/>
    <sheet name="NB_1400_INVE Technologies Inc. " sheetId="171" r:id="rId171"/>
    <sheet name="NB_1401_Innovex International I" sheetId="172" r:id="rId172"/>
    <sheet name="NB_1402_IonQ Inc. Common Stock" sheetId="173" r:id="rId173"/>
    <sheet name="NB_1403_Ionis Pharmaceuticals I" sheetId="174" r:id="rId174"/>
    <sheet name="NB_1404_Innospec Inc. Common St" sheetId="175" r:id="rId175"/>
    <sheet name="NB_1405_Samsara Inc. Class A Co" sheetId="176" r:id="rId176"/>
    <sheet name="NB_1406_Iovance Biotherapeutics" sheetId="177" r:id="rId177"/>
    <sheet name="NB_1407_International Paper Com" sheetId="178" r:id="rId178"/>
    <sheet name="NB_1408_Interparfums Inc. Commo" sheetId="179" r:id="rId179"/>
    <sheet name="NB_1409_Professional Diversity " sheetId="180" r:id="rId180"/>
    <sheet name="NB_1410_Inflection Point Acquis" sheetId="181" r:id="rId181"/>
    <sheet name="NB_1411_IPG Photonics Corporati" sheetId="182" r:id="rId182"/>
    <sheet name="NB_1412_Intrepid Potash Inc Com" sheetId="183" r:id="rId183"/>
    <sheet name="NB_1413_Intelligent Protection " sheetId="184" r:id="rId184"/>
    <sheet name="NB_1414_Century Therapeutics In" sheetId="185" r:id="rId185"/>
    <sheet name="NB_1415_IP Strategy Holdings In" sheetId="186" r:id="rId186"/>
    <sheet name="NB_1416_iPower Inc. Common Stoc" sheetId="187" r:id="rId187"/>
    <sheet name="NB_1417_Ideal Power Inc. Common" sheetId="188" r:id="rId188"/>
    <sheet name="NB_1418_IperionX Limited Americ" sheetId="189" r:id="rId189"/>
    <sheet name="NB_1419_iQSTEL Inc. Common Stoc" sheetId="190" r:id="rId190"/>
    <sheet name="NB_1420_IQVIA Holdings Inc. Com" sheetId="191" r:id="rId191"/>
    <sheet name="NB_1421_Ingersoll Rand Inc. Com" sheetId="192" r:id="rId192"/>
    <sheet name="NB_1422_Opus Genetics Inc. Comm" sheetId="193" r:id="rId193"/>
    <sheet name="NB_1423_Iridium Communications " sheetId="194" r:id="rId194"/>
    <sheet name="NB_1424_IRIDEX Corporation Comm" sheetId="195" r:id="rId195"/>
    <sheet name="NB_1425_iRadimed Corporation Co" sheetId="196" r:id="rId196"/>
    <sheet name="NB_1426_Disc Medicine Inc. Comm" sheetId="197" r:id="rId197"/>
    <sheet name="NB_1427_iRhythm Holdings Inc. C" sheetId="198" r:id="rId198"/>
    <sheet name="NB_1428_Ironwood Pharmaceutical" sheetId="199" r:id="rId199"/>
    <sheet name="NB_1429_iSpecimen Inc. Common S" sheetId="200" r:id="rId200"/>
    <sheet name="NB_1430_Ispire Technology Inc. " sheetId="201" r:id="rId201"/>
    <sheet name="NB_1431_Intuitive Surgical Inc." sheetId="202" r:id="rId202"/>
    <sheet name="NB_1432_Gartner Inc. Common Sto" sheetId="203" r:id="rId203"/>
    <sheet name="NB_1433_ITG Inc. Class A Common" sheetId="204" r:id="rId204"/>
    <sheet name="NB_1434_Integer Holdings Corpor" sheetId="205" r:id="rId205"/>
    <sheet name="NB_1435_Itron Inc. Common Stock" sheetId="206" r:id="rId206"/>
    <sheet name="NB_1436_ITT Inc. Common Stock" sheetId="207" r:id="rId207"/>
    <sheet name="NB_1437_Illinois Tool Works Inc" sheetId="208" r:id="rId208"/>
    <sheet name="NB_1438_Iveda Solutions Inc. Co" sheetId="209" r:id="rId209"/>
    <sheet name="NB_1439_Iveda Solutions Inc. Wa" sheetId="210" r:id="rId210"/>
    <sheet name="NB_1440_INVO Fertility Inc. Com" sheetId="211" r:id="rId211"/>
    <sheet name="NB_1441_Invivyd Inc. Common Sto" sheetId="212" r:id="rId212"/>
    <sheet name="NB_1442_IZEA Worldwide Inc. Com" sheetId="213" r:id="rId213"/>
    <sheet name="NB_1443_Jacobs Solutions Inc. C" sheetId="214" r:id="rId214"/>
    <sheet name="NB_1444_Jack In The Box Inc. Co" sheetId="215" r:id="rId215"/>
    <sheet name="NB_1445_Jaguar Health Inc. Comm" sheetId="216" r:id="rId216"/>
    <sheet name="NB_1446_JAKKS Pacific Inc. Comm" sheetId="217" r:id="rId217"/>
    <sheet name="NB_1447_Janux Therapeutics Inc." sheetId="218" r:id="rId218"/>
    <sheet name="NB_1448_J.B. Hunt Transport Ser" sheetId="219" r:id="rId219"/>
    <sheet name="NB_1449_Janus International Gro" sheetId="220" r:id="rId220"/>
    <sheet name="NB_1450_Jade Biosciences Inc. C" sheetId="221" r:id="rId221"/>
    <sheet name="NB_1451_Jabil Inc. Common Stock" sheetId="222" r:id="rId222"/>
    <sheet name="NB_1452_JetBlue Airways Corpora" sheetId="223" r:id="rId223"/>
    <sheet name="NB_1453_John B. Sanfilippo &amp; So" sheetId="224" r:id="rId224"/>
    <sheet name="NB_1454_JBT Marel Corporation C" sheetId="225" r:id="rId225"/>
    <sheet name="NB_1455_Jewett-Cameron Trading " sheetId="226" r:id="rId226"/>
    <sheet name="NB_1456_JELD-WEN Holding Inc. C" sheetId="227" r:id="rId227"/>
    <sheet name="NB_1457_J. Jill Inc. Common Sto" sheetId="228" r:id="rId228"/>
    <sheet name="NB_1458_J &amp; J Snack Foods Corp." sheetId="229" r:id="rId229"/>
    <sheet name="NB_1459_Jack Henry &amp; Associates" sheetId="230" r:id="rId230"/>
    <sheet name="NB_1460_Johnson &amp; Johnson Commo" sheetId="231" r:id="rId231"/>
    <sheet name="NB_1461_GEE Group Inc. Common S" sheetId="232" r:id="rId232"/>
    <sheet name="NB_1462_Joby Aviation Inc. Comm" sheetId="233" r:id="rId233"/>
    <sheet name="NB_1463_Johnson Outdoors Inc. C" sheetId="234" r:id="rId234"/>
    <sheet name="NB_1464_Jerash Holdings (US) In" sheetId="235" r:id="rId235"/>
    <sheet name="NB_1465_Jasper Therapeutics Inc" sheetId="236" r:id="rId236"/>
    <sheet name="NB_1466_Jet.AI Inc. Common Stoc" sheetId="237" r:id="rId237"/>
    <sheet name="NB_1467_Jupiter Neurosciences I" sheetId="238" r:id="rId238"/>
    <sheet name="NB_1468_Coffee Holding Co. Inc." sheetId="239" r:id="rId239"/>
    <sheet name="NB_1469_Kadant Inc Common Stock" sheetId="240" r:id="rId240"/>
    <sheet name="NB_1470_KALA BIO Inc. Common St" sheetId="241" r:id="rId241"/>
    <sheet name="NB_1471_Kaiser Aluminum Corpora" sheetId="242" r:id="rId242"/>
    <sheet name="NB_1472_Kardigan Inc. Common St" sheetId="243" r:id="rId243"/>
    <sheet name="NB_1473_KB Home Common Stock" sheetId="244" r:id="rId244"/>
    <sheet name="NB_1474_KBR Inc. Common Stock" sheetId="245" r:id="rId245"/>
    <sheet name="NB_1475_Kyndryl Holdings Inc. C" sheetId="246" r:id="rId246"/>
    <sheet name="NB_1476_Kodiak AI Inc. Common S" sheetId="247" r:id="rId247"/>
    <sheet name="NB_1477_Kodiak AI Inc. Warrants" sheetId="248" r:id="rId248"/>
    <sheet name="NB_1478_Keurig Dr Pepper Inc. C" sheetId="249" r:id="rId249"/>
    <sheet name="NB_1479_Kimball Electronics Inc" sheetId="250" r:id="rId250"/>
    <sheet name="NB_1480_Kelly Services Inc. Cla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<sst xmlns="http://schemas.openxmlformats.org/spreadsheetml/2006/main" count="15763" uniqueCount="1159">
  <si>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</si>
  <si>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</si>
  <si>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</si>
  <si>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</si>
  <si>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</si>
  <si>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</si>
  <si>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</si>
  <si>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</si>
  <si>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</si>
  <si>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</si>
  <si>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</si>
  <si>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</si>
  <si>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</si>
  <si>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NB_1231</t>
  </si>
  <si>
    <t>nonbankrupt</t>
  </si>
  <si>
    <t/>
  </si>
  <si>
    <t>HAWK</t>
  </si>
  <si>
    <t>HawkEye 360 Inc. Common Stock</t>
  </si>
  <si>
    <t>Technology</t>
  </si>
  <si>
    <t>EDP Services</t>
  </si>
  <si>
    <t>HAWK US Equity</t>
  </si>
  <si>
    <t>1993-06-18</t>
  </si>
  <si>
    <t>2026-05-02</t>
  </si>
  <si>
    <t>NB_1232</t>
  </si>
  <si>
    <t>HAYW</t>
  </si>
  <si>
    <t>Hayward Holdings Inc. Common Stock</t>
  </si>
  <si>
    <t>Industrials</t>
  </si>
  <si>
    <t>Industrial Machinery/Components</t>
  </si>
  <si>
    <t>HAYW US Equity</t>
  </si>
  <si>
    <t>NB_1233</t>
  </si>
  <si>
    <t>HBB</t>
  </si>
  <si>
    <t>Hamilton Beach Brands Holding Company Class A Common Stock</t>
  </si>
  <si>
    <t>Consumer Discretionary</t>
  </si>
  <si>
    <t>Home Furnishings</t>
  </si>
  <si>
    <t>HBB US Equity</t>
  </si>
  <si>
    <t>NB_1234</t>
  </si>
  <si>
    <t>HBIO</t>
  </si>
  <si>
    <t>Harvard Bioscience Inc. Common Stock</t>
  </si>
  <si>
    <t>Biotechnology: Laboratory Analytical Instruments</t>
  </si>
  <si>
    <t>HBIO US Equity</t>
  </si>
  <si>
    <t>NB_1235</t>
  </si>
  <si>
    <t>HCA</t>
  </si>
  <si>
    <t>HCA Healthcare Inc. Common Stock</t>
  </si>
  <si>
    <t>Health Care</t>
  </si>
  <si>
    <t>Hospital/Nursing Management</t>
  </si>
  <si>
    <t>HCA US Equity</t>
  </si>
  <si>
    <t>NB_1236</t>
  </si>
  <si>
    <t>HCAT</t>
  </si>
  <si>
    <t>Health Catalyst Inc Common Stock</t>
  </si>
  <si>
    <t>Computer Software: Programming Data Processing</t>
  </si>
  <si>
    <t>HCAT US Equity</t>
  </si>
  <si>
    <t>NB_1237</t>
  </si>
  <si>
    <t>HCC</t>
  </si>
  <si>
    <t>Warrior Met Coal Inc. Common Stock</t>
  </si>
  <si>
    <t>Energy</t>
  </si>
  <si>
    <t>Coal Mining</t>
  </si>
  <si>
    <t>HCC US Equity</t>
  </si>
  <si>
    <t>NB_1238</t>
  </si>
  <si>
    <t>HCKT</t>
  </si>
  <si>
    <t>Hackett Group Inc (The). Common Stock</t>
  </si>
  <si>
    <t>Professional Services</t>
  </si>
  <si>
    <t>HCKT US Equity</t>
  </si>
  <si>
    <t>NB_1239</t>
  </si>
  <si>
    <t>HCMA</t>
  </si>
  <si>
    <t>HCM III Acquisition Corp. Class A Ordinary Share</t>
  </si>
  <si>
    <t>Hotels/Resorts</t>
  </si>
  <si>
    <t>HCMA US Equity</t>
  </si>
  <si>
    <t>NB_1240</t>
  </si>
  <si>
    <t>HCSG</t>
  </si>
  <si>
    <t>Healthcare Services Group Inc. Common Stock</t>
  </si>
  <si>
    <t>HCSG US Equity</t>
  </si>
  <si>
    <t>NB_1241</t>
  </si>
  <si>
    <t>HCTI</t>
  </si>
  <si>
    <t>Healthcare Triangle Inc. Common Stock</t>
  </si>
  <si>
    <t>HCTI US Equity</t>
  </si>
  <si>
    <t>NB_1242</t>
  </si>
  <si>
    <t>HCWB</t>
  </si>
  <si>
    <t>HCW Biologics Inc. Common Stock</t>
  </si>
  <si>
    <t>Biotechnology: Pharmaceutical Preparations</t>
  </si>
  <si>
    <t>HCWB US Equity</t>
  </si>
  <si>
    <t>NB_1243</t>
  </si>
  <si>
    <t>HD</t>
  </si>
  <si>
    <t>Home Depot Inc. (The) Common Stock</t>
  </si>
  <si>
    <t>RETAIL: Building Materials</t>
  </si>
  <si>
    <t>HD US Equity</t>
  </si>
  <si>
    <t>NB_1244</t>
  </si>
  <si>
    <t>HDRN</t>
  </si>
  <si>
    <t>Hadron Energy Inc. Common Stock</t>
  </si>
  <si>
    <t>Utilities</t>
  </si>
  <si>
    <t>Electric Utilities: Central</t>
  </si>
  <si>
    <t>HDRN US Equity</t>
  </si>
  <si>
    <t>NB_1245</t>
  </si>
  <si>
    <t>HDRNW</t>
  </si>
  <si>
    <t>Hadron Energy Inc. Warrant</t>
  </si>
  <si>
    <t>HDRNW US Equity</t>
  </si>
  <si>
    <t>NB_1246</t>
  </si>
  <si>
    <t>HDSN</t>
  </si>
  <si>
    <t>Hudson Technologies Inc. Common Stock</t>
  </si>
  <si>
    <t>Industrial Specialties</t>
  </si>
  <si>
    <t>HDSN US Equity</t>
  </si>
  <si>
    <t>NB_1247</t>
  </si>
  <si>
    <t>HE</t>
  </si>
  <si>
    <t>Hawaiian Electric Industries Inc. Common Stock</t>
  </si>
  <si>
    <t>HE US Equity</t>
  </si>
  <si>
    <t>NB_1248</t>
  </si>
  <si>
    <t>HEI</t>
  </si>
  <si>
    <t>Heico Corporation Common Stock</t>
  </si>
  <si>
    <t>Aerospace</t>
  </si>
  <si>
    <t>HEI US Equity</t>
  </si>
  <si>
    <t>NB_1249</t>
  </si>
  <si>
    <t>HESM</t>
  </si>
  <si>
    <t>Hess Midstream LP Class A Representing Limited Partner Interests</t>
  </si>
  <si>
    <t>Oil &amp; Gas Production</t>
  </si>
  <si>
    <t>HESM US Equity</t>
  </si>
  <si>
    <t>NB_1250</t>
  </si>
  <si>
    <t>HFFG</t>
  </si>
  <si>
    <t>HF Foods Group Inc. Common Stock</t>
  </si>
  <si>
    <t>Food Distributors</t>
  </si>
  <si>
    <t>HFFG US Equity</t>
  </si>
  <si>
    <t>NB_1251</t>
  </si>
  <si>
    <t>HGBL</t>
  </si>
  <si>
    <t>Heritage Global Inc. Common Stock</t>
  </si>
  <si>
    <t>Business Services</t>
  </si>
  <si>
    <t>HGBL US Equity</t>
  </si>
  <si>
    <t>NB_1252</t>
  </si>
  <si>
    <t>HGV</t>
  </si>
  <si>
    <t>Hilton Grand Vacations Inc. Common Stock</t>
  </si>
  <si>
    <t>HGV US Equity</t>
  </si>
  <si>
    <t>NB_1253</t>
  </si>
  <si>
    <t>HHS</t>
  </si>
  <si>
    <t>Harte Hanks Inc. Common Stock</t>
  </si>
  <si>
    <t>Advertising</t>
  </si>
  <si>
    <t>HHS US Equity</t>
  </si>
  <si>
    <t>NB_1254</t>
  </si>
  <si>
    <t>HII</t>
  </si>
  <si>
    <t>Huntington Ingalls Industries Inc. Common Stock</t>
  </si>
  <si>
    <t>Marine Transportation</t>
  </si>
  <si>
    <t>HII US Equity</t>
  </si>
  <si>
    <t>NB_1255</t>
  </si>
  <si>
    <t>HIMS</t>
  </si>
  <si>
    <t>Hims &amp; Hers Health Inc. Class A Common Stock</t>
  </si>
  <si>
    <t>Medical/Nursing Services</t>
  </si>
  <si>
    <t>HIMS US Equity</t>
  </si>
  <si>
    <t>NB_1256</t>
  </si>
  <si>
    <t>HIND</t>
  </si>
  <si>
    <t>Vyome Holdings Inc. Common Stock</t>
  </si>
  <si>
    <t>HIND US Equity</t>
  </si>
  <si>
    <t>NB_1257</t>
  </si>
  <si>
    <t>HL</t>
  </si>
  <si>
    <t>Hecla Mining Company Common Stock</t>
  </si>
  <si>
    <t>Mining &amp; Quarrying of Nonmetallic Minerals (No Fuels)</t>
  </si>
  <si>
    <t>HL US Equity</t>
  </si>
  <si>
    <t>NB_1258</t>
  </si>
  <si>
    <t>HLIO</t>
  </si>
  <si>
    <t>Helios Technologies Inc. Common Stock</t>
  </si>
  <si>
    <t>Metal Fabrications</t>
  </si>
  <si>
    <t>HLIO US Equity</t>
  </si>
  <si>
    <t>NB_1259</t>
  </si>
  <si>
    <t>HLIT</t>
  </si>
  <si>
    <t>Harmonic Inc. Common Stock</t>
  </si>
  <si>
    <t>Radio And Television Broadcasting And Communications Equipment</t>
  </si>
  <si>
    <t>HLIT US Equity</t>
  </si>
  <si>
    <t>NB_1260</t>
  </si>
  <si>
    <t>HLLY</t>
  </si>
  <si>
    <t>Holley Inc. Common Stock</t>
  </si>
  <si>
    <t>Auto Parts:O.E.M.</t>
  </si>
  <si>
    <t>HLLY US Equity</t>
  </si>
  <si>
    <t>NB_1261</t>
  </si>
  <si>
    <t>HLMN</t>
  </si>
  <si>
    <t>Hillman Solutions Corp. Common Stock</t>
  </si>
  <si>
    <t>HLMN US Equity</t>
  </si>
  <si>
    <t>NB_1262</t>
  </si>
  <si>
    <t>HLT</t>
  </si>
  <si>
    <t>Hilton Worldwide Holdings Inc. Common Stock</t>
  </si>
  <si>
    <t>HLT US Equity</t>
  </si>
  <si>
    <t>NB_1263</t>
  </si>
  <si>
    <t>HMH</t>
  </si>
  <si>
    <t>HMH Holding Inc. Class A Common Stock</t>
  </si>
  <si>
    <t>Oil and Gas Field Machinery</t>
  </si>
  <si>
    <t>HMH US Equity</t>
  </si>
  <si>
    <t>NB_1264</t>
  </si>
  <si>
    <t>HNGE</t>
  </si>
  <si>
    <t>Hinge Health Inc. Class A Common Stock</t>
  </si>
  <si>
    <t>HNGE US Equity</t>
  </si>
  <si>
    <t>NB_1265</t>
  </si>
  <si>
    <t>HNI</t>
  </si>
  <si>
    <t>HNI Corporation Common Stock</t>
  </si>
  <si>
    <t>Office Equipment/Supplies/Services</t>
  </si>
  <si>
    <t>HNI US Equity</t>
  </si>
  <si>
    <t>NB_1266</t>
  </si>
  <si>
    <t>HNRG</t>
  </si>
  <si>
    <t>Hallador Energy Company Common Stock</t>
  </si>
  <si>
    <t>HNRG US Equity</t>
  </si>
  <si>
    <t>NB_1267</t>
  </si>
  <si>
    <t>HNST</t>
  </si>
  <si>
    <t>The Honest Company Inc. Common Stock</t>
  </si>
  <si>
    <t>Catalog/Specialty Distribution</t>
  </si>
  <si>
    <t>HNST US Equity</t>
  </si>
  <si>
    <t>NB_1268</t>
  </si>
  <si>
    <t>HOFT</t>
  </si>
  <si>
    <t>Hooker Furnishings Corporation Common Stock</t>
  </si>
  <si>
    <t>HOFT US Equity</t>
  </si>
  <si>
    <t>NB_1269</t>
  </si>
  <si>
    <t>HOG</t>
  </si>
  <si>
    <t>Harley-Davidson Inc. Common Stock</t>
  </si>
  <si>
    <t>Motor Vehicles</t>
  </si>
  <si>
    <t>HOG US Equity</t>
  </si>
  <si>
    <t>NB_1270</t>
  </si>
  <si>
    <t>HOLO</t>
  </si>
  <si>
    <t>MicroCloud Hologram Inc. Ordinary Shares</t>
  </si>
  <si>
    <t>HOLO US Equity</t>
  </si>
  <si>
    <t>NB_1271</t>
  </si>
  <si>
    <t>HOLOW</t>
  </si>
  <si>
    <t>MicroCloud Hologram Inc. Warrant</t>
  </si>
  <si>
    <t>HOLOW US Equity</t>
  </si>
  <si>
    <t>NB_1272</t>
  </si>
  <si>
    <t>HON</t>
  </si>
  <si>
    <t>Honeywell International Inc. Common Stock</t>
  </si>
  <si>
    <t>HON US Equity</t>
  </si>
  <si>
    <t>NB_1273</t>
  </si>
  <si>
    <t>HONA</t>
  </si>
  <si>
    <t>Honeywell Aerospace Inc. Common Stock</t>
  </si>
  <si>
    <t>HONA US Equity</t>
  </si>
  <si>
    <t>NB_1274</t>
  </si>
  <si>
    <t>HOS</t>
  </si>
  <si>
    <t>Hornbeck Offshore Services Inc. Common Stock</t>
  </si>
  <si>
    <t>Oilfield Services/Equipment</t>
  </si>
  <si>
    <t>HOS US Equity</t>
  </si>
  <si>
    <t>NB_1275</t>
  </si>
  <si>
    <t>HOUR</t>
  </si>
  <si>
    <t>Hour Loop Inc. Common Stock</t>
  </si>
  <si>
    <t>HOUR US Equity</t>
  </si>
  <si>
    <t>NB_1276</t>
  </si>
  <si>
    <t>HOV</t>
  </si>
  <si>
    <t>Hovnanian Enterprises Inc. Class A Common Stock</t>
  </si>
  <si>
    <t>Homebuilding</t>
  </si>
  <si>
    <t>HOV US Equity</t>
  </si>
  <si>
    <t>NB_1277</t>
  </si>
  <si>
    <t>HOVNP</t>
  </si>
  <si>
    <t>Hovnanian Enterprises Inc Dep Shr Srs A Pfd</t>
  </si>
  <si>
    <t>HOVNP US Equity</t>
  </si>
  <si>
    <t>NB_1278</t>
  </si>
  <si>
    <t>HOVR</t>
  </si>
  <si>
    <t>New Horizon Aircraft Ltd. Class A Ordinary Share</t>
  </si>
  <si>
    <t>HOVR US Equity</t>
  </si>
  <si>
    <t>NB_1279</t>
  </si>
  <si>
    <t>HOVRW</t>
  </si>
  <si>
    <t>New Horizon Aircraft Ltd. Warrant</t>
  </si>
  <si>
    <t>HOVRW US Equity</t>
  </si>
  <si>
    <t>NB_1280</t>
  </si>
  <si>
    <t>HOWL</t>
  </si>
  <si>
    <t>Werewolf Therapeutics Inc. Common Stock</t>
  </si>
  <si>
    <t>HOWL US Equity</t>
  </si>
  <si>
    <t>NB_1281</t>
  </si>
  <si>
    <t>HP</t>
  </si>
  <si>
    <t>Helmerich &amp; Payne Inc. Common Stock</t>
  </si>
  <si>
    <t>HP US Equity</t>
  </si>
  <si>
    <t>NB_1282</t>
  </si>
  <si>
    <t>HPE</t>
  </si>
  <si>
    <t>Hewlett Packard Enterprise Company Common Stock</t>
  </si>
  <si>
    <t>Retail: Computer Software &amp; Peripheral Equipment</t>
  </si>
  <si>
    <t>HPE US Equity</t>
  </si>
  <si>
    <t>NB_1283</t>
  </si>
  <si>
    <t>HPK</t>
  </si>
  <si>
    <t>HighPeak Energy Inc. Common Stock</t>
  </si>
  <si>
    <t>HPK US Equity</t>
  </si>
  <si>
    <t>NB_1284</t>
  </si>
  <si>
    <t>HPQ</t>
  </si>
  <si>
    <t>HP Inc. Common Stock</t>
  </si>
  <si>
    <t>Computer Manufacturing</t>
  </si>
  <si>
    <t>HPQ US Equity</t>
  </si>
  <si>
    <t>NB_1285</t>
  </si>
  <si>
    <t>HQI</t>
  </si>
  <si>
    <t>HireQuest Inc. Common Stock (DE)</t>
  </si>
  <si>
    <t>HQI US Equity</t>
  </si>
  <si>
    <t>NB_1286</t>
  </si>
  <si>
    <t>HQY</t>
  </si>
  <si>
    <t>HealthEquity Inc. Common Stock</t>
  </si>
  <si>
    <t>HQY US Equity</t>
  </si>
  <si>
    <t>NB_1287</t>
  </si>
  <si>
    <t>HRB</t>
  </si>
  <si>
    <t>H&amp;R Block Inc. Common Stock</t>
  </si>
  <si>
    <t>Other Consumer Services</t>
  </si>
  <si>
    <t>HRB US Equity</t>
  </si>
  <si>
    <t>NB_1288</t>
  </si>
  <si>
    <t>HRI</t>
  </si>
  <si>
    <t>Herc Holdings Inc. Common Stock</t>
  </si>
  <si>
    <t>Misc Corporate Leasing Services</t>
  </si>
  <si>
    <t>HRI US Equity</t>
  </si>
  <si>
    <t>NB_1289</t>
  </si>
  <si>
    <t>HRL</t>
  </si>
  <si>
    <t>Hormel Foods Corporation Common Stock</t>
  </si>
  <si>
    <t>Consumer Staples</t>
  </si>
  <si>
    <t>Meat/Poultry/Fish</t>
  </si>
  <si>
    <t>HRL US Equity</t>
  </si>
  <si>
    <t>NB_1290</t>
  </si>
  <si>
    <t>HRMY</t>
  </si>
  <si>
    <t>Harmony Biosciences Holdings Inc. Common Stock</t>
  </si>
  <si>
    <t>HRMY US Equity</t>
  </si>
  <si>
    <t>NB_1291</t>
  </si>
  <si>
    <t>HROW</t>
  </si>
  <si>
    <t>Harrow Inc. Common Stock</t>
  </si>
  <si>
    <t>HROW US Equity</t>
  </si>
  <si>
    <t>NB_1292</t>
  </si>
  <si>
    <t>HRTX</t>
  </si>
  <si>
    <t>Heron Therapeutics Inc. Common Stock</t>
  </si>
  <si>
    <t>HRTX US Equity</t>
  </si>
  <si>
    <t>NB_1293</t>
  </si>
  <si>
    <t>HSCS</t>
  </si>
  <si>
    <t>HeartSciences Inc. Common Stock</t>
  </si>
  <si>
    <t>HSCS US Equity</t>
  </si>
  <si>
    <t>NB_1294</t>
  </si>
  <si>
    <t>HSCSW</t>
  </si>
  <si>
    <t>HeartSciences Inc. Warrant</t>
  </si>
  <si>
    <t>HSCSW US Equity</t>
  </si>
  <si>
    <t>NB_1295</t>
  </si>
  <si>
    <t>HSDT</t>
  </si>
  <si>
    <t>Solana Company Class A Common Stock (DE)</t>
  </si>
  <si>
    <t>Biotechnology: Electromedical &amp; Electrotherapeutic Apparatus</t>
  </si>
  <si>
    <t>HSDT US Equity</t>
  </si>
  <si>
    <t>NB_1296</t>
  </si>
  <si>
    <t>HSIC</t>
  </si>
  <si>
    <t>Henry Schein Inc. Common Stock</t>
  </si>
  <si>
    <t>Medical Specialities</t>
  </si>
  <si>
    <t>HSIC US Equity</t>
  </si>
  <si>
    <t>NB_1297</t>
  </si>
  <si>
    <t>HSTM</t>
  </si>
  <si>
    <t>HealthStream Inc. Common Stock</t>
  </si>
  <si>
    <t>HSTM US Equity</t>
  </si>
  <si>
    <t>NB_1298</t>
  </si>
  <si>
    <t>HSY</t>
  </si>
  <si>
    <t>The Hershey Company Common Stock</t>
  </si>
  <si>
    <t>Specialty Foods</t>
  </si>
  <si>
    <t>HSY US Equity</t>
  </si>
  <si>
    <t>NB_1299</t>
  </si>
  <si>
    <t>HTFL</t>
  </si>
  <si>
    <t>Heartflow Inc. Common Stock</t>
  </si>
  <si>
    <t>Medical/Dental Instruments</t>
  </si>
  <si>
    <t>HTFL US Equity</t>
  </si>
  <si>
    <t>NB_1300</t>
  </si>
  <si>
    <t>HTLD</t>
  </si>
  <si>
    <t>Heartland Express Inc. Common Stock</t>
  </si>
  <si>
    <t>Trucking Freight/Courier Services</t>
  </si>
  <si>
    <t>HTLD US Equity</t>
  </si>
  <si>
    <t>NB_1301</t>
  </si>
  <si>
    <t>HTO</t>
  </si>
  <si>
    <t>H2O America Common Stock</t>
  </si>
  <si>
    <t>Water Supply</t>
  </si>
  <si>
    <t>HTO US Equity</t>
  </si>
  <si>
    <t>NB_1302</t>
  </si>
  <si>
    <t>HTZ</t>
  </si>
  <si>
    <t>Hertz Global Holdings Inc Common Stock</t>
  </si>
  <si>
    <t>Rental/Leasing Companies</t>
  </si>
  <si>
    <t>HTZ US Equity</t>
  </si>
  <si>
    <t>NB_1303</t>
  </si>
  <si>
    <t>HTZWW</t>
  </si>
  <si>
    <t>Hertz Global Holdings Inc Warrant</t>
  </si>
  <si>
    <t>HTZWW US Equity</t>
  </si>
  <si>
    <t>NB_1304</t>
  </si>
  <si>
    <t>HUBB</t>
  </si>
  <si>
    <t>Hubbell Inc Common Stock</t>
  </si>
  <si>
    <t>Electrical Products</t>
  </si>
  <si>
    <t>HUBB US Equity</t>
  </si>
  <si>
    <t>NB_1305</t>
  </si>
  <si>
    <t>HUBG</t>
  </si>
  <si>
    <t>Hub Group Inc. Class A Common Stock</t>
  </si>
  <si>
    <t>Integrated Freight &amp; Logistics</t>
  </si>
  <si>
    <t>HUBG US Equity</t>
  </si>
  <si>
    <t>NB_1306</t>
  </si>
  <si>
    <t>HUBS</t>
  </si>
  <si>
    <t>HubSpot Inc. Common Stock</t>
  </si>
  <si>
    <t>Computer Software: Prepackaged Software</t>
  </si>
  <si>
    <t>HUBS US Equity</t>
  </si>
  <si>
    <t>NB_1307</t>
  </si>
  <si>
    <t>HUCK</t>
  </si>
  <si>
    <t>Huckleberry.ai Inc. Class B Common Stock</t>
  </si>
  <si>
    <t>HUCK US Equity</t>
  </si>
  <si>
    <t>NB_1308</t>
  </si>
  <si>
    <t>HUM</t>
  </si>
  <si>
    <t>Humana Inc. Common Stock</t>
  </si>
  <si>
    <t>HUM US Equity</t>
  </si>
  <si>
    <t>NB_1309</t>
  </si>
  <si>
    <t>HUMA</t>
  </si>
  <si>
    <t>Humacyte Inc. Common Stock</t>
  </si>
  <si>
    <t>Biotechnology: Biological Products (No Diagnostic Substances)</t>
  </si>
  <si>
    <t>HUMA US Equity</t>
  </si>
  <si>
    <t>NB_1310</t>
  </si>
  <si>
    <t>HUN</t>
  </si>
  <si>
    <t>Huntsman Corporation Common Stock</t>
  </si>
  <si>
    <t>Major Chemicals</t>
  </si>
  <si>
    <t>HUN US Equity</t>
  </si>
  <si>
    <t>NB_1311</t>
  </si>
  <si>
    <t>HURA</t>
  </si>
  <si>
    <t>TuHURA Biosciences Inc. Common Stock</t>
  </si>
  <si>
    <t>HURA US Equity</t>
  </si>
  <si>
    <t>NB_1312</t>
  </si>
  <si>
    <t>HURC</t>
  </si>
  <si>
    <t>Hurco Companies Inc. Common Stock</t>
  </si>
  <si>
    <t>HURC US Equity</t>
  </si>
  <si>
    <t>NB_1313</t>
  </si>
  <si>
    <t>HURN</t>
  </si>
  <si>
    <t>Huron Consulting Group Inc. Common Stock</t>
  </si>
  <si>
    <t>HURN US Equity</t>
  </si>
  <si>
    <t>NB_1314</t>
  </si>
  <si>
    <t>HUYA</t>
  </si>
  <si>
    <t>HUYA Inc. American depositary shares each  representing one Class A ordinary share</t>
  </si>
  <si>
    <t>HUYA US Equity</t>
  </si>
  <si>
    <t>NB_1315</t>
  </si>
  <si>
    <t>HVT</t>
  </si>
  <si>
    <t>Haverty Furniture Companies Inc. Common Stock</t>
  </si>
  <si>
    <t>Other Specialty Stores</t>
  </si>
  <si>
    <t>HVT US Equity</t>
  </si>
  <si>
    <t>NB_1316</t>
  </si>
  <si>
    <t>HWKN</t>
  </si>
  <si>
    <t>Hawkins Inc. Common Stock</t>
  </si>
  <si>
    <t>Specialty Chemicals</t>
  </si>
  <si>
    <t>HWKN US Equity</t>
  </si>
  <si>
    <t>NB_1317</t>
  </si>
  <si>
    <t>HWM</t>
  </si>
  <si>
    <t>Howmet Aerospace Inc. Common Stock</t>
  </si>
  <si>
    <t>HWM US Equity</t>
  </si>
  <si>
    <t>NB_1318</t>
  </si>
  <si>
    <t>HXL</t>
  </si>
  <si>
    <t>Hexcel Corporation Common Stock</t>
  </si>
  <si>
    <t>HXL US Equity</t>
  </si>
  <si>
    <t>NB_1319</t>
  </si>
  <si>
    <t>HY</t>
  </si>
  <si>
    <t>Hyster-Yale Inc. Class A common stock</t>
  </si>
  <si>
    <t>Construction/Ag Equipment/Trucks</t>
  </si>
  <si>
    <t>HY US Equity</t>
  </si>
  <si>
    <t>NB_1320</t>
  </si>
  <si>
    <t>HYFM</t>
  </si>
  <si>
    <t>Hydrofarm Holdings Group Inc. Common Stock</t>
  </si>
  <si>
    <t>Consumer Specialties</t>
  </si>
  <si>
    <t>HYFM US Equity</t>
  </si>
  <si>
    <t>NB_1321</t>
  </si>
  <si>
    <t>HYLN</t>
  </si>
  <si>
    <t>Hyliion Holdings Corp. Class A Common Stock</t>
  </si>
  <si>
    <t>HYLN US Equity</t>
  </si>
  <si>
    <t>NB_1322</t>
  </si>
  <si>
    <t>HYMC</t>
  </si>
  <si>
    <t>Hycroft Mining Holding Corporation Class A Common Stock</t>
  </si>
  <si>
    <t>Basic Materials</t>
  </si>
  <si>
    <t>Precious Metals</t>
  </si>
  <si>
    <t>HYMC US Equity</t>
  </si>
  <si>
    <t>NB_1323</t>
  </si>
  <si>
    <t>HYPD</t>
  </si>
  <si>
    <t>Hyperion DeFi Inc. Common Stock</t>
  </si>
  <si>
    <t>HYPD US Equity</t>
  </si>
  <si>
    <t>NB_1324</t>
  </si>
  <si>
    <t>HYPR</t>
  </si>
  <si>
    <t>Hyperfine Inc. Class A Common Stock</t>
  </si>
  <si>
    <t>HYPR US Equity</t>
  </si>
  <si>
    <t>NB_1325</t>
  </si>
  <si>
    <t>HZO</t>
  </si>
  <si>
    <t>MarineMax Inc.  (FL) Common Stock</t>
  </si>
  <si>
    <t>Auto &amp; Home Supply Stores</t>
  </si>
  <si>
    <t>HZO US Equity</t>
  </si>
  <si>
    <t>NB_1326</t>
  </si>
  <si>
    <t>IA</t>
  </si>
  <si>
    <t>Innovative Solutions and Support Inc. Common Stock</t>
  </si>
  <si>
    <t>IA US Equity</t>
  </si>
  <si>
    <t>NB_1327</t>
  </si>
  <si>
    <t>IART</t>
  </si>
  <si>
    <t>Integra LifeSciences Holdings Corporation Common Stock</t>
  </si>
  <si>
    <t>IART US Equity</t>
  </si>
  <si>
    <t>NB_1328</t>
  </si>
  <si>
    <t>IBIO</t>
  </si>
  <si>
    <t>iBio Inc. Common Stock</t>
  </si>
  <si>
    <t>IBIO US Equity</t>
  </si>
  <si>
    <t>NB_1329</t>
  </si>
  <si>
    <t>IBM</t>
  </si>
  <si>
    <t>International Business Machines Corporation Common Stock</t>
  </si>
  <si>
    <t>IBM US Equity</t>
  </si>
  <si>
    <t>NB_1330</t>
  </si>
  <si>
    <t>IBP</t>
  </si>
  <si>
    <t>Installed Building Products Inc. Common Stock</t>
  </si>
  <si>
    <t>IBP US Equity</t>
  </si>
  <si>
    <t>NB_1331</t>
  </si>
  <si>
    <t>IBRX</t>
  </si>
  <si>
    <t>ImmunityBio Inc. Common Stock</t>
  </si>
  <si>
    <t>IBRX US Equity</t>
  </si>
  <si>
    <t>NB_1332</t>
  </si>
  <si>
    <t>IBTA</t>
  </si>
  <si>
    <t>Ibotta Inc. Class A Common Stock</t>
  </si>
  <si>
    <t>IBTA US Equity</t>
  </si>
  <si>
    <t>NB_1333</t>
  </si>
  <si>
    <t>ICCC</t>
  </si>
  <si>
    <t>ImmuCell Corporation Common Stock</t>
  </si>
  <si>
    <t>Biotechnology: In Vitro &amp; In Vivo Diagnostic Substances</t>
  </si>
  <si>
    <t>ICCC US Equity</t>
  </si>
  <si>
    <t>NB_1334</t>
  </si>
  <si>
    <t>ICFI</t>
  </si>
  <si>
    <t>ICF International Inc. Common Stock</t>
  </si>
  <si>
    <t>ICFI US Equity</t>
  </si>
  <si>
    <t>NB_1335</t>
  </si>
  <si>
    <t>ICHR</t>
  </si>
  <si>
    <t>Ichor Holdings Ordinary Shares</t>
  </si>
  <si>
    <t>Semiconductors</t>
  </si>
  <si>
    <t>ICHR US Equity</t>
  </si>
  <si>
    <t>NB_1336</t>
  </si>
  <si>
    <t>ICU</t>
  </si>
  <si>
    <t>SeaStar Medical Holding Corporation Common Stock</t>
  </si>
  <si>
    <t>ICU US Equity</t>
  </si>
  <si>
    <t>NB_1337</t>
  </si>
  <si>
    <t>ICUCW</t>
  </si>
  <si>
    <t>SeaStar Medical Holding Corporation Warrant</t>
  </si>
  <si>
    <t>ICUCW US Equity</t>
  </si>
  <si>
    <t>NB_1338</t>
  </si>
  <si>
    <t>ICUI</t>
  </si>
  <si>
    <t>ICU Medical Inc. Common Stock</t>
  </si>
  <si>
    <t>ICUI US Equity</t>
  </si>
  <si>
    <t>NB_1339</t>
  </si>
  <si>
    <t>IDA</t>
  </si>
  <si>
    <t>IDACORP Inc. Common Stock</t>
  </si>
  <si>
    <t>IDA US Equity</t>
  </si>
  <si>
    <t>NB_1340</t>
  </si>
  <si>
    <t>IDAI</t>
  </si>
  <si>
    <t>T Stamp Inc. Class A Common Stock</t>
  </si>
  <si>
    <t>IDAI US Equity</t>
  </si>
  <si>
    <t>NB_1341</t>
  </si>
  <si>
    <t>IDN</t>
  </si>
  <si>
    <t>Intellicheck Inc. Common Stock</t>
  </si>
  <si>
    <t>IDN US Equity</t>
  </si>
  <si>
    <t>NB_1342</t>
  </si>
  <si>
    <t>IDR</t>
  </si>
  <si>
    <t>Idaho Strategic Resources Inc. Common Stock</t>
  </si>
  <si>
    <t>IDR US Equity</t>
  </si>
  <si>
    <t>NB_1343</t>
  </si>
  <si>
    <t>IDT</t>
  </si>
  <si>
    <t>IDT Corporation Class B Common Stock</t>
  </si>
  <si>
    <t>Telecommunications</t>
  </si>
  <si>
    <t>Telecommunications Equipment</t>
  </si>
  <si>
    <t>IDT US Equity</t>
  </si>
  <si>
    <t>NB_1344</t>
  </si>
  <si>
    <t>IDXX</t>
  </si>
  <si>
    <t>IDEXX Laboratories Inc. Common Stock</t>
  </si>
  <si>
    <t>IDXX US Equity</t>
  </si>
  <si>
    <t>NB_1345</t>
  </si>
  <si>
    <t>IDYA</t>
  </si>
  <si>
    <t>IDEAYA Biosciences Inc. Common Stock</t>
  </si>
  <si>
    <t>IDYA US Equity</t>
  </si>
  <si>
    <t>NB_1346</t>
  </si>
  <si>
    <t>IEP</t>
  </si>
  <si>
    <t>Icahn Enterprises L.P. Common Stock</t>
  </si>
  <si>
    <t>Integrated oil Companies</t>
  </si>
  <si>
    <t>IEP US Equity</t>
  </si>
  <si>
    <t>NB_1347</t>
  </si>
  <si>
    <t>IESC</t>
  </si>
  <si>
    <t>IES Holdings Inc. Common Stock</t>
  </si>
  <si>
    <t>Engineering &amp; Construction</t>
  </si>
  <si>
    <t>IESC US Equity</t>
  </si>
  <si>
    <t>NB_1348</t>
  </si>
  <si>
    <t>IEX</t>
  </si>
  <si>
    <t>IDEX Corporation Common Stock</t>
  </si>
  <si>
    <t>Fluid Controls</t>
  </si>
  <si>
    <t>IEX US Equity</t>
  </si>
  <si>
    <t>NB_1349</t>
  </si>
  <si>
    <t>IFF</t>
  </si>
  <si>
    <t>International Flavors &amp; Fragrances Inc. Common Stock</t>
  </si>
  <si>
    <t>IFF US Equity</t>
  </si>
  <si>
    <t>NB_1350</t>
  </si>
  <si>
    <t>IGC</t>
  </si>
  <si>
    <t>IGC Pharma Inc. Common Stock</t>
  </si>
  <si>
    <t>IGC US Equity</t>
  </si>
  <si>
    <t>NB_1351</t>
  </si>
  <si>
    <t>IHRT</t>
  </si>
  <si>
    <t>iHeartMedia Inc. Class A Common Stock</t>
  </si>
  <si>
    <t>Broadcasting</t>
  </si>
  <si>
    <t>IHRT US Equity</t>
  </si>
  <si>
    <t>NB_1352</t>
  </si>
  <si>
    <t>III</t>
  </si>
  <si>
    <t>Information Services Group Inc. Common Stock</t>
  </si>
  <si>
    <t>III US Equity</t>
  </si>
  <si>
    <t>NB_1353</t>
  </si>
  <si>
    <t>IIIN</t>
  </si>
  <si>
    <t>Insteel Industries Inc. Common Stock</t>
  </si>
  <si>
    <t>Steel/Iron Ore</t>
  </si>
  <si>
    <t>IIIN US Equity</t>
  </si>
  <si>
    <t>NB_1354</t>
  </si>
  <si>
    <t>IIIV</t>
  </si>
  <si>
    <t>i3 Verticals Inc. Class A Common Stock</t>
  </si>
  <si>
    <t>IIIV US Equity</t>
  </si>
  <si>
    <t>NB_1355</t>
  </si>
  <si>
    <t>IKT</t>
  </si>
  <si>
    <t>Inhibikase Therapeutics Inc. Common Stock</t>
  </si>
  <si>
    <t>IKT US Equity</t>
  </si>
  <si>
    <t>NB_1356</t>
  </si>
  <si>
    <t>ILMN</t>
  </si>
  <si>
    <t>Illumina Inc. Common Stock</t>
  </si>
  <si>
    <t>ILMN US Equity</t>
  </si>
  <si>
    <t>NB_1357</t>
  </si>
  <si>
    <t>IMA</t>
  </si>
  <si>
    <t>ImageneBio Inc. Common Stock</t>
  </si>
  <si>
    <t>IMA US Equity</t>
  </si>
  <si>
    <t>NB_1358</t>
  </si>
  <si>
    <t>IMDX</t>
  </si>
  <si>
    <t>Insight Molecular Diagnostics Inc. Common Stock</t>
  </si>
  <si>
    <t>IMDX US Equity</t>
  </si>
  <si>
    <t>NB_1359</t>
  </si>
  <si>
    <t>IMKTA</t>
  </si>
  <si>
    <t>Ingles Markets Incorporated Class A Common Stock</t>
  </si>
  <si>
    <t>Food Chains</t>
  </si>
  <si>
    <t>IMKTA US Equity</t>
  </si>
  <si>
    <t>NB_1360</t>
  </si>
  <si>
    <t>IMMR</t>
  </si>
  <si>
    <t>Immersion Corporation Common Stock</t>
  </si>
  <si>
    <t>Computer peripheral equipment</t>
  </si>
  <si>
    <t>IMMR US Equity</t>
  </si>
  <si>
    <t>NB_1361</t>
  </si>
  <si>
    <t>IMMX</t>
  </si>
  <si>
    <t>Immix Biopharma Inc. Common Stock</t>
  </si>
  <si>
    <t>IMMX US Equity</t>
  </si>
  <si>
    <t>NB_1362</t>
  </si>
  <si>
    <t>IMNM</t>
  </si>
  <si>
    <t>Immunome Inc. Common Stock</t>
  </si>
  <si>
    <t>IMNM US Equity</t>
  </si>
  <si>
    <t>NB_1363</t>
  </si>
  <si>
    <t>IMNN</t>
  </si>
  <si>
    <t>Imunon Inc. Common Stock</t>
  </si>
  <si>
    <t>IMNN US Equity</t>
  </si>
  <si>
    <t>NB_1364</t>
  </si>
  <si>
    <t>IMRX</t>
  </si>
  <si>
    <t>Immuneering Corporation Class A Common Stock</t>
  </si>
  <si>
    <t>IMRX US Equity</t>
  </si>
  <si>
    <t>NB_1365</t>
  </si>
  <si>
    <t>IMSR</t>
  </si>
  <si>
    <t>Terrestrial Energy Inc. Common Stock</t>
  </si>
  <si>
    <t>IMSR US Equity</t>
  </si>
  <si>
    <t>NB_1366</t>
  </si>
  <si>
    <t>IMSRW</t>
  </si>
  <si>
    <t>Terrestrial Energy Inc. Warrant</t>
  </si>
  <si>
    <t>IMSRW US Equity</t>
  </si>
  <si>
    <t>NB_1367</t>
  </si>
  <si>
    <t>IMUX</t>
  </si>
  <si>
    <t>Immunic Inc. Common Stock</t>
  </si>
  <si>
    <t>IMUX US Equity</t>
  </si>
  <si>
    <t>NB_1368</t>
  </si>
  <si>
    <t>IMVT</t>
  </si>
  <si>
    <t>Immunovant Inc. Common Stock</t>
  </si>
  <si>
    <t>IMVT US Equity</t>
  </si>
  <si>
    <t>NB_1369</t>
  </si>
  <si>
    <t>IMXI</t>
  </si>
  <si>
    <t>International Money Express Inc. Common Stock</t>
  </si>
  <si>
    <t>IMXI US Equity</t>
  </si>
  <si>
    <t>NB_1370</t>
  </si>
  <si>
    <t>INAB</t>
  </si>
  <si>
    <t>IN8bio Inc. Common Stock</t>
  </si>
  <si>
    <t>INAB US Equity</t>
  </si>
  <si>
    <t>NB_1371</t>
  </si>
  <si>
    <t>INBS</t>
  </si>
  <si>
    <t>Intelligent Bio Solutions Inc. Common Stock</t>
  </si>
  <si>
    <t>INBS US Equity</t>
  </si>
  <si>
    <t>NB_1372</t>
  </si>
  <si>
    <t>INBX</t>
  </si>
  <si>
    <t>Inhibrx Biosciences Inc. Common Stock</t>
  </si>
  <si>
    <t>INBX US Equity</t>
  </si>
  <si>
    <t>NB_1373</t>
  </si>
  <si>
    <t>INCY</t>
  </si>
  <si>
    <t>Incyte Corp. Common Stock</t>
  </si>
  <si>
    <t>Biotechnology: Commercial Physical &amp; Biological Resarch</t>
  </si>
  <si>
    <t>INCY US Equity</t>
  </si>
  <si>
    <t>NB_1374</t>
  </si>
  <si>
    <t>INDI</t>
  </si>
  <si>
    <t>indie Semiconductor Inc. Class A Common Stock</t>
  </si>
  <si>
    <t>INDI US Equity</t>
  </si>
  <si>
    <t>NB_1375</t>
  </si>
  <si>
    <t>INDP</t>
  </si>
  <si>
    <t>Indaptus Therapeutics Inc. Common Stock</t>
  </si>
  <si>
    <t>INDP US Equity</t>
  </si>
  <si>
    <t>NB_1376</t>
  </si>
  <si>
    <t>INFU</t>
  </si>
  <si>
    <t>InfuSystems Holdings Inc. Common Stock</t>
  </si>
  <si>
    <t>INFU US Equity</t>
  </si>
  <si>
    <t>NB_1377</t>
  </si>
  <si>
    <t>INGM</t>
  </si>
  <si>
    <t>Ingram Micro Holding Corporation Common Stock</t>
  </si>
  <si>
    <t>INGM US Equity</t>
  </si>
  <si>
    <t>NB_1378</t>
  </si>
  <si>
    <t>INGN</t>
  </si>
  <si>
    <t>Inogen Inc Common Stock</t>
  </si>
  <si>
    <t>INGN US Equity</t>
  </si>
  <si>
    <t>NB_1379</t>
  </si>
  <si>
    <t>INGR</t>
  </si>
  <si>
    <t>Ingredion Incorporated Common Stock</t>
  </si>
  <si>
    <t>Packaged Foods</t>
  </si>
  <si>
    <t>INGR US Equity</t>
  </si>
  <si>
    <t>NB_1380</t>
  </si>
  <si>
    <t>INHD</t>
  </si>
  <si>
    <t>Inno Holdings Inc. Common Stock</t>
  </si>
  <si>
    <t>INHD US Equity</t>
  </si>
  <si>
    <t>NB_1381</t>
  </si>
  <si>
    <t>INKT</t>
  </si>
  <si>
    <t>MiNK Therapeutics Inc. Common Stock</t>
  </si>
  <si>
    <t>INKT US Equity</t>
  </si>
  <si>
    <t>NB_1382</t>
  </si>
  <si>
    <t>INMB</t>
  </si>
  <si>
    <t>INmune Bio Inc. Common stock</t>
  </si>
  <si>
    <t>INMB US Equity</t>
  </si>
  <si>
    <t>NB_1383</t>
  </si>
  <si>
    <t>INNV</t>
  </si>
  <si>
    <t>InnovAge Holding Corp. Common Stock</t>
  </si>
  <si>
    <t>INNV US Equity</t>
  </si>
  <si>
    <t>NB_1384</t>
  </si>
  <si>
    <t>INO</t>
  </si>
  <si>
    <t>Inovio Pharmaceuticals Inc. Common Stock</t>
  </si>
  <si>
    <t>INO US Equity</t>
  </si>
  <si>
    <t>NB_1385</t>
  </si>
  <si>
    <t>INOD</t>
  </si>
  <si>
    <t>Innodata Inc. Common Stock</t>
  </si>
  <si>
    <t>INOD US Equity</t>
  </si>
  <si>
    <t>NB_1386</t>
  </si>
  <si>
    <t>INR</t>
  </si>
  <si>
    <t>Infinity Natural Resources Inc. Class A Common Stock</t>
  </si>
  <si>
    <t>INR US Equity</t>
  </si>
  <si>
    <t>NB_1387</t>
  </si>
  <si>
    <t>INSE</t>
  </si>
  <si>
    <t>Inspired Entertainment Inc. Common Stock</t>
  </si>
  <si>
    <t>INSE US Equity</t>
  </si>
  <si>
    <t>NB_1388</t>
  </si>
  <si>
    <t>INSG</t>
  </si>
  <si>
    <t>Inseego Corp. Common Stock</t>
  </si>
  <si>
    <t>INSG US Equity</t>
  </si>
  <si>
    <t>NB_1389</t>
  </si>
  <si>
    <t>INSM</t>
  </si>
  <si>
    <t>Insmed Incorporated Common Stock</t>
  </si>
  <si>
    <t>INSM US Equity</t>
  </si>
  <si>
    <t>NB_1390</t>
  </si>
  <si>
    <t>INSP</t>
  </si>
  <si>
    <t>Inspire Medical Systems Inc. Common Stock</t>
  </si>
  <si>
    <t>INSP US Equity</t>
  </si>
  <si>
    <t>NB_1391</t>
  </si>
  <si>
    <t>INSW</t>
  </si>
  <si>
    <t>International Seaways Inc. Common Stock</t>
  </si>
  <si>
    <t>INSW US Equity</t>
  </si>
  <si>
    <t>NB_1392</t>
  </si>
  <si>
    <t>INTA</t>
  </si>
  <si>
    <t>Intapp Inc. Common Stock</t>
  </si>
  <si>
    <t>INTA US Equity</t>
  </si>
  <si>
    <t>NB_1393</t>
  </si>
  <si>
    <t>INTC</t>
  </si>
  <si>
    <t>Intel Corporation Common Stock</t>
  </si>
  <si>
    <t>INTC US Equity</t>
  </si>
  <si>
    <t>NB_1394</t>
  </si>
  <si>
    <t>INTS</t>
  </si>
  <si>
    <t>Intensity Therapeutics Inc. Common stock</t>
  </si>
  <si>
    <t>INTS US Equity</t>
  </si>
  <si>
    <t>NB_1395</t>
  </si>
  <si>
    <t>INTT</t>
  </si>
  <si>
    <t>inTest Corporation Common Stock</t>
  </si>
  <si>
    <t>INTT US Equity</t>
  </si>
  <si>
    <t>NB_1396</t>
  </si>
  <si>
    <t>INTU</t>
  </si>
  <si>
    <t>Intuit Inc. Common Stock</t>
  </si>
  <si>
    <t>INTU US Equity</t>
  </si>
  <si>
    <t>NB_1397</t>
  </si>
  <si>
    <t>INTZ</t>
  </si>
  <si>
    <t>Intrusion Inc. Common Stock</t>
  </si>
  <si>
    <t>Computer Communications Equipment</t>
  </si>
  <si>
    <t>INTZ US Equity</t>
  </si>
  <si>
    <t>NB_1398</t>
  </si>
  <si>
    <t>INUV</t>
  </si>
  <si>
    <t>Inuvo Inc.</t>
  </si>
  <si>
    <t>INUV US Equity</t>
  </si>
  <si>
    <t>NB_1399</t>
  </si>
  <si>
    <t>INVA</t>
  </si>
  <si>
    <t>Innoviva Inc. Common Stock</t>
  </si>
  <si>
    <t>INVA US Equity</t>
  </si>
  <si>
    <t>NB_1400</t>
  </si>
  <si>
    <t>INVE</t>
  </si>
  <si>
    <t>INVE Technologies Inc. Common Stock</t>
  </si>
  <si>
    <t>INVE US Equity</t>
  </si>
  <si>
    <t>NB_1401</t>
  </si>
  <si>
    <t>INVX</t>
  </si>
  <si>
    <t>Innovex International Inc. Common Stock</t>
  </si>
  <si>
    <t>INVX US Equity</t>
  </si>
  <si>
    <t>NB_1402</t>
  </si>
  <si>
    <t>IONQ</t>
  </si>
  <si>
    <t>IonQ Inc. Common Stock</t>
  </si>
  <si>
    <t>IONQ US Equity</t>
  </si>
  <si>
    <t>NB_1403</t>
  </si>
  <si>
    <t>IONS</t>
  </si>
  <si>
    <t>Ionis Pharmaceuticals Inc. Common Stock</t>
  </si>
  <si>
    <t>IONS US Equity</t>
  </si>
  <si>
    <t>NB_1404</t>
  </si>
  <si>
    <t>IOSP</t>
  </si>
  <si>
    <t>Innospec Inc. Common Stock</t>
  </si>
  <si>
    <t>IOSP US Equity</t>
  </si>
  <si>
    <t>NB_1405</t>
  </si>
  <si>
    <t>IOT</t>
  </si>
  <si>
    <t>Samsara Inc. Class A Common Stock</t>
  </si>
  <si>
    <t>IOT US Equity</t>
  </si>
  <si>
    <t>NB_1406</t>
  </si>
  <si>
    <t>IOVA</t>
  </si>
  <si>
    <t>Iovance Biotherapeutics Inc. Common Stock</t>
  </si>
  <si>
    <t>IOVA US Equity</t>
  </si>
  <si>
    <t>NB_1407</t>
  </si>
  <si>
    <t>IP</t>
  </si>
  <si>
    <t>International Paper Company Common Stock</t>
  </si>
  <si>
    <t>Paper</t>
  </si>
  <si>
    <t>IP US Equity</t>
  </si>
  <si>
    <t>NB_1408</t>
  </si>
  <si>
    <t>IPAR</t>
  </si>
  <si>
    <t>Interparfums Inc. Common Stock</t>
  </si>
  <si>
    <t>Package Goods/Cosmetics</t>
  </si>
  <si>
    <t>IPAR US Equity</t>
  </si>
  <si>
    <t>NB_1409</t>
  </si>
  <si>
    <t>IPDN</t>
  </si>
  <si>
    <t>Professional Diversity Network Inc. Common Stock</t>
  </si>
  <si>
    <t>IPDN US Equity</t>
  </si>
  <si>
    <t>NB_1410</t>
  </si>
  <si>
    <t>IPEX</t>
  </si>
  <si>
    <t>Inflection Point Acquisition Corp. V Class A Ordinary Shares</t>
  </si>
  <si>
    <t>IPEX US Equity</t>
  </si>
  <si>
    <t>NB_1411</t>
  </si>
  <si>
    <t>IPGP</t>
  </si>
  <si>
    <t>IPG Photonics Corporation Common Stock</t>
  </si>
  <si>
    <t>IPGP US Equity</t>
  </si>
  <si>
    <t>NB_1412</t>
  </si>
  <si>
    <t>IPI</t>
  </si>
  <si>
    <t>Intrepid Potash Inc Common Stock</t>
  </si>
  <si>
    <t>IPI US Equity</t>
  </si>
  <si>
    <t>NB_1413</t>
  </si>
  <si>
    <t>IPM</t>
  </si>
  <si>
    <t>Intelligent Protection Management Corp. Common Stock</t>
  </si>
  <si>
    <t>IPM US Equity</t>
  </si>
  <si>
    <t>NB_1414</t>
  </si>
  <si>
    <t>IPSC</t>
  </si>
  <si>
    <t>Century Therapeutics Inc. Common Stock</t>
  </si>
  <si>
    <t>IPSC US Equity</t>
  </si>
  <si>
    <t>NB_1415</t>
  </si>
  <si>
    <t>IPST</t>
  </si>
  <si>
    <t>IP Strategy Holdings Inc. Common Stock</t>
  </si>
  <si>
    <t>Beverages (Production/Distribution)</t>
  </si>
  <si>
    <t>IPST US Equity</t>
  </si>
  <si>
    <t>NB_1416</t>
  </si>
  <si>
    <t>IPW</t>
  </si>
  <si>
    <t>iPower Inc. Common Stock</t>
  </si>
  <si>
    <t>IPW US Equity</t>
  </si>
  <si>
    <t>NB_1417</t>
  </si>
  <si>
    <t>IPWR</t>
  </si>
  <si>
    <t>Ideal Power Inc. Common Stock</t>
  </si>
  <si>
    <t>IPWR US Equity</t>
  </si>
  <si>
    <t>NB_1418</t>
  </si>
  <si>
    <t>IPX</t>
  </si>
  <si>
    <t>IperionX Limited American Depositary Share</t>
  </si>
  <si>
    <t>Other Metals and Minerals</t>
  </si>
  <si>
    <t>IPX US Equity</t>
  </si>
  <si>
    <t>NB_1419</t>
  </si>
  <si>
    <t>IQST</t>
  </si>
  <si>
    <t>iQSTEL Inc. Common Stock</t>
  </si>
  <si>
    <t>IQST US Equity</t>
  </si>
  <si>
    <t>NB_1420</t>
  </si>
  <si>
    <t>IQV</t>
  </si>
  <si>
    <t>IQVIA Holdings Inc. Common Stock</t>
  </si>
  <si>
    <t>IQV US Equity</t>
  </si>
  <si>
    <t>NB_1421</t>
  </si>
  <si>
    <t>IR</t>
  </si>
  <si>
    <t>Ingersoll Rand Inc. Common Stock</t>
  </si>
  <si>
    <t>IR US Equity</t>
  </si>
  <si>
    <t>NB_1422</t>
  </si>
  <si>
    <t>IRD</t>
  </si>
  <si>
    <t>Opus Genetics Inc. Common Stock</t>
  </si>
  <si>
    <t>IRD US Equity</t>
  </si>
  <si>
    <t>NB_1423</t>
  </si>
  <si>
    <t>IRDM</t>
  </si>
  <si>
    <t>Iridium Communications Inc Common Stock</t>
  </si>
  <si>
    <t>IRDM US Equity</t>
  </si>
  <si>
    <t>NB_1424</t>
  </si>
  <si>
    <t>IRIX</t>
  </si>
  <si>
    <t>IRIDEX Corporation Common Stock</t>
  </si>
  <si>
    <t>IRIX US Equity</t>
  </si>
  <si>
    <t>NB_1425</t>
  </si>
  <si>
    <t>IRMD</t>
  </si>
  <si>
    <t>iRadimed Corporation Common Stock</t>
  </si>
  <si>
    <t>IRMD US Equity</t>
  </si>
  <si>
    <t>NB_1426</t>
  </si>
  <si>
    <t>IRON</t>
  </si>
  <si>
    <t>Disc Medicine Inc. Common Stock</t>
  </si>
  <si>
    <t>IRON US Equity</t>
  </si>
  <si>
    <t>NB_1427</t>
  </si>
  <si>
    <t>IRTC</t>
  </si>
  <si>
    <t>iRhythm Holdings Inc. Common Stock</t>
  </si>
  <si>
    <t>IRTC US Equity</t>
  </si>
  <si>
    <t>NB_1428</t>
  </si>
  <si>
    <t>IRWD</t>
  </si>
  <si>
    <t>Ironwood Pharmaceuticals Inc. Class A Common Stock</t>
  </si>
  <si>
    <t>IRWD US Equity</t>
  </si>
  <si>
    <t>NB_1429</t>
  </si>
  <si>
    <t>ISPC</t>
  </si>
  <si>
    <t>iSpecimen Inc. Common Stock</t>
  </si>
  <si>
    <t>ISPC US Equity</t>
  </si>
  <si>
    <t>NB_1430</t>
  </si>
  <si>
    <t>ISPR</t>
  </si>
  <si>
    <t>Ispire Technology Inc. Common Stock</t>
  </si>
  <si>
    <t>Medicinal Chemicals and Botanical Products</t>
  </si>
  <si>
    <t>ISPR US Equity</t>
  </si>
  <si>
    <t>NB_1431</t>
  </si>
  <si>
    <t>ISRG</t>
  </si>
  <si>
    <t>Intuitive Surgical Inc. Common Stock</t>
  </si>
  <si>
    <t>ISRG US Equity</t>
  </si>
  <si>
    <t>NB_1432</t>
  </si>
  <si>
    <t>IT</t>
  </si>
  <si>
    <t>Gartner Inc. Common Stock</t>
  </si>
  <si>
    <t>IT US Equity</t>
  </si>
  <si>
    <t>NB_1433</t>
  </si>
  <si>
    <t>ITG</t>
  </si>
  <si>
    <t>ITG Inc. Class A Common Stock</t>
  </si>
  <si>
    <t>Water Sewer Pipeline Comm &amp; Power Line Construction</t>
  </si>
  <si>
    <t>ITG US Equity</t>
  </si>
  <si>
    <t>NB_1434</t>
  </si>
  <si>
    <t>ITGR</t>
  </si>
  <si>
    <t>Integer Holdings Corporation Common Stock</t>
  </si>
  <si>
    <t>ITGR US Equity</t>
  </si>
  <si>
    <t>NB_1435</t>
  </si>
  <si>
    <t>ITRI</t>
  </si>
  <si>
    <t>Itron Inc. Common Stock</t>
  </si>
  <si>
    <t>ITRI US Equity</t>
  </si>
  <si>
    <t>NB_1436</t>
  </si>
  <si>
    <t>ITT</t>
  </si>
  <si>
    <t>ITT Inc. Common Stock</t>
  </si>
  <si>
    <t>ITT US Equity</t>
  </si>
  <si>
    <t>NB_1437</t>
  </si>
  <si>
    <t>ITW</t>
  </si>
  <si>
    <t>Illinois Tool Works Inc. Common Stock</t>
  </si>
  <si>
    <t>ITW US Equity</t>
  </si>
  <si>
    <t>NB_1438</t>
  </si>
  <si>
    <t>IVDA</t>
  </si>
  <si>
    <t>Iveda Solutions Inc. Common Stock</t>
  </si>
  <si>
    <t>IVDA US Equity</t>
  </si>
  <si>
    <t>NB_1439</t>
  </si>
  <si>
    <t>IVDAW</t>
  </si>
  <si>
    <t>Iveda Solutions Inc. Warrant</t>
  </si>
  <si>
    <t>IVDAW US Equity</t>
  </si>
  <si>
    <t>NB_1440</t>
  </si>
  <si>
    <t>IVF</t>
  </si>
  <si>
    <t>INVO Fertility Inc. Common Stock</t>
  </si>
  <si>
    <t>IVF US Equity</t>
  </si>
  <si>
    <t>NB_1441</t>
  </si>
  <si>
    <t>IVVD</t>
  </si>
  <si>
    <t>Invivyd Inc. Common Stock</t>
  </si>
  <si>
    <t>IVVD US Equity</t>
  </si>
  <si>
    <t>NB_1442</t>
  </si>
  <si>
    <t>IZEA</t>
  </si>
  <si>
    <t>IZEA Worldwide Inc. Common Stock</t>
  </si>
  <si>
    <t>IZEA US Equity</t>
  </si>
  <si>
    <t>NB_1443</t>
  </si>
  <si>
    <t>J</t>
  </si>
  <si>
    <t>Jacobs Solutions Inc. Common Stock</t>
  </si>
  <si>
    <t>Military/Government/Technical</t>
  </si>
  <si>
    <t>J US Equity</t>
  </si>
  <si>
    <t>NB_1444</t>
  </si>
  <si>
    <t>JACK</t>
  </si>
  <si>
    <t>Jack In The Box Inc. Common Stock</t>
  </si>
  <si>
    <t>Restaurants</t>
  </si>
  <si>
    <t>JACK US Equity</t>
  </si>
  <si>
    <t>NB_1445</t>
  </si>
  <si>
    <t>JAGX</t>
  </si>
  <si>
    <t>Jaguar Health Inc. Common Stock</t>
  </si>
  <si>
    <t>JAGX US Equity</t>
  </si>
  <si>
    <t>NB_1446</t>
  </si>
  <si>
    <t>JAKK</t>
  </si>
  <si>
    <t>JAKKS Pacific Inc. Common Stock</t>
  </si>
  <si>
    <t>Recreational Games/Products/Toys</t>
  </si>
  <si>
    <t>JAKK US Equity</t>
  </si>
  <si>
    <t>NB_1447</t>
  </si>
  <si>
    <t>JANX</t>
  </si>
  <si>
    <t>Janux Therapeutics Inc. Common Stock</t>
  </si>
  <si>
    <t>JANX US Equity</t>
  </si>
  <si>
    <t>NB_1448</t>
  </si>
  <si>
    <t>JBHT</t>
  </si>
  <si>
    <t>J.B. Hunt Transport Services Inc. Common Stock</t>
  </si>
  <si>
    <t>JBHT US Equity</t>
  </si>
  <si>
    <t>NB_1449</t>
  </si>
  <si>
    <t>JBI</t>
  </si>
  <si>
    <t>Janus International Group Inc. Common Stock</t>
  </si>
  <si>
    <t>Building Products</t>
  </si>
  <si>
    <t>JBI US Equity</t>
  </si>
  <si>
    <t>NB_1450</t>
  </si>
  <si>
    <t>JBIO</t>
  </si>
  <si>
    <t>Jade Biosciences Inc. Common Stock</t>
  </si>
  <si>
    <t>JBIO US Equity</t>
  </si>
  <si>
    <t>NB_1451</t>
  </si>
  <si>
    <t>JBL</t>
  </si>
  <si>
    <t>Jabil Inc. Common Stock</t>
  </si>
  <si>
    <t>JBL US Equity</t>
  </si>
  <si>
    <t>NB_1452</t>
  </si>
  <si>
    <t>JBLU</t>
  </si>
  <si>
    <t>JetBlue Airways Corporation Common Stock</t>
  </si>
  <si>
    <t>Air Freight/Delivery Services</t>
  </si>
  <si>
    <t>JBLU US Equity</t>
  </si>
  <si>
    <t>NB_1453</t>
  </si>
  <si>
    <t>JBSS</t>
  </si>
  <si>
    <t>John B. Sanfilippo &amp; Son Inc. Common Stock</t>
  </si>
  <si>
    <t>JBSS US Equity</t>
  </si>
  <si>
    <t>NB_1454</t>
  </si>
  <si>
    <t>JBTM</t>
  </si>
  <si>
    <t>JBT Marel Corporation Common Stock</t>
  </si>
  <si>
    <t>JBTM US Equity</t>
  </si>
  <si>
    <t>NB_1455</t>
  </si>
  <si>
    <t>JCTC</t>
  </si>
  <si>
    <t>Jewett-Cameron Trading Company Common Shares</t>
  </si>
  <si>
    <t>JCTC US Equity</t>
  </si>
  <si>
    <t>NB_1456</t>
  </si>
  <si>
    <t>JELD</t>
  </si>
  <si>
    <t>JELD-WEN Holding Inc. Common Stock</t>
  </si>
  <si>
    <t>Forest Products</t>
  </si>
  <si>
    <t>JELD US Equity</t>
  </si>
  <si>
    <t>NB_1457</t>
  </si>
  <si>
    <t>JILL</t>
  </si>
  <si>
    <t>J. Jill Inc. Common Stock</t>
  </si>
  <si>
    <t>Apparel</t>
  </si>
  <si>
    <t>JILL US Equity</t>
  </si>
  <si>
    <t>NB_1458</t>
  </si>
  <si>
    <t>JJSF</t>
  </si>
  <si>
    <t>J &amp; J Snack Foods Corp. Common Stock</t>
  </si>
  <si>
    <t>JJSF US Equity</t>
  </si>
  <si>
    <t>NB_1459</t>
  </si>
  <si>
    <t>JKHY</t>
  </si>
  <si>
    <t>Jack Henry &amp; Associates Inc. Common Stock</t>
  </si>
  <si>
    <t>JKHY US Equity</t>
  </si>
  <si>
    <t>NB_1460</t>
  </si>
  <si>
    <t>JNJ</t>
  </si>
  <si>
    <t>Johnson &amp; Johnson Common Stock</t>
  </si>
  <si>
    <t>JNJ US Equity</t>
  </si>
  <si>
    <t>NB_1461</t>
  </si>
  <si>
    <t>JOB</t>
  </si>
  <si>
    <t>GEE Group Inc. Common Stock</t>
  </si>
  <si>
    <t>Diversified Commercial Services</t>
  </si>
  <si>
    <t>JOB US Equity</t>
  </si>
  <si>
    <t>NB_1462</t>
  </si>
  <si>
    <t>JOBY</t>
  </si>
  <si>
    <t>Joby Aviation Inc. Common Stock</t>
  </si>
  <si>
    <t>JOBY US Equity</t>
  </si>
  <si>
    <t>NB_1463</t>
  </si>
  <si>
    <t>JOUT</t>
  </si>
  <si>
    <t>Johnson Outdoors Inc. Class A Common Stock</t>
  </si>
  <si>
    <t>JOUT US Equity</t>
  </si>
  <si>
    <t>NB_1464</t>
  </si>
  <si>
    <t>JRSH</t>
  </si>
  <si>
    <t>Jerash Holdings (US) Inc. Common Stock</t>
  </si>
  <si>
    <t>JRSH US Equity</t>
  </si>
  <si>
    <t>NB_1465</t>
  </si>
  <si>
    <t>JSPR</t>
  </si>
  <si>
    <t>Jasper Therapeutics Inc. Common Stock</t>
  </si>
  <si>
    <t>JSPR US Equity</t>
  </si>
  <si>
    <t>NB_1466</t>
  </si>
  <si>
    <t>JTAI</t>
  </si>
  <si>
    <t>Jet.AI Inc. Common Stock</t>
  </si>
  <si>
    <t>Transportation Services</t>
  </si>
  <si>
    <t>JTAI US Equity</t>
  </si>
  <si>
    <t>NB_1467</t>
  </si>
  <si>
    <t>JUNS</t>
  </si>
  <si>
    <t>Jupiter Neurosciences Inc. Common Stock</t>
  </si>
  <si>
    <t>JUNS US Equity</t>
  </si>
  <si>
    <t>NB_1468</t>
  </si>
  <si>
    <t>JVA</t>
  </si>
  <si>
    <t>Coffee Holding Co. Inc. Common Stock</t>
  </si>
  <si>
    <t>JVA US Equity</t>
  </si>
  <si>
    <t>NB_1469</t>
  </si>
  <si>
    <t>KAI</t>
  </si>
  <si>
    <t>Kadant Inc Common Stock</t>
  </si>
  <si>
    <t>KAI US Equity</t>
  </si>
  <si>
    <t>NB_1470</t>
  </si>
  <si>
    <t>KALA</t>
  </si>
  <si>
    <t>KALA BIO Inc. Common Stock</t>
  </si>
  <si>
    <t>KALA US Equity</t>
  </si>
  <si>
    <t>NB_1471</t>
  </si>
  <si>
    <t>KALU</t>
  </si>
  <si>
    <t>Kaiser Aluminum Corporation Common Stock</t>
  </si>
  <si>
    <t>KALU US Equity</t>
  </si>
  <si>
    <t>NB_1472</t>
  </si>
  <si>
    <t>KARD</t>
  </si>
  <si>
    <t>Kardigan Inc. Common Stock</t>
  </si>
  <si>
    <t>KARD US Equity</t>
  </si>
  <si>
    <t>NB_1473</t>
  </si>
  <si>
    <t>KBH</t>
  </si>
  <si>
    <t>KB Home Common Stock</t>
  </si>
  <si>
    <t>KBH US Equity</t>
  </si>
  <si>
    <t>NB_1474</t>
  </si>
  <si>
    <t>KBR</t>
  </si>
  <si>
    <t>KBR Inc. Common Stock</t>
  </si>
  <si>
    <t>KBR US Equity</t>
  </si>
  <si>
    <t>NB_1475</t>
  </si>
  <si>
    <t>KD</t>
  </si>
  <si>
    <t>Kyndryl Holdings Inc. Common Stock</t>
  </si>
  <si>
    <t>KD US Equity</t>
  </si>
  <si>
    <t>NB_1476</t>
  </si>
  <si>
    <t>KDK</t>
  </si>
  <si>
    <t>Kodiak AI Inc. Common Stock</t>
  </si>
  <si>
    <t>KDK US Equity</t>
  </si>
  <si>
    <t>NB_1477</t>
  </si>
  <si>
    <t>KDKRW</t>
  </si>
  <si>
    <t>Kodiak AI Inc. Warrants</t>
  </si>
  <si>
    <t>KDKRW US Equity</t>
  </si>
  <si>
    <t>NB_1478</t>
  </si>
  <si>
    <t>KDP</t>
  </si>
  <si>
    <t>Keurig Dr Pepper Inc. Common Stock</t>
  </si>
  <si>
    <t>KDP US Equity</t>
  </si>
  <si>
    <t>NB_1479</t>
  </si>
  <si>
    <t>KE</t>
  </si>
  <si>
    <t>Kimball Electronics Inc. Common Stock</t>
  </si>
  <si>
    <t>KE US Equity</t>
  </si>
  <si>
    <t>NB_1480</t>
  </si>
  <si>
    <t>KELYA</t>
  </si>
  <si>
    <t>Kelly Services Inc. Class A Common Stock</t>
  </si>
  <si>
    <t>KELYA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</si>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</sst>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26</v>
      </c>
      <c r="G5" t="s">
        <v>38</v>
      </c>
      <c r="H5" t="s">
        <v>39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40</v>
      </c>
      <c r="B6" t="s">
        <v>14</v>
      </c>
      <c r="C6" t="s">
        <v>15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46</v>
      </c>
      <c r="B7" t="s">
        <v>14</v>
      </c>
      <c r="C7" t="s">
        <v>15</v>
      </c>
      <c r="D7" t="s">
        <v>47</v>
      </c>
      <c r="E7" t="s">
        <v>48</v>
      </c>
      <c r="F7" t="s">
        <v>18</v>
      </c>
      <c r="G7" t="s">
        <v>49</v>
      </c>
      <c r="H7" t="s">
        <v>50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51</v>
      </c>
      <c r="B8" t="s">
        <v>14</v>
      </c>
      <c r="C8" t="s">
        <v>15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32</v>
      </c>
      <c r="G9" t="s">
        <v>60</v>
      </c>
      <c r="H9" t="s">
        <v>61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62</v>
      </c>
      <c r="B10" t="s">
        <v>14</v>
      </c>
      <c r="C10" t="s">
        <v>15</v>
      </c>
      <c r="D10" t="s">
        <v>63</v>
      </c>
      <c r="E10" t="s">
        <v>64</v>
      </c>
      <c r="F10" t="s">
        <v>32</v>
      </c>
      <c r="G10" t="s">
        <v>65</v>
      </c>
      <c r="H10" t="s">
        <v>66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67</v>
      </c>
      <c r="B11" t="s">
        <v>14</v>
      </c>
      <c r="C11" t="s">
        <v>15</v>
      </c>
      <c r="D11" t="s">
        <v>68</v>
      </c>
      <c r="E11" t="s">
        <v>69</v>
      </c>
      <c r="F11" t="s">
        <v>43</v>
      </c>
      <c r="G11" t="s">
        <v>44</v>
      </c>
      <c r="H11" t="s">
        <v>70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18</v>
      </c>
      <c r="G12" t="s">
        <v>19</v>
      </c>
      <c r="H12" t="s">
        <v>74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75</v>
      </c>
      <c r="B13" t="s">
        <v>14</v>
      </c>
      <c r="C13" t="s">
        <v>15</v>
      </c>
      <c r="D13" t="s">
        <v>76</v>
      </c>
      <c r="E13" t="s">
        <v>77</v>
      </c>
      <c r="F13" t="s">
        <v>43</v>
      </c>
      <c r="G13" t="s">
        <v>78</v>
      </c>
      <c r="H13" t="s">
        <v>79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80</v>
      </c>
      <c r="B14" t="s">
        <v>14</v>
      </c>
      <c r="C14" t="s">
        <v>15</v>
      </c>
      <c r="D14" t="s">
        <v>81</v>
      </c>
      <c r="E14" t="s">
        <v>82</v>
      </c>
      <c r="F14" t="s">
        <v>32</v>
      </c>
      <c r="G14" t="s">
        <v>83</v>
      </c>
      <c r="H14" t="s">
        <v>84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85</v>
      </c>
      <c r="B15" t="s">
        <v>14</v>
      </c>
      <c r="C15" t="s">
        <v>15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91</v>
      </c>
      <c r="B16" t="s">
        <v>14</v>
      </c>
      <c r="C16" t="s">
        <v>15</v>
      </c>
      <c r="D16" t="s">
        <v>92</v>
      </c>
      <c r="E16" t="s">
        <v>93</v>
      </c>
      <c r="F16" t="s">
        <v>88</v>
      </c>
      <c r="G16" t="s">
        <v>89</v>
      </c>
      <c r="H16" t="s">
        <v>94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95</v>
      </c>
      <c r="B17" t="s">
        <v>14</v>
      </c>
      <c r="C17" t="s">
        <v>15</v>
      </c>
      <c r="D17" t="s">
        <v>96</v>
      </c>
      <c r="E17" t="s">
        <v>97</v>
      </c>
      <c r="F17" t="s">
        <v>32</v>
      </c>
      <c r="G17" t="s">
        <v>98</v>
      </c>
      <c r="H17" t="s">
        <v>99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100</v>
      </c>
      <c r="B18" t="s">
        <v>14</v>
      </c>
      <c r="C18" t="s">
        <v>15</v>
      </c>
      <c r="D18" t="s">
        <v>101</v>
      </c>
      <c r="E18" t="s">
        <v>102</v>
      </c>
      <c r="F18" t="s">
        <v>88</v>
      </c>
      <c r="G18" t="s">
        <v>89</v>
      </c>
      <c r="H18" t="s">
        <v>103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104</v>
      </c>
      <c r="B19" t="s">
        <v>14</v>
      </c>
      <c r="C19" t="s">
        <v>15</v>
      </c>
      <c r="D19" t="s">
        <v>105</v>
      </c>
      <c r="E19" t="s">
        <v>106</v>
      </c>
      <c r="F19" t="s">
        <v>26</v>
      </c>
      <c r="G19" t="s">
        <v>107</v>
      </c>
      <c r="H19" t="s">
        <v>108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109</v>
      </c>
      <c r="B20" t="s">
        <v>14</v>
      </c>
      <c r="C20" t="s">
        <v>15</v>
      </c>
      <c r="D20" t="s">
        <v>110</v>
      </c>
      <c r="E20" t="s">
        <v>111</v>
      </c>
      <c r="F20" t="s">
        <v>54</v>
      </c>
      <c r="G20" t="s">
        <v>112</v>
      </c>
      <c r="H20" t="s">
        <v>113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114</v>
      </c>
      <c r="B21" t="s">
        <v>14</v>
      </c>
      <c r="C21" t="s">
        <v>15</v>
      </c>
      <c r="D21" t="s">
        <v>115</v>
      </c>
      <c r="E21" t="s">
        <v>116</v>
      </c>
      <c r="F21" t="s">
        <v>32</v>
      </c>
      <c r="G21" t="s">
        <v>117</v>
      </c>
      <c r="H21" t="s">
        <v>118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119</v>
      </c>
      <c r="B22" t="s">
        <v>14</v>
      </c>
      <c r="C22" t="s">
        <v>15</v>
      </c>
      <c r="D22" t="s">
        <v>120</v>
      </c>
      <c r="E22" t="s">
        <v>121</v>
      </c>
      <c r="F22" t="s">
        <v>32</v>
      </c>
      <c r="G22" t="s">
        <v>122</v>
      </c>
      <c r="H22" t="s">
        <v>123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124</v>
      </c>
      <c r="B23" t="s">
        <v>14</v>
      </c>
      <c r="C23" t="s">
        <v>15</v>
      </c>
      <c r="D23" t="s">
        <v>125</v>
      </c>
      <c r="E23" t="s">
        <v>126</v>
      </c>
      <c r="F23" t="s">
        <v>32</v>
      </c>
      <c r="G23" t="s">
        <v>65</v>
      </c>
      <c r="H23" t="s">
        <v>127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128</v>
      </c>
      <c r="B24" t="s">
        <v>14</v>
      </c>
      <c r="C24" t="s">
        <v>15</v>
      </c>
      <c r="D24" t="s">
        <v>129</v>
      </c>
      <c r="E24" t="s">
        <v>130</v>
      </c>
      <c r="F24" t="s">
        <v>32</v>
      </c>
      <c r="G24" t="s">
        <v>131</v>
      </c>
      <c r="H24" t="s">
        <v>132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133</v>
      </c>
      <c r="B25" t="s">
        <v>14</v>
      </c>
      <c r="C25" t="s">
        <v>15</v>
      </c>
      <c r="D25" t="s">
        <v>134</v>
      </c>
      <c r="E25" t="s">
        <v>135</v>
      </c>
      <c r="F25" t="s">
        <v>26</v>
      </c>
      <c r="G25" t="s">
        <v>136</v>
      </c>
      <c r="H25" t="s">
        <v>137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138</v>
      </c>
      <c r="B26" t="s">
        <v>14</v>
      </c>
      <c r="C26" t="s">
        <v>15</v>
      </c>
      <c r="D26" t="s">
        <v>139</v>
      </c>
      <c r="E26" t="s">
        <v>140</v>
      </c>
      <c r="F26" t="s">
        <v>43</v>
      </c>
      <c r="G26" t="s">
        <v>141</v>
      </c>
      <c r="H26" t="s">
        <v>142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143</v>
      </c>
      <c r="B27" t="s">
        <v>14</v>
      </c>
      <c r="C27" t="s">
        <v>15</v>
      </c>
      <c r="D27" t="s">
        <v>144</v>
      </c>
      <c r="E27" t="s">
        <v>145</v>
      </c>
      <c r="F27" t="s">
        <v>43</v>
      </c>
      <c r="G27" t="s">
        <v>78</v>
      </c>
      <c r="H27" t="s">
        <v>146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147</v>
      </c>
      <c r="B28" t="s">
        <v>14</v>
      </c>
      <c r="C28" t="s">
        <v>15</v>
      </c>
      <c r="D28" t="s">
        <v>148</v>
      </c>
      <c r="E28" t="s">
        <v>149</v>
      </c>
      <c r="F28" t="s">
        <v>26</v>
      </c>
      <c r="G28" t="s">
        <v>150</v>
      </c>
      <c r="H28" t="s">
        <v>151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152</v>
      </c>
      <c r="B29" t="s">
        <v>14</v>
      </c>
      <c r="C29" t="s">
        <v>15</v>
      </c>
      <c r="D29" t="s">
        <v>153</v>
      </c>
      <c r="E29" t="s">
        <v>154</v>
      </c>
      <c r="F29" t="s">
        <v>26</v>
      </c>
      <c r="G29" t="s">
        <v>155</v>
      </c>
      <c r="H29" t="s">
        <v>156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157</v>
      </c>
      <c r="B30" t="s">
        <v>14</v>
      </c>
      <c r="C30" t="s">
        <v>15</v>
      </c>
      <c r="D30" t="s">
        <v>158</v>
      </c>
      <c r="E30" t="s">
        <v>159</v>
      </c>
      <c r="F30" t="s">
        <v>18</v>
      </c>
      <c r="G30" t="s">
        <v>160</v>
      </c>
      <c r="H30" t="s">
        <v>161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162</v>
      </c>
      <c r="B31" t="s">
        <v>14</v>
      </c>
      <c r="C31" t="s">
        <v>15</v>
      </c>
      <c r="D31" t="s">
        <v>163</v>
      </c>
      <c r="E31" t="s">
        <v>164</v>
      </c>
      <c r="F31" t="s">
        <v>32</v>
      </c>
      <c r="G31" t="s">
        <v>165</v>
      </c>
      <c r="H31" t="s">
        <v>166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167</v>
      </c>
      <c r="B32" t="s">
        <v>14</v>
      </c>
      <c r="C32" t="s">
        <v>15</v>
      </c>
      <c r="D32" t="s">
        <v>168</v>
      </c>
      <c r="E32" t="s">
        <v>169</v>
      </c>
      <c r="F32" t="s">
        <v>32</v>
      </c>
      <c r="G32" t="s">
        <v>27</v>
      </c>
      <c r="H32" t="s">
        <v>170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171</v>
      </c>
      <c r="B33" t="s">
        <v>14</v>
      </c>
      <c r="C33" t="s">
        <v>15</v>
      </c>
      <c r="D33" t="s">
        <v>172</v>
      </c>
      <c r="E33" t="s">
        <v>173</v>
      </c>
      <c r="F33" t="s">
        <v>32</v>
      </c>
      <c r="G33" t="s">
        <v>65</v>
      </c>
      <c r="H33" t="s">
        <v>174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175</v>
      </c>
      <c r="B34" t="s">
        <v>14</v>
      </c>
      <c r="C34" t="s">
        <v>15</v>
      </c>
      <c r="D34" t="s">
        <v>176</v>
      </c>
      <c r="E34" t="s">
        <v>177</v>
      </c>
      <c r="F34" t="s">
        <v>32</v>
      </c>
      <c r="G34" t="s">
        <v>178</v>
      </c>
      <c r="H34" t="s">
        <v>179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180</v>
      </c>
      <c r="B35" t="s">
        <v>14</v>
      </c>
      <c r="C35" t="s">
        <v>15</v>
      </c>
      <c r="D35" t="s">
        <v>181</v>
      </c>
      <c r="E35" t="s">
        <v>182</v>
      </c>
      <c r="F35" t="s">
        <v>18</v>
      </c>
      <c r="G35" t="s">
        <v>19</v>
      </c>
      <c r="H35" t="s">
        <v>183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184</v>
      </c>
      <c r="B36" t="s">
        <v>14</v>
      </c>
      <c r="C36" t="s">
        <v>15</v>
      </c>
      <c r="D36" t="s">
        <v>185</v>
      </c>
      <c r="E36" t="s">
        <v>186</v>
      </c>
      <c r="F36" t="s">
        <v>32</v>
      </c>
      <c r="G36" t="s">
        <v>187</v>
      </c>
      <c r="H36" t="s">
        <v>188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189</v>
      </c>
      <c r="B37" t="s">
        <v>14</v>
      </c>
      <c r="C37" t="s">
        <v>15</v>
      </c>
      <c r="D37" t="s">
        <v>190</v>
      </c>
      <c r="E37" t="s">
        <v>191</v>
      </c>
      <c r="F37" t="s">
        <v>88</v>
      </c>
      <c r="G37" t="s">
        <v>89</v>
      </c>
      <c r="H37" t="s">
        <v>192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193</v>
      </c>
      <c r="B38" t="s">
        <v>14</v>
      </c>
      <c r="C38" t="s">
        <v>15</v>
      </c>
      <c r="D38" t="s">
        <v>194</v>
      </c>
      <c r="E38" t="s">
        <v>195</v>
      </c>
      <c r="F38" t="s">
        <v>32</v>
      </c>
      <c r="G38" t="s">
        <v>196</v>
      </c>
      <c r="H38" t="s">
        <v>197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198</v>
      </c>
      <c r="B39" t="s">
        <v>14</v>
      </c>
      <c r="C39" t="s">
        <v>15</v>
      </c>
      <c r="D39" t="s">
        <v>199</v>
      </c>
      <c r="E39" t="s">
        <v>200</v>
      </c>
      <c r="F39" t="s">
        <v>32</v>
      </c>
      <c r="G39" t="s">
        <v>33</v>
      </c>
      <c r="H39" t="s">
        <v>201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202</v>
      </c>
      <c r="B40" t="s">
        <v>14</v>
      </c>
      <c r="C40" t="s">
        <v>15</v>
      </c>
      <c r="D40" t="s">
        <v>203</v>
      </c>
      <c r="E40" t="s">
        <v>204</v>
      </c>
      <c r="F40" t="s">
        <v>32</v>
      </c>
      <c r="G40" t="s">
        <v>205</v>
      </c>
      <c r="H40" t="s">
        <v>206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207</v>
      </c>
      <c r="B41" t="s">
        <v>14</v>
      </c>
      <c r="C41" t="s">
        <v>15</v>
      </c>
      <c r="D41" t="s">
        <v>208</v>
      </c>
      <c r="E41" t="s">
        <v>209</v>
      </c>
      <c r="F41" t="s">
        <v>18</v>
      </c>
      <c r="G41" t="s">
        <v>49</v>
      </c>
      <c r="H41" t="s">
        <v>210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211</v>
      </c>
      <c r="B42" t="s">
        <v>14</v>
      </c>
      <c r="C42" t="s">
        <v>15</v>
      </c>
      <c r="D42" t="s">
        <v>212</v>
      </c>
      <c r="E42" t="s">
        <v>213</v>
      </c>
      <c r="F42" t="s">
        <v>18</v>
      </c>
      <c r="G42" t="s">
        <v>49</v>
      </c>
      <c r="H42" t="s">
        <v>214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215</v>
      </c>
      <c r="B43" t="s">
        <v>14</v>
      </c>
      <c r="C43" t="s">
        <v>15</v>
      </c>
      <c r="D43" t="s">
        <v>216</v>
      </c>
      <c r="E43" t="s">
        <v>217</v>
      </c>
      <c r="F43" t="s">
        <v>26</v>
      </c>
      <c r="G43" t="s">
        <v>107</v>
      </c>
      <c r="H43" t="s">
        <v>218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219</v>
      </c>
      <c r="B44" t="s">
        <v>14</v>
      </c>
      <c r="C44" t="s">
        <v>15</v>
      </c>
      <c r="D44" t="s">
        <v>220</v>
      </c>
      <c r="E44" t="s">
        <v>221</v>
      </c>
      <c r="F44" t="s">
        <v>26</v>
      </c>
      <c r="G44" t="s">
        <v>107</v>
      </c>
      <c r="H44" t="s">
        <v>222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223</v>
      </c>
      <c r="B45" t="s">
        <v>14</v>
      </c>
      <c r="C45" t="s">
        <v>15</v>
      </c>
      <c r="D45" t="s">
        <v>224</v>
      </c>
      <c r="E45" t="s">
        <v>225</v>
      </c>
      <c r="F45" t="s">
        <v>54</v>
      </c>
      <c r="G45" t="s">
        <v>226</v>
      </c>
      <c r="H45" t="s">
        <v>227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228</v>
      </c>
      <c r="B46" t="s">
        <v>14</v>
      </c>
      <c r="C46" t="s">
        <v>15</v>
      </c>
      <c r="D46" t="s">
        <v>229</v>
      </c>
      <c r="E46" t="s">
        <v>230</v>
      </c>
      <c r="F46" t="s">
        <v>32</v>
      </c>
      <c r="G46" t="s">
        <v>196</v>
      </c>
      <c r="H46" t="s">
        <v>231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232</v>
      </c>
      <c r="B47" t="s">
        <v>14</v>
      </c>
      <c r="C47" t="s">
        <v>15</v>
      </c>
      <c r="D47" t="s">
        <v>233</v>
      </c>
      <c r="E47" t="s">
        <v>234</v>
      </c>
      <c r="F47" t="s">
        <v>32</v>
      </c>
      <c r="G47" t="s">
        <v>235</v>
      </c>
      <c r="H47" t="s">
        <v>236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237</v>
      </c>
      <c r="B48" t="s">
        <v>14</v>
      </c>
      <c r="C48" t="s">
        <v>15</v>
      </c>
      <c r="D48" t="s">
        <v>238</v>
      </c>
      <c r="E48" t="s">
        <v>239</v>
      </c>
      <c r="F48" t="s">
        <v>32</v>
      </c>
      <c r="G48" t="s">
        <v>235</v>
      </c>
      <c r="H48" t="s">
        <v>240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241</v>
      </c>
      <c r="B49" t="s">
        <v>14</v>
      </c>
      <c r="C49" t="s">
        <v>15</v>
      </c>
      <c r="D49" t="s">
        <v>242</v>
      </c>
      <c r="E49" t="s">
        <v>243</v>
      </c>
      <c r="F49" t="s">
        <v>26</v>
      </c>
      <c r="G49" t="s">
        <v>107</v>
      </c>
      <c r="H49" t="s">
        <v>244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245</v>
      </c>
      <c r="B50" t="s">
        <v>14</v>
      </c>
      <c r="C50" t="s">
        <v>15</v>
      </c>
      <c r="D50" t="s">
        <v>246</v>
      </c>
      <c r="E50" t="s">
        <v>247</v>
      </c>
      <c r="F50" t="s">
        <v>26</v>
      </c>
      <c r="G50" t="s">
        <v>107</v>
      </c>
      <c r="H50" t="s">
        <v>248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249</v>
      </c>
      <c r="B51" t="s">
        <v>14</v>
      </c>
      <c r="C51" t="s">
        <v>15</v>
      </c>
      <c r="D51" t="s">
        <v>250</v>
      </c>
      <c r="E51" t="s">
        <v>251</v>
      </c>
      <c r="F51" t="s">
        <v>43</v>
      </c>
      <c r="G51" t="s">
        <v>78</v>
      </c>
      <c r="H51" t="s">
        <v>252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253</v>
      </c>
      <c r="B52" t="s">
        <v>14</v>
      </c>
      <c r="C52" t="s">
        <v>15</v>
      </c>
      <c r="D52" t="s">
        <v>254</v>
      </c>
      <c r="E52" t="s">
        <v>255</v>
      </c>
      <c r="F52" t="s">
        <v>54</v>
      </c>
      <c r="G52" t="s">
        <v>112</v>
      </c>
      <c r="H52" t="s">
        <v>256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257</v>
      </c>
      <c r="B53" t="s">
        <v>14</v>
      </c>
      <c r="C53" t="s">
        <v>15</v>
      </c>
      <c r="D53" t="s">
        <v>258</v>
      </c>
      <c r="E53" t="s">
        <v>259</v>
      </c>
      <c r="F53" t="s">
        <v>18</v>
      </c>
      <c r="G53" t="s">
        <v>260</v>
      </c>
      <c r="H53" t="s">
        <v>261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262</v>
      </c>
      <c r="B54" t="s">
        <v>14</v>
      </c>
      <c r="C54" t="s">
        <v>15</v>
      </c>
      <c r="D54" t="s">
        <v>263</v>
      </c>
      <c r="E54" t="s">
        <v>264</v>
      </c>
      <c r="F54" t="s">
        <v>54</v>
      </c>
      <c r="G54" t="s">
        <v>112</v>
      </c>
      <c r="H54" t="s">
        <v>265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266</v>
      </c>
      <c r="B55" t="s">
        <v>14</v>
      </c>
      <c r="C55" t="s">
        <v>15</v>
      </c>
      <c r="D55" t="s">
        <v>267</v>
      </c>
      <c r="E55" t="s">
        <v>268</v>
      </c>
      <c r="F55" t="s">
        <v>18</v>
      </c>
      <c r="G55" t="s">
        <v>269</v>
      </c>
      <c r="H55" t="s">
        <v>270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271</v>
      </c>
      <c r="B56" t="s">
        <v>14</v>
      </c>
      <c r="C56" t="s">
        <v>15</v>
      </c>
      <c r="D56" t="s">
        <v>272</v>
      </c>
      <c r="E56" t="s">
        <v>273</v>
      </c>
      <c r="F56" t="s">
        <v>32</v>
      </c>
      <c r="G56" t="s">
        <v>60</v>
      </c>
      <c r="H56" t="s">
        <v>274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275</v>
      </c>
      <c r="B57" t="s">
        <v>14</v>
      </c>
      <c r="C57" t="s">
        <v>15</v>
      </c>
      <c r="D57" t="s">
        <v>276</v>
      </c>
      <c r="E57" t="s">
        <v>277</v>
      </c>
      <c r="F57" t="s">
        <v>32</v>
      </c>
      <c r="G57" t="s">
        <v>122</v>
      </c>
      <c r="H57" t="s">
        <v>278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279</v>
      </c>
      <c r="B58" t="s">
        <v>14</v>
      </c>
      <c r="C58" t="s">
        <v>15</v>
      </c>
      <c r="D58" t="s">
        <v>280</v>
      </c>
      <c r="E58" t="s">
        <v>281</v>
      </c>
      <c r="F58" t="s">
        <v>32</v>
      </c>
      <c r="G58" t="s">
        <v>282</v>
      </c>
      <c r="H58" t="s">
        <v>283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284</v>
      </c>
      <c r="B59" t="s">
        <v>14</v>
      </c>
      <c r="C59" t="s">
        <v>15</v>
      </c>
      <c r="D59" t="s">
        <v>285</v>
      </c>
      <c r="E59" t="s">
        <v>286</v>
      </c>
      <c r="F59" t="s">
        <v>26</v>
      </c>
      <c r="G59" t="s">
        <v>287</v>
      </c>
      <c r="H59" t="s">
        <v>288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289</v>
      </c>
      <c r="B60" t="s">
        <v>14</v>
      </c>
      <c r="C60" t="s">
        <v>15</v>
      </c>
      <c r="D60" t="s">
        <v>290</v>
      </c>
      <c r="E60" t="s">
        <v>291</v>
      </c>
      <c r="F60" t="s">
        <v>292</v>
      </c>
      <c r="G60" t="s">
        <v>293</v>
      </c>
      <c r="H60" t="s">
        <v>294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295</v>
      </c>
      <c r="B61" t="s">
        <v>14</v>
      </c>
      <c r="C61" t="s">
        <v>15</v>
      </c>
      <c r="D61" t="s">
        <v>296</v>
      </c>
      <c r="E61" t="s">
        <v>297</v>
      </c>
      <c r="F61" t="s">
        <v>43</v>
      </c>
      <c r="G61" t="s">
        <v>78</v>
      </c>
      <c r="H61" t="s">
        <v>298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299</v>
      </c>
      <c r="B62" t="s">
        <v>14</v>
      </c>
      <c r="C62" t="s">
        <v>15</v>
      </c>
      <c r="D62" t="s">
        <v>300</v>
      </c>
      <c r="E62" t="s">
        <v>301</v>
      </c>
      <c r="F62" t="s">
        <v>43</v>
      </c>
      <c r="G62" t="s">
        <v>78</v>
      </c>
      <c r="H62" t="s">
        <v>302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303</v>
      </c>
      <c r="B63" t="s">
        <v>14</v>
      </c>
      <c r="C63" t="s">
        <v>15</v>
      </c>
      <c r="D63" t="s">
        <v>304</v>
      </c>
      <c r="E63" t="s">
        <v>305</v>
      </c>
      <c r="F63" t="s">
        <v>43</v>
      </c>
      <c r="G63" t="s">
        <v>78</v>
      </c>
      <c r="H63" t="s">
        <v>306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307</v>
      </c>
      <c r="B64" t="s">
        <v>14</v>
      </c>
      <c r="C64" t="s">
        <v>15</v>
      </c>
      <c r="D64" t="s">
        <v>308</v>
      </c>
      <c r="E64" t="s">
        <v>309</v>
      </c>
      <c r="F64" t="s">
        <v>43</v>
      </c>
      <c r="G64" t="s">
        <v>98</v>
      </c>
      <c r="H64" t="s">
        <v>310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311</v>
      </c>
      <c r="B65" t="s">
        <v>14</v>
      </c>
      <c r="C65" t="s">
        <v>15</v>
      </c>
      <c r="D65" t="s">
        <v>312</v>
      </c>
      <c r="E65" t="s">
        <v>313</v>
      </c>
      <c r="F65" t="s">
        <v>43</v>
      </c>
      <c r="G65" t="s">
        <v>98</v>
      </c>
      <c r="H65" t="s">
        <v>314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315</v>
      </c>
      <c r="B66" t="s">
        <v>14</v>
      </c>
      <c r="C66" t="s">
        <v>15</v>
      </c>
      <c r="D66" t="s">
        <v>316</v>
      </c>
      <c r="E66" t="s">
        <v>317</v>
      </c>
      <c r="F66" t="s">
        <v>43</v>
      </c>
      <c r="G66" t="s">
        <v>318</v>
      </c>
      <c r="H66" t="s">
        <v>319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320</v>
      </c>
      <c r="B67" t="s">
        <v>14</v>
      </c>
      <c r="C67" t="s">
        <v>15</v>
      </c>
      <c r="D67" t="s">
        <v>321</v>
      </c>
      <c r="E67" t="s">
        <v>322</v>
      </c>
      <c r="F67" t="s">
        <v>43</v>
      </c>
      <c r="G67" t="s">
        <v>323</v>
      </c>
      <c r="H67" t="s">
        <v>324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325</v>
      </c>
      <c r="B68" t="s">
        <v>14</v>
      </c>
      <c r="C68" t="s">
        <v>15</v>
      </c>
      <c r="D68" t="s">
        <v>326</v>
      </c>
      <c r="E68" t="s">
        <v>327</v>
      </c>
      <c r="F68" t="s">
        <v>18</v>
      </c>
      <c r="G68" t="s">
        <v>49</v>
      </c>
      <c r="H68" t="s">
        <v>328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329</v>
      </c>
      <c r="B69" t="s">
        <v>14</v>
      </c>
      <c r="C69" t="s">
        <v>15</v>
      </c>
      <c r="D69" t="s">
        <v>330</v>
      </c>
      <c r="E69" t="s">
        <v>331</v>
      </c>
      <c r="F69" t="s">
        <v>292</v>
      </c>
      <c r="G69" t="s">
        <v>332</v>
      </c>
      <c r="H69" t="s">
        <v>333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334</v>
      </c>
      <c r="B70" t="s">
        <v>14</v>
      </c>
      <c r="C70" t="s">
        <v>15</v>
      </c>
      <c r="D70" t="s">
        <v>335</v>
      </c>
      <c r="E70" t="s">
        <v>336</v>
      </c>
      <c r="F70" t="s">
        <v>43</v>
      </c>
      <c r="G70" t="s">
        <v>337</v>
      </c>
      <c r="H70" t="s">
        <v>338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339</v>
      </c>
      <c r="B71" t="s">
        <v>14</v>
      </c>
      <c r="C71" t="s">
        <v>15</v>
      </c>
      <c r="D71" t="s">
        <v>340</v>
      </c>
      <c r="E71" t="s">
        <v>341</v>
      </c>
      <c r="F71" t="s">
        <v>26</v>
      </c>
      <c r="G71" t="s">
        <v>342</v>
      </c>
      <c r="H71" t="s">
        <v>343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344</v>
      </c>
      <c r="B72" t="s">
        <v>14</v>
      </c>
      <c r="C72" t="s">
        <v>15</v>
      </c>
      <c r="D72" t="s">
        <v>345</v>
      </c>
      <c r="E72" t="s">
        <v>346</v>
      </c>
      <c r="F72" t="s">
        <v>88</v>
      </c>
      <c r="G72" t="s">
        <v>347</v>
      </c>
      <c r="H72" t="s">
        <v>348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349</v>
      </c>
      <c r="B73" t="s">
        <v>14</v>
      </c>
      <c r="C73" t="s">
        <v>15</v>
      </c>
      <c r="D73" t="s">
        <v>350</v>
      </c>
      <c r="E73" t="s">
        <v>351</v>
      </c>
      <c r="F73" t="s">
        <v>32</v>
      </c>
      <c r="G73" t="s">
        <v>352</v>
      </c>
      <c r="H73" t="s">
        <v>353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354</v>
      </c>
      <c r="B74" t="s">
        <v>14</v>
      </c>
      <c r="C74" t="s">
        <v>15</v>
      </c>
      <c r="D74" t="s">
        <v>355</v>
      </c>
      <c r="E74" t="s">
        <v>356</v>
      </c>
      <c r="F74" t="s">
        <v>32</v>
      </c>
      <c r="G74" t="s">
        <v>352</v>
      </c>
      <c r="H74" t="s">
        <v>357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358</v>
      </c>
      <c r="B75" t="s">
        <v>14</v>
      </c>
      <c r="C75" t="s">
        <v>15</v>
      </c>
      <c r="D75" t="s">
        <v>359</v>
      </c>
      <c r="E75" t="s">
        <v>360</v>
      </c>
      <c r="F75" t="s">
        <v>18</v>
      </c>
      <c r="G75" t="s">
        <v>361</v>
      </c>
      <c r="H75" t="s">
        <v>362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363</v>
      </c>
      <c r="B76" t="s">
        <v>14</v>
      </c>
      <c r="C76" t="s">
        <v>15</v>
      </c>
      <c r="D76" t="s">
        <v>364</v>
      </c>
      <c r="E76" t="s">
        <v>365</v>
      </c>
      <c r="F76" t="s">
        <v>26</v>
      </c>
      <c r="G76" t="s">
        <v>366</v>
      </c>
      <c r="H76" t="s">
        <v>367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368</v>
      </c>
      <c r="B77" t="s">
        <v>14</v>
      </c>
      <c r="C77" t="s">
        <v>15</v>
      </c>
      <c r="D77" t="s">
        <v>369</v>
      </c>
      <c r="E77" t="s">
        <v>370</v>
      </c>
      <c r="F77" t="s">
        <v>18</v>
      </c>
      <c r="G77" t="s">
        <v>371</v>
      </c>
      <c r="H77" t="s">
        <v>372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373</v>
      </c>
      <c r="B78" t="s">
        <v>14</v>
      </c>
      <c r="C78" t="s">
        <v>15</v>
      </c>
      <c r="D78" t="s">
        <v>374</v>
      </c>
      <c r="E78" t="s">
        <v>375</v>
      </c>
      <c r="F78" t="s">
        <v>18</v>
      </c>
      <c r="G78" t="s">
        <v>371</v>
      </c>
      <c r="H78" t="s">
        <v>376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377</v>
      </c>
      <c r="B79" t="s">
        <v>14</v>
      </c>
      <c r="C79" t="s">
        <v>15</v>
      </c>
      <c r="D79" t="s">
        <v>378</v>
      </c>
      <c r="E79" t="s">
        <v>379</v>
      </c>
      <c r="F79" t="s">
        <v>43</v>
      </c>
      <c r="G79" t="s">
        <v>323</v>
      </c>
      <c r="H79" t="s">
        <v>380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381</v>
      </c>
      <c r="B80" t="s">
        <v>14</v>
      </c>
      <c r="C80" t="s">
        <v>15</v>
      </c>
      <c r="D80" t="s">
        <v>382</v>
      </c>
      <c r="E80" t="s">
        <v>383</v>
      </c>
      <c r="F80" t="s">
        <v>43</v>
      </c>
      <c r="G80" t="s">
        <v>384</v>
      </c>
      <c r="H80" t="s">
        <v>385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386</v>
      </c>
      <c r="B81" t="s">
        <v>14</v>
      </c>
      <c r="C81" t="s">
        <v>15</v>
      </c>
      <c r="D81" t="s">
        <v>387</v>
      </c>
      <c r="E81" t="s">
        <v>388</v>
      </c>
      <c r="F81" t="s">
        <v>26</v>
      </c>
      <c r="G81" t="s">
        <v>389</v>
      </c>
      <c r="H81" t="s">
        <v>390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391</v>
      </c>
      <c r="B82" t="s">
        <v>14</v>
      </c>
      <c r="C82" t="s">
        <v>15</v>
      </c>
      <c r="D82" t="s">
        <v>392</v>
      </c>
      <c r="E82" t="s">
        <v>393</v>
      </c>
      <c r="F82" t="s">
        <v>43</v>
      </c>
      <c r="G82" t="s">
        <v>78</v>
      </c>
      <c r="H82" t="s">
        <v>394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395</v>
      </c>
      <c r="B83" t="s">
        <v>14</v>
      </c>
      <c r="C83" t="s">
        <v>15</v>
      </c>
      <c r="D83" t="s">
        <v>396</v>
      </c>
      <c r="E83" t="s">
        <v>397</v>
      </c>
      <c r="F83" t="s">
        <v>26</v>
      </c>
      <c r="G83" t="s">
        <v>27</v>
      </c>
      <c r="H83" t="s">
        <v>398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399</v>
      </c>
      <c r="B84" t="s">
        <v>14</v>
      </c>
      <c r="C84" t="s">
        <v>15</v>
      </c>
      <c r="D84" t="s">
        <v>400</v>
      </c>
      <c r="E84" t="s">
        <v>401</v>
      </c>
      <c r="F84" t="s">
        <v>32</v>
      </c>
      <c r="G84" t="s">
        <v>60</v>
      </c>
      <c r="H84" t="s">
        <v>402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403</v>
      </c>
      <c r="B85" t="s">
        <v>14</v>
      </c>
      <c r="C85" t="s">
        <v>15</v>
      </c>
      <c r="D85" t="s">
        <v>404</v>
      </c>
      <c r="E85" t="s">
        <v>405</v>
      </c>
      <c r="F85" t="s">
        <v>18</v>
      </c>
      <c r="G85" t="s">
        <v>49</v>
      </c>
      <c r="H85" t="s">
        <v>406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407</v>
      </c>
      <c r="B86" t="s">
        <v>14</v>
      </c>
      <c r="C86" t="s">
        <v>15</v>
      </c>
      <c r="D86" t="s">
        <v>408</v>
      </c>
      <c r="E86" t="s">
        <v>409</v>
      </c>
      <c r="F86" t="s">
        <v>32</v>
      </c>
      <c r="G86" t="s">
        <v>410</v>
      </c>
      <c r="H86" t="s">
        <v>411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412</v>
      </c>
      <c r="B87" t="s">
        <v>14</v>
      </c>
      <c r="C87" t="s">
        <v>15</v>
      </c>
      <c r="D87" t="s">
        <v>413</v>
      </c>
      <c r="E87" t="s">
        <v>414</v>
      </c>
      <c r="F87" t="s">
        <v>32</v>
      </c>
      <c r="G87" t="s">
        <v>415</v>
      </c>
      <c r="H87" t="s">
        <v>416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417</v>
      </c>
      <c r="B88" t="s">
        <v>14</v>
      </c>
      <c r="C88" t="s">
        <v>15</v>
      </c>
      <c r="D88" t="s">
        <v>418</v>
      </c>
      <c r="E88" t="s">
        <v>419</v>
      </c>
      <c r="F88" t="s">
        <v>26</v>
      </c>
      <c r="G88" t="s">
        <v>155</v>
      </c>
      <c r="H88" t="s">
        <v>420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421</v>
      </c>
      <c r="B89" t="s">
        <v>14</v>
      </c>
      <c r="C89" t="s">
        <v>15</v>
      </c>
      <c r="D89" t="s">
        <v>422</v>
      </c>
      <c r="E89" t="s">
        <v>423</v>
      </c>
      <c r="F89" t="s">
        <v>26</v>
      </c>
      <c r="G89" t="s">
        <v>389</v>
      </c>
      <c r="H89" t="s">
        <v>424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425</v>
      </c>
      <c r="B90" t="s">
        <v>14</v>
      </c>
      <c r="C90" t="s">
        <v>15</v>
      </c>
      <c r="D90" t="s">
        <v>426</v>
      </c>
      <c r="E90" t="s">
        <v>427</v>
      </c>
      <c r="F90" t="s">
        <v>26</v>
      </c>
      <c r="G90" t="s">
        <v>428</v>
      </c>
      <c r="H90" t="s">
        <v>429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430</v>
      </c>
      <c r="B91" t="s">
        <v>14</v>
      </c>
      <c r="C91" t="s">
        <v>15</v>
      </c>
      <c r="D91" t="s">
        <v>431</v>
      </c>
      <c r="E91" t="s">
        <v>432</v>
      </c>
      <c r="F91" t="s">
        <v>32</v>
      </c>
      <c r="G91" t="s">
        <v>433</v>
      </c>
      <c r="H91" t="s">
        <v>434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435</v>
      </c>
      <c r="B92" t="s">
        <v>14</v>
      </c>
      <c r="C92" t="s">
        <v>15</v>
      </c>
      <c r="D92" t="s">
        <v>436</v>
      </c>
      <c r="E92" t="s">
        <v>437</v>
      </c>
      <c r="F92" t="s">
        <v>32</v>
      </c>
      <c r="G92" t="s">
        <v>428</v>
      </c>
      <c r="H92" t="s">
        <v>438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439</v>
      </c>
      <c r="B93" t="s">
        <v>14</v>
      </c>
      <c r="C93" t="s">
        <v>15</v>
      </c>
      <c r="D93" t="s">
        <v>440</v>
      </c>
      <c r="E93" t="s">
        <v>441</v>
      </c>
      <c r="F93" t="s">
        <v>442</v>
      </c>
      <c r="G93" t="s">
        <v>443</v>
      </c>
      <c r="H93" t="s">
        <v>444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445</v>
      </c>
      <c r="B94" t="s">
        <v>14</v>
      </c>
      <c r="C94" t="s">
        <v>15</v>
      </c>
      <c r="D94" t="s">
        <v>446</v>
      </c>
      <c r="E94" t="s">
        <v>447</v>
      </c>
      <c r="F94" t="s">
        <v>43</v>
      </c>
      <c r="G94" t="s">
        <v>78</v>
      </c>
      <c r="H94" t="s">
        <v>448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449</v>
      </c>
      <c r="B95" t="s">
        <v>14</v>
      </c>
      <c r="C95" t="s">
        <v>15</v>
      </c>
      <c r="D95" t="s">
        <v>450</v>
      </c>
      <c r="E95" t="s">
        <v>451</v>
      </c>
      <c r="F95" t="s">
        <v>43</v>
      </c>
      <c r="G95" t="s">
        <v>318</v>
      </c>
      <c r="H95" t="s">
        <v>452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453</v>
      </c>
      <c r="B96" t="s">
        <v>14</v>
      </c>
      <c r="C96" t="s">
        <v>15</v>
      </c>
      <c r="D96" t="s">
        <v>454</v>
      </c>
      <c r="E96" t="s">
        <v>455</v>
      </c>
      <c r="F96" t="s">
        <v>32</v>
      </c>
      <c r="G96" t="s">
        <v>456</v>
      </c>
      <c r="H96" t="s">
        <v>457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458</v>
      </c>
      <c r="B97" t="s">
        <v>14</v>
      </c>
      <c r="C97" t="s">
        <v>15</v>
      </c>
      <c r="D97" t="s">
        <v>459</v>
      </c>
      <c r="E97" t="s">
        <v>460</v>
      </c>
      <c r="F97" t="s">
        <v>18</v>
      </c>
      <c r="G97" t="s">
        <v>19</v>
      </c>
      <c r="H97" t="s">
        <v>461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462</v>
      </c>
      <c r="B98" t="s">
        <v>14</v>
      </c>
      <c r="C98" t="s">
        <v>15</v>
      </c>
      <c r="D98" t="s">
        <v>463</v>
      </c>
      <c r="E98" t="s">
        <v>464</v>
      </c>
      <c r="F98" t="s">
        <v>43</v>
      </c>
      <c r="G98" t="s">
        <v>337</v>
      </c>
      <c r="H98" t="s">
        <v>465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466</v>
      </c>
      <c r="B99" t="s">
        <v>14</v>
      </c>
      <c r="C99" t="s">
        <v>15</v>
      </c>
      <c r="D99" t="s">
        <v>467</v>
      </c>
      <c r="E99" t="s">
        <v>468</v>
      </c>
      <c r="F99" t="s">
        <v>43</v>
      </c>
      <c r="G99" t="s">
        <v>78</v>
      </c>
      <c r="H99" t="s">
        <v>469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470</v>
      </c>
      <c r="B100" t="s">
        <v>14</v>
      </c>
      <c r="C100" t="s">
        <v>15</v>
      </c>
      <c r="D100" t="s">
        <v>471</v>
      </c>
      <c r="E100" t="s">
        <v>472</v>
      </c>
      <c r="F100" t="s">
        <v>18</v>
      </c>
      <c r="G100" t="s">
        <v>269</v>
      </c>
      <c r="H100" t="s">
        <v>473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474</v>
      </c>
      <c r="B101" t="s">
        <v>14</v>
      </c>
      <c r="C101" t="s">
        <v>15</v>
      </c>
      <c r="D101" t="s">
        <v>475</v>
      </c>
      <c r="E101" t="s">
        <v>476</v>
      </c>
      <c r="F101" t="s">
        <v>32</v>
      </c>
      <c r="G101" t="s">
        <v>235</v>
      </c>
      <c r="H101" t="s">
        <v>477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478</v>
      </c>
      <c r="B102" t="s">
        <v>14</v>
      </c>
      <c r="C102" t="s">
        <v>15</v>
      </c>
      <c r="D102" t="s">
        <v>479</v>
      </c>
      <c r="E102" t="s">
        <v>480</v>
      </c>
      <c r="F102" t="s">
        <v>43</v>
      </c>
      <c r="G102" t="s">
        <v>384</v>
      </c>
      <c r="H102" t="s">
        <v>481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482</v>
      </c>
      <c r="B103" t="s">
        <v>14</v>
      </c>
      <c r="C103" t="s">
        <v>15</v>
      </c>
      <c r="D103" t="s">
        <v>483</v>
      </c>
      <c r="E103" t="s">
        <v>484</v>
      </c>
      <c r="F103" t="s">
        <v>32</v>
      </c>
      <c r="G103" t="s">
        <v>131</v>
      </c>
      <c r="H103" t="s">
        <v>485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486</v>
      </c>
      <c r="B104" t="s">
        <v>14</v>
      </c>
      <c r="C104" t="s">
        <v>15</v>
      </c>
      <c r="D104" t="s">
        <v>487</v>
      </c>
      <c r="E104" t="s">
        <v>488</v>
      </c>
      <c r="F104" t="s">
        <v>43</v>
      </c>
      <c r="G104" t="s">
        <v>489</v>
      </c>
      <c r="H104" t="s">
        <v>490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491</v>
      </c>
      <c r="B105" t="s">
        <v>14</v>
      </c>
      <c r="C105" t="s">
        <v>15</v>
      </c>
      <c r="D105" t="s">
        <v>492</v>
      </c>
      <c r="E105" t="s">
        <v>493</v>
      </c>
      <c r="F105" t="s">
        <v>32</v>
      </c>
      <c r="G105" t="s">
        <v>60</v>
      </c>
      <c r="H105" t="s">
        <v>494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495</v>
      </c>
      <c r="B106" t="s">
        <v>14</v>
      </c>
      <c r="C106" t="s">
        <v>15</v>
      </c>
      <c r="D106" t="s">
        <v>496</v>
      </c>
      <c r="E106" t="s">
        <v>497</v>
      </c>
      <c r="F106" t="s">
        <v>18</v>
      </c>
      <c r="G106" t="s">
        <v>498</v>
      </c>
      <c r="H106" t="s">
        <v>499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500</v>
      </c>
      <c r="B107" t="s">
        <v>14</v>
      </c>
      <c r="C107" t="s">
        <v>15</v>
      </c>
      <c r="D107" t="s">
        <v>501</v>
      </c>
      <c r="E107" t="s">
        <v>502</v>
      </c>
      <c r="F107" t="s">
        <v>43</v>
      </c>
      <c r="G107" t="s">
        <v>337</v>
      </c>
      <c r="H107" t="s">
        <v>503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504</v>
      </c>
      <c r="B108" t="s">
        <v>14</v>
      </c>
      <c r="C108" t="s">
        <v>15</v>
      </c>
      <c r="D108" t="s">
        <v>505</v>
      </c>
      <c r="E108" t="s">
        <v>506</v>
      </c>
      <c r="F108" t="s">
        <v>43</v>
      </c>
      <c r="G108" t="s">
        <v>337</v>
      </c>
      <c r="H108" t="s">
        <v>507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508</v>
      </c>
      <c r="B109" t="s">
        <v>14</v>
      </c>
      <c r="C109" t="s">
        <v>15</v>
      </c>
      <c r="D109" t="s">
        <v>509</v>
      </c>
      <c r="E109" t="s">
        <v>510</v>
      </c>
      <c r="F109" t="s">
        <v>43</v>
      </c>
      <c r="G109" t="s">
        <v>337</v>
      </c>
      <c r="H109" t="s">
        <v>511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512</v>
      </c>
      <c r="B110" t="s">
        <v>14</v>
      </c>
      <c r="C110" t="s">
        <v>15</v>
      </c>
      <c r="D110" t="s">
        <v>513</v>
      </c>
      <c r="E110" t="s">
        <v>514</v>
      </c>
      <c r="F110" t="s">
        <v>88</v>
      </c>
      <c r="G110" t="s">
        <v>89</v>
      </c>
      <c r="H110" t="s">
        <v>515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516</v>
      </c>
      <c r="B111" t="s">
        <v>14</v>
      </c>
      <c r="C111" t="s">
        <v>15</v>
      </c>
      <c r="D111" t="s">
        <v>517</v>
      </c>
      <c r="E111" t="s">
        <v>518</v>
      </c>
      <c r="F111" t="s">
        <v>18</v>
      </c>
      <c r="G111" t="s">
        <v>371</v>
      </c>
      <c r="H111" t="s">
        <v>519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520</v>
      </c>
      <c r="B112" t="s">
        <v>14</v>
      </c>
      <c r="C112" t="s">
        <v>15</v>
      </c>
      <c r="D112" t="s">
        <v>521</v>
      </c>
      <c r="E112" t="s">
        <v>522</v>
      </c>
      <c r="F112" t="s">
        <v>18</v>
      </c>
      <c r="G112" t="s">
        <v>371</v>
      </c>
      <c r="H112" t="s">
        <v>523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524</v>
      </c>
      <c r="B113" t="s">
        <v>14</v>
      </c>
      <c r="C113" t="s">
        <v>15</v>
      </c>
      <c r="D113" t="s">
        <v>525</v>
      </c>
      <c r="E113" t="s">
        <v>526</v>
      </c>
      <c r="F113" t="s">
        <v>442</v>
      </c>
      <c r="G113" t="s">
        <v>443</v>
      </c>
      <c r="H113" t="s">
        <v>527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528</v>
      </c>
      <c r="B114" t="s">
        <v>14</v>
      </c>
      <c r="C114" t="s">
        <v>15</v>
      </c>
      <c r="D114" t="s">
        <v>529</v>
      </c>
      <c r="E114" t="s">
        <v>530</v>
      </c>
      <c r="F114" t="s">
        <v>531</v>
      </c>
      <c r="G114" t="s">
        <v>532</v>
      </c>
      <c r="H114" t="s">
        <v>533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534</v>
      </c>
      <c r="B115" t="s">
        <v>14</v>
      </c>
      <c r="C115" t="s">
        <v>15</v>
      </c>
      <c r="D115" t="s">
        <v>535</v>
      </c>
      <c r="E115" t="s">
        <v>536</v>
      </c>
      <c r="F115" t="s">
        <v>43</v>
      </c>
      <c r="G115" t="s">
        <v>489</v>
      </c>
      <c r="H115" t="s">
        <v>537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538</v>
      </c>
      <c r="B116" t="s">
        <v>14</v>
      </c>
      <c r="C116" t="s">
        <v>15</v>
      </c>
      <c r="D116" t="s">
        <v>539</v>
      </c>
      <c r="E116" t="s">
        <v>540</v>
      </c>
      <c r="F116" t="s">
        <v>43</v>
      </c>
      <c r="G116" t="s">
        <v>78</v>
      </c>
      <c r="H116" t="s">
        <v>541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542</v>
      </c>
      <c r="B117" t="s">
        <v>14</v>
      </c>
      <c r="C117" t="s">
        <v>15</v>
      </c>
      <c r="D117" t="s">
        <v>543</v>
      </c>
      <c r="E117" t="s">
        <v>544</v>
      </c>
      <c r="F117" t="s">
        <v>54</v>
      </c>
      <c r="G117" t="s">
        <v>545</v>
      </c>
      <c r="H117" t="s">
        <v>546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547</v>
      </c>
      <c r="B118" t="s">
        <v>14</v>
      </c>
      <c r="C118" t="s">
        <v>15</v>
      </c>
      <c r="D118" t="s">
        <v>548</v>
      </c>
      <c r="E118" t="s">
        <v>549</v>
      </c>
      <c r="F118" t="s">
        <v>26</v>
      </c>
      <c r="G118" t="s">
        <v>550</v>
      </c>
      <c r="H118" t="s">
        <v>551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552</v>
      </c>
      <c r="B119" t="s">
        <v>14</v>
      </c>
      <c r="C119" t="s">
        <v>15</v>
      </c>
      <c r="D119" t="s">
        <v>553</v>
      </c>
      <c r="E119" t="s">
        <v>554</v>
      </c>
      <c r="F119" t="s">
        <v>26</v>
      </c>
      <c r="G119" t="s">
        <v>555</v>
      </c>
      <c r="H119" t="s">
        <v>556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557</v>
      </c>
      <c r="B120" t="s">
        <v>14</v>
      </c>
      <c r="C120" t="s">
        <v>15</v>
      </c>
      <c r="D120" t="s">
        <v>558</v>
      </c>
      <c r="E120" t="s">
        <v>559</v>
      </c>
      <c r="F120" t="s">
        <v>26</v>
      </c>
      <c r="G120" t="s">
        <v>389</v>
      </c>
      <c r="H120" t="s">
        <v>560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561</v>
      </c>
      <c r="B121" t="s">
        <v>14</v>
      </c>
      <c r="C121" t="s">
        <v>15</v>
      </c>
      <c r="D121" t="s">
        <v>562</v>
      </c>
      <c r="E121" t="s">
        <v>563</v>
      </c>
      <c r="F121" t="s">
        <v>43</v>
      </c>
      <c r="G121" t="s">
        <v>78</v>
      </c>
      <c r="H121" t="s">
        <v>564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565</v>
      </c>
      <c r="B122" t="s">
        <v>14</v>
      </c>
      <c r="C122" t="s">
        <v>15</v>
      </c>
      <c r="D122" t="s">
        <v>566</v>
      </c>
      <c r="E122" t="s">
        <v>567</v>
      </c>
      <c r="F122" t="s">
        <v>32</v>
      </c>
      <c r="G122" t="s">
        <v>568</v>
      </c>
      <c r="H122" t="s">
        <v>569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570</v>
      </c>
      <c r="B123" t="s">
        <v>14</v>
      </c>
      <c r="C123" t="s">
        <v>15</v>
      </c>
      <c r="D123" t="s">
        <v>571</v>
      </c>
      <c r="E123" t="s">
        <v>572</v>
      </c>
      <c r="F123" t="s">
        <v>32</v>
      </c>
      <c r="G123" t="s">
        <v>60</v>
      </c>
      <c r="H123" t="s">
        <v>573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574</v>
      </c>
      <c r="B124" t="s">
        <v>14</v>
      </c>
      <c r="C124" t="s">
        <v>15</v>
      </c>
      <c r="D124" t="s">
        <v>575</v>
      </c>
      <c r="E124" t="s">
        <v>576</v>
      </c>
      <c r="F124" t="s">
        <v>26</v>
      </c>
      <c r="G124" t="s">
        <v>577</v>
      </c>
      <c r="H124" t="s">
        <v>578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579</v>
      </c>
      <c r="B125" t="s">
        <v>14</v>
      </c>
      <c r="C125" t="s">
        <v>15</v>
      </c>
      <c r="D125" t="s">
        <v>580</v>
      </c>
      <c r="E125" t="s">
        <v>581</v>
      </c>
      <c r="F125" t="s">
        <v>18</v>
      </c>
      <c r="G125" t="s">
        <v>371</v>
      </c>
      <c r="H125" t="s">
        <v>582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583</v>
      </c>
      <c r="B126" t="s">
        <v>14</v>
      </c>
      <c r="C126" t="s">
        <v>15</v>
      </c>
      <c r="D126" t="s">
        <v>584</v>
      </c>
      <c r="E126" t="s">
        <v>585</v>
      </c>
      <c r="F126" t="s">
        <v>43</v>
      </c>
      <c r="G126" t="s">
        <v>384</v>
      </c>
      <c r="H126" t="s">
        <v>586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587</v>
      </c>
      <c r="B127" t="s">
        <v>14</v>
      </c>
      <c r="C127" t="s">
        <v>15</v>
      </c>
      <c r="D127" t="s">
        <v>588</v>
      </c>
      <c r="E127" t="s">
        <v>589</v>
      </c>
      <c r="F127" t="s">
        <v>43</v>
      </c>
      <c r="G127" t="s">
        <v>323</v>
      </c>
      <c r="H127" t="s">
        <v>590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591</v>
      </c>
      <c r="B128" t="s">
        <v>14</v>
      </c>
      <c r="C128" t="s">
        <v>15</v>
      </c>
      <c r="D128" t="s">
        <v>592</v>
      </c>
      <c r="E128" t="s">
        <v>593</v>
      </c>
      <c r="F128" t="s">
        <v>43</v>
      </c>
      <c r="G128" t="s">
        <v>384</v>
      </c>
      <c r="H128" t="s">
        <v>594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595</v>
      </c>
      <c r="B129" t="s">
        <v>14</v>
      </c>
      <c r="C129" t="s">
        <v>15</v>
      </c>
      <c r="D129" t="s">
        <v>596</v>
      </c>
      <c r="E129" t="s">
        <v>597</v>
      </c>
      <c r="F129" t="s">
        <v>43</v>
      </c>
      <c r="G129" t="s">
        <v>489</v>
      </c>
      <c r="H129" t="s">
        <v>598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599</v>
      </c>
      <c r="B130" t="s">
        <v>14</v>
      </c>
      <c r="C130" t="s">
        <v>15</v>
      </c>
      <c r="D130" t="s">
        <v>600</v>
      </c>
      <c r="E130" t="s">
        <v>601</v>
      </c>
      <c r="F130" t="s">
        <v>292</v>
      </c>
      <c r="G130" t="s">
        <v>602</v>
      </c>
      <c r="H130" t="s">
        <v>603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604</v>
      </c>
      <c r="B131" t="s">
        <v>14</v>
      </c>
      <c r="C131" t="s">
        <v>15</v>
      </c>
      <c r="D131" t="s">
        <v>605</v>
      </c>
      <c r="E131" t="s">
        <v>606</v>
      </c>
      <c r="F131" t="s">
        <v>18</v>
      </c>
      <c r="G131" t="s">
        <v>607</v>
      </c>
      <c r="H131" t="s">
        <v>608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609</v>
      </c>
      <c r="B132" t="s">
        <v>14</v>
      </c>
      <c r="C132" t="s">
        <v>15</v>
      </c>
      <c r="D132" t="s">
        <v>610</v>
      </c>
      <c r="E132" t="s">
        <v>611</v>
      </c>
      <c r="F132" t="s">
        <v>43</v>
      </c>
      <c r="G132" t="s">
        <v>78</v>
      </c>
      <c r="H132" t="s">
        <v>612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613</v>
      </c>
      <c r="B133" t="s">
        <v>14</v>
      </c>
      <c r="C133" t="s">
        <v>15</v>
      </c>
      <c r="D133" t="s">
        <v>614</v>
      </c>
      <c r="E133" t="s">
        <v>615</v>
      </c>
      <c r="F133" t="s">
        <v>43</v>
      </c>
      <c r="G133" t="s">
        <v>78</v>
      </c>
      <c r="H133" t="s">
        <v>616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617</v>
      </c>
      <c r="B134" t="s">
        <v>14</v>
      </c>
      <c r="C134" t="s">
        <v>15</v>
      </c>
      <c r="D134" t="s">
        <v>618</v>
      </c>
      <c r="E134" t="s">
        <v>619</v>
      </c>
      <c r="F134" t="s">
        <v>43</v>
      </c>
      <c r="G134" t="s">
        <v>78</v>
      </c>
      <c r="H134" t="s">
        <v>620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621</v>
      </c>
      <c r="B135" t="s">
        <v>14</v>
      </c>
      <c r="C135" t="s">
        <v>15</v>
      </c>
      <c r="D135" t="s">
        <v>622</v>
      </c>
      <c r="E135" t="s">
        <v>623</v>
      </c>
      <c r="F135" t="s">
        <v>43</v>
      </c>
      <c r="G135" t="s">
        <v>78</v>
      </c>
      <c r="H135" t="s">
        <v>624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625</v>
      </c>
      <c r="B136" t="s">
        <v>14</v>
      </c>
      <c r="C136" t="s">
        <v>15</v>
      </c>
      <c r="D136" t="s">
        <v>626</v>
      </c>
      <c r="E136" t="s">
        <v>627</v>
      </c>
      <c r="F136" t="s">
        <v>26</v>
      </c>
      <c r="G136" t="s">
        <v>155</v>
      </c>
      <c r="H136" t="s">
        <v>628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629</v>
      </c>
      <c r="B137" t="s">
        <v>14</v>
      </c>
      <c r="C137" t="s">
        <v>15</v>
      </c>
      <c r="D137" t="s">
        <v>630</v>
      </c>
      <c r="E137" t="s">
        <v>631</v>
      </c>
      <c r="F137" t="s">
        <v>26</v>
      </c>
      <c r="G137" t="s">
        <v>155</v>
      </c>
      <c r="H137" t="s">
        <v>632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633</v>
      </c>
      <c r="B138" t="s">
        <v>14</v>
      </c>
      <c r="C138" t="s">
        <v>15</v>
      </c>
      <c r="D138" t="s">
        <v>634</v>
      </c>
      <c r="E138" t="s">
        <v>635</v>
      </c>
      <c r="F138" t="s">
        <v>43</v>
      </c>
      <c r="G138" t="s">
        <v>78</v>
      </c>
      <c r="H138" t="s">
        <v>636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637</v>
      </c>
      <c r="B139" t="s">
        <v>14</v>
      </c>
      <c r="C139" t="s">
        <v>15</v>
      </c>
      <c r="D139" t="s">
        <v>638</v>
      </c>
      <c r="E139" t="s">
        <v>639</v>
      </c>
      <c r="F139" t="s">
        <v>43</v>
      </c>
      <c r="G139" t="s">
        <v>384</v>
      </c>
      <c r="H139" t="s">
        <v>640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641</v>
      </c>
      <c r="B140" t="s">
        <v>14</v>
      </c>
      <c r="C140" t="s">
        <v>15</v>
      </c>
      <c r="D140" t="s">
        <v>642</v>
      </c>
      <c r="E140" t="s">
        <v>643</v>
      </c>
      <c r="F140" t="s">
        <v>32</v>
      </c>
      <c r="G140" t="s">
        <v>122</v>
      </c>
      <c r="H140" t="s">
        <v>644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645</v>
      </c>
      <c r="B141" t="s">
        <v>14</v>
      </c>
      <c r="C141" t="s">
        <v>15</v>
      </c>
      <c r="D141" t="s">
        <v>646</v>
      </c>
      <c r="E141" t="s">
        <v>647</v>
      </c>
      <c r="F141" t="s">
        <v>43</v>
      </c>
      <c r="G141" t="s">
        <v>384</v>
      </c>
      <c r="H141" t="s">
        <v>648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649</v>
      </c>
      <c r="B142" t="s">
        <v>14</v>
      </c>
      <c r="C142" t="s">
        <v>15</v>
      </c>
      <c r="D142" t="s">
        <v>650</v>
      </c>
      <c r="E142" t="s">
        <v>651</v>
      </c>
      <c r="F142" t="s">
        <v>43</v>
      </c>
      <c r="G142" t="s">
        <v>337</v>
      </c>
      <c r="H142" t="s">
        <v>652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653</v>
      </c>
      <c r="B143" t="s">
        <v>14</v>
      </c>
      <c r="C143" t="s">
        <v>15</v>
      </c>
      <c r="D143" t="s">
        <v>654</v>
      </c>
      <c r="E143" t="s">
        <v>655</v>
      </c>
      <c r="F143" t="s">
        <v>43</v>
      </c>
      <c r="G143" t="s">
        <v>384</v>
      </c>
      <c r="H143" t="s">
        <v>656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657</v>
      </c>
      <c r="B144" t="s">
        <v>14</v>
      </c>
      <c r="C144" t="s">
        <v>15</v>
      </c>
      <c r="D144" t="s">
        <v>658</v>
      </c>
      <c r="E144" t="s">
        <v>659</v>
      </c>
      <c r="F144" t="s">
        <v>43</v>
      </c>
      <c r="G144" t="s">
        <v>660</v>
      </c>
      <c r="H144" t="s">
        <v>661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662</v>
      </c>
      <c r="B145" t="s">
        <v>14</v>
      </c>
      <c r="C145" t="s">
        <v>15</v>
      </c>
      <c r="D145" t="s">
        <v>663</v>
      </c>
      <c r="E145" t="s">
        <v>664</v>
      </c>
      <c r="F145" t="s">
        <v>18</v>
      </c>
      <c r="G145" t="s">
        <v>498</v>
      </c>
      <c r="H145" t="s">
        <v>665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666</v>
      </c>
      <c r="B146" t="s">
        <v>14</v>
      </c>
      <c r="C146" t="s">
        <v>15</v>
      </c>
      <c r="D146" t="s">
        <v>667</v>
      </c>
      <c r="E146" t="s">
        <v>668</v>
      </c>
      <c r="F146" t="s">
        <v>43</v>
      </c>
      <c r="G146" t="s">
        <v>78</v>
      </c>
      <c r="H146" t="s">
        <v>669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670</v>
      </c>
      <c r="B147" t="s">
        <v>14</v>
      </c>
      <c r="C147" t="s">
        <v>15</v>
      </c>
      <c r="D147" t="s">
        <v>671</v>
      </c>
      <c r="E147" t="s">
        <v>672</v>
      </c>
      <c r="F147" t="s">
        <v>43</v>
      </c>
      <c r="G147" t="s">
        <v>337</v>
      </c>
      <c r="H147" t="s">
        <v>673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674</v>
      </c>
      <c r="B148" t="s">
        <v>14</v>
      </c>
      <c r="C148" t="s">
        <v>15</v>
      </c>
      <c r="D148" t="s">
        <v>675</v>
      </c>
      <c r="E148" t="s">
        <v>676</v>
      </c>
      <c r="F148" t="s">
        <v>18</v>
      </c>
      <c r="G148" t="s">
        <v>260</v>
      </c>
      <c r="H148" t="s">
        <v>677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678</v>
      </c>
      <c r="B149" t="s">
        <v>14</v>
      </c>
      <c r="C149" t="s">
        <v>15</v>
      </c>
      <c r="D149" t="s">
        <v>679</v>
      </c>
      <c r="E149" t="s">
        <v>680</v>
      </c>
      <c r="F149" t="s">
        <v>43</v>
      </c>
      <c r="G149" t="s">
        <v>98</v>
      </c>
      <c r="H149" t="s">
        <v>681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682</v>
      </c>
      <c r="B150" t="s">
        <v>14</v>
      </c>
      <c r="C150" t="s">
        <v>15</v>
      </c>
      <c r="D150" t="s">
        <v>683</v>
      </c>
      <c r="E150" t="s">
        <v>684</v>
      </c>
      <c r="F150" t="s">
        <v>292</v>
      </c>
      <c r="G150" t="s">
        <v>685</v>
      </c>
      <c r="H150" t="s">
        <v>686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687</v>
      </c>
      <c r="B151" t="s">
        <v>14</v>
      </c>
      <c r="C151" t="s">
        <v>15</v>
      </c>
      <c r="D151" t="s">
        <v>688</v>
      </c>
      <c r="E151" t="s">
        <v>689</v>
      </c>
      <c r="F151" t="s">
        <v>26</v>
      </c>
      <c r="G151" t="s">
        <v>577</v>
      </c>
      <c r="H151" t="s">
        <v>690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691</v>
      </c>
      <c r="B152" t="s">
        <v>14</v>
      </c>
      <c r="C152" t="s">
        <v>15</v>
      </c>
      <c r="D152" t="s">
        <v>692</v>
      </c>
      <c r="E152" t="s">
        <v>693</v>
      </c>
      <c r="F152" t="s">
        <v>43</v>
      </c>
      <c r="G152" t="s">
        <v>384</v>
      </c>
      <c r="H152" t="s">
        <v>694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695</v>
      </c>
      <c r="B153" t="s">
        <v>14</v>
      </c>
      <c r="C153" t="s">
        <v>15</v>
      </c>
      <c r="D153" t="s">
        <v>696</v>
      </c>
      <c r="E153" t="s">
        <v>697</v>
      </c>
      <c r="F153" t="s">
        <v>43</v>
      </c>
      <c r="G153" t="s">
        <v>384</v>
      </c>
      <c r="H153" t="s">
        <v>698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699</v>
      </c>
      <c r="B154" t="s">
        <v>14</v>
      </c>
      <c r="C154" t="s">
        <v>15</v>
      </c>
      <c r="D154" t="s">
        <v>700</v>
      </c>
      <c r="E154" t="s">
        <v>701</v>
      </c>
      <c r="F154" t="s">
        <v>43</v>
      </c>
      <c r="G154" t="s">
        <v>141</v>
      </c>
      <c r="H154" t="s">
        <v>702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703</v>
      </c>
      <c r="B155" t="s">
        <v>14</v>
      </c>
      <c r="C155" t="s">
        <v>15</v>
      </c>
      <c r="D155" t="s">
        <v>704</v>
      </c>
      <c r="E155" t="s">
        <v>705</v>
      </c>
      <c r="F155" t="s">
        <v>43</v>
      </c>
      <c r="G155" t="s">
        <v>78</v>
      </c>
      <c r="H155" t="s">
        <v>706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707</v>
      </c>
      <c r="B156" t="s">
        <v>14</v>
      </c>
      <c r="C156" t="s">
        <v>15</v>
      </c>
      <c r="D156" t="s">
        <v>708</v>
      </c>
      <c r="E156" t="s">
        <v>709</v>
      </c>
      <c r="F156" t="s">
        <v>18</v>
      </c>
      <c r="G156" t="s">
        <v>19</v>
      </c>
      <c r="H156" t="s">
        <v>710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711</v>
      </c>
      <c r="B157" t="s">
        <v>14</v>
      </c>
      <c r="C157" t="s">
        <v>15</v>
      </c>
      <c r="D157" t="s">
        <v>712</v>
      </c>
      <c r="E157" t="s">
        <v>713</v>
      </c>
      <c r="F157" t="s">
        <v>54</v>
      </c>
      <c r="G157" t="s">
        <v>112</v>
      </c>
      <c r="H157" t="s">
        <v>714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715</v>
      </c>
      <c r="B158" t="s">
        <v>14</v>
      </c>
      <c r="C158" t="s">
        <v>15</v>
      </c>
      <c r="D158" t="s">
        <v>716</v>
      </c>
      <c r="E158" t="s">
        <v>717</v>
      </c>
      <c r="F158" t="s">
        <v>18</v>
      </c>
      <c r="G158" t="s">
        <v>371</v>
      </c>
      <c r="H158" t="s">
        <v>718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719</v>
      </c>
      <c r="B159" t="s">
        <v>14</v>
      </c>
      <c r="C159" t="s">
        <v>15</v>
      </c>
      <c r="D159" t="s">
        <v>720</v>
      </c>
      <c r="E159" t="s">
        <v>721</v>
      </c>
      <c r="F159" t="s">
        <v>531</v>
      </c>
      <c r="G159" t="s">
        <v>532</v>
      </c>
      <c r="H159" t="s">
        <v>722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723</v>
      </c>
      <c r="B160" t="s">
        <v>14</v>
      </c>
      <c r="C160" t="s">
        <v>15</v>
      </c>
      <c r="D160" t="s">
        <v>724</v>
      </c>
      <c r="E160" t="s">
        <v>725</v>
      </c>
      <c r="F160" t="s">
        <v>43</v>
      </c>
      <c r="G160" t="s">
        <v>78</v>
      </c>
      <c r="H160" t="s">
        <v>726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727</v>
      </c>
      <c r="B161" t="s">
        <v>14</v>
      </c>
      <c r="C161" t="s">
        <v>15</v>
      </c>
      <c r="D161" t="s">
        <v>728</v>
      </c>
      <c r="E161" t="s">
        <v>729</v>
      </c>
      <c r="F161" t="s">
        <v>43</v>
      </c>
      <c r="G161" t="s">
        <v>337</v>
      </c>
      <c r="H161" t="s">
        <v>730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731</v>
      </c>
      <c r="B162" t="s">
        <v>14</v>
      </c>
      <c r="C162" t="s">
        <v>15</v>
      </c>
      <c r="D162" t="s">
        <v>732</v>
      </c>
      <c r="E162" t="s">
        <v>733</v>
      </c>
      <c r="F162" t="s">
        <v>32</v>
      </c>
      <c r="G162" t="s">
        <v>136</v>
      </c>
      <c r="H162" t="s">
        <v>734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735</v>
      </c>
      <c r="B163" t="s">
        <v>14</v>
      </c>
      <c r="C163" t="s">
        <v>15</v>
      </c>
      <c r="D163" t="s">
        <v>736</v>
      </c>
      <c r="E163" t="s">
        <v>737</v>
      </c>
      <c r="F163" t="s">
        <v>18</v>
      </c>
      <c r="G163" t="s">
        <v>371</v>
      </c>
      <c r="H163" t="s">
        <v>738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739</v>
      </c>
      <c r="B164" t="s">
        <v>14</v>
      </c>
      <c r="C164" t="s">
        <v>15</v>
      </c>
      <c r="D164" t="s">
        <v>740</v>
      </c>
      <c r="E164" t="s">
        <v>741</v>
      </c>
      <c r="F164" t="s">
        <v>18</v>
      </c>
      <c r="G164" t="s">
        <v>498</v>
      </c>
      <c r="H164" t="s">
        <v>742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743</v>
      </c>
      <c r="B165" t="s">
        <v>14</v>
      </c>
      <c r="C165" t="s">
        <v>15</v>
      </c>
      <c r="D165" t="s">
        <v>744</v>
      </c>
      <c r="E165" t="s">
        <v>745</v>
      </c>
      <c r="F165" t="s">
        <v>43</v>
      </c>
      <c r="G165" t="s">
        <v>384</v>
      </c>
      <c r="H165" t="s">
        <v>746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747</v>
      </c>
      <c r="B166" t="s">
        <v>14</v>
      </c>
      <c r="C166" t="s">
        <v>15</v>
      </c>
      <c r="D166" t="s">
        <v>748</v>
      </c>
      <c r="E166" t="s">
        <v>749</v>
      </c>
      <c r="F166" t="s">
        <v>26</v>
      </c>
      <c r="G166" t="s">
        <v>361</v>
      </c>
      <c r="H166" t="s">
        <v>750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751</v>
      </c>
      <c r="B167" t="s">
        <v>14</v>
      </c>
      <c r="C167" t="s">
        <v>15</v>
      </c>
      <c r="D167" t="s">
        <v>752</v>
      </c>
      <c r="E167" t="s">
        <v>753</v>
      </c>
      <c r="F167" t="s">
        <v>18</v>
      </c>
      <c r="G167" t="s">
        <v>371</v>
      </c>
      <c r="H167" t="s">
        <v>754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755</v>
      </c>
      <c r="B168" t="s">
        <v>14</v>
      </c>
      <c r="C168" t="s">
        <v>15</v>
      </c>
      <c r="D168" t="s">
        <v>756</v>
      </c>
      <c r="E168" t="s">
        <v>757</v>
      </c>
      <c r="F168" t="s">
        <v>531</v>
      </c>
      <c r="G168" t="s">
        <v>758</v>
      </c>
      <c r="H168" t="s">
        <v>759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760</v>
      </c>
      <c r="B169" t="s">
        <v>14</v>
      </c>
      <c r="C169" t="s">
        <v>15</v>
      </c>
      <c r="D169" t="s">
        <v>761</v>
      </c>
      <c r="E169" t="s">
        <v>762</v>
      </c>
      <c r="F169" t="s">
        <v>32</v>
      </c>
      <c r="G169" t="s">
        <v>131</v>
      </c>
      <c r="H169" t="s">
        <v>763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764</v>
      </c>
      <c r="B170" t="s">
        <v>14</v>
      </c>
      <c r="C170" t="s">
        <v>15</v>
      </c>
      <c r="D170" t="s">
        <v>765</v>
      </c>
      <c r="E170" t="s">
        <v>766</v>
      </c>
      <c r="F170" t="s">
        <v>43</v>
      </c>
      <c r="G170" t="s">
        <v>78</v>
      </c>
      <c r="H170" t="s">
        <v>767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768</v>
      </c>
      <c r="B171" t="s">
        <v>14</v>
      </c>
      <c r="C171" t="s">
        <v>15</v>
      </c>
      <c r="D171" t="s">
        <v>769</v>
      </c>
      <c r="E171" t="s">
        <v>770</v>
      </c>
      <c r="F171" t="s">
        <v>18</v>
      </c>
      <c r="G171" t="s">
        <v>607</v>
      </c>
      <c r="H171" t="s">
        <v>771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772</v>
      </c>
      <c r="B172" t="s">
        <v>14</v>
      </c>
      <c r="C172" t="s">
        <v>15</v>
      </c>
      <c r="D172" t="s">
        <v>773</v>
      </c>
      <c r="E172" t="s">
        <v>774</v>
      </c>
      <c r="F172" t="s">
        <v>32</v>
      </c>
      <c r="G172" t="s">
        <v>178</v>
      </c>
      <c r="H172" t="s">
        <v>775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776</v>
      </c>
      <c r="B173" t="s">
        <v>14</v>
      </c>
      <c r="C173" t="s">
        <v>15</v>
      </c>
      <c r="D173" t="s">
        <v>777</v>
      </c>
      <c r="E173" t="s">
        <v>778</v>
      </c>
      <c r="F173" t="s">
        <v>18</v>
      </c>
      <c r="G173" t="s">
        <v>19</v>
      </c>
      <c r="H173" t="s">
        <v>779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780</v>
      </c>
      <c r="B174" t="s">
        <v>14</v>
      </c>
      <c r="C174" t="s">
        <v>15</v>
      </c>
      <c r="D174" t="s">
        <v>781</v>
      </c>
      <c r="E174" t="s">
        <v>782</v>
      </c>
      <c r="F174" t="s">
        <v>43</v>
      </c>
      <c r="G174" t="s">
        <v>78</v>
      </c>
      <c r="H174" t="s">
        <v>783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784</v>
      </c>
      <c r="B175" t="s">
        <v>14</v>
      </c>
      <c r="C175" t="s">
        <v>15</v>
      </c>
      <c r="D175" t="s">
        <v>785</v>
      </c>
      <c r="E175" t="s">
        <v>786</v>
      </c>
      <c r="F175" t="s">
        <v>26</v>
      </c>
      <c r="G175" t="s">
        <v>389</v>
      </c>
      <c r="H175" t="s">
        <v>787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788</v>
      </c>
      <c r="B176" t="s">
        <v>14</v>
      </c>
      <c r="C176" t="s">
        <v>15</v>
      </c>
      <c r="D176" t="s">
        <v>789</v>
      </c>
      <c r="E176" t="s">
        <v>790</v>
      </c>
      <c r="F176" t="s">
        <v>18</v>
      </c>
      <c r="G176" t="s">
        <v>19</v>
      </c>
      <c r="H176" t="s">
        <v>791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792</v>
      </c>
      <c r="B177" t="s">
        <v>14</v>
      </c>
      <c r="C177" t="s">
        <v>15</v>
      </c>
      <c r="D177" t="s">
        <v>793</v>
      </c>
      <c r="E177" t="s">
        <v>794</v>
      </c>
      <c r="F177" t="s">
        <v>43</v>
      </c>
      <c r="G177" t="s">
        <v>384</v>
      </c>
      <c r="H177" t="s">
        <v>795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796</v>
      </c>
      <c r="B178" t="s">
        <v>14</v>
      </c>
      <c r="C178" t="s">
        <v>15</v>
      </c>
      <c r="D178" t="s">
        <v>797</v>
      </c>
      <c r="E178" t="s">
        <v>798</v>
      </c>
      <c r="F178" t="s">
        <v>442</v>
      </c>
      <c r="G178" t="s">
        <v>799</v>
      </c>
      <c r="H178" t="s">
        <v>800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801</v>
      </c>
      <c r="B179" t="s">
        <v>14</v>
      </c>
      <c r="C179" t="s">
        <v>15</v>
      </c>
      <c r="D179" t="s">
        <v>802</v>
      </c>
      <c r="E179" t="s">
        <v>803</v>
      </c>
      <c r="F179" t="s">
        <v>32</v>
      </c>
      <c r="G179" t="s">
        <v>804</v>
      </c>
      <c r="H179" t="s">
        <v>805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806</v>
      </c>
      <c r="B180" t="s">
        <v>14</v>
      </c>
      <c r="C180" t="s">
        <v>15</v>
      </c>
      <c r="D180" t="s">
        <v>807</v>
      </c>
      <c r="E180" t="s">
        <v>808</v>
      </c>
      <c r="F180" t="s">
        <v>18</v>
      </c>
      <c r="G180" t="s">
        <v>49</v>
      </c>
      <c r="H180" t="s">
        <v>809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810</v>
      </c>
      <c r="B181" t="s">
        <v>14</v>
      </c>
      <c r="C181" t="s">
        <v>15</v>
      </c>
      <c r="D181" t="s">
        <v>811</v>
      </c>
      <c r="E181" t="s">
        <v>812</v>
      </c>
      <c r="F181" t="s">
        <v>43</v>
      </c>
      <c r="G181" t="s">
        <v>78</v>
      </c>
      <c r="H181" t="s">
        <v>813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814</v>
      </c>
      <c r="B182" t="s">
        <v>14</v>
      </c>
      <c r="C182" t="s">
        <v>15</v>
      </c>
      <c r="D182" t="s">
        <v>815</v>
      </c>
      <c r="E182" t="s">
        <v>816</v>
      </c>
      <c r="F182" t="s">
        <v>18</v>
      </c>
      <c r="G182" t="s">
        <v>498</v>
      </c>
      <c r="H182" t="s">
        <v>817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818</v>
      </c>
      <c r="B183" t="s">
        <v>14</v>
      </c>
      <c r="C183" t="s">
        <v>15</v>
      </c>
      <c r="D183" t="s">
        <v>819</v>
      </c>
      <c r="E183" t="s">
        <v>820</v>
      </c>
      <c r="F183" t="s">
        <v>26</v>
      </c>
      <c r="G183" t="s">
        <v>150</v>
      </c>
      <c r="H183" t="s">
        <v>821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822</v>
      </c>
      <c r="B184" t="s">
        <v>14</v>
      </c>
      <c r="C184" t="s">
        <v>15</v>
      </c>
      <c r="D184" t="s">
        <v>823</v>
      </c>
      <c r="E184" t="s">
        <v>824</v>
      </c>
      <c r="F184" t="s">
        <v>18</v>
      </c>
      <c r="G184" t="s">
        <v>49</v>
      </c>
      <c r="H184" t="s">
        <v>825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826</v>
      </c>
      <c r="B185" t="s">
        <v>14</v>
      </c>
      <c r="C185" t="s">
        <v>15</v>
      </c>
      <c r="D185" t="s">
        <v>827</v>
      </c>
      <c r="E185" t="s">
        <v>828</v>
      </c>
      <c r="F185" t="s">
        <v>43</v>
      </c>
      <c r="G185" t="s">
        <v>384</v>
      </c>
      <c r="H185" t="s">
        <v>829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830</v>
      </c>
      <c r="B186" t="s">
        <v>14</v>
      </c>
      <c r="C186" t="s">
        <v>15</v>
      </c>
      <c r="D186" t="s">
        <v>831</v>
      </c>
      <c r="E186" t="s">
        <v>832</v>
      </c>
      <c r="F186" t="s">
        <v>292</v>
      </c>
      <c r="G186" t="s">
        <v>833</v>
      </c>
      <c r="H186" t="s">
        <v>834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835</v>
      </c>
      <c r="B187" t="s">
        <v>14</v>
      </c>
      <c r="C187" t="s">
        <v>15</v>
      </c>
      <c r="D187" t="s">
        <v>836</v>
      </c>
      <c r="E187" t="s">
        <v>837</v>
      </c>
      <c r="F187" t="s">
        <v>32</v>
      </c>
      <c r="G187" t="s">
        <v>83</v>
      </c>
      <c r="H187" t="s">
        <v>838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839</v>
      </c>
      <c r="B188" t="s">
        <v>14</v>
      </c>
      <c r="C188" t="s">
        <v>15</v>
      </c>
      <c r="D188" t="s">
        <v>840</v>
      </c>
      <c r="E188" t="s">
        <v>841</v>
      </c>
      <c r="F188" t="s">
        <v>18</v>
      </c>
      <c r="G188" t="s">
        <v>498</v>
      </c>
      <c r="H188" t="s">
        <v>842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843</v>
      </c>
      <c r="B189" t="s">
        <v>14</v>
      </c>
      <c r="C189" t="s">
        <v>15</v>
      </c>
      <c r="D189" t="s">
        <v>844</v>
      </c>
      <c r="E189" t="s">
        <v>845</v>
      </c>
      <c r="F189" t="s">
        <v>442</v>
      </c>
      <c r="G189" t="s">
        <v>846</v>
      </c>
      <c r="H189" t="s">
        <v>847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848</v>
      </c>
      <c r="B190" t="s">
        <v>14</v>
      </c>
      <c r="C190" t="s">
        <v>15</v>
      </c>
      <c r="D190" t="s">
        <v>849</v>
      </c>
      <c r="E190" t="s">
        <v>850</v>
      </c>
      <c r="F190" t="s">
        <v>531</v>
      </c>
      <c r="G190" t="s">
        <v>532</v>
      </c>
      <c r="H190" t="s">
        <v>851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852</v>
      </c>
      <c r="B191" t="s">
        <v>14</v>
      </c>
      <c r="C191" t="s">
        <v>15</v>
      </c>
      <c r="D191" t="s">
        <v>853</v>
      </c>
      <c r="E191" t="s">
        <v>854</v>
      </c>
      <c r="F191" t="s">
        <v>43</v>
      </c>
      <c r="G191" t="s">
        <v>660</v>
      </c>
      <c r="H191" t="s">
        <v>855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856</v>
      </c>
      <c r="B192" t="s">
        <v>14</v>
      </c>
      <c r="C192" t="s">
        <v>15</v>
      </c>
      <c r="D192" t="s">
        <v>857</v>
      </c>
      <c r="E192" t="s">
        <v>858</v>
      </c>
      <c r="F192" t="s">
        <v>26</v>
      </c>
      <c r="G192" t="s">
        <v>27</v>
      </c>
      <c r="H192" t="s">
        <v>859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860</v>
      </c>
      <c r="B193" t="s">
        <v>14</v>
      </c>
      <c r="C193" t="s">
        <v>15</v>
      </c>
      <c r="D193" t="s">
        <v>861</v>
      </c>
      <c r="E193" t="s">
        <v>862</v>
      </c>
      <c r="F193" t="s">
        <v>43</v>
      </c>
      <c r="G193" t="s">
        <v>78</v>
      </c>
      <c r="H193" t="s">
        <v>863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864</v>
      </c>
      <c r="B194" t="s">
        <v>14</v>
      </c>
      <c r="C194" t="s">
        <v>15</v>
      </c>
      <c r="D194" t="s">
        <v>865</v>
      </c>
      <c r="E194" t="s">
        <v>866</v>
      </c>
      <c r="F194" t="s">
        <v>32</v>
      </c>
      <c r="G194" t="s">
        <v>532</v>
      </c>
      <c r="H194" t="s">
        <v>867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868</v>
      </c>
      <c r="B195" t="s">
        <v>14</v>
      </c>
      <c r="C195" t="s">
        <v>15</v>
      </c>
      <c r="D195" t="s">
        <v>869</v>
      </c>
      <c r="E195" t="s">
        <v>870</v>
      </c>
      <c r="F195" t="s">
        <v>43</v>
      </c>
      <c r="G195" t="s">
        <v>318</v>
      </c>
      <c r="H195" t="s">
        <v>871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872</v>
      </c>
      <c r="B196" t="s">
        <v>14</v>
      </c>
      <c r="C196" t="s">
        <v>15</v>
      </c>
      <c r="D196" t="s">
        <v>873</v>
      </c>
      <c r="E196" t="s">
        <v>874</v>
      </c>
      <c r="F196" t="s">
        <v>43</v>
      </c>
      <c r="G196" t="s">
        <v>337</v>
      </c>
      <c r="H196" t="s">
        <v>875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876</v>
      </c>
      <c r="B197" t="s">
        <v>14</v>
      </c>
      <c r="C197" t="s">
        <v>15</v>
      </c>
      <c r="D197" t="s">
        <v>877</v>
      </c>
      <c r="E197" t="s">
        <v>878</v>
      </c>
      <c r="F197" t="s">
        <v>43</v>
      </c>
      <c r="G197" t="s">
        <v>78</v>
      </c>
      <c r="H197" t="s">
        <v>879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880</v>
      </c>
      <c r="B198" t="s">
        <v>14</v>
      </c>
      <c r="C198" t="s">
        <v>15</v>
      </c>
      <c r="D198" t="s">
        <v>881</v>
      </c>
      <c r="E198" t="s">
        <v>882</v>
      </c>
      <c r="F198" t="s">
        <v>43</v>
      </c>
      <c r="G198" t="s">
        <v>337</v>
      </c>
      <c r="H198" t="s">
        <v>883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884</v>
      </c>
      <c r="B199" t="s">
        <v>14</v>
      </c>
      <c r="C199" t="s">
        <v>15</v>
      </c>
      <c r="D199" t="s">
        <v>885</v>
      </c>
      <c r="E199" t="s">
        <v>886</v>
      </c>
      <c r="F199" t="s">
        <v>43</v>
      </c>
      <c r="G199" t="s">
        <v>78</v>
      </c>
      <c r="H199" t="s">
        <v>887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888</v>
      </c>
      <c r="B200" t="s">
        <v>14</v>
      </c>
      <c r="C200" t="s">
        <v>15</v>
      </c>
      <c r="D200" t="s">
        <v>889</v>
      </c>
      <c r="E200" t="s">
        <v>890</v>
      </c>
      <c r="F200" t="s">
        <v>43</v>
      </c>
      <c r="G200" t="s">
        <v>660</v>
      </c>
      <c r="H200" t="s">
        <v>891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892</v>
      </c>
      <c r="B201" t="s">
        <v>14</v>
      </c>
      <c r="C201" t="s">
        <v>15</v>
      </c>
      <c r="D201" t="s">
        <v>893</v>
      </c>
      <c r="E201" t="s">
        <v>894</v>
      </c>
      <c r="F201" t="s">
        <v>43</v>
      </c>
      <c r="G201" t="s">
        <v>895</v>
      </c>
      <c r="H201" t="s">
        <v>896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897</v>
      </c>
      <c r="B202" t="s">
        <v>14</v>
      </c>
      <c r="C202" t="s">
        <v>15</v>
      </c>
      <c r="D202" t="s">
        <v>898</v>
      </c>
      <c r="E202" t="s">
        <v>899</v>
      </c>
      <c r="F202" t="s">
        <v>43</v>
      </c>
      <c r="G202" t="s">
        <v>98</v>
      </c>
      <c r="H202" t="s">
        <v>900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901</v>
      </c>
      <c r="B203" t="s">
        <v>14</v>
      </c>
      <c r="C203" t="s">
        <v>15</v>
      </c>
      <c r="D203" t="s">
        <v>902</v>
      </c>
      <c r="E203" t="s">
        <v>903</v>
      </c>
      <c r="F203" t="s">
        <v>32</v>
      </c>
      <c r="G203" t="s">
        <v>282</v>
      </c>
      <c r="H203" t="s">
        <v>904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905</v>
      </c>
      <c r="B204" t="s">
        <v>14</v>
      </c>
      <c r="C204" t="s">
        <v>15</v>
      </c>
      <c r="D204" t="s">
        <v>906</v>
      </c>
      <c r="E204" t="s">
        <v>907</v>
      </c>
      <c r="F204" t="s">
        <v>26</v>
      </c>
      <c r="G204" t="s">
        <v>908</v>
      </c>
      <c r="H204" t="s">
        <v>909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910</v>
      </c>
      <c r="B205" t="s">
        <v>14</v>
      </c>
      <c r="C205" t="s">
        <v>15</v>
      </c>
      <c r="D205" t="s">
        <v>911</v>
      </c>
      <c r="E205" t="s">
        <v>912</v>
      </c>
      <c r="F205" t="s">
        <v>43</v>
      </c>
      <c r="G205" t="s">
        <v>318</v>
      </c>
      <c r="H205" t="s">
        <v>913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914</v>
      </c>
      <c r="B206" t="s">
        <v>14</v>
      </c>
      <c r="C206" t="s">
        <v>15</v>
      </c>
      <c r="D206" t="s">
        <v>915</v>
      </c>
      <c r="E206" t="s">
        <v>916</v>
      </c>
      <c r="F206" t="s">
        <v>26</v>
      </c>
      <c r="G206" t="s">
        <v>361</v>
      </c>
      <c r="H206" t="s">
        <v>917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918</v>
      </c>
      <c r="B207" t="s">
        <v>14</v>
      </c>
      <c r="C207" t="s">
        <v>15</v>
      </c>
      <c r="D207" t="s">
        <v>919</v>
      </c>
      <c r="E207" t="s">
        <v>920</v>
      </c>
      <c r="F207" t="s">
        <v>26</v>
      </c>
      <c r="G207" t="s">
        <v>555</v>
      </c>
      <c r="H207" t="s">
        <v>921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922</v>
      </c>
      <c r="B208" t="s">
        <v>14</v>
      </c>
      <c r="C208" t="s">
        <v>15</v>
      </c>
      <c r="D208" t="s">
        <v>923</v>
      </c>
      <c r="E208" t="s">
        <v>924</v>
      </c>
      <c r="F208" t="s">
        <v>26</v>
      </c>
      <c r="G208" t="s">
        <v>27</v>
      </c>
      <c r="H208" t="s">
        <v>925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926</v>
      </c>
      <c r="B209" t="s">
        <v>14</v>
      </c>
      <c r="C209" t="s">
        <v>15</v>
      </c>
      <c r="D209" t="s">
        <v>927</v>
      </c>
      <c r="E209" t="s">
        <v>928</v>
      </c>
      <c r="F209" t="s">
        <v>18</v>
      </c>
      <c r="G209" t="s">
        <v>371</v>
      </c>
      <c r="H209" t="s">
        <v>929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930</v>
      </c>
      <c r="B210" t="s">
        <v>14</v>
      </c>
      <c r="C210" t="s">
        <v>15</v>
      </c>
      <c r="D210" t="s">
        <v>931</v>
      </c>
      <c r="E210" t="s">
        <v>932</v>
      </c>
      <c r="F210" t="s">
        <v>18</v>
      </c>
      <c r="G210" t="s">
        <v>371</v>
      </c>
      <c r="H210" t="s">
        <v>933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934</v>
      </c>
      <c r="B211" t="s">
        <v>14</v>
      </c>
      <c r="C211" t="s">
        <v>15</v>
      </c>
      <c r="D211" t="s">
        <v>935</v>
      </c>
      <c r="E211" t="s">
        <v>936</v>
      </c>
      <c r="F211" t="s">
        <v>43</v>
      </c>
      <c r="G211" t="s">
        <v>337</v>
      </c>
      <c r="H211" t="s">
        <v>937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938</v>
      </c>
      <c r="B212" t="s">
        <v>14</v>
      </c>
      <c r="C212" t="s">
        <v>15</v>
      </c>
      <c r="D212" t="s">
        <v>939</v>
      </c>
      <c r="E212" t="s">
        <v>940</v>
      </c>
      <c r="F212" t="s">
        <v>43</v>
      </c>
      <c r="G212" t="s">
        <v>384</v>
      </c>
      <c r="H212" t="s">
        <v>941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942</v>
      </c>
      <c r="B213" t="s">
        <v>14</v>
      </c>
      <c r="C213" t="s">
        <v>15</v>
      </c>
      <c r="D213" t="s">
        <v>943</v>
      </c>
      <c r="E213" t="s">
        <v>944</v>
      </c>
      <c r="F213" t="s">
        <v>32</v>
      </c>
      <c r="G213" t="s">
        <v>131</v>
      </c>
      <c r="H213" t="s">
        <v>945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946</v>
      </c>
      <c r="B214" t="s">
        <v>14</v>
      </c>
      <c r="C214" t="s">
        <v>15</v>
      </c>
      <c r="D214" t="s">
        <v>947</v>
      </c>
      <c r="E214" t="s">
        <v>948</v>
      </c>
      <c r="F214" t="s">
        <v>26</v>
      </c>
      <c r="G214" t="s">
        <v>949</v>
      </c>
      <c r="H214" t="s">
        <v>950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951</v>
      </c>
      <c r="B215" t="s">
        <v>14</v>
      </c>
      <c r="C215" t="s">
        <v>15</v>
      </c>
      <c r="D215" t="s">
        <v>952</v>
      </c>
      <c r="E215" t="s">
        <v>953</v>
      </c>
      <c r="F215" t="s">
        <v>32</v>
      </c>
      <c r="G215" t="s">
        <v>954</v>
      </c>
      <c r="H215" t="s">
        <v>955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956</v>
      </c>
      <c r="B216" t="s">
        <v>14</v>
      </c>
      <c r="C216" t="s">
        <v>15</v>
      </c>
      <c r="D216" t="s">
        <v>957</v>
      </c>
      <c r="E216" t="s">
        <v>958</v>
      </c>
      <c r="F216" t="s">
        <v>43</v>
      </c>
      <c r="G216" t="s">
        <v>78</v>
      </c>
      <c r="H216" t="s">
        <v>959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960</v>
      </c>
      <c r="B217" t="s">
        <v>14</v>
      </c>
      <c r="C217" t="s">
        <v>15</v>
      </c>
      <c r="D217" t="s">
        <v>961</v>
      </c>
      <c r="E217" t="s">
        <v>962</v>
      </c>
      <c r="F217" t="s">
        <v>32</v>
      </c>
      <c r="G217" t="s">
        <v>963</v>
      </c>
      <c r="H217" t="s">
        <v>964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965</v>
      </c>
      <c r="B218" t="s">
        <v>14</v>
      </c>
      <c r="C218" t="s">
        <v>15</v>
      </c>
      <c r="D218" t="s">
        <v>966</v>
      </c>
      <c r="E218" t="s">
        <v>967</v>
      </c>
      <c r="F218" t="s">
        <v>43</v>
      </c>
      <c r="G218" t="s">
        <v>78</v>
      </c>
      <c r="H218" t="s">
        <v>968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969</v>
      </c>
      <c r="B219" t="s">
        <v>14</v>
      </c>
      <c r="C219" t="s">
        <v>15</v>
      </c>
      <c r="D219" t="s">
        <v>970</v>
      </c>
      <c r="E219" t="s">
        <v>971</v>
      </c>
      <c r="F219" t="s">
        <v>26</v>
      </c>
      <c r="G219" t="s">
        <v>342</v>
      </c>
      <c r="H219" t="s">
        <v>972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973</v>
      </c>
      <c r="B220" t="s">
        <v>14</v>
      </c>
      <c r="C220" t="s">
        <v>15</v>
      </c>
      <c r="D220" t="s">
        <v>974</v>
      </c>
      <c r="E220" t="s">
        <v>975</v>
      </c>
      <c r="F220" t="s">
        <v>26</v>
      </c>
      <c r="G220" t="s">
        <v>976</v>
      </c>
      <c r="H220" t="s">
        <v>977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978</v>
      </c>
      <c r="B221" t="s">
        <v>14</v>
      </c>
      <c r="C221" t="s">
        <v>15</v>
      </c>
      <c r="D221" t="s">
        <v>979</v>
      </c>
      <c r="E221" t="s">
        <v>980</v>
      </c>
      <c r="F221" t="s">
        <v>43</v>
      </c>
      <c r="G221" t="s">
        <v>78</v>
      </c>
      <c r="H221" t="s">
        <v>981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982</v>
      </c>
      <c r="B222" t="s">
        <v>14</v>
      </c>
      <c r="C222" t="s">
        <v>15</v>
      </c>
      <c r="D222" t="s">
        <v>983</v>
      </c>
      <c r="E222" t="s">
        <v>984</v>
      </c>
      <c r="F222" t="s">
        <v>18</v>
      </c>
      <c r="G222" t="s">
        <v>361</v>
      </c>
      <c r="H222" t="s">
        <v>985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986</v>
      </c>
      <c r="B223" t="s">
        <v>14</v>
      </c>
      <c r="C223" t="s">
        <v>15</v>
      </c>
      <c r="D223" t="s">
        <v>987</v>
      </c>
      <c r="E223" t="s">
        <v>988</v>
      </c>
      <c r="F223" t="s">
        <v>32</v>
      </c>
      <c r="G223" t="s">
        <v>989</v>
      </c>
      <c r="H223" t="s">
        <v>990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991</v>
      </c>
      <c r="B224" t="s">
        <v>14</v>
      </c>
      <c r="C224" t="s">
        <v>15</v>
      </c>
      <c r="D224" t="s">
        <v>992</v>
      </c>
      <c r="E224" t="s">
        <v>993</v>
      </c>
      <c r="F224" t="s">
        <v>292</v>
      </c>
      <c r="G224" t="s">
        <v>332</v>
      </c>
      <c r="H224" t="s">
        <v>994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995</v>
      </c>
      <c r="B225" t="s">
        <v>14</v>
      </c>
      <c r="C225" t="s">
        <v>15</v>
      </c>
      <c r="D225" t="s">
        <v>996</v>
      </c>
      <c r="E225" t="s">
        <v>997</v>
      </c>
      <c r="F225" t="s">
        <v>26</v>
      </c>
      <c r="G225" t="s">
        <v>27</v>
      </c>
      <c r="H225" t="s">
        <v>998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999</v>
      </c>
      <c r="B226" t="s">
        <v>14</v>
      </c>
      <c r="C226" t="s">
        <v>15</v>
      </c>
      <c r="D226" t="s">
        <v>1000</v>
      </c>
      <c r="E226" t="s">
        <v>1001</v>
      </c>
      <c r="F226" t="s">
        <v>32</v>
      </c>
      <c r="G226" t="s">
        <v>83</v>
      </c>
      <c r="H226" t="s">
        <v>1002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1003</v>
      </c>
      <c r="B227" t="s">
        <v>14</v>
      </c>
      <c r="C227" t="s">
        <v>15</v>
      </c>
      <c r="D227" t="s">
        <v>1004</v>
      </c>
      <c r="E227" t="s">
        <v>1005</v>
      </c>
      <c r="F227" t="s">
        <v>442</v>
      </c>
      <c r="G227" t="s">
        <v>1006</v>
      </c>
      <c r="H227" t="s">
        <v>1007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1008</v>
      </c>
      <c r="B228" t="s">
        <v>14</v>
      </c>
      <c r="C228" t="s">
        <v>15</v>
      </c>
      <c r="D228" t="s">
        <v>1009</v>
      </c>
      <c r="E228" t="s">
        <v>1010</v>
      </c>
      <c r="F228" t="s">
        <v>32</v>
      </c>
      <c r="G228" t="s">
        <v>1011</v>
      </c>
      <c r="H228" t="s">
        <v>1012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1013</v>
      </c>
      <c r="B229" t="s">
        <v>14</v>
      </c>
      <c r="C229" t="s">
        <v>15</v>
      </c>
      <c r="D229" t="s">
        <v>1014</v>
      </c>
      <c r="E229" t="s">
        <v>1015</v>
      </c>
      <c r="F229" t="s">
        <v>292</v>
      </c>
      <c r="G229" t="s">
        <v>332</v>
      </c>
      <c r="H229" t="s">
        <v>1016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1017</v>
      </c>
      <c r="B230" t="s">
        <v>14</v>
      </c>
      <c r="C230" t="s">
        <v>15</v>
      </c>
      <c r="D230" t="s">
        <v>1018</v>
      </c>
      <c r="E230" t="s">
        <v>1019</v>
      </c>
      <c r="F230" t="s">
        <v>18</v>
      </c>
      <c r="G230" t="s">
        <v>19</v>
      </c>
      <c r="H230" t="s">
        <v>1020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1021</v>
      </c>
      <c r="B231" t="s">
        <v>14</v>
      </c>
      <c r="C231" t="s">
        <v>15</v>
      </c>
      <c r="D231" t="s">
        <v>1022</v>
      </c>
      <c r="E231" t="s">
        <v>1023</v>
      </c>
      <c r="F231" t="s">
        <v>43</v>
      </c>
      <c r="G231" t="s">
        <v>78</v>
      </c>
      <c r="H231" t="s">
        <v>1024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1025</v>
      </c>
      <c r="B232" t="s">
        <v>14</v>
      </c>
      <c r="C232" t="s">
        <v>15</v>
      </c>
      <c r="D232" t="s">
        <v>1026</v>
      </c>
      <c r="E232" t="s">
        <v>1027</v>
      </c>
      <c r="F232" t="s">
        <v>32</v>
      </c>
      <c r="G232" t="s">
        <v>1028</v>
      </c>
      <c r="H232" t="s">
        <v>1029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1030</v>
      </c>
      <c r="B233" t="s">
        <v>14</v>
      </c>
      <c r="C233" t="s">
        <v>15</v>
      </c>
      <c r="D233" t="s">
        <v>1031</v>
      </c>
      <c r="E233" t="s">
        <v>1032</v>
      </c>
      <c r="F233" t="s">
        <v>26</v>
      </c>
      <c r="G233" t="s">
        <v>107</v>
      </c>
      <c r="H233" t="s">
        <v>1033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1034</v>
      </c>
      <c r="B234" t="s">
        <v>14</v>
      </c>
      <c r="C234" t="s">
        <v>15</v>
      </c>
      <c r="D234" t="s">
        <v>1035</v>
      </c>
      <c r="E234" t="s">
        <v>1036</v>
      </c>
      <c r="F234" t="s">
        <v>32</v>
      </c>
      <c r="G234" t="s">
        <v>963</v>
      </c>
      <c r="H234" t="s">
        <v>1037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1038</v>
      </c>
      <c r="B235" t="s">
        <v>14</v>
      </c>
      <c r="C235" t="s">
        <v>15</v>
      </c>
      <c r="D235" t="s">
        <v>1039</v>
      </c>
      <c r="E235" t="s">
        <v>1040</v>
      </c>
      <c r="F235" t="s">
        <v>32</v>
      </c>
      <c r="G235" t="s">
        <v>1011</v>
      </c>
      <c r="H235" t="s">
        <v>1041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1042</v>
      </c>
      <c r="B236" t="s">
        <v>14</v>
      </c>
      <c r="C236" t="s">
        <v>15</v>
      </c>
      <c r="D236" t="s">
        <v>1043</v>
      </c>
      <c r="E236" t="s">
        <v>1044</v>
      </c>
      <c r="F236" t="s">
        <v>43</v>
      </c>
      <c r="G236" t="s">
        <v>384</v>
      </c>
      <c r="H236" t="s">
        <v>1045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1046</v>
      </c>
      <c r="B237" t="s">
        <v>14</v>
      </c>
      <c r="C237" t="s">
        <v>15</v>
      </c>
      <c r="D237" t="s">
        <v>1047</v>
      </c>
      <c r="E237" t="s">
        <v>1048</v>
      </c>
      <c r="F237" t="s">
        <v>32</v>
      </c>
      <c r="G237" t="s">
        <v>1049</v>
      </c>
      <c r="H237" t="s">
        <v>1050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1051</v>
      </c>
      <c r="B238" t="s">
        <v>14</v>
      </c>
      <c r="C238" t="s">
        <v>15</v>
      </c>
      <c r="D238" t="s">
        <v>1052</v>
      </c>
      <c r="E238" t="s">
        <v>1053</v>
      </c>
      <c r="F238" t="s">
        <v>43</v>
      </c>
      <c r="G238" t="s">
        <v>78</v>
      </c>
      <c r="H238" t="s">
        <v>1054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1055</v>
      </c>
      <c r="B239" t="s">
        <v>14</v>
      </c>
      <c r="C239" t="s">
        <v>15</v>
      </c>
      <c r="D239" t="s">
        <v>1056</v>
      </c>
      <c r="E239" t="s">
        <v>1057</v>
      </c>
      <c r="F239" t="s">
        <v>292</v>
      </c>
      <c r="G239" t="s">
        <v>685</v>
      </c>
      <c r="H239" t="s">
        <v>1058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1059</v>
      </c>
      <c r="B240" t="s">
        <v>14</v>
      </c>
      <c r="C240" t="s">
        <v>15</v>
      </c>
      <c r="D240" t="s">
        <v>1060</v>
      </c>
      <c r="E240" t="s">
        <v>1061</v>
      </c>
      <c r="F240" t="s">
        <v>26</v>
      </c>
      <c r="G240" t="s">
        <v>27</v>
      </c>
      <c r="H240" t="s">
        <v>1062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1063</v>
      </c>
      <c r="B241" t="s">
        <v>14</v>
      </c>
      <c r="C241" t="s">
        <v>15</v>
      </c>
      <c r="D241" t="s">
        <v>1064</v>
      </c>
      <c r="E241" t="s">
        <v>1065</v>
      </c>
      <c r="F241" t="s">
        <v>43</v>
      </c>
      <c r="G241" t="s">
        <v>78</v>
      </c>
      <c r="H241" t="s">
        <v>1066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1067</v>
      </c>
      <c r="B242" t="s">
        <v>14</v>
      </c>
      <c r="C242" t="s">
        <v>15</v>
      </c>
      <c r="D242" t="s">
        <v>1068</v>
      </c>
      <c r="E242" t="s">
        <v>1069</v>
      </c>
      <c r="F242" t="s">
        <v>26</v>
      </c>
      <c r="G242" t="s">
        <v>155</v>
      </c>
      <c r="H242" t="s">
        <v>1070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1071</v>
      </c>
      <c r="B243" t="s">
        <v>14</v>
      </c>
      <c r="C243" t="s">
        <v>15</v>
      </c>
      <c r="D243" t="s">
        <v>1072</v>
      </c>
      <c r="E243" t="s">
        <v>1073</v>
      </c>
      <c r="F243" t="s">
        <v>43</v>
      </c>
      <c r="G243" t="s">
        <v>78</v>
      </c>
      <c r="H243" t="s">
        <v>1074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1075</v>
      </c>
      <c r="B244" t="s">
        <v>14</v>
      </c>
      <c r="C244" t="s">
        <v>15</v>
      </c>
      <c r="D244" t="s">
        <v>1076</v>
      </c>
      <c r="E244" t="s">
        <v>1077</v>
      </c>
      <c r="F244" t="s">
        <v>32</v>
      </c>
      <c r="G244" t="s">
        <v>235</v>
      </c>
      <c r="H244" t="s">
        <v>1078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1079</v>
      </c>
      <c r="B245" t="s">
        <v>14</v>
      </c>
      <c r="C245" t="s">
        <v>15</v>
      </c>
      <c r="D245" t="s">
        <v>1080</v>
      </c>
      <c r="E245" t="s">
        <v>1081</v>
      </c>
      <c r="F245" t="s">
        <v>26</v>
      </c>
      <c r="G245" t="s">
        <v>949</v>
      </c>
      <c r="H245" t="s">
        <v>1082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1083</v>
      </c>
      <c r="B246" t="s">
        <v>14</v>
      </c>
      <c r="C246" t="s">
        <v>15</v>
      </c>
      <c r="D246" t="s">
        <v>1084</v>
      </c>
      <c r="E246" t="s">
        <v>1085</v>
      </c>
      <c r="F246" t="s">
        <v>18</v>
      </c>
      <c r="G246" t="s">
        <v>19</v>
      </c>
      <c r="H246" t="s">
        <v>1086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1087</v>
      </c>
      <c r="B247" t="s">
        <v>14</v>
      </c>
      <c r="C247" t="s">
        <v>15</v>
      </c>
      <c r="D247" t="s">
        <v>1088</v>
      </c>
      <c r="E247" t="s">
        <v>1089</v>
      </c>
      <c r="F247" t="s">
        <v>18</v>
      </c>
      <c r="G247" t="s">
        <v>19</v>
      </c>
      <c r="H247" t="s">
        <v>1090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1091</v>
      </c>
      <c r="B248" t="s">
        <v>14</v>
      </c>
      <c r="C248" t="s">
        <v>15</v>
      </c>
      <c r="D248" t="s">
        <v>1092</v>
      </c>
      <c r="E248" t="s">
        <v>1093</v>
      </c>
      <c r="F248" t="s">
        <v>18</v>
      </c>
      <c r="G248" t="s">
        <v>19</v>
      </c>
      <c r="H248" t="s">
        <v>1094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1095</v>
      </c>
      <c r="B249" t="s">
        <v>14</v>
      </c>
      <c r="C249" t="s">
        <v>15</v>
      </c>
      <c r="D249" t="s">
        <v>1096</v>
      </c>
      <c r="E249" t="s">
        <v>1097</v>
      </c>
      <c r="F249" t="s">
        <v>292</v>
      </c>
      <c r="G249" t="s">
        <v>833</v>
      </c>
      <c r="H249" t="s">
        <v>1098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1099</v>
      </c>
      <c r="B250" t="s">
        <v>14</v>
      </c>
      <c r="C250" t="s">
        <v>15</v>
      </c>
      <c r="D250" t="s">
        <v>1100</v>
      </c>
      <c r="E250" t="s">
        <v>1101</v>
      </c>
      <c r="F250" t="s">
        <v>18</v>
      </c>
      <c r="G250" t="s">
        <v>361</v>
      </c>
      <c r="H250" t="s">
        <v>1102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1103</v>
      </c>
      <c r="B251" t="s">
        <v>14</v>
      </c>
      <c r="C251" t="s">
        <v>15</v>
      </c>
      <c r="D251" t="s">
        <v>1104</v>
      </c>
      <c r="E251" t="s">
        <v>1105</v>
      </c>
      <c r="F251" t="s">
        <v>32</v>
      </c>
      <c r="G251" t="s">
        <v>60</v>
      </c>
      <c r="H251" t="s">
        <v>1106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BDH("HAWK US Equity","BS_TOT_ASSET","1993-06-18","2026-05-02","Per=Y","Days=T","Dir=V")</f>
        <v>0</v>
      </c>
      <c r="C2">
        <f>BDH("HAWK US Equity","BS_TOT_LIAB2","1993-06-18","2026-05-02","Per=Y","Days=T","Dir=V")</f>
        <v>0</v>
      </c>
      <c r="E2">
        <f>BDH("HAWK US Equity","SHORT_AND_LONG_TERM_DEBT","1993-06-18","2026-05-02","Per=Y","Days=T","Dir=V")</f>
        <v>0</v>
      </c>
      <c r="G2">
        <f>BDH("HAWK US Equity","BS_ST_BORROW","1993-06-18","2026-05-02","Per=Y","Days=T","Dir=V")</f>
        <v>0</v>
      </c>
      <c r="I2">
        <f>BDH("HAWK US Equity","BS_LT_BORROW","1993-06-18","2026-05-02","Per=Y","Days=T","Dir=V")</f>
        <v>0</v>
      </c>
      <c r="K2">
        <f>BDH("HAWK US Equity","BS_CASH_NEAR_CASH_ITEM","1993-06-18","2026-05-02","Per=Y","Days=T","Dir=V")</f>
        <v>0</v>
      </c>
      <c r="M2">
        <f>BDH("HAWK US Equity","BS_CUR_ASSET_REPORT","1993-06-18","2026-05-02","Per=Y","Days=T","Dir=V")</f>
        <v>0</v>
      </c>
      <c r="O2">
        <f>BDH("HAWK US Equity","BS_CUR_LIAB","1993-06-18","2026-05-02","Per=Y","Days=T","Dir=V")</f>
        <v>0</v>
      </c>
      <c r="Q2">
        <f>BDH("HAWK US Equity","BS_SHAREHOLDER_EQY_ENDING_PERIOD","1993-06-18","2026-05-02","Per=Y","Days=T","Dir=V")</f>
        <v>0</v>
      </c>
      <c r="S2">
        <f>BDH("HAWK US Equity","BS_ACCT_NOTE_RCV","1993-06-18","2026-05-02","Per=Y","Days=T","Dir=V")</f>
        <v>0</v>
      </c>
      <c r="U2">
        <f>BDH("HAWK US Equity","BS_INVENTORIES","1993-06-18","2026-05-02","Per=Y","Days=T","Dir=V")</f>
        <v>0</v>
      </c>
      <c r="W2">
        <f>BDH("HAWK US Equity","WORKING_CAPITAL","1993-06-18","2026-05-02","Per=Y","Days=T","Dir=V")</f>
        <v>0</v>
      </c>
      <c r="Y2">
        <f>BDH("HAWK US Equity","SALES_REV_TURN","1993-06-18","2026-05-02","Per=Y","Days=T","Dir=V")</f>
        <v>0</v>
      </c>
      <c r="AA2">
        <f>BDH("HAWK US Equity","EBIT","1993-06-18","2026-05-02","Per=Y","Days=T","Dir=V")</f>
        <v>0</v>
      </c>
      <c r="AC2">
        <f>BDH("HAWK US Equity","EBITDA","1993-06-18","2026-05-02","Per=Y","Days=T","Dir=V")</f>
        <v>0</v>
      </c>
      <c r="AE2">
        <f>BDH("HAWK US Equity","NET_INCOME","1993-06-18","2026-05-02","Per=Y","Days=T","Dir=V")</f>
        <v>0</v>
      </c>
      <c r="AG2">
        <f>BDH("HAWK US Equity","IS_INT_EXPENSE","1993-06-18","2026-05-02","Per=Y","Days=T","Dir=V")</f>
        <v>0</v>
      </c>
      <c r="AI2">
        <f>BDH("HAWK US Equity","IS_DEPR_EXP","1993-06-18","2026-05-02","Per=Y","Days=T","Dir=V")</f>
        <v>0</v>
      </c>
      <c r="AK2">
        <f>BDH("HAWK US Equity","CF_CASH_FROM_OPER","1993-06-18","2026-05-02","Per=Y","Days=T","Dir=V")</f>
        <v>0</v>
      </c>
      <c r="AM2">
        <f>BDH("HAWK US Equity","CAPITAL_EXPEND","1993-06-18","2026-05-02","Per=Y","Days=T","Dir=V")</f>
        <v>0</v>
      </c>
      <c r="AO2">
        <f>BDH("HAWK US Equity","CF_FREE_CASH_FLOW","1993-06-18","2026-05-02","Per=Y","Days=T","Dir=V")</f>
        <v>0</v>
      </c>
      <c r="AQ2">
        <f>BDH("HAWK US Equity","PX_LAST","1993-06-18","2026-05-02","Per=M","Days=T","Dir=V")</f>
        <v>0</v>
      </c>
      <c r="AS2">
        <f>BDH("HAWK US Equity","CUR_MKT_CAP","1993-06-18","2026-05-02","Per=M","Days=T","Dir=V")</f>
        <v>0</v>
      </c>
      <c r="AU2">
        <f>BDH("HAWK US Equity","EQY_SH_OUT","1993-06-18","2026-05-02","Per=M","Days=T","Dir=V")</f>
        <v>0</v>
      </c>
      <c r="AW2">
        <f>BDH("HAWK US Equity","PX_VOLUME","1993-06-18","2026-05-02","Per=M","Days=T","Dir=V")</f>
        <v>0</v>
      </c>
      <c r="AY2">
        <f>BDH("HAWK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BDH("HAYW US Equity","BS_TOT_ASSET","1993-06-18","2026-05-02","Per=Y","Days=T","Dir=V")</f>
        <v>0</v>
      </c>
      <c r="C2">
        <f>BDH("HAYW US Equity","BS_TOT_LIAB2","1993-06-18","2026-05-02","Per=Y","Days=T","Dir=V")</f>
        <v>0</v>
      </c>
      <c r="E2">
        <f>BDH("HAYW US Equity","SHORT_AND_LONG_TERM_DEBT","1993-06-18","2026-05-02","Per=Y","Days=T","Dir=V")</f>
        <v>0</v>
      </c>
      <c r="G2">
        <f>BDH("HAYW US Equity","BS_ST_BORROW","1993-06-18","2026-05-02","Per=Y","Days=T","Dir=V")</f>
        <v>0</v>
      </c>
      <c r="I2">
        <f>BDH("HAYW US Equity","BS_LT_BORROW","1993-06-18","2026-05-02","Per=Y","Days=T","Dir=V")</f>
        <v>0</v>
      </c>
      <c r="K2">
        <f>BDH("HAYW US Equity","BS_CASH_NEAR_CASH_ITEM","1993-06-18","2026-05-02","Per=Y","Days=T","Dir=V")</f>
        <v>0</v>
      </c>
      <c r="M2">
        <f>BDH("HAYW US Equity","BS_CUR_ASSET_REPORT","1993-06-18","2026-05-02","Per=Y","Days=T","Dir=V")</f>
        <v>0</v>
      </c>
      <c r="O2">
        <f>BDH("HAYW US Equity","BS_CUR_LIAB","1993-06-18","2026-05-02","Per=Y","Days=T","Dir=V")</f>
        <v>0</v>
      </c>
      <c r="Q2">
        <f>BDH("HAYW US Equity","BS_SHAREHOLDER_EQY_ENDING_PERIOD","1993-06-18","2026-05-02","Per=Y","Days=T","Dir=V")</f>
        <v>0</v>
      </c>
      <c r="S2">
        <f>BDH("HAYW US Equity","BS_ACCT_NOTE_RCV","1993-06-18","2026-05-02","Per=Y","Days=T","Dir=V")</f>
        <v>0</v>
      </c>
      <c r="U2">
        <f>BDH("HAYW US Equity","BS_INVENTORIES","1993-06-18","2026-05-02","Per=Y","Days=T","Dir=V")</f>
        <v>0</v>
      </c>
      <c r="W2">
        <f>BDH("HAYW US Equity","WORKING_CAPITAL","1993-06-18","2026-05-02","Per=Y","Days=T","Dir=V")</f>
        <v>0</v>
      </c>
      <c r="Y2">
        <f>BDH("HAYW US Equity","SALES_REV_TURN","1993-06-18","2026-05-02","Per=Y","Days=T","Dir=V")</f>
        <v>0</v>
      </c>
      <c r="AA2">
        <f>BDH("HAYW US Equity","EBIT","1993-06-18","2026-05-02","Per=Y","Days=T","Dir=V")</f>
        <v>0</v>
      </c>
      <c r="AC2">
        <f>BDH("HAYW US Equity","EBITDA","1993-06-18","2026-05-02","Per=Y","Days=T","Dir=V")</f>
        <v>0</v>
      </c>
      <c r="AE2">
        <f>BDH("HAYW US Equity","NET_INCOME","1993-06-18","2026-05-02","Per=Y","Days=T","Dir=V")</f>
        <v>0</v>
      </c>
      <c r="AG2">
        <f>BDH("HAYW US Equity","IS_INT_EXPENSE","1993-06-18","2026-05-02","Per=Y","Days=T","Dir=V")</f>
        <v>0</v>
      </c>
      <c r="AI2">
        <f>BDH("HAYW US Equity","IS_DEPR_EXP","1993-06-18","2026-05-02","Per=Y","Days=T","Dir=V")</f>
        <v>0</v>
      </c>
      <c r="AK2">
        <f>BDH("HAYW US Equity","CF_CASH_FROM_OPER","1993-06-18","2026-05-02","Per=Y","Days=T","Dir=V")</f>
        <v>0</v>
      </c>
      <c r="AM2">
        <f>BDH("HAYW US Equity","CAPITAL_EXPEND","1993-06-18","2026-05-02","Per=Y","Days=T","Dir=V")</f>
        <v>0</v>
      </c>
      <c r="AO2">
        <f>BDH("HAYW US Equity","CF_FREE_CASH_FLOW","1993-06-18","2026-05-02","Per=Y","Days=T","Dir=V")</f>
        <v>0</v>
      </c>
      <c r="AQ2">
        <f>BDH("HAYW US Equity","PX_LAST","1993-06-18","2026-05-02","Per=M","Days=T","Dir=V")</f>
        <v>0</v>
      </c>
      <c r="AS2">
        <f>BDH("HAYW US Equity","CUR_MKT_CAP","1993-06-18","2026-05-02","Per=M","Days=T","Dir=V")</f>
        <v>0</v>
      </c>
      <c r="AU2">
        <f>BDH("HAYW US Equity","EQY_SH_OUT","1993-06-18","2026-05-02","Per=M","Days=T","Dir=V")</f>
        <v>0</v>
      </c>
      <c r="AW2">
        <f>BDH("HAYW US Equity","PX_VOLUME","1993-06-18","2026-05-02","Per=M","Days=T","Dir=V")</f>
        <v>0</v>
      </c>
      <c r="AY2">
        <f>BDH("HAYW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BDH("HBB US Equity","BS_TOT_ASSET","1993-06-18","2026-05-02","Per=Y","Days=T","Dir=V")</f>
        <v>0</v>
      </c>
      <c r="C2">
        <f>BDH("HBB US Equity","BS_TOT_LIAB2","1993-06-18","2026-05-02","Per=Y","Days=T","Dir=V")</f>
        <v>0</v>
      </c>
      <c r="E2">
        <f>BDH("HBB US Equity","SHORT_AND_LONG_TERM_DEBT","1993-06-18","2026-05-02","Per=Y","Days=T","Dir=V")</f>
        <v>0</v>
      </c>
      <c r="G2">
        <f>BDH("HBB US Equity","BS_ST_BORROW","1993-06-18","2026-05-02","Per=Y","Days=T","Dir=V")</f>
        <v>0</v>
      </c>
      <c r="I2">
        <f>BDH("HBB US Equity","BS_LT_BORROW","1993-06-18","2026-05-02","Per=Y","Days=T","Dir=V")</f>
        <v>0</v>
      </c>
      <c r="K2">
        <f>BDH("HBB US Equity","BS_CASH_NEAR_CASH_ITEM","1993-06-18","2026-05-02","Per=Y","Days=T","Dir=V")</f>
        <v>0</v>
      </c>
      <c r="M2">
        <f>BDH("HBB US Equity","BS_CUR_ASSET_REPORT","1993-06-18","2026-05-02","Per=Y","Days=T","Dir=V")</f>
        <v>0</v>
      </c>
      <c r="O2">
        <f>BDH("HBB US Equity","BS_CUR_LIAB","1993-06-18","2026-05-02","Per=Y","Days=T","Dir=V")</f>
        <v>0</v>
      </c>
      <c r="Q2">
        <f>BDH("HBB US Equity","BS_SHAREHOLDER_EQY_ENDING_PERIOD","1993-06-18","2026-05-02","Per=Y","Days=T","Dir=V")</f>
        <v>0</v>
      </c>
      <c r="S2">
        <f>BDH("HBB US Equity","BS_ACCT_NOTE_RCV","1993-06-18","2026-05-02","Per=Y","Days=T","Dir=V")</f>
        <v>0</v>
      </c>
      <c r="U2">
        <f>BDH("HBB US Equity","BS_INVENTORIES","1993-06-18","2026-05-02","Per=Y","Days=T","Dir=V")</f>
        <v>0</v>
      </c>
      <c r="W2">
        <f>BDH("HBB US Equity","WORKING_CAPITAL","1993-06-18","2026-05-02","Per=Y","Days=T","Dir=V")</f>
        <v>0</v>
      </c>
      <c r="Y2">
        <f>BDH("HBB US Equity","SALES_REV_TURN","1993-06-18","2026-05-02","Per=Y","Days=T","Dir=V")</f>
        <v>0</v>
      </c>
      <c r="AA2">
        <f>BDH("HBB US Equity","EBIT","1993-06-18","2026-05-02","Per=Y","Days=T","Dir=V")</f>
        <v>0</v>
      </c>
      <c r="AC2">
        <f>BDH("HBB US Equity","EBITDA","1993-06-18","2026-05-02","Per=Y","Days=T","Dir=V")</f>
        <v>0</v>
      </c>
      <c r="AE2">
        <f>BDH("HBB US Equity","NET_INCOME","1993-06-18","2026-05-02","Per=Y","Days=T","Dir=V")</f>
        <v>0</v>
      </c>
      <c r="AG2">
        <f>BDH("HBB US Equity","IS_INT_EXPENSE","1993-06-18","2026-05-02","Per=Y","Days=T","Dir=V")</f>
        <v>0</v>
      </c>
      <c r="AI2">
        <f>BDH("HBB US Equity","IS_DEPR_EXP","1993-06-18","2026-05-02","Per=Y","Days=T","Dir=V")</f>
        <v>0</v>
      </c>
      <c r="AK2">
        <f>BDH("HBB US Equity","CF_CASH_FROM_OPER","1993-06-18","2026-05-02","Per=Y","Days=T","Dir=V")</f>
        <v>0</v>
      </c>
      <c r="AM2">
        <f>BDH("HBB US Equity","CAPITAL_EXPEND","1993-06-18","2026-05-02","Per=Y","Days=T","Dir=V")</f>
        <v>0</v>
      </c>
      <c r="AO2">
        <f>BDH("HBB US Equity","CF_FREE_CASH_FLOW","1993-06-18","2026-05-02","Per=Y","Days=T","Dir=V")</f>
        <v>0</v>
      </c>
      <c r="AQ2">
        <f>BDH("HBB US Equity","PX_LAST","1993-06-18","2026-05-02","Per=M","Days=T","Dir=V")</f>
        <v>0</v>
      </c>
      <c r="AS2">
        <f>BDH("HBB US Equity","CUR_MKT_CAP","1993-06-18","2026-05-02","Per=M","Days=T","Dir=V")</f>
        <v>0</v>
      </c>
      <c r="AU2">
        <f>BDH("HBB US Equity","EQY_SH_OUT","1993-06-18","2026-05-02","Per=M","Days=T","Dir=V")</f>
        <v>0</v>
      </c>
      <c r="AW2">
        <f>BDH("HBB US Equity","PX_VOLUME","1993-06-18","2026-05-02","Per=M","Days=T","Dir=V")</f>
        <v>0</v>
      </c>
      <c r="AY2">
        <f>BDH("HBB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BDH("HBIO US Equity","BS_TOT_ASSET","1993-06-18","2026-05-02","Per=Y","Days=T","Dir=V")</f>
        <v>0</v>
      </c>
      <c r="C2">
        <f>BDH("HBIO US Equity","BS_TOT_LIAB2","1993-06-18","2026-05-02","Per=Y","Days=T","Dir=V")</f>
        <v>0</v>
      </c>
      <c r="E2">
        <f>BDH("HBIO US Equity","SHORT_AND_LONG_TERM_DEBT","1993-06-18","2026-05-02","Per=Y","Days=T","Dir=V")</f>
        <v>0</v>
      </c>
      <c r="G2">
        <f>BDH("HBIO US Equity","BS_ST_BORROW","1993-06-18","2026-05-02","Per=Y","Days=T","Dir=V")</f>
        <v>0</v>
      </c>
      <c r="I2">
        <f>BDH("HBIO US Equity","BS_LT_BORROW","1993-06-18","2026-05-02","Per=Y","Days=T","Dir=V")</f>
        <v>0</v>
      </c>
      <c r="K2">
        <f>BDH("HBIO US Equity","BS_CASH_NEAR_CASH_ITEM","1993-06-18","2026-05-02","Per=Y","Days=T","Dir=V")</f>
        <v>0</v>
      </c>
      <c r="M2">
        <f>BDH("HBIO US Equity","BS_CUR_ASSET_REPORT","1993-06-18","2026-05-02","Per=Y","Days=T","Dir=V")</f>
        <v>0</v>
      </c>
      <c r="O2">
        <f>BDH("HBIO US Equity","BS_CUR_LIAB","1993-06-18","2026-05-02","Per=Y","Days=T","Dir=V")</f>
        <v>0</v>
      </c>
      <c r="Q2">
        <f>BDH("HBIO US Equity","BS_SHAREHOLDER_EQY_ENDING_PERIOD","1993-06-18","2026-05-02","Per=Y","Days=T","Dir=V")</f>
        <v>0</v>
      </c>
      <c r="S2">
        <f>BDH("HBIO US Equity","BS_ACCT_NOTE_RCV","1993-06-18","2026-05-02","Per=Y","Days=T","Dir=V")</f>
        <v>0</v>
      </c>
      <c r="U2">
        <f>BDH("HBIO US Equity","BS_INVENTORIES","1993-06-18","2026-05-02","Per=Y","Days=T","Dir=V")</f>
        <v>0</v>
      </c>
      <c r="W2">
        <f>BDH("HBIO US Equity","WORKING_CAPITAL","1993-06-18","2026-05-02","Per=Y","Days=T","Dir=V")</f>
        <v>0</v>
      </c>
      <c r="Y2">
        <f>BDH("HBIO US Equity","SALES_REV_TURN","1993-06-18","2026-05-02","Per=Y","Days=T","Dir=V")</f>
        <v>0</v>
      </c>
      <c r="AA2">
        <f>BDH("HBIO US Equity","EBIT","1993-06-18","2026-05-02","Per=Y","Days=T","Dir=V")</f>
        <v>0</v>
      </c>
      <c r="AC2">
        <f>BDH("HBIO US Equity","EBITDA","1993-06-18","2026-05-02","Per=Y","Days=T","Dir=V")</f>
        <v>0</v>
      </c>
      <c r="AE2">
        <f>BDH("HBIO US Equity","NET_INCOME","1993-06-18","2026-05-02","Per=Y","Days=T","Dir=V")</f>
        <v>0</v>
      </c>
      <c r="AG2">
        <f>BDH("HBIO US Equity","IS_INT_EXPENSE","1993-06-18","2026-05-02","Per=Y","Days=T","Dir=V")</f>
        <v>0</v>
      </c>
      <c r="AI2">
        <f>BDH("HBIO US Equity","IS_DEPR_EXP","1993-06-18","2026-05-02","Per=Y","Days=T","Dir=V")</f>
        <v>0</v>
      </c>
      <c r="AK2">
        <f>BDH("HBIO US Equity","CF_CASH_FROM_OPER","1993-06-18","2026-05-02","Per=Y","Days=T","Dir=V")</f>
        <v>0</v>
      </c>
      <c r="AM2">
        <f>BDH("HBIO US Equity","CAPITAL_EXPEND","1993-06-18","2026-05-02","Per=Y","Days=T","Dir=V")</f>
        <v>0</v>
      </c>
      <c r="AO2">
        <f>BDH("HBIO US Equity","CF_FREE_CASH_FLOW","1993-06-18","2026-05-02","Per=Y","Days=T","Dir=V")</f>
        <v>0</v>
      </c>
      <c r="AQ2">
        <f>BDH("HBIO US Equity","PX_LAST","1993-06-18","2026-05-02","Per=M","Days=T","Dir=V")</f>
        <v>0</v>
      </c>
      <c r="AS2">
        <f>BDH("HBIO US Equity","CUR_MKT_CAP","1993-06-18","2026-05-02","Per=M","Days=T","Dir=V")</f>
        <v>0</v>
      </c>
      <c r="AU2">
        <f>BDH("HBIO US Equity","EQY_SH_OUT","1993-06-18","2026-05-02","Per=M","Days=T","Dir=V")</f>
        <v>0</v>
      </c>
      <c r="AW2">
        <f>BDH("HBIO US Equity","PX_VOLUME","1993-06-18","2026-05-02","Per=M","Days=T","Dir=V")</f>
        <v>0</v>
      </c>
      <c r="AY2">
        <f>BDH("HBIO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BDH("HCA US Equity","BS_TOT_ASSET","1993-06-18","2026-05-02","Per=Y","Days=T","Dir=V")</f>
        <v>0</v>
      </c>
      <c r="C2">
        <f>BDH("HCA US Equity","BS_TOT_LIAB2","1993-06-18","2026-05-02","Per=Y","Days=T","Dir=V")</f>
        <v>0</v>
      </c>
      <c r="E2">
        <f>BDH("HCA US Equity","SHORT_AND_LONG_TERM_DEBT","1993-06-18","2026-05-02","Per=Y","Days=T","Dir=V")</f>
        <v>0</v>
      </c>
      <c r="G2">
        <f>BDH("HCA US Equity","BS_ST_BORROW","1993-06-18","2026-05-02","Per=Y","Days=T","Dir=V")</f>
        <v>0</v>
      </c>
      <c r="I2">
        <f>BDH("HCA US Equity","BS_LT_BORROW","1993-06-18","2026-05-02","Per=Y","Days=T","Dir=V")</f>
        <v>0</v>
      </c>
      <c r="K2">
        <f>BDH("HCA US Equity","BS_CASH_NEAR_CASH_ITEM","1993-06-18","2026-05-02","Per=Y","Days=T","Dir=V")</f>
        <v>0</v>
      </c>
      <c r="M2">
        <f>BDH("HCA US Equity","BS_CUR_ASSET_REPORT","1993-06-18","2026-05-02","Per=Y","Days=T","Dir=V")</f>
        <v>0</v>
      </c>
      <c r="O2">
        <f>BDH("HCA US Equity","BS_CUR_LIAB","1993-06-18","2026-05-02","Per=Y","Days=T","Dir=V")</f>
        <v>0</v>
      </c>
      <c r="Q2">
        <f>BDH("HCA US Equity","BS_SHAREHOLDER_EQY_ENDING_PERIOD","1993-06-18","2026-05-02","Per=Y","Days=T","Dir=V")</f>
        <v>0</v>
      </c>
      <c r="S2">
        <f>BDH("HCA US Equity","BS_ACCT_NOTE_RCV","1993-06-18","2026-05-02","Per=Y","Days=T","Dir=V")</f>
        <v>0</v>
      </c>
      <c r="U2">
        <f>BDH("HCA US Equity","BS_INVENTORIES","1993-06-18","2026-05-02","Per=Y","Days=T","Dir=V")</f>
        <v>0</v>
      </c>
      <c r="W2">
        <f>BDH("HCA US Equity","WORKING_CAPITAL","1993-06-18","2026-05-02","Per=Y","Days=T","Dir=V")</f>
        <v>0</v>
      </c>
      <c r="Y2">
        <f>BDH("HCA US Equity","SALES_REV_TURN","1993-06-18","2026-05-02","Per=Y","Days=T","Dir=V")</f>
        <v>0</v>
      </c>
      <c r="AA2">
        <f>BDH("HCA US Equity","EBIT","1993-06-18","2026-05-02","Per=Y","Days=T","Dir=V")</f>
        <v>0</v>
      </c>
      <c r="AC2">
        <f>BDH("HCA US Equity","EBITDA","1993-06-18","2026-05-02","Per=Y","Days=T","Dir=V")</f>
        <v>0</v>
      </c>
      <c r="AE2">
        <f>BDH("HCA US Equity","NET_INCOME","1993-06-18","2026-05-02","Per=Y","Days=T","Dir=V")</f>
        <v>0</v>
      </c>
      <c r="AG2">
        <f>BDH("HCA US Equity","IS_INT_EXPENSE","1993-06-18","2026-05-02","Per=Y","Days=T","Dir=V")</f>
        <v>0</v>
      </c>
      <c r="AI2">
        <f>BDH("HCA US Equity","IS_DEPR_EXP","1993-06-18","2026-05-02","Per=Y","Days=T","Dir=V")</f>
        <v>0</v>
      </c>
      <c r="AK2">
        <f>BDH("HCA US Equity","CF_CASH_FROM_OPER","1993-06-18","2026-05-02","Per=Y","Days=T","Dir=V")</f>
        <v>0</v>
      </c>
      <c r="AM2">
        <f>BDH("HCA US Equity","CAPITAL_EXPEND","1993-06-18","2026-05-02","Per=Y","Days=T","Dir=V")</f>
        <v>0</v>
      </c>
      <c r="AO2">
        <f>BDH("HCA US Equity","CF_FREE_CASH_FLOW","1993-06-18","2026-05-02","Per=Y","Days=T","Dir=V")</f>
        <v>0</v>
      </c>
      <c r="AQ2">
        <f>BDH("HCA US Equity","PX_LAST","1993-06-18","2026-05-02","Per=M","Days=T","Dir=V")</f>
        <v>0</v>
      </c>
      <c r="AS2">
        <f>BDH("HCA US Equity","CUR_MKT_CAP","1993-06-18","2026-05-02","Per=M","Days=T","Dir=V")</f>
        <v>0</v>
      </c>
      <c r="AU2">
        <f>BDH("HCA US Equity","EQY_SH_OUT","1993-06-18","2026-05-02","Per=M","Days=T","Dir=V")</f>
        <v>0</v>
      </c>
      <c r="AW2">
        <f>BDH("HCA US Equity","PX_VOLUME","1993-06-18","2026-05-02","Per=M","Days=T","Dir=V")</f>
        <v>0</v>
      </c>
      <c r="AY2">
        <f>BDH("HCA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BDH("HCAT US Equity","BS_TOT_ASSET","1993-06-18","2026-05-02","Per=Y","Days=T","Dir=V")</f>
        <v>0</v>
      </c>
      <c r="C2">
        <f>BDH("HCAT US Equity","BS_TOT_LIAB2","1993-06-18","2026-05-02","Per=Y","Days=T","Dir=V")</f>
        <v>0</v>
      </c>
      <c r="E2">
        <f>BDH("HCAT US Equity","SHORT_AND_LONG_TERM_DEBT","1993-06-18","2026-05-02","Per=Y","Days=T","Dir=V")</f>
        <v>0</v>
      </c>
      <c r="G2">
        <f>BDH("HCAT US Equity","BS_ST_BORROW","1993-06-18","2026-05-02","Per=Y","Days=T","Dir=V")</f>
        <v>0</v>
      </c>
      <c r="I2">
        <f>BDH("HCAT US Equity","BS_LT_BORROW","1993-06-18","2026-05-02","Per=Y","Days=T","Dir=V")</f>
        <v>0</v>
      </c>
      <c r="K2">
        <f>BDH("HCAT US Equity","BS_CASH_NEAR_CASH_ITEM","1993-06-18","2026-05-02","Per=Y","Days=T","Dir=V")</f>
        <v>0</v>
      </c>
      <c r="M2">
        <f>BDH("HCAT US Equity","BS_CUR_ASSET_REPORT","1993-06-18","2026-05-02","Per=Y","Days=T","Dir=V")</f>
        <v>0</v>
      </c>
      <c r="O2">
        <f>BDH("HCAT US Equity","BS_CUR_LIAB","1993-06-18","2026-05-02","Per=Y","Days=T","Dir=V")</f>
        <v>0</v>
      </c>
      <c r="Q2">
        <f>BDH("HCAT US Equity","BS_SHAREHOLDER_EQY_ENDING_PERIOD","1993-06-18","2026-05-02","Per=Y","Days=T","Dir=V")</f>
        <v>0</v>
      </c>
      <c r="S2">
        <f>BDH("HCAT US Equity","BS_ACCT_NOTE_RCV","1993-06-18","2026-05-02","Per=Y","Days=T","Dir=V")</f>
        <v>0</v>
      </c>
      <c r="U2">
        <f>BDH("HCAT US Equity","BS_INVENTORIES","1993-06-18","2026-05-02","Per=Y","Days=T","Dir=V")</f>
        <v>0</v>
      </c>
      <c r="W2">
        <f>BDH("HCAT US Equity","WORKING_CAPITAL","1993-06-18","2026-05-02","Per=Y","Days=T","Dir=V")</f>
        <v>0</v>
      </c>
      <c r="Y2">
        <f>BDH("HCAT US Equity","SALES_REV_TURN","1993-06-18","2026-05-02","Per=Y","Days=T","Dir=V")</f>
        <v>0</v>
      </c>
      <c r="AA2">
        <f>BDH("HCAT US Equity","EBIT","1993-06-18","2026-05-02","Per=Y","Days=T","Dir=V")</f>
        <v>0</v>
      </c>
      <c r="AC2">
        <f>BDH("HCAT US Equity","EBITDA","1993-06-18","2026-05-02","Per=Y","Days=T","Dir=V")</f>
        <v>0</v>
      </c>
      <c r="AE2">
        <f>BDH("HCAT US Equity","NET_INCOME","1993-06-18","2026-05-02","Per=Y","Days=T","Dir=V")</f>
        <v>0</v>
      </c>
      <c r="AG2">
        <f>BDH("HCAT US Equity","IS_INT_EXPENSE","1993-06-18","2026-05-02","Per=Y","Days=T","Dir=V")</f>
        <v>0</v>
      </c>
      <c r="AI2">
        <f>BDH("HCAT US Equity","IS_DEPR_EXP","1993-06-18","2026-05-02","Per=Y","Days=T","Dir=V")</f>
        <v>0</v>
      </c>
      <c r="AK2">
        <f>BDH("HCAT US Equity","CF_CASH_FROM_OPER","1993-06-18","2026-05-02","Per=Y","Days=T","Dir=V")</f>
        <v>0</v>
      </c>
      <c r="AM2">
        <f>BDH("HCAT US Equity","CAPITAL_EXPEND","1993-06-18","2026-05-02","Per=Y","Days=T","Dir=V")</f>
        <v>0</v>
      </c>
      <c r="AO2">
        <f>BDH("HCAT US Equity","CF_FREE_CASH_FLOW","1993-06-18","2026-05-02","Per=Y","Days=T","Dir=V")</f>
        <v>0</v>
      </c>
      <c r="AQ2">
        <f>BDH("HCAT US Equity","PX_LAST","1993-06-18","2026-05-02","Per=M","Days=T","Dir=V")</f>
        <v>0</v>
      </c>
      <c r="AS2">
        <f>BDH("HCAT US Equity","CUR_MKT_CAP","1993-06-18","2026-05-02","Per=M","Days=T","Dir=V")</f>
        <v>0</v>
      </c>
      <c r="AU2">
        <f>BDH("HCAT US Equity","EQY_SH_OUT","1993-06-18","2026-05-02","Per=M","Days=T","Dir=V")</f>
        <v>0</v>
      </c>
      <c r="AW2">
        <f>BDH("HCAT US Equity","PX_VOLUME","1993-06-18","2026-05-02","Per=M","Days=T","Dir=V")</f>
        <v>0</v>
      </c>
      <c r="AY2">
        <f>BDH("HCAT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BDH("HCC US Equity","BS_TOT_ASSET","1993-06-18","2026-05-02","Per=Y","Days=T","Dir=V")</f>
        <v>0</v>
      </c>
      <c r="C2">
        <f>BDH("HCC US Equity","BS_TOT_LIAB2","1993-06-18","2026-05-02","Per=Y","Days=T","Dir=V")</f>
        <v>0</v>
      </c>
      <c r="E2">
        <f>BDH("HCC US Equity","SHORT_AND_LONG_TERM_DEBT","1993-06-18","2026-05-02","Per=Y","Days=T","Dir=V")</f>
        <v>0</v>
      </c>
      <c r="G2">
        <f>BDH("HCC US Equity","BS_ST_BORROW","1993-06-18","2026-05-02","Per=Y","Days=T","Dir=V")</f>
        <v>0</v>
      </c>
      <c r="I2">
        <f>BDH("HCC US Equity","BS_LT_BORROW","1993-06-18","2026-05-02","Per=Y","Days=T","Dir=V")</f>
        <v>0</v>
      </c>
      <c r="K2">
        <f>BDH("HCC US Equity","BS_CASH_NEAR_CASH_ITEM","1993-06-18","2026-05-02","Per=Y","Days=T","Dir=V")</f>
        <v>0</v>
      </c>
      <c r="M2">
        <f>BDH("HCC US Equity","BS_CUR_ASSET_REPORT","1993-06-18","2026-05-02","Per=Y","Days=T","Dir=V")</f>
        <v>0</v>
      </c>
      <c r="O2">
        <f>BDH("HCC US Equity","BS_CUR_LIAB","1993-06-18","2026-05-02","Per=Y","Days=T","Dir=V")</f>
        <v>0</v>
      </c>
      <c r="Q2">
        <f>BDH("HCC US Equity","BS_SHAREHOLDER_EQY_ENDING_PERIOD","1993-06-18","2026-05-02","Per=Y","Days=T","Dir=V")</f>
        <v>0</v>
      </c>
      <c r="S2">
        <f>BDH("HCC US Equity","BS_ACCT_NOTE_RCV","1993-06-18","2026-05-02","Per=Y","Days=T","Dir=V")</f>
        <v>0</v>
      </c>
      <c r="U2">
        <f>BDH("HCC US Equity","BS_INVENTORIES","1993-06-18","2026-05-02","Per=Y","Days=T","Dir=V")</f>
        <v>0</v>
      </c>
      <c r="W2">
        <f>BDH("HCC US Equity","WORKING_CAPITAL","1993-06-18","2026-05-02","Per=Y","Days=T","Dir=V")</f>
        <v>0</v>
      </c>
      <c r="Y2">
        <f>BDH("HCC US Equity","SALES_REV_TURN","1993-06-18","2026-05-02","Per=Y","Days=T","Dir=V")</f>
        <v>0</v>
      </c>
      <c r="AA2">
        <f>BDH("HCC US Equity","EBIT","1993-06-18","2026-05-02","Per=Y","Days=T","Dir=V")</f>
        <v>0</v>
      </c>
      <c r="AC2">
        <f>BDH("HCC US Equity","EBITDA","1993-06-18","2026-05-02","Per=Y","Days=T","Dir=V")</f>
        <v>0</v>
      </c>
      <c r="AE2">
        <f>BDH("HCC US Equity","NET_INCOME","1993-06-18","2026-05-02","Per=Y","Days=T","Dir=V")</f>
        <v>0</v>
      </c>
      <c r="AG2">
        <f>BDH("HCC US Equity","IS_INT_EXPENSE","1993-06-18","2026-05-02","Per=Y","Days=T","Dir=V")</f>
        <v>0</v>
      </c>
      <c r="AI2">
        <f>BDH("HCC US Equity","IS_DEPR_EXP","1993-06-18","2026-05-02","Per=Y","Days=T","Dir=V")</f>
        <v>0</v>
      </c>
      <c r="AK2">
        <f>BDH("HCC US Equity","CF_CASH_FROM_OPER","1993-06-18","2026-05-02","Per=Y","Days=T","Dir=V")</f>
        <v>0</v>
      </c>
      <c r="AM2">
        <f>BDH("HCC US Equity","CAPITAL_EXPEND","1993-06-18","2026-05-02","Per=Y","Days=T","Dir=V")</f>
        <v>0</v>
      </c>
      <c r="AO2">
        <f>BDH("HCC US Equity","CF_FREE_CASH_FLOW","1993-06-18","2026-05-02","Per=Y","Days=T","Dir=V")</f>
        <v>0</v>
      </c>
      <c r="AQ2">
        <f>BDH("HCC US Equity","PX_LAST","1993-06-18","2026-05-02","Per=M","Days=T","Dir=V")</f>
        <v>0</v>
      </c>
      <c r="AS2">
        <f>BDH("HCC US Equity","CUR_MKT_CAP","1993-06-18","2026-05-02","Per=M","Days=T","Dir=V")</f>
        <v>0</v>
      </c>
      <c r="AU2">
        <f>BDH("HCC US Equity","EQY_SH_OUT","1993-06-18","2026-05-02","Per=M","Days=T","Dir=V")</f>
        <v>0</v>
      </c>
      <c r="AW2">
        <f>BDH("HCC US Equity","PX_VOLUME","1993-06-18","2026-05-02","Per=M","Days=T","Dir=V")</f>
        <v>0</v>
      </c>
      <c r="AY2">
        <f>BDH("HCC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BDH("HCKT US Equity","BS_TOT_ASSET","1993-06-18","2026-05-02","Per=Y","Days=T","Dir=V")</f>
        <v>0</v>
      </c>
      <c r="C2">
        <f>BDH("HCKT US Equity","BS_TOT_LIAB2","1993-06-18","2026-05-02","Per=Y","Days=T","Dir=V")</f>
        <v>0</v>
      </c>
      <c r="E2">
        <f>BDH("HCKT US Equity","SHORT_AND_LONG_TERM_DEBT","1993-06-18","2026-05-02","Per=Y","Days=T","Dir=V")</f>
        <v>0</v>
      </c>
      <c r="G2">
        <f>BDH("HCKT US Equity","BS_ST_BORROW","1993-06-18","2026-05-02","Per=Y","Days=T","Dir=V")</f>
        <v>0</v>
      </c>
      <c r="I2">
        <f>BDH("HCKT US Equity","BS_LT_BORROW","1993-06-18","2026-05-02","Per=Y","Days=T","Dir=V")</f>
        <v>0</v>
      </c>
      <c r="K2">
        <f>BDH("HCKT US Equity","BS_CASH_NEAR_CASH_ITEM","1993-06-18","2026-05-02","Per=Y","Days=T","Dir=V")</f>
        <v>0</v>
      </c>
      <c r="M2">
        <f>BDH("HCKT US Equity","BS_CUR_ASSET_REPORT","1993-06-18","2026-05-02","Per=Y","Days=T","Dir=V")</f>
        <v>0</v>
      </c>
      <c r="O2">
        <f>BDH("HCKT US Equity","BS_CUR_LIAB","1993-06-18","2026-05-02","Per=Y","Days=T","Dir=V")</f>
        <v>0</v>
      </c>
      <c r="Q2">
        <f>BDH("HCKT US Equity","BS_SHAREHOLDER_EQY_ENDING_PERIOD","1993-06-18","2026-05-02","Per=Y","Days=T","Dir=V")</f>
        <v>0</v>
      </c>
      <c r="S2">
        <f>BDH("HCKT US Equity","BS_ACCT_NOTE_RCV","1993-06-18","2026-05-02","Per=Y","Days=T","Dir=V")</f>
        <v>0</v>
      </c>
      <c r="U2">
        <f>BDH("HCKT US Equity","BS_INVENTORIES","1993-06-18","2026-05-02","Per=Y","Days=T","Dir=V")</f>
        <v>0</v>
      </c>
      <c r="W2">
        <f>BDH("HCKT US Equity","WORKING_CAPITAL","1993-06-18","2026-05-02","Per=Y","Days=T","Dir=V")</f>
        <v>0</v>
      </c>
      <c r="Y2">
        <f>BDH("HCKT US Equity","SALES_REV_TURN","1993-06-18","2026-05-02","Per=Y","Days=T","Dir=V")</f>
        <v>0</v>
      </c>
      <c r="AA2">
        <f>BDH("HCKT US Equity","EBIT","1993-06-18","2026-05-02","Per=Y","Days=T","Dir=V")</f>
        <v>0</v>
      </c>
      <c r="AC2">
        <f>BDH("HCKT US Equity","EBITDA","1993-06-18","2026-05-02","Per=Y","Days=T","Dir=V")</f>
        <v>0</v>
      </c>
      <c r="AE2">
        <f>BDH("HCKT US Equity","NET_INCOME","1993-06-18","2026-05-02","Per=Y","Days=T","Dir=V")</f>
        <v>0</v>
      </c>
      <c r="AG2">
        <f>BDH("HCKT US Equity","IS_INT_EXPENSE","1993-06-18","2026-05-02","Per=Y","Days=T","Dir=V")</f>
        <v>0</v>
      </c>
      <c r="AI2">
        <f>BDH("HCKT US Equity","IS_DEPR_EXP","1993-06-18","2026-05-02","Per=Y","Days=T","Dir=V")</f>
        <v>0</v>
      </c>
      <c r="AK2">
        <f>BDH("HCKT US Equity","CF_CASH_FROM_OPER","1993-06-18","2026-05-02","Per=Y","Days=T","Dir=V")</f>
        <v>0</v>
      </c>
      <c r="AM2">
        <f>BDH("HCKT US Equity","CAPITAL_EXPEND","1993-06-18","2026-05-02","Per=Y","Days=T","Dir=V")</f>
        <v>0</v>
      </c>
      <c r="AO2">
        <f>BDH("HCKT US Equity","CF_FREE_CASH_FLOW","1993-06-18","2026-05-02","Per=Y","Days=T","Dir=V")</f>
        <v>0</v>
      </c>
      <c r="AQ2">
        <f>BDH("HCKT US Equity","PX_LAST","1993-06-18","2026-05-02","Per=M","Days=T","Dir=V")</f>
        <v>0</v>
      </c>
      <c r="AS2">
        <f>BDH("HCKT US Equity","CUR_MKT_CAP","1993-06-18","2026-05-02","Per=M","Days=T","Dir=V")</f>
        <v>0</v>
      </c>
      <c r="AU2">
        <f>BDH("HCKT US Equity","EQY_SH_OUT","1993-06-18","2026-05-02","Per=M","Days=T","Dir=V")</f>
        <v>0</v>
      </c>
      <c r="AW2">
        <f>BDH("HCKT US Equity","PX_VOLUME","1993-06-18","2026-05-02","Per=M","Days=T","Dir=V")</f>
        <v>0</v>
      </c>
      <c r="AY2">
        <f>BDH("HCKT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BDH("HCMA US Equity","BS_TOT_ASSET","1993-06-18","2026-05-02","Per=Y","Days=T","Dir=V")</f>
        <v>0</v>
      </c>
      <c r="C2">
        <f>BDH("HCMA US Equity","BS_TOT_LIAB2","1993-06-18","2026-05-02","Per=Y","Days=T","Dir=V")</f>
        <v>0</v>
      </c>
      <c r="E2">
        <f>BDH("HCMA US Equity","SHORT_AND_LONG_TERM_DEBT","1993-06-18","2026-05-02","Per=Y","Days=T","Dir=V")</f>
        <v>0</v>
      </c>
      <c r="G2">
        <f>BDH("HCMA US Equity","BS_ST_BORROW","1993-06-18","2026-05-02","Per=Y","Days=T","Dir=V")</f>
        <v>0</v>
      </c>
      <c r="I2">
        <f>BDH("HCMA US Equity","BS_LT_BORROW","1993-06-18","2026-05-02","Per=Y","Days=T","Dir=V")</f>
        <v>0</v>
      </c>
      <c r="K2">
        <f>BDH("HCMA US Equity","BS_CASH_NEAR_CASH_ITEM","1993-06-18","2026-05-02","Per=Y","Days=T","Dir=V")</f>
        <v>0</v>
      </c>
      <c r="M2">
        <f>BDH("HCMA US Equity","BS_CUR_ASSET_REPORT","1993-06-18","2026-05-02","Per=Y","Days=T","Dir=V")</f>
        <v>0</v>
      </c>
      <c r="O2">
        <f>BDH("HCMA US Equity","BS_CUR_LIAB","1993-06-18","2026-05-02","Per=Y","Days=T","Dir=V")</f>
        <v>0</v>
      </c>
      <c r="Q2">
        <f>BDH("HCMA US Equity","BS_SHAREHOLDER_EQY_ENDING_PERIOD","1993-06-18","2026-05-02","Per=Y","Days=T","Dir=V")</f>
        <v>0</v>
      </c>
      <c r="S2">
        <f>BDH("HCMA US Equity","BS_ACCT_NOTE_RCV","1993-06-18","2026-05-02","Per=Y","Days=T","Dir=V")</f>
        <v>0</v>
      </c>
      <c r="U2">
        <f>BDH("HCMA US Equity","BS_INVENTORIES","1993-06-18","2026-05-02","Per=Y","Days=T","Dir=V")</f>
        <v>0</v>
      </c>
      <c r="W2">
        <f>BDH("HCMA US Equity","WORKING_CAPITAL","1993-06-18","2026-05-02","Per=Y","Days=T","Dir=V")</f>
        <v>0</v>
      </c>
      <c r="Y2">
        <f>BDH("HCMA US Equity","SALES_REV_TURN","1993-06-18","2026-05-02","Per=Y","Days=T","Dir=V")</f>
        <v>0</v>
      </c>
      <c r="AA2">
        <f>BDH("HCMA US Equity","EBIT","1993-06-18","2026-05-02","Per=Y","Days=T","Dir=V")</f>
        <v>0</v>
      </c>
      <c r="AC2">
        <f>BDH("HCMA US Equity","EBITDA","1993-06-18","2026-05-02","Per=Y","Days=T","Dir=V")</f>
        <v>0</v>
      </c>
      <c r="AE2">
        <f>BDH("HCMA US Equity","NET_INCOME","1993-06-18","2026-05-02","Per=Y","Days=T","Dir=V")</f>
        <v>0</v>
      </c>
      <c r="AG2">
        <f>BDH("HCMA US Equity","IS_INT_EXPENSE","1993-06-18","2026-05-02","Per=Y","Days=T","Dir=V")</f>
        <v>0</v>
      </c>
      <c r="AI2">
        <f>BDH("HCMA US Equity","IS_DEPR_EXP","1993-06-18","2026-05-02","Per=Y","Days=T","Dir=V")</f>
        <v>0</v>
      </c>
      <c r="AK2">
        <f>BDH("HCMA US Equity","CF_CASH_FROM_OPER","1993-06-18","2026-05-02","Per=Y","Days=T","Dir=V")</f>
        <v>0</v>
      </c>
      <c r="AM2">
        <f>BDH("HCMA US Equity","CAPITAL_EXPEND","1993-06-18","2026-05-02","Per=Y","Days=T","Dir=V")</f>
        <v>0</v>
      </c>
      <c r="AO2">
        <f>BDH("HCMA US Equity","CF_FREE_CASH_FLOW","1993-06-18","2026-05-02","Per=Y","Days=T","Dir=V")</f>
        <v>0</v>
      </c>
      <c r="AQ2">
        <f>BDH("HCMA US Equity","PX_LAST","1993-06-18","2026-05-02","Per=M","Days=T","Dir=V")</f>
        <v>0</v>
      </c>
      <c r="AS2">
        <f>BDH("HCMA US Equity","CUR_MKT_CAP","1993-06-18","2026-05-02","Per=M","Days=T","Dir=V")</f>
        <v>0</v>
      </c>
      <c r="AU2">
        <f>BDH("HCMA US Equity","EQY_SH_OUT","1993-06-18","2026-05-02","Per=M","Days=T","Dir=V")</f>
        <v>0</v>
      </c>
      <c r="AW2">
        <f>BDH("HCMA US Equity","PX_VOLUME","1993-06-18","2026-05-02","Per=M","Days=T","Dir=V")</f>
        <v>0</v>
      </c>
      <c r="AY2">
        <f>BDH("HCMA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BDH("HCSG US Equity","BS_TOT_ASSET","1993-06-18","2026-05-02","Per=Y","Days=T","Dir=V")</f>
        <v>0</v>
      </c>
      <c r="C2">
        <f>BDH("HCSG US Equity","BS_TOT_LIAB2","1993-06-18","2026-05-02","Per=Y","Days=T","Dir=V")</f>
        <v>0</v>
      </c>
      <c r="E2">
        <f>BDH("HCSG US Equity","SHORT_AND_LONG_TERM_DEBT","1993-06-18","2026-05-02","Per=Y","Days=T","Dir=V")</f>
        <v>0</v>
      </c>
      <c r="G2">
        <f>BDH("HCSG US Equity","BS_ST_BORROW","1993-06-18","2026-05-02","Per=Y","Days=T","Dir=V")</f>
        <v>0</v>
      </c>
      <c r="I2">
        <f>BDH("HCSG US Equity","BS_LT_BORROW","1993-06-18","2026-05-02","Per=Y","Days=T","Dir=V")</f>
        <v>0</v>
      </c>
      <c r="K2">
        <f>BDH("HCSG US Equity","BS_CASH_NEAR_CASH_ITEM","1993-06-18","2026-05-02","Per=Y","Days=T","Dir=V")</f>
        <v>0</v>
      </c>
      <c r="M2">
        <f>BDH("HCSG US Equity","BS_CUR_ASSET_REPORT","1993-06-18","2026-05-02","Per=Y","Days=T","Dir=V")</f>
        <v>0</v>
      </c>
      <c r="O2">
        <f>BDH("HCSG US Equity","BS_CUR_LIAB","1993-06-18","2026-05-02","Per=Y","Days=T","Dir=V")</f>
        <v>0</v>
      </c>
      <c r="Q2">
        <f>BDH("HCSG US Equity","BS_SHAREHOLDER_EQY_ENDING_PERIOD","1993-06-18","2026-05-02","Per=Y","Days=T","Dir=V")</f>
        <v>0</v>
      </c>
      <c r="S2">
        <f>BDH("HCSG US Equity","BS_ACCT_NOTE_RCV","1993-06-18","2026-05-02","Per=Y","Days=T","Dir=V")</f>
        <v>0</v>
      </c>
      <c r="U2">
        <f>BDH("HCSG US Equity","BS_INVENTORIES","1993-06-18","2026-05-02","Per=Y","Days=T","Dir=V")</f>
        <v>0</v>
      </c>
      <c r="W2">
        <f>BDH("HCSG US Equity","WORKING_CAPITAL","1993-06-18","2026-05-02","Per=Y","Days=T","Dir=V")</f>
        <v>0</v>
      </c>
      <c r="Y2">
        <f>BDH("HCSG US Equity","SALES_REV_TURN","1993-06-18","2026-05-02","Per=Y","Days=T","Dir=V")</f>
        <v>0</v>
      </c>
      <c r="AA2">
        <f>BDH("HCSG US Equity","EBIT","1993-06-18","2026-05-02","Per=Y","Days=T","Dir=V")</f>
        <v>0</v>
      </c>
      <c r="AC2">
        <f>BDH("HCSG US Equity","EBITDA","1993-06-18","2026-05-02","Per=Y","Days=T","Dir=V")</f>
        <v>0</v>
      </c>
      <c r="AE2">
        <f>BDH("HCSG US Equity","NET_INCOME","1993-06-18","2026-05-02","Per=Y","Days=T","Dir=V")</f>
        <v>0</v>
      </c>
      <c r="AG2">
        <f>BDH("HCSG US Equity","IS_INT_EXPENSE","1993-06-18","2026-05-02","Per=Y","Days=T","Dir=V")</f>
        <v>0</v>
      </c>
      <c r="AI2">
        <f>BDH("HCSG US Equity","IS_DEPR_EXP","1993-06-18","2026-05-02","Per=Y","Days=T","Dir=V")</f>
        <v>0</v>
      </c>
      <c r="AK2">
        <f>BDH("HCSG US Equity","CF_CASH_FROM_OPER","1993-06-18","2026-05-02","Per=Y","Days=T","Dir=V")</f>
        <v>0</v>
      </c>
      <c r="AM2">
        <f>BDH("HCSG US Equity","CAPITAL_EXPEND","1993-06-18","2026-05-02","Per=Y","Days=T","Dir=V")</f>
        <v>0</v>
      </c>
      <c r="AO2">
        <f>BDH("HCSG US Equity","CF_FREE_CASH_FLOW","1993-06-18","2026-05-02","Per=Y","Days=T","Dir=V")</f>
        <v>0</v>
      </c>
      <c r="AQ2">
        <f>BDH("HCSG US Equity","PX_LAST","1993-06-18","2026-05-02","Per=M","Days=T","Dir=V")</f>
        <v>0</v>
      </c>
      <c r="AS2">
        <f>BDH("HCSG US Equity","CUR_MKT_CAP","1993-06-18","2026-05-02","Per=M","Days=T","Dir=V")</f>
        <v>0</v>
      </c>
      <c r="AU2">
        <f>BDH("HCSG US Equity","EQY_SH_OUT","1993-06-18","2026-05-02","Per=M","Days=T","Dir=V")</f>
        <v>0</v>
      </c>
      <c r="AW2">
        <f>BDH("HCSG US Equity","PX_VOLUME","1993-06-18","2026-05-02","Per=M","Days=T","Dir=V")</f>
        <v>0</v>
      </c>
      <c r="AY2">
        <f>BDH("HCSG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BDH("HCTI US Equity","BS_TOT_ASSET","1993-06-18","2026-05-02","Per=Y","Days=T","Dir=V")</f>
        <v>0</v>
      </c>
      <c r="C2">
        <f>BDH("HCTI US Equity","BS_TOT_LIAB2","1993-06-18","2026-05-02","Per=Y","Days=T","Dir=V")</f>
        <v>0</v>
      </c>
      <c r="E2">
        <f>BDH("HCTI US Equity","SHORT_AND_LONG_TERM_DEBT","1993-06-18","2026-05-02","Per=Y","Days=T","Dir=V")</f>
        <v>0</v>
      </c>
      <c r="G2">
        <f>BDH("HCTI US Equity","BS_ST_BORROW","1993-06-18","2026-05-02","Per=Y","Days=T","Dir=V")</f>
        <v>0</v>
      </c>
      <c r="I2">
        <f>BDH("HCTI US Equity","BS_LT_BORROW","1993-06-18","2026-05-02","Per=Y","Days=T","Dir=V")</f>
        <v>0</v>
      </c>
      <c r="K2">
        <f>BDH("HCTI US Equity","BS_CASH_NEAR_CASH_ITEM","1993-06-18","2026-05-02","Per=Y","Days=T","Dir=V")</f>
        <v>0</v>
      </c>
      <c r="M2">
        <f>BDH("HCTI US Equity","BS_CUR_ASSET_REPORT","1993-06-18","2026-05-02","Per=Y","Days=T","Dir=V")</f>
        <v>0</v>
      </c>
      <c r="O2">
        <f>BDH("HCTI US Equity","BS_CUR_LIAB","1993-06-18","2026-05-02","Per=Y","Days=T","Dir=V")</f>
        <v>0</v>
      </c>
      <c r="Q2">
        <f>BDH("HCTI US Equity","BS_SHAREHOLDER_EQY_ENDING_PERIOD","1993-06-18","2026-05-02","Per=Y","Days=T","Dir=V")</f>
        <v>0</v>
      </c>
      <c r="S2">
        <f>BDH("HCTI US Equity","BS_ACCT_NOTE_RCV","1993-06-18","2026-05-02","Per=Y","Days=T","Dir=V")</f>
        <v>0</v>
      </c>
      <c r="U2">
        <f>BDH("HCTI US Equity","BS_INVENTORIES","1993-06-18","2026-05-02","Per=Y","Days=T","Dir=V")</f>
        <v>0</v>
      </c>
      <c r="W2">
        <f>BDH("HCTI US Equity","WORKING_CAPITAL","1993-06-18","2026-05-02","Per=Y","Days=T","Dir=V")</f>
        <v>0</v>
      </c>
      <c r="Y2">
        <f>BDH("HCTI US Equity","SALES_REV_TURN","1993-06-18","2026-05-02","Per=Y","Days=T","Dir=V")</f>
        <v>0</v>
      </c>
      <c r="AA2">
        <f>BDH("HCTI US Equity","EBIT","1993-06-18","2026-05-02","Per=Y","Days=T","Dir=V")</f>
        <v>0</v>
      </c>
      <c r="AC2">
        <f>BDH("HCTI US Equity","EBITDA","1993-06-18","2026-05-02","Per=Y","Days=T","Dir=V")</f>
        <v>0</v>
      </c>
      <c r="AE2">
        <f>BDH("HCTI US Equity","NET_INCOME","1993-06-18","2026-05-02","Per=Y","Days=T","Dir=V")</f>
        <v>0</v>
      </c>
      <c r="AG2">
        <f>BDH("HCTI US Equity","IS_INT_EXPENSE","1993-06-18","2026-05-02","Per=Y","Days=T","Dir=V")</f>
        <v>0</v>
      </c>
      <c r="AI2">
        <f>BDH("HCTI US Equity","IS_DEPR_EXP","1993-06-18","2026-05-02","Per=Y","Days=T","Dir=V")</f>
        <v>0</v>
      </c>
      <c r="AK2">
        <f>BDH("HCTI US Equity","CF_CASH_FROM_OPER","1993-06-18","2026-05-02","Per=Y","Days=T","Dir=V")</f>
        <v>0</v>
      </c>
      <c r="AM2">
        <f>BDH("HCTI US Equity","CAPITAL_EXPEND","1993-06-18","2026-05-02","Per=Y","Days=T","Dir=V")</f>
        <v>0</v>
      </c>
      <c r="AO2">
        <f>BDH("HCTI US Equity","CF_FREE_CASH_FLOW","1993-06-18","2026-05-02","Per=Y","Days=T","Dir=V")</f>
        <v>0</v>
      </c>
      <c r="AQ2">
        <f>BDH("HCTI US Equity","PX_LAST","1993-06-18","2026-05-02","Per=M","Days=T","Dir=V")</f>
        <v>0</v>
      </c>
      <c r="AS2">
        <f>BDH("HCTI US Equity","CUR_MKT_CAP","1993-06-18","2026-05-02","Per=M","Days=T","Dir=V")</f>
        <v>0</v>
      </c>
      <c r="AU2">
        <f>BDH("HCTI US Equity","EQY_SH_OUT","1993-06-18","2026-05-02","Per=M","Days=T","Dir=V")</f>
        <v>0</v>
      </c>
      <c r="AW2">
        <f>BDH("HCTI US Equity","PX_VOLUME","1993-06-18","2026-05-02","Per=M","Days=T","Dir=V")</f>
        <v>0</v>
      </c>
      <c r="AY2">
        <f>BDH("HCTI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BDH("HCWB US Equity","BS_TOT_ASSET","1993-06-18","2026-05-02","Per=Y","Days=T","Dir=V")</f>
        <v>0</v>
      </c>
      <c r="C2">
        <f>BDH("HCWB US Equity","BS_TOT_LIAB2","1993-06-18","2026-05-02","Per=Y","Days=T","Dir=V")</f>
        <v>0</v>
      </c>
      <c r="E2">
        <f>BDH("HCWB US Equity","SHORT_AND_LONG_TERM_DEBT","1993-06-18","2026-05-02","Per=Y","Days=T","Dir=V")</f>
        <v>0</v>
      </c>
      <c r="G2">
        <f>BDH("HCWB US Equity","BS_ST_BORROW","1993-06-18","2026-05-02","Per=Y","Days=T","Dir=V")</f>
        <v>0</v>
      </c>
      <c r="I2">
        <f>BDH("HCWB US Equity","BS_LT_BORROW","1993-06-18","2026-05-02","Per=Y","Days=T","Dir=V")</f>
        <v>0</v>
      </c>
      <c r="K2">
        <f>BDH("HCWB US Equity","BS_CASH_NEAR_CASH_ITEM","1993-06-18","2026-05-02","Per=Y","Days=T","Dir=V")</f>
        <v>0</v>
      </c>
      <c r="M2">
        <f>BDH("HCWB US Equity","BS_CUR_ASSET_REPORT","1993-06-18","2026-05-02","Per=Y","Days=T","Dir=V")</f>
        <v>0</v>
      </c>
      <c r="O2">
        <f>BDH("HCWB US Equity","BS_CUR_LIAB","1993-06-18","2026-05-02","Per=Y","Days=T","Dir=V")</f>
        <v>0</v>
      </c>
      <c r="Q2">
        <f>BDH("HCWB US Equity","BS_SHAREHOLDER_EQY_ENDING_PERIOD","1993-06-18","2026-05-02","Per=Y","Days=T","Dir=V")</f>
        <v>0</v>
      </c>
      <c r="S2">
        <f>BDH("HCWB US Equity","BS_ACCT_NOTE_RCV","1993-06-18","2026-05-02","Per=Y","Days=T","Dir=V")</f>
        <v>0</v>
      </c>
      <c r="U2">
        <f>BDH("HCWB US Equity","BS_INVENTORIES","1993-06-18","2026-05-02","Per=Y","Days=T","Dir=V")</f>
        <v>0</v>
      </c>
      <c r="W2">
        <f>BDH("HCWB US Equity","WORKING_CAPITAL","1993-06-18","2026-05-02","Per=Y","Days=T","Dir=V")</f>
        <v>0</v>
      </c>
      <c r="Y2">
        <f>BDH("HCWB US Equity","SALES_REV_TURN","1993-06-18","2026-05-02","Per=Y","Days=T","Dir=V")</f>
        <v>0</v>
      </c>
      <c r="AA2">
        <f>BDH("HCWB US Equity","EBIT","1993-06-18","2026-05-02","Per=Y","Days=T","Dir=V")</f>
        <v>0</v>
      </c>
      <c r="AC2">
        <f>BDH("HCWB US Equity","EBITDA","1993-06-18","2026-05-02","Per=Y","Days=T","Dir=V")</f>
        <v>0</v>
      </c>
      <c r="AE2">
        <f>BDH("HCWB US Equity","NET_INCOME","1993-06-18","2026-05-02","Per=Y","Days=T","Dir=V")</f>
        <v>0</v>
      </c>
      <c r="AG2">
        <f>BDH("HCWB US Equity","IS_INT_EXPENSE","1993-06-18","2026-05-02","Per=Y","Days=T","Dir=V")</f>
        <v>0</v>
      </c>
      <c r="AI2">
        <f>BDH("HCWB US Equity","IS_DEPR_EXP","1993-06-18","2026-05-02","Per=Y","Days=T","Dir=V")</f>
        <v>0</v>
      </c>
      <c r="AK2">
        <f>BDH("HCWB US Equity","CF_CASH_FROM_OPER","1993-06-18","2026-05-02","Per=Y","Days=T","Dir=V")</f>
        <v>0</v>
      </c>
      <c r="AM2">
        <f>BDH("HCWB US Equity","CAPITAL_EXPEND","1993-06-18","2026-05-02","Per=Y","Days=T","Dir=V")</f>
        <v>0</v>
      </c>
      <c r="AO2">
        <f>BDH("HCWB US Equity","CF_FREE_CASH_FLOW","1993-06-18","2026-05-02","Per=Y","Days=T","Dir=V")</f>
        <v>0</v>
      </c>
      <c r="AQ2">
        <f>BDH("HCWB US Equity","PX_LAST","1993-06-18","2026-05-02","Per=M","Days=T","Dir=V")</f>
        <v>0</v>
      </c>
      <c r="AS2">
        <f>BDH("HCWB US Equity","CUR_MKT_CAP","1993-06-18","2026-05-02","Per=M","Days=T","Dir=V")</f>
        <v>0</v>
      </c>
      <c r="AU2">
        <f>BDH("HCWB US Equity","EQY_SH_OUT","1993-06-18","2026-05-02","Per=M","Days=T","Dir=V")</f>
        <v>0</v>
      </c>
      <c r="AW2">
        <f>BDH("HCWB US Equity","PX_VOLUME","1993-06-18","2026-05-02","Per=M","Days=T","Dir=V")</f>
        <v>0</v>
      </c>
      <c r="AY2">
        <f>BDH("HCWB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BDH("HD US Equity","BS_TOT_ASSET","1993-06-18","2026-05-02","Per=Y","Days=T","Dir=V")</f>
        <v>0</v>
      </c>
      <c r="C2">
        <f>BDH("HD US Equity","BS_TOT_LIAB2","1993-06-18","2026-05-02","Per=Y","Days=T","Dir=V")</f>
        <v>0</v>
      </c>
      <c r="E2">
        <f>BDH("HD US Equity","SHORT_AND_LONG_TERM_DEBT","1993-06-18","2026-05-02","Per=Y","Days=T","Dir=V")</f>
        <v>0</v>
      </c>
      <c r="G2">
        <f>BDH("HD US Equity","BS_ST_BORROW","1993-06-18","2026-05-02","Per=Y","Days=T","Dir=V")</f>
        <v>0</v>
      </c>
      <c r="I2">
        <f>BDH("HD US Equity","BS_LT_BORROW","1993-06-18","2026-05-02","Per=Y","Days=T","Dir=V")</f>
        <v>0</v>
      </c>
      <c r="K2">
        <f>BDH("HD US Equity","BS_CASH_NEAR_CASH_ITEM","1993-06-18","2026-05-02","Per=Y","Days=T","Dir=V")</f>
        <v>0</v>
      </c>
      <c r="M2">
        <f>BDH("HD US Equity","BS_CUR_ASSET_REPORT","1993-06-18","2026-05-02","Per=Y","Days=T","Dir=V")</f>
        <v>0</v>
      </c>
      <c r="O2">
        <f>BDH("HD US Equity","BS_CUR_LIAB","1993-06-18","2026-05-02","Per=Y","Days=T","Dir=V")</f>
        <v>0</v>
      </c>
      <c r="Q2">
        <f>BDH("HD US Equity","BS_SHAREHOLDER_EQY_ENDING_PERIOD","1993-06-18","2026-05-02","Per=Y","Days=T","Dir=V")</f>
        <v>0</v>
      </c>
      <c r="S2">
        <f>BDH("HD US Equity","BS_ACCT_NOTE_RCV","1993-06-18","2026-05-02","Per=Y","Days=T","Dir=V")</f>
        <v>0</v>
      </c>
      <c r="U2">
        <f>BDH("HD US Equity","BS_INVENTORIES","1993-06-18","2026-05-02","Per=Y","Days=T","Dir=V")</f>
        <v>0</v>
      </c>
      <c r="W2">
        <f>BDH("HD US Equity","WORKING_CAPITAL","1993-06-18","2026-05-02","Per=Y","Days=T","Dir=V")</f>
        <v>0</v>
      </c>
      <c r="Y2">
        <f>BDH("HD US Equity","SALES_REV_TURN","1993-06-18","2026-05-02","Per=Y","Days=T","Dir=V")</f>
        <v>0</v>
      </c>
      <c r="AA2">
        <f>BDH("HD US Equity","EBIT","1993-06-18","2026-05-02","Per=Y","Days=T","Dir=V")</f>
        <v>0</v>
      </c>
      <c r="AC2">
        <f>BDH("HD US Equity","EBITDA","1993-06-18","2026-05-02","Per=Y","Days=T","Dir=V")</f>
        <v>0</v>
      </c>
      <c r="AE2">
        <f>BDH("HD US Equity","NET_INCOME","1993-06-18","2026-05-02","Per=Y","Days=T","Dir=V")</f>
        <v>0</v>
      </c>
      <c r="AG2">
        <f>BDH("HD US Equity","IS_INT_EXPENSE","1993-06-18","2026-05-02","Per=Y","Days=T","Dir=V")</f>
        <v>0</v>
      </c>
      <c r="AI2">
        <f>BDH("HD US Equity","IS_DEPR_EXP","1993-06-18","2026-05-02","Per=Y","Days=T","Dir=V")</f>
        <v>0</v>
      </c>
      <c r="AK2">
        <f>BDH("HD US Equity","CF_CASH_FROM_OPER","1993-06-18","2026-05-02","Per=Y","Days=T","Dir=V")</f>
        <v>0</v>
      </c>
      <c r="AM2">
        <f>BDH("HD US Equity","CAPITAL_EXPEND","1993-06-18","2026-05-02","Per=Y","Days=T","Dir=V")</f>
        <v>0</v>
      </c>
      <c r="AO2">
        <f>BDH("HD US Equity","CF_FREE_CASH_FLOW","1993-06-18","2026-05-02","Per=Y","Days=T","Dir=V")</f>
        <v>0</v>
      </c>
      <c r="AQ2">
        <f>BDH("HD US Equity","PX_LAST","1993-06-18","2026-05-02","Per=M","Days=T","Dir=V")</f>
        <v>0</v>
      </c>
      <c r="AS2">
        <f>BDH("HD US Equity","CUR_MKT_CAP","1993-06-18","2026-05-02","Per=M","Days=T","Dir=V")</f>
        <v>0</v>
      </c>
      <c r="AU2">
        <f>BDH("HD US Equity","EQY_SH_OUT","1993-06-18","2026-05-02","Per=M","Days=T","Dir=V")</f>
        <v>0</v>
      </c>
      <c r="AW2">
        <f>BDH("HD US Equity","PX_VOLUME","1993-06-18","2026-05-02","Per=M","Days=T","Dir=V")</f>
        <v>0</v>
      </c>
      <c r="AY2">
        <f>BDH("HD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BDH("HDRN US Equity","BS_TOT_ASSET","1993-06-18","2026-05-02","Per=Y","Days=T","Dir=V")</f>
        <v>0</v>
      </c>
      <c r="C2">
        <f>BDH("HDRN US Equity","BS_TOT_LIAB2","1993-06-18","2026-05-02","Per=Y","Days=T","Dir=V")</f>
        <v>0</v>
      </c>
      <c r="E2">
        <f>BDH("HDRN US Equity","SHORT_AND_LONG_TERM_DEBT","1993-06-18","2026-05-02","Per=Y","Days=T","Dir=V")</f>
        <v>0</v>
      </c>
      <c r="G2">
        <f>BDH("HDRN US Equity","BS_ST_BORROW","1993-06-18","2026-05-02","Per=Y","Days=T","Dir=V")</f>
        <v>0</v>
      </c>
      <c r="I2">
        <f>BDH("HDRN US Equity","BS_LT_BORROW","1993-06-18","2026-05-02","Per=Y","Days=T","Dir=V")</f>
        <v>0</v>
      </c>
      <c r="K2">
        <f>BDH("HDRN US Equity","BS_CASH_NEAR_CASH_ITEM","1993-06-18","2026-05-02","Per=Y","Days=T","Dir=V")</f>
        <v>0</v>
      </c>
      <c r="M2">
        <f>BDH("HDRN US Equity","BS_CUR_ASSET_REPORT","1993-06-18","2026-05-02","Per=Y","Days=T","Dir=V")</f>
        <v>0</v>
      </c>
      <c r="O2">
        <f>BDH("HDRN US Equity","BS_CUR_LIAB","1993-06-18","2026-05-02","Per=Y","Days=T","Dir=V")</f>
        <v>0</v>
      </c>
      <c r="Q2">
        <f>BDH("HDRN US Equity","BS_SHAREHOLDER_EQY_ENDING_PERIOD","1993-06-18","2026-05-02","Per=Y","Days=T","Dir=V")</f>
        <v>0</v>
      </c>
      <c r="S2">
        <f>BDH("HDRN US Equity","BS_ACCT_NOTE_RCV","1993-06-18","2026-05-02","Per=Y","Days=T","Dir=V")</f>
        <v>0</v>
      </c>
      <c r="U2">
        <f>BDH("HDRN US Equity","BS_INVENTORIES","1993-06-18","2026-05-02","Per=Y","Days=T","Dir=V")</f>
        <v>0</v>
      </c>
      <c r="W2">
        <f>BDH("HDRN US Equity","WORKING_CAPITAL","1993-06-18","2026-05-02","Per=Y","Days=T","Dir=V")</f>
        <v>0</v>
      </c>
      <c r="Y2">
        <f>BDH("HDRN US Equity","SALES_REV_TURN","1993-06-18","2026-05-02","Per=Y","Days=T","Dir=V")</f>
        <v>0</v>
      </c>
      <c r="AA2">
        <f>BDH("HDRN US Equity","EBIT","1993-06-18","2026-05-02","Per=Y","Days=T","Dir=V")</f>
        <v>0</v>
      </c>
      <c r="AC2">
        <f>BDH("HDRN US Equity","EBITDA","1993-06-18","2026-05-02","Per=Y","Days=T","Dir=V")</f>
        <v>0</v>
      </c>
      <c r="AE2">
        <f>BDH("HDRN US Equity","NET_INCOME","1993-06-18","2026-05-02","Per=Y","Days=T","Dir=V")</f>
        <v>0</v>
      </c>
      <c r="AG2">
        <f>BDH("HDRN US Equity","IS_INT_EXPENSE","1993-06-18","2026-05-02","Per=Y","Days=T","Dir=V")</f>
        <v>0</v>
      </c>
      <c r="AI2">
        <f>BDH("HDRN US Equity","IS_DEPR_EXP","1993-06-18","2026-05-02","Per=Y","Days=T","Dir=V")</f>
        <v>0</v>
      </c>
      <c r="AK2">
        <f>BDH("HDRN US Equity","CF_CASH_FROM_OPER","1993-06-18","2026-05-02","Per=Y","Days=T","Dir=V")</f>
        <v>0</v>
      </c>
      <c r="AM2">
        <f>BDH("HDRN US Equity","CAPITAL_EXPEND","1993-06-18","2026-05-02","Per=Y","Days=T","Dir=V")</f>
        <v>0</v>
      </c>
      <c r="AO2">
        <f>BDH("HDRN US Equity","CF_FREE_CASH_FLOW","1993-06-18","2026-05-02","Per=Y","Days=T","Dir=V")</f>
        <v>0</v>
      </c>
      <c r="AQ2">
        <f>BDH("HDRN US Equity","PX_LAST","1993-06-18","2026-05-02","Per=M","Days=T","Dir=V")</f>
        <v>0</v>
      </c>
      <c r="AS2">
        <f>BDH("HDRN US Equity","CUR_MKT_CAP","1993-06-18","2026-05-02","Per=M","Days=T","Dir=V")</f>
        <v>0</v>
      </c>
      <c r="AU2">
        <f>BDH("HDRN US Equity","EQY_SH_OUT","1993-06-18","2026-05-02","Per=M","Days=T","Dir=V")</f>
        <v>0</v>
      </c>
      <c r="AW2">
        <f>BDH("HDRN US Equity","PX_VOLUME","1993-06-18","2026-05-02","Per=M","Days=T","Dir=V")</f>
        <v>0</v>
      </c>
      <c r="AY2">
        <f>BDH("HDRN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BDH("HDRNW US Equity","BS_TOT_ASSET","1993-06-18","2026-05-02","Per=Y","Days=T","Dir=V")</f>
        <v>0</v>
      </c>
      <c r="C2">
        <f>BDH("HDRNW US Equity","BS_TOT_LIAB2","1993-06-18","2026-05-02","Per=Y","Days=T","Dir=V")</f>
        <v>0</v>
      </c>
      <c r="E2">
        <f>BDH("HDRNW US Equity","SHORT_AND_LONG_TERM_DEBT","1993-06-18","2026-05-02","Per=Y","Days=T","Dir=V")</f>
        <v>0</v>
      </c>
      <c r="G2">
        <f>BDH("HDRNW US Equity","BS_ST_BORROW","1993-06-18","2026-05-02","Per=Y","Days=T","Dir=V")</f>
        <v>0</v>
      </c>
      <c r="I2">
        <f>BDH("HDRNW US Equity","BS_LT_BORROW","1993-06-18","2026-05-02","Per=Y","Days=T","Dir=V")</f>
        <v>0</v>
      </c>
      <c r="K2">
        <f>BDH("HDRNW US Equity","BS_CASH_NEAR_CASH_ITEM","1993-06-18","2026-05-02","Per=Y","Days=T","Dir=V")</f>
        <v>0</v>
      </c>
      <c r="M2">
        <f>BDH("HDRNW US Equity","BS_CUR_ASSET_REPORT","1993-06-18","2026-05-02","Per=Y","Days=T","Dir=V")</f>
        <v>0</v>
      </c>
      <c r="O2">
        <f>BDH("HDRNW US Equity","BS_CUR_LIAB","1993-06-18","2026-05-02","Per=Y","Days=T","Dir=V")</f>
        <v>0</v>
      </c>
      <c r="Q2">
        <f>BDH("HDRNW US Equity","BS_SHAREHOLDER_EQY_ENDING_PERIOD","1993-06-18","2026-05-02","Per=Y","Days=T","Dir=V")</f>
        <v>0</v>
      </c>
      <c r="S2">
        <f>BDH("HDRNW US Equity","BS_ACCT_NOTE_RCV","1993-06-18","2026-05-02","Per=Y","Days=T","Dir=V")</f>
        <v>0</v>
      </c>
      <c r="U2">
        <f>BDH("HDRNW US Equity","BS_INVENTORIES","1993-06-18","2026-05-02","Per=Y","Days=T","Dir=V")</f>
        <v>0</v>
      </c>
      <c r="W2">
        <f>BDH("HDRNW US Equity","WORKING_CAPITAL","1993-06-18","2026-05-02","Per=Y","Days=T","Dir=V")</f>
        <v>0</v>
      </c>
      <c r="Y2">
        <f>BDH("HDRNW US Equity","SALES_REV_TURN","1993-06-18","2026-05-02","Per=Y","Days=T","Dir=V")</f>
        <v>0</v>
      </c>
      <c r="AA2">
        <f>BDH("HDRNW US Equity","EBIT","1993-06-18","2026-05-02","Per=Y","Days=T","Dir=V")</f>
        <v>0</v>
      </c>
      <c r="AC2">
        <f>BDH("HDRNW US Equity","EBITDA","1993-06-18","2026-05-02","Per=Y","Days=T","Dir=V")</f>
        <v>0</v>
      </c>
      <c r="AE2">
        <f>BDH("HDRNW US Equity","NET_INCOME","1993-06-18","2026-05-02","Per=Y","Days=T","Dir=V")</f>
        <v>0</v>
      </c>
      <c r="AG2">
        <f>BDH("HDRNW US Equity","IS_INT_EXPENSE","1993-06-18","2026-05-02","Per=Y","Days=T","Dir=V")</f>
        <v>0</v>
      </c>
      <c r="AI2">
        <f>BDH("HDRNW US Equity","IS_DEPR_EXP","1993-06-18","2026-05-02","Per=Y","Days=T","Dir=V")</f>
        <v>0</v>
      </c>
      <c r="AK2">
        <f>BDH("HDRNW US Equity","CF_CASH_FROM_OPER","1993-06-18","2026-05-02","Per=Y","Days=T","Dir=V")</f>
        <v>0</v>
      </c>
      <c r="AM2">
        <f>BDH("HDRNW US Equity","CAPITAL_EXPEND","1993-06-18","2026-05-02","Per=Y","Days=T","Dir=V")</f>
        <v>0</v>
      </c>
      <c r="AO2">
        <f>BDH("HDRNW US Equity","CF_FREE_CASH_FLOW","1993-06-18","2026-05-02","Per=Y","Days=T","Dir=V")</f>
        <v>0</v>
      </c>
      <c r="AQ2">
        <f>BDH("HDRNW US Equity","PX_LAST","1993-06-18","2026-05-02","Per=M","Days=T","Dir=V")</f>
        <v>0</v>
      </c>
      <c r="AS2">
        <f>BDH("HDRNW US Equity","CUR_MKT_CAP","1993-06-18","2026-05-02","Per=M","Days=T","Dir=V")</f>
        <v>0</v>
      </c>
      <c r="AU2">
        <f>BDH("HDRNW US Equity","EQY_SH_OUT","1993-06-18","2026-05-02","Per=M","Days=T","Dir=V")</f>
        <v>0</v>
      </c>
      <c r="AW2">
        <f>BDH("HDRNW US Equity","PX_VOLUME","1993-06-18","2026-05-02","Per=M","Days=T","Dir=V")</f>
        <v>0</v>
      </c>
      <c r="AY2">
        <f>BDH("HDRNW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BDH("HDSN US Equity","BS_TOT_ASSET","1993-06-18","2026-05-02","Per=Y","Days=T","Dir=V")</f>
        <v>0</v>
      </c>
      <c r="C2">
        <f>BDH("HDSN US Equity","BS_TOT_LIAB2","1993-06-18","2026-05-02","Per=Y","Days=T","Dir=V")</f>
        <v>0</v>
      </c>
      <c r="E2">
        <f>BDH("HDSN US Equity","SHORT_AND_LONG_TERM_DEBT","1993-06-18","2026-05-02","Per=Y","Days=T","Dir=V")</f>
        <v>0</v>
      </c>
      <c r="G2">
        <f>BDH("HDSN US Equity","BS_ST_BORROW","1993-06-18","2026-05-02","Per=Y","Days=T","Dir=V")</f>
        <v>0</v>
      </c>
      <c r="I2">
        <f>BDH("HDSN US Equity","BS_LT_BORROW","1993-06-18","2026-05-02","Per=Y","Days=T","Dir=V")</f>
        <v>0</v>
      </c>
      <c r="K2">
        <f>BDH("HDSN US Equity","BS_CASH_NEAR_CASH_ITEM","1993-06-18","2026-05-02","Per=Y","Days=T","Dir=V")</f>
        <v>0</v>
      </c>
      <c r="M2">
        <f>BDH("HDSN US Equity","BS_CUR_ASSET_REPORT","1993-06-18","2026-05-02","Per=Y","Days=T","Dir=V")</f>
        <v>0</v>
      </c>
      <c r="O2">
        <f>BDH("HDSN US Equity","BS_CUR_LIAB","1993-06-18","2026-05-02","Per=Y","Days=T","Dir=V")</f>
        <v>0</v>
      </c>
      <c r="Q2">
        <f>BDH("HDSN US Equity","BS_SHAREHOLDER_EQY_ENDING_PERIOD","1993-06-18","2026-05-02","Per=Y","Days=T","Dir=V")</f>
        <v>0</v>
      </c>
      <c r="S2">
        <f>BDH("HDSN US Equity","BS_ACCT_NOTE_RCV","1993-06-18","2026-05-02","Per=Y","Days=T","Dir=V")</f>
        <v>0</v>
      </c>
      <c r="U2">
        <f>BDH("HDSN US Equity","BS_INVENTORIES","1993-06-18","2026-05-02","Per=Y","Days=T","Dir=V")</f>
        <v>0</v>
      </c>
      <c r="W2">
        <f>BDH("HDSN US Equity","WORKING_CAPITAL","1993-06-18","2026-05-02","Per=Y","Days=T","Dir=V")</f>
        <v>0</v>
      </c>
      <c r="Y2">
        <f>BDH("HDSN US Equity","SALES_REV_TURN","1993-06-18","2026-05-02","Per=Y","Days=T","Dir=V")</f>
        <v>0</v>
      </c>
      <c r="AA2">
        <f>BDH("HDSN US Equity","EBIT","1993-06-18","2026-05-02","Per=Y","Days=T","Dir=V")</f>
        <v>0</v>
      </c>
      <c r="AC2">
        <f>BDH("HDSN US Equity","EBITDA","1993-06-18","2026-05-02","Per=Y","Days=T","Dir=V")</f>
        <v>0</v>
      </c>
      <c r="AE2">
        <f>BDH("HDSN US Equity","NET_INCOME","1993-06-18","2026-05-02","Per=Y","Days=T","Dir=V")</f>
        <v>0</v>
      </c>
      <c r="AG2">
        <f>BDH("HDSN US Equity","IS_INT_EXPENSE","1993-06-18","2026-05-02","Per=Y","Days=T","Dir=V")</f>
        <v>0</v>
      </c>
      <c r="AI2">
        <f>BDH("HDSN US Equity","IS_DEPR_EXP","1993-06-18","2026-05-02","Per=Y","Days=T","Dir=V")</f>
        <v>0</v>
      </c>
      <c r="AK2">
        <f>BDH("HDSN US Equity","CF_CASH_FROM_OPER","1993-06-18","2026-05-02","Per=Y","Days=T","Dir=V")</f>
        <v>0</v>
      </c>
      <c r="AM2">
        <f>BDH("HDSN US Equity","CAPITAL_EXPEND","1993-06-18","2026-05-02","Per=Y","Days=T","Dir=V")</f>
        <v>0</v>
      </c>
      <c r="AO2">
        <f>BDH("HDSN US Equity","CF_FREE_CASH_FLOW","1993-06-18","2026-05-02","Per=Y","Days=T","Dir=V")</f>
        <v>0</v>
      </c>
      <c r="AQ2">
        <f>BDH("HDSN US Equity","PX_LAST","1993-06-18","2026-05-02","Per=M","Days=T","Dir=V")</f>
        <v>0</v>
      </c>
      <c r="AS2">
        <f>BDH("HDSN US Equity","CUR_MKT_CAP","1993-06-18","2026-05-02","Per=M","Days=T","Dir=V")</f>
        <v>0</v>
      </c>
      <c r="AU2">
        <f>BDH("HDSN US Equity","EQY_SH_OUT","1993-06-18","2026-05-02","Per=M","Days=T","Dir=V")</f>
        <v>0</v>
      </c>
      <c r="AW2">
        <f>BDH("HDSN US Equity","PX_VOLUME","1993-06-18","2026-05-02","Per=M","Days=T","Dir=V")</f>
        <v>0</v>
      </c>
      <c r="AY2">
        <f>BDH("HDSN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BDH("HE US Equity","BS_TOT_ASSET","1993-06-18","2026-05-02","Per=Y","Days=T","Dir=V")</f>
        <v>0</v>
      </c>
      <c r="C2">
        <f>BDH("HE US Equity","BS_TOT_LIAB2","1993-06-18","2026-05-02","Per=Y","Days=T","Dir=V")</f>
        <v>0</v>
      </c>
      <c r="E2">
        <f>BDH("HE US Equity","SHORT_AND_LONG_TERM_DEBT","1993-06-18","2026-05-02","Per=Y","Days=T","Dir=V")</f>
        <v>0</v>
      </c>
      <c r="G2">
        <f>BDH("HE US Equity","BS_ST_BORROW","1993-06-18","2026-05-02","Per=Y","Days=T","Dir=V")</f>
        <v>0</v>
      </c>
      <c r="I2">
        <f>BDH("HE US Equity","BS_LT_BORROW","1993-06-18","2026-05-02","Per=Y","Days=T","Dir=V")</f>
        <v>0</v>
      </c>
      <c r="K2">
        <f>BDH("HE US Equity","BS_CASH_NEAR_CASH_ITEM","1993-06-18","2026-05-02","Per=Y","Days=T","Dir=V")</f>
        <v>0</v>
      </c>
      <c r="M2">
        <f>BDH("HE US Equity","BS_CUR_ASSET_REPORT","1993-06-18","2026-05-02","Per=Y","Days=T","Dir=V")</f>
        <v>0</v>
      </c>
      <c r="O2">
        <f>BDH("HE US Equity","BS_CUR_LIAB","1993-06-18","2026-05-02","Per=Y","Days=T","Dir=V")</f>
        <v>0</v>
      </c>
      <c r="Q2">
        <f>BDH("HE US Equity","BS_SHAREHOLDER_EQY_ENDING_PERIOD","1993-06-18","2026-05-02","Per=Y","Days=T","Dir=V")</f>
        <v>0</v>
      </c>
      <c r="S2">
        <f>BDH("HE US Equity","BS_ACCT_NOTE_RCV","1993-06-18","2026-05-02","Per=Y","Days=T","Dir=V")</f>
        <v>0</v>
      </c>
      <c r="U2">
        <f>BDH("HE US Equity","BS_INVENTORIES","1993-06-18","2026-05-02","Per=Y","Days=T","Dir=V")</f>
        <v>0</v>
      </c>
      <c r="W2">
        <f>BDH("HE US Equity","WORKING_CAPITAL","1993-06-18","2026-05-02","Per=Y","Days=T","Dir=V")</f>
        <v>0</v>
      </c>
      <c r="Y2">
        <f>BDH("HE US Equity","SALES_REV_TURN","1993-06-18","2026-05-02","Per=Y","Days=T","Dir=V")</f>
        <v>0</v>
      </c>
      <c r="AA2">
        <f>BDH("HE US Equity","EBIT","1993-06-18","2026-05-02","Per=Y","Days=T","Dir=V")</f>
        <v>0</v>
      </c>
      <c r="AC2">
        <f>BDH("HE US Equity","EBITDA","1993-06-18","2026-05-02","Per=Y","Days=T","Dir=V")</f>
        <v>0</v>
      </c>
      <c r="AE2">
        <f>BDH("HE US Equity","NET_INCOME","1993-06-18","2026-05-02","Per=Y","Days=T","Dir=V")</f>
        <v>0</v>
      </c>
      <c r="AG2">
        <f>BDH("HE US Equity","IS_INT_EXPENSE","1993-06-18","2026-05-02","Per=Y","Days=T","Dir=V")</f>
        <v>0</v>
      </c>
      <c r="AI2">
        <f>BDH("HE US Equity","IS_DEPR_EXP","1993-06-18","2026-05-02","Per=Y","Days=T","Dir=V")</f>
        <v>0</v>
      </c>
      <c r="AK2">
        <f>BDH("HE US Equity","CF_CASH_FROM_OPER","1993-06-18","2026-05-02","Per=Y","Days=T","Dir=V")</f>
        <v>0</v>
      </c>
      <c r="AM2">
        <f>BDH("HE US Equity","CAPITAL_EXPEND","1993-06-18","2026-05-02","Per=Y","Days=T","Dir=V")</f>
        <v>0</v>
      </c>
      <c r="AO2">
        <f>BDH("HE US Equity","CF_FREE_CASH_FLOW","1993-06-18","2026-05-02","Per=Y","Days=T","Dir=V")</f>
        <v>0</v>
      </c>
      <c r="AQ2">
        <f>BDH("HE US Equity","PX_LAST","1993-06-18","2026-05-02","Per=M","Days=T","Dir=V")</f>
        <v>0</v>
      </c>
      <c r="AS2">
        <f>BDH("HE US Equity","CUR_MKT_CAP","1993-06-18","2026-05-02","Per=M","Days=T","Dir=V")</f>
        <v>0</v>
      </c>
      <c r="AU2">
        <f>BDH("HE US Equity","EQY_SH_OUT","1993-06-18","2026-05-02","Per=M","Days=T","Dir=V")</f>
        <v>0</v>
      </c>
      <c r="AW2">
        <f>BDH("HE US Equity","PX_VOLUME","1993-06-18","2026-05-02","Per=M","Days=T","Dir=V")</f>
        <v>0</v>
      </c>
      <c r="AY2">
        <f>BDH("HE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BDH("HEI US Equity","BS_TOT_ASSET","1993-06-18","2026-05-02","Per=Y","Days=T","Dir=V")</f>
        <v>0</v>
      </c>
      <c r="C2">
        <f>BDH("HEI US Equity","BS_TOT_LIAB2","1993-06-18","2026-05-02","Per=Y","Days=T","Dir=V")</f>
        <v>0</v>
      </c>
      <c r="E2">
        <f>BDH("HEI US Equity","SHORT_AND_LONG_TERM_DEBT","1993-06-18","2026-05-02","Per=Y","Days=T","Dir=V")</f>
        <v>0</v>
      </c>
      <c r="G2">
        <f>BDH("HEI US Equity","BS_ST_BORROW","1993-06-18","2026-05-02","Per=Y","Days=T","Dir=V")</f>
        <v>0</v>
      </c>
      <c r="I2">
        <f>BDH("HEI US Equity","BS_LT_BORROW","1993-06-18","2026-05-02","Per=Y","Days=T","Dir=V")</f>
        <v>0</v>
      </c>
      <c r="K2">
        <f>BDH("HEI US Equity","BS_CASH_NEAR_CASH_ITEM","1993-06-18","2026-05-02","Per=Y","Days=T","Dir=V")</f>
        <v>0</v>
      </c>
      <c r="M2">
        <f>BDH("HEI US Equity","BS_CUR_ASSET_REPORT","1993-06-18","2026-05-02","Per=Y","Days=T","Dir=V")</f>
        <v>0</v>
      </c>
      <c r="O2">
        <f>BDH("HEI US Equity","BS_CUR_LIAB","1993-06-18","2026-05-02","Per=Y","Days=T","Dir=V")</f>
        <v>0</v>
      </c>
      <c r="Q2">
        <f>BDH("HEI US Equity","BS_SHAREHOLDER_EQY_ENDING_PERIOD","1993-06-18","2026-05-02","Per=Y","Days=T","Dir=V")</f>
        <v>0</v>
      </c>
      <c r="S2">
        <f>BDH("HEI US Equity","BS_ACCT_NOTE_RCV","1993-06-18","2026-05-02","Per=Y","Days=T","Dir=V")</f>
        <v>0</v>
      </c>
      <c r="U2">
        <f>BDH("HEI US Equity","BS_INVENTORIES","1993-06-18","2026-05-02","Per=Y","Days=T","Dir=V")</f>
        <v>0</v>
      </c>
      <c r="W2">
        <f>BDH("HEI US Equity","WORKING_CAPITAL","1993-06-18","2026-05-02","Per=Y","Days=T","Dir=V")</f>
        <v>0</v>
      </c>
      <c r="Y2">
        <f>BDH("HEI US Equity","SALES_REV_TURN","1993-06-18","2026-05-02","Per=Y","Days=T","Dir=V")</f>
        <v>0</v>
      </c>
      <c r="AA2">
        <f>BDH("HEI US Equity","EBIT","1993-06-18","2026-05-02","Per=Y","Days=T","Dir=V")</f>
        <v>0</v>
      </c>
      <c r="AC2">
        <f>BDH("HEI US Equity","EBITDA","1993-06-18","2026-05-02","Per=Y","Days=T","Dir=V")</f>
        <v>0</v>
      </c>
      <c r="AE2">
        <f>BDH("HEI US Equity","NET_INCOME","1993-06-18","2026-05-02","Per=Y","Days=T","Dir=V")</f>
        <v>0</v>
      </c>
      <c r="AG2">
        <f>BDH("HEI US Equity","IS_INT_EXPENSE","1993-06-18","2026-05-02","Per=Y","Days=T","Dir=V")</f>
        <v>0</v>
      </c>
      <c r="AI2">
        <f>BDH("HEI US Equity","IS_DEPR_EXP","1993-06-18","2026-05-02","Per=Y","Days=T","Dir=V")</f>
        <v>0</v>
      </c>
      <c r="AK2">
        <f>BDH("HEI US Equity","CF_CASH_FROM_OPER","1993-06-18","2026-05-02","Per=Y","Days=T","Dir=V")</f>
        <v>0</v>
      </c>
      <c r="AM2">
        <f>BDH("HEI US Equity","CAPITAL_EXPEND","1993-06-18","2026-05-02","Per=Y","Days=T","Dir=V")</f>
        <v>0</v>
      </c>
      <c r="AO2">
        <f>BDH("HEI US Equity","CF_FREE_CASH_FLOW","1993-06-18","2026-05-02","Per=Y","Days=T","Dir=V")</f>
        <v>0</v>
      </c>
      <c r="AQ2">
        <f>BDH("HEI US Equity","PX_LAST","1993-06-18","2026-05-02","Per=M","Days=T","Dir=V")</f>
        <v>0</v>
      </c>
      <c r="AS2">
        <f>BDH("HEI US Equity","CUR_MKT_CAP","1993-06-18","2026-05-02","Per=M","Days=T","Dir=V")</f>
        <v>0</v>
      </c>
      <c r="AU2">
        <f>BDH("HEI US Equity","EQY_SH_OUT","1993-06-18","2026-05-02","Per=M","Days=T","Dir=V")</f>
        <v>0</v>
      </c>
      <c r="AW2">
        <f>BDH("HEI US Equity","PX_VOLUME","1993-06-18","2026-05-02","Per=M","Days=T","Dir=V")</f>
        <v>0</v>
      </c>
      <c r="AY2">
        <f>BDH("HEI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BDH("HESM US Equity","BS_TOT_ASSET","1993-06-18","2026-05-02","Per=Y","Days=T","Dir=V")</f>
        <v>0</v>
      </c>
      <c r="C2">
        <f>BDH("HESM US Equity","BS_TOT_LIAB2","1993-06-18","2026-05-02","Per=Y","Days=T","Dir=V")</f>
        <v>0</v>
      </c>
      <c r="E2">
        <f>BDH("HESM US Equity","SHORT_AND_LONG_TERM_DEBT","1993-06-18","2026-05-02","Per=Y","Days=T","Dir=V")</f>
        <v>0</v>
      </c>
      <c r="G2">
        <f>BDH("HESM US Equity","BS_ST_BORROW","1993-06-18","2026-05-02","Per=Y","Days=T","Dir=V")</f>
        <v>0</v>
      </c>
      <c r="I2">
        <f>BDH("HESM US Equity","BS_LT_BORROW","1993-06-18","2026-05-02","Per=Y","Days=T","Dir=V")</f>
        <v>0</v>
      </c>
      <c r="K2">
        <f>BDH("HESM US Equity","BS_CASH_NEAR_CASH_ITEM","1993-06-18","2026-05-02","Per=Y","Days=T","Dir=V")</f>
        <v>0</v>
      </c>
      <c r="M2">
        <f>BDH("HESM US Equity","BS_CUR_ASSET_REPORT","1993-06-18","2026-05-02","Per=Y","Days=T","Dir=V")</f>
        <v>0</v>
      </c>
      <c r="O2">
        <f>BDH("HESM US Equity","BS_CUR_LIAB","1993-06-18","2026-05-02","Per=Y","Days=T","Dir=V")</f>
        <v>0</v>
      </c>
      <c r="Q2">
        <f>BDH("HESM US Equity","BS_SHAREHOLDER_EQY_ENDING_PERIOD","1993-06-18","2026-05-02","Per=Y","Days=T","Dir=V")</f>
        <v>0</v>
      </c>
      <c r="S2">
        <f>BDH("HESM US Equity","BS_ACCT_NOTE_RCV","1993-06-18","2026-05-02","Per=Y","Days=T","Dir=V")</f>
        <v>0</v>
      </c>
      <c r="U2">
        <f>BDH("HESM US Equity","BS_INVENTORIES","1993-06-18","2026-05-02","Per=Y","Days=T","Dir=V")</f>
        <v>0</v>
      </c>
      <c r="W2">
        <f>BDH("HESM US Equity","WORKING_CAPITAL","1993-06-18","2026-05-02","Per=Y","Days=T","Dir=V")</f>
        <v>0</v>
      </c>
      <c r="Y2">
        <f>BDH("HESM US Equity","SALES_REV_TURN","1993-06-18","2026-05-02","Per=Y","Days=T","Dir=V")</f>
        <v>0</v>
      </c>
      <c r="AA2">
        <f>BDH("HESM US Equity","EBIT","1993-06-18","2026-05-02","Per=Y","Days=T","Dir=V")</f>
        <v>0</v>
      </c>
      <c r="AC2">
        <f>BDH("HESM US Equity","EBITDA","1993-06-18","2026-05-02","Per=Y","Days=T","Dir=V")</f>
        <v>0</v>
      </c>
      <c r="AE2">
        <f>BDH("HESM US Equity","NET_INCOME","1993-06-18","2026-05-02","Per=Y","Days=T","Dir=V")</f>
        <v>0</v>
      </c>
      <c r="AG2">
        <f>BDH("HESM US Equity","IS_INT_EXPENSE","1993-06-18","2026-05-02","Per=Y","Days=T","Dir=V")</f>
        <v>0</v>
      </c>
      <c r="AI2">
        <f>BDH("HESM US Equity","IS_DEPR_EXP","1993-06-18","2026-05-02","Per=Y","Days=T","Dir=V")</f>
        <v>0</v>
      </c>
      <c r="AK2">
        <f>BDH("HESM US Equity","CF_CASH_FROM_OPER","1993-06-18","2026-05-02","Per=Y","Days=T","Dir=V")</f>
        <v>0</v>
      </c>
      <c r="AM2">
        <f>BDH("HESM US Equity","CAPITAL_EXPEND","1993-06-18","2026-05-02","Per=Y","Days=T","Dir=V")</f>
        <v>0</v>
      </c>
      <c r="AO2">
        <f>BDH("HESM US Equity","CF_FREE_CASH_FLOW","1993-06-18","2026-05-02","Per=Y","Days=T","Dir=V")</f>
        <v>0</v>
      </c>
      <c r="AQ2">
        <f>BDH("HESM US Equity","PX_LAST","1993-06-18","2026-05-02","Per=M","Days=T","Dir=V")</f>
        <v>0</v>
      </c>
      <c r="AS2">
        <f>BDH("HESM US Equity","CUR_MKT_CAP","1993-06-18","2026-05-02","Per=M","Days=T","Dir=V")</f>
        <v>0</v>
      </c>
      <c r="AU2">
        <f>BDH("HESM US Equity","EQY_SH_OUT","1993-06-18","2026-05-02","Per=M","Days=T","Dir=V")</f>
        <v>0</v>
      </c>
      <c r="AW2">
        <f>BDH("HESM US Equity","PX_VOLUME","1993-06-18","2026-05-02","Per=M","Days=T","Dir=V")</f>
        <v>0</v>
      </c>
      <c r="AY2">
        <f>BDH("HESM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BDH("HFFG US Equity","BS_TOT_ASSET","1993-06-18","2026-05-02","Per=Y","Days=T","Dir=V")</f>
        <v>0</v>
      </c>
      <c r="C2">
        <f>BDH("HFFG US Equity","BS_TOT_LIAB2","1993-06-18","2026-05-02","Per=Y","Days=T","Dir=V")</f>
        <v>0</v>
      </c>
      <c r="E2">
        <f>BDH("HFFG US Equity","SHORT_AND_LONG_TERM_DEBT","1993-06-18","2026-05-02","Per=Y","Days=T","Dir=V")</f>
        <v>0</v>
      </c>
      <c r="G2">
        <f>BDH("HFFG US Equity","BS_ST_BORROW","1993-06-18","2026-05-02","Per=Y","Days=T","Dir=V")</f>
        <v>0</v>
      </c>
      <c r="I2">
        <f>BDH("HFFG US Equity","BS_LT_BORROW","1993-06-18","2026-05-02","Per=Y","Days=T","Dir=V")</f>
        <v>0</v>
      </c>
      <c r="K2">
        <f>BDH("HFFG US Equity","BS_CASH_NEAR_CASH_ITEM","1993-06-18","2026-05-02","Per=Y","Days=T","Dir=V")</f>
        <v>0</v>
      </c>
      <c r="M2">
        <f>BDH("HFFG US Equity","BS_CUR_ASSET_REPORT","1993-06-18","2026-05-02","Per=Y","Days=T","Dir=V")</f>
        <v>0</v>
      </c>
      <c r="O2">
        <f>BDH("HFFG US Equity","BS_CUR_LIAB","1993-06-18","2026-05-02","Per=Y","Days=T","Dir=V")</f>
        <v>0</v>
      </c>
      <c r="Q2">
        <f>BDH("HFFG US Equity","BS_SHAREHOLDER_EQY_ENDING_PERIOD","1993-06-18","2026-05-02","Per=Y","Days=T","Dir=V")</f>
        <v>0</v>
      </c>
      <c r="S2">
        <f>BDH("HFFG US Equity","BS_ACCT_NOTE_RCV","1993-06-18","2026-05-02","Per=Y","Days=T","Dir=V")</f>
        <v>0</v>
      </c>
      <c r="U2">
        <f>BDH("HFFG US Equity","BS_INVENTORIES","1993-06-18","2026-05-02","Per=Y","Days=T","Dir=V")</f>
        <v>0</v>
      </c>
      <c r="W2">
        <f>BDH("HFFG US Equity","WORKING_CAPITAL","1993-06-18","2026-05-02","Per=Y","Days=T","Dir=V")</f>
        <v>0</v>
      </c>
      <c r="Y2">
        <f>BDH("HFFG US Equity","SALES_REV_TURN","1993-06-18","2026-05-02","Per=Y","Days=T","Dir=V")</f>
        <v>0</v>
      </c>
      <c r="AA2">
        <f>BDH("HFFG US Equity","EBIT","1993-06-18","2026-05-02","Per=Y","Days=T","Dir=V")</f>
        <v>0</v>
      </c>
      <c r="AC2">
        <f>BDH("HFFG US Equity","EBITDA","1993-06-18","2026-05-02","Per=Y","Days=T","Dir=V")</f>
        <v>0</v>
      </c>
      <c r="AE2">
        <f>BDH("HFFG US Equity","NET_INCOME","1993-06-18","2026-05-02","Per=Y","Days=T","Dir=V")</f>
        <v>0</v>
      </c>
      <c r="AG2">
        <f>BDH("HFFG US Equity","IS_INT_EXPENSE","1993-06-18","2026-05-02","Per=Y","Days=T","Dir=V")</f>
        <v>0</v>
      </c>
      <c r="AI2">
        <f>BDH("HFFG US Equity","IS_DEPR_EXP","1993-06-18","2026-05-02","Per=Y","Days=T","Dir=V")</f>
        <v>0</v>
      </c>
      <c r="AK2">
        <f>BDH("HFFG US Equity","CF_CASH_FROM_OPER","1993-06-18","2026-05-02","Per=Y","Days=T","Dir=V")</f>
        <v>0</v>
      </c>
      <c r="AM2">
        <f>BDH("HFFG US Equity","CAPITAL_EXPEND","1993-06-18","2026-05-02","Per=Y","Days=T","Dir=V")</f>
        <v>0</v>
      </c>
      <c r="AO2">
        <f>BDH("HFFG US Equity","CF_FREE_CASH_FLOW","1993-06-18","2026-05-02","Per=Y","Days=T","Dir=V")</f>
        <v>0</v>
      </c>
      <c r="AQ2">
        <f>BDH("HFFG US Equity","PX_LAST","1993-06-18","2026-05-02","Per=M","Days=T","Dir=V")</f>
        <v>0</v>
      </c>
      <c r="AS2">
        <f>BDH("HFFG US Equity","CUR_MKT_CAP","1993-06-18","2026-05-02","Per=M","Days=T","Dir=V")</f>
        <v>0</v>
      </c>
      <c r="AU2">
        <f>BDH("HFFG US Equity","EQY_SH_OUT","1993-06-18","2026-05-02","Per=M","Days=T","Dir=V")</f>
        <v>0</v>
      </c>
      <c r="AW2">
        <f>BDH("HFFG US Equity","PX_VOLUME","1993-06-18","2026-05-02","Per=M","Days=T","Dir=V")</f>
        <v>0</v>
      </c>
      <c r="AY2">
        <f>BDH("HFFG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BDH("HGBL US Equity","BS_TOT_ASSET","1993-06-18","2026-05-02","Per=Y","Days=T","Dir=V")</f>
        <v>0</v>
      </c>
      <c r="C2">
        <f>BDH("HGBL US Equity","BS_TOT_LIAB2","1993-06-18","2026-05-02","Per=Y","Days=T","Dir=V")</f>
        <v>0</v>
      </c>
      <c r="E2">
        <f>BDH("HGBL US Equity","SHORT_AND_LONG_TERM_DEBT","1993-06-18","2026-05-02","Per=Y","Days=T","Dir=V")</f>
        <v>0</v>
      </c>
      <c r="G2">
        <f>BDH("HGBL US Equity","BS_ST_BORROW","1993-06-18","2026-05-02","Per=Y","Days=T","Dir=V")</f>
        <v>0</v>
      </c>
      <c r="I2">
        <f>BDH("HGBL US Equity","BS_LT_BORROW","1993-06-18","2026-05-02","Per=Y","Days=T","Dir=V")</f>
        <v>0</v>
      </c>
      <c r="K2">
        <f>BDH("HGBL US Equity","BS_CASH_NEAR_CASH_ITEM","1993-06-18","2026-05-02","Per=Y","Days=T","Dir=V")</f>
        <v>0</v>
      </c>
      <c r="M2">
        <f>BDH("HGBL US Equity","BS_CUR_ASSET_REPORT","1993-06-18","2026-05-02","Per=Y","Days=T","Dir=V")</f>
        <v>0</v>
      </c>
      <c r="O2">
        <f>BDH("HGBL US Equity","BS_CUR_LIAB","1993-06-18","2026-05-02","Per=Y","Days=T","Dir=V")</f>
        <v>0</v>
      </c>
      <c r="Q2">
        <f>BDH("HGBL US Equity","BS_SHAREHOLDER_EQY_ENDING_PERIOD","1993-06-18","2026-05-02","Per=Y","Days=T","Dir=V")</f>
        <v>0</v>
      </c>
      <c r="S2">
        <f>BDH("HGBL US Equity","BS_ACCT_NOTE_RCV","1993-06-18","2026-05-02","Per=Y","Days=T","Dir=V")</f>
        <v>0</v>
      </c>
      <c r="U2">
        <f>BDH("HGBL US Equity","BS_INVENTORIES","1993-06-18","2026-05-02","Per=Y","Days=T","Dir=V")</f>
        <v>0</v>
      </c>
      <c r="W2">
        <f>BDH("HGBL US Equity","WORKING_CAPITAL","1993-06-18","2026-05-02","Per=Y","Days=T","Dir=V")</f>
        <v>0</v>
      </c>
      <c r="Y2">
        <f>BDH("HGBL US Equity","SALES_REV_TURN","1993-06-18","2026-05-02","Per=Y","Days=T","Dir=V")</f>
        <v>0</v>
      </c>
      <c r="AA2">
        <f>BDH("HGBL US Equity","EBIT","1993-06-18","2026-05-02","Per=Y","Days=T","Dir=V")</f>
        <v>0</v>
      </c>
      <c r="AC2">
        <f>BDH("HGBL US Equity","EBITDA","1993-06-18","2026-05-02","Per=Y","Days=T","Dir=V")</f>
        <v>0</v>
      </c>
      <c r="AE2">
        <f>BDH("HGBL US Equity","NET_INCOME","1993-06-18","2026-05-02","Per=Y","Days=T","Dir=V")</f>
        <v>0</v>
      </c>
      <c r="AG2">
        <f>BDH("HGBL US Equity","IS_INT_EXPENSE","1993-06-18","2026-05-02","Per=Y","Days=T","Dir=V")</f>
        <v>0</v>
      </c>
      <c r="AI2">
        <f>BDH("HGBL US Equity","IS_DEPR_EXP","1993-06-18","2026-05-02","Per=Y","Days=T","Dir=V")</f>
        <v>0</v>
      </c>
      <c r="AK2">
        <f>BDH("HGBL US Equity","CF_CASH_FROM_OPER","1993-06-18","2026-05-02","Per=Y","Days=T","Dir=V")</f>
        <v>0</v>
      </c>
      <c r="AM2">
        <f>BDH("HGBL US Equity","CAPITAL_EXPEND","1993-06-18","2026-05-02","Per=Y","Days=T","Dir=V")</f>
        <v>0</v>
      </c>
      <c r="AO2">
        <f>BDH("HGBL US Equity","CF_FREE_CASH_FLOW","1993-06-18","2026-05-02","Per=Y","Days=T","Dir=V")</f>
        <v>0</v>
      </c>
      <c r="AQ2">
        <f>BDH("HGBL US Equity","PX_LAST","1993-06-18","2026-05-02","Per=M","Days=T","Dir=V")</f>
        <v>0</v>
      </c>
      <c r="AS2">
        <f>BDH("HGBL US Equity","CUR_MKT_CAP","1993-06-18","2026-05-02","Per=M","Days=T","Dir=V")</f>
        <v>0</v>
      </c>
      <c r="AU2">
        <f>BDH("HGBL US Equity","EQY_SH_OUT","1993-06-18","2026-05-02","Per=M","Days=T","Dir=V")</f>
        <v>0</v>
      </c>
      <c r="AW2">
        <f>BDH("HGBL US Equity","PX_VOLUME","1993-06-18","2026-05-02","Per=M","Days=T","Dir=V")</f>
        <v>0</v>
      </c>
      <c r="AY2">
        <f>BDH("HGBL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BDH("HGV US Equity","BS_TOT_ASSET","1993-06-18","2026-05-02","Per=Y","Days=T","Dir=V")</f>
        <v>0</v>
      </c>
      <c r="C2">
        <f>BDH("HGV US Equity","BS_TOT_LIAB2","1993-06-18","2026-05-02","Per=Y","Days=T","Dir=V")</f>
        <v>0</v>
      </c>
      <c r="E2">
        <f>BDH("HGV US Equity","SHORT_AND_LONG_TERM_DEBT","1993-06-18","2026-05-02","Per=Y","Days=T","Dir=V")</f>
        <v>0</v>
      </c>
      <c r="G2">
        <f>BDH("HGV US Equity","BS_ST_BORROW","1993-06-18","2026-05-02","Per=Y","Days=T","Dir=V")</f>
        <v>0</v>
      </c>
      <c r="I2">
        <f>BDH("HGV US Equity","BS_LT_BORROW","1993-06-18","2026-05-02","Per=Y","Days=T","Dir=V")</f>
        <v>0</v>
      </c>
      <c r="K2">
        <f>BDH("HGV US Equity","BS_CASH_NEAR_CASH_ITEM","1993-06-18","2026-05-02","Per=Y","Days=T","Dir=V")</f>
        <v>0</v>
      </c>
      <c r="M2">
        <f>BDH("HGV US Equity","BS_CUR_ASSET_REPORT","1993-06-18","2026-05-02","Per=Y","Days=T","Dir=V")</f>
        <v>0</v>
      </c>
      <c r="O2">
        <f>BDH("HGV US Equity","BS_CUR_LIAB","1993-06-18","2026-05-02","Per=Y","Days=T","Dir=V")</f>
        <v>0</v>
      </c>
      <c r="Q2">
        <f>BDH("HGV US Equity","BS_SHAREHOLDER_EQY_ENDING_PERIOD","1993-06-18","2026-05-02","Per=Y","Days=T","Dir=V")</f>
        <v>0</v>
      </c>
      <c r="S2">
        <f>BDH("HGV US Equity","BS_ACCT_NOTE_RCV","1993-06-18","2026-05-02","Per=Y","Days=T","Dir=V")</f>
        <v>0</v>
      </c>
      <c r="U2">
        <f>BDH("HGV US Equity","BS_INVENTORIES","1993-06-18","2026-05-02","Per=Y","Days=T","Dir=V")</f>
        <v>0</v>
      </c>
      <c r="W2">
        <f>BDH("HGV US Equity","WORKING_CAPITAL","1993-06-18","2026-05-02","Per=Y","Days=T","Dir=V")</f>
        <v>0</v>
      </c>
      <c r="Y2">
        <f>BDH("HGV US Equity","SALES_REV_TURN","1993-06-18","2026-05-02","Per=Y","Days=T","Dir=V")</f>
        <v>0</v>
      </c>
      <c r="AA2">
        <f>BDH("HGV US Equity","EBIT","1993-06-18","2026-05-02","Per=Y","Days=T","Dir=V")</f>
        <v>0</v>
      </c>
      <c r="AC2">
        <f>BDH("HGV US Equity","EBITDA","1993-06-18","2026-05-02","Per=Y","Days=T","Dir=V")</f>
        <v>0</v>
      </c>
      <c r="AE2">
        <f>BDH("HGV US Equity","NET_INCOME","1993-06-18","2026-05-02","Per=Y","Days=T","Dir=V")</f>
        <v>0</v>
      </c>
      <c r="AG2">
        <f>BDH("HGV US Equity","IS_INT_EXPENSE","1993-06-18","2026-05-02","Per=Y","Days=T","Dir=V")</f>
        <v>0</v>
      </c>
      <c r="AI2">
        <f>BDH("HGV US Equity","IS_DEPR_EXP","1993-06-18","2026-05-02","Per=Y","Days=T","Dir=V")</f>
        <v>0</v>
      </c>
      <c r="AK2">
        <f>BDH("HGV US Equity","CF_CASH_FROM_OPER","1993-06-18","2026-05-02","Per=Y","Days=T","Dir=V")</f>
        <v>0</v>
      </c>
      <c r="AM2">
        <f>BDH("HGV US Equity","CAPITAL_EXPEND","1993-06-18","2026-05-02","Per=Y","Days=T","Dir=V")</f>
        <v>0</v>
      </c>
      <c r="AO2">
        <f>BDH("HGV US Equity","CF_FREE_CASH_FLOW","1993-06-18","2026-05-02","Per=Y","Days=T","Dir=V")</f>
        <v>0</v>
      </c>
      <c r="AQ2">
        <f>BDH("HGV US Equity","PX_LAST","1993-06-18","2026-05-02","Per=M","Days=T","Dir=V")</f>
        <v>0</v>
      </c>
      <c r="AS2">
        <f>BDH("HGV US Equity","CUR_MKT_CAP","1993-06-18","2026-05-02","Per=M","Days=T","Dir=V")</f>
        <v>0</v>
      </c>
      <c r="AU2">
        <f>BDH("HGV US Equity","EQY_SH_OUT","1993-06-18","2026-05-02","Per=M","Days=T","Dir=V")</f>
        <v>0</v>
      </c>
      <c r="AW2">
        <f>BDH("HGV US Equity","PX_VOLUME","1993-06-18","2026-05-02","Per=M","Days=T","Dir=V")</f>
        <v>0</v>
      </c>
      <c r="AY2">
        <f>BDH("HGV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BDH("HHS US Equity","BS_TOT_ASSET","1993-06-18","2026-05-02","Per=Y","Days=T","Dir=V")</f>
        <v>0</v>
      </c>
      <c r="C2">
        <f>BDH("HHS US Equity","BS_TOT_LIAB2","1993-06-18","2026-05-02","Per=Y","Days=T","Dir=V")</f>
        <v>0</v>
      </c>
      <c r="E2">
        <f>BDH("HHS US Equity","SHORT_AND_LONG_TERM_DEBT","1993-06-18","2026-05-02","Per=Y","Days=T","Dir=V")</f>
        <v>0</v>
      </c>
      <c r="G2">
        <f>BDH("HHS US Equity","BS_ST_BORROW","1993-06-18","2026-05-02","Per=Y","Days=T","Dir=V")</f>
        <v>0</v>
      </c>
      <c r="I2">
        <f>BDH("HHS US Equity","BS_LT_BORROW","1993-06-18","2026-05-02","Per=Y","Days=T","Dir=V")</f>
        <v>0</v>
      </c>
      <c r="K2">
        <f>BDH("HHS US Equity","BS_CASH_NEAR_CASH_ITEM","1993-06-18","2026-05-02","Per=Y","Days=T","Dir=V")</f>
        <v>0</v>
      </c>
      <c r="M2">
        <f>BDH("HHS US Equity","BS_CUR_ASSET_REPORT","1993-06-18","2026-05-02","Per=Y","Days=T","Dir=V")</f>
        <v>0</v>
      </c>
      <c r="O2">
        <f>BDH("HHS US Equity","BS_CUR_LIAB","1993-06-18","2026-05-02","Per=Y","Days=T","Dir=V")</f>
        <v>0</v>
      </c>
      <c r="Q2">
        <f>BDH("HHS US Equity","BS_SHAREHOLDER_EQY_ENDING_PERIOD","1993-06-18","2026-05-02","Per=Y","Days=T","Dir=V")</f>
        <v>0</v>
      </c>
      <c r="S2">
        <f>BDH("HHS US Equity","BS_ACCT_NOTE_RCV","1993-06-18","2026-05-02","Per=Y","Days=T","Dir=V")</f>
        <v>0</v>
      </c>
      <c r="U2">
        <f>BDH("HHS US Equity","BS_INVENTORIES","1993-06-18","2026-05-02","Per=Y","Days=T","Dir=V")</f>
        <v>0</v>
      </c>
      <c r="W2">
        <f>BDH("HHS US Equity","WORKING_CAPITAL","1993-06-18","2026-05-02","Per=Y","Days=T","Dir=V")</f>
        <v>0</v>
      </c>
      <c r="Y2">
        <f>BDH("HHS US Equity","SALES_REV_TURN","1993-06-18","2026-05-02","Per=Y","Days=T","Dir=V")</f>
        <v>0</v>
      </c>
      <c r="AA2">
        <f>BDH("HHS US Equity","EBIT","1993-06-18","2026-05-02","Per=Y","Days=T","Dir=V")</f>
        <v>0</v>
      </c>
      <c r="AC2">
        <f>BDH("HHS US Equity","EBITDA","1993-06-18","2026-05-02","Per=Y","Days=T","Dir=V")</f>
        <v>0</v>
      </c>
      <c r="AE2">
        <f>BDH("HHS US Equity","NET_INCOME","1993-06-18","2026-05-02","Per=Y","Days=T","Dir=V")</f>
        <v>0</v>
      </c>
      <c r="AG2">
        <f>BDH("HHS US Equity","IS_INT_EXPENSE","1993-06-18","2026-05-02","Per=Y","Days=T","Dir=V")</f>
        <v>0</v>
      </c>
      <c r="AI2">
        <f>BDH("HHS US Equity","IS_DEPR_EXP","1993-06-18","2026-05-02","Per=Y","Days=T","Dir=V")</f>
        <v>0</v>
      </c>
      <c r="AK2">
        <f>BDH("HHS US Equity","CF_CASH_FROM_OPER","1993-06-18","2026-05-02","Per=Y","Days=T","Dir=V")</f>
        <v>0</v>
      </c>
      <c r="AM2">
        <f>BDH("HHS US Equity","CAPITAL_EXPEND","1993-06-18","2026-05-02","Per=Y","Days=T","Dir=V")</f>
        <v>0</v>
      </c>
      <c r="AO2">
        <f>BDH("HHS US Equity","CF_FREE_CASH_FLOW","1993-06-18","2026-05-02","Per=Y","Days=T","Dir=V")</f>
        <v>0</v>
      </c>
      <c r="AQ2">
        <f>BDH("HHS US Equity","PX_LAST","1993-06-18","2026-05-02","Per=M","Days=T","Dir=V")</f>
        <v>0</v>
      </c>
      <c r="AS2">
        <f>BDH("HHS US Equity","CUR_MKT_CAP","1993-06-18","2026-05-02","Per=M","Days=T","Dir=V")</f>
        <v>0</v>
      </c>
      <c r="AU2">
        <f>BDH("HHS US Equity","EQY_SH_OUT","1993-06-18","2026-05-02","Per=M","Days=T","Dir=V")</f>
        <v>0</v>
      </c>
      <c r="AW2">
        <f>BDH("HHS US Equity","PX_VOLUME","1993-06-18","2026-05-02","Per=M","Days=T","Dir=V")</f>
        <v>0</v>
      </c>
      <c r="AY2">
        <f>BDH("HHS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BDH("HII US Equity","BS_TOT_ASSET","1993-06-18","2026-05-02","Per=Y","Days=T","Dir=V")</f>
        <v>0</v>
      </c>
      <c r="C2">
        <f>BDH("HII US Equity","BS_TOT_LIAB2","1993-06-18","2026-05-02","Per=Y","Days=T","Dir=V")</f>
        <v>0</v>
      </c>
      <c r="E2">
        <f>BDH("HII US Equity","SHORT_AND_LONG_TERM_DEBT","1993-06-18","2026-05-02","Per=Y","Days=T","Dir=V")</f>
        <v>0</v>
      </c>
      <c r="G2">
        <f>BDH("HII US Equity","BS_ST_BORROW","1993-06-18","2026-05-02","Per=Y","Days=T","Dir=V")</f>
        <v>0</v>
      </c>
      <c r="I2">
        <f>BDH("HII US Equity","BS_LT_BORROW","1993-06-18","2026-05-02","Per=Y","Days=T","Dir=V")</f>
        <v>0</v>
      </c>
      <c r="K2">
        <f>BDH("HII US Equity","BS_CASH_NEAR_CASH_ITEM","1993-06-18","2026-05-02","Per=Y","Days=T","Dir=V")</f>
        <v>0</v>
      </c>
      <c r="M2">
        <f>BDH("HII US Equity","BS_CUR_ASSET_REPORT","1993-06-18","2026-05-02","Per=Y","Days=T","Dir=V")</f>
        <v>0</v>
      </c>
      <c r="O2">
        <f>BDH("HII US Equity","BS_CUR_LIAB","1993-06-18","2026-05-02","Per=Y","Days=T","Dir=V")</f>
        <v>0</v>
      </c>
      <c r="Q2">
        <f>BDH("HII US Equity","BS_SHAREHOLDER_EQY_ENDING_PERIOD","1993-06-18","2026-05-02","Per=Y","Days=T","Dir=V")</f>
        <v>0</v>
      </c>
      <c r="S2">
        <f>BDH("HII US Equity","BS_ACCT_NOTE_RCV","1993-06-18","2026-05-02","Per=Y","Days=T","Dir=V")</f>
        <v>0</v>
      </c>
      <c r="U2">
        <f>BDH("HII US Equity","BS_INVENTORIES","1993-06-18","2026-05-02","Per=Y","Days=T","Dir=V")</f>
        <v>0</v>
      </c>
      <c r="W2">
        <f>BDH("HII US Equity","WORKING_CAPITAL","1993-06-18","2026-05-02","Per=Y","Days=T","Dir=V")</f>
        <v>0</v>
      </c>
      <c r="Y2">
        <f>BDH("HII US Equity","SALES_REV_TURN","1993-06-18","2026-05-02","Per=Y","Days=T","Dir=V")</f>
        <v>0</v>
      </c>
      <c r="AA2">
        <f>BDH("HII US Equity","EBIT","1993-06-18","2026-05-02","Per=Y","Days=T","Dir=V")</f>
        <v>0</v>
      </c>
      <c r="AC2">
        <f>BDH("HII US Equity","EBITDA","1993-06-18","2026-05-02","Per=Y","Days=T","Dir=V")</f>
        <v>0</v>
      </c>
      <c r="AE2">
        <f>BDH("HII US Equity","NET_INCOME","1993-06-18","2026-05-02","Per=Y","Days=T","Dir=V")</f>
        <v>0</v>
      </c>
      <c r="AG2">
        <f>BDH("HII US Equity","IS_INT_EXPENSE","1993-06-18","2026-05-02","Per=Y","Days=T","Dir=V")</f>
        <v>0</v>
      </c>
      <c r="AI2">
        <f>BDH("HII US Equity","IS_DEPR_EXP","1993-06-18","2026-05-02","Per=Y","Days=T","Dir=V")</f>
        <v>0</v>
      </c>
      <c r="AK2">
        <f>BDH("HII US Equity","CF_CASH_FROM_OPER","1993-06-18","2026-05-02","Per=Y","Days=T","Dir=V")</f>
        <v>0</v>
      </c>
      <c r="AM2">
        <f>BDH("HII US Equity","CAPITAL_EXPEND","1993-06-18","2026-05-02","Per=Y","Days=T","Dir=V")</f>
        <v>0</v>
      </c>
      <c r="AO2">
        <f>BDH("HII US Equity","CF_FREE_CASH_FLOW","1993-06-18","2026-05-02","Per=Y","Days=T","Dir=V")</f>
        <v>0</v>
      </c>
      <c r="AQ2">
        <f>BDH("HII US Equity","PX_LAST","1993-06-18","2026-05-02","Per=M","Days=T","Dir=V")</f>
        <v>0</v>
      </c>
      <c r="AS2">
        <f>BDH("HII US Equity","CUR_MKT_CAP","1993-06-18","2026-05-02","Per=M","Days=T","Dir=V")</f>
        <v>0</v>
      </c>
      <c r="AU2">
        <f>BDH("HII US Equity","EQY_SH_OUT","1993-06-18","2026-05-02","Per=M","Days=T","Dir=V")</f>
        <v>0</v>
      </c>
      <c r="AW2">
        <f>BDH("HII US Equity","PX_VOLUME","1993-06-18","2026-05-02","Per=M","Days=T","Dir=V")</f>
        <v>0</v>
      </c>
      <c r="AY2">
        <f>BDH("HII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BDH("HIMS US Equity","BS_TOT_ASSET","1993-06-18","2026-05-02","Per=Y","Days=T","Dir=V")</f>
        <v>0</v>
      </c>
      <c r="C2">
        <f>BDH("HIMS US Equity","BS_TOT_LIAB2","1993-06-18","2026-05-02","Per=Y","Days=T","Dir=V")</f>
        <v>0</v>
      </c>
      <c r="E2">
        <f>BDH("HIMS US Equity","SHORT_AND_LONG_TERM_DEBT","1993-06-18","2026-05-02","Per=Y","Days=T","Dir=V")</f>
        <v>0</v>
      </c>
      <c r="G2">
        <f>BDH("HIMS US Equity","BS_ST_BORROW","1993-06-18","2026-05-02","Per=Y","Days=T","Dir=V")</f>
        <v>0</v>
      </c>
      <c r="I2">
        <f>BDH("HIMS US Equity","BS_LT_BORROW","1993-06-18","2026-05-02","Per=Y","Days=T","Dir=V")</f>
        <v>0</v>
      </c>
      <c r="K2">
        <f>BDH("HIMS US Equity","BS_CASH_NEAR_CASH_ITEM","1993-06-18","2026-05-02","Per=Y","Days=T","Dir=V")</f>
        <v>0</v>
      </c>
      <c r="M2">
        <f>BDH("HIMS US Equity","BS_CUR_ASSET_REPORT","1993-06-18","2026-05-02","Per=Y","Days=T","Dir=V")</f>
        <v>0</v>
      </c>
      <c r="O2">
        <f>BDH("HIMS US Equity","BS_CUR_LIAB","1993-06-18","2026-05-02","Per=Y","Days=T","Dir=V")</f>
        <v>0</v>
      </c>
      <c r="Q2">
        <f>BDH("HIMS US Equity","BS_SHAREHOLDER_EQY_ENDING_PERIOD","1993-06-18","2026-05-02","Per=Y","Days=T","Dir=V")</f>
        <v>0</v>
      </c>
      <c r="S2">
        <f>BDH("HIMS US Equity","BS_ACCT_NOTE_RCV","1993-06-18","2026-05-02","Per=Y","Days=T","Dir=V")</f>
        <v>0</v>
      </c>
      <c r="U2">
        <f>BDH("HIMS US Equity","BS_INVENTORIES","1993-06-18","2026-05-02","Per=Y","Days=T","Dir=V")</f>
        <v>0</v>
      </c>
      <c r="W2">
        <f>BDH("HIMS US Equity","WORKING_CAPITAL","1993-06-18","2026-05-02","Per=Y","Days=T","Dir=V")</f>
        <v>0</v>
      </c>
      <c r="Y2">
        <f>BDH("HIMS US Equity","SALES_REV_TURN","1993-06-18","2026-05-02","Per=Y","Days=T","Dir=V")</f>
        <v>0</v>
      </c>
      <c r="AA2">
        <f>BDH("HIMS US Equity","EBIT","1993-06-18","2026-05-02","Per=Y","Days=T","Dir=V")</f>
        <v>0</v>
      </c>
      <c r="AC2">
        <f>BDH("HIMS US Equity","EBITDA","1993-06-18","2026-05-02","Per=Y","Days=T","Dir=V")</f>
        <v>0</v>
      </c>
      <c r="AE2">
        <f>BDH("HIMS US Equity","NET_INCOME","1993-06-18","2026-05-02","Per=Y","Days=T","Dir=V")</f>
        <v>0</v>
      </c>
      <c r="AG2">
        <f>BDH("HIMS US Equity","IS_INT_EXPENSE","1993-06-18","2026-05-02","Per=Y","Days=T","Dir=V")</f>
        <v>0</v>
      </c>
      <c r="AI2">
        <f>BDH("HIMS US Equity","IS_DEPR_EXP","1993-06-18","2026-05-02","Per=Y","Days=T","Dir=V")</f>
        <v>0</v>
      </c>
      <c r="AK2">
        <f>BDH("HIMS US Equity","CF_CASH_FROM_OPER","1993-06-18","2026-05-02","Per=Y","Days=T","Dir=V")</f>
        <v>0</v>
      </c>
      <c r="AM2">
        <f>BDH("HIMS US Equity","CAPITAL_EXPEND","1993-06-18","2026-05-02","Per=Y","Days=T","Dir=V")</f>
        <v>0</v>
      </c>
      <c r="AO2">
        <f>BDH("HIMS US Equity","CF_FREE_CASH_FLOW","1993-06-18","2026-05-02","Per=Y","Days=T","Dir=V")</f>
        <v>0</v>
      </c>
      <c r="AQ2">
        <f>BDH("HIMS US Equity","PX_LAST","1993-06-18","2026-05-02","Per=M","Days=T","Dir=V")</f>
        <v>0</v>
      </c>
      <c r="AS2">
        <f>BDH("HIMS US Equity","CUR_MKT_CAP","1993-06-18","2026-05-02","Per=M","Days=T","Dir=V")</f>
        <v>0</v>
      </c>
      <c r="AU2">
        <f>BDH("HIMS US Equity","EQY_SH_OUT","1993-06-18","2026-05-02","Per=M","Days=T","Dir=V")</f>
        <v>0</v>
      </c>
      <c r="AW2">
        <f>BDH("HIMS US Equity","PX_VOLUME","1993-06-18","2026-05-02","Per=M","Days=T","Dir=V")</f>
        <v>0</v>
      </c>
      <c r="AY2">
        <f>BDH("HIMS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BDH("HIND US Equity","BS_TOT_ASSET","1993-06-18","2026-05-02","Per=Y","Days=T","Dir=V")</f>
        <v>0</v>
      </c>
      <c r="C2">
        <f>BDH("HIND US Equity","BS_TOT_LIAB2","1993-06-18","2026-05-02","Per=Y","Days=T","Dir=V")</f>
        <v>0</v>
      </c>
      <c r="E2">
        <f>BDH("HIND US Equity","SHORT_AND_LONG_TERM_DEBT","1993-06-18","2026-05-02","Per=Y","Days=T","Dir=V")</f>
        <v>0</v>
      </c>
      <c r="G2">
        <f>BDH("HIND US Equity","BS_ST_BORROW","1993-06-18","2026-05-02","Per=Y","Days=T","Dir=V")</f>
        <v>0</v>
      </c>
      <c r="I2">
        <f>BDH("HIND US Equity","BS_LT_BORROW","1993-06-18","2026-05-02","Per=Y","Days=T","Dir=V")</f>
        <v>0</v>
      </c>
      <c r="K2">
        <f>BDH("HIND US Equity","BS_CASH_NEAR_CASH_ITEM","1993-06-18","2026-05-02","Per=Y","Days=T","Dir=V")</f>
        <v>0</v>
      </c>
      <c r="M2">
        <f>BDH("HIND US Equity","BS_CUR_ASSET_REPORT","1993-06-18","2026-05-02","Per=Y","Days=T","Dir=V")</f>
        <v>0</v>
      </c>
      <c r="O2">
        <f>BDH("HIND US Equity","BS_CUR_LIAB","1993-06-18","2026-05-02","Per=Y","Days=T","Dir=V")</f>
        <v>0</v>
      </c>
      <c r="Q2">
        <f>BDH("HIND US Equity","BS_SHAREHOLDER_EQY_ENDING_PERIOD","1993-06-18","2026-05-02","Per=Y","Days=T","Dir=V")</f>
        <v>0</v>
      </c>
      <c r="S2">
        <f>BDH("HIND US Equity","BS_ACCT_NOTE_RCV","1993-06-18","2026-05-02","Per=Y","Days=T","Dir=V")</f>
        <v>0</v>
      </c>
      <c r="U2">
        <f>BDH("HIND US Equity","BS_INVENTORIES","1993-06-18","2026-05-02","Per=Y","Days=T","Dir=V")</f>
        <v>0</v>
      </c>
      <c r="W2">
        <f>BDH("HIND US Equity","WORKING_CAPITAL","1993-06-18","2026-05-02","Per=Y","Days=T","Dir=V")</f>
        <v>0</v>
      </c>
      <c r="Y2">
        <f>BDH("HIND US Equity","SALES_REV_TURN","1993-06-18","2026-05-02","Per=Y","Days=T","Dir=V")</f>
        <v>0</v>
      </c>
      <c r="AA2">
        <f>BDH("HIND US Equity","EBIT","1993-06-18","2026-05-02","Per=Y","Days=T","Dir=V")</f>
        <v>0</v>
      </c>
      <c r="AC2">
        <f>BDH("HIND US Equity","EBITDA","1993-06-18","2026-05-02","Per=Y","Days=T","Dir=V")</f>
        <v>0</v>
      </c>
      <c r="AE2">
        <f>BDH("HIND US Equity","NET_INCOME","1993-06-18","2026-05-02","Per=Y","Days=T","Dir=V")</f>
        <v>0</v>
      </c>
      <c r="AG2">
        <f>BDH("HIND US Equity","IS_INT_EXPENSE","1993-06-18","2026-05-02","Per=Y","Days=T","Dir=V")</f>
        <v>0</v>
      </c>
      <c r="AI2">
        <f>BDH("HIND US Equity","IS_DEPR_EXP","1993-06-18","2026-05-02","Per=Y","Days=T","Dir=V")</f>
        <v>0</v>
      </c>
      <c r="AK2">
        <f>BDH("HIND US Equity","CF_CASH_FROM_OPER","1993-06-18","2026-05-02","Per=Y","Days=T","Dir=V")</f>
        <v>0</v>
      </c>
      <c r="AM2">
        <f>BDH("HIND US Equity","CAPITAL_EXPEND","1993-06-18","2026-05-02","Per=Y","Days=T","Dir=V")</f>
        <v>0</v>
      </c>
      <c r="AO2">
        <f>BDH("HIND US Equity","CF_FREE_CASH_FLOW","1993-06-18","2026-05-02","Per=Y","Days=T","Dir=V")</f>
        <v>0</v>
      </c>
      <c r="AQ2">
        <f>BDH("HIND US Equity","PX_LAST","1993-06-18","2026-05-02","Per=M","Days=T","Dir=V")</f>
        <v>0</v>
      </c>
      <c r="AS2">
        <f>BDH("HIND US Equity","CUR_MKT_CAP","1993-06-18","2026-05-02","Per=M","Days=T","Dir=V")</f>
        <v>0</v>
      </c>
      <c r="AU2">
        <f>BDH("HIND US Equity","EQY_SH_OUT","1993-06-18","2026-05-02","Per=M","Days=T","Dir=V")</f>
        <v>0</v>
      </c>
      <c r="AW2">
        <f>BDH("HIND US Equity","PX_VOLUME","1993-06-18","2026-05-02","Per=M","Days=T","Dir=V")</f>
        <v>0</v>
      </c>
      <c r="AY2">
        <f>BDH("HIND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BDH("HL US Equity","BS_TOT_ASSET","1993-06-18","2026-05-02","Per=Y","Days=T","Dir=V")</f>
        <v>0</v>
      </c>
      <c r="C2">
        <f>BDH("HL US Equity","BS_TOT_LIAB2","1993-06-18","2026-05-02","Per=Y","Days=T","Dir=V")</f>
        <v>0</v>
      </c>
      <c r="E2">
        <f>BDH("HL US Equity","SHORT_AND_LONG_TERM_DEBT","1993-06-18","2026-05-02","Per=Y","Days=T","Dir=V")</f>
        <v>0</v>
      </c>
      <c r="G2">
        <f>BDH("HL US Equity","BS_ST_BORROW","1993-06-18","2026-05-02","Per=Y","Days=T","Dir=V")</f>
        <v>0</v>
      </c>
      <c r="I2">
        <f>BDH("HL US Equity","BS_LT_BORROW","1993-06-18","2026-05-02","Per=Y","Days=T","Dir=V")</f>
        <v>0</v>
      </c>
      <c r="K2">
        <f>BDH("HL US Equity","BS_CASH_NEAR_CASH_ITEM","1993-06-18","2026-05-02","Per=Y","Days=T","Dir=V")</f>
        <v>0</v>
      </c>
      <c r="M2">
        <f>BDH("HL US Equity","BS_CUR_ASSET_REPORT","1993-06-18","2026-05-02","Per=Y","Days=T","Dir=V")</f>
        <v>0</v>
      </c>
      <c r="O2">
        <f>BDH("HL US Equity","BS_CUR_LIAB","1993-06-18","2026-05-02","Per=Y","Days=T","Dir=V")</f>
        <v>0</v>
      </c>
      <c r="Q2">
        <f>BDH("HL US Equity","BS_SHAREHOLDER_EQY_ENDING_PERIOD","1993-06-18","2026-05-02","Per=Y","Days=T","Dir=V")</f>
        <v>0</v>
      </c>
      <c r="S2">
        <f>BDH("HL US Equity","BS_ACCT_NOTE_RCV","1993-06-18","2026-05-02","Per=Y","Days=T","Dir=V")</f>
        <v>0</v>
      </c>
      <c r="U2">
        <f>BDH("HL US Equity","BS_INVENTORIES","1993-06-18","2026-05-02","Per=Y","Days=T","Dir=V")</f>
        <v>0</v>
      </c>
      <c r="W2">
        <f>BDH("HL US Equity","WORKING_CAPITAL","1993-06-18","2026-05-02","Per=Y","Days=T","Dir=V")</f>
        <v>0</v>
      </c>
      <c r="Y2">
        <f>BDH("HL US Equity","SALES_REV_TURN","1993-06-18","2026-05-02","Per=Y","Days=T","Dir=V")</f>
        <v>0</v>
      </c>
      <c r="AA2">
        <f>BDH("HL US Equity","EBIT","1993-06-18","2026-05-02","Per=Y","Days=T","Dir=V")</f>
        <v>0</v>
      </c>
      <c r="AC2">
        <f>BDH("HL US Equity","EBITDA","1993-06-18","2026-05-02","Per=Y","Days=T","Dir=V")</f>
        <v>0</v>
      </c>
      <c r="AE2">
        <f>BDH("HL US Equity","NET_INCOME","1993-06-18","2026-05-02","Per=Y","Days=T","Dir=V")</f>
        <v>0</v>
      </c>
      <c r="AG2">
        <f>BDH("HL US Equity","IS_INT_EXPENSE","1993-06-18","2026-05-02","Per=Y","Days=T","Dir=V")</f>
        <v>0</v>
      </c>
      <c r="AI2">
        <f>BDH("HL US Equity","IS_DEPR_EXP","1993-06-18","2026-05-02","Per=Y","Days=T","Dir=V")</f>
        <v>0</v>
      </c>
      <c r="AK2">
        <f>BDH("HL US Equity","CF_CASH_FROM_OPER","1993-06-18","2026-05-02","Per=Y","Days=T","Dir=V")</f>
        <v>0</v>
      </c>
      <c r="AM2">
        <f>BDH("HL US Equity","CAPITAL_EXPEND","1993-06-18","2026-05-02","Per=Y","Days=T","Dir=V")</f>
        <v>0</v>
      </c>
      <c r="AO2">
        <f>BDH("HL US Equity","CF_FREE_CASH_FLOW","1993-06-18","2026-05-02","Per=Y","Days=T","Dir=V")</f>
        <v>0</v>
      </c>
      <c r="AQ2">
        <f>BDH("HL US Equity","PX_LAST","1993-06-18","2026-05-02","Per=M","Days=T","Dir=V")</f>
        <v>0</v>
      </c>
      <c r="AS2">
        <f>BDH("HL US Equity","CUR_MKT_CAP","1993-06-18","2026-05-02","Per=M","Days=T","Dir=V")</f>
        <v>0</v>
      </c>
      <c r="AU2">
        <f>BDH("HL US Equity","EQY_SH_OUT","1993-06-18","2026-05-02","Per=M","Days=T","Dir=V")</f>
        <v>0</v>
      </c>
      <c r="AW2">
        <f>BDH("HL US Equity","PX_VOLUME","1993-06-18","2026-05-02","Per=M","Days=T","Dir=V")</f>
        <v>0</v>
      </c>
      <c r="AY2">
        <f>BDH("HL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BDH("HLIO US Equity","BS_TOT_ASSET","1993-06-18","2026-05-02","Per=Y","Days=T","Dir=V")</f>
        <v>0</v>
      </c>
      <c r="C2">
        <f>BDH("HLIO US Equity","BS_TOT_LIAB2","1993-06-18","2026-05-02","Per=Y","Days=T","Dir=V")</f>
        <v>0</v>
      </c>
      <c r="E2">
        <f>BDH("HLIO US Equity","SHORT_AND_LONG_TERM_DEBT","1993-06-18","2026-05-02","Per=Y","Days=T","Dir=V")</f>
        <v>0</v>
      </c>
      <c r="G2">
        <f>BDH("HLIO US Equity","BS_ST_BORROW","1993-06-18","2026-05-02","Per=Y","Days=T","Dir=V")</f>
        <v>0</v>
      </c>
      <c r="I2">
        <f>BDH("HLIO US Equity","BS_LT_BORROW","1993-06-18","2026-05-02","Per=Y","Days=T","Dir=V")</f>
        <v>0</v>
      </c>
      <c r="K2">
        <f>BDH("HLIO US Equity","BS_CASH_NEAR_CASH_ITEM","1993-06-18","2026-05-02","Per=Y","Days=T","Dir=V")</f>
        <v>0</v>
      </c>
      <c r="M2">
        <f>BDH("HLIO US Equity","BS_CUR_ASSET_REPORT","1993-06-18","2026-05-02","Per=Y","Days=T","Dir=V")</f>
        <v>0</v>
      </c>
      <c r="O2">
        <f>BDH("HLIO US Equity","BS_CUR_LIAB","1993-06-18","2026-05-02","Per=Y","Days=T","Dir=V")</f>
        <v>0</v>
      </c>
      <c r="Q2">
        <f>BDH("HLIO US Equity","BS_SHAREHOLDER_EQY_ENDING_PERIOD","1993-06-18","2026-05-02","Per=Y","Days=T","Dir=V")</f>
        <v>0</v>
      </c>
      <c r="S2">
        <f>BDH("HLIO US Equity","BS_ACCT_NOTE_RCV","1993-06-18","2026-05-02","Per=Y","Days=T","Dir=V")</f>
        <v>0</v>
      </c>
      <c r="U2">
        <f>BDH("HLIO US Equity","BS_INVENTORIES","1993-06-18","2026-05-02","Per=Y","Days=T","Dir=V")</f>
        <v>0</v>
      </c>
      <c r="W2">
        <f>BDH("HLIO US Equity","WORKING_CAPITAL","1993-06-18","2026-05-02","Per=Y","Days=T","Dir=V")</f>
        <v>0</v>
      </c>
      <c r="Y2">
        <f>BDH("HLIO US Equity","SALES_REV_TURN","1993-06-18","2026-05-02","Per=Y","Days=T","Dir=V")</f>
        <v>0</v>
      </c>
      <c r="AA2">
        <f>BDH("HLIO US Equity","EBIT","1993-06-18","2026-05-02","Per=Y","Days=T","Dir=V")</f>
        <v>0</v>
      </c>
      <c r="AC2">
        <f>BDH("HLIO US Equity","EBITDA","1993-06-18","2026-05-02","Per=Y","Days=T","Dir=V")</f>
        <v>0</v>
      </c>
      <c r="AE2">
        <f>BDH("HLIO US Equity","NET_INCOME","1993-06-18","2026-05-02","Per=Y","Days=T","Dir=V")</f>
        <v>0</v>
      </c>
      <c r="AG2">
        <f>BDH("HLIO US Equity","IS_INT_EXPENSE","1993-06-18","2026-05-02","Per=Y","Days=T","Dir=V")</f>
        <v>0</v>
      </c>
      <c r="AI2">
        <f>BDH("HLIO US Equity","IS_DEPR_EXP","1993-06-18","2026-05-02","Per=Y","Days=T","Dir=V")</f>
        <v>0</v>
      </c>
      <c r="AK2">
        <f>BDH("HLIO US Equity","CF_CASH_FROM_OPER","1993-06-18","2026-05-02","Per=Y","Days=T","Dir=V")</f>
        <v>0</v>
      </c>
      <c r="AM2">
        <f>BDH("HLIO US Equity","CAPITAL_EXPEND","1993-06-18","2026-05-02","Per=Y","Days=T","Dir=V")</f>
        <v>0</v>
      </c>
      <c r="AO2">
        <f>BDH("HLIO US Equity","CF_FREE_CASH_FLOW","1993-06-18","2026-05-02","Per=Y","Days=T","Dir=V")</f>
        <v>0</v>
      </c>
      <c r="AQ2">
        <f>BDH("HLIO US Equity","PX_LAST","1993-06-18","2026-05-02","Per=M","Days=T","Dir=V")</f>
        <v>0</v>
      </c>
      <c r="AS2">
        <f>BDH("HLIO US Equity","CUR_MKT_CAP","1993-06-18","2026-05-02","Per=M","Days=T","Dir=V")</f>
        <v>0</v>
      </c>
      <c r="AU2">
        <f>BDH("HLIO US Equity","EQY_SH_OUT","1993-06-18","2026-05-02","Per=M","Days=T","Dir=V")</f>
        <v>0</v>
      </c>
      <c r="AW2">
        <f>BDH("HLIO US Equity","PX_VOLUME","1993-06-18","2026-05-02","Per=M","Days=T","Dir=V")</f>
        <v>0</v>
      </c>
      <c r="AY2">
        <f>BDH("HLIO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BDH("HLIT US Equity","BS_TOT_ASSET","1993-06-18","2026-05-02","Per=Y","Days=T","Dir=V")</f>
        <v>0</v>
      </c>
      <c r="C2">
        <f>BDH("HLIT US Equity","BS_TOT_LIAB2","1993-06-18","2026-05-02","Per=Y","Days=T","Dir=V")</f>
        <v>0</v>
      </c>
      <c r="E2">
        <f>BDH("HLIT US Equity","SHORT_AND_LONG_TERM_DEBT","1993-06-18","2026-05-02","Per=Y","Days=T","Dir=V")</f>
        <v>0</v>
      </c>
      <c r="G2">
        <f>BDH("HLIT US Equity","BS_ST_BORROW","1993-06-18","2026-05-02","Per=Y","Days=T","Dir=V")</f>
        <v>0</v>
      </c>
      <c r="I2">
        <f>BDH("HLIT US Equity","BS_LT_BORROW","1993-06-18","2026-05-02","Per=Y","Days=T","Dir=V")</f>
        <v>0</v>
      </c>
      <c r="K2">
        <f>BDH("HLIT US Equity","BS_CASH_NEAR_CASH_ITEM","1993-06-18","2026-05-02","Per=Y","Days=T","Dir=V")</f>
        <v>0</v>
      </c>
      <c r="M2">
        <f>BDH("HLIT US Equity","BS_CUR_ASSET_REPORT","1993-06-18","2026-05-02","Per=Y","Days=T","Dir=V")</f>
        <v>0</v>
      </c>
      <c r="O2">
        <f>BDH("HLIT US Equity","BS_CUR_LIAB","1993-06-18","2026-05-02","Per=Y","Days=T","Dir=V")</f>
        <v>0</v>
      </c>
      <c r="Q2">
        <f>BDH("HLIT US Equity","BS_SHAREHOLDER_EQY_ENDING_PERIOD","1993-06-18","2026-05-02","Per=Y","Days=T","Dir=V")</f>
        <v>0</v>
      </c>
      <c r="S2">
        <f>BDH("HLIT US Equity","BS_ACCT_NOTE_RCV","1993-06-18","2026-05-02","Per=Y","Days=T","Dir=V")</f>
        <v>0</v>
      </c>
      <c r="U2">
        <f>BDH("HLIT US Equity","BS_INVENTORIES","1993-06-18","2026-05-02","Per=Y","Days=T","Dir=V")</f>
        <v>0</v>
      </c>
      <c r="W2">
        <f>BDH("HLIT US Equity","WORKING_CAPITAL","1993-06-18","2026-05-02","Per=Y","Days=T","Dir=V")</f>
        <v>0</v>
      </c>
      <c r="Y2">
        <f>BDH("HLIT US Equity","SALES_REV_TURN","1993-06-18","2026-05-02","Per=Y","Days=T","Dir=V")</f>
        <v>0</v>
      </c>
      <c r="AA2">
        <f>BDH("HLIT US Equity","EBIT","1993-06-18","2026-05-02","Per=Y","Days=T","Dir=V")</f>
        <v>0</v>
      </c>
      <c r="AC2">
        <f>BDH("HLIT US Equity","EBITDA","1993-06-18","2026-05-02","Per=Y","Days=T","Dir=V")</f>
        <v>0</v>
      </c>
      <c r="AE2">
        <f>BDH("HLIT US Equity","NET_INCOME","1993-06-18","2026-05-02","Per=Y","Days=T","Dir=V")</f>
        <v>0</v>
      </c>
      <c r="AG2">
        <f>BDH("HLIT US Equity","IS_INT_EXPENSE","1993-06-18","2026-05-02","Per=Y","Days=T","Dir=V")</f>
        <v>0</v>
      </c>
      <c r="AI2">
        <f>BDH("HLIT US Equity","IS_DEPR_EXP","1993-06-18","2026-05-02","Per=Y","Days=T","Dir=V")</f>
        <v>0</v>
      </c>
      <c r="AK2">
        <f>BDH("HLIT US Equity","CF_CASH_FROM_OPER","1993-06-18","2026-05-02","Per=Y","Days=T","Dir=V")</f>
        <v>0</v>
      </c>
      <c r="AM2">
        <f>BDH("HLIT US Equity","CAPITAL_EXPEND","1993-06-18","2026-05-02","Per=Y","Days=T","Dir=V")</f>
        <v>0</v>
      </c>
      <c r="AO2">
        <f>BDH("HLIT US Equity","CF_FREE_CASH_FLOW","1993-06-18","2026-05-02","Per=Y","Days=T","Dir=V")</f>
        <v>0</v>
      </c>
      <c r="AQ2">
        <f>BDH("HLIT US Equity","PX_LAST","1993-06-18","2026-05-02","Per=M","Days=T","Dir=V")</f>
        <v>0</v>
      </c>
      <c r="AS2">
        <f>BDH("HLIT US Equity","CUR_MKT_CAP","1993-06-18","2026-05-02","Per=M","Days=T","Dir=V")</f>
        <v>0</v>
      </c>
      <c r="AU2">
        <f>BDH("HLIT US Equity","EQY_SH_OUT","1993-06-18","2026-05-02","Per=M","Days=T","Dir=V")</f>
        <v>0</v>
      </c>
      <c r="AW2">
        <f>BDH("HLIT US Equity","PX_VOLUME","1993-06-18","2026-05-02","Per=M","Days=T","Dir=V")</f>
        <v>0</v>
      </c>
      <c r="AY2">
        <f>BDH("HLIT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BDH("HLLY US Equity","BS_TOT_ASSET","1993-06-18","2026-05-02","Per=Y","Days=T","Dir=V")</f>
        <v>0</v>
      </c>
      <c r="C2">
        <f>BDH("HLLY US Equity","BS_TOT_LIAB2","1993-06-18","2026-05-02","Per=Y","Days=T","Dir=V")</f>
        <v>0</v>
      </c>
      <c r="E2">
        <f>BDH("HLLY US Equity","SHORT_AND_LONG_TERM_DEBT","1993-06-18","2026-05-02","Per=Y","Days=T","Dir=V")</f>
        <v>0</v>
      </c>
      <c r="G2">
        <f>BDH("HLLY US Equity","BS_ST_BORROW","1993-06-18","2026-05-02","Per=Y","Days=T","Dir=V")</f>
        <v>0</v>
      </c>
      <c r="I2">
        <f>BDH("HLLY US Equity","BS_LT_BORROW","1993-06-18","2026-05-02","Per=Y","Days=T","Dir=V")</f>
        <v>0</v>
      </c>
      <c r="K2">
        <f>BDH("HLLY US Equity","BS_CASH_NEAR_CASH_ITEM","1993-06-18","2026-05-02","Per=Y","Days=T","Dir=V")</f>
        <v>0</v>
      </c>
      <c r="M2">
        <f>BDH("HLLY US Equity","BS_CUR_ASSET_REPORT","1993-06-18","2026-05-02","Per=Y","Days=T","Dir=V")</f>
        <v>0</v>
      </c>
      <c r="O2">
        <f>BDH("HLLY US Equity","BS_CUR_LIAB","1993-06-18","2026-05-02","Per=Y","Days=T","Dir=V")</f>
        <v>0</v>
      </c>
      <c r="Q2">
        <f>BDH("HLLY US Equity","BS_SHAREHOLDER_EQY_ENDING_PERIOD","1993-06-18","2026-05-02","Per=Y","Days=T","Dir=V")</f>
        <v>0</v>
      </c>
      <c r="S2">
        <f>BDH("HLLY US Equity","BS_ACCT_NOTE_RCV","1993-06-18","2026-05-02","Per=Y","Days=T","Dir=V")</f>
        <v>0</v>
      </c>
      <c r="U2">
        <f>BDH("HLLY US Equity","BS_INVENTORIES","1993-06-18","2026-05-02","Per=Y","Days=T","Dir=V")</f>
        <v>0</v>
      </c>
      <c r="W2">
        <f>BDH("HLLY US Equity","WORKING_CAPITAL","1993-06-18","2026-05-02","Per=Y","Days=T","Dir=V")</f>
        <v>0</v>
      </c>
      <c r="Y2">
        <f>BDH("HLLY US Equity","SALES_REV_TURN","1993-06-18","2026-05-02","Per=Y","Days=T","Dir=V")</f>
        <v>0</v>
      </c>
      <c r="AA2">
        <f>BDH("HLLY US Equity","EBIT","1993-06-18","2026-05-02","Per=Y","Days=T","Dir=V")</f>
        <v>0</v>
      </c>
      <c r="AC2">
        <f>BDH("HLLY US Equity","EBITDA","1993-06-18","2026-05-02","Per=Y","Days=T","Dir=V")</f>
        <v>0</v>
      </c>
      <c r="AE2">
        <f>BDH("HLLY US Equity","NET_INCOME","1993-06-18","2026-05-02","Per=Y","Days=T","Dir=V")</f>
        <v>0</v>
      </c>
      <c r="AG2">
        <f>BDH("HLLY US Equity","IS_INT_EXPENSE","1993-06-18","2026-05-02","Per=Y","Days=T","Dir=V")</f>
        <v>0</v>
      </c>
      <c r="AI2">
        <f>BDH("HLLY US Equity","IS_DEPR_EXP","1993-06-18","2026-05-02","Per=Y","Days=T","Dir=V")</f>
        <v>0</v>
      </c>
      <c r="AK2">
        <f>BDH("HLLY US Equity","CF_CASH_FROM_OPER","1993-06-18","2026-05-02","Per=Y","Days=T","Dir=V")</f>
        <v>0</v>
      </c>
      <c r="AM2">
        <f>BDH("HLLY US Equity","CAPITAL_EXPEND","1993-06-18","2026-05-02","Per=Y","Days=T","Dir=V")</f>
        <v>0</v>
      </c>
      <c r="AO2">
        <f>BDH("HLLY US Equity","CF_FREE_CASH_FLOW","1993-06-18","2026-05-02","Per=Y","Days=T","Dir=V")</f>
        <v>0</v>
      </c>
      <c r="AQ2">
        <f>BDH("HLLY US Equity","PX_LAST","1993-06-18","2026-05-02","Per=M","Days=T","Dir=V")</f>
        <v>0</v>
      </c>
      <c r="AS2">
        <f>BDH("HLLY US Equity","CUR_MKT_CAP","1993-06-18","2026-05-02","Per=M","Days=T","Dir=V")</f>
        <v>0</v>
      </c>
      <c r="AU2">
        <f>BDH("HLLY US Equity","EQY_SH_OUT","1993-06-18","2026-05-02","Per=M","Days=T","Dir=V")</f>
        <v>0</v>
      </c>
      <c r="AW2">
        <f>BDH("HLLY US Equity","PX_VOLUME","1993-06-18","2026-05-02","Per=M","Days=T","Dir=V")</f>
        <v>0</v>
      </c>
      <c r="AY2">
        <f>BDH("HLLY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BDH("HLMN US Equity","BS_TOT_ASSET","1993-06-18","2026-05-02","Per=Y","Days=T","Dir=V")</f>
        <v>0</v>
      </c>
      <c r="C2">
        <f>BDH("HLMN US Equity","BS_TOT_LIAB2","1993-06-18","2026-05-02","Per=Y","Days=T","Dir=V")</f>
        <v>0</v>
      </c>
      <c r="E2">
        <f>BDH("HLMN US Equity","SHORT_AND_LONG_TERM_DEBT","1993-06-18","2026-05-02","Per=Y","Days=T","Dir=V")</f>
        <v>0</v>
      </c>
      <c r="G2">
        <f>BDH("HLMN US Equity","BS_ST_BORROW","1993-06-18","2026-05-02","Per=Y","Days=T","Dir=V")</f>
        <v>0</v>
      </c>
      <c r="I2">
        <f>BDH("HLMN US Equity","BS_LT_BORROW","1993-06-18","2026-05-02","Per=Y","Days=T","Dir=V")</f>
        <v>0</v>
      </c>
      <c r="K2">
        <f>BDH("HLMN US Equity","BS_CASH_NEAR_CASH_ITEM","1993-06-18","2026-05-02","Per=Y","Days=T","Dir=V")</f>
        <v>0</v>
      </c>
      <c r="M2">
        <f>BDH("HLMN US Equity","BS_CUR_ASSET_REPORT","1993-06-18","2026-05-02","Per=Y","Days=T","Dir=V")</f>
        <v>0</v>
      </c>
      <c r="O2">
        <f>BDH("HLMN US Equity","BS_CUR_LIAB","1993-06-18","2026-05-02","Per=Y","Days=T","Dir=V")</f>
        <v>0</v>
      </c>
      <c r="Q2">
        <f>BDH("HLMN US Equity","BS_SHAREHOLDER_EQY_ENDING_PERIOD","1993-06-18","2026-05-02","Per=Y","Days=T","Dir=V")</f>
        <v>0</v>
      </c>
      <c r="S2">
        <f>BDH("HLMN US Equity","BS_ACCT_NOTE_RCV","1993-06-18","2026-05-02","Per=Y","Days=T","Dir=V")</f>
        <v>0</v>
      </c>
      <c r="U2">
        <f>BDH("HLMN US Equity","BS_INVENTORIES","1993-06-18","2026-05-02","Per=Y","Days=T","Dir=V")</f>
        <v>0</v>
      </c>
      <c r="W2">
        <f>BDH("HLMN US Equity","WORKING_CAPITAL","1993-06-18","2026-05-02","Per=Y","Days=T","Dir=V")</f>
        <v>0</v>
      </c>
      <c r="Y2">
        <f>BDH("HLMN US Equity","SALES_REV_TURN","1993-06-18","2026-05-02","Per=Y","Days=T","Dir=V")</f>
        <v>0</v>
      </c>
      <c r="AA2">
        <f>BDH("HLMN US Equity","EBIT","1993-06-18","2026-05-02","Per=Y","Days=T","Dir=V")</f>
        <v>0</v>
      </c>
      <c r="AC2">
        <f>BDH("HLMN US Equity","EBITDA","1993-06-18","2026-05-02","Per=Y","Days=T","Dir=V")</f>
        <v>0</v>
      </c>
      <c r="AE2">
        <f>BDH("HLMN US Equity","NET_INCOME","1993-06-18","2026-05-02","Per=Y","Days=T","Dir=V")</f>
        <v>0</v>
      </c>
      <c r="AG2">
        <f>BDH("HLMN US Equity","IS_INT_EXPENSE","1993-06-18","2026-05-02","Per=Y","Days=T","Dir=V")</f>
        <v>0</v>
      </c>
      <c r="AI2">
        <f>BDH("HLMN US Equity","IS_DEPR_EXP","1993-06-18","2026-05-02","Per=Y","Days=T","Dir=V")</f>
        <v>0</v>
      </c>
      <c r="AK2">
        <f>BDH("HLMN US Equity","CF_CASH_FROM_OPER","1993-06-18","2026-05-02","Per=Y","Days=T","Dir=V")</f>
        <v>0</v>
      </c>
      <c r="AM2">
        <f>BDH("HLMN US Equity","CAPITAL_EXPEND","1993-06-18","2026-05-02","Per=Y","Days=T","Dir=V")</f>
        <v>0</v>
      </c>
      <c r="AO2">
        <f>BDH("HLMN US Equity","CF_FREE_CASH_FLOW","1993-06-18","2026-05-02","Per=Y","Days=T","Dir=V")</f>
        <v>0</v>
      </c>
      <c r="AQ2">
        <f>BDH("HLMN US Equity","PX_LAST","1993-06-18","2026-05-02","Per=M","Days=T","Dir=V")</f>
        <v>0</v>
      </c>
      <c r="AS2">
        <f>BDH("HLMN US Equity","CUR_MKT_CAP","1993-06-18","2026-05-02","Per=M","Days=T","Dir=V")</f>
        <v>0</v>
      </c>
      <c r="AU2">
        <f>BDH("HLMN US Equity","EQY_SH_OUT","1993-06-18","2026-05-02","Per=M","Days=T","Dir=V")</f>
        <v>0</v>
      </c>
      <c r="AW2">
        <f>BDH("HLMN US Equity","PX_VOLUME","1993-06-18","2026-05-02","Per=M","Days=T","Dir=V")</f>
        <v>0</v>
      </c>
      <c r="AY2">
        <f>BDH("HLMN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BDH("HLT US Equity","BS_TOT_ASSET","1993-06-18","2026-05-02","Per=Y","Days=T","Dir=V")</f>
        <v>0</v>
      </c>
      <c r="C2">
        <f>BDH("HLT US Equity","BS_TOT_LIAB2","1993-06-18","2026-05-02","Per=Y","Days=T","Dir=V")</f>
        <v>0</v>
      </c>
      <c r="E2">
        <f>BDH("HLT US Equity","SHORT_AND_LONG_TERM_DEBT","1993-06-18","2026-05-02","Per=Y","Days=T","Dir=V")</f>
        <v>0</v>
      </c>
      <c r="G2">
        <f>BDH("HLT US Equity","BS_ST_BORROW","1993-06-18","2026-05-02","Per=Y","Days=T","Dir=V")</f>
        <v>0</v>
      </c>
      <c r="I2">
        <f>BDH("HLT US Equity","BS_LT_BORROW","1993-06-18","2026-05-02","Per=Y","Days=T","Dir=V")</f>
        <v>0</v>
      </c>
      <c r="K2">
        <f>BDH("HLT US Equity","BS_CASH_NEAR_CASH_ITEM","1993-06-18","2026-05-02","Per=Y","Days=T","Dir=V")</f>
        <v>0</v>
      </c>
      <c r="M2">
        <f>BDH("HLT US Equity","BS_CUR_ASSET_REPORT","1993-06-18","2026-05-02","Per=Y","Days=T","Dir=V")</f>
        <v>0</v>
      </c>
      <c r="O2">
        <f>BDH("HLT US Equity","BS_CUR_LIAB","1993-06-18","2026-05-02","Per=Y","Days=T","Dir=V")</f>
        <v>0</v>
      </c>
      <c r="Q2">
        <f>BDH("HLT US Equity","BS_SHAREHOLDER_EQY_ENDING_PERIOD","1993-06-18","2026-05-02","Per=Y","Days=T","Dir=V")</f>
        <v>0</v>
      </c>
      <c r="S2">
        <f>BDH("HLT US Equity","BS_ACCT_NOTE_RCV","1993-06-18","2026-05-02","Per=Y","Days=T","Dir=V")</f>
        <v>0</v>
      </c>
      <c r="U2">
        <f>BDH("HLT US Equity","BS_INVENTORIES","1993-06-18","2026-05-02","Per=Y","Days=T","Dir=V")</f>
        <v>0</v>
      </c>
      <c r="W2">
        <f>BDH("HLT US Equity","WORKING_CAPITAL","1993-06-18","2026-05-02","Per=Y","Days=T","Dir=V")</f>
        <v>0</v>
      </c>
      <c r="Y2">
        <f>BDH("HLT US Equity","SALES_REV_TURN","1993-06-18","2026-05-02","Per=Y","Days=T","Dir=V")</f>
        <v>0</v>
      </c>
      <c r="AA2">
        <f>BDH("HLT US Equity","EBIT","1993-06-18","2026-05-02","Per=Y","Days=T","Dir=V")</f>
        <v>0</v>
      </c>
      <c r="AC2">
        <f>BDH("HLT US Equity","EBITDA","1993-06-18","2026-05-02","Per=Y","Days=T","Dir=V")</f>
        <v>0</v>
      </c>
      <c r="AE2">
        <f>BDH("HLT US Equity","NET_INCOME","1993-06-18","2026-05-02","Per=Y","Days=T","Dir=V")</f>
        <v>0</v>
      </c>
      <c r="AG2">
        <f>BDH("HLT US Equity","IS_INT_EXPENSE","1993-06-18","2026-05-02","Per=Y","Days=T","Dir=V")</f>
        <v>0</v>
      </c>
      <c r="AI2">
        <f>BDH("HLT US Equity","IS_DEPR_EXP","1993-06-18","2026-05-02","Per=Y","Days=T","Dir=V")</f>
        <v>0</v>
      </c>
      <c r="AK2">
        <f>BDH("HLT US Equity","CF_CASH_FROM_OPER","1993-06-18","2026-05-02","Per=Y","Days=T","Dir=V")</f>
        <v>0</v>
      </c>
      <c r="AM2">
        <f>BDH("HLT US Equity","CAPITAL_EXPEND","1993-06-18","2026-05-02","Per=Y","Days=T","Dir=V")</f>
        <v>0</v>
      </c>
      <c r="AO2">
        <f>BDH("HLT US Equity","CF_FREE_CASH_FLOW","1993-06-18","2026-05-02","Per=Y","Days=T","Dir=V")</f>
        <v>0</v>
      </c>
      <c r="AQ2">
        <f>BDH("HLT US Equity","PX_LAST","1993-06-18","2026-05-02","Per=M","Days=T","Dir=V")</f>
        <v>0</v>
      </c>
      <c r="AS2">
        <f>BDH("HLT US Equity","CUR_MKT_CAP","1993-06-18","2026-05-02","Per=M","Days=T","Dir=V")</f>
        <v>0</v>
      </c>
      <c r="AU2">
        <f>BDH("HLT US Equity","EQY_SH_OUT","1993-06-18","2026-05-02","Per=M","Days=T","Dir=V")</f>
        <v>0</v>
      </c>
      <c r="AW2">
        <f>BDH("HLT US Equity","PX_VOLUME","1993-06-18","2026-05-02","Per=M","Days=T","Dir=V")</f>
        <v>0</v>
      </c>
      <c r="AY2">
        <f>BDH("HLT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BDH("HMH US Equity","BS_TOT_ASSET","1993-06-18","2026-05-02","Per=Y","Days=T","Dir=V")</f>
        <v>0</v>
      </c>
      <c r="C2">
        <f>BDH("HMH US Equity","BS_TOT_LIAB2","1993-06-18","2026-05-02","Per=Y","Days=T","Dir=V")</f>
        <v>0</v>
      </c>
      <c r="E2">
        <f>BDH("HMH US Equity","SHORT_AND_LONG_TERM_DEBT","1993-06-18","2026-05-02","Per=Y","Days=T","Dir=V")</f>
        <v>0</v>
      </c>
      <c r="G2">
        <f>BDH("HMH US Equity","BS_ST_BORROW","1993-06-18","2026-05-02","Per=Y","Days=T","Dir=V")</f>
        <v>0</v>
      </c>
      <c r="I2">
        <f>BDH("HMH US Equity","BS_LT_BORROW","1993-06-18","2026-05-02","Per=Y","Days=T","Dir=V")</f>
        <v>0</v>
      </c>
      <c r="K2">
        <f>BDH("HMH US Equity","BS_CASH_NEAR_CASH_ITEM","1993-06-18","2026-05-02","Per=Y","Days=T","Dir=V")</f>
        <v>0</v>
      </c>
      <c r="M2">
        <f>BDH("HMH US Equity","BS_CUR_ASSET_REPORT","1993-06-18","2026-05-02","Per=Y","Days=T","Dir=V")</f>
        <v>0</v>
      </c>
      <c r="O2">
        <f>BDH("HMH US Equity","BS_CUR_LIAB","1993-06-18","2026-05-02","Per=Y","Days=T","Dir=V")</f>
        <v>0</v>
      </c>
      <c r="Q2">
        <f>BDH("HMH US Equity","BS_SHAREHOLDER_EQY_ENDING_PERIOD","1993-06-18","2026-05-02","Per=Y","Days=T","Dir=V")</f>
        <v>0</v>
      </c>
      <c r="S2">
        <f>BDH("HMH US Equity","BS_ACCT_NOTE_RCV","1993-06-18","2026-05-02","Per=Y","Days=T","Dir=V")</f>
        <v>0</v>
      </c>
      <c r="U2">
        <f>BDH("HMH US Equity","BS_INVENTORIES","1993-06-18","2026-05-02","Per=Y","Days=T","Dir=V")</f>
        <v>0</v>
      </c>
      <c r="W2">
        <f>BDH("HMH US Equity","WORKING_CAPITAL","1993-06-18","2026-05-02","Per=Y","Days=T","Dir=V")</f>
        <v>0</v>
      </c>
      <c r="Y2">
        <f>BDH("HMH US Equity","SALES_REV_TURN","1993-06-18","2026-05-02","Per=Y","Days=T","Dir=V")</f>
        <v>0</v>
      </c>
      <c r="AA2">
        <f>BDH("HMH US Equity","EBIT","1993-06-18","2026-05-02","Per=Y","Days=T","Dir=V")</f>
        <v>0</v>
      </c>
      <c r="AC2">
        <f>BDH("HMH US Equity","EBITDA","1993-06-18","2026-05-02","Per=Y","Days=T","Dir=V")</f>
        <v>0</v>
      </c>
      <c r="AE2">
        <f>BDH("HMH US Equity","NET_INCOME","1993-06-18","2026-05-02","Per=Y","Days=T","Dir=V")</f>
        <v>0</v>
      </c>
      <c r="AG2">
        <f>BDH("HMH US Equity","IS_INT_EXPENSE","1993-06-18","2026-05-02","Per=Y","Days=T","Dir=V")</f>
        <v>0</v>
      </c>
      <c r="AI2">
        <f>BDH("HMH US Equity","IS_DEPR_EXP","1993-06-18","2026-05-02","Per=Y","Days=T","Dir=V")</f>
        <v>0</v>
      </c>
      <c r="AK2">
        <f>BDH("HMH US Equity","CF_CASH_FROM_OPER","1993-06-18","2026-05-02","Per=Y","Days=T","Dir=V")</f>
        <v>0</v>
      </c>
      <c r="AM2">
        <f>BDH("HMH US Equity","CAPITAL_EXPEND","1993-06-18","2026-05-02","Per=Y","Days=T","Dir=V")</f>
        <v>0</v>
      </c>
      <c r="AO2">
        <f>BDH("HMH US Equity","CF_FREE_CASH_FLOW","1993-06-18","2026-05-02","Per=Y","Days=T","Dir=V")</f>
        <v>0</v>
      </c>
      <c r="AQ2">
        <f>BDH("HMH US Equity","PX_LAST","1993-06-18","2026-05-02","Per=M","Days=T","Dir=V")</f>
        <v>0</v>
      </c>
      <c r="AS2">
        <f>BDH("HMH US Equity","CUR_MKT_CAP","1993-06-18","2026-05-02","Per=M","Days=T","Dir=V")</f>
        <v>0</v>
      </c>
      <c r="AU2">
        <f>BDH("HMH US Equity","EQY_SH_OUT","1993-06-18","2026-05-02","Per=M","Days=T","Dir=V")</f>
        <v>0</v>
      </c>
      <c r="AW2">
        <f>BDH("HMH US Equity","PX_VOLUME","1993-06-18","2026-05-02","Per=M","Days=T","Dir=V")</f>
        <v>0</v>
      </c>
      <c r="AY2">
        <f>BDH("HMH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BDH("HNGE US Equity","BS_TOT_ASSET","1993-06-18","2026-05-02","Per=Y","Days=T","Dir=V")</f>
        <v>0</v>
      </c>
      <c r="C2">
        <f>BDH("HNGE US Equity","BS_TOT_LIAB2","1993-06-18","2026-05-02","Per=Y","Days=T","Dir=V")</f>
        <v>0</v>
      </c>
      <c r="E2">
        <f>BDH("HNGE US Equity","SHORT_AND_LONG_TERM_DEBT","1993-06-18","2026-05-02","Per=Y","Days=T","Dir=V")</f>
        <v>0</v>
      </c>
      <c r="G2">
        <f>BDH("HNGE US Equity","BS_ST_BORROW","1993-06-18","2026-05-02","Per=Y","Days=T","Dir=V")</f>
        <v>0</v>
      </c>
      <c r="I2">
        <f>BDH("HNGE US Equity","BS_LT_BORROW","1993-06-18","2026-05-02","Per=Y","Days=T","Dir=V")</f>
        <v>0</v>
      </c>
      <c r="K2">
        <f>BDH("HNGE US Equity","BS_CASH_NEAR_CASH_ITEM","1993-06-18","2026-05-02","Per=Y","Days=T","Dir=V")</f>
        <v>0</v>
      </c>
      <c r="M2">
        <f>BDH("HNGE US Equity","BS_CUR_ASSET_REPORT","1993-06-18","2026-05-02","Per=Y","Days=T","Dir=V")</f>
        <v>0</v>
      </c>
      <c r="O2">
        <f>BDH("HNGE US Equity","BS_CUR_LIAB","1993-06-18","2026-05-02","Per=Y","Days=T","Dir=V")</f>
        <v>0</v>
      </c>
      <c r="Q2">
        <f>BDH("HNGE US Equity","BS_SHAREHOLDER_EQY_ENDING_PERIOD","1993-06-18","2026-05-02","Per=Y","Days=T","Dir=V")</f>
        <v>0</v>
      </c>
      <c r="S2">
        <f>BDH("HNGE US Equity","BS_ACCT_NOTE_RCV","1993-06-18","2026-05-02","Per=Y","Days=T","Dir=V")</f>
        <v>0</v>
      </c>
      <c r="U2">
        <f>BDH("HNGE US Equity","BS_INVENTORIES","1993-06-18","2026-05-02","Per=Y","Days=T","Dir=V")</f>
        <v>0</v>
      </c>
      <c r="W2">
        <f>BDH("HNGE US Equity","WORKING_CAPITAL","1993-06-18","2026-05-02","Per=Y","Days=T","Dir=V")</f>
        <v>0</v>
      </c>
      <c r="Y2">
        <f>BDH("HNGE US Equity","SALES_REV_TURN","1993-06-18","2026-05-02","Per=Y","Days=T","Dir=V")</f>
        <v>0</v>
      </c>
      <c r="AA2">
        <f>BDH("HNGE US Equity","EBIT","1993-06-18","2026-05-02","Per=Y","Days=T","Dir=V")</f>
        <v>0</v>
      </c>
      <c r="AC2">
        <f>BDH("HNGE US Equity","EBITDA","1993-06-18","2026-05-02","Per=Y","Days=T","Dir=V")</f>
        <v>0</v>
      </c>
      <c r="AE2">
        <f>BDH("HNGE US Equity","NET_INCOME","1993-06-18","2026-05-02","Per=Y","Days=T","Dir=V")</f>
        <v>0</v>
      </c>
      <c r="AG2">
        <f>BDH("HNGE US Equity","IS_INT_EXPENSE","1993-06-18","2026-05-02","Per=Y","Days=T","Dir=V")</f>
        <v>0</v>
      </c>
      <c r="AI2">
        <f>BDH("HNGE US Equity","IS_DEPR_EXP","1993-06-18","2026-05-02","Per=Y","Days=T","Dir=V")</f>
        <v>0</v>
      </c>
      <c r="AK2">
        <f>BDH("HNGE US Equity","CF_CASH_FROM_OPER","1993-06-18","2026-05-02","Per=Y","Days=T","Dir=V")</f>
        <v>0</v>
      </c>
      <c r="AM2">
        <f>BDH("HNGE US Equity","CAPITAL_EXPEND","1993-06-18","2026-05-02","Per=Y","Days=T","Dir=V")</f>
        <v>0</v>
      </c>
      <c r="AO2">
        <f>BDH("HNGE US Equity","CF_FREE_CASH_FLOW","1993-06-18","2026-05-02","Per=Y","Days=T","Dir=V")</f>
        <v>0</v>
      </c>
      <c r="AQ2">
        <f>BDH("HNGE US Equity","PX_LAST","1993-06-18","2026-05-02","Per=M","Days=T","Dir=V")</f>
        <v>0</v>
      </c>
      <c r="AS2">
        <f>BDH("HNGE US Equity","CUR_MKT_CAP","1993-06-18","2026-05-02","Per=M","Days=T","Dir=V")</f>
        <v>0</v>
      </c>
      <c r="AU2">
        <f>BDH("HNGE US Equity","EQY_SH_OUT","1993-06-18","2026-05-02","Per=M","Days=T","Dir=V")</f>
        <v>0</v>
      </c>
      <c r="AW2">
        <f>BDH("HNGE US Equity","PX_VOLUME","1993-06-18","2026-05-02","Per=M","Days=T","Dir=V")</f>
        <v>0</v>
      </c>
      <c r="AY2">
        <f>BDH("HNGE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BDH("HNI US Equity","BS_TOT_ASSET","1993-06-18","2026-05-02","Per=Y","Days=T","Dir=V")</f>
        <v>0</v>
      </c>
      <c r="C2">
        <f>BDH("HNI US Equity","BS_TOT_LIAB2","1993-06-18","2026-05-02","Per=Y","Days=T","Dir=V")</f>
        <v>0</v>
      </c>
      <c r="E2">
        <f>BDH("HNI US Equity","SHORT_AND_LONG_TERM_DEBT","1993-06-18","2026-05-02","Per=Y","Days=T","Dir=V")</f>
        <v>0</v>
      </c>
      <c r="G2">
        <f>BDH("HNI US Equity","BS_ST_BORROW","1993-06-18","2026-05-02","Per=Y","Days=T","Dir=V")</f>
        <v>0</v>
      </c>
      <c r="I2">
        <f>BDH("HNI US Equity","BS_LT_BORROW","1993-06-18","2026-05-02","Per=Y","Days=T","Dir=V")</f>
        <v>0</v>
      </c>
      <c r="K2">
        <f>BDH("HNI US Equity","BS_CASH_NEAR_CASH_ITEM","1993-06-18","2026-05-02","Per=Y","Days=T","Dir=V")</f>
        <v>0</v>
      </c>
      <c r="M2">
        <f>BDH("HNI US Equity","BS_CUR_ASSET_REPORT","1993-06-18","2026-05-02","Per=Y","Days=T","Dir=V")</f>
        <v>0</v>
      </c>
      <c r="O2">
        <f>BDH("HNI US Equity","BS_CUR_LIAB","1993-06-18","2026-05-02","Per=Y","Days=T","Dir=V")</f>
        <v>0</v>
      </c>
      <c r="Q2">
        <f>BDH("HNI US Equity","BS_SHAREHOLDER_EQY_ENDING_PERIOD","1993-06-18","2026-05-02","Per=Y","Days=T","Dir=V")</f>
        <v>0</v>
      </c>
      <c r="S2">
        <f>BDH("HNI US Equity","BS_ACCT_NOTE_RCV","1993-06-18","2026-05-02","Per=Y","Days=T","Dir=V")</f>
        <v>0</v>
      </c>
      <c r="U2">
        <f>BDH("HNI US Equity","BS_INVENTORIES","1993-06-18","2026-05-02","Per=Y","Days=T","Dir=V")</f>
        <v>0</v>
      </c>
      <c r="W2">
        <f>BDH("HNI US Equity","WORKING_CAPITAL","1993-06-18","2026-05-02","Per=Y","Days=T","Dir=V")</f>
        <v>0</v>
      </c>
      <c r="Y2">
        <f>BDH("HNI US Equity","SALES_REV_TURN","1993-06-18","2026-05-02","Per=Y","Days=T","Dir=V")</f>
        <v>0</v>
      </c>
      <c r="AA2">
        <f>BDH("HNI US Equity","EBIT","1993-06-18","2026-05-02","Per=Y","Days=T","Dir=V")</f>
        <v>0</v>
      </c>
      <c r="AC2">
        <f>BDH("HNI US Equity","EBITDA","1993-06-18","2026-05-02","Per=Y","Days=T","Dir=V")</f>
        <v>0</v>
      </c>
      <c r="AE2">
        <f>BDH("HNI US Equity","NET_INCOME","1993-06-18","2026-05-02","Per=Y","Days=T","Dir=V")</f>
        <v>0</v>
      </c>
      <c r="AG2">
        <f>BDH("HNI US Equity","IS_INT_EXPENSE","1993-06-18","2026-05-02","Per=Y","Days=T","Dir=V")</f>
        <v>0</v>
      </c>
      <c r="AI2">
        <f>BDH("HNI US Equity","IS_DEPR_EXP","1993-06-18","2026-05-02","Per=Y","Days=T","Dir=V")</f>
        <v>0</v>
      </c>
      <c r="AK2">
        <f>BDH("HNI US Equity","CF_CASH_FROM_OPER","1993-06-18","2026-05-02","Per=Y","Days=T","Dir=V")</f>
        <v>0</v>
      </c>
      <c r="AM2">
        <f>BDH("HNI US Equity","CAPITAL_EXPEND","1993-06-18","2026-05-02","Per=Y","Days=T","Dir=V")</f>
        <v>0</v>
      </c>
      <c r="AO2">
        <f>BDH("HNI US Equity","CF_FREE_CASH_FLOW","1993-06-18","2026-05-02","Per=Y","Days=T","Dir=V")</f>
        <v>0</v>
      </c>
      <c r="AQ2">
        <f>BDH("HNI US Equity","PX_LAST","1993-06-18","2026-05-02","Per=M","Days=T","Dir=V")</f>
        <v>0</v>
      </c>
      <c r="AS2">
        <f>BDH("HNI US Equity","CUR_MKT_CAP","1993-06-18","2026-05-02","Per=M","Days=T","Dir=V")</f>
        <v>0</v>
      </c>
      <c r="AU2">
        <f>BDH("HNI US Equity","EQY_SH_OUT","1993-06-18","2026-05-02","Per=M","Days=T","Dir=V")</f>
        <v>0</v>
      </c>
      <c r="AW2">
        <f>BDH("HNI US Equity","PX_VOLUME","1993-06-18","2026-05-02","Per=M","Days=T","Dir=V")</f>
        <v>0</v>
      </c>
      <c r="AY2">
        <f>BDH("HNI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BDH("HNRG US Equity","BS_TOT_ASSET","1993-06-18","2026-05-02","Per=Y","Days=T","Dir=V")</f>
        <v>0</v>
      </c>
      <c r="C2">
        <f>BDH("HNRG US Equity","BS_TOT_LIAB2","1993-06-18","2026-05-02","Per=Y","Days=T","Dir=V")</f>
        <v>0</v>
      </c>
      <c r="E2">
        <f>BDH("HNRG US Equity","SHORT_AND_LONG_TERM_DEBT","1993-06-18","2026-05-02","Per=Y","Days=T","Dir=V")</f>
        <v>0</v>
      </c>
      <c r="G2">
        <f>BDH("HNRG US Equity","BS_ST_BORROW","1993-06-18","2026-05-02","Per=Y","Days=T","Dir=V")</f>
        <v>0</v>
      </c>
      <c r="I2">
        <f>BDH("HNRG US Equity","BS_LT_BORROW","1993-06-18","2026-05-02","Per=Y","Days=T","Dir=V")</f>
        <v>0</v>
      </c>
      <c r="K2">
        <f>BDH("HNRG US Equity","BS_CASH_NEAR_CASH_ITEM","1993-06-18","2026-05-02","Per=Y","Days=T","Dir=V")</f>
        <v>0</v>
      </c>
      <c r="M2">
        <f>BDH("HNRG US Equity","BS_CUR_ASSET_REPORT","1993-06-18","2026-05-02","Per=Y","Days=T","Dir=V")</f>
        <v>0</v>
      </c>
      <c r="O2">
        <f>BDH("HNRG US Equity","BS_CUR_LIAB","1993-06-18","2026-05-02","Per=Y","Days=T","Dir=V")</f>
        <v>0</v>
      </c>
      <c r="Q2">
        <f>BDH("HNRG US Equity","BS_SHAREHOLDER_EQY_ENDING_PERIOD","1993-06-18","2026-05-02","Per=Y","Days=T","Dir=V")</f>
        <v>0</v>
      </c>
      <c r="S2">
        <f>BDH("HNRG US Equity","BS_ACCT_NOTE_RCV","1993-06-18","2026-05-02","Per=Y","Days=T","Dir=V")</f>
        <v>0</v>
      </c>
      <c r="U2">
        <f>BDH("HNRG US Equity","BS_INVENTORIES","1993-06-18","2026-05-02","Per=Y","Days=T","Dir=V")</f>
        <v>0</v>
      </c>
      <c r="W2">
        <f>BDH("HNRG US Equity","WORKING_CAPITAL","1993-06-18","2026-05-02","Per=Y","Days=T","Dir=V")</f>
        <v>0</v>
      </c>
      <c r="Y2">
        <f>BDH("HNRG US Equity","SALES_REV_TURN","1993-06-18","2026-05-02","Per=Y","Days=T","Dir=V")</f>
        <v>0</v>
      </c>
      <c r="AA2">
        <f>BDH("HNRG US Equity","EBIT","1993-06-18","2026-05-02","Per=Y","Days=T","Dir=V")</f>
        <v>0</v>
      </c>
      <c r="AC2">
        <f>BDH("HNRG US Equity","EBITDA","1993-06-18","2026-05-02","Per=Y","Days=T","Dir=V")</f>
        <v>0</v>
      </c>
      <c r="AE2">
        <f>BDH("HNRG US Equity","NET_INCOME","1993-06-18","2026-05-02","Per=Y","Days=T","Dir=V")</f>
        <v>0</v>
      </c>
      <c r="AG2">
        <f>BDH("HNRG US Equity","IS_INT_EXPENSE","1993-06-18","2026-05-02","Per=Y","Days=T","Dir=V")</f>
        <v>0</v>
      </c>
      <c r="AI2">
        <f>BDH("HNRG US Equity","IS_DEPR_EXP","1993-06-18","2026-05-02","Per=Y","Days=T","Dir=V")</f>
        <v>0</v>
      </c>
      <c r="AK2">
        <f>BDH("HNRG US Equity","CF_CASH_FROM_OPER","1993-06-18","2026-05-02","Per=Y","Days=T","Dir=V")</f>
        <v>0</v>
      </c>
      <c r="AM2">
        <f>BDH("HNRG US Equity","CAPITAL_EXPEND","1993-06-18","2026-05-02","Per=Y","Days=T","Dir=V")</f>
        <v>0</v>
      </c>
      <c r="AO2">
        <f>BDH("HNRG US Equity","CF_FREE_CASH_FLOW","1993-06-18","2026-05-02","Per=Y","Days=T","Dir=V")</f>
        <v>0</v>
      </c>
      <c r="AQ2">
        <f>BDH("HNRG US Equity","PX_LAST","1993-06-18","2026-05-02","Per=M","Days=T","Dir=V")</f>
        <v>0</v>
      </c>
      <c r="AS2">
        <f>BDH("HNRG US Equity","CUR_MKT_CAP","1993-06-18","2026-05-02","Per=M","Days=T","Dir=V")</f>
        <v>0</v>
      </c>
      <c r="AU2">
        <f>BDH("HNRG US Equity","EQY_SH_OUT","1993-06-18","2026-05-02","Per=M","Days=T","Dir=V")</f>
        <v>0</v>
      </c>
      <c r="AW2">
        <f>BDH("HNRG US Equity","PX_VOLUME","1993-06-18","2026-05-02","Per=M","Days=T","Dir=V")</f>
        <v>0</v>
      </c>
      <c r="AY2">
        <f>BDH("HNRG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BDH("HNST US Equity","BS_TOT_ASSET","1993-06-18","2026-05-02","Per=Y","Days=T","Dir=V")</f>
        <v>0</v>
      </c>
      <c r="C2">
        <f>BDH("HNST US Equity","BS_TOT_LIAB2","1993-06-18","2026-05-02","Per=Y","Days=T","Dir=V")</f>
        <v>0</v>
      </c>
      <c r="E2">
        <f>BDH("HNST US Equity","SHORT_AND_LONG_TERM_DEBT","1993-06-18","2026-05-02","Per=Y","Days=T","Dir=V")</f>
        <v>0</v>
      </c>
      <c r="G2">
        <f>BDH("HNST US Equity","BS_ST_BORROW","1993-06-18","2026-05-02","Per=Y","Days=T","Dir=V")</f>
        <v>0</v>
      </c>
      <c r="I2">
        <f>BDH("HNST US Equity","BS_LT_BORROW","1993-06-18","2026-05-02","Per=Y","Days=T","Dir=V")</f>
        <v>0</v>
      </c>
      <c r="K2">
        <f>BDH("HNST US Equity","BS_CASH_NEAR_CASH_ITEM","1993-06-18","2026-05-02","Per=Y","Days=T","Dir=V")</f>
        <v>0</v>
      </c>
      <c r="M2">
        <f>BDH("HNST US Equity","BS_CUR_ASSET_REPORT","1993-06-18","2026-05-02","Per=Y","Days=T","Dir=V")</f>
        <v>0</v>
      </c>
      <c r="O2">
        <f>BDH("HNST US Equity","BS_CUR_LIAB","1993-06-18","2026-05-02","Per=Y","Days=T","Dir=V")</f>
        <v>0</v>
      </c>
      <c r="Q2">
        <f>BDH("HNST US Equity","BS_SHAREHOLDER_EQY_ENDING_PERIOD","1993-06-18","2026-05-02","Per=Y","Days=T","Dir=V")</f>
        <v>0</v>
      </c>
      <c r="S2">
        <f>BDH("HNST US Equity","BS_ACCT_NOTE_RCV","1993-06-18","2026-05-02","Per=Y","Days=T","Dir=V")</f>
        <v>0</v>
      </c>
      <c r="U2">
        <f>BDH("HNST US Equity","BS_INVENTORIES","1993-06-18","2026-05-02","Per=Y","Days=T","Dir=V")</f>
        <v>0</v>
      </c>
      <c r="W2">
        <f>BDH("HNST US Equity","WORKING_CAPITAL","1993-06-18","2026-05-02","Per=Y","Days=T","Dir=V")</f>
        <v>0</v>
      </c>
      <c r="Y2">
        <f>BDH("HNST US Equity","SALES_REV_TURN","1993-06-18","2026-05-02","Per=Y","Days=T","Dir=V")</f>
        <v>0</v>
      </c>
      <c r="AA2">
        <f>BDH("HNST US Equity","EBIT","1993-06-18","2026-05-02","Per=Y","Days=T","Dir=V")</f>
        <v>0</v>
      </c>
      <c r="AC2">
        <f>BDH("HNST US Equity","EBITDA","1993-06-18","2026-05-02","Per=Y","Days=T","Dir=V")</f>
        <v>0</v>
      </c>
      <c r="AE2">
        <f>BDH("HNST US Equity","NET_INCOME","1993-06-18","2026-05-02","Per=Y","Days=T","Dir=V")</f>
        <v>0</v>
      </c>
      <c r="AG2">
        <f>BDH("HNST US Equity","IS_INT_EXPENSE","1993-06-18","2026-05-02","Per=Y","Days=T","Dir=V")</f>
        <v>0</v>
      </c>
      <c r="AI2">
        <f>BDH("HNST US Equity","IS_DEPR_EXP","1993-06-18","2026-05-02","Per=Y","Days=T","Dir=V")</f>
        <v>0</v>
      </c>
      <c r="AK2">
        <f>BDH("HNST US Equity","CF_CASH_FROM_OPER","1993-06-18","2026-05-02","Per=Y","Days=T","Dir=V")</f>
        <v>0</v>
      </c>
      <c r="AM2">
        <f>BDH("HNST US Equity","CAPITAL_EXPEND","1993-06-18","2026-05-02","Per=Y","Days=T","Dir=V")</f>
        <v>0</v>
      </c>
      <c r="AO2">
        <f>BDH("HNST US Equity","CF_FREE_CASH_FLOW","1993-06-18","2026-05-02","Per=Y","Days=T","Dir=V")</f>
        <v>0</v>
      </c>
      <c r="AQ2">
        <f>BDH("HNST US Equity","PX_LAST","1993-06-18","2026-05-02","Per=M","Days=T","Dir=V")</f>
        <v>0</v>
      </c>
      <c r="AS2">
        <f>BDH("HNST US Equity","CUR_MKT_CAP","1993-06-18","2026-05-02","Per=M","Days=T","Dir=V")</f>
        <v>0</v>
      </c>
      <c r="AU2">
        <f>BDH("HNST US Equity","EQY_SH_OUT","1993-06-18","2026-05-02","Per=M","Days=T","Dir=V")</f>
        <v>0</v>
      </c>
      <c r="AW2">
        <f>BDH("HNST US Equity","PX_VOLUME","1993-06-18","2026-05-02","Per=M","Days=T","Dir=V")</f>
        <v>0</v>
      </c>
      <c r="AY2">
        <f>BDH("HNST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BDH("HOFT US Equity","BS_TOT_ASSET","1993-06-18","2026-05-02","Per=Y","Days=T","Dir=V")</f>
        <v>0</v>
      </c>
      <c r="C2">
        <f>BDH("HOFT US Equity","BS_TOT_LIAB2","1993-06-18","2026-05-02","Per=Y","Days=T","Dir=V")</f>
        <v>0</v>
      </c>
      <c r="E2">
        <f>BDH("HOFT US Equity","SHORT_AND_LONG_TERM_DEBT","1993-06-18","2026-05-02","Per=Y","Days=T","Dir=V")</f>
        <v>0</v>
      </c>
      <c r="G2">
        <f>BDH("HOFT US Equity","BS_ST_BORROW","1993-06-18","2026-05-02","Per=Y","Days=T","Dir=V")</f>
        <v>0</v>
      </c>
      <c r="I2">
        <f>BDH("HOFT US Equity","BS_LT_BORROW","1993-06-18","2026-05-02","Per=Y","Days=T","Dir=V")</f>
        <v>0</v>
      </c>
      <c r="K2">
        <f>BDH("HOFT US Equity","BS_CASH_NEAR_CASH_ITEM","1993-06-18","2026-05-02","Per=Y","Days=T","Dir=V")</f>
        <v>0</v>
      </c>
      <c r="M2">
        <f>BDH("HOFT US Equity","BS_CUR_ASSET_REPORT","1993-06-18","2026-05-02","Per=Y","Days=T","Dir=V")</f>
        <v>0</v>
      </c>
      <c r="O2">
        <f>BDH("HOFT US Equity","BS_CUR_LIAB","1993-06-18","2026-05-02","Per=Y","Days=T","Dir=V")</f>
        <v>0</v>
      </c>
      <c r="Q2">
        <f>BDH("HOFT US Equity","BS_SHAREHOLDER_EQY_ENDING_PERIOD","1993-06-18","2026-05-02","Per=Y","Days=T","Dir=V")</f>
        <v>0</v>
      </c>
      <c r="S2">
        <f>BDH("HOFT US Equity","BS_ACCT_NOTE_RCV","1993-06-18","2026-05-02","Per=Y","Days=T","Dir=V")</f>
        <v>0</v>
      </c>
      <c r="U2">
        <f>BDH("HOFT US Equity","BS_INVENTORIES","1993-06-18","2026-05-02","Per=Y","Days=T","Dir=V")</f>
        <v>0</v>
      </c>
      <c r="W2">
        <f>BDH("HOFT US Equity","WORKING_CAPITAL","1993-06-18","2026-05-02","Per=Y","Days=T","Dir=V")</f>
        <v>0</v>
      </c>
      <c r="Y2">
        <f>BDH("HOFT US Equity","SALES_REV_TURN","1993-06-18","2026-05-02","Per=Y","Days=T","Dir=V")</f>
        <v>0</v>
      </c>
      <c r="AA2">
        <f>BDH("HOFT US Equity","EBIT","1993-06-18","2026-05-02","Per=Y","Days=T","Dir=V")</f>
        <v>0</v>
      </c>
      <c r="AC2">
        <f>BDH("HOFT US Equity","EBITDA","1993-06-18","2026-05-02","Per=Y","Days=T","Dir=V")</f>
        <v>0</v>
      </c>
      <c r="AE2">
        <f>BDH("HOFT US Equity","NET_INCOME","1993-06-18","2026-05-02","Per=Y","Days=T","Dir=V")</f>
        <v>0</v>
      </c>
      <c r="AG2">
        <f>BDH("HOFT US Equity","IS_INT_EXPENSE","1993-06-18","2026-05-02","Per=Y","Days=T","Dir=V")</f>
        <v>0</v>
      </c>
      <c r="AI2">
        <f>BDH("HOFT US Equity","IS_DEPR_EXP","1993-06-18","2026-05-02","Per=Y","Days=T","Dir=V")</f>
        <v>0</v>
      </c>
      <c r="AK2">
        <f>BDH("HOFT US Equity","CF_CASH_FROM_OPER","1993-06-18","2026-05-02","Per=Y","Days=T","Dir=V")</f>
        <v>0</v>
      </c>
      <c r="AM2">
        <f>BDH("HOFT US Equity","CAPITAL_EXPEND","1993-06-18","2026-05-02","Per=Y","Days=T","Dir=V")</f>
        <v>0</v>
      </c>
      <c r="AO2">
        <f>BDH("HOFT US Equity","CF_FREE_CASH_FLOW","1993-06-18","2026-05-02","Per=Y","Days=T","Dir=V")</f>
        <v>0</v>
      </c>
      <c r="AQ2">
        <f>BDH("HOFT US Equity","PX_LAST","1993-06-18","2026-05-02","Per=M","Days=T","Dir=V")</f>
        <v>0</v>
      </c>
      <c r="AS2">
        <f>BDH("HOFT US Equity","CUR_MKT_CAP","1993-06-18","2026-05-02","Per=M","Days=T","Dir=V")</f>
        <v>0</v>
      </c>
      <c r="AU2">
        <f>BDH("HOFT US Equity","EQY_SH_OUT","1993-06-18","2026-05-02","Per=M","Days=T","Dir=V")</f>
        <v>0</v>
      </c>
      <c r="AW2">
        <f>BDH("HOFT US Equity","PX_VOLUME","1993-06-18","2026-05-02","Per=M","Days=T","Dir=V")</f>
        <v>0</v>
      </c>
      <c r="AY2">
        <f>BDH("HOFT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BDH("HOG US Equity","BS_TOT_ASSET","1993-06-18","2026-05-02","Per=Y","Days=T","Dir=V")</f>
        <v>0</v>
      </c>
      <c r="C2">
        <f>BDH("HOG US Equity","BS_TOT_LIAB2","1993-06-18","2026-05-02","Per=Y","Days=T","Dir=V")</f>
        <v>0</v>
      </c>
      <c r="E2">
        <f>BDH("HOG US Equity","SHORT_AND_LONG_TERM_DEBT","1993-06-18","2026-05-02","Per=Y","Days=T","Dir=V")</f>
        <v>0</v>
      </c>
      <c r="G2">
        <f>BDH("HOG US Equity","BS_ST_BORROW","1993-06-18","2026-05-02","Per=Y","Days=T","Dir=V")</f>
        <v>0</v>
      </c>
      <c r="I2">
        <f>BDH("HOG US Equity","BS_LT_BORROW","1993-06-18","2026-05-02","Per=Y","Days=T","Dir=V")</f>
        <v>0</v>
      </c>
      <c r="K2">
        <f>BDH("HOG US Equity","BS_CASH_NEAR_CASH_ITEM","1993-06-18","2026-05-02","Per=Y","Days=T","Dir=V")</f>
        <v>0</v>
      </c>
      <c r="M2">
        <f>BDH("HOG US Equity","BS_CUR_ASSET_REPORT","1993-06-18","2026-05-02","Per=Y","Days=T","Dir=V")</f>
        <v>0</v>
      </c>
      <c r="O2">
        <f>BDH("HOG US Equity","BS_CUR_LIAB","1993-06-18","2026-05-02","Per=Y","Days=T","Dir=V")</f>
        <v>0</v>
      </c>
      <c r="Q2">
        <f>BDH("HOG US Equity","BS_SHAREHOLDER_EQY_ENDING_PERIOD","1993-06-18","2026-05-02","Per=Y","Days=T","Dir=V")</f>
        <v>0</v>
      </c>
      <c r="S2">
        <f>BDH("HOG US Equity","BS_ACCT_NOTE_RCV","1993-06-18","2026-05-02","Per=Y","Days=T","Dir=V")</f>
        <v>0</v>
      </c>
      <c r="U2">
        <f>BDH("HOG US Equity","BS_INVENTORIES","1993-06-18","2026-05-02","Per=Y","Days=T","Dir=V")</f>
        <v>0</v>
      </c>
      <c r="W2">
        <f>BDH("HOG US Equity","WORKING_CAPITAL","1993-06-18","2026-05-02","Per=Y","Days=T","Dir=V")</f>
        <v>0</v>
      </c>
      <c r="Y2">
        <f>BDH("HOG US Equity","SALES_REV_TURN","1993-06-18","2026-05-02","Per=Y","Days=T","Dir=V")</f>
        <v>0</v>
      </c>
      <c r="AA2">
        <f>BDH("HOG US Equity","EBIT","1993-06-18","2026-05-02","Per=Y","Days=T","Dir=V")</f>
        <v>0</v>
      </c>
      <c r="AC2">
        <f>BDH("HOG US Equity","EBITDA","1993-06-18","2026-05-02","Per=Y","Days=T","Dir=V")</f>
        <v>0</v>
      </c>
      <c r="AE2">
        <f>BDH("HOG US Equity","NET_INCOME","1993-06-18","2026-05-02","Per=Y","Days=T","Dir=V")</f>
        <v>0</v>
      </c>
      <c r="AG2">
        <f>BDH("HOG US Equity","IS_INT_EXPENSE","1993-06-18","2026-05-02","Per=Y","Days=T","Dir=V")</f>
        <v>0</v>
      </c>
      <c r="AI2">
        <f>BDH("HOG US Equity","IS_DEPR_EXP","1993-06-18","2026-05-02","Per=Y","Days=T","Dir=V")</f>
        <v>0</v>
      </c>
      <c r="AK2">
        <f>BDH("HOG US Equity","CF_CASH_FROM_OPER","1993-06-18","2026-05-02","Per=Y","Days=T","Dir=V")</f>
        <v>0</v>
      </c>
      <c r="AM2">
        <f>BDH("HOG US Equity","CAPITAL_EXPEND","1993-06-18","2026-05-02","Per=Y","Days=T","Dir=V")</f>
        <v>0</v>
      </c>
      <c r="AO2">
        <f>BDH("HOG US Equity","CF_FREE_CASH_FLOW","1993-06-18","2026-05-02","Per=Y","Days=T","Dir=V")</f>
        <v>0</v>
      </c>
      <c r="AQ2">
        <f>BDH("HOG US Equity","PX_LAST","1993-06-18","2026-05-02","Per=M","Days=T","Dir=V")</f>
        <v>0</v>
      </c>
      <c r="AS2">
        <f>BDH("HOG US Equity","CUR_MKT_CAP","1993-06-18","2026-05-02","Per=M","Days=T","Dir=V")</f>
        <v>0</v>
      </c>
      <c r="AU2">
        <f>BDH("HOG US Equity","EQY_SH_OUT","1993-06-18","2026-05-02","Per=M","Days=T","Dir=V")</f>
        <v>0</v>
      </c>
      <c r="AW2">
        <f>BDH("HOG US Equity","PX_VOLUME","1993-06-18","2026-05-02","Per=M","Days=T","Dir=V")</f>
        <v>0</v>
      </c>
      <c r="AY2">
        <f>BDH("HOG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BDH("HOLO US Equity","BS_TOT_ASSET","1993-06-18","2026-05-02","Per=Y","Days=T","Dir=V")</f>
        <v>0</v>
      </c>
      <c r="C2">
        <f>BDH("HOLO US Equity","BS_TOT_LIAB2","1993-06-18","2026-05-02","Per=Y","Days=T","Dir=V")</f>
        <v>0</v>
      </c>
      <c r="E2">
        <f>BDH("HOLO US Equity","SHORT_AND_LONG_TERM_DEBT","1993-06-18","2026-05-02","Per=Y","Days=T","Dir=V")</f>
        <v>0</v>
      </c>
      <c r="G2">
        <f>BDH("HOLO US Equity","BS_ST_BORROW","1993-06-18","2026-05-02","Per=Y","Days=T","Dir=V")</f>
        <v>0</v>
      </c>
      <c r="I2">
        <f>BDH("HOLO US Equity","BS_LT_BORROW","1993-06-18","2026-05-02","Per=Y","Days=T","Dir=V")</f>
        <v>0</v>
      </c>
      <c r="K2">
        <f>BDH("HOLO US Equity","BS_CASH_NEAR_CASH_ITEM","1993-06-18","2026-05-02","Per=Y","Days=T","Dir=V")</f>
        <v>0</v>
      </c>
      <c r="M2">
        <f>BDH("HOLO US Equity","BS_CUR_ASSET_REPORT","1993-06-18","2026-05-02","Per=Y","Days=T","Dir=V")</f>
        <v>0</v>
      </c>
      <c r="O2">
        <f>BDH("HOLO US Equity","BS_CUR_LIAB","1993-06-18","2026-05-02","Per=Y","Days=T","Dir=V")</f>
        <v>0</v>
      </c>
      <c r="Q2">
        <f>BDH("HOLO US Equity","BS_SHAREHOLDER_EQY_ENDING_PERIOD","1993-06-18","2026-05-02","Per=Y","Days=T","Dir=V")</f>
        <v>0</v>
      </c>
      <c r="S2">
        <f>BDH("HOLO US Equity","BS_ACCT_NOTE_RCV","1993-06-18","2026-05-02","Per=Y","Days=T","Dir=V")</f>
        <v>0</v>
      </c>
      <c r="U2">
        <f>BDH("HOLO US Equity","BS_INVENTORIES","1993-06-18","2026-05-02","Per=Y","Days=T","Dir=V")</f>
        <v>0</v>
      </c>
      <c r="W2">
        <f>BDH("HOLO US Equity","WORKING_CAPITAL","1993-06-18","2026-05-02","Per=Y","Days=T","Dir=V")</f>
        <v>0</v>
      </c>
      <c r="Y2">
        <f>BDH("HOLO US Equity","SALES_REV_TURN","1993-06-18","2026-05-02","Per=Y","Days=T","Dir=V")</f>
        <v>0</v>
      </c>
      <c r="AA2">
        <f>BDH("HOLO US Equity","EBIT","1993-06-18","2026-05-02","Per=Y","Days=T","Dir=V")</f>
        <v>0</v>
      </c>
      <c r="AC2">
        <f>BDH("HOLO US Equity","EBITDA","1993-06-18","2026-05-02","Per=Y","Days=T","Dir=V")</f>
        <v>0</v>
      </c>
      <c r="AE2">
        <f>BDH("HOLO US Equity","NET_INCOME","1993-06-18","2026-05-02","Per=Y","Days=T","Dir=V")</f>
        <v>0</v>
      </c>
      <c r="AG2">
        <f>BDH("HOLO US Equity","IS_INT_EXPENSE","1993-06-18","2026-05-02","Per=Y","Days=T","Dir=V")</f>
        <v>0</v>
      </c>
      <c r="AI2">
        <f>BDH("HOLO US Equity","IS_DEPR_EXP","1993-06-18","2026-05-02","Per=Y","Days=T","Dir=V")</f>
        <v>0</v>
      </c>
      <c r="AK2">
        <f>BDH("HOLO US Equity","CF_CASH_FROM_OPER","1993-06-18","2026-05-02","Per=Y","Days=T","Dir=V")</f>
        <v>0</v>
      </c>
      <c r="AM2">
        <f>BDH("HOLO US Equity","CAPITAL_EXPEND","1993-06-18","2026-05-02","Per=Y","Days=T","Dir=V")</f>
        <v>0</v>
      </c>
      <c r="AO2">
        <f>BDH("HOLO US Equity","CF_FREE_CASH_FLOW","1993-06-18","2026-05-02","Per=Y","Days=T","Dir=V")</f>
        <v>0</v>
      </c>
      <c r="AQ2">
        <f>BDH("HOLO US Equity","PX_LAST","1993-06-18","2026-05-02","Per=M","Days=T","Dir=V")</f>
        <v>0</v>
      </c>
      <c r="AS2">
        <f>BDH("HOLO US Equity","CUR_MKT_CAP","1993-06-18","2026-05-02","Per=M","Days=T","Dir=V")</f>
        <v>0</v>
      </c>
      <c r="AU2">
        <f>BDH("HOLO US Equity","EQY_SH_OUT","1993-06-18","2026-05-02","Per=M","Days=T","Dir=V")</f>
        <v>0</v>
      </c>
      <c r="AW2">
        <f>BDH("HOLO US Equity","PX_VOLUME","1993-06-18","2026-05-02","Per=M","Days=T","Dir=V")</f>
        <v>0</v>
      </c>
      <c r="AY2">
        <f>BDH("HOLO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BDH("HOLOW US Equity","BS_TOT_ASSET","1993-06-18","2026-05-02","Per=Y","Days=T","Dir=V")</f>
        <v>0</v>
      </c>
      <c r="C2">
        <f>BDH("HOLOW US Equity","BS_TOT_LIAB2","1993-06-18","2026-05-02","Per=Y","Days=T","Dir=V")</f>
        <v>0</v>
      </c>
      <c r="E2">
        <f>BDH("HOLOW US Equity","SHORT_AND_LONG_TERM_DEBT","1993-06-18","2026-05-02","Per=Y","Days=T","Dir=V")</f>
        <v>0</v>
      </c>
      <c r="G2">
        <f>BDH("HOLOW US Equity","BS_ST_BORROW","1993-06-18","2026-05-02","Per=Y","Days=T","Dir=V")</f>
        <v>0</v>
      </c>
      <c r="I2">
        <f>BDH("HOLOW US Equity","BS_LT_BORROW","1993-06-18","2026-05-02","Per=Y","Days=T","Dir=V")</f>
        <v>0</v>
      </c>
      <c r="K2">
        <f>BDH("HOLOW US Equity","BS_CASH_NEAR_CASH_ITEM","1993-06-18","2026-05-02","Per=Y","Days=T","Dir=V")</f>
        <v>0</v>
      </c>
      <c r="M2">
        <f>BDH("HOLOW US Equity","BS_CUR_ASSET_REPORT","1993-06-18","2026-05-02","Per=Y","Days=T","Dir=V")</f>
        <v>0</v>
      </c>
      <c r="O2">
        <f>BDH("HOLOW US Equity","BS_CUR_LIAB","1993-06-18","2026-05-02","Per=Y","Days=T","Dir=V")</f>
        <v>0</v>
      </c>
      <c r="Q2">
        <f>BDH("HOLOW US Equity","BS_SHAREHOLDER_EQY_ENDING_PERIOD","1993-06-18","2026-05-02","Per=Y","Days=T","Dir=V")</f>
        <v>0</v>
      </c>
      <c r="S2">
        <f>BDH("HOLOW US Equity","BS_ACCT_NOTE_RCV","1993-06-18","2026-05-02","Per=Y","Days=T","Dir=V")</f>
        <v>0</v>
      </c>
      <c r="U2">
        <f>BDH("HOLOW US Equity","BS_INVENTORIES","1993-06-18","2026-05-02","Per=Y","Days=T","Dir=V")</f>
        <v>0</v>
      </c>
      <c r="W2">
        <f>BDH("HOLOW US Equity","WORKING_CAPITAL","1993-06-18","2026-05-02","Per=Y","Days=T","Dir=V")</f>
        <v>0</v>
      </c>
      <c r="Y2">
        <f>BDH("HOLOW US Equity","SALES_REV_TURN","1993-06-18","2026-05-02","Per=Y","Days=T","Dir=V")</f>
        <v>0</v>
      </c>
      <c r="AA2">
        <f>BDH("HOLOW US Equity","EBIT","1993-06-18","2026-05-02","Per=Y","Days=T","Dir=V")</f>
        <v>0</v>
      </c>
      <c r="AC2">
        <f>BDH("HOLOW US Equity","EBITDA","1993-06-18","2026-05-02","Per=Y","Days=T","Dir=V")</f>
        <v>0</v>
      </c>
      <c r="AE2">
        <f>BDH("HOLOW US Equity","NET_INCOME","1993-06-18","2026-05-02","Per=Y","Days=T","Dir=V")</f>
        <v>0</v>
      </c>
      <c r="AG2">
        <f>BDH("HOLOW US Equity","IS_INT_EXPENSE","1993-06-18","2026-05-02","Per=Y","Days=T","Dir=V")</f>
        <v>0</v>
      </c>
      <c r="AI2">
        <f>BDH("HOLOW US Equity","IS_DEPR_EXP","1993-06-18","2026-05-02","Per=Y","Days=T","Dir=V")</f>
        <v>0</v>
      </c>
      <c r="AK2">
        <f>BDH("HOLOW US Equity","CF_CASH_FROM_OPER","1993-06-18","2026-05-02","Per=Y","Days=T","Dir=V")</f>
        <v>0</v>
      </c>
      <c r="AM2">
        <f>BDH("HOLOW US Equity","CAPITAL_EXPEND","1993-06-18","2026-05-02","Per=Y","Days=T","Dir=V")</f>
        <v>0</v>
      </c>
      <c r="AO2">
        <f>BDH("HOLOW US Equity","CF_FREE_CASH_FLOW","1993-06-18","2026-05-02","Per=Y","Days=T","Dir=V")</f>
        <v>0</v>
      </c>
      <c r="AQ2">
        <f>BDH("HOLOW US Equity","PX_LAST","1993-06-18","2026-05-02","Per=M","Days=T","Dir=V")</f>
        <v>0</v>
      </c>
      <c r="AS2">
        <f>BDH("HOLOW US Equity","CUR_MKT_CAP","1993-06-18","2026-05-02","Per=M","Days=T","Dir=V")</f>
        <v>0</v>
      </c>
      <c r="AU2">
        <f>BDH("HOLOW US Equity","EQY_SH_OUT","1993-06-18","2026-05-02","Per=M","Days=T","Dir=V")</f>
        <v>0</v>
      </c>
      <c r="AW2">
        <f>BDH("HOLOW US Equity","PX_VOLUME","1993-06-18","2026-05-02","Per=M","Days=T","Dir=V")</f>
        <v>0</v>
      </c>
      <c r="AY2">
        <f>BDH("HOLOW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BDH("HON US Equity","BS_TOT_ASSET","1993-06-18","2026-05-02","Per=Y","Days=T","Dir=V")</f>
        <v>0</v>
      </c>
      <c r="C2">
        <f>BDH("HON US Equity","BS_TOT_LIAB2","1993-06-18","2026-05-02","Per=Y","Days=T","Dir=V")</f>
        <v>0</v>
      </c>
      <c r="E2">
        <f>BDH("HON US Equity","SHORT_AND_LONG_TERM_DEBT","1993-06-18","2026-05-02","Per=Y","Days=T","Dir=V")</f>
        <v>0</v>
      </c>
      <c r="G2">
        <f>BDH("HON US Equity","BS_ST_BORROW","1993-06-18","2026-05-02","Per=Y","Days=T","Dir=V")</f>
        <v>0</v>
      </c>
      <c r="I2">
        <f>BDH("HON US Equity","BS_LT_BORROW","1993-06-18","2026-05-02","Per=Y","Days=T","Dir=V")</f>
        <v>0</v>
      </c>
      <c r="K2">
        <f>BDH("HON US Equity","BS_CASH_NEAR_CASH_ITEM","1993-06-18","2026-05-02","Per=Y","Days=T","Dir=V")</f>
        <v>0</v>
      </c>
      <c r="M2">
        <f>BDH("HON US Equity","BS_CUR_ASSET_REPORT","1993-06-18","2026-05-02","Per=Y","Days=T","Dir=V")</f>
        <v>0</v>
      </c>
      <c r="O2">
        <f>BDH("HON US Equity","BS_CUR_LIAB","1993-06-18","2026-05-02","Per=Y","Days=T","Dir=V")</f>
        <v>0</v>
      </c>
      <c r="Q2">
        <f>BDH("HON US Equity","BS_SHAREHOLDER_EQY_ENDING_PERIOD","1993-06-18","2026-05-02","Per=Y","Days=T","Dir=V")</f>
        <v>0</v>
      </c>
      <c r="S2">
        <f>BDH("HON US Equity","BS_ACCT_NOTE_RCV","1993-06-18","2026-05-02","Per=Y","Days=T","Dir=V")</f>
        <v>0</v>
      </c>
      <c r="U2">
        <f>BDH("HON US Equity","BS_INVENTORIES","1993-06-18","2026-05-02","Per=Y","Days=T","Dir=V")</f>
        <v>0</v>
      </c>
      <c r="W2">
        <f>BDH("HON US Equity","WORKING_CAPITAL","1993-06-18","2026-05-02","Per=Y","Days=T","Dir=V")</f>
        <v>0</v>
      </c>
      <c r="Y2">
        <f>BDH("HON US Equity","SALES_REV_TURN","1993-06-18","2026-05-02","Per=Y","Days=T","Dir=V")</f>
        <v>0</v>
      </c>
      <c r="AA2">
        <f>BDH("HON US Equity","EBIT","1993-06-18","2026-05-02","Per=Y","Days=T","Dir=V")</f>
        <v>0</v>
      </c>
      <c r="AC2">
        <f>BDH("HON US Equity","EBITDA","1993-06-18","2026-05-02","Per=Y","Days=T","Dir=V")</f>
        <v>0</v>
      </c>
      <c r="AE2">
        <f>BDH("HON US Equity","NET_INCOME","1993-06-18","2026-05-02","Per=Y","Days=T","Dir=V")</f>
        <v>0</v>
      </c>
      <c r="AG2">
        <f>BDH("HON US Equity","IS_INT_EXPENSE","1993-06-18","2026-05-02","Per=Y","Days=T","Dir=V")</f>
        <v>0</v>
      </c>
      <c r="AI2">
        <f>BDH("HON US Equity","IS_DEPR_EXP","1993-06-18","2026-05-02","Per=Y","Days=T","Dir=V")</f>
        <v>0</v>
      </c>
      <c r="AK2">
        <f>BDH("HON US Equity","CF_CASH_FROM_OPER","1993-06-18","2026-05-02","Per=Y","Days=T","Dir=V")</f>
        <v>0</v>
      </c>
      <c r="AM2">
        <f>BDH("HON US Equity","CAPITAL_EXPEND","1993-06-18","2026-05-02","Per=Y","Days=T","Dir=V")</f>
        <v>0</v>
      </c>
      <c r="AO2">
        <f>BDH("HON US Equity","CF_FREE_CASH_FLOW","1993-06-18","2026-05-02","Per=Y","Days=T","Dir=V")</f>
        <v>0</v>
      </c>
      <c r="AQ2">
        <f>BDH("HON US Equity","PX_LAST","1993-06-18","2026-05-02","Per=M","Days=T","Dir=V")</f>
        <v>0</v>
      </c>
      <c r="AS2">
        <f>BDH("HON US Equity","CUR_MKT_CAP","1993-06-18","2026-05-02","Per=M","Days=T","Dir=V")</f>
        <v>0</v>
      </c>
      <c r="AU2">
        <f>BDH("HON US Equity","EQY_SH_OUT","1993-06-18","2026-05-02","Per=M","Days=T","Dir=V")</f>
        <v>0</v>
      </c>
      <c r="AW2">
        <f>BDH("HON US Equity","PX_VOLUME","1993-06-18","2026-05-02","Per=M","Days=T","Dir=V")</f>
        <v>0</v>
      </c>
      <c r="AY2">
        <f>BDH("HON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BDH("HONA US Equity","BS_TOT_ASSET","1993-06-18","2026-05-02","Per=Y","Days=T","Dir=V")</f>
        <v>0</v>
      </c>
      <c r="C2">
        <f>BDH("HONA US Equity","BS_TOT_LIAB2","1993-06-18","2026-05-02","Per=Y","Days=T","Dir=V")</f>
        <v>0</v>
      </c>
      <c r="E2">
        <f>BDH("HONA US Equity","SHORT_AND_LONG_TERM_DEBT","1993-06-18","2026-05-02","Per=Y","Days=T","Dir=V")</f>
        <v>0</v>
      </c>
      <c r="G2">
        <f>BDH("HONA US Equity","BS_ST_BORROW","1993-06-18","2026-05-02","Per=Y","Days=T","Dir=V")</f>
        <v>0</v>
      </c>
      <c r="I2">
        <f>BDH("HONA US Equity","BS_LT_BORROW","1993-06-18","2026-05-02","Per=Y","Days=T","Dir=V")</f>
        <v>0</v>
      </c>
      <c r="K2">
        <f>BDH("HONA US Equity","BS_CASH_NEAR_CASH_ITEM","1993-06-18","2026-05-02","Per=Y","Days=T","Dir=V")</f>
        <v>0</v>
      </c>
      <c r="M2">
        <f>BDH("HONA US Equity","BS_CUR_ASSET_REPORT","1993-06-18","2026-05-02","Per=Y","Days=T","Dir=V")</f>
        <v>0</v>
      </c>
      <c r="O2">
        <f>BDH("HONA US Equity","BS_CUR_LIAB","1993-06-18","2026-05-02","Per=Y","Days=T","Dir=V")</f>
        <v>0</v>
      </c>
      <c r="Q2">
        <f>BDH("HONA US Equity","BS_SHAREHOLDER_EQY_ENDING_PERIOD","1993-06-18","2026-05-02","Per=Y","Days=T","Dir=V")</f>
        <v>0</v>
      </c>
      <c r="S2">
        <f>BDH("HONA US Equity","BS_ACCT_NOTE_RCV","1993-06-18","2026-05-02","Per=Y","Days=T","Dir=V")</f>
        <v>0</v>
      </c>
      <c r="U2">
        <f>BDH("HONA US Equity","BS_INVENTORIES","1993-06-18","2026-05-02","Per=Y","Days=T","Dir=V")</f>
        <v>0</v>
      </c>
      <c r="W2">
        <f>BDH("HONA US Equity","WORKING_CAPITAL","1993-06-18","2026-05-02","Per=Y","Days=T","Dir=V")</f>
        <v>0</v>
      </c>
      <c r="Y2">
        <f>BDH("HONA US Equity","SALES_REV_TURN","1993-06-18","2026-05-02","Per=Y","Days=T","Dir=V")</f>
        <v>0</v>
      </c>
      <c r="AA2">
        <f>BDH("HONA US Equity","EBIT","1993-06-18","2026-05-02","Per=Y","Days=T","Dir=V")</f>
        <v>0</v>
      </c>
      <c r="AC2">
        <f>BDH("HONA US Equity","EBITDA","1993-06-18","2026-05-02","Per=Y","Days=T","Dir=V")</f>
        <v>0</v>
      </c>
      <c r="AE2">
        <f>BDH("HONA US Equity","NET_INCOME","1993-06-18","2026-05-02","Per=Y","Days=T","Dir=V")</f>
        <v>0</v>
      </c>
      <c r="AG2">
        <f>BDH("HONA US Equity","IS_INT_EXPENSE","1993-06-18","2026-05-02","Per=Y","Days=T","Dir=V")</f>
        <v>0</v>
      </c>
      <c r="AI2">
        <f>BDH("HONA US Equity","IS_DEPR_EXP","1993-06-18","2026-05-02","Per=Y","Days=T","Dir=V")</f>
        <v>0</v>
      </c>
      <c r="AK2">
        <f>BDH("HONA US Equity","CF_CASH_FROM_OPER","1993-06-18","2026-05-02","Per=Y","Days=T","Dir=V")</f>
        <v>0</v>
      </c>
      <c r="AM2">
        <f>BDH("HONA US Equity","CAPITAL_EXPEND","1993-06-18","2026-05-02","Per=Y","Days=T","Dir=V")</f>
        <v>0</v>
      </c>
      <c r="AO2">
        <f>BDH("HONA US Equity","CF_FREE_CASH_FLOW","1993-06-18","2026-05-02","Per=Y","Days=T","Dir=V")</f>
        <v>0</v>
      </c>
      <c r="AQ2">
        <f>BDH("HONA US Equity","PX_LAST","1993-06-18","2026-05-02","Per=M","Days=T","Dir=V")</f>
        <v>0</v>
      </c>
      <c r="AS2">
        <f>BDH("HONA US Equity","CUR_MKT_CAP","1993-06-18","2026-05-02","Per=M","Days=T","Dir=V")</f>
        <v>0</v>
      </c>
      <c r="AU2">
        <f>BDH("HONA US Equity","EQY_SH_OUT","1993-06-18","2026-05-02","Per=M","Days=T","Dir=V")</f>
        <v>0</v>
      </c>
      <c r="AW2">
        <f>BDH("HONA US Equity","PX_VOLUME","1993-06-18","2026-05-02","Per=M","Days=T","Dir=V")</f>
        <v>0</v>
      </c>
      <c r="AY2">
        <f>BDH("HONA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BDH("HOS US Equity","BS_TOT_ASSET","1993-06-18","2026-05-02","Per=Y","Days=T","Dir=V")</f>
        <v>0</v>
      </c>
      <c r="C2">
        <f>BDH("HOS US Equity","BS_TOT_LIAB2","1993-06-18","2026-05-02","Per=Y","Days=T","Dir=V")</f>
        <v>0</v>
      </c>
      <c r="E2">
        <f>BDH("HOS US Equity","SHORT_AND_LONG_TERM_DEBT","1993-06-18","2026-05-02","Per=Y","Days=T","Dir=V")</f>
        <v>0</v>
      </c>
      <c r="G2">
        <f>BDH("HOS US Equity","BS_ST_BORROW","1993-06-18","2026-05-02","Per=Y","Days=T","Dir=V")</f>
        <v>0</v>
      </c>
      <c r="I2">
        <f>BDH("HOS US Equity","BS_LT_BORROW","1993-06-18","2026-05-02","Per=Y","Days=T","Dir=V")</f>
        <v>0</v>
      </c>
      <c r="K2">
        <f>BDH("HOS US Equity","BS_CASH_NEAR_CASH_ITEM","1993-06-18","2026-05-02","Per=Y","Days=T","Dir=V")</f>
        <v>0</v>
      </c>
      <c r="M2">
        <f>BDH("HOS US Equity","BS_CUR_ASSET_REPORT","1993-06-18","2026-05-02","Per=Y","Days=T","Dir=V")</f>
        <v>0</v>
      </c>
      <c r="O2">
        <f>BDH("HOS US Equity","BS_CUR_LIAB","1993-06-18","2026-05-02","Per=Y","Days=T","Dir=V")</f>
        <v>0</v>
      </c>
      <c r="Q2">
        <f>BDH("HOS US Equity","BS_SHAREHOLDER_EQY_ENDING_PERIOD","1993-06-18","2026-05-02","Per=Y","Days=T","Dir=V")</f>
        <v>0</v>
      </c>
      <c r="S2">
        <f>BDH("HOS US Equity","BS_ACCT_NOTE_RCV","1993-06-18","2026-05-02","Per=Y","Days=T","Dir=V")</f>
        <v>0</v>
      </c>
      <c r="U2">
        <f>BDH("HOS US Equity","BS_INVENTORIES","1993-06-18","2026-05-02","Per=Y","Days=T","Dir=V")</f>
        <v>0</v>
      </c>
      <c r="W2">
        <f>BDH("HOS US Equity","WORKING_CAPITAL","1993-06-18","2026-05-02","Per=Y","Days=T","Dir=V")</f>
        <v>0</v>
      </c>
      <c r="Y2">
        <f>BDH("HOS US Equity","SALES_REV_TURN","1993-06-18","2026-05-02","Per=Y","Days=T","Dir=V")</f>
        <v>0</v>
      </c>
      <c r="AA2">
        <f>BDH("HOS US Equity","EBIT","1993-06-18","2026-05-02","Per=Y","Days=T","Dir=V")</f>
        <v>0</v>
      </c>
      <c r="AC2">
        <f>BDH("HOS US Equity","EBITDA","1993-06-18","2026-05-02","Per=Y","Days=T","Dir=V")</f>
        <v>0</v>
      </c>
      <c r="AE2">
        <f>BDH("HOS US Equity","NET_INCOME","1993-06-18","2026-05-02","Per=Y","Days=T","Dir=V")</f>
        <v>0</v>
      </c>
      <c r="AG2">
        <f>BDH("HOS US Equity","IS_INT_EXPENSE","1993-06-18","2026-05-02","Per=Y","Days=T","Dir=V")</f>
        <v>0</v>
      </c>
      <c r="AI2">
        <f>BDH("HOS US Equity","IS_DEPR_EXP","1993-06-18","2026-05-02","Per=Y","Days=T","Dir=V")</f>
        <v>0</v>
      </c>
      <c r="AK2">
        <f>BDH("HOS US Equity","CF_CASH_FROM_OPER","1993-06-18","2026-05-02","Per=Y","Days=T","Dir=V")</f>
        <v>0</v>
      </c>
      <c r="AM2">
        <f>BDH("HOS US Equity","CAPITAL_EXPEND","1993-06-18","2026-05-02","Per=Y","Days=T","Dir=V")</f>
        <v>0</v>
      </c>
      <c r="AO2">
        <f>BDH("HOS US Equity","CF_FREE_CASH_FLOW","1993-06-18","2026-05-02","Per=Y","Days=T","Dir=V")</f>
        <v>0</v>
      </c>
      <c r="AQ2">
        <f>BDH("HOS US Equity","PX_LAST","1993-06-18","2026-05-02","Per=M","Days=T","Dir=V")</f>
        <v>0</v>
      </c>
      <c r="AS2">
        <f>BDH("HOS US Equity","CUR_MKT_CAP","1993-06-18","2026-05-02","Per=M","Days=T","Dir=V")</f>
        <v>0</v>
      </c>
      <c r="AU2">
        <f>BDH("HOS US Equity","EQY_SH_OUT","1993-06-18","2026-05-02","Per=M","Days=T","Dir=V")</f>
        <v>0</v>
      </c>
      <c r="AW2">
        <f>BDH("HOS US Equity","PX_VOLUME","1993-06-18","2026-05-02","Per=M","Days=T","Dir=V")</f>
        <v>0</v>
      </c>
      <c r="AY2">
        <f>BDH("HOS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BDH("HOUR US Equity","BS_TOT_ASSET","1993-06-18","2026-05-02","Per=Y","Days=T","Dir=V")</f>
        <v>0</v>
      </c>
      <c r="C2">
        <f>BDH("HOUR US Equity","BS_TOT_LIAB2","1993-06-18","2026-05-02","Per=Y","Days=T","Dir=V")</f>
        <v>0</v>
      </c>
      <c r="E2">
        <f>BDH("HOUR US Equity","SHORT_AND_LONG_TERM_DEBT","1993-06-18","2026-05-02","Per=Y","Days=T","Dir=V")</f>
        <v>0</v>
      </c>
      <c r="G2">
        <f>BDH("HOUR US Equity","BS_ST_BORROW","1993-06-18","2026-05-02","Per=Y","Days=T","Dir=V")</f>
        <v>0</v>
      </c>
      <c r="I2">
        <f>BDH("HOUR US Equity","BS_LT_BORROW","1993-06-18","2026-05-02","Per=Y","Days=T","Dir=V")</f>
        <v>0</v>
      </c>
      <c r="K2">
        <f>BDH("HOUR US Equity","BS_CASH_NEAR_CASH_ITEM","1993-06-18","2026-05-02","Per=Y","Days=T","Dir=V")</f>
        <v>0</v>
      </c>
      <c r="M2">
        <f>BDH("HOUR US Equity","BS_CUR_ASSET_REPORT","1993-06-18","2026-05-02","Per=Y","Days=T","Dir=V")</f>
        <v>0</v>
      </c>
      <c r="O2">
        <f>BDH("HOUR US Equity","BS_CUR_LIAB","1993-06-18","2026-05-02","Per=Y","Days=T","Dir=V")</f>
        <v>0</v>
      </c>
      <c r="Q2">
        <f>BDH("HOUR US Equity","BS_SHAREHOLDER_EQY_ENDING_PERIOD","1993-06-18","2026-05-02","Per=Y","Days=T","Dir=V")</f>
        <v>0</v>
      </c>
      <c r="S2">
        <f>BDH("HOUR US Equity","BS_ACCT_NOTE_RCV","1993-06-18","2026-05-02","Per=Y","Days=T","Dir=V")</f>
        <v>0</v>
      </c>
      <c r="U2">
        <f>BDH("HOUR US Equity","BS_INVENTORIES","1993-06-18","2026-05-02","Per=Y","Days=T","Dir=V")</f>
        <v>0</v>
      </c>
      <c r="W2">
        <f>BDH("HOUR US Equity","WORKING_CAPITAL","1993-06-18","2026-05-02","Per=Y","Days=T","Dir=V")</f>
        <v>0</v>
      </c>
      <c r="Y2">
        <f>BDH("HOUR US Equity","SALES_REV_TURN","1993-06-18","2026-05-02","Per=Y","Days=T","Dir=V")</f>
        <v>0</v>
      </c>
      <c r="AA2">
        <f>BDH("HOUR US Equity","EBIT","1993-06-18","2026-05-02","Per=Y","Days=T","Dir=V")</f>
        <v>0</v>
      </c>
      <c r="AC2">
        <f>BDH("HOUR US Equity","EBITDA","1993-06-18","2026-05-02","Per=Y","Days=T","Dir=V")</f>
        <v>0</v>
      </c>
      <c r="AE2">
        <f>BDH("HOUR US Equity","NET_INCOME","1993-06-18","2026-05-02","Per=Y","Days=T","Dir=V")</f>
        <v>0</v>
      </c>
      <c r="AG2">
        <f>BDH("HOUR US Equity","IS_INT_EXPENSE","1993-06-18","2026-05-02","Per=Y","Days=T","Dir=V")</f>
        <v>0</v>
      </c>
      <c r="AI2">
        <f>BDH("HOUR US Equity","IS_DEPR_EXP","1993-06-18","2026-05-02","Per=Y","Days=T","Dir=V")</f>
        <v>0</v>
      </c>
      <c r="AK2">
        <f>BDH("HOUR US Equity","CF_CASH_FROM_OPER","1993-06-18","2026-05-02","Per=Y","Days=T","Dir=V")</f>
        <v>0</v>
      </c>
      <c r="AM2">
        <f>BDH("HOUR US Equity","CAPITAL_EXPEND","1993-06-18","2026-05-02","Per=Y","Days=T","Dir=V")</f>
        <v>0</v>
      </c>
      <c r="AO2">
        <f>BDH("HOUR US Equity","CF_FREE_CASH_FLOW","1993-06-18","2026-05-02","Per=Y","Days=T","Dir=V")</f>
        <v>0</v>
      </c>
      <c r="AQ2">
        <f>BDH("HOUR US Equity","PX_LAST","1993-06-18","2026-05-02","Per=M","Days=T","Dir=V")</f>
        <v>0</v>
      </c>
      <c r="AS2">
        <f>BDH("HOUR US Equity","CUR_MKT_CAP","1993-06-18","2026-05-02","Per=M","Days=T","Dir=V")</f>
        <v>0</v>
      </c>
      <c r="AU2">
        <f>BDH("HOUR US Equity","EQY_SH_OUT","1993-06-18","2026-05-02","Per=M","Days=T","Dir=V")</f>
        <v>0</v>
      </c>
      <c r="AW2">
        <f>BDH("HOUR US Equity","PX_VOLUME","1993-06-18","2026-05-02","Per=M","Days=T","Dir=V")</f>
        <v>0</v>
      </c>
      <c r="AY2">
        <f>BDH("HOUR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BDH("HOV US Equity","BS_TOT_ASSET","1993-06-18","2026-05-02","Per=Y","Days=T","Dir=V")</f>
        <v>0</v>
      </c>
      <c r="C2">
        <f>BDH("HOV US Equity","BS_TOT_LIAB2","1993-06-18","2026-05-02","Per=Y","Days=T","Dir=V")</f>
        <v>0</v>
      </c>
      <c r="E2">
        <f>BDH("HOV US Equity","SHORT_AND_LONG_TERM_DEBT","1993-06-18","2026-05-02","Per=Y","Days=T","Dir=V")</f>
        <v>0</v>
      </c>
      <c r="G2">
        <f>BDH("HOV US Equity","BS_ST_BORROW","1993-06-18","2026-05-02","Per=Y","Days=T","Dir=V")</f>
        <v>0</v>
      </c>
      <c r="I2">
        <f>BDH("HOV US Equity","BS_LT_BORROW","1993-06-18","2026-05-02","Per=Y","Days=T","Dir=V")</f>
        <v>0</v>
      </c>
      <c r="K2">
        <f>BDH("HOV US Equity","BS_CASH_NEAR_CASH_ITEM","1993-06-18","2026-05-02","Per=Y","Days=T","Dir=V")</f>
        <v>0</v>
      </c>
      <c r="M2">
        <f>BDH("HOV US Equity","BS_CUR_ASSET_REPORT","1993-06-18","2026-05-02","Per=Y","Days=T","Dir=V")</f>
        <v>0</v>
      </c>
      <c r="O2">
        <f>BDH("HOV US Equity","BS_CUR_LIAB","1993-06-18","2026-05-02","Per=Y","Days=T","Dir=V")</f>
        <v>0</v>
      </c>
      <c r="Q2">
        <f>BDH("HOV US Equity","BS_SHAREHOLDER_EQY_ENDING_PERIOD","1993-06-18","2026-05-02","Per=Y","Days=T","Dir=V")</f>
        <v>0</v>
      </c>
      <c r="S2">
        <f>BDH("HOV US Equity","BS_ACCT_NOTE_RCV","1993-06-18","2026-05-02","Per=Y","Days=T","Dir=V")</f>
        <v>0</v>
      </c>
      <c r="U2">
        <f>BDH("HOV US Equity","BS_INVENTORIES","1993-06-18","2026-05-02","Per=Y","Days=T","Dir=V")</f>
        <v>0</v>
      </c>
      <c r="W2">
        <f>BDH("HOV US Equity","WORKING_CAPITAL","1993-06-18","2026-05-02","Per=Y","Days=T","Dir=V")</f>
        <v>0</v>
      </c>
      <c r="Y2">
        <f>BDH("HOV US Equity","SALES_REV_TURN","1993-06-18","2026-05-02","Per=Y","Days=T","Dir=V")</f>
        <v>0</v>
      </c>
      <c r="AA2">
        <f>BDH("HOV US Equity","EBIT","1993-06-18","2026-05-02","Per=Y","Days=T","Dir=V")</f>
        <v>0</v>
      </c>
      <c r="AC2">
        <f>BDH("HOV US Equity","EBITDA","1993-06-18","2026-05-02","Per=Y","Days=T","Dir=V")</f>
        <v>0</v>
      </c>
      <c r="AE2">
        <f>BDH("HOV US Equity","NET_INCOME","1993-06-18","2026-05-02","Per=Y","Days=T","Dir=V")</f>
        <v>0</v>
      </c>
      <c r="AG2">
        <f>BDH("HOV US Equity","IS_INT_EXPENSE","1993-06-18","2026-05-02","Per=Y","Days=T","Dir=V")</f>
        <v>0</v>
      </c>
      <c r="AI2">
        <f>BDH("HOV US Equity","IS_DEPR_EXP","1993-06-18","2026-05-02","Per=Y","Days=T","Dir=V")</f>
        <v>0</v>
      </c>
      <c r="AK2">
        <f>BDH("HOV US Equity","CF_CASH_FROM_OPER","1993-06-18","2026-05-02","Per=Y","Days=T","Dir=V")</f>
        <v>0</v>
      </c>
      <c r="AM2">
        <f>BDH("HOV US Equity","CAPITAL_EXPEND","1993-06-18","2026-05-02","Per=Y","Days=T","Dir=V")</f>
        <v>0</v>
      </c>
      <c r="AO2">
        <f>BDH("HOV US Equity","CF_FREE_CASH_FLOW","1993-06-18","2026-05-02","Per=Y","Days=T","Dir=V")</f>
        <v>0</v>
      </c>
      <c r="AQ2">
        <f>BDH("HOV US Equity","PX_LAST","1993-06-18","2026-05-02","Per=M","Days=T","Dir=V")</f>
        <v>0</v>
      </c>
      <c r="AS2">
        <f>BDH("HOV US Equity","CUR_MKT_CAP","1993-06-18","2026-05-02","Per=M","Days=T","Dir=V")</f>
        <v>0</v>
      </c>
      <c r="AU2">
        <f>BDH("HOV US Equity","EQY_SH_OUT","1993-06-18","2026-05-02","Per=M","Days=T","Dir=V")</f>
        <v>0</v>
      </c>
      <c r="AW2">
        <f>BDH("HOV US Equity","PX_VOLUME","1993-06-18","2026-05-02","Per=M","Days=T","Dir=V")</f>
        <v>0</v>
      </c>
      <c r="AY2">
        <f>BDH("HOV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BDH("HOVNP US Equity","BS_TOT_ASSET","1993-06-18","2026-05-02","Per=Y","Days=T","Dir=V")</f>
        <v>0</v>
      </c>
      <c r="C2">
        <f>BDH("HOVNP US Equity","BS_TOT_LIAB2","1993-06-18","2026-05-02","Per=Y","Days=T","Dir=V")</f>
        <v>0</v>
      </c>
      <c r="E2">
        <f>BDH("HOVNP US Equity","SHORT_AND_LONG_TERM_DEBT","1993-06-18","2026-05-02","Per=Y","Days=T","Dir=V")</f>
        <v>0</v>
      </c>
      <c r="G2">
        <f>BDH("HOVNP US Equity","BS_ST_BORROW","1993-06-18","2026-05-02","Per=Y","Days=T","Dir=V")</f>
        <v>0</v>
      </c>
      <c r="I2">
        <f>BDH("HOVNP US Equity","BS_LT_BORROW","1993-06-18","2026-05-02","Per=Y","Days=T","Dir=V")</f>
        <v>0</v>
      </c>
      <c r="K2">
        <f>BDH("HOVNP US Equity","BS_CASH_NEAR_CASH_ITEM","1993-06-18","2026-05-02","Per=Y","Days=T","Dir=V")</f>
        <v>0</v>
      </c>
      <c r="M2">
        <f>BDH("HOVNP US Equity","BS_CUR_ASSET_REPORT","1993-06-18","2026-05-02","Per=Y","Days=T","Dir=V")</f>
        <v>0</v>
      </c>
      <c r="O2">
        <f>BDH("HOVNP US Equity","BS_CUR_LIAB","1993-06-18","2026-05-02","Per=Y","Days=T","Dir=V")</f>
        <v>0</v>
      </c>
      <c r="Q2">
        <f>BDH("HOVNP US Equity","BS_SHAREHOLDER_EQY_ENDING_PERIOD","1993-06-18","2026-05-02","Per=Y","Days=T","Dir=V")</f>
        <v>0</v>
      </c>
      <c r="S2">
        <f>BDH("HOVNP US Equity","BS_ACCT_NOTE_RCV","1993-06-18","2026-05-02","Per=Y","Days=T","Dir=V")</f>
        <v>0</v>
      </c>
      <c r="U2">
        <f>BDH("HOVNP US Equity","BS_INVENTORIES","1993-06-18","2026-05-02","Per=Y","Days=T","Dir=V")</f>
        <v>0</v>
      </c>
      <c r="W2">
        <f>BDH("HOVNP US Equity","WORKING_CAPITAL","1993-06-18","2026-05-02","Per=Y","Days=T","Dir=V")</f>
        <v>0</v>
      </c>
      <c r="Y2">
        <f>BDH("HOVNP US Equity","SALES_REV_TURN","1993-06-18","2026-05-02","Per=Y","Days=T","Dir=V")</f>
        <v>0</v>
      </c>
      <c r="AA2">
        <f>BDH("HOVNP US Equity","EBIT","1993-06-18","2026-05-02","Per=Y","Days=T","Dir=V")</f>
        <v>0</v>
      </c>
      <c r="AC2">
        <f>BDH("HOVNP US Equity","EBITDA","1993-06-18","2026-05-02","Per=Y","Days=T","Dir=V")</f>
        <v>0</v>
      </c>
      <c r="AE2">
        <f>BDH("HOVNP US Equity","NET_INCOME","1993-06-18","2026-05-02","Per=Y","Days=T","Dir=V")</f>
        <v>0</v>
      </c>
      <c r="AG2">
        <f>BDH("HOVNP US Equity","IS_INT_EXPENSE","1993-06-18","2026-05-02","Per=Y","Days=T","Dir=V")</f>
        <v>0</v>
      </c>
      <c r="AI2">
        <f>BDH("HOVNP US Equity","IS_DEPR_EXP","1993-06-18","2026-05-02","Per=Y","Days=T","Dir=V")</f>
        <v>0</v>
      </c>
      <c r="AK2">
        <f>BDH("HOVNP US Equity","CF_CASH_FROM_OPER","1993-06-18","2026-05-02","Per=Y","Days=T","Dir=V")</f>
        <v>0</v>
      </c>
      <c r="AM2">
        <f>BDH("HOVNP US Equity","CAPITAL_EXPEND","1993-06-18","2026-05-02","Per=Y","Days=T","Dir=V")</f>
        <v>0</v>
      </c>
      <c r="AO2">
        <f>BDH("HOVNP US Equity","CF_FREE_CASH_FLOW","1993-06-18","2026-05-02","Per=Y","Days=T","Dir=V")</f>
        <v>0</v>
      </c>
      <c r="AQ2">
        <f>BDH("HOVNP US Equity","PX_LAST","1993-06-18","2026-05-02","Per=M","Days=T","Dir=V")</f>
        <v>0</v>
      </c>
      <c r="AS2">
        <f>BDH("HOVNP US Equity","CUR_MKT_CAP","1993-06-18","2026-05-02","Per=M","Days=T","Dir=V")</f>
        <v>0</v>
      </c>
      <c r="AU2">
        <f>BDH("HOVNP US Equity","EQY_SH_OUT","1993-06-18","2026-05-02","Per=M","Days=T","Dir=V")</f>
        <v>0</v>
      </c>
      <c r="AW2">
        <f>BDH("HOVNP US Equity","PX_VOLUME","1993-06-18","2026-05-02","Per=M","Days=T","Dir=V")</f>
        <v>0</v>
      </c>
      <c r="AY2">
        <f>BDH("HOVNP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BDH("HOVR US Equity","BS_TOT_ASSET","1993-06-18","2026-05-02","Per=Y","Days=T","Dir=V")</f>
        <v>0</v>
      </c>
      <c r="C2">
        <f>BDH("HOVR US Equity","BS_TOT_LIAB2","1993-06-18","2026-05-02","Per=Y","Days=T","Dir=V")</f>
        <v>0</v>
      </c>
      <c r="E2">
        <f>BDH("HOVR US Equity","SHORT_AND_LONG_TERM_DEBT","1993-06-18","2026-05-02","Per=Y","Days=T","Dir=V")</f>
        <v>0</v>
      </c>
      <c r="G2">
        <f>BDH("HOVR US Equity","BS_ST_BORROW","1993-06-18","2026-05-02","Per=Y","Days=T","Dir=V")</f>
        <v>0</v>
      </c>
      <c r="I2">
        <f>BDH("HOVR US Equity","BS_LT_BORROW","1993-06-18","2026-05-02","Per=Y","Days=T","Dir=V")</f>
        <v>0</v>
      </c>
      <c r="K2">
        <f>BDH("HOVR US Equity","BS_CASH_NEAR_CASH_ITEM","1993-06-18","2026-05-02","Per=Y","Days=T","Dir=V")</f>
        <v>0</v>
      </c>
      <c r="M2">
        <f>BDH("HOVR US Equity","BS_CUR_ASSET_REPORT","1993-06-18","2026-05-02","Per=Y","Days=T","Dir=V")</f>
        <v>0</v>
      </c>
      <c r="O2">
        <f>BDH("HOVR US Equity","BS_CUR_LIAB","1993-06-18","2026-05-02","Per=Y","Days=T","Dir=V")</f>
        <v>0</v>
      </c>
      <c r="Q2">
        <f>BDH("HOVR US Equity","BS_SHAREHOLDER_EQY_ENDING_PERIOD","1993-06-18","2026-05-02","Per=Y","Days=T","Dir=V")</f>
        <v>0</v>
      </c>
      <c r="S2">
        <f>BDH("HOVR US Equity","BS_ACCT_NOTE_RCV","1993-06-18","2026-05-02","Per=Y","Days=T","Dir=V")</f>
        <v>0</v>
      </c>
      <c r="U2">
        <f>BDH("HOVR US Equity","BS_INVENTORIES","1993-06-18","2026-05-02","Per=Y","Days=T","Dir=V")</f>
        <v>0</v>
      </c>
      <c r="W2">
        <f>BDH("HOVR US Equity","WORKING_CAPITAL","1993-06-18","2026-05-02","Per=Y","Days=T","Dir=V")</f>
        <v>0</v>
      </c>
      <c r="Y2">
        <f>BDH("HOVR US Equity","SALES_REV_TURN","1993-06-18","2026-05-02","Per=Y","Days=T","Dir=V")</f>
        <v>0</v>
      </c>
      <c r="AA2">
        <f>BDH("HOVR US Equity","EBIT","1993-06-18","2026-05-02","Per=Y","Days=T","Dir=V")</f>
        <v>0</v>
      </c>
      <c r="AC2">
        <f>BDH("HOVR US Equity","EBITDA","1993-06-18","2026-05-02","Per=Y","Days=T","Dir=V")</f>
        <v>0</v>
      </c>
      <c r="AE2">
        <f>BDH("HOVR US Equity","NET_INCOME","1993-06-18","2026-05-02","Per=Y","Days=T","Dir=V")</f>
        <v>0</v>
      </c>
      <c r="AG2">
        <f>BDH("HOVR US Equity","IS_INT_EXPENSE","1993-06-18","2026-05-02","Per=Y","Days=T","Dir=V")</f>
        <v>0</v>
      </c>
      <c r="AI2">
        <f>BDH("HOVR US Equity","IS_DEPR_EXP","1993-06-18","2026-05-02","Per=Y","Days=T","Dir=V")</f>
        <v>0</v>
      </c>
      <c r="AK2">
        <f>BDH("HOVR US Equity","CF_CASH_FROM_OPER","1993-06-18","2026-05-02","Per=Y","Days=T","Dir=V")</f>
        <v>0</v>
      </c>
      <c r="AM2">
        <f>BDH("HOVR US Equity","CAPITAL_EXPEND","1993-06-18","2026-05-02","Per=Y","Days=T","Dir=V")</f>
        <v>0</v>
      </c>
      <c r="AO2">
        <f>BDH("HOVR US Equity","CF_FREE_CASH_FLOW","1993-06-18","2026-05-02","Per=Y","Days=T","Dir=V")</f>
        <v>0</v>
      </c>
      <c r="AQ2">
        <f>BDH("HOVR US Equity","PX_LAST","1993-06-18","2026-05-02","Per=M","Days=T","Dir=V")</f>
        <v>0</v>
      </c>
      <c r="AS2">
        <f>BDH("HOVR US Equity","CUR_MKT_CAP","1993-06-18","2026-05-02","Per=M","Days=T","Dir=V")</f>
        <v>0</v>
      </c>
      <c r="AU2">
        <f>BDH("HOVR US Equity","EQY_SH_OUT","1993-06-18","2026-05-02","Per=M","Days=T","Dir=V")</f>
        <v>0</v>
      </c>
      <c r="AW2">
        <f>BDH("HOVR US Equity","PX_VOLUME","1993-06-18","2026-05-02","Per=M","Days=T","Dir=V")</f>
        <v>0</v>
      </c>
      <c r="AY2">
        <f>BDH("HOVR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BDH("HOVRW US Equity","BS_TOT_ASSET","1993-06-18","2026-05-02","Per=Y","Days=T","Dir=V")</f>
        <v>0</v>
      </c>
      <c r="C2">
        <f>BDH("HOVRW US Equity","BS_TOT_LIAB2","1993-06-18","2026-05-02","Per=Y","Days=T","Dir=V")</f>
        <v>0</v>
      </c>
      <c r="E2">
        <f>BDH("HOVRW US Equity","SHORT_AND_LONG_TERM_DEBT","1993-06-18","2026-05-02","Per=Y","Days=T","Dir=V")</f>
        <v>0</v>
      </c>
      <c r="G2">
        <f>BDH("HOVRW US Equity","BS_ST_BORROW","1993-06-18","2026-05-02","Per=Y","Days=T","Dir=V")</f>
        <v>0</v>
      </c>
      <c r="I2">
        <f>BDH("HOVRW US Equity","BS_LT_BORROW","1993-06-18","2026-05-02","Per=Y","Days=T","Dir=V")</f>
        <v>0</v>
      </c>
      <c r="K2">
        <f>BDH("HOVRW US Equity","BS_CASH_NEAR_CASH_ITEM","1993-06-18","2026-05-02","Per=Y","Days=T","Dir=V")</f>
        <v>0</v>
      </c>
      <c r="M2">
        <f>BDH("HOVRW US Equity","BS_CUR_ASSET_REPORT","1993-06-18","2026-05-02","Per=Y","Days=T","Dir=V")</f>
        <v>0</v>
      </c>
      <c r="O2">
        <f>BDH("HOVRW US Equity","BS_CUR_LIAB","1993-06-18","2026-05-02","Per=Y","Days=T","Dir=V")</f>
        <v>0</v>
      </c>
      <c r="Q2">
        <f>BDH("HOVRW US Equity","BS_SHAREHOLDER_EQY_ENDING_PERIOD","1993-06-18","2026-05-02","Per=Y","Days=T","Dir=V")</f>
        <v>0</v>
      </c>
      <c r="S2">
        <f>BDH("HOVRW US Equity","BS_ACCT_NOTE_RCV","1993-06-18","2026-05-02","Per=Y","Days=T","Dir=V")</f>
        <v>0</v>
      </c>
      <c r="U2">
        <f>BDH("HOVRW US Equity","BS_INVENTORIES","1993-06-18","2026-05-02","Per=Y","Days=T","Dir=V")</f>
        <v>0</v>
      </c>
      <c r="W2">
        <f>BDH("HOVRW US Equity","WORKING_CAPITAL","1993-06-18","2026-05-02","Per=Y","Days=T","Dir=V")</f>
        <v>0</v>
      </c>
      <c r="Y2">
        <f>BDH("HOVRW US Equity","SALES_REV_TURN","1993-06-18","2026-05-02","Per=Y","Days=T","Dir=V")</f>
        <v>0</v>
      </c>
      <c r="AA2">
        <f>BDH("HOVRW US Equity","EBIT","1993-06-18","2026-05-02","Per=Y","Days=T","Dir=V")</f>
        <v>0</v>
      </c>
      <c r="AC2">
        <f>BDH("HOVRW US Equity","EBITDA","1993-06-18","2026-05-02","Per=Y","Days=T","Dir=V")</f>
        <v>0</v>
      </c>
      <c r="AE2">
        <f>BDH("HOVRW US Equity","NET_INCOME","1993-06-18","2026-05-02","Per=Y","Days=T","Dir=V")</f>
        <v>0</v>
      </c>
      <c r="AG2">
        <f>BDH("HOVRW US Equity","IS_INT_EXPENSE","1993-06-18","2026-05-02","Per=Y","Days=T","Dir=V")</f>
        <v>0</v>
      </c>
      <c r="AI2">
        <f>BDH("HOVRW US Equity","IS_DEPR_EXP","1993-06-18","2026-05-02","Per=Y","Days=T","Dir=V")</f>
        <v>0</v>
      </c>
      <c r="AK2">
        <f>BDH("HOVRW US Equity","CF_CASH_FROM_OPER","1993-06-18","2026-05-02","Per=Y","Days=T","Dir=V")</f>
        <v>0</v>
      </c>
      <c r="AM2">
        <f>BDH("HOVRW US Equity","CAPITAL_EXPEND","1993-06-18","2026-05-02","Per=Y","Days=T","Dir=V")</f>
        <v>0</v>
      </c>
      <c r="AO2">
        <f>BDH("HOVRW US Equity","CF_FREE_CASH_FLOW","1993-06-18","2026-05-02","Per=Y","Days=T","Dir=V")</f>
        <v>0</v>
      </c>
      <c r="AQ2">
        <f>BDH("HOVRW US Equity","PX_LAST","1993-06-18","2026-05-02","Per=M","Days=T","Dir=V")</f>
        <v>0</v>
      </c>
      <c r="AS2">
        <f>BDH("HOVRW US Equity","CUR_MKT_CAP","1993-06-18","2026-05-02","Per=M","Days=T","Dir=V")</f>
        <v>0</v>
      </c>
      <c r="AU2">
        <f>BDH("HOVRW US Equity","EQY_SH_OUT","1993-06-18","2026-05-02","Per=M","Days=T","Dir=V")</f>
        <v>0</v>
      </c>
      <c r="AW2">
        <f>BDH("HOVRW US Equity","PX_VOLUME","1993-06-18","2026-05-02","Per=M","Days=T","Dir=V")</f>
        <v>0</v>
      </c>
      <c r="AY2">
        <f>BDH("HOVRW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BDH("HOWL US Equity","BS_TOT_ASSET","1993-06-18","2026-05-02","Per=Y","Days=T","Dir=V")</f>
        <v>0</v>
      </c>
      <c r="C2">
        <f>BDH("HOWL US Equity","BS_TOT_LIAB2","1993-06-18","2026-05-02","Per=Y","Days=T","Dir=V")</f>
        <v>0</v>
      </c>
      <c r="E2">
        <f>BDH("HOWL US Equity","SHORT_AND_LONG_TERM_DEBT","1993-06-18","2026-05-02","Per=Y","Days=T","Dir=V")</f>
        <v>0</v>
      </c>
      <c r="G2">
        <f>BDH("HOWL US Equity","BS_ST_BORROW","1993-06-18","2026-05-02","Per=Y","Days=T","Dir=V")</f>
        <v>0</v>
      </c>
      <c r="I2">
        <f>BDH("HOWL US Equity","BS_LT_BORROW","1993-06-18","2026-05-02","Per=Y","Days=T","Dir=V")</f>
        <v>0</v>
      </c>
      <c r="K2">
        <f>BDH("HOWL US Equity","BS_CASH_NEAR_CASH_ITEM","1993-06-18","2026-05-02","Per=Y","Days=T","Dir=V")</f>
        <v>0</v>
      </c>
      <c r="M2">
        <f>BDH("HOWL US Equity","BS_CUR_ASSET_REPORT","1993-06-18","2026-05-02","Per=Y","Days=T","Dir=V")</f>
        <v>0</v>
      </c>
      <c r="O2">
        <f>BDH("HOWL US Equity","BS_CUR_LIAB","1993-06-18","2026-05-02","Per=Y","Days=T","Dir=V")</f>
        <v>0</v>
      </c>
      <c r="Q2">
        <f>BDH("HOWL US Equity","BS_SHAREHOLDER_EQY_ENDING_PERIOD","1993-06-18","2026-05-02","Per=Y","Days=T","Dir=V")</f>
        <v>0</v>
      </c>
      <c r="S2">
        <f>BDH("HOWL US Equity","BS_ACCT_NOTE_RCV","1993-06-18","2026-05-02","Per=Y","Days=T","Dir=V")</f>
        <v>0</v>
      </c>
      <c r="U2">
        <f>BDH("HOWL US Equity","BS_INVENTORIES","1993-06-18","2026-05-02","Per=Y","Days=T","Dir=V")</f>
        <v>0</v>
      </c>
      <c r="W2">
        <f>BDH("HOWL US Equity","WORKING_CAPITAL","1993-06-18","2026-05-02","Per=Y","Days=T","Dir=V")</f>
        <v>0</v>
      </c>
      <c r="Y2">
        <f>BDH("HOWL US Equity","SALES_REV_TURN","1993-06-18","2026-05-02","Per=Y","Days=T","Dir=V")</f>
        <v>0</v>
      </c>
      <c r="AA2">
        <f>BDH("HOWL US Equity","EBIT","1993-06-18","2026-05-02","Per=Y","Days=T","Dir=V")</f>
        <v>0</v>
      </c>
      <c r="AC2">
        <f>BDH("HOWL US Equity","EBITDA","1993-06-18","2026-05-02","Per=Y","Days=T","Dir=V")</f>
        <v>0</v>
      </c>
      <c r="AE2">
        <f>BDH("HOWL US Equity","NET_INCOME","1993-06-18","2026-05-02","Per=Y","Days=T","Dir=V")</f>
        <v>0</v>
      </c>
      <c r="AG2">
        <f>BDH("HOWL US Equity","IS_INT_EXPENSE","1993-06-18","2026-05-02","Per=Y","Days=T","Dir=V")</f>
        <v>0</v>
      </c>
      <c r="AI2">
        <f>BDH("HOWL US Equity","IS_DEPR_EXP","1993-06-18","2026-05-02","Per=Y","Days=T","Dir=V")</f>
        <v>0</v>
      </c>
      <c r="AK2">
        <f>BDH("HOWL US Equity","CF_CASH_FROM_OPER","1993-06-18","2026-05-02","Per=Y","Days=T","Dir=V")</f>
        <v>0</v>
      </c>
      <c r="AM2">
        <f>BDH("HOWL US Equity","CAPITAL_EXPEND","1993-06-18","2026-05-02","Per=Y","Days=T","Dir=V")</f>
        <v>0</v>
      </c>
      <c r="AO2">
        <f>BDH("HOWL US Equity","CF_FREE_CASH_FLOW","1993-06-18","2026-05-02","Per=Y","Days=T","Dir=V")</f>
        <v>0</v>
      </c>
      <c r="AQ2">
        <f>BDH("HOWL US Equity","PX_LAST","1993-06-18","2026-05-02","Per=M","Days=T","Dir=V")</f>
        <v>0</v>
      </c>
      <c r="AS2">
        <f>BDH("HOWL US Equity","CUR_MKT_CAP","1993-06-18","2026-05-02","Per=M","Days=T","Dir=V")</f>
        <v>0</v>
      </c>
      <c r="AU2">
        <f>BDH("HOWL US Equity","EQY_SH_OUT","1993-06-18","2026-05-02","Per=M","Days=T","Dir=V")</f>
        <v>0</v>
      </c>
      <c r="AW2">
        <f>BDH("HOWL US Equity","PX_VOLUME","1993-06-18","2026-05-02","Per=M","Days=T","Dir=V")</f>
        <v>0</v>
      </c>
      <c r="AY2">
        <f>BDH("HOWL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BDH("HP US Equity","BS_TOT_ASSET","1993-06-18","2026-05-02","Per=Y","Days=T","Dir=V")</f>
        <v>0</v>
      </c>
      <c r="C2">
        <f>BDH("HP US Equity","BS_TOT_LIAB2","1993-06-18","2026-05-02","Per=Y","Days=T","Dir=V")</f>
        <v>0</v>
      </c>
      <c r="E2">
        <f>BDH("HP US Equity","SHORT_AND_LONG_TERM_DEBT","1993-06-18","2026-05-02","Per=Y","Days=T","Dir=V")</f>
        <v>0</v>
      </c>
      <c r="G2">
        <f>BDH("HP US Equity","BS_ST_BORROW","1993-06-18","2026-05-02","Per=Y","Days=T","Dir=V")</f>
        <v>0</v>
      </c>
      <c r="I2">
        <f>BDH("HP US Equity","BS_LT_BORROW","1993-06-18","2026-05-02","Per=Y","Days=T","Dir=V")</f>
        <v>0</v>
      </c>
      <c r="K2">
        <f>BDH("HP US Equity","BS_CASH_NEAR_CASH_ITEM","1993-06-18","2026-05-02","Per=Y","Days=T","Dir=V")</f>
        <v>0</v>
      </c>
      <c r="M2">
        <f>BDH("HP US Equity","BS_CUR_ASSET_REPORT","1993-06-18","2026-05-02","Per=Y","Days=T","Dir=V")</f>
        <v>0</v>
      </c>
      <c r="O2">
        <f>BDH("HP US Equity","BS_CUR_LIAB","1993-06-18","2026-05-02","Per=Y","Days=T","Dir=V")</f>
        <v>0</v>
      </c>
      <c r="Q2">
        <f>BDH("HP US Equity","BS_SHAREHOLDER_EQY_ENDING_PERIOD","1993-06-18","2026-05-02","Per=Y","Days=T","Dir=V")</f>
        <v>0</v>
      </c>
      <c r="S2">
        <f>BDH("HP US Equity","BS_ACCT_NOTE_RCV","1993-06-18","2026-05-02","Per=Y","Days=T","Dir=V")</f>
        <v>0</v>
      </c>
      <c r="U2">
        <f>BDH("HP US Equity","BS_INVENTORIES","1993-06-18","2026-05-02","Per=Y","Days=T","Dir=V")</f>
        <v>0</v>
      </c>
      <c r="W2">
        <f>BDH("HP US Equity","WORKING_CAPITAL","1993-06-18","2026-05-02","Per=Y","Days=T","Dir=V")</f>
        <v>0</v>
      </c>
      <c r="Y2">
        <f>BDH("HP US Equity","SALES_REV_TURN","1993-06-18","2026-05-02","Per=Y","Days=T","Dir=V")</f>
        <v>0</v>
      </c>
      <c r="AA2">
        <f>BDH("HP US Equity","EBIT","1993-06-18","2026-05-02","Per=Y","Days=T","Dir=V")</f>
        <v>0</v>
      </c>
      <c r="AC2">
        <f>BDH("HP US Equity","EBITDA","1993-06-18","2026-05-02","Per=Y","Days=T","Dir=V")</f>
        <v>0</v>
      </c>
      <c r="AE2">
        <f>BDH("HP US Equity","NET_INCOME","1993-06-18","2026-05-02","Per=Y","Days=T","Dir=V")</f>
        <v>0</v>
      </c>
      <c r="AG2">
        <f>BDH("HP US Equity","IS_INT_EXPENSE","1993-06-18","2026-05-02","Per=Y","Days=T","Dir=V")</f>
        <v>0</v>
      </c>
      <c r="AI2">
        <f>BDH("HP US Equity","IS_DEPR_EXP","1993-06-18","2026-05-02","Per=Y","Days=T","Dir=V")</f>
        <v>0</v>
      </c>
      <c r="AK2">
        <f>BDH("HP US Equity","CF_CASH_FROM_OPER","1993-06-18","2026-05-02","Per=Y","Days=T","Dir=V")</f>
        <v>0</v>
      </c>
      <c r="AM2">
        <f>BDH("HP US Equity","CAPITAL_EXPEND","1993-06-18","2026-05-02","Per=Y","Days=T","Dir=V")</f>
        <v>0</v>
      </c>
      <c r="AO2">
        <f>BDH("HP US Equity","CF_FREE_CASH_FLOW","1993-06-18","2026-05-02","Per=Y","Days=T","Dir=V")</f>
        <v>0</v>
      </c>
      <c r="AQ2">
        <f>BDH("HP US Equity","PX_LAST","1993-06-18","2026-05-02","Per=M","Days=T","Dir=V")</f>
        <v>0</v>
      </c>
      <c r="AS2">
        <f>BDH("HP US Equity","CUR_MKT_CAP","1993-06-18","2026-05-02","Per=M","Days=T","Dir=V")</f>
        <v>0</v>
      </c>
      <c r="AU2">
        <f>BDH("HP US Equity","EQY_SH_OUT","1993-06-18","2026-05-02","Per=M","Days=T","Dir=V")</f>
        <v>0</v>
      </c>
      <c r="AW2">
        <f>BDH("HP US Equity","PX_VOLUME","1993-06-18","2026-05-02","Per=M","Days=T","Dir=V")</f>
        <v>0</v>
      </c>
      <c r="AY2">
        <f>BDH("HP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BDH("HPE US Equity","BS_TOT_ASSET","1993-06-18","2026-05-02","Per=Y","Days=T","Dir=V")</f>
        <v>0</v>
      </c>
      <c r="C2">
        <f>BDH("HPE US Equity","BS_TOT_LIAB2","1993-06-18","2026-05-02","Per=Y","Days=T","Dir=V")</f>
        <v>0</v>
      </c>
      <c r="E2">
        <f>BDH("HPE US Equity","SHORT_AND_LONG_TERM_DEBT","1993-06-18","2026-05-02","Per=Y","Days=T","Dir=V")</f>
        <v>0</v>
      </c>
      <c r="G2">
        <f>BDH("HPE US Equity","BS_ST_BORROW","1993-06-18","2026-05-02","Per=Y","Days=T","Dir=V")</f>
        <v>0</v>
      </c>
      <c r="I2">
        <f>BDH("HPE US Equity","BS_LT_BORROW","1993-06-18","2026-05-02","Per=Y","Days=T","Dir=V")</f>
        <v>0</v>
      </c>
      <c r="K2">
        <f>BDH("HPE US Equity","BS_CASH_NEAR_CASH_ITEM","1993-06-18","2026-05-02","Per=Y","Days=T","Dir=V")</f>
        <v>0</v>
      </c>
      <c r="M2">
        <f>BDH("HPE US Equity","BS_CUR_ASSET_REPORT","1993-06-18","2026-05-02","Per=Y","Days=T","Dir=V")</f>
        <v>0</v>
      </c>
      <c r="O2">
        <f>BDH("HPE US Equity","BS_CUR_LIAB","1993-06-18","2026-05-02","Per=Y","Days=T","Dir=V")</f>
        <v>0</v>
      </c>
      <c r="Q2">
        <f>BDH("HPE US Equity","BS_SHAREHOLDER_EQY_ENDING_PERIOD","1993-06-18","2026-05-02","Per=Y","Days=T","Dir=V")</f>
        <v>0</v>
      </c>
      <c r="S2">
        <f>BDH("HPE US Equity","BS_ACCT_NOTE_RCV","1993-06-18","2026-05-02","Per=Y","Days=T","Dir=V")</f>
        <v>0</v>
      </c>
      <c r="U2">
        <f>BDH("HPE US Equity","BS_INVENTORIES","1993-06-18","2026-05-02","Per=Y","Days=T","Dir=V")</f>
        <v>0</v>
      </c>
      <c r="W2">
        <f>BDH("HPE US Equity","WORKING_CAPITAL","1993-06-18","2026-05-02","Per=Y","Days=T","Dir=V")</f>
        <v>0</v>
      </c>
      <c r="Y2">
        <f>BDH("HPE US Equity","SALES_REV_TURN","1993-06-18","2026-05-02","Per=Y","Days=T","Dir=V")</f>
        <v>0</v>
      </c>
      <c r="AA2">
        <f>BDH("HPE US Equity","EBIT","1993-06-18","2026-05-02","Per=Y","Days=T","Dir=V")</f>
        <v>0</v>
      </c>
      <c r="AC2">
        <f>BDH("HPE US Equity","EBITDA","1993-06-18","2026-05-02","Per=Y","Days=T","Dir=V")</f>
        <v>0</v>
      </c>
      <c r="AE2">
        <f>BDH("HPE US Equity","NET_INCOME","1993-06-18","2026-05-02","Per=Y","Days=T","Dir=V")</f>
        <v>0</v>
      </c>
      <c r="AG2">
        <f>BDH("HPE US Equity","IS_INT_EXPENSE","1993-06-18","2026-05-02","Per=Y","Days=T","Dir=V")</f>
        <v>0</v>
      </c>
      <c r="AI2">
        <f>BDH("HPE US Equity","IS_DEPR_EXP","1993-06-18","2026-05-02","Per=Y","Days=T","Dir=V")</f>
        <v>0</v>
      </c>
      <c r="AK2">
        <f>BDH("HPE US Equity","CF_CASH_FROM_OPER","1993-06-18","2026-05-02","Per=Y","Days=T","Dir=V")</f>
        <v>0</v>
      </c>
      <c r="AM2">
        <f>BDH("HPE US Equity","CAPITAL_EXPEND","1993-06-18","2026-05-02","Per=Y","Days=T","Dir=V")</f>
        <v>0</v>
      </c>
      <c r="AO2">
        <f>BDH("HPE US Equity","CF_FREE_CASH_FLOW","1993-06-18","2026-05-02","Per=Y","Days=T","Dir=V")</f>
        <v>0</v>
      </c>
      <c r="AQ2">
        <f>BDH("HPE US Equity","PX_LAST","1993-06-18","2026-05-02","Per=M","Days=T","Dir=V")</f>
        <v>0</v>
      </c>
      <c r="AS2">
        <f>BDH("HPE US Equity","CUR_MKT_CAP","1993-06-18","2026-05-02","Per=M","Days=T","Dir=V")</f>
        <v>0</v>
      </c>
      <c r="AU2">
        <f>BDH("HPE US Equity","EQY_SH_OUT","1993-06-18","2026-05-02","Per=M","Days=T","Dir=V")</f>
        <v>0</v>
      </c>
      <c r="AW2">
        <f>BDH("HPE US Equity","PX_VOLUME","1993-06-18","2026-05-02","Per=M","Days=T","Dir=V")</f>
        <v>0</v>
      </c>
      <c r="AY2">
        <f>BDH("HPE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BDH("HPK US Equity","BS_TOT_ASSET","1993-06-18","2026-05-02","Per=Y","Days=T","Dir=V")</f>
        <v>0</v>
      </c>
      <c r="C2">
        <f>BDH("HPK US Equity","BS_TOT_LIAB2","1993-06-18","2026-05-02","Per=Y","Days=T","Dir=V")</f>
        <v>0</v>
      </c>
      <c r="E2">
        <f>BDH("HPK US Equity","SHORT_AND_LONG_TERM_DEBT","1993-06-18","2026-05-02","Per=Y","Days=T","Dir=V")</f>
        <v>0</v>
      </c>
      <c r="G2">
        <f>BDH("HPK US Equity","BS_ST_BORROW","1993-06-18","2026-05-02","Per=Y","Days=T","Dir=V")</f>
        <v>0</v>
      </c>
      <c r="I2">
        <f>BDH("HPK US Equity","BS_LT_BORROW","1993-06-18","2026-05-02","Per=Y","Days=T","Dir=V")</f>
        <v>0</v>
      </c>
      <c r="K2">
        <f>BDH("HPK US Equity","BS_CASH_NEAR_CASH_ITEM","1993-06-18","2026-05-02","Per=Y","Days=T","Dir=V")</f>
        <v>0</v>
      </c>
      <c r="M2">
        <f>BDH("HPK US Equity","BS_CUR_ASSET_REPORT","1993-06-18","2026-05-02","Per=Y","Days=T","Dir=V")</f>
        <v>0</v>
      </c>
      <c r="O2">
        <f>BDH("HPK US Equity","BS_CUR_LIAB","1993-06-18","2026-05-02","Per=Y","Days=T","Dir=V")</f>
        <v>0</v>
      </c>
      <c r="Q2">
        <f>BDH("HPK US Equity","BS_SHAREHOLDER_EQY_ENDING_PERIOD","1993-06-18","2026-05-02","Per=Y","Days=T","Dir=V")</f>
        <v>0</v>
      </c>
      <c r="S2">
        <f>BDH("HPK US Equity","BS_ACCT_NOTE_RCV","1993-06-18","2026-05-02","Per=Y","Days=T","Dir=V")</f>
        <v>0</v>
      </c>
      <c r="U2">
        <f>BDH("HPK US Equity","BS_INVENTORIES","1993-06-18","2026-05-02","Per=Y","Days=T","Dir=V")</f>
        <v>0</v>
      </c>
      <c r="W2">
        <f>BDH("HPK US Equity","WORKING_CAPITAL","1993-06-18","2026-05-02","Per=Y","Days=T","Dir=V")</f>
        <v>0</v>
      </c>
      <c r="Y2">
        <f>BDH("HPK US Equity","SALES_REV_TURN","1993-06-18","2026-05-02","Per=Y","Days=T","Dir=V")</f>
        <v>0</v>
      </c>
      <c r="AA2">
        <f>BDH("HPK US Equity","EBIT","1993-06-18","2026-05-02","Per=Y","Days=T","Dir=V")</f>
        <v>0</v>
      </c>
      <c r="AC2">
        <f>BDH("HPK US Equity","EBITDA","1993-06-18","2026-05-02","Per=Y","Days=T","Dir=V")</f>
        <v>0</v>
      </c>
      <c r="AE2">
        <f>BDH("HPK US Equity","NET_INCOME","1993-06-18","2026-05-02","Per=Y","Days=T","Dir=V")</f>
        <v>0</v>
      </c>
      <c r="AG2">
        <f>BDH("HPK US Equity","IS_INT_EXPENSE","1993-06-18","2026-05-02","Per=Y","Days=T","Dir=V")</f>
        <v>0</v>
      </c>
      <c r="AI2">
        <f>BDH("HPK US Equity","IS_DEPR_EXP","1993-06-18","2026-05-02","Per=Y","Days=T","Dir=V")</f>
        <v>0</v>
      </c>
      <c r="AK2">
        <f>BDH("HPK US Equity","CF_CASH_FROM_OPER","1993-06-18","2026-05-02","Per=Y","Days=T","Dir=V")</f>
        <v>0</v>
      </c>
      <c r="AM2">
        <f>BDH("HPK US Equity","CAPITAL_EXPEND","1993-06-18","2026-05-02","Per=Y","Days=T","Dir=V")</f>
        <v>0</v>
      </c>
      <c r="AO2">
        <f>BDH("HPK US Equity","CF_FREE_CASH_FLOW","1993-06-18","2026-05-02","Per=Y","Days=T","Dir=V")</f>
        <v>0</v>
      </c>
      <c r="AQ2">
        <f>BDH("HPK US Equity","PX_LAST","1993-06-18","2026-05-02","Per=M","Days=T","Dir=V")</f>
        <v>0</v>
      </c>
      <c r="AS2">
        <f>BDH("HPK US Equity","CUR_MKT_CAP","1993-06-18","2026-05-02","Per=M","Days=T","Dir=V")</f>
        <v>0</v>
      </c>
      <c r="AU2">
        <f>BDH("HPK US Equity","EQY_SH_OUT","1993-06-18","2026-05-02","Per=M","Days=T","Dir=V")</f>
        <v>0</v>
      </c>
      <c r="AW2">
        <f>BDH("HPK US Equity","PX_VOLUME","1993-06-18","2026-05-02","Per=M","Days=T","Dir=V")</f>
        <v>0</v>
      </c>
      <c r="AY2">
        <f>BDH("HPK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BDH("HPQ US Equity","BS_TOT_ASSET","1993-06-18","2026-05-02","Per=Y","Days=T","Dir=V")</f>
        <v>0</v>
      </c>
      <c r="C2">
        <f>BDH("HPQ US Equity","BS_TOT_LIAB2","1993-06-18","2026-05-02","Per=Y","Days=T","Dir=V")</f>
        <v>0</v>
      </c>
      <c r="E2">
        <f>BDH("HPQ US Equity","SHORT_AND_LONG_TERM_DEBT","1993-06-18","2026-05-02","Per=Y","Days=T","Dir=V")</f>
        <v>0</v>
      </c>
      <c r="G2">
        <f>BDH("HPQ US Equity","BS_ST_BORROW","1993-06-18","2026-05-02","Per=Y","Days=T","Dir=V")</f>
        <v>0</v>
      </c>
      <c r="I2">
        <f>BDH("HPQ US Equity","BS_LT_BORROW","1993-06-18","2026-05-02","Per=Y","Days=T","Dir=V")</f>
        <v>0</v>
      </c>
      <c r="K2">
        <f>BDH("HPQ US Equity","BS_CASH_NEAR_CASH_ITEM","1993-06-18","2026-05-02","Per=Y","Days=T","Dir=V")</f>
        <v>0</v>
      </c>
      <c r="M2">
        <f>BDH("HPQ US Equity","BS_CUR_ASSET_REPORT","1993-06-18","2026-05-02","Per=Y","Days=T","Dir=V")</f>
        <v>0</v>
      </c>
      <c r="O2">
        <f>BDH("HPQ US Equity","BS_CUR_LIAB","1993-06-18","2026-05-02","Per=Y","Days=T","Dir=V")</f>
        <v>0</v>
      </c>
      <c r="Q2">
        <f>BDH("HPQ US Equity","BS_SHAREHOLDER_EQY_ENDING_PERIOD","1993-06-18","2026-05-02","Per=Y","Days=T","Dir=V")</f>
        <v>0</v>
      </c>
      <c r="S2">
        <f>BDH("HPQ US Equity","BS_ACCT_NOTE_RCV","1993-06-18","2026-05-02","Per=Y","Days=T","Dir=V")</f>
        <v>0</v>
      </c>
      <c r="U2">
        <f>BDH("HPQ US Equity","BS_INVENTORIES","1993-06-18","2026-05-02","Per=Y","Days=T","Dir=V")</f>
        <v>0</v>
      </c>
      <c r="W2">
        <f>BDH("HPQ US Equity","WORKING_CAPITAL","1993-06-18","2026-05-02","Per=Y","Days=T","Dir=V")</f>
        <v>0</v>
      </c>
      <c r="Y2">
        <f>BDH("HPQ US Equity","SALES_REV_TURN","1993-06-18","2026-05-02","Per=Y","Days=T","Dir=V")</f>
        <v>0</v>
      </c>
      <c r="AA2">
        <f>BDH("HPQ US Equity","EBIT","1993-06-18","2026-05-02","Per=Y","Days=T","Dir=V")</f>
        <v>0</v>
      </c>
      <c r="AC2">
        <f>BDH("HPQ US Equity","EBITDA","1993-06-18","2026-05-02","Per=Y","Days=T","Dir=V")</f>
        <v>0</v>
      </c>
      <c r="AE2">
        <f>BDH("HPQ US Equity","NET_INCOME","1993-06-18","2026-05-02","Per=Y","Days=T","Dir=V")</f>
        <v>0</v>
      </c>
      <c r="AG2">
        <f>BDH("HPQ US Equity","IS_INT_EXPENSE","1993-06-18","2026-05-02","Per=Y","Days=T","Dir=V")</f>
        <v>0</v>
      </c>
      <c r="AI2">
        <f>BDH("HPQ US Equity","IS_DEPR_EXP","1993-06-18","2026-05-02","Per=Y","Days=T","Dir=V")</f>
        <v>0</v>
      </c>
      <c r="AK2">
        <f>BDH("HPQ US Equity","CF_CASH_FROM_OPER","1993-06-18","2026-05-02","Per=Y","Days=T","Dir=V")</f>
        <v>0</v>
      </c>
      <c r="AM2">
        <f>BDH("HPQ US Equity","CAPITAL_EXPEND","1993-06-18","2026-05-02","Per=Y","Days=T","Dir=V")</f>
        <v>0</v>
      </c>
      <c r="AO2">
        <f>BDH("HPQ US Equity","CF_FREE_CASH_FLOW","1993-06-18","2026-05-02","Per=Y","Days=T","Dir=V")</f>
        <v>0</v>
      </c>
      <c r="AQ2">
        <f>BDH("HPQ US Equity","PX_LAST","1993-06-18","2026-05-02","Per=M","Days=T","Dir=V")</f>
        <v>0</v>
      </c>
      <c r="AS2">
        <f>BDH("HPQ US Equity","CUR_MKT_CAP","1993-06-18","2026-05-02","Per=M","Days=T","Dir=V")</f>
        <v>0</v>
      </c>
      <c r="AU2">
        <f>BDH("HPQ US Equity","EQY_SH_OUT","1993-06-18","2026-05-02","Per=M","Days=T","Dir=V")</f>
        <v>0</v>
      </c>
      <c r="AW2">
        <f>BDH("HPQ US Equity","PX_VOLUME","1993-06-18","2026-05-02","Per=M","Days=T","Dir=V")</f>
        <v>0</v>
      </c>
      <c r="AY2">
        <f>BDH("HPQ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BDH("HQI US Equity","BS_TOT_ASSET","1993-06-18","2026-05-02","Per=Y","Days=T","Dir=V")</f>
        <v>0</v>
      </c>
      <c r="C2">
        <f>BDH("HQI US Equity","BS_TOT_LIAB2","1993-06-18","2026-05-02","Per=Y","Days=T","Dir=V")</f>
        <v>0</v>
      </c>
      <c r="E2">
        <f>BDH("HQI US Equity","SHORT_AND_LONG_TERM_DEBT","1993-06-18","2026-05-02","Per=Y","Days=T","Dir=V")</f>
        <v>0</v>
      </c>
      <c r="G2">
        <f>BDH("HQI US Equity","BS_ST_BORROW","1993-06-18","2026-05-02","Per=Y","Days=T","Dir=V")</f>
        <v>0</v>
      </c>
      <c r="I2">
        <f>BDH("HQI US Equity","BS_LT_BORROW","1993-06-18","2026-05-02","Per=Y","Days=T","Dir=V")</f>
        <v>0</v>
      </c>
      <c r="K2">
        <f>BDH("HQI US Equity","BS_CASH_NEAR_CASH_ITEM","1993-06-18","2026-05-02","Per=Y","Days=T","Dir=V")</f>
        <v>0</v>
      </c>
      <c r="M2">
        <f>BDH("HQI US Equity","BS_CUR_ASSET_REPORT","1993-06-18","2026-05-02","Per=Y","Days=T","Dir=V")</f>
        <v>0</v>
      </c>
      <c r="O2">
        <f>BDH("HQI US Equity","BS_CUR_LIAB","1993-06-18","2026-05-02","Per=Y","Days=T","Dir=V")</f>
        <v>0</v>
      </c>
      <c r="Q2">
        <f>BDH("HQI US Equity","BS_SHAREHOLDER_EQY_ENDING_PERIOD","1993-06-18","2026-05-02","Per=Y","Days=T","Dir=V")</f>
        <v>0</v>
      </c>
      <c r="S2">
        <f>BDH("HQI US Equity","BS_ACCT_NOTE_RCV","1993-06-18","2026-05-02","Per=Y","Days=T","Dir=V")</f>
        <v>0</v>
      </c>
      <c r="U2">
        <f>BDH("HQI US Equity","BS_INVENTORIES","1993-06-18","2026-05-02","Per=Y","Days=T","Dir=V")</f>
        <v>0</v>
      </c>
      <c r="W2">
        <f>BDH("HQI US Equity","WORKING_CAPITAL","1993-06-18","2026-05-02","Per=Y","Days=T","Dir=V")</f>
        <v>0</v>
      </c>
      <c r="Y2">
        <f>BDH("HQI US Equity","SALES_REV_TURN","1993-06-18","2026-05-02","Per=Y","Days=T","Dir=V")</f>
        <v>0</v>
      </c>
      <c r="AA2">
        <f>BDH("HQI US Equity","EBIT","1993-06-18","2026-05-02","Per=Y","Days=T","Dir=V")</f>
        <v>0</v>
      </c>
      <c r="AC2">
        <f>BDH("HQI US Equity","EBITDA","1993-06-18","2026-05-02","Per=Y","Days=T","Dir=V")</f>
        <v>0</v>
      </c>
      <c r="AE2">
        <f>BDH("HQI US Equity","NET_INCOME","1993-06-18","2026-05-02","Per=Y","Days=T","Dir=V")</f>
        <v>0</v>
      </c>
      <c r="AG2">
        <f>BDH("HQI US Equity","IS_INT_EXPENSE","1993-06-18","2026-05-02","Per=Y","Days=T","Dir=V")</f>
        <v>0</v>
      </c>
      <c r="AI2">
        <f>BDH("HQI US Equity","IS_DEPR_EXP","1993-06-18","2026-05-02","Per=Y","Days=T","Dir=V")</f>
        <v>0</v>
      </c>
      <c r="AK2">
        <f>BDH("HQI US Equity","CF_CASH_FROM_OPER","1993-06-18","2026-05-02","Per=Y","Days=T","Dir=V")</f>
        <v>0</v>
      </c>
      <c r="AM2">
        <f>BDH("HQI US Equity","CAPITAL_EXPEND","1993-06-18","2026-05-02","Per=Y","Days=T","Dir=V")</f>
        <v>0</v>
      </c>
      <c r="AO2">
        <f>BDH("HQI US Equity","CF_FREE_CASH_FLOW","1993-06-18","2026-05-02","Per=Y","Days=T","Dir=V")</f>
        <v>0</v>
      </c>
      <c r="AQ2">
        <f>BDH("HQI US Equity","PX_LAST","1993-06-18","2026-05-02","Per=M","Days=T","Dir=V")</f>
        <v>0</v>
      </c>
      <c r="AS2">
        <f>BDH("HQI US Equity","CUR_MKT_CAP","1993-06-18","2026-05-02","Per=M","Days=T","Dir=V")</f>
        <v>0</v>
      </c>
      <c r="AU2">
        <f>BDH("HQI US Equity","EQY_SH_OUT","1993-06-18","2026-05-02","Per=M","Days=T","Dir=V")</f>
        <v>0</v>
      </c>
      <c r="AW2">
        <f>BDH("HQI US Equity","PX_VOLUME","1993-06-18","2026-05-02","Per=M","Days=T","Dir=V")</f>
        <v>0</v>
      </c>
      <c r="AY2">
        <f>BDH("HQI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BDH("HQY US Equity","BS_TOT_ASSET","1993-06-18","2026-05-02","Per=Y","Days=T","Dir=V")</f>
        <v>0</v>
      </c>
      <c r="C2">
        <f>BDH("HQY US Equity","BS_TOT_LIAB2","1993-06-18","2026-05-02","Per=Y","Days=T","Dir=V")</f>
        <v>0</v>
      </c>
      <c r="E2">
        <f>BDH("HQY US Equity","SHORT_AND_LONG_TERM_DEBT","1993-06-18","2026-05-02","Per=Y","Days=T","Dir=V")</f>
        <v>0</v>
      </c>
      <c r="G2">
        <f>BDH("HQY US Equity","BS_ST_BORROW","1993-06-18","2026-05-02","Per=Y","Days=T","Dir=V")</f>
        <v>0</v>
      </c>
      <c r="I2">
        <f>BDH("HQY US Equity","BS_LT_BORROW","1993-06-18","2026-05-02","Per=Y","Days=T","Dir=V")</f>
        <v>0</v>
      </c>
      <c r="K2">
        <f>BDH("HQY US Equity","BS_CASH_NEAR_CASH_ITEM","1993-06-18","2026-05-02","Per=Y","Days=T","Dir=V")</f>
        <v>0</v>
      </c>
      <c r="M2">
        <f>BDH("HQY US Equity","BS_CUR_ASSET_REPORT","1993-06-18","2026-05-02","Per=Y","Days=T","Dir=V")</f>
        <v>0</v>
      </c>
      <c r="O2">
        <f>BDH("HQY US Equity","BS_CUR_LIAB","1993-06-18","2026-05-02","Per=Y","Days=T","Dir=V")</f>
        <v>0</v>
      </c>
      <c r="Q2">
        <f>BDH("HQY US Equity","BS_SHAREHOLDER_EQY_ENDING_PERIOD","1993-06-18","2026-05-02","Per=Y","Days=T","Dir=V")</f>
        <v>0</v>
      </c>
      <c r="S2">
        <f>BDH("HQY US Equity","BS_ACCT_NOTE_RCV","1993-06-18","2026-05-02","Per=Y","Days=T","Dir=V")</f>
        <v>0</v>
      </c>
      <c r="U2">
        <f>BDH("HQY US Equity","BS_INVENTORIES","1993-06-18","2026-05-02","Per=Y","Days=T","Dir=V")</f>
        <v>0</v>
      </c>
      <c r="W2">
        <f>BDH("HQY US Equity","WORKING_CAPITAL","1993-06-18","2026-05-02","Per=Y","Days=T","Dir=V")</f>
        <v>0</v>
      </c>
      <c r="Y2">
        <f>BDH("HQY US Equity","SALES_REV_TURN","1993-06-18","2026-05-02","Per=Y","Days=T","Dir=V")</f>
        <v>0</v>
      </c>
      <c r="AA2">
        <f>BDH("HQY US Equity","EBIT","1993-06-18","2026-05-02","Per=Y","Days=T","Dir=V")</f>
        <v>0</v>
      </c>
      <c r="AC2">
        <f>BDH("HQY US Equity","EBITDA","1993-06-18","2026-05-02","Per=Y","Days=T","Dir=V")</f>
        <v>0</v>
      </c>
      <c r="AE2">
        <f>BDH("HQY US Equity","NET_INCOME","1993-06-18","2026-05-02","Per=Y","Days=T","Dir=V")</f>
        <v>0</v>
      </c>
      <c r="AG2">
        <f>BDH("HQY US Equity","IS_INT_EXPENSE","1993-06-18","2026-05-02","Per=Y","Days=T","Dir=V")</f>
        <v>0</v>
      </c>
      <c r="AI2">
        <f>BDH("HQY US Equity","IS_DEPR_EXP","1993-06-18","2026-05-02","Per=Y","Days=T","Dir=V")</f>
        <v>0</v>
      </c>
      <c r="AK2">
        <f>BDH("HQY US Equity","CF_CASH_FROM_OPER","1993-06-18","2026-05-02","Per=Y","Days=T","Dir=V")</f>
        <v>0</v>
      </c>
      <c r="AM2">
        <f>BDH("HQY US Equity","CAPITAL_EXPEND","1993-06-18","2026-05-02","Per=Y","Days=T","Dir=V")</f>
        <v>0</v>
      </c>
      <c r="AO2">
        <f>BDH("HQY US Equity","CF_FREE_CASH_FLOW","1993-06-18","2026-05-02","Per=Y","Days=T","Dir=V")</f>
        <v>0</v>
      </c>
      <c r="AQ2">
        <f>BDH("HQY US Equity","PX_LAST","1993-06-18","2026-05-02","Per=M","Days=T","Dir=V")</f>
        <v>0</v>
      </c>
      <c r="AS2">
        <f>BDH("HQY US Equity","CUR_MKT_CAP","1993-06-18","2026-05-02","Per=M","Days=T","Dir=V")</f>
        <v>0</v>
      </c>
      <c r="AU2">
        <f>BDH("HQY US Equity","EQY_SH_OUT","1993-06-18","2026-05-02","Per=M","Days=T","Dir=V")</f>
        <v>0</v>
      </c>
      <c r="AW2">
        <f>BDH("HQY US Equity","PX_VOLUME","1993-06-18","2026-05-02","Per=M","Days=T","Dir=V")</f>
        <v>0</v>
      </c>
      <c r="AY2">
        <f>BDH("HQY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BDH("HRB US Equity","BS_TOT_ASSET","1993-06-18","2026-05-02","Per=Y","Days=T","Dir=V")</f>
        <v>0</v>
      </c>
      <c r="C2">
        <f>BDH("HRB US Equity","BS_TOT_LIAB2","1993-06-18","2026-05-02","Per=Y","Days=T","Dir=V")</f>
        <v>0</v>
      </c>
      <c r="E2">
        <f>BDH("HRB US Equity","SHORT_AND_LONG_TERM_DEBT","1993-06-18","2026-05-02","Per=Y","Days=T","Dir=V")</f>
        <v>0</v>
      </c>
      <c r="G2">
        <f>BDH("HRB US Equity","BS_ST_BORROW","1993-06-18","2026-05-02","Per=Y","Days=T","Dir=V")</f>
        <v>0</v>
      </c>
      <c r="I2">
        <f>BDH("HRB US Equity","BS_LT_BORROW","1993-06-18","2026-05-02","Per=Y","Days=T","Dir=V")</f>
        <v>0</v>
      </c>
      <c r="K2">
        <f>BDH("HRB US Equity","BS_CASH_NEAR_CASH_ITEM","1993-06-18","2026-05-02","Per=Y","Days=T","Dir=V")</f>
        <v>0</v>
      </c>
      <c r="M2">
        <f>BDH("HRB US Equity","BS_CUR_ASSET_REPORT","1993-06-18","2026-05-02","Per=Y","Days=T","Dir=V")</f>
        <v>0</v>
      </c>
      <c r="O2">
        <f>BDH("HRB US Equity","BS_CUR_LIAB","1993-06-18","2026-05-02","Per=Y","Days=T","Dir=V")</f>
        <v>0</v>
      </c>
      <c r="Q2">
        <f>BDH("HRB US Equity","BS_SHAREHOLDER_EQY_ENDING_PERIOD","1993-06-18","2026-05-02","Per=Y","Days=T","Dir=V")</f>
        <v>0</v>
      </c>
      <c r="S2">
        <f>BDH("HRB US Equity","BS_ACCT_NOTE_RCV","1993-06-18","2026-05-02","Per=Y","Days=T","Dir=V")</f>
        <v>0</v>
      </c>
      <c r="U2">
        <f>BDH("HRB US Equity","BS_INVENTORIES","1993-06-18","2026-05-02","Per=Y","Days=T","Dir=V")</f>
        <v>0</v>
      </c>
      <c r="W2">
        <f>BDH("HRB US Equity","WORKING_CAPITAL","1993-06-18","2026-05-02","Per=Y","Days=T","Dir=V")</f>
        <v>0</v>
      </c>
      <c r="Y2">
        <f>BDH("HRB US Equity","SALES_REV_TURN","1993-06-18","2026-05-02","Per=Y","Days=T","Dir=V")</f>
        <v>0</v>
      </c>
      <c r="AA2">
        <f>BDH("HRB US Equity","EBIT","1993-06-18","2026-05-02","Per=Y","Days=T","Dir=V")</f>
        <v>0</v>
      </c>
      <c r="AC2">
        <f>BDH("HRB US Equity","EBITDA","1993-06-18","2026-05-02","Per=Y","Days=T","Dir=V")</f>
        <v>0</v>
      </c>
      <c r="AE2">
        <f>BDH("HRB US Equity","NET_INCOME","1993-06-18","2026-05-02","Per=Y","Days=T","Dir=V")</f>
        <v>0</v>
      </c>
      <c r="AG2">
        <f>BDH("HRB US Equity","IS_INT_EXPENSE","1993-06-18","2026-05-02","Per=Y","Days=T","Dir=V")</f>
        <v>0</v>
      </c>
      <c r="AI2">
        <f>BDH("HRB US Equity","IS_DEPR_EXP","1993-06-18","2026-05-02","Per=Y","Days=T","Dir=V")</f>
        <v>0</v>
      </c>
      <c r="AK2">
        <f>BDH("HRB US Equity","CF_CASH_FROM_OPER","1993-06-18","2026-05-02","Per=Y","Days=T","Dir=V")</f>
        <v>0</v>
      </c>
      <c r="AM2">
        <f>BDH("HRB US Equity","CAPITAL_EXPEND","1993-06-18","2026-05-02","Per=Y","Days=T","Dir=V")</f>
        <v>0</v>
      </c>
      <c r="AO2">
        <f>BDH("HRB US Equity","CF_FREE_CASH_FLOW","1993-06-18","2026-05-02","Per=Y","Days=T","Dir=V")</f>
        <v>0</v>
      </c>
      <c r="AQ2">
        <f>BDH("HRB US Equity","PX_LAST","1993-06-18","2026-05-02","Per=M","Days=T","Dir=V")</f>
        <v>0</v>
      </c>
      <c r="AS2">
        <f>BDH("HRB US Equity","CUR_MKT_CAP","1993-06-18","2026-05-02","Per=M","Days=T","Dir=V")</f>
        <v>0</v>
      </c>
      <c r="AU2">
        <f>BDH("HRB US Equity","EQY_SH_OUT","1993-06-18","2026-05-02","Per=M","Days=T","Dir=V")</f>
        <v>0</v>
      </c>
      <c r="AW2">
        <f>BDH("HRB US Equity","PX_VOLUME","1993-06-18","2026-05-02","Per=M","Days=T","Dir=V")</f>
        <v>0</v>
      </c>
      <c r="AY2">
        <f>BDH("HRB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BDH("HRI US Equity","BS_TOT_ASSET","1993-06-18","2026-05-02","Per=Y","Days=T","Dir=V")</f>
        <v>0</v>
      </c>
      <c r="C2">
        <f>BDH("HRI US Equity","BS_TOT_LIAB2","1993-06-18","2026-05-02","Per=Y","Days=T","Dir=V")</f>
        <v>0</v>
      </c>
      <c r="E2">
        <f>BDH("HRI US Equity","SHORT_AND_LONG_TERM_DEBT","1993-06-18","2026-05-02","Per=Y","Days=T","Dir=V")</f>
        <v>0</v>
      </c>
      <c r="G2">
        <f>BDH("HRI US Equity","BS_ST_BORROW","1993-06-18","2026-05-02","Per=Y","Days=T","Dir=V")</f>
        <v>0</v>
      </c>
      <c r="I2">
        <f>BDH("HRI US Equity","BS_LT_BORROW","1993-06-18","2026-05-02","Per=Y","Days=T","Dir=V")</f>
        <v>0</v>
      </c>
      <c r="K2">
        <f>BDH("HRI US Equity","BS_CASH_NEAR_CASH_ITEM","1993-06-18","2026-05-02","Per=Y","Days=T","Dir=V")</f>
        <v>0</v>
      </c>
      <c r="M2">
        <f>BDH("HRI US Equity","BS_CUR_ASSET_REPORT","1993-06-18","2026-05-02","Per=Y","Days=T","Dir=V")</f>
        <v>0</v>
      </c>
      <c r="O2">
        <f>BDH("HRI US Equity","BS_CUR_LIAB","1993-06-18","2026-05-02","Per=Y","Days=T","Dir=V")</f>
        <v>0</v>
      </c>
      <c r="Q2">
        <f>BDH("HRI US Equity","BS_SHAREHOLDER_EQY_ENDING_PERIOD","1993-06-18","2026-05-02","Per=Y","Days=T","Dir=V")</f>
        <v>0</v>
      </c>
      <c r="S2">
        <f>BDH("HRI US Equity","BS_ACCT_NOTE_RCV","1993-06-18","2026-05-02","Per=Y","Days=T","Dir=V")</f>
        <v>0</v>
      </c>
      <c r="U2">
        <f>BDH("HRI US Equity","BS_INVENTORIES","1993-06-18","2026-05-02","Per=Y","Days=T","Dir=V")</f>
        <v>0</v>
      </c>
      <c r="W2">
        <f>BDH("HRI US Equity","WORKING_CAPITAL","1993-06-18","2026-05-02","Per=Y","Days=T","Dir=V")</f>
        <v>0</v>
      </c>
      <c r="Y2">
        <f>BDH("HRI US Equity","SALES_REV_TURN","1993-06-18","2026-05-02","Per=Y","Days=T","Dir=V")</f>
        <v>0</v>
      </c>
      <c r="AA2">
        <f>BDH("HRI US Equity","EBIT","1993-06-18","2026-05-02","Per=Y","Days=T","Dir=V")</f>
        <v>0</v>
      </c>
      <c r="AC2">
        <f>BDH("HRI US Equity","EBITDA","1993-06-18","2026-05-02","Per=Y","Days=T","Dir=V")</f>
        <v>0</v>
      </c>
      <c r="AE2">
        <f>BDH("HRI US Equity","NET_INCOME","1993-06-18","2026-05-02","Per=Y","Days=T","Dir=V")</f>
        <v>0</v>
      </c>
      <c r="AG2">
        <f>BDH("HRI US Equity","IS_INT_EXPENSE","1993-06-18","2026-05-02","Per=Y","Days=T","Dir=V")</f>
        <v>0</v>
      </c>
      <c r="AI2">
        <f>BDH("HRI US Equity","IS_DEPR_EXP","1993-06-18","2026-05-02","Per=Y","Days=T","Dir=V")</f>
        <v>0</v>
      </c>
      <c r="AK2">
        <f>BDH("HRI US Equity","CF_CASH_FROM_OPER","1993-06-18","2026-05-02","Per=Y","Days=T","Dir=V")</f>
        <v>0</v>
      </c>
      <c r="AM2">
        <f>BDH("HRI US Equity","CAPITAL_EXPEND","1993-06-18","2026-05-02","Per=Y","Days=T","Dir=V")</f>
        <v>0</v>
      </c>
      <c r="AO2">
        <f>BDH("HRI US Equity","CF_FREE_CASH_FLOW","1993-06-18","2026-05-02","Per=Y","Days=T","Dir=V")</f>
        <v>0</v>
      </c>
      <c r="AQ2">
        <f>BDH("HRI US Equity","PX_LAST","1993-06-18","2026-05-02","Per=M","Days=T","Dir=V")</f>
        <v>0</v>
      </c>
      <c r="AS2">
        <f>BDH("HRI US Equity","CUR_MKT_CAP","1993-06-18","2026-05-02","Per=M","Days=T","Dir=V")</f>
        <v>0</v>
      </c>
      <c r="AU2">
        <f>BDH("HRI US Equity","EQY_SH_OUT","1993-06-18","2026-05-02","Per=M","Days=T","Dir=V")</f>
        <v>0</v>
      </c>
      <c r="AW2">
        <f>BDH("HRI US Equity","PX_VOLUME","1993-06-18","2026-05-02","Per=M","Days=T","Dir=V")</f>
        <v>0</v>
      </c>
      <c r="AY2">
        <f>BDH("HRI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BDH("HRL US Equity","BS_TOT_ASSET","1993-06-18","2026-05-02","Per=Y","Days=T","Dir=V")</f>
        <v>0</v>
      </c>
      <c r="C2">
        <f>BDH("HRL US Equity","BS_TOT_LIAB2","1993-06-18","2026-05-02","Per=Y","Days=T","Dir=V")</f>
        <v>0</v>
      </c>
      <c r="E2">
        <f>BDH("HRL US Equity","SHORT_AND_LONG_TERM_DEBT","1993-06-18","2026-05-02","Per=Y","Days=T","Dir=V")</f>
        <v>0</v>
      </c>
      <c r="G2">
        <f>BDH("HRL US Equity","BS_ST_BORROW","1993-06-18","2026-05-02","Per=Y","Days=T","Dir=V")</f>
        <v>0</v>
      </c>
      <c r="I2">
        <f>BDH("HRL US Equity","BS_LT_BORROW","1993-06-18","2026-05-02","Per=Y","Days=T","Dir=V")</f>
        <v>0</v>
      </c>
      <c r="K2">
        <f>BDH("HRL US Equity","BS_CASH_NEAR_CASH_ITEM","1993-06-18","2026-05-02","Per=Y","Days=T","Dir=V")</f>
        <v>0</v>
      </c>
      <c r="M2">
        <f>BDH("HRL US Equity","BS_CUR_ASSET_REPORT","1993-06-18","2026-05-02","Per=Y","Days=T","Dir=V")</f>
        <v>0</v>
      </c>
      <c r="O2">
        <f>BDH("HRL US Equity","BS_CUR_LIAB","1993-06-18","2026-05-02","Per=Y","Days=T","Dir=V")</f>
        <v>0</v>
      </c>
      <c r="Q2">
        <f>BDH("HRL US Equity","BS_SHAREHOLDER_EQY_ENDING_PERIOD","1993-06-18","2026-05-02","Per=Y","Days=T","Dir=V")</f>
        <v>0</v>
      </c>
      <c r="S2">
        <f>BDH("HRL US Equity","BS_ACCT_NOTE_RCV","1993-06-18","2026-05-02","Per=Y","Days=T","Dir=V")</f>
        <v>0</v>
      </c>
      <c r="U2">
        <f>BDH("HRL US Equity","BS_INVENTORIES","1993-06-18","2026-05-02","Per=Y","Days=T","Dir=V")</f>
        <v>0</v>
      </c>
      <c r="W2">
        <f>BDH("HRL US Equity","WORKING_CAPITAL","1993-06-18","2026-05-02","Per=Y","Days=T","Dir=V")</f>
        <v>0</v>
      </c>
      <c r="Y2">
        <f>BDH("HRL US Equity","SALES_REV_TURN","1993-06-18","2026-05-02","Per=Y","Days=T","Dir=V")</f>
        <v>0</v>
      </c>
      <c r="AA2">
        <f>BDH("HRL US Equity","EBIT","1993-06-18","2026-05-02","Per=Y","Days=T","Dir=V")</f>
        <v>0</v>
      </c>
      <c r="AC2">
        <f>BDH("HRL US Equity","EBITDA","1993-06-18","2026-05-02","Per=Y","Days=T","Dir=V")</f>
        <v>0</v>
      </c>
      <c r="AE2">
        <f>BDH("HRL US Equity","NET_INCOME","1993-06-18","2026-05-02","Per=Y","Days=T","Dir=V")</f>
        <v>0</v>
      </c>
      <c r="AG2">
        <f>BDH("HRL US Equity","IS_INT_EXPENSE","1993-06-18","2026-05-02","Per=Y","Days=T","Dir=V")</f>
        <v>0</v>
      </c>
      <c r="AI2">
        <f>BDH("HRL US Equity","IS_DEPR_EXP","1993-06-18","2026-05-02","Per=Y","Days=T","Dir=V")</f>
        <v>0</v>
      </c>
      <c r="AK2">
        <f>BDH("HRL US Equity","CF_CASH_FROM_OPER","1993-06-18","2026-05-02","Per=Y","Days=T","Dir=V")</f>
        <v>0</v>
      </c>
      <c r="AM2">
        <f>BDH("HRL US Equity","CAPITAL_EXPEND","1993-06-18","2026-05-02","Per=Y","Days=T","Dir=V")</f>
        <v>0</v>
      </c>
      <c r="AO2">
        <f>BDH("HRL US Equity","CF_FREE_CASH_FLOW","1993-06-18","2026-05-02","Per=Y","Days=T","Dir=V")</f>
        <v>0</v>
      </c>
      <c r="AQ2">
        <f>BDH("HRL US Equity","PX_LAST","1993-06-18","2026-05-02","Per=M","Days=T","Dir=V")</f>
        <v>0</v>
      </c>
      <c r="AS2">
        <f>BDH("HRL US Equity","CUR_MKT_CAP","1993-06-18","2026-05-02","Per=M","Days=T","Dir=V")</f>
        <v>0</v>
      </c>
      <c r="AU2">
        <f>BDH("HRL US Equity","EQY_SH_OUT","1993-06-18","2026-05-02","Per=M","Days=T","Dir=V")</f>
        <v>0</v>
      </c>
      <c r="AW2">
        <f>BDH("HRL US Equity","PX_VOLUME","1993-06-18","2026-05-02","Per=M","Days=T","Dir=V")</f>
        <v>0</v>
      </c>
      <c r="AY2">
        <f>BDH("HRL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BDH("HRMY US Equity","BS_TOT_ASSET","1993-06-18","2026-05-02","Per=Y","Days=T","Dir=V")</f>
        <v>0</v>
      </c>
      <c r="C2">
        <f>BDH("HRMY US Equity","BS_TOT_LIAB2","1993-06-18","2026-05-02","Per=Y","Days=T","Dir=V")</f>
        <v>0</v>
      </c>
      <c r="E2">
        <f>BDH("HRMY US Equity","SHORT_AND_LONG_TERM_DEBT","1993-06-18","2026-05-02","Per=Y","Days=T","Dir=V")</f>
        <v>0</v>
      </c>
      <c r="G2">
        <f>BDH("HRMY US Equity","BS_ST_BORROW","1993-06-18","2026-05-02","Per=Y","Days=T","Dir=V")</f>
        <v>0</v>
      </c>
      <c r="I2">
        <f>BDH("HRMY US Equity","BS_LT_BORROW","1993-06-18","2026-05-02","Per=Y","Days=T","Dir=V")</f>
        <v>0</v>
      </c>
      <c r="K2">
        <f>BDH("HRMY US Equity","BS_CASH_NEAR_CASH_ITEM","1993-06-18","2026-05-02","Per=Y","Days=T","Dir=V")</f>
        <v>0</v>
      </c>
      <c r="M2">
        <f>BDH("HRMY US Equity","BS_CUR_ASSET_REPORT","1993-06-18","2026-05-02","Per=Y","Days=T","Dir=V")</f>
        <v>0</v>
      </c>
      <c r="O2">
        <f>BDH("HRMY US Equity","BS_CUR_LIAB","1993-06-18","2026-05-02","Per=Y","Days=T","Dir=V")</f>
        <v>0</v>
      </c>
      <c r="Q2">
        <f>BDH("HRMY US Equity","BS_SHAREHOLDER_EQY_ENDING_PERIOD","1993-06-18","2026-05-02","Per=Y","Days=T","Dir=V")</f>
        <v>0</v>
      </c>
      <c r="S2">
        <f>BDH("HRMY US Equity","BS_ACCT_NOTE_RCV","1993-06-18","2026-05-02","Per=Y","Days=T","Dir=V")</f>
        <v>0</v>
      </c>
      <c r="U2">
        <f>BDH("HRMY US Equity","BS_INVENTORIES","1993-06-18","2026-05-02","Per=Y","Days=T","Dir=V")</f>
        <v>0</v>
      </c>
      <c r="W2">
        <f>BDH("HRMY US Equity","WORKING_CAPITAL","1993-06-18","2026-05-02","Per=Y","Days=T","Dir=V")</f>
        <v>0</v>
      </c>
      <c r="Y2">
        <f>BDH("HRMY US Equity","SALES_REV_TURN","1993-06-18","2026-05-02","Per=Y","Days=T","Dir=V")</f>
        <v>0</v>
      </c>
      <c r="AA2">
        <f>BDH("HRMY US Equity","EBIT","1993-06-18","2026-05-02","Per=Y","Days=T","Dir=V")</f>
        <v>0</v>
      </c>
      <c r="AC2">
        <f>BDH("HRMY US Equity","EBITDA","1993-06-18","2026-05-02","Per=Y","Days=T","Dir=V")</f>
        <v>0</v>
      </c>
      <c r="AE2">
        <f>BDH("HRMY US Equity","NET_INCOME","1993-06-18","2026-05-02","Per=Y","Days=T","Dir=V")</f>
        <v>0</v>
      </c>
      <c r="AG2">
        <f>BDH("HRMY US Equity","IS_INT_EXPENSE","1993-06-18","2026-05-02","Per=Y","Days=T","Dir=V")</f>
        <v>0</v>
      </c>
      <c r="AI2">
        <f>BDH("HRMY US Equity","IS_DEPR_EXP","1993-06-18","2026-05-02","Per=Y","Days=T","Dir=V")</f>
        <v>0</v>
      </c>
      <c r="AK2">
        <f>BDH("HRMY US Equity","CF_CASH_FROM_OPER","1993-06-18","2026-05-02","Per=Y","Days=T","Dir=V")</f>
        <v>0</v>
      </c>
      <c r="AM2">
        <f>BDH("HRMY US Equity","CAPITAL_EXPEND","1993-06-18","2026-05-02","Per=Y","Days=T","Dir=V")</f>
        <v>0</v>
      </c>
      <c r="AO2">
        <f>BDH("HRMY US Equity","CF_FREE_CASH_FLOW","1993-06-18","2026-05-02","Per=Y","Days=T","Dir=V")</f>
        <v>0</v>
      </c>
      <c r="AQ2">
        <f>BDH("HRMY US Equity","PX_LAST","1993-06-18","2026-05-02","Per=M","Days=T","Dir=V")</f>
        <v>0</v>
      </c>
      <c r="AS2">
        <f>BDH("HRMY US Equity","CUR_MKT_CAP","1993-06-18","2026-05-02","Per=M","Days=T","Dir=V")</f>
        <v>0</v>
      </c>
      <c r="AU2">
        <f>BDH("HRMY US Equity","EQY_SH_OUT","1993-06-18","2026-05-02","Per=M","Days=T","Dir=V")</f>
        <v>0</v>
      </c>
      <c r="AW2">
        <f>BDH("HRMY US Equity","PX_VOLUME","1993-06-18","2026-05-02","Per=M","Days=T","Dir=V")</f>
        <v>0</v>
      </c>
      <c r="AY2">
        <f>BDH("HRMY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BDH("HROW US Equity","BS_TOT_ASSET","1993-06-18","2026-05-02","Per=Y","Days=T","Dir=V")</f>
        <v>0</v>
      </c>
      <c r="C2">
        <f>BDH("HROW US Equity","BS_TOT_LIAB2","1993-06-18","2026-05-02","Per=Y","Days=T","Dir=V")</f>
        <v>0</v>
      </c>
      <c r="E2">
        <f>BDH("HROW US Equity","SHORT_AND_LONG_TERM_DEBT","1993-06-18","2026-05-02","Per=Y","Days=T","Dir=V")</f>
        <v>0</v>
      </c>
      <c r="G2">
        <f>BDH("HROW US Equity","BS_ST_BORROW","1993-06-18","2026-05-02","Per=Y","Days=T","Dir=V")</f>
        <v>0</v>
      </c>
      <c r="I2">
        <f>BDH("HROW US Equity","BS_LT_BORROW","1993-06-18","2026-05-02","Per=Y","Days=T","Dir=V")</f>
        <v>0</v>
      </c>
      <c r="K2">
        <f>BDH("HROW US Equity","BS_CASH_NEAR_CASH_ITEM","1993-06-18","2026-05-02","Per=Y","Days=T","Dir=V")</f>
        <v>0</v>
      </c>
      <c r="M2">
        <f>BDH("HROW US Equity","BS_CUR_ASSET_REPORT","1993-06-18","2026-05-02","Per=Y","Days=T","Dir=V")</f>
        <v>0</v>
      </c>
      <c r="O2">
        <f>BDH("HROW US Equity","BS_CUR_LIAB","1993-06-18","2026-05-02","Per=Y","Days=T","Dir=V")</f>
        <v>0</v>
      </c>
      <c r="Q2">
        <f>BDH("HROW US Equity","BS_SHAREHOLDER_EQY_ENDING_PERIOD","1993-06-18","2026-05-02","Per=Y","Days=T","Dir=V")</f>
        <v>0</v>
      </c>
      <c r="S2">
        <f>BDH("HROW US Equity","BS_ACCT_NOTE_RCV","1993-06-18","2026-05-02","Per=Y","Days=T","Dir=V")</f>
        <v>0</v>
      </c>
      <c r="U2">
        <f>BDH("HROW US Equity","BS_INVENTORIES","1993-06-18","2026-05-02","Per=Y","Days=T","Dir=V")</f>
        <v>0</v>
      </c>
      <c r="W2">
        <f>BDH("HROW US Equity","WORKING_CAPITAL","1993-06-18","2026-05-02","Per=Y","Days=T","Dir=V")</f>
        <v>0</v>
      </c>
      <c r="Y2">
        <f>BDH("HROW US Equity","SALES_REV_TURN","1993-06-18","2026-05-02","Per=Y","Days=T","Dir=V")</f>
        <v>0</v>
      </c>
      <c r="AA2">
        <f>BDH("HROW US Equity","EBIT","1993-06-18","2026-05-02","Per=Y","Days=T","Dir=V")</f>
        <v>0</v>
      </c>
      <c r="AC2">
        <f>BDH("HROW US Equity","EBITDA","1993-06-18","2026-05-02","Per=Y","Days=T","Dir=V")</f>
        <v>0</v>
      </c>
      <c r="AE2">
        <f>BDH("HROW US Equity","NET_INCOME","1993-06-18","2026-05-02","Per=Y","Days=T","Dir=V")</f>
        <v>0</v>
      </c>
      <c r="AG2">
        <f>BDH("HROW US Equity","IS_INT_EXPENSE","1993-06-18","2026-05-02","Per=Y","Days=T","Dir=V")</f>
        <v>0</v>
      </c>
      <c r="AI2">
        <f>BDH("HROW US Equity","IS_DEPR_EXP","1993-06-18","2026-05-02","Per=Y","Days=T","Dir=V")</f>
        <v>0</v>
      </c>
      <c r="AK2">
        <f>BDH("HROW US Equity","CF_CASH_FROM_OPER","1993-06-18","2026-05-02","Per=Y","Days=T","Dir=V")</f>
        <v>0</v>
      </c>
      <c r="AM2">
        <f>BDH("HROW US Equity","CAPITAL_EXPEND","1993-06-18","2026-05-02","Per=Y","Days=T","Dir=V")</f>
        <v>0</v>
      </c>
      <c r="AO2">
        <f>BDH("HROW US Equity","CF_FREE_CASH_FLOW","1993-06-18","2026-05-02","Per=Y","Days=T","Dir=V")</f>
        <v>0</v>
      </c>
      <c r="AQ2">
        <f>BDH("HROW US Equity","PX_LAST","1993-06-18","2026-05-02","Per=M","Days=T","Dir=V")</f>
        <v>0</v>
      </c>
      <c r="AS2">
        <f>BDH("HROW US Equity","CUR_MKT_CAP","1993-06-18","2026-05-02","Per=M","Days=T","Dir=V")</f>
        <v>0</v>
      </c>
      <c r="AU2">
        <f>BDH("HROW US Equity","EQY_SH_OUT","1993-06-18","2026-05-02","Per=M","Days=T","Dir=V")</f>
        <v>0</v>
      </c>
      <c r="AW2">
        <f>BDH("HROW US Equity","PX_VOLUME","1993-06-18","2026-05-02","Per=M","Days=T","Dir=V")</f>
        <v>0</v>
      </c>
      <c r="AY2">
        <f>BDH("HROW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BDH("HRTX US Equity","BS_TOT_ASSET","1993-06-18","2026-05-02","Per=Y","Days=T","Dir=V")</f>
        <v>0</v>
      </c>
      <c r="C2">
        <f>BDH("HRTX US Equity","BS_TOT_LIAB2","1993-06-18","2026-05-02","Per=Y","Days=T","Dir=V")</f>
        <v>0</v>
      </c>
      <c r="E2">
        <f>BDH("HRTX US Equity","SHORT_AND_LONG_TERM_DEBT","1993-06-18","2026-05-02","Per=Y","Days=T","Dir=V")</f>
        <v>0</v>
      </c>
      <c r="G2">
        <f>BDH("HRTX US Equity","BS_ST_BORROW","1993-06-18","2026-05-02","Per=Y","Days=T","Dir=V")</f>
        <v>0</v>
      </c>
      <c r="I2">
        <f>BDH("HRTX US Equity","BS_LT_BORROW","1993-06-18","2026-05-02","Per=Y","Days=T","Dir=V")</f>
        <v>0</v>
      </c>
      <c r="K2">
        <f>BDH("HRTX US Equity","BS_CASH_NEAR_CASH_ITEM","1993-06-18","2026-05-02","Per=Y","Days=T","Dir=V")</f>
        <v>0</v>
      </c>
      <c r="M2">
        <f>BDH("HRTX US Equity","BS_CUR_ASSET_REPORT","1993-06-18","2026-05-02","Per=Y","Days=T","Dir=V")</f>
        <v>0</v>
      </c>
      <c r="O2">
        <f>BDH("HRTX US Equity","BS_CUR_LIAB","1993-06-18","2026-05-02","Per=Y","Days=T","Dir=V")</f>
        <v>0</v>
      </c>
      <c r="Q2">
        <f>BDH("HRTX US Equity","BS_SHAREHOLDER_EQY_ENDING_PERIOD","1993-06-18","2026-05-02","Per=Y","Days=T","Dir=V")</f>
        <v>0</v>
      </c>
      <c r="S2">
        <f>BDH("HRTX US Equity","BS_ACCT_NOTE_RCV","1993-06-18","2026-05-02","Per=Y","Days=T","Dir=V")</f>
        <v>0</v>
      </c>
      <c r="U2">
        <f>BDH("HRTX US Equity","BS_INVENTORIES","1993-06-18","2026-05-02","Per=Y","Days=T","Dir=V")</f>
        <v>0</v>
      </c>
      <c r="W2">
        <f>BDH("HRTX US Equity","WORKING_CAPITAL","1993-06-18","2026-05-02","Per=Y","Days=T","Dir=V")</f>
        <v>0</v>
      </c>
      <c r="Y2">
        <f>BDH("HRTX US Equity","SALES_REV_TURN","1993-06-18","2026-05-02","Per=Y","Days=T","Dir=V")</f>
        <v>0</v>
      </c>
      <c r="AA2">
        <f>BDH("HRTX US Equity","EBIT","1993-06-18","2026-05-02","Per=Y","Days=T","Dir=V")</f>
        <v>0</v>
      </c>
      <c r="AC2">
        <f>BDH("HRTX US Equity","EBITDA","1993-06-18","2026-05-02","Per=Y","Days=T","Dir=V")</f>
        <v>0</v>
      </c>
      <c r="AE2">
        <f>BDH("HRTX US Equity","NET_INCOME","1993-06-18","2026-05-02","Per=Y","Days=T","Dir=V")</f>
        <v>0</v>
      </c>
      <c r="AG2">
        <f>BDH("HRTX US Equity","IS_INT_EXPENSE","1993-06-18","2026-05-02","Per=Y","Days=T","Dir=V")</f>
        <v>0</v>
      </c>
      <c r="AI2">
        <f>BDH("HRTX US Equity","IS_DEPR_EXP","1993-06-18","2026-05-02","Per=Y","Days=T","Dir=V")</f>
        <v>0</v>
      </c>
      <c r="AK2">
        <f>BDH("HRTX US Equity","CF_CASH_FROM_OPER","1993-06-18","2026-05-02","Per=Y","Days=T","Dir=V")</f>
        <v>0</v>
      </c>
      <c r="AM2">
        <f>BDH("HRTX US Equity","CAPITAL_EXPEND","1993-06-18","2026-05-02","Per=Y","Days=T","Dir=V")</f>
        <v>0</v>
      </c>
      <c r="AO2">
        <f>BDH("HRTX US Equity","CF_FREE_CASH_FLOW","1993-06-18","2026-05-02","Per=Y","Days=T","Dir=V")</f>
        <v>0</v>
      </c>
      <c r="AQ2">
        <f>BDH("HRTX US Equity","PX_LAST","1993-06-18","2026-05-02","Per=M","Days=T","Dir=V")</f>
        <v>0</v>
      </c>
      <c r="AS2">
        <f>BDH("HRTX US Equity","CUR_MKT_CAP","1993-06-18","2026-05-02","Per=M","Days=T","Dir=V")</f>
        <v>0</v>
      </c>
      <c r="AU2">
        <f>BDH("HRTX US Equity","EQY_SH_OUT","1993-06-18","2026-05-02","Per=M","Days=T","Dir=V")</f>
        <v>0</v>
      </c>
      <c r="AW2">
        <f>BDH("HRTX US Equity","PX_VOLUME","1993-06-18","2026-05-02","Per=M","Days=T","Dir=V")</f>
        <v>0</v>
      </c>
      <c r="AY2">
        <f>BDH("HRTX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BDH("HSCS US Equity","BS_TOT_ASSET","1993-06-18","2026-05-02","Per=Y","Days=T","Dir=V")</f>
        <v>0</v>
      </c>
      <c r="C2">
        <f>BDH("HSCS US Equity","BS_TOT_LIAB2","1993-06-18","2026-05-02","Per=Y","Days=T","Dir=V")</f>
        <v>0</v>
      </c>
      <c r="E2">
        <f>BDH("HSCS US Equity","SHORT_AND_LONG_TERM_DEBT","1993-06-18","2026-05-02","Per=Y","Days=T","Dir=V")</f>
        <v>0</v>
      </c>
      <c r="G2">
        <f>BDH("HSCS US Equity","BS_ST_BORROW","1993-06-18","2026-05-02","Per=Y","Days=T","Dir=V")</f>
        <v>0</v>
      </c>
      <c r="I2">
        <f>BDH("HSCS US Equity","BS_LT_BORROW","1993-06-18","2026-05-02","Per=Y","Days=T","Dir=V")</f>
        <v>0</v>
      </c>
      <c r="K2">
        <f>BDH("HSCS US Equity","BS_CASH_NEAR_CASH_ITEM","1993-06-18","2026-05-02","Per=Y","Days=T","Dir=V")</f>
        <v>0</v>
      </c>
      <c r="M2">
        <f>BDH("HSCS US Equity","BS_CUR_ASSET_REPORT","1993-06-18","2026-05-02","Per=Y","Days=T","Dir=V")</f>
        <v>0</v>
      </c>
      <c r="O2">
        <f>BDH("HSCS US Equity","BS_CUR_LIAB","1993-06-18","2026-05-02","Per=Y","Days=T","Dir=V")</f>
        <v>0</v>
      </c>
      <c r="Q2">
        <f>BDH("HSCS US Equity","BS_SHAREHOLDER_EQY_ENDING_PERIOD","1993-06-18","2026-05-02","Per=Y","Days=T","Dir=V")</f>
        <v>0</v>
      </c>
      <c r="S2">
        <f>BDH("HSCS US Equity","BS_ACCT_NOTE_RCV","1993-06-18","2026-05-02","Per=Y","Days=T","Dir=V")</f>
        <v>0</v>
      </c>
      <c r="U2">
        <f>BDH("HSCS US Equity","BS_INVENTORIES","1993-06-18","2026-05-02","Per=Y","Days=T","Dir=V")</f>
        <v>0</v>
      </c>
      <c r="W2">
        <f>BDH("HSCS US Equity","WORKING_CAPITAL","1993-06-18","2026-05-02","Per=Y","Days=T","Dir=V")</f>
        <v>0</v>
      </c>
      <c r="Y2">
        <f>BDH("HSCS US Equity","SALES_REV_TURN","1993-06-18","2026-05-02","Per=Y","Days=T","Dir=V")</f>
        <v>0</v>
      </c>
      <c r="AA2">
        <f>BDH("HSCS US Equity","EBIT","1993-06-18","2026-05-02","Per=Y","Days=T","Dir=V")</f>
        <v>0</v>
      </c>
      <c r="AC2">
        <f>BDH("HSCS US Equity","EBITDA","1993-06-18","2026-05-02","Per=Y","Days=T","Dir=V")</f>
        <v>0</v>
      </c>
      <c r="AE2">
        <f>BDH("HSCS US Equity","NET_INCOME","1993-06-18","2026-05-02","Per=Y","Days=T","Dir=V")</f>
        <v>0</v>
      </c>
      <c r="AG2">
        <f>BDH("HSCS US Equity","IS_INT_EXPENSE","1993-06-18","2026-05-02","Per=Y","Days=T","Dir=V")</f>
        <v>0</v>
      </c>
      <c r="AI2">
        <f>BDH("HSCS US Equity","IS_DEPR_EXP","1993-06-18","2026-05-02","Per=Y","Days=T","Dir=V")</f>
        <v>0</v>
      </c>
      <c r="AK2">
        <f>BDH("HSCS US Equity","CF_CASH_FROM_OPER","1993-06-18","2026-05-02","Per=Y","Days=T","Dir=V")</f>
        <v>0</v>
      </c>
      <c r="AM2">
        <f>BDH("HSCS US Equity","CAPITAL_EXPEND","1993-06-18","2026-05-02","Per=Y","Days=T","Dir=V")</f>
        <v>0</v>
      </c>
      <c r="AO2">
        <f>BDH("HSCS US Equity","CF_FREE_CASH_FLOW","1993-06-18","2026-05-02","Per=Y","Days=T","Dir=V")</f>
        <v>0</v>
      </c>
      <c r="AQ2">
        <f>BDH("HSCS US Equity","PX_LAST","1993-06-18","2026-05-02","Per=M","Days=T","Dir=V")</f>
        <v>0</v>
      </c>
      <c r="AS2">
        <f>BDH("HSCS US Equity","CUR_MKT_CAP","1993-06-18","2026-05-02","Per=M","Days=T","Dir=V")</f>
        <v>0</v>
      </c>
      <c r="AU2">
        <f>BDH("HSCS US Equity","EQY_SH_OUT","1993-06-18","2026-05-02","Per=M","Days=T","Dir=V")</f>
        <v>0</v>
      </c>
      <c r="AW2">
        <f>BDH("HSCS US Equity","PX_VOLUME","1993-06-18","2026-05-02","Per=M","Days=T","Dir=V")</f>
        <v>0</v>
      </c>
      <c r="AY2">
        <f>BDH("HSCS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BDH("HSCSW US Equity","BS_TOT_ASSET","1993-06-18","2026-05-02","Per=Y","Days=T","Dir=V")</f>
        <v>0</v>
      </c>
      <c r="C2">
        <f>BDH("HSCSW US Equity","BS_TOT_LIAB2","1993-06-18","2026-05-02","Per=Y","Days=T","Dir=V")</f>
        <v>0</v>
      </c>
      <c r="E2">
        <f>BDH("HSCSW US Equity","SHORT_AND_LONG_TERM_DEBT","1993-06-18","2026-05-02","Per=Y","Days=T","Dir=V")</f>
        <v>0</v>
      </c>
      <c r="G2">
        <f>BDH("HSCSW US Equity","BS_ST_BORROW","1993-06-18","2026-05-02","Per=Y","Days=T","Dir=V")</f>
        <v>0</v>
      </c>
      <c r="I2">
        <f>BDH("HSCSW US Equity","BS_LT_BORROW","1993-06-18","2026-05-02","Per=Y","Days=T","Dir=V")</f>
        <v>0</v>
      </c>
      <c r="K2">
        <f>BDH("HSCSW US Equity","BS_CASH_NEAR_CASH_ITEM","1993-06-18","2026-05-02","Per=Y","Days=T","Dir=V")</f>
        <v>0</v>
      </c>
      <c r="M2">
        <f>BDH("HSCSW US Equity","BS_CUR_ASSET_REPORT","1993-06-18","2026-05-02","Per=Y","Days=T","Dir=V")</f>
        <v>0</v>
      </c>
      <c r="O2">
        <f>BDH("HSCSW US Equity","BS_CUR_LIAB","1993-06-18","2026-05-02","Per=Y","Days=T","Dir=V")</f>
        <v>0</v>
      </c>
      <c r="Q2">
        <f>BDH("HSCSW US Equity","BS_SHAREHOLDER_EQY_ENDING_PERIOD","1993-06-18","2026-05-02","Per=Y","Days=T","Dir=V")</f>
        <v>0</v>
      </c>
      <c r="S2">
        <f>BDH("HSCSW US Equity","BS_ACCT_NOTE_RCV","1993-06-18","2026-05-02","Per=Y","Days=T","Dir=V")</f>
        <v>0</v>
      </c>
      <c r="U2">
        <f>BDH("HSCSW US Equity","BS_INVENTORIES","1993-06-18","2026-05-02","Per=Y","Days=T","Dir=V")</f>
        <v>0</v>
      </c>
      <c r="W2">
        <f>BDH("HSCSW US Equity","WORKING_CAPITAL","1993-06-18","2026-05-02","Per=Y","Days=T","Dir=V")</f>
        <v>0</v>
      </c>
      <c r="Y2">
        <f>BDH("HSCSW US Equity","SALES_REV_TURN","1993-06-18","2026-05-02","Per=Y","Days=T","Dir=V")</f>
        <v>0</v>
      </c>
      <c r="AA2">
        <f>BDH("HSCSW US Equity","EBIT","1993-06-18","2026-05-02","Per=Y","Days=T","Dir=V")</f>
        <v>0</v>
      </c>
      <c r="AC2">
        <f>BDH("HSCSW US Equity","EBITDA","1993-06-18","2026-05-02","Per=Y","Days=T","Dir=V")</f>
        <v>0</v>
      </c>
      <c r="AE2">
        <f>BDH("HSCSW US Equity","NET_INCOME","1993-06-18","2026-05-02","Per=Y","Days=T","Dir=V")</f>
        <v>0</v>
      </c>
      <c r="AG2">
        <f>BDH("HSCSW US Equity","IS_INT_EXPENSE","1993-06-18","2026-05-02","Per=Y","Days=T","Dir=V")</f>
        <v>0</v>
      </c>
      <c r="AI2">
        <f>BDH("HSCSW US Equity","IS_DEPR_EXP","1993-06-18","2026-05-02","Per=Y","Days=T","Dir=V")</f>
        <v>0</v>
      </c>
      <c r="AK2">
        <f>BDH("HSCSW US Equity","CF_CASH_FROM_OPER","1993-06-18","2026-05-02","Per=Y","Days=T","Dir=V")</f>
        <v>0</v>
      </c>
      <c r="AM2">
        <f>BDH("HSCSW US Equity","CAPITAL_EXPEND","1993-06-18","2026-05-02","Per=Y","Days=T","Dir=V")</f>
        <v>0</v>
      </c>
      <c r="AO2">
        <f>BDH("HSCSW US Equity","CF_FREE_CASH_FLOW","1993-06-18","2026-05-02","Per=Y","Days=T","Dir=V")</f>
        <v>0</v>
      </c>
      <c r="AQ2">
        <f>BDH("HSCSW US Equity","PX_LAST","1993-06-18","2026-05-02","Per=M","Days=T","Dir=V")</f>
        <v>0</v>
      </c>
      <c r="AS2">
        <f>BDH("HSCSW US Equity","CUR_MKT_CAP","1993-06-18","2026-05-02","Per=M","Days=T","Dir=V")</f>
        <v>0</v>
      </c>
      <c r="AU2">
        <f>BDH("HSCSW US Equity","EQY_SH_OUT","1993-06-18","2026-05-02","Per=M","Days=T","Dir=V")</f>
        <v>0</v>
      </c>
      <c r="AW2">
        <f>BDH("HSCSW US Equity","PX_VOLUME","1993-06-18","2026-05-02","Per=M","Days=T","Dir=V")</f>
        <v>0</v>
      </c>
      <c r="AY2">
        <f>BDH("HSCSW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BDH("HSDT US Equity","BS_TOT_ASSET","1993-06-18","2026-05-02","Per=Y","Days=T","Dir=V")</f>
        <v>0</v>
      </c>
      <c r="C2">
        <f>BDH("HSDT US Equity","BS_TOT_LIAB2","1993-06-18","2026-05-02","Per=Y","Days=T","Dir=V")</f>
        <v>0</v>
      </c>
      <c r="E2">
        <f>BDH("HSDT US Equity","SHORT_AND_LONG_TERM_DEBT","1993-06-18","2026-05-02","Per=Y","Days=T","Dir=V")</f>
        <v>0</v>
      </c>
      <c r="G2">
        <f>BDH("HSDT US Equity","BS_ST_BORROW","1993-06-18","2026-05-02","Per=Y","Days=T","Dir=V")</f>
        <v>0</v>
      </c>
      <c r="I2">
        <f>BDH("HSDT US Equity","BS_LT_BORROW","1993-06-18","2026-05-02","Per=Y","Days=T","Dir=V")</f>
        <v>0</v>
      </c>
      <c r="K2">
        <f>BDH("HSDT US Equity","BS_CASH_NEAR_CASH_ITEM","1993-06-18","2026-05-02","Per=Y","Days=T","Dir=V")</f>
        <v>0</v>
      </c>
      <c r="M2">
        <f>BDH("HSDT US Equity","BS_CUR_ASSET_REPORT","1993-06-18","2026-05-02","Per=Y","Days=T","Dir=V")</f>
        <v>0</v>
      </c>
      <c r="O2">
        <f>BDH("HSDT US Equity","BS_CUR_LIAB","1993-06-18","2026-05-02","Per=Y","Days=T","Dir=V")</f>
        <v>0</v>
      </c>
      <c r="Q2">
        <f>BDH("HSDT US Equity","BS_SHAREHOLDER_EQY_ENDING_PERIOD","1993-06-18","2026-05-02","Per=Y","Days=T","Dir=V")</f>
        <v>0</v>
      </c>
      <c r="S2">
        <f>BDH("HSDT US Equity","BS_ACCT_NOTE_RCV","1993-06-18","2026-05-02","Per=Y","Days=T","Dir=V")</f>
        <v>0</v>
      </c>
      <c r="U2">
        <f>BDH("HSDT US Equity","BS_INVENTORIES","1993-06-18","2026-05-02","Per=Y","Days=T","Dir=V")</f>
        <v>0</v>
      </c>
      <c r="W2">
        <f>BDH("HSDT US Equity","WORKING_CAPITAL","1993-06-18","2026-05-02","Per=Y","Days=T","Dir=V")</f>
        <v>0</v>
      </c>
      <c r="Y2">
        <f>BDH("HSDT US Equity","SALES_REV_TURN","1993-06-18","2026-05-02","Per=Y","Days=T","Dir=V")</f>
        <v>0</v>
      </c>
      <c r="AA2">
        <f>BDH("HSDT US Equity","EBIT","1993-06-18","2026-05-02","Per=Y","Days=T","Dir=V")</f>
        <v>0</v>
      </c>
      <c r="AC2">
        <f>BDH("HSDT US Equity","EBITDA","1993-06-18","2026-05-02","Per=Y","Days=T","Dir=V")</f>
        <v>0</v>
      </c>
      <c r="AE2">
        <f>BDH("HSDT US Equity","NET_INCOME","1993-06-18","2026-05-02","Per=Y","Days=T","Dir=V")</f>
        <v>0</v>
      </c>
      <c r="AG2">
        <f>BDH("HSDT US Equity","IS_INT_EXPENSE","1993-06-18","2026-05-02","Per=Y","Days=T","Dir=V")</f>
        <v>0</v>
      </c>
      <c r="AI2">
        <f>BDH("HSDT US Equity","IS_DEPR_EXP","1993-06-18","2026-05-02","Per=Y","Days=T","Dir=V")</f>
        <v>0</v>
      </c>
      <c r="AK2">
        <f>BDH("HSDT US Equity","CF_CASH_FROM_OPER","1993-06-18","2026-05-02","Per=Y","Days=T","Dir=V")</f>
        <v>0</v>
      </c>
      <c r="AM2">
        <f>BDH("HSDT US Equity","CAPITAL_EXPEND","1993-06-18","2026-05-02","Per=Y","Days=T","Dir=V")</f>
        <v>0</v>
      </c>
      <c r="AO2">
        <f>BDH("HSDT US Equity","CF_FREE_CASH_FLOW","1993-06-18","2026-05-02","Per=Y","Days=T","Dir=V")</f>
        <v>0</v>
      </c>
      <c r="AQ2">
        <f>BDH("HSDT US Equity","PX_LAST","1993-06-18","2026-05-02","Per=M","Days=T","Dir=V")</f>
        <v>0</v>
      </c>
      <c r="AS2">
        <f>BDH("HSDT US Equity","CUR_MKT_CAP","1993-06-18","2026-05-02","Per=M","Days=T","Dir=V")</f>
        <v>0</v>
      </c>
      <c r="AU2">
        <f>BDH("HSDT US Equity","EQY_SH_OUT","1993-06-18","2026-05-02","Per=M","Days=T","Dir=V")</f>
        <v>0</v>
      </c>
      <c r="AW2">
        <f>BDH("HSDT US Equity","PX_VOLUME","1993-06-18","2026-05-02","Per=M","Days=T","Dir=V")</f>
        <v>0</v>
      </c>
      <c r="AY2">
        <f>BDH("HSDT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BDH("HSIC US Equity","BS_TOT_ASSET","1993-06-18","2026-05-02","Per=Y","Days=T","Dir=V")</f>
        <v>0</v>
      </c>
      <c r="C2">
        <f>BDH("HSIC US Equity","BS_TOT_LIAB2","1993-06-18","2026-05-02","Per=Y","Days=T","Dir=V")</f>
        <v>0</v>
      </c>
      <c r="E2">
        <f>BDH("HSIC US Equity","SHORT_AND_LONG_TERM_DEBT","1993-06-18","2026-05-02","Per=Y","Days=T","Dir=V")</f>
        <v>0</v>
      </c>
      <c r="G2">
        <f>BDH("HSIC US Equity","BS_ST_BORROW","1993-06-18","2026-05-02","Per=Y","Days=T","Dir=V")</f>
        <v>0</v>
      </c>
      <c r="I2">
        <f>BDH("HSIC US Equity","BS_LT_BORROW","1993-06-18","2026-05-02","Per=Y","Days=T","Dir=V")</f>
        <v>0</v>
      </c>
      <c r="K2">
        <f>BDH("HSIC US Equity","BS_CASH_NEAR_CASH_ITEM","1993-06-18","2026-05-02","Per=Y","Days=T","Dir=V")</f>
        <v>0</v>
      </c>
      <c r="M2">
        <f>BDH("HSIC US Equity","BS_CUR_ASSET_REPORT","1993-06-18","2026-05-02","Per=Y","Days=T","Dir=V")</f>
        <v>0</v>
      </c>
      <c r="O2">
        <f>BDH("HSIC US Equity","BS_CUR_LIAB","1993-06-18","2026-05-02","Per=Y","Days=T","Dir=V")</f>
        <v>0</v>
      </c>
      <c r="Q2">
        <f>BDH("HSIC US Equity","BS_SHAREHOLDER_EQY_ENDING_PERIOD","1993-06-18","2026-05-02","Per=Y","Days=T","Dir=V")</f>
        <v>0</v>
      </c>
      <c r="S2">
        <f>BDH("HSIC US Equity","BS_ACCT_NOTE_RCV","1993-06-18","2026-05-02","Per=Y","Days=T","Dir=V")</f>
        <v>0</v>
      </c>
      <c r="U2">
        <f>BDH("HSIC US Equity","BS_INVENTORIES","1993-06-18","2026-05-02","Per=Y","Days=T","Dir=V")</f>
        <v>0</v>
      </c>
      <c r="W2">
        <f>BDH("HSIC US Equity","WORKING_CAPITAL","1993-06-18","2026-05-02","Per=Y","Days=T","Dir=V")</f>
        <v>0</v>
      </c>
      <c r="Y2">
        <f>BDH("HSIC US Equity","SALES_REV_TURN","1993-06-18","2026-05-02","Per=Y","Days=T","Dir=V")</f>
        <v>0</v>
      </c>
      <c r="AA2">
        <f>BDH("HSIC US Equity","EBIT","1993-06-18","2026-05-02","Per=Y","Days=T","Dir=V")</f>
        <v>0</v>
      </c>
      <c r="AC2">
        <f>BDH("HSIC US Equity","EBITDA","1993-06-18","2026-05-02","Per=Y","Days=T","Dir=V")</f>
        <v>0</v>
      </c>
      <c r="AE2">
        <f>BDH("HSIC US Equity","NET_INCOME","1993-06-18","2026-05-02","Per=Y","Days=T","Dir=V")</f>
        <v>0</v>
      </c>
      <c r="AG2">
        <f>BDH("HSIC US Equity","IS_INT_EXPENSE","1993-06-18","2026-05-02","Per=Y","Days=T","Dir=V")</f>
        <v>0</v>
      </c>
      <c r="AI2">
        <f>BDH("HSIC US Equity","IS_DEPR_EXP","1993-06-18","2026-05-02","Per=Y","Days=T","Dir=V")</f>
        <v>0</v>
      </c>
      <c r="AK2">
        <f>BDH("HSIC US Equity","CF_CASH_FROM_OPER","1993-06-18","2026-05-02","Per=Y","Days=T","Dir=V")</f>
        <v>0</v>
      </c>
      <c r="AM2">
        <f>BDH("HSIC US Equity","CAPITAL_EXPEND","1993-06-18","2026-05-02","Per=Y","Days=T","Dir=V")</f>
        <v>0</v>
      </c>
      <c r="AO2">
        <f>BDH("HSIC US Equity","CF_FREE_CASH_FLOW","1993-06-18","2026-05-02","Per=Y","Days=T","Dir=V")</f>
        <v>0</v>
      </c>
      <c r="AQ2">
        <f>BDH("HSIC US Equity","PX_LAST","1993-06-18","2026-05-02","Per=M","Days=T","Dir=V")</f>
        <v>0</v>
      </c>
      <c r="AS2">
        <f>BDH("HSIC US Equity","CUR_MKT_CAP","1993-06-18","2026-05-02","Per=M","Days=T","Dir=V")</f>
        <v>0</v>
      </c>
      <c r="AU2">
        <f>BDH("HSIC US Equity","EQY_SH_OUT","1993-06-18","2026-05-02","Per=M","Days=T","Dir=V")</f>
        <v>0</v>
      </c>
      <c r="AW2">
        <f>BDH("HSIC US Equity","PX_VOLUME","1993-06-18","2026-05-02","Per=M","Days=T","Dir=V")</f>
        <v>0</v>
      </c>
      <c r="AY2">
        <f>BDH("HSIC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BDH("HSTM US Equity","BS_TOT_ASSET","1993-06-18","2026-05-02","Per=Y","Days=T","Dir=V")</f>
        <v>0</v>
      </c>
      <c r="C2">
        <f>BDH("HSTM US Equity","BS_TOT_LIAB2","1993-06-18","2026-05-02","Per=Y","Days=T","Dir=V")</f>
        <v>0</v>
      </c>
      <c r="E2">
        <f>BDH("HSTM US Equity","SHORT_AND_LONG_TERM_DEBT","1993-06-18","2026-05-02","Per=Y","Days=T","Dir=V")</f>
        <v>0</v>
      </c>
      <c r="G2">
        <f>BDH("HSTM US Equity","BS_ST_BORROW","1993-06-18","2026-05-02","Per=Y","Days=T","Dir=V")</f>
        <v>0</v>
      </c>
      <c r="I2">
        <f>BDH("HSTM US Equity","BS_LT_BORROW","1993-06-18","2026-05-02","Per=Y","Days=T","Dir=V")</f>
        <v>0</v>
      </c>
      <c r="K2">
        <f>BDH("HSTM US Equity","BS_CASH_NEAR_CASH_ITEM","1993-06-18","2026-05-02","Per=Y","Days=T","Dir=V")</f>
        <v>0</v>
      </c>
      <c r="M2">
        <f>BDH("HSTM US Equity","BS_CUR_ASSET_REPORT","1993-06-18","2026-05-02","Per=Y","Days=T","Dir=V")</f>
        <v>0</v>
      </c>
      <c r="O2">
        <f>BDH("HSTM US Equity","BS_CUR_LIAB","1993-06-18","2026-05-02","Per=Y","Days=T","Dir=V")</f>
        <v>0</v>
      </c>
      <c r="Q2">
        <f>BDH("HSTM US Equity","BS_SHAREHOLDER_EQY_ENDING_PERIOD","1993-06-18","2026-05-02","Per=Y","Days=T","Dir=V")</f>
        <v>0</v>
      </c>
      <c r="S2">
        <f>BDH("HSTM US Equity","BS_ACCT_NOTE_RCV","1993-06-18","2026-05-02","Per=Y","Days=T","Dir=V")</f>
        <v>0</v>
      </c>
      <c r="U2">
        <f>BDH("HSTM US Equity","BS_INVENTORIES","1993-06-18","2026-05-02","Per=Y","Days=T","Dir=V")</f>
        <v>0</v>
      </c>
      <c r="W2">
        <f>BDH("HSTM US Equity","WORKING_CAPITAL","1993-06-18","2026-05-02","Per=Y","Days=T","Dir=V")</f>
        <v>0</v>
      </c>
      <c r="Y2">
        <f>BDH("HSTM US Equity","SALES_REV_TURN","1993-06-18","2026-05-02","Per=Y","Days=T","Dir=V")</f>
        <v>0</v>
      </c>
      <c r="AA2">
        <f>BDH("HSTM US Equity","EBIT","1993-06-18","2026-05-02","Per=Y","Days=T","Dir=V")</f>
        <v>0</v>
      </c>
      <c r="AC2">
        <f>BDH("HSTM US Equity","EBITDA","1993-06-18","2026-05-02","Per=Y","Days=T","Dir=V")</f>
        <v>0</v>
      </c>
      <c r="AE2">
        <f>BDH("HSTM US Equity","NET_INCOME","1993-06-18","2026-05-02","Per=Y","Days=T","Dir=V")</f>
        <v>0</v>
      </c>
      <c r="AG2">
        <f>BDH("HSTM US Equity","IS_INT_EXPENSE","1993-06-18","2026-05-02","Per=Y","Days=T","Dir=V")</f>
        <v>0</v>
      </c>
      <c r="AI2">
        <f>BDH("HSTM US Equity","IS_DEPR_EXP","1993-06-18","2026-05-02","Per=Y","Days=T","Dir=V")</f>
        <v>0</v>
      </c>
      <c r="AK2">
        <f>BDH("HSTM US Equity","CF_CASH_FROM_OPER","1993-06-18","2026-05-02","Per=Y","Days=T","Dir=V")</f>
        <v>0</v>
      </c>
      <c r="AM2">
        <f>BDH("HSTM US Equity","CAPITAL_EXPEND","1993-06-18","2026-05-02","Per=Y","Days=T","Dir=V")</f>
        <v>0</v>
      </c>
      <c r="AO2">
        <f>BDH("HSTM US Equity","CF_FREE_CASH_FLOW","1993-06-18","2026-05-02","Per=Y","Days=T","Dir=V")</f>
        <v>0</v>
      </c>
      <c r="AQ2">
        <f>BDH("HSTM US Equity","PX_LAST","1993-06-18","2026-05-02","Per=M","Days=T","Dir=V")</f>
        <v>0</v>
      </c>
      <c r="AS2">
        <f>BDH("HSTM US Equity","CUR_MKT_CAP","1993-06-18","2026-05-02","Per=M","Days=T","Dir=V")</f>
        <v>0</v>
      </c>
      <c r="AU2">
        <f>BDH("HSTM US Equity","EQY_SH_OUT","1993-06-18","2026-05-02","Per=M","Days=T","Dir=V")</f>
        <v>0</v>
      </c>
      <c r="AW2">
        <f>BDH("HSTM US Equity","PX_VOLUME","1993-06-18","2026-05-02","Per=M","Days=T","Dir=V")</f>
        <v>0</v>
      </c>
      <c r="AY2">
        <f>BDH("HSTM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BDH("HSY US Equity","BS_TOT_ASSET","1993-06-18","2026-05-02","Per=Y","Days=T","Dir=V")</f>
        <v>0</v>
      </c>
      <c r="C2">
        <f>BDH("HSY US Equity","BS_TOT_LIAB2","1993-06-18","2026-05-02","Per=Y","Days=T","Dir=V")</f>
        <v>0</v>
      </c>
      <c r="E2">
        <f>BDH("HSY US Equity","SHORT_AND_LONG_TERM_DEBT","1993-06-18","2026-05-02","Per=Y","Days=T","Dir=V")</f>
        <v>0</v>
      </c>
      <c r="G2">
        <f>BDH("HSY US Equity","BS_ST_BORROW","1993-06-18","2026-05-02","Per=Y","Days=T","Dir=V")</f>
        <v>0</v>
      </c>
      <c r="I2">
        <f>BDH("HSY US Equity","BS_LT_BORROW","1993-06-18","2026-05-02","Per=Y","Days=T","Dir=V")</f>
        <v>0</v>
      </c>
      <c r="K2">
        <f>BDH("HSY US Equity","BS_CASH_NEAR_CASH_ITEM","1993-06-18","2026-05-02","Per=Y","Days=T","Dir=V")</f>
        <v>0</v>
      </c>
      <c r="M2">
        <f>BDH("HSY US Equity","BS_CUR_ASSET_REPORT","1993-06-18","2026-05-02","Per=Y","Days=T","Dir=V")</f>
        <v>0</v>
      </c>
      <c r="O2">
        <f>BDH("HSY US Equity","BS_CUR_LIAB","1993-06-18","2026-05-02","Per=Y","Days=T","Dir=V")</f>
        <v>0</v>
      </c>
      <c r="Q2">
        <f>BDH("HSY US Equity","BS_SHAREHOLDER_EQY_ENDING_PERIOD","1993-06-18","2026-05-02","Per=Y","Days=T","Dir=V")</f>
        <v>0</v>
      </c>
      <c r="S2">
        <f>BDH("HSY US Equity","BS_ACCT_NOTE_RCV","1993-06-18","2026-05-02","Per=Y","Days=T","Dir=V")</f>
        <v>0</v>
      </c>
      <c r="U2">
        <f>BDH("HSY US Equity","BS_INVENTORIES","1993-06-18","2026-05-02","Per=Y","Days=T","Dir=V")</f>
        <v>0</v>
      </c>
      <c r="W2">
        <f>BDH("HSY US Equity","WORKING_CAPITAL","1993-06-18","2026-05-02","Per=Y","Days=T","Dir=V")</f>
        <v>0</v>
      </c>
      <c r="Y2">
        <f>BDH("HSY US Equity","SALES_REV_TURN","1993-06-18","2026-05-02","Per=Y","Days=T","Dir=V")</f>
        <v>0</v>
      </c>
      <c r="AA2">
        <f>BDH("HSY US Equity","EBIT","1993-06-18","2026-05-02","Per=Y","Days=T","Dir=V")</f>
        <v>0</v>
      </c>
      <c r="AC2">
        <f>BDH("HSY US Equity","EBITDA","1993-06-18","2026-05-02","Per=Y","Days=T","Dir=V")</f>
        <v>0</v>
      </c>
      <c r="AE2">
        <f>BDH("HSY US Equity","NET_INCOME","1993-06-18","2026-05-02","Per=Y","Days=T","Dir=V")</f>
        <v>0</v>
      </c>
      <c r="AG2">
        <f>BDH("HSY US Equity","IS_INT_EXPENSE","1993-06-18","2026-05-02","Per=Y","Days=T","Dir=V")</f>
        <v>0</v>
      </c>
      <c r="AI2">
        <f>BDH("HSY US Equity","IS_DEPR_EXP","1993-06-18","2026-05-02","Per=Y","Days=T","Dir=V")</f>
        <v>0</v>
      </c>
      <c r="AK2">
        <f>BDH("HSY US Equity","CF_CASH_FROM_OPER","1993-06-18","2026-05-02","Per=Y","Days=T","Dir=V")</f>
        <v>0</v>
      </c>
      <c r="AM2">
        <f>BDH("HSY US Equity","CAPITAL_EXPEND","1993-06-18","2026-05-02","Per=Y","Days=T","Dir=V")</f>
        <v>0</v>
      </c>
      <c r="AO2">
        <f>BDH("HSY US Equity","CF_FREE_CASH_FLOW","1993-06-18","2026-05-02","Per=Y","Days=T","Dir=V")</f>
        <v>0</v>
      </c>
      <c r="AQ2">
        <f>BDH("HSY US Equity","PX_LAST","1993-06-18","2026-05-02","Per=M","Days=T","Dir=V")</f>
        <v>0</v>
      </c>
      <c r="AS2">
        <f>BDH("HSY US Equity","CUR_MKT_CAP","1993-06-18","2026-05-02","Per=M","Days=T","Dir=V")</f>
        <v>0</v>
      </c>
      <c r="AU2">
        <f>BDH("HSY US Equity","EQY_SH_OUT","1993-06-18","2026-05-02","Per=M","Days=T","Dir=V")</f>
        <v>0</v>
      </c>
      <c r="AW2">
        <f>BDH("HSY US Equity","PX_VOLUME","1993-06-18","2026-05-02","Per=M","Days=T","Dir=V")</f>
        <v>0</v>
      </c>
      <c r="AY2">
        <f>BDH("HSY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BDH("HTFL US Equity","BS_TOT_ASSET","1993-06-18","2026-05-02","Per=Y","Days=T","Dir=V")</f>
        <v>0</v>
      </c>
      <c r="C2">
        <f>BDH("HTFL US Equity","BS_TOT_LIAB2","1993-06-18","2026-05-02","Per=Y","Days=T","Dir=V")</f>
        <v>0</v>
      </c>
      <c r="E2">
        <f>BDH("HTFL US Equity","SHORT_AND_LONG_TERM_DEBT","1993-06-18","2026-05-02","Per=Y","Days=T","Dir=V")</f>
        <v>0</v>
      </c>
      <c r="G2">
        <f>BDH("HTFL US Equity","BS_ST_BORROW","1993-06-18","2026-05-02","Per=Y","Days=T","Dir=V")</f>
        <v>0</v>
      </c>
      <c r="I2">
        <f>BDH("HTFL US Equity","BS_LT_BORROW","1993-06-18","2026-05-02","Per=Y","Days=T","Dir=V")</f>
        <v>0</v>
      </c>
      <c r="K2">
        <f>BDH("HTFL US Equity","BS_CASH_NEAR_CASH_ITEM","1993-06-18","2026-05-02","Per=Y","Days=T","Dir=V")</f>
        <v>0</v>
      </c>
      <c r="M2">
        <f>BDH("HTFL US Equity","BS_CUR_ASSET_REPORT","1993-06-18","2026-05-02","Per=Y","Days=T","Dir=V")</f>
        <v>0</v>
      </c>
      <c r="O2">
        <f>BDH("HTFL US Equity","BS_CUR_LIAB","1993-06-18","2026-05-02","Per=Y","Days=T","Dir=V")</f>
        <v>0</v>
      </c>
      <c r="Q2">
        <f>BDH("HTFL US Equity","BS_SHAREHOLDER_EQY_ENDING_PERIOD","1993-06-18","2026-05-02","Per=Y","Days=T","Dir=V")</f>
        <v>0</v>
      </c>
      <c r="S2">
        <f>BDH("HTFL US Equity","BS_ACCT_NOTE_RCV","1993-06-18","2026-05-02","Per=Y","Days=T","Dir=V")</f>
        <v>0</v>
      </c>
      <c r="U2">
        <f>BDH("HTFL US Equity","BS_INVENTORIES","1993-06-18","2026-05-02","Per=Y","Days=T","Dir=V")</f>
        <v>0</v>
      </c>
      <c r="W2">
        <f>BDH("HTFL US Equity","WORKING_CAPITAL","1993-06-18","2026-05-02","Per=Y","Days=T","Dir=V")</f>
        <v>0</v>
      </c>
      <c r="Y2">
        <f>BDH("HTFL US Equity","SALES_REV_TURN","1993-06-18","2026-05-02","Per=Y","Days=T","Dir=V")</f>
        <v>0</v>
      </c>
      <c r="AA2">
        <f>BDH("HTFL US Equity","EBIT","1993-06-18","2026-05-02","Per=Y","Days=T","Dir=V")</f>
        <v>0</v>
      </c>
      <c r="AC2">
        <f>BDH("HTFL US Equity","EBITDA","1993-06-18","2026-05-02","Per=Y","Days=T","Dir=V")</f>
        <v>0</v>
      </c>
      <c r="AE2">
        <f>BDH("HTFL US Equity","NET_INCOME","1993-06-18","2026-05-02","Per=Y","Days=T","Dir=V")</f>
        <v>0</v>
      </c>
      <c r="AG2">
        <f>BDH("HTFL US Equity","IS_INT_EXPENSE","1993-06-18","2026-05-02","Per=Y","Days=T","Dir=V")</f>
        <v>0</v>
      </c>
      <c r="AI2">
        <f>BDH("HTFL US Equity","IS_DEPR_EXP","1993-06-18","2026-05-02","Per=Y","Days=T","Dir=V")</f>
        <v>0</v>
      </c>
      <c r="AK2">
        <f>BDH("HTFL US Equity","CF_CASH_FROM_OPER","1993-06-18","2026-05-02","Per=Y","Days=T","Dir=V")</f>
        <v>0</v>
      </c>
      <c r="AM2">
        <f>BDH("HTFL US Equity","CAPITAL_EXPEND","1993-06-18","2026-05-02","Per=Y","Days=T","Dir=V")</f>
        <v>0</v>
      </c>
      <c r="AO2">
        <f>BDH("HTFL US Equity","CF_FREE_CASH_FLOW","1993-06-18","2026-05-02","Per=Y","Days=T","Dir=V")</f>
        <v>0</v>
      </c>
      <c r="AQ2">
        <f>BDH("HTFL US Equity","PX_LAST","1993-06-18","2026-05-02","Per=M","Days=T","Dir=V")</f>
        <v>0</v>
      </c>
      <c r="AS2">
        <f>BDH("HTFL US Equity","CUR_MKT_CAP","1993-06-18","2026-05-02","Per=M","Days=T","Dir=V")</f>
        <v>0</v>
      </c>
      <c r="AU2">
        <f>BDH("HTFL US Equity","EQY_SH_OUT","1993-06-18","2026-05-02","Per=M","Days=T","Dir=V")</f>
        <v>0</v>
      </c>
      <c r="AW2">
        <f>BDH("HTFL US Equity","PX_VOLUME","1993-06-18","2026-05-02","Per=M","Days=T","Dir=V")</f>
        <v>0</v>
      </c>
      <c r="AY2">
        <f>BDH("HTFL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BDH("HTLD US Equity","BS_TOT_ASSET","1993-06-18","2026-05-02","Per=Y","Days=T","Dir=V")</f>
        <v>0</v>
      </c>
      <c r="C2">
        <f>BDH("HTLD US Equity","BS_TOT_LIAB2","1993-06-18","2026-05-02","Per=Y","Days=T","Dir=V")</f>
        <v>0</v>
      </c>
      <c r="E2">
        <f>BDH("HTLD US Equity","SHORT_AND_LONG_TERM_DEBT","1993-06-18","2026-05-02","Per=Y","Days=T","Dir=V")</f>
        <v>0</v>
      </c>
      <c r="G2">
        <f>BDH("HTLD US Equity","BS_ST_BORROW","1993-06-18","2026-05-02","Per=Y","Days=T","Dir=V")</f>
        <v>0</v>
      </c>
      <c r="I2">
        <f>BDH("HTLD US Equity","BS_LT_BORROW","1993-06-18","2026-05-02","Per=Y","Days=T","Dir=V")</f>
        <v>0</v>
      </c>
      <c r="K2">
        <f>BDH("HTLD US Equity","BS_CASH_NEAR_CASH_ITEM","1993-06-18","2026-05-02","Per=Y","Days=T","Dir=V")</f>
        <v>0</v>
      </c>
      <c r="M2">
        <f>BDH("HTLD US Equity","BS_CUR_ASSET_REPORT","1993-06-18","2026-05-02","Per=Y","Days=T","Dir=V")</f>
        <v>0</v>
      </c>
      <c r="O2">
        <f>BDH("HTLD US Equity","BS_CUR_LIAB","1993-06-18","2026-05-02","Per=Y","Days=T","Dir=V")</f>
        <v>0</v>
      </c>
      <c r="Q2">
        <f>BDH("HTLD US Equity","BS_SHAREHOLDER_EQY_ENDING_PERIOD","1993-06-18","2026-05-02","Per=Y","Days=T","Dir=V")</f>
        <v>0</v>
      </c>
      <c r="S2">
        <f>BDH("HTLD US Equity","BS_ACCT_NOTE_RCV","1993-06-18","2026-05-02","Per=Y","Days=T","Dir=V")</f>
        <v>0</v>
      </c>
      <c r="U2">
        <f>BDH("HTLD US Equity","BS_INVENTORIES","1993-06-18","2026-05-02","Per=Y","Days=T","Dir=V")</f>
        <v>0</v>
      </c>
      <c r="W2">
        <f>BDH("HTLD US Equity","WORKING_CAPITAL","1993-06-18","2026-05-02","Per=Y","Days=T","Dir=V")</f>
        <v>0</v>
      </c>
      <c r="Y2">
        <f>BDH("HTLD US Equity","SALES_REV_TURN","1993-06-18","2026-05-02","Per=Y","Days=T","Dir=V")</f>
        <v>0</v>
      </c>
      <c r="AA2">
        <f>BDH("HTLD US Equity","EBIT","1993-06-18","2026-05-02","Per=Y","Days=T","Dir=V")</f>
        <v>0</v>
      </c>
      <c r="AC2">
        <f>BDH("HTLD US Equity","EBITDA","1993-06-18","2026-05-02","Per=Y","Days=T","Dir=V")</f>
        <v>0</v>
      </c>
      <c r="AE2">
        <f>BDH("HTLD US Equity","NET_INCOME","1993-06-18","2026-05-02","Per=Y","Days=T","Dir=V")</f>
        <v>0</v>
      </c>
      <c r="AG2">
        <f>BDH("HTLD US Equity","IS_INT_EXPENSE","1993-06-18","2026-05-02","Per=Y","Days=T","Dir=V")</f>
        <v>0</v>
      </c>
      <c r="AI2">
        <f>BDH("HTLD US Equity","IS_DEPR_EXP","1993-06-18","2026-05-02","Per=Y","Days=T","Dir=V")</f>
        <v>0</v>
      </c>
      <c r="AK2">
        <f>BDH("HTLD US Equity","CF_CASH_FROM_OPER","1993-06-18","2026-05-02","Per=Y","Days=T","Dir=V")</f>
        <v>0</v>
      </c>
      <c r="AM2">
        <f>BDH("HTLD US Equity","CAPITAL_EXPEND","1993-06-18","2026-05-02","Per=Y","Days=T","Dir=V")</f>
        <v>0</v>
      </c>
      <c r="AO2">
        <f>BDH("HTLD US Equity","CF_FREE_CASH_FLOW","1993-06-18","2026-05-02","Per=Y","Days=T","Dir=V")</f>
        <v>0</v>
      </c>
      <c r="AQ2">
        <f>BDH("HTLD US Equity","PX_LAST","1993-06-18","2026-05-02","Per=M","Days=T","Dir=V")</f>
        <v>0</v>
      </c>
      <c r="AS2">
        <f>BDH("HTLD US Equity","CUR_MKT_CAP","1993-06-18","2026-05-02","Per=M","Days=T","Dir=V")</f>
        <v>0</v>
      </c>
      <c r="AU2">
        <f>BDH("HTLD US Equity","EQY_SH_OUT","1993-06-18","2026-05-02","Per=M","Days=T","Dir=V")</f>
        <v>0</v>
      </c>
      <c r="AW2">
        <f>BDH("HTLD US Equity","PX_VOLUME","1993-06-18","2026-05-02","Per=M","Days=T","Dir=V")</f>
        <v>0</v>
      </c>
      <c r="AY2">
        <f>BDH("HTLD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BDH("HTO US Equity","BS_TOT_ASSET","1993-06-18","2026-05-02","Per=Y","Days=T","Dir=V")</f>
        <v>0</v>
      </c>
      <c r="C2">
        <f>BDH("HTO US Equity","BS_TOT_LIAB2","1993-06-18","2026-05-02","Per=Y","Days=T","Dir=V")</f>
        <v>0</v>
      </c>
      <c r="E2">
        <f>BDH("HTO US Equity","SHORT_AND_LONG_TERM_DEBT","1993-06-18","2026-05-02","Per=Y","Days=T","Dir=V")</f>
        <v>0</v>
      </c>
      <c r="G2">
        <f>BDH("HTO US Equity","BS_ST_BORROW","1993-06-18","2026-05-02","Per=Y","Days=T","Dir=V")</f>
        <v>0</v>
      </c>
      <c r="I2">
        <f>BDH("HTO US Equity","BS_LT_BORROW","1993-06-18","2026-05-02","Per=Y","Days=T","Dir=V")</f>
        <v>0</v>
      </c>
      <c r="K2">
        <f>BDH("HTO US Equity","BS_CASH_NEAR_CASH_ITEM","1993-06-18","2026-05-02","Per=Y","Days=T","Dir=V")</f>
        <v>0</v>
      </c>
      <c r="M2">
        <f>BDH("HTO US Equity","BS_CUR_ASSET_REPORT","1993-06-18","2026-05-02","Per=Y","Days=T","Dir=V")</f>
        <v>0</v>
      </c>
      <c r="O2">
        <f>BDH("HTO US Equity","BS_CUR_LIAB","1993-06-18","2026-05-02","Per=Y","Days=T","Dir=V")</f>
        <v>0</v>
      </c>
      <c r="Q2">
        <f>BDH("HTO US Equity","BS_SHAREHOLDER_EQY_ENDING_PERIOD","1993-06-18","2026-05-02","Per=Y","Days=T","Dir=V")</f>
        <v>0</v>
      </c>
      <c r="S2">
        <f>BDH("HTO US Equity","BS_ACCT_NOTE_RCV","1993-06-18","2026-05-02","Per=Y","Days=T","Dir=V")</f>
        <v>0</v>
      </c>
      <c r="U2">
        <f>BDH("HTO US Equity","BS_INVENTORIES","1993-06-18","2026-05-02","Per=Y","Days=T","Dir=V")</f>
        <v>0</v>
      </c>
      <c r="W2">
        <f>BDH("HTO US Equity","WORKING_CAPITAL","1993-06-18","2026-05-02","Per=Y","Days=T","Dir=V")</f>
        <v>0</v>
      </c>
      <c r="Y2">
        <f>BDH("HTO US Equity","SALES_REV_TURN","1993-06-18","2026-05-02","Per=Y","Days=T","Dir=V")</f>
        <v>0</v>
      </c>
      <c r="AA2">
        <f>BDH("HTO US Equity","EBIT","1993-06-18","2026-05-02","Per=Y","Days=T","Dir=V")</f>
        <v>0</v>
      </c>
      <c r="AC2">
        <f>BDH("HTO US Equity","EBITDA","1993-06-18","2026-05-02","Per=Y","Days=T","Dir=V")</f>
        <v>0</v>
      </c>
      <c r="AE2">
        <f>BDH("HTO US Equity","NET_INCOME","1993-06-18","2026-05-02","Per=Y","Days=T","Dir=V")</f>
        <v>0</v>
      </c>
      <c r="AG2">
        <f>BDH("HTO US Equity","IS_INT_EXPENSE","1993-06-18","2026-05-02","Per=Y","Days=T","Dir=V")</f>
        <v>0</v>
      </c>
      <c r="AI2">
        <f>BDH("HTO US Equity","IS_DEPR_EXP","1993-06-18","2026-05-02","Per=Y","Days=T","Dir=V")</f>
        <v>0</v>
      </c>
      <c r="AK2">
        <f>BDH("HTO US Equity","CF_CASH_FROM_OPER","1993-06-18","2026-05-02","Per=Y","Days=T","Dir=V")</f>
        <v>0</v>
      </c>
      <c r="AM2">
        <f>BDH("HTO US Equity","CAPITAL_EXPEND","1993-06-18","2026-05-02","Per=Y","Days=T","Dir=V")</f>
        <v>0</v>
      </c>
      <c r="AO2">
        <f>BDH("HTO US Equity","CF_FREE_CASH_FLOW","1993-06-18","2026-05-02","Per=Y","Days=T","Dir=V")</f>
        <v>0</v>
      </c>
      <c r="AQ2">
        <f>BDH("HTO US Equity","PX_LAST","1993-06-18","2026-05-02","Per=M","Days=T","Dir=V")</f>
        <v>0</v>
      </c>
      <c r="AS2">
        <f>BDH("HTO US Equity","CUR_MKT_CAP","1993-06-18","2026-05-02","Per=M","Days=T","Dir=V")</f>
        <v>0</v>
      </c>
      <c r="AU2">
        <f>BDH("HTO US Equity","EQY_SH_OUT","1993-06-18","2026-05-02","Per=M","Days=T","Dir=V")</f>
        <v>0</v>
      </c>
      <c r="AW2">
        <f>BDH("HTO US Equity","PX_VOLUME","1993-06-18","2026-05-02","Per=M","Days=T","Dir=V")</f>
        <v>0</v>
      </c>
      <c r="AY2">
        <f>BDH("HTO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BDH("HTZ US Equity","BS_TOT_ASSET","1993-06-18","2026-05-02","Per=Y","Days=T","Dir=V")</f>
        <v>0</v>
      </c>
      <c r="C2">
        <f>BDH("HTZ US Equity","BS_TOT_LIAB2","1993-06-18","2026-05-02","Per=Y","Days=T","Dir=V")</f>
        <v>0</v>
      </c>
      <c r="E2">
        <f>BDH("HTZ US Equity","SHORT_AND_LONG_TERM_DEBT","1993-06-18","2026-05-02","Per=Y","Days=T","Dir=V")</f>
        <v>0</v>
      </c>
      <c r="G2">
        <f>BDH("HTZ US Equity","BS_ST_BORROW","1993-06-18","2026-05-02","Per=Y","Days=T","Dir=V")</f>
        <v>0</v>
      </c>
      <c r="I2">
        <f>BDH("HTZ US Equity","BS_LT_BORROW","1993-06-18","2026-05-02","Per=Y","Days=T","Dir=V")</f>
        <v>0</v>
      </c>
      <c r="K2">
        <f>BDH("HTZ US Equity","BS_CASH_NEAR_CASH_ITEM","1993-06-18","2026-05-02","Per=Y","Days=T","Dir=V")</f>
        <v>0</v>
      </c>
      <c r="M2">
        <f>BDH("HTZ US Equity","BS_CUR_ASSET_REPORT","1993-06-18","2026-05-02","Per=Y","Days=T","Dir=V")</f>
        <v>0</v>
      </c>
      <c r="O2">
        <f>BDH("HTZ US Equity","BS_CUR_LIAB","1993-06-18","2026-05-02","Per=Y","Days=T","Dir=V")</f>
        <v>0</v>
      </c>
      <c r="Q2">
        <f>BDH("HTZ US Equity","BS_SHAREHOLDER_EQY_ENDING_PERIOD","1993-06-18","2026-05-02","Per=Y","Days=T","Dir=V")</f>
        <v>0</v>
      </c>
      <c r="S2">
        <f>BDH("HTZ US Equity","BS_ACCT_NOTE_RCV","1993-06-18","2026-05-02","Per=Y","Days=T","Dir=V")</f>
        <v>0</v>
      </c>
      <c r="U2">
        <f>BDH("HTZ US Equity","BS_INVENTORIES","1993-06-18","2026-05-02","Per=Y","Days=T","Dir=V")</f>
        <v>0</v>
      </c>
      <c r="W2">
        <f>BDH("HTZ US Equity","WORKING_CAPITAL","1993-06-18","2026-05-02","Per=Y","Days=T","Dir=V")</f>
        <v>0</v>
      </c>
      <c r="Y2">
        <f>BDH("HTZ US Equity","SALES_REV_TURN","1993-06-18","2026-05-02","Per=Y","Days=T","Dir=V")</f>
        <v>0</v>
      </c>
      <c r="AA2">
        <f>BDH("HTZ US Equity","EBIT","1993-06-18","2026-05-02","Per=Y","Days=T","Dir=V")</f>
        <v>0</v>
      </c>
      <c r="AC2">
        <f>BDH("HTZ US Equity","EBITDA","1993-06-18","2026-05-02","Per=Y","Days=T","Dir=V")</f>
        <v>0</v>
      </c>
      <c r="AE2">
        <f>BDH("HTZ US Equity","NET_INCOME","1993-06-18","2026-05-02","Per=Y","Days=T","Dir=V")</f>
        <v>0</v>
      </c>
      <c r="AG2">
        <f>BDH("HTZ US Equity","IS_INT_EXPENSE","1993-06-18","2026-05-02","Per=Y","Days=T","Dir=V")</f>
        <v>0</v>
      </c>
      <c r="AI2">
        <f>BDH("HTZ US Equity","IS_DEPR_EXP","1993-06-18","2026-05-02","Per=Y","Days=T","Dir=V")</f>
        <v>0</v>
      </c>
      <c r="AK2">
        <f>BDH("HTZ US Equity","CF_CASH_FROM_OPER","1993-06-18","2026-05-02","Per=Y","Days=T","Dir=V")</f>
        <v>0</v>
      </c>
      <c r="AM2">
        <f>BDH("HTZ US Equity","CAPITAL_EXPEND","1993-06-18","2026-05-02","Per=Y","Days=T","Dir=V")</f>
        <v>0</v>
      </c>
      <c r="AO2">
        <f>BDH("HTZ US Equity","CF_FREE_CASH_FLOW","1993-06-18","2026-05-02","Per=Y","Days=T","Dir=V")</f>
        <v>0</v>
      </c>
      <c r="AQ2">
        <f>BDH("HTZ US Equity","PX_LAST","1993-06-18","2026-05-02","Per=M","Days=T","Dir=V")</f>
        <v>0</v>
      </c>
      <c r="AS2">
        <f>BDH("HTZ US Equity","CUR_MKT_CAP","1993-06-18","2026-05-02","Per=M","Days=T","Dir=V")</f>
        <v>0</v>
      </c>
      <c r="AU2">
        <f>BDH("HTZ US Equity","EQY_SH_OUT","1993-06-18","2026-05-02","Per=M","Days=T","Dir=V")</f>
        <v>0</v>
      </c>
      <c r="AW2">
        <f>BDH("HTZ US Equity","PX_VOLUME","1993-06-18","2026-05-02","Per=M","Days=T","Dir=V")</f>
        <v>0</v>
      </c>
      <c r="AY2">
        <f>BDH("HTZ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BDH("HTZWW US Equity","BS_TOT_ASSET","1993-06-18","2026-05-02","Per=Y","Days=T","Dir=V")</f>
        <v>0</v>
      </c>
      <c r="C2">
        <f>BDH("HTZWW US Equity","BS_TOT_LIAB2","1993-06-18","2026-05-02","Per=Y","Days=T","Dir=V")</f>
        <v>0</v>
      </c>
      <c r="E2">
        <f>BDH("HTZWW US Equity","SHORT_AND_LONG_TERM_DEBT","1993-06-18","2026-05-02","Per=Y","Days=T","Dir=V")</f>
        <v>0</v>
      </c>
      <c r="G2">
        <f>BDH("HTZWW US Equity","BS_ST_BORROW","1993-06-18","2026-05-02","Per=Y","Days=T","Dir=V")</f>
        <v>0</v>
      </c>
      <c r="I2">
        <f>BDH("HTZWW US Equity","BS_LT_BORROW","1993-06-18","2026-05-02","Per=Y","Days=T","Dir=V")</f>
        <v>0</v>
      </c>
      <c r="K2">
        <f>BDH("HTZWW US Equity","BS_CASH_NEAR_CASH_ITEM","1993-06-18","2026-05-02","Per=Y","Days=T","Dir=V")</f>
        <v>0</v>
      </c>
      <c r="M2">
        <f>BDH("HTZWW US Equity","BS_CUR_ASSET_REPORT","1993-06-18","2026-05-02","Per=Y","Days=T","Dir=V")</f>
        <v>0</v>
      </c>
      <c r="O2">
        <f>BDH("HTZWW US Equity","BS_CUR_LIAB","1993-06-18","2026-05-02","Per=Y","Days=T","Dir=V")</f>
        <v>0</v>
      </c>
      <c r="Q2">
        <f>BDH("HTZWW US Equity","BS_SHAREHOLDER_EQY_ENDING_PERIOD","1993-06-18","2026-05-02","Per=Y","Days=T","Dir=V")</f>
        <v>0</v>
      </c>
      <c r="S2">
        <f>BDH("HTZWW US Equity","BS_ACCT_NOTE_RCV","1993-06-18","2026-05-02","Per=Y","Days=T","Dir=V")</f>
        <v>0</v>
      </c>
      <c r="U2">
        <f>BDH("HTZWW US Equity","BS_INVENTORIES","1993-06-18","2026-05-02","Per=Y","Days=T","Dir=V")</f>
        <v>0</v>
      </c>
      <c r="W2">
        <f>BDH("HTZWW US Equity","WORKING_CAPITAL","1993-06-18","2026-05-02","Per=Y","Days=T","Dir=V")</f>
        <v>0</v>
      </c>
      <c r="Y2">
        <f>BDH("HTZWW US Equity","SALES_REV_TURN","1993-06-18","2026-05-02","Per=Y","Days=T","Dir=V")</f>
        <v>0</v>
      </c>
      <c r="AA2">
        <f>BDH("HTZWW US Equity","EBIT","1993-06-18","2026-05-02","Per=Y","Days=T","Dir=V")</f>
        <v>0</v>
      </c>
      <c r="AC2">
        <f>BDH("HTZWW US Equity","EBITDA","1993-06-18","2026-05-02","Per=Y","Days=T","Dir=V")</f>
        <v>0</v>
      </c>
      <c r="AE2">
        <f>BDH("HTZWW US Equity","NET_INCOME","1993-06-18","2026-05-02","Per=Y","Days=T","Dir=V")</f>
        <v>0</v>
      </c>
      <c r="AG2">
        <f>BDH("HTZWW US Equity","IS_INT_EXPENSE","1993-06-18","2026-05-02","Per=Y","Days=T","Dir=V")</f>
        <v>0</v>
      </c>
      <c r="AI2">
        <f>BDH("HTZWW US Equity","IS_DEPR_EXP","1993-06-18","2026-05-02","Per=Y","Days=T","Dir=V")</f>
        <v>0</v>
      </c>
      <c r="AK2">
        <f>BDH("HTZWW US Equity","CF_CASH_FROM_OPER","1993-06-18","2026-05-02","Per=Y","Days=T","Dir=V")</f>
        <v>0</v>
      </c>
      <c r="AM2">
        <f>BDH("HTZWW US Equity","CAPITAL_EXPEND","1993-06-18","2026-05-02","Per=Y","Days=T","Dir=V")</f>
        <v>0</v>
      </c>
      <c r="AO2">
        <f>BDH("HTZWW US Equity","CF_FREE_CASH_FLOW","1993-06-18","2026-05-02","Per=Y","Days=T","Dir=V")</f>
        <v>0</v>
      </c>
      <c r="AQ2">
        <f>BDH("HTZWW US Equity","PX_LAST","1993-06-18","2026-05-02","Per=M","Days=T","Dir=V")</f>
        <v>0</v>
      </c>
      <c r="AS2">
        <f>BDH("HTZWW US Equity","CUR_MKT_CAP","1993-06-18","2026-05-02","Per=M","Days=T","Dir=V")</f>
        <v>0</v>
      </c>
      <c r="AU2">
        <f>BDH("HTZWW US Equity","EQY_SH_OUT","1993-06-18","2026-05-02","Per=M","Days=T","Dir=V")</f>
        <v>0</v>
      </c>
      <c r="AW2">
        <f>BDH("HTZWW US Equity","PX_VOLUME","1993-06-18","2026-05-02","Per=M","Days=T","Dir=V")</f>
        <v>0</v>
      </c>
      <c r="AY2">
        <f>BDH("HTZWW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BDH("HUBB US Equity","BS_TOT_ASSET","1993-06-18","2026-05-02","Per=Y","Days=T","Dir=V")</f>
        <v>0</v>
      </c>
      <c r="C2">
        <f>BDH("HUBB US Equity","BS_TOT_LIAB2","1993-06-18","2026-05-02","Per=Y","Days=T","Dir=V")</f>
        <v>0</v>
      </c>
      <c r="E2">
        <f>BDH("HUBB US Equity","SHORT_AND_LONG_TERM_DEBT","1993-06-18","2026-05-02","Per=Y","Days=T","Dir=V")</f>
        <v>0</v>
      </c>
      <c r="G2">
        <f>BDH("HUBB US Equity","BS_ST_BORROW","1993-06-18","2026-05-02","Per=Y","Days=T","Dir=V")</f>
        <v>0</v>
      </c>
      <c r="I2">
        <f>BDH("HUBB US Equity","BS_LT_BORROW","1993-06-18","2026-05-02","Per=Y","Days=T","Dir=V")</f>
        <v>0</v>
      </c>
      <c r="K2">
        <f>BDH("HUBB US Equity","BS_CASH_NEAR_CASH_ITEM","1993-06-18","2026-05-02","Per=Y","Days=T","Dir=V")</f>
        <v>0</v>
      </c>
      <c r="M2">
        <f>BDH("HUBB US Equity","BS_CUR_ASSET_REPORT","1993-06-18","2026-05-02","Per=Y","Days=T","Dir=V")</f>
        <v>0</v>
      </c>
      <c r="O2">
        <f>BDH("HUBB US Equity","BS_CUR_LIAB","1993-06-18","2026-05-02","Per=Y","Days=T","Dir=V")</f>
        <v>0</v>
      </c>
      <c r="Q2">
        <f>BDH("HUBB US Equity","BS_SHAREHOLDER_EQY_ENDING_PERIOD","1993-06-18","2026-05-02","Per=Y","Days=T","Dir=V")</f>
        <v>0</v>
      </c>
      <c r="S2">
        <f>BDH("HUBB US Equity","BS_ACCT_NOTE_RCV","1993-06-18","2026-05-02","Per=Y","Days=T","Dir=V")</f>
        <v>0</v>
      </c>
      <c r="U2">
        <f>BDH("HUBB US Equity","BS_INVENTORIES","1993-06-18","2026-05-02","Per=Y","Days=T","Dir=V")</f>
        <v>0</v>
      </c>
      <c r="W2">
        <f>BDH("HUBB US Equity","WORKING_CAPITAL","1993-06-18","2026-05-02","Per=Y","Days=T","Dir=V")</f>
        <v>0</v>
      </c>
      <c r="Y2">
        <f>BDH("HUBB US Equity","SALES_REV_TURN","1993-06-18","2026-05-02","Per=Y","Days=T","Dir=V")</f>
        <v>0</v>
      </c>
      <c r="AA2">
        <f>BDH("HUBB US Equity","EBIT","1993-06-18","2026-05-02","Per=Y","Days=T","Dir=V")</f>
        <v>0</v>
      </c>
      <c r="AC2">
        <f>BDH("HUBB US Equity","EBITDA","1993-06-18","2026-05-02","Per=Y","Days=T","Dir=V")</f>
        <v>0</v>
      </c>
      <c r="AE2">
        <f>BDH("HUBB US Equity","NET_INCOME","1993-06-18","2026-05-02","Per=Y","Days=T","Dir=V")</f>
        <v>0</v>
      </c>
      <c r="AG2">
        <f>BDH("HUBB US Equity","IS_INT_EXPENSE","1993-06-18","2026-05-02","Per=Y","Days=T","Dir=V")</f>
        <v>0</v>
      </c>
      <c r="AI2">
        <f>BDH("HUBB US Equity","IS_DEPR_EXP","1993-06-18","2026-05-02","Per=Y","Days=T","Dir=V")</f>
        <v>0</v>
      </c>
      <c r="AK2">
        <f>BDH("HUBB US Equity","CF_CASH_FROM_OPER","1993-06-18","2026-05-02","Per=Y","Days=T","Dir=V")</f>
        <v>0</v>
      </c>
      <c r="AM2">
        <f>BDH("HUBB US Equity","CAPITAL_EXPEND","1993-06-18","2026-05-02","Per=Y","Days=T","Dir=V")</f>
        <v>0</v>
      </c>
      <c r="AO2">
        <f>BDH("HUBB US Equity","CF_FREE_CASH_FLOW","1993-06-18","2026-05-02","Per=Y","Days=T","Dir=V")</f>
        <v>0</v>
      </c>
      <c r="AQ2">
        <f>BDH("HUBB US Equity","PX_LAST","1993-06-18","2026-05-02","Per=M","Days=T","Dir=V")</f>
        <v>0</v>
      </c>
      <c r="AS2">
        <f>BDH("HUBB US Equity","CUR_MKT_CAP","1993-06-18","2026-05-02","Per=M","Days=T","Dir=V")</f>
        <v>0</v>
      </c>
      <c r="AU2">
        <f>BDH("HUBB US Equity","EQY_SH_OUT","1993-06-18","2026-05-02","Per=M","Days=T","Dir=V")</f>
        <v>0</v>
      </c>
      <c r="AW2">
        <f>BDH("HUBB US Equity","PX_VOLUME","1993-06-18","2026-05-02","Per=M","Days=T","Dir=V")</f>
        <v>0</v>
      </c>
      <c r="AY2">
        <f>BDH("HUBB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BDH("HUBG US Equity","BS_TOT_ASSET","1993-06-18","2026-05-02","Per=Y","Days=T","Dir=V")</f>
        <v>0</v>
      </c>
      <c r="C2">
        <f>BDH("HUBG US Equity","BS_TOT_LIAB2","1993-06-18","2026-05-02","Per=Y","Days=T","Dir=V")</f>
        <v>0</v>
      </c>
      <c r="E2">
        <f>BDH("HUBG US Equity","SHORT_AND_LONG_TERM_DEBT","1993-06-18","2026-05-02","Per=Y","Days=T","Dir=V")</f>
        <v>0</v>
      </c>
      <c r="G2">
        <f>BDH("HUBG US Equity","BS_ST_BORROW","1993-06-18","2026-05-02","Per=Y","Days=T","Dir=V")</f>
        <v>0</v>
      </c>
      <c r="I2">
        <f>BDH("HUBG US Equity","BS_LT_BORROW","1993-06-18","2026-05-02","Per=Y","Days=T","Dir=V")</f>
        <v>0</v>
      </c>
      <c r="K2">
        <f>BDH("HUBG US Equity","BS_CASH_NEAR_CASH_ITEM","1993-06-18","2026-05-02","Per=Y","Days=T","Dir=V")</f>
        <v>0</v>
      </c>
      <c r="M2">
        <f>BDH("HUBG US Equity","BS_CUR_ASSET_REPORT","1993-06-18","2026-05-02","Per=Y","Days=T","Dir=V")</f>
        <v>0</v>
      </c>
      <c r="O2">
        <f>BDH("HUBG US Equity","BS_CUR_LIAB","1993-06-18","2026-05-02","Per=Y","Days=T","Dir=V")</f>
        <v>0</v>
      </c>
      <c r="Q2">
        <f>BDH("HUBG US Equity","BS_SHAREHOLDER_EQY_ENDING_PERIOD","1993-06-18","2026-05-02","Per=Y","Days=T","Dir=V")</f>
        <v>0</v>
      </c>
      <c r="S2">
        <f>BDH("HUBG US Equity","BS_ACCT_NOTE_RCV","1993-06-18","2026-05-02","Per=Y","Days=T","Dir=V")</f>
        <v>0</v>
      </c>
      <c r="U2">
        <f>BDH("HUBG US Equity","BS_INVENTORIES","1993-06-18","2026-05-02","Per=Y","Days=T","Dir=V")</f>
        <v>0</v>
      </c>
      <c r="W2">
        <f>BDH("HUBG US Equity","WORKING_CAPITAL","1993-06-18","2026-05-02","Per=Y","Days=T","Dir=V")</f>
        <v>0</v>
      </c>
      <c r="Y2">
        <f>BDH("HUBG US Equity","SALES_REV_TURN","1993-06-18","2026-05-02","Per=Y","Days=T","Dir=V")</f>
        <v>0</v>
      </c>
      <c r="AA2">
        <f>BDH("HUBG US Equity","EBIT","1993-06-18","2026-05-02","Per=Y","Days=T","Dir=V")</f>
        <v>0</v>
      </c>
      <c r="AC2">
        <f>BDH("HUBG US Equity","EBITDA","1993-06-18","2026-05-02","Per=Y","Days=T","Dir=V")</f>
        <v>0</v>
      </c>
      <c r="AE2">
        <f>BDH("HUBG US Equity","NET_INCOME","1993-06-18","2026-05-02","Per=Y","Days=T","Dir=V")</f>
        <v>0</v>
      </c>
      <c r="AG2">
        <f>BDH("HUBG US Equity","IS_INT_EXPENSE","1993-06-18","2026-05-02","Per=Y","Days=T","Dir=V")</f>
        <v>0</v>
      </c>
      <c r="AI2">
        <f>BDH("HUBG US Equity","IS_DEPR_EXP","1993-06-18","2026-05-02","Per=Y","Days=T","Dir=V")</f>
        <v>0</v>
      </c>
      <c r="AK2">
        <f>BDH("HUBG US Equity","CF_CASH_FROM_OPER","1993-06-18","2026-05-02","Per=Y","Days=T","Dir=V")</f>
        <v>0</v>
      </c>
      <c r="AM2">
        <f>BDH("HUBG US Equity","CAPITAL_EXPEND","1993-06-18","2026-05-02","Per=Y","Days=T","Dir=V")</f>
        <v>0</v>
      </c>
      <c r="AO2">
        <f>BDH("HUBG US Equity","CF_FREE_CASH_FLOW","1993-06-18","2026-05-02","Per=Y","Days=T","Dir=V")</f>
        <v>0</v>
      </c>
      <c r="AQ2">
        <f>BDH("HUBG US Equity","PX_LAST","1993-06-18","2026-05-02","Per=M","Days=T","Dir=V")</f>
        <v>0</v>
      </c>
      <c r="AS2">
        <f>BDH("HUBG US Equity","CUR_MKT_CAP","1993-06-18","2026-05-02","Per=M","Days=T","Dir=V")</f>
        <v>0</v>
      </c>
      <c r="AU2">
        <f>BDH("HUBG US Equity","EQY_SH_OUT","1993-06-18","2026-05-02","Per=M","Days=T","Dir=V")</f>
        <v>0</v>
      </c>
      <c r="AW2">
        <f>BDH("HUBG US Equity","PX_VOLUME","1993-06-18","2026-05-02","Per=M","Days=T","Dir=V")</f>
        <v>0</v>
      </c>
      <c r="AY2">
        <f>BDH("HUBG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BDH("HUBS US Equity","BS_TOT_ASSET","1993-06-18","2026-05-02","Per=Y","Days=T","Dir=V")</f>
        <v>0</v>
      </c>
      <c r="C2">
        <f>BDH("HUBS US Equity","BS_TOT_LIAB2","1993-06-18","2026-05-02","Per=Y","Days=T","Dir=V")</f>
        <v>0</v>
      </c>
      <c r="E2">
        <f>BDH("HUBS US Equity","SHORT_AND_LONG_TERM_DEBT","1993-06-18","2026-05-02","Per=Y","Days=T","Dir=V")</f>
        <v>0</v>
      </c>
      <c r="G2">
        <f>BDH("HUBS US Equity","BS_ST_BORROW","1993-06-18","2026-05-02","Per=Y","Days=T","Dir=V")</f>
        <v>0</v>
      </c>
      <c r="I2">
        <f>BDH("HUBS US Equity","BS_LT_BORROW","1993-06-18","2026-05-02","Per=Y","Days=T","Dir=V")</f>
        <v>0</v>
      </c>
      <c r="K2">
        <f>BDH("HUBS US Equity","BS_CASH_NEAR_CASH_ITEM","1993-06-18","2026-05-02","Per=Y","Days=T","Dir=V")</f>
        <v>0</v>
      </c>
      <c r="M2">
        <f>BDH("HUBS US Equity","BS_CUR_ASSET_REPORT","1993-06-18","2026-05-02","Per=Y","Days=T","Dir=V")</f>
        <v>0</v>
      </c>
      <c r="O2">
        <f>BDH("HUBS US Equity","BS_CUR_LIAB","1993-06-18","2026-05-02","Per=Y","Days=T","Dir=V")</f>
        <v>0</v>
      </c>
      <c r="Q2">
        <f>BDH("HUBS US Equity","BS_SHAREHOLDER_EQY_ENDING_PERIOD","1993-06-18","2026-05-02","Per=Y","Days=T","Dir=V")</f>
        <v>0</v>
      </c>
      <c r="S2">
        <f>BDH("HUBS US Equity","BS_ACCT_NOTE_RCV","1993-06-18","2026-05-02","Per=Y","Days=T","Dir=V")</f>
        <v>0</v>
      </c>
      <c r="U2">
        <f>BDH("HUBS US Equity","BS_INVENTORIES","1993-06-18","2026-05-02","Per=Y","Days=T","Dir=V")</f>
        <v>0</v>
      </c>
      <c r="W2">
        <f>BDH("HUBS US Equity","WORKING_CAPITAL","1993-06-18","2026-05-02","Per=Y","Days=T","Dir=V")</f>
        <v>0</v>
      </c>
      <c r="Y2">
        <f>BDH("HUBS US Equity","SALES_REV_TURN","1993-06-18","2026-05-02","Per=Y","Days=T","Dir=V")</f>
        <v>0</v>
      </c>
      <c r="AA2">
        <f>BDH("HUBS US Equity","EBIT","1993-06-18","2026-05-02","Per=Y","Days=T","Dir=V")</f>
        <v>0</v>
      </c>
      <c r="AC2">
        <f>BDH("HUBS US Equity","EBITDA","1993-06-18","2026-05-02","Per=Y","Days=T","Dir=V")</f>
        <v>0</v>
      </c>
      <c r="AE2">
        <f>BDH("HUBS US Equity","NET_INCOME","1993-06-18","2026-05-02","Per=Y","Days=T","Dir=V")</f>
        <v>0</v>
      </c>
      <c r="AG2">
        <f>BDH("HUBS US Equity","IS_INT_EXPENSE","1993-06-18","2026-05-02","Per=Y","Days=T","Dir=V")</f>
        <v>0</v>
      </c>
      <c r="AI2">
        <f>BDH("HUBS US Equity","IS_DEPR_EXP","1993-06-18","2026-05-02","Per=Y","Days=T","Dir=V")</f>
        <v>0</v>
      </c>
      <c r="AK2">
        <f>BDH("HUBS US Equity","CF_CASH_FROM_OPER","1993-06-18","2026-05-02","Per=Y","Days=T","Dir=V")</f>
        <v>0</v>
      </c>
      <c r="AM2">
        <f>BDH("HUBS US Equity","CAPITAL_EXPEND","1993-06-18","2026-05-02","Per=Y","Days=T","Dir=V")</f>
        <v>0</v>
      </c>
      <c r="AO2">
        <f>BDH("HUBS US Equity","CF_FREE_CASH_FLOW","1993-06-18","2026-05-02","Per=Y","Days=T","Dir=V")</f>
        <v>0</v>
      </c>
      <c r="AQ2">
        <f>BDH("HUBS US Equity","PX_LAST","1993-06-18","2026-05-02","Per=M","Days=T","Dir=V")</f>
        <v>0</v>
      </c>
      <c r="AS2">
        <f>BDH("HUBS US Equity","CUR_MKT_CAP","1993-06-18","2026-05-02","Per=M","Days=T","Dir=V")</f>
        <v>0</v>
      </c>
      <c r="AU2">
        <f>BDH("HUBS US Equity","EQY_SH_OUT","1993-06-18","2026-05-02","Per=M","Days=T","Dir=V")</f>
        <v>0</v>
      </c>
      <c r="AW2">
        <f>BDH("HUBS US Equity","PX_VOLUME","1993-06-18","2026-05-02","Per=M","Days=T","Dir=V")</f>
        <v>0</v>
      </c>
      <c r="AY2">
        <f>BDH("HUBS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BDH("HUCK US Equity","BS_TOT_ASSET","1993-06-18","2026-05-02","Per=Y","Days=T","Dir=V")</f>
        <v>0</v>
      </c>
      <c r="C2">
        <f>BDH("HUCK US Equity","BS_TOT_LIAB2","1993-06-18","2026-05-02","Per=Y","Days=T","Dir=V")</f>
        <v>0</v>
      </c>
      <c r="E2">
        <f>BDH("HUCK US Equity","SHORT_AND_LONG_TERM_DEBT","1993-06-18","2026-05-02","Per=Y","Days=T","Dir=V")</f>
        <v>0</v>
      </c>
      <c r="G2">
        <f>BDH("HUCK US Equity","BS_ST_BORROW","1993-06-18","2026-05-02","Per=Y","Days=T","Dir=V")</f>
        <v>0</v>
      </c>
      <c r="I2">
        <f>BDH("HUCK US Equity","BS_LT_BORROW","1993-06-18","2026-05-02","Per=Y","Days=T","Dir=V")</f>
        <v>0</v>
      </c>
      <c r="K2">
        <f>BDH("HUCK US Equity","BS_CASH_NEAR_CASH_ITEM","1993-06-18","2026-05-02","Per=Y","Days=T","Dir=V")</f>
        <v>0</v>
      </c>
      <c r="M2">
        <f>BDH("HUCK US Equity","BS_CUR_ASSET_REPORT","1993-06-18","2026-05-02","Per=Y","Days=T","Dir=V")</f>
        <v>0</v>
      </c>
      <c r="O2">
        <f>BDH("HUCK US Equity","BS_CUR_LIAB","1993-06-18","2026-05-02","Per=Y","Days=T","Dir=V")</f>
        <v>0</v>
      </c>
      <c r="Q2">
        <f>BDH("HUCK US Equity","BS_SHAREHOLDER_EQY_ENDING_PERIOD","1993-06-18","2026-05-02","Per=Y","Days=T","Dir=V")</f>
        <v>0</v>
      </c>
      <c r="S2">
        <f>BDH("HUCK US Equity","BS_ACCT_NOTE_RCV","1993-06-18","2026-05-02","Per=Y","Days=T","Dir=V")</f>
        <v>0</v>
      </c>
      <c r="U2">
        <f>BDH("HUCK US Equity","BS_INVENTORIES","1993-06-18","2026-05-02","Per=Y","Days=T","Dir=V")</f>
        <v>0</v>
      </c>
      <c r="W2">
        <f>BDH("HUCK US Equity","WORKING_CAPITAL","1993-06-18","2026-05-02","Per=Y","Days=T","Dir=V")</f>
        <v>0</v>
      </c>
      <c r="Y2">
        <f>BDH("HUCK US Equity","SALES_REV_TURN","1993-06-18","2026-05-02","Per=Y","Days=T","Dir=V")</f>
        <v>0</v>
      </c>
      <c r="AA2">
        <f>BDH("HUCK US Equity","EBIT","1993-06-18","2026-05-02","Per=Y","Days=T","Dir=V")</f>
        <v>0</v>
      </c>
      <c r="AC2">
        <f>BDH("HUCK US Equity","EBITDA","1993-06-18","2026-05-02","Per=Y","Days=T","Dir=V")</f>
        <v>0</v>
      </c>
      <c r="AE2">
        <f>BDH("HUCK US Equity","NET_INCOME","1993-06-18","2026-05-02","Per=Y","Days=T","Dir=V")</f>
        <v>0</v>
      </c>
      <c r="AG2">
        <f>BDH("HUCK US Equity","IS_INT_EXPENSE","1993-06-18","2026-05-02","Per=Y","Days=T","Dir=V")</f>
        <v>0</v>
      </c>
      <c r="AI2">
        <f>BDH("HUCK US Equity","IS_DEPR_EXP","1993-06-18","2026-05-02","Per=Y","Days=T","Dir=V")</f>
        <v>0</v>
      </c>
      <c r="AK2">
        <f>BDH("HUCK US Equity","CF_CASH_FROM_OPER","1993-06-18","2026-05-02","Per=Y","Days=T","Dir=V")</f>
        <v>0</v>
      </c>
      <c r="AM2">
        <f>BDH("HUCK US Equity","CAPITAL_EXPEND","1993-06-18","2026-05-02","Per=Y","Days=T","Dir=V")</f>
        <v>0</v>
      </c>
      <c r="AO2">
        <f>BDH("HUCK US Equity","CF_FREE_CASH_FLOW","1993-06-18","2026-05-02","Per=Y","Days=T","Dir=V")</f>
        <v>0</v>
      </c>
      <c r="AQ2">
        <f>BDH("HUCK US Equity","PX_LAST","1993-06-18","2026-05-02","Per=M","Days=T","Dir=V")</f>
        <v>0</v>
      </c>
      <c r="AS2">
        <f>BDH("HUCK US Equity","CUR_MKT_CAP","1993-06-18","2026-05-02","Per=M","Days=T","Dir=V")</f>
        <v>0</v>
      </c>
      <c r="AU2">
        <f>BDH("HUCK US Equity","EQY_SH_OUT","1993-06-18","2026-05-02","Per=M","Days=T","Dir=V")</f>
        <v>0</v>
      </c>
      <c r="AW2">
        <f>BDH("HUCK US Equity","PX_VOLUME","1993-06-18","2026-05-02","Per=M","Days=T","Dir=V")</f>
        <v>0</v>
      </c>
      <c r="AY2">
        <f>BDH("HUCK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BDH("HUM US Equity","BS_TOT_ASSET","1993-06-18","2026-05-02","Per=Y","Days=T","Dir=V")</f>
        <v>0</v>
      </c>
      <c r="C2">
        <f>BDH("HUM US Equity","BS_TOT_LIAB2","1993-06-18","2026-05-02","Per=Y","Days=T","Dir=V")</f>
        <v>0</v>
      </c>
      <c r="E2">
        <f>BDH("HUM US Equity","SHORT_AND_LONG_TERM_DEBT","1993-06-18","2026-05-02","Per=Y","Days=T","Dir=V")</f>
        <v>0</v>
      </c>
      <c r="G2">
        <f>BDH("HUM US Equity","BS_ST_BORROW","1993-06-18","2026-05-02","Per=Y","Days=T","Dir=V")</f>
        <v>0</v>
      </c>
      <c r="I2">
        <f>BDH("HUM US Equity","BS_LT_BORROW","1993-06-18","2026-05-02","Per=Y","Days=T","Dir=V")</f>
        <v>0</v>
      </c>
      <c r="K2">
        <f>BDH("HUM US Equity","BS_CASH_NEAR_CASH_ITEM","1993-06-18","2026-05-02","Per=Y","Days=T","Dir=V")</f>
        <v>0</v>
      </c>
      <c r="M2">
        <f>BDH("HUM US Equity","BS_CUR_ASSET_REPORT","1993-06-18","2026-05-02","Per=Y","Days=T","Dir=V")</f>
        <v>0</v>
      </c>
      <c r="O2">
        <f>BDH("HUM US Equity","BS_CUR_LIAB","1993-06-18","2026-05-02","Per=Y","Days=T","Dir=V")</f>
        <v>0</v>
      </c>
      <c r="Q2">
        <f>BDH("HUM US Equity","BS_SHAREHOLDER_EQY_ENDING_PERIOD","1993-06-18","2026-05-02","Per=Y","Days=T","Dir=V")</f>
        <v>0</v>
      </c>
      <c r="S2">
        <f>BDH("HUM US Equity","BS_ACCT_NOTE_RCV","1993-06-18","2026-05-02","Per=Y","Days=T","Dir=V")</f>
        <v>0</v>
      </c>
      <c r="U2">
        <f>BDH("HUM US Equity","BS_INVENTORIES","1993-06-18","2026-05-02","Per=Y","Days=T","Dir=V")</f>
        <v>0</v>
      </c>
      <c r="W2">
        <f>BDH("HUM US Equity","WORKING_CAPITAL","1993-06-18","2026-05-02","Per=Y","Days=T","Dir=V")</f>
        <v>0</v>
      </c>
      <c r="Y2">
        <f>BDH("HUM US Equity","SALES_REV_TURN","1993-06-18","2026-05-02","Per=Y","Days=T","Dir=V")</f>
        <v>0</v>
      </c>
      <c r="AA2">
        <f>BDH("HUM US Equity","EBIT","1993-06-18","2026-05-02","Per=Y","Days=T","Dir=V")</f>
        <v>0</v>
      </c>
      <c r="AC2">
        <f>BDH("HUM US Equity","EBITDA","1993-06-18","2026-05-02","Per=Y","Days=T","Dir=V")</f>
        <v>0</v>
      </c>
      <c r="AE2">
        <f>BDH("HUM US Equity","NET_INCOME","1993-06-18","2026-05-02","Per=Y","Days=T","Dir=V")</f>
        <v>0</v>
      </c>
      <c r="AG2">
        <f>BDH("HUM US Equity","IS_INT_EXPENSE","1993-06-18","2026-05-02","Per=Y","Days=T","Dir=V")</f>
        <v>0</v>
      </c>
      <c r="AI2">
        <f>BDH("HUM US Equity","IS_DEPR_EXP","1993-06-18","2026-05-02","Per=Y","Days=T","Dir=V")</f>
        <v>0</v>
      </c>
      <c r="AK2">
        <f>BDH("HUM US Equity","CF_CASH_FROM_OPER","1993-06-18","2026-05-02","Per=Y","Days=T","Dir=V")</f>
        <v>0</v>
      </c>
      <c r="AM2">
        <f>BDH("HUM US Equity","CAPITAL_EXPEND","1993-06-18","2026-05-02","Per=Y","Days=T","Dir=V")</f>
        <v>0</v>
      </c>
      <c r="AO2">
        <f>BDH("HUM US Equity","CF_FREE_CASH_FLOW","1993-06-18","2026-05-02","Per=Y","Days=T","Dir=V")</f>
        <v>0</v>
      </c>
      <c r="AQ2">
        <f>BDH("HUM US Equity","PX_LAST","1993-06-18","2026-05-02","Per=M","Days=T","Dir=V")</f>
        <v>0</v>
      </c>
      <c r="AS2">
        <f>BDH("HUM US Equity","CUR_MKT_CAP","1993-06-18","2026-05-02","Per=M","Days=T","Dir=V")</f>
        <v>0</v>
      </c>
      <c r="AU2">
        <f>BDH("HUM US Equity","EQY_SH_OUT","1993-06-18","2026-05-02","Per=M","Days=T","Dir=V")</f>
        <v>0</v>
      </c>
      <c r="AW2">
        <f>BDH("HUM US Equity","PX_VOLUME","1993-06-18","2026-05-02","Per=M","Days=T","Dir=V")</f>
        <v>0</v>
      </c>
      <c r="AY2">
        <f>BDH("HUM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BDH("HUMA US Equity","BS_TOT_ASSET","1993-06-18","2026-05-02","Per=Y","Days=T","Dir=V")</f>
        <v>0</v>
      </c>
      <c r="C2">
        <f>BDH("HUMA US Equity","BS_TOT_LIAB2","1993-06-18","2026-05-02","Per=Y","Days=T","Dir=V")</f>
        <v>0</v>
      </c>
      <c r="E2">
        <f>BDH("HUMA US Equity","SHORT_AND_LONG_TERM_DEBT","1993-06-18","2026-05-02","Per=Y","Days=T","Dir=V")</f>
        <v>0</v>
      </c>
      <c r="G2">
        <f>BDH("HUMA US Equity","BS_ST_BORROW","1993-06-18","2026-05-02","Per=Y","Days=T","Dir=V")</f>
        <v>0</v>
      </c>
      <c r="I2">
        <f>BDH("HUMA US Equity","BS_LT_BORROW","1993-06-18","2026-05-02","Per=Y","Days=T","Dir=V")</f>
        <v>0</v>
      </c>
      <c r="K2">
        <f>BDH("HUMA US Equity","BS_CASH_NEAR_CASH_ITEM","1993-06-18","2026-05-02","Per=Y","Days=T","Dir=V")</f>
        <v>0</v>
      </c>
      <c r="M2">
        <f>BDH("HUMA US Equity","BS_CUR_ASSET_REPORT","1993-06-18","2026-05-02","Per=Y","Days=T","Dir=V")</f>
        <v>0</v>
      </c>
      <c r="O2">
        <f>BDH("HUMA US Equity","BS_CUR_LIAB","1993-06-18","2026-05-02","Per=Y","Days=T","Dir=V")</f>
        <v>0</v>
      </c>
      <c r="Q2">
        <f>BDH("HUMA US Equity","BS_SHAREHOLDER_EQY_ENDING_PERIOD","1993-06-18","2026-05-02","Per=Y","Days=T","Dir=V")</f>
        <v>0</v>
      </c>
      <c r="S2">
        <f>BDH("HUMA US Equity","BS_ACCT_NOTE_RCV","1993-06-18","2026-05-02","Per=Y","Days=T","Dir=V")</f>
        <v>0</v>
      </c>
      <c r="U2">
        <f>BDH("HUMA US Equity","BS_INVENTORIES","1993-06-18","2026-05-02","Per=Y","Days=T","Dir=V")</f>
        <v>0</v>
      </c>
      <c r="W2">
        <f>BDH("HUMA US Equity","WORKING_CAPITAL","1993-06-18","2026-05-02","Per=Y","Days=T","Dir=V")</f>
        <v>0</v>
      </c>
      <c r="Y2">
        <f>BDH("HUMA US Equity","SALES_REV_TURN","1993-06-18","2026-05-02","Per=Y","Days=T","Dir=V")</f>
        <v>0</v>
      </c>
      <c r="AA2">
        <f>BDH("HUMA US Equity","EBIT","1993-06-18","2026-05-02","Per=Y","Days=T","Dir=V")</f>
        <v>0</v>
      </c>
      <c r="AC2">
        <f>BDH("HUMA US Equity","EBITDA","1993-06-18","2026-05-02","Per=Y","Days=T","Dir=V")</f>
        <v>0</v>
      </c>
      <c r="AE2">
        <f>BDH("HUMA US Equity","NET_INCOME","1993-06-18","2026-05-02","Per=Y","Days=T","Dir=V")</f>
        <v>0</v>
      </c>
      <c r="AG2">
        <f>BDH("HUMA US Equity","IS_INT_EXPENSE","1993-06-18","2026-05-02","Per=Y","Days=T","Dir=V")</f>
        <v>0</v>
      </c>
      <c r="AI2">
        <f>BDH("HUMA US Equity","IS_DEPR_EXP","1993-06-18","2026-05-02","Per=Y","Days=T","Dir=V")</f>
        <v>0</v>
      </c>
      <c r="AK2">
        <f>BDH("HUMA US Equity","CF_CASH_FROM_OPER","1993-06-18","2026-05-02","Per=Y","Days=T","Dir=V")</f>
        <v>0</v>
      </c>
      <c r="AM2">
        <f>BDH("HUMA US Equity","CAPITAL_EXPEND","1993-06-18","2026-05-02","Per=Y","Days=T","Dir=V")</f>
        <v>0</v>
      </c>
      <c r="AO2">
        <f>BDH("HUMA US Equity","CF_FREE_CASH_FLOW","1993-06-18","2026-05-02","Per=Y","Days=T","Dir=V")</f>
        <v>0</v>
      </c>
      <c r="AQ2">
        <f>BDH("HUMA US Equity","PX_LAST","1993-06-18","2026-05-02","Per=M","Days=T","Dir=V")</f>
        <v>0</v>
      </c>
      <c r="AS2">
        <f>BDH("HUMA US Equity","CUR_MKT_CAP","1993-06-18","2026-05-02","Per=M","Days=T","Dir=V")</f>
        <v>0</v>
      </c>
      <c r="AU2">
        <f>BDH("HUMA US Equity","EQY_SH_OUT","1993-06-18","2026-05-02","Per=M","Days=T","Dir=V")</f>
        <v>0</v>
      </c>
      <c r="AW2">
        <f>BDH("HUMA US Equity","PX_VOLUME","1993-06-18","2026-05-02","Per=M","Days=T","Dir=V")</f>
        <v>0</v>
      </c>
      <c r="AY2">
        <f>BDH("HUMA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BDH("HUN US Equity","BS_TOT_ASSET","1993-06-18","2026-05-02","Per=Y","Days=T","Dir=V")</f>
        <v>0</v>
      </c>
      <c r="C2">
        <f>BDH("HUN US Equity","BS_TOT_LIAB2","1993-06-18","2026-05-02","Per=Y","Days=T","Dir=V")</f>
        <v>0</v>
      </c>
      <c r="E2">
        <f>BDH("HUN US Equity","SHORT_AND_LONG_TERM_DEBT","1993-06-18","2026-05-02","Per=Y","Days=T","Dir=V")</f>
        <v>0</v>
      </c>
      <c r="G2">
        <f>BDH("HUN US Equity","BS_ST_BORROW","1993-06-18","2026-05-02","Per=Y","Days=T","Dir=V")</f>
        <v>0</v>
      </c>
      <c r="I2">
        <f>BDH("HUN US Equity","BS_LT_BORROW","1993-06-18","2026-05-02","Per=Y","Days=T","Dir=V")</f>
        <v>0</v>
      </c>
      <c r="K2">
        <f>BDH("HUN US Equity","BS_CASH_NEAR_CASH_ITEM","1993-06-18","2026-05-02","Per=Y","Days=T","Dir=V")</f>
        <v>0</v>
      </c>
      <c r="M2">
        <f>BDH("HUN US Equity","BS_CUR_ASSET_REPORT","1993-06-18","2026-05-02","Per=Y","Days=T","Dir=V")</f>
        <v>0</v>
      </c>
      <c r="O2">
        <f>BDH("HUN US Equity","BS_CUR_LIAB","1993-06-18","2026-05-02","Per=Y","Days=T","Dir=V")</f>
        <v>0</v>
      </c>
      <c r="Q2">
        <f>BDH("HUN US Equity","BS_SHAREHOLDER_EQY_ENDING_PERIOD","1993-06-18","2026-05-02","Per=Y","Days=T","Dir=V")</f>
        <v>0</v>
      </c>
      <c r="S2">
        <f>BDH("HUN US Equity","BS_ACCT_NOTE_RCV","1993-06-18","2026-05-02","Per=Y","Days=T","Dir=V")</f>
        <v>0</v>
      </c>
      <c r="U2">
        <f>BDH("HUN US Equity","BS_INVENTORIES","1993-06-18","2026-05-02","Per=Y","Days=T","Dir=V")</f>
        <v>0</v>
      </c>
      <c r="W2">
        <f>BDH("HUN US Equity","WORKING_CAPITAL","1993-06-18","2026-05-02","Per=Y","Days=T","Dir=V")</f>
        <v>0</v>
      </c>
      <c r="Y2">
        <f>BDH("HUN US Equity","SALES_REV_TURN","1993-06-18","2026-05-02","Per=Y","Days=T","Dir=V")</f>
        <v>0</v>
      </c>
      <c r="AA2">
        <f>BDH("HUN US Equity","EBIT","1993-06-18","2026-05-02","Per=Y","Days=T","Dir=V")</f>
        <v>0</v>
      </c>
      <c r="AC2">
        <f>BDH("HUN US Equity","EBITDA","1993-06-18","2026-05-02","Per=Y","Days=T","Dir=V")</f>
        <v>0</v>
      </c>
      <c r="AE2">
        <f>BDH("HUN US Equity","NET_INCOME","1993-06-18","2026-05-02","Per=Y","Days=T","Dir=V")</f>
        <v>0</v>
      </c>
      <c r="AG2">
        <f>BDH("HUN US Equity","IS_INT_EXPENSE","1993-06-18","2026-05-02","Per=Y","Days=T","Dir=V")</f>
        <v>0</v>
      </c>
      <c r="AI2">
        <f>BDH("HUN US Equity","IS_DEPR_EXP","1993-06-18","2026-05-02","Per=Y","Days=T","Dir=V")</f>
        <v>0</v>
      </c>
      <c r="AK2">
        <f>BDH("HUN US Equity","CF_CASH_FROM_OPER","1993-06-18","2026-05-02","Per=Y","Days=T","Dir=V")</f>
        <v>0</v>
      </c>
      <c r="AM2">
        <f>BDH("HUN US Equity","CAPITAL_EXPEND","1993-06-18","2026-05-02","Per=Y","Days=T","Dir=V")</f>
        <v>0</v>
      </c>
      <c r="AO2">
        <f>BDH("HUN US Equity","CF_FREE_CASH_FLOW","1993-06-18","2026-05-02","Per=Y","Days=T","Dir=V")</f>
        <v>0</v>
      </c>
      <c r="AQ2">
        <f>BDH("HUN US Equity","PX_LAST","1993-06-18","2026-05-02","Per=M","Days=T","Dir=V")</f>
        <v>0</v>
      </c>
      <c r="AS2">
        <f>BDH("HUN US Equity","CUR_MKT_CAP","1993-06-18","2026-05-02","Per=M","Days=T","Dir=V")</f>
        <v>0</v>
      </c>
      <c r="AU2">
        <f>BDH("HUN US Equity","EQY_SH_OUT","1993-06-18","2026-05-02","Per=M","Days=T","Dir=V")</f>
        <v>0</v>
      </c>
      <c r="AW2">
        <f>BDH("HUN US Equity","PX_VOLUME","1993-06-18","2026-05-02","Per=M","Days=T","Dir=V")</f>
        <v>0</v>
      </c>
      <c r="AY2">
        <f>BDH("HUN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BDH("HURA US Equity","BS_TOT_ASSET","1993-06-18","2026-05-02","Per=Y","Days=T","Dir=V")</f>
        <v>0</v>
      </c>
      <c r="C2">
        <f>BDH("HURA US Equity","BS_TOT_LIAB2","1993-06-18","2026-05-02","Per=Y","Days=T","Dir=V")</f>
        <v>0</v>
      </c>
      <c r="E2">
        <f>BDH("HURA US Equity","SHORT_AND_LONG_TERM_DEBT","1993-06-18","2026-05-02","Per=Y","Days=T","Dir=V")</f>
        <v>0</v>
      </c>
      <c r="G2">
        <f>BDH("HURA US Equity","BS_ST_BORROW","1993-06-18","2026-05-02","Per=Y","Days=T","Dir=V")</f>
        <v>0</v>
      </c>
      <c r="I2">
        <f>BDH("HURA US Equity","BS_LT_BORROW","1993-06-18","2026-05-02","Per=Y","Days=T","Dir=V")</f>
        <v>0</v>
      </c>
      <c r="K2">
        <f>BDH("HURA US Equity","BS_CASH_NEAR_CASH_ITEM","1993-06-18","2026-05-02","Per=Y","Days=T","Dir=V")</f>
        <v>0</v>
      </c>
      <c r="M2">
        <f>BDH("HURA US Equity","BS_CUR_ASSET_REPORT","1993-06-18","2026-05-02","Per=Y","Days=T","Dir=V")</f>
        <v>0</v>
      </c>
      <c r="O2">
        <f>BDH("HURA US Equity","BS_CUR_LIAB","1993-06-18","2026-05-02","Per=Y","Days=T","Dir=V")</f>
        <v>0</v>
      </c>
      <c r="Q2">
        <f>BDH("HURA US Equity","BS_SHAREHOLDER_EQY_ENDING_PERIOD","1993-06-18","2026-05-02","Per=Y","Days=T","Dir=V")</f>
        <v>0</v>
      </c>
      <c r="S2">
        <f>BDH("HURA US Equity","BS_ACCT_NOTE_RCV","1993-06-18","2026-05-02","Per=Y","Days=T","Dir=V")</f>
        <v>0</v>
      </c>
      <c r="U2">
        <f>BDH("HURA US Equity","BS_INVENTORIES","1993-06-18","2026-05-02","Per=Y","Days=T","Dir=V")</f>
        <v>0</v>
      </c>
      <c r="W2">
        <f>BDH("HURA US Equity","WORKING_CAPITAL","1993-06-18","2026-05-02","Per=Y","Days=T","Dir=V")</f>
        <v>0</v>
      </c>
      <c r="Y2">
        <f>BDH("HURA US Equity","SALES_REV_TURN","1993-06-18","2026-05-02","Per=Y","Days=T","Dir=V")</f>
        <v>0</v>
      </c>
      <c r="AA2">
        <f>BDH("HURA US Equity","EBIT","1993-06-18","2026-05-02","Per=Y","Days=T","Dir=V")</f>
        <v>0</v>
      </c>
      <c r="AC2">
        <f>BDH("HURA US Equity","EBITDA","1993-06-18","2026-05-02","Per=Y","Days=T","Dir=V")</f>
        <v>0</v>
      </c>
      <c r="AE2">
        <f>BDH("HURA US Equity","NET_INCOME","1993-06-18","2026-05-02","Per=Y","Days=T","Dir=V")</f>
        <v>0</v>
      </c>
      <c r="AG2">
        <f>BDH("HURA US Equity","IS_INT_EXPENSE","1993-06-18","2026-05-02","Per=Y","Days=T","Dir=V")</f>
        <v>0</v>
      </c>
      <c r="AI2">
        <f>BDH("HURA US Equity","IS_DEPR_EXP","1993-06-18","2026-05-02","Per=Y","Days=T","Dir=V")</f>
        <v>0</v>
      </c>
      <c r="AK2">
        <f>BDH("HURA US Equity","CF_CASH_FROM_OPER","1993-06-18","2026-05-02","Per=Y","Days=T","Dir=V")</f>
        <v>0</v>
      </c>
      <c r="AM2">
        <f>BDH("HURA US Equity","CAPITAL_EXPEND","1993-06-18","2026-05-02","Per=Y","Days=T","Dir=V")</f>
        <v>0</v>
      </c>
      <c r="AO2">
        <f>BDH("HURA US Equity","CF_FREE_CASH_FLOW","1993-06-18","2026-05-02","Per=Y","Days=T","Dir=V")</f>
        <v>0</v>
      </c>
      <c r="AQ2">
        <f>BDH("HURA US Equity","PX_LAST","1993-06-18","2026-05-02","Per=M","Days=T","Dir=V")</f>
        <v>0</v>
      </c>
      <c r="AS2">
        <f>BDH("HURA US Equity","CUR_MKT_CAP","1993-06-18","2026-05-02","Per=M","Days=T","Dir=V")</f>
        <v>0</v>
      </c>
      <c r="AU2">
        <f>BDH("HURA US Equity","EQY_SH_OUT","1993-06-18","2026-05-02","Per=M","Days=T","Dir=V")</f>
        <v>0</v>
      </c>
      <c r="AW2">
        <f>BDH("HURA US Equity","PX_VOLUME","1993-06-18","2026-05-02","Per=M","Days=T","Dir=V")</f>
        <v>0</v>
      </c>
      <c r="AY2">
        <f>BDH("HURA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BDH("HURC US Equity","BS_TOT_ASSET","1993-06-18","2026-05-02","Per=Y","Days=T","Dir=V")</f>
        <v>0</v>
      </c>
      <c r="C2">
        <f>BDH("HURC US Equity","BS_TOT_LIAB2","1993-06-18","2026-05-02","Per=Y","Days=T","Dir=V")</f>
        <v>0</v>
      </c>
      <c r="E2">
        <f>BDH("HURC US Equity","SHORT_AND_LONG_TERM_DEBT","1993-06-18","2026-05-02","Per=Y","Days=T","Dir=V")</f>
        <v>0</v>
      </c>
      <c r="G2">
        <f>BDH("HURC US Equity","BS_ST_BORROW","1993-06-18","2026-05-02","Per=Y","Days=T","Dir=V")</f>
        <v>0</v>
      </c>
      <c r="I2">
        <f>BDH("HURC US Equity","BS_LT_BORROW","1993-06-18","2026-05-02","Per=Y","Days=T","Dir=V")</f>
        <v>0</v>
      </c>
      <c r="K2">
        <f>BDH("HURC US Equity","BS_CASH_NEAR_CASH_ITEM","1993-06-18","2026-05-02","Per=Y","Days=T","Dir=V")</f>
        <v>0</v>
      </c>
      <c r="M2">
        <f>BDH("HURC US Equity","BS_CUR_ASSET_REPORT","1993-06-18","2026-05-02","Per=Y","Days=T","Dir=V")</f>
        <v>0</v>
      </c>
      <c r="O2">
        <f>BDH("HURC US Equity","BS_CUR_LIAB","1993-06-18","2026-05-02","Per=Y","Days=T","Dir=V")</f>
        <v>0</v>
      </c>
      <c r="Q2">
        <f>BDH("HURC US Equity","BS_SHAREHOLDER_EQY_ENDING_PERIOD","1993-06-18","2026-05-02","Per=Y","Days=T","Dir=V")</f>
        <v>0</v>
      </c>
      <c r="S2">
        <f>BDH("HURC US Equity","BS_ACCT_NOTE_RCV","1993-06-18","2026-05-02","Per=Y","Days=T","Dir=V")</f>
        <v>0</v>
      </c>
      <c r="U2">
        <f>BDH("HURC US Equity","BS_INVENTORIES","1993-06-18","2026-05-02","Per=Y","Days=T","Dir=V")</f>
        <v>0</v>
      </c>
      <c r="W2">
        <f>BDH("HURC US Equity","WORKING_CAPITAL","1993-06-18","2026-05-02","Per=Y","Days=T","Dir=V")</f>
        <v>0</v>
      </c>
      <c r="Y2">
        <f>BDH("HURC US Equity","SALES_REV_TURN","1993-06-18","2026-05-02","Per=Y","Days=T","Dir=V")</f>
        <v>0</v>
      </c>
      <c r="AA2">
        <f>BDH("HURC US Equity","EBIT","1993-06-18","2026-05-02","Per=Y","Days=T","Dir=V")</f>
        <v>0</v>
      </c>
      <c r="AC2">
        <f>BDH("HURC US Equity","EBITDA","1993-06-18","2026-05-02","Per=Y","Days=T","Dir=V")</f>
        <v>0</v>
      </c>
      <c r="AE2">
        <f>BDH("HURC US Equity","NET_INCOME","1993-06-18","2026-05-02","Per=Y","Days=T","Dir=V")</f>
        <v>0</v>
      </c>
      <c r="AG2">
        <f>BDH("HURC US Equity","IS_INT_EXPENSE","1993-06-18","2026-05-02","Per=Y","Days=T","Dir=V")</f>
        <v>0</v>
      </c>
      <c r="AI2">
        <f>BDH("HURC US Equity","IS_DEPR_EXP","1993-06-18","2026-05-02","Per=Y","Days=T","Dir=V")</f>
        <v>0</v>
      </c>
      <c r="AK2">
        <f>BDH("HURC US Equity","CF_CASH_FROM_OPER","1993-06-18","2026-05-02","Per=Y","Days=T","Dir=V")</f>
        <v>0</v>
      </c>
      <c r="AM2">
        <f>BDH("HURC US Equity","CAPITAL_EXPEND","1993-06-18","2026-05-02","Per=Y","Days=T","Dir=V")</f>
        <v>0</v>
      </c>
      <c r="AO2">
        <f>BDH("HURC US Equity","CF_FREE_CASH_FLOW","1993-06-18","2026-05-02","Per=Y","Days=T","Dir=V")</f>
        <v>0</v>
      </c>
      <c r="AQ2">
        <f>BDH("HURC US Equity","PX_LAST","1993-06-18","2026-05-02","Per=M","Days=T","Dir=V")</f>
        <v>0</v>
      </c>
      <c r="AS2">
        <f>BDH("HURC US Equity","CUR_MKT_CAP","1993-06-18","2026-05-02","Per=M","Days=T","Dir=V")</f>
        <v>0</v>
      </c>
      <c r="AU2">
        <f>BDH("HURC US Equity","EQY_SH_OUT","1993-06-18","2026-05-02","Per=M","Days=T","Dir=V")</f>
        <v>0</v>
      </c>
      <c r="AW2">
        <f>BDH("HURC US Equity","PX_VOLUME","1993-06-18","2026-05-02","Per=M","Days=T","Dir=V")</f>
        <v>0</v>
      </c>
      <c r="AY2">
        <f>BDH("HURC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BDH("HURN US Equity","BS_TOT_ASSET","1993-06-18","2026-05-02","Per=Y","Days=T","Dir=V")</f>
        <v>0</v>
      </c>
      <c r="C2">
        <f>BDH("HURN US Equity","BS_TOT_LIAB2","1993-06-18","2026-05-02","Per=Y","Days=T","Dir=V")</f>
        <v>0</v>
      </c>
      <c r="E2">
        <f>BDH("HURN US Equity","SHORT_AND_LONG_TERM_DEBT","1993-06-18","2026-05-02","Per=Y","Days=T","Dir=V")</f>
        <v>0</v>
      </c>
      <c r="G2">
        <f>BDH("HURN US Equity","BS_ST_BORROW","1993-06-18","2026-05-02","Per=Y","Days=T","Dir=V")</f>
        <v>0</v>
      </c>
      <c r="I2">
        <f>BDH("HURN US Equity","BS_LT_BORROW","1993-06-18","2026-05-02","Per=Y","Days=T","Dir=V")</f>
        <v>0</v>
      </c>
      <c r="K2">
        <f>BDH("HURN US Equity","BS_CASH_NEAR_CASH_ITEM","1993-06-18","2026-05-02","Per=Y","Days=T","Dir=V")</f>
        <v>0</v>
      </c>
      <c r="M2">
        <f>BDH("HURN US Equity","BS_CUR_ASSET_REPORT","1993-06-18","2026-05-02","Per=Y","Days=T","Dir=V")</f>
        <v>0</v>
      </c>
      <c r="O2">
        <f>BDH("HURN US Equity","BS_CUR_LIAB","1993-06-18","2026-05-02","Per=Y","Days=T","Dir=V")</f>
        <v>0</v>
      </c>
      <c r="Q2">
        <f>BDH("HURN US Equity","BS_SHAREHOLDER_EQY_ENDING_PERIOD","1993-06-18","2026-05-02","Per=Y","Days=T","Dir=V")</f>
        <v>0</v>
      </c>
      <c r="S2">
        <f>BDH("HURN US Equity","BS_ACCT_NOTE_RCV","1993-06-18","2026-05-02","Per=Y","Days=T","Dir=V")</f>
        <v>0</v>
      </c>
      <c r="U2">
        <f>BDH("HURN US Equity","BS_INVENTORIES","1993-06-18","2026-05-02","Per=Y","Days=T","Dir=V")</f>
        <v>0</v>
      </c>
      <c r="W2">
        <f>BDH("HURN US Equity","WORKING_CAPITAL","1993-06-18","2026-05-02","Per=Y","Days=T","Dir=V")</f>
        <v>0</v>
      </c>
      <c r="Y2">
        <f>BDH("HURN US Equity","SALES_REV_TURN","1993-06-18","2026-05-02","Per=Y","Days=T","Dir=V")</f>
        <v>0</v>
      </c>
      <c r="AA2">
        <f>BDH("HURN US Equity","EBIT","1993-06-18","2026-05-02","Per=Y","Days=T","Dir=V")</f>
        <v>0</v>
      </c>
      <c r="AC2">
        <f>BDH("HURN US Equity","EBITDA","1993-06-18","2026-05-02","Per=Y","Days=T","Dir=V")</f>
        <v>0</v>
      </c>
      <c r="AE2">
        <f>BDH("HURN US Equity","NET_INCOME","1993-06-18","2026-05-02","Per=Y","Days=T","Dir=V")</f>
        <v>0</v>
      </c>
      <c r="AG2">
        <f>BDH("HURN US Equity","IS_INT_EXPENSE","1993-06-18","2026-05-02","Per=Y","Days=T","Dir=V")</f>
        <v>0</v>
      </c>
      <c r="AI2">
        <f>BDH("HURN US Equity","IS_DEPR_EXP","1993-06-18","2026-05-02","Per=Y","Days=T","Dir=V")</f>
        <v>0</v>
      </c>
      <c r="AK2">
        <f>BDH("HURN US Equity","CF_CASH_FROM_OPER","1993-06-18","2026-05-02","Per=Y","Days=T","Dir=V")</f>
        <v>0</v>
      </c>
      <c r="AM2">
        <f>BDH("HURN US Equity","CAPITAL_EXPEND","1993-06-18","2026-05-02","Per=Y","Days=T","Dir=V")</f>
        <v>0</v>
      </c>
      <c r="AO2">
        <f>BDH("HURN US Equity","CF_FREE_CASH_FLOW","1993-06-18","2026-05-02","Per=Y","Days=T","Dir=V")</f>
        <v>0</v>
      </c>
      <c r="AQ2">
        <f>BDH("HURN US Equity","PX_LAST","1993-06-18","2026-05-02","Per=M","Days=T","Dir=V")</f>
        <v>0</v>
      </c>
      <c r="AS2">
        <f>BDH("HURN US Equity","CUR_MKT_CAP","1993-06-18","2026-05-02","Per=M","Days=T","Dir=V")</f>
        <v>0</v>
      </c>
      <c r="AU2">
        <f>BDH("HURN US Equity","EQY_SH_OUT","1993-06-18","2026-05-02","Per=M","Days=T","Dir=V")</f>
        <v>0</v>
      </c>
      <c r="AW2">
        <f>BDH("HURN US Equity","PX_VOLUME","1993-06-18","2026-05-02","Per=M","Days=T","Dir=V")</f>
        <v>0</v>
      </c>
      <c r="AY2">
        <f>BDH("HURN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BDH("HUYA US Equity","BS_TOT_ASSET","1993-06-18","2026-05-02","Per=Y","Days=T","Dir=V")</f>
        <v>0</v>
      </c>
      <c r="C2">
        <f>BDH("HUYA US Equity","BS_TOT_LIAB2","1993-06-18","2026-05-02","Per=Y","Days=T","Dir=V")</f>
        <v>0</v>
      </c>
      <c r="E2">
        <f>BDH("HUYA US Equity","SHORT_AND_LONG_TERM_DEBT","1993-06-18","2026-05-02","Per=Y","Days=T","Dir=V")</f>
        <v>0</v>
      </c>
      <c r="G2">
        <f>BDH("HUYA US Equity","BS_ST_BORROW","1993-06-18","2026-05-02","Per=Y","Days=T","Dir=V")</f>
        <v>0</v>
      </c>
      <c r="I2">
        <f>BDH("HUYA US Equity","BS_LT_BORROW","1993-06-18","2026-05-02","Per=Y","Days=T","Dir=V")</f>
        <v>0</v>
      </c>
      <c r="K2">
        <f>BDH("HUYA US Equity","BS_CASH_NEAR_CASH_ITEM","1993-06-18","2026-05-02","Per=Y","Days=T","Dir=V")</f>
        <v>0</v>
      </c>
      <c r="M2">
        <f>BDH("HUYA US Equity","BS_CUR_ASSET_REPORT","1993-06-18","2026-05-02","Per=Y","Days=T","Dir=V")</f>
        <v>0</v>
      </c>
      <c r="O2">
        <f>BDH("HUYA US Equity","BS_CUR_LIAB","1993-06-18","2026-05-02","Per=Y","Days=T","Dir=V")</f>
        <v>0</v>
      </c>
      <c r="Q2">
        <f>BDH("HUYA US Equity","BS_SHAREHOLDER_EQY_ENDING_PERIOD","1993-06-18","2026-05-02","Per=Y","Days=T","Dir=V")</f>
        <v>0</v>
      </c>
      <c r="S2">
        <f>BDH("HUYA US Equity","BS_ACCT_NOTE_RCV","1993-06-18","2026-05-02","Per=Y","Days=T","Dir=V")</f>
        <v>0</v>
      </c>
      <c r="U2">
        <f>BDH("HUYA US Equity","BS_INVENTORIES","1993-06-18","2026-05-02","Per=Y","Days=T","Dir=V")</f>
        <v>0</v>
      </c>
      <c r="W2">
        <f>BDH("HUYA US Equity","WORKING_CAPITAL","1993-06-18","2026-05-02","Per=Y","Days=T","Dir=V")</f>
        <v>0</v>
      </c>
      <c r="Y2">
        <f>BDH("HUYA US Equity","SALES_REV_TURN","1993-06-18","2026-05-02","Per=Y","Days=T","Dir=V")</f>
        <v>0</v>
      </c>
      <c r="AA2">
        <f>BDH("HUYA US Equity","EBIT","1993-06-18","2026-05-02","Per=Y","Days=T","Dir=V")</f>
        <v>0</v>
      </c>
      <c r="AC2">
        <f>BDH("HUYA US Equity","EBITDA","1993-06-18","2026-05-02","Per=Y","Days=T","Dir=V")</f>
        <v>0</v>
      </c>
      <c r="AE2">
        <f>BDH("HUYA US Equity","NET_INCOME","1993-06-18","2026-05-02","Per=Y","Days=T","Dir=V")</f>
        <v>0</v>
      </c>
      <c r="AG2">
        <f>BDH("HUYA US Equity","IS_INT_EXPENSE","1993-06-18","2026-05-02","Per=Y","Days=T","Dir=V")</f>
        <v>0</v>
      </c>
      <c r="AI2">
        <f>BDH("HUYA US Equity","IS_DEPR_EXP","1993-06-18","2026-05-02","Per=Y","Days=T","Dir=V")</f>
        <v>0</v>
      </c>
      <c r="AK2">
        <f>BDH("HUYA US Equity","CF_CASH_FROM_OPER","1993-06-18","2026-05-02","Per=Y","Days=T","Dir=V")</f>
        <v>0</v>
      </c>
      <c r="AM2">
        <f>BDH("HUYA US Equity","CAPITAL_EXPEND","1993-06-18","2026-05-02","Per=Y","Days=T","Dir=V")</f>
        <v>0</v>
      </c>
      <c r="AO2">
        <f>BDH("HUYA US Equity","CF_FREE_CASH_FLOW","1993-06-18","2026-05-02","Per=Y","Days=T","Dir=V")</f>
        <v>0</v>
      </c>
      <c r="AQ2">
        <f>BDH("HUYA US Equity","PX_LAST","1993-06-18","2026-05-02","Per=M","Days=T","Dir=V")</f>
        <v>0</v>
      </c>
      <c r="AS2">
        <f>BDH("HUYA US Equity","CUR_MKT_CAP","1993-06-18","2026-05-02","Per=M","Days=T","Dir=V")</f>
        <v>0</v>
      </c>
      <c r="AU2">
        <f>BDH("HUYA US Equity","EQY_SH_OUT","1993-06-18","2026-05-02","Per=M","Days=T","Dir=V")</f>
        <v>0</v>
      </c>
      <c r="AW2">
        <f>BDH("HUYA US Equity","PX_VOLUME","1993-06-18","2026-05-02","Per=M","Days=T","Dir=V")</f>
        <v>0</v>
      </c>
      <c r="AY2">
        <f>BDH("HUYA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BDH("HVT US Equity","BS_TOT_ASSET","1993-06-18","2026-05-02","Per=Y","Days=T","Dir=V")</f>
        <v>0</v>
      </c>
      <c r="C2">
        <f>BDH("HVT US Equity","BS_TOT_LIAB2","1993-06-18","2026-05-02","Per=Y","Days=T","Dir=V")</f>
        <v>0</v>
      </c>
      <c r="E2">
        <f>BDH("HVT US Equity","SHORT_AND_LONG_TERM_DEBT","1993-06-18","2026-05-02","Per=Y","Days=T","Dir=V")</f>
        <v>0</v>
      </c>
      <c r="G2">
        <f>BDH("HVT US Equity","BS_ST_BORROW","1993-06-18","2026-05-02","Per=Y","Days=T","Dir=V")</f>
        <v>0</v>
      </c>
      <c r="I2">
        <f>BDH("HVT US Equity","BS_LT_BORROW","1993-06-18","2026-05-02","Per=Y","Days=T","Dir=V")</f>
        <v>0</v>
      </c>
      <c r="K2">
        <f>BDH("HVT US Equity","BS_CASH_NEAR_CASH_ITEM","1993-06-18","2026-05-02","Per=Y","Days=T","Dir=V")</f>
        <v>0</v>
      </c>
      <c r="M2">
        <f>BDH("HVT US Equity","BS_CUR_ASSET_REPORT","1993-06-18","2026-05-02","Per=Y","Days=T","Dir=V")</f>
        <v>0</v>
      </c>
      <c r="O2">
        <f>BDH("HVT US Equity","BS_CUR_LIAB","1993-06-18","2026-05-02","Per=Y","Days=T","Dir=V")</f>
        <v>0</v>
      </c>
      <c r="Q2">
        <f>BDH("HVT US Equity","BS_SHAREHOLDER_EQY_ENDING_PERIOD","1993-06-18","2026-05-02","Per=Y","Days=T","Dir=V")</f>
        <v>0</v>
      </c>
      <c r="S2">
        <f>BDH("HVT US Equity","BS_ACCT_NOTE_RCV","1993-06-18","2026-05-02","Per=Y","Days=T","Dir=V")</f>
        <v>0</v>
      </c>
      <c r="U2">
        <f>BDH("HVT US Equity","BS_INVENTORIES","1993-06-18","2026-05-02","Per=Y","Days=T","Dir=V")</f>
        <v>0</v>
      </c>
      <c r="W2">
        <f>BDH("HVT US Equity","WORKING_CAPITAL","1993-06-18","2026-05-02","Per=Y","Days=T","Dir=V")</f>
        <v>0</v>
      </c>
      <c r="Y2">
        <f>BDH("HVT US Equity","SALES_REV_TURN","1993-06-18","2026-05-02","Per=Y","Days=T","Dir=V")</f>
        <v>0</v>
      </c>
      <c r="AA2">
        <f>BDH("HVT US Equity","EBIT","1993-06-18","2026-05-02","Per=Y","Days=T","Dir=V")</f>
        <v>0</v>
      </c>
      <c r="AC2">
        <f>BDH("HVT US Equity","EBITDA","1993-06-18","2026-05-02","Per=Y","Days=T","Dir=V")</f>
        <v>0</v>
      </c>
      <c r="AE2">
        <f>BDH("HVT US Equity","NET_INCOME","1993-06-18","2026-05-02","Per=Y","Days=T","Dir=V")</f>
        <v>0</v>
      </c>
      <c r="AG2">
        <f>BDH("HVT US Equity","IS_INT_EXPENSE","1993-06-18","2026-05-02","Per=Y","Days=T","Dir=V")</f>
        <v>0</v>
      </c>
      <c r="AI2">
        <f>BDH("HVT US Equity","IS_DEPR_EXP","1993-06-18","2026-05-02","Per=Y","Days=T","Dir=V")</f>
        <v>0</v>
      </c>
      <c r="AK2">
        <f>BDH("HVT US Equity","CF_CASH_FROM_OPER","1993-06-18","2026-05-02","Per=Y","Days=T","Dir=V")</f>
        <v>0</v>
      </c>
      <c r="AM2">
        <f>BDH("HVT US Equity","CAPITAL_EXPEND","1993-06-18","2026-05-02","Per=Y","Days=T","Dir=V")</f>
        <v>0</v>
      </c>
      <c r="AO2">
        <f>BDH("HVT US Equity","CF_FREE_CASH_FLOW","1993-06-18","2026-05-02","Per=Y","Days=T","Dir=V")</f>
        <v>0</v>
      </c>
      <c r="AQ2">
        <f>BDH("HVT US Equity","PX_LAST","1993-06-18","2026-05-02","Per=M","Days=T","Dir=V")</f>
        <v>0</v>
      </c>
      <c r="AS2">
        <f>BDH("HVT US Equity","CUR_MKT_CAP","1993-06-18","2026-05-02","Per=M","Days=T","Dir=V")</f>
        <v>0</v>
      </c>
      <c r="AU2">
        <f>BDH("HVT US Equity","EQY_SH_OUT","1993-06-18","2026-05-02","Per=M","Days=T","Dir=V")</f>
        <v>0</v>
      </c>
      <c r="AW2">
        <f>BDH("HVT US Equity","PX_VOLUME","1993-06-18","2026-05-02","Per=M","Days=T","Dir=V")</f>
        <v>0</v>
      </c>
      <c r="AY2">
        <f>BDH("HVT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BDH("HWKN US Equity","BS_TOT_ASSET","1993-06-18","2026-05-02","Per=Y","Days=T","Dir=V")</f>
        <v>0</v>
      </c>
      <c r="C2">
        <f>BDH("HWKN US Equity","BS_TOT_LIAB2","1993-06-18","2026-05-02","Per=Y","Days=T","Dir=V")</f>
        <v>0</v>
      </c>
      <c r="E2">
        <f>BDH("HWKN US Equity","SHORT_AND_LONG_TERM_DEBT","1993-06-18","2026-05-02","Per=Y","Days=T","Dir=V")</f>
        <v>0</v>
      </c>
      <c r="G2">
        <f>BDH("HWKN US Equity","BS_ST_BORROW","1993-06-18","2026-05-02","Per=Y","Days=T","Dir=V")</f>
        <v>0</v>
      </c>
      <c r="I2">
        <f>BDH("HWKN US Equity","BS_LT_BORROW","1993-06-18","2026-05-02","Per=Y","Days=T","Dir=V")</f>
        <v>0</v>
      </c>
      <c r="K2">
        <f>BDH("HWKN US Equity","BS_CASH_NEAR_CASH_ITEM","1993-06-18","2026-05-02","Per=Y","Days=T","Dir=V")</f>
        <v>0</v>
      </c>
      <c r="M2">
        <f>BDH("HWKN US Equity","BS_CUR_ASSET_REPORT","1993-06-18","2026-05-02","Per=Y","Days=T","Dir=V")</f>
        <v>0</v>
      </c>
      <c r="O2">
        <f>BDH("HWKN US Equity","BS_CUR_LIAB","1993-06-18","2026-05-02","Per=Y","Days=T","Dir=V")</f>
        <v>0</v>
      </c>
      <c r="Q2">
        <f>BDH("HWKN US Equity","BS_SHAREHOLDER_EQY_ENDING_PERIOD","1993-06-18","2026-05-02","Per=Y","Days=T","Dir=V")</f>
        <v>0</v>
      </c>
      <c r="S2">
        <f>BDH("HWKN US Equity","BS_ACCT_NOTE_RCV","1993-06-18","2026-05-02","Per=Y","Days=T","Dir=V")</f>
        <v>0</v>
      </c>
      <c r="U2">
        <f>BDH("HWKN US Equity","BS_INVENTORIES","1993-06-18","2026-05-02","Per=Y","Days=T","Dir=V")</f>
        <v>0</v>
      </c>
      <c r="W2">
        <f>BDH("HWKN US Equity","WORKING_CAPITAL","1993-06-18","2026-05-02","Per=Y","Days=T","Dir=V")</f>
        <v>0</v>
      </c>
      <c r="Y2">
        <f>BDH("HWKN US Equity","SALES_REV_TURN","1993-06-18","2026-05-02","Per=Y","Days=T","Dir=V")</f>
        <v>0</v>
      </c>
      <c r="AA2">
        <f>BDH("HWKN US Equity","EBIT","1993-06-18","2026-05-02","Per=Y","Days=T","Dir=V")</f>
        <v>0</v>
      </c>
      <c r="AC2">
        <f>BDH("HWKN US Equity","EBITDA","1993-06-18","2026-05-02","Per=Y","Days=T","Dir=V")</f>
        <v>0</v>
      </c>
      <c r="AE2">
        <f>BDH("HWKN US Equity","NET_INCOME","1993-06-18","2026-05-02","Per=Y","Days=T","Dir=V")</f>
        <v>0</v>
      </c>
      <c r="AG2">
        <f>BDH("HWKN US Equity","IS_INT_EXPENSE","1993-06-18","2026-05-02","Per=Y","Days=T","Dir=V")</f>
        <v>0</v>
      </c>
      <c r="AI2">
        <f>BDH("HWKN US Equity","IS_DEPR_EXP","1993-06-18","2026-05-02","Per=Y","Days=T","Dir=V")</f>
        <v>0</v>
      </c>
      <c r="AK2">
        <f>BDH("HWKN US Equity","CF_CASH_FROM_OPER","1993-06-18","2026-05-02","Per=Y","Days=T","Dir=V")</f>
        <v>0</v>
      </c>
      <c r="AM2">
        <f>BDH("HWKN US Equity","CAPITAL_EXPEND","1993-06-18","2026-05-02","Per=Y","Days=T","Dir=V")</f>
        <v>0</v>
      </c>
      <c r="AO2">
        <f>BDH("HWKN US Equity","CF_FREE_CASH_FLOW","1993-06-18","2026-05-02","Per=Y","Days=T","Dir=V")</f>
        <v>0</v>
      </c>
      <c r="AQ2">
        <f>BDH("HWKN US Equity","PX_LAST","1993-06-18","2026-05-02","Per=M","Days=T","Dir=V")</f>
        <v>0</v>
      </c>
      <c r="AS2">
        <f>BDH("HWKN US Equity","CUR_MKT_CAP","1993-06-18","2026-05-02","Per=M","Days=T","Dir=V")</f>
        <v>0</v>
      </c>
      <c r="AU2">
        <f>BDH("HWKN US Equity","EQY_SH_OUT","1993-06-18","2026-05-02","Per=M","Days=T","Dir=V")</f>
        <v>0</v>
      </c>
      <c r="AW2">
        <f>BDH("HWKN US Equity","PX_VOLUME","1993-06-18","2026-05-02","Per=M","Days=T","Dir=V")</f>
        <v>0</v>
      </c>
      <c r="AY2">
        <f>BDH("HWKN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BDH("HWM US Equity","BS_TOT_ASSET","1993-06-18","2026-05-02","Per=Y","Days=T","Dir=V")</f>
        <v>0</v>
      </c>
      <c r="C2">
        <f>BDH("HWM US Equity","BS_TOT_LIAB2","1993-06-18","2026-05-02","Per=Y","Days=T","Dir=V")</f>
        <v>0</v>
      </c>
      <c r="E2">
        <f>BDH("HWM US Equity","SHORT_AND_LONG_TERM_DEBT","1993-06-18","2026-05-02","Per=Y","Days=T","Dir=V")</f>
        <v>0</v>
      </c>
      <c r="G2">
        <f>BDH("HWM US Equity","BS_ST_BORROW","1993-06-18","2026-05-02","Per=Y","Days=T","Dir=V")</f>
        <v>0</v>
      </c>
      <c r="I2">
        <f>BDH("HWM US Equity","BS_LT_BORROW","1993-06-18","2026-05-02","Per=Y","Days=T","Dir=V")</f>
        <v>0</v>
      </c>
      <c r="K2">
        <f>BDH("HWM US Equity","BS_CASH_NEAR_CASH_ITEM","1993-06-18","2026-05-02","Per=Y","Days=T","Dir=V")</f>
        <v>0</v>
      </c>
      <c r="M2">
        <f>BDH("HWM US Equity","BS_CUR_ASSET_REPORT","1993-06-18","2026-05-02","Per=Y","Days=T","Dir=V")</f>
        <v>0</v>
      </c>
      <c r="O2">
        <f>BDH("HWM US Equity","BS_CUR_LIAB","1993-06-18","2026-05-02","Per=Y","Days=T","Dir=V")</f>
        <v>0</v>
      </c>
      <c r="Q2">
        <f>BDH("HWM US Equity","BS_SHAREHOLDER_EQY_ENDING_PERIOD","1993-06-18","2026-05-02","Per=Y","Days=T","Dir=V")</f>
        <v>0</v>
      </c>
      <c r="S2">
        <f>BDH("HWM US Equity","BS_ACCT_NOTE_RCV","1993-06-18","2026-05-02","Per=Y","Days=T","Dir=V")</f>
        <v>0</v>
      </c>
      <c r="U2">
        <f>BDH("HWM US Equity","BS_INVENTORIES","1993-06-18","2026-05-02","Per=Y","Days=T","Dir=V")</f>
        <v>0</v>
      </c>
      <c r="W2">
        <f>BDH("HWM US Equity","WORKING_CAPITAL","1993-06-18","2026-05-02","Per=Y","Days=T","Dir=V")</f>
        <v>0</v>
      </c>
      <c r="Y2">
        <f>BDH("HWM US Equity","SALES_REV_TURN","1993-06-18","2026-05-02","Per=Y","Days=T","Dir=V")</f>
        <v>0</v>
      </c>
      <c r="AA2">
        <f>BDH("HWM US Equity","EBIT","1993-06-18","2026-05-02","Per=Y","Days=T","Dir=V")</f>
        <v>0</v>
      </c>
      <c r="AC2">
        <f>BDH("HWM US Equity","EBITDA","1993-06-18","2026-05-02","Per=Y","Days=T","Dir=V")</f>
        <v>0</v>
      </c>
      <c r="AE2">
        <f>BDH("HWM US Equity","NET_INCOME","1993-06-18","2026-05-02","Per=Y","Days=T","Dir=V")</f>
        <v>0</v>
      </c>
      <c r="AG2">
        <f>BDH("HWM US Equity","IS_INT_EXPENSE","1993-06-18","2026-05-02","Per=Y","Days=T","Dir=V")</f>
        <v>0</v>
      </c>
      <c r="AI2">
        <f>BDH("HWM US Equity","IS_DEPR_EXP","1993-06-18","2026-05-02","Per=Y","Days=T","Dir=V")</f>
        <v>0</v>
      </c>
      <c r="AK2">
        <f>BDH("HWM US Equity","CF_CASH_FROM_OPER","1993-06-18","2026-05-02","Per=Y","Days=T","Dir=V")</f>
        <v>0</v>
      </c>
      <c r="AM2">
        <f>BDH("HWM US Equity","CAPITAL_EXPEND","1993-06-18","2026-05-02","Per=Y","Days=T","Dir=V")</f>
        <v>0</v>
      </c>
      <c r="AO2">
        <f>BDH("HWM US Equity","CF_FREE_CASH_FLOW","1993-06-18","2026-05-02","Per=Y","Days=T","Dir=V")</f>
        <v>0</v>
      </c>
      <c r="AQ2">
        <f>BDH("HWM US Equity","PX_LAST","1993-06-18","2026-05-02","Per=M","Days=T","Dir=V")</f>
        <v>0</v>
      </c>
      <c r="AS2">
        <f>BDH("HWM US Equity","CUR_MKT_CAP","1993-06-18","2026-05-02","Per=M","Days=T","Dir=V")</f>
        <v>0</v>
      </c>
      <c r="AU2">
        <f>BDH("HWM US Equity","EQY_SH_OUT","1993-06-18","2026-05-02","Per=M","Days=T","Dir=V")</f>
        <v>0</v>
      </c>
      <c r="AW2">
        <f>BDH("HWM US Equity","PX_VOLUME","1993-06-18","2026-05-02","Per=M","Days=T","Dir=V")</f>
        <v>0</v>
      </c>
      <c r="AY2">
        <f>BDH("HWM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BDH("HXL US Equity","BS_TOT_ASSET","1993-06-18","2026-05-02","Per=Y","Days=T","Dir=V")</f>
        <v>0</v>
      </c>
      <c r="C2">
        <f>BDH("HXL US Equity","BS_TOT_LIAB2","1993-06-18","2026-05-02","Per=Y","Days=T","Dir=V")</f>
        <v>0</v>
      </c>
      <c r="E2">
        <f>BDH("HXL US Equity","SHORT_AND_LONG_TERM_DEBT","1993-06-18","2026-05-02","Per=Y","Days=T","Dir=V")</f>
        <v>0</v>
      </c>
      <c r="G2">
        <f>BDH("HXL US Equity","BS_ST_BORROW","1993-06-18","2026-05-02","Per=Y","Days=T","Dir=V")</f>
        <v>0</v>
      </c>
      <c r="I2">
        <f>BDH("HXL US Equity","BS_LT_BORROW","1993-06-18","2026-05-02","Per=Y","Days=T","Dir=V")</f>
        <v>0</v>
      </c>
      <c r="K2">
        <f>BDH("HXL US Equity","BS_CASH_NEAR_CASH_ITEM","1993-06-18","2026-05-02","Per=Y","Days=T","Dir=V")</f>
        <v>0</v>
      </c>
      <c r="M2">
        <f>BDH("HXL US Equity","BS_CUR_ASSET_REPORT","1993-06-18","2026-05-02","Per=Y","Days=T","Dir=V")</f>
        <v>0</v>
      </c>
      <c r="O2">
        <f>BDH("HXL US Equity","BS_CUR_LIAB","1993-06-18","2026-05-02","Per=Y","Days=T","Dir=V")</f>
        <v>0</v>
      </c>
      <c r="Q2">
        <f>BDH("HXL US Equity","BS_SHAREHOLDER_EQY_ENDING_PERIOD","1993-06-18","2026-05-02","Per=Y","Days=T","Dir=V")</f>
        <v>0</v>
      </c>
      <c r="S2">
        <f>BDH("HXL US Equity","BS_ACCT_NOTE_RCV","1993-06-18","2026-05-02","Per=Y","Days=T","Dir=V")</f>
        <v>0</v>
      </c>
      <c r="U2">
        <f>BDH("HXL US Equity","BS_INVENTORIES","1993-06-18","2026-05-02","Per=Y","Days=T","Dir=V")</f>
        <v>0</v>
      </c>
      <c r="W2">
        <f>BDH("HXL US Equity","WORKING_CAPITAL","1993-06-18","2026-05-02","Per=Y","Days=T","Dir=V")</f>
        <v>0</v>
      </c>
      <c r="Y2">
        <f>BDH("HXL US Equity","SALES_REV_TURN","1993-06-18","2026-05-02","Per=Y","Days=T","Dir=V")</f>
        <v>0</v>
      </c>
      <c r="AA2">
        <f>BDH("HXL US Equity","EBIT","1993-06-18","2026-05-02","Per=Y","Days=T","Dir=V")</f>
        <v>0</v>
      </c>
      <c r="AC2">
        <f>BDH("HXL US Equity","EBITDA","1993-06-18","2026-05-02","Per=Y","Days=T","Dir=V")</f>
        <v>0</v>
      </c>
      <c r="AE2">
        <f>BDH("HXL US Equity","NET_INCOME","1993-06-18","2026-05-02","Per=Y","Days=T","Dir=V")</f>
        <v>0</v>
      </c>
      <c r="AG2">
        <f>BDH("HXL US Equity","IS_INT_EXPENSE","1993-06-18","2026-05-02","Per=Y","Days=T","Dir=V")</f>
        <v>0</v>
      </c>
      <c r="AI2">
        <f>BDH("HXL US Equity","IS_DEPR_EXP","1993-06-18","2026-05-02","Per=Y","Days=T","Dir=V")</f>
        <v>0</v>
      </c>
      <c r="AK2">
        <f>BDH("HXL US Equity","CF_CASH_FROM_OPER","1993-06-18","2026-05-02","Per=Y","Days=T","Dir=V")</f>
        <v>0</v>
      </c>
      <c r="AM2">
        <f>BDH("HXL US Equity","CAPITAL_EXPEND","1993-06-18","2026-05-02","Per=Y","Days=T","Dir=V")</f>
        <v>0</v>
      </c>
      <c r="AO2">
        <f>BDH("HXL US Equity","CF_FREE_CASH_FLOW","1993-06-18","2026-05-02","Per=Y","Days=T","Dir=V")</f>
        <v>0</v>
      </c>
      <c r="AQ2">
        <f>BDH("HXL US Equity","PX_LAST","1993-06-18","2026-05-02","Per=M","Days=T","Dir=V")</f>
        <v>0</v>
      </c>
      <c r="AS2">
        <f>BDH("HXL US Equity","CUR_MKT_CAP","1993-06-18","2026-05-02","Per=M","Days=T","Dir=V")</f>
        <v>0</v>
      </c>
      <c r="AU2">
        <f>BDH("HXL US Equity","EQY_SH_OUT","1993-06-18","2026-05-02","Per=M","Days=T","Dir=V")</f>
        <v>0</v>
      </c>
      <c r="AW2">
        <f>BDH("HXL US Equity","PX_VOLUME","1993-06-18","2026-05-02","Per=M","Days=T","Dir=V")</f>
        <v>0</v>
      </c>
      <c r="AY2">
        <f>BDH("HXL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BDH("HY US Equity","BS_TOT_ASSET","1993-06-18","2026-05-02","Per=Y","Days=T","Dir=V")</f>
        <v>0</v>
      </c>
      <c r="C2">
        <f>BDH("HY US Equity","BS_TOT_LIAB2","1993-06-18","2026-05-02","Per=Y","Days=T","Dir=V")</f>
        <v>0</v>
      </c>
      <c r="E2">
        <f>BDH("HY US Equity","SHORT_AND_LONG_TERM_DEBT","1993-06-18","2026-05-02","Per=Y","Days=T","Dir=V")</f>
        <v>0</v>
      </c>
      <c r="G2">
        <f>BDH("HY US Equity","BS_ST_BORROW","1993-06-18","2026-05-02","Per=Y","Days=T","Dir=V")</f>
        <v>0</v>
      </c>
      <c r="I2">
        <f>BDH("HY US Equity","BS_LT_BORROW","1993-06-18","2026-05-02","Per=Y","Days=T","Dir=V")</f>
        <v>0</v>
      </c>
      <c r="K2">
        <f>BDH("HY US Equity","BS_CASH_NEAR_CASH_ITEM","1993-06-18","2026-05-02","Per=Y","Days=T","Dir=V")</f>
        <v>0</v>
      </c>
      <c r="M2">
        <f>BDH("HY US Equity","BS_CUR_ASSET_REPORT","1993-06-18","2026-05-02","Per=Y","Days=T","Dir=V")</f>
        <v>0</v>
      </c>
      <c r="O2">
        <f>BDH("HY US Equity","BS_CUR_LIAB","1993-06-18","2026-05-02","Per=Y","Days=T","Dir=V")</f>
        <v>0</v>
      </c>
      <c r="Q2">
        <f>BDH("HY US Equity","BS_SHAREHOLDER_EQY_ENDING_PERIOD","1993-06-18","2026-05-02","Per=Y","Days=T","Dir=V")</f>
        <v>0</v>
      </c>
      <c r="S2">
        <f>BDH("HY US Equity","BS_ACCT_NOTE_RCV","1993-06-18","2026-05-02","Per=Y","Days=T","Dir=V")</f>
        <v>0</v>
      </c>
      <c r="U2">
        <f>BDH("HY US Equity","BS_INVENTORIES","1993-06-18","2026-05-02","Per=Y","Days=T","Dir=V")</f>
        <v>0</v>
      </c>
      <c r="W2">
        <f>BDH("HY US Equity","WORKING_CAPITAL","1993-06-18","2026-05-02","Per=Y","Days=T","Dir=V")</f>
        <v>0</v>
      </c>
      <c r="Y2">
        <f>BDH("HY US Equity","SALES_REV_TURN","1993-06-18","2026-05-02","Per=Y","Days=T","Dir=V")</f>
        <v>0</v>
      </c>
      <c r="AA2">
        <f>BDH("HY US Equity","EBIT","1993-06-18","2026-05-02","Per=Y","Days=T","Dir=V")</f>
        <v>0</v>
      </c>
      <c r="AC2">
        <f>BDH("HY US Equity","EBITDA","1993-06-18","2026-05-02","Per=Y","Days=T","Dir=V")</f>
        <v>0</v>
      </c>
      <c r="AE2">
        <f>BDH("HY US Equity","NET_INCOME","1993-06-18","2026-05-02","Per=Y","Days=T","Dir=V")</f>
        <v>0</v>
      </c>
      <c r="AG2">
        <f>BDH("HY US Equity","IS_INT_EXPENSE","1993-06-18","2026-05-02","Per=Y","Days=T","Dir=V")</f>
        <v>0</v>
      </c>
      <c r="AI2">
        <f>BDH("HY US Equity","IS_DEPR_EXP","1993-06-18","2026-05-02","Per=Y","Days=T","Dir=V")</f>
        <v>0</v>
      </c>
      <c r="AK2">
        <f>BDH("HY US Equity","CF_CASH_FROM_OPER","1993-06-18","2026-05-02","Per=Y","Days=T","Dir=V")</f>
        <v>0</v>
      </c>
      <c r="AM2">
        <f>BDH("HY US Equity","CAPITAL_EXPEND","1993-06-18","2026-05-02","Per=Y","Days=T","Dir=V")</f>
        <v>0</v>
      </c>
      <c r="AO2">
        <f>BDH("HY US Equity","CF_FREE_CASH_FLOW","1993-06-18","2026-05-02","Per=Y","Days=T","Dir=V")</f>
        <v>0</v>
      </c>
      <c r="AQ2">
        <f>BDH("HY US Equity","PX_LAST","1993-06-18","2026-05-02","Per=M","Days=T","Dir=V")</f>
        <v>0</v>
      </c>
      <c r="AS2">
        <f>BDH("HY US Equity","CUR_MKT_CAP","1993-06-18","2026-05-02","Per=M","Days=T","Dir=V")</f>
        <v>0</v>
      </c>
      <c r="AU2">
        <f>BDH("HY US Equity","EQY_SH_OUT","1993-06-18","2026-05-02","Per=M","Days=T","Dir=V")</f>
        <v>0</v>
      </c>
      <c r="AW2">
        <f>BDH("HY US Equity","PX_VOLUME","1993-06-18","2026-05-02","Per=M","Days=T","Dir=V")</f>
        <v>0</v>
      </c>
      <c r="AY2">
        <f>BDH("HY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BDH("HYFM US Equity","BS_TOT_ASSET","1993-06-18","2026-05-02","Per=Y","Days=T","Dir=V")</f>
        <v>0</v>
      </c>
      <c r="C2">
        <f>BDH("HYFM US Equity","BS_TOT_LIAB2","1993-06-18","2026-05-02","Per=Y","Days=T","Dir=V")</f>
        <v>0</v>
      </c>
      <c r="E2">
        <f>BDH("HYFM US Equity","SHORT_AND_LONG_TERM_DEBT","1993-06-18","2026-05-02","Per=Y","Days=T","Dir=V")</f>
        <v>0</v>
      </c>
      <c r="G2">
        <f>BDH("HYFM US Equity","BS_ST_BORROW","1993-06-18","2026-05-02","Per=Y","Days=T","Dir=V")</f>
        <v>0</v>
      </c>
      <c r="I2">
        <f>BDH("HYFM US Equity","BS_LT_BORROW","1993-06-18","2026-05-02","Per=Y","Days=T","Dir=V")</f>
        <v>0</v>
      </c>
      <c r="K2">
        <f>BDH("HYFM US Equity","BS_CASH_NEAR_CASH_ITEM","1993-06-18","2026-05-02","Per=Y","Days=T","Dir=V")</f>
        <v>0</v>
      </c>
      <c r="M2">
        <f>BDH("HYFM US Equity","BS_CUR_ASSET_REPORT","1993-06-18","2026-05-02","Per=Y","Days=T","Dir=V")</f>
        <v>0</v>
      </c>
      <c r="O2">
        <f>BDH("HYFM US Equity","BS_CUR_LIAB","1993-06-18","2026-05-02","Per=Y","Days=T","Dir=V")</f>
        <v>0</v>
      </c>
      <c r="Q2">
        <f>BDH("HYFM US Equity","BS_SHAREHOLDER_EQY_ENDING_PERIOD","1993-06-18","2026-05-02","Per=Y","Days=T","Dir=V")</f>
        <v>0</v>
      </c>
      <c r="S2">
        <f>BDH("HYFM US Equity","BS_ACCT_NOTE_RCV","1993-06-18","2026-05-02","Per=Y","Days=T","Dir=V")</f>
        <v>0</v>
      </c>
      <c r="U2">
        <f>BDH("HYFM US Equity","BS_INVENTORIES","1993-06-18","2026-05-02","Per=Y","Days=T","Dir=V")</f>
        <v>0</v>
      </c>
      <c r="W2">
        <f>BDH("HYFM US Equity","WORKING_CAPITAL","1993-06-18","2026-05-02","Per=Y","Days=T","Dir=V")</f>
        <v>0</v>
      </c>
      <c r="Y2">
        <f>BDH("HYFM US Equity","SALES_REV_TURN","1993-06-18","2026-05-02","Per=Y","Days=T","Dir=V")</f>
        <v>0</v>
      </c>
      <c r="AA2">
        <f>BDH("HYFM US Equity","EBIT","1993-06-18","2026-05-02","Per=Y","Days=T","Dir=V")</f>
        <v>0</v>
      </c>
      <c r="AC2">
        <f>BDH("HYFM US Equity","EBITDA","1993-06-18","2026-05-02","Per=Y","Days=T","Dir=V")</f>
        <v>0</v>
      </c>
      <c r="AE2">
        <f>BDH("HYFM US Equity","NET_INCOME","1993-06-18","2026-05-02","Per=Y","Days=T","Dir=V")</f>
        <v>0</v>
      </c>
      <c r="AG2">
        <f>BDH("HYFM US Equity","IS_INT_EXPENSE","1993-06-18","2026-05-02","Per=Y","Days=T","Dir=V")</f>
        <v>0</v>
      </c>
      <c r="AI2">
        <f>BDH("HYFM US Equity","IS_DEPR_EXP","1993-06-18","2026-05-02","Per=Y","Days=T","Dir=V")</f>
        <v>0</v>
      </c>
      <c r="AK2">
        <f>BDH("HYFM US Equity","CF_CASH_FROM_OPER","1993-06-18","2026-05-02","Per=Y","Days=T","Dir=V")</f>
        <v>0</v>
      </c>
      <c r="AM2">
        <f>BDH("HYFM US Equity","CAPITAL_EXPEND","1993-06-18","2026-05-02","Per=Y","Days=T","Dir=V")</f>
        <v>0</v>
      </c>
      <c r="AO2">
        <f>BDH("HYFM US Equity","CF_FREE_CASH_FLOW","1993-06-18","2026-05-02","Per=Y","Days=T","Dir=V")</f>
        <v>0</v>
      </c>
      <c r="AQ2">
        <f>BDH("HYFM US Equity","PX_LAST","1993-06-18","2026-05-02","Per=M","Days=T","Dir=V")</f>
        <v>0</v>
      </c>
      <c r="AS2">
        <f>BDH("HYFM US Equity","CUR_MKT_CAP","1993-06-18","2026-05-02","Per=M","Days=T","Dir=V")</f>
        <v>0</v>
      </c>
      <c r="AU2">
        <f>BDH("HYFM US Equity","EQY_SH_OUT","1993-06-18","2026-05-02","Per=M","Days=T","Dir=V")</f>
        <v>0</v>
      </c>
      <c r="AW2">
        <f>BDH("HYFM US Equity","PX_VOLUME","1993-06-18","2026-05-02","Per=M","Days=T","Dir=V")</f>
        <v>0</v>
      </c>
      <c r="AY2">
        <f>BDH("HYFM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BDH("HYLN US Equity","BS_TOT_ASSET","1993-06-18","2026-05-02","Per=Y","Days=T","Dir=V")</f>
        <v>0</v>
      </c>
      <c r="C2">
        <f>BDH("HYLN US Equity","BS_TOT_LIAB2","1993-06-18","2026-05-02","Per=Y","Days=T","Dir=V")</f>
        <v>0</v>
      </c>
      <c r="E2">
        <f>BDH("HYLN US Equity","SHORT_AND_LONG_TERM_DEBT","1993-06-18","2026-05-02","Per=Y","Days=T","Dir=V")</f>
        <v>0</v>
      </c>
      <c r="G2">
        <f>BDH("HYLN US Equity","BS_ST_BORROW","1993-06-18","2026-05-02","Per=Y","Days=T","Dir=V")</f>
        <v>0</v>
      </c>
      <c r="I2">
        <f>BDH("HYLN US Equity","BS_LT_BORROW","1993-06-18","2026-05-02","Per=Y","Days=T","Dir=V")</f>
        <v>0</v>
      </c>
      <c r="K2">
        <f>BDH("HYLN US Equity","BS_CASH_NEAR_CASH_ITEM","1993-06-18","2026-05-02","Per=Y","Days=T","Dir=V")</f>
        <v>0</v>
      </c>
      <c r="M2">
        <f>BDH("HYLN US Equity","BS_CUR_ASSET_REPORT","1993-06-18","2026-05-02","Per=Y","Days=T","Dir=V")</f>
        <v>0</v>
      </c>
      <c r="O2">
        <f>BDH("HYLN US Equity","BS_CUR_LIAB","1993-06-18","2026-05-02","Per=Y","Days=T","Dir=V")</f>
        <v>0</v>
      </c>
      <c r="Q2">
        <f>BDH("HYLN US Equity","BS_SHAREHOLDER_EQY_ENDING_PERIOD","1993-06-18","2026-05-02","Per=Y","Days=T","Dir=V")</f>
        <v>0</v>
      </c>
      <c r="S2">
        <f>BDH("HYLN US Equity","BS_ACCT_NOTE_RCV","1993-06-18","2026-05-02","Per=Y","Days=T","Dir=V")</f>
        <v>0</v>
      </c>
      <c r="U2">
        <f>BDH("HYLN US Equity","BS_INVENTORIES","1993-06-18","2026-05-02","Per=Y","Days=T","Dir=V")</f>
        <v>0</v>
      </c>
      <c r="W2">
        <f>BDH("HYLN US Equity","WORKING_CAPITAL","1993-06-18","2026-05-02","Per=Y","Days=T","Dir=V")</f>
        <v>0</v>
      </c>
      <c r="Y2">
        <f>BDH("HYLN US Equity","SALES_REV_TURN","1993-06-18","2026-05-02","Per=Y","Days=T","Dir=V")</f>
        <v>0</v>
      </c>
      <c r="AA2">
        <f>BDH("HYLN US Equity","EBIT","1993-06-18","2026-05-02","Per=Y","Days=T","Dir=V")</f>
        <v>0</v>
      </c>
      <c r="AC2">
        <f>BDH("HYLN US Equity","EBITDA","1993-06-18","2026-05-02","Per=Y","Days=T","Dir=V")</f>
        <v>0</v>
      </c>
      <c r="AE2">
        <f>BDH("HYLN US Equity","NET_INCOME","1993-06-18","2026-05-02","Per=Y","Days=T","Dir=V")</f>
        <v>0</v>
      </c>
      <c r="AG2">
        <f>BDH("HYLN US Equity","IS_INT_EXPENSE","1993-06-18","2026-05-02","Per=Y","Days=T","Dir=V")</f>
        <v>0</v>
      </c>
      <c r="AI2">
        <f>BDH("HYLN US Equity","IS_DEPR_EXP","1993-06-18","2026-05-02","Per=Y","Days=T","Dir=V")</f>
        <v>0</v>
      </c>
      <c r="AK2">
        <f>BDH("HYLN US Equity","CF_CASH_FROM_OPER","1993-06-18","2026-05-02","Per=Y","Days=T","Dir=V")</f>
        <v>0</v>
      </c>
      <c r="AM2">
        <f>BDH("HYLN US Equity","CAPITAL_EXPEND","1993-06-18","2026-05-02","Per=Y","Days=T","Dir=V")</f>
        <v>0</v>
      </c>
      <c r="AO2">
        <f>BDH("HYLN US Equity","CF_FREE_CASH_FLOW","1993-06-18","2026-05-02","Per=Y","Days=T","Dir=V")</f>
        <v>0</v>
      </c>
      <c r="AQ2">
        <f>BDH("HYLN US Equity","PX_LAST","1993-06-18","2026-05-02","Per=M","Days=T","Dir=V")</f>
        <v>0</v>
      </c>
      <c r="AS2">
        <f>BDH("HYLN US Equity","CUR_MKT_CAP","1993-06-18","2026-05-02","Per=M","Days=T","Dir=V")</f>
        <v>0</v>
      </c>
      <c r="AU2">
        <f>BDH("HYLN US Equity","EQY_SH_OUT","1993-06-18","2026-05-02","Per=M","Days=T","Dir=V")</f>
        <v>0</v>
      </c>
      <c r="AW2">
        <f>BDH("HYLN US Equity","PX_VOLUME","1993-06-18","2026-05-02","Per=M","Days=T","Dir=V")</f>
        <v>0</v>
      </c>
      <c r="AY2">
        <f>BDH("HYLN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BDH("HYMC US Equity","BS_TOT_ASSET","1993-06-18","2026-05-02","Per=Y","Days=T","Dir=V")</f>
        <v>0</v>
      </c>
      <c r="C2">
        <f>BDH("HYMC US Equity","BS_TOT_LIAB2","1993-06-18","2026-05-02","Per=Y","Days=T","Dir=V")</f>
        <v>0</v>
      </c>
      <c r="E2">
        <f>BDH("HYMC US Equity","SHORT_AND_LONG_TERM_DEBT","1993-06-18","2026-05-02","Per=Y","Days=T","Dir=V")</f>
        <v>0</v>
      </c>
      <c r="G2">
        <f>BDH("HYMC US Equity","BS_ST_BORROW","1993-06-18","2026-05-02","Per=Y","Days=T","Dir=V")</f>
        <v>0</v>
      </c>
      <c r="I2">
        <f>BDH("HYMC US Equity","BS_LT_BORROW","1993-06-18","2026-05-02","Per=Y","Days=T","Dir=V")</f>
        <v>0</v>
      </c>
      <c r="K2">
        <f>BDH("HYMC US Equity","BS_CASH_NEAR_CASH_ITEM","1993-06-18","2026-05-02","Per=Y","Days=T","Dir=V")</f>
        <v>0</v>
      </c>
      <c r="M2">
        <f>BDH("HYMC US Equity","BS_CUR_ASSET_REPORT","1993-06-18","2026-05-02","Per=Y","Days=T","Dir=V")</f>
        <v>0</v>
      </c>
      <c r="O2">
        <f>BDH("HYMC US Equity","BS_CUR_LIAB","1993-06-18","2026-05-02","Per=Y","Days=T","Dir=V")</f>
        <v>0</v>
      </c>
      <c r="Q2">
        <f>BDH("HYMC US Equity","BS_SHAREHOLDER_EQY_ENDING_PERIOD","1993-06-18","2026-05-02","Per=Y","Days=T","Dir=V")</f>
        <v>0</v>
      </c>
      <c r="S2">
        <f>BDH("HYMC US Equity","BS_ACCT_NOTE_RCV","1993-06-18","2026-05-02","Per=Y","Days=T","Dir=V")</f>
        <v>0</v>
      </c>
      <c r="U2">
        <f>BDH("HYMC US Equity","BS_INVENTORIES","1993-06-18","2026-05-02","Per=Y","Days=T","Dir=V")</f>
        <v>0</v>
      </c>
      <c r="W2">
        <f>BDH("HYMC US Equity","WORKING_CAPITAL","1993-06-18","2026-05-02","Per=Y","Days=T","Dir=V")</f>
        <v>0</v>
      </c>
      <c r="Y2">
        <f>BDH("HYMC US Equity","SALES_REV_TURN","1993-06-18","2026-05-02","Per=Y","Days=T","Dir=V")</f>
        <v>0</v>
      </c>
      <c r="AA2">
        <f>BDH("HYMC US Equity","EBIT","1993-06-18","2026-05-02","Per=Y","Days=T","Dir=V")</f>
        <v>0</v>
      </c>
      <c r="AC2">
        <f>BDH("HYMC US Equity","EBITDA","1993-06-18","2026-05-02","Per=Y","Days=T","Dir=V")</f>
        <v>0</v>
      </c>
      <c r="AE2">
        <f>BDH("HYMC US Equity","NET_INCOME","1993-06-18","2026-05-02","Per=Y","Days=T","Dir=V")</f>
        <v>0</v>
      </c>
      <c r="AG2">
        <f>BDH("HYMC US Equity","IS_INT_EXPENSE","1993-06-18","2026-05-02","Per=Y","Days=T","Dir=V")</f>
        <v>0</v>
      </c>
      <c r="AI2">
        <f>BDH("HYMC US Equity","IS_DEPR_EXP","1993-06-18","2026-05-02","Per=Y","Days=T","Dir=V")</f>
        <v>0</v>
      </c>
      <c r="AK2">
        <f>BDH("HYMC US Equity","CF_CASH_FROM_OPER","1993-06-18","2026-05-02","Per=Y","Days=T","Dir=V")</f>
        <v>0</v>
      </c>
      <c r="AM2">
        <f>BDH("HYMC US Equity","CAPITAL_EXPEND","1993-06-18","2026-05-02","Per=Y","Days=T","Dir=V")</f>
        <v>0</v>
      </c>
      <c r="AO2">
        <f>BDH("HYMC US Equity","CF_FREE_CASH_FLOW","1993-06-18","2026-05-02","Per=Y","Days=T","Dir=V")</f>
        <v>0</v>
      </c>
      <c r="AQ2">
        <f>BDH("HYMC US Equity","PX_LAST","1993-06-18","2026-05-02","Per=M","Days=T","Dir=V")</f>
        <v>0</v>
      </c>
      <c r="AS2">
        <f>BDH("HYMC US Equity","CUR_MKT_CAP","1993-06-18","2026-05-02","Per=M","Days=T","Dir=V")</f>
        <v>0</v>
      </c>
      <c r="AU2">
        <f>BDH("HYMC US Equity","EQY_SH_OUT","1993-06-18","2026-05-02","Per=M","Days=T","Dir=V")</f>
        <v>0</v>
      </c>
      <c r="AW2">
        <f>BDH("HYMC US Equity","PX_VOLUME","1993-06-18","2026-05-02","Per=M","Days=T","Dir=V")</f>
        <v>0</v>
      </c>
      <c r="AY2">
        <f>BDH("HYMC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BDH("HYPD US Equity","BS_TOT_ASSET","1993-06-18","2026-05-02","Per=Y","Days=T","Dir=V")</f>
        <v>0</v>
      </c>
      <c r="C2">
        <f>BDH("HYPD US Equity","BS_TOT_LIAB2","1993-06-18","2026-05-02","Per=Y","Days=T","Dir=V")</f>
        <v>0</v>
      </c>
      <c r="E2">
        <f>BDH("HYPD US Equity","SHORT_AND_LONG_TERM_DEBT","1993-06-18","2026-05-02","Per=Y","Days=T","Dir=V")</f>
        <v>0</v>
      </c>
      <c r="G2">
        <f>BDH("HYPD US Equity","BS_ST_BORROW","1993-06-18","2026-05-02","Per=Y","Days=T","Dir=V")</f>
        <v>0</v>
      </c>
      <c r="I2">
        <f>BDH("HYPD US Equity","BS_LT_BORROW","1993-06-18","2026-05-02","Per=Y","Days=T","Dir=V")</f>
        <v>0</v>
      </c>
      <c r="K2">
        <f>BDH("HYPD US Equity","BS_CASH_NEAR_CASH_ITEM","1993-06-18","2026-05-02","Per=Y","Days=T","Dir=V")</f>
        <v>0</v>
      </c>
      <c r="M2">
        <f>BDH("HYPD US Equity","BS_CUR_ASSET_REPORT","1993-06-18","2026-05-02","Per=Y","Days=T","Dir=V")</f>
        <v>0</v>
      </c>
      <c r="O2">
        <f>BDH("HYPD US Equity","BS_CUR_LIAB","1993-06-18","2026-05-02","Per=Y","Days=T","Dir=V")</f>
        <v>0</v>
      </c>
      <c r="Q2">
        <f>BDH("HYPD US Equity","BS_SHAREHOLDER_EQY_ENDING_PERIOD","1993-06-18","2026-05-02","Per=Y","Days=T","Dir=V")</f>
        <v>0</v>
      </c>
      <c r="S2">
        <f>BDH("HYPD US Equity","BS_ACCT_NOTE_RCV","1993-06-18","2026-05-02","Per=Y","Days=T","Dir=V")</f>
        <v>0</v>
      </c>
      <c r="U2">
        <f>BDH("HYPD US Equity","BS_INVENTORIES","1993-06-18","2026-05-02","Per=Y","Days=T","Dir=V")</f>
        <v>0</v>
      </c>
      <c r="W2">
        <f>BDH("HYPD US Equity","WORKING_CAPITAL","1993-06-18","2026-05-02","Per=Y","Days=T","Dir=V")</f>
        <v>0</v>
      </c>
      <c r="Y2">
        <f>BDH("HYPD US Equity","SALES_REV_TURN","1993-06-18","2026-05-02","Per=Y","Days=T","Dir=V")</f>
        <v>0</v>
      </c>
      <c r="AA2">
        <f>BDH("HYPD US Equity","EBIT","1993-06-18","2026-05-02","Per=Y","Days=T","Dir=V")</f>
        <v>0</v>
      </c>
      <c r="AC2">
        <f>BDH("HYPD US Equity","EBITDA","1993-06-18","2026-05-02","Per=Y","Days=T","Dir=V")</f>
        <v>0</v>
      </c>
      <c r="AE2">
        <f>BDH("HYPD US Equity","NET_INCOME","1993-06-18","2026-05-02","Per=Y","Days=T","Dir=V")</f>
        <v>0</v>
      </c>
      <c r="AG2">
        <f>BDH("HYPD US Equity","IS_INT_EXPENSE","1993-06-18","2026-05-02","Per=Y","Days=T","Dir=V")</f>
        <v>0</v>
      </c>
      <c r="AI2">
        <f>BDH("HYPD US Equity","IS_DEPR_EXP","1993-06-18","2026-05-02","Per=Y","Days=T","Dir=V")</f>
        <v>0</v>
      </c>
      <c r="AK2">
        <f>BDH("HYPD US Equity","CF_CASH_FROM_OPER","1993-06-18","2026-05-02","Per=Y","Days=T","Dir=V")</f>
        <v>0</v>
      </c>
      <c r="AM2">
        <f>BDH("HYPD US Equity","CAPITAL_EXPEND","1993-06-18","2026-05-02","Per=Y","Days=T","Dir=V")</f>
        <v>0</v>
      </c>
      <c r="AO2">
        <f>BDH("HYPD US Equity","CF_FREE_CASH_FLOW","1993-06-18","2026-05-02","Per=Y","Days=T","Dir=V")</f>
        <v>0</v>
      </c>
      <c r="AQ2">
        <f>BDH("HYPD US Equity","PX_LAST","1993-06-18","2026-05-02","Per=M","Days=T","Dir=V")</f>
        <v>0</v>
      </c>
      <c r="AS2">
        <f>BDH("HYPD US Equity","CUR_MKT_CAP","1993-06-18","2026-05-02","Per=M","Days=T","Dir=V")</f>
        <v>0</v>
      </c>
      <c r="AU2">
        <f>BDH("HYPD US Equity","EQY_SH_OUT","1993-06-18","2026-05-02","Per=M","Days=T","Dir=V")</f>
        <v>0</v>
      </c>
      <c r="AW2">
        <f>BDH("HYPD US Equity","PX_VOLUME","1993-06-18","2026-05-02","Per=M","Days=T","Dir=V")</f>
        <v>0</v>
      </c>
      <c r="AY2">
        <f>BDH("HYPD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BDH("HYPR US Equity","BS_TOT_ASSET","1993-06-18","2026-05-02","Per=Y","Days=T","Dir=V")</f>
        <v>0</v>
      </c>
      <c r="C2">
        <f>BDH("HYPR US Equity","BS_TOT_LIAB2","1993-06-18","2026-05-02","Per=Y","Days=T","Dir=V")</f>
        <v>0</v>
      </c>
      <c r="E2">
        <f>BDH("HYPR US Equity","SHORT_AND_LONG_TERM_DEBT","1993-06-18","2026-05-02","Per=Y","Days=T","Dir=V")</f>
        <v>0</v>
      </c>
      <c r="G2">
        <f>BDH("HYPR US Equity","BS_ST_BORROW","1993-06-18","2026-05-02","Per=Y","Days=T","Dir=V")</f>
        <v>0</v>
      </c>
      <c r="I2">
        <f>BDH("HYPR US Equity","BS_LT_BORROW","1993-06-18","2026-05-02","Per=Y","Days=T","Dir=V")</f>
        <v>0</v>
      </c>
      <c r="K2">
        <f>BDH("HYPR US Equity","BS_CASH_NEAR_CASH_ITEM","1993-06-18","2026-05-02","Per=Y","Days=T","Dir=V")</f>
        <v>0</v>
      </c>
      <c r="M2">
        <f>BDH("HYPR US Equity","BS_CUR_ASSET_REPORT","1993-06-18","2026-05-02","Per=Y","Days=T","Dir=V")</f>
        <v>0</v>
      </c>
      <c r="O2">
        <f>BDH("HYPR US Equity","BS_CUR_LIAB","1993-06-18","2026-05-02","Per=Y","Days=T","Dir=V")</f>
        <v>0</v>
      </c>
      <c r="Q2">
        <f>BDH("HYPR US Equity","BS_SHAREHOLDER_EQY_ENDING_PERIOD","1993-06-18","2026-05-02","Per=Y","Days=T","Dir=V")</f>
        <v>0</v>
      </c>
      <c r="S2">
        <f>BDH("HYPR US Equity","BS_ACCT_NOTE_RCV","1993-06-18","2026-05-02","Per=Y","Days=T","Dir=V")</f>
        <v>0</v>
      </c>
      <c r="U2">
        <f>BDH("HYPR US Equity","BS_INVENTORIES","1993-06-18","2026-05-02","Per=Y","Days=T","Dir=V")</f>
        <v>0</v>
      </c>
      <c r="W2">
        <f>BDH("HYPR US Equity","WORKING_CAPITAL","1993-06-18","2026-05-02","Per=Y","Days=T","Dir=V")</f>
        <v>0</v>
      </c>
      <c r="Y2">
        <f>BDH("HYPR US Equity","SALES_REV_TURN","1993-06-18","2026-05-02","Per=Y","Days=T","Dir=V")</f>
        <v>0</v>
      </c>
      <c r="AA2">
        <f>BDH("HYPR US Equity","EBIT","1993-06-18","2026-05-02","Per=Y","Days=T","Dir=V")</f>
        <v>0</v>
      </c>
      <c r="AC2">
        <f>BDH("HYPR US Equity","EBITDA","1993-06-18","2026-05-02","Per=Y","Days=T","Dir=V")</f>
        <v>0</v>
      </c>
      <c r="AE2">
        <f>BDH("HYPR US Equity","NET_INCOME","1993-06-18","2026-05-02","Per=Y","Days=T","Dir=V")</f>
        <v>0</v>
      </c>
      <c r="AG2">
        <f>BDH("HYPR US Equity","IS_INT_EXPENSE","1993-06-18","2026-05-02","Per=Y","Days=T","Dir=V")</f>
        <v>0</v>
      </c>
      <c r="AI2">
        <f>BDH("HYPR US Equity","IS_DEPR_EXP","1993-06-18","2026-05-02","Per=Y","Days=T","Dir=V")</f>
        <v>0</v>
      </c>
      <c r="AK2">
        <f>BDH("HYPR US Equity","CF_CASH_FROM_OPER","1993-06-18","2026-05-02","Per=Y","Days=T","Dir=V")</f>
        <v>0</v>
      </c>
      <c r="AM2">
        <f>BDH("HYPR US Equity","CAPITAL_EXPEND","1993-06-18","2026-05-02","Per=Y","Days=T","Dir=V")</f>
        <v>0</v>
      </c>
      <c r="AO2">
        <f>BDH("HYPR US Equity","CF_FREE_CASH_FLOW","1993-06-18","2026-05-02","Per=Y","Days=T","Dir=V")</f>
        <v>0</v>
      </c>
      <c r="AQ2">
        <f>BDH("HYPR US Equity","PX_LAST","1993-06-18","2026-05-02","Per=M","Days=T","Dir=V")</f>
        <v>0</v>
      </c>
      <c r="AS2">
        <f>BDH("HYPR US Equity","CUR_MKT_CAP","1993-06-18","2026-05-02","Per=M","Days=T","Dir=V")</f>
        <v>0</v>
      </c>
      <c r="AU2">
        <f>BDH("HYPR US Equity","EQY_SH_OUT","1993-06-18","2026-05-02","Per=M","Days=T","Dir=V")</f>
        <v>0</v>
      </c>
      <c r="AW2">
        <f>BDH("HYPR US Equity","PX_VOLUME","1993-06-18","2026-05-02","Per=M","Days=T","Dir=V")</f>
        <v>0</v>
      </c>
      <c r="AY2">
        <f>BDH("HYPR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BDH("HZO US Equity","BS_TOT_ASSET","1993-06-18","2026-05-02","Per=Y","Days=T","Dir=V")</f>
        <v>0</v>
      </c>
      <c r="C2">
        <f>BDH("HZO US Equity","BS_TOT_LIAB2","1993-06-18","2026-05-02","Per=Y","Days=T","Dir=V")</f>
        <v>0</v>
      </c>
      <c r="E2">
        <f>BDH("HZO US Equity","SHORT_AND_LONG_TERM_DEBT","1993-06-18","2026-05-02","Per=Y","Days=T","Dir=V")</f>
        <v>0</v>
      </c>
      <c r="G2">
        <f>BDH("HZO US Equity","BS_ST_BORROW","1993-06-18","2026-05-02","Per=Y","Days=T","Dir=V")</f>
        <v>0</v>
      </c>
      <c r="I2">
        <f>BDH("HZO US Equity","BS_LT_BORROW","1993-06-18","2026-05-02","Per=Y","Days=T","Dir=V")</f>
        <v>0</v>
      </c>
      <c r="K2">
        <f>BDH("HZO US Equity","BS_CASH_NEAR_CASH_ITEM","1993-06-18","2026-05-02","Per=Y","Days=T","Dir=V")</f>
        <v>0</v>
      </c>
      <c r="M2">
        <f>BDH("HZO US Equity","BS_CUR_ASSET_REPORT","1993-06-18","2026-05-02","Per=Y","Days=T","Dir=V")</f>
        <v>0</v>
      </c>
      <c r="O2">
        <f>BDH("HZO US Equity","BS_CUR_LIAB","1993-06-18","2026-05-02","Per=Y","Days=T","Dir=V")</f>
        <v>0</v>
      </c>
      <c r="Q2">
        <f>BDH("HZO US Equity","BS_SHAREHOLDER_EQY_ENDING_PERIOD","1993-06-18","2026-05-02","Per=Y","Days=T","Dir=V")</f>
        <v>0</v>
      </c>
      <c r="S2">
        <f>BDH("HZO US Equity","BS_ACCT_NOTE_RCV","1993-06-18","2026-05-02","Per=Y","Days=T","Dir=V")</f>
        <v>0</v>
      </c>
      <c r="U2">
        <f>BDH("HZO US Equity","BS_INVENTORIES","1993-06-18","2026-05-02","Per=Y","Days=T","Dir=V")</f>
        <v>0</v>
      </c>
      <c r="W2">
        <f>BDH("HZO US Equity","WORKING_CAPITAL","1993-06-18","2026-05-02","Per=Y","Days=T","Dir=V")</f>
        <v>0</v>
      </c>
      <c r="Y2">
        <f>BDH("HZO US Equity","SALES_REV_TURN","1993-06-18","2026-05-02","Per=Y","Days=T","Dir=V")</f>
        <v>0</v>
      </c>
      <c r="AA2">
        <f>BDH("HZO US Equity","EBIT","1993-06-18","2026-05-02","Per=Y","Days=T","Dir=V")</f>
        <v>0</v>
      </c>
      <c r="AC2">
        <f>BDH("HZO US Equity","EBITDA","1993-06-18","2026-05-02","Per=Y","Days=T","Dir=V")</f>
        <v>0</v>
      </c>
      <c r="AE2">
        <f>BDH("HZO US Equity","NET_INCOME","1993-06-18","2026-05-02","Per=Y","Days=T","Dir=V")</f>
        <v>0</v>
      </c>
      <c r="AG2">
        <f>BDH("HZO US Equity","IS_INT_EXPENSE","1993-06-18","2026-05-02","Per=Y","Days=T","Dir=V")</f>
        <v>0</v>
      </c>
      <c r="AI2">
        <f>BDH("HZO US Equity","IS_DEPR_EXP","1993-06-18","2026-05-02","Per=Y","Days=T","Dir=V")</f>
        <v>0</v>
      </c>
      <c r="AK2">
        <f>BDH("HZO US Equity","CF_CASH_FROM_OPER","1993-06-18","2026-05-02","Per=Y","Days=T","Dir=V")</f>
        <v>0</v>
      </c>
      <c r="AM2">
        <f>BDH("HZO US Equity","CAPITAL_EXPEND","1993-06-18","2026-05-02","Per=Y","Days=T","Dir=V")</f>
        <v>0</v>
      </c>
      <c r="AO2">
        <f>BDH("HZO US Equity","CF_FREE_CASH_FLOW","1993-06-18","2026-05-02","Per=Y","Days=T","Dir=V")</f>
        <v>0</v>
      </c>
      <c r="AQ2">
        <f>BDH("HZO US Equity","PX_LAST","1993-06-18","2026-05-02","Per=M","Days=T","Dir=V")</f>
        <v>0</v>
      </c>
      <c r="AS2">
        <f>BDH("HZO US Equity","CUR_MKT_CAP","1993-06-18","2026-05-02","Per=M","Days=T","Dir=V")</f>
        <v>0</v>
      </c>
      <c r="AU2">
        <f>BDH("HZO US Equity","EQY_SH_OUT","1993-06-18","2026-05-02","Per=M","Days=T","Dir=V")</f>
        <v>0</v>
      </c>
      <c r="AW2">
        <f>BDH("HZO US Equity","PX_VOLUME","1993-06-18","2026-05-02","Per=M","Days=T","Dir=V")</f>
        <v>0</v>
      </c>
      <c r="AY2">
        <f>BDH("HZO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BDH("IA US Equity","BS_TOT_ASSET","1993-06-18","2026-05-02","Per=Y","Days=T","Dir=V")</f>
        <v>0</v>
      </c>
      <c r="C2">
        <f>BDH("IA US Equity","BS_TOT_LIAB2","1993-06-18","2026-05-02","Per=Y","Days=T","Dir=V")</f>
        <v>0</v>
      </c>
      <c r="E2">
        <f>BDH("IA US Equity","SHORT_AND_LONG_TERM_DEBT","1993-06-18","2026-05-02","Per=Y","Days=T","Dir=V")</f>
        <v>0</v>
      </c>
      <c r="G2">
        <f>BDH("IA US Equity","BS_ST_BORROW","1993-06-18","2026-05-02","Per=Y","Days=T","Dir=V")</f>
        <v>0</v>
      </c>
      <c r="I2">
        <f>BDH("IA US Equity","BS_LT_BORROW","1993-06-18","2026-05-02","Per=Y","Days=T","Dir=V")</f>
        <v>0</v>
      </c>
      <c r="K2">
        <f>BDH("IA US Equity","BS_CASH_NEAR_CASH_ITEM","1993-06-18","2026-05-02","Per=Y","Days=T","Dir=V")</f>
        <v>0</v>
      </c>
      <c r="M2">
        <f>BDH("IA US Equity","BS_CUR_ASSET_REPORT","1993-06-18","2026-05-02","Per=Y","Days=T","Dir=V")</f>
        <v>0</v>
      </c>
      <c r="O2">
        <f>BDH("IA US Equity","BS_CUR_LIAB","1993-06-18","2026-05-02","Per=Y","Days=T","Dir=V")</f>
        <v>0</v>
      </c>
      <c r="Q2">
        <f>BDH("IA US Equity","BS_SHAREHOLDER_EQY_ENDING_PERIOD","1993-06-18","2026-05-02","Per=Y","Days=T","Dir=V")</f>
        <v>0</v>
      </c>
      <c r="S2">
        <f>BDH("IA US Equity","BS_ACCT_NOTE_RCV","1993-06-18","2026-05-02","Per=Y","Days=T","Dir=V")</f>
        <v>0</v>
      </c>
      <c r="U2">
        <f>BDH("IA US Equity","BS_INVENTORIES","1993-06-18","2026-05-02","Per=Y","Days=T","Dir=V")</f>
        <v>0</v>
      </c>
      <c r="W2">
        <f>BDH("IA US Equity","WORKING_CAPITAL","1993-06-18","2026-05-02","Per=Y","Days=T","Dir=V")</f>
        <v>0</v>
      </c>
      <c r="Y2">
        <f>BDH("IA US Equity","SALES_REV_TURN","1993-06-18","2026-05-02","Per=Y","Days=T","Dir=V")</f>
        <v>0</v>
      </c>
      <c r="AA2">
        <f>BDH("IA US Equity","EBIT","1993-06-18","2026-05-02","Per=Y","Days=T","Dir=V")</f>
        <v>0</v>
      </c>
      <c r="AC2">
        <f>BDH("IA US Equity","EBITDA","1993-06-18","2026-05-02","Per=Y","Days=T","Dir=V")</f>
        <v>0</v>
      </c>
      <c r="AE2">
        <f>BDH("IA US Equity","NET_INCOME","1993-06-18","2026-05-02","Per=Y","Days=T","Dir=V")</f>
        <v>0</v>
      </c>
      <c r="AG2">
        <f>BDH("IA US Equity","IS_INT_EXPENSE","1993-06-18","2026-05-02","Per=Y","Days=T","Dir=V")</f>
        <v>0</v>
      </c>
      <c r="AI2">
        <f>BDH("IA US Equity","IS_DEPR_EXP","1993-06-18","2026-05-02","Per=Y","Days=T","Dir=V")</f>
        <v>0</v>
      </c>
      <c r="AK2">
        <f>BDH("IA US Equity","CF_CASH_FROM_OPER","1993-06-18","2026-05-02","Per=Y","Days=T","Dir=V")</f>
        <v>0</v>
      </c>
      <c r="AM2">
        <f>BDH("IA US Equity","CAPITAL_EXPEND","1993-06-18","2026-05-02","Per=Y","Days=T","Dir=V")</f>
        <v>0</v>
      </c>
      <c r="AO2">
        <f>BDH("IA US Equity","CF_FREE_CASH_FLOW","1993-06-18","2026-05-02","Per=Y","Days=T","Dir=V")</f>
        <v>0</v>
      </c>
      <c r="AQ2">
        <f>BDH("IA US Equity","PX_LAST","1993-06-18","2026-05-02","Per=M","Days=T","Dir=V")</f>
        <v>0</v>
      </c>
      <c r="AS2">
        <f>BDH("IA US Equity","CUR_MKT_CAP","1993-06-18","2026-05-02","Per=M","Days=T","Dir=V")</f>
        <v>0</v>
      </c>
      <c r="AU2">
        <f>BDH("IA US Equity","EQY_SH_OUT","1993-06-18","2026-05-02","Per=M","Days=T","Dir=V")</f>
        <v>0</v>
      </c>
      <c r="AW2">
        <f>BDH("IA US Equity","PX_VOLUME","1993-06-18","2026-05-02","Per=M","Days=T","Dir=V")</f>
        <v>0</v>
      </c>
      <c r="AY2">
        <f>BDH("IA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BDH("IART US Equity","BS_TOT_ASSET","1993-06-18","2026-05-02","Per=Y","Days=T","Dir=V")</f>
        <v>0</v>
      </c>
      <c r="C2">
        <f>BDH("IART US Equity","BS_TOT_LIAB2","1993-06-18","2026-05-02","Per=Y","Days=T","Dir=V")</f>
        <v>0</v>
      </c>
      <c r="E2">
        <f>BDH("IART US Equity","SHORT_AND_LONG_TERM_DEBT","1993-06-18","2026-05-02","Per=Y","Days=T","Dir=V")</f>
        <v>0</v>
      </c>
      <c r="G2">
        <f>BDH("IART US Equity","BS_ST_BORROW","1993-06-18","2026-05-02","Per=Y","Days=T","Dir=V")</f>
        <v>0</v>
      </c>
      <c r="I2">
        <f>BDH("IART US Equity","BS_LT_BORROW","1993-06-18","2026-05-02","Per=Y","Days=T","Dir=V")</f>
        <v>0</v>
      </c>
      <c r="K2">
        <f>BDH("IART US Equity","BS_CASH_NEAR_CASH_ITEM","1993-06-18","2026-05-02","Per=Y","Days=T","Dir=V")</f>
        <v>0</v>
      </c>
      <c r="M2">
        <f>BDH("IART US Equity","BS_CUR_ASSET_REPORT","1993-06-18","2026-05-02","Per=Y","Days=T","Dir=V")</f>
        <v>0</v>
      </c>
      <c r="O2">
        <f>BDH("IART US Equity","BS_CUR_LIAB","1993-06-18","2026-05-02","Per=Y","Days=T","Dir=V")</f>
        <v>0</v>
      </c>
      <c r="Q2">
        <f>BDH("IART US Equity","BS_SHAREHOLDER_EQY_ENDING_PERIOD","1993-06-18","2026-05-02","Per=Y","Days=T","Dir=V")</f>
        <v>0</v>
      </c>
      <c r="S2">
        <f>BDH("IART US Equity","BS_ACCT_NOTE_RCV","1993-06-18","2026-05-02","Per=Y","Days=T","Dir=V")</f>
        <v>0</v>
      </c>
      <c r="U2">
        <f>BDH("IART US Equity","BS_INVENTORIES","1993-06-18","2026-05-02","Per=Y","Days=T","Dir=V")</f>
        <v>0</v>
      </c>
      <c r="W2">
        <f>BDH("IART US Equity","WORKING_CAPITAL","1993-06-18","2026-05-02","Per=Y","Days=T","Dir=V")</f>
        <v>0</v>
      </c>
      <c r="Y2">
        <f>BDH("IART US Equity","SALES_REV_TURN","1993-06-18","2026-05-02","Per=Y","Days=T","Dir=V")</f>
        <v>0</v>
      </c>
      <c r="AA2">
        <f>BDH("IART US Equity","EBIT","1993-06-18","2026-05-02","Per=Y","Days=T","Dir=V")</f>
        <v>0</v>
      </c>
      <c r="AC2">
        <f>BDH("IART US Equity","EBITDA","1993-06-18","2026-05-02","Per=Y","Days=T","Dir=V")</f>
        <v>0</v>
      </c>
      <c r="AE2">
        <f>BDH("IART US Equity","NET_INCOME","1993-06-18","2026-05-02","Per=Y","Days=T","Dir=V")</f>
        <v>0</v>
      </c>
      <c r="AG2">
        <f>BDH("IART US Equity","IS_INT_EXPENSE","1993-06-18","2026-05-02","Per=Y","Days=T","Dir=V")</f>
        <v>0</v>
      </c>
      <c r="AI2">
        <f>BDH("IART US Equity","IS_DEPR_EXP","1993-06-18","2026-05-02","Per=Y","Days=T","Dir=V")</f>
        <v>0</v>
      </c>
      <c r="AK2">
        <f>BDH("IART US Equity","CF_CASH_FROM_OPER","1993-06-18","2026-05-02","Per=Y","Days=T","Dir=V")</f>
        <v>0</v>
      </c>
      <c r="AM2">
        <f>BDH("IART US Equity","CAPITAL_EXPEND","1993-06-18","2026-05-02","Per=Y","Days=T","Dir=V")</f>
        <v>0</v>
      </c>
      <c r="AO2">
        <f>BDH("IART US Equity","CF_FREE_CASH_FLOW","1993-06-18","2026-05-02","Per=Y","Days=T","Dir=V")</f>
        <v>0</v>
      </c>
      <c r="AQ2">
        <f>BDH("IART US Equity","PX_LAST","1993-06-18","2026-05-02","Per=M","Days=T","Dir=V")</f>
        <v>0</v>
      </c>
      <c r="AS2">
        <f>BDH("IART US Equity","CUR_MKT_CAP","1993-06-18","2026-05-02","Per=M","Days=T","Dir=V")</f>
        <v>0</v>
      </c>
      <c r="AU2">
        <f>BDH("IART US Equity","EQY_SH_OUT","1993-06-18","2026-05-02","Per=M","Days=T","Dir=V")</f>
        <v>0</v>
      </c>
      <c r="AW2">
        <f>BDH("IART US Equity","PX_VOLUME","1993-06-18","2026-05-02","Per=M","Days=T","Dir=V")</f>
        <v>0</v>
      </c>
      <c r="AY2">
        <f>BDH("IART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BDH("IBIO US Equity","BS_TOT_ASSET","1993-06-18","2026-05-02","Per=Y","Days=T","Dir=V")</f>
        <v>0</v>
      </c>
      <c r="C2">
        <f>BDH("IBIO US Equity","BS_TOT_LIAB2","1993-06-18","2026-05-02","Per=Y","Days=T","Dir=V")</f>
        <v>0</v>
      </c>
      <c r="E2">
        <f>BDH("IBIO US Equity","SHORT_AND_LONG_TERM_DEBT","1993-06-18","2026-05-02","Per=Y","Days=T","Dir=V")</f>
        <v>0</v>
      </c>
      <c r="G2">
        <f>BDH("IBIO US Equity","BS_ST_BORROW","1993-06-18","2026-05-02","Per=Y","Days=T","Dir=V")</f>
        <v>0</v>
      </c>
      <c r="I2">
        <f>BDH("IBIO US Equity","BS_LT_BORROW","1993-06-18","2026-05-02","Per=Y","Days=T","Dir=V")</f>
        <v>0</v>
      </c>
      <c r="K2">
        <f>BDH("IBIO US Equity","BS_CASH_NEAR_CASH_ITEM","1993-06-18","2026-05-02","Per=Y","Days=T","Dir=V")</f>
        <v>0</v>
      </c>
      <c r="M2">
        <f>BDH("IBIO US Equity","BS_CUR_ASSET_REPORT","1993-06-18","2026-05-02","Per=Y","Days=T","Dir=V")</f>
        <v>0</v>
      </c>
      <c r="O2">
        <f>BDH("IBIO US Equity","BS_CUR_LIAB","1993-06-18","2026-05-02","Per=Y","Days=T","Dir=V")</f>
        <v>0</v>
      </c>
      <c r="Q2">
        <f>BDH("IBIO US Equity","BS_SHAREHOLDER_EQY_ENDING_PERIOD","1993-06-18","2026-05-02","Per=Y","Days=T","Dir=V")</f>
        <v>0</v>
      </c>
      <c r="S2">
        <f>BDH("IBIO US Equity","BS_ACCT_NOTE_RCV","1993-06-18","2026-05-02","Per=Y","Days=T","Dir=V")</f>
        <v>0</v>
      </c>
      <c r="U2">
        <f>BDH("IBIO US Equity","BS_INVENTORIES","1993-06-18","2026-05-02","Per=Y","Days=T","Dir=V")</f>
        <v>0</v>
      </c>
      <c r="W2">
        <f>BDH("IBIO US Equity","WORKING_CAPITAL","1993-06-18","2026-05-02","Per=Y","Days=T","Dir=V")</f>
        <v>0</v>
      </c>
      <c r="Y2">
        <f>BDH("IBIO US Equity","SALES_REV_TURN","1993-06-18","2026-05-02","Per=Y","Days=T","Dir=V")</f>
        <v>0</v>
      </c>
      <c r="AA2">
        <f>BDH("IBIO US Equity","EBIT","1993-06-18","2026-05-02","Per=Y","Days=T","Dir=V")</f>
        <v>0</v>
      </c>
      <c r="AC2">
        <f>BDH("IBIO US Equity","EBITDA","1993-06-18","2026-05-02","Per=Y","Days=T","Dir=V")</f>
        <v>0</v>
      </c>
      <c r="AE2">
        <f>BDH("IBIO US Equity","NET_INCOME","1993-06-18","2026-05-02","Per=Y","Days=T","Dir=V")</f>
        <v>0</v>
      </c>
      <c r="AG2">
        <f>BDH("IBIO US Equity","IS_INT_EXPENSE","1993-06-18","2026-05-02","Per=Y","Days=T","Dir=V")</f>
        <v>0</v>
      </c>
      <c r="AI2">
        <f>BDH("IBIO US Equity","IS_DEPR_EXP","1993-06-18","2026-05-02","Per=Y","Days=T","Dir=V")</f>
        <v>0</v>
      </c>
      <c r="AK2">
        <f>BDH("IBIO US Equity","CF_CASH_FROM_OPER","1993-06-18","2026-05-02","Per=Y","Days=T","Dir=V")</f>
        <v>0</v>
      </c>
      <c r="AM2">
        <f>BDH("IBIO US Equity","CAPITAL_EXPEND","1993-06-18","2026-05-02","Per=Y","Days=T","Dir=V")</f>
        <v>0</v>
      </c>
      <c r="AO2">
        <f>BDH("IBIO US Equity","CF_FREE_CASH_FLOW","1993-06-18","2026-05-02","Per=Y","Days=T","Dir=V")</f>
        <v>0</v>
      </c>
      <c r="AQ2">
        <f>BDH("IBIO US Equity","PX_LAST","1993-06-18","2026-05-02","Per=M","Days=T","Dir=V")</f>
        <v>0</v>
      </c>
      <c r="AS2">
        <f>BDH("IBIO US Equity","CUR_MKT_CAP","1993-06-18","2026-05-02","Per=M","Days=T","Dir=V")</f>
        <v>0</v>
      </c>
      <c r="AU2">
        <f>BDH("IBIO US Equity","EQY_SH_OUT","1993-06-18","2026-05-02","Per=M","Days=T","Dir=V")</f>
        <v>0</v>
      </c>
      <c r="AW2">
        <f>BDH("IBIO US Equity","PX_VOLUME","1993-06-18","2026-05-02","Per=M","Days=T","Dir=V")</f>
        <v>0</v>
      </c>
      <c r="AY2">
        <f>BDH("IBIO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BDH("IBM US Equity","BS_TOT_ASSET","1993-06-18","2026-05-02","Per=Y","Days=T","Dir=V")</f>
        <v>0</v>
      </c>
      <c r="C2">
        <f>BDH("IBM US Equity","BS_TOT_LIAB2","1993-06-18","2026-05-02","Per=Y","Days=T","Dir=V")</f>
        <v>0</v>
      </c>
      <c r="E2">
        <f>BDH("IBM US Equity","SHORT_AND_LONG_TERM_DEBT","1993-06-18","2026-05-02","Per=Y","Days=T","Dir=V")</f>
        <v>0</v>
      </c>
      <c r="G2">
        <f>BDH("IBM US Equity","BS_ST_BORROW","1993-06-18","2026-05-02","Per=Y","Days=T","Dir=V")</f>
        <v>0</v>
      </c>
      <c r="I2">
        <f>BDH("IBM US Equity","BS_LT_BORROW","1993-06-18","2026-05-02","Per=Y","Days=T","Dir=V")</f>
        <v>0</v>
      </c>
      <c r="K2">
        <f>BDH("IBM US Equity","BS_CASH_NEAR_CASH_ITEM","1993-06-18","2026-05-02","Per=Y","Days=T","Dir=V")</f>
        <v>0</v>
      </c>
      <c r="M2">
        <f>BDH("IBM US Equity","BS_CUR_ASSET_REPORT","1993-06-18","2026-05-02","Per=Y","Days=T","Dir=V")</f>
        <v>0</v>
      </c>
      <c r="O2">
        <f>BDH("IBM US Equity","BS_CUR_LIAB","1993-06-18","2026-05-02","Per=Y","Days=T","Dir=V")</f>
        <v>0</v>
      </c>
      <c r="Q2">
        <f>BDH("IBM US Equity","BS_SHAREHOLDER_EQY_ENDING_PERIOD","1993-06-18","2026-05-02","Per=Y","Days=T","Dir=V")</f>
        <v>0</v>
      </c>
      <c r="S2">
        <f>BDH("IBM US Equity","BS_ACCT_NOTE_RCV","1993-06-18","2026-05-02","Per=Y","Days=T","Dir=V")</f>
        <v>0</v>
      </c>
      <c r="U2">
        <f>BDH("IBM US Equity","BS_INVENTORIES","1993-06-18","2026-05-02","Per=Y","Days=T","Dir=V")</f>
        <v>0</v>
      </c>
      <c r="W2">
        <f>BDH("IBM US Equity","WORKING_CAPITAL","1993-06-18","2026-05-02","Per=Y","Days=T","Dir=V")</f>
        <v>0</v>
      </c>
      <c r="Y2">
        <f>BDH("IBM US Equity","SALES_REV_TURN","1993-06-18","2026-05-02","Per=Y","Days=T","Dir=V")</f>
        <v>0</v>
      </c>
      <c r="AA2">
        <f>BDH("IBM US Equity","EBIT","1993-06-18","2026-05-02","Per=Y","Days=T","Dir=V")</f>
        <v>0</v>
      </c>
      <c r="AC2">
        <f>BDH("IBM US Equity","EBITDA","1993-06-18","2026-05-02","Per=Y","Days=T","Dir=V")</f>
        <v>0</v>
      </c>
      <c r="AE2">
        <f>BDH("IBM US Equity","NET_INCOME","1993-06-18","2026-05-02","Per=Y","Days=T","Dir=V")</f>
        <v>0</v>
      </c>
      <c r="AG2">
        <f>BDH("IBM US Equity","IS_INT_EXPENSE","1993-06-18","2026-05-02","Per=Y","Days=T","Dir=V")</f>
        <v>0</v>
      </c>
      <c r="AI2">
        <f>BDH("IBM US Equity","IS_DEPR_EXP","1993-06-18","2026-05-02","Per=Y","Days=T","Dir=V")</f>
        <v>0</v>
      </c>
      <c r="AK2">
        <f>BDH("IBM US Equity","CF_CASH_FROM_OPER","1993-06-18","2026-05-02","Per=Y","Days=T","Dir=V")</f>
        <v>0</v>
      </c>
      <c r="AM2">
        <f>BDH("IBM US Equity","CAPITAL_EXPEND","1993-06-18","2026-05-02","Per=Y","Days=T","Dir=V")</f>
        <v>0</v>
      </c>
      <c r="AO2">
        <f>BDH("IBM US Equity","CF_FREE_CASH_FLOW","1993-06-18","2026-05-02","Per=Y","Days=T","Dir=V")</f>
        <v>0</v>
      </c>
      <c r="AQ2">
        <f>BDH("IBM US Equity","PX_LAST","1993-06-18","2026-05-02","Per=M","Days=T","Dir=V")</f>
        <v>0</v>
      </c>
      <c r="AS2">
        <f>BDH("IBM US Equity","CUR_MKT_CAP","1993-06-18","2026-05-02","Per=M","Days=T","Dir=V")</f>
        <v>0</v>
      </c>
      <c r="AU2">
        <f>BDH("IBM US Equity","EQY_SH_OUT","1993-06-18","2026-05-02","Per=M","Days=T","Dir=V")</f>
        <v>0</v>
      </c>
      <c r="AW2">
        <f>BDH("IBM US Equity","PX_VOLUME","1993-06-18","2026-05-02","Per=M","Days=T","Dir=V")</f>
        <v>0</v>
      </c>
      <c r="AY2">
        <f>BDH("IBM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BDH("IBP US Equity","BS_TOT_ASSET","1993-06-18","2026-05-02","Per=Y","Days=T","Dir=V")</f>
        <v>0</v>
      </c>
      <c r="C2">
        <f>BDH("IBP US Equity","BS_TOT_LIAB2","1993-06-18","2026-05-02","Per=Y","Days=T","Dir=V")</f>
        <v>0</v>
      </c>
      <c r="E2">
        <f>BDH("IBP US Equity","SHORT_AND_LONG_TERM_DEBT","1993-06-18","2026-05-02","Per=Y","Days=T","Dir=V")</f>
        <v>0</v>
      </c>
      <c r="G2">
        <f>BDH("IBP US Equity","BS_ST_BORROW","1993-06-18","2026-05-02","Per=Y","Days=T","Dir=V")</f>
        <v>0</v>
      </c>
      <c r="I2">
        <f>BDH("IBP US Equity","BS_LT_BORROW","1993-06-18","2026-05-02","Per=Y","Days=T","Dir=V")</f>
        <v>0</v>
      </c>
      <c r="K2">
        <f>BDH("IBP US Equity","BS_CASH_NEAR_CASH_ITEM","1993-06-18","2026-05-02","Per=Y","Days=T","Dir=V")</f>
        <v>0</v>
      </c>
      <c r="M2">
        <f>BDH("IBP US Equity","BS_CUR_ASSET_REPORT","1993-06-18","2026-05-02","Per=Y","Days=T","Dir=V")</f>
        <v>0</v>
      </c>
      <c r="O2">
        <f>BDH("IBP US Equity","BS_CUR_LIAB","1993-06-18","2026-05-02","Per=Y","Days=T","Dir=V")</f>
        <v>0</v>
      </c>
      <c r="Q2">
        <f>BDH("IBP US Equity","BS_SHAREHOLDER_EQY_ENDING_PERIOD","1993-06-18","2026-05-02","Per=Y","Days=T","Dir=V")</f>
        <v>0</v>
      </c>
      <c r="S2">
        <f>BDH("IBP US Equity","BS_ACCT_NOTE_RCV","1993-06-18","2026-05-02","Per=Y","Days=T","Dir=V")</f>
        <v>0</v>
      </c>
      <c r="U2">
        <f>BDH("IBP US Equity","BS_INVENTORIES","1993-06-18","2026-05-02","Per=Y","Days=T","Dir=V")</f>
        <v>0</v>
      </c>
      <c r="W2">
        <f>BDH("IBP US Equity","WORKING_CAPITAL","1993-06-18","2026-05-02","Per=Y","Days=T","Dir=V")</f>
        <v>0</v>
      </c>
      <c r="Y2">
        <f>BDH("IBP US Equity","SALES_REV_TURN","1993-06-18","2026-05-02","Per=Y","Days=T","Dir=V")</f>
        <v>0</v>
      </c>
      <c r="AA2">
        <f>BDH("IBP US Equity","EBIT","1993-06-18","2026-05-02","Per=Y","Days=T","Dir=V")</f>
        <v>0</v>
      </c>
      <c r="AC2">
        <f>BDH("IBP US Equity","EBITDA","1993-06-18","2026-05-02","Per=Y","Days=T","Dir=V")</f>
        <v>0</v>
      </c>
      <c r="AE2">
        <f>BDH("IBP US Equity","NET_INCOME","1993-06-18","2026-05-02","Per=Y","Days=T","Dir=V")</f>
        <v>0</v>
      </c>
      <c r="AG2">
        <f>BDH("IBP US Equity","IS_INT_EXPENSE","1993-06-18","2026-05-02","Per=Y","Days=T","Dir=V")</f>
        <v>0</v>
      </c>
      <c r="AI2">
        <f>BDH("IBP US Equity","IS_DEPR_EXP","1993-06-18","2026-05-02","Per=Y","Days=T","Dir=V")</f>
        <v>0</v>
      </c>
      <c r="AK2">
        <f>BDH("IBP US Equity","CF_CASH_FROM_OPER","1993-06-18","2026-05-02","Per=Y","Days=T","Dir=V")</f>
        <v>0</v>
      </c>
      <c r="AM2">
        <f>BDH("IBP US Equity","CAPITAL_EXPEND","1993-06-18","2026-05-02","Per=Y","Days=T","Dir=V")</f>
        <v>0</v>
      </c>
      <c r="AO2">
        <f>BDH("IBP US Equity","CF_FREE_CASH_FLOW","1993-06-18","2026-05-02","Per=Y","Days=T","Dir=V")</f>
        <v>0</v>
      </c>
      <c r="AQ2">
        <f>BDH("IBP US Equity","PX_LAST","1993-06-18","2026-05-02","Per=M","Days=T","Dir=V")</f>
        <v>0</v>
      </c>
      <c r="AS2">
        <f>BDH("IBP US Equity","CUR_MKT_CAP","1993-06-18","2026-05-02","Per=M","Days=T","Dir=V")</f>
        <v>0</v>
      </c>
      <c r="AU2">
        <f>BDH("IBP US Equity","EQY_SH_OUT","1993-06-18","2026-05-02","Per=M","Days=T","Dir=V")</f>
        <v>0</v>
      </c>
      <c r="AW2">
        <f>BDH("IBP US Equity","PX_VOLUME","1993-06-18","2026-05-02","Per=M","Days=T","Dir=V")</f>
        <v>0</v>
      </c>
      <c r="AY2">
        <f>BDH("IBP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BDH("IBRX US Equity","BS_TOT_ASSET","1993-06-18","2026-05-02","Per=Y","Days=T","Dir=V")</f>
        <v>0</v>
      </c>
      <c r="C2">
        <f>BDH("IBRX US Equity","BS_TOT_LIAB2","1993-06-18","2026-05-02","Per=Y","Days=T","Dir=V")</f>
        <v>0</v>
      </c>
      <c r="E2">
        <f>BDH("IBRX US Equity","SHORT_AND_LONG_TERM_DEBT","1993-06-18","2026-05-02","Per=Y","Days=T","Dir=V")</f>
        <v>0</v>
      </c>
      <c r="G2">
        <f>BDH("IBRX US Equity","BS_ST_BORROW","1993-06-18","2026-05-02","Per=Y","Days=T","Dir=V")</f>
        <v>0</v>
      </c>
      <c r="I2">
        <f>BDH("IBRX US Equity","BS_LT_BORROW","1993-06-18","2026-05-02","Per=Y","Days=T","Dir=V")</f>
        <v>0</v>
      </c>
      <c r="K2">
        <f>BDH("IBRX US Equity","BS_CASH_NEAR_CASH_ITEM","1993-06-18","2026-05-02","Per=Y","Days=T","Dir=V")</f>
        <v>0</v>
      </c>
      <c r="M2">
        <f>BDH("IBRX US Equity","BS_CUR_ASSET_REPORT","1993-06-18","2026-05-02","Per=Y","Days=T","Dir=V")</f>
        <v>0</v>
      </c>
      <c r="O2">
        <f>BDH("IBRX US Equity","BS_CUR_LIAB","1993-06-18","2026-05-02","Per=Y","Days=T","Dir=V")</f>
        <v>0</v>
      </c>
      <c r="Q2">
        <f>BDH("IBRX US Equity","BS_SHAREHOLDER_EQY_ENDING_PERIOD","1993-06-18","2026-05-02","Per=Y","Days=T","Dir=V")</f>
        <v>0</v>
      </c>
      <c r="S2">
        <f>BDH("IBRX US Equity","BS_ACCT_NOTE_RCV","1993-06-18","2026-05-02","Per=Y","Days=T","Dir=V")</f>
        <v>0</v>
      </c>
      <c r="U2">
        <f>BDH("IBRX US Equity","BS_INVENTORIES","1993-06-18","2026-05-02","Per=Y","Days=T","Dir=V")</f>
        <v>0</v>
      </c>
      <c r="W2">
        <f>BDH("IBRX US Equity","WORKING_CAPITAL","1993-06-18","2026-05-02","Per=Y","Days=T","Dir=V")</f>
        <v>0</v>
      </c>
      <c r="Y2">
        <f>BDH("IBRX US Equity","SALES_REV_TURN","1993-06-18","2026-05-02","Per=Y","Days=T","Dir=V")</f>
        <v>0</v>
      </c>
      <c r="AA2">
        <f>BDH("IBRX US Equity","EBIT","1993-06-18","2026-05-02","Per=Y","Days=T","Dir=V")</f>
        <v>0</v>
      </c>
      <c r="AC2">
        <f>BDH("IBRX US Equity","EBITDA","1993-06-18","2026-05-02","Per=Y","Days=T","Dir=V")</f>
        <v>0</v>
      </c>
      <c r="AE2">
        <f>BDH("IBRX US Equity","NET_INCOME","1993-06-18","2026-05-02","Per=Y","Days=T","Dir=V")</f>
        <v>0</v>
      </c>
      <c r="AG2">
        <f>BDH("IBRX US Equity","IS_INT_EXPENSE","1993-06-18","2026-05-02","Per=Y","Days=T","Dir=V")</f>
        <v>0</v>
      </c>
      <c r="AI2">
        <f>BDH("IBRX US Equity","IS_DEPR_EXP","1993-06-18","2026-05-02","Per=Y","Days=T","Dir=V")</f>
        <v>0</v>
      </c>
      <c r="AK2">
        <f>BDH("IBRX US Equity","CF_CASH_FROM_OPER","1993-06-18","2026-05-02","Per=Y","Days=T","Dir=V")</f>
        <v>0</v>
      </c>
      <c r="AM2">
        <f>BDH("IBRX US Equity","CAPITAL_EXPEND","1993-06-18","2026-05-02","Per=Y","Days=T","Dir=V")</f>
        <v>0</v>
      </c>
      <c r="AO2">
        <f>BDH("IBRX US Equity","CF_FREE_CASH_FLOW","1993-06-18","2026-05-02","Per=Y","Days=T","Dir=V")</f>
        <v>0</v>
      </c>
      <c r="AQ2">
        <f>BDH("IBRX US Equity","PX_LAST","1993-06-18","2026-05-02","Per=M","Days=T","Dir=V")</f>
        <v>0</v>
      </c>
      <c r="AS2">
        <f>BDH("IBRX US Equity","CUR_MKT_CAP","1993-06-18","2026-05-02","Per=M","Days=T","Dir=V")</f>
        <v>0</v>
      </c>
      <c r="AU2">
        <f>BDH("IBRX US Equity","EQY_SH_OUT","1993-06-18","2026-05-02","Per=M","Days=T","Dir=V")</f>
        <v>0</v>
      </c>
      <c r="AW2">
        <f>BDH("IBRX US Equity","PX_VOLUME","1993-06-18","2026-05-02","Per=M","Days=T","Dir=V")</f>
        <v>0</v>
      </c>
      <c r="AY2">
        <f>BDH("IBRX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BDH("IBTA US Equity","BS_TOT_ASSET","1993-06-18","2026-05-02","Per=Y","Days=T","Dir=V")</f>
        <v>0</v>
      </c>
      <c r="C2">
        <f>BDH("IBTA US Equity","BS_TOT_LIAB2","1993-06-18","2026-05-02","Per=Y","Days=T","Dir=V")</f>
        <v>0</v>
      </c>
      <c r="E2">
        <f>BDH("IBTA US Equity","SHORT_AND_LONG_TERM_DEBT","1993-06-18","2026-05-02","Per=Y","Days=T","Dir=V")</f>
        <v>0</v>
      </c>
      <c r="G2">
        <f>BDH("IBTA US Equity","BS_ST_BORROW","1993-06-18","2026-05-02","Per=Y","Days=T","Dir=V")</f>
        <v>0</v>
      </c>
      <c r="I2">
        <f>BDH("IBTA US Equity","BS_LT_BORROW","1993-06-18","2026-05-02","Per=Y","Days=T","Dir=V")</f>
        <v>0</v>
      </c>
      <c r="K2">
        <f>BDH("IBTA US Equity","BS_CASH_NEAR_CASH_ITEM","1993-06-18","2026-05-02","Per=Y","Days=T","Dir=V")</f>
        <v>0</v>
      </c>
      <c r="M2">
        <f>BDH("IBTA US Equity","BS_CUR_ASSET_REPORT","1993-06-18","2026-05-02","Per=Y","Days=T","Dir=V")</f>
        <v>0</v>
      </c>
      <c r="O2">
        <f>BDH("IBTA US Equity","BS_CUR_LIAB","1993-06-18","2026-05-02","Per=Y","Days=T","Dir=V")</f>
        <v>0</v>
      </c>
      <c r="Q2">
        <f>BDH("IBTA US Equity","BS_SHAREHOLDER_EQY_ENDING_PERIOD","1993-06-18","2026-05-02","Per=Y","Days=T","Dir=V")</f>
        <v>0</v>
      </c>
      <c r="S2">
        <f>BDH("IBTA US Equity","BS_ACCT_NOTE_RCV","1993-06-18","2026-05-02","Per=Y","Days=T","Dir=V")</f>
        <v>0</v>
      </c>
      <c r="U2">
        <f>BDH("IBTA US Equity","BS_INVENTORIES","1993-06-18","2026-05-02","Per=Y","Days=T","Dir=V")</f>
        <v>0</v>
      </c>
      <c r="W2">
        <f>BDH("IBTA US Equity","WORKING_CAPITAL","1993-06-18","2026-05-02","Per=Y","Days=T","Dir=V")</f>
        <v>0</v>
      </c>
      <c r="Y2">
        <f>BDH("IBTA US Equity","SALES_REV_TURN","1993-06-18","2026-05-02","Per=Y","Days=T","Dir=V")</f>
        <v>0</v>
      </c>
      <c r="AA2">
        <f>BDH("IBTA US Equity","EBIT","1993-06-18","2026-05-02","Per=Y","Days=T","Dir=V")</f>
        <v>0</v>
      </c>
      <c r="AC2">
        <f>BDH("IBTA US Equity","EBITDA","1993-06-18","2026-05-02","Per=Y","Days=T","Dir=V")</f>
        <v>0</v>
      </c>
      <c r="AE2">
        <f>BDH("IBTA US Equity","NET_INCOME","1993-06-18","2026-05-02","Per=Y","Days=T","Dir=V")</f>
        <v>0</v>
      </c>
      <c r="AG2">
        <f>BDH("IBTA US Equity","IS_INT_EXPENSE","1993-06-18","2026-05-02","Per=Y","Days=T","Dir=V")</f>
        <v>0</v>
      </c>
      <c r="AI2">
        <f>BDH("IBTA US Equity","IS_DEPR_EXP","1993-06-18","2026-05-02","Per=Y","Days=T","Dir=V")</f>
        <v>0</v>
      </c>
      <c r="AK2">
        <f>BDH("IBTA US Equity","CF_CASH_FROM_OPER","1993-06-18","2026-05-02","Per=Y","Days=T","Dir=V")</f>
        <v>0</v>
      </c>
      <c r="AM2">
        <f>BDH("IBTA US Equity","CAPITAL_EXPEND","1993-06-18","2026-05-02","Per=Y","Days=T","Dir=V")</f>
        <v>0</v>
      </c>
      <c r="AO2">
        <f>BDH("IBTA US Equity","CF_FREE_CASH_FLOW","1993-06-18","2026-05-02","Per=Y","Days=T","Dir=V")</f>
        <v>0</v>
      </c>
      <c r="AQ2">
        <f>BDH("IBTA US Equity","PX_LAST","1993-06-18","2026-05-02","Per=M","Days=T","Dir=V")</f>
        <v>0</v>
      </c>
      <c r="AS2">
        <f>BDH("IBTA US Equity","CUR_MKT_CAP","1993-06-18","2026-05-02","Per=M","Days=T","Dir=V")</f>
        <v>0</v>
      </c>
      <c r="AU2">
        <f>BDH("IBTA US Equity","EQY_SH_OUT","1993-06-18","2026-05-02","Per=M","Days=T","Dir=V")</f>
        <v>0</v>
      </c>
      <c r="AW2">
        <f>BDH("IBTA US Equity","PX_VOLUME","1993-06-18","2026-05-02","Per=M","Days=T","Dir=V")</f>
        <v>0</v>
      </c>
      <c r="AY2">
        <f>BDH("IBTA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BDH("ICCC US Equity","BS_TOT_ASSET","1993-06-18","2026-05-02","Per=Y","Days=T","Dir=V")</f>
        <v>0</v>
      </c>
      <c r="C2">
        <f>BDH("ICCC US Equity","BS_TOT_LIAB2","1993-06-18","2026-05-02","Per=Y","Days=T","Dir=V")</f>
        <v>0</v>
      </c>
      <c r="E2">
        <f>BDH("ICCC US Equity","SHORT_AND_LONG_TERM_DEBT","1993-06-18","2026-05-02","Per=Y","Days=T","Dir=V")</f>
        <v>0</v>
      </c>
      <c r="G2">
        <f>BDH("ICCC US Equity","BS_ST_BORROW","1993-06-18","2026-05-02","Per=Y","Days=T","Dir=V")</f>
        <v>0</v>
      </c>
      <c r="I2">
        <f>BDH("ICCC US Equity","BS_LT_BORROW","1993-06-18","2026-05-02","Per=Y","Days=T","Dir=V")</f>
        <v>0</v>
      </c>
      <c r="K2">
        <f>BDH("ICCC US Equity","BS_CASH_NEAR_CASH_ITEM","1993-06-18","2026-05-02","Per=Y","Days=T","Dir=V")</f>
        <v>0</v>
      </c>
      <c r="M2">
        <f>BDH("ICCC US Equity","BS_CUR_ASSET_REPORT","1993-06-18","2026-05-02","Per=Y","Days=T","Dir=V")</f>
        <v>0</v>
      </c>
      <c r="O2">
        <f>BDH("ICCC US Equity","BS_CUR_LIAB","1993-06-18","2026-05-02","Per=Y","Days=T","Dir=V")</f>
        <v>0</v>
      </c>
      <c r="Q2">
        <f>BDH("ICCC US Equity","BS_SHAREHOLDER_EQY_ENDING_PERIOD","1993-06-18","2026-05-02","Per=Y","Days=T","Dir=V")</f>
        <v>0</v>
      </c>
      <c r="S2">
        <f>BDH("ICCC US Equity","BS_ACCT_NOTE_RCV","1993-06-18","2026-05-02","Per=Y","Days=T","Dir=V")</f>
        <v>0</v>
      </c>
      <c r="U2">
        <f>BDH("ICCC US Equity","BS_INVENTORIES","1993-06-18","2026-05-02","Per=Y","Days=T","Dir=V")</f>
        <v>0</v>
      </c>
      <c r="W2">
        <f>BDH("ICCC US Equity","WORKING_CAPITAL","1993-06-18","2026-05-02","Per=Y","Days=T","Dir=V")</f>
        <v>0</v>
      </c>
      <c r="Y2">
        <f>BDH("ICCC US Equity","SALES_REV_TURN","1993-06-18","2026-05-02","Per=Y","Days=T","Dir=V")</f>
        <v>0</v>
      </c>
      <c r="AA2">
        <f>BDH("ICCC US Equity","EBIT","1993-06-18","2026-05-02","Per=Y","Days=T","Dir=V")</f>
        <v>0</v>
      </c>
      <c r="AC2">
        <f>BDH("ICCC US Equity","EBITDA","1993-06-18","2026-05-02","Per=Y","Days=T","Dir=V")</f>
        <v>0</v>
      </c>
      <c r="AE2">
        <f>BDH("ICCC US Equity","NET_INCOME","1993-06-18","2026-05-02","Per=Y","Days=T","Dir=V")</f>
        <v>0</v>
      </c>
      <c r="AG2">
        <f>BDH("ICCC US Equity","IS_INT_EXPENSE","1993-06-18","2026-05-02","Per=Y","Days=T","Dir=V")</f>
        <v>0</v>
      </c>
      <c r="AI2">
        <f>BDH("ICCC US Equity","IS_DEPR_EXP","1993-06-18","2026-05-02","Per=Y","Days=T","Dir=V")</f>
        <v>0</v>
      </c>
      <c r="AK2">
        <f>BDH("ICCC US Equity","CF_CASH_FROM_OPER","1993-06-18","2026-05-02","Per=Y","Days=T","Dir=V")</f>
        <v>0</v>
      </c>
      <c r="AM2">
        <f>BDH("ICCC US Equity","CAPITAL_EXPEND","1993-06-18","2026-05-02","Per=Y","Days=T","Dir=V")</f>
        <v>0</v>
      </c>
      <c r="AO2">
        <f>BDH("ICCC US Equity","CF_FREE_CASH_FLOW","1993-06-18","2026-05-02","Per=Y","Days=T","Dir=V")</f>
        <v>0</v>
      </c>
      <c r="AQ2">
        <f>BDH("ICCC US Equity","PX_LAST","1993-06-18","2026-05-02","Per=M","Days=T","Dir=V")</f>
        <v>0</v>
      </c>
      <c r="AS2">
        <f>BDH("ICCC US Equity","CUR_MKT_CAP","1993-06-18","2026-05-02","Per=M","Days=T","Dir=V")</f>
        <v>0</v>
      </c>
      <c r="AU2">
        <f>BDH("ICCC US Equity","EQY_SH_OUT","1993-06-18","2026-05-02","Per=M","Days=T","Dir=V")</f>
        <v>0</v>
      </c>
      <c r="AW2">
        <f>BDH("ICCC US Equity","PX_VOLUME","1993-06-18","2026-05-02","Per=M","Days=T","Dir=V")</f>
        <v>0</v>
      </c>
      <c r="AY2">
        <f>BDH("ICCC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BDH("ICFI US Equity","BS_TOT_ASSET","1993-06-18","2026-05-02","Per=Y","Days=T","Dir=V")</f>
        <v>0</v>
      </c>
      <c r="C2">
        <f>BDH("ICFI US Equity","BS_TOT_LIAB2","1993-06-18","2026-05-02","Per=Y","Days=T","Dir=V")</f>
        <v>0</v>
      </c>
      <c r="E2">
        <f>BDH("ICFI US Equity","SHORT_AND_LONG_TERM_DEBT","1993-06-18","2026-05-02","Per=Y","Days=T","Dir=V")</f>
        <v>0</v>
      </c>
      <c r="G2">
        <f>BDH("ICFI US Equity","BS_ST_BORROW","1993-06-18","2026-05-02","Per=Y","Days=T","Dir=V")</f>
        <v>0</v>
      </c>
      <c r="I2">
        <f>BDH("ICFI US Equity","BS_LT_BORROW","1993-06-18","2026-05-02","Per=Y","Days=T","Dir=V")</f>
        <v>0</v>
      </c>
      <c r="K2">
        <f>BDH("ICFI US Equity","BS_CASH_NEAR_CASH_ITEM","1993-06-18","2026-05-02","Per=Y","Days=T","Dir=V")</f>
        <v>0</v>
      </c>
      <c r="M2">
        <f>BDH("ICFI US Equity","BS_CUR_ASSET_REPORT","1993-06-18","2026-05-02","Per=Y","Days=T","Dir=V")</f>
        <v>0</v>
      </c>
      <c r="O2">
        <f>BDH("ICFI US Equity","BS_CUR_LIAB","1993-06-18","2026-05-02","Per=Y","Days=T","Dir=V")</f>
        <v>0</v>
      </c>
      <c r="Q2">
        <f>BDH("ICFI US Equity","BS_SHAREHOLDER_EQY_ENDING_PERIOD","1993-06-18","2026-05-02","Per=Y","Days=T","Dir=V")</f>
        <v>0</v>
      </c>
      <c r="S2">
        <f>BDH("ICFI US Equity","BS_ACCT_NOTE_RCV","1993-06-18","2026-05-02","Per=Y","Days=T","Dir=V")</f>
        <v>0</v>
      </c>
      <c r="U2">
        <f>BDH("ICFI US Equity","BS_INVENTORIES","1993-06-18","2026-05-02","Per=Y","Days=T","Dir=V")</f>
        <v>0</v>
      </c>
      <c r="W2">
        <f>BDH("ICFI US Equity","WORKING_CAPITAL","1993-06-18","2026-05-02","Per=Y","Days=T","Dir=V")</f>
        <v>0</v>
      </c>
      <c r="Y2">
        <f>BDH("ICFI US Equity","SALES_REV_TURN","1993-06-18","2026-05-02","Per=Y","Days=T","Dir=V")</f>
        <v>0</v>
      </c>
      <c r="AA2">
        <f>BDH("ICFI US Equity","EBIT","1993-06-18","2026-05-02","Per=Y","Days=T","Dir=V")</f>
        <v>0</v>
      </c>
      <c r="AC2">
        <f>BDH("ICFI US Equity","EBITDA","1993-06-18","2026-05-02","Per=Y","Days=T","Dir=V")</f>
        <v>0</v>
      </c>
      <c r="AE2">
        <f>BDH("ICFI US Equity","NET_INCOME","1993-06-18","2026-05-02","Per=Y","Days=T","Dir=V")</f>
        <v>0</v>
      </c>
      <c r="AG2">
        <f>BDH("ICFI US Equity","IS_INT_EXPENSE","1993-06-18","2026-05-02","Per=Y","Days=T","Dir=V")</f>
        <v>0</v>
      </c>
      <c r="AI2">
        <f>BDH("ICFI US Equity","IS_DEPR_EXP","1993-06-18","2026-05-02","Per=Y","Days=T","Dir=V")</f>
        <v>0</v>
      </c>
      <c r="AK2">
        <f>BDH("ICFI US Equity","CF_CASH_FROM_OPER","1993-06-18","2026-05-02","Per=Y","Days=T","Dir=V")</f>
        <v>0</v>
      </c>
      <c r="AM2">
        <f>BDH("ICFI US Equity","CAPITAL_EXPEND","1993-06-18","2026-05-02","Per=Y","Days=T","Dir=V")</f>
        <v>0</v>
      </c>
      <c r="AO2">
        <f>BDH("ICFI US Equity","CF_FREE_CASH_FLOW","1993-06-18","2026-05-02","Per=Y","Days=T","Dir=V")</f>
        <v>0</v>
      </c>
      <c r="AQ2">
        <f>BDH("ICFI US Equity","PX_LAST","1993-06-18","2026-05-02","Per=M","Days=T","Dir=V")</f>
        <v>0</v>
      </c>
      <c r="AS2">
        <f>BDH("ICFI US Equity","CUR_MKT_CAP","1993-06-18","2026-05-02","Per=M","Days=T","Dir=V")</f>
        <v>0</v>
      </c>
      <c r="AU2">
        <f>BDH("ICFI US Equity","EQY_SH_OUT","1993-06-18","2026-05-02","Per=M","Days=T","Dir=V")</f>
        <v>0</v>
      </c>
      <c r="AW2">
        <f>BDH("ICFI US Equity","PX_VOLUME","1993-06-18","2026-05-02","Per=M","Days=T","Dir=V")</f>
        <v>0</v>
      </c>
      <c r="AY2">
        <f>BDH("ICFI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BDH("ICHR US Equity","BS_TOT_ASSET","1993-06-18","2026-05-02","Per=Y","Days=T","Dir=V")</f>
        <v>0</v>
      </c>
      <c r="C2">
        <f>BDH("ICHR US Equity","BS_TOT_LIAB2","1993-06-18","2026-05-02","Per=Y","Days=T","Dir=V")</f>
        <v>0</v>
      </c>
      <c r="E2">
        <f>BDH("ICHR US Equity","SHORT_AND_LONG_TERM_DEBT","1993-06-18","2026-05-02","Per=Y","Days=T","Dir=V")</f>
        <v>0</v>
      </c>
      <c r="G2">
        <f>BDH("ICHR US Equity","BS_ST_BORROW","1993-06-18","2026-05-02","Per=Y","Days=T","Dir=V")</f>
        <v>0</v>
      </c>
      <c r="I2">
        <f>BDH("ICHR US Equity","BS_LT_BORROW","1993-06-18","2026-05-02","Per=Y","Days=T","Dir=V")</f>
        <v>0</v>
      </c>
      <c r="K2">
        <f>BDH("ICHR US Equity","BS_CASH_NEAR_CASH_ITEM","1993-06-18","2026-05-02","Per=Y","Days=T","Dir=V")</f>
        <v>0</v>
      </c>
      <c r="M2">
        <f>BDH("ICHR US Equity","BS_CUR_ASSET_REPORT","1993-06-18","2026-05-02","Per=Y","Days=T","Dir=V")</f>
        <v>0</v>
      </c>
      <c r="O2">
        <f>BDH("ICHR US Equity","BS_CUR_LIAB","1993-06-18","2026-05-02","Per=Y","Days=T","Dir=V")</f>
        <v>0</v>
      </c>
      <c r="Q2">
        <f>BDH("ICHR US Equity","BS_SHAREHOLDER_EQY_ENDING_PERIOD","1993-06-18","2026-05-02","Per=Y","Days=T","Dir=V")</f>
        <v>0</v>
      </c>
      <c r="S2">
        <f>BDH("ICHR US Equity","BS_ACCT_NOTE_RCV","1993-06-18","2026-05-02","Per=Y","Days=T","Dir=V")</f>
        <v>0</v>
      </c>
      <c r="U2">
        <f>BDH("ICHR US Equity","BS_INVENTORIES","1993-06-18","2026-05-02","Per=Y","Days=T","Dir=V")</f>
        <v>0</v>
      </c>
      <c r="W2">
        <f>BDH("ICHR US Equity","WORKING_CAPITAL","1993-06-18","2026-05-02","Per=Y","Days=T","Dir=V")</f>
        <v>0</v>
      </c>
      <c r="Y2">
        <f>BDH("ICHR US Equity","SALES_REV_TURN","1993-06-18","2026-05-02","Per=Y","Days=T","Dir=V")</f>
        <v>0</v>
      </c>
      <c r="AA2">
        <f>BDH("ICHR US Equity","EBIT","1993-06-18","2026-05-02","Per=Y","Days=T","Dir=V")</f>
        <v>0</v>
      </c>
      <c r="AC2">
        <f>BDH("ICHR US Equity","EBITDA","1993-06-18","2026-05-02","Per=Y","Days=T","Dir=V")</f>
        <v>0</v>
      </c>
      <c r="AE2">
        <f>BDH("ICHR US Equity","NET_INCOME","1993-06-18","2026-05-02","Per=Y","Days=T","Dir=V")</f>
        <v>0</v>
      </c>
      <c r="AG2">
        <f>BDH("ICHR US Equity","IS_INT_EXPENSE","1993-06-18","2026-05-02","Per=Y","Days=T","Dir=V")</f>
        <v>0</v>
      </c>
      <c r="AI2">
        <f>BDH("ICHR US Equity","IS_DEPR_EXP","1993-06-18","2026-05-02","Per=Y","Days=T","Dir=V")</f>
        <v>0</v>
      </c>
      <c r="AK2">
        <f>BDH("ICHR US Equity","CF_CASH_FROM_OPER","1993-06-18","2026-05-02","Per=Y","Days=T","Dir=V")</f>
        <v>0</v>
      </c>
      <c r="AM2">
        <f>BDH("ICHR US Equity","CAPITAL_EXPEND","1993-06-18","2026-05-02","Per=Y","Days=T","Dir=V")</f>
        <v>0</v>
      </c>
      <c r="AO2">
        <f>BDH("ICHR US Equity","CF_FREE_CASH_FLOW","1993-06-18","2026-05-02","Per=Y","Days=T","Dir=V")</f>
        <v>0</v>
      </c>
      <c r="AQ2">
        <f>BDH("ICHR US Equity","PX_LAST","1993-06-18","2026-05-02","Per=M","Days=T","Dir=V")</f>
        <v>0</v>
      </c>
      <c r="AS2">
        <f>BDH("ICHR US Equity","CUR_MKT_CAP","1993-06-18","2026-05-02","Per=M","Days=T","Dir=V")</f>
        <v>0</v>
      </c>
      <c r="AU2">
        <f>BDH("ICHR US Equity","EQY_SH_OUT","1993-06-18","2026-05-02","Per=M","Days=T","Dir=V")</f>
        <v>0</v>
      </c>
      <c r="AW2">
        <f>BDH("ICHR US Equity","PX_VOLUME","1993-06-18","2026-05-02","Per=M","Days=T","Dir=V")</f>
        <v>0</v>
      </c>
      <c r="AY2">
        <f>BDH("ICHR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BDH("ICU US Equity","BS_TOT_ASSET","1993-06-18","2026-05-02","Per=Y","Days=T","Dir=V")</f>
        <v>0</v>
      </c>
      <c r="C2">
        <f>BDH("ICU US Equity","BS_TOT_LIAB2","1993-06-18","2026-05-02","Per=Y","Days=T","Dir=V")</f>
        <v>0</v>
      </c>
      <c r="E2">
        <f>BDH("ICU US Equity","SHORT_AND_LONG_TERM_DEBT","1993-06-18","2026-05-02","Per=Y","Days=T","Dir=V")</f>
        <v>0</v>
      </c>
      <c r="G2">
        <f>BDH("ICU US Equity","BS_ST_BORROW","1993-06-18","2026-05-02","Per=Y","Days=T","Dir=V")</f>
        <v>0</v>
      </c>
      <c r="I2">
        <f>BDH("ICU US Equity","BS_LT_BORROW","1993-06-18","2026-05-02","Per=Y","Days=T","Dir=V")</f>
        <v>0</v>
      </c>
      <c r="K2">
        <f>BDH("ICU US Equity","BS_CASH_NEAR_CASH_ITEM","1993-06-18","2026-05-02","Per=Y","Days=T","Dir=V")</f>
        <v>0</v>
      </c>
      <c r="M2">
        <f>BDH("ICU US Equity","BS_CUR_ASSET_REPORT","1993-06-18","2026-05-02","Per=Y","Days=T","Dir=V")</f>
        <v>0</v>
      </c>
      <c r="O2">
        <f>BDH("ICU US Equity","BS_CUR_LIAB","1993-06-18","2026-05-02","Per=Y","Days=T","Dir=V")</f>
        <v>0</v>
      </c>
      <c r="Q2">
        <f>BDH("ICU US Equity","BS_SHAREHOLDER_EQY_ENDING_PERIOD","1993-06-18","2026-05-02","Per=Y","Days=T","Dir=V")</f>
        <v>0</v>
      </c>
      <c r="S2">
        <f>BDH("ICU US Equity","BS_ACCT_NOTE_RCV","1993-06-18","2026-05-02","Per=Y","Days=T","Dir=V")</f>
        <v>0</v>
      </c>
      <c r="U2">
        <f>BDH("ICU US Equity","BS_INVENTORIES","1993-06-18","2026-05-02","Per=Y","Days=T","Dir=V")</f>
        <v>0</v>
      </c>
      <c r="W2">
        <f>BDH("ICU US Equity","WORKING_CAPITAL","1993-06-18","2026-05-02","Per=Y","Days=T","Dir=V")</f>
        <v>0</v>
      </c>
      <c r="Y2">
        <f>BDH("ICU US Equity","SALES_REV_TURN","1993-06-18","2026-05-02","Per=Y","Days=T","Dir=V")</f>
        <v>0</v>
      </c>
      <c r="AA2">
        <f>BDH("ICU US Equity","EBIT","1993-06-18","2026-05-02","Per=Y","Days=T","Dir=V")</f>
        <v>0</v>
      </c>
      <c r="AC2">
        <f>BDH("ICU US Equity","EBITDA","1993-06-18","2026-05-02","Per=Y","Days=T","Dir=V")</f>
        <v>0</v>
      </c>
      <c r="AE2">
        <f>BDH("ICU US Equity","NET_INCOME","1993-06-18","2026-05-02","Per=Y","Days=T","Dir=V")</f>
        <v>0</v>
      </c>
      <c r="AG2">
        <f>BDH("ICU US Equity","IS_INT_EXPENSE","1993-06-18","2026-05-02","Per=Y","Days=T","Dir=V")</f>
        <v>0</v>
      </c>
      <c r="AI2">
        <f>BDH("ICU US Equity","IS_DEPR_EXP","1993-06-18","2026-05-02","Per=Y","Days=T","Dir=V")</f>
        <v>0</v>
      </c>
      <c r="AK2">
        <f>BDH("ICU US Equity","CF_CASH_FROM_OPER","1993-06-18","2026-05-02","Per=Y","Days=T","Dir=V")</f>
        <v>0</v>
      </c>
      <c r="AM2">
        <f>BDH("ICU US Equity","CAPITAL_EXPEND","1993-06-18","2026-05-02","Per=Y","Days=T","Dir=V")</f>
        <v>0</v>
      </c>
      <c r="AO2">
        <f>BDH("ICU US Equity","CF_FREE_CASH_FLOW","1993-06-18","2026-05-02","Per=Y","Days=T","Dir=V")</f>
        <v>0</v>
      </c>
      <c r="AQ2">
        <f>BDH("ICU US Equity","PX_LAST","1993-06-18","2026-05-02","Per=M","Days=T","Dir=V")</f>
        <v>0</v>
      </c>
      <c r="AS2">
        <f>BDH("ICU US Equity","CUR_MKT_CAP","1993-06-18","2026-05-02","Per=M","Days=T","Dir=V")</f>
        <v>0</v>
      </c>
      <c r="AU2">
        <f>BDH("ICU US Equity","EQY_SH_OUT","1993-06-18","2026-05-02","Per=M","Days=T","Dir=V")</f>
        <v>0</v>
      </c>
      <c r="AW2">
        <f>BDH("ICU US Equity","PX_VOLUME","1993-06-18","2026-05-02","Per=M","Days=T","Dir=V")</f>
        <v>0</v>
      </c>
      <c r="AY2">
        <f>BDH("ICU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BDH("ICUCW US Equity","BS_TOT_ASSET","1993-06-18","2026-05-02","Per=Y","Days=T","Dir=V")</f>
        <v>0</v>
      </c>
      <c r="C2">
        <f>BDH("ICUCW US Equity","BS_TOT_LIAB2","1993-06-18","2026-05-02","Per=Y","Days=T","Dir=V")</f>
        <v>0</v>
      </c>
      <c r="E2">
        <f>BDH("ICUCW US Equity","SHORT_AND_LONG_TERM_DEBT","1993-06-18","2026-05-02","Per=Y","Days=T","Dir=V")</f>
        <v>0</v>
      </c>
      <c r="G2">
        <f>BDH("ICUCW US Equity","BS_ST_BORROW","1993-06-18","2026-05-02","Per=Y","Days=T","Dir=V")</f>
        <v>0</v>
      </c>
      <c r="I2">
        <f>BDH("ICUCW US Equity","BS_LT_BORROW","1993-06-18","2026-05-02","Per=Y","Days=T","Dir=V")</f>
        <v>0</v>
      </c>
      <c r="K2">
        <f>BDH("ICUCW US Equity","BS_CASH_NEAR_CASH_ITEM","1993-06-18","2026-05-02","Per=Y","Days=T","Dir=V")</f>
        <v>0</v>
      </c>
      <c r="M2">
        <f>BDH("ICUCW US Equity","BS_CUR_ASSET_REPORT","1993-06-18","2026-05-02","Per=Y","Days=T","Dir=V")</f>
        <v>0</v>
      </c>
      <c r="O2">
        <f>BDH("ICUCW US Equity","BS_CUR_LIAB","1993-06-18","2026-05-02","Per=Y","Days=T","Dir=V")</f>
        <v>0</v>
      </c>
      <c r="Q2">
        <f>BDH("ICUCW US Equity","BS_SHAREHOLDER_EQY_ENDING_PERIOD","1993-06-18","2026-05-02","Per=Y","Days=T","Dir=V")</f>
        <v>0</v>
      </c>
      <c r="S2">
        <f>BDH("ICUCW US Equity","BS_ACCT_NOTE_RCV","1993-06-18","2026-05-02","Per=Y","Days=T","Dir=V")</f>
        <v>0</v>
      </c>
      <c r="U2">
        <f>BDH("ICUCW US Equity","BS_INVENTORIES","1993-06-18","2026-05-02","Per=Y","Days=T","Dir=V")</f>
        <v>0</v>
      </c>
      <c r="W2">
        <f>BDH("ICUCW US Equity","WORKING_CAPITAL","1993-06-18","2026-05-02","Per=Y","Days=T","Dir=V")</f>
        <v>0</v>
      </c>
      <c r="Y2">
        <f>BDH("ICUCW US Equity","SALES_REV_TURN","1993-06-18","2026-05-02","Per=Y","Days=T","Dir=V")</f>
        <v>0</v>
      </c>
      <c r="AA2">
        <f>BDH("ICUCW US Equity","EBIT","1993-06-18","2026-05-02","Per=Y","Days=T","Dir=V")</f>
        <v>0</v>
      </c>
      <c r="AC2">
        <f>BDH("ICUCW US Equity","EBITDA","1993-06-18","2026-05-02","Per=Y","Days=T","Dir=V")</f>
        <v>0</v>
      </c>
      <c r="AE2">
        <f>BDH("ICUCW US Equity","NET_INCOME","1993-06-18","2026-05-02","Per=Y","Days=T","Dir=V")</f>
        <v>0</v>
      </c>
      <c r="AG2">
        <f>BDH("ICUCW US Equity","IS_INT_EXPENSE","1993-06-18","2026-05-02","Per=Y","Days=T","Dir=V")</f>
        <v>0</v>
      </c>
      <c r="AI2">
        <f>BDH("ICUCW US Equity","IS_DEPR_EXP","1993-06-18","2026-05-02","Per=Y","Days=T","Dir=V")</f>
        <v>0</v>
      </c>
      <c r="AK2">
        <f>BDH("ICUCW US Equity","CF_CASH_FROM_OPER","1993-06-18","2026-05-02","Per=Y","Days=T","Dir=V")</f>
        <v>0</v>
      </c>
      <c r="AM2">
        <f>BDH("ICUCW US Equity","CAPITAL_EXPEND","1993-06-18","2026-05-02","Per=Y","Days=T","Dir=V")</f>
        <v>0</v>
      </c>
      <c r="AO2">
        <f>BDH("ICUCW US Equity","CF_FREE_CASH_FLOW","1993-06-18","2026-05-02","Per=Y","Days=T","Dir=V")</f>
        <v>0</v>
      </c>
      <c r="AQ2">
        <f>BDH("ICUCW US Equity","PX_LAST","1993-06-18","2026-05-02","Per=M","Days=T","Dir=V")</f>
        <v>0</v>
      </c>
      <c r="AS2">
        <f>BDH("ICUCW US Equity","CUR_MKT_CAP","1993-06-18","2026-05-02","Per=M","Days=T","Dir=V")</f>
        <v>0</v>
      </c>
      <c r="AU2">
        <f>BDH("ICUCW US Equity","EQY_SH_OUT","1993-06-18","2026-05-02","Per=M","Days=T","Dir=V")</f>
        <v>0</v>
      </c>
      <c r="AW2">
        <f>BDH("ICUCW US Equity","PX_VOLUME","1993-06-18","2026-05-02","Per=M","Days=T","Dir=V")</f>
        <v>0</v>
      </c>
      <c r="AY2">
        <f>BDH("ICUCW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BDH("ICUI US Equity","BS_TOT_ASSET","1993-06-18","2026-05-02","Per=Y","Days=T","Dir=V")</f>
        <v>0</v>
      </c>
      <c r="C2">
        <f>BDH("ICUI US Equity","BS_TOT_LIAB2","1993-06-18","2026-05-02","Per=Y","Days=T","Dir=V")</f>
        <v>0</v>
      </c>
      <c r="E2">
        <f>BDH("ICUI US Equity","SHORT_AND_LONG_TERM_DEBT","1993-06-18","2026-05-02","Per=Y","Days=T","Dir=V")</f>
        <v>0</v>
      </c>
      <c r="G2">
        <f>BDH("ICUI US Equity","BS_ST_BORROW","1993-06-18","2026-05-02","Per=Y","Days=T","Dir=V")</f>
        <v>0</v>
      </c>
      <c r="I2">
        <f>BDH("ICUI US Equity","BS_LT_BORROW","1993-06-18","2026-05-02","Per=Y","Days=T","Dir=V")</f>
        <v>0</v>
      </c>
      <c r="K2">
        <f>BDH("ICUI US Equity","BS_CASH_NEAR_CASH_ITEM","1993-06-18","2026-05-02","Per=Y","Days=T","Dir=V")</f>
        <v>0</v>
      </c>
      <c r="M2">
        <f>BDH("ICUI US Equity","BS_CUR_ASSET_REPORT","1993-06-18","2026-05-02","Per=Y","Days=T","Dir=V")</f>
        <v>0</v>
      </c>
      <c r="O2">
        <f>BDH("ICUI US Equity","BS_CUR_LIAB","1993-06-18","2026-05-02","Per=Y","Days=T","Dir=V")</f>
        <v>0</v>
      </c>
      <c r="Q2">
        <f>BDH("ICUI US Equity","BS_SHAREHOLDER_EQY_ENDING_PERIOD","1993-06-18","2026-05-02","Per=Y","Days=T","Dir=V")</f>
        <v>0</v>
      </c>
      <c r="S2">
        <f>BDH("ICUI US Equity","BS_ACCT_NOTE_RCV","1993-06-18","2026-05-02","Per=Y","Days=T","Dir=V")</f>
        <v>0</v>
      </c>
      <c r="U2">
        <f>BDH("ICUI US Equity","BS_INVENTORIES","1993-06-18","2026-05-02","Per=Y","Days=T","Dir=V")</f>
        <v>0</v>
      </c>
      <c r="W2">
        <f>BDH("ICUI US Equity","WORKING_CAPITAL","1993-06-18","2026-05-02","Per=Y","Days=T","Dir=V")</f>
        <v>0</v>
      </c>
      <c r="Y2">
        <f>BDH("ICUI US Equity","SALES_REV_TURN","1993-06-18","2026-05-02","Per=Y","Days=T","Dir=V")</f>
        <v>0</v>
      </c>
      <c r="AA2">
        <f>BDH("ICUI US Equity","EBIT","1993-06-18","2026-05-02","Per=Y","Days=T","Dir=V")</f>
        <v>0</v>
      </c>
      <c r="AC2">
        <f>BDH("ICUI US Equity","EBITDA","1993-06-18","2026-05-02","Per=Y","Days=T","Dir=V")</f>
        <v>0</v>
      </c>
      <c r="AE2">
        <f>BDH("ICUI US Equity","NET_INCOME","1993-06-18","2026-05-02","Per=Y","Days=T","Dir=V")</f>
        <v>0</v>
      </c>
      <c r="AG2">
        <f>BDH("ICUI US Equity","IS_INT_EXPENSE","1993-06-18","2026-05-02","Per=Y","Days=T","Dir=V")</f>
        <v>0</v>
      </c>
      <c r="AI2">
        <f>BDH("ICUI US Equity","IS_DEPR_EXP","1993-06-18","2026-05-02","Per=Y","Days=T","Dir=V")</f>
        <v>0</v>
      </c>
      <c r="AK2">
        <f>BDH("ICUI US Equity","CF_CASH_FROM_OPER","1993-06-18","2026-05-02","Per=Y","Days=T","Dir=V")</f>
        <v>0</v>
      </c>
      <c r="AM2">
        <f>BDH("ICUI US Equity","CAPITAL_EXPEND","1993-06-18","2026-05-02","Per=Y","Days=T","Dir=V")</f>
        <v>0</v>
      </c>
      <c r="AO2">
        <f>BDH("ICUI US Equity","CF_FREE_CASH_FLOW","1993-06-18","2026-05-02","Per=Y","Days=T","Dir=V")</f>
        <v>0</v>
      </c>
      <c r="AQ2">
        <f>BDH("ICUI US Equity","PX_LAST","1993-06-18","2026-05-02","Per=M","Days=T","Dir=V")</f>
        <v>0</v>
      </c>
      <c r="AS2">
        <f>BDH("ICUI US Equity","CUR_MKT_CAP","1993-06-18","2026-05-02","Per=M","Days=T","Dir=V")</f>
        <v>0</v>
      </c>
      <c r="AU2">
        <f>BDH("ICUI US Equity","EQY_SH_OUT","1993-06-18","2026-05-02","Per=M","Days=T","Dir=V")</f>
        <v>0</v>
      </c>
      <c r="AW2">
        <f>BDH("ICUI US Equity","PX_VOLUME","1993-06-18","2026-05-02","Per=M","Days=T","Dir=V")</f>
        <v>0</v>
      </c>
      <c r="AY2">
        <f>BDH("ICUI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BDH("IDA US Equity","BS_TOT_ASSET","1993-06-18","2026-05-02","Per=Y","Days=T","Dir=V")</f>
        <v>0</v>
      </c>
      <c r="C2">
        <f>BDH("IDA US Equity","BS_TOT_LIAB2","1993-06-18","2026-05-02","Per=Y","Days=T","Dir=V")</f>
        <v>0</v>
      </c>
      <c r="E2">
        <f>BDH("IDA US Equity","SHORT_AND_LONG_TERM_DEBT","1993-06-18","2026-05-02","Per=Y","Days=T","Dir=V")</f>
        <v>0</v>
      </c>
      <c r="G2">
        <f>BDH("IDA US Equity","BS_ST_BORROW","1993-06-18","2026-05-02","Per=Y","Days=T","Dir=V")</f>
        <v>0</v>
      </c>
      <c r="I2">
        <f>BDH("IDA US Equity","BS_LT_BORROW","1993-06-18","2026-05-02","Per=Y","Days=T","Dir=V")</f>
        <v>0</v>
      </c>
      <c r="K2">
        <f>BDH("IDA US Equity","BS_CASH_NEAR_CASH_ITEM","1993-06-18","2026-05-02","Per=Y","Days=T","Dir=V")</f>
        <v>0</v>
      </c>
      <c r="M2">
        <f>BDH("IDA US Equity","BS_CUR_ASSET_REPORT","1993-06-18","2026-05-02","Per=Y","Days=T","Dir=V")</f>
        <v>0</v>
      </c>
      <c r="O2">
        <f>BDH("IDA US Equity","BS_CUR_LIAB","1993-06-18","2026-05-02","Per=Y","Days=T","Dir=V")</f>
        <v>0</v>
      </c>
      <c r="Q2">
        <f>BDH("IDA US Equity","BS_SHAREHOLDER_EQY_ENDING_PERIOD","1993-06-18","2026-05-02","Per=Y","Days=T","Dir=V")</f>
        <v>0</v>
      </c>
      <c r="S2">
        <f>BDH("IDA US Equity","BS_ACCT_NOTE_RCV","1993-06-18","2026-05-02","Per=Y","Days=T","Dir=V")</f>
        <v>0</v>
      </c>
      <c r="U2">
        <f>BDH("IDA US Equity","BS_INVENTORIES","1993-06-18","2026-05-02","Per=Y","Days=T","Dir=V")</f>
        <v>0</v>
      </c>
      <c r="W2">
        <f>BDH("IDA US Equity","WORKING_CAPITAL","1993-06-18","2026-05-02","Per=Y","Days=T","Dir=V")</f>
        <v>0</v>
      </c>
      <c r="Y2">
        <f>BDH("IDA US Equity","SALES_REV_TURN","1993-06-18","2026-05-02","Per=Y","Days=T","Dir=V")</f>
        <v>0</v>
      </c>
      <c r="AA2">
        <f>BDH("IDA US Equity","EBIT","1993-06-18","2026-05-02","Per=Y","Days=T","Dir=V")</f>
        <v>0</v>
      </c>
      <c r="AC2">
        <f>BDH("IDA US Equity","EBITDA","1993-06-18","2026-05-02","Per=Y","Days=T","Dir=V")</f>
        <v>0</v>
      </c>
      <c r="AE2">
        <f>BDH("IDA US Equity","NET_INCOME","1993-06-18","2026-05-02","Per=Y","Days=T","Dir=V")</f>
        <v>0</v>
      </c>
      <c r="AG2">
        <f>BDH("IDA US Equity","IS_INT_EXPENSE","1993-06-18","2026-05-02","Per=Y","Days=T","Dir=V")</f>
        <v>0</v>
      </c>
      <c r="AI2">
        <f>BDH("IDA US Equity","IS_DEPR_EXP","1993-06-18","2026-05-02","Per=Y","Days=T","Dir=V")</f>
        <v>0</v>
      </c>
      <c r="AK2">
        <f>BDH("IDA US Equity","CF_CASH_FROM_OPER","1993-06-18","2026-05-02","Per=Y","Days=T","Dir=V")</f>
        <v>0</v>
      </c>
      <c r="AM2">
        <f>BDH("IDA US Equity","CAPITAL_EXPEND","1993-06-18","2026-05-02","Per=Y","Days=T","Dir=V")</f>
        <v>0</v>
      </c>
      <c r="AO2">
        <f>BDH("IDA US Equity","CF_FREE_CASH_FLOW","1993-06-18","2026-05-02","Per=Y","Days=T","Dir=V")</f>
        <v>0</v>
      </c>
      <c r="AQ2">
        <f>BDH("IDA US Equity","PX_LAST","1993-06-18","2026-05-02","Per=M","Days=T","Dir=V")</f>
        <v>0</v>
      </c>
      <c r="AS2">
        <f>BDH("IDA US Equity","CUR_MKT_CAP","1993-06-18","2026-05-02","Per=M","Days=T","Dir=V")</f>
        <v>0</v>
      </c>
      <c r="AU2">
        <f>BDH("IDA US Equity","EQY_SH_OUT","1993-06-18","2026-05-02","Per=M","Days=T","Dir=V")</f>
        <v>0</v>
      </c>
      <c r="AW2">
        <f>BDH("IDA US Equity","PX_VOLUME","1993-06-18","2026-05-02","Per=M","Days=T","Dir=V")</f>
        <v>0</v>
      </c>
      <c r="AY2">
        <f>BDH("IDA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BDH("IDAI US Equity","BS_TOT_ASSET","1993-06-18","2026-05-02","Per=Y","Days=T","Dir=V")</f>
        <v>0</v>
      </c>
      <c r="C2">
        <f>BDH("IDAI US Equity","BS_TOT_LIAB2","1993-06-18","2026-05-02","Per=Y","Days=T","Dir=V")</f>
        <v>0</v>
      </c>
      <c r="E2">
        <f>BDH("IDAI US Equity","SHORT_AND_LONG_TERM_DEBT","1993-06-18","2026-05-02","Per=Y","Days=T","Dir=V")</f>
        <v>0</v>
      </c>
      <c r="G2">
        <f>BDH("IDAI US Equity","BS_ST_BORROW","1993-06-18","2026-05-02","Per=Y","Days=T","Dir=V")</f>
        <v>0</v>
      </c>
      <c r="I2">
        <f>BDH("IDAI US Equity","BS_LT_BORROW","1993-06-18","2026-05-02","Per=Y","Days=T","Dir=V")</f>
        <v>0</v>
      </c>
      <c r="K2">
        <f>BDH("IDAI US Equity","BS_CASH_NEAR_CASH_ITEM","1993-06-18","2026-05-02","Per=Y","Days=T","Dir=V")</f>
        <v>0</v>
      </c>
      <c r="M2">
        <f>BDH("IDAI US Equity","BS_CUR_ASSET_REPORT","1993-06-18","2026-05-02","Per=Y","Days=T","Dir=V")</f>
        <v>0</v>
      </c>
      <c r="O2">
        <f>BDH("IDAI US Equity","BS_CUR_LIAB","1993-06-18","2026-05-02","Per=Y","Days=T","Dir=V")</f>
        <v>0</v>
      </c>
      <c r="Q2">
        <f>BDH("IDAI US Equity","BS_SHAREHOLDER_EQY_ENDING_PERIOD","1993-06-18","2026-05-02","Per=Y","Days=T","Dir=V")</f>
        <v>0</v>
      </c>
      <c r="S2">
        <f>BDH("IDAI US Equity","BS_ACCT_NOTE_RCV","1993-06-18","2026-05-02","Per=Y","Days=T","Dir=V")</f>
        <v>0</v>
      </c>
      <c r="U2">
        <f>BDH("IDAI US Equity","BS_INVENTORIES","1993-06-18","2026-05-02","Per=Y","Days=T","Dir=V")</f>
        <v>0</v>
      </c>
      <c r="W2">
        <f>BDH("IDAI US Equity","WORKING_CAPITAL","1993-06-18","2026-05-02","Per=Y","Days=T","Dir=V")</f>
        <v>0</v>
      </c>
      <c r="Y2">
        <f>BDH("IDAI US Equity","SALES_REV_TURN","1993-06-18","2026-05-02","Per=Y","Days=T","Dir=V")</f>
        <v>0</v>
      </c>
      <c r="AA2">
        <f>BDH("IDAI US Equity","EBIT","1993-06-18","2026-05-02","Per=Y","Days=T","Dir=V")</f>
        <v>0</v>
      </c>
      <c r="AC2">
        <f>BDH("IDAI US Equity","EBITDA","1993-06-18","2026-05-02","Per=Y","Days=T","Dir=V")</f>
        <v>0</v>
      </c>
      <c r="AE2">
        <f>BDH("IDAI US Equity","NET_INCOME","1993-06-18","2026-05-02","Per=Y","Days=T","Dir=V")</f>
        <v>0</v>
      </c>
      <c r="AG2">
        <f>BDH("IDAI US Equity","IS_INT_EXPENSE","1993-06-18","2026-05-02","Per=Y","Days=T","Dir=V")</f>
        <v>0</v>
      </c>
      <c r="AI2">
        <f>BDH("IDAI US Equity","IS_DEPR_EXP","1993-06-18","2026-05-02","Per=Y","Days=T","Dir=V")</f>
        <v>0</v>
      </c>
      <c r="AK2">
        <f>BDH("IDAI US Equity","CF_CASH_FROM_OPER","1993-06-18","2026-05-02","Per=Y","Days=T","Dir=V")</f>
        <v>0</v>
      </c>
      <c r="AM2">
        <f>BDH("IDAI US Equity","CAPITAL_EXPEND","1993-06-18","2026-05-02","Per=Y","Days=T","Dir=V")</f>
        <v>0</v>
      </c>
      <c r="AO2">
        <f>BDH("IDAI US Equity","CF_FREE_CASH_FLOW","1993-06-18","2026-05-02","Per=Y","Days=T","Dir=V")</f>
        <v>0</v>
      </c>
      <c r="AQ2">
        <f>BDH("IDAI US Equity","PX_LAST","1993-06-18","2026-05-02","Per=M","Days=T","Dir=V")</f>
        <v>0</v>
      </c>
      <c r="AS2">
        <f>BDH("IDAI US Equity","CUR_MKT_CAP","1993-06-18","2026-05-02","Per=M","Days=T","Dir=V")</f>
        <v>0</v>
      </c>
      <c r="AU2">
        <f>BDH("IDAI US Equity","EQY_SH_OUT","1993-06-18","2026-05-02","Per=M","Days=T","Dir=V")</f>
        <v>0</v>
      </c>
      <c r="AW2">
        <f>BDH("IDAI US Equity","PX_VOLUME","1993-06-18","2026-05-02","Per=M","Days=T","Dir=V")</f>
        <v>0</v>
      </c>
      <c r="AY2">
        <f>BDH("IDAI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BDH("IDN US Equity","BS_TOT_ASSET","1993-06-18","2026-05-02","Per=Y","Days=T","Dir=V")</f>
        <v>0</v>
      </c>
      <c r="C2">
        <f>BDH("IDN US Equity","BS_TOT_LIAB2","1993-06-18","2026-05-02","Per=Y","Days=T","Dir=V")</f>
        <v>0</v>
      </c>
      <c r="E2">
        <f>BDH("IDN US Equity","SHORT_AND_LONG_TERM_DEBT","1993-06-18","2026-05-02","Per=Y","Days=T","Dir=V")</f>
        <v>0</v>
      </c>
      <c r="G2">
        <f>BDH("IDN US Equity","BS_ST_BORROW","1993-06-18","2026-05-02","Per=Y","Days=T","Dir=V")</f>
        <v>0</v>
      </c>
      <c r="I2">
        <f>BDH("IDN US Equity","BS_LT_BORROW","1993-06-18","2026-05-02","Per=Y","Days=T","Dir=V")</f>
        <v>0</v>
      </c>
      <c r="K2">
        <f>BDH("IDN US Equity","BS_CASH_NEAR_CASH_ITEM","1993-06-18","2026-05-02","Per=Y","Days=T","Dir=V")</f>
        <v>0</v>
      </c>
      <c r="M2">
        <f>BDH("IDN US Equity","BS_CUR_ASSET_REPORT","1993-06-18","2026-05-02","Per=Y","Days=T","Dir=V")</f>
        <v>0</v>
      </c>
      <c r="O2">
        <f>BDH("IDN US Equity","BS_CUR_LIAB","1993-06-18","2026-05-02","Per=Y","Days=T","Dir=V")</f>
        <v>0</v>
      </c>
      <c r="Q2">
        <f>BDH("IDN US Equity","BS_SHAREHOLDER_EQY_ENDING_PERIOD","1993-06-18","2026-05-02","Per=Y","Days=T","Dir=V")</f>
        <v>0</v>
      </c>
      <c r="S2">
        <f>BDH("IDN US Equity","BS_ACCT_NOTE_RCV","1993-06-18","2026-05-02","Per=Y","Days=T","Dir=V")</f>
        <v>0</v>
      </c>
      <c r="U2">
        <f>BDH("IDN US Equity","BS_INVENTORIES","1993-06-18","2026-05-02","Per=Y","Days=T","Dir=V")</f>
        <v>0</v>
      </c>
      <c r="W2">
        <f>BDH("IDN US Equity","WORKING_CAPITAL","1993-06-18","2026-05-02","Per=Y","Days=T","Dir=V")</f>
        <v>0</v>
      </c>
      <c r="Y2">
        <f>BDH("IDN US Equity","SALES_REV_TURN","1993-06-18","2026-05-02","Per=Y","Days=T","Dir=V")</f>
        <v>0</v>
      </c>
      <c r="AA2">
        <f>BDH("IDN US Equity","EBIT","1993-06-18","2026-05-02","Per=Y","Days=T","Dir=V")</f>
        <v>0</v>
      </c>
      <c r="AC2">
        <f>BDH("IDN US Equity","EBITDA","1993-06-18","2026-05-02","Per=Y","Days=T","Dir=V")</f>
        <v>0</v>
      </c>
      <c r="AE2">
        <f>BDH("IDN US Equity","NET_INCOME","1993-06-18","2026-05-02","Per=Y","Days=T","Dir=V")</f>
        <v>0</v>
      </c>
      <c r="AG2">
        <f>BDH("IDN US Equity","IS_INT_EXPENSE","1993-06-18","2026-05-02","Per=Y","Days=T","Dir=V")</f>
        <v>0</v>
      </c>
      <c r="AI2">
        <f>BDH("IDN US Equity","IS_DEPR_EXP","1993-06-18","2026-05-02","Per=Y","Days=T","Dir=V")</f>
        <v>0</v>
      </c>
      <c r="AK2">
        <f>BDH("IDN US Equity","CF_CASH_FROM_OPER","1993-06-18","2026-05-02","Per=Y","Days=T","Dir=V")</f>
        <v>0</v>
      </c>
      <c r="AM2">
        <f>BDH("IDN US Equity","CAPITAL_EXPEND","1993-06-18","2026-05-02","Per=Y","Days=T","Dir=V")</f>
        <v>0</v>
      </c>
      <c r="AO2">
        <f>BDH("IDN US Equity","CF_FREE_CASH_FLOW","1993-06-18","2026-05-02","Per=Y","Days=T","Dir=V")</f>
        <v>0</v>
      </c>
      <c r="AQ2">
        <f>BDH("IDN US Equity","PX_LAST","1993-06-18","2026-05-02","Per=M","Days=T","Dir=V")</f>
        <v>0</v>
      </c>
      <c r="AS2">
        <f>BDH("IDN US Equity","CUR_MKT_CAP","1993-06-18","2026-05-02","Per=M","Days=T","Dir=V")</f>
        <v>0</v>
      </c>
      <c r="AU2">
        <f>BDH("IDN US Equity","EQY_SH_OUT","1993-06-18","2026-05-02","Per=M","Days=T","Dir=V")</f>
        <v>0</v>
      </c>
      <c r="AW2">
        <f>BDH("IDN US Equity","PX_VOLUME","1993-06-18","2026-05-02","Per=M","Days=T","Dir=V")</f>
        <v>0</v>
      </c>
      <c r="AY2">
        <f>BDH("IDN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BDH("IDR US Equity","BS_TOT_ASSET","1993-06-18","2026-05-02","Per=Y","Days=T","Dir=V")</f>
        <v>0</v>
      </c>
      <c r="C2">
        <f>BDH("IDR US Equity","BS_TOT_LIAB2","1993-06-18","2026-05-02","Per=Y","Days=T","Dir=V")</f>
        <v>0</v>
      </c>
      <c r="E2">
        <f>BDH("IDR US Equity","SHORT_AND_LONG_TERM_DEBT","1993-06-18","2026-05-02","Per=Y","Days=T","Dir=V")</f>
        <v>0</v>
      </c>
      <c r="G2">
        <f>BDH("IDR US Equity","BS_ST_BORROW","1993-06-18","2026-05-02","Per=Y","Days=T","Dir=V")</f>
        <v>0</v>
      </c>
      <c r="I2">
        <f>BDH("IDR US Equity","BS_LT_BORROW","1993-06-18","2026-05-02","Per=Y","Days=T","Dir=V")</f>
        <v>0</v>
      </c>
      <c r="K2">
        <f>BDH("IDR US Equity","BS_CASH_NEAR_CASH_ITEM","1993-06-18","2026-05-02","Per=Y","Days=T","Dir=V")</f>
        <v>0</v>
      </c>
      <c r="M2">
        <f>BDH("IDR US Equity","BS_CUR_ASSET_REPORT","1993-06-18","2026-05-02","Per=Y","Days=T","Dir=V")</f>
        <v>0</v>
      </c>
      <c r="O2">
        <f>BDH("IDR US Equity","BS_CUR_LIAB","1993-06-18","2026-05-02","Per=Y","Days=T","Dir=V")</f>
        <v>0</v>
      </c>
      <c r="Q2">
        <f>BDH("IDR US Equity","BS_SHAREHOLDER_EQY_ENDING_PERIOD","1993-06-18","2026-05-02","Per=Y","Days=T","Dir=V")</f>
        <v>0</v>
      </c>
      <c r="S2">
        <f>BDH("IDR US Equity","BS_ACCT_NOTE_RCV","1993-06-18","2026-05-02","Per=Y","Days=T","Dir=V")</f>
        <v>0</v>
      </c>
      <c r="U2">
        <f>BDH("IDR US Equity","BS_INVENTORIES","1993-06-18","2026-05-02","Per=Y","Days=T","Dir=V")</f>
        <v>0</v>
      </c>
      <c r="W2">
        <f>BDH("IDR US Equity","WORKING_CAPITAL","1993-06-18","2026-05-02","Per=Y","Days=T","Dir=V")</f>
        <v>0</v>
      </c>
      <c r="Y2">
        <f>BDH("IDR US Equity","SALES_REV_TURN","1993-06-18","2026-05-02","Per=Y","Days=T","Dir=V")</f>
        <v>0</v>
      </c>
      <c r="AA2">
        <f>BDH("IDR US Equity","EBIT","1993-06-18","2026-05-02","Per=Y","Days=T","Dir=V")</f>
        <v>0</v>
      </c>
      <c r="AC2">
        <f>BDH("IDR US Equity","EBITDA","1993-06-18","2026-05-02","Per=Y","Days=T","Dir=V")</f>
        <v>0</v>
      </c>
      <c r="AE2">
        <f>BDH("IDR US Equity","NET_INCOME","1993-06-18","2026-05-02","Per=Y","Days=T","Dir=V")</f>
        <v>0</v>
      </c>
      <c r="AG2">
        <f>BDH("IDR US Equity","IS_INT_EXPENSE","1993-06-18","2026-05-02","Per=Y","Days=T","Dir=V")</f>
        <v>0</v>
      </c>
      <c r="AI2">
        <f>BDH("IDR US Equity","IS_DEPR_EXP","1993-06-18","2026-05-02","Per=Y","Days=T","Dir=V")</f>
        <v>0</v>
      </c>
      <c r="AK2">
        <f>BDH("IDR US Equity","CF_CASH_FROM_OPER","1993-06-18","2026-05-02","Per=Y","Days=T","Dir=V")</f>
        <v>0</v>
      </c>
      <c r="AM2">
        <f>BDH("IDR US Equity","CAPITAL_EXPEND","1993-06-18","2026-05-02","Per=Y","Days=T","Dir=V")</f>
        <v>0</v>
      </c>
      <c r="AO2">
        <f>BDH("IDR US Equity","CF_FREE_CASH_FLOW","1993-06-18","2026-05-02","Per=Y","Days=T","Dir=V")</f>
        <v>0</v>
      </c>
      <c r="AQ2">
        <f>BDH("IDR US Equity","PX_LAST","1993-06-18","2026-05-02","Per=M","Days=T","Dir=V")</f>
        <v>0</v>
      </c>
      <c r="AS2">
        <f>BDH("IDR US Equity","CUR_MKT_CAP","1993-06-18","2026-05-02","Per=M","Days=T","Dir=V")</f>
        <v>0</v>
      </c>
      <c r="AU2">
        <f>BDH("IDR US Equity","EQY_SH_OUT","1993-06-18","2026-05-02","Per=M","Days=T","Dir=V")</f>
        <v>0</v>
      </c>
      <c r="AW2">
        <f>BDH("IDR US Equity","PX_VOLUME","1993-06-18","2026-05-02","Per=M","Days=T","Dir=V")</f>
        <v>0</v>
      </c>
      <c r="AY2">
        <f>BDH("IDR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BDH("IDT US Equity","BS_TOT_ASSET","1993-06-18","2026-05-02","Per=Y","Days=T","Dir=V")</f>
        <v>0</v>
      </c>
      <c r="C2">
        <f>BDH("IDT US Equity","BS_TOT_LIAB2","1993-06-18","2026-05-02","Per=Y","Days=T","Dir=V")</f>
        <v>0</v>
      </c>
      <c r="E2">
        <f>BDH("IDT US Equity","SHORT_AND_LONG_TERM_DEBT","1993-06-18","2026-05-02","Per=Y","Days=T","Dir=V")</f>
        <v>0</v>
      </c>
      <c r="G2">
        <f>BDH("IDT US Equity","BS_ST_BORROW","1993-06-18","2026-05-02","Per=Y","Days=T","Dir=V")</f>
        <v>0</v>
      </c>
      <c r="I2">
        <f>BDH("IDT US Equity","BS_LT_BORROW","1993-06-18","2026-05-02","Per=Y","Days=T","Dir=V")</f>
        <v>0</v>
      </c>
      <c r="K2">
        <f>BDH("IDT US Equity","BS_CASH_NEAR_CASH_ITEM","1993-06-18","2026-05-02","Per=Y","Days=T","Dir=V")</f>
        <v>0</v>
      </c>
      <c r="M2">
        <f>BDH("IDT US Equity","BS_CUR_ASSET_REPORT","1993-06-18","2026-05-02","Per=Y","Days=T","Dir=V")</f>
        <v>0</v>
      </c>
      <c r="O2">
        <f>BDH("IDT US Equity","BS_CUR_LIAB","1993-06-18","2026-05-02","Per=Y","Days=T","Dir=V")</f>
        <v>0</v>
      </c>
      <c r="Q2">
        <f>BDH("IDT US Equity","BS_SHAREHOLDER_EQY_ENDING_PERIOD","1993-06-18","2026-05-02","Per=Y","Days=T","Dir=V")</f>
        <v>0</v>
      </c>
      <c r="S2">
        <f>BDH("IDT US Equity","BS_ACCT_NOTE_RCV","1993-06-18","2026-05-02","Per=Y","Days=T","Dir=V")</f>
        <v>0</v>
      </c>
      <c r="U2">
        <f>BDH("IDT US Equity","BS_INVENTORIES","1993-06-18","2026-05-02","Per=Y","Days=T","Dir=V")</f>
        <v>0</v>
      </c>
      <c r="W2">
        <f>BDH("IDT US Equity","WORKING_CAPITAL","1993-06-18","2026-05-02","Per=Y","Days=T","Dir=V")</f>
        <v>0</v>
      </c>
      <c r="Y2">
        <f>BDH("IDT US Equity","SALES_REV_TURN","1993-06-18","2026-05-02","Per=Y","Days=T","Dir=V")</f>
        <v>0</v>
      </c>
      <c r="AA2">
        <f>BDH("IDT US Equity","EBIT","1993-06-18","2026-05-02","Per=Y","Days=T","Dir=V")</f>
        <v>0</v>
      </c>
      <c r="AC2">
        <f>BDH("IDT US Equity","EBITDA","1993-06-18","2026-05-02","Per=Y","Days=T","Dir=V")</f>
        <v>0</v>
      </c>
      <c r="AE2">
        <f>BDH("IDT US Equity","NET_INCOME","1993-06-18","2026-05-02","Per=Y","Days=T","Dir=V")</f>
        <v>0</v>
      </c>
      <c r="AG2">
        <f>BDH("IDT US Equity","IS_INT_EXPENSE","1993-06-18","2026-05-02","Per=Y","Days=T","Dir=V")</f>
        <v>0</v>
      </c>
      <c r="AI2">
        <f>BDH("IDT US Equity","IS_DEPR_EXP","1993-06-18","2026-05-02","Per=Y","Days=T","Dir=V")</f>
        <v>0</v>
      </c>
      <c r="AK2">
        <f>BDH("IDT US Equity","CF_CASH_FROM_OPER","1993-06-18","2026-05-02","Per=Y","Days=T","Dir=V")</f>
        <v>0</v>
      </c>
      <c r="AM2">
        <f>BDH("IDT US Equity","CAPITAL_EXPEND","1993-06-18","2026-05-02","Per=Y","Days=T","Dir=V")</f>
        <v>0</v>
      </c>
      <c r="AO2">
        <f>BDH("IDT US Equity","CF_FREE_CASH_FLOW","1993-06-18","2026-05-02","Per=Y","Days=T","Dir=V")</f>
        <v>0</v>
      </c>
      <c r="AQ2">
        <f>BDH("IDT US Equity","PX_LAST","1993-06-18","2026-05-02","Per=M","Days=T","Dir=V")</f>
        <v>0</v>
      </c>
      <c r="AS2">
        <f>BDH("IDT US Equity","CUR_MKT_CAP","1993-06-18","2026-05-02","Per=M","Days=T","Dir=V")</f>
        <v>0</v>
      </c>
      <c r="AU2">
        <f>BDH("IDT US Equity","EQY_SH_OUT","1993-06-18","2026-05-02","Per=M","Days=T","Dir=V")</f>
        <v>0</v>
      </c>
      <c r="AW2">
        <f>BDH("IDT US Equity","PX_VOLUME","1993-06-18","2026-05-02","Per=M","Days=T","Dir=V")</f>
        <v>0</v>
      </c>
      <c r="AY2">
        <f>BDH("IDT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BDH("IDXX US Equity","BS_TOT_ASSET","1993-06-18","2026-05-02","Per=Y","Days=T","Dir=V")</f>
        <v>0</v>
      </c>
      <c r="C2">
        <f>BDH("IDXX US Equity","BS_TOT_LIAB2","1993-06-18","2026-05-02","Per=Y","Days=T","Dir=V")</f>
        <v>0</v>
      </c>
      <c r="E2">
        <f>BDH("IDXX US Equity","SHORT_AND_LONG_TERM_DEBT","1993-06-18","2026-05-02","Per=Y","Days=T","Dir=V")</f>
        <v>0</v>
      </c>
      <c r="G2">
        <f>BDH("IDXX US Equity","BS_ST_BORROW","1993-06-18","2026-05-02","Per=Y","Days=T","Dir=V")</f>
        <v>0</v>
      </c>
      <c r="I2">
        <f>BDH("IDXX US Equity","BS_LT_BORROW","1993-06-18","2026-05-02","Per=Y","Days=T","Dir=V")</f>
        <v>0</v>
      </c>
      <c r="K2">
        <f>BDH("IDXX US Equity","BS_CASH_NEAR_CASH_ITEM","1993-06-18","2026-05-02","Per=Y","Days=T","Dir=V")</f>
        <v>0</v>
      </c>
      <c r="M2">
        <f>BDH("IDXX US Equity","BS_CUR_ASSET_REPORT","1993-06-18","2026-05-02","Per=Y","Days=T","Dir=V")</f>
        <v>0</v>
      </c>
      <c r="O2">
        <f>BDH("IDXX US Equity","BS_CUR_LIAB","1993-06-18","2026-05-02","Per=Y","Days=T","Dir=V")</f>
        <v>0</v>
      </c>
      <c r="Q2">
        <f>BDH("IDXX US Equity","BS_SHAREHOLDER_EQY_ENDING_PERIOD","1993-06-18","2026-05-02","Per=Y","Days=T","Dir=V")</f>
        <v>0</v>
      </c>
      <c r="S2">
        <f>BDH("IDXX US Equity","BS_ACCT_NOTE_RCV","1993-06-18","2026-05-02","Per=Y","Days=T","Dir=V")</f>
        <v>0</v>
      </c>
      <c r="U2">
        <f>BDH("IDXX US Equity","BS_INVENTORIES","1993-06-18","2026-05-02","Per=Y","Days=T","Dir=V")</f>
        <v>0</v>
      </c>
      <c r="W2">
        <f>BDH("IDXX US Equity","WORKING_CAPITAL","1993-06-18","2026-05-02","Per=Y","Days=T","Dir=V")</f>
        <v>0</v>
      </c>
      <c r="Y2">
        <f>BDH("IDXX US Equity","SALES_REV_TURN","1993-06-18","2026-05-02","Per=Y","Days=T","Dir=V")</f>
        <v>0</v>
      </c>
      <c r="AA2">
        <f>BDH("IDXX US Equity","EBIT","1993-06-18","2026-05-02","Per=Y","Days=T","Dir=V")</f>
        <v>0</v>
      </c>
      <c r="AC2">
        <f>BDH("IDXX US Equity","EBITDA","1993-06-18","2026-05-02","Per=Y","Days=T","Dir=V")</f>
        <v>0</v>
      </c>
      <c r="AE2">
        <f>BDH("IDXX US Equity","NET_INCOME","1993-06-18","2026-05-02","Per=Y","Days=T","Dir=V")</f>
        <v>0</v>
      </c>
      <c r="AG2">
        <f>BDH("IDXX US Equity","IS_INT_EXPENSE","1993-06-18","2026-05-02","Per=Y","Days=T","Dir=V")</f>
        <v>0</v>
      </c>
      <c r="AI2">
        <f>BDH("IDXX US Equity","IS_DEPR_EXP","1993-06-18","2026-05-02","Per=Y","Days=T","Dir=V")</f>
        <v>0</v>
      </c>
      <c r="AK2">
        <f>BDH("IDXX US Equity","CF_CASH_FROM_OPER","1993-06-18","2026-05-02","Per=Y","Days=T","Dir=V")</f>
        <v>0</v>
      </c>
      <c r="AM2">
        <f>BDH("IDXX US Equity","CAPITAL_EXPEND","1993-06-18","2026-05-02","Per=Y","Days=T","Dir=V")</f>
        <v>0</v>
      </c>
      <c r="AO2">
        <f>BDH("IDXX US Equity","CF_FREE_CASH_FLOW","1993-06-18","2026-05-02","Per=Y","Days=T","Dir=V")</f>
        <v>0</v>
      </c>
      <c r="AQ2">
        <f>BDH("IDXX US Equity","PX_LAST","1993-06-18","2026-05-02","Per=M","Days=T","Dir=V")</f>
        <v>0</v>
      </c>
      <c r="AS2">
        <f>BDH("IDXX US Equity","CUR_MKT_CAP","1993-06-18","2026-05-02","Per=M","Days=T","Dir=V")</f>
        <v>0</v>
      </c>
      <c r="AU2">
        <f>BDH("IDXX US Equity","EQY_SH_OUT","1993-06-18","2026-05-02","Per=M","Days=T","Dir=V")</f>
        <v>0</v>
      </c>
      <c r="AW2">
        <f>BDH("IDXX US Equity","PX_VOLUME","1993-06-18","2026-05-02","Per=M","Days=T","Dir=V")</f>
        <v>0</v>
      </c>
      <c r="AY2">
        <f>BDH("IDXX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BDH("IDYA US Equity","BS_TOT_ASSET","1993-06-18","2026-05-02","Per=Y","Days=T","Dir=V")</f>
        <v>0</v>
      </c>
      <c r="C2">
        <f>BDH("IDYA US Equity","BS_TOT_LIAB2","1993-06-18","2026-05-02","Per=Y","Days=T","Dir=V")</f>
        <v>0</v>
      </c>
      <c r="E2">
        <f>BDH("IDYA US Equity","SHORT_AND_LONG_TERM_DEBT","1993-06-18","2026-05-02","Per=Y","Days=T","Dir=V")</f>
        <v>0</v>
      </c>
      <c r="G2">
        <f>BDH("IDYA US Equity","BS_ST_BORROW","1993-06-18","2026-05-02","Per=Y","Days=T","Dir=V")</f>
        <v>0</v>
      </c>
      <c r="I2">
        <f>BDH("IDYA US Equity","BS_LT_BORROW","1993-06-18","2026-05-02","Per=Y","Days=T","Dir=V")</f>
        <v>0</v>
      </c>
      <c r="K2">
        <f>BDH("IDYA US Equity","BS_CASH_NEAR_CASH_ITEM","1993-06-18","2026-05-02","Per=Y","Days=T","Dir=V")</f>
        <v>0</v>
      </c>
      <c r="M2">
        <f>BDH("IDYA US Equity","BS_CUR_ASSET_REPORT","1993-06-18","2026-05-02","Per=Y","Days=T","Dir=V")</f>
        <v>0</v>
      </c>
      <c r="O2">
        <f>BDH("IDYA US Equity","BS_CUR_LIAB","1993-06-18","2026-05-02","Per=Y","Days=T","Dir=V")</f>
        <v>0</v>
      </c>
      <c r="Q2">
        <f>BDH("IDYA US Equity","BS_SHAREHOLDER_EQY_ENDING_PERIOD","1993-06-18","2026-05-02","Per=Y","Days=T","Dir=V")</f>
        <v>0</v>
      </c>
      <c r="S2">
        <f>BDH("IDYA US Equity","BS_ACCT_NOTE_RCV","1993-06-18","2026-05-02","Per=Y","Days=T","Dir=V")</f>
        <v>0</v>
      </c>
      <c r="U2">
        <f>BDH("IDYA US Equity","BS_INVENTORIES","1993-06-18","2026-05-02","Per=Y","Days=T","Dir=V")</f>
        <v>0</v>
      </c>
      <c r="W2">
        <f>BDH("IDYA US Equity","WORKING_CAPITAL","1993-06-18","2026-05-02","Per=Y","Days=T","Dir=V")</f>
        <v>0</v>
      </c>
      <c r="Y2">
        <f>BDH("IDYA US Equity","SALES_REV_TURN","1993-06-18","2026-05-02","Per=Y","Days=T","Dir=V")</f>
        <v>0</v>
      </c>
      <c r="AA2">
        <f>BDH("IDYA US Equity","EBIT","1993-06-18","2026-05-02","Per=Y","Days=T","Dir=V")</f>
        <v>0</v>
      </c>
      <c r="AC2">
        <f>BDH("IDYA US Equity","EBITDA","1993-06-18","2026-05-02","Per=Y","Days=T","Dir=V")</f>
        <v>0</v>
      </c>
      <c r="AE2">
        <f>BDH("IDYA US Equity","NET_INCOME","1993-06-18","2026-05-02","Per=Y","Days=T","Dir=V")</f>
        <v>0</v>
      </c>
      <c r="AG2">
        <f>BDH("IDYA US Equity","IS_INT_EXPENSE","1993-06-18","2026-05-02","Per=Y","Days=T","Dir=V")</f>
        <v>0</v>
      </c>
      <c r="AI2">
        <f>BDH("IDYA US Equity","IS_DEPR_EXP","1993-06-18","2026-05-02","Per=Y","Days=T","Dir=V")</f>
        <v>0</v>
      </c>
      <c r="AK2">
        <f>BDH("IDYA US Equity","CF_CASH_FROM_OPER","1993-06-18","2026-05-02","Per=Y","Days=T","Dir=V")</f>
        <v>0</v>
      </c>
      <c r="AM2">
        <f>BDH("IDYA US Equity","CAPITAL_EXPEND","1993-06-18","2026-05-02","Per=Y","Days=T","Dir=V")</f>
        <v>0</v>
      </c>
      <c r="AO2">
        <f>BDH("IDYA US Equity","CF_FREE_CASH_FLOW","1993-06-18","2026-05-02","Per=Y","Days=T","Dir=V")</f>
        <v>0</v>
      </c>
      <c r="AQ2">
        <f>BDH("IDYA US Equity","PX_LAST","1993-06-18","2026-05-02","Per=M","Days=T","Dir=V")</f>
        <v>0</v>
      </c>
      <c r="AS2">
        <f>BDH("IDYA US Equity","CUR_MKT_CAP","1993-06-18","2026-05-02","Per=M","Days=T","Dir=V")</f>
        <v>0</v>
      </c>
      <c r="AU2">
        <f>BDH("IDYA US Equity","EQY_SH_OUT","1993-06-18","2026-05-02","Per=M","Days=T","Dir=V")</f>
        <v>0</v>
      </c>
      <c r="AW2">
        <f>BDH("IDYA US Equity","PX_VOLUME","1993-06-18","2026-05-02","Per=M","Days=T","Dir=V")</f>
        <v>0</v>
      </c>
      <c r="AY2">
        <f>BDH("IDYA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BDH("IEP US Equity","BS_TOT_ASSET","1993-06-18","2026-05-02","Per=Y","Days=T","Dir=V")</f>
        <v>0</v>
      </c>
      <c r="C2">
        <f>BDH("IEP US Equity","BS_TOT_LIAB2","1993-06-18","2026-05-02","Per=Y","Days=T","Dir=V")</f>
        <v>0</v>
      </c>
      <c r="E2">
        <f>BDH("IEP US Equity","SHORT_AND_LONG_TERM_DEBT","1993-06-18","2026-05-02","Per=Y","Days=T","Dir=V")</f>
        <v>0</v>
      </c>
      <c r="G2">
        <f>BDH("IEP US Equity","BS_ST_BORROW","1993-06-18","2026-05-02","Per=Y","Days=T","Dir=V")</f>
        <v>0</v>
      </c>
      <c r="I2">
        <f>BDH("IEP US Equity","BS_LT_BORROW","1993-06-18","2026-05-02","Per=Y","Days=T","Dir=V")</f>
        <v>0</v>
      </c>
      <c r="K2">
        <f>BDH("IEP US Equity","BS_CASH_NEAR_CASH_ITEM","1993-06-18","2026-05-02","Per=Y","Days=T","Dir=V")</f>
        <v>0</v>
      </c>
      <c r="M2">
        <f>BDH("IEP US Equity","BS_CUR_ASSET_REPORT","1993-06-18","2026-05-02","Per=Y","Days=T","Dir=V")</f>
        <v>0</v>
      </c>
      <c r="O2">
        <f>BDH("IEP US Equity","BS_CUR_LIAB","1993-06-18","2026-05-02","Per=Y","Days=T","Dir=V")</f>
        <v>0</v>
      </c>
      <c r="Q2">
        <f>BDH("IEP US Equity","BS_SHAREHOLDER_EQY_ENDING_PERIOD","1993-06-18","2026-05-02","Per=Y","Days=T","Dir=V")</f>
        <v>0</v>
      </c>
      <c r="S2">
        <f>BDH("IEP US Equity","BS_ACCT_NOTE_RCV","1993-06-18","2026-05-02","Per=Y","Days=T","Dir=V")</f>
        <v>0</v>
      </c>
      <c r="U2">
        <f>BDH("IEP US Equity","BS_INVENTORIES","1993-06-18","2026-05-02","Per=Y","Days=T","Dir=V")</f>
        <v>0</v>
      </c>
      <c r="W2">
        <f>BDH("IEP US Equity","WORKING_CAPITAL","1993-06-18","2026-05-02","Per=Y","Days=T","Dir=V")</f>
        <v>0</v>
      </c>
      <c r="Y2">
        <f>BDH("IEP US Equity","SALES_REV_TURN","1993-06-18","2026-05-02","Per=Y","Days=T","Dir=V")</f>
        <v>0</v>
      </c>
      <c r="AA2">
        <f>BDH("IEP US Equity","EBIT","1993-06-18","2026-05-02","Per=Y","Days=T","Dir=V")</f>
        <v>0</v>
      </c>
      <c r="AC2">
        <f>BDH("IEP US Equity","EBITDA","1993-06-18","2026-05-02","Per=Y","Days=T","Dir=V")</f>
        <v>0</v>
      </c>
      <c r="AE2">
        <f>BDH("IEP US Equity","NET_INCOME","1993-06-18","2026-05-02","Per=Y","Days=T","Dir=V")</f>
        <v>0</v>
      </c>
      <c r="AG2">
        <f>BDH("IEP US Equity","IS_INT_EXPENSE","1993-06-18","2026-05-02","Per=Y","Days=T","Dir=V")</f>
        <v>0</v>
      </c>
      <c r="AI2">
        <f>BDH("IEP US Equity","IS_DEPR_EXP","1993-06-18","2026-05-02","Per=Y","Days=T","Dir=V")</f>
        <v>0</v>
      </c>
      <c r="AK2">
        <f>BDH("IEP US Equity","CF_CASH_FROM_OPER","1993-06-18","2026-05-02","Per=Y","Days=T","Dir=V")</f>
        <v>0</v>
      </c>
      <c r="AM2">
        <f>BDH("IEP US Equity","CAPITAL_EXPEND","1993-06-18","2026-05-02","Per=Y","Days=T","Dir=V")</f>
        <v>0</v>
      </c>
      <c r="AO2">
        <f>BDH("IEP US Equity","CF_FREE_CASH_FLOW","1993-06-18","2026-05-02","Per=Y","Days=T","Dir=V")</f>
        <v>0</v>
      </c>
      <c r="AQ2">
        <f>BDH("IEP US Equity","PX_LAST","1993-06-18","2026-05-02","Per=M","Days=T","Dir=V")</f>
        <v>0</v>
      </c>
      <c r="AS2">
        <f>BDH("IEP US Equity","CUR_MKT_CAP","1993-06-18","2026-05-02","Per=M","Days=T","Dir=V")</f>
        <v>0</v>
      </c>
      <c r="AU2">
        <f>BDH("IEP US Equity","EQY_SH_OUT","1993-06-18","2026-05-02","Per=M","Days=T","Dir=V")</f>
        <v>0</v>
      </c>
      <c r="AW2">
        <f>BDH("IEP US Equity","PX_VOLUME","1993-06-18","2026-05-02","Per=M","Days=T","Dir=V")</f>
        <v>0</v>
      </c>
      <c r="AY2">
        <f>BDH("IEP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BDH("IESC US Equity","BS_TOT_ASSET","1993-06-18","2026-05-02","Per=Y","Days=T","Dir=V")</f>
        <v>0</v>
      </c>
      <c r="C2">
        <f>BDH("IESC US Equity","BS_TOT_LIAB2","1993-06-18","2026-05-02","Per=Y","Days=T","Dir=V")</f>
        <v>0</v>
      </c>
      <c r="E2">
        <f>BDH("IESC US Equity","SHORT_AND_LONG_TERM_DEBT","1993-06-18","2026-05-02","Per=Y","Days=T","Dir=V")</f>
        <v>0</v>
      </c>
      <c r="G2">
        <f>BDH("IESC US Equity","BS_ST_BORROW","1993-06-18","2026-05-02","Per=Y","Days=T","Dir=V")</f>
        <v>0</v>
      </c>
      <c r="I2">
        <f>BDH("IESC US Equity","BS_LT_BORROW","1993-06-18","2026-05-02","Per=Y","Days=T","Dir=V")</f>
        <v>0</v>
      </c>
      <c r="K2">
        <f>BDH("IESC US Equity","BS_CASH_NEAR_CASH_ITEM","1993-06-18","2026-05-02","Per=Y","Days=T","Dir=V")</f>
        <v>0</v>
      </c>
      <c r="M2">
        <f>BDH("IESC US Equity","BS_CUR_ASSET_REPORT","1993-06-18","2026-05-02","Per=Y","Days=T","Dir=V")</f>
        <v>0</v>
      </c>
      <c r="O2">
        <f>BDH("IESC US Equity","BS_CUR_LIAB","1993-06-18","2026-05-02","Per=Y","Days=T","Dir=V")</f>
        <v>0</v>
      </c>
      <c r="Q2">
        <f>BDH("IESC US Equity","BS_SHAREHOLDER_EQY_ENDING_PERIOD","1993-06-18","2026-05-02","Per=Y","Days=T","Dir=V")</f>
        <v>0</v>
      </c>
      <c r="S2">
        <f>BDH("IESC US Equity","BS_ACCT_NOTE_RCV","1993-06-18","2026-05-02","Per=Y","Days=T","Dir=V")</f>
        <v>0</v>
      </c>
      <c r="U2">
        <f>BDH("IESC US Equity","BS_INVENTORIES","1993-06-18","2026-05-02","Per=Y","Days=T","Dir=V")</f>
        <v>0</v>
      </c>
      <c r="W2">
        <f>BDH("IESC US Equity","WORKING_CAPITAL","1993-06-18","2026-05-02","Per=Y","Days=T","Dir=V")</f>
        <v>0</v>
      </c>
      <c r="Y2">
        <f>BDH("IESC US Equity","SALES_REV_TURN","1993-06-18","2026-05-02","Per=Y","Days=T","Dir=V")</f>
        <v>0</v>
      </c>
      <c r="AA2">
        <f>BDH("IESC US Equity","EBIT","1993-06-18","2026-05-02","Per=Y","Days=T","Dir=V")</f>
        <v>0</v>
      </c>
      <c r="AC2">
        <f>BDH("IESC US Equity","EBITDA","1993-06-18","2026-05-02","Per=Y","Days=T","Dir=V")</f>
        <v>0</v>
      </c>
      <c r="AE2">
        <f>BDH("IESC US Equity","NET_INCOME","1993-06-18","2026-05-02","Per=Y","Days=T","Dir=V")</f>
        <v>0</v>
      </c>
      <c r="AG2">
        <f>BDH("IESC US Equity","IS_INT_EXPENSE","1993-06-18","2026-05-02","Per=Y","Days=T","Dir=V")</f>
        <v>0</v>
      </c>
      <c r="AI2">
        <f>BDH("IESC US Equity","IS_DEPR_EXP","1993-06-18","2026-05-02","Per=Y","Days=T","Dir=V")</f>
        <v>0</v>
      </c>
      <c r="AK2">
        <f>BDH("IESC US Equity","CF_CASH_FROM_OPER","1993-06-18","2026-05-02","Per=Y","Days=T","Dir=V")</f>
        <v>0</v>
      </c>
      <c r="AM2">
        <f>BDH("IESC US Equity","CAPITAL_EXPEND","1993-06-18","2026-05-02","Per=Y","Days=T","Dir=V")</f>
        <v>0</v>
      </c>
      <c r="AO2">
        <f>BDH("IESC US Equity","CF_FREE_CASH_FLOW","1993-06-18","2026-05-02","Per=Y","Days=T","Dir=V")</f>
        <v>0</v>
      </c>
      <c r="AQ2">
        <f>BDH("IESC US Equity","PX_LAST","1993-06-18","2026-05-02","Per=M","Days=T","Dir=V")</f>
        <v>0</v>
      </c>
      <c r="AS2">
        <f>BDH("IESC US Equity","CUR_MKT_CAP","1993-06-18","2026-05-02","Per=M","Days=T","Dir=V")</f>
        <v>0</v>
      </c>
      <c r="AU2">
        <f>BDH("IESC US Equity","EQY_SH_OUT","1993-06-18","2026-05-02","Per=M","Days=T","Dir=V")</f>
        <v>0</v>
      </c>
      <c r="AW2">
        <f>BDH("IESC US Equity","PX_VOLUME","1993-06-18","2026-05-02","Per=M","Days=T","Dir=V")</f>
        <v>0</v>
      </c>
      <c r="AY2">
        <f>BDH("IESC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BDH("IEX US Equity","BS_TOT_ASSET","1993-06-18","2026-05-02","Per=Y","Days=T","Dir=V")</f>
        <v>0</v>
      </c>
      <c r="C2">
        <f>BDH("IEX US Equity","BS_TOT_LIAB2","1993-06-18","2026-05-02","Per=Y","Days=T","Dir=V")</f>
        <v>0</v>
      </c>
      <c r="E2">
        <f>BDH("IEX US Equity","SHORT_AND_LONG_TERM_DEBT","1993-06-18","2026-05-02","Per=Y","Days=T","Dir=V")</f>
        <v>0</v>
      </c>
      <c r="G2">
        <f>BDH("IEX US Equity","BS_ST_BORROW","1993-06-18","2026-05-02","Per=Y","Days=T","Dir=V")</f>
        <v>0</v>
      </c>
      <c r="I2">
        <f>BDH("IEX US Equity","BS_LT_BORROW","1993-06-18","2026-05-02","Per=Y","Days=T","Dir=V")</f>
        <v>0</v>
      </c>
      <c r="K2">
        <f>BDH("IEX US Equity","BS_CASH_NEAR_CASH_ITEM","1993-06-18","2026-05-02","Per=Y","Days=T","Dir=V")</f>
        <v>0</v>
      </c>
      <c r="M2">
        <f>BDH("IEX US Equity","BS_CUR_ASSET_REPORT","1993-06-18","2026-05-02","Per=Y","Days=T","Dir=V")</f>
        <v>0</v>
      </c>
      <c r="O2">
        <f>BDH("IEX US Equity","BS_CUR_LIAB","1993-06-18","2026-05-02","Per=Y","Days=T","Dir=V")</f>
        <v>0</v>
      </c>
      <c r="Q2">
        <f>BDH("IEX US Equity","BS_SHAREHOLDER_EQY_ENDING_PERIOD","1993-06-18","2026-05-02","Per=Y","Days=T","Dir=V")</f>
        <v>0</v>
      </c>
      <c r="S2">
        <f>BDH("IEX US Equity","BS_ACCT_NOTE_RCV","1993-06-18","2026-05-02","Per=Y","Days=T","Dir=V")</f>
        <v>0</v>
      </c>
      <c r="U2">
        <f>BDH("IEX US Equity","BS_INVENTORIES","1993-06-18","2026-05-02","Per=Y","Days=T","Dir=V")</f>
        <v>0</v>
      </c>
      <c r="W2">
        <f>BDH("IEX US Equity","WORKING_CAPITAL","1993-06-18","2026-05-02","Per=Y","Days=T","Dir=V")</f>
        <v>0</v>
      </c>
      <c r="Y2">
        <f>BDH("IEX US Equity","SALES_REV_TURN","1993-06-18","2026-05-02","Per=Y","Days=T","Dir=V")</f>
        <v>0</v>
      </c>
      <c r="AA2">
        <f>BDH("IEX US Equity","EBIT","1993-06-18","2026-05-02","Per=Y","Days=T","Dir=V")</f>
        <v>0</v>
      </c>
      <c r="AC2">
        <f>BDH("IEX US Equity","EBITDA","1993-06-18","2026-05-02","Per=Y","Days=T","Dir=V")</f>
        <v>0</v>
      </c>
      <c r="AE2">
        <f>BDH("IEX US Equity","NET_INCOME","1993-06-18","2026-05-02","Per=Y","Days=T","Dir=V")</f>
        <v>0</v>
      </c>
      <c r="AG2">
        <f>BDH("IEX US Equity","IS_INT_EXPENSE","1993-06-18","2026-05-02","Per=Y","Days=T","Dir=V")</f>
        <v>0</v>
      </c>
      <c r="AI2">
        <f>BDH("IEX US Equity","IS_DEPR_EXP","1993-06-18","2026-05-02","Per=Y","Days=T","Dir=V")</f>
        <v>0</v>
      </c>
      <c r="AK2">
        <f>BDH("IEX US Equity","CF_CASH_FROM_OPER","1993-06-18","2026-05-02","Per=Y","Days=T","Dir=V")</f>
        <v>0</v>
      </c>
      <c r="AM2">
        <f>BDH("IEX US Equity","CAPITAL_EXPEND","1993-06-18","2026-05-02","Per=Y","Days=T","Dir=V")</f>
        <v>0</v>
      </c>
      <c r="AO2">
        <f>BDH("IEX US Equity","CF_FREE_CASH_FLOW","1993-06-18","2026-05-02","Per=Y","Days=T","Dir=V")</f>
        <v>0</v>
      </c>
      <c r="AQ2">
        <f>BDH("IEX US Equity","PX_LAST","1993-06-18","2026-05-02","Per=M","Days=T","Dir=V")</f>
        <v>0</v>
      </c>
      <c r="AS2">
        <f>BDH("IEX US Equity","CUR_MKT_CAP","1993-06-18","2026-05-02","Per=M","Days=T","Dir=V")</f>
        <v>0</v>
      </c>
      <c r="AU2">
        <f>BDH("IEX US Equity","EQY_SH_OUT","1993-06-18","2026-05-02","Per=M","Days=T","Dir=V")</f>
        <v>0</v>
      </c>
      <c r="AW2">
        <f>BDH("IEX US Equity","PX_VOLUME","1993-06-18","2026-05-02","Per=M","Days=T","Dir=V")</f>
        <v>0</v>
      </c>
      <c r="AY2">
        <f>BDH("IEX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BDH("IFF US Equity","BS_TOT_ASSET","1993-06-18","2026-05-02","Per=Y","Days=T","Dir=V")</f>
        <v>0</v>
      </c>
      <c r="C2">
        <f>BDH("IFF US Equity","BS_TOT_LIAB2","1993-06-18","2026-05-02","Per=Y","Days=T","Dir=V")</f>
        <v>0</v>
      </c>
      <c r="E2">
        <f>BDH("IFF US Equity","SHORT_AND_LONG_TERM_DEBT","1993-06-18","2026-05-02","Per=Y","Days=T","Dir=V")</f>
        <v>0</v>
      </c>
      <c r="G2">
        <f>BDH("IFF US Equity","BS_ST_BORROW","1993-06-18","2026-05-02","Per=Y","Days=T","Dir=V")</f>
        <v>0</v>
      </c>
      <c r="I2">
        <f>BDH("IFF US Equity","BS_LT_BORROW","1993-06-18","2026-05-02","Per=Y","Days=T","Dir=V")</f>
        <v>0</v>
      </c>
      <c r="K2">
        <f>BDH("IFF US Equity","BS_CASH_NEAR_CASH_ITEM","1993-06-18","2026-05-02","Per=Y","Days=T","Dir=V")</f>
        <v>0</v>
      </c>
      <c r="M2">
        <f>BDH("IFF US Equity","BS_CUR_ASSET_REPORT","1993-06-18","2026-05-02","Per=Y","Days=T","Dir=V")</f>
        <v>0</v>
      </c>
      <c r="O2">
        <f>BDH("IFF US Equity","BS_CUR_LIAB","1993-06-18","2026-05-02","Per=Y","Days=T","Dir=V")</f>
        <v>0</v>
      </c>
      <c r="Q2">
        <f>BDH("IFF US Equity","BS_SHAREHOLDER_EQY_ENDING_PERIOD","1993-06-18","2026-05-02","Per=Y","Days=T","Dir=V")</f>
        <v>0</v>
      </c>
      <c r="S2">
        <f>BDH("IFF US Equity","BS_ACCT_NOTE_RCV","1993-06-18","2026-05-02","Per=Y","Days=T","Dir=V")</f>
        <v>0</v>
      </c>
      <c r="U2">
        <f>BDH("IFF US Equity","BS_INVENTORIES","1993-06-18","2026-05-02","Per=Y","Days=T","Dir=V")</f>
        <v>0</v>
      </c>
      <c r="W2">
        <f>BDH("IFF US Equity","WORKING_CAPITAL","1993-06-18","2026-05-02","Per=Y","Days=T","Dir=V")</f>
        <v>0</v>
      </c>
      <c r="Y2">
        <f>BDH("IFF US Equity","SALES_REV_TURN","1993-06-18","2026-05-02","Per=Y","Days=T","Dir=V")</f>
        <v>0</v>
      </c>
      <c r="AA2">
        <f>BDH("IFF US Equity","EBIT","1993-06-18","2026-05-02","Per=Y","Days=T","Dir=V")</f>
        <v>0</v>
      </c>
      <c r="AC2">
        <f>BDH("IFF US Equity","EBITDA","1993-06-18","2026-05-02","Per=Y","Days=T","Dir=V")</f>
        <v>0</v>
      </c>
      <c r="AE2">
        <f>BDH("IFF US Equity","NET_INCOME","1993-06-18","2026-05-02","Per=Y","Days=T","Dir=V")</f>
        <v>0</v>
      </c>
      <c r="AG2">
        <f>BDH("IFF US Equity","IS_INT_EXPENSE","1993-06-18","2026-05-02","Per=Y","Days=T","Dir=V")</f>
        <v>0</v>
      </c>
      <c r="AI2">
        <f>BDH("IFF US Equity","IS_DEPR_EXP","1993-06-18","2026-05-02","Per=Y","Days=T","Dir=V")</f>
        <v>0</v>
      </c>
      <c r="AK2">
        <f>BDH("IFF US Equity","CF_CASH_FROM_OPER","1993-06-18","2026-05-02","Per=Y","Days=T","Dir=V")</f>
        <v>0</v>
      </c>
      <c r="AM2">
        <f>BDH("IFF US Equity","CAPITAL_EXPEND","1993-06-18","2026-05-02","Per=Y","Days=T","Dir=V")</f>
        <v>0</v>
      </c>
      <c r="AO2">
        <f>BDH("IFF US Equity","CF_FREE_CASH_FLOW","1993-06-18","2026-05-02","Per=Y","Days=T","Dir=V")</f>
        <v>0</v>
      </c>
      <c r="AQ2">
        <f>BDH("IFF US Equity","PX_LAST","1993-06-18","2026-05-02","Per=M","Days=T","Dir=V")</f>
        <v>0</v>
      </c>
      <c r="AS2">
        <f>BDH("IFF US Equity","CUR_MKT_CAP","1993-06-18","2026-05-02","Per=M","Days=T","Dir=V")</f>
        <v>0</v>
      </c>
      <c r="AU2">
        <f>BDH("IFF US Equity","EQY_SH_OUT","1993-06-18","2026-05-02","Per=M","Days=T","Dir=V")</f>
        <v>0</v>
      </c>
      <c r="AW2">
        <f>BDH("IFF US Equity","PX_VOLUME","1993-06-18","2026-05-02","Per=M","Days=T","Dir=V")</f>
        <v>0</v>
      </c>
      <c r="AY2">
        <f>BDH("IFF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BDH("IGC US Equity","BS_TOT_ASSET","1993-06-18","2026-05-02","Per=Y","Days=T","Dir=V")</f>
        <v>0</v>
      </c>
      <c r="C2">
        <f>BDH("IGC US Equity","BS_TOT_LIAB2","1993-06-18","2026-05-02","Per=Y","Days=T","Dir=V")</f>
        <v>0</v>
      </c>
      <c r="E2">
        <f>BDH("IGC US Equity","SHORT_AND_LONG_TERM_DEBT","1993-06-18","2026-05-02","Per=Y","Days=T","Dir=V")</f>
        <v>0</v>
      </c>
      <c r="G2">
        <f>BDH("IGC US Equity","BS_ST_BORROW","1993-06-18","2026-05-02","Per=Y","Days=T","Dir=V")</f>
        <v>0</v>
      </c>
      <c r="I2">
        <f>BDH("IGC US Equity","BS_LT_BORROW","1993-06-18","2026-05-02","Per=Y","Days=T","Dir=V")</f>
        <v>0</v>
      </c>
      <c r="K2">
        <f>BDH("IGC US Equity","BS_CASH_NEAR_CASH_ITEM","1993-06-18","2026-05-02","Per=Y","Days=T","Dir=V")</f>
        <v>0</v>
      </c>
      <c r="M2">
        <f>BDH("IGC US Equity","BS_CUR_ASSET_REPORT","1993-06-18","2026-05-02","Per=Y","Days=T","Dir=V")</f>
        <v>0</v>
      </c>
      <c r="O2">
        <f>BDH("IGC US Equity","BS_CUR_LIAB","1993-06-18","2026-05-02","Per=Y","Days=T","Dir=V")</f>
        <v>0</v>
      </c>
      <c r="Q2">
        <f>BDH("IGC US Equity","BS_SHAREHOLDER_EQY_ENDING_PERIOD","1993-06-18","2026-05-02","Per=Y","Days=T","Dir=V")</f>
        <v>0</v>
      </c>
      <c r="S2">
        <f>BDH("IGC US Equity","BS_ACCT_NOTE_RCV","1993-06-18","2026-05-02","Per=Y","Days=T","Dir=V")</f>
        <v>0</v>
      </c>
      <c r="U2">
        <f>BDH("IGC US Equity","BS_INVENTORIES","1993-06-18","2026-05-02","Per=Y","Days=T","Dir=V")</f>
        <v>0</v>
      </c>
      <c r="W2">
        <f>BDH("IGC US Equity","WORKING_CAPITAL","1993-06-18","2026-05-02","Per=Y","Days=T","Dir=V")</f>
        <v>0</v>
      </c>
      <c r="Y2">
        <f>BDH("IGC US Equity","SALES_REV_TURN","1993-06-18","2026-05-02","Per=Y","Days=T","Dir=V")</f>
        <v>0</v>
      </c>
      <c r="AA2">
        <f>BDH("IGC US Equity","EBIT","1993-06-18","2026-05-02","Per=Y","Days=T","Dir=V")</f>
        <v>0</v>
      </c>
      <c r="AC2">
        <f>BDH("IGC US Equity","EBITDA","1993-06-18","2026-05-02","Per=Y","Days=T","Dir=V")</f>
        <v>0</v>
      </c>
      <c r="AE2">
        <f>BDH("IGC US Equity","NET_INCOME","1993-06-18","2026-05-02","Per=Y","Days=T","Dir=V")</f>
        <v>0</v>
      </c>
      <c r="AG2">
        <f>BDH("IGC US Equity","IS_INT_EXPENSE","1993-06-18","2026-05-02","Per=Y","Days=T","Dir=V")</f>
        <v>0</v>
      </c>
      <c r="AI2">
        <f>BDH("IGC US Equity","IS_DEPR_EXP","1993-06-18","2026-05-02","Per=Y","Days=T","Dir=V")</f>
        <v>0</v>
      </c>
      <c r="AK2">
        <f>BDH("IGC US Equity","CF_CASH_FROM_OPER","1993-06-18","2026-05-02","Per=Y","Days=T","Dir=V")</f>
        <v>0</v>
      </c>
      <c r="AM2">
        <f>BDH("IGC US Equity","CAPITAL_EXPEND","1993-06-18","2026-05-02","Per=Y","Days=T","Dir=V")</f>
        <v>0</v>
      </c>
      <c r="AO2">
        <f>BDH("IGC US Equity","CF_FREE_CASH_FLOW","1993-06-18","2026-05-02","Per=Y","Days=T","Dir=V")</f>
        <v>0</v>
      </c>
      <c r="AQ2">
        <f>BDH("IGC US Equity","PX_LAST","1993-06-18","2026-05-02","Per=M","Days=T","Dir=V")</f>
        <v>0</v>
      </c>
      <c r="AS2">
        <f>BDH("IGC US Equity","CUR_MKT_CAP","1993-06-18","2026-05-02","Per=M","Days=T","Dir=V")</f>
        <v>0</v>
      </c>
      <c r="AU2">
        <f>BDH("IGC US Equity","EQY_SH_OUT","1993-06-18","2026-05-02","Per=M","Days=T","Dir=V")</f>
        <v>0</v>
      </c>
      <c r="AW2">
        <f>BDH("IGC US Equity","PX_VOLUME","1993-06-18","2026-05-02","Per=M","Days=T","Dir=V")</f>
        <v>0</v>
      </c>
      <c r="AY2">
        <f>BDH("IGC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BDH("IHRT US Equity","BS_TOT_ASSET","1993-06-18","2026-05-02","Per=Y","Days=T","Dir=V")</f>
        <v>0</v>
      </c>
      <c r="C2">
        <f>BDH("IHRT US Equity","BS_TOT_LIAB2","1993-06-18","2026-05-02","Per=Y","Days=T","Dir=V")</f>
        <v>0</v>
      </c>
      <c r="E2">
        <f>BDH("IHRT US Equity","SHORT_AND_LONG_TERM_DEBT","1993-06-18","2026-05-02","Per=Y","Days=T","Dir=V")</f>
        <v>0</v>
      </c>
      <c r="G2">
        <f>BDH("IHRT US Equity","BS_ST_BORROW","1993-06-18","2026-05-02","Per=Y","Days=T","Dir=V")</f>
        <v>0</v>
      </c>
      <c r="I2">
        <f>BDH("IHRT US Equity","BS_LT_BORROW","1993-06-18","2026-05-02","Per=Y","Days=T","Dir=V")</f>
        <v>0</v>
      </c>
      <c r="K2">
        <f>BDH("IHRT US Equity","BS_CASH_NEAR_CASH_ITEM","1993-06-18","2026-05-02","Per=Y","Days=T","Dir=V")</f>
        <v>0</v>
      </c>
      <c r="M2">
        <f>BDH("IHRT US Equity","BS_CUR_ASSET_REPORT","1993-06-18","2026-05-02","Per=Y","Days=T","Dir=V")</f>
        <v>0</v>
      </c>
      <c r="O2">
        <f>BDH("IHRT US Equity","BS_CUR_LIAB","1993-06-18","2026-05-02","Per=Y","Days=T","Dir=V")</f>
        <v>0</v>
      </c>
      <c r="Q2">
        <f>BDH("IHRT US Equity","BS_SHAREHOLDER_EQY_ENDING_PERIOD","1993-06-18","2026-05-02","Per=Y","Days=T","Dir=V")</f>
        <v>0</v>
      </c>
      <c r="S2">
        <f>BDH("IHRT US Equity","BS_ACCT_NOTE_RCV","1993-06-18","2026-05-02","Per=Y","Days=T","Dir=V")</f>
        <v>0</v>
      </c>
      <c r="U2">
        <f>BDH("IHRT US Equity","BS_INVENTORIES","1993-06-18","2026-05-02","Per=Y","Days=T","Dir=V")</f>
        <v>0</v>
      </c>
      <c r="W2">
        <f>BDH("IHRT US Equity","WORKING_CAPITAL","1993-06-18","2026-05-02","Per=Y","Days=T","Dir=V")</f>
        <v>0</v>
      </c>
      <c r="Y2">
        <f>BDH("IHRT US Equity","SALES_REV_TURN","1993-06-18","2026-05-02","Per=Y","Days=T","Dir=V")</f>
        <v>0</v>
      </c>
      <c r="AA2">
        <f>BDH("IHRT US Equity","EBIT","1993-06-18","2026-05-02","Per=Y","Days=T","Dir=V")</f>
        <v>0</v>
      </c>
      <c r="AC2">
        <f>BDH("IHRT US Equity","EBITDA","1993-06-18","2026-05-02","Per=Y","Days=T","Dir=V")</f>
        <v>0</v>
      </c>
      <c r="AE2">
        <f>BDH("IHRT US Equity","NET_INCOME","1993-06-18","2026-05-02","Per=Y","Days=T","Dir=V")</f>
        <v>0</v>
      </c>
      <c r="AG2">
        <f>BDH("IHRT US Equity","IS_INT_EXPENSE","1993-06-18","2026-05-02","Per=Y","Days=T","Dir=V")</f>
        <v>0</v>
      </c>
      <c r="AI2">
        <f>BDH("IHRT US Equity","IS_DEPR_EXP","1993-06-18","2026-05-02","Per=Y","Days=T","Dir=V")</f>
        <v>0</v>
      </c>
      <c r="AK2">
        <f>BDH("IHRT US Equity","CF_CASH_FROM_OPER","1993-06-18","2026-05-02","Per=Y","Days=T","Dir=V")</f>
        <v>0</v>
      </c>
      <c r="AM2">
        <f>BDH("IHRT US Equity","CAPITAL_EXPEND","1993-06-18","2026-05-02","Per=Y","Days=T","Dir=V")</f>
        <v>0</v>
      </c>
      <c r="AO2">
        <f>BDH("IHRT US Equity","CF_FREE_CASH_FLOW","1993-06-18","2026-05-02","Per=Y","Days=T","Dir=V")</f>
        <v>0</v>
      </c>
      <c r="AQ2">
        <f>BDH("IHRT US Equity","PX_LAST","1993-06-18","2026-05-02","Per=M","Days=T","Dir=V")</f>
        <v>0</v>
      </c>
      <c r="AS2">
        <f>BDH("IHRT US Equity","CUR_MKT_CAP","1993-06-18","2026-05-02","Per=M","Days=T","Dir=V")</f>
        <v>0</v>
      </c>
      <c r="AU2">
        <f>BDH("IHRT US Equity","EQY_SH_OUT","1993-06-18","2026-05-02","Per=M","Days=T","Dir=V")</f>
        <v>0</v>
      </c>
      <c r="AW2">
        <f>BDH("IHRT US Equity","PX_VOLUME","1993-06-18","2026-05-02","Per=M","Days=T","Dir=V")</f>
        <v>0</v>
      </c>
      <c r="AY2">
        <f>BDH("IHRT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BDH("III US Equity","BS_TOT_ASSET","1993-06-18","2026-05-02","Per=Y","Days=T","Dir=V")</f>
        <v>0</v>
      </c>
      <c r="C2">
        <f>BDH("III US Equity","BS_TOT_LIAB2","1993-06-18","2026-05-02","Per=Y","Days=T","Dir=V")</f>
        <v>0</v>
      </c>
      <c r="E2">
        <f>BDH("III US Equity","SHORT_AND_LONG_TERM_DEBT","1993-06-18","2026-05-02","Per=Y","Days=T","Dir=V")</f>
        <v>0</v>
      </c>
      <c r="G2">
        <f>BDH("III US Equity","BS_ST_BORROW","1993-06-18","2026-05-02","Per=Y","Days=T","Dir=V")</f>
        <v>0</v>
      </c>
      <c r="I2">
        <f>BDH("III US Equity","BS_LT_BORROW","1993-06-18","2026-05-02","Per=Y","Days=T","Dir=V")</f>
        <v>0</v>
      </c>
      <c r="K2">
        <f>BDH("III US Equity","BS_CASH_NEAR_CASH_ITEM","1993-06-18","2026-05-02","Per=Y","Days=T","Dir=V")</f>
        <v>0</v>
      </c>
      <c r="M2">
        <f>BDH("III US Equity","BS_CUR_ASSET_REPORT","1993-06-18","2026-05-02","Per=Y","Days=T","Dir=V")</f>
        <v>0</v>
      </c>
      <c r="O2">
        <f>BDH("III US Equity","BS_CUR_LIAB","1993-06-18","2026-05-02","Per=Y","Days=T","Dir=V")</f>
        <v>0</v>
      </c>
      <c r="Q2">
        <f>BDH("III US Equity","BS_SHAREHOLDER_EQY_ENDING_PERIOD","1993-06-18","2026-05-02","Per=Y","Days=T","Dir=V")</f>
        <v>0</v>
      </c>
      <c r="S2">
        <f>BDH("III US Equity","BS_ACCT_NOTE_RCV","1993-06-18","2026-05-02","Per=Y","Days=T","Dir=V")</f>
        <v>0</v>
      </c>
      <c r="U2">
        <f>BDH("III US Equity","BS_INVENTORIES","1993-06-18","2026-05-02","Per=Y","Days=T","Dir=V")</f>
        <v>0</v>
      </c>
      <c r="W2">
        <f>BDH("III US Equity","WORKING_CAPITAL","1993-06-18","2026-05-02","Per=Y","Days=T","Dir=V")</f>
        <v>0</v>
      </c>
      <c r="Y2">
        <f>BDH("III US Equity","SALES_REV_TURN","1993-06-18","2026-05-02","Per=Y","Days=T","Dir=V")</f>
        <v>0</v>
      </c>
      <c r="AA2">
        <f>BDH("III US Equity","EBIT","1993-06-18","2026-05-02","Per=Y","Days=T","Dir=V")</f>
        <v>0</v>
      </c>
      <c r="AC2">
        <f>BDH("III US Equity","EBITDA","1993-06-18","2026-05-02","Per=Y","Days=T","Dir=V")</f>
        <v>0</v>
      </c>
      <c r="AE2">
        <f>BDH("III US Equity","NET_INCOME","1993-06-18","2026-05-02","Per=Y","Days=T","Dir=V")</f>
        <v>0</v>
      </c>
      <c r="AG2">
        <f>BDH("III US Equity","IS_INT_EXPENSE","1993-06-18","2026-05-02","Per=Y","Days=T","Dir=V")</f>
        <v>0</v>
      </c>
      <c r="AI2">
        <f>BDH("III US Equity","IS_DEPR_EXP","1993-06-18","2026-05-02","Per=Y","Days=T","Dir=V")</f>
        <v>0</v>
      </c>
      <c r="AK2">
        <f>BDH("III US Equity","CF_CASH_FROM_OPER","1993-06-18","2026-05-02","Per=Y","Days=T","Dir=V")</f>
        <v>0</v>
      </c>
      <c r="AM2">
        <f>BDH("III US Equity","CAPITAL_EXPEND","1993-06-18","2026-05-02","Per=Y","Days=T","Dir=V")</f>
        <v>0</v>
      </c>
      <c r="AO2">
        <f>BDH("III US Equity","CF_FREE_CASH_FLOW","1993-06-18","2026-05-02","Per=Y","Days=T","Dir=V")</f>
        <v>0</v>
      </c>
      <c r="AQ2">
        <f>BDH("III US Equity","PX_LAST","1993-06-18","2026-05-02","Per=M","Days=T","Dir=V")</f>
        <v>0</v>
      </c>
      <c r="AS2">
        <f>BDH("III US Equity","CUR_MKT_CAP","1993-06-18","2026-05-02","Per=M","Days=T","Dir=V")</f>
        <v>0</v>
      </c>
      <c r="AU2">
        <f>BDH("III US Equity","EQY_SH_OUT","1993-06-18","2026-05-02","Per=M","Days=T","Dir=V")</f>
        <v>0</v>
      </c>
      <c r="AW2">
        <f>BDH("III US Equity","PX_VOLUME","1993-06-18","2026-05-02","Per=M","Days=T","Dir=V")</f>
        <v>0</v>
      </c>
      <c r="AY2">
        <f>BDH("III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BDH("IIIN US Equity","BS_TOT_ASSET","1993-06-18","2026-05-02","Per=Y","Days=T","Dir=V")</f>
        <v>0</v>
      </c>
      <c r="C2">
        <f>BDH("IIIN US Equity","BS_TOT_LIAB2","1993-06-18","2026-05-02","Per=Y","Days=T","Dir=V")</f>
        <v>0</v>
      </c>
      <c r="E2">
        <f>BDH("IIIN US Equity","SHORT_AND_LONG_TERM_DEBT","1993-06-18","2026-05-02","Per=Y","Days=T","Dir=V")</f>
        <v>0</v>
      </c>
      <c r="G2">
        <f>BDH("IIIN US Equity","BS_ST_BORROW","1993-06-18","2026-05-02","Per=Y","Days=T","Dir=V")</f>
        <v>0</v>
      </c>
      <c r="I2">
        <f>BDH("IIIN US Equity","BS_LT_BORROW","1993-06-18","2026-05-02","Per=Y","Days=T","Dir=V")</f>
        <v>0</v>
      </c>
      <c r="K2">
        <f>BDH("IIIN US Equity","BS_CASH_NEAR_CASH_ITEM","1993-06-18","2026-05-02","Per=Y","Days=T","Dir=V")</f>
        <v>0</v>
      </c>
      <c r="M2">
        <f>BDH("IIIN US Equity","BS_CUR_ASSET_REPORT","1993-06-18","2026-05-02","Per=Y","Days=T","Dir=V")</f>
        <v>0</v>
      </c>
      <c r="O2">
        <f>BDH("IIIN US Equity","BS_CUR_LIAB","1993-06-18","2026-05-02","Per=Y","Days=T","Dir=V")</f>
        <v>0</v>
      </c>
      <c r="Q2">
        <f>BDH("IIIN US Equity","BS_SHAREHOLDER_EQY_ENDING_PERIOD","1993-06-18","2026-05-02","Per=Y","Days=T","Dir=V")</f>
        <v>0</v>
      </c>
      <c r="S2">
        <f>BDH("IIIN US Equity","BS_ACCT_NOTE_RCV","1993-06-18","2026-05-02","Per=Y","Days=T","Dir=V")</f>
        <v>0</v>
      </c>
      <c r="U2">
        <f>BDH("IIIN US Equity","BS_INVENTORIES","1993-06-18","2026-05-02","Per=Y","Days=T","Dir=V")</f>
        <v>0</v>
      </c>
      <c r="W2">
        <f>BDH("IIIN US Equity","WORKING_CAPITAL","1993-06-18","2026-05-02","Per=Y","Days=T","Dir=V")</f>
        <v>0</v>
      </c>
      <c r="Y2">
        <f>BDH("IIIN US Equity","SALES_REV_TURN","1993-06-18","2026-05-02","Per=Y","Days=T","Dir=V")</f>
        <v>0</v>
      </c>
      <c r="AA2">
        <f>BDH("IIIN US Equity","EBIT","1993-06-18","2026-05-02","Per=Y","Days=T","Dir=V")</f>
        <v>0</v>
      </c>
      <c r="AC2">
        <f>BDH("IIIN US Equity","EBITDA","1993-06-18","2026-05-02","Per=Y","Days=T","Dir=V")</f>
        <v>0</v>
      </c>
      <c r="AE2">
        <f>BDH("IIIN US Equity","NET_INCOME","1993-06-18","2026-05-02","Per=Y","Days=T","Dir=V")</f>
        <v>0</v>
      </c>
      <c r="AG2">
        <f>BDH("IIIN US Equity","IS_INT_EXPENSE","1993-06-18","2026-05-02","Per=Y","Days=T","Dir=V")</f>
        <v>0</v>
      </c>
      <c r="AI2">
        <f>BDH("IIIN US Equity","IS_DEPR_EXP","1993-06-18","2026-05-02","Per=Y","Days=T","Dir=V")</f>
        <v>0</v>
      </c>
      <c r="AK2">
        <f>BDH("IIIN US Equity","CF_CASH_FROM_OPER","1993-06-18","2026-05-02","Per=Y","Days=T","Dir=V")</f>
        <v>0</v>
      </c>
      <c r="AM2">
        <f>BDH("IIIN US Equity","CAPITAL_EXPEND","1993-06-18","2026-05-02","Per=Y","Days=T","Dir=V")</f>
        <v>0</v>
      </c>
      <c r="AO2">
        <f>BDH("IIIN US Equity","CF_FREE_CASH_FLOW","1993-06-18","2026-05-02","Per=Y","Days=T","Dir=V")</f>
        <v>0</v>
      </c>
      <c r="AQ2">
        <f>BDH("IIIN US Equity","PX_LAST","1993-06-18","2026-05-02","Per=M","Days=T","Dir=V")</f>
        <v>0</v>
      </c>
      <c r="AS2">
        <f>BDH("IIIN US Equity","CUR_MKT_CAP","1993-06-18","2026-05-02","Per=M","Days=T","Dir=V")</f>
        <v>0</v>
      </c>
      <c r="AU2">
        <f>BDH("IIIN US Equity","EQY_SH_OUT","1993-06-18","2026-05-02","Per=M","Days=T","Dir=V")</f>
        <v>0</v>
      </c>
      <c r="AW2">
        <f>BDH("IIIN US Equity","PX_VOLUME","1993-06-18","2026-05-02","Per=M","Days=T","Dir=V")</f>
        <v>0</v>
      </c>
      <c r="AY2">
        <f>BDH("IIIN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BDH("IIIV US Equity","BS_TOT_ASSET","1993-06-18","2026-05-02","Per=Y","Days=T","Dir=V")</f>
        <v>0</v>
      </c>
      <c r="C2">
        <f>BDH("IIIV US Equity","BS_TOT_LIAB2","1993-06-18","2026-05-02","Per=Y","Days=T","Dir=V")</f>
        <v>0</v>
      </c>
      <c r="E2">
        <f>BDH("IIIV US Equity","SHORT_AND_LONG_TERM_DEBT","1993-06-18","2026-05-02","Per=Y","Days=T","Dir=V")</f>
        <v>0</v>
      </c>
      <c r="G2">
        <f>BDH("IIIV US Equity","BS_ST_BORROW","1993-06-18","2026-05-02","Per=Y","Days=T","Dir=V")</f>
        <v>0</v>
      </c>
      <c r="I2">
        <f>BDH("IIIV US Equity","BS_LT_BORROW","1993-06-18","2026-05-02","Per=Y","Days=T","Dir=V")</f>
        <v>0</v>
      </c>
      <c r="K2">
        <f>BDH("IIIV US Equity","BS_CASH_NEAR_CASH_ITEM","1993-06-18","2026-05-02","Per=Y","Days=T","Dir=V")</f>
        <v>0</v>
      </c>
      <c r="M2">
        <f>BDH("IIIV US Equity","BS_CUR_ASSET_REPORT","1993-06-18","2026-05-02","Per=Y","Days=T","Dir=V")</f>
        <v>0</v>
      </c>
      <c r="O2">
        <f>BDH("IIIV US Equity","BS_CUR_LIAB","1993-06-18","2026-05-02","Per=Y","Days=T","Dir=V")</f>
        <v>0</v>
      </c>
      <c r="Q2">
        <f>BDH("IIIV US Equity","BS_SHAREHOLDER_EQY_ENDING_PERIOD","1993-06-18","2026-05-02","Per=Y","Days=T","Dir=V")</f>
        <v>0</v>
      </c>
      <c r="S2">
        <f>BDH("IIIV US Equity","BS_ACCT_NOTE_RCV","1993-06-18","2026-05-02","Per=Y","Days=T","Dir=V")</f>
        <v>0</v>
      </c>
      <c r="U2">
        <f>BDH("IIIV US Equity","BS_INVENTORIES","1993-06-18","2026-05-02","Per=Y","Days=T","Dir=V")</f>
        <v>0</v>
      </c>
      <c r="W2">
        <f>BDH("IIIV US Equity","WORKING_CAPITAL","1993-06-18","2026-05-02","Per=Y","Days=T","Dir=V")</f>
        <v>0</v>
      </c>
      <c r="Y2">
        <f>BDH("IIIV US Equity","SALES_REV_TURN","1993-06-18","2026-05-02","Per=Y","Days=T","Dir=V")</f>
        <v>0</v>
      </c>
      <c r="AA2">
        <f>BDH("IIIV US Equity","EBIT","1993-06-18","2026-05-02","Per=Y","Days=T","Dir=V")</f>
        <v>0</v>
      </c>
      <c r="AC2">
        <f>BDH("IIIV US Equity","EBITDA","1993-06-18","2026-05-02","Per=Y","Days=T","Dir=V")</f>
        <v>0</v>
      </c>
      <c r="AE2">
        <f>BDH("IIIV US Equity","NET_INCOME","1993-06-18","2026-05-02","Per=Y","Days=T","Dir=V")</f>
        <v>0</v>
      </c>
      <c r="AG2">
        <f>BDH("IIIV US Equity","IS_INT_EXPENSE","1993-06-18","2026-05-02","Per=Y","Days=T","Dir=V")</f>
        <v>0</v>
      </c>
      <c r="AI2">
        <f>BDH("IIIV US Equity","IS_DEPR_EXP","1993-06-18","2026-05-02","Per=Y","Days=T","Dir=V")</f>
        <v>0</v>
      </c>
      <c r="AK2">
        <f>BDH("IIIV US Equity","CF_CASH_FROM_OPER","1993-06-18","2026-05-02","Per=Y","Days=T","Dir=V")</f>
        <v>0</v>
      </c>
      <c r="AM2">
        <f>BDH("IIIV US Equity","CAPITAL_EXPEND","1993-06-18","2026-05-02","Per=Y","Days=T","Dir=V")</f>
        <v>0</v>
      </c>
      <c r="AO2">
        <f>BDH("IIIV US Equity","CF_FREE_CASH_FLOW","1993-06-18","2026-05-02","Per=Y","Days=T","Dir=V")</f>
        <v>0</v>
      </c>
      <c r="AQ2">
        <f>BDH("IIIV US Equity","PX_LAST","1993-06-18","2026-05-02","Per=M","Days=T","Dir=V")</f>
        <v>0</v>
      </c>
      <c r="AS2">
        <f>BDH("IIIV US Equity","CUR_MKT_CAP","1993-06-18","2026-05-02","Per=M","Days=T","Dir=V")</f>
        <v>0</v>
      </c>
      <c r="AU2">
        <f>BDH("IIIV US Equity","EQY_SH_OUT","1993-06-18","2026-05-02","Per=M","Days=T","Dir=V")</f>
        <v>0</v>
      </c>
      <c r="AW2">
        <f>BDH("IIIV US Equity","PX_VOLUME","1993-06-18","2026-05-02","Per=M","Days=T","Dir=V")</f>
        <v>0</v>
      </c>
      <c r="AY2">
        <f>BDH("IIIV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BDH("IKT US Equity","BS_TOT_ASSET","1993-06-18","2026-05-02","Per=Y","Days=T","Dir=V")</f>
        <v>0</v>
      </c>
      <c r="C2">
        <f>BDH("IKT US Equity","BS_TOT_LIAB2","1993-06-18","2026-05-02","Per=Y","Days=T","Dir=V")</f>
        <v>0</v>
      </c>
      <c r="E2">
        <f>BDH("IKT US Equity","SHORT_AND_LONG_TERM_DEBT","1993-06-18","2026-05-02","Per=Y","Days=T","Dir=V")</f>
        <v>0</v>
      </c>
      <c r="G2">
        <f>BDH("IKT US Equity","BS_ST_BORROW","1993-06-18","2026-05-02","Per=Y","Days=T","Dir=V")</f>
        <v>0</v>
      </c>
      <c r="I2">
        <f>BDH("IKT US Equity","BS_LT_BORROW","1993-06-18","2026-05-02","Per=Y","Days=T","Dir=V")</f>
        <v>0</v>
      </c>
      <c r="K2">
        <f>BDH("IKT US Equity","BS_CASH_NEAR_CASH_ITEM","1993-06-18","2026-05-02","Per=Y","Days=T","Dir=V")</f>
        <v>0</v>
      </c>
      <c r="M2">
        <f>BDH("IKT US Equity","BS_CUR_ASSET_REPORT","1993-06-18","2026-05-02","Per=Y","Days=T","Dir=V")</f>
        <v>0</v>
      </c>
      <c r="O2">
        <f>BDH("IKT US Equity","BS_CUR_LIAB","1993-06-18","2026-05-02","Per=Y","Days=T","Dir=V")</f>
        <v>0</v>
      </c>
      <c r="Q2">
        <f>BDH("IKT US Equity","BS_SHAREHOLDER_EQY_ENDING_PERIOD","1993-06-18","2026-05-02","Per=Y","Days=T","Dir=V")</f>
        <v>0</v>
      </c>
      <c r="S2">
        <f>BDH("IKT US Equity","BS_ACCT_NOTE_RCV","1993-06-18","2026-05-02","Per=Y","Days=T","Dir=V")</f>
        <v>0</v>
      </c>
      <c r="U2">
        <f>BDH("IKT US Equity","BS_INVENTORIES","1993-06-18","2026-05-02","Per=Y","Days=T","Dir=V")</f>
        <v>0</v>
      </c>
      <c r="W2">
        <f>BDH("IKT US Equity","WORKING_CAPITAL","1993-06-18","2026-05-02","Per=Y","Days=T","Dir=V")</f>
        <v>0</v>
      </c>
      <c r="Y2">
        <f>BDH("IKT US Equity","SALES_REV_TURN","1993-06-18","2026-05-02","Per=Y","Days=T","Dir=V")</f>
        <v>0</v>
      </c>
      <c r="AA2">
        <f>BDH("IKT US Equity","EBIT","1993-06-18","2026-05-02","Per=Y","Days=T","Dir=V")</f>
        <v>0</v>
      </c>
      <c r="AC2">
        <f>BDH("IKT US Equity","EBITDA","1993-06-18","2026-05-02","Per=Y","Days=T","Dir=V")</f>
        <v>0</v>
      </c>
      <c r="AE2">
        <f>BDH("IKT US Equity","NET_INCOME","1993-06-18","2026-05-02","Per=Y","Days=T","Dir=V")</f>
        <v>0</v>
      </c>
      <c r="AG2">
        <f>BDH("IKT US Equity","IS_INT_EXPENSE","1993-06-18","2026-05-02","Per=Y","Days=T","Dir=V")</f>
        <v>0</v>
      </c>
      <c r="AI2">
        <f>BDH("IKT US Equity","IS_DEPR_EXP","1993-06-18","2026-05-02","Per=Y","Days=T","Dir=V")</f>
        <v>0</v>
      </c>
      <c r="AK2">
        <f>BDH("IKT US Equity","CF_CASH_FROM_OPER","1993-06-18","2026-05-02","Per=Y","Days=T","Dir=V")</f>
        <v>0</v>
      </c>
      <c r="AM2">
        <f>BDH("IKT US Equity","CAPITAL_EXPEND","1993-06-18","2026-05-02","Per=Y","Days=T","Dir=V")</f>
        <v>0</v>
      </c>
      <c r="AO2">
        <f>BDH("IKT US Equity","CF_FREE_CASH_FLOW","1993-06-18","2026-05-02","Per=Y","Days=T","Dir=V")</f>
        <v>0</v>
      </c>
      <c r="AQ2">
        <f>BDH("IKT US Equity","PX_LAST","1993-06-18","2026-05-02","Per=M","Days=T","Dir=V")</f>
        <v>0</v>
      </c>
      <c r="AS2">
        <f>BDH("IKT US Equity","CUR_MKT_CAP","1993-06-18","2026-05-02","Per=M","Days=T","Dir=V")</f>
        <v>0</v>
      </c>
      <c r="AU2">
        <f>BDH("IKT US Equity","EQY_SH_OUT","1993-06-18","2026-05-02","Per=M","Days=T","Dir=V")</f>
        <v>0</v>
      </c>
      <c r="AW2">
        <f>BDH("IKT US Equity","PX_VOLUME","1993-06-18","2026-05-02","Per=M","Days=T","Dir=V")</f>
        <v>0</v>
      </c>
      <c r="AY2">
        <f>BDH("IKT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BDH("ILMN US Equity","BS_TOT_ASSET","1993-06-18","2026-05-02","Per=Y","Days=T","Dir=V")</f>
        <v>0</v>
      </c>
      <c r="C2">
        <f>BDH("ILMN US Equity","BS_TOT_LIAB2","1993-06-18","2026-05-02","Per=Y","Days=T","Dir=V")</f>
        <v>0</v>
      </c>
      <c r="E2">
        <f>BDH("ILMN US Equity","SHORT_AND_LONG_TERM_DEBT","1993-06-18","2026-05-02","Per=Y","Days=T","Dir=V")</f>
        <v>0</v>
      </c>
      <c r="G2">
        <f>BDH("ILMN US Equity","BS_ST_BORROW","1993-06-18","2026-05-02","Per=Y","Days=T","Dir=V")</f>
        <v>0</v>
      </c>
      <c r="I2">
        <f>BDH("ILMN US Equity","BS_LT_BORROW","1993-06-18","2026-05-02","Per=Y","Days=T","Dir=V")</f>
        <v>0</v>
      </c>
      <c r="K2">
        <f>BDH("ILMN US Equity","BS_CASH_NEAR_CASH_ITEM","1993-06-18","2026-05-02","Per=Y","Days=T","Dir=V")</f>
        <v>0</v>
      </c>
      <c r="M2">
        <f>BDH("ILMN US Equity","BS_CUR_ASSET_REPORT","1993-06-18","2026-05-02","Per=Y","Days=T","Dir=V")</f>
        <v>0</v>
      </c>
      <c r="O2">
        <f>BDH("ILMN US Equity","BS_CUR_LIAB","1993-06-18","2026-05-02","Per=Y","Days=T","Dir=V")</f>
        <v>0</v>
      </c>
      <c r="Q2">
        <f>BDH("ILMN US Equity","BS_SHAREHOLDER_EQY_ENDING_PERIOD","1993-06-18","2026-05-02","Per=Y","Days=T","Dir=V")</f>
        <v>0</v>
      </c>
      <c r="S2">
        <f>BDH("ILMN US Equity","BS_ACCT_NOTE_RCV","1993-06-18","2026-05-02","Per=Y","Days=T","Dir=V")</f>
        <v>0</v>
      </c>
      <c r="U2">
        <f>BDH("ILMN US Equity","BS_INVENTORIES","1993-06-18","2026-05-02","Per=Y","Days=T","Dir=V")</f>
        <v>0</v>
      </c>
      <c r="W2">
        <f>BDH("ILMN US Equity","WORKING_CAPITAL","1993-06-18","2026-05-02","Per=Y","Days=T","Dir=V")</f>
        <v>0</v>
      </c>
      <c r="Y2">
        <f>BDH("ILMN US Equity","SALES_REV_TURN","1993-06-18","2026-05-02","Per=Y","Days=T","Dir=V")</f>
        <v>0</v>
      </c>
      <c r="AA2">
        <f>BDH("ILMN US Equity","EBIT","1993-06-18","2026-05-02","Per=Y","Days=T","Dir=V")</f>
        <v>0</v>
      </c>
      <c r="AC2">
        <f>BDH("ILMN US Equity","EBITDA","1993-06-18","2026-05-02","Per=Y","Days=T","Dir=V")</f>
        <v>0</v>
      </c>
      <c r="AE2">
        <f>BDH("ILMN US Equity","NET_INCOME","1993-06-18","2026-05-02","Per=Y","Days=T","Dir=V")</f>
        <v>0</v>
      </c>
      <c r="AG2">
        <f>BDH("ILMN US Equity","IS_INT_EXPENSE","1993-06-18","2026-05-02","Per=Y","Days=T","Dir=V")</f>
        <v>0</v>
      </c>
      <c r="AI2">
        <f>BDH("ILMN US Equity","IS_DEPR_EXP","1993-06-18","2026-05-02","Per=Y","Days=T","Dir=V")</f>
        <v>0</v>
      </c>
      <c r="AK2">
        <f>BDH("ILMN US Equity","CF_CASH_FROM_OPER","1993-06-18","2026-05-02","Per=Y","Days=T","Dir=V")</f>
        <v>0</v>
      </c>
      <c r="AM2">
        <f>BDH("ILMN US Equity","CAPITAL_EXPEND","1993-06-18","2026-05-02","Per=Y","Days=T","Dir=V")</f>
        <v>0</v>
      </c>
      <c r="AO2">
        <f>BDH("ILMN US Equity","CF_FREE_CASH_FLOW","1993-06-18","2026-05-02","Per=Y","Days=T","Dir=V")</f>
        <v>0</v>
      </c>
      <c r="AQ2">
        <f>BDH("ILMN US Equity","PX_LAST","1993-06-18","2026-05-02","Per=M","Days=T","Dir=V")</f>
        <v>0</v>
      </c>
      <c r="AS2">
        <f>BDH("ILMN US Equity","CUR_MKT_CAP","1993-06-18","2026-05-02","Per=M","Days=T","Dir=V")</f>
        <v>0</v>
      </c>
      <c r="AU2">
        <f>BDH("ILMN US Equity","EQY_SH_OUT","1993-06-18","2026-05-02","Per=M","Days=T","Dir=V")</f>
        <v>0</v>
      </c>
      <c r="AW2">
        <f>BDH("ILMN US Equity","PX_VOLUME","1993-06-18","2026-05-02","Per=M","Days=T","Dir=V")</f>
        <v>0</v>
      </c>
      <c r="AY2">
        <f>BDH("ILMN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BDH("IMA US Equity","BS_TOT_ASSET","1993-06-18","2026-05-02","Per=Y","Days=T","Dir=V")</f>
        <v>0</v>
      </c>
      <c r="C2">
        <f>BDH("IMA US Equity","BS_TOT_LIAB2","1993-06-18","2026-05-02","Per=Y","Days=T","Dir=V")</f>
        <v>0</v>
      </c>
      <c r="E2">
        <f>BDH("IMA US Equity","SHORT_AND_LONG_TERM_DEBT","1993-06-18","2026-05-02","Per=Y","Days=T","Dir=V")</f>
        <v>0</v>
      </c>
      <c r="G2">
        <f>BDH("IMA US Equity","BS_ST_BORROW","1993-06-18","2026-05-02","Per=Y","Days=T","Dir=V")</f>
        <v>0</v>
      </c>
      <c r="I2">
        <f>BDH("IMA US Equity","BS_LT_BORROW","1993-06-18","2026-05-02","Per=Y","Days=T","Dir=V")</f>
        <v>0</v>
      </c>
      <c r="K2">
        <f>BDH("IMA US Equity","BS_CASH_NEAR_CASH_ITEM","1993-06-18","2026-05-02","Per=Y","Days=T","Dir=V")</f>
        <v>0</v>
      </c>
      <c r="M2">
        <f>BDH("IMA US Equity","BS_CUR_ASSET_REPORT","1993-06-18","2026-05-02","Per=Y","Days=T","Dir=V")</f>
        <v>0</v>
      </c>
      <c r="O2">
        <f>BDH("IMA US Equity","BS_CUR_LIAB","1993-06-18","2026-05-02","Per=Y","Days=T","Dir=V")</f>
        <v>0</v>
      </c>
      <c r="Q2">
        <f>BDH("IMA US Equity","BS_SHAREHOLDER_EQY_ENDING_PERIOD","1993-06-18","2026-05-02","Per=Y","Days=T","Dir=V")</f>
        <v>0</v>
      </c>
      <c r="S2">
        <f>BDH("IMA US Equity","BS_ACCT_NOTE_RCV","1993-06-18","2026-05-02","Per=Y","Days=T","Dir=V")</f>
        <v>0</v>
      </c>
      <c r="U2">
        <f>BDH("IMA US Equity","BS_INVENTORIES","1993-06-18","2026-05-02","Per=Y","Days=T","Dir=V")</f>
        <v>0</v>
      </c>
      <c r="W2">
        <f>BDH("IMA US Equity","WORKING_CAPITAL","1993-06-18","2026-05-02","Per=Y","Days=T","Dir=V")</f>
        <v>0</v>
      </c>
      <c r="Y2">
        <f>BDH("IMA US Equity","SALES_REV_TURN","1993-06-18","2026-05-02","Per=Y","Days=T","Dir=V")</f>
        <v>0</v>
      </c>
      <c r="AA2">
        <f>BDH("IMA US Equity","EBIT","1993-06-18","2026-05-02","Per=Y","Days=T","Dir=V")</f>
        <v>0</v>
      </c>
      <c r="AC2">
        <f>BDH("IMA US Equity","EBITDA","1993-06-18","2026-05-02","Per=Y","Days=T","Dir=V")</f>
        <v>0</v>
      </c>
      <c r="AE2">
        <f>BDH("IMA US Equity","NET_INCOME","1993-06-18","2026-05-02","Per=Y","Days=T","Dir=V")</f>
        <v>0</v>
      </c>
      <c r="AG2">
        <f>BDH("IMA US Equity","IS_INT_EXPENSE","1993-06-18","2026-05-02","Per=Y","Days=T","Dir=V")</f>
        <v>0</v>
      </c>
      <c r="AI2">
        <f>BDH("IMA US Equity","IS_DEPR_EXP","1993-06-18","2026-05-02","Per=Y","Days=T","Dir=V")</f>
        <v>0</v>
      </c>
      <c r="AK2">
        <f>BDH("IMA US Equity","CF_CASH_FROM_OPER","1993-06-18","2026-05-02","Per=Y","Days=T","Dir=V")</f>
        <v>0</v>
      </c>
      <c r="AM2">
        <f>BDH("IMA US Equity","CAPITAL_EXPEND","1993-06-18","2026-05-02","Per=Y","Days=T","Dir=V")</f>
        <v>0</v>
      </c>
      <c r="AO2">
        <f>BDH("IMA US Equity","CF_FREE_CASH_FLOW","1993-06-18","2026-05-02","Per=Y","Days=T","Dir=V")</f>
        <v>0</v>
      </c>
      <c r="AQ2">
        <f>BDH("IMA US Equity","PX_LAST","1993-06-18","2026-05-02","Per=M","Days=T","Dir=V")</f>
        <v>0</v>
      </c>
      <c r="AS2">
        <f>BDH("IMA US Equity","CUR_MKT_CAP","1993-06-18","2026-05-02","Per=M","Days=T","Dir=V")</f>
        <v>0</v>
      </c>
      <c r="AU2">
        <f>BDH("IMA US Equity","EQY_SH_OUT","1993-06-18","2026-05-02","Per=M","Days=T","Dir=V")</f>
        <v>0</v>
      </c>
      <c r="AW2">
        <f>BDH("IMA US Equity","PX_VOLUME","1993-06-18","2026-05-02","Per=M","Days=T","Dir=V")</f>
        <v>0</v>
      </c>
      <c r="AY2">
        <f>BDH("IMA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BDH("IMDX US Equity","BS_TOT_ASSET","1993-06-18","2026-05-02","Per=Y","Days=T","Dir=V")</f>
        <v>0</v>
      </c>
      <c r="C2">
        <f>BDH("IMDX US Equity","BS_TOT_LIAB2","1993-06-18","2026-05-02","Per=Y","Days=T","Dir=V")</f>
        <v>0</v>
      </c>
      <c r="E2">
        <f>BDH("IMDX US Equity","SHORT_AND_LONG_TERM_DEBT","1993-06-18","2026-05-02","Per=Y","Days=T","Dir=V")</f>
        <v>0</v>
      </c>
      <c r="G2">
        <f>BDH("IMDX US Equity","BS_ST_BORROW","1993-06-18","2026-05-02","Per=Y","Days=T","Dir=V")</f>
        <v>0</v>
      </c>
      <c r="I2">
        <f>BDH("IMDX US Equity","BS_LT_BORROW","1993-06-18","2026-05-02","Per=Y","Days=T","Dir=V")</f>
        <v>0</v>
      </c>
      <c r="K2">
        <f>BDH("IMDX US Equity","BS_CASH_NEAR_CASH_ITEM","1993-06-18","2026-05-02","Per=Y","Days=T","Dir=V")</f>
        <v>0</v>
      </c>
      <c r="M2">
        <f>BDH("IMDX US Equity","BS_CUR_ASSET_REPORT","1993-06-18","2026-05-02","Per=Y","Days=T","Dir=V")</f>
        <v>0</v>
      </c>
      <c r="O2">
        <f>BDH("IMDX US Equity","BS_CUR_LIAB","1993-06-18","2026-05-02","Per=Y","Days=T","Dir=V")</f>
        <v>0</v>
      </c>
      <c r="Q2">
        <f>BDH("IMDX US Equity","BS_SHAREHOLDER_EQY_ENDING_PERIOD","1993-06-18","2026-05-02","Per=Y","Days=T","Dir=V")</f>
        <v>0</v>
      </c>
      <c r="S2">
        <f>BDH("IMDX US Equity","BS_ACCT_NOTE_RCV","1993-06-18","2026-05-02","Per=Y","Days=T","Dir=V")</f>
        <v>0</v>
      </c>
      <c r="U2">
        <f>BDH("IMDX US Equity","BS_INVENTORIES","1993-06-18","2026-05-02","Per=Y","Days=T","Dir=V")</f>
        <v>0</v>
      </c>
      <c r="W2">
        <f>BDH("IMDX US Equity","WORKING_CAPITAL","1993-06-18","2026-05-02","Per=Y","Days=T","Dir=V")</f>
        <v>0</v>
      </c>
      <c r="Y2">
        <f>BDH("IMDX US Equity","SALES_REV_TURN","1993-06-18","2026-05-02","Per=Y","Days=T","Dir=V")</f>
        <v>0</v>
      </c>
      <c r="AA2">
        <f>BDH("IMDX US Equity","EBIT","1993-06-18","2026-05-02","Per=Y","Days=T","Dir=V")</f>
        <v>0</v>
      </c>
      <c r="AC2">
        <f>BDH("IMDX US Equity","EBITDA","1993-06-18","2026-05-02","Per=Y","Days=T","Dir=V")</f>
        <v>0</v>
      </c>
      <c r="AE2">
        <f>BDH("IMDX US Equity","NET_INCOME","1993-06-18","2026-05-02","Per=Y","Days=T","Dir=V")</f>
        <v>0</v>
      </c>
      <c r="AG2">
        <f>BDH("IMDX US Equity","IS_INT_EXPENSE","1993-06-18","2026-05-02","Per=Y","Days=T","Dir=V")</f>
        <v>0</v>
      </c>
      <c r="AI2">
        <f>BDH("IMDX US Equity","IS_DEPR_EXP","1993-06-18","2026-05-02","Per=Y","Days=T","Dir=V")</f>
        <v>0</v>
      </c>
      <c r="AK2">
        <f>BDH("IMDX US Equity","CF_CASH_FROM_OPER","1993-06-18","2026-05-02","Per=Y","Days=T","Dir=V")</f>
        <v>0</v>
      </c>
      <c r="AM2">
        <f>BDH("IMDX US Equity","CAPITAL_EXPEND","1993-06-18","2026-05-02","Per=Y","Days=T","Dir=V")</f>
        <v>0</v>
      </c>
      <c r="AO2">
        <f>BDH("IMDX US Equity","CF_FREE_CASH_FLOW","1993-06-18","2026-05-02","Per=Y","Days=T","Dir=V")</f>
        <v>0</v>
      </c>
      <c r="AQ2">
        <f>BDH("IMDX US Equity","PX_LAST","1993-06-18","2026-05-02","Per=M","Days=T","Dir=V")</f>
        <v>0</v>
      </c>
      <c r="AS2">
        <f>BDH("IMDX US Equity","CUR_MKT_CAP","1993-06-18","2026-05-02","Per=M","Days=T","Dir=V")</f>
        <v>0</v>
      </c>
      <c r="AU2">
        <f>BDH("IMDX US Equity","EQY_SH_OUT","1993-06-18","2026-05-02","Per=M","Days=T","Dir=V")</f>
        <v>0</v>
      </c>
      <c r="AW2">
        <f>BDH("IMDX US Equity","PX_VOLUME","1993-06-18","2026-05-02","Per=M","Days=T","Dir=V")</f>
        <v>0</v>
      </c>
      <c r="AY2">
        <f>BDH("IMDX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BDH("IMKTA US Equity","BS_TOT_ASSET","1993-06-18","2026-05-02","Per=Y","Days=T","Dir=V")</f>
        <v>0</v>
      </c>
      <c r="C2">
        <f>BDH("IMKTA US Equity","BS_TOT_LIAB2","1993-06-18","2026-05-02","Per=Y","Days=T","Dir=V")</f>
        <v>0</v>
      </c>
      <c r="E2">
        <f>BDH("IMKTA US Equity","SHORT_AND_LONG_TERM_DEBT","1993-06-18","2026-05-02","Per=Y","Days=T","Dir=V")</f>
        <v>0</v>
      </c>
      <c r="G2">
        <f>BDH("IMKTA US Equity","BS_ST_BORROW","1993-06-18","2026-05-02","Per=Y","Days=T","Dir=V")</f>
        <v>0</v>
      </c>
      <c r="I2">
        <f>BDH("IMKTA US Equity","BS_LT_BORROW","1993-06-18","2026-05-02","Per=Y","Days=T","Dir=V")</f>
        <v>0</v>
      </c>
      <c r="K2">
        <f>BDH("IMKTA US Equity","BS_CASH_NEAR_CASH_ITEM","1993-06-18","2026-05-02","Per=Y","Days=T","Dir=V")</f>
        <v>0</v>
      </c>
      <c r="M2">
        <f>BDH("IMKTA US Equity","BS_CUR_ASSET_REPORT","1993-06-18","2026-05-02","Per=Y","Days=T","Dir=V")</f>
        <v>0</v>
      </c>
      <c r="O2">
        <f>BDH("IMKTA US Equity","BS_CUR_LIAB","1993-06-18","2026-05-02","Per=Y","Days=T","Dir=V")</f>
        <v>0</v>
      </c>
      <c r="Q2">
        <f>BDH("IMKTA US Equity","BS_SHAREHOLDER_EQY_ENDING_PERIOD","1993-06-18","2026-05-02","Per=Y","Days=T","Dir=V")</f>
        <v>0</v>
      </c>
      <c r="S2">
        <f>BDH("IMKTA US Equity","BS_ACCT_NOTE_RCV","1993-06-18","2026-05-02","Per=Y","Days=T","Dir=V")</f>
        <v>0</v>
      </c>
      <c r="U2">
        <f>BDH("IMKTA US Equity","BS_INVENTORIES","1993-06-18","2026-05-02","Per=Y","Days=T","Dir=V")</f>
        <v>0</v>
      </c>
      <c r="W2">
        <f>BDH("IMKTA US Equity","WORKING_CAPITAL","1993-06-18","2026-05-02","Per=Y","Days=T","Dir=V")</f>
        <v>0</v>
      </c>
      <c r="Y2">
        <f>BDH("IMKTA US Equity","SALES_REV_TURN","1993-06-18","2026-05-02","Per=Y","Days=T","Dir=V")</f>
        <v>0</v>
      </c>
      <c r="AA2">
        <f>BDH("IMKTA US Equity","EBIT","1993-06-18","2026-05-02","Per=Y","Days=T","Dir=V")</f>
        <v>0</v>
      </c>
      <c r="AC2">
        <f>BDH("IMKTA US Equity","EBITDA","1993-06-18","2026-05-02","Per=Y","Days=T","Dir=V")</f>
        <v>0</v>
      </c>
      <c r="AE2">
        <f>BDH("IMKTA US Equity","NET_INCOME","1993-06-18","2026-05-02","Per=Y","Days=T","Dir=V")</f>
        <v>0</v>
      </c>
      <c r="AG2">
        <f>BDH("IMKTA US Equity","IS_INT_EXPENSE","1993-06-18","2026-05-02","Per=Y","Days=T","Dir=V")</f>
        <v>0</v>
      </c>
      <c r="AI2">
        <f>BDH("IMKTA US Equity","IS_DEPR_EXP","1993-06-18","2026-05-02","Per=Y","Days=T","Dir=V")</f>
        <v>0</v>
      </c>
      <c r="AK2">
        <f>BDH("IMKTA US Equity","CF_CASH_FROM_OPER","1993-06-18","2026-05-02","Per=Y","Days=T","Dir=V")</f>
        <v>0</v>
      </c>
      <c r="AM2">
        <f>BDH("IMKTA US Equity","CAPITAL_EXPEND","1993-06-18","2026-05-02","Per=Y","Days=T","Dir=V")</f>
        <v>0</v>
      </c>
      <c r="AO2">
        <f>BDH("IMKTA US Equity","CF_FREE_CASH_FLOW","1993-06-18","2026-05-02","Per=Y","Days=T","Dir=V")</f>
        <v>0</v>
      </c>
      <c r="AQ2">
        <f>BDH("IMKTA US Equity","PX_LAST","1993-06-18","2026-05-02","Per=M","Days=T","Dir=V")</f>
        <v>0</v>
      </c>
      <c r="AS2">
        <f>BDH("IMKTA US Equity","CUR_MKT_CAP","1993-06-18","2026-05-02","Per=M","Days=T","Dir=V")</f>
        <v>0</v>
      </c>
      <c r="AU2">
        <f>BDH("IMKTA US Equity","EQY_SH_OUT","1993-06-18","2026-05-02","Per=M","Days=T","Dir=V")</f>
        <v>0</v>
      </c>
      <c r="AW2">
        <f>BDH("IMKTA US Equity","PX_VOLUME","1993-06-18","2026-05-02","Per=M","Days=T","Dir=V")</f>
        <v>0</v>
      </c>
      <c r="AY2">
        <f>BDH("IMKTA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BDH("IMMR US Equity","BS_TOT_ASSET","1993-06-18","2026-05-02","Per=Y","Days=T","Dir=V")</f>
        <v>0</v>
      </c>
      <c r="C2">
        <f>BDH("IMMR US Equity","BS_TOT_LIAB2","1993-06-18","2026-05-02","Per=Y","Days=T","Dir=V")</f>
        <v>0</v>
      </c>
      <c r="E2">
        <f>BDH("IMMR US Equity","SHORT_AND_LONG_TERM_DEBT","1993-06-18","2026-05-02","Per=Y","Days=T","Dir=V")</f>
        <v>0</v>
      </c>
      <c r="G2">
        <f>BDH("IMMR US Equity","BS_ST_BORROW","1993-06-18","2026-05-02","Per=Y","Days=T","Dir=V")</f>
        <v>0</v>
      </c>
      <c r="I2">
        <f>BDH("IMMR US Equity","BS_LT_BORROW","1993-06-18","2026-05-02","Per=Y","Days=T","Dir=V")</f>
        <v>0</v>
      </c>
      <c r="K2">
        <f>BDH("IMMR US Equity","BS_CASH_NEAR_CASH_ITEM","1993-06-18","2026-05-02","Per=Y","Days=T","Dir=V")</f>
        <v>0</v>
      </c>
      <c r="M2">
        <f>BDH("IMMR US Equity","BS_CUR_ASSET_REPORT","1993-06-18","2026-05-02","Per=Y","Days=T","Dir=V")</f>
        <v>0</v>
      </c>
      <c r="O2">
        <f>BDH("IMMR US Equity","BS_CUR_LIAB","1993-06-18","2026-05-02","Per=Y","Days=T","Dir=V")</f>
        <v>0</v>
      </c>
      <c r="Q2">
        <f>BDH("IMMR US Equity","BS_SHAREHOLDER_EQY_ENDING_PERIOD","1993-06-18","2026-05-02","Per=Y","Days=T","Dir=V")</f>
        <v>0</v>
      </c>
      <c r="S2">
        <f>BDH("IMMR US Equity","BS_ACCT_NOTE_RCV","1993-06-18","2026-05-02","Per=Y","Days=T","Dir=V")</f>
        <v>0</v>
      </c>
      <c r="U2">
        <f>BDH("IMMR US Equity","BS_INVENTORIES","1993-06-18","2026-05-02","Per=Y","Days=T","Dir=V")</f>
        <v>0</v>
      </c>
      <c r="W2">
        <f>BDH("IMMR US Equity","WORKING_CAPITAL","1993-06-18","2026-05-02","Per=Y","Days=T","Dir=V")</f>
        <v>0</v>
      </c>
      <c r="Y2">
        <f>BDH("IMMR US Equity","SALES_REV_TURN","1993-06-18","2026-05-02","Per=Y","Days=T","Dir=V")</f>
        <v>0</v>
      </c>
      <c r="AA2">
        <f>BDH("IMMR US Equity","EBIT","1993-06-18","2026-05-02","Per=Y","Days=T","Dir=V")</f>
        <v>0</v>
      </c>
      <c r="AC2">
        <f>BDH("IMMR US Equity","EBITDA","1993-06-18","2026-05-02","Per=Y","Days=T","Dir=V")</f>
        <v>0</v>
      </c>
      <c r="AE2">
        <f>BDH("IMMR US Equity","NET_INCOME","1993-06-18","2026-05-02","Per=Y","Days=T","Dir=V")</f>
        <v>0</v>
      </c>
      <c r="AG2">
        <f>BDH("IMMR US Equity","IS_INT_EXPENSE","1993-06-18","2026-05-02","Per=Y","Days=T","Dir=V")</f>
        <v>0</v>
      </c>
      <c r="AI2">
        <f>BDH("IMMR US Equity","IS_DEPR_EXP","1993-06-18","2026-05-02","Per=Y","Days=T","Dir=V")</f>
        <v>0</v>
      </c>
      <c r="AK2">
        <f>BDH("IMMR US Equity","CF_CASH_FROM_OPER","1993-06-18","2026-05-02","Per=Y","Days=T","Dir=V")</f>
        <v>0</v>
      </c>
      <c r="AM2">
        <f>BDH("IMMR US Equity","CAPITAL_EXPEND","1993-06-18","2026-05-02","Per=Y","Days=T","Dir=V")</f>
        <v>0</v>
      </c>
      <c r="AO2">
        <f>BDH("IMMR US Equity","CF_FREE_CASH_FLOW","1993-06-18","2026-05-02","Per=Y","Days=T","Dir=V")</f>
        <v>0</v>
      </c>
      <c r="AQ2">
        <f>BDH("IMMR US Equity","PX_LAST","1993-06-18","2026-05-02","Per=M","Days=T","Dir=V")</f>
        <v>0</v>
      </c>
      <c r="AS2">
        <f>BDH("IMMR US Equity","CUR_MKT_CAP","1993-06-18","2026-05-02","Per=M","Days=T","Dir=V")</f>
        <v>0</v>
      </c>
      <c r="AU2">
        <f>BDH("IMMR US Equity","EQY_SH_OUT","1993-06-18","2026-05-02","Per=M","Days=T","Dir=V")</f>
        <v>0</v>
      </c>
      <c r="AW2">
        <f>BDH("IMMR US Equity","PX_VOLUME","1993-06-18","2026-05-02","Per=M","Days=T","Dir=V")</f>
        <v>0</v>
      </c>
      <c r="AY2">
        <f>BDH("IMMR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BDH("IMMX US Equity","BS_TOT_ASSET","1993-06-18","2026-05-02","Per=Y","Days=T","Dir=V")</f>
        <v>0</v>
      </c>
      <c r="C2">
        <f>BDH("IMMX US Equity","BS_TOT_LIAB2","1993-06-18","2026-05-02","Per=Y","Days=T","Dir=V")</f>
        <v>0</v>
      </c>
      <c r="E2">
        <f>BDH("IMMX US Equity","SHORT_AND_LONG_TERM_DEBT","1993-06-18","2026-05-02","Per=Y","Days=T","Dir=V")</f>
        <v>0</v>
      </c>
      <c r="G2">
        <f>BDH("IMMX US Equity","BS_ST_BORROW","1993-06-18","2026-05-02","Per=Y","Days=T","Dir=V")</f>
        <v>0</v>
      </c>
      <c r="I2">
        <f>BDH("IMMX US Equity","BS_LT_BORROW","1993-06-18","2026-05-02","Per=Y","Days=T","Dir=V")</f>
        <v>0</v>
      </c>
      <c r="K2">
        <f>BDH("IMMX US Equity","BS_CASH_NEAR_CASH_ITEM","1993-06-18","2026-05-02","Per=Y","Days=T","Dir=V")</f>
        <v>0</v>
      </c>
      <c r="M2">
        <f>BDH("IMMX US Equity","BS_CUR_ASSET_REPORT","1993-06-18","2026-05-02","Per=Y","Days=T","Dir=V")</f>
        <v>0</v>
      </c>
      <c r="O2">
        <f>BDH("IMMX US Equity","BS_CUR_LIAB","1993-06-18","2026-05-02","Per=Y","Days=T","Dir=V")</f>
        <v>0</v>
      </c>
      <c r="Q2">
        <f>BDH("IMMX US Equity","BS_SHAREHOLDER_EQY_ENDING_PERIOD","1993-06-18","2026-05-02","Per=Y","Days=T","Dir=V")</f>
        <v>0</v>
      </c>
      <c r="S2">
        <f>BDH("IMMX US Equity","BS_ACCT_NOTE_RCV","1993-06-18","2026-05-02","Per=Y","Days=T","Dir=V")</f>
        <v>0</v>
      </c>
      <c r="U2">
        <f>BDH("IMMX US Equity","BS_INVENTORIES","1993-06-18","2026-05-02","Per=Y","Days=T","Dir=V")</f>
        <v>0</v>
      </c>
      <c r="W2">
        <f>BDH("IMMX US Equity","WORKING_CAPITAL","1993-06-18","2026-05-02","Per=Y","Days=T","Dir=V")</f>
        <v>0</v>
      </c>
      <c r="Y2">
        <f>BDH("IMMX US Equity","SALES_REV_TURN","1993-06-18","2026-05-02","Per=Y","Days=T","Dir=V")</f>
        <v>0</v>
      </c>
      <c r="AA2">
        <f>BDH("IMMX US Equity","EBIT","1993-06-18","2026-05-02","Per=Y","Days=T","Dir=V")</f>
        <v>0</v>
      </c>
      <c r="AC2">
        <f>BDH("IMMX US Equity","EBITDA","1993-06-18","2026-05-02","Per=Y","Days=T","Dir=V")</f>
        <v>0</v>
      </c>
      <c r="AE2">
        <f>BDH("IMMX US Equity","NET_INCOME","1993-06-18","2026-05-02","Per=Y","Days=T","Dir=V")</f>
        <v>0</v>
      </c>
      <c r="AG2">
        <f>BDH("IMMX US Equity","IS_INT_EXPENSE","1993-06-18","2026-05-02","Per=Y","Days=T","Dir=V")</f>
        <v>0</v>
      </c>
      <c r="AI2">
        <f>BDH("IMMX US Equity","IS_DEPR_EXP","1993-06-18","2026-05-02","Per=Y","Days=T","Dir=V")</f>
        <v>0</v>
      </c>
      <c r="AK2">
        <f>BDH("IMMX US Equity","CF_CASH_FROM_OPER","1993-06-18","2026-05-02","Per=Y","Days=T","Dir=V")</f>
        <v>0</v>
      </c>
      <c r="AM2">
        <f>BDH("IMMX US Equity","CAPITAL_EXPEND","1993-06-18","2026-05-02","Per=Y","Days=T","Dir=V")</f>
        <v>0</v>
      </c>
      <c r="AO2">
        <f>BDH("IMMX US Equity","CF_FREE_CASH_FLOW","1993-06-18","2026-05-02","Per=Y","Days=T","Dir=V")</f>
        <v>0</v>
      </c>
      <c r="AQ2">
        <f>BDH("IMMX US Equity","PX_LAST","1993-06-18","2026-05-02","Per=M","Days=T","Dir=V")</f>
        <v>0</v>
      </c>
      <c r="AS2">
        <f>BDH("IMMX US Equity","CUR_MKT_CAP","1993-06-18","2026-05-02","Per=M","Days=T","Dir=V")</f>
        <v>0</v>
      </c>
      <c r="AU2">
        <f>BDH("IMMX US Equity","EQY_SH_OUT","1993-06-18","2026-05-02","Per=M","Days=T","Dir=V")</f>
        <v>0</v>
      </c>
      <c r="AW2">
        <f>BDH("IMMX US Equity","PX_VOLUME","1993-06-18","2026-05-02","Per=M","Days=T","Dir=V")</f>
        <v>0</v>
      </c>
      <c r="AY2">
        <f>BDH("IMMX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BDH("IMNM US Equity","BS_TOT_ASSET","1993-06-18","2026-05-02","Per=Y","Days=T","Dir=V")</f>
        <v>0</v>
      </c>
      <c r="C2">
        <f>BDH("IMNM US Equity","BS_TOT_LIAB2","1993-06-18","2026-05-02","Per=Y","Days=T","Dir=V")</f>
        <v>0</v>
      </c>
      <c r="E2">
        <f>BDH("IMNM US Equity","SHORT_AND_LONG_TERM_DEBT","1993-06-18","2026-05-02","Per=Y","Days=T","Dir=V")</f>
        <v>0</v>
      </c>
      <c r="G2">
        <f>BDH("IMNM US Equity","BS_ST_BORROW","1993-06-18","2026-05-02","Per=Y","Days=T","Dir=V")</f>
        <v>0</v>
      </c>
      <c r="I2">
        <f>BDH("IMNM US Equity","BS_LT_BORROW","1993-06-18","2026-05-02","Per=Y","Days=T","Dir=V")</f>
        <v>0</v>
      </c>
      <c r="K2">
        <f>BDH("IMNM US Equity","BS_CASH_NEAR_CASH_ITEM","1993-06-18","2026-05-02","Per=Y","Days=T","Dir=V")</f>
        <v>0</v>
      </c>
      <c r="M2">
        <f>BDH("IMNM US Equity","BS_CUR_ASSET_REPORT","1993-06-18","2026-05-02","Per=Y","Days=T","Dir=V")</f>
        <v>0</v>
      </c>
      <c r="O2">
        <f>BDH("IMNM US Equity","BS_CUR_LIAB","1993-06-18","2026-05-02","Per=Y","Days=T","Dir=V")</f>
        <v>0</v>
      </c>
      <c r="Q2">
        <f>BDH("IMNM US Equity","BS_SHAREHOLDER_EQY_ENDING_PERIOD","1993-06-18","2026-05-02","Per=Y","Days=T","Dir=V")</f>
        <v>0</v>
      </c>
      <c r="S2">
        <f>BDH("IMNM US Equity","BS_ACCT_NOTE_RCV","1993-06-18","2026-05-02","Per=Y","Days=T","Dir=V")</f>
        <v>0</v>
      </c>
      <c r="U2">
        <f>BDH("IMNM US Equity","BS_INVENTORIES","1993-06-18","2026-05-02","Per=Y","Days=T","Dir=V")</f>
        <v>0</v>
      </c>
      <c r="W2">
        <f>BDH("IMNM US Equity","WORKING_CAPITAL","1993-06-18","2026-05-02","Per=Y","Days=T","Dir=V")</f>
        <v>0</v>
      </c>
      <c r="Y2">
        <f>BDH("IMNM US Equity","SALES_REV_TURN","1993-06-18","2026-05-02","Per=Y","Days=T","Dir=V")</f>
        <v>0</v>
      </c>
      <c r="AA2">
        <f>BDH("IMNM US Equity","EBIT","1993-06-18","2026-05-02","Per=Y","Days=T","Dir=V")</f>
        <v>0</v>
      </c>
      <c r="AC2">
        <f>BDH("IMNM US Equity","EBITDA","1993-06-18","2026-05-02","Per=Y","Days=T","Dir=V")</f>
        <v>0</v>
      </c>
      <c r="AE2">
        <f>BDH("IMNM US Equity","NET_INCOME","1993-06-18","2026-05-02","Per=Y","Days=T","Dir=V")</f>
        <v>0</v>
      </c>
      <c r="AG2">
        <f>BDH("IMNM US Equity","IS_INT_EXPENSE","1993-06-18","2026-05-02","Per=Y","Days=T","Dir=V")</f>
        <v>0</v>
      </c>
      <c r="AI2">
        <f>BDH("IMNM US Equity","IS_DEPR_EXP","1993-06-18","2026-05-02","Per=Y","Days=T","Dir=V")</f>
        <v>0</v>
      </c>
      <c r="AK2">
        <f>BDH("IMNM US Equity","CF_CASH_FROM_OPER","1993-06-18","2026-05-02","Per=Y","Days=T","Dir=V")</f>
        <v>0</v>
      </c>
      <c r="AM2">
        <f>BDH("IMNM US Equity","CAPITAL_EXPEND","1993-06-18","2026-05-02","Per=Y","Days=T","Dir=V")</f>
        <v>0</v>
      </c>
      <c r="AO2">
        <f>BDH("IMNM US Equity","CF_FREE_CASH_FLOW","1993-06-18","2026-05-02","Per=Y","Days=T","Dir=V")</f>
        <v>0</v>
      </c>
      <c r="AQ2">
        <f>BDH("IMNM US Equity","PX_LAST","1993-06-18","2026-05-02","Per=M","Days=T","Dir=V")</f>
        <v>0</v>
      </c>
      <c r="AS2">
        <f>BDH("IMNM US Equity","CUR_MKT_CAP","1993-06-18","2026-05-02","Per=M","Days=T","Dir=V")</f>
        <v>0</v>
      </c>
      <c r="AU2">
        <f>BDH("IMNM US Equity","EQY_SH_OUT","1993-06-18","2026-05-02","Per=M","Days=T","Dir=V")</f>
        <v>0</v>
      </c>
      <c r="AW2">
        <f>BDH("IMNM US Equity","PX_VOLUME","1993-06-18","2026-05-02","Per=M","Days=T","Dir=V")</f>
        <v>0</v>
      </c>
      <c r="AY2">
        <f>BDH("IMNM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BDH("IMNN US Equity","BS_TOT_ASSET","1993-06-18","2026-05-02","Per=Y","Days=T","Dir=V")</f>
        <v>0</v>
      </c>
      <c r="C2">
        <f>BDH("IMNN US Equity","BS_TOT_LIAB2","1993-06-18","2026-05-02","Per=Y","Days=T","Dir=V")</f>
        <v>0</v>
      </c>
      <c r="E2">
        <f>BDH("IMNN US Equity","SHORT_AND_LONG_TERM_DEBT","1993-06-18","2026-05-02","Per=Y","Days=T","Dir=V")</f>
        <v>0</v>
      </c>
      <c r="G2">
        <f>BDH("IMNN US Equity","BS_ST_BORROW","1993-06-18","2026-05-02","Per=Y","Days=T","Dir=V")</f>
        <v>0</v>
      </c>
      <c r="I2">
        <f>BDH("IMNN US Equity","BS_LT_BORROW","1993-06-18","2026-05-02","Per=Y","Days=T","Dir=V")</f>
        <v>0</v>
      </c>
      <c r="K2">
        <f>BDH("IMNN US Equity","BS_CASH_NEAR_CASH_ITEM","1993-06-18","2026-05-02","Per=Y","Days=T","Dir=V")</f>
        <v>0</v>
      </c>
      <c r="M2">
        <f>BDH("IMNN US Equity","BS_CUR_ASSET_REPORT","1993-06-18","2026-05-02","Per=Y","Days=T","Dir=V")</f>
        <v>0</v>
      </c>
      <c r="O2">
        <f>BDH("IMNN US Equity","BS_CUR_LIAB","1993-06-18","2026-05-02","Per=Y","Days=T","Dir=V")</f>
        <v>0</v>
      </c>
      <c r="Q2">
        <f>BDH("IMNN US Equity","BS_SHAREHOLDER_EQY_ENDING_PERIOD","1993-06-18","2026-05-02","Per=Y","Days=T","Dir=V")</f>
        <v>0</v>
      </c>
      <c r="S2">
        <f>BDH("IMNN US Equity","BS_ACCT_NOTE_RCV","1993-06-18","2026-05-02","Per=Y","Days=T","Dir=V")</f>
        <v>0</v>
      </c>
      <c r="U2">
        <f>BDH("IMNN US Equity","BS_INVENTORIES","1993-06-18","2026-05-02","Per=Y","Days=T","Dir=V")</f>
        <v>0</v>
      </c>
      <c r="W2">
        <f>BDH("IMNN US Equity","WORKING_CAPITAL","1993-06-18","2026-05-02","Per=Y","Days=T","Dir=V")</f>
        <v>0</v>
      </c>
      <c r="Y2">
        <f>BDH("IMNN US Equity","SALES_REV_TURN","1993-06-18","2026-05-02","Per=Y","Days=T","Dir=V")</f>
        <v>0</v>
      </c>
      <c r="AA2">
        <f>BDH("IMNN US Equity","EBIT","1993-06-18","2026-05-02","Per=Y","Days=T","Dir=V")</f>
        <v>0</v>
      </c>
      <c r="AC2">
        <f>BDH("IMNN US Equity","EBITDA","1993-06-18","2026-05-02","Per=Y","Days=T","Dir=V")</f>
        <v>0</v>
      </c>
      <c r="AE2">
        <f>BDH("IMNN US Equity","NET_INCOME","1993-06-18","2026-05-02","Per=Y","Days=T","Dir=V")</f>
        <v>0</v>
      </c>
      <c r="AG2">
        <f>BDH("IMNN US Equity","IS_INT_EXPENSE","1993-06-18","2026-05-02","Per=Y","Days=T","Dir=V")</f>
        <v>0</v>
      </c>
      <c r="AI2">
        <f>BDH("IMNN US Equity","IS_DEPR_EXP","1993-06-18","2026-05-02","Per=Y","Days=T","Dir=V")</f>
        <v>0</v>
      </c>
      <c r="AK2">
        <f>BDH("IMNN US Equity","CF_CASH_FROM_OPER","1993-06-18","2026-05-02","Per=Y","Days=T","Dir=V")</f>
        <v>0</v>
      </c>
      <c r="AM2">
        <f>BDH("IMNN US Equity","CAPITAL_EXPEND","1993-06-18","2026-05-02","Per=Y","Days=T","Dir=V")</f>
        <v>0</v>
      </c>
      <c r="AO2">
        <f>BDH("IMNN US Equity","CF_FREE_CASH_FLOW","1993-06-18","2026-05-02","Per=Y","Days=T","Dir=V")</f>
        <v>0</v>
      </c>
      <c r="AQ2">
        <f>BDH("IMNN US Equity","PX_LAST","1993-06-18","2026-05-02","Per=M","Days=T","Dir=V")</f>
        <v>0</v>
      </c>
      <c r="AS2">
        <f>BDH("IMNN US Equity","CUR_MKT_CAP","1993-06-18","2026-05-02","Per=M","Days=T","Dir=V")</f>
        <v>0</v>
      </c>
      <c r="AU2">
        <f>BDH("IMNN US Equity","EQY_SH_OUT","1993-06-18","2026-05-02","Per=M","Days=T","Dir=V")</f>
        <v>0</v>
      </c>
      <c r="AW2">
        <f>BDH("IMNN US Equity","PX_VOLUME","1993-06-18","2026-05-02","Per=M","Days=T","Dir=V")</f>
        <v>0</v>
      </c>
      <c r="AY2">
        <f>BDH("IMNN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BDH("IMRX US Equity","BS_TOT_ASSET","1993-06-18","2026-05-02","Per=Y","Days=T","Dir=V")</f>
        <v>0</v>
      </c>
      <c r="C2">
        <f>BDH("IMRX US Equity","BS_TOT_LIAB2","1993-06-18","2026-05-02","Per=Y","Days=T","Dir=V")</f>
        <v>0</v>
      </c>
      <c r="E2">
        <f>BDH("IMRX US Equity","SHORT_AND_LONG_TERM_DEBT","1993-06-18","2026-05-02","Per=Y","Days=T","Dir=V")</f>
        <v>0</v>
      </c>
      <c r="G2">
        <f>BDH("IMRX US Equity","BS_ST_BORROW","1993-06-18","2026-05-02","Per=Y","Days=T","Dir=V")</f>
        <v>0</v>
      </c>
      <c r="I2">
        <f>BDH("IMRX US Equity","BS_LT_BORROW","1993-06-18","2026-05-02","Per=Y","Days=T","Dir=V")</f>
        <v>0</v>
      </c>
      <c r="K2">
        <f>BDH("IMRX US Equity","BS_CASH_NEAR_CASH_ITEM","1993-06-18","2026-05-02","Per=Y","Days=T","Dir=V")</f>
        <v>0</v>
      </c>
      <c r="M2">
        <f>BDH("IMRX US Equity","BS_CUR_ASSET_REPORT","1993-06-18","2026-05-02","Per=Y","Days=T","Dir=V")</f>
        <v>0</v>
      </c>
      <c r="O2">
        <f>BDH("IMRX US Equity","BS_CUR_LIAB","1993-06-18","2026-05-02","Per=Y","Days=T","Dir=V")</f>
        <v>0</v>
      </c>
      <c r="Q2">
        <f>BDH("IMRX US Equity","BS_SHAREHOLDER_EQY_ENDING_PERIOD","1993-06-18","2026-05-02","Per=Y","Days=T","Dir=V")</f>
        <v>0</v>
      </c>
      <c r="S2">
        <f>BDH("IMRX US Equity","BS_ACCT_NOTE_RCV","1993-06-18","2026-05-02","Per=Y","Days=T","Dir=V")</f>
        <v>0</v>
      </c>
      <c r="U2">
        <f>BDH("IMRX US Equity","BS_INVENTORIES","1993-06-18","2026-05-02","Per=Y","Days=T","Dir=V")</f>
        <v>0</v>
      </c>
      <c r="W2">
        <f>BDH("IMRX US Equity","WORKING_CAPITAL","1993-06-18","2026-05-02","Per=Y","Days=T","Dir=V")</f>
        <v>0</v>
      </c>
      <c r="Y2">
        <f>BDH("IMRX US Equity","SALES_REV_TURN","1993-06-18","2026-05-02","Per=Y","Days=T","Dir=V")</f>
        <v>0</v>
      </c>
      <c r="AA2">
        <f>BDH("IMRX US Equity","EBIT","1993-06-18","2026-05-02","Per=Y","Days=T","Dir=V")</f>
        <v>0</v>
      </c>
      <c r="AC2">
        <f>BDH("IMRX US Equity","EBITDA","1993-06-18","2026-05-02","Per=Y","Days=T","Dir=V")</f>
        <v>0</v>
      </c>
      <c r="AE2">
        <f>BDH("IMRX US Equity","NET_INCOME","1993-06-18","2026-05-02","Per=Y","Days=T","Dir=V")</f>
        <v>0</v>
      </c>
      <c r="AG2">
        <f>BDH("IMRX US Equity","IS_INT_EXPENSE","1993-06-18","2026-05-02","Per=Y","Days=T","Dir=V")</f>
        <v>0</v>
      </c>
      <c r="AI2">
        <f>BDH("IMRX US Equity","IS_DEPR_EXP","1993-06-18","2026-05-02","Per=Y","Days=T","Dir=V")</f>
        <v>0</v>
      </c>
      <c r="AK2">
        <f>BDH("IMRX US Equity","CF_CASH_FROM_OPER","1993-06-18","2026-05-02","Per=Y","Days=T","Dir=V")</f>
        <v>0</v>
      </c>
      <c r="AM2">
        <f>BDH("IMRX US Equity","CAPITAL_EXPEND","1993-06-18","2026-05-02","Per=Y","Days=T","Dir=V")</f>
        <v>0</v>
      </c>
      <c r="AO2">
        <f>BDH("IMRX US Equity","CF_FREE_CASH_FLOW","1993-06-18","2026-05-02","Per=Y","Days=T","Dir=V")</f>
        <v>0</v>
      </c>
      <c r="AQ2">
        <f>BDH("IMRX US Equity","PX_LAST","1993-06-18","2026-05-02","Per=M","Days=T","Dir=V")</f>
        <v>0</v>
      </c>
      <c r="AS2">
        <f>BDH("IMRX US Equity","CUR_MKT_CAP","1993-06-18","2026-05-02","Per=M","Days=T","Dir=V")</f>
        <v>0</v>
      </c>
      <c r="AU2">
        <f>BDH("IMRX US Equity","EQY_SH_OUT","1993-06-18","2026-05-02","Per=M","Days=T","Dir=V")</f>
        <v>0</v>
      </c>
      <c r="AW2">
        <f>BDH("IMRX US Equity","PX_VOLUME","1993-06-18","2026-05-02","Per=M","Days=T","Dir=V")</f>
        <v>0</v>
      </c>
      <c r="AY2">
        <f>BDH("IMRX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BDH("IMSR US Equity","BS_TOT_ASSET","1993-06-18","2026-05-02","Per=Y","Days=T","Dir=V")</f>
        <v>0</v>
      </c>
      <c r="C2">
        <f>BDH("IMSR US Equity","BS_TOT_LIAB2","1993-06-18","2026-05-02","Per=Y","Days=T","Dir=V")</f>
        <v>0</v>
      </c>
      <c r="E2">
        <f>BDH("IMSR US Equity","SHORT_AND_LONG_TERM_DEBT","1993-06-18","2026-05-02","Per=Y","Days=T","Dir=V")</f>
        <v>0</v>
      </c>
      <c r="G2">
        <f>BDH("IMSR US Equity","BS_ST_BORROW","1993-06-18","2026-05-02","Per=Y","Days=T","Dir=V")</f>
        <v>0</v>
      </c>
      <c r="I2">
        <f>BDH("IMSR US Equity","BS_LT_BORROW","1993-06-18","2026-05-02","Per=Y","Days=T","Dir=V")</f>
        <v>0</v>
      </c>
      <c r="K2">
        <f>BDH("IMSR US Equity","BS_CASH_NEAR_CASH_ITEM","1993-06-18","2026-05-02","Per=Y","Days=T","Dir=V")</f>
        <v>0</v>
      </c>
      <c r="M2">
        <f>BDH("IMSR US Equity","BS_CUR_ASSET_REPORT","1993-06-18","2026-05-02","Per=Y","Days=T","Dir=V")</f>
        <v>0</v>
      </c>
      <c r="O2">
        <f>BDH("IMSR US Equity","BS_CUR_LIAB","1993-06-18","2026-05-02","Per=Y","Days=T","Dir=V")</f>
        <v>0</v>
      </c>
      <c r="Q2">
        <f>BDH("IMSR US Equity","BS_SHAREHOLDER_EQY_ENDING_PERIOD","1993-06-18","2026-05-02","Per=Y","Days=T","Dir=V")</f>
        <v>0</v>
      </c>
      <c r="S2">
        <f>BDH("IMSR US Equity","BS_ACCT_NOTE_RCV","1993-06-18","2026-05-02","Per=Y","Days=T","Dir=V")</f>
        <v>0</v>
      </c>
      <c r="U2">
        <f>BDH("IMSR US Equity","BS_INVENTORIES","1993-06-18","2026-05-02","Per=Y","Days=T","Dir=V")</f>
        <v>0</v>
      </c>
      <c r="W2">
        <f>BDH("IMSR US Equity","WORKING_CAPITAL","1993-06-18","2026-05-02","Per=Y","Days=T","Dir=V")</f>
        <v>0</v>
      </c>
      <c r="Y2">
        <f>BDH("IMSR US Equity","SALES_REV_TURN","1993-06-18","2026-05-02","Per=Y","Days=T","Dir=V")</f>
        <v>0</v>
      </c>
      <c r="AA2">
        <f>BDH("IMSR US Equity","EBIT","1993-06-18","2026-05-02","Per=Y","Days=T","Dir=V")</f>
        <v>0</v>
      </c>
      <c r="AC2">
        <f>BDH("IMSR US Equity","EBITDA","1993-06-18","2026-05-02","Per=Y","Days=T","Dir=V")</f>
        <v>0</v>
      </c>
      <c r="AE2">
        <f>BDH("IMSR US Equity","NET_INCOME","1993-06-18","2026-05-02","Per=Y","Days=T","Dir=V")</f>
        <v>0</v>
      </c>
      <c r="AG2">
        <f>BDH("IMSR US Equity","IS_INT_EXPENSE","1993-06-18","2026-05-02","Per=Y","Days=T","Dir=V")</f>
        <v>0</v>
      </c>
      <c r="AI2">
        <f>BDH("IMSR US Equity","IS_DEPR_EXP","1993-06-18","2026-05-02","Per=Y","Days=T","Dir=V")</f>
        <v>0</v>
      </c>
      <c r="AK2">
        <f>BDH("IMSR US Equity","CF_CASH_FROM_OPER","1993-06-18","2026-05-02","Per=Y","Days=T","Dir=V")</f>
        <v>0</v>
      </c>
      <c r="AM2">
        <f>BDH("IMSR US Equity","CAPITAL_EXPEND","1993-06-18","2026-05-02","Per=Y","Days=T","Dir=V")</f>
        <v>0</v>
      </c>
      <c r="AO2">
        <f>BDH("IMSR US Equity","CF_FREE_CASH_FLOW","1993-06-18","2026-05-02","Per=Y","Days=T","Dir=V")</f>
        <v>0</v>
      </c>
      <c r="AQ2">
        <f>BDH("IMSR US Equity","PX_LAST","1993-06-18","2026-05-02","Per=M","Days=T","Dir=V")</f>
        <v>0</v>
      </c>
      <c r="AS2">
        <f>BDH("IMSR US Equity","CUR_MKT_CAP","1993-06-18","2026-05-02","Per=M","Days=T","Dir=V")</f>
        <v>0</v>
      </c>
      <c r="AU2">
        <f>BDH("IMSR US Equity","EQY_SH_OUT","1993-06-18","2026-05-02","Per=M","Days=T","Dir=V")</f>
        <v>0</v>
      </c>
      <c r="AW2">
        <f>BDH("IMSR US Equity","PX_VOLUME","1993-06-18","2026-05-02","Per=M","Days=T","Dir=V")</f>
        <v>0</v>
      </c>
      <c r="AY2">
        <f>BDH("IMSR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BDH("IMSRW US Equity","BS_TOT_ASSET","1993-06-18","2026-05-02","Per=Y","Days=T","Dir=V")</f>
        <v>0</v>
      </c>
      <c r="C2">
        <f>BDH("IMSRW US Equity","BS_TOT_LIAB2","1993-06-18","2026-05-02","Per=Y","Days=T","Dir=V")</f>
        <v>0</v>
      </c>
      <c r="E2">
        <f>BDH("IMSRW US Equity","SHORT_AND_LONG_TERM_DEBT","1993-06-18","2026-05-02","Per=Y","Days=T","Dir=V")</f>
        <v>0</v>
      </c>
      <c r="G2">
        <f>BDH("IMSRW US Equity","BS_ST_BORROW","1993-06-18","2026-05-02","Per=Y","Days=T","Dir=V")</f>
        <v>0</v>
      </c>
      <c r="I2">
        <f>BDH("IMSRW US Equity","BS_LT_BORROW","1993-06-18","2026-05-02","Per=Y","Days=T","Dir=V")</f>
        <v>0</v>
      </c>
      <c r="K2">
        <f>BDH("IMSRW US Equity","BS_CASH_NEAR_CASH_ITEM","1993-06-18","2026-05-02","Per=Y","Days=T","Dir=V")</f>
        <v>0</v>
      </c>
      <c r="M2">
        <f>BDH("IMSRW US Equity","BS_CUR_ASSET_REPORT","1993-06-18","2026-05-02","Per=Y","Days=T","Dir=V")</f>
        <v>0</v>
      </c>
      <c r="O2">
        <f>BDH("IMSRW US Equity","BS_CUR_LIAB","1993-06-18","2026-05-02","Per=Y","Days=T","Dir=V")</f>
        <v>0</v>
      </c>
      <c r="Q2">
        <f>BDH("IMSRW US Equity","BS_SHAREHOLDER_EQY_ENDING_PERIOD","1993-06-18","2026-05-02","Per=Y","Days=T","Dir=V")</f>
        <v>0</v>
      </c>
      <c r="S2">
        <f>BDH("IMSRW US Equity","BS_ACCT_NOTE_RCV","1993-06-18","2026-05-02","Per=Y","Days=T","Dir=V")</f>
        <v>0</v>
      </c>
      <c r="U2">
        <f>BDH("IMSRW US Equity","BS_INVENTORIES","1993-06-18","2026-05-02","Per=Y","Days=T","Dir=V")</f>
        <v>0</v>
      </c>
      <c r="W2">
        <f>BDH("IMSRW US Equity","WORKING_CAPITAL","1993-06-18","2026-05-02","Per=Y","Days=T","Dir=V")</f>
        <v>0</v>
      </c>
      <c r="Y2">
        <f>BDH("IMSRW US Equity","SALES_REV_TURN","1993-06-18","2026-05-02","Per=Y","Days=T","Dir=V")</f>
        <v>0</v>
      </c>
      <c r="AA2">
        <f>BDH("IMSRW US Equity","EBIT","1993-06-18","2026-05-02","Per=Y","Days=T","Dir=V")</f>
        <v>0</v>
      </c>
      <c r="AC2">
        <f>BDH("IMSRW US Equity","EBITDA","1993-06-18","2026-05-02","Per=Y","Days=T","Dir=V")</f>
        <v>0</v>
      </c>
      <c r="AE2">
        <f>BDH("IMSRW US Equity","NET_INCOME","1993-06-18","2026-05-02","Per=Y","Days=T","Dir=V")</f>
        <v>0</v>
      </c>
      <c r="AG2">
        <f>BDH("IMSRW US Equity","IS_INT_EXPENSE","1993-06-18","2026-05-02","Per=Y","Days=T","Dir=V")</f>
        <v>0</v>
      </c>
      <c r="AI2">
        <f>BDH("IMSRW US Equity","IS_DEPR_EXP","1993-06-18","2026-05-02","Per=Y","Days=T","Dir=V")</f>
        <v>0</v>
      </c>
      <c r="AK2">
        <f>BDH("IMSRW US Equity","CF_CASH_FROM_OPER","1993-06-18","2026-05-02","Per=Y","Days=T","Dir=V")</f>
        <v>0</v>
      </c>
      <c r="AM2">
        <f>BDH("IMSRW US Equity","CAPITAL_EXPEND","1993-06-18","2026-05-02","Per=Y","Days=T","Dir=V")</f>
        <v>0</v>
      </c>
      <c r="AO2">
        <f>BDH("IMSRW US Equity","CF_FREE_CASH_FLOW","1993-06-18","2026-05-02","Per=Y","Days=T","Dir=V")</f>
        <v>0</v>
      </c>
      <c r="AQ2">
        <f>BDH("IMSRW US Equity","PX_LAST","1993-06-18","2026-05-02","Per=M","Days=T","Dir=V")</f>
        <v>0</v>
      </c>
      <c r="AS2">
        <f>BDH("IMSRW US Equity","CUR_MKT_CAP","1993-06-18","2026-05-02","Per=M","Days=T","Dir=V")</f>
        <v>0</v>
      </c>
      <c r="AU2">
        <f>BDH("IMSRW US Equity","EQY_SH_OUT","1993-06-18","2026-05-02","Per=M","Days=T","Dir=V")</f>
        <v>0</v>
      </c>
      <c r="AW2">
        <f>BDH("IMSRW US Equity","PX_VOLUME","1993-06-18","2026-05-02","Per=M","Days=T","Dir=V")</f>
        <v>0</v>
      </c>
      <c r="AY2">
        <f>BDH("IMSRW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BDH("IMUX US Equity","BS_TOT_ASSET","1993-06-18","2026-05-02","Per=Y","Days=T","Dir=V")</f>
        <v>0</v>
      </c>
      <c r="C2">
        <f>BDH("IMUX US Equity","BS_TOT_LIAB2","1993-06-18","2026-05-02","Per=Y","Days=T","Dir=V")</f>
        <v>0</v>
      </c>
      <c r="E2">
        <f>BDH("IMUX US Equity","SHORT_AND_LONG_TERM_DEBT","1993-06-18","2026-05-02","Per=Y","Days=T","Dir=V")</f>
        <v>0</v>
      </c>
      <c r="G2">
        <f>BDH("IMUX US Equity","BS_ST_BORROW","1993-06-18","2026-05-02","Per=Y","Days=T","Dir=V")</f>
        <v>0</v>
      </c>
      <c r="I2">
        <f>BDH("IMUX US Equity","BS_LT_BORROW","1993-06-18","2026-05-02","Per=Y","Days=T","Dir=V")</f>
        <v>0</v>
      </c>
      <c r="K2">
        <f>BDH("IMUX US Equity","BS_CASH_NEAR_CASH_ITEM","1993-06-18","2026-05-02","Per=Y","Days=T","Dir=V")</f>
        <v>0</v>
      </c>
      <c r="M2">
        <f>BDH("IMUX US Equity","BS_CUR_ASSET_REPORT","1993-06-18","2026-05-02","Per=Y","Days=T","Dir=V")</f>
        <v>0</v>
      </c>
      <c r="O2">
        <f>BDH("IMUX US Equity","BS_CUR_LIAB","1993-06-18","2026-05-02","Per=Y","Days=T","Dir=V")</f>
        <v>0</v>
      </c>
      <c r="Q2">
        <f>BDH("IMUX US Equity","BS_SHAREHOLDER_EQY_ENDING_PERIOD","1993-06-18","2026-05-02","Per=Y","Days=T","Dir=V")</f>
        <v>0</v>
      </c>
      <c r="S2">
        <f>BDH("IMUX US Equity","BS_ACCT_NOTE_RCV","1993-06-18","2026-05-02","Per=Y","Days=T","Dir=V")</f>
        <v>0</v>
      </c>
      <c r="U2">
        <f>BDH("IMUX US Equity","BS_INVENTORIES","1993-06-18","2026-05-02","Per=Y","Days=T","Dir=V")</f>
        <v>0</v>
      </c>
      <c r="W2">
        <f>BDH("IMUX US Equity","WORKING_CAPITAL","1993-06-18","2026-05-02","Per=Y","Days=T","Dir=V")</f>
        <v>0</v>
      </c>
      <c r="Y2">
        <f>BDH("IMUX US Equity","SALES_REV_TURN","1993-06-18","2026-05-02","Per=Y","Days=T","Dir=V")</f>
        <v>0</v>
      </c>
      <c r="AA2">
        <f>BDH("IMUX US Equity","EBIT","1993-06-18","2026-05-02","Per=Y","Days=T","Dir=V")</f>
        <v>0</v>
      </c>
      <c r="AC2">
        <f>BDH("IMUX US Equity","EBITDA","1993-06-18","2026-05-02","Per=Y","Days=T","Dir=V")</f>
        <v>0</v>
      </c>
      <c r="AE2">
        <f>BDH("IMUX US Equity","NET_INCOME","1993-06-18","2026-05-02","Per=Y","Days=T","Dir=V")</f>
        <v>0</v>
      </c>
      <c r="AG2">
        <f>BDH("IMUX US Equity","IS_INT_EXPENSE","1993-06-18","2026-05-02","Per=Y","Days=T","Dir=V")</f>
        <v>0</v>
      </c>
      <c r="AI2">
        <f>BDH("IMUX US Equity","IS_DEPR_EXP","1993-06-18","2026-05-02","Per=Y","Days=T","Dir=V")</f>
        <v>0</v>
      </c>
      <c r="AK2">
        <f>BDH("IMUX US Equity","CF_CASH_FROM_OPER","1993-06-18","2026-05-02","Per=Y","Days=T","Dir=V")</f>
        <v>0</v>
      </c>
      <c r="AM2">
        <f>BDH("IMUX US Equity","CAPITAL_EXPEND","1993-06-18","2026-05-02","Per=Y","Days=T","Dir=V")</f>
        <v>0</v>
      </c>
      <c r="AO2">
        <f>BDH("IMUX US Equity","CF_FREE_CASH_FLOW","1993-06-18","2026-05-02","Per=Y","Days=T","Dir=V")</f>
        <v>0</v>
      </c>
      <c r="AQ2">
        <f>BDH("IMUX US Equity","PX_LAST","1993-06-18","2026-05-02","Per=M","Days=T","Dir=V")</f>
        <v>0</v>
      </c>
      <c r="AS2">
        <f>BDH("IMUX US Equity","CUR_MKT_CAP","1993-06-18","2026-05-02","Per=M","Days=T","Dir=V")</f>
        <v>0</v>
      </c>
      <c r="AU2">
        <f>BDH("IMUX US Equity","EQY_SH_OUT","1993-06-18","2026-05-02","Per=M","Days=T","Dir=V")</f>
        <v>0</v>
      </c>
      <c r="AW2">
        <f>BDH("IMUX US Equity","PX_VOLUME","1993-06-18","2026-05-02","Per=M","Days=T","Dir=V")</f>
        <v>0</v>
      </c>
      <c r="AY2">
        <f>BDH("IMUX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BDH("IMVT US Equity","BS_TOT_ASSET","1993-06-18","2026-05-02","Per=Y","Days=T","Dir=V")</f>
        <v>0</v>
      </c>
      <c r="C2">
        <f>BDH("IMVT US Equity","BS_TOT_LIAB2","1993-06-18","2026-05-02","Per=Y","Days=T","Dir=V")</f>
        <v>0</v>
      </c>
      <c r="E2">
        <f>BDH("IMVT US Equity","SHORT_AND_LONG_TERM_DEBT","1993-06-18","2026-05-02","Per=Y","Days=T","Dir=V")</f>
        <v>0</v>
      </c>
      <c r="G2">
        <f>BDH("IMVT US Equity","BS_ST_BORROW","1993-06-18","2026-05-02","Per=Y","Days=T","Dir=V")</f>
        <v>0</v>
      </c>
      <c r="I2">
        <f>BDH("IMVT US Equity","BS_LT_BORROW","1993-06-18","2026-05-02","Per=Y","Days=T","Dir=V")</f>
        <v>0</v>
      </c>
      <c r="K2">
        <f>BDH("IMVT US Equity","BS_CASH_NEAR_CASH_ITEM","1993-06-18","2026-05-02","Per=Y","Days=T","Dir=V")</f>
        <v>0</v>
      </c>
      <c r="M2">
        <f>BDH("IMVT US Equity","BS_CUR_ASSET_REPORT","1993-06-18","2026-05-02","Per=Y","Days=T","Dir=V")</f>
        <v>0</v>
      </c>
      <c r="O2">
        <f>BDH("IMVT US Equity","BS_CUR_LIAB","1993-06-18","2026-05-02","Per=Y","Days=T","Dir=V")</f>
        <v>0</v>
      </c>
      <c r="Q2">
        <f>BDH("IMVT US Equity","BS_SHAREHOLDER_EQY_ENDING_PERIOD","1993-06-18","2026-05-02","Per=Y","Days=T","Dir=V")</f>
        <v>0</v>
      </c>
      <c r="S2">
        <f>BDH("IMVT US Equity","BS_ACCT_NOTE_RCV","1993-06-18","2026-05-02","Per=Y","Days=T","Dir=V")</f>
        <v>0</v>
      </c>
      <c r="U2">
        <f>BDH("IMVT US Equity","BS_INVENTORIES","1993-06-18","2026-05-02","Per=Y","Days=T","Dir=V")</f>
        <v>0</v>
      </c>
      <c r="W2">
        <f>BDH("IMVT US Equity","WORKING_CAPITAL","1993-06-18","2026-05-02","Per=Y","Days=T","Dir=V")</f>
        <v>0</v>
      </c>
      <c r="Y2">
        <f>BDH("IMVT US Equity","SALES_REV_TURN","1993-06-18","2026-05-02","Per=Y","Days=T","Dir=V")</f>
        <v>0</v>
      </c>
      <c r="AA2">
        <f>BDH("IMVT US Equity","EBIT","1993-06-18","2026-05-02","Per=Y","Days=T","Dir=V")</f>
        <v>0</v>
      </c>
      <c r="AC2">
        <f>BDH("IMVT US Equity","EBITDA","1993-06-18","2026-05-02","Per=Y","Days=T","Dir=V")</f>
        <v>0</v>
      </c>
      <c r="AE2">
        <f>BDH("IMVT US Equity","NET_INCOME","1993-06-18","2026-05-02","Per=Y","Days=T","Dir=V")</f>
        <v>0</v>
      </c>
      <c r="AG2">
        <f>BDH("IMVT US Equity","IS_INT_EXPENSE","1993-06-18","2026-05-02","Per=Y","Days=T","Dir=V")</f>
        <v>0</v>
      </c>
      <c r="AI2">
        <f>BDH("IMVT US Equity","IS_DEPR_EXP","1993-06-18","2026-05-02","Per=Y","Days=T","Dir=V")</f>
        <v>0</v>
      </c>
      <c r="AK2">
        <f>BDH("IMVT US Equity","CF_CASH_FROM_OPER","1993-06-18","2026-05-02","Per=Y","Days=T","Dir=V")</f>
        <v>0</v>
      </c>
      <c r="AM2">
        <f>BDH("IMVT US Equity","CAPITAL_EXPEND","1993-06-18","2026-05-02","Per=Y","Days=T","Dir=V")</f>
        <v>0</v>
      </c>
      <c r="AO2">
        <f>BDH("IMVT US Equity","CF_FREE_CASH_FLOW","1993-06-18","2026-05-02","Per=Y","Days=T","Dir=V")</f>
        <v>0</v>
      </c>
      <c r="AQ2">
        <f>BDH("IMVT US Equity","PX_LAST","1993-06-18","2026-05-02","Per=M","Days=T","Dir=V")</f>
        <v>0</v>
      </c>
      <c r="AS2">
        <f>BDH("IMVT US Equity","CUR_MKT_CAP","1993-06-18","2026-05-02","Per=M","Days=T","Dir=V")</f>
        <v>0</v>
      </c>
      <c r="AU2">
        <f>BDH("IMVT US Equity","EQY_SH_OUT","1993-06-18","2026-05-02","Per=M","Days=T","Dir=V")</f>
        <v>0</v>
      </c>
      <c r="AW2">
        <f>BDH("IMVT US Equity","PX_VOLUME","1993-06-18","2026-05-02","Per=M","Days=T","Dir=V")</f>
        <v>0</v>
      </c>
      <c r="AY2">
        <f>BDH("IMVT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BDH("IMXI US Equity","BS_TOT_ASSET","1993-06-18","2026-05-02","Per=Y","Days=T","Dir=V")</f>
        <v>0</v>
      </c>
      <c r="C2">
        <f>BDH("IMXI US Equity","BS_TOT_LIAB2","1993-06-18","2026-05-02","Per=Y","Days=T","Dir=V")</f>
        <v>0</v>
      </c>
      <c r="E2">
        <f>BDH("IMXI US Equity","SHORT_AND_LONG_TERM_DEBT","1993-06-18","2026-05-02","Per=Y","Days=T","Dir=V")</f>
        <v>0</v>
      </c>
      <c r="G2">
        <f>BDH("IMXI US Equity","BS_ST_BORROW","1993-06-18","2026-05-02","Per=Y","Days=T","Dir=V")</f>
        <v>0</v>
      </c>
      <c r="I2">
        <f>BDH("IMXI US Equity","BS_LT_BORROW","1993-06-18","2026-05-02","Per=Y","Days=T","Dir=V")</f>
        <v>0</v>
      </c>
      <c r="K2">
        <f>BDH("IMXI US Equity","BS_CASH_NEAR_CASH_ITEM","1993-06-18","2026-05-02","Per=Y","Days=T","Dir=V")</f>
        <v>0</v>
      </c>
      <c r="M2">
        <f>BDH("IMXI US Equity","BS_CUR_ASSET_REPORT","1993-06-18","2026-05-02","Per=Y","Days=T","Dir=V")</f>
        <v>0</v>
      </c>
      <c r="O2">
        <f>BDH("IMXI US Equity","BS_CUR_LIAB","1993-06-18","2026-05-02","Per=Y","Days=T","Dir=V")</f>
        <v>0</v>
      </c>
      <c r="Q2">
        <f>BDH("IMXI US Equity","BS_SHAREHOLDER_EQY_ENDING_PERIOD","1993-06-18","2026-05-02","Per=Y","Days=T","Dir=V")</f>
        <v>0</v>
      </c>
      <c r="S2">
        <f>BDH("IMXI US Equity","BS_ACCT_NOTE_RCV","1993-06-18","2026-05-02","Per=Y","Days=T","Dir=V")</f>
        <v>0</v>
      </c>
      <c r="U2">
        <f>BDH("IMXI US Equity","BS_INVENTORIES","1993-06-18","2026-05-02","Per=Y","Days=T","Dir=V")</f>
        <v>0</v>
      </c>
      <c r="W2">
        <f>BDH("IMXI US Equity","WORKING_CAPITAL","1993-06-18","2026-05-02","Per=Y","Days=T","Dir=V")</f>
        <v>0</v>
      </c>
      <c r="Y2">
        <f>BDH("IMXI US Equity","SALES_REV_TURN","1993-06-18","2026-05-02","Per=Y","Days=T","Dir=V")</f>
        <v>0</v>
      </c>
      <c r="AA2">
        <f>BDH("IMXI US Equity","EBIT","1993-06-18","2026-05-02","Per=Y","Days=T","Dir=V")</f>
        <v>0</v>
      </c>
      <c r="AC2">
        <f>BDH("IMXI US Equity","EBITDA","1993-06-18","2026-05-02","Per=Y","Days=T","Dir=V")</f>
        <v>0</v>
      </c>
      <c r="AE2">
        <f>BDH("IMXI US Equity","NET_INCOME","1993-06-18","2026-05-02","Per=Y","Days=T","Dir=V")</f>
        <v>0</v>
      </c>
      <c r="AG2">
        <f>BDH("IMXI US Equity","IS_INT_EXPENSE","1993-06-18","2026-05-02","Per=Y","Days=T","Dir=V")</f>
        <v>0</v>
      </c>
      <c r="AI2">
        <f>BDH("IMXI US Equity","IS_DEPR_EXP","1993-06-18","2026-05-02","Per=Y","Days=T","Dir=V")</f>
        <v>0</v>
      </c>
      <c r="AK2">
        <f>BDH("IMXI US Equity","CF_CASH_FROM_OPER","1993-06-18","2026-05-02","Per=Y","Days=T","Dir=V")</f>
        <v>0</v>
      </c>
      <c r="AM2">
        <f>BDH("IMXI US Equity","CAPITAL_EXPEND","1993-06-18","2026-05-02","Per=Y","Days=T","Dir=V")</f>
        <v>0</v>
      </c>
      <c r="AO2">
        <f>BDH("IMXI US Equity","CF_FREE_CASH_FLOW","1993-06-18","2026-05-02","Per=Y","Days=T","Dir=V")</f>
        <v>0</v>
      </c>
      <c r="AQ2">
        <f>BDH("IMXI US Equity","PX_LAST","1993-06-18","2026-05-02","Per=M","Days=T","Dir=V")</f>
        <v>0</v>
      </c>
      <c r="AS2">
        <f>BDH("IMXI US Equity","CUR_MKT_CAP","1993-06-18","2026-05-02","Per=M","Days=T","Dir=V")</f>
        <v>0</v>
      </c>
      <c r="AU2">
        <f>BDH("IMXI US Equity","EQY_SH_OUT","1993-06-18","2026-05-02","Per=M","Days=T","Dir=V")</f>
        <v>0</v>
      </c>
      <c r="AW2">
        <f>BDH("IMXI US Equity","PX_VOLUME","1993-06-18","2026-05-02","Per=M","Days=T","Dir=V")</f>
        <v>0</v>
      </c>
      <c r="AY2">
        <f>BDH("IMXI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BDH("INAB US Equity","BS_TOT_ASSET","1993-06-18","2026-05-02","Per=Y","Days=T","Dir=V")</f>
        <v>0</v>
      </c>
      <c r="C2">
        <f>BDH("INAB US Equity","BS_TOT_LIAB2","1993-06-18","2026-05-02","Per=Y","Days=T","Dir=V")</f>
        <v>0</v>
      </c>
      <c r="E2">
        <f>BDH("INAB US Equity","SHORT_AND_LONG_TERM_DEBT","1993-06-18","2026-05-02","Per=Y","Days=T","Dir=V")</f>
        <v>0</v>
      </c>
      <c r="G2">
        <f>BDH("INAB US Equity","BS_ST_BORROW","1993-06-18","2026-05-02","Per=Y","Days=T","Dir=V")</f>
        <v>0</v>
      </c>
      <c r="I2">
        <f>BDH("INAB US Equity","BS_LT_BORROW","1993-06-18","2026-05-02","Per=Y","Days=T","Dir=V")</f>
        <v>0</v>
      </c>
      <c r="K2">
        <f>BDH("INAB US Equity","BS_CASH_NEAR_CASH_ITEM","1993-06-18","2026-05-02","Per=Y","Days=T","Dir=V")</f>
        <v>0</v>
      </c>
      <c r="M2">
        <f>BDH("INAB US Equity","BS_CUR_ASSET_REPORT","1993-06-18","2026-05-02","Per=Y","Days=T","Dir=V")</f>
        <v>0</v>
      </c>
      <c r="O2">
        <f>BDH("INAB US Equity","BS_CUR_LIAB","1993-06-18","2026-05-02","Per=Y","Days=T","Dir=V")</f>
        <v>0</v>
      </c>
      <c r="Q2">
        <f>BDH("INAB US Equity","BS_SHAREHOLDER_EQY_ENDING_PERIOD","1993-06-18","2026-05-02","Per=Y","Days=T","Dir=V")</f>
        <v>0</v>
      </c>
      <c r="S2">
        <f>BDH("INAB US Equity","BS_ACCT_NOTE_RCV","1993-06-18","2026-05-02","Per=Y","Days=T","Dir=V")</f>
        <v>0</v>
      </c>
      <c r="U2">
        <f>BDH("INAB US Equity","BS_INVENTORIES","1993-06-18","2026-05-02","Per=Y","Days=T","Dir=V")</f>
        <v>0</v>
      </c>
      <c r="W2">
        <f>BDH("INAB US Equity","WORKING_CAPITAL","1993-06-18","2026-05-02","Per=Y","Days=T","Dir=V")</f>
        <v>0</v>
      </c>
      <c r="Y2">
        <f>BDH("INAB US Equity","SALES_REV_TURN","1993-06-18","2026-05-02","Per=Y","Days=T","Dir=V")</f>
        <v>0</v>
      </c>
      <c r="AA2">
        <f>BDH("INAB US Equity","EBIT","1993-06-18","2026-05-02","Per=Y","Days=T","Dir=V")</f>
        <v>0</v>
      </c>
      <c r="AC2">
        <f>BDH("INAB US Equity","EBITDA","1993-06-18","2026-05-02","Per=Y","Days=T","Dir=V")</f>
        <v>0</v>
      </c>
      <c r="AE2">
        <f>BDH("INAB US Equity","NET_INCOME","1993-06-18","2026-05-02","Per=Y","Days=T","Dir=V")</f>
        <v>0</v>
      </c>
      <c r="AG2">
        <f>BDH("INAB US Equity","IS_INT_EXPENSE","1993-06-18","2026-05-02","Per=Y","Days=T","Dir=V")</f>
        <v>0</v>
      </c>
      <c r="AI2">
        <f>BDH("INAB US Equity","IS_DEPR_EXP","1993-06-18","2026-05-02","Per=Y","Days=T","Dir=V")</f>
        <v>0</v>
      </c>
      <c r="AK2">
        <f>BDH("INAB US Equity","CF_CASH_FROM_OPER","1993-06-18","2026-05-02","Per=Y","Days=T","Dir=V")</f>
        <v>0</v>
      </c>
      <c r="AM2">
        <f>BDH("INAB US Equity","CAPITAL_EXPEND","1993-06-18","2026-05-02","Per=Y","Days=T","Dir=V")</f>
        <v>0</v>
      </c>
      <c r="AO2">
        <f>BDH("INAB US Equity","CF_FREE_CASH_FLOW","1993-06-18","2026-05-02","Per=Y","Days=T","Dir=V")</f>
        <v>0</v>
      </c>
      <c r="AQ2">
        <f>BDH("INAB US Equity","PX_LAST","1993-06-18","2026-05-02","Per=M","Days=T","Dir=V")</f>
        <v>0</v>
      </c>
      <c r="AS2">
        <f>BDH("INAB US Equity","CUR_MKT_CAP","1993-06-18","2026-05-02","Per=M","Days=T","Dir=V")</f>
        <v>0</v>
      </c>
      <c r="AU2">
        <f>BDH("INAB US Equity","EQY_SH_OUT","1993-06-18","2026-05-02","Per=M","Days=T","Dir=V")</f>
        <v>0</v>
      </c>
      <c r="AW2">
        <f>BDH("INAB US Equity","PX_VOLUME","1993-06-18","2026-05-02","Per=M","Days=T","Dir=V")</f>
        <v>0</v>
      </c>
      <c r="AY2">
        <f>BDH("INAB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BDH("INBS US Equity","BS_TOT_ASSET","1993-06-18","2026-05-02","Per=Y","Days=T","Dir=V")</f>
        <v>0</v>
      </c>
      <c r="C2">
        <f>BDH("INBS US Equity","BS_TOT_LIAB2","1993-06-18","2026-05-02","Per=Y","Days=T","Dir=V")</f>
        <v>0</v>
      </c>
      <c r="E2">
        <f>BDH("INBS US Equity","SHORT_AND_LONG_TERM_DEBT","1993-06-18","2026-05-02","Per=Y","Days=T","Dir=V")</f>
        <v>0</v>
      </c>
      <c r="G2">
        <f>BDH("INBS US Equity","BS_ST_BORROW","1993-06-18","2026-05-02","Per=Y","Days=T","Dir=V")</f>
        <v>0</v>
      </c>
      <c r="I2">
        <f>BDH("INBS US Equity","BS_LT_BORROW","1993-06-18","2026-05-02","Per=Y","Days=T","Dir=V")</f>
        <v>0</v>
      </c>
      <c r="K2">
        <f>BDH("INBS US Equity","BS_CASH_NEAR_CASH_ITEM","1993-06-18","2026-05-02","Per=Y","Days=T","Dir=V")</f>
        <v>0</v>
      </c>
      <c r="M2">
        <f>BDH("INBS US Equity","BS_CUR_ASSET_REPORT","1993-06-18","2026-05-02","Per=Y","Days=T","Dir=V")</f>
        <v>0</v>
      </c>
      <c r="O2">
        <f>BDH("INBS US Equity","BS_CUR_LIAB","1993-06-18","2026-05-02","Per=Y","Days=T","Dir=V")</f>
        <v>0</v>
      </c>
      <c r="Q2">
        <f>BDH("INBS US Equity","BS_SHAREHOLDER_EQY_ENDING_PERIOD","1993-06-18","2026-05-02","Per=Y","Days=T","Dir=V")</f>
        <v>0</v>
      </c>
      <c r="S2">
        <f>BDH("INBS US Equity","BS_ACCT_NOTE_RCV","1993-06-18","2026-05-02","Per=Y","Days=T","Dir=V")</f>
        <v>0</v>
      </c>
      <c r="U2">
        <f>BDH("INBS US Equity","BS_INVENTORIES","1993-06-18","2026-05-02","Per=Y","Days=T","Dir=V")</f>
        <v>0</v>
      </c>
      <c r="W2">
        <f>BDH("INBS US Equity","WORKING_CAPITAL","1993-06-18","2026-05-02","Per=Y","Days=T","Dir=V")</f>
        <v>0</v>
      </c>
      <c r="Y2">
        <f>BDH("INBS US Equity","SALES_REV_TURN","1993-06-18","2026-05-02","Per=Y","Days=T","Dir=V")</f>
        <v>0</v>
      </c>
      <c r="AA2">
        <f>BDH("INBS US Equity","EBIT","1993-06-18","2026-05-02","Per=Y","Days=T","Dir=V")</f>
        <v>0</v>
      </c>
      <c r="AC2">
        <f>BDH("INBS US Equity","EBITDA","1993-06-18","2026-05-02","Per=Y","Days=T","Dir=V")</f>
        <v>0</v>
      </c>
      <c r="AE2">
        <f>BDH("INBS US Equity","NET_INCOME","1993-06-18","2026-05-02","Per=Y","Days=T","Dir=V")</f>
        <v>0</v>
      </c>
      <c r="AG2">
        <f>BDH("INBS US Equity","IS_INT_EXPENSE","1993-06-18","2026-05-02","Per=Y","Days=T","Dir=V")</f>
        <v>0</v>
      </c>
      <c r="AI2">
        <f>BDH("INBS US Equity","IS_DEPR_EXP","1993-06-18","2026-05-02","Per=Y","Days=T","Dir=V")</f>
        <v>0</v>
      </c>
      <c r="AK2">
        <f>BDH("INBS US Equity","CF_CASH_FROM_OPER","1993-06-18","2026-05-02","Per=Y","Days=T","Dir=V")</f>
        <v>0</v>
      </c>
      <c r="AM2">
        <f>BDH("INBS US Equity","CAPITAL_EXPEND","1993-06-18","2026-05-02","Per=Y","Days=T","Dir=V")</f>
        <v>0</v>
      </c>
      <c r="AO2">
        <f>BDH("INBS US Equity","CF_FREE_CASH_FLOW","1993-06-18","2026-05-02","Per=Y","Days=T","Dir=V")</f>
        <v>0</v>
      </c>
      <c r="AQ2">
        <f>BDH("INBS US Equity","PX_LAST","1993-06-18","2026-05-02","Per=M","Days=T","Dir=V")</f>
        <v>0</v>
      </c>
      <c r="AS2">
        <f>BDH("INBS US Equity","CUR_MKT_CAP","1993-06-18","2026-05-02","Per=M","Days=T","Dir=V")</f>
        <v>0</v>
      </c>
      <c r="AU2">
        <f>BDH("INBS US Equity","EQY_SH_OUT","1993-06-18","2026-05-02","Per=M","Days=T","Dir=V")</f>
        <v>0</v>
      </c>
      <c r="AW2">
        <f>BDH("INBS US Equity","PX_VOLUME","1993-06-18","2026-05-02","Per=M","Days=T","Dir=V")</f>
        <v>0</v>
      </c>
      <c r="AY2">
        <f>BDH("INBS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BDH("INBX US Equity","BS_TOT_ASSET","1993-06-18","2026-05-02","Per=Y","Days=T","Dir=V")</f>
        <v>0</v>
      </c>
      <c r="C2">
        <f>BDH("INBX US Equity","BS_TOT_LIAB2","1993-06-18","2026-05-02","Per=Y","Days=T","Dir=V")</f>
        <v>0</v>
      </c>
      <c r="E2">
        <f>BDH("INBX US Equity","SHORT_AND_LONG_TERM_DEBT","1993-06-18","2026-05-02","Per=Y","Days=T","Dir=V")</f>
        <v>0</v>
      </c>
      <c r="G2">
        <f>BDH("INBX US Equity","BS_ST_BORROW","1993-06-18","2026-05-02","Per=Y","Days=T","Dir=V")</f>
        <v>0</v>
      </c>
      <c r="I2">
        <f>BDH("INBX US Equity","BS_LT_BORROW","1993-06-18","2026-05-02","Per=Y","Days=T","Dir=V")</f>
        <v>0</v>
      </c>
      <c r="K2">
        <f>BDH("INBX US Equity","BS_CASH_NEAR_CASH_ITEM","1993-06-18","2026-05-02","Per=Y","Days=T","Dir=V")</f>
        <v>0</v>
      </c>
      <c r="M2">
        <f>BDH("INBX US Equity","BS_CUR_ASSET_REPORT","1993-06-18","2026-05-02","Per=Y","Days=T","Dir=V")</f>
        <v>0</v>
      </c>
      <c r="O2">
        <f>BDH("INBX US Equity","BS_CUR_LIAB","1993-06-18","2026-05-02","Per=Y","Days=T","Dir=V")</f>
        <v>0</v>
      </c>
      <c r="Q2">
        <f>BDH("INBX US Equity","BS_SHAREHOLDER_EQY_ENDING_PERIOD","1993-06-18","2026-05-02","Per=Y","Days=T","Dir=V")</f>
        <v>0</v>
      </c>
      <c r="S2">
        <f>BDH("INBX US Equity","BS_ACCT_NOTE_RCV","1993-06-18","2026-05-02","Per=Y","Days=T","Dir=V")</f>
        <v>0</v>
      </c>
      <c r="U2">
        <f>BDH("INBX US Equity","BS_INVENTORIES","1993-06-18","2026-05-02","Per=Y","Days=T","Dir=V")</f>
        <v>0</v>
      </c>
      <c r="W2">
        <f>BDH("INBX US Equity","WORKING_CAPITAL","1993-06-18","2026-05-02","Per=Y","Days=T","Dir=V")</f>
        <v>0</v>
      </c>
      <c r="Y2">
        <f>BDH("INBX US Equity","SALES_REV_TURN","1993-06-18","2026-05-02","Per=Y","Days=T","Dir=V")</f>
        <v>0</v>
      </c>
      <c r="AA2">
        <f>BDH("INBX US Equity","EBIT","1993-06-18","2026-05-02","Per=Y","Days=T","Dir=V")</f>
        <v>0</v>
      </c>
      <c r="AC2">
        <f>BDH("INBX US Equity","EBITDA","1993-06-18","2026-05-02","Per=Y","Days=T","Dir=V")</f>
        <v>0</v>
      </c>
      <c r="AE2">
        <f>BDH("INBX US Equity","NET_INCOME","1993-06-18","2026-05-02","Per=Y","Days=T","Dir=V")</f>
        <v>0</v>
      </c>
      <c r="AG2">
        <f>BDH("INBX US Equity","IS_INT_EXPENSE","1993-06-18","2026-05-02","Per=Y","Days=T","Dir=V")</f>
        <v>0</v>
      </c>
      <c r="AI2">
        <f>BDH("INBX US Equity","IS_DEPR_EXP","1993-06-18","2026-05-02","Per=Y","Days=T","Dir=V")</f>
        <v>0</v>
      </c>
      <c r="AK2">
        <f>BDH("INBX US Equity","CF_CASH_FROM_OPER","1993-06-18","2026-05-02","Per=Y","Days=T","Dir=V")</f>
        <v>0</v>
      </c>
      <c r="AM2">
        <f>BDH("INBX US Equity","CAPITAL_EXPEND","1993-06-18","2026-05-02","Per=Y","Days=T","Dir=V")</f>
        <v>0</v>
      </c>
      <c r="AO2">
        <f>BDH("INBX US Equity","CF_FREE_CASH_FLOW","1993-06-18","2026-05-02","Per=Y","Days=T","Dir=V")</f>
        <v>0</v>
      </c>
      <c r="AQ2">
        <f>BDH("INBX US Equity","PX_LAST","1993-06-18","2026-05-02","Per=M","Days=T","Dir=V")</f>
        <v>0</v>
      </c>
      <c r="AS2">
        <f>BDH("INBX US Equity","CUR_MKT_CAP","1993-06-18","2026-05-02","Per=M","Days=T","Dir=V")</f>
        <v>0</v>
      </c>
      <c r="AU2">
        <f>BDH("INBX US Equity","EQY_SH_OUT","1993-06-18","2026-05-02","Per=M","Days=T","Dir=V")</f>
        <v>0</v>
      </c>
      <c r="AW2">
        <f>BDH("INBX US Equity","PX_VOLUME","1993-06-18","2026-05-02","Per=M","Days=T","Dir=V")</f>
        <v>0</v>
      </c>
      <c r="AY2">
        <f>BDH("INBX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BDH("INCY US Equity","BS_TOT_ASSET","1993-06-18","2026-05-02","Per=Y","Days=T","Dir=V")</f>
        <v>0</v>
      </c>
      <c r="C2">
        <f>BDH("INCY US Equity","BS_TOT_LIAB2","1993-06-18","2026-05-02","Per=Y","Days=T","Dir=V")</f>
        <v>0</v>
      </c>
      <c r="E2">
        <f>BDH("INCY US Equity","SHORT_AND_LONG_TERM_DEBT","1993-06-18","2026-05-02","Per=Y","Days=T","Dir=V")</f>
        <v>0</v>
      </c>
      <c r="G2">
        <f>BDH("INCY US Equity","BS_ST_BORROW","1993-06-18","2026-05-02","Per=Y","Days=T","Dir=V")</f>
        <v>0</v>
      </c>
      <c r="I2">
        <f>BDH("INCY US Equity","BS_LT_BORROW","1993-06-18","2026-05-02","Per=Y","Days=T","Dir=V")</f>
        <v>0</v>
      </c>
      <c r="K2">
        <f>BDH("INCY US Equity","BS_CASH_NEAR_CASH_ITEM","1993-06-18","2026-05-02","Per=Y","Days=T","Dir=V")</f>
        <v>0</v>
      </c>
      <c r="M2">
        <f>BDH("INCY US Equity","BS_CUR_ASSET_REPORT","1993-06-18","2026-05-02","Per=Y","Days=T","Dir=V")</f>
        <v>0</v>
      </c>
      <c r="O2">
        <f>BDH("INCY US Equity","BS_CUR_LIAB","1993-06-18","2026-05-02","Per=Y","Days=T","Dir=V")</f>
        <v>0</v>
      </c>
      <c r="Q2">
        <f>BDH("INCY US Equity","BS_SHAREHOLDER_EQY_ENDING_PERIOD","1993-06-18","2026-05-02","Per=Y","Days=T","Dir=V")</f>
        <v>0</v>
      </c>
      <c r="S2">
        <f>BDH("INCY US Equity","BS_ACCT_NOTE_RCV","1993-06-18","2026-05-02","Per=Y","Days=T","Dir=V")</f>
        <v>0</v>
      </c>
      <c r="U2">
        <f>BDH("INCY US Equity","BS_INVENTORIES","1993-06-18","2026-05-02","Per=Y","Days=T","Dir=V")</f>
        <v>0</v>
      </c>
      <c r="W2">
        <f>BDH("INCY US Equity","WORKING_CAPITAL","1993-06-18","2026-05-02","Per=Y","Days=T","Dir=V")</f>
        <v>0</v>
      </c>
      <c r="Y2">
        <f>BDH("INCY US Equity","SALES_REV_TURN","1993-06-18","2026-05-02","Per=Y","Days=T","Dir=V")</f>
        <v>0</v>
      </c>
      <c r="AA2">
        <f>BDH("INCY US Equity","EBIT","1993-06-18","2026-05-02","Per=Y","Days=T","Dir=V")</f>
        <v>0</v>
      </c>
      <c r="AC2">
        <f>BDH("INCY US Equity","EBITDA","1993-06-18","2026-05-02","Per=Y","Days=T","Dir=V")</f>
        <v>0</v>
      </c>
      <c r="AE2">
        <f>BDH("INCY US Equity","NET_INCOME","1993-06-18","2026-05-02","Per=Y","Days=T","Dir=V")</f>
        <v>0</v>
      </c>
      <c r="AG2">
        <f>BDH("INCY US Equity","IS_INT_EXPENSE","1993-06-18","2026-05-02","Per=Y","Days=T","Dir=V")</f>
        <v>0</v>
      </c>
      <c r="AI2">
        <f>BDH("INCY US Equity","IS_DEPR_EXP","1993-06-18","2026-05-02","Per=Y","Days=T","Dir=V")</f>
        <v>0</v>
      </c>
      <c r="AK2">
        <f>BDH("INCY US Equity","CF_CASH_FROM_OPER","1993-06-18","2026-05-02","Per=Y","Days=T","Dir=V")</f>
        <v>0</v>
      </c>
      <c r="AM2">
        <f>BDH("INCY US Equity","CAPITAL_EXPEND","1993-06-18","2026-05-02","Per=Y","Days=T","Dir=V")</f>
        <v>0</v>
      </c>
      <c r="AO2">
        <f>BDH("INCY US Equity","CF_FREE_CASH_FLOW","1993-06-18","2026-05-02","Per=Y","Days=T","Dir=V")</f>
        <v>0</v>
      </c>
      <c r="AQ2">
        <f>BDH("INCY US Equity","PX_LAST","1993-06-18","2026-05-02","Per=M","Days=T","Dir=V")</f>
        <v>0</v>
      </c>
      <c r="AS2">
        <f>BDH("INCY US Equity","CUR_MKT_CAP","1993-06-18","2026-05-02","Per=M","Days=T","Dir=V")</f>
        <v>0</v>
      </c>
      <c r="AU2">
        <f>BDH("INCY US Equity","EQY_SH_OUT","1993-06-18","2026-05-02","Per=M","Days=T","Dir=V")</f>
        <v>0</v>
      </c>
      <c r="AW2">
        <f>BDH("INCY US Equity","PX_VOLUME","1993-06-18","2026-05-02","Per=M","Days=T","Dir=V")</f>
        <v>0</v>
      </c>
      <c r="AY2">
        <f>BDH("INCY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BDH("INDI US Equity","BS_TOT_ASSET","1993-06-18","2026-05-02","Per=Y","Days=T","Dir=V")</f>
        <v>0</v>
      </c>
      <c r="C2">
        <f>BDH("INDI US Equity","BS_TOT_LIAB2","1993-06-18","2026-05-02","Per=Y","Days=T","Dir=V")</f>
        <v>0</v>
      </c>
      <c r="E2">
        <f>BDH("INDI US Equity","SHORT_AND_LONG_TERM_DEBT","1993-06-18","2026-05-02","Per=Y","Days=T","Dir=V")</f>
        <v>0</v>
      </c>
      <c r="G2">
        <f>BDH("INDI US Equity","BS_ST_BORROW","1993-06-18","2026-05-02","Per=Y","Days=T","Dir=V")</f>
        <v>0</v>
      </c>
      <c r="I2">
        <f>BDH("INDI US Equity","BS_LT_BORROW","1993-06-18","2026-05-02","Per=Y","Days=T","Dir=V")</f>
        <v>0</v>
      </c>
      <c r="K2">
        <f>BDH("INDI US Equity","BS_CASH_NEAR_CASH_ITEM","1993-06-18","2026-05-02","Per=Y","Days=T","Dir=V")</f>
        <v>0</v>
      </c>
      <c r="M2">
        <f>BDH("INDI US Equity","BS_CUR_ASSET_REPORT","1993-06-18","2026-05-02","Per=Y","Days=T","Dir=V")</f>
        <v>0</v>
      </c>
      <c r="O2">
        <f>BDH("INDI US Equity","BS_CUR_LIAB","1993-06-18","2026-05-02","Per=Y","Days=T","Dir=V")</f>
        <v>0</v>
      </c>
      <c r="Q2">
        <f>BDH("INDI US Equity","BS_SHAREHOLDER_EQY_ENDING_PERIOD","1993-06-18","2026-05-02","Per=Y","Days=T","Dir=V")</f>
        <v>0</v>
      </c>
      <c r="S2">
        <f>BDH("INDI US Equity","BS_ACCT_NOTE_RCV","1993-06-18","2026-05-02","Per=Y","Days=T","Dir=V")</f>
        <v>0</v>
      </c>
      <c r="U2">
        <f>BDH("INDI US Equity","BS_INVENTORIES","1993-06-18","2026-05-02","Per=Y","Days=T","Dir=V")</f>
        <v>0</v>
      </c>
      <c r="W2">
        <f>BDH("INDI US Equity","WORKING_CAPITAL","1993-06-18","2026-05-02","Per=Y","Days=T","Dir=V")</f>
        <v>0</v>
      </c>
      <c r="Y2">
        <f>BDH("INDI US Equity","SALES_REV_TURN","1993-06-18","2026-05-02","Per=Y","Days=T","Dir=V")</f>
        <v>0</v>
      </c>
      <c r="AA2">
        <f>BDH("INDI US Equity","EBIT","1993-06-18","2026-05-02","Per=Y","Days=T","Dir=V")</f>
        <v>0</v>
      </c>
      <c r="AC2">
        <f>BDH("INDI US Equity","EBITDA","1993-06-18","2026-05-02","Per=Y","Days=T","Dir=V")</f>
        <v>0</v>
      </c>
      <c r="AE2">
        <f>BDH("INDI US Equity","NET_INCOME","1993-06-18","2026-05-02","Per=Y","Days=T","Dir=V")</f>
        <v>0</v>
      </c>
      <c r="AG2">
        <f>BDH("INDI US Equity","IS_INT_EXPENSE","1993-06-18","2026-05-02","Per=Y","Days=T","Dir=V")</f>
        <v>0</v>
      </c>
      <c r="AI2">
        <f>BDH("INDI US Equity","IS_DEPR_EXP","1993-06-18","2026-05-02","Per=Y","Days=T","Dir=V")</f>
        <v>0</v>
      </c>
      <c r="AK2">
        <f>BDH("INDI US Equity","CF_CASH_FROM_OPER","1993-06-18","2026-05-02","Per=Y","Days=T","Dir=V")</f>
        <v>0</v>
      </c>
      <c r="AM2">
        <f>BDH("INDI US Equity","CAPITAL_EXPEND","1993-06-18","2026-05-02","Per=Y","Days=T","Dir=V")</f>
        <v>0</v>
      </c>
      <c r="AO2">
        <f>BDH("INDI US Equity","CF_FREE_CASH_FLOW","1993-06-18","2026-05-02","Per=Y","Days=T","Dir=V")</f>
        <v>0</v>
      </c>
      <c r="AQ2">
        <f>BDH("INDI US Equity","PX_LAST","1993-06-18","2026-05-02","Per=M","Days=T","Dir=V")</f>
        <v>0</v>
      </c>
      <c r="AS2">
        <f>BDH("INDI US Equity","CUR_MKT_CAP","1993-06-18","2026-05-02","Per=M","Days=T","Dir=V")</f>
        <v>0</v>
      </c>
      <c r="AU2">
        <f>BDH("INDI US Equity","EQY_SH_OUT","1993-06-18","2026-05-02","Per=M","Days=T","Dir=V")</f>
        <v>0</v>
      </c>
      <c r="AW2">
        <f>BDH("INDI US Equity","PX_VOLUME","1993-06-18","2026-05-02","Per=M","Days=T","Dir=V")</f>
        <v>0</v>
      </c>
      <c r="AY2">
        <f>BDH("INDI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BDH("INDP US Equity","BS_TOT_ASSET","1993-06-18","2026-05-02","Per=Y","Days=T","Dir=V")</f>
        <v>0</v>
      </c>
      <c r="C2">
        <f>BDH("INDP US Equity","BS_TOT_LIAB2","1993-06-18","2026-05-02","Per=Y","Days=T","Dir=V")</f>
        <v>0</v>
      </c>
      <c r="E2">
        <f>BDH("INDP US Equity","SHORT_AND_LONG_TERM_DEBT","1993-06-18","2026-05-02","Per=Y","Days=T","Dir=V")</f>
        <v>0</v>
      </c>
      <c r="G2">
        <f>BDH("INDP US Equity","BS_ST_BORROW","1993-06-18","2026-05-02","Per=Y","Days=T","Dir=V")</f>
        <v>0</v>
      </c>
      <c r="I2">
        <f>BDH("INDP US Equity","BS_LT_BORROW","1993-06-18","2026-05-02","Per=Y","Days=T","Dir=V")</f>
        <v>0</v>
      </c>
      <c r="K2">
        <f>BDH("INDP US Equity","BS_CASH_NEAR_CASH_ITEM","1993-06-18","2026-05-02","Per=Y","Days=T","Dir=V")</f>
        <v>0</v>
      </c>
      <c r="M2">
        <f>BDH("INDP US Equity","BS_CUR_ASSET_REPORT","1993-06-18","2026-05-02","Per=Y","Days=T","Dir=V")</f>
        <v>0</v>
      </c>
      <c r="O2">
        <f>BDH("INDP US Equity","BS_CUR_LIAB","1993-06-18","2026-05-02","Per=Y","Days=T","Dir=V")</f>
        <v>0</v>
      </c>
      <c r="Q2">
        <f>BDH("INDP US Equity","BS_SHAREHOLDER_EQY_ENDING_PERIOD","1993-06-18","2026-05-02","Per=Y","Days=T","Dir=V")</f>
        <v>0</v>
      </c>
      <c r="S2">
        <f>BDH("INDP US Equity","BS_ACCT_NOTE_RCV","1993-06-18","2026-05-02","Per=Y","Days=T","Dir=V")</f>
        <v>0</v>
      </c>
      <c r="U2">
        <f>BDH("INDP US Equity","BS_INVENTORIES","1993-06-18","2026-05-02","Per=Y","Days=T","Dir=V")</f>
        <v>0</v>
      </c>
      <c r="W2">
        <f>BDH("INDP US Equity","WORKING_CAPITAL","1993-06-18","2026-05-02","Per=Y","Days=T","Dir=V")</f>
        <v>0</v>
      </c>
      <c r="Y2">
        <f>BDH("INDP US Equity","SALES_REV_TURN","1993-06-18","2026-05-02","Per=Y","Days=T","Dir=V")</f>
        <v>0</v>
      </c>
      <c r="AA2">
        <f>BDH("INDP US Equity","EBIT","1993-06-18","2026-05-02","Per=Y","Days=T","Dir=V")</f>
        <v>0</v>
      </c>
      <c r="AC2">
        <f>BDH("INDP US Equity","EBITDA","1993-06-18","2026-05-02","Per=Y","Days=T","Dir=V")</f>
        <v>0</v>
      </c>
      <c r="AE2">
        <f>BDH("INDP US Equity","NET_INCOME","1993-06-18","2026-05-02","Per=Y","Days=T","Dir=V")</f>
        <v>0</v>
      </c>
      <c r="AG2">
        <f>BDH("INDP US Equity","IS_INT_EXPENSE","1993-06-18","2026-05-02","Per=Y","Days=T","Dir=V")</f>
        <v>0</v>
      </c>
      <c r="AI2">
        <f>BDH("INDP US Equity","IS_DEPR_EXP","1993-06-18","2026-05-02","Per=Y","Days=T","Dir=V")</f>
        <v>0</v>
      </c>
      <c r="AK2">
        <f>BDH("INDP US Equity","CF_CASH_FROM_OPER","1993-06-18","2026-05-02","Per=Y","Days=T","Dir=V")</f>
        <v>0</v>
      </c>
      <c r="AM2">
        <f>BDH("INDP US Equity","CAPITAL_EXPEND","1993-06-18","2026-05-02","Per=Y","Days=T","Dir=V")</f>
        <v>0</v>
      </c>
      <c r="AO2">
        <f>BDH("INDP US Equity","CF_FREE_CASH_FLOW","1993-06-18","2026-05-02","Per=Y","Days=T","Dir=V")</f>
        <v>0</v>
      </c>
      <c r="AQ2">
        <f>BDH("INDP US Equity","PX_LAST","1993-06-18","2026-05-02","Per=M","Days=T","Dir=V")</f>
        <v>0</v>
      </c>
      <c r="AS2">
        <f>BDH("INDP US Equity","CUR_MKT_CAP","1993-06-18","2026-05-02","Per=M","Days=T","Dir=V")</f>
        <v>0</v>
      </c>
      <c r="AU2">
        <f>BDH("INDP US Equity","EQY_SH_OUT","1993-06-18","2026-05-02","Per=M","Days=T","Dir=V")</f>
        <v>0</v>
      </c>
      <c r="AW2">
        <f>BDH("INDP US Equity","PX_VOLUME","1993-06-18","2026-05-02","Per=M","Days=T","Dir=V")</f>
        <v>0</v>
      </c>
      <c r="AY2">
        <f>BDH("INDP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BDH("INFU US Equity","BS_TOT_ASSET","1993-06-18","2026-05-02","Per=Y","Days=T","Dir=V")</f>
        <v>0</v>
      </c>
      <c r="C2">
        <f>BDH("INFU US Equity","BS_TOT_LIAB2","1993-06-18","2026-05-02","Per=Y","Days=T","Dir=V")</f>
        <v>0</v>
      </c>
      <c r="E2">
        <f>BDH("INFU US Equity","SHORT_AND_LONG_TERM_DEBT","1993-06-18","2026-05-02","Per=Y","Days=T","Dir=V")</f>
        <v>0</v>
      </c>
      <c r="G2">
        <f>BDH("INFU US Equity","BS_ST_BORROW","1993-06-18","2026-05-02","Per=Y","Days=T","Dir=V")</f>
        <v>0</v>
      </c>
      <c r="I2">
        <f>BDH("INFU US Equity","BS_LT_BORROW","1993-06-18","2026-05-02","Per=Y","Days=T","Dir=V")</f>
        <v>0</v>
      </c>
      <c r="K2">
        <f>BDH("INFU US Equity","BS_CASH_NEAR_CASH_ITEM","1993-06-18","2026-05-02","Per=Y","Days=T","Dir=V")</f>
        <v>0</v>
      </c>
      <c r="M2">
        <f>BDH("INFU US Equity","BS_CUR_ASSET_REPORT","1993-06-18","2026-05-02","Per=Y","Days=T","Dir=V")</f>
        <v>0</v>
      </c>
      <c r="O2">
        <f>BDH("INFU US Equity","BS_CUR_LIAB","1993-06-18","2026-05-02","Per=Y","Days=T","Dir=V")</f>
        <v>0</v>
      </c>
      <c r="Q2">
        <f>BDH("INFU US Equity","BS_SHAREHOLDER_EQY_ENDING_PERIOD","1993-06-18","2026-05-02","Per=Y","Days=T","Dir=V")</f>
        <v>0</v>
      </c>
      <c r="S2">
        <f>BDH("INFU US Equity","BS_ACCT_NOTE_RCV","1993-06-18","2026-05-02","Per=Y","Days=T","Dir=V")</f>
        <v>0</v>
      </c>
      <c r="U2">
        <f>BDH("INFU US Equity","BS_INVENTORIES","1993-06-18","2026-05-02","Per=Y","Days=T","Dir=V")</f>
        <v>0</v>
      </c>
      <c r="W2">
        <f>BDH("INFU US Equity","WORKING_CAPITAL","1993-06-18","2026-05-02","Per=Y","Days=T","Dir=V")</f>
        <v>0</v>
      </c>
      <c r="Y2">
        <f>BDH("INFU US Equity","SALES_REV_TURN","1993-06-18","2026-05-02","Per=Y","Days=T","Dir=V")</f>
        <v>0</v>
      </c>
      <c r="AA2">
        <f>BDH("INFU US Equity","EBIT","1993-06-18","2026-05-02","Per=Y","Days=T","Dir=V")</f>
        <v>0</v>
      </c>
      <c r="AC2">
        <f>BDH("INFU US Equity","EBITDA","1993-06-18","2026-05-02","Per=Y","Days=T","Dir=V")</f>
        <v>0</v>
      </c>
      <c r="AE2">
        <f>BDH("INFU US Equity","NET_INCOME","1993-06-18","2026-05-02","Per=Y","Days=T","Dir=V")</f>
        <v>0</v>
      </c>
      <c r="AG2">
        <f>BDH("INFU US Equity","IS_INT_EXPENSE","1993-06-18","2026-05-02","Per=Y","Days=T","Dir=V")</f>
        <v>0</v>
      </c>
      <c r="AI2">
        <f>BDH("INFU US Equity","IS_DEPR_EXP","1993-06-18","2026-05-02","Per=Y","Days=T","Dir=V")</f>
        <v>0</v>
      </c>
      <c r="AK2">
        <f>BDH("INFU US Equity","CF_CASH_FROM_OPER","1993-06-18","2026-05-02","Per=Y","Days=T","Dir=V")</f>
        <v>0</v>
      </c>
      <c r="AM2">
        <f>BDH("INFU US Equity","CAPITAL_EXPEND","1993-06-18","2026-05-02","Per=Y","Days=T","Dir=V")</f>
        <v>0</v>
      </c>
      <c r="AO2">
        <f>BDH("INFU US Equity","CF_FREE_CASH_FLOW","1993-06-18","2026-05-02","Per=Y","Days=T","Dir=V")</f>
        <v>0</v>
      </c>
      <c r="AQ2">
        <f>BDH("INFU US Equity","PX_LAST","1993-06-18","2026-05-02","Per=M","Days=T","Dir=V")</f>
        <v>0</v>
      </c>
      <c r="AS2">
        <f>BDH("INFU US Equity","CUR_MKT_CAP","1993-06-18","2026-05-02","Per=M","Days=T","Dir=V")</f>
        <v>0</v>
      </c>
      <c r="AU2">
        <f>BDH("INFU US Equity","EQY_SH_OUT","1993-06-18","2026-05-02","Per=M","Days=T","Dir=V")</f>
        <v>0</v>
      </c>
      <c r="AW2">
        <f>BDH("INFU US Equity","PX_VOLUME","1993-06-18","2026-05-02","Per=M","Days=T","Dir=V")</f>
        <v>0</v>
      </c>
      <c r="AY2">
        <f>BDH("INFU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BDH("INGM US Equity","BS_TOT_ASSET","1993-06-18","2026-05-02","Per=Y","Days=T","Dir=V")</f>
        <v>0</v>
      </c>
      <c r="C2">
        <f>BDH("INGM US Equity","BS_TOT_LIAB2","1993-06-18","2026-05-02","Per=Y","Days=T","Dir=V")</f>
        <v>0</v>
      </c>
      <c r="E2">
        <f>BDH("INGM US Equity","SHORT_AND_LONG_TERM_DEBT","1993-06-18","2026-05-02","Per=Y","Days=T","Dir=V")</f>
        <v>0</v>
      </c>
      <c r="G2">
        <f>BDH("INGM US Equity","BS_ST_BORROW","1993-06-18","2026-05-02","Per=Y","Days=T","Dir=V")</f>
        <v>0</v>
      </c>
      <c r="I2">
        <f>BDH("INGM US Equity","BS_LT_BORROW","1993-06-18","2026-05-02","Per=Y","Days=T","Dir=V")</f>
        <v>0</v>
      </c>
      <c r="K2">
        <f>BDH("INGM US Equity","BS_CASH_NEAR_CASH_ITEM","1993-06-18","2026-05-02","Per=Y","Days=T","Dir=V")</f>
        <v>0</v>
      </c>
      <c r="M2">
        <f>BDH("INGM US Equity","BS_CUR_ASSET_REPORT","1993-06-18","2026-05-02","Per=Y","Days=T","Dir=V")</f>
        <v>0</v>
      </c>
      <c r="O2">
        <f>BDH("INGM US Equity","BS_CUR_LIAB","1993-06-18","2026-05-02","Per=Y","Days=T","Dir=V")</f>
        <v>0</v>
      </c>
      <c r="Q2">
        <f>BDH("INGM US Equity","BS_SHAREHOLDER_EQY_ENDING_PERIOD","1993-06-18","2026-05-02","Per=Y","Days=T","Dir=V")</f>
        <v>0</v>
      </c>
      <c r="S2">
        <f>BDH("INGM US Equity","BS_ACCT_NOTE_RCV","1993-06-18","2026-05-02","Per=Y","Days=T","Dir=V")</f>
        <v>0</v>
      </c>
      <c r="U2">
        <f>BDH("INGM US Equity","BS_INVENTORIES","1993-06-18","2026-05-02","Per=Y","Days=T","Dir=V")</f>
        <v>0</v>
      </c>
      <c r="W2">
        <f>BDH("INGM US Equity","WORKING_CAPITAL","1993-06-18","2026-05-02","Per=Y","Days=T","Dir=V")</f>
        <v>0</v>
      </c>
      <c r="Y2">
        <f>BDH("INGM US Equity","SALES_REV_TURN","1993-06-18","2026-05-02","Per=Y","Days=T","Dir=V")</f>
        <v>0</v>
      </c>
      <c r="AA2">
        <f>BDH("INGM US Equity","EBIT","1993-06-18","2026-05-02","Per=Y","Days=T","Dir=V")</f>
        <v>0</v>
      </c>
      <c r="AC2">
        <f>BDH("INGM US Equity","EBITDA","1993-06-18","2026-05-02","Per=Y","Days=T","Dir=V")</f>
        <v>0</v>
      </c>
      <c r="AE2">
        <f>BDH("INGM US Equity","NET_INCOME","1993-06-18","2026-05-02","Per=Y","Days=T","Dir=V")</f>
        <v>0</v>
      </c>
      <c r="AG2">
        <f>BDH("INGM US Equity","IS_INT_EXPENSE","1993-06-18","2026-05-02","Per=Y","Days=T","Dir=V")</f>
        <v>0</v>
      </c>
      <c r="AI2">
        <f>BDH("INGM US Equity","IS_DEPR_EXP","1993-06-18","2026-05-02","Per=Y","Days=T","Dir=V")</f>
        <v>0</v>
      </c>
      <c r="AK2">
        <f>BDH("INGM US Equity","CF_CASH_FROM_OPER","1993-06-18","2026-05-02","Per=Y","Days=T","Dir=V")</f>
        <v>0</v>
      </c>
      <c r="AM2">
        <f>BDH("INGM US Equity","CAPITAL_EXPEND","1993-06-18","2026-05-02","Per=Y","Days=T","Dir=V")</f>
        <v>0</v>
      </c>
      <c r="AO2">
        <f>BDH("INGM US Equity","CF_FREE_CASH_FLOW","1993-06-18","2026-05-02","Per=Y","Days=T","Dir=V")</f>
        <v>0</v>
      </c>
      <c r="AQ2">
        <f>BDH("INGM US Equity","PX_LAST","1993-06-18","2026-05-02","Per=M","Days=T","Dir=V")</f>
        <v>0</v>
      </c>
      <c r="AS2">
        <f>BDH("INGM US Equity","CUR_MKT_CAP","1993-06-18","2026-05-02","Per=M","Days=T","Dir=V")</f>
        <v>0</v>
      </c>
      <c r="AU2">
        <f>BDH("INGM US Equity","EQY_SH_OUT","1993-06-18","2026-05-02","Per=M","Days=T","Dir=V")</f>
        <v>0</v>
      </c>
      <c r="AW2">
        <f>BDH("INGM US Equity","PX_VOLUME","1993-06-18","2026-05-02","Per=M","Days=T","Dir=V")</f>
        <v>0</v>
      </c>
      <c r="AY2">
        <f>BDH("INGM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BDH("INGN US Equity","BS_TOT_ASSET","1993-06-18","2026-05-02","Per=Y","Days=T","Dir=V")</f>
        <v>0</v>
      </c>
      <c r="C2">
        <f>BDH("INGN US Equity","BS_TOT_LIAB2","1993-06-18","2026-05-02","Per=Y","Days=T","Dir=V")</f>
        <v>0</v>
      </c>
      <c r="E2">
        <f>BDH("INGN US Equity","SHORT_AND_LONG_TERM_DEBT","1993-06-18","2026-05-02","Per=Y","Days=T","Dir=V")</f>
        <v>0</v>
      </c>
      <c r="G2">
        <f>BDH("INGN US Equity","BS_ST_BORROW","1993-06-18","2026-05-02","Per=Y","Days=T","Dir=V")</f>
        <v>0</v>
      </c>
      <c r="I2">
        <f>BDH("INGN US Equity","BS_LT_BORROW","1993-06-18","2026-05-02","Per=Y","Days=T","Dir=V")</f>
        <v>0</v>
      </c>
      <c r="K2">
        <f>BDH("INGN US Equity","BS_CASH_NEAR_CASH_ITEM","1993-06-18","2026-05-02","Per=Y","Days=T","Dir=V")</f>
        <v>0</v>
      </c>
      <c r="M2">
        <f>BDH("INGN US Equity","BS_CUR_ASSET_REPORT","1993-06-18","2026-05-02","Per=Y","Days=T","Dir=V")</f>
        <v>0</v>
      </c>
      <c r="O2">
        <f>BDH("INGN US Equity","BS_CUR_LIAB","1993-06-18","2026-05-02","Per=Y","Days=T","Dir=V")</f>
        <v>0</v>
      </c>
      <c r="Q2">
        <f>BDH("INGN US Equity","BS_SHAREHOLDER_EQY_ENDING_PERIOD","1993-06-18","2026-05-02","Per=Y","Days=T","Dir=V")</f>
        <v>0</v>
      </c>
      <c r="S2">
        <f>BDH("INGN US Equity","BS_ACCT_NOTE_RCV","1993-06-18","2026-05-02","Per=Y","Days=T","Dir=V")</f>
        <v>0</v>
      </c>
      <c r="U2">
        <f>BDH("INGN US Equity","BS_INVENTORIES","1993-06-18","2026-05-02","Per=Y","Days=T","Dir=V")</f>
        <v>0</v>
      </c>
      <c r="W2">
        <f>BDH("INGN US Equity","WORKING_CAPITAL","1993-06-18","2026-05-02","Per=Y","Days=T","Dir=V")</f>
        <v>0</v>
      </c>
      <c r="Y2">
        <f>BDH("INGN US Equity","SALES_REV_TURN","1993-06-18","2026-05-02","Per=Y","Days=T","Dir=V")</f>
        <v>0</v>
      </c>
      <c r="AA2">
        <f>BDH("INGN US Equity","EBIT","1993-06-18","2026-05-02","Per=Y","Days=T","Dir=V")</f>
        <v>0</v>
      </c>
      <c r="AC2">
        <f>BDH("INGN US Equity","EBITDA","1993-06-18","2026-05-02","Per=Y","Days=T","Dir=V")</f>
        <v>0</v>
      </c>
      <c r="AE2">
        <f>BDH("INGN US Equity","NET_INCOME","1993-06-18","2026-05-02","Per=Y","Days=T","Dir=V")</f>
        <v>0</v>
      </c>
      <c r="AG2">
        <f>BDH("INGN US Equity","IS_INT_EXPENSE","1993-06-18","2026-05-02","Per=Y","Days=T","Dir=V")</f>
        <v>0</v>
      </c>
      <c r="AI2">
        <f>BDH("INGN US Equity","IS_DEPR_EXP","1993-06-18","2026-05-02","Per=Y","Days=T","Dir=V")</f>
        <v>0</v>
      </c>
      <c r="AK2">
        <f>BDH("INGN US Equity","CF_CASH_FROM_OPER","1993-06-18","2026-05-02","Per=Y","Days=T","Dir=V")</f>
        <v>0</v>
      </c>
      <c r="AM2">
        <f>BDH("INGN US Equity","CAPITAL_EXPEND","1993-06-18","2026-05-02","Per=Y","Days=T","Dir=V")</f>
        <v>0</v>
      </c>
      <c r="AO2">
        <f>BDH("INGN US Equity","CF_FREE_CASH_FLOW","1993-06-18","2026-05-02","Per=Y","Days=T","Dir=V")</f>
        <v>0</v>
      </c>
      <c r="AQ2">
        <f>BDH("INGN US Equity","PX_LAST","1993-06-18","2026-05-02","Per=M","Days=T","Dir=V")</f>
        <v>0</v>
      </c>
      <c r="AS2">
        <f>BDH("INGN US Equity","CUR_MKT_CAP","1993-06-18","2026-05-02","Per=M","Days=T","Dir=V")</f>
        <v>0</v>
      </c>
      <c r="AU2">
        <f>BDH("INGN US Equity","EQY_SH_OUT","1993-06-18","2026-05-02","Per=M","Days=T","Dir=V")</f>
        <v>0</v>
      </c>
      <c r="AW2">
        <f>BDH("INGN US Equity","PX_VOLUME","1993-06-18","2026-05-02","Per=M","Days=T","Dir=V")</f>
        <v>0</v>
      </c>
      <c r="AY2">
        <f>BDH("INGN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BDH("INGR US Equity","BS_TOT_ASSET","1993-06-18","2026-05-02","Per=Y","Days=T","Dir=V")</f>
        <v>0</v>
      </c>
      <c r="C2">
        <f>BDH("INGR US Equity","BS_TOT_LIAB2","1993-06-18","2026-05-02","Per=Y","Days=T","Dir=V")</f>
        <v>0</v>
      </c>
      <c r="E2">
        <f>BDH("INGR US Equity","SHORT_AND_LONG_TERM_DEBT","1993-06-18","2026-05-02","Per=Y","Days=T","Dir=V")</f>
        <v>0</v>
      </c>
      <c r="G2">
        <f>BDH("INGR US Equity","BS_ST_BORROW","1993-06-18","2026-05-02","Per=Y","Days=T","Dir=V")</f>
        <v>0</v>
      </c>
      <c r="I2">
        <f>BDH("INGR US Equity","BS_LT_BORROW","1993-06-18","2026-05-02","Per=Y","Days=T","Dir=V")</f>
        <v>0</v>
      </c>
      <c r="K2">
        <f>BDH("INGR US Equity","BS_CASH_NEAR_CASH_ITEM","1993-06-18","2026-05-02","Per=Y","Days=T","Dir=V")</f>
        <v>0</v>
      </c>
      <c r="M2">
        <f>BDH("INGR US Equity","BS_CUR_ASSET_REPORT","1993-06-18","2026-05-02","Per=Y","Days=T","Dir=V")</f>
        <v>0</v>
      </c>
      <c r="O2">
        <f>BDH("INGR US Equity","BS_CUR_LIAB","1993-06-18","2026-05-02","Per=Y","Days=T","Dir=V")</f>
        <v>0</v>
      </c>
      <c r="Q2">
        <f>BDH("INGR US Equity","BS_SHAREHOLDER_EQY_ENDING_PERIOD","1993-06-18","2026-05-02","Per=Y","Days=T","Dir=V")</f>
        <v>0</v>
      </c>
      <c r="S2">
        <f>BDH("INGR US Equity","BS_ACCT_NOTE_RCV","1993-06-18","2026-05-02","Per=Y","Days=T","Dir=V")</f>
        <v>0</v>
      </c>
      <c r="U2">
        <f>BDH("INGR US Equity","BS_INVENTORIES","1993-06-18","2026-05-02","Per=Y","Days=T","Dir=V")</f>
        <v>0</v>
      </c>
      <c r="W2">
        <f>BDH("INGR US Equity","WORKING_CAPITAL","1993-06-18","2026-05-02","Per=Y","Days=T","Dir=V")</f>
        <v>0</v>
      </c>
      <c r="Y2">
        <f>BDH("INGR US Equity","SALES_REV_TURN","1993-06-18","2026-05-02","Per=Y","Days=T","Dir=V")</f>
        <v>0</v>
      </c>
      <c r="AA2">
        <f>BDH("INGR US Equity","EBIT","1993-06-18","2026-05-02","Per=Y","Days=T","Dir=V")</f>
        <v>0</v>
      </c>
      <c r="AC2">
        <f>BDH("INGR US Equity","EBITDA","1993-06-18","2026-05-02","Per=Y","Days=T","Dir=V")</f>
        <v>0</v>
      </c>
      <c r="AE2">
        <f>BDH("INGR US Equity","NET_INCOME","1993-06-18","2026-05-02","Per=Y","Days=T","Dir=V")</f>
        <v>0</v>
      </c>
      <c r="AG2">
        <f>BDH("INGR US Equity","IS_INT_EXPENSE","1993-06-18","2026-05-02","Per=Y","Days=T","Dir=V")</f>
        <v>0</v>
      </c>
      <c r="AI2">
        <f>BDH("INGR US Equity","IS_DEPR_EXP","1993-06-18","2026-05-02","Per=Y","Days=T","Dir=V")</f>
        <v>0</v>
      </c>
      <c r="AK2">
        <f>BDH("INGR US Equity","CF_CASH_FROM_OPER","1993-06-18","2026-05-02","Per=Y","Days=T","Dir=V")</f>
        <v>0</v>
      </c>
      <c r="AM2">
        <f>BDH("INGR US Equity","CAPITAL_EXPEND","1993-06-18","2026-05-02","Per=Y","Days=T","Dir=V")</f>
        <v>0</v>
      </c>
      <c r="AO2">
        <f>BDH("INGR US Equity","CF_FREE_CASH_FLOW","1993-06-18","2026-05-02","Per=Y","Days=T","Dir=V")</f>
        <v>0</v>
      </c>
      <c r="AQ2">
        <f>BDH("INGR US Equity","PX_LAST","1993-06-18","2026-05-02","Per=M","Days=T","Dir=V")</f>
        <v>0</v>
      </c>
      <c r="AS2">
        <f>BDH("INGR US Equity","CUR_MKT_CAP","1993-06-18","2026-05-02","Per=M","Days=T","Dir=V")</f>
        <v>0</v>
      </c>
      <c r="AU2">
        <f>BDH("INGR US Equity","EQY_SH_OUT","1993-06-18","2026-05-02","Per=M","Days=T","Dir=V")</f>
        <v>0</v>
      </c>
      <c r="AW2">
        <f>BDH("INGR US Equity","PX_VOLUME","1993-06-18","2026-05-02","Per=M","Days=T","Dir=V")</f>
        <v>0</v>
      </c>
      <c r="AY2">
        <f>BDH("INGR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BDH("INHD US Equity","BS_TOT_ASSET","1993-06-18","2026-05-02","Per=Y","Days=T","Dir=V")</f>
        <v>0</v>
      </c>
      <c r="C2">
        <f>BDH("INHD US Equity","BS_TOT_LIAB2","1993-06-18","2026-05-02","Per=Y","Days=T","Dir=V")</f>
        <v>0</v>
      </c>
      <c r="E2">
        <f>BDH("INHD US Equity","SHORT_AND_LONG_TERM_DEBT","1993-06-18","2026-05-02","Per=Y","Days=T","Dir=V")</f>
        <v>0</v>
      </c>
      <c r="G2">
        <f>BDH("INHD US Equity","BS_ST_BORROW","1993-06-18","2026-05-02","Per=Y","Days=T","Dir=V")</f>
        <v>0</v>
      </c>
      <c r="I2">
        <f>BDH("INHD US Equity","BS_LT_BORROW","1993-06-18","2026-05-02","Per=Y","Days=T","Dir=V")</f>
        <v>0</v>
      </c>
      <c r="K2">
        <f>BDH("INHD US Equity","BS_CASH_NEAR_CASH_ITEM","1993-06-18","2026-05-02","Per=Y","Days=T","Dir=V")</f>
        <v>0</v>
      </c>
      <c r="M2">
        <f>BDH("INHD US Equity","BS_CUR_ASSET_REPORT","1993-06-18","2026-05-02","Per=Y","Days=T","Dir=V")</f>
        <v>0</v>
      </c>
      <c r="O2">
        <f>BDH("INHD US Equity","BS_CUR_LIAB","1993-06-18","2026-05-02","Per=Y","Days=T","Dir=V")</f>
        <v>0</v>
      </c>
      <c r="Q2">
        <f>BDH("INHD US Equity","BS_SHAREHOLDER_EQY_ENDING_PERIOD","1993-06-18","2026-05-02","Per=Y","Days=T","Dir=V")</f>
        <v>0</v>
      </c>
      <c r="S2">
        <f>BDH("INHD US Equity","BS_ACCT_NOTE_RCV","1993-06-18","2026-05-02","Per=Y","Days=T","Dir=V")</f>
        <v>0</v>
      </c>
      <c r="U2">
        <f>BDH("INHD US Equity","BS_INVENTORIES","1993-06-18","2026-05-02","Per=Y","Days=T","Dir=V")</f>
        <v>0</v>
      </c>
      <c r="W2">
        <f>BDH("INHD US Equity","WORKING_CAPITAL","1993-06-18","2026-05-02","Per=Y","Days=T","Dir=V")</f>
        <v>0</v>
      </c>
      <c r="Y2">
        <f>BDH("INHD US Equity","SALES_REV_TURN","1993-06-18","2026-05-02","Per=Y","Days=T","Dir=V")</f>
        <v>0</v>
      </c>
      <c r="AA2">
        <f>BDH("INHD US Equity","EBIT","1993-06-18","2026-05-02","Per=Y","Days=T","Dir=V")</f>
        <v>0</v>
      </c>
      <c r="AC2">
        <f>BDH("INHD US Equity","EBITDA","1993-06-18","2026-05-02","Per=Y","Days=T","Dir=V")</f>
        <v>0</v>
      </c>
      <c r="AE2">
        <f>BDH("INHD US Equity","NET_INCOME","1993-06-18","2026-05-02","Per=Y","Days=T","Dir=V")</f>
        <v>0</v>
      </c>
      <c r="AG2">
        <f>BDH("INHD US Equity","IS_INT_EXPENSE","1993-06-18","2026-05-02","Per=Y","Days=T","Dir=V")</f>
        <v>0</v>
      </c>
      <c r="AI2">
        <f>BDH("INHD US Equity","IS_DEPR_EXP","1993-06-18","2026-05-02","Per=Y","Days=T","Dir=V")</f>
        <v>0</v>
      </c>
      <c r="AK2">
        <f>BDH("INHD US Equity","CF_CASH_FROM_OPER","1993-06-18","2026-05-02","Per=Y","Days=T","Dir=V")</f>
        <v>0</v>
      </c>
      <c r="AM2">
        <f>BDH("INHD US Equity","CAPITAL_EXPEND","1993-06-18","2026-05-02","Per=Y","Days=T","Dir=V")</f>
        <v>0</v>
      </c>
      <c r="AO2">
        <f>BDH("INHD US Equity","CF_FREE_CASH_FLOW","1993-06-18","2026-05-02","Per=Y","Days=T","Dir=V")</f>
        <v>0</v>
      </c>
      <c r="AQ2">
        <f>BDH("INHD US Equity","PX_LAST","1993-06-18","2026-05-02","Per=M","Days=T","Dir=V")</f>
        <v>0</v>
      </c>
      <c r="AS2">
        <f>BDH("INHD US Equity","CUR_MKT_CAP","1993-06-18","2026-05-02","Per=M","Days=T","Dir=V")</f>
        <v>0</v>
      </c>
      <c r="AU2">
        <f>BDH("INHD US Equity","EQY_SH_OUT","1993-06-18","2026-05-02","Per=M","Days=T","Dir=V")</f>
        <v>0</v>
      </c>
      <c r="AW2">
        <f>BDH("INHD US Equity","PX_VOLUME","1993-06-18","2026-05-02","Per=M","Days=T","Dir=V")</f>
        <v>0</v>
      </c>
      <c r="AY2">
        <f>BDH("INHD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BDH("INKT US Equity","BS_TOT_ASSET","1993-06-18","2026-05-02","Per=Y","Days=T","Dir=V")</f>
        <v>0</v>
      </c>
      <c r="C2">
        <f>BDH("INKT US Equity","BS_TOT_LIAB2","1993-06-18","2026-05-02","Per=Y","Days=T","Dir=V")</f>
        <v>0</v>
      </c>
      <c r="E2">
        <f>BDH("INKT US Equity","SHORT_AND_LONG_TERM_DEBT","1993-06-18","2026-05-02","Per=Y","Days=T","Dir=V")</f>
        <v>0</v>
      </c>
      <c r="G2">
        <f>BDH("INKT US Equity","BS_ST_BORROW","1993-06-18","2026-05-02","Per=Y","Days=T","Dir=V")</f>
        <v>0</v>
      </c>
      <c r="I2">
        <f>BDH("INKT US Equity","BS_LT_BORROW","1993-06-18","2026-05-02","Per=Y","Days=T","Dir=V")</f>
        <v>0</v>
      </c>
      <c r="K2">
        <f>BDH("INKT US Equity","BS_CASH_NEAR_CASH_ITEM","1993-06-18","2026-05-02","Per=Y","Days=T","Dir=V")</f>
        <v>0</v>
      </c>
      <c r="M2">
        <f>BDH("INKT US Equity","BS_CUR_ASSET_REPORT","1993-06-18","2026-05-02","Per=Y","Days=T","Dir=V")</f>
        <v>0</v>
      </c>
      <c r="O2">
        <f>BDH("INKT US Equity","BS_CUR_LIAB","1993-06-18","2026-05-02","Per=Y","Days=T","Dir=V")</f>
        <v>0</v>
      </c>
      <c r="Q2">
        <f>BDH("INKT US Equity","BS_SHAREHOLDER_EQY_ENDING_PERIOD","1993-06-18","2026-05-02","Per=Y","Days=T","Dir=V")</f>
        <v>0</v>
      </c>
      <c r="S2">
        <f>BDH("INKT US Equity","BS_ACCT_NOTE_RCV","1993-06-18","2026-05-02","Per=Y","Days=T","Dir=V")</f>
        <v>0</v>
      </c>
      <c r="U2">
        <f>BDH("INKT US Equity","BS_INVENTORIES","1993-06-18","2026-05-02","Per=Y","Days=T","Dir=V")</f>
        <v>0</v>
      </c>
      <c r="W2">
        <f>BDH("INKT US Equity","WORKING_CAPITAL","1993-06-18","2026-05-02","Per=Y","Days=T","Dir=V")</f>
        <v>0</v>
      </c>
      <c r="Y2">
        <f>BDH("INKT US Equity","SALES_REV_TURN","1993-06-18","2026-05-02","Per=Y","Days=T","Dir=V")</f>
        <v>0</v>
      </c>
      <c r="AA2">
        <f>BDH("INKT US Equity","EBIT","1993-06-18","2026-05-02","Per=Y","Days=T","Dir=V")</f>
        <v>0</v>
      </c>
      <c r="AC2">
        <f>BDH("INKT US Equity","EBITDA","1993-06-18","2026-05-02","Per=Y","Days=T","Dir=V")</f>
        <v>0</v>
      </c>
      <c r="AE2">
        <f>BDH("INKT US Equity","NET_INCOME","1993-06-18","2026-05-02","Per=Y","Days=T","Dir=V")</f>
        <v>0</v>
      </c>
      <c r="AG2">
        <f>BDH("INKT US Equity","IS_INT_EXPENSE","1993-06-18","2026-05-02","Per=Y","Days=T","Dir=V")</f>
        <v>0</v>
      </c>
      <c r="AI2">
        <f>BDH("INKT US Equity","IS_DEPR_EXP","1993-06-18","2026-05-02","Per=Y","Days=T","Dir=V")</f>
        <v>0</v>
      </c>
      <c r="AK2">
        <f>BDH("INKT US Equity","CF_CASH_FROM_OPER","1993-06-18","2026-05-02","Per=Y","Days=T","Dir=V")</f>
        <v>0</v>
      </c>
      <c r="AM2">
        <f>BDH("INKT US Equity","CAPITAL_EXPEND","1993-06-18","2026-05-02","Per=Y","Days=T","Dir=V")</f>
        <v>0</v>
      </c>
      <c r="AO2">
        <f>BDH("INKT US Equity","CF_FREE_CASH_FLOW","1993-06-18","2026-05-02","Per=Y","Days=T","Dir=V")</f>
        <v>0</v>
      </c>
      <c r="AQ2">
        <f>BDH("INKT US Equity","PX_LAST","1993-06-18","2026-05-02","Per=M","Days=T","Dir=V")</f>
        <v>0</v>
      </c>
      <c r="AS2">
        <f>BDH("INKT US Equity","CUR_MKT_CAP","1993-06-18","2026-05-02","Per=M","Days=T","Dir=V")</f>
        <v>0</v>
      </c>
      <c r="AU2">
        <f>BDH("INKT US Equity","EQY_SH_OUT","1993-06-18","2026-05-02","Per=M","Days=T","Dir=V")</f>
        <v>0</v>
      </c>
      <c r="AW2">
        <f>BDH("INKT US Equity","PX_VOLUME","1993-06-18","2026-05-02","Per=M","Days=T","Dir=V")</f>
        <v>0</v>
      </c>
      <c r="AY2">
        <f>BDH("INKT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BDH("INMB US Equity","BS_TOT_ASSET","1993-06-18","2026-05-02","Per=Y","Days=T","Dir=V")</f>
        <v>0</v>
      </c>
      <c r="C2">
        <f>BDH("INMB US Equity","BS_TOT_LIAB2","1993-06-18","2026-05-02","Per=Y","Days=T","Dir=V")</f>
        <v>0</v>
      </c>
      <c r="E2">
        <f>BDH("INMB US Equity","SHORT_AND_LONG_TERM_DEBT","1993-06-18","2026-05-02","Per=Y","Days=T","Dir=V")</f>
        <v>0</v>
      </c>
      <c r="G2">
        <f>BDH("INMB US Equity","BS_ST_BORROW","1993-06-18","2026-05-02","Per=Y","Days=T","Dir=V")</f>
        <v>0</v>
      </c>
      <c r="I2">
        <f>BDH("INMB US Equity","BS_LT_BORROW","1993-06-18","2026-05-02","Per=Y","Days=T","Dir=V")</f>
        <v>0</v>
      </c>
      <c r="K2">
        <f>BDH("INMB US Equity","BS_CASH_NEAR_CASH_ITEM","1993-06-18","2026-05-02","Per=Y","Days=T","Dir=V")</f>
        <v>0</v>
      </c>
      <c r="M2">
        <f>BDH("INMB US Equity","BS_CUR_ASSET_REPORT","1993-06-18","2026-05-02","Per=Y","Days=T","Dir=V")</f>
        <v>0</v>
      </c>
      <c r="O2">
        <f>BDH("INMB US Equity","BS_CUR_LIAB","1993-06-18","2026-05-02","Per=Y","Days=T","Dir=V")</f>
        <v>0</v>
      </c>
      <c r="Q2">
        <f>BDH("INMB US Equity","BS_SHAREHOLDER_EQY_ENDING_PERIOD","1993-06-18","2026-05-02","Per=Y","Days=T","Dir=V")</f>
        <v>0</v>
      </c>
      <c r="S2">
        <f>BDH("INMB US Equity","BS_ACCT_NOTE_RCV","1993-06-18","2026-05-02","Per=Y","Days=T","Dir=V")</f>
        <v>0</v>
      </c>
      <c r="U2">
        <f>BDH("INMB US Equity","BS_INVENTORIES","1993-06-18","2026-05-02","Per=Y","Days=T","Dir=V")</f>
        <v>0</v>
      </c>
      <c r="W2">
        <f>BDH("INMB US Equity","WORKING_CAPITAL","1993-06-18","2026-05-02","Per=Y","Days=T","Dir=V")</f>
        <v>0</v>
      </c>
      <c r="Y2">
        <f>BDH("INMB US Equity","SALES_REV_TURN","1993-06-18","2026-05-02","Per=Y","Days=T","Dir=V")</f>
        <v>0</v>
      </c>
      <c r="AA2">
        <f>BDH("INMB US Equity","EBIT","1993-06-18","2026-05-02","Per=Y","Days=T","Dir=V")</f>
        <v>0</v>
      </c>
      <c r="AC2">
        <f>BDH("INMB US Equity","EBITDA","1993-06-18","2026-05-02","Per=Y","Days=T","Dir=V")</f>
        <v>0</v>
      </c>
      <c r="AE2">
        <f>BDH("INMB US Equity","NET_INCOME","1993-06-18","2026-05-02","Per=Y","Days=T","Dir=V")</f>
        <v>0</v>
      </c>
      <c r="AG2">
        <f>BDH("INMB US Equity","IS_INT_EXPENSE","1993-06-18","2026-05-02","Per=Y","Days=T","Dir=V")</f>
        <v>0</v>
      </c>
      <c r="AI2">
        <f>BDH("INMB US Equity","IS_DEPR_EXP","1993-06-18","2026-05-02","Per=Y","Days=T","Dir=V")</f>
        <v>0</v>
      </c>
      <c r="AK2">
        <f>BDH("INMB US Equity","CF_CASH_FROM_OPER","1993-06-18","2026-05-02","Per=Y","Days=T","Dir=V")</f>
        <v>0</v>
      </c>
      <c r="AM2">
        <f>BDH("INMB US Equity","CAPITAL_EXPEND","1993-06-18","2026-05-02","Per=Y","Days=T","Dir=V")</f>
        <v>0</v>
      </c>
      <c r="AO2">
        <f>BDH("INMB US Equity","CF_FREE_CASH_FLOW","1993-06-18","2026-05-02","Per=Y","Days=T","Dir=V")</f>
        <v>0</v>
      </c>
      <c r="AQ2">
        <f>BDH("INMB US Equity","PX_LAST","1993-06-18","2026-05-02","Per=M","Days=T","Dir=V")</f>
        <v>0</v>
      </c>
      <c r="AS2">
        <f>BDH("INMB US Equity","CUR_MKT_CAP","1993-06-18","2026-05-02","Per=M","Days=T","Dir=V")</f>
        <v>0</v>
      </c>
      <c r="AU2">
        <f>BDH("INMB US Equity","EQY_SH_OUT","1993-06-18","2026-05-02","Per=M","Days=T","Dir=V")</f>
        <v>0</v>
      </c>
      <c r="AW2">
        <f>BDH("INMB US Equity","PX_VOLUME","1993-06-18","2026-05-02","Per=M","Days=T","Dir=V")</f>
        <v>0</v>
      </c>
      <c r="AY2">
        <f>BDH("INMB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BDH("INNV US Equity","BS_TOT_ASSET","1993-06-18","2026-05-02","Per=Y","Days=T","Dir=V")</f>
        <v>0</v>
      </c>
      <c r="C2">
        <f>BDH("INNV US Equity","BS_TOT_LIAB2","1993-06-18","2026-05-02","Per=Y","Days=T","Dir=V")</f>
        <v>0</v>
      </c>
      <c r="E2">
        <f>BDH("INNV US Equity","SHORT_AND_LONG_TERM_DEBT","1993-06-18","2026-05-02","Per=Y","Days=T","Dir=V")</f>
        <v>0</v>
      </c>
      <c r="G2">
        <f>BDH("INNV US Equity","BS_ST_BORROW","1993-06-18","2026-05-02","Per=Y","Days=T","Dir=V")</f>
        <v>0</v>
      </c>
      <c r="I2">
        <f>BDH("INNV US Equity","BS_LT_BORROW","1993-06-18","2026-05-02","Per=Y","Days=T","Dir=V")</f>
        <v>0</v>
      </c>
      <c r="K2">
        <f>BDH("INNV US Equity","BS_CASH_NEAR_CASH_ITEM","1993-06-18","2026-05-02","Per=Y","Days=T","Dir=V")</f>
        <v>0</v>
      </c>
      <c r="M2">
        <f>BDH("INNV US Equity","BS_CUR_ASSET_REPORT","1993-06-18","2026-05-02","Per=Y","Days=T","Dir=V")</f>
        <v>0</v>
      </c>
      <c r="O2">
        <f>BDH("INNV US Equity","BS_CUR_LIAB","1993-06-18","2026-05-02","Per=Y","Days=T","Dir=V")</f>
        <v>0</v>
      </c>
      <c r="Q2">
        <f>BDH("INNV US Equity","BS_SHAREHOLDER_EQY_ENDING_PERIOD","1993-06-18","2026-05-02","Per=Y","Days=T","Dir=V")</f>
        <v>0</v>
      </c>
      <c r="S2">
        <f>BDH("INNV US Equity","BS_ACCT_NOTE_RCV","1993-06-18","2026-05-02","Per=Y","Days=T","Dir=V")</f>
        <v>0</v>
      </c>
      <c r="U2">
        <f>BDH("INNV US Equity","BS_INVENTORIES","1993-06-18","2026-05-02","Per=Y","Days=T","Dir=V")</f>
        <v>0</v>
      </c>
      <c r="W2">
        <f>BDH("INNV US Equity","WORKING_CAPITAL","1993-06-18","2026-05-02","Per=Y","Days=T","Dir=V")</f>
        <v>0</v>
      </c>
      <c r="Y2">
        <f>BDH("INNV US Equity","SALES_REV_TURN","1993-06-18","2026-05-02","Per=Y","Days=T","Dir=V")</f>
        <v>0</v>
      </c>
      <c r="AA2">
        <f>BDH("INNV US Equity","EBIT","1993-06-18","2026-05-02","Per=Y","Days=T","Dir=V")</f>
        <v>0</v>
      </c>
      <c r="AC2">
        <f>BDH("INNV US Equity","EBITDA","1993-06-18","2026-05-02","Per=Y","Days=T","Dir=V")</f>
        <v>0</v>
      </c>
      <c r="AE2">
        <f>BDH("INNV US Equity","NET_INCOME","1993-06-18","2026-05-02","Per=Y","Days=T","Dir=V")</f>
        <v>0</v>
      </c>
      <c r="AG2">
        <f>BDH("INNV US Equity","IS_INT_EXPENSE","1993-06-18","2026-05-02","Per=Y","Days=T","Dir=V")</f>
        <v>0</v>
      </c>
      <c r="AI2">
        <f>BDH("INNV US Equity","IS_DEPR_EXP","1993-06-18","2026-05-02","Per=Y","Days=T","Dir=V")</f>
        <v>0</v>
      </c>
      <c r="AK2">
        <f>BDH("INNV US Equity","CF_CASH_FROM_OPER","1993-06-18","2026-05-02","Per=Y","Days=T","Dir=V")</f>
        <v>0</v>
      </c>
      <c r="AM2">
        <f>BDH("INNV US Equity","CAPITAL_EXPEND","1993-06-18","2026-05-02","Per=Y","Days=T","Dir=V")</f>
        <v>0</v>
      </c>
      <c r="AO2">
        <f>BDH("INNV US Equity","CF_FREE_CASH_FLOW","1993-06-18","2026-05-02","Per=Y","Days=T","Dir=V")</f>
        <v>0</v>
      </c>
      <c r="AQ2">
        <f>BDH("INNV US Equity","PX_LAST","1993-06-18","2026-05-02","Per=M","Days=T","Dir=V")</f>
        <v>0</v>
      </c>
      <c r="AS2">
        <f>BDH("INNV US Equity","CUR_MKT_CAP","1993-06-18","2026-05-02","Per=M","Days=T","Dir=V")</f>
        <v>0</v>
      </c>
      <c r="AU2">
        <f>BDH("INNV US Equity","EQY_SH_OUT","1993-06-18","2026-05-02","Per=M","Days=T","Dir=V")</f>
        <v>0</v>
      </c>
      <c r="AW2">
        <f>BDH("INNV US Equity","PX_VOLUME","1993-06-18","2026-05-02","Per=M","Days=T","Dir=V")</f>
        <v>0</v>
      </c>
      <c r="AY2">
        <f>BDH("INNV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BDH("INO US Equity","BS_TOT_ASSET","1993-06-18","2026-05-02","Per=Y","Days=T","Dir=V")</f>
        <v>0</v>
      </c>
      <c r="C2">
        <f>BDH("INO US Equity","BS_TOT_LIAB2","1993-06-18","2026-05-02","Per=Y","Days=T","Dir=V")</f>
        <v>0</v>
      </c>
      <c r="E2">
        <f>BDH("INO US Equity","SHORT_AND_LONG_TERM_DEBT","1993-06-18","2026-05-02","Per=Y","Days=T","Dir=V")</f>
        <v>0</v>
      </c>
      <c r="G2">
        <f>BDH("INO US Equity","BS_ST_BORROW","1993-06-18","2026-05-02","Per=Y","Days=T","Dir=V")</f>
        <v>0</v>
      </c>
      <c r="I2">
        <f>BDH("INO US Equity","BS_LT_BORROW","1993-06-18","2026-05-02","Per=Y","Days=T","Dir=V")</f>
        <v>0</v>
      </c>
      <c r="K2">
        <f>BDH("INO US Equity","BS_CASH_NEAR_CASH_ITEM","1993-06-18","2026-05-02","Per=Y","Days=T","Dir=V")</f>
        <v>0</v>
      </c>
      <c r="M2">
        <f>BDH("INO US Equity","BS_CUR_ASSET_REPORT","1993-06-18","2026-05-02","Per=Y","Days=T","Dir=V")</f>
        <v>0</v>
      </c>
      <c r="O2">
        <f>BDH("INO US Equity","BS_CUR_LIAB","1993-06-18","2026-05-02","Per=Y","Days=T","Dir=V")</f>
        <v>0</v>
      </c>
      <c r="Q2">
        <f>BDH("INO US Equity","BS_SHAREHOLDER_EQY_ENDING_PERIOD","1993-06-18","2026-05-02","Per=Y","Days=T","Dir=V")</f>
        <v>0</v>
      </c>
      <c r="S2">
        <f>BDH("INO US Equity","BS_ACCT_NOTE_RCV","1993-06-18","2026-05-02","Per=Y","Days=T","Dir=V")</f>
        <v>0</v>
      </c>
      <c r="U2">
        <f>BDH("INO US Equity","BS_INVENTORIES","1993-06-18","2026-05-02","Per=Y","Days=T","Dir=V")</f>
        <v>0</v>
      </c>
      <c r="W2">
        <f>BDH("INO US Equity","WORKING_CAPITAL","1993-06-18","2026-05-02","Per=Y","Days=T","Dir=V")</f>
        <v>0</v>
      </c>
      <c r="Y2">
        <f>BDH("INO US Equity","SALES_REV_TURN","1993-06-18","2026-05-02","Per=Y","Days=T","Dir=V")</f>
        <v>0</v>
      </c>
      <c r="AA2">
        <f>BDH("INO US Equity","EBIT","1993-06-18","2026-05-02","Per=Y","Days=T","Dir=V")</f>
        <v>0</v>
      </c>
      <c r="AC2">
        <f>BDH("INO US Equity","EBITDA","1993-06-18","2026-05-02","Per=Y","Days=T","Dir=V")</f>
        <v>0</v>
      </c>
      <c r="AE2">
        <f>BDH("INO US Equity","NET_INCOME","1993-06-18","2026-05-02","Per=Y","Days=T","Dir=V")</f>
        <v>0</v>
      </c>
      <c r="AG2">
        <f>BDH("INO US Equity","IS_INT_EXPENSE","1993-06-18","2026-05-02","Per=Y","Days=T","Dir=V")</f>
        <v>0</v>
      </c>
      <c r="AI2">
        <f>BDH("INO US Equity","IS_DEPR_EXP","1993-06-18","2026-05-02","Per=Y","Days=T","Dir=V")</f>
        <v>0</v>
      </c>
      <c r="AK2">
        <f>BDH("INO US Equity","CF_CASH_FROM_OPER","1993-06-18","2026-05-02","Per=Y","Days=T","Dir=V")</f>
        <v>0</v>
      </c>
      <c r="AM2">
        <f>BDH("INO US Equity","CAPITAL_EXPEND","1993-06-18","2026-05-02","Per=Y","Days=T","Dir=V")</f>
        <v>0</v>
      </c>
      <c r="AO2">
        <f>BDH("INO US Equity","CF_FREE_CASH_FLOW","1993-06-18","2026-05-02","Per=Y","Days=T","Dir=V")</f>
        <v>0</v>
      </c>
      <c r="AQ2">
        <f>BDH("INO US Equity","PX_LAST","1993-06-18","2026-05-02","Per=M","Days=T","Dir=V")</f>
        <v>0</v>
      </c>
      <c r="AS2">
        <f>BDH("INO US Equity","CUR_MKT_CAP","1993-06-18","2026-05-02","Per=M","Days=T","Dir=V")</f>
        <v>0</v>
      </c>
      <c r="AU2">
        <f>BDH("INO US Equity","EQY_SH_OUT","1993-06-18","2026-05-02","Per=M","Days=T","Dir=V")</f>
        <v>0</v>
      </c>
      <c r="AW2">
        <f>BDH("INO US Equity","PX_VOLUME","1993-06-18","2026-05-02","Per=M","Days=T","Dir=V")</f>
        <v>0</v>
      </c>
      <c r="AY2">
        <f>BDH("INO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BDH("INOD US Equity","BS_TOT_ASSET","1993-06-18","2026-05-02","Per=Y","Days=T","Dir=V")</f>
        <v>0</v>
      </c>
      <c r="C2">
        <f>BDH("INOD US Equity","BS_TOT_LIAB2","1993-06-18","2026-05-02","Per=Y","Days=T","Dir=V")</f>
        <v>0</v>
      </c>
      <c r="E2">
        <f>BDH("INOD US Equity","SHORT_AND_LONG_TERM_DEBT","1993-06-18","2026-05-02","Per=Y","Days=T","Dir=V")</f>
        <v>0</v>
      </c>
      <c r="G2">
        <f>BDH("INOD US Equity","BS_ST_BORROW","1993-06-18","2026-05-02","Per=Y","Days=T","Dir=V")</f>
        <v>0</v>
      </c>
      <c r="I2">
        <f>BDH("INOD US Equity","BS_LT_BORROW","1993-06-18","2026-05-02","Per=Y","Days=T","Dir=V")</f>
        <v>0</v>
      </c>
      <c r="K2">
        <f>BDH("INOD US Equity","BS_CASH_NEAR_CASH_ITEM","1993-06-18","2026-05-02","Per=Y","Days=T","Dir=V")</f>
        <v>0</v>
      </c>
      <c r="M2">
        <f>BDH("INOD US Equity","BS_CUR_ASSET_REPORT","1993-06-18","2026-05-02","Per=Y","Days=T","Dir=V")</f>
        <v>0</v>
      </c>
      <c r="O2">
        <f>BDH("INOD US Equity","BS_CUR_LIAB","1993-06-18","2026-05-02","Per=Y","Days=T","Dir=V")</f>
        <v>0</v>
      </c>
      <c r="Q2">
        <f>BDH("INOD US Equity","BS_SHAREHOLDER_EQY_ENDING_PERIOD","1993-06-18","2026-05-02","Per=Y","Days=T","Dir=V")</f>
        <v>0</v>
      </c>
      <c r="S2">
        <f>BDH("INOD US Equity","BS_ACCT_NOTE_RCV","1993-06-18","2026-05-02","Per=Y","Days=T","Dir=V")</f>
        <v>0</v>
      </c>
      <c r="U2">
        <f>BDH("INOD US Equity","BS_INVENTORIES","1993-06-18","2026-05-02","Per=Y","Days=T","Dir=V")</f>
        <v>0</v>
      </c>
      <c r="W2">
        <f>BDH("INOD US Equity","WORKING_CAPITAL","1993-06-18","2026-05-02","Per=Y","Days=T","Dir=V")</f>
        <v>0</v>
      </c>
      <c r="Y2">
        <f>BDH("INOD US Equity","SALES_REV_TURN","1993-06-18","2026-05-02","Per=Y","Days=T","Dir=V")</f>
        <v>0</v>
      </c>
      <c r="AA2">
        <f>BDH("INOD US Equity","EBIT","1993-06-18","2026-05-02","Per=Y","Days=T","Dir=V")</f>
        <v>0</v>
      </c>
      <c r="AC2">
        <f>BDH("INOD US Equity","EBITDA","1993-06-18","2026-05-02","Per=Y","Days=T","Dir=V")</f>
        <v>0</v>
      </c>
      <c r="AE2">
        <f>BDH("INOD US Equity","NET_INCOME","1993-06-18","2026-05-02","Per=Y","Days=T","Dir=V")</f>
        <v>0</v>
      </c>
      <c r="AG2">
        <f>BDH("INOD US Equity","IS_INT_EXPENSE","1993-06-18","2026-05-02","Per=Y","Days=T","Dir=V")</f>
        <v>0</v>
      </c>
      <c r="AI2">
        <f>BDH("INOD US Equity","IS_DEPR_EXP","1993-06-18","2026-05-02","Per=Y","Days=T","Dir=V")</f>
        <v>0</v>
      </c>
      <c r="AK2">
        <f>BDH("INOD US Equity","CF_CASH_FROM_OPER","1993-06-18","2026-05-02","Per=Y","Days=T","Dir=V")</f>
        <v>0</v>
      </c>
      <c r="AM2">
        <f>BDH("INOD US Equity","CAPITAL_EXPEND","1993-06-18","2026-05-02","Per=Y","Days=T","Dir=V")</f>
        <v>0</v>
      </c>
      <c r="AO2">
        <f>BDH("INOD US Equity","CF_FREE_CASH_FLOW","1993-06-18","2026-05-02","Per=Y","Days=T","Dir=V")</f>
        <v>0</v>
      </c>
      <c r="AQ2">
        <f>BDH("INOD US Equity","PX_LAST","1993-06-18","2026-05-02","Per=M","Days=T","Dir=V")</f>
        <v>0</v>
      </c>
      <c r="AS2">
        <f>BDH("INOD US Equity","CUR_MKT_CAP","1993-06-18","2026-05-02","Per=M","Days=T","Dir=V")</f>
        <v>0</v>
      </c>
      <c r="AU2">
        <f>BDH("INOD US Equity","EQY_SH_OUT","1993-06-18","2026-05-02","Per=M","Days=T","Dir=V")</f>
        <v>0</v>
      </c>
      <c r="AW2">
        <f>BDH("INOD US Equity","PX_VOLUME","1993-06-18","2026-05-02","Per=M","Days=T","Dir=V")</f>
        <v>0</v>
      </c>
      <c r="AY2">
        <f>BDH("INOD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BDH("INR US Equity","BS_TOT_ASSET","1993-06-18","2026-05-02","Per=Y","Days=T","Dir=V")</f>
        <v>0</v>
      </c>
      <c r="C2">
        <f>BDH("INR US Equity","BS_TOT_LIAB2","1993-06-18","2026-05-02","Per=Y","Days=T","Dir=V")</f>
        <v>0</v>
      </c>
      <c r="E2">
        <f>BDH("INR US Equity","SHORT_AND_LONG_TERM_DEBT","1993-06-18","2026-05-02","Per=Y","Days=T","Dir=V")</f>
        <v>0</v>
      </c>
      <c r="G2">
        <f>BDH("INR US Equity","BS_ST_BORROW","1993-06-18","2026-05-02","Per=Y","Days=T","Dir=V")</f>
        <v>0</v>
      </c>
      <c r="I2">
        <f>BDH("INR US Equity","BS_LT_BORROW","1993-06-18","2026-05-02","Per=Y","Days=T","Dir=V")</f>
        <v>0</v>
      </c>
      <c r="K2">
        <f>BDH("INR US Equity","BS_CASH_NEAR_CASH_ITEM","1993-06-18","2026-05-02","Per=Y","Days=T","Dir=V")</f>
        <v>0</v>
      </c>
      <c r="M2">
        <f>BDH("INR US Equity","BS_CUR_ASSET_REPORT","1993-06-18","2026-05-02","Per=Y","Days=T","Dir=V")</f>
        <v>0</v>
      </c>
      <c r="O2">
        <f>BDH("INR US Equity","BS_CUR_LIAB","1993-06-18","2026-05-02","Per=Y","Days=T","Dir=V")</f>
        <v>0</v>
      </c>
      <c r="Q2">
        <f>BDH("INR US Equity","BS_SHAREHOLDER_EQY_ENDING_PERIOD","1993-06-18","2026-05-02","Per=Y","Days=T","Dir=V")</f>
        <v>0</v>
      </c>
      <c r="S2">
        <f>BDH("INR US Equity","BS_ACCT_NOTE_RCV","1993-06-18","2026-05-02","Per=Y","Days=T","Dir=V")</f>
        <v>0</v>
      </c>
      <c r="U2">
        <f>BDH("INR US Equity","BS_INVENTORIES","1993-06-18","2026-05-02","Per=Y","Days=T","Dir=V")</f>
        <v>0</v>
      </c>
      <c r="W2">
        <f>BDH("INR US Equity","WORKING_CAPITAL","1993-06-18","2026-05-02","Per=Y","Days=T","Dir=V")</f>
        <v>0</v>
      </c>
      <c r="Y2">
        <f>BDH("INR US Equity","SALES_REV_TURN","1993-06-18","2026-05-02","Per=Y","Days=T","Dir=V")</f>
        <v>0</v>
      </c>
      <c r="AA2">
        <f>BDH("INR US Equity","EBIT","1993-06-18","2026-05-02","Per=Y","Days=T","Dir=V")</f>
        <v>0</v>
      </c>
      <c r="AC2">
        <f>BDH("INR US Equity","EBITDA","1993-06-18","2026-05-02","Per=Y","Days=T","Dir=V")</f>
        <v>0</v>
      </c>
      <c r="AE2">
        <f>BDH("INR US Equity","NET_INCOME","1993-06-18","2026-05-02","Per=Y","Days=T","Dir=V")</f>
        <v>0</v>
      </c>
      <c r="AG2">
        <f>BDH("INR US Equity","IS_INT_EXPENSE","1993-06-18","2026-05-02","Per=Y","Days=T","Dir=V")</f>
        <v>0</v>
      </c>
      <c r="AI2">
        <f>BDH("INR US Equity","IS_DEPR_EXP","1993-06-18","2026-05-02","Per=Y","Days=T","Dir=V")</f>
        <v>0</v>
      </c>
      <c r="AK2">
        <f>BDH("INR US Equity","CF_CASH_FROM_OPER","1993-06-18","2026-05-02","Per=Y","Days=T","Dir=V")</f>
        <v>0</v>
      </c>
      <c r="AM2">
        <f>BDH("INR US Equity","CAPITAL_EXPEND","1993-06-18","2026-05-02","Per=Y","Days=T","Dir=V")</f>
        <v>0</v>
      </c>
      <c r="AO2">
        <f>BDH("INR US Equity","CF_FREE_CASH_FLOW","1993-06-18","2026-05-02","Per=Y","Days=T","Dir=V")</f>
        <v>0</v>
      </c>
      <c r="AQ2">
        <f>BDH("INR US Equity","PX_LAST","1993-06-18","2026-05-02","Per=M","Days=T","Dir=V")</f>
        <v>0</v>
      </c>
      <c r="AS2">
        <f>BDH("INR US Equity","CUR_MKT_CAP","1993-06-18","2026-05-02","Per=M","Days=T","Dir=V")</f>
        <v>0</v>
      </c>
      <c r="AU2">
        <f>BDH("INR US Equity","EQY_SH_OUT","1993-06-18","2026-05-02","Per=M","Days=T","Dir=V")</f>
        <v>0</v>
      </c>
      <c r="AW2">
        <f>BDH("INR US Equity","PX_VOLUME","1993-06-18","2026-05-02","Per=M","Days=T","Dir=V")</f>
        <v>0</v>
      </c>
      <c r="AY2">
        <f>BDH("INR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BDH("INSE US Equity","BS_TOT_ASSET","1993-06-18","2026-05-02","Per=Y","Days=T","Dir=V")</f>
        <v>0</v>
      </c>
      <c r="C2">
        <f>BDH("INSE US Equity","BS_TOT_LIAB2","1993-06-18","2026-05-02","Per=Y","Days=T","Dir=V")</f>
        <v>0</v>
      </c>
      <c r="E2">
        <f>BDH("INSE US Equity","SHORT_AND_LONG_TERM_DEBT","1993-06-18","2026-05-02","Per=Y","Days=T","Dir=V")</f>
        <v>0</v>
      </c>
      <c r="G2">
        <f>BDH("INSE US Equity","BS_ST_BORROW","1993-06-18","2026-05-02","Per=Y","Days=T","Dir=V")</f>
        <v>0</v>
      </c>
      <c r="I2">
        <f>BDH("INSE US Equity","BS_LT_BORROW","1993-06-18","2026-05-02","Per=Y","Days=T","Dir=V")</f>
        <v>0</v>
      </c>
      <c r="K2">
        <f>BDH("INSE US Equity","BS_CASH_NEAR_CASH_ITEM","1993-06-18","2026-05-02","Per=Y","Days=T","Dir=V")</f>
        <v>0</v>
      </c>
      <c r="M2">
        <f>BDH("INSE US Equity","BS_CUR_ASSET_REPORT","1993-06-18","2026-05-02","Per=Y","Days=T","Dir=V")</f>
        <v>0</v>
      </c>
      <c r="O2">
        <f>BDH("INSE US Equity","BS_CUR_LIAB","1993-06-18","2026-05-02","Per=Y","Days=T","Dir=V")</f>
        <v>0</v>
      </c>
      <c r="Q2">
        <f>BDH("INSE US Equity","BS_SHAREHOLDER_EQY_ENDING_PERIOD","1993-06-18","2026-05-02","Per=Y","Days=T","Dir=V")</f>
        <v>0</v>
      </c>
      <c r="S2">
        <f>BDH("INSE US Equity","BS_ACCT_NOTE_RCV","1993-06-18","2026-05-02","Per=Y","Days=T","Dir=V")</f>
        <v>0</v>
      </c>
      <c r="U2">
        <f>BDH("INSE US Equity","BS_INVENTORIES","1993-06-18","2026-05-02","Per=Y","Days=T","Dir=V")</f>
        <v>0</v>
      </c>
      <c r="W2">
        <f>BDH("INSE US Equity","WORKING_CAPITAL","1993-06-18","2026-05-02","Per=Y","Days=T","Dir=V")</f>
        <v>0</v>
      </c>
      <c r="Y2">
        <f>BDH("INSE US Equity","SALES_REV_TURN","1993-06-18","2026-05-02","Per=Y","Days=T","Dir=V")</f>
        <v>0</v>
      </c>
      <c r="AA2">
        <f>BDH("INSE US Equity","EBIT","1993-06-18","2026-05-02","Per=Y","Days=T","Dir=V")</f>
        <v>0</v>
      </c>
      <c r="AC2">
        <f>BDH("INSE US Equity","EBITDA","1993-06-18","2026-05-02","Per=Y","Days=T","Dir=V")</f>
        <v>0</v>
      </c>
      <c r="AE2">
        <f>BDH("INSE US Equity","NET_INCOME","1993-06-18","2026-05-02","Per=Y","Days=T","Dir=V")</f>
        <v>0</v>
      </c>
      <c r="AG2">
        <f>BDH("INSE US Equity","IS_INT_EXPENSE","1993-06-18","2026-05-02","Per=Y","Days=T","Dir=V")</f>
        <v>0</v>
      </c>
      <c r="AI2">
        <f>BDH("INSE US Equity","IS_DEPR_EXP","1993-06-18","2026-05-02","Per=Y","Days=T","Dir=V")</f>
        <v>0</v>
      </c>
      <c r="AK2">
        <f>BDH("INSE US Equity","CF_CASH_FROM_OPER","1993-06-18","2026-05-02","Per=Y","Days=T","Dir=V")</f>
        <v>0</v>
      </c>
      <c r="AM2">
        <f>BDH("INSE US Equity","CAPITAL_EXPEND","1993-06-18","2026-05-02","Per=Y","Days=T","Dir=V")</f>
        <v>0</v>
      </c>
      <c r="AO2">
        <f>BDH("INSE US Equity","CF_FREE_CASH_FLOW","1993-06-18","2026-05-02","Per=Y","Days=T","Dir=V")</f>
        <v>0</v>
      </c>
      <c r="AQ2">
        <f>BDH("INSE US Equity","PX_LAST","1993-06-18","2026-05-02","Per=M","Days=T","Dir=V")</f>
        <v>0</v>
      </c>
      <c r="AS2">
        <f>BDH("INSE US Equity","CUR_MKT_CAP","1993-06-18","2026-05-02","Per=M","Days=T","Dir=V")</f>
        <v>0</v>
      </c>
      <c r="AU2">
        <f>BDH("INSE US Equity","EQY_SH_OUT","1993-06-18","2026-05-02","Per=M","Days=T","Dir=V")</f>
        <v>0</v>
      </c>
      <c r="AW2">
        <f>BDH("INSE US Equity","PX_VOLUME","1993-06-18","2026-05-02","Per=M","Days=T","Dir=V")</f>
        <v>0</v>
      </c>
      <c r="AY2">
        <f>BDH("INSE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BDH("INSG US Equity","BS_TOT_ASSET","1993-06-18","2026-05-02","Per=Y","Days=T","Dir=V")</f>
        <v>0</v>
      </c>
      <c r="C2">
        <f>BDH("INSG US Equity","BS_TOT_LIAB2","1993-06-18","2026-05-02","Per=Y","Days=T","Dir=V")</f>
        <v>0</v>
      </c>
      <c r="E2">
        <f>BDH("INSG US Equity","SHORT_AND_LONG_TERM_DEBT","1993-06-18","2026-05-02","Per=Y","Days=T","Dir=V")</f>
        <v>0</v>
      </c>
      <c r="G2">
        <f>BDH("INSG US Equity","BS_ST_BORROW","1993-06-18","2026-05-02","Per=Y","Days=T","Dir=V")</f>
        <v>0</v>
      </c>
      <c r="I2">
        <f>BDH("INSG US Equity","BS_LT_BORROW","1993-06-18","2026-05-02","Per=Y","Days=T","Dir=V")</f>
        <v>0</v>
      </c>
      <c r="K2">
        <f>BDH("INSG US Equity","BS_CASH_NEAR_CASH_ITEM","1993-06-18","2026-05-02","Per=Y","Days=T","Dir=V")</f>
        <v>0</v>
      </c>
      <c r="M2">
        <f>BDH("INSG US Equity","BS_CUR_ASSET_REPORT","1993-06-18","2026-05-02","Per=Y","Days=T","Dir=V")</f>
        <v>0</v>
      </c>
      <c r="O2">
        <f>BDH("INSG US Equity","BS_CUR_LIAB","1993-06-18","2026-05-02","Per=Y","Days=T","Dir=V")</f>
        <v>0</v>
      </c>
      <c r="Q2">
        <f>BDH("INSG US Equity","BS_SHAREHOLDER_EQY_ENDING_PERIOD","1993-06-18","2026-05-02","Per=Y","Days=T","Dir=V")</f>
        <v>0</v>
      </c>
      <c r="S2">
        <f>BDH("INSG US Equity","BS_ACCT_NOTE_RCV","1993-06-18","2026-05-02","Per=Y","Days=T","Dir=V")</f>
        <v>0</v>
      </c>
      <c r="U2">
        <f>BDH("INSG US Equity","BS_INVENTORIES","1993-06-18","2026-05-02","Per=Y","Days=T","Dir=V")</f>
        <v>0</v>
      </c>
      <c r="W2">
        <f>BDH("INSG US Equity","WORKING_CAPITAL","1993-06-18","2026-05-02","Per=Y","Days=T","Dir=V")</f>
        <v>0</v>
      </c>
      <c r="Y2">
        <f>BDH("INSG US Equity","SALES_REV_TURN","1993-06-18","2026-05-02","Per=Y","Days=T","Dir=V")</f>
        <v>0</v>
      </c>
      <c r="AA2">
        <f>BDH("INSG US Equity","EBIT","1993-06-18","2026-05-02","Per=Y","Days=T","Dir=V")</f>
        <v>0</v>
      </c>
      <c r="AC2">
        <f>BDH("INSG US Equity","EBITDA","1993-06-18","2026-05-02","Per=Y","Days=T","Dir=V")</f>
        <v>0</v>
      </c>
      <c r="AE2">
        <f>BDH("INSG US Equity","NET_INCOME","1993-06-18","2026-05-02","Per=Y","Days=T","Dir=V")</f>
        <v>0</v>
      </c>
      <c r="AG2">
        <f>BDH("INSG US Equity","IS_INT_EXPENSE","1993-06-18","2026-05-02","Per=Y","Days=T","Dir=V")</f>
        <v>0</v>
      </c>
      <c r="AI2">
        <f>BDH("INSG US Equity","IS_DEPR_EXP","1993-06-18","2026-05-02","Per=Y","Days=T","Dir=V")</f>
        <v>0</v>
      </c>
      <c r="AK2">
        <f>BDH("INSG US Equity","CF_CASH_FROM_OPER","1993-06-18","2026-05-02","Per=Y","Days=T","Dir=V")</f>
        <v>0</v>
      </c>
      <c r="AM2">
        <f>BDH("INSG US Equity","CAPITAL_EXPEND","1993-06-18","2026-05-02","Per=Y","Days=T","Dir=V")</f>
        <v>0</v>
      </c>
      <c r="AO2">
        <f>BDH("INSG US Equity","CF_FREE_CASH_FLOW","1993-06-18","2026-05-02","Per=Y","Days=T","Dir=V")</f>
        <v>0</v>
      </c>
      <c r="AQ2">
        <f>BDH("INSG US Equity","PX_LAST","1993-06-18","2026-05-02","Per=M","Days=T","Dir=V")</f>
        <v>0</v>
      </c>
      <c r="AS2">
        <f>BDH("INSG US Equity","CUR_MKT_CAP","1993-06-18","2026-05-02","Per=M","Days=T","Dir=V")</f>
        <v>0</v>
      </c>
      <c r="AU2">
        <f>BDH("INSG US Equity","EQY_SH_OUT","1993-06-18","2026-05-02","Per=M","Days=T","Dir=V")</f>
        <v>0</v>
      </c>
      <c r="AW2">
        <f>BDH("INSG US Equity","PX_VOLUME","1993-06-18","2026-05-02","Per=M","Days=T","Dir=V")</f>
        <v>0</v>
      </c>
      <c r="AY2">
        <f>BDH("INSG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BDH("INSM US Equity","BS_TOT_ASSET","1993-06-18","2026-05-02","Per=Y","Days=T","Dir=V")</f>
        <v>0</v>
      </c>
      <c r="C2">
        <f>BDH("INSM US Equity","BS_TOT_LIAB2","1993-06-18","2026-05-02","Per=Y","Days=T","Dir=V")</f>
        <v>0</v>
      </c>
      <c r="E2">
        <f>BDH("INSM US Equity","SHORT_AND_LONG_TERM_DEBT","1993-06-18","2026-05-02","Per=Y","Days=T","Dir=V")</f>
        <v>0</v>
      </c>
      <c r="G2">
        <f>BDH("INSM US Equity","BS_ST_BORROW","1993-06-18","2026-05-02","Per=Y","Days=T","Dir=V")</f>
        <v>0</v>
      </c>
      <c r="I2">
        <f>BDH("INSM US Equity","BS_LT_BORROW","1993-06-18","2026-05-02","Per=Y","Days=T","Dir=V")</f>
        <v>0</v>
      </c>
      <c r="K2">
        <f>BDH("INSM US Equity","BS_CASH_NEAR_CASH_ITEM","1993-06-18","2026-05-02","Per=Y","Days=T","Dir=V")</f>
        <v>0</v>
      </c>
      <c r="M2">
        <f>BDH("INSM US Equity","BS_CUR_ASSET_REPORT","1993-06-18","2026-05-02","Per=Y","Days=T","Dir=V")</f>
        <v>0</v>
      </c>
      <c r="O2">
        <f>BDH("INSM US Equity","BS_CUR_LIAB","1993-06-18","2026-05-02","Per=Y","Days=T","Dir=V")</f>
        <v>0</v>
      </c>
      <c r="Q2">
        <f>BDH("INSM US Equity","BS_SHAREHOLDER_EQY_ENDING_PERIOD","1993-06-18","2026-05-02","Per=Y","Days=T","Dir=V")</f>
        <v>0</v>
      </c>
      <c r="S2">
        <f>BDH("INSM US Equity","BS_ACCT_NOTE_RCV","1993-06-18","2026-05-02","Per=Y","Days=T","Dir=V")</f>
        <v>0</v>
      </c>
      <c r="U2">
        <f>BDH("INSM US Equity","BS_INVENTORIES","1993-06-18","2026-05-02","Per=Y","Days=T","Dir=V")</f>
        <v>0</v>
      </c>
      <c r="W2">
        <f>BDH("INSM US Equity","WORKING_CAPITAL","1993-06-18","2026-05-02","Per=Y","Days=T","Dir=V")</f>
        <v>0</v>
      </c>
      <c r="Y2">
        <f>BDH("INSM US Equity","SALES_REV_TURN","1993-06-18","2026-05-02","Per=Y","Days=T","Dir=V")</f>
        <v>0</v>
      </c>
      <c r="AA2">
        <f>BDH("INSM US Equity","EBIT","1993-06-18","2026-05-02","Per=Y","Days=T","Dir=V")</f>
        <v>0</v>
      </c>
      <c r="AC2">
        <f>BDH("INSM US Equity","EBITDA","1993-06-18","2026-05-02","Per=Y","Days=T","Dir=V")</f>
        <v>0</v>
      </c>
      <c r="AE2">
        <f>BDH("INSM US Equity","NET_INCOME","1993-06-18","2026-05-02","Per=Y","Days=T","Dir=V")</f>
        <v>0</v>
      </c>
      <c r="AG2">
        <f>BDH("INSM US Equity","IS_INT_EXPENSE","1993-06-18","2026-05-02","Per=Y","Days=T","Dir=V")</f>
        <v>0</v>
      </c>
      <c r="AI2">
        <f>BDH("INSM US Equity","IS_DEPR_EXP","1993-06-18","2026-05-02","Per=Y","Days=T","Dir=V")</f>
        <v>0</v>
      </c>
      <c r="AK2">
        <f>BDH("INSM US Equity","CF_CASH_FROM_OPER","1993-06-18","2026-05-02","Per=Y","Days=T","Dir=V")</f>
        <v>0</v>
      </c>
      <c r="AM2">
        <f>BDH("INSM US Equity","CAPITAL_EXPEND","1993-06-18","2026-05-02","Per=Y","Days=T","Dir=V")</f>
        <v>0</v>
      </c>
      <c r="AO2">
        <f>BDH("INSM US Equity","CF_FREE_CASH_FLOW","1993-06-18","2026-05-02","Per=Y","Days=T","Dir=V")</f>
        <v>0</v>
      </c>
      <c r="AQ2">
        <f>BDH("INSM US Equity","PX_LAST","1993-06-18","2026-05-02","Per=M","Days=T","Dir=V")</f>
        <v>0</v>
      </c>
      <c r="AS2">
        <f>BDH("INSM US Equity","CUR_MKT_CAP","1993-06-18","2026-05-02","Per=M","Days=T","Dir=V")</f>
        <v>0</v>
      </c>
      <c r="AU2">
        <f>BDH("INSM US Equity","EQY_SH_OUT","1993-06-18","2026-05-02","Per=M","Days=T","Dir=V")</f>
        <v>0</v>
      </c>
      <c r="AW2">
        <f>BDH("INSM US Equity","PX_VOLUME","1993-06-18","2026-05-02","Per=M","Days=T","Dir=V")</f>
        <v>0</v>
      </c>
      <c r="AY2">
        <f>BDH("INSM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BDH("INSP US Equity","BS_TOT_ASSET","1993-06-18","2026-05-02","Per=Y","Days=T","Dir=V")</f>
        <v>0</v>
      </c>
      <c r="C2">
        <f>BDH("INSP US Equity","BS_TOT_LIAB2","1993-06-18","2026-05-02","Per=Y","Days=T","Dir=V")</f>
        <v>0</v>
      </c>
      <c r="E2">
        <f>BDH("INSP US Equity","SHORT_AND_LONG_TERM_DEBT","1993-06-18","2026-05-02","Per=Y","Days=T","Dir=V")</f>
        <v>0</v>
      </c>
      <c r="G2">
        <f>BDH("INSP US Equity","BS_ST_BORROW","1993-06-18","2026-05-02","Per=Y","Days=T","Dir=V")</f>
        <v>0</v>
      </c>
      <c r="I2">
        <f>BDH("INSP US Equity","BS_LT_BORROW","1993-06-18","2026-05-02","Per=Y","Days=T","Dir=V")</f>
        <v>0</v>
      </c>
      <c r="K2">
        <f>BDH("INSP US Equity","BS_CASH_NEAR_CASH_ITEM","1993-06-18","2026-05-02","Per=Y","Days=T","Dir=V")</f>
        <v>0</v>
      </c>
      <c r="M2">
        <f>BDH("INSP US Equity","BS_CUR_ASSET_REPORT","1993-06-18","2026-05-02","Per=Y","Days=T","Dir=V")</f>
        <v>0</v>
      </c>
      <c r="O2">
        <f>BDH("INSP US Equity","BS_CUR_LIAB","1993-06-18","2026-05-02","Per=Y","Days=T","Dir=V")</f>
        <v>0</v>
      </c>
      <c r="Q2">
        <f>BDH("INSP US Equity","BS_SHAREHOLDER_EQY_ENDING_PERIOD","1993-06-18","2026-05-02","Per=Y","Days=T","Dir=V")</f>
        <v>0</v>
      </c>
      <c r="S2">
        <f>BDH("INSP US Equity","BS_ACCT_NOTE_RCV","1993-06-18","2026-05-02","Per=Y","Days=T","Dir=V")</f>
        <v>0</v>
      </c>
      <c r="U2">
        <f>BDH("INSP US Equity","BS_INVENTORIES","1993-06-18","2026-05-02","Per=Y","Days=T","Dir=V")</f>
        <v>0</v>
      </c>
      <c r="W2">
        <f>BDH("INSP US Equity","WORKING_CAPITAL","1993-06-18","2026-05-02","Per=Y","Days=T","Dir=V")</f>
        <v>0</v>
      </c>
      <c r="Y2">
        <f>BDH("INSP US Equity","SALES_REV_TURN","1993-06-18","2026-05-02","Per=Y","Days=T","Dir=V")</f>
        <v>0</v>
      </c>
      <c r="AA2">
        <f>BDH("INSP US Equity","EBIT","1993-06-18","2026-05-02","Per=Y","Days=T","Dir=V")</f>
        <v>0</v>
      </c>
      <c r="AC2">
        <f>BDH("INSP US Equity","EBITDA","1993-06-18","2026-05-02","Per=Y","Days=T","Dir=V")</f>
        <v>0</v>
      </c>
      <c r="AE2">
        <f>BDH("INSP US Equity","NET_INCOME","1993-06-18","2026-05-02","Per=Y","Days=T","Dir=V")</f>
        <v>0</v>
      </c>
      <c r="AG2">
        <f>BDH("INSP US Equity","IS_INT_EXPENSE","1993-06-18","2026-05-02","Per=Y","Days=T","Dir=V")</f>
        <v>0</v>
      </c>
      <c r="AI2">
        <f>BDH("INSP US Equity","IS_DEPR_EXP","1993-06-18","2026-05-02","Per=Y","Days=T","Dir=V")</f>
        <v>0</v>
      </c>
      <c r="AK2">
        <f>BDH("INSP US Equity","CF_CASH_FROM_OPER","1993-06-18","2026-05-02","Per=Y","Days=T","Dir=V")</f>
        <v>0</v>
      </c>
      <c r="AM2">
        <f>BDH("INSP US Equity","CAPITAL_EXPEND","1993-06-18","2026-05-02","Per=Y","Days=T","Dir=V")</f>
        <v>0</v>
      </c>
      <c r="AO2">
        <f>BDH("INSP US Equity","CF_FREE_CASH_FLOW","1993-06-18","2026-05-02","Per=Y","Days=T","Dir=V")</f>
        <v>0</v>
      </c>
      <c r="AQ2">
        <f>BDH("INSP US Equity","PX_LAST","1993-06-18","2026-05-02","Per=M","Days=T","Dir=V")</f>
        <v>0</v>
      </c>
      <c r="AS2">
        <f>BDH("INSP US Equity","CUR_MKT_CAP","1993-06-18","2026-05-02","Per=M","Days=T","Dir=V")</f>
        <v>0</v>
      </c>
      <c r="AU2">
        <f>BDH("INSP US Equity","EQY_SH_OUT","1993-06-18","2026-05-02","Per=M","Days=T","Dir=V")</f>
        <v>0</v>
      </c>
      <c r="AW2">
        <f>BDH("INSP US Equity","PX_VOLUME","1993-06-18","2026-05-02","Per=M","Days=T","Dir=V")</f>
        <v>0</v>
      </c>
      <c r="AY2">
        <f>BDH("INSP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BDH("INSW US Equity","BS_TOT_ASSET","1993-06-18","2026-05-02","Per=Y","Days=T","Dir=V")</f>
        <v>0</v>
      </c>
      <c r="C2">
        <f>BDH("INSW US Equity","BS_TOT_LIAB2","1993-06-18","2026-05-02","Per=Y","Days=T","Dir=V")</f>
        <v>0</v>
      </c>
      <c r="E2">
        <f>BDH("INSW US Equity","SHORT_AND_LONG_TERM_DEBT","1993-06-18","2026-05-02","Per=Y","Days=T","Dir=V")</f>
        <v>0</v>
      </c>
      <c r="G2">
        <f>BDH("INSW US Equity","BS_ST_BORROW","1993-06-18","2026-05-02","Per=Y","Days=T","Dir=V")</f>
        <v>0</v>
      </c>
      <c r="I2">
        <f>BDH("INSW US Equity","BS_LT_BORROW","1993-06-18","2026-05-02","Per=Y","Days=T","Dir=V")</f>
        <v>0</v>
      </c>
      <c r="K2">
        <f>BDH("INSW US Equity","BS_CASH_NEAR_CASH_ITEM","1993-06-18","2026-05-02","Per=Y","Days=T","Dir=V")</f>
        <v>0</v>
      </c>
      <c r="M2">
        <f>BDH("INSW US Equity","BS_CUR_ASSET_REPORT","1993-06-18","2026-05-02","Per=Y","Days=T","Dir=V")</f>
        <v>0</v>
      </c>
      <c r="O2">
        <f>BDH("INSW US Equity","BS_CUR_LIAB","1993-06-18","2026-05-02","Per=Y","Days=T","Dir=V")</f>
        <v>0</v>
      </c>
      <c r="Q2">
        <f>BDH("INSW US Equity","BS_SHAREHOLDER_EQY_ENDING_PERIOD","1993-06-18","2026-05-02","Per=Y","Days=T","Dir=V")</f>
        <v>0</v>
      </c>
      <c r="S2">
        <f>BDH("INSW US Equity","BS_ACCT_NOTE_RCV","1993-06-18","2026-05-02","Per=Y","Days=T","Dir=V")</f>
        <v>0</v>
      </c>
      <c r="U2">
        <f>BDH("INSW US Equity","BS_INVENTORIES","1993-06-18","2026-05-02","Per=Y","Days=T","Dir=V")</f>
        <v>0</v>
      </c>
      <c r="W2">
        <f>BDH("INSW US Equity","WORKING_CAPITAL","1993-06-18","2026-05-02","Per=Y","Days=T","Dir=V")</f>
        <v>0</v>
      </c>
      <c r="Y2">
        <f>BDH("INSW US Equity","SALES_REV_TURN","1993-06-18","2026-05-02","Per=Y","Days=T","Dir=V")</f>
        <v>0</v>
      </c>
      <c r="AA2">
        <f>BDH("INSW US Equity","EBIT","1993-06-18","2026-05-02","Per=Y","Days=T","Dir=V")</f>
        <v>0</v>
      </c>
      <c r="AC2">
        <f>BDH("INSW US Equity","EBITDA","1993-06-18","2026-05-02","Per=Y","Days=T","Dir=V")</f>
        <v>0</v>
      </c>
      <c r="AE2">
        <f>BDH("INSW US Equity","NET_INCOME","1993-06-18","2026-05-02","Per=Y","Days=T","Dir=V")</f>
        <v>0</v>
      </c>
      <c r="AG2">
        <f>BDH("INSW US Equity","IS_INT_EXPENSE","1993-06-18","2026-05-02","Per=Y","Days=T","Dir=V")</f>
        <v>0</v>
      </c>
      <c r="AI2">
        <f>BDH("INSW US Equity","IS_DEPR_EXP","1993-06-18","2026-05-02","Per=Y","Days=T","Dir=V")</f>
        <v>0</v>
      </c>
      <c r="AK2">
        <f>BDH("INSW US Equity","CF_CASH_FROM_OPER","1993-06-18","2026-05-02","Per=Y","Days=T","Dir=V")</f>
        <v>0</v>
      </c>
      <c r="AM2">
        <f>BDH("INSW US Equity","CAPITAL_EXPEND","1993-06-18","2026-05-02","Per=Y","Days=T","Dir=V")</f>
        <v>0</v>
      </c>
      <c r="AO2">
        <f>BDH("INSW US Equity","CF_FREE_CASH_FLOW","1993-06-18","2026-05-02","Per=Y","Days=T","Dir=V")</f>
        <v>0</v>
      </c>
      <c r="AQ2">
        <f>BDH("INSW US Equity","PX_LAST","1993-06-18","2026-05-02","Per=M","Days=T","Dir=V")</f>
        <v>0</v>
      </c>
      <c r="AS2">
        <f>BDH("INSW US Equity","CUR_MKT_CAP","1993-06-18","2026-05-02","Per=M","Days=T","Dir=V")</f>
        <v>0</v>
      </c>
      <c r="AU2">
        <f>BDH("INSW US Equity","EQY_SH_OUT","1993-06-18","2026-05-02","Per=M","Days=T","Dir=V")</f>
        <v>0</v>
      </c>
      <c r="AW2">
        <f>BDH("INSW US Equity","PX_VOLUME","1993-06-18","2026-05-02","Per=M","Days=T","Dir=V")</f>
        <v>0</v>
      </c>
      <c r="AY2">
        <f>BDH("INSW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BDH("INTA US Equity","BS_TOT_ASSET","1993-06-18","2026-05-02","Per=Y","Days=T","Dir=V")</f>
        <v>0</v>
      </c>
      <c r="C2">
        <f>BDH("INTA US Equity","BS_TOT_LIAB2","1993-06-18","2026-05-02","Per=Y","Days=T","Dir=V")</f>
        <v>0</v>
      </c>
      <c r="E2">
        <f>BDH("INTA US Equity","SHORT_AND_LONG_TERM_DEBT","1993-06-18","2026-05-02","Per=Y","Days=T","Dir=V")</f>
        <v>0</v>
      </c>
      <c r="G2">
        <f>BDH("INTA US Equity","BS_ST_BORROW","1993-06-18","2026-05-02","Per=Y","Days=T","Dir=V")</f>
        <v>0</v>
      </c>
      <c r="I2">
        <f>BDH("INTA US Equity","BS_LT_BORROW","1993-06-18","2026-05-02","Per=Y","Days=T","Dir=V")</f>
        <v>0</v>
      </c>
      <c r="K2">
        <f>BDH("INTA US Equity","BS_CASH_NEAR_CASH_ITEM","1993-06-18","2026-05-02","Per=Y","Days=T","Dir=V")</f>
        <v>0</v>
      </c>
      <c r="M2">
        <f>BDH("INTA US Equity","BS_CUR_ASSET_REPORT","1993-06-18","2026-05-02","Per=Y","Days=T","Dir=V")</f>
        <v>0</v>
      </c>
      <c r="O2">
        <f>BDH("INTA US Equity","BS_CUR_LIAB","1993-06-18","2026-05-02","Per=Y","Days=T","Dir=V")</f>
        <v>0</v>
      </c>
      <c r="Q2">
        <f>BDH("INTA US Equity","BS_SHAREHOLDER_EQY_ENDING_PERIOD","1993-06-18","2026-05-02","Per=Y","Days=T","Dir=V")</f>
        <v>0</v>
      </c>
      <c r="S2">
        <f>BDH("INTA US Equity","BS_ACCT_NOTE_RCV","1993-06-18","2026-05-02","Per=Y","Days=T","Dir=V")</f>
        <v>0</v>
      </c>
      <c r="U2">
        <f>BDH("INTA US Equity","BS_INVENTORIES","1993-06-18","2026-05-02","Per=Y","Days=T","Dir=V")</f>
        <v>0</v>
      </c>
      <c r="W2">
        <f>BDH("INTA US Equity","WORKING_CAPITAL","1993-06-18","2026-05-02","Per=Y","Days=T","Dir=V")</f>
        <v>0</v>
      </c>
      <c r="Y2">
        <f>BDH("INTA US Equity","SALES_REV_TURN","1993-06-18","2026-05-02","Per=Y","Days=T","Dir=V")</f>
        <v>0</v>
      </c>
      <c r="AA2">
        <f>BDH("INTA US Equity","EBIT","1993-06-18","2026-05-02","Per=Y","Days=T","Dir=V")</f>
        <v>0</v>
      </c>
      <c r="AC2">
        <f>BDH("INTA US Equity","EBITDA","1993-06-18","2026-05-02","Per=Y","Days=T","Dir=V")</f>
        <v>0</v>
      </c>
      <c r="AE2">
        <f>BDH("INTA US Equity","NET_INCOME","1993-06-18","2026-05-02","Per=Y","Days=T","Dir=V")</f>
        <v>0</v>
      </c>
      <c r="AG2">
        <f>BDH("INTA US Equity","IS_INT_EXPENSE","1993-06-18","2026-05-02","Per=Y","Days=T","Dir=V")</f>
        <v>0</v>
      </c>
      <c r="AI2">
        <f>BDH("INTA US Equity","IS_DEPR_EXP","1993-06-18","2026-05-02","Per=Y","Days=T","Dir=V")</f>
        <v>0</v>
      </c>
      <c r="AK2">
        <f>BDH("INTA US Equity","CF_CASH_FROM_OPER","1993-06-18","2026-05-02","Per=Y","Days=T","Dir=V")</f>
        <v>0</v>
      </c>
      <c r="AM2">
        <f>BDH("INTA US Equity","CAPITAL_EXPEND","1993-06-18","2026-05-02","Per=Y","Days=T","Dir=V")</f>
        <v>0</v>
      </c>
      <c r="AO2">
        <f>BDH("INTA US Equity","CF_FREE_CASH_FLOW","1993-06-18","2026-05-02","Per=Y","Days=T","Dir=V")</f>
        <v>0</v>
      </c>
      <c r="AQ2">
        <f>BDH("INTA US Equity","PX_LAST","1993-06-18","2026-05-02","Per=M","Days=T","Dir=V")</f>
        <v>0</v>
      </c>
      <c r="AS2">
        <f>BDH("INTA US Equity","CUR_MKT_CAP","1993-06-18","2026-05-02","Per=M","Days=T","Dir=V")</f>
        <v>0</v>
      </c>
      <c r="AU2">
        <f>BDH("INTA US Equity","EQY_SH_OUT","1993-06-18","2026-05-02","Per=M","Days=T","Dir=V")</f>
        <v>0</v>
      </c>
      <c r="AW2">
        <f>BDH("INTA US Equity","PX_VOLUME","1993-06-18","2026-05-02","Per=M","Days=T","Dir=V")</f>
        <v>0</v>
      </c>
      <c r="AY2">
        <f>BDH("INTA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BDH("INTC US Equity","BS_TOT_ASSET","1993-06-18","2026-05-02","Per=Y","Days=T","Dir=V")</f>
        <v>0</v>
      </c>
      <c r="C2">
        <f>BDH("INTC US Equity","BS_TOT_LIAB2","1993-06-18","2026-05-02","Per=Y","Days=T","Dir=V")</f>
        <v>0</v>
      </c>
      <c r="E2">
        <f>BDH("INTC US Equity","SHORT_AND_LONG_TERM_DEBT","1993-06-18","2026-05-02","Per=Y","Days=T","Dir=V")</f>
        <v>0</v>
      </c>
      <c r="G2">
        <f>BDH("INTC US Equity","BS_ST_BORROW","1993-06-18","2026-05-02","Per=Y","Days=T","Dir=V")</f>
        <v>0</v>
      </c>
      <c r="I2">
        <f>BDH("INTC US Equity","BS_LT_BORROW","1993-06-18","2026-05-02","Per=Y","Days=T","Dir=V")</f>
        <v>0</v>
      </c>
      <c r="K2">
        <f>BDH("INTC US Equity","BS_CASH_NEAR_CASH_ITEM","1993-06-18","2026-05-02","Per=Y","Days=T","Dir=V")</f>
        <v>0</v>
      </c>
      <c r="M2">
        <f>BDH("INTC US Equity","BS_CUR_ASSET_REPORT","1993-06-18","2026-05-02","Per=Y","Days=T","Dir=V")</f>
        <v>0</v>
      </c>
      <c r="O2">
        <f>BDH("INTC US Equity","BS_CUR_LIAB","1993-06-18","2026-05-02","Per=Y","Days=T","Dir=V")</f>
        <v>0</v>
      </c>
      <c r="Q2">
        <f>BDH("INTC US Equity","BS_SHAREHOLDER_EQY_ENDING_PERIOD","1993-06-18","2026-05-02","Per=Y","Days=T","Dir=V")</f>
        <v>0</v>
      </c>
      <c r="S2">
        <f>BDH("INTC US Equity","BS_ACCT_NOTE_RCV","1993-06-18","2026-05-02","Per=Y","Days=T","Dir=V")</f>
        <v>0</v>
      </c>
      <c r="U2">
        <f>BDH("INTC US Equity","BS_INVENTORIES","1993-06-18","2026-05-02","Per=Y","Days=T","Dir=V")</f>
        <v>0</v>
      </c>
      <c r="W2">
        <f>BDH("INTC US Equity","WORKING_CAPITAL","1993-06-18","2026-05-02","Per=Y","Days=T","Dir=V")</f>
        <v>0</v>
      </c>
      <c r="Y2">
        <f>BDH("INTC US Equity","SALES_REV_TURN","1993-06-18","2026-05-02","Per=Y","Days=T","Dir=V")</f>
        <v>0</v>
      </c>
      <c r="AA2">
        <f>BDH("INTC US Equity","EBIT","1993-06-18","2026-05-02","Per=Y","Days=T","Dir=V")</f>
        <v>0</v>
      </c>
      <c r="AC2">
        <f>BDH("INTC US Equity","EBITDA","1993-06-18","2026-05-02","Per=Y","Days=T","Dir=V")</f>
        <v>0</v>
      </c>
      <c r="AE2">
        <f>BDH("INTC US Equity","NET_INCOME","1993-06-18","2026-05-02","Per=Y","Days=T","Dir=V")</f>
        <v>0</v>
      </c>
      <c r="AG2">
        <f>BDH("INTC US Equity","IS_INT_EXPENSE","1993-06-18","2026-05-02","Per=Y","Days=T","Dir=V")</f>
        <v>0</v>
      </c>
      <c r="AI2">
        <f>BDH("INTC US Equity","IS_DEPR_EXP","1993-06-18","2026-05-02","Per=Y","Days=T","Dir=V")</f>
        <v>0</v>
      </c>
      <c r="AK2">
        <f>BDH("INTC US Equity","CF_CASH_FROM_OPER","1993-06-18","2026-05-02","Per=Y","Days=T","Dir=V")</f>
        <v>0</v>
      </c>
      <c r="AM2">
        <f>BDH("INTC US Equity","CAPITAL_EXPEND","1993-06-18","2026-05-02","Per=Y","Days=T","Dir=V")</f>
        <v>0</v>
      </c>
      <c r="AO2">
        <f>BDH("INTC US Equity","CF_FREE_CASH_FLOW","1993-06-18","2026-05-02","Per=Y","Days=T","Dir=V")</f>
        <v>0</v>
      </c>
      <c r="AQ2">
        <f>BDH("INTC US Equity","PX_LAST","1993-06-18","2026-05-02","Per=M","Days=T","Dir=V")</f>
        <v>0</v>
      </c>
      <c r="AS2">
        <f>BDH("INTC US Equity","CUR_MKT_CAP","1993-06-18","2026-05-02","Per=M","Days=T","Dir=V")</f>
        <v>0</v>
      </c>
      <c r="AU2">
        <f>BDH("INTC US Equity","EQY_SH_OUT","1993-06-18","2026-05-02","Per=M","Days=T","Dir=V")</f>
        <v>0</v>
      </c>
      <c r="AW2">
        <f>BDH("INTC US Equity","PX_VOLUME","1993-06-18","2026-05-02","Per=M","Days=T","Dir=V")</f>
        <v>0</v>
      </c>
      <c r="AY2">
        <f>BDH("INTC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BDH("INTS US Equity","BS_TOT_ASSET","1993-06-18","2026-05-02","Per=Y","Days=T","Dir=V")</f>
        <v>0</v>
      </c>
      <c r="C2">
        <f>BDH("INTS US Equity","BS_TOT_LIAB2","1993-06-18","2026-05-02","Per=Y","Days=T","Dir=V")</f>
        <v>0</v>
      </c>
      <c r="E2">
        <f>BDH("INTS US Equity","SHORT_AND_LONG_TERM_DEBT","1993-06-18","2026-05-02","Per=Y","Days=T","Dir=V")</f>
        <v>0</v>
      </c>
      <c r="G2">
        <f>BDH("INTS US Equity","BS_ST_BORROW","1993-06-18","2026-05-02","Per=Y","Days=T","Dir=V")</f>
        <v>0</v>
      </c>
      <c r="I2">
        <f>BDH("INTS US Equity","BS_LT_BORROW","1993-06-18","2026-05-02","Per=Y","Days=T","Dir=V")</f>
        <v>0</v>
      </c>
      <c r="K2">
        <f>BDH("INTS US Equity","BS_CASH_NEAR_CASH_ITEM","1993-06-18","2026-05-02","Per=Y","Days=T","Dir=V")</f>
        <v>0</v>
      </c>
      <c r="M2">
        <f>BDH("INTS US Equity","BS_CUR_ASSET_REPORT","1993-06-18","2026-05-02","Per=Y","Days=T","Dir=V")</f>
        <v>0</v>
      </c>
      <c r="O2">
        <f>BDH("INTS US Equity","BS_CUR_LIAB","1993-06-18","2026-05-02","Per=Y","Days=T","Dir=V")</f>
        <v>0</v>
      </c>
      <c r="Q2">
        <f>BDH("INTS US Equity","BS_SHAREHOLDER_EQY_ENDING_PERIOD","1993-06-18","2026-05-02","Per=Y","Days=T","Dir=V")</f>
        <v>0</v>
      </c>
      <c r="S2">
        <f>BDH("INTS US Equity","BS_ACCT_NOTE_RCV","1993-06-18","2026-05-02","Per=Y","Days=T","Dir=V")</f>
        <v>0</v>
      </c>
      <c r="U2">
        <f>BDH("INTS US Equity","BS_INVENTORIES","1993-06-18","2026-05-02","Per=Y","Days=T","Dir=V")</f>
        <v>0</v>
      </c>
      <c r="W2">
        <f>BDH("INTS US Equity","WORKING_CAPITAL","1993-06-18","2026-05-02","Per=Y","Days=T","Dir=V")</f>
        <v>0</v>
      </c>
      <c r="Y2">
        <f>BDH("INTS US Equity","SALES_REV_TURN","1993-06-18","2026-05-02","Per=Y","Days=T","Dir=V")</f>
        <v>0</v>
      </c>
      <c r="AA2">
        <f>BDH("INTS US Equity","EBIT","1993-06-18","2026-05-02","Per=Y","Days=T","Dir=V")</f>
        <v>0</v>
      </c>
      <c r="AC2">
        <f>BDH("INTS US Equity","EBITDA","1993-06-18","2026-05-02","Per=Y","Days=T","Dir=V")</f>
        <v>0</v>
      </c>
      <c r="AE2">
        <f>BDH("INTS US Equity","NET_INCOME","1993-06-18","2026-05-02","Per=Y","Days=T","Dir=V")</f>
        <v>0</v>
      </c>
      <c r="AG2">
        <f>BDH("INTS US Equity","IS_INT_EXPENSE","1993-06-18","2026-05-02","Per=Y","Days=T","Dir=V")</f>
        <v>0</v>
      </c>
      <c r="AI2">
        <f>BDH("INTS US Equity","IS_DEPR_EXP","1993-06-18","2026-05-02","Per=Y","Days=T","Dir=V")</f>
        <v>0</v>
      </c>
      <c r="AK2">
        <f>BDH("INTS US Equity","CF_CASH_FROM_OPER","1993-06-18","2026-05-02","Per=Y","Days=T","Dir=V")</f>
        <v>0</v>
      </c>
      <c r="AM2">
        <f>BDH("INTS US Equity","CAPITAL_EXPEND","1993-06-18","2026-05-02","Per=Y","Days=T","Dir=V")</f>
        <v>0</v>
      </c>
      <c r="AO2">
        <f>BDH("INTS US Equity","CF_FREE_CASH_FLOW","1993-06-18","2026-05-02","Per=Y","Days=T","Dir=V")</f>
        <v>0</v>
      </c>
      <c r="AQ2">
        <f>BDH("INTS US Equity","PX_LAST","1993-06-18","2026-05-02","Per=M","Days=T","Dir=V")</f>
        <v>0</v>
      </c>
      <c r="AS2">
        <f>BDH("INTS US Equity","CUR_MKT_CAP","1993-06-18","2026-05-02","Per=M","Days=T","Dir=V")</f>
        <v>0</v>
      </c>
      <c r="AU2">
        <f>BDH("INTS US Equity","EQY_SH_OUT","1993-06-18","2026-05-02","Per=M","Days=T","Dir=V")</f>
        <v>0</v>
      </c>
      <c r="AW2">
        <f>BDH("INTS US Equity","PX_VOLUME","1993-06-18","2026-05-02","Per=M","Days=T","Dir=V")</f>
        <v>0</v>
      </c>
      <c r="AY2">
        <f>BDH("INTS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BDH("INTT US Equity","BS_TOT_ASSET","1993-06-18","2026-05-02","Per=Y","Days=T","Dir=V")</f>
        <v>0</v>
      </c>
      <c r="C2">
        <f>BDH("INTT US Equity","BS_TOT_LIAB2","1993-06-18","2026-05-02","Per=Y","Days=T","Dir=V")</f>
        <v>0</v>
      </c>
      <c r="E2">
        <f>BDH("INTT US Equity","SHORT_AND_LONG_TERM_DEBT","1993-06-18","2026-05-02","Per=Y","Days=T","Dir=V")</f>
        <v>0</v>
      </c>
      <c r="G2">
        <f>BDH("INTT US Equity","BS_ST_BORROW","1993-06-18","2026-05-02","Per=Y","Days=T","Dir=V")</f>
        <v>0</v>
      </c>
      <c r="I2">
        <f>BDH("INTT US Equity","BS_LT_BORROW","1993-06-18","2026-05-02","Per=Y","Days=T","Dir=V")</f>
        <v>0</v>
      </c>
      <c r="K2">
        <f>BDH("INTT US Equity","BS_CASH_NEAR_CASH_ITEM","1993-06-18","2026-05-02","Per=Y","Days=T","Dir=V")</f>
        <v>0</v>
      </c>
      <c r="M2">
        <f>BDH("INTT US Equity","BS_CUR_ASSET_REPORT","1993-06-18","2026-05-02","Per=Y","Days=T","Dir=V")</f>
        <v>0</v>
      </c>
      <c r="O2">
        <f>BDH("INTT US Equity","BS_CUR_LIAB","1993-06-18","2026-05-02","Per=Y","Days=T","Dir=V")</f>
        <v>0</v>
      </c>
      <c r="Q2">
        <f>BDH("INTT US Equity","BS_SHAREHOLDER_EQY_ENDING_PERIOD","1993-06-18","2026-05-02","Per=Y","Days=T","Dir=V")</f>
        <v>0</v>
      </c>
      <c r="S2">
        <f>BDH("INTT US Equity","BS_ACCT_NOTE_RCV","1993-06-18","2026-05-02","Per=Y","Days=T","Dir=V")</f>
        <v>0</v>
      </c>
      <c r="U2">
        <f>BDH("INTT US Equity","BS_INVENTORIES","1993-06-18","2026-05-02","Per=Y","Days=T","Dir=V")</f>
        <v>0</v>
      </c>
      <c r="W2">
        <f>BDH("INTT US Equity","WORKING_CAPITAL","1993-06-18","2026-05-02","Per=Y","Days=T","Dir=V")</f>
        <v>0</v>
      </c>
      <c r="Y2">
        <f>BDH("INTT US Equity","SALES_REV_TURN","1993-06-18","2026-05-02","Per=Y","Days=T","Dir=V")</f>
        <v>0</v>
      </c>
      <c r="AA2">
        <f>BDH("INTT US Equity","EBIT","1993-06-18","2026-05-02","Per=Y","Days=T","Dir=V")</f>
        <v>0</v>
      </c>
      <c r="AC2">
        <f>BDH("INTT US Equity","EBITDA","1993-06-18","2026-05-02","Per=Y","Days=T","Dir=V")</f>
        <v>0</v>
      </c>
      <c r="AE2">
        <f>BDH("INTT US Equity","NET_INCOME","1993-06-18","2026-05-02","Per=Y","Days=T","Dir=V")</f>
        <v>0</v>
      </c>
      <c r="AG2">
        <f>BDH("INTT US Equity","IS_INT_EXPENSE","1993-06-18","2026-05-02","Per=Y","Days=T","Dir=V")</f>
        <v>0</v>
      </c>
      <c r="AI2">
        <f>BDH("INTT US Equity","IS_DEPR_EXP","1993-06-18","2026-05-02","Per=Y","Days=T","Dir=V")</f>
        <v>0</v>
      </c>
      <c r="AK2">
        <f>BDH("INTT US Equity","CF_CASH_FROM_OPER","1993-06-18","2026-05-02","Per=Y","Days=T","Dir=V")</f>
        <v>0</v>
      </c>
      <c r="AM2">
        <f>BDH("INTT US Equity","CAPITAL_EXPEND","1993-06-18","2026-05-02","Per=Y","Days=T","Dir=V")</f>
        <v>0</v>
      </c>
      <c r="AO2">
        <f>BDH("INTT US Equity","CF_FREE_CASH_FLOW","1993-06-18","2026-05-02","Per=Y","Days=T","Dir=V")</f>
        <v>0</v>
      </c>
      <c r="AQ2">
        <f>BDH("INTT US Equity","PX_LAST","1993-06-18","2026-05-02","Per=M","Days=T","Dir=V")</f>
        <v>0</v>
      </c>
      <c r="AS2">
        <f>BDH("INTT US Equity","CUR_MKT_CAP","1993-06-18","2026-05-02","Per=M","Days=T","Dir=V")</f>
        <v>0</v>
      </c>
      <c r="AU2">
        <f>BDH("INTT US Equity","EQY_SH_OUT","1993-06-18","2026-05-02","Per=M","Days=T","Dir=V")</f>
        <v>0</v>
      </c>
      <c r="AW2">
        <f>BDH("INTT US Equity","PX_VOLUME","1993-06-18","2026-05-02","Per=M","Days=T","Dir=V")</f>
        <v>0</v>
      </c>
      <c r="AY2">
        <f>BDH("INTT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BDH("INTU US Equity","BS_TOT_ASSET","1993-06-18","2026-05-02","Per=Y","Days=T","Dir=V")</f>
        <v>0</v>
      </c>
      <c r="C2">
        <f>BDH("INTU US Equity","BS_TOT_LIAB2","1993-06-18","2026-05-02","Per=Y","Days=T","Dir=V")</f>
        <v>0</v>
      </c>
      <c r="E2">
        <f>BDH("INTU US Equity","SHORT_AND_LONG_TERM_DEBT","1993-06-18","2026-05-02","Per=Y","Days=T","Dir=V")</f>
        <v>0</v>
      </c>
      <c r="G2">
        <f>BDH("INTU US Equity","BS_ST_BORROW","1993-06-18","2026-05-02","Per=Y","Days=T","Dir=V")</f>
        <v>0</v>
      </c>
      <c r="I2">
        <f>BDH("INTU US Equity","BS_LT_BORROW","1993-06-18","2026-05-02","Per=Y","Days=T","Dir=V")</f>
        <v>0</v>
      </c>
      <c r="K2">
        <f>BDH("INTU US Equity","BS_CASH_NEAR_CASH_ITEM","1993-06-18","2026-05-02","Per=Y","Days=T","Dir=V")</f>
        <v>0</v>
      </c>
      <c r="M2">
        <f>BDH("INTU US Equity","BS_CUR_ASSET_REPORT","1993-06-18","2026-05-02","Per=Y","Days=T","Dir=V")</f>
        <v>0</v>
      </c>
      <c r="O2">
        <f>BDH("INTU US Equity","BS_CUR_LIAB","1993-06-18","2026-05-02","Per=Y","Days=T","Dir=V")</f>
        <v>0</v>
      </c>
      <c r="Q2">
        <f>BDH("INTU US Equity","BS_SHAREHOLDER_EQY_ENDING_PERIOD","1993-06-18","2026-05-02","Per=Y","Days=T","Dir=V")</f>
        <v>0</v>
      </c>
      <c r="S2">
        <f>BDH("INTU US Equity","BS_ACCT_NOTE_RCV","1993-06-18","2026-05-02","Per=Y","Days=T","Dir=V")</f>
        <v>0</v>
      </c>
      <c r="U2">
        <f>BDH("INTU US Equity","BS_INVENTORIES","1993-06-18","2026-05-02","Per=Y","Days=T","Dir=V")</f>
        <v>0</v>
      </c>
      <c r="W2">
        <f>BDH("INTU US Equity","WORKING_CAPITAL","1993-06-18","2026-05-02","Per=Y","Days=T","Dir=V")</f>
        <v>0</v>
      </c>
      <c r="Y2">
        <f>BDH("INTU US Equity","SALES_REV_TURN","1993-06-18","2026-05-02","Per=Y","Days=T","Dir=V")</f>
        <v>0</v>
      </c>
      <c r="AA2">
        <f>BDH("INTU US Equity","EBIT","1993-06-18","2026-05-02","Per=Y","Days=T","Dir=V")</f>
        <v>0</v>
      </c>
      <c r="AC2">
        <f>BDH("INTU US Equity","EBITDA","1993-06-18","2026-05-02","Per=Y","Days=T","Dir=V")</f>
        <v>0</v>
      </c>
      <c r="AE2">
        <f>BDH("INTU US Equity","NET_INCOME","1993-06-18","2026-05-02","Per=Y","Days=T","Dir=V")</f>
        <v>0</v>
      </c>
      <c r="AG2">
        <f>BDH("INTU US Equity","IS_INT_EXPENSE","1993-06-18","2026-05-02","Per=Y","Days=T","Dir=V")</f>
        <v>0</v>
      </c>
      <c r="AI2">
        <f>BDH("INTU US Equity","IS_DEPR_EXP","1993-06-18","2026-05-02","Per=Y","Days=T","Dir=V")</f>
        <v>0</v>
      </c>
      <c r="AK2">
        <f>BDH("INTU US Equity","CF_CASH_FROM_OPER","1993-06-18","2026-05-02","Per=Y","Days=T","Dir=V")</f>
        <v>0</v>
      </c>
      <c r="AM2">
        <f>BDH("INTU US Equity","CAPITAL_EXPEND","1993-06-18","2026-05-02","Per=Y","Days=T","Dir=V")</f>
        <v>0</v>
      </c>
      <c r="AO2">
        <f>BDH("INTU US Equity","CF_FREE_CASH_FLOW","1993-06-18","2026-05-02","Per=Y","Days=T","Dir=V")</f>
        <v>0</v>
      </c>
      <c r="AQ2">
        <f>BDH("INTU US Equity","PX_LAST","1993-06-18","2026-05-02","Per=M","Days=T","Dir=V")</f>
        <v>0</v>
      </c>
      <c r="AS2">
        <f>BDH("INTU US Equity","CUR_MKT_CAP","1993-06-18","2026-05-02","Per=M","Days=T","Dir=V")</f>
        <v>0</v>
      </c>
      <c r="AU2">
        <f>BDH("INTU US Equity","EQY_SH_OUT","1993-06-18","2026-05-02","Per=M","Days=T","Dir=V")</f>
        <v>0</v>
      </c>
      <c r="AW2">
        <f>BDH("INTU US Equity","PX_VOLUME","1993-06-18","2026-05-02","Per=M","Days=T","Dir=V")</f>
        <v>0</v>
      </c>
      <c r="AY2">
        <f>BDH("INTU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BDH("INTZ US Equity","BS_TOT_ASSET","1993-06-18","2026-05-02","Per=Y","Days=T","Dir=V")</f>
        <v>0</v>
      </c>
      <c r="C2">
        <f>BDH("INTZ US Equity","BS_TOT_LIAB2","1993-06-18","2026-05-02","Per=Y","Days=T","Dir=V")</f>
        <v>0</v>
      </c>
      <c r="E2">
        <f>BDH("INTZ US Equity","SHORT_AND_LONG_TERM_DEBT","1993-06-18","2026-05-02","Per=Y","Days=T","Dir=V")</f>
        <v>0</v>
      </c>
      <c r="G2">
        <f>BDH("INTZ US Equity","BS_ST_BORROW","1993-06-18","2026-05-02","Per=Y","Days=T","Dir=V")</f>
        <v>0</v>
      </c>
      <c r="I2">
        <f>BDH("INTZ US Equity","BS_LT_BORROW","1993-06-18","2026-05-02","Per=Y","Days=T","Dir=V")</f>
        <v>0</v>
      </c>
      <c r="K2">
        <f>BDH("INTZ US Equity","BS_CASH_NEAR_CASH_ITEM","1993-06-18","2026-05-02","Per=Y","Days=T","Dir=V")</f>
        <v>0</v>
      </c>
      <c r="M2">
        <f>BDH("INTZ US Equity","BS_CUR_ASSET_REPORT","1993-06-18","2026-05-02","Per=Y","Days=T","Dir=V")</f>
        <v>0</v>
      </c>
      <c r="O2">
        <f>BDH("INTZ US Equity","BS_CUR_LIAB","1993-06-18","2026-05-02","Per=Y","Days=T","Dir=V")</f>
        <v>0</v>
      </c>
      <c r="Q2">
        <f>BDH("INTZ US Equity","BS_SHAREHOLDER_EQY_ENDING_PERIOD","1993-06-18","2026-05-02","Per=Y","Days=T","Dir=V")</f>
        <v>0</v>
      </c>
      <c r="S2">
        <f>BDH("INTZ US Equity","BS_ACCT_NOTE_RCV","1993-06-18","2026-05-02","Per=Y","Days=T","Dir=V")</f>
        <v>0</v>
      </c>
      <c r="U2">
        <f>BDH("INTZ US Equity","BS_INVENTORIES","1993-06-18","2026-05-02","Per=Y","Days=T","Dir=V")</f>
        <v>0</v>
      </c>
      <c r="W2">
        <f>BDH("INTZ US Equity","WORKING_CAPITAL","1993-06-18","2026-05-02","Per=Y","Days=T","Dir=V")</f>
        <v>0</v>
      </c>
      <c r="Y2">
        <f>BDH("INTZ US Equity","SALES_REV_TURN","1993-06-18","2026-05-02","Per=Y","Days=T","Dir=V")</f>
        <v>0</v>
      </c>
      <c r="AA2">
        <f>BDH("INTZ US Equity","EBIT","1993-06-18","2026-05-02","Per=Y","Days=T","Dir=V")</f>
        <v>0</v>
      </c>
      <c r="AC2">
        <f>BDH("INTZ US Equity","EBITDA","1993-06-18","2026-05-02","Per=Y","Days=T","Dir=V")</f>
        <v>0</v>
      </c>
      <c r="AE2">
        <f>BDH("INTZ US Equity","NET_INCOME","1993-06-18","2026-05-02","Per=Y","Days=T","Dir=V")</f>
        <v>0</v>
      </c>
      <c r="AG2">
        <f>BDH("INTZ US Equity","IS_INT_EXPENSE","1993-06-18","2026-05-02","Per=Y","Days=T","Dir=V")</f>
        <v>0</v>
      </c>
      <c r="AI2">
        <f>BDH("INTZ US Equity","IS_DEPR_EXP","1993-06-18","2026-05-02","Per=Y","Days=T","Dir=V")</f>
        <v>0</v>
      </c>
      <c r="AK2">
        <f>BDH("INTZ US Equity","CF_CASH_FROM_OPER","1993-06-18","2026-05-02","Per=Y","Days=T","Dir=V")</f>
        <v>0</v>
      </c>
      <c r="AM2">
        <f>BDH("INTZ US Equity","CAPITAL_EXPEND","1993-06-18","2026-05-02","Per=Y","Days=T","Dir=V")</f>
        <v>0</v>
      </c>
      <c r="AO2">
        <f>BDH("INTZ US Equity","CF_FREE_CASH_FLOW","1993-06-18","2026-05-02","Per=Y","Days=T","Dir=V")</f>
        <v>0</v>
      </c>
      <c r="AQ2">
        <f>BDH("INTZ US Equity","PX_LAST","1993-06-18","2026-05-02","Per=M","Days=T","Dir=V")</f>
        <v>0</v>
      </c>
      <c r="AS2">
        <f>BDH("INTZ US Equity","CUR_MKT_CAP","1993-06-18","2026-05-02","Per=M","Days=T","Dir=V")</f>
        <v>0</v>
      </c>
      <c r="AU2">
        <f>BDH("INTZ US Equity","EQY_SH_OUT","1993-06-18","2026-05-02","Per=M","Days=T","Dir=V")</f>
        <v>0</v>
      </c>
      <c r="AW2">
        <f>BDH("INTZ US Equity","PX_VOLUME","1993-06-18","2026-05-02","Per=M","Days=T","Dir=V")</f>
        <v>0</v>
      </c>
      <c r="AY2">
        <f>BDH("INTZ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BDH("INUV US Equity","BS_TOT_ASSET","1993-06-18","2026-05-02","Per=Y","Days=T","Dir=V")</f>
        <v>0</v>
      </c>
      <c r="C2">
        <f>BDH("INUV US Equity","BS_TOT_LIAB2","1993-06-18","2026-05-02","Per=Y","Days=T","Dir=V")</f>
        <v>0</v>
      </c>
      <c r="E2">
        <f>BDH("INUV US Equity","SHORT_AND_LONG_TERM_DEBT","1993-06-18","2026-05-02","Per=Y","Days=T","Dir=V")</f>
        <v>0</v>
      </c>
      <c r="G2">
        <f>BDH("INUV US Equity","BS_ST_BORROW","1993-06-18","2026-05-02","Per=Y","Days=T","Dir=V")</f>
        <v>0</v>
      </c>
      <c r="I2">
        <f>BDH("INUV US Equity","BS_LT_BORROW","1993-06-18","2026-05-02","Per=Y","Days=T","Dir=V")</f>
        <v>0</v>
      </c>
      <c r="K2">
        <f>BDH("INUV US Equity","BS_CASH_NEAR_CASH_ITEM","1993-06-18","2026-05-02","Per=Y","Days=T","Dir=V")</f>
        <v>0</v>
      </c>
      <c r="M2">
        <f>BDH("INUV US Equity","BS_CUR_ASSET_REPORT","1993-06-18","2026-05-02","Per=Y","Days=T","Dir=V")</f>
        <v>0</v>
      </c>
      <c r="O2">
        <f>BDH("INUV US Equity","BS_CUR_LIAB","1993-06-18","2026-05-02","Per=Y","Days=T","Dir=V")</f>
        <v>0</v>
      </c>
      <c r="Q2">
        <f>BDH("INUV US Equity","BS_SHAREHOLDER_EQY_ENDING_PERIOD","1993-06-18","2026-05-02","Per=Y","Days=T","Dir=V")</f>
        <v>0</v>
      </c>
      <c r="S2">
        <f>BDH("INUV US Equity","BS_ACCT_NOTE_RCV","1993-06-18","2026-05-02","Per=Y","Days=T","Dir=V")</f>
        <v>0</v>
      </c>
      <c r="U2">
        <f>BDH("INUV US Equity","BS_INVENTORIES","1993-06-18","2026-05-02","Per=Y","Days=T","Dir=V")</f>
        <v>0</v>
      </c>
      <c r="W2">
        <f>BDH("INUV US Equity","WORKING_CAPITAL","1993-06-18","2026-05-02","Per=Y","Days=T","Dir=V")</f>
        <v>0</v>
      </c>
      <c r="Y2">
        <f>BDH("INUV US Equity","SALES_REV_TURN","1993-06-18","2026-05-02","Per=Y","Days=T","Dir=V")</f>
        <v>0</v>
      </c>
      <c r="AA2">
        <f>BDH("INUV US Equity","EBIT","1993-06-18","2026-05-02","Per=Y","Days=T","Dir=V")</f>
        <v>0</v>
      </c>
      <c r="AC2">
        <f>BDH("INUV US Equity","EBITDA","1993-06-18","2026-05-02","Per=Y","Days=T","Dir=V")</f>
        <v>0</v>
      </c>
      <c r="AE2">
        <f>BDH("INUV US Equity","NET_INCOME","1993-06-18","2026-05-02","Per=Y","Days=T","Dir=V")</f>
        <v>0</v>
      </c>
      <c r="AG2">
        <f>BDH("INUV US Equity","IS_INT_EXPENSE","1993-06-18","2026-05-02","Per=Y","Days=T","Dir=V")</f>
        <v>0</v>
      </c>
      <c r="AI2">
        <f>BDH("INUV US Equity","IS_DEPR_EXP","1993-06-18","2026-05-02","Per=Y","Days=T","Dir=V")</f>
        <v>0</v>
      </c>
      <c r="AK2">
        <f>BDH("INUV US Equity","CF_CASH_FROM_OPER","1993-06-18","2026-05-02","Per=Y","Days=T","Dir=V")</f>
        <v>0</v>
      </c>
      <c r="AM2">
        <f>BDH("INUV US Equity","CAPITAL_EXPEND","1993-06-18","2026-05-02","Per=Y","Days=T","Dir=V")</f>
        <v>0</v>
      </c>
      <c r="AO2">
        <f>BDH("INUV US Equity","CF_FREE_CASH_FLOW","1993-06-18","2026-05-02","Per=Y","Days=T","Dir=V")</f>
        <v>0</v>
      </c>
      <c r="AQ2">
        <f>BDH("INUV US Equity","PX_LAST","1993-06-18","2026-05-02","Per=M","Days=T","Dir=V")</f>
        <v>0</v>
      </c>
      <c r="AS2">
        <f>BDH("INUV US Equity","CUR_MKT_CAP","1993-06-18","2026-05-02","Per=M","Days=T","Dir=V")</f>
        <v>0</v>
      </c>
      <c r="AU2">
        <f>BDH("INUV US Equity","EQY_SH_OUT","1993-06-18","2026-05-02","Per=M","Days=T","Dir=V")</f>
        <v>0</v>
      </c>
      <c r="AW2">
        <f>BDH("INUV US Equity","PX_VOLUME","1993-06-18","2026-05-02","Per=M","Days=T","Dir=V")</f>
        <v>0</v>
      </c>
      <c r="AY2">
        <f>BDH("INUV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BDH("INVA US Equity","BS_TOT_ASSET","1993-06-18","2026-05-02","Per=Y","Days=T","Dir=V")</f>
        <v>0</v>
      </c>
      <c r="C2">
        <f>BDH("INVA US Equity","BS_TOT_LIAB2","1993-06-18","2026-05-02","Per=Y","Days=T","Dir=V")</f>
        <v>0</v>
      </c>
      <c r="E2">
        <f>BDH("INVA US Equity","SHORT_AND_LONG_TERM_DEBT","1993-06-18","2026-05-02","Per=Y","Days=T","Dir=V")</f>
        <v>0</v>
      </c>
      <c r="G2">
        <f>BDH("INVA US Equity","BS_ST_BORROW","1993-06-18","2026-05-02","Per=Y","Days=T","Dir=V")</f>
        <v>0</v>
      </c>
      <c r="I2">
        <f>BDH("INVA US Equity","BS_LT_BORROW","1993-06-18","2026-05-02","Per=Y","Days=T","Dir=V")</f>
        <v>0</v>
      </c>
      <c r="K2">
        <f>BDH("INVA US Equity","BS_CASH_NEAR_CASH_ITEM","1993-06-18","2026-05-02","Per=Y","Days=T","Dir=V")</f>
        <v>0</v>
      </c>
      <c r="M2">
        <f>BDH("INVA US Equity","BS_CUR_ASSET_REPORT","1993-06-18","2026-05-02","Per=Y","Days=T","Dir=V")</f>
        <v>0</v>
      </c>
      <c r="O2">
        <f>BDH("INVA US Equity","BS_CUR_LIAB","1993-06-18","2026-05-02","Per=Y","Days=T","Dir=V")</f>
        <v>0</v>
      </c>
      <c r="Q2">
        <f>BDH("INVA US Equity","BS_SHAREHOLDER_EQY_ENDING_PERIOD","1993-06-18","2026-05-02","Per=Y","Days=T","Dir=V")</f>
        <v>0</v>
      </c>
      <c r="S2">
        <f>BDH("INVA US Equity","BS_ACCT_NOTE_RCV","1993-06-18","2026-05-02","Per=Y","Days=T","Dir=V")</f>
        <v>0</v>
      </c>
      <c r="U2">
        <f>BDH("INVA US Equity","BS_INVENTORIES","1993-06-18","2026-05-02","Per=Y","Days=T","Dir=V")</f>
        <v>0</v>
      </c>
      <c r="W2">
        <f>BDH("INVA US Equity","WORKING_CAPITAL","1993-06-18","2026-05-02","Per=Y","Days=T","Dir=V")</f>
        <v>0</v>
      </c>
      <c r="Y2">
        <f>BDH("INVA US Equity","SALES_REV_TURN","1993-06-18","2026-05-02","Per=Y","Days=T","Dir=V")</f>
        <v>0</v>
      </c>
      <c r="AA2">
        <f>BDH("INVA US Equity","EBIT","1993-06-18","2026-05-02","Per=Y","Days=T","Dir=V")</f>
        <v>0</v>
      </c>
      <c r="AC2">
        <f>BDH("INVA US Equity","EBITDA","1993-06-18","2026-05-02","Per=Y","Days=T","Dir=V")</f>
        <v>0</v>
      </c>
      <c r="AE2">
        <f>BDH("INVA US Equity","NET_INCOME","1993-06-18","2026-05-02","Per=Y","Days=T","Dir=V")</f>
        <v>0</v>
      </c>
      <c r="AG2">
        <f>BDH("INVA US Equity","IS_INT_EXPENSE","1993-06-18","2026-05-02","Per=Y","Days=T","Dir=V")</f>
        <v>0</v>
      </c>
      <c r="AI2">
        <f>BDH("INVA US Equity","IS_DEPR_EXP","1993-06-18","2026-05-02","Per=Y","Days=T","Dir=V")</f>
        <v>0</v>
      </c>
      <c r="AK2">
        <f>BDH("INVA US Equity","CF_CASH_FROM_OPER","1993-06-18","2026-05-02","Per=Y","Days=T","Dir=V")</f>
        <v>0</v>
      </c>
      <c r="AM2">
        <f>BDH("INVA US Equity","CAPITAL_EXPEND","1993-06-18","2026-05-02","Per=Y","Days=T","Dir=V")</f>
        <v>0</v>
      </c>
      <c r="AO2">
        <f>BDH("INVA US Equity","CF_FREE_CASH_FLOW","1993-06-18","2026-05-02","Per=Y","Days=T","Dir=V")</f>
        <v>0</v>
      </c>
      <c r="AQ2">
        <f>BDH("INVA US Equity","PX_LAST","1993-06-18","2026-05-02","Per=M","Days=T","Dir=V")</f>
        <v>0</v>
      </c>
      <c r="AS2">
        <f>BDH("INVA US Equity","CUR_MKT_CAP","1993-06-18","2026-05-02","Per=M","Days=T","Dir=V")</f>
        <v>0</v>
      </c>
      <c r="AU2">
        <f>BDH("INVA US Equity","EQY_SH_OUT","1993-06-18","2026-05-02","Per=M","Days=T","Dir=V")</f>
        <v>0</v>
      </c>
      <c r="AW2">
        <f>BDH("INVA US Equity","PX_VOLUME","1993-06-18","2026-05-02","Per=M","Days=T","Dir=V")</f>
        <v>0</v>
      </c>
      <c r="AY2">
        <f>BDH("INVA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BDH("INVE US Equity","BS_TOT_ASSET","1993-06-18","2026-05-02","Per=Y","Days=T","Dir=V")</f>
        <v>0</v>
      </c>
      <c r="C2">
        <f>BDH("INVE US Equity","BS_TOT_LIAB2","1993-06-18","2026-05-02","Per=Y","Days=T","Dir=V")</f>
        <v>0</v>
      </c>
      <c r="E2">
        <f>BDH("INVE US Equity","SHORT_AND_LONG_TERM_DEBT","1993-06-18","2026-05-02","Per=Y","Days=T","Dir=V")</f>
        <v>0</v>
      </c>
      <c r="G2">
        <f>BDH("INVE US Equity","BS_ST_BORROW","1993-06-18","2026-05-02","Per=Y","Days=T","Dir=V")</f>
        <v>0</v>
      </c>
      <c r="I2">
        <f>BDH("INVE US Equity","BS_LT_BORROW","1993-06-18","2026-05-02","Per=Y","Days=T","Dir=V")</f>
        <v>0</v>
      </c>
      <c r="K2">
        <f>BDH("INVE US Equity","BS_CASH_NEAR_CASH_ITEM","1993-06-18","2026-05-02","Per=Y","Days=T","Dir=V")</f>
        <v>0</v>
      </c>
      <c r="M2">
        <f>BDH("INVE US Equity","BS_CUR_ASSET_REPORT","1993-06-18","2026-05-02","Per=Y","Days=T","Dir=V")</f>
        <v>0</v>
      </c>
      <c r="O2">
        <f>BDH("INVE US Equity","BS_CUR_LIAB","1993-06-18","2026-05-02","Per=Y","Days=T","Dir=V")</f>
        <v>0</v>
      </c>
      <c r="Q2">
        <f>BDH("INVE US Equity","BS_SHAREHOLDER_EQY_ENDING_PERIOD","1993-06-18","2026-05-02","Per=Y","Days=T","Dir=V")</f>
        <v>0</v>
      </c>
      <c r="S2">
        <f>BDH("INVE US Equity","BS_ACCT_NOTE_RCV","1993-06-18","2026-05-02","Per=Y","Days=T","Dir=V")</f>
        <v>0</v>
      </c>
      <c r="U2">
        <f>BDH("INVE US Equity","BS_INVENTORIES","1993-06-18","2026-05-02","Per=Y","Days=T","Dir=V")</f>
        <v>0</v>
      </c>
      <c r="W2">
        <f>BDH("INVE US Equity","WORKING_CAPITAL","1993-06-18","2026-05-02","Per=Y","Days=T","Dir=V")</f>
        <v>0</v>
      </c>
      <c r="Y2">
        <f>BDH("INVE US Equity","SALES_REV_TURN","1993-06-18","2026-05-02","Per=Y","Days=T","Dir=V")</f>
        <v>0</v>
      </c>
      <c r="AA2">
        <f>BDH("INVE US Equity","EBIT","1993-06-18","2026-05-02","Per=Y","Days=T","Dir=V")</f>
        <v>0</v>
      </c>
      <c r="AC2">
        <f>BDH("INVE US Equity","EBITDA","1993-06-18","2026-05-02","Per=Y","Days=T","Dir=V")</f>
        <v>0</v>
      </c>
      <c r="AE2">
        <f>BDH("INVE US Equity","NET_INCOME","1993-06-18","2026-05-02","Per=Y","Days=T","Dir=V")</f>
        <v>0</v>
      </c>
      <c r="AG2">
        <f>BDH("INVE US Equity","IS_INT_EXPENSE","1993-06-18","2026-05-02","Per=Y","Days=T","Dir=V")</f>
        <v>0</v>
      </c>
      <c r="AI2">
        <f>BDH("INVE US Equity","IS_DEPR_EXP","1993-06-18","2026-05-02","Per=Y","Days=T","Dir=V")</f>
        <v>0</v>
      </c>
      <c r="AK2">
        <f>BDH("INVE US Equity","CF_CASH_FROM_OPER","1993-06-18","2026-05-02","Per=Y","Days=T","Dir=V")</f>
        <v>0</v>
      </c>
      <c r="AM2">
        <f>BDH("INVE US Equity","CAPITAL_EXPEND","1993-06-18","2026-05-02","Per=Y","Days=T","Dir=V")</f>
        <v>0</v>
      </c>
      <c r="AO2">
        <f>BDH("INVE US Equity","CF_FREE_CASH_FLOW","1993-06-18","2026-05-02","Per=Y","Days=T","Dir=V")</f>
        <v>0</v>
      </c>
      <c r="AQ2">
        <f>BDH("INVE US Equity","PX_LAST","1993-06-18","2026-05-02","Per=M","Days=T","Dir=V")</f>
        <v>0</v>
      </c>
      <c r="AS2">
        <f>BDH("INVE US Equity","CUR_MKT_CAP","1993-06-18","2026-05-02","Per=M","Days=T","Dir=V")</f>
        <v>0</v>
      </c>
      <c r="AU2">
        <f>BDH("INVE US Equity","EQY_SH_OUT","1993-06-18","2026-05-02","Per=M","Days=T","Dir=V")</f>
        <v>0</v>
      </c>
      <c r="AW2">
        <f>BDH("INVE US Equity","PX_VOLUME","1993-06-18","2026-05-02","Per=M","Days=T","Dir=V")</f>
        <v>0</v>
      </c>
      <c r="AY2">
        <f>BDH("INVE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BDH("INVX US Equity","BS_TOT_ASSET","1993-06-18","2026-05-02","Per=Y","Days=T","Dir=V")</f>
        <v>0</v>
      </c>
      <c r="C2">
        <f>BDH("INVX US Equity","BS_TOT_LIAB2","1993-06-18","2026-05-02","Per=Y","Days=T","Dir=V")</f>
        <v>0</v>
      </c>
      <c r="E2">
        <f>BDH("INVX US Equity","SHORT_AND_LONG_TERM_DEBT","1993-06-18","2026-05-02","Per=Y","Days=T","Dir=V")</f>
        <v>0</v>
      </c>
      <c r="G2">
        <f>BDH("INVX US Equity","BS_ST_BORROW","1993-06-18","2026-05-02","Per=Y","Days=T","Dir=V")</f>
        <v>0</v>
      </c>
      <c r="I2">
        <f>BDH("INVX US Equity","BS_LT_BORROW","1993-06-18","2026-05-02","Per=Y","Days=T","Dir=V")</f>
        <v>0</v>
      </c>
      <c r="K2">
        <f>BDH("INVX US Equity","BS_CASH_NEAR_CASH_ITEM","1993-06-18","2026-05-02","Per=Y","Days=T","Dir=V")</f>
        <v>0</v>
      </c>
      <c r="M2">
        <f>BDH("INVX US Equity","BS_CUR_ASSET_REPORT","1993-06-18","2026-05-02","Per=Y","Days=T","Dir=V")</f>
        <v>0</v>
      </c>
      <c r="O2">
        <f>BDH("INVX US Equity","BS_CUR_LIAB","1993-06-18","2026-05-02","Per=Y","Days=T","Dir=V")</f>
        <v>0</v>
      </c>
      <c r="Q2">
        <f>BDH("INVX US Equity","BS_SHAREHOLDER_EQY_ENDING_PERIOD","1993-06-18","2026-05-02","Per=Y","Days=T","Dir=V")</f>
        <v>0</v>
      </c>
      <c r="S2">
        <f>BDH("INVX US Equity","BS_ACCT_NOTE_RCV","1993-06-18","2026-05-02","Per=Y","Days=T","Dir=V")</f>
        <v>0</v>
      </c>
      <c r="U2">
        <f>BDH("INVX US Equity","BS_INVENTORIES","1993-06-18","2026-05-02","Per=Y","Days=T","Dir=V")</f>
        <v>0</v>
      </c>
      <c r="W2">
        <f>BDH("INVX US Equity","WORKING_CAPITAL","1993-06-18","2026-05-02","Per=Y","Days=T","Dir=V")</f>
        <v>0</v>
      </c>
      <c r="Y2">
        <f>BDH("INVX US Equity","SALES_REV_TURN","1993-06-18","2026-05-02","Per=Y","Days=T","Dir=V")</f>
        <v>0</v>
      </c>
      <c r="AA2">
        <f>BDH("INVX US Equity","EBIT","1993-06-18","2026-05-02","Per=Y","Days=T","Dir=V")</f>
        <v>0</v>
      </c>
      <c r="AC2">
        <f>BDH("INVX US Equity","EBITDA","1993-06-18","2026-05-02","Per=Y","Days=T","Dir=V")</f>
        <v>0</v>
      </c>
      <c r="AE2">
        <f>BDH("INVX US Equity","NET_INCOME","1993-06-18","2026-05-02","Per=Y","Days=T","Dir=V")</f>
        <v>0</v>
      </c>
      <c r="AG2">
        <f>BDH("INVX US Equity","IS_INT_EXPENSE","1993-06-18","2026-05-02","Per=Y","Days=T","Dir=V")</f>
        <v>0</v>
      </c>
      <c r="AI2">
        <f>BDH("INVX US Equity","IS_DEPR_EXP","1993-06-18","2026-05-02","Per=Y","Days=T","Dir=V")</f>
        <v>0</v>
      </c>
      <c r="AK2">
        <f>BDH("INVX US Equity","CF_CASH_FROM_OPER","1993-06-18","2026-05-02","Per=Y","Days=T","Dir=V")</f>
        <v>0</v>
      </c>
      <c r="AM2">
        <f>BDH("INVX US Equity","CAPITAL_EXPEND","1993-06-18","2026-05-02","Per=Y","Days=T","Dir=V")</f>
        <v>0</v>
      </c>
      <c r="AO2">
        <f>BDH("INVX US Equity","CF_FREE_CASH_FLOW","1993-06-18","2026-05-02","Per=Y","Days=T","Dir=V")</f>
        <v>0</v>
      </c>
      <c r="AQ2">
        <f>BDH("INVX US Equity","PX_LAST","1993-06-18","2026-05-02","Per=M","Days=T","Dir=V")</f>
        <v>0</v>
      </c>
      <c r="AS2">
        <f>BDH("INVX US Equity","CUR_MKT_CAP","1993-06-18","2026-05-02","Per=M","Days=T","Dir=V")</f>
        <v>0</v>
      </c>
      <c r="AU2">
        <f>BDH("INVX US Equity","EQY_SH_OUT","1993-06-18","2026-05-02","Per=M","Days=T","Dir=V")</f>
        <v>0</v>
      </c>
      <c r="AW2">
        <f>BDH("INVX US Equity","PX_VOLUME","1993-06-18","2026-05-02","Per=M","Days=T","Dir=V")</f>
        <v>0</v>
      </c>
      <c r="AY2">
        <f>BDH("INVX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BDH("IONQ US Equity","BS_TOT_ASSET","1993-06-18","2026-05-02","Per=Y","Days=T","Dir=V")</f>
        <v>0</v>
      </c>
      <c r="C2">
        <f>BDH("IONQ US Equity","BS_TOT_LIAB2","1993-06-18","2026-05-02","Per=Y","Days=T","Dir=V")</f>
        <v>0</v>
      </c>
      <c r="E2">
        <f>BDH("IONQ US Equity","SHORT_AND_LONG_TERM_DEBT","1993-06-18","2026-05-02","Per=Y","Days=T","Dir=V")</f>
        <v>0</v>
      </c>
      <c r="G2">
        <f>BDH("IONQ US Equity","BS_ST_BORROW","1993-06-18","2026-05-02","Per=Y","Days=T","Dir=V")</f>
        <v>0</v>
      </c>
      <c r="I2">
        <f>BDH("IONQ US Equity","BS_LT_BORROW","1993-06-18","2026-05-02","Per=Y","Days=T","Dir=V")</f>
        <v>0</v>
      </c>
      <c r="K2">
        <f>BDH("IONQ US Equity","BS_CASH_NEAR_CASH_ITEM","1993-06-18","2026-05-02","Per=Y","Days=T","Dir=V")</f>
        <v>0</v>
      </c>
      <c r="M2">
        <f>BDH("IONQ US Equity","BS_CUR_ASSET_REPORT","1993-06-18","2026-05-02","Per=Y","Days=T","Dir=V")</f>
        <v>0</v>
      </c>
      <c r="O2">
        <f>BDH("IONQ US Equity","BS_CUR_LIAB","1993-06-18","2026-05-02","Per=Y","Days=T","Dir=V")</f>
        <v>0</v>
      </c>
      <c r="Q2">
        <f>BDH("IONQ US Equity","BS_SHAREHOLDER_EQY_ENDING_PERIOD","1993-06-18","2026-05-02","Per=Y","Days=T","Dir=V")</f>
        <v>0</v>
      </c>
      <c r="S2">
        <f>BDH("IONQ US Equity","BS_ACCT_NOTE_RCV","1993-06-18","2026-05-02","Per=Y","Days=T","Dir=V")</f>
        <v>0</v>
      </c>
      <c r="U2">
        <f>BDH("IONQ US Equity","BS_INVENTORIES","1993-06-18","2026-05-02","Per=Y","Days=T","Dir=V")</f>
        <v>0</v>
      </c>
      <c r="W2">
        <f>BDH("IONQ US Equity","WORKING_CAPITAL","1993-06-18","2026-05-02","Per=Y","Days=T","Dir=V")</f>
        <v>0</v>
      </c>
      <c r="Y2">
        <f>BDH("IONQ US Equity","SALES_REV_TURN","1993-06-18","2026-05-02","Per=Y","Days=T","Dir=V")</f>
        <v>0</v>
      </c>
      <c r="AA2">
        <f>BDH("IONQ US Equity","EBIT","1993-06-18","2026-05-02","Per=Y","Days=T","Dir=V")</f>
        <v>0</v>
      </c>
      <c r="AC2">
        <f>BDH("IONQ US Equity","EBITDA","1993-06-18","2026-05-02","Per=Y","Days=T","Dir=V")</f>
        <v>0</v>
      </c>
      <c r="AE2">
        <f>BDH("IONQ US Equity","NET_INCOME","1993-06-18","2026-05-02","Per=Y","Days=T","Dir=V")</f>
        <v>0</v>
      </c>
      <c r="AG2">
        <f>BDH("IONQ US Equity","IS_INT_EXPENSE","1993-06-18","2026-05-02","Per=Y","Days=T","Dir=V")</f>
        <v>0</v>
      </c>
      <c r="AI2">
        <f>BDH("IONQ US Equity","IS_DEPR_EXP","1993-06-18","2026-05-02","Per=Y","Days=T","Dir=V")</f>
        <v>0</v>
      </c>
      <c r="AK2">
        <f>BDH("IONQ US Equity","CF_CASH_FROM_OPER","1993-06-18","2026-05-02","Per=Y","Days=T","Dir=V")</f>
        <v>0</v>
      </c>
      <c r="AM2">
        <f>BDH("IONQ US Equity","CAPITAL_EXPEND","1993-06-18","2026-05-02","Per=Y","Days=T","Dir=V")</f>
        <v>0</v>
      </c>
      <c r="AO2">
        <f>BDH("IONQ US Equity","CF_FREE_CASH_FLOW","1993-06-18","2026-05-02","Per=Y","Days=T","Dir=V")</f>
        <v>0</v>
      </c>
      <c r="AQ2">
        <f>BDH("IONQ US Equity","PX_LAST","1993-06-18","2026-05-02","Per=M","Days=T","Dir=V")</f>
        <v>0</v>
      </c>
      <c r="AS2">
        <f>BDH("IONQ US Equity","CUR_MKT_CAP","1993-06-18","2026-05-02","Per=M","Days=T","Dir=V")</f>
        <v>0</v>
      </c>
      <c r="AU2">
        <f>BDH("IONQ US Equity","EQY_SH_OUT","1993-06-18","2026-05-02","Per=M","Days=T","Dir=V")</f>
        <v>0</v>
      </c>
      <c r="AW2">
        <f>BDH("IONQ US Equity","PX_VOLUME","1993-06-18","2026-05-02","Per=M","Days=T","Dir=V")</f>
        <v>0</v>
      </c>
      <c r="AY2">
        <f>BDH("IONQ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BDH("IONS US Equity","BS_TOT_ASSET","1993-06-18","2026-05-02","Per=Y","Days=T","Dir=V")</f>
        <v>0</v>
      </c>
      <c r="C2">
        <f>BDH("IONS US Equity","BS_TOT_LIAB2","1993-06-18","2026-05-02","Per=Y","Days=T","Dir=V")</f>
        <v>0</v>
      </c>
      <c r="E2">
        <f>BDH("IONS US Equity","SHORT_AND_LONG_TERM_DEBT","1993-06-18","2026-05-02","Per=Y","Days=T","Dir=V")</f>
        <v>0</v>
      </c>
      <c r="G2">
        <f>BDH("IONS US Equity","BS_ST_BORROW","1993-06-18","2026-05-02","Per=Y","Days=T","Dir=V")</f>
        <v>0</v>
      </c>
      <c r="I2">
        <f>BDH("IONS US Equity","BS_LT_BORROW","1993-06-18","2026-05-02","Per=Y","Days=T","Dir=V")</f>
        <v>0</v>
      </c>
      <c r="K2">
        <f>BDH("IONS US Equity","BS_CASH_NEAR_CASH_ITEM","1993-06-18","2026-05-02","Per=Y","Days=T","Dir=V")</f>
        <v>0</v>
      </c>
      <c r="M2">
        <f>BDH("IONS US Equity","BS_CUR_ASSET_REPORT","1993-06-18","2026-05-02","Per=Y","Days=T","Dir=V")</f>
        <v>0</v>
      </c>
      <c r="O2">
        <f>BDH("IONS US Equity","BS_CUR_LIAB","1993-06-18","2026-05-02","Per=Y","Days=T","Dir=V")</f>
        <v>0</v>
      </c>
      <c r="Q2">
        <f>BDH("IONS US Equity","BS_SHAREHOLDER_EQY_ENDING_PERIOD","1993-06-18","2026-05-02","Per=Y","Days=T","Dir=V")</f>
        <v>0</v>
      </c>
      <c r="S2">
        <f>BDH("IONS US Equity","BS_ACCT_NOTE_RCV","1993-06-18","2026-05-02","Per=Y","Days=T","Dir=V")</f>
        <v>0</v>
      </c>
      <c r="U2">
        <f>BDH("IONS US Equity","BS_INVENTORIES","1993-06-18","2026-05-02","Per=Y","Days=T","Dir=V")</f>
        <v>0</v>
      </c>
      <c r="W2">
        <f>BDH("IONS US Equity","WORKING_CAPITAL","1993-06-18","2026-05-02","Per=Y","Days=T","Dir=V")</f>
        <v>0</v>
      </c>
      <c r="Y2">
        <f>BDH("IONS US Equity","SALES_REV_TURN","1993-06-18","2026-05-02","Per=Y","Days=T","Dir=V")</f>
        <v>0</v>
      </c>
      <c r="AA2">
        <f>BDH("IONS US Equity","EBIT","1993-06-18","2026-05-02","Per=Y","Days=T","Dir=V")</f>
        <v>0</v>
      </c>
      <c r="AC2">
        <f>BDH("IONS US Equity","EBITDA","1993-06-18","2026-05-02","Per=Y","Days=T","Dir=V")</f>
        <v>0</v>
      </c>
      <c r="AE2">
        <f>BDH("IONS US Equity","NET_INCOME","1993-06-18","2026-05-02","Per=Y","Days=T","Dir=V")</f>
        <v>0</v>
      </c>
      <c r="AG2">
        <f>BDH("IONS US Equity","IS_INT_EXPENSE","1993-06-18","2026-05-02","Per=Y","Days=T","Dir=V")</f>
        <v>0</v>
      </c>
      <c r="AI2">
        <f>BDH("IONS US Equity","IS_DEPR_EXP","1993-06-18","2026-05-02","Per=Y","Days=T","Dir=V")</f>
        <v>0</v>
      </c>
      <c r="AK2">
        <f>BDH("IONS US Equity","CF_CASH_FROM_OPER","1993-06-18","2026-05-02","Per=Y","Days=T","Dir=V")</f>
        <v>0</v>
      </c>
      <c r="AM2">
        <f>BDH("IONS US Equity","CAPITAL_EXPEND","1993-06-18","2026-05-02","Per=Y","Days=T","Dir=V")</f>
        <v>0</v>
      </c>
      <c r="AO2">
        <f>BDH("IONS US Equity","CF_FREE_CASH_FLOW","1993-06-18","2026-05-02","Per=Y","Days=T","Dir=V")</f>
        <v>0</v>
      </c>
      <c r="AQ2">
        <f>BDH("IONS US Equity","PX_LAST","1993-06-18","2026-05-02","Per=M","Days=T","Dir=V")</f>
        <v>0</v>
      </c>
      <c r="AS2">
        <f>BDH("IONS US Equity","CUR_MKT_CAP","1993-06-18","2026-05-02","Per=M","Days=T","Dir=V")</f>
        <v>0</v>
      </c>
      <c r="AU2">
        <f>BDH("IONS US Equity","EQY_SH_OUT","1993-06-18","2026-05-02","Per=M","Days=T","Dir=V")</f>
        <v>0</v>
      </c>
      <c r="AW2">
        <f>BDH("IONS US Equity","PX_VOLUME","1993-06-18","2026-05-02","Per=M","Days=T","Dir=V")</f>
        <v>0</v>
      </c>
      <c r="AY2">
        <f>BDH("IONS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BDH("IOSP US Equity","BS_TOT_ASSET","1993-06-18","2026-05-02","Per=Y","Days=T","Dir=V")</f>
        <v>0</v>
      </c>
      <c r="C2">
        <f>BDH("IOSP US Equity","BS_TOT_LIAB2","1993-06-18","2026-05-02","Per=Y","Days=T","Dir=V")</f>
        <v>0</v>
      </c>
      <c r="E2">
        <f>BDH("IOSP US Equity","SHORT_AND_LONG_TERM_DEBT","1993-06-18","2026-05-02","Per=Y","Days=T","Dir=V")</f>
        <v>0</v>
      </c>
      <c r="G2">
        <f>BDH("IOSP US Equity","BS_ST_BORROW","1993-06-18","2026-05-02","Per=Y","Days=T","Dir=V")</f>
        <v>0</v>
      </c>
      <c r="I2">
        <f>BDH("IOSP US Equity","BS_LT_BORROW","1993-06-18","2026-05-02","Per=Y","Days=T","Dir=V")</f>
        <v>0</v>
      </c>
      <c r="K2">
        <f>BDH("IOSP US Equity","BS_CASH_NEAR_CASH_ITEM","1993-06-18","2026-05-02","Per=Y","Days=T","Dir=V")</f>
        <v>0</v>
      </c>
      <c r="M2">
        <f>BDH("IOSP US Equity","BS_CUR_ASSET_REPORT","1993-06-18","2026-05-02","Per=Y","Days=T","Dir=V")</f>
        <v>0</v>
      </c>
      <c r="O2">
        <f>BDH("IOSP US Equity","BS_CUR_LIAB","1993-06-18","2026-05-02","Per=Y","Days=T","Dir=V")</f>
        <v>0</v>
      </c>
      <c r="Q2">
        <f>BDH("IOSP US Equity","BS_SHAREHOLDER_EQY_ENDING_PERIOD","1993-06-18","2026-05-02","Per=Y","Days=T","Dir=V")</f>
        <v>0</v>
      </c>
      <c r="S2">
        <f>BDH("IOSP US Equity","BS_ACCT_NOTE_RCV","1993-06-18","2026-05-02","Per=Y","Days=T","Dir=V")</f>
        <v>0</v>
      </c>
      <c r="U2">
        <f>BDH("IOSP US Equity","BS_INVENTORIES","1993-06-18","2026-05-02","Per=Y","Days=T","Dir=V")</f>
        <v>0</v>
      </c>
      <c r="W2">
        <f>BDH("IOSP US Equity","WORKING_CAPITAL","1993-06-18","2026-05-02","Per=Y","Days=T","Dir=V")</f>
        <v>0</v>
      </c>
      <c r="Y2">
        <f>BDH("IOSP US Equity","SALES_REV_TURN","1993-06-18","2026-05-02","Per=Y","Days=T","Dir=V")</f>
        <v>0</v>
      </c>
      <c r="AA2">
        <f>BDH("IOSP US Equity","EBIT","1993-06-18","2026-05-02","Per=Y","Days=T","Dir=V")</f>
        <v>0</v>
      </c>
      <c r="AC2">
        <f>BDH("IOSP US Equity","EBITDA","1993-06-18","2026-05-02","Per=Y","Days=T","Dir=V")</f>
        <v>0</v>
      </c>
      <c r="AE2">
        <f>BDH("IOSP US Equity","NET_INCOME","1993-06-18","2026-05-02","Per=Y","Days=T","Dir=V")</f>
        <v>0</v>
      </c>
      <c r="AG2">
        <f>BDH("IOSP US Equity","IS_INT_EXPENSE","1993-06-18","2026-05-02","Per=Y","Days=T","Dir=V")</f>
        <v>0</v>
      </c>
      <c r="AI2">
        <f>BDH("IOSP US Equity","IS_DEPR_EXP","1993-06-18","2026-05-02","Per=Y","Days=T","Dir=V")</f>
        <v>0</v>
      </c>
      <c r="AK2">
        <f>BDH("IOSP US Equity","CF_CASH_FROM_OPER","1993-06-18","2026-05-02","Per=Y","Days=T","Dir=V")</f>
        <v>0</v>
      </c>
      <c r="AM2">
        <f>BDH("IOSP US Equity","CAPITAL_EXPEND","1993-06-18","2026-05-02","Per=Y","Days=T","Dir=V")</f>
        <v>0</v>
      </c>
      <c r="AO2">
        <f>BDH("IOSP US Equity","CF_FREE_CASH_FLOW","1993-06-18","2026-05-02","Per=Y","Days=T","Dir=V")</f>
        <v>0</v>
      </c>
      <c r="AQ2">
        <f>BDH("IOSP US Equity","PX_LAST","1993-06-18","2026-05-02","Per=M","Days=T","Dir=V")</f>
        <v>0</v>
      </c>
      <c r="AS2">
        <f>BDH("IOSP US Equity","CUR_MKT_CAP","1993-06-18","2026-05-02","Per=M","Days=T","Dir=V")</f>
        <v>0</v>
      </c>
      <c r="AU2">
        <f>BDH("IOSP US Equity","EQY_SH_OUT","1993-06-18","2026-05-02","Per=M","Days=T","Dir=V")</f>
        <v>0</v>
      </c>
      <c r="AW2">
        <f>BDH("IOSP US Equity","PX_VOLUME","1993-06-18","2026-05-02","Per=M","Days=T","Dir=V")</f>
        <v>0</v>
      </c>
      <c r="AY2">
        <f>BDH("IOSP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BDH("IOT US Equity","BS_TOT_ASSET","1993-06-18","2026-05-02","Per=Y","Days=T","Dir=V")</f>
        <v>0</v>
      </c>
      <c r="C2">
        <f>BDH("IOT US Equity","BS_TOT_LIAB2","1993-06-18","2026-05-02","Per=Y","Days=T","Dir=V")</f>
        <v>0</v>
      </c>
      <c r="E2">
        <f>BDH("IOT US Equity","SHORT_AND_LONG_TERM_DEBT","1993-06-18","2026-05-02","Per=Y","Days=T","Dir=V")</f>
        <v>0</v>
      </c>
      <c r="G2">
        <f>BDH("IOT US Equity","BS_ST_BORROW","1993-06-18","2026-05-02","Per=Y","Days=T","Dir=V")</f>
        <v>0</v>
      </c>
      <c r="I2">
        <f>BDH("IOT US Equity","BS_LT_BORROW","1993-06-18","2026-05-02","Per=Y","Days=T","Dir=V")</f>
        <v>0</v>
      </c>
      <c r="K2">
        <f>BDH("IOT US Equity","BS_CASH_NEAR_CASH_ITEM","1993-06-18","2026-05-02","Per=Y","Days=T","Dir=V")</f>
        <v>0</v>
      </c>
      <c r="M2">
        <f>BDH("IOT US Equity","BS_CUR_ASSET_REPORT","1993-06-18","2026-05-02","Per=Y","Days=T","Dir=V")</f>
        <v>0</v>
      </c>
      <c r="O2">
        <f>BDH("IOT US Equity","BS_CUR_LIAB","1993-06-18","2026-05-02","Per=Y","Days=T","Dir=V")</f>
        <v>0</v>
      </c>
      <c r="Q2">
        <f>BDH("IOT US Equity","BS_SHAREHOLDER_EQY_ENDING_PERIOD","1993-06-18","2026-05-02","Per=Y","Days=T","Dir=V")</f>
        <v>0</v>
      </c>
      <c r="S2">
        <f>BDH("IOT US Equity","BS_ACCT_NOTE_RCV","1993-06-18","2026-05-02","Per=Y","Days=T","Dir=V")</f>
        <v>0</v>
      </c>
      <c r="U2">
        <f>BDH("IOT US Equity","BS_INVENTORIES","1993-06-18","2026-05-02","Per=Y","Days=T","Dir=V")</f>
        <v>0</v>
      </c>
      <c r="W2">
        <f>BDH("IOT US Equity","WORKING_CAPITAL","1993-06-18","2026-05-02","Per=Y","Days=T","Dir=V")</f>
        <v>0</v>
      </c>
      <c r="Y2">
        <f>BDH("IOT US Equity","SALES_REV_TURN","1993-06-18","2026-05-02","Per=Y","Days=T","Dir=V")</f>
        <v>0</v>
      </c>
      <c r="AA2">
        <f>BDH("IOT US Equity","EBIT","1993-06-18","2026-05-02","Per=Y","Days=T","Dir=V")</f>
        <v>0</v>
      </c>
      <c r="AC2">
        <f>BDH("IOT US Equity","EBITDA","1993-06-18","2026-05-02","Per=Y","Days=T","Dir=V")</f>
        <v>0</v>
      </c>
      <c r="AE2">
        <f>BDH("IOT US Equity","NET_INCOME","1993-06-18","2026-05-02","Per=Y","Days=T","Dir=V")</f>
        <v>0</v>
      </c>
      <c r="AG2">
        <f>BDH("IOT US Equity","IS_INT_EXPENSE","1993-06-18","2026-05-02","Per=Y","Days=T","Dir=V")</f>
        <v>0</v>
      </c>
      <c r="AI2">
        <f>BDH("IOT US Equity","IS_DEPR_EXP","1993-06-18","2026-05-02","Per=Y","Days=T","Dir=V")</f>
        <v>0</v>
      </c>
      <c r="AK2">
        <f>BDH("IOT US Equity","CF_CASH_FROM_OPER","1993-06-18","2026-05-02","Per=Y","Days=T","Dir=V")</f>
        <v>0</v>
      </c>
      <c r="AM2">
        <f>BDH("IOT US Equity","CAPITAL_EXPEND","1993-06-18","2026-05-02","Per=Y","Days=T","Dir=V")</f>
        <v>0</v>
      </c>
      <c r="AO2">
        <f>BDH("IOT US Equity","CF_FREE_CASH_FLOW","1993-06-18","2026-05-02","Per=Y","Days=T","Dir=V")</f>
        <v>0</v>
      </c>
      <c r="AQ2">
        <f>BDH("IOT US Equity","PX_LAST","1993-06-18","2026-05-02","Per=M","Days=T","Dir=V")</f>
        <v>0</v>
      </c>
      <c r="AS2">
        <f>BDH("IOT US Equity","CUR_MKT_CAP","1993-06-18","2026-05-02","Per=M","Days=T","Dir=V")</f>
        <v>0</v>
      </c>
      <c r="AU2">
        <f>BDH("IOT US Equity","EQY_SH_OUT","1993-06-18","2026-05-02","Per=M","Days=T","Dir=V")</f>
        <v>0</v>
      </c>
      <c r="AW2">
        <f>BDH("IOT US Equity","PX_VOLUME","1993-06-18","2026-05-02","Per=M","Days=T","Dir=V")</f>
        <v>0</v>
      </c>
      <c r="AY2">
        <f>BDH("IOT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BDH("IOVA US Equity","BS_TOT_ASSET","1993-06-18","2026-05-02","Per=Y","Days=T","Dir=V")</f>
        <v>0</v>
      </c>
      <c r="C2">
        <f>BDH("IOVA US Equity","BS_TOT_LIAB2","1993-06-18","2026-05-02","Per=Y","Days=T","Dir=V")</f>
        <v>0</v>
      </c>
      <c r="E2">
        <f>BDH("IOVA US Equity","SHORT_AND_LONG_TERM_DEBT","1993-06-18","2026-05-02","Per=Y","Days=T","Dir=V")</f>
        <v>0</v>
      </c>
      <c r="G2">
        <f>BDH("IOVA US Equity","BS_ST_BORROW","1993-06-18","2026-05-02","Per=Y","Days=T","Dir=V")</f>
        <v>0</v>
      </c>
      <c r="I2">
        <f>BDH("IOVA US Equity","BS_LT_BORROW","1993-06-18","2026-05-02","Per=Y","Days=T","Dir=V")</f>
        <v>0</v>
      </c>
      <c r="K2">
        <f>BDH("IOVA US Equity","BS_CASH_NEAR_CASH_ITEM","1993-06-18","2026-05-02","Per=Y","Days=T","Dir=V")</f>
        <v>0</v>
      </c>
      <c r="M2">
        <f>BDH("IOVA US Equity","BS_CUR_ASSET_REPORT","1993-06-18","2026-05-02","Per=Y","Days=T","Dir=V")</f>
        <v>0</v>
      </c>
      <c r="O2">
        <f>BDH("IOVA US Equity","BS_CUR_LIAB","1993-06-18","2026-05-02","Per=Y","Days=T","Dir=V")</f>
        <v>0</v>
      </c>
      <c r="Q2">
        <f>BDH("IOVA US Equity","BS_SHAREHOLDER_EQY_ENDING_PERIOD","1993-06-18","2026-05-02","Per=Y","Days=T","Dir=V")</f>
        <v>0</v>
      </c>
      <c r="S2">
        <f>BDH("IOVA US Equity","BS_ACCT_NOTE_RCV","1993-06-18","2026-05-02","Per=Y","Days=T","Dir=V")</f>
        <v>0</v>
      </c>
      <c r="U2">
        <f>BDH("IOVA US Equity","BS_INVENTORIES","1993-06-18","2026-05-02","Per=Y","Days=T","Dir=V")</f>
        <v>0</v>
      </c>
      <c r="W2">
        <f>BDH("IOVA US Equity","WORKING_CAPITAL","1993-06-18","2026-05-02","Per=Y","Days=T","Dir=V")</f>
        <v>0</v>
      </c>
      <c r="Y2">
        <f>BDH("IOVA US Equity","SALES_REV_TURN","1993-06-18","2026-05-02","Per=Y","Days=T","Dir=V")</f>
        <v>0</v>
      </c>
      <c r="AA2">
        <f>BDH("IOVA US Equity","EBIT","1993-06-18","2026-05-02","Per=Y","Days=T","Dir=V")</f>
        <v>0</v>
      </c>
      <c r="AC2">
        <f>BDH("IOVA US Equity","EBITDA","1993-06-18","2026-05-02","Per=Y","Days=T","Dir=V")</f>
        <v>0</v>
      </c>
      <c r="AE2">
        <f>BDH("IOVA US Equity","NET_INCOME","1993-06-18","2026-05-02","Per=Y","Days=T","Dir=V")</f>
        <v>0</v>
      </c>
      <c r="AG2">
        <f>BDH("IOVA US Equity","IS_INT_EXPENSE","1993-06-18","2026-05-02","Per=Y","Days=T","Dir=V")</f>
        <v>0</v>
      </c>
      <c r="AI2">
        <f>BDH("IOVA US Equity","IS_DEPR_EXP","1993-06-18","2026-05-02","Per=Y","Days=T","Dir=V")</f>
        <v>0</v>
      </c>
      <c r="AK2">
        <f>BDH("IOVA US Equity","CF_CASH_FROM_OPER","1993-06-18","2026-05-02","Per=Y","Days=T","Dir=V")</f>
        <v>0</v>
      </c>
      <c r="AM2">
        <f>BDH("IOVA US Equity","CAPITAL_EXPEND","1993-06-18","2026-05-02","Per=Y","Days=T","Dir=V")</f>
        <v>0</v>
      </c>
      <c r="AO2">
        <f>BDH("IOVA US Equity","CF_FREE_CASH_FLOW","1993-06-18","2026-05-02","Per=Y","Days=T","Dir=V")</f>
        <v>0</v>
      </c>
      <c r="AQ2">
        <f>BDH("IOVA US Equity","PX_LAST","1993-06-18","2026-05-02","Per=M","Days=T","Dir=V")</f>
        <v>0</v>
      </c>
      <c r="AS2">
        <f>BDH("IOVA US Equity","CUR_MKT_CAP","1993-06-18","2026-05-02","Per=M","Days=T","Dir=V")</f>
        <v>0</v>
      </c>
      <c r="AU2">
        <f>BDH("IOVA US Equity","EQY_SH_OUT","1993-06-18","2026-05-02","Per=M","Days=T","Dir=V")</f>
        <v>0</v>
      </c>
      <c r="AW2">
        <f>BDH("IOVA US Equity","PX_VOLUME","1993-06-18","2026-05-02","Per=M","Days=T","Dir=V")</f>
        <v>0</v>
      </c>
      <c r="AY2">
        <f>BDH("IOVA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 US Equity","BS_TOT_ASSET","1993-06-18","2026-05-02","Per=Y","Days=T","Dir=V")</f>
        <v>0</v>
      </c>
      <c r="C2">
        <f>BDH("IP US Equity","BS_TOT_LIAB2","1993-06-18","2026-05-02","Per=Y","Days=T","Dir=V")</f>
        <v>0</v>
      </c>
      <c r="E2">
        <f>BDH("IP US Equity","SHORT_AND_LONG_TERM_DEBT","1993-06-18","2026-05-02","Per=Y","Days=T","Dir=V")</f>
        <v>0</v>
      </c>
      <c r="G2">
        <f>BDH("IP US Equity","BS_ST_BORROW","1993-06-18","2026-05-02","Per=Y","Days=T","Dir=V")</f>
        <v>0</v>
      </c>
      <c r="I2">
        <f>BDH("IP US Equity","BS_LT_BORROW","1993-06-18","2026-05-02","Per=Y","Days=T","Dir=V")</f>
        <v>0</v>
      </c>
      <c r="K2">
        <f>BDH("IP US Equity","BS_CASH_NEAR_CASH_ITEM","1993-06-18","2026-05-02","Per=Y","Days=T","Dir=V")</f>
        <v>0</v>
      </c>
      <c r="M2">
        <f>BDH("IP US Equity","BS_CUR_ASSET_REPORT","1993-06-18","2026-05-02","Per=Y","Days=T","Dir=V")</f>
        <v>0</v>
      </c>
      <c r="O2">
        <f>BDH("IP US Equity","BS_CUR_LIAB","1993-06-18","2026-05-02","Per=Y","Days=T","Dir=V")</f>
        <v>0</v>
      </c>
      <c r="Q2">
        <f>BDH("IP US Equity","BS_SHAREHOLDER_EQY_ENDING_PERIOD","1993-06-18","2026-05-02","Per=Y","Days=T","Dir=V")</f>
        <v>0</v>
      </c>
      <c r="S2">
        <f>BDH("IP US Equity","BS_ACCT_NOTE_RCV","1993-06-18","2026-05-02","Per=Y","Days=T","Dir=V")</f>
        <v>0</v>
      </c>
      <c r="U2">
        <f>BDH("IP US Equity","BS_INVENTORIES","1993-06-18","2026-05-02","Per=Y","Days=T","Dir=V")</f>
        <v>0</v>
      </c>
      <c r="W2">
        <f>BDH("IP US Equity","WORKING_CAPITAL","1993-06-18","2026-05-02","Per=Y","Days=T","Dir=V")</f>
        <v>0</v>
      </c>
      <c r="Y2">
        <f>BDH("IP US Equity","SALES_REV_TURN","1993-06-18","2026-05-02","Per=Y","Days=T","Dir=V")</f>
        <v>0</v>
      </c>
      <c r="AA2">
        <f>BDH("IP US Equity","EBIT","1993-06-18","2026-05-02","Per=Y","Days=T","Dir=V")</f>
        <v>0</v>
      </c>
      <c r="AC2">
        <f>BDH("IP US Equity","EBITDA","1993-06-18","2026-05-02","Per=Y","Days=T","Dir=V")</f>
        <v>0</v>
      </c>
      <c r="AE2">
        <f>BDH("IP US Equity","NET_INCOME","1993-06-18","2026-05-02","Per=Y","Days=T","Dir=V")</f>
        <v>0</v>
      </c>
      <c r="AG2">
        <f>BDH("IP US Equity","IS_INT_EXPENSE","1993-06-18","2026-05-02","Per=Y","Days=T","Dir=V")</f>
        <v>0</v>
      </c>
      <c r="AI2">
        <f>BDH("IP US Equity","IS_DEPR_EXP","1993-06-18","2026-05-02","Per=Y","Days=T","Dir=V")</f>
        <v>0</v>
      </c>
      <c r="AK2">
        <f>BDH("IP US Equity","CF_CASH_FROM_OPER","1993-06-18","2026-05-02","Per=Y","Days=T","Dir=V")</f>
        <v>0</v>
      </c>
      <c r="AM2">
        <f>BDH("IP US Equity","CAPITAL_EXPEND","1993-06-18","2026-05-02","Per=Y","Days=T","Dir=V")</f>
        <v>0</v>
      </c>
      <c r="AO2">
        <f>BDH("IP US Equity","CF_FREE_CASH_FLOW","1993-06-18","2026-05-02","Per=Y","Days=T","Dir=V")</f>
        <v>0</v>
      </c>
      <c r="AQ2">
        <f>BDH("IP US Equity","PX_LAST","1993-06-18","2026-05-02","Per=M","Days=T","Dir=V")</f>
        <v>0</v>
      </c>
      <c r="AS2">
        <f>BDH("IP US Equity","CUR_MKT_CAP","1993-06-18","2026-05-02","Per=M","Days=T","Dir=V")</f>
        <v>0</v>
      </c>
      <c r="AU2">
        <f>BDH("IP US Equity","EQY_SH_OUT","1993-06-18","2026-05-02","Per=M","Days=T","Dir=V")</f>
        <v>0</v>
      </c>
      <c r="AW2">
        <f>BDH("IP US Equity","PX_VOLUME","1993-06-18","2026-05-02","Per=M","Days=T","Dir=V")</f>
        <v>0</v>
      </c>
      <c r="AY2">
        <f>BDH("IP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BDH("IPAR US Equity","BS_TOT_ASSET","1993-06-18","2026-05-02","Per=Y","Days=T","Dir=V")</f>
        <v>0</v>
      </c>
      <c r="C2">
        <f>BDH("IPAR US Equity","BS_TOT_LIAB2","1993-06-18","2026-05-02","Per=Y","Days=T","Dir=V")</f>
        <v>0</v>
      </c>
      <c r="E2">
        <f>BDH("IPAR US Equity","SHORT_AND_LONG_TERM_DEBT","1993-06-18","2026-05-02","Per=Y","Days=T","Dir=V")</f>
        <v>0</v>
      </c>
      <c r="G2">
        <f>BDH("IPAR US Equity","BS_ST_BORROW","1993-06-18","2026-05-02","Per=Y","Days=T","Dir=V")</f>
        <v>0</v>
      </c>
      <c r="I2">
        <f>BDH("IPAR US Equity","BS_LT_BORROW","1993-06-18","2026-05-02","Per=Y","Days=T","Dir=V")</f>
        <v>0</v>
      </c>
      <c r="K2">
        <f>BDH("IPAR US Equity","BS_CASH_NEAR_CASH_ITEM","1993-06-18","2026-05-02","Per=Y","Days=T","Dir=V")</f>
        <v>0</v>
      </c>
      <c r="M2">
        <f>BDH("IPAR US Equity","BS_CUR_ASSET_REPORT","1993-06-18","2026-05-02","Per=Y","Days=T","Dir=V")</f>
        <v>0</v>
      </c>
      <c r="O2">
        <f>BDH("IPAR US Equity","BS_CUR_LIAB","1993-06-18","2026-05-02","Per=Y","Days=T","Dir=V")</f>
        <v>0</v>
      </c>
      <c r="Q2">
        <f>BDH("IPAR US Equity","BS_SHAREHOLDER_EQY_ENDING_PERIOD","1993-06-18","2026-05-02","Per=Y","Days=T","Dir=V")</f>
        <v>0</v>
      </c>
      <c r="S2">
        <f>BDH("IPAR US Equity","BS_ACCT_NOTE_RCV","1993-06-18","2026-05-02","Per=Y","Days=T","Dir=V")</f>
        <v>0</v>
      </c>
      <c r="U2">
        <f>BDH("IPAR US Equity","BS_INVENTORIES","1993-06-18","2026-05-02","Per=Y","Days=T","Dir=V")</f>
        <v>0</v>
      </c>
      <c r="W2">
        <f>BDH("IPAR US Equity","WORKING_CAPITAL","1993-06-18","2026-05-02","Per=Y","Days=T","Dir=V")</f>
        <v>0</v>
      </c>
      <c r="Y2">
        <f>BDH("IPAR US Equity","SALES_REV_TURN","1993-06-18","2026-05-02","Per=Y","Days=T","Dir=V")</f>
        <v>0</v>
      </c>
      <c r="AA2">
        <f>BDH("IPAR US Equity","EBIT","1993-06-18","2026-05-02","Per=Y","Days=T","Dir=V")</f>
        <v>0</v>
      </c>
      <c r="AC2">
        <f>BDH("IPAR US Equity","EBITDA","1993-06-18","2026-05-02","Per=Y","Days=T","Dir=V")</f>
        <v>0</v>
      </c>
      <c r="AE2">
        <f>BDH("IPAR US Equity","NET_INCOME","1993-06-18","2026-05-02","Per=Y","Days=T","Dir=V")</f>
        <v>0</v>
      </c>
      <c r="AG2">
        <f>BDH("IPAR US Equity","IS_INT_EXPENSE","1993-06-18","2026-05-02","Per=Y","Days=T","Dir=V")</f>
        <v>0</v>
      </c>
      <c r="AI2">
        <f>BDH("IPAR US Equity","IS_DEPR_EXP","1993-06-18","2026-05-02","Per=Y","Days=T","Dir=V")</f>
        <v>0</v>
      </c>
      <c r="AK2">
        <f>BDH("IPAR US Equity","CF_CASH_FROM_OPER","1993-06-18","2026-05-02","Per=Y","Days=T","Dir=V")</f>
        <v>0</v>
      </c>
      <c r="AM2">
        <f>BDH("IPAR US Equity","CAPITAL_EXPEND","1993-06-18","2026-05-02","Per=Y","Days=T","Dir=V")</f>
        <v>0</v>
      </c>
      <c r="AO2">
        <f>BDH("IPAR US Equity","CF_FREE_CASH_FLOW","1993-06-18","2026-05-02","Per=Y","Days=T","Dir=V")</f>
        <v>0</v>
      </c>
      <c r="AQ2">
        <f>BDH("IPAR US Equity","PX_LAST","1993-06-18","2026-05-02","Per=M","Days=T","Dir=V")</f>
        <v>0</v>
      </c>
      <c r="AS2">
        <f>BDH("IPAR US Equity","CUR_MKT_CAP","1993-06-18","2026-05-02","Per=M","Days=T","Dir=V")</f>
        <v>0</v>
      </c>
      <c r="AU2">
        <f>BDH("IPAR US Equity","EQY_SH_OUT","1993-06-18","2026-05-02","Per=M","Days=T","Dir=V")</f>
        <v>0</v>
      </c>
      <c r="AW2">
        <f>BDH("IPAR US Equity","PX_VOLUME","1993-06-18","2026-05-02","Per=M","Days=T","Dir=V")</f>
        <v>0</v>
      </c>
      <c r="AY2">
        <f>BDH("IPAR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BDH("IPDN US Equity","BS_TOT_ASSET","1993-06-18","2026-05-02","Per=Y","Days=T","Dir=V")</f>
        <v>0</v>
      </c>
      <c r="C2">
        <f>BDH("IPDN US Equity","BS_TOT_LIAB2","1993-06-18","2026-05-02","Per=Y","Days=T","Dir=V")</f>
        <v>0</v>
      </c>
      <c r="E2">
        <f>BDH("IPDN US Equity","SHORT_AND_LONG_TERM_DEBT","1993-06-18","2026-05-02","Per=Y","Days=T","Dir=V")</f>
        <v>0</v>
      </c>
      <c r="G2">
        <f>BDH("IPDN US Equity","BS_ST_BORROW","1993-06-18","2026-05-02","Per=Y","Days=T","Dir=V")</f>
        <v>0</v>
      </c>
      <c r="I2">
        <f>BDH("IPDN US Equity","BS_LT_BORROW","1993-06-18","2026-05-02","Per=Y","Days=T","Dir=V")</f>
        <v>0</v>
      </c>
      <c r="K2">
        <f>BDH("IPDN US Equity","BS_CASH_NEAR_CASH_ITEM","1993-06-18","2026-05-02","Per=Y","Days=T","Dir=V")</f>
        <v>0</v>
      </c>
      <c r="M2">
        <f>BDH("IPDN US Equity","BS_CUR_ASSET_REPORT","1993-06-18","2026-05-02","Per=Y","Days=T","Dir=V")</f>
        <v>0</v>
      </c>
      <c r="O2">
        <f>BDH("IPDN US Equity","BS_CUR_LIAB","1993-06-18","2026-05-02","Per=Y","Days=T","Dir=V")</f>
        <v>0</v>
      </c>
      <c r="Q2">
        <f>BDH("IPDN US Equity","BS_SHAREHOLDER_EQY_ENDING_PERIOD","1993-06-18","2026-05-02","Per=Y","Days=T","Dir=V")</f>
        <v>0</v>
      </c>
      <c r="S2">
        <f>BDH("IPDN US Equity","BS_ACCT_NOTE_RCV","1993-06-18","2026-05-02","Per=Y","Days=T","Dir=V")</f>
        <v>0</v>
      </c>
      <c r="U2">
        <f>BDH("IPDN US Equity","BS_INVENTORIES","1993-06-18","2026-05-02","Per=Y","Days=T","Dir=V")</f>
        <v>0</v>
      </c>
      <c r="W2">
        <f>BDH("IPDN US Equity","WORKING_CAPITAL","1993-06-18","2026-05-02","Per=Y","Days=T","Dir=V")</f>
        <v>0</v>
      </c>
      <c r="Y2">
        <f>BDH("IPDN US Equity","SALES_REV_TURN","1993-06-18","2026-05-02","Per=Y","Days=T","Dir=V")</f>
        <v>0</v>
      </c>
      <c r="AA2">
        <f>BDH("IPDN US Equity","EBIT","1993-06-18","2026-05-02","Per=Y","Days=T","Dir=V")</f>
        <v>0</v>
      </c>
      <c r="AC2">
        <f>BDH("IPDN US Equity","EBITDA","1993-06-18","2026-05-02","Per=Y","Days=T","Dir=V")</f>
        <v>0</v>
      </c>
      <c r="AE2">
        <f>BDH("IPDN US Equity","NET_INCOME","1993-06-18","2026-05-02","Per=Y","Days=T","Dir=V")</f>
        <v>0</v>
      </c>
      <c r="AG2">
        <f>BDH("IPDN US Equity","IS_INT_EXPENSE","1993-06-18","2026-05-02","Per=Y","Days=T","Dir=V")</f>
        <v>0</v>
      </c>
      <c r="AI2">
        <f>BDH("IPDN US Equity","IS_DEPR_EXP","1993-06-18","2026-05-02","Per=Y","Days=T","Dir=V")</f>
        <v>0</v>
      </c>
      <c r="AK2">
        <f>BDH("IPDN US Equity","CF_CASH_FROM_OPER","1993-06-18","2026-05-02","Per=Y","Days=T","Dir=V")</f>
        <v>0</v>
      </c>
      <c r="AM2">
        <f>BDH("IPDN US Equity","CAPITAL_EXPEND","1993-06-18","2026-05-02","Per=Y","Days=T","Dir=V")</f>
        <v>0</v>
      </c>
      <c r="AO2">
        <f>BDH("IPDN US Equity","CF_FREE_CASH_FLOW","1993-06-18","2026-05-02","Per=Y","Days=T","Dir=V")</f>
        <v>0</v>
      </c>
      <c r="AQ2">
        <f>BDH("IPDN US Equity","PX_LAST","1993-06-18","2026-05-02","Per=M","Days=T","Dir=V")</f>
        <v>0</v>
      </c>
      <c r="AS2">
        <f>BDH("IPDN US Equity","CUR_MKT_CAP","1993-06-18","2026-05-02","Per=M","Days=T","Dir=V")</f>
        <v>0</v>
      </c>
      <c r="AU2">
        <f>BDH("IPDN US Equity","EQY_SH_OUT","1993-06-18","2026-05-02","Per=M","Days=T","Dir=V")</f>
        <v>0</v>
      </c>
      <c r="AW2">
        <f>BDH("IPDN US Equity","PX_VOLUME","1993-06-18","2026-05-02","Per=M","Days=T","Dir=V")</f>
        <v>0</v>
      </c>
      <c r="AY2">
        <f>BDH("IPDN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BDH("IPEX US Equity","BS_TOT_ASSET","1993-06-18","2026-05-02","Per=Y","Days=T","Dir=V")</f>
        <v>0</v>
      </c>
      <c r="C2">
        <f>BDH("IPEX US Equity","BS_TOT_LIAB2","1993-06-18","2026-05-02","Per=Y","Days=T","Dir=V")</f>
        <v>0</v>
      </c>
      <c r="E2">
        <f>BDH("IPEX US Equity","SHORT_AND_LONG_TERM_DEBT","1993-06-18","2026-05-02","Per=Y","Days=T","Dir=V")</f>
        <v>0</v>
      </c>
      <c r="G2">
        <f>BDH("IPEX US Equity","BS_ST_BORROW","1993-06-18","2026-05-02","Per=Y","Days=T","Dir=V")</f>
        <v>0</v>
      </c>
      <c r="I2">
        <f>BDH("IPEX US Equity","BS_LT_BORROW","1993-06-18","2026-05-02","Per=Y","Days=T","Dir=V")</f>
        <v>0</v>
      </c>
      <c r="K2">
        <f>BDH("IPEX US Equity","BS_CASH_NEAR_CASH_ITEM","1993-06-18","2026-05-02","Per=Y","Days=T","Dir=V")</f>
        <v>0</v>
      </c>
      <c r="M2">
        <f>BDH("IPEX US Equity","BS_CUR_ASSET_REPORT","1993-06-18","2026-05-02","Per=Y","Days=T","Dir=V")</f>
        <v>0</v>
      </c>
      <c r="O2">
        <f>BDH("IPEX US Equity","BS_CUR_LIAB","1993-06-18","2026-05-02","Per=Y","Days=T","Dir=V")</f>
        <v>0</v>
      </c>
      <c r="Q2">
        <f>BDH("IPEX US Equity","BS_SHAREHOLDER_EQY_ENDING_PERIOD","1993-06-18","2026-05-02","Per=Y","Days=T","Dir=V")</f>
        <v>0</v>
      </c>
      <c r="S2">
        <f>BDH("IPEX US Equity","BS_ACCT_NOTE_RCV","1993-06-18","2026-05-02","Per=Y","Days=T","Dir=V")</f>
        <v>0</v>
      </c>
      <c r="U2">
        <f>BDH("IPEX US Equity","BS_INVENTORIES","1993-06-18","2026-05-02","Per=Y","Days=T","Dir=V")</f>
        <v>0</v>
      </c>
      <c r="W2">
        <f>BDH("IPEX US Equity","WORKING_CAPITAL","1993-06-18","2026-05-02","Per=Y","Days=T","Dir=V")</f>
        <v>0</v>
      </c>
      <c r="Y2">
        <f>BDH("IPEX US Equity","SALES_REV_TURN","1993-06-18","2026-05-02","Per=Y","Days=T","Dir=V")</f>
        <v>0</v>
      </c>
      <c r="AA2">
        <f>BDH("IPEX US Equity","EBIT","1993-06-18","2026-05-02","Per=Y","Days=T","Dir=V")</f>
        <v>0</v>
      </c>
      <c r="AC2">
        <f>BDH("IPEX US Equity","EBITDA","1993-06-18","2026-05-02","Per=Y","Days=T","Dir=V")</f>
        <v>0</v>
      </c>
      <c r="AE2">
        <f>BDH("IPEX US Equity","NET_INCOME","1993-06-18","2026-05-02","Per=Y","Days=T","Dir=V")</f>
        <v>0</v>
      </c>
      <c r="AG2">
        <f>BDH("IPEX US Equity","IS_INT_EXPENSE","1993-06-18","2026-05-02","Per=Y","Days=T","Dir=V")</f>
        <v>0</v>
      </c>
      <c r="AI2">
        <f>BDH("IPEX US Equity","IS_DEPR_EXP","1993-06-18","2026-05-02","Per=Y","Days=T","Dir=V")</f>
        <v>0</v>
      </c>
      <c r="AK2">
        <f>BDH("IPEX US Equity","CF_CASH_FROM_OPER","1993-06-18","2026-05-02","Per=Y","Days=T","Dir=V")</f>
        <v>0</v>
      </c>
      <c r="AM2">
        <f>BDH("IPEX US Equity","CAPITAL_EXPEND","1993-06-18","2026-05-02","Per=Y","Days=T","Dir=V")</f>
        <v>0</v>
      </c>
      <c r="AO2">
        <f>BDH("IPEX US Equity","CF_FREE_CASH_FLOW","1993-06-18","2026-05-02","Per=Y","Days=T","Dir=V")</f>
        <v>0</v>
      </c>
      <c r="AQ2">
        <f>BDH("IPEX US Equity","PX_LAST","1993-06-18","2026-05-02","Per=M","Days=T","Dir=V")</f>
        <v>0</v>
      </c>
      <c r="AS2">
        <f>BDH("IPEX US Equity","CUR_MKT_CAP","1993-06-18","2026-05-02","Per=M","Days=T","Dir=V")</f>
        <v>0</v>
      </c>
      <c r="AU2">
        <f>BDH("IPEX US Equity","EQY_SH_OUT","1993-06-18","2026-05-02","Per=M","Days=T","Dir=V")</f>
        <v>0</v>
      </c>
      <c r="AW2">
        <f>BDH("IPEX US Equity","PX_VOLUME","1993-06-18","2026-05-02","Per=M","Days=T","Dir=V")</f>
        <v>0</v>
      </c>
      <c r="AY2">
        <f>BDH("IPEX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BDH("IPGP US Equity","BS_TOT_ASSET","1993-06-18","2026-05-02","Per=Y","Days=T","Dir=V")</f>
        <v>0</v>
      </c>
      <c r="C2">
        <f>BDH("IPGP US Equity","BS_TOT_LIAB2","1993-06-18","2026-05-02","Per=Y","Days=T","Dir=V")</f>
        <v>0</v>
      </c>
      <c r="E2">
        <f>BDH("IPGP US Equity","SHORT_AND_LONG_TERM_DEBT","1993-06-18","2026-05-02","Per=Y","Days=T","Dir=V")</f>
        <v>0</v>
      </c>
      <c r="G2">
        <f>BDH("IPGP US Equity","BS_ST_BORROW","1993-06-18","2026-05-02","Per=Y","Days=T","Dir=V")</f>
        <v>0</v>
      </c>
      <c r="I2">
        <f>BDH("IPGP US Equity","BS_LT_BORROW","1993-06-18","2026-05-02","Per=Y","Days=T","Dir=V")</f>
        <v>0</v>
      </c>
      <c r="K2">
        <f>BDH("IPGP US Equity","BS_CASH_NEAR_CASH_ITEM","1993-06-18","2026-05-02","Per=Y","Days=T","Dir=V")</f>
        <v>0</v>
      </c>
      <c r="M2">
        <f>BDH("IPGP US Equity","BS_CUR_ASSET_REPORT","1993-06-18","2026-05-02","Per=Y","Days=T","Dir=V")</f>
        <v>0</v>
      </c>
      <c r="O2">
        <f>BDH("IPGP US Equity","BS_CUR_LIAB","1993-06-18","2026-05-02","Per=Y","Days=T","Dir=V")</f>
        <v>0</v>
      </c>
      <c r="Q2">
        <f>BDH("IPGP US Equity","BS_SHAREHOLDER_EQY_ENDING_PERIOD","1993-06-18","2026-05-02","Per=Y","Days=T","Dir=V")</f>
        <v>0</v>
      </c>
      <c r="S2">
        <f>BDH("IPGP US Equity","BS_ACCT_NOTE_RCV","1993-06-18","2026-05-02","Per=Y","Days=T","Dir=V")</f>
        <v>0</v>
      </c>
      <c r="U2">
        <f>BDH("IPGP US Equity","BS_INVENTORIES","1993-06-18","2026-05-02","Per=Y","Days=T","Dir=V")</f>
        <v>0</v>
      </c>
      <c r="W2">
        <f>BDH("IPGP US Equity","WORKING_CAPITAL","1993-06-18","2026-05-02","Per=Y","Days=T","Dir=V")</f>
        <v>0</v>
      </c>
      <c r="Y2">
        <f>BDH("IPGP US Equity","SALES_REV_TURN","1993-06-18","2026-05-02","Per=Y","Days=T","Dir=V")</f>
        <v>0</v>
      </c>
      <c r="AA2">
        <f>BDH("IPGP US Equity","EBIT","1993-06-18","2026-05-02","Per=Y","Days=T","Dir=V")</f>
        <v>0</v>
      </c>
      <c r="AC2">
        <f>BDH("IPGP US Equity","EBITDA","1993-06-18","2026-05-02","Per=Y","Days=T","Dir=V")</f>
        <v>0</v>
      </c>
      <c r="AE2">
        <f>BDH("IPGP US Equity","NET_INCOME","1993-06-18","2026-05-02","Per=Y","Days=T","Dir=V")</f>
        <v>0</v>
      </c>
      <c r="AG2">
        <f>BDH("IPGP US Equity","IS_INT_EXPENSE","1993-06-18","2026-05-02","Per=Y","Days=T","Dir=V")</f>
        <v>0</v>
      </c>
      <c r="AI2">
        <f>BDH("IPGP US Equity","IS_DEPR_EXP","1993-06-18","2026-05-02","Per=Y","Days=T","Dir=V")</f>
        <v>0</v>
      </c>
      <c r="AK2">
        <f>BDH("IPGP US Equity","CF_CASH_FROM_OPER","1993-06-18","2026-05-02","Per=Y","Days=T","Dir=V")</f>
        <v>0</v>
      </c>
      <c r="AM2">
        <f>BDH("IPGP US Equity","CAPITAL_EXPEND","1993-06-18","2026-05-02","Per=Y","Days=T","Dir=V")</f>
        <v>0</v>
      </c>
      <c r="AO2">
        <f>BDH("IPGP US Equity","CF_FREE_CASH_FLOW","1993-06-18","2026-05-02","Per=Y","Days=T","Dir=V")</f>
        <v>0</v>
      </c>
      <c r="AQ2">
        <f>BDH("IPGP US Equity","PX_LAST","1993-06-18","2026-05-02","Per=M","Days=T","Dir=V")</f>
        <v>0</v>
      </c>
      <c r="AS2">
        <f>BDH("IPGP US Equity","CUR_MKT_CAP","1993-06-18","2026-05-02","Per=M","Days=T","Dir=V")</f>
        <v>0</v>
      </c>
      <c r="AU2">
        <f>BDH("IPGP US Equity","EQY_SH_OUT","1993-06-18","2026-05-02","Per=M","Days=T","Dir=V")</f>
        <v>0</v>
      </c>
      <c r="AW2">
        <f>BDH("IPGP US Equity","PX_VOLUME","1993-06-18","2026-05-02","Per=M","Days=T","Dir=V")</f>
        <v>0</v>
      </c>
      <c r="AY2">
        <f>BDH("IPGP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BDH("IPI US Equity","BS_TOT_ASSET","1993-06-18","2026-05-02","Per=Y","Days=T","Dir=V")</f>
        <v>0</v>
      </c>
      <c r="C2">
        <f>BDH("IPI US Equity","BS_TOT_LIAB2","1993-06-18","2026-05-02","Per=Y","Days=T","Dir=V")</f>
        <v>0</v>
      </c>
      <c r="E2">
        <f>BDH("IPI US Equity","SHORT_AND_LONG_TERM_DEBT","1993-06-18","2026-05-02","Per=Y","Days=T","Dir=V")</f>
        <v>0</v>
      </c>
      <c r="G2">
        <f>BDH("IPI US Equity","BS_ST_BORROW","1993-06-18","2026-05-02","Per=Y","Days=T","Dir=V")</f>
        <v>0</v>
      </c>
      <c r="I2">
        <f>BDH("IPI US Equity","BS_LT_BORROW","1993-06-18","2026-05-02","Per=Y","Days=T","Dir=V")</f>
        <v>0</v>
      </c>
      <c r="K2">
        <f>BDH("IPI US Equity","BS_CASH_NEAR_CASH_ITEM","1993-06-18","2026-05-02","Per=Y","Days=T","Dir=V")</f>
        <v>0</v>
      </c>
      <c r="M2">
        <f>BDH("IPI US Equity","BS_CUR_ASSET_REPORT","1993-06-18","2026-05-02","Per=Y","Days=T","Dir=V")</f>
        <v>0</v>
      </c>
      <c r="O2">
        <f>BDH("IPI US Equity","BS_CUR_LIAB","1993-06-18","2026-05-02","Per=Y","Days=T","Dir=V")</f>
        <v>0</v>
      </c>
      <c r="Q2">
        <f>BDH("IPI US Equity","BS_SHAREHOLDER_EQY_ENDING_PERIOD","1993-06-18","2026-05-02","Per=Y","Days=T","Dir=V")</f>
        <v>0</v>
      </c>
      <c r="S2">
        <f>BDH("IPI US Equity","BS_ACCT_NOTE_RCV","1993-06-18","2026-05-02","Per=Y","Days=T","Dir=V")</f>
        <v>0</v>
      </c>
      <c r="U2">
        <f>BDH("IPI US Equity","BS_INVENTORIES","1993-06-18","2026-05-02","Per=Y","Days=T","Dir=V")</f>
        <v>0</v>
      </c>
      <c r="W2">
        <f>BDH("IPI US Equity","WORKING_CAPITAL","1993-06-18","2026-05-02","Per=Y","Days=T","Dir=V")</f>
        <v>0</v>
      </c>
      <c r="Y2">
        <f>BDH("IPI US Equity","SALES_REV_TURN","1993-06-18","2026-05-02","Per=Y","Days=T","Dir=V")</f>
        <v>0</v>
      </c>
      <c r="AA2">
        <f>BDH("IPI US Equity","EBIT","1993-06-18","2026-05-02","Per=Y","Days=T","Dir=V")</f>
        <v>0</v>
      </c>
      <c r="AC2">
        <f>BDH("IPI US Equity","EBITDA","1993-06-18","2026-05-02","Per=Y","Days=T","Dir=V")</f>
        <v>0</v>
      </c>
      <c r="AE2">
        <f>BDH("IPI US Equity","NET_INCOME","1993-06-18","2026-05-02","Per=Y","Days=T","Dir=V")</f>
        <v>0</v>
      </c>
      <c r="AG2">
        <f>BDH("IPI US Equity","IS_INT_EXPENSE","1993-06-18","2026-05-02","Per=Y","Days=T","Dir=V")</f>
        <v>0</v>
      </c>
      <c r="AI2">
        <f>BDH("IPI US Equity","IS_DEPR_EXP","1993-06-18","2026-05-02","Per=Y","Days=T","Dir=V")</f>
        <v>0</v>
      </c>
      <c r="AK2">
        <f>BDH("IPI US Equity","CF_CASH_FROM_OPER","1993-06-18","2026-05-02","Per=Y","Days=T","Dir=V")</f>
        <v>0</v>
      </c>
      <c r="AM2">
        <f>BDH("IPI US Equity","CAPITAL_EXPEND","1993-06-18","2026-05-02","Per=Y","Days=T","Dir=V")</f>
        <v>0</v>
      </c>
      <c r="AO2">
        <f>BDH("IPI US Equity","CF_FREE_CASH_FLOW","1993-06-18","2026-05-02","Per=Y","Days=T","Dir=V")</f>
        <v>0</v>
      </c>
      <c r="AQ2">
        <f>BDH("IPI US Equity","PX_LAST","1993-06-18","2026-05-02","Per=M","Days=T","Dir=V")</f>
        <v>0</v>
      </c>
      <c r="AS2">
        <f>BDH("IPI US Equity","CUR_MKT_CAP","1993-06-18","2026-05-02","Per=M","Days=T","Dir=V")</f>
        <v>0</v>
      </c>
      <c r="AU2">
        <f>BDH("IPI US Equity","EQY_SH_OUT","1993-06-18","2026-05-02","Per=M","Days=T","Dir=V")</f>
        <v>0</v>
      </c>
      <c r="AW2">
        <f>BDH("IPI US Equity","PX_VOLUME","1993-06-18","2026-05-02","Per=M","Days=T","Dir=V")</f>
        <v>0</v>
      </c>
      <c r="AY2">
        <f>BDH("IPI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BDH("IPM US Equity","BS_TOT_ASSET","1993-06-18","2026-05-02","Per=Y","Days=T","Dir=V")</f>
        <v>0</v>
      </c>
      <c r="C2">
        <f>BDH("IPM US Equity","BS_TOT_LIAB2","1993-06-18","2026-05-02","Per=Y","Days=T","Dir=V")</f>
        <v>0</v>
      </c>
      <c r="E2">
        <f>BDH("IPM US Equity","SHORT_AND_LONG_TERM_DEBT","1993-06-18","2026-05-02","Per=Y","Days=T","Dir=V")</f>
        <v>0</v>
      </c>
      <c r="G2">
        <f>BDH("IPM US Equity","BS_ST_BORROW","1993-06-18","2026-05-02","Per=Y","Days=T","Dir=V")</f>
        <v>0</v>
      </c>
      <c r="I2">
        <f>BDH("IPM US Equity","BS_LT_BORROW","1993-06-18","2026-05-02","Per=Y","Days=T","Dir=V")</f>
        <v>0</v>
      </c>
      <c r="K2">
        <f>BDH("IPM US Equity","BS_CASH_NEAR_CASH_ITEM","1993-06-18","2026-05-02","Per=Y","Days=T","Dir=V")</f>
        <v>0</v>
      </c>
      <c r="M2">
        <f>BDH("IPM US Equity","BS_CUR_ASSET_REPORT","1993-06-18","2026-05-02","Per=Y","Days=T","Dir=V")</f>
        <v>0</v>
      </c>
      <c r="O2">
        <f>BDH("IPM US Equity","BS_CUR_LIAB","1993-06-18","2026-05-02","Per=Y","Days=T","Dir=V")</f>
        <v>0</v>
      </c>
      <c r="Q2">
        <f>BDH("IPM US Equity","BS_SHAREHOLDER_EQY_ENDING_PERIOD","1993-06-18","2026-05-02","Per=Y","Days=T","Dir=V")</f>
        <v>0</v>
      </c>
      <c r="S2">
        <f>BDH("IPM US Equity","BS_ACCT_NOTE_RCV","1993-06-18","2026-05-02","Per=Y","Days=T","Dir=V")</f>
        <v>0</v>
      </c>
      <c r="U2">
        <f>BDH("IPM US Equity","BS_INVENTORIES","1993-06-18","2026-05-02","Per=Y","Days=T","Dir=V")</f>
        <v>0</v>
      </c>
      <c r="W2">
        <f>BDH("IPM US Equity","WORKING_CAPITAL","1993-06-18","2026-05-02","Per=Y","Days=T","Dir=V")</f>
        <v>0</v>
      </c>
      <c r="Y2">
        <f>BDH("IPM US Equity","SALES_REV_TURN","1993-06-18","2026-05-02","Per=Y","Days=T","Dir=V")</f>
        <v>0</v>
      </c>
      <c r="AA2">
        <f>BDH("IPM US Equity","EBIT","1993-06-18","2026-05-02","Per=Y","Days=T","Dir=V")</f>
        <v>0</v>
      </c>
      <c r="AC2">
        <f>BDH("IPM US Equity","EBITDA","1993-06-18","2026-05-02","Per=Y","Days=T","Dir=V")</f>
        <v>0</v>
      </c>
      <c r="AE2">
        <f>BDH("IPM US Equity","NET_INCOME","1993-06-18","2026-05-02","Per=Y","Days=T","Dir=V")</f>
        <v>0</v>
      </c>
      <c r="AG2">
        <f>BDH("IPM US Equity","IS_INT_EXPENSE","1993-06-18","2026-05-02","Per=Y","Days=T","Dir=V")</f>
        <v>0</v>
      </c>
      <c r="AI2">
        <f>BDH("IPM US Equity","IS_DEPR_EXP","1993-06-18","2026-05-02","Per=Y","Days=T","Dir=V")</f>
        <v>0</v>
      </c>
      <c r="AK2">
        <f>BDH("IPM US Equity","CF_CASH_FROM_OPER","1993-06-18","2026-05-02","Per=Y","Days=T","Dir=V")</f>
        <v>0</v>
      </c>
      <c r="AM2">
        <f>BDH("IPM US Equity","CAPITAL_EXPEND","1993-06-18","2026-05-02","Per=Y","Days=T","Dir=V")</f>
        <v>0</v>
      </c>
      <c r="AO2">
        <f>BDH("IPM US Equity","CF_FREE_CASH_FLOW","1993-06-18","2026-05-02","Per=Y","Days=T","Dir=V")</f>
        <v>0</v>
      </c>
      <c r="AQ2">
        <f>BDH("IPM US Equity","PX_LAST","1993-06-18","2026-05-02","Per=M","Days=T","Dir=V")</f>
        <v>0</v>
      </c>
      <c r="AS2">
        <f>BDH("IPM US Equity","CUR_MKT_CAP","1993-06-18","2026-05-02","Per=M","Days=T","Dir=V")</f>
        <v>0</v>
      </c>
      <c r="AU2">
        <f>BDH("IPM US Equity","EQY_SH_OUT","1993-06-18","2026-05-02","Per=M","Days=T","Dir=V")</f>
        <v>0</v>
      </c>
      <c r="AW2">
        <f>BDH("IPM US Equity","PX_VOLUME","1993-06-18","2026-05-02","Per=M","Days=T","Dir=V")</f>
        <v>0</v>
      </c>
      <c r="AY2">
        <f>BDH("IPM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BDH("IPSC US Equity","BS_TOT_ASSET","1993-06-18","2026-05-02","Per=Y","Days=T","Dir=V")</f>
        <v>0</v>
      </c>
      <c r="C2">
        <f>BDH("IPSC US Equity","BS_TOT_LIAB2","1993-06-18","2026-05-02","Per=Y","Days=T","Dir=V")</f>
        <v>0</v>
      </c>
      <c r="E2">
        <f>BDH("IPSC US Equity","SHORT_AND_LONG_TERM_DEBT","1993-06-18","2026-05-02","Per=Y","Days=T","Dir=V")</f>
        <v>0</v>
      </c>
      <c r="G2">
        <f>BDH("IPSC US Equity","BS_ST_BORROW","1993-06-18","2026-05-02","Per=Y","Days=T","Dir=V")</f>
        <v>0</v>
      </c>
      <c r="I2">
        <f>BDH("IPSC US Equity","BS_LT_BORROW","1993-06-18","2026-05-02","Per=Y","Days=T","Dir=V")</f>
        <v>0</v>
      </c>
      <c r="K2">
        <f>BDH("IPSC US Equity","BS_CASH_NEAR_CASH_ITEM","1993-06-18","2026-05-02","Per=Y","Days=T","Dir=V")</f>
        <v>0</v>
      </c>
      <c r="M2">
        <f>BDH("IPSC US Equity","BS_CUR_ASSET_REPORT","1993-06-18","2026-05-02","Per=Y","Days=T","Dir=V")</f>
        <v>0</v>
      </c>
      <c r="O2">
        <f>BDH("IPSC US Equity","BS_CUR_LIAB","1993-06-18","2026-05-02","Per=Y","Days=T","Dir=V")</f>
        <v>0</v>
      </c>
      <c r="Q2">
        <f>BDH("IPSC US Equity","BS_SHAREHOLDER_EQY_ENDING_PERIOD","1993-06-18","2026-05-02","Per=Y","Days=T","Dir=V")</f>
        <v>0</v>
      </c>
      <c r="S2">
        <f>BDH("IPSC US Equity","BS_ACCT_NOTE_RCV","1993-06-18","2026-05-02","Per=Y","Days=T","Dir=V")</f>
        <v>0</v>
      </c>
      <c r="U2">
        <f>BDH("IPSC US Equity","BS_INVENTORIES","1993-06-18","2026-05-02","Per=Y","Days=T","Dir=V")</f>
        <v>0</v>
      </c>
      <c r="W2">
        <f>BDH("IPSC US Equity","WORKING_CAPITAL","1993-06-18","2026-05-02","Per=Y","Days=T","Dir=V")</f>
        <v>0</v>
      </c>
      <c r="Y2">
        <f>BDH("IPSC US Equity","SALES_REV_TURN","1993-06-18","2026-05-02","Per=Y","Days=T","Dir=V")</f>
        <v>0</v>
      </c>
      <c r="AA2">
        <f>BDH("IPSC US Equity","EBIT","1993-06-18","2026-05-02","Per=Y","Days=T","Dir=V")</f>
        <v>0</v>
      </c>
      <c r="AC2">
        <f>BDH("IPSC US Equity","EBITDA","1993-06-18","2026-05-02","Per=Y","Days=T","Dir=V")</f>
        <v>0</v>
      </c>
      <c r="AE2">
        <f>BDH("IPSC US Equity","NET_INCOME","1993-06-18","2026-05-02","Per=Y","Days=T","Dir=V")</f>
        <v>0</v>
      </c>
      <c r="AG2">
        <f>BDH("IPSC US Equity","IS_INT_EXPENSE","1993-06-18","2026-05-02","Per=Y","Days=T","Dir=V")</f>
        <v>0</v>
      </c>
      <c r="AI2">
        <f>BDH("IPSC US Equity","IS_DEPR_EXP","1993-06-18","2026-05-02","Per=Y","Days=T","Dir=V")</f>
        <v>0</v>
      </c>
      <c r="AK2">
        <f>BDH("IPSC US Equity","CF_CASH_FROM_OPER","1993-06-18","2026-05-02","Per=Y","Days=T","Dir=V")</f>
        <v>0</v>
      </c>
      <c r="AM2">
        <f>BDH("IPSC US Equity","CAPITAL_EXPEND","1993-06-18","2026-05-02","Per=Y","Days=T","Dir=V")</f>
        <v>0</v>
      </c>
      <c r="AO2">
        <f>BDH("IPSC US Equity","CF_FREE_CASH_FLOW","1993-06-18","2026-05-02","Per=Y","Days=T","Dir=V")</f>
        <v>0</v>
      </c>
      <c r="AQ2">
        <f>BDH("IPSC US Equity","PX_LAST","1993-06-18","2026-05-02","Per=M","Days=T","Dir=V")</f>
        <v>0</v>
      </c>
      <c r="AS2">
        <f>BDH("IPSC US Equity","CUR_MKT_CAP","1993-06-18","2026-05-02","Per=M","Days=T","Dir=V")</f>
        <v>0</v>
      </c>
      <c r="AU2">
        <f>BDH("IPSC US Equity","EQY_SH_OUT","1993-06-18","2026-05-02","Per=M","Days=T","Dir=V")</f>
        <v>0</v>
      </c>
      <c r="AW2">
        <f>BDH("IPSC US Equity","PX_VOLUME","1993-06-18","2026-05-02","Per=M","Days=T","Dir=V")</f>
        <v>0</v>
      </c>
      <c r="AY2">
        <f>BDH("IPSC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BDH("IPST US Equity","BS_TOT_ASSET","1993-06-18","2026-05-02","Per=Y","Days=T","Dir=V")</f>
        <v>0</v>
      </c>
      <c r="C2">
        <f>BDH("IPST US Equity","BS_TOT_LIAB2","1993-06-18","2026-05-02","Per=Y","Days=T","Dir=V")</f>
        <v>0</v>
      </c>
      <c r="E2">
        <f>BDH("IPST US Equity","SHORT_AND_LONG_TERM_DEBT","1993-06-18","2026-05-02","Per=Y","Days=T","Dir=V")</f>
        <v>0</v>
      </c>
      <c r="G2">
        <f>BDH("IPST US Equity","BS_ST_BORROW","1993-06-18","2026-05-02","Per=Y","Days=T","Dir=V")</f>
        <v>0</v>
      </c>
      <c r="I2">
        <f>BDH("IPST US Equity","BS_LT_BORROW","1993-06-18","2026-05-02","Per=Y","Days=T","Dir=V")</f>
        <v>0</v>
      </c>
      <c r="K2">
        <f>BDH("IPST US Equity","BS_CASH_NEAR_CASH_ITEM","1993-06-18","2026-05-02","Per=Y","Days=T","Dir=V")</f>
        <v>0</v>
      </c>
      <c r="M2">
        <f>BDH("IPST US Equity","BS_CUR_ASSET_REPORT","1993-06-18","2026-05-02","Per=Y","Days=T","Dir=V")</f>
        <v>0</v>
      </c>
      <c r="O2">
        <f>BDH("IPST US Equity","BS_CUR_LIAB","1993-06-18","2026-05-02","Per=Y","Days=T","Dir=V")</f>
        <v>0</v>
      </c>
      <c r="Q2">
        <f>BDH("IPST US Equity","BS_SHAREHOLDER_EQY_ENDING_PERIOD","1993-06-18","2026-05-02","Per=Y","Days=T","Dir=V")</f>
        <v>0</v>
      </c>
      <c r="S2">
        <f>BDH("IPST US Equity","BS_ACCT_NOTE_RCV","1993-06-18","2026-05-02","Per=Y","Days=T","Dir=V")</f>
        <v>0</v>
      </c>
      <c r="U2">
        <f>BDH("IPST US Equity","BS_INVENTORIES","1993-06-18","2026-05-02","Per=Y","Days=T","Dir=V")</f>
        <v>0</v>
      </c>
      <c r="W2">
        <f>BDH("IPST US Equity","WORKING_CAPITAL","1993-06-18","2026-05-02","Per=Y","Days=T","Dir=V")</f>
        <v>0</v>
      </c>
      <c r="Y2">
        <f>BDH("IPST US Equity","SALES_REV_TURN","1993-06-18","2026-05-02","Per=Y","Days=T","Dir=V")</f>
        <v>0</v>
      </c>
      <c r="AA2">
        <f>BDH("IPST US Equity","EBIT","1993-06-18","2026-05-02","Per=Y","Days=T","Dir=V")</f>
        <v>0</v>
      </c>
      <c r="AC2">
        <f>BDH("IPST US Equity","EBITDA","1993-06-18","2026-05-02","Per=Y","Days=T","Dir=V")</f>
        <v>0</v>
      </c>
      <c r="AE2">
        <f>BDH("IPST US Equity","NET_INCOME","1993-06-18","2026-05-02","Per=Y","Days=T","Dir=V")</f>
        <v>0</v>
      </c>
      <c r="AG2">
        <f>BDH("IPST US Equity","IS_INT_EXPENSE","1993-06-18","2026-05-02","Per=Y","Days=T","Dir=V")</f>
        <v>0</v>
      </c>
      <c r="AI2">
        <f>BDH("IPST US Equity","IS_DEPR_EXP","1993-06-18","2026-05-02","Per=Y","Days=T","Dir=V")</f>
        <v>0</v>
      </c>
      <c r="AK2">
        <f>BDH("IPST US Equity","CF_CASH_FROM_OPER","1993-06-18","2026-05-02","Per=Y","Days=T","Dir=V")</f>
        <v>0</v>
      </c>
      <c r="AM2">
        <f>BDH("IPST US Equity","CAPITAL_EXPEND","1993-06-18","2026-05-02","Per=Y","Days=T","Dir=V")</f>
        <v>0</v>
      </c>
      <c r="AO2">
        <f>BDH("IPST US Equity","CF_FREE_CASH_FLOW","1993-06-18","2026-05-02","Per=Y","Days=T","Dir=V")</f>
        <v>0</v>
      </c>
      <c r="AQ2">
        <f>BDH("IPST US Equity","PX_LAST","1993-06-18","2026-05-02","Per=M","Days=T","Dir=V")</f>
        <v>0</v>
      </c>
      <c r="AS2">
        <f>BDH("IPST US Equity","CUR_MKT_CAP","1993-06-18","2026-05-02","Per=M","Days=T","Dir=V")</f>
        <v>0</v>
      </c>
      <c r="AU2">
        <f>BDH("IPST US Equity","EQY_SH_OUT","1993-06-18","2026-05-02","Per=M","Days=T","Dir=V")</f>
        <v>0</v>
      </c>
      <c r="AW2">
        <f>BDH("IPST US Equity","PX_VOLUME","1993-06-18","2026-05-02","Per=M","Days=T","Dir=V")</f>
        <v>0</v>
      </c>
      <c r="AY2">
        <f>BDH("IPST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BDH("IPW US Equity","BS_TOT_ASSET","1993-06-18","2026-05-02","Per=Y","Days=T","Dir=V")</f>
        <v>0</v>
      </c>
      <c r="C2">
        <f>BDH("IPW US Equity","BS_TOT_LIAB2","1993-06-18","2026-05-02","Per=Y","Days=T","Dir=V")</f>
        <v>0</v>
      </c>
      <c r="E2">
        <f>BDH("IPW US Equity","SHORT_AND_LONG_TERM_DEBT","1993-06-18","2026-05-02","Per=Y","Days=T","Dir=V")</f>
        <v>0</v>
      </c>
      <c r="G2">
        <f>BDH("IPW US Equity","BS_ST_BORROW","1993-06-18","2026-05-02","Per=Y","Days=T","Dir=V")</f>
        <v>0</v>
      </c>
      <c r="I2">
        <f>BDH("IPW US Equity","BS_LT_BORROW","1993-06-18","2026-05-02","Per=Y","Days=T","Dir=V")</f>
        <v>0</v>
      </c>
      <c r="K2">
        <f>BDH("IPW US Equity","BS_CASH_NEAR_CASH_ITEM","1993-06-18","2026-05-02","Per=Y","Days=T","Dir=V")</f>
        <v>0</v>
      </c>
      <c r="M2">
        <f>BDH("IPW US Equity","BS_CUR_ASSET_REPORT","1993-06-18","2026-05-02","Per=Y","Days=T","Dir=V")</f>
        <v>0</v>
      </c>
      <c r="O2">
        <f>BDH("IPW US Equity","BS_CUR_LIAB","1993-06-18","2026-05-02","Per=Y","Days=T","Dir=V")</f>
        <v>0</v>
      </c>
      <c r="Q2">
        <f>BDH("IPW US Equity","BS_SHAREHOLDER_EQY_ENDING_PERIOD","1993-06-18","2026-05-02","Per=Y","Days=T","Dir=V")</f>
        <v>0</v>
      </c>
      <c r="S2">
        <f>BDH("IPW US Equity","BS_ACCT_NOTE_RCV","1993-06-18","2026-05-02","Per=Y","Days=T","Dir=V")</f>
        <v>0</v>
      </c>
      <c r="U2">
        <f>BDH("IPW US Equity","BS_INVENTORIES","1993-06-18","2026-05-02","Per=Y","Days=T","Dir=V")</f>
        <v>0</v>
      </c>
      <c r="W2">
        <f>BDH("IPW US Equity","WORKING_CAPITAL","1993-06-18","2026-05-02","Per=Y","Days=T","Dir=V")</f>
        <v>0</v>
      </c>
      <c r="Y2">
        <f>BDH("IPW US Equity","SALES_REV_TURN","1993-06-18","2026-05-02","Per=Y","Days=T","Dir=V")</f>
        <v>0</v>
      </c>
      <c r="AA2">
        <f>BDH("IPW US Equity","EBIT","1993-06-18","2026-05-02","Per=Y","Days=T","Dir=V")</f>
        <v>0</v>
      </c>
      <c r="AC2">
        <f>BDH("IPW US Equity","EBITDA","1993-06-18","2026-05-02","Per=Y","Days=T","Dir=V")</f>
        <v>0</v>
      </c>
      <c r="AE2">
        <f>BDH("IPW US Equity","NET_INCOME","1993-06-18","2026-05-02","Per=Y","Days=T","Dir=V")</f>
        <v>0</v>
      </c>
      <c r="AG2">
        <f>BDH("IPW US Equity","IS_INT_EXPENSE","1993-06-18","2026-05-02","Per=Y","Days=T","Dir=V")</f>
        <v>0</v>
      </c>
      <c r="AI2">
        <f>BDH("IPW US Equity","IS_DEPR_EXP","1993-06-18","2026-05-02","Per=Y","Days=T","Dir=V")</f>
        <v>0</v>
      </c>
      <c r="AK2">
        <f>BDH("IPW US Equity","CF_CASH_FROM_OPER","1993-06-18","2026-05-02","Per=Y","Days=T","Dir=V")</f>
        <v>0</v>
      </c>
      <c r="AM2">
        <f>BDH("IPW US Equity","CAPITAL_EXPEND","1993-06-18","2026-05-02","Per=Y","Days=T","Dir=V")</f>
        <v>0</v>
      </c>
      <c r="AO2">
        <f>BDH("IPW US Equity","CF_FREE_CASH_FLOW","1993-06-18","2026-05-02","Per=Y","Days=T","Dir=V")</f>
        <v>0</v>
      </c>
      <c r="AQ2">
        <f>BDH("IPW US Equity","PX_LAST","1993-06-18","2026-05-02","Per=M","Days=T","Dir=V")</f>
        <v>0</v>
      </c>
      <c r="AS2">
        <f>BDH("IPW US Equity","CUR_MKT_CAP","1993-06-18","2026-05-02","Per=M","Days=T","Dir=V")</f>
        <v>0</v>
      </c>
      <c r="AU2">
        <f>BDH("IPW US Equity","EQY_SH_OUT","1993-06-18","2026-05-02","Per=M","Days=T","Dir=V")</f>
        <v>0</v>
      </c>
      <c r="AW2">
        <f>BDH("IPW US Equity","PX_VOLUME","1993-06-18","2026-05-02","Per=M","Days=T","Dir=V")</f>
        <v>0</v>
      </c>
      <c r="AY2">
        <f>BDH("IPW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BDH("IPWR US Equity","BS_TOT_ASSET","1993-06-18","2026-05-02","Per=Y","Days=T","Dir=V")</f>
        <v>0</v>
      </c>
      <c r="C2">
        <f>BDH("IPWR US Equity","BS_TOT_LIAB2","1993-06-18","2026-05-02","Per=Y","Days=T","Dir=V")</f>
        <v>0</v>
      </c>
      <c r="E2">
        <f>BDH("IPWR US Equity","SHORT_AND_LONG_TERM_DEBT","1993-06-18","2026-05-02","Per=Y","Days=T","Dir=V")</f>
        <v>0</v>
      </c>
      <c r="G2">
        <f>BDH("IPWR US Equity","BS_ST_BORROW","1993-06-18","2026-05-02","Per=Y","Days=T","Dir=V")</f>
        <v>0</v>
      </c>
      <c r="I2">
        <f>BDH("IPWR US Equity","BS_LT_BORROW","1993-06-18","2026-05-02","Per=Y","Days=T","Dir=V")</f>
        <v>0</v>
      </c>
      <c r="K2">
        <f>BDH("IPWR US Equity","BS_CASH_NEAR_CASH_ITEM","1993-06-18","2026-05-02","Per=Y","Days=T","Dir=V")</f>
        <v>0</v>
      </c>
      <c r="M2">
        <f>BDH("IPWR US Equity","BS_CUR_ASSET_REPORT","1993-06-18","2026-05-02","Per=Y","Days=T","Dir=V")</f>
        <v>0</v>
      </c>
      <c r="O2">
        <f>BDH("IPWR US Equity","BS_CUR_LIAB","1993-06-18","2026-05-02","Per=Y","Days=T","Dir=V")</f>
        <v>0</v>
      </c>
      <c r="Q2">
        <f>BDH("IPWR US Equity","BS_SHAREHOLDER_EQY_ENDING_PERIOD","1993-06-18","2026-05-02","Per=Y","Days=T","Dir=V")</f>
        <v>0</v>
      </c>
      <c r="S2">
        <f>BDH("IPWR US Equity","BS_ACCT_NOTE_RCV","1993-06-18","2026-05-02","Per=Y","Days=T","Dir=V")</f>
        <v>0</v>
      </c>
      <c r="U2">
        <f>BDH("IPWR US Equity","BS_INVENTORIES","1993-06-18","2026-05-02","Per=Y","Days=T","Dir=V")</f>
        <v>0</v>
      </c>
      <c r="W2">
        <f>BDH("IPWR US Equity","WORKING_CAPITAL","1993-06-18","2026-05-02","Per=Y","Days=T","Dir=V")</f>
        <v>0</v>
      </c>
      <c r="Y2">
        <f>BDH("IPWR US Equity","SALES_REV_TURN","1993-06-18","2026-05-02","Per=Y","Days=T","Dir=V")</f>
        <v>0</v>
      </c>
      <c r="AA2">
        <f>BDH("IPWR US Equity","EBIT","1993-06-18","2026-05-02","Per=Y","Days=T","Dir=V")</f>
        <v>0</v>
      </c>
      <c r="AC2">
        <f>BDH("IPWR US Equity","EBITDA","1993-06-18","2026-05-02","Per=Y","Days=T","Dir=V")</f>
        <v>0</v>
      </c>
      <c r="AE2">
        <f>BDH("IPWR US Equity","NET_INCOME","1993-06-18","2026-05-02","Per=Y","Days=T","Dir=V")</f>
        <v>0</v>
      </c>
      <c r="AG2">
        <f>BDH("IPWR US Equity","IS_INT_EXPENSE","1993-06-18","2026-05-02","Per=Y","Days=T","Dir=V")</f>
        <v>0</v>
      </c>
      <c r="AI2">
        <f>BDH("IPWR US Equity","IS_DEPR_EXP","1993-06-18","2026-05-02","Per=Y","Days=T","Dir=V")</f>
        <v>0</v>
      </c>
      <c r="AK2">
        <f>BDH("IPWR US Equity","CF_CASH_FROM_OPER","1993-06-18","2026-05-02","Per=Y","Days=T","Dir=V")</f>
        <v>0</v>
      </c>
      <c r="AM2">
        <f>BDH("IPWR US Equity","CAPITAL_EXPEND","1993-06-18","2026-05-02","Per=Y","Days=T","Dir=V")</f>
        <v>0</v>
      </c>
      <c r="AO2">
        <f>BDH("IPWR US Equity","CF_FREE_CASH_FLOW","1993-06-18","2026-05-02","Per=Y","Days=T","Dir=V")</f>
        <v>0</v>
      </c>
      <c r="AQ2">
        <f>BDH("IPWR US Equity","PX_LAST","1993-06-18","2026-05-02","Per=M","Days=T","Dir=V")</f>
        <v>0</v>
      </c>
      <c r="AS2">
        <f>BDH("IPWR US Equity","CUR_MKT_CAP","1993-06-18","2026-05-02","Per=M","Days=T","Dir=V")</f>
        <v>0</v>
      </c>
      <c r="AU2">
        <f>BDH("IPWR US Equity","EQY_SH_OUT","1993-06-18","2026-05-02","Per=M","Days=T","Dir=V")</f>
        <v>0</v>
      </c>
      <c r="AW2">
        <f>BDH("IPWR US Equity","PX_VOLUME","1993-06-18","2026-05-02","Per=M","Days=T","Dir=V")</f>
        <v>0</v>
      </c>
      <c r="AY2">
        <f>BDH("IPWR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BDH("IPX US Equity","BS_TOT_ASSET","1993-06-18","2026-05-02","Per=Y","Days=T","Dir=V")</f>
        <v>0</v>
      </c>
      <c r="C2">
        <f>BDH("IPX US Equity","BS_TOT_LIAB2","1993-06-18","2026-05-02","Per=Y","Days=T","Dir=V")</f>
        <v>0</v>
      </c>
      <c r="E2">
        <f>BDH("IPX US Equity","SHORT_AND_LONG_TERM_DEBT","1993-06-18","2026-05-02","Per=Y","Days=T","Dir=V")</f>
        <v>0</v>
      </c>
      <c r="G2">
        <f>BDH("IPX US Equity","BS_ST_BORROW","1993-06-18","2026-05-02","Per=Y","Days=T","Dir=V")</f>
        <v>0</v>
      </c>
      <c r="I2">
        <f>BDH("IPX US Equity","BS_LT_BORROW","1993-06-18","2026-05-02","Per=Y","Days=T","Dir=V")</f>
        <v>0</v>
      </c>
      <c r="K2">
        <f>BDH("IPX US Equity","BS_CASH_NEAR_CASH_ITEM","1993-06-18","2026-05-02","Per=Y","Days=T","Dir=V")</f>
        <v>0</v>
      </c>
      <c r="M2">
        <f>BDH("IPX US Equity","BS_CUR_ASSET_REPORT","1993-06-18","2026-05-02","Per=Y","Days=T","Dir=V")</f>
        <v>0</v>
      </c>
      <c r="O2">
        <f>BDH("IPX US Equity","BS_CUR_LIAB","1993-06-18","2026-05-02","Per=Y","Days=T","Dir=V")</f>
        <v>0</v>
      </c>
      <c r="Q2">
        <f>BDH("IPX US Equity","BS_SHAREHOLDER_EQY_ENDING_PERIOD","1993-06-18","2026-05-02","Per=Y","Days=T","Dir=V")</f>
        <v>0</v>
      </c>
      <c r="S2">
        <f>BDH("IPX US Equity","BS_ACCT_NOTE_RCV","1993-06-18","2026-05-02","Per=Y","Days=T","Dir=V")</f>
        <v>0</v>
      </c>
      <c r="U2">
        <f>BDH("IPX US Equity","BS_INVENTORIES","1993-06-18","2026-05-02","Per=Y","Days=T","Dir=V")</f>
        <v>0</v>
      </c>
      <c r="W2">
        <f>BDH("IPX US Equity","WORKING_CAPITAL","1993-06-18","2026-05-02","Per=Y","Days=T","Dir=V")</f>
        <v>0</v>
      </c>
      <c r="Y2">
        <f>BDH("IPX US Equity","SALES_REV_TURN","1993-06-18","2026-05-02","Per=Y","Days=T","Dir=V")</f>
        <v>0</v>
      </c>
      <c r="AA2">
        <f>BDH("IPX US Equity","EBIT","1993-06-18","2026-05-02","Per=Y","Days=T","Dir=V")</f>
        <v>0</v>
      </c>
      <c r="AC2">
        <f>BDH("IPX US Equity","EBITDA","1993-06-18","2026-05-02","Per=Y","Days=T","Dir=V")</f>
        <v>0</v>
      </c>
      <c r="AE2">
        <f>BDH("IPX US Equity","NET_INCOME","1993-06-18","2026-05-02","Per=Y","Days=T","Dir=V")</f>
        <v>0</v>
      </c>
      <c r="AG2">
        <f>BDH("IPX US Equity","IS_INT_EXPENSE","1993-06-18","2026-05-02","Per=Y","Days=T","Dir=V")</f>
        <v>0</v>
      </c>
      <c r="AI2">
        <f>BDH("IPX US Equity","IS_DEPR_EXP","1993-06-18","2026-05-02","Per=Y","Days=T","Dir=V")</f>
        <v>0</v>
      </c>
      <c r="AK2">
        <f>BDH("IPX US Equity","CF_CASH_FROM_OPER","1993-06-18","2026-05-02","Per=Y","Days=T","Dir=V")</f>
        <v>0</v>
      </c>
      <c r="AM2">
        <f>BDH("IPX US Equity","CAPITAL_EXPEND","1993-06-18","2026-05-02","Per=Y","Days=T","Dir=V")</f>
        <v>0</v>
      </c>
      <c r="AO2">
        <f>BDH("IPX US Equity","CF_FREE_CASH_FLOW","1993-06-18","2026-05-02","Per=Y","Days=T","Dir=V")</f>
        <v>0</v>
      </c>
      <c r="AQ2">
        <f>BDH("IPX US Equity","PX_LAST","1993-06-18","2026-05-02","Per=M","Days=T","Dir=V")</f>
        <v>0</v>
      </c>
      <c r="AS2">
        <f>BDH("IPX US Equity","CUR_MKT_CAP","1993-06-18","2026-05-02","Per=M","Days=T","Dir=V")</f>
        <v>0</v>
      </c>
      <c r="AU2">
        <f>BDH("IPX US Equity","EQY_SH_OUT","1993-06-18","2026-05-02","Per=M","Days=T","Dir=V")</f>
        <v>0</v>
      </c>
      <c r="AW2">
        <f>BDH("IPX US Equity","PX_VOLUME","1993-06-18","2026-05-02","Per=M","Days=T","Dir=V")</f>
        <v>0</v>
      </c>
      <c r="AY2">
        <f>BDH("IPX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BDH("IQST US Equity","BS_TOT_ASSET","1993-06-18","2026-05-02","Per=Y","Days=T","Dir=V")</f>
        <v>0</v>
      </c>
      <c r="C2">
        <f>BDH("IQST US Equity","BS_TOT_LIAB2","1993-06-18","2026-05-02","Per=Y","Days=T","Dir=V")</f>
        <v>0</v>
      </c>
      <c r="E2">
        <f>BDH("IQST US Equity","SHORT_AND_LONG_TERM_DEBT","1993-06-18","2026-05-02","Per=Y","Days=T","Dir=V")</f>
        <v>0</v>
      </c>
      <c r="G2">
        <f>BDH("IQST US Equity","BS_ST_BORROW","1993-06-18","2026-05-02","Per=Y","Days=T","Dir=V")</f>
        <v>0</v>
      </c>
      <c r="I2">
        <f>BDH("IQST US Equity","BS_LT_BORROW","1993-06-18","2026-05-02","Per=Y","Days=T","Dir=V")</f>
        <v>0</v>
      </c>
      <c r="K2">
        <f>BDH("IQST US Equity","BS_CASH_NEAR_CASH_ITEM","1993-06-18","2026-05-02","Per=Y","Days=T","Dir=V")</f>
        <v>0</v>
      </c>
      <c r="M2">
        <f>BDH("IQST US Equity","BS_CUR_ASSET_REPORT","1993-06-18","2026-05-02","Per=Y","Days=T","Dir=V")</f>
        <v>0</v>
      </c>
      <c r="O2">
        <f>BDH("IQST US Equity","BS_CUR_LIAB","1993-06-18","2026-05-02","Per=Y","Days=T","Dir=V")</f>
        <v>0</v>
      </c>
      <c r="Q2">
        <f>BDH("IQST US Equity","BS_SHAREHOLDER_EQY_ENDING_PERIOD","1993-06-18","2026-05-02","Per=Y","Days=T","Dir=V")</f>
        <v>0</v>
      </c>
      <c r="S2">
        <f>BDH("IQST US Equity","BS_ACCT_NOTE_RCV","1993-06-18","2026-05-02","Per=Y","Days=T","Dir=V")</f>
        <v>0</v>
      </c>
      <c r="U2">
        <f>BDH("IQST US Equity","BS_INVENTORIES","1993-06-18","2026-05-02","Per=Y","Days=T","Dir=V")</f>
        <v>0</v>
      </c>
      <c r="W2">
        <f>BDH("IQST US Equity","WORKING_CAPITAL","1993-06-18","2026-05-02","Per=Y","Days=T","Dir=V")</f>
        <v>0</v>
      </c>
      <c r="Y2">
        <f>BDH("IQST US Equity","SALES_REV_TURN","1993-06-18","2026-05-02","Per=Y","Days=T","Dir=V")</f>
        <v>0</v>
      </c>
      <c r="AA2">
        <f>BDH("IQST US Equity","EBIT","1993-06-18","2026-05-02","Per=Y","Days=T","Dir=V")</f>
        <v>0</v>
      </c>
      <c r="AC2">
        <f>BDH("IQST US Equity","EBITDA","1993-06-18","2026-05-02","Per=Y","Days=T","Dir=V")</f>
        <v>0</v>
      </c>
      <c r="AE2">
        <f>BDH("IQST US Equity","NET_INCOME","1993-06-18","2026-05-02","Per=Y","Days=T","Dir=V")</f>
        <v>0</v>
      </c>
      <c r="AG2">
        <f>BDH("IQST US Equity","IS_INT_EXPENSE","1993-06-18","2026-05-02","Per=Y","Days=T","Dir=V")</f>
        <v>0</v>
      </c>
      <c r="AI2">
        <f>BDH("IQST US Equity","IS_DEPR_EXP","1993-06-18","2026-05-02","Per=Y","Days=T","Dir=V")</f>
        <v>0</v>
      </c>
      <c r="AK2">
        <f>BDH("IQST US Equity","CF_CASH_FROM_OPER","1993-06-18","2026-05-02","Per=Y","Days=T","Dir=V")</f>
        <v>0</v>
      </c>
      <c r="AM2">
        <f>BDH("IQST US Equity","CAPITAL_EXPEND","1993-06-18","2026-05-02","Per=Y","Days=T","Dir=V")</f>
        <v>0</v>
      </c>
      <c r="AO2">
        <f>BDH("IQST US Equity","CF_FREE_CASH_FLOW","1993-06-18","2026-05-02","Per=Y","Days=T","Dir=V")</f>
        <v>0</v>
      </c>
      <c r="AQ2">
        <f>BDH("IQST US Equity","PX_LAST","1993-06-18","2026-05-02","Per=M","Days=T","Dir=V")</f>
        <v>0</v>
      </c>
      <c r="AS2">
        <f>BDH("IQST US Equity","CUR_MKT_CAP","1993-06-18","2026-05-02","Per=M","Days=T","Dir=V")</f>
        <v>0</v>
      </c>
      <c r="AU2">
        <f>BDH("IQST US Equity","EQY_SH_OUT","1993-06-18","2026-05-02","Per=M","Days=T","Dir=V")</f>
        <v>0</v>
      </c>
      <c r="AW2">
        <f>BDH("IQST US Equity","PX_VOLUME","1993-06-18","2026-05-02","Per=M","Days=T","Dir=V")</f>
        <v>0</v>
      </c>
      <c r="AY2">
        <f>BDH("IQST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BDH("IQV US Equity","BS_TOT_ASSET","1993-06-18","2026-05-02","Per=Y","Days=T","Dir=V")</f>
        <v>0</v>
      </c>
      <c r="C2">
        <f>BDH("IQV US Equity","BS_TOT_LIAB2","1993-06-18","2026-05-02","Per=Y","Days=T","Dir=V")</f>
        <v>0</v>
      </c>
      <c r="E2">
        <f>BDH("IQV US Equity","SHORT_AND_LONG_TERM_DEBT","1993-06-18","2026-05-02","Per=Y","Days=T","Dir=V")</f>
        <v>0</v>
      </c>
      <c r="G2">
        <f>BDH("IQV US Equity","BS_ST_BORROW","1993-06-18","2026-05-02","Per=Y","Days=T","Dir=V")</f>
        <v>0</v>
      </c>
      <c r="I2">
        <f>BDH("IQV US Equity","BS_LT_BORROW","1993-06-18","2026-05-02","Per=Y","Days=T","Dir=V")</f>
        <v>0</v>
      </c>
      <c r="K2">
        <f>BDH("IQV US Equity","BS_CASH_NEAR_CASH_ITEM","1993-06-18","2026-05-02","Per=Y","Days=T","Dir=V")</f>
        <v>0</v>
      </c>
      <c r="M2">
        <f>BDH("IQV US Equity","BS_CUR_ASSET_REPORT","1993-06-18","2026-05-02","Per=Y","Days=T","Dir=V")</f>
        <v>0</v>
      </c>
      <c r="O2">
        <f>BDH("IQV US Equity","BS_CUR_LIAB","1993-06-18","2026-05-02","Per=Y","Days=T","Dir=V")</f>
        <v>0</v>
      </c>
      <c r="Q2">
        <f>BDH("IQV US Equity","BS_SHAREHOLDER_EQY_ENDING_PERIOD","1993-06-18","2026-05-02","Per=Y","Days=T","Dir=V")</f>
        <v>0</v>
      </c>
      <c r="S2">
        <f>BDH("IQV US Equity","BS_ACCT_NOTE_RCV","1993-06-18","2026-05-02","Per=Y","Days=T","Dir=V")</f>
        <v>0</v>
      </c>
      <c r="U2">
        <f>BDH("IQV US Equity","BS_INVENTORIES","1993-06-18","2026-05-02","Per=Y","Days=T","Dir=V")</f>
        <v>0</v>
      </c>
      <c r="W2">
        <f>BDH("IQV US Equity","WORKING_CAPITAL","1993-06-18","2026-05-02","Per=Y","Days=T","Dir=V")</f>
        <v>0</v>
      </c>
      <c r="Y2">
        <f>BDH("IQV US Equity","SALES_REV_TURN","1993-06-18","2026-05-02","Per=Y","Days=T","Dir=V")</f>
        <v>0</v>
      </c>
      <c r="AA2">
        <f>BDH("IQV US Equity","EBIT","1993-06-18","2026-05-02","Per=Y","Days=T","Dir=V")</f>
        <v>0</v>
      </c>
      <c r="AC2">
        <f>BDH("IQV US Equity","EBITDA","1993-06-18","2026-05-02","Per=Y","Days=T","Dir=V")</f>
        <v>0</v>
      </c>
      <c r="AE2">
        <f>BDH("IQV US Equity","NET_INCOME","1993-06-18","2026-05-02","Per=Y","Days=T","Dir=V")</f>
        <v>0</v>
      </c>
      <c r="AG2">
        <f>BDH("IQV US Equity","IS_INT_EXPENSE","1993-06-18","2026-05-02","Per=Y","Days=T","Dir=V")</f>
        <v>0</v>
      </c>
      <c r="AI2">
        <f>BDH("IQV US Equity","IS_DEPR_EXP","1993-06-18","2026-05-02","Per=Y","Days=T","Dir=V")</f>
        <v>0</v>
      </c>
      <c r="AK2">
        <f>BDH("IQV US Equity","CF_CASH_FROM_OPER","1993-06-18","2026-05-02","Per=Y","Days=T","Dir=V")</f>
        <v>0</v>
      </c>
      <c r="AM2">
        <f>BDH("IQV US Equity","CAPITAL_EXPEND","1993-06-18","2026-05-02","Per=Y","Days=T","Dir=V")</f>
        <v>0</v>
      </c>
      <c r="AO2">
        <f>BDH("IQV US Equity","CF_FREE_CASH_FLOW","1993-06-18","2026-05-02","Per=Y","Days=T","Dir=V")</f>
        <v>0</v>
      </c>
      <c r="AQ2">
        <f>BDH("IQV US Equity","PX_LAST","1993-06-18","2026-05-02","Per=M","Days=T","Dir=V")</f>
        <v>0</v>
      </c>
      <c r="AS2">
        <f>BDH("IQV US Equity","CUR_MKT_CAP","1993-06-18","2026-05-02","Per=M","Days=T","Dir=V")</f>
        <v>0</v>
      </c>
      <c r="AU2">
        <f>BDH("IQV US Equity","EQY_SH_OUT","1993-06-18","2026-05-02","Per=M","Days=T","Dir=V")</f>
        <v>0</v>
      </c>
      <c r="AW2">
        <f>BDH("IQV US Equity","PX_VOLUME","1993-06-18","2026-05-02","Per=M","Days=T","Dir=V")</f>
        <v>0</v>
      </c>
      <c r="AY2">
        <f>BDH("IQV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BDH("IR US Equity","BS_TOT_ASSET","1993-06-18","2026-05-02","Per=Y","Days=T","Dir=V")</f>
        <v>0</v>
      </c>
      <c r="C2">
        <f>BDH("IR US Equity","BS_TOT_LIAB2","1993-06-18","2026-05-02","Per=Y","Days=T","Dir=V")</f>
        <v>0</v>
      </c>
      <c r="E2">
        <f>BDH("IR US Equity","SHORT_AND_LONG_TERM_DEBT","1993-06-18","2026-05-02","Per=Y","Days=T","Dir=V")</f>
        <v>0</v>
      </c>
      <c r="G2">
        <f>BDH("IR US Equity","BS_ST_BORROW","1993-06-18","2026-05-02","Per=Y","Days=T","Dir=V")</f>
        <v>0</v>
      </c>
      <c r="I2">
        <f>BDH("IR US Equity","BS_LT_BORROW","1993-06-18","2026-05-02","Per=Y","Days=T","Dir=V")</f>
        <v>0</v>
      </c>
      <c r="K2">
        <f>BDH("IR US Equity","BS_CASH_NEAR_CASH_ITEM","1993-06-18","2026-05-02","Per=Y","Days=T","Dir=V")</f>
        <v>0</v>
      </c>
      <c r="M2">
        <f>BDH("IR US Equity","BS_CUR_ASSET_REPORT","1993-06-18","2026-05-02","Per=Y","Days=T","Dir=V")</f>
        <v>0</v>
      </c>
      <c r="O2">
        <f>BDH("IR US Equity","BS_CUR_LIAB","1993-06-18","2026-05-02","Per=Y","Days=T","Dir=V")</f>
        <v>0</v>
      </c>
      <c r="Q2">
        <f>BDH("IR US Equity","BS_SHAREHOLDER_EQY_ENDING_PERIOD","1993-06-18","2026-05-02","Per=Y","Days=T","Dir=V")</f>
        <v>0</v>
      </c>
      <c r="S2">
        <f>BDH("IR US Equity","BS_ACCT_NOTE_RCV","1993-06-18","2026-05-02","Per=Y","Days=T","Dir=V")</f>
        <v>0</v>
      </c>
      <c r="U2">
        <f>BDH("IR US Equity","BS_INVENTORIES","1993-06-18","2026-05-02","Per=Y","Days=T","Dir=V")</f>
        <v>0</v>
      </c>
      <c r="W2">
        <f>BDH("IR US Equity","WORKING_CAPITAL","1993-06-18","2026-05-02","Per=Y","Days=T","Dir=V")</f>
        <v>0</v>
      </c>
      <c r="Y2">
        <f>BDH("IR US Equity","SALES_REV_TURN","1993-06-18","2026-05-02","Per=Y","Days=T","Dir=V")</f>
        <v>0</v>
      </c>
      <c r="AA2">
        <f>BDH("IR US Equity","EBIT","1993-06-18","2026-05-02","Per=Y","Days=T","Dir=V")</f>
        <v>0</v>
      </c>
      <c r="AC2">
        <f>BDH("IR US Equity","EBITDA","1993-06-18","2026-05-02","Per=Y","Days=T","Dir=V")</f>
        <v>0</v>
      </c>
      <c r="AE2">
        <f>BDH("IR US Equity","NET_INCOME","1993-06-18","2026-05-02","Per=Y","Days=T","Dir=V")</f>
        <v>0</v>
      </c>
      <c r="AG2">
        <f>BDH("IR US Equity","IS_INT_EXPENSE","1993-06-18","2026-05-02","Per=Y","Days=T","Dir=V")</f>
        <v>0</v>
      </c>
      <c r="AI2">
        <f>BDH("IR US Equity","IS_DEPR_EXP","1993-06-18","2026-05-02","Per=Y","Days=T","Dir=V")</f>
        <v>0</v>
      </c>
      <c r="AK2">
        <f>BDH("IR US Equity","CF_CASH_FROM_OPER","1993-06-18","2026-05-02","Per=Y","Days=T","Dir=V")</f>
        <v>0</v>
      </c>
      <c r="AM2">
        <f>BDH("IR US Equity","CAPITAL_EXPEND","1993-06-18","2026-05-02","Per=Y","Days=T","Dir=V")</f>
        <v>0</v>
      </c>
      <c r="AO2">
        <f>BDH("IR US Equity","CF_FREE_CASH_FLOW","1993-06-18","2026-05-02","Per=Y","Days=T","Dir=V")</f>
        <v>0</v>
      </c>
      <c r="AQ2">
        <f>BDH("IR US Equity","PX_LAST","1993-06-18","2026-05-02","Per=M","Days=T","Dir=V")</f>
        <v>0</v>
      </c>
      <c r="AS2">
        <f>BDH("IR US Equity","CUR_MKT_CAP","1993-06-18","2026-05-02","Per=M","Days=T","Dir=V")</f>
        <v>0</v>
      </c>
      <c r="AU2">
        <f>BDH("IR US Equity","EQY_SH_OUT","1993-06-18","2026-05-02","Per=M","Days=T","Dir=V")</f>
        <v>0</v>
      </c>
      <c r="AW2">
        <f>BDH("IR US Equity","PX_VOLUME","1993-06-18","2026-05-02","Per=M","Days=T","Dir=V")</f>
        <v>0</v>
      </c>
      <c r="AY2">
        <f>BDH("IR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BDH("IRD US Equity","BS_TOT_ASSET","1993-06-18","2026-05-02","Per=Y","Days=T","Dir=V")</f>
        <v>0</v>
      </c>
      <c r="C2">
        <f>BDH("IRD US Equity","BS_TOT_LIAB2","1993-06-18","2026-05-02","Per=Y","Days=T","Dir=V")</f>
        <v>0</v>
      </c>
      <c r="E2">
        <f>BDH("IRD US Equity","SHORT_AND_LONG_TERM_DEBT","1993-06-18","2026-05-02","Per=Y","Days=T","Dir=V")</f>
        <v>0</v>
      </c>
      <c r="G2">
        <f>BDH("IRD US Equity","BS_ST_BORROW","1993-06-18","2026-05-02","Per=Y","Days=T","Dir=V")</f>
        <v>0</v>
      </c>
      <c r="I2">
        <f>BDH("IRD US Equity","BS_LT_BORROW","1993-06-18","2026-05-02","Per=Y","Days=T","Dir=V")</f>
        <v>0</v>
      </c>
      <c r="K2">
        <f>BDH("IRD US Equity","BS_CASH_NEAR_CASH_ITEM","1993-06-18","2026-05-02","Per=Y","Days=T","Dir=V")</f>
        <v>0</v>
      </c>
      <c r="M2">
        <f>BDH("IRD US Equity","BS_CUR_ASSET_REPORT","1993-06-18","2026-05-02","Per=Y","Days=T","Dir=V")</f>
        <v>0</v>
      </c>
      <c r="O2">
        <f>BDH("IRD US Equity","BS_CUR_LIAB","1993-06-18","2026-05-02","Per=Y","Days=T","Dir=V")</f>
        <v>0</v>
      </c>
      <c r="Q2">
        <f>BDH("IRD US Equity","BS_SHAREHOLDER_EQY_ENDING_PERIOD","1993-06-18","2026-05-02","Per=Y","Days=T","Dir=V")</f>
        <v>0</v>
      </c>
      <c r="S2">
        <f>BDH("IRD US Equity","BS_ACCT_NOTE_RCV","1993-06-18","2026-05-02","Per=Y","Days=T","Dir=V")</f>
        <v>0</v>
      </c>
      <c r="U2">
        <f>BDH("IRD US Equity","BS_INVENTORIES","1993-06-18","2026-05-02","Per=Y","Days=T","Dir=V")</f>
        <v>0</v>
      </c>
      <c r="W2">
        <f>BDH("IRD US Equity","WORKING_CAPITAL","1993-06-18","2026-05-02","Per=Y","Days=T","Dir=V")</f>
        <v>0</v>
      </c>
      <c r="Y2">
        <f>BDH("IRD US Equity","SALES_REV_TURN","1993-06-18","2026-05-02","Per=Y","Days=T","Dir=V")</f>
        <v>0</v>
      </c>
      <c r="AA2">
        <f>BDH("IRD US Equity","EBIT","1993-06-18","2026-05-02","Per=Y","Days=T","Dir=V")</f>
        <v>0</v>
      </c>
      <c r="AC2">
        <f>BDH("IRD US Equity","EBITDA","1993-06-18","2026-05-02","Per=Y","Days=T","Dir=V")</f>
        <v>0</v>
      </c>
      <c r="AE2">
        <f>BDH("IRD US Equity","NET_INCOME","1993-06-18","2026-05-02","Per=Y","Days=T","Dir=V")</f>
        <v>0</v>
      </c>
      <c r="AG2">
        <f>BDH("IRD US Equity","IS_INT_EXPENSE","1993-06-18","2026-05-02","Per=Y","Days=T","Dir=V")</f>
        <v>0</v>
      </c>
      <c r="AI2">
        <f>BDH("IRD US Equity","IS_DEPR_EXP","1993-06-18","2026-05-02","Per=Y","Days=T","Dir=V")</f>
        <v>0</v>
      </c>
      <c r="AK2">
        <f>BDH("IRD US Equity","CF_CASH_FROM_OPER","1993-06-18","2026-05-02","Per=Y","Days=T","Dir=V")</f>
        <v>0</v>
      </c>
      <c r="AM2">
        <f>BDH("IRD US Equity","CAPITAL_EXPEND","1993-06-18","2026-05-02","Per=Y","Days=T","Dir=V")</f>
        <v>0</v>
      </c>
      <c r="AO2">
        <f>BDH("IRD US Equity","CF_FREE_CASH_FLOW","1993-06-18","2026-05-02","Per=Y","Days=T","Dir=V")</f>
        <v>0</v>
      </c>
      <c r="AQ2">
        <f>BDH("IRD US Equity","PX_LAST","1993-06-18","2026-05-02","Per=M","Days=T","Dir=V")</f>
        <v>0</v>
      </c>
      <c r="AS2">
        <f>BDH("IRD US Equity","CUR_MKT_CAP","1993-06-18","2026-05-02","Per=M","Days=T","Dir=V")</f>
        <v>0</v>
      </c>
      <c r="AU2">
        <f>BDH("IRD US Equity","EQY_SH_OUT","1993-06-18","2026-05-02","Per=M","Days=T","Dir=V")</f>
        <v>0</v>
      </c>
      <c r="AW2">
        <f>BDH("IRD US Equity","PX_VOLUME","1993-06-18","2026-05-02","Per=M","Days=T","Dir=V")</f>
        <v>0</v>
      </c>
      <c r="AY2">
        <f>BDH("IRD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BDH("IRDM US Equity","BS_TOT_ASSET","1993-06-18","2026-05-02","Per=Y","Days=T","Dir=V")</f>
        <v>0</v>
      </c>
      <c r="C2">
        <f>BDH("IRDM US Equity","BS_TOT_LIAB2","1993-06-18","2026-05-02","Per=Y","Days=T","Dir=V")</f>
        <v>0</v>
      </c>
      <c r="E2">
        <f>BDH("IRDM US Equity","SHORT_AND_LONG_TERM_DEBT","1993-06-18","2026-05-02","Per=Y","Days=T","Dir=V")</f>
        <v>0</v>
      </c>
      <c r="G2">
        <f>BDH("IRDM US Equity","BS_ST_BORROW","1993-06-18","2026-05-02","Per=Y","Days=T","Dir=V")</f>
        <v>0</v>
      </c>
      <c r="I2">
        <f>BDH("IRDM US Equity","BS_LT_BORROW","1993-06-18","2026-05-02","Per=Y","Days=T","Dir=V")</f>
        <v>0</v>
      </c>
      <c r="K2">
        <f>BDH("IRDM US Equity","BS_CASH_NEAR_CASH_ITEM","1993-06-18","2026-05-02","Per=Y","Days=T","Dir=V")</f>
        <v>0</v>
      </c>
      <c r="M2">
        <f>BDH("IRDM US Equity","BS_CUR_ASSET_REPORT","1993-06-18","2026-05-02","Per=Y","Days=T","Dir=V")</f>
        <v>0</v>
      </c>
      <c r="O2">
        <f>BDH("IRDM US Equity","BS_CUR_LIAB","1993-06-18","2026-05-02","Per=Y","Days=T","Dir=V")</f>
        <v>0</v>
      </c>
      <c r="Q2">
        <f>BDH("IRDM US Equity","BS_SHAREHOLDER_EQY_ENDING_PERIOD","1993-06-18","2026-05-02","Per=Y","Days=T","Dir=V")</f>
        <v>0</v>
      </c>
      <c r="S2">
        <f>BDH("IRDM US Equity","BS_ACCT_NOTE_RCV","1993-06-18","2026-05-02","Per=Y","Days=T","Dir=V")</f>
        <v>0</v>
      </c>
      <c r="U2">
        <f>BDH("IRDM US Equity","BS_INVENTORIES","1993-06-18","2026-05-02","Per=Y","Days=T","Dir=V")</f>
        <v>0</v>
      </c>
      <c r="W2">
        <f>BDH("IRDM US Equity","WORKING_CAPITAL","1993-06-18","2026-05-02","Per=Y","Days=T","Dir=V")</f>
        <v>0</v>
      </c>
      <c r="Y2">
        <f>BDH("IRDM US Equity","SALES_REV_TURN","1993-06-18","2026-05-02","Per=Y","Days=T","Dir=V")</f>
        <v>0</v>
      </c>
      <c r="AA2">
        <f>BDH("IRDM US Equity","EBIT","1993-06-18","2026-05-02","Per=Y","Days=T","Dir=V")</f>
        <v>0</v>
      </c>
      <c r="AC2">
        <f>BDH("IRDM US Equity","EBITDA","1993-06-18","2026-05-02","Per=Y","Days=T","Dir=V")</f>
        <v>0</v>
      </c>
      <c r="AE2">
        <f>BDH("IRDM US Equity","NET_INCOME","1993-06-18","2026-05-02","Per=Y","Days=T","Dir=V")</f>
        <v>0</v>
      </c>
      <c r="AG2">
        <f>BDH("IRDM US Equity","IS_INT_EXPENSE","1993-06-18","2026-05-02","Per=Y","Days=T","Dir=V")</f>
        <v>0</v>
      </c>
      <c r="AI2">
        <f>BDH("IRDM US Equity","IS_DEPR_EXP","1993-06-18","2026-05-02","Per=Y","Days=T","Dir=V")</f>
        <v>0</v>
      </c>
      <c r="AK2">
        <f>BDH("IRDM US Equity","CF_CASH_FROM_OPER","1993-06-18","2026-05-02","Per=Y","Days=T","Dir=V")</f>
        <v>0</v>
      </c>
      <c r="AM2">
        <f>BDH("IRDM US Equity","CAPITAL_EXPEND","1993-06-18","2026-05-02","Per=Y","Days=T","Dir=V")</f>
        <v>0</v>
      </c>
      <c r="AO2">
        <f>BDH("IRDM US Equity","CF_FREE_CASH_FLOW","1993-06-18","2026-05-02","Per=Y","Days=T","Dir=V")</f>
        <v>0</v>
      </c>
      <c r="AQ2">
        <f>BDH("IRDM US Equity","PX_LAST","1993-06-18","2026-05-02","Per=M","Days=T","Dir=V")</f>
        <v>0</v>
      </c>
      <c r="AS2">
        <f>BDH("IRDM US Equity","CUR_MKT_CAP","1993-06-18","2026-05-02","Per=M","Days=T","Dir=V")</f>
        <v>0</v>
      </c>
      <c r="AU2">
        <f>BDH("IRDM US Equity","EQY_SH_OUT","1993-06-18","2026-05-02","Per=M","Days=T","Dir=V")</f>
        <v>0</v>
      </c>
      <c r="AW2">
        <f>BDH("IRDM US Equity","PX_VOLUME","1993-06-18","2026-05-02","Per=M","Days=T","Dir=V")</f>
        <v>0</v>
      </c>
      <c r="AY2">
        <f>BDH("IRDM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BDH("IRIX US Equity","BS_TOT_ASSET","1993-06-18","2026-05-02","Per=Y","Days=T","Dir=V")</f>
        <v>0</v>
      </c>
      <c r="C2">
        <f>BDH("IRIX US Equity","BS_TOT_LIAB2","1993-06-18","2026-05-02","Per=Y","Days=T","Dir=V")</f>
        <v>0</v>
      </c>
      <c r="E2">
        <f>BDH("IRIX US Equity","SHORT_AND_LONG_TERM_DEBT","1993-06-18","2026-05-02","Per=Y","Days=T","Dir=V")</f>
        <v>0</v>
      </c>
      <c r="G2">
        <f>BDH("IRIX US Equity","BS_ST_BORROW","1993-06-18","2026-05-02","Per=Y","Days=T","Dir=V")</f>
        <v>0</v>
      </c>
      <c r="I2">
        <f>BDH("IRIX US Equity","BS_LT_BORROW","1993-06-18","2026-05-02","Per=Y","Days=T","Dir=V")</f>
        <v>0</v>
      </c>
      <c r="K2">
        <f>BDH("IRIX US Equity","BS_CASH_NEAR_CASH_ITEM","1993-06-18","2026-05-02","Per=Y","Days=T","Dir=V")</f>
        <v>0</v>
      </c>
      <c r="M2">
        <f>BDH("IRIX US Equity","BS_CUR_ASSET_REPORT","1993-06-18","2026-05-02","Per=Y","Days=T","Dir=V")</f>
        <v>0</v>
      </c>
      <c r="O2">
        <f>BDH("IRIX US Equity","BS_CUR_LIAB","1993-06-18","2026-05-02","Per=Y","Days=T","Dir=V")</f>
        <v>0</v>
      </c>
      <c r="Q2">
        <f>BDH("IRIX US Equity","BS_SHAREHOLDER_EQY_ENDING_PERIOD","1993-06-18","2026-05-02","Per=Y","Days=T","Dir=V")</f>
        <v>0</v>
      </c>
      <c r="S2">
        <f>BDH("IRIX US Equity","BS_ACCT_NOTE_RCV","1993-06-18","2026-05-02","Per=Y","Days=T","Dir=V")</f>
        <v>0</v>
      </c>
      <c r="U2">
        <f>BDH("IRIX US Equity","BS_INVENTORIES","1993-06-18","2026-05-02","Per=Y","Days=T","Dir=V")</f>
        <v>0</v>
      </c>
      <c r="W2">
        <f>BDH("IRIX US Equity","WORKING_CAPITAL","1993-06-18","2026-05-02","Per=Y","Days=T","Dir=V")</f>
        <v>0</v>
      </c>
      <c r="Y2">
        <f>BDH("IRIX US Equity","SALES_REV_TURN","1993-06-18","2026-05-02","Per=Y","Days=T","Dir=V")</f>
        <v>0</v>
      </c>
      <c r="AA2">
        <f>BDH("IRIX US Equity","EBIT","1993-06-18","2026-05-02","Per=Y","Days=T","Dir=V")</f>
        <v>0</v>
      </c>
      <c r="AC2">
        <f>BDH("IRIX US Equity","EBITDA","1993-06-18","2026-05-02","Per=Y","Days=T","Dir=V")</f>
        <v>0</v>
      </c>
      <c r="AE2">
        <f>BDH("IRIX US Equity","NET_INCOME","1993-06-18","2026-05-02","Per=Y","Days=T","Dir=V")</f>
        <v>0</v>
      </c>
      <c r="AG2">
        <f>BDH("IRIX US Equity","IS_INT_EXPENSE","1993-06-18","2026-05-02","Per=Y","Days=T","Dir=V")</f>
        <v>0</v>
      </c>
      <c r="AI2">
        <f>BDH("IRIX US Equity","IS_DEPR_EXP","1993-06-18","2026-05-02","Per=Y","Days=T","Dir=V")</f>
        <v>0</v>
      </c>
      <c r="AK2">
        <f>BDH("IRIX US Equity","CF_CASH_FROM_OPER","1993-06-18","2026-05-02","Per=Y","Days=T","Dir=V")</f>
        <v>0</v>
      </c>
      <c r="AM2">
        <f>BDH("IRIX US Equity","CAPITAL_EXPEND","1993-06-18","2026-05-02","Per=Y","Days=T","Dir=V")</f>
        <v>0</v>
      </c>
      <c r="AO2">
        <f>BDH("IRIX US Equity","CF_FREE_CASH_FLOW","1993-06-18","2026-05-02","Per=Y","Days=T","Dir=V")</f>
        <v>0</v>
      </c>
      <c r="AQ2">
        <f>BDH("IRIX US Equity","PX_LAST","1993-06-18","2026-05-02","Per=M","Days=T","Dir=V")</f>
        <v>0</v>
      </c>
      <c r="AS2">
        <f>BDH("IRIX US Equity","CUR_MKT_CAP","1993-06-18","2026-05-02","Per=M","Days=T","Dir=V")</f>
        <v>0</v>
      </c>
      <c r="AU2">
        <f>BDH("IRIX US Equity","EQY_SH_OUT","1993-06-18","2026-05-02","Per=M","Days=T","Dir=V")</f>
        <v>0</v>
      </c>
      <c r="AW2">
        <f>BDH("IRIX US Equity","PX_VOLUME","1993-06-18","2026-05-02","Per=M","Days=T","Dir=V")</f>
        <v>0</v>
      </c>
      <c r="AY2">
        <f>BDH("IRIX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BDH("IRMD US Equity","BS_TOT_ASSET","1993-06-18","2026-05-02","Per=Y","Days=T","Dir=V")</f>
        <v>0</v>
      </c>
      <c r="C2">
        <f>BDH("IRMD US Equity","BS_TOT_LIAB2","1993-06-18","2026-05-02","Per=Y","Days=T","Dir=V")</f>
        <v>0</v>
      </c>
      <c r="E2">
        <f>BDH("IRMD US Equity","SHORT_AND_LONG_TERM_DEBT","1993-06-18","2026-05-02","Per=Y","Days=T","Dir=V")</f>
        <v>0</v>
      </c>
      <c r="G2">
        <f>BDH("IRMD US Equity","BS_ST_BORROW","1993-06-18","2026-05-02","Per=Y","Days=T","Dir=V")</f>
        <v>0</v>
      </c>
      <c r="I2">
        <f>BDH("IRMD US Equity","BS_LT_BORROW","1993-06-18","2026-05-02","Per=Y","Days=T","Dir=V")</f>
        <v>0</v>
      </c>
      <c r="K2">
        <f>BDH("IRMD US Equity","BS_CASH_NEAR_CASH_ITEM","1993-06-18","2026-05-02","Per=Y","Days=T","Dir=V")</f>
        <v>0</v>
      </c>
      <c r="M2">
        <f>BDH("IRMD US Equity","BS_CUR_ASSET_REPORT","1993-06-18","2026-05-02","Per=Y","Days=T","Dir=V")</f>
        <v>0</v>
      </c>
      <c r="O2">
        <f>BDH("IRMD US Equity","BS_CUR_LIAB","1993-06-18","2026-05-02","Per=Y","Days=T","Dir=V")</f>
        <v>0</v>
      </c>
      <c r="Q2">
        <f>BDH("IRMD US Equity","BS_SHAREHOLDER_EQY_ENDING_PERIOD","1993-06-18","2026-05-02","Per=Y","Days=T","Dir=V")</f>
        <v>0</v>
      </c>
      <c r="S2">
        <f>BDH("IRMD US Equity","BS_ACCT_NOTE_RCV","1993-06-18","2026-05-02","Per=Y","Days=T","Dir=V")</f>
        <v>0</v>
      </c>
      <c r="U2">
        <f>BDH("IRMD US Equity","BS_INVENTORIES","1993-06-18","2026-05-02","Per=Y","Days=T","Dir=V")</f>
        <v>0</v>
      </c>
      <c r="W2">
        <f>BDH("IRMD US Equity","WORKING_CAPITAL","1993-06-18","2026-05-02","Per=Y","Days=T","Dir=V")</f>
        <v>0</v>
      </c>
      <c r="Y2">
        <f>BDH("IRMD US Equity","SALES_REV_TURN","1993-06-18","2026-05-02","Per=Y","Days=T","Dir=V")</f>
        <v>0</v>
      </c>
      <c r="AA2">
        <f>BDH("IRMD US Equity","EBIT","1993-06-18","2026-05-02","Per=Y","Days=T","Dir=V")</f>
        <v>0</v>
      </c>
      <c r="AC2">
        <f>BDH("IRMD US Equity","EBITDA","1993-06-18","2026-05-02","Per=Y","Days=T","Dir=V")</f>
        <v>0</v>
      </c>
      <c r="AE2">
        <f>BDH("IRMD US Equity","NET_INCOME","1993-06-18","2026-05-02","Per=Y","Days=T","Dir=V")</f>
        <v>0</v>
      </c>
      <c r="AG2">
        <f>BDH("IRMD US Equity","IS_INT_EXPENSE","1993-06-18","2026-05-02","Per=Y","Days=T","Dir=V")</f>
        <v>0</v>
      </c>
      <c r="AI2">
        <f>BDH("IRMD US Equity","IS_DEPR_EXP","1993-06-18","2026-05-02","Per=Y","Days=T","Dir=V")</f>
        <v>0</v>
      </c>
      <c r="AK2">
        <f>BDH("IRMD US Equity","CF_CASH_FROM_OPER","1993-06-18","2026-05-02","Per=Y","Days=T","Dir=V")</f>
        <v>0</v>
      </c>
      <c r="AM2">
        <f>BDH("IRMD US Equity","CAPITAL_EXPEND","1993-06-18","2026-05-02","Per=Y","Days=T","Dir=V")</f>
        <v>0</v>
      </c>
      <c r="AO2">
        <f>BDH("IRMD US Equity","CF_FREE_CASH_FLOW","1993-06-18","2026-05-02","Per=Y","Days=T","Dir=V")</f>
        <v>0</v>
      </c>
      <c r="AQ2">
        <f>BDH("IRMD US Equity","PX_LAST","1993-06-18","2026-05-02","Per=M","Days=T","Dir=V")</f>
        <v>0</v>
      </c>
      <c r="AS2">
        <f>BDH("IRMD US Equity","CUR_MKT_CAP","1993-06-18","2026-05-02","Per=M","Days=T","Dir=V")</f>
        <v>0</v>
      </c>
      <c r="AU2">
        <f>BDH("IRMD US Equity","EQY_SH_OUT","1993-06-18","2026-05-02","Per=M","Days=T","Dir=V")</f>
        <v>0</v>
      </c>
      <c r="AW2">
        <f>BDH("IRMD US Equity","PX_VOLUME","1993-06-18","2026-05-02","Per=M","Days=T","Dir=V")</f>
        <v>0</v>
      </c>
      <c r="AY2">
        <f>BDH("IRMD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BDH("IRON US Equity","BS_TOT_ASSET","1993-06-18","2026-05-02","Per=Y","Days=T","Dir=V")</f>
        <v>0</v>
      </c>
      <c r="C2">
        <f>BDH("IRON US Equity","BS_TOT_LIAB2","1993-06-18","2026-05-02","Per=Y","Days=T","Dir=V")</f>
        <v>0</v>
      </c>
      <c r="E2">
        <f>BDH("IRON US Equity","SHORT_AND_LONG_TERM_DEBT","1993-06-18","2026-05-02","Per=Y","Days=T","Dir=V")</f>
        <v>0</v>
      </c>
      <c r="G2">
        <f>BDH("IRON US Equity","BS_ST_BORROW","1993-06-18","2026-05-02","Per=Y","Days=T","Dir=V")</f>
        <v>0</v>
      </c>
      <c r="I2">
        <f>BDH("IRON US Equity","BS_LT_BORROW","1993-06-18","2026-05-02","Per=Y","Days=T","Dir=V")</f>
        <v>0</v>
      </c>
      <c r="K2">
        <f>BDH("IRON US Equity","BS_CASH_NEAR_CASH_ITEM","1993-06-18","2026-05-02","Per=Y","Days=T","Dir=V")</f>
        <v>0</v>
      </c>
      <c r="M2">
        <f>BDH("IRON US Equity","BS_CUR_ASSET_REPORT","1993-06-18","2026-05-02","Per=Y","Days=T","Dir=V")</f>
        <v>0</v>
      </c>
      <c r="O2">
        <f>BDH("IRON US Equity","BS_CUR_LIAB","1993-06-18","2026-05-02","Per=Y","Days=T","Dir=V")</f>
        <v>0</v>
      </c>
      <c r="Q2">
        <f>BDH("IRON US Equity","BS_SHAREHOLDER_EQY_ENDING_PERIOD","1993-06-18","2026-05-02","Per=Y","Days=T","Dir=V")</f>
        <v>0</v>
      </c>
      <c r="S2">
        <f>BDH("IRON US Equity","BS_ACCT_NOTE_RCV","1993-06-18","2026-05-02","Per=Y","Days=T","Dir=V")</f>
        <v>0</v>
      </c>
      <c r="U2">
        <f>BDH("IRON US Equity","BS_INVENTORIES","1993-06-18","2026-05-02","Per=Y","Days=T","Dir=V")</f>
        <v>0</v>
      </c>
      <c r="W2">
        <f>BDH("IRON US Equity","WORKING_CAPITAL","1993-06-18","2026-05-02","Per=Y","Days=T","Dir=V")</f>
        <v>0</v>
      </c>
      <c r="Y2">
        <f>BDH("IRON US Equity","SALES_REV_TURN","1993-06-18","2026-05-02","Per=Y","Days=T","Dir=V")</f>
        <v>0</v>
      </c>
      <c r="AA2">
        <f>BDH("IRON US Equity","EBIT","1993-06-18","2026-05-02","Per=Y","Days=T","Dir=V")</f>
        <v>0</v>
      </c>
      <c r="AC2">
        <f>BDH("IRON US Equity","EBITDA","1993-06-18","2026-05-02","Per=Y","Days=T","Dir=V")</f>
        <v>0</v>
      </c>
      <c r="AE2">
        <f>BDH("IRON US Equity","NET_INCOME","1993-06-18","2026-05-02","Per=Y","Days=T","Dir=V")</f>
        <v>0</v>
      </c>
      <c r="AG2">
        <f>BDH("IRON US Equity","IS_INT_EXPENSE","1993-06-18","2026-05-02","Per=Y","Days=T","Dir=V")</f>
        <v>0</v>
      </c>
      <c r="AI2">
        <f>BDH("IRON US Equity","IS_DEPR_EXP","1993-06-18","2026-05-02","Per=Y","Days=T","Dir=V")</f>
        <v>0</v>
      </c>
      <c r="AK2">
        <f>BDH("IRON US Equity","CF_CASH_FROM_OPER","1993-06-18","2026-05-02","Per=Y","Days=T","Dir=V")</f>
        <v>0</v>
      </c>
      <c r="AM2">
        <f>BDH("IRON US Equity","CAPITAL_EXPEND","1993-06-18","2026-05-02","Per=Y","Days=T","Dir=V")</f>
        <v>0</v>
      </c>
      <c r="AO2">
        <f>BDH("IRON US Equity","CF_FREE_CASH_FLOW","1993-06-18","2026-05-02","Per=Y","Days=T","Dir=V")</f>
        <v>0</v>
      </c>
      <c r="AQ2">
        <f>BDH("IRON US Equity","PX_LAST","1993-06-18","2026-05-02","Per=M","Days=T","Dir=V")</f>
        <v>0</v>
      </c>
      <c r="AS2">
        <f>BDH("IRON US Equity","CUR_MKT_CAP","1993-06-18","2026-05-02","Per=M","Days=T","Dir=V")</f>
        <v>0</v>
      </c>
      <c r="AU2">
        <f>BDH("IRON US Equity","EQY_SH_OUT","1993-06-18","2026-05-02","Per=M","Days=T","Dir=V")</f>
        <v>0</v>
      </c>
      <c r="AW2">
        <f>BDH("IRON US Equity","PX_VOLUME","1993-06-18","2026-05-02","Per=M","Days=T","Dir=V")</f>
        <v>0</v>
      </c>
      <c r="AY2">
        <f>BDH("IRON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BDH("IRTC US Equity","BS_TOT_ASSET","1993-06-18","2026-05-02","Per=Y","Days=T","Dir=V")</f>
        <v>0</v>
      </c>
      <c r="C2">
        <f>BDH("IRTC US Equity","BS_TOT_LIAB2","1993-06-18","2026-05-02","Per=Y","Days=T","Dir=V")</f>
        <v>0</v>
      </c>
      <c r="E2">
        <f>BDH("IRTC US Equity","SHORT_AND_LONG_TERM_DEBT","1993-06-18","2026-05-02","Per=Y","Days=T","Dir=V")</f>
        <v>0</v>
      </c>
      <c r="G2">
        <f>BDH("IRTC US Equity","BS_ST_BORROW","1993-06-18","2026-05-02","Per=Y","Days=T","Dir=V")</f>
        <v>0</v>
      </c>
      <c r="I2">
        <f>BDH("IRTC US Equity","BS_LT_BORROW","1993-06-18","2026-05-02","Per=Y","Days=T","Dir=V")</f>
        <v>0</v>
      </c>
      <c r="K2">
        <f>BDH("IRTC US Equity","BS_CASH_NEAR_CASH_ITEM","1993-06-18","2026-05-02","Per=Y","Days=T","Dir=V")</f>
        <v>0</v>
      </c>
      <c r="M2">
        <f>BDH("IRTC US Equity","BS_CUR_ASSET_REPORT","1993-06-18","2026-05-02","Per=Y","Days=T","Dir=V")</f>
        <v>0</v>
      </c>
      <c r="O2">
        <f>BDH("IRTC US Equity","BS_CUR_LIAB","1993-06-18","2026-05-02","Per=Y","Days=T","Dir=V")</f>
        <v>0</v>
      </c>
      <c r="Q2">
        <f>BDH("IRTC US Equity","BS_SHAREHOLDER_EQY_ENDING_PERIOD","1993-06-18","2026-05-02","Per=Y","Days=T","Dir=V")</f>
        <v>0</v>
      </c>
      <c r="S2">
        <f>BDH("IRTC US Equity","BS_ACCT_NOTE_RCV","1993-06-18","2026-05-02","Per=Y","Days=T","Dir=V")</f>
        <v>0</v>
      </c>
      <c r="U2">
        <f>BDH("IRTC US Equity","BS_INVENTORIES","1993-06-18","2026-05-02","Per=Y","Days=T","Dir=V")</f>
        <v>0</v>
      </c>
      <c r="W2">
        <f>BDH("IRTC US Equity","WORKING_CAPITAL","1993-06-18","2026-05-02","Per=Y","Days=T","Dir=V")</f>
        <v>0</v>
      </c>
      <c r="Y2">
        <f>BDH("IRTC US Equity","SALES_REV_TURN","1993-06-18","2026-05-02","Per=Y","Days=T","Dir=V")</f>
        <v>0</v>
      </c>
      <c r="AA2">
        <f>BDH("IRTC US Equity","EBIT","1993-06-18","2026-05-02","Per=Y","Days=T","Dir=V")</f>
        <v>0</v>
      </c>
      <c r="AC2">
        <f>BDH("IRTC US Equity","EBITDA","1993-06-18","2026-05-02","Per=Y","Days=T","Dir=V")</f>
        <v>0</v>
      </c>
      <c r="AE2">
        <f>BDH("IRTC US Equity","NET_INCOME","1993-06-18","2026-05-02","Per=Y","Days=T","Dir=V")</f>
        <v>0</v>
      </c>
      <c r="AG2">
        <f>BDH("IRTC US Equity","IS_INT_EXPENSE","1993-06-18","2026-05-02","Per=Y","Days=T","Dir=V")</f>
        <v>0</v>
      </c>
      <c r="AI2">
        <f>BDH("IRTC US Equity","IS_DEPR_EXP","1993-06-18","2026-05-02","Per=Y","Days=T","Dir=V")</f>
        <v>0</v>
      </c>
      <c r="AK2">
        <f>BDH("IRTC US Equity","CF_CASH_FROM_OPER","1993-06-18","2026-05-02","Per=Y","Days=T","Dir=V")</f>
        <v>0</v>
      </c>
      <c r="AM2">
        <f>BDH("IRTC US Equity","CAPITAL_EXPEND","1993-06-18","2026-05-02","Per=Y","Days=T","Dir=V")</f>
        <v>0</v>
      </c>
      <c r="AO2">
        <f>BDH("IRTC US Equity","CF_FREE_CASH_FLOW","1993-06-18","2026-05-02","Per=Y","Days=T","Dir=V")</f>
        <v>0</v>
      </c>
      <c r="AQ2">
        <f>BDH("IRTC US Equity","PX_LAST","1993-06-18","2026-05-02","Per=M","Days=T","Dir=V")</f>
        <v>0</v>
      </c>
      <c r="AS2">
        <f>BDH("IRTC US Equity","CUR_MKT_CAP","1993-06-18","2026-05-02","Per=M","Days=T","Dir=V")</f>
        <v>0</v>
      </c>
      <c r="AU2">
        <f>BDH("IRTC US Equity","EQY_SH_OUT","1993-06-18","2026-05-02","Per=M","Days=T","Dir=V")</f>
        <v>0</v>
      </c>
      <c r="AW2">
        <f>BDH("IRTC US Equity","PX_VOLUME","1993-06-18","2026-05-02","Per=M","Days=T","Dir=V")</f>
        <v>0</v>
      </c>
      <c r="AY2">
        <f>BDH("IRTC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BDH("IRWD US Equity","BS_TOT_ASSET","1993-06-18","2026-05-02","Per=Y","Days=T","Dir=V")</f>
        <v>0</v>
      </c>
      <c r="C2">
        <f>BDH("IRWD US Equity","BS_TOT_LIAB2","1993-06-18","2026-05-02","Per=Y","Days=T","Dir=V")</f>
        <v>0</v>
      </c>
      <c r="E2">
        <f>BDH("IRWD US Equity","SHORT_AND_LONG_TERM_DEBT","1993-06-18","2026-05-02","Per=Y","Days=T","Dir=V")</f>
        <v>0</v>
      </c>
      <c r="G2">
        <f>BDH("IRWD US Equity","BS_ST_BORROW","1993-06-18","2026-05-02","Per=Y","Days=T","Dir=V")</f>
        <v>0</v>
      </c>
      <c r="I2">
        <f>BDH("IRWD US Equity","BS_LT_BORROW","1993-06-18","2026-05-02","Per=Y","Days=T","Dir=V")</f>
        <v>0</v>
      </c>
      <c r="K2">
        <f>BDH("IRWD US Equity","BS_CASH_NEAR_CASH_ITEM","1993-06-18","2026-05-02","Per=Y","Days=T","Dir=V")</f>
        <v>0</v>
      </c>
      <c r="M2">
        <f>BDH("IRWD US Equity","BS_CUR_ASSET_REPORT","1993-06-18","2026-05-02","Per=Y","Days=T","Dir=V")</f>
        <v>0</v>
      </c>
      <c r="O2">
        <f>BDH("IRWD US Equity","BS_CUR_LIAB","1993-06-18","2026-05-02","Per=Y","Days=T","Dir=V")</f>
        <v>0</v>
      </c>
      <c r="Q2">
        <f>BDH("IRWD US Equity","BS_SHAREHOLDER_EQY_ENDING_PERIOD","1993-06-18","2026-05-02","Per=Y","Days=T","Dir=V")</f>
        <v>0</v>
      </c>
      <c r="S2">
        <f>BDH("IRWD US Equity","BS_ACCT_NOTE_RCV","1993-06-18","2026-05-02","Per=Y","Days=T","Dir=V")</f>
        <v>0</v>
      </c>
      <c r="U2">
        <f>BDH("IRWD US Equity","BS_INVENTORIES","1993-06-18","2026-05-02","Per=Y","Days=T","Dir=V")</f>
        <v>0</v>
      </c>
      <c r="W2">
        <f>BDH("IRWD US Equity","WORKING_CAPITAL","1993-06-18","2026-05-02","Per=Y","Days=T","Dir=V")</f>
        <v>0</v>
      </c>
      <c r="Y2">
        <f>BDH("IRWD US Equity","SALES_REV_TURN","1993-06-18","2026-05-02","Per=Y","Days=T","Dir=V")</f>
        <v>0</v>
      </c>
      <c r="AA2">
        <f>BDH("IRWD US Equity","EBIT","1993-06-18","2026-05-02","Per=Y","Days=T","Dir=V")</f>
        <v>0</v>
      </c>
      <c r="AC2">
        <f>BDH("IRWD US Equity","EBITDA","1993-06-18","2026-05-02","Per=Y","Days=T","Dir=V")</f>
        <v>0</v>
      </c>
      <c r="AE2">
        <f>BDH("IRWD US Equity","NET_INCOME","1993-06-18","2026-05-02","Per=Y","Days=T","Dir=V")</f>
        <v>0</v>
      </c>
      <c r="AG2">
        <f>BDH("IRWD US Equity","IS_INT_EXPENSE","1993-06-18","2026-05-02","Per=Y","Days=T","Dir=V")</f>
        <v>0</v>
      </c>
      <c r="AI2">
        <f>BDH("IRWD US Equity","IS_DEPR_EXP","1993-06-18","2026-05-02","Per=Y","Days=T","Dir=V")</f>
        <v>0</v>
      </c>
      <c r="AK2">
        <f>BDH("IRWD US Equity","CF_CASH_FROM_OPER","1993-06-18","2026-05-02","Per=Y","Days=T","Dir=V")</f>
        <v>0</v>
      </c>
      <c r="AM2">
        <f>BDH("IRWD US Equity","CAPITAL_EXPEND","1993-06-18","2026-05-02","Per=Y","Days=T","Dir=V")</f>
        <v>0</v>
      </c>
      <c r="AO2">
        <f>BDH("IRWD US Equity","CF_FREE_CASH_FLOW","1993-06-18","2026-05-02","Per=Y","Days=T","Dir=V")</f>
        <v>0</v>
      </c>
      <c r="AQ2">
        <f>BDH("IRWD US Equity","PX_LAST","1993-06-18","2026-05-02","Per=M","Days=T","Dir=V")</f>
        <v>0</v>
      </c>
      <c r="AS2">
        <f>BDH("IRWD US Equity","CUR_MKT_CAP","1993-06-18","2026-05-02","Per=M","Days=T","Dir=V")</f>
        <v>0</v>
      </c>
      <c r="AU2">
        <f>BDH("IRWD US Equity","EQY_SH_OUT","1993-06-18","2026-05-02","Per=M","Days=T","Dir=V")</f>
        <v>0</v>
      </c>
      <c r="AW2">
        <f>BDH("IRWD US Equity","PX_VOLUME","1993-06-18","2026-05-02","Per=M","Days=T","Dir=V")</f>
        <v>0</v>
      </c>
      <c r="AY2">
        <f>BDH("IRWD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BDH("ISPC US Equity","BS_TOT_ASSET","1993-06-18","2026-05-02","Per=Y","Days=T","Dir=V")</f>
        <v>0</v>
      </c>
      <c r="C2">
        <f>BDH("ISPC US Equity","BS_TOT_LIAB2","1993-06-18","2026-05-02","Per=Y","Days=T","Dir=V")</f>
        <v>0</v>
      </c>
      <c r="E2">
        <f>BDH("ISPC US Equity","SHORT_AND_LONG_TERM_DEBT","1993-06-18","2026-05-02","Per=Y","Days=T","Dir=V")</f>
        <v>0</v>
      </c>
      <c r="G2">
        <f>BDH("ISPC US Equity","BS_ST_BORROW","1993-06-18","2026-05-02","Per=Y","Days=T","Dir=V")</f>
        <v>0</v>
      </c>
      <c r="I2">
        <f>BDH("ISPC US Equity","BS_LT_BORROW","1993-06-18","2026-05-02","Per=Y","Days=T","Dir=V")</f>
        <v>0</v>
      </c>
      <c r="K2">
        <f>BDH("ISPC US Equity","BS_CASH_NEAR_CASH_ITEM","1993-06-18","2026-05-02","Per=Y","Days=T","Dir=V")</f>
        <v>0</v>
      </c>
      <c r="M2">
        <f>BDH("ISPC US Equity","BS_CUR_ASSET_REPORT","1993-06-18","2026-05-02","Per=Y","Days=T","Dir=V")</f>
        <v>0</v>
      </c>
      <c r="O2">
        <f>BDH("ISPC US Equity","BS_CUR_LIAB","1993-06-18","2026-05-02","Per=Y","Days=T","Dir=V")</f>
        <v>0</v>
      </c>
      <c r="Q2">
        <f>BDH("ISPC US Equity","BS_SHAREHOLDER_EQY_ENDING_PERIOD","1993-06-18","2026-05-02","Per=Y","Days=T","Dir=V")</f>
        <v>0</v>
      </c>
      <c r="S2">
        <f>BDH("ISPC US Equity","BS_ACCT_NOTE_RCV","1993-06-18","2026-05-02","Per=Y","Days=T","Dir=V")</f>
        <v>0</v>
      </c>
      <c r="U2">
        <f>BDH("ISPC US Equity","BS_INVENTORIES","1993-06-18","2026-05-02","Per=Y","Days=T","Dir=V")</f>
        <v>0</v>
      </c>
      <c r="W2">
        <f>BDH("ISPC US Equity","WORKING_CAPITAL","1993-06-18","2026-05-02","Per=Y","Days=T","Dir=V")</f>
        <v>0</v>
      </c>
      <c r="Y2">
        <f>BDH("ISPC US Equity","SALES_REV_TURN","1993-06-18","2026-05-02","Per=Y","Days=T","Dir=V")</f>
        <v>0</v>
      </c>
      <c r="AA2">
        <f>BDH("ISPC US Equity","EBIT","1993-06-18","2026-05-02","Per=Y","Days=T","Dir=V")</f>
        <v>0</v>
      </c>
      <c r="AC2">
        <f>BDH("ISPC US Equity","EBITDA","1993-06-18","2026-05-02","Per=Y","Days=T","Dir=V")</f>
        <v>0</v>
      </c>
      <c r="AE2">
        <f>BDH("ISPC US Equity","NET_INCOME","1993-06-18","2026-05-02","Per=Y","Days=T","Dir=V")</f>
        <v>0</v>
      </c>
      <c r="AG2">
        <f>BDH("ISPC US Equity","IS_INT_EXPENSE","1993-06-18","2026-05-02","Per=Y","Days=T","Dir=V")</f>
        <v>0</v>
      </c>
      <c r="AI2">
        <f>BDH("ISPC US Equity","IS_DEPR_EXP","1993-06-18","2026-05-02","Per=Y","Days=T","Dir=V")</f>
        <v>0</v>
      </c>
      <c r="AK2">
        <f>BDH("ISPC US Equity","CF_CASH_FROM_OPER","1993-06-18","2026-05-02","Per=Y","Days=T","Dir=V")</f>
        <v>0</v>
      </c>
      <c r="AM2">
        <f>BDH("ISPC US Equity","CAPITAL_EXPEND","1993-06-18","2026-05-02","Per=Y","Days=T","Dir=V")</f>
        <v>0</v>
      </c>
      <c r="AO2">
        <f>BDH("ISPC US Equity","CF_FREE_CASH_FLOW","1993-06-18","2026-05-02","Per=Y","Days=T","Dir=V")</f>
        <v>0</v>
      </c>
      <c r="AQ2">
        <f>BDH("ISPC US Equity","PX_LAST","1993-06-18","2026-05-02","Per=M","Days=T","Dir=V")</f>
        <v>0</v>
      </c>
      <c r="AS2">
        <f>BDH("ISPC US Equity","CUR_MKT_CAP","1993-06-18","2026-05-02","Per=M","Days=T","Dir=V")</f>
        <v>0</v>
      </c>
      <c r="AU2">
        <f>BDH("ISPC US Equity","EQY_SH_OUT","1993-06-18","2026-05-02","Per=M","Days=T","Dir=V")</f>
        <v>0</v>
      </c>
      <c r="AW2">
        <f>BDH("ISPC US Equity","PX_VOLUME","1993-06-18","2026-05-02","Per=M","Days=T","Dir=V")</f>
        <v>0</v>
      </c>
      <c r="AY2">
        <f>BDH("ISPC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BDH("ISPR US Equity","BS_TOT_ASSET","1993-06-18","2026-05-02","Per=Y","Days=T","Dir=V")</f>
        <v>0</v>
      </c>
      <c r="C2">
        <f>BDH("ISPR US Equity","BS_TOT_LIAB2","1993-06-18","2026-05-02","Per=Y","Days=T","Dir=V")</f>
        <v>0</v>
      </c>
      <c r="E2">
        <f>BDH("ISPR US Equity","SHORT_AND_LONG_TERM_DEBT","1993-06-18","2026-05-02","Per=Y","Days=T","Dir=V")</f>
        <v>0</v>
      </c>
      <c r="G2">
        <f>BDH("ISPR US Equity","BS_ST_BORROW","1993-06-18","2026-05-02","Per=Y","Days=T","Dir=V")</f>
        <v>0</v>
      </c>
      <c r="I2">
        <f>BDH("ISPR US Equity","BS_LT_BORROW","1993-06-18","2026-05-02","Per=Y","Days=T","Dir=V")</f>
        <v>0</v>
      </c>
      <c r="K2">
        <f>BDH("ISPR US Equity","BS_CASH_NEAR_CASH_ITEM","1993-06-18","2026-05-02","Per=Y","Days=T","Dir=V")</f>
        <v>0</v>
      </c>
      <c r="M2">
        <f>BDH("ISPR US Equity","BS_CUR_ASSET_REPORT","1993-06-18","2026-05-02","Per=Y","Days=T","Dir=V")</f>
        <v>0</v>
      </c>
      <c r="O2">
        <f>BDH("ISPR US Equity","BS_CUR_LIAB","1993-06-18","2026-05-02","Per=Y","Days=T","Dir=V")</f>
        <v>0</v>
      </c>
      <c r="Q2">
        <f>BDH("ISPR US Equity","BS_SHAREHOLDER_EQY_ENDING_PERIOD","1993-06-18","2026-05-02","Per=Y","Days=T","Dir=V")</f>
        <v>0</v>
      </c>
      <c r="S2">
        <f>BDH("ISPR US Equity","BS_ACCT_NOTE_RCV","1993-06-18","2026-05-02","Per=Y","Days=T","Dir=V")</f>
        <v>0</v>
      </c>
      <c r="U2">
        <f>BDH("ISPR US Equity","BS_INVENTORIES","1993-06-18","2026-05-02","Per=Y","Days=T","Dir=V")</f>
        <v>0</v>
      </c>
      <c r="W2">
        <f>BDH("ISPR US Equity","WORKING_CAPITAL","1993-06-18","2026-05-02","Per=Y","Days=T","Dir=V")</f>
        <v>0</v>
      </c>
      <c r="Y2">
        <f>BDH("ISPR US Equity","SALES_REV_TURN","1993-06-18","2026-05-02","Per=Y","Days=T","Dir=V")</f>
        <v>0</v>
      </c>
      <c r="AA2">
        <f>BDH("ISPR US Equity","EBIT","1993-06-18","2026-05-02","Per=Y","Days=T","Dir=V")</f>
        <v>0</v>
      </c>
      <c r="AC2">
        <f>BDH("ISPR US Equity","EBITDA","1993-06-18","2026-05-02","Per=Y","Days=T","Dir=V")</f>
        <v>0</v>
      </c>
      <c r="AE2">
        <f>BDH("ISPR US Equity","NET_INCOME","1993-06-18","2026-05-02","Per=Y","Days=T","Dir=V")</f>
        <v>0</v>
      </c>
      <c r="AG2">
        <f>BDH("ISPR US Equity","IS_INT_EXPENSE","1993-06-18","2026-05-02","Per=Y","Days=T","Dir=V")</f>
        <v>0</v>
      </c>
      <c r="AI2">
        <f>BDH("ISPR US Equity","IS_DEPR_EXP","1993-06-18","2026-05-02","Per=Y","Days=T","Dir=V")</f>
        <v>0</v>
      </c>
      <c r="AK2">
        <f>BDH("ISPR US Equity","CF_CASH_FROM_OPER","1993-06-18","2026-05-02","Per=Y","Days=T","Dir=V")</f>
        <v>0</v>
      </c>
      <c r="AM2">
        <f>BDH("ISPR US Equity","CAPITAL_EXPEND","1993-06-18","2026-05-02","Per=Y","Days=T","Dir=V")</f>
        <v>0</v>
      </c>
      <c r="AO2">
        <f>BDH("ISPR US Equity","CF_FREE_CASH_FLOW","1993-06-18","2026-05-02","Per=Y","Days=T","Dir=V")</f>
        <v>0</v>
      </c>
      <c r="AQ2">
        <f>BDH("ISPR US Equity","PX_LAST","1993-06-18","2026-05-02","Per=M","Days=T","Dir=V")</f>
        <v>0</v>
      </c>
      <c r="AS2">
        <f>BDH("ISPR US Equity","CUR_MKT_CAP","1993-06-18","2026-05-02","Per=M","Days=T","Dir=V")</f>
        <v>0</v>
      </c>
      <c r="AU2">
        <f>BDH("ISPR US Equity","EQY_SH_OUT","1993-06-18","2026-05-02","Per=M","Days=T","Dir=V")</f>
        <v>0</v>
      </c>
      <c r="AW2">
        <f>BDH("ISPR US Equity","PX_VOLUME","1993-06-18","2026-05-02","Per=M","Days=T","Dir=V")</f>
        <v>0</v>
      </c>
      <c r="AY2">
        <f>BDH("ISPR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BDH("ISRG US Equity","BS_TOT_ASSET","1993-06-18","2026-05-02","Per=Y","Days=T","Dir=V")</f>
        <v>0</v>
      </c>
      <c r="C2">
        <f>BDH("ISRG US Equity","BS_TOT_LIAB2","1993-06-18","2026-05-02","Per=Y","Days=T","Dir=V")</f>
        <v>0</v>
      </c>
      <c r="E2">
        <f>BDH("ISRG US Equity","SHORT_AND_LONG_TERM_DEBT","1993-06-18","2026-05-02","Per=Y","Days=T","Dir=V")</f>
        <v>0</v>
      </c>
      <c r="G2">
        <f>BDH("ISRG US Equity","BS_ST_BORROW","1993-06-18","2026-05-02","Per=Y","Days=T","Dir=V")</f>
        <v>0</v>
      </c>
      <c r="I2">
        <f>BDH("ISRG US Equity","BS_LT_BORROW","1993-06-18","2026-05-02","Per=Y","Days=T","Dir=V")</f>
        <v>0</v>
      </c>
      <c r="K2">
        <f>BDH("ISRG US Equity","BS_CASH_NEAR_CASH_ITEM","1993-06-18","2026-05-02","Per=Y","Days=T","Dir=V")</f>
        <v>0</v>
      </c>
      <c r="M2">
        <f>BDH("ISRG US Equity","BS_CUR_ASSET_REPORT","1993-06-18","2026-05-02","Per=Y","Days=T","Dir=V")</f>
        <v>0</v>
      </c>
      <c r="O2">
        <f>BDH("ISRG US Equity","BS_CUR_LIAB","1993-06-18","2026-05-02","Per=Y","Days=T","Dir=V")</f>
        <v>0</v>
      </c>
      <c r="Q2">
        <f>BDH("ISRG US Equity","BS_SHAREHOLDER_EQY_ENDING_PERIOD","1993-06-18","2026-05-02","Per=Y","Days=T","Dir=V")</f>
        <v>0</v>
      </c>
      <c r="S2">
        <f>BDH("ISRG US Equity","BS_ACCT_NOTE_RCV","1993-06-18","2026-05-02","Per=Y","Days=T","Dir=V")</f>
        <v>0</v>
      </c>
      <c r="U2">
        <f>BDH("ISRG US Equity","BS_INVENTORIES","1993-06-18","2026-05-02","Per=Y","Days=T","Dir=V")</f>
        <v>0</v>
      </c>
      <c r="W2">
        <f>BDH("ISRG US Equity","WORKING_CAPITAL","1993-06-18","2026-05-02","Per=Y","Days=T","Dir=V")</f>
        <v>0</v>
      </c>
      <c r="Y2">
        <f>BDH("ISRG US Equity","SALES_REV_TURN","1993-06-18","2026-05-02","Per=Y","Days=T","Dir=V")</f>
        <v>0</v>
      </c>
      <c r="AA2">
        <f>BDH("ISRG US Equity","EBIT","1993-06-18","2026-05-02","Per=Y","Days=T","Dir=V")</f>
        <v>0</v>
      </c>
      <c r="AC2">
        <f>BDH("ISRG US Equity","EBITDA","1993-06-18","2026-05-02","Per=Y","Days=T","Dir=V")</f>
        <v>0</v>
      </c>
      <c r="AE2">
        <f>BDH("ISRG US Equity","NET_INCOME","1993-06-18","2026-05-02","Per=Y","Days=T","Dir=V")</f>
        <v>0</v>
      </c>
      <c r="AG2">
        <f>BDH("ISRG US Equity","IS_INT_EXPENSE","1993-06-18","2026-05-02","Per=Y","Days=T","Dir=V")</f>
        <v>0</v>
      </c>
      <c r="AI2">
        <f>BDH("ISRG US Equity","IS_DEPR_EXP","1993-06-18","2026-05-02","Per=Y","Days=T","Dir=V")</f>
        <v>0</v>
      </c>
      <c r="AK2">
        <f>BDH("ISRG US Equity","CF_CASH_FROM_OPER","1993-06-18","2026-05-02","Per=Y","Days=T","Dir=V")</f>
        <v>0</v>
      </c>
      <c r="AM2">
        <f>BDH("ISRG US Equity","CAPITAL_EXPEND","1993-06-18","2026-05-02","Per=Y","Days=T","Dir=V")</f>
        <v>0</v>
      </c>
      <c r="AO2">
        <f>BDH("ISRG US Equity","CF_FREE_CASH_FLOW","1993-06-18","2026-05-02","Per=Y","Days=T","Dir=V")</f>
        <v>0</v>
      </c>
      <c r="AQ2">
        <f>BDH("ISRG US Equity","PX_LAST","1993-06-18","2026-05-02","Per=M","Days=T","Dir=V")</f>
        <v>0</v>
      </c>
      <c r="AS2">
        <f>BDH("ISRG US Equity","CUR_MKT_CAP","1993-06-18","2026-05-02","Per=M","Days=T","Dir=V")</f>
        <v>0</v>
      </c>
      <c r="AU2">
        <f>BDH("ISRG US Equity","EQY_SH_OUT","1993-06-18","2026-05-02","Per=M","Days=T","Dir=V")</f>
        <v>0</v>
      </c>
      <c r="AW2">
        <f>BDH("ISRG US Equity","PX_VOLUME","1993-06-18","2026-05-02","Per=M","Days=T","Dir=V")</f>
        <v>0</v>
      </c>
      <c r="AY2">
        <f>BDH("ISRG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BDH("IT US Equity","BS_TOT_ASSET","1993-06-18","2026-05-02","Per=Y","Days=T","Dir=V")</f>
        <v>0</v>
      </c>
      <c r="C2">
        <f>BDH("IT US Equity","BS_TOT_LIAB2","1993-06-18","2026-05-02","Per=Y","Days=T","Dir=V")</f>
        <v>0</v>
      </c>
      <c r="E2">
        <f>BDH("IT US Equity","SHORT_AND_LONG_TERM_DEBT","1993-06-18","2026-05-02","Per=Y","Days=T","Dir=V")</f>
        <v>0</v>
      </c>
      <c r="G2">
        <f>BDH("IT US Equity","BS_ST_BORROW","1993-06-18","2026-05-02","Per=Y","Days=T","Dir=V")</f>
        <v>0</v>
      </c>
      <c r="I2">
        <f>BDH("IT US Equity","BS_LT_BORROW","1993-06-18","2026-05-02","Per=Y","Days=T","Dir=V")</f>
        <v>0</v>
      </c>
      <c r="K2">
        <f>BDH("IT US Equity","BS_CASH_NEAR_CASH_ITEM","1993-06-18","2026-05-02","Per=Y","Days=T","Dir=V")</f>
        <v>0</v>
      </c>
      <c r="M2">
        <f>BDH("IT US Equity","BS_CUR_ASSET_REPORT","1993-06-18","2026-05-02","Per=Y","Days=T","Dir=V")</f>
        <v>0</v>
      </c>
      <c r="O2">
        <f>BDH("IT US Equity","BS_CUR_LIAB","1993-06-18","2026-05-02","Per=Y","Days=T","Dir=V")</f>
        <v>0</v>
      </c>
      <c r="Q2">
        <f>BDH("IT US Equity","BS_SHAREHOLDER_EQY_ENDING_PERIOD","1993-06-18","2026-05-02","Per=Y","Days=T","Dir=V")</f>
        <v>0</v>
      </c>
      <c r="S2">
        <f>BDH("IT US Equity","BS_ACCT_NOTE_RCV","1993-06-18","2026-05-02","Per=Y","Days=T","Dir=V")</f>
        <v>0</v>
      </c>
      <c r="U2">
        <f>BDH("IT US Equity","BS_INVENTORIES","1993-06-18","2026-05-02","Per=Y","Days=T","Dir=V")</f>
        <v>0</v>
      </c>
      <c r="W2">
        <f>BDH("IT US Equity","WORKING_CAPITAL","1993-06-18","2026-05-02","Per=Y","Days=T","Dir=V")</f>
        <v>0</v>
      </c>
      <c r="Y2">
        <f>BDH("IT US Equity","SALES_REV_TURN","1993-06-18","2026-05-02","Per=Y","Days=T","Dir=V")</f>
        <v>0</v>
      </c>
      <c r="AA2">
        <f>BDH("IT US Equity","EBIT","1993-06-18","2026-05-02","Per=Y","Days=T","Dir=V")</f>
        <v>0</v>
      </c>
      <c r="AC2">
        <f>BDH("IT US Equity","EBITDA","1993-06-18","2026-05-02","Per=Y","Days=T","Dir=V")</f>
        <v>0</v>
      </c>
      <c r="AE2">
        <f>BDH("IT US Equity","NET_INCOME","1993-06-18","2026-05-02","Per=Y","Days=T","Dir=V")</f>
        <v>0</v>
      </c>
      <c r="AG2">
        <f>BDH("IT US Equity","IS_INT_EXPENSE","1993-06-18","2026-05-02","Per=Y","Days=T","Dir=V")</f>
        <v>0</v>
      </c>
      <c r="AI2">
        <f>BDH("IT US Equity","IS_DEPR_EXP","1993-06-18","2026-05-02","Per=Y","Days=T","Dir=V")</f>
        <v>0</v>
      </c>
      <c r="AK2">
        <f>BDH("IT US Equity","CF_CASH_FROM_OPER","1993-06-18","2026-05-02","Per=Y","Days=T","Dir=V")</f>
        <v>0</v>
      </c>
      <c r="AM2">
        <f>BDH("IT US Equity","CAPITAL_EXPEND","1993-06-18","2026-05-02","Per=Y","Days=T","Dir=V")</f>
        <v>0</v>
      </c>
      <c r="AO2">
        <f>BDH("IT US Equity","CF_FREE_CASH_FLOW","1993-06-18","2026-05-02","Per=Y","Days=T","Dir=V")</f>
        <v>0</v>
      </c>
      <c r="AQ2">
        <f>BDH("IT US Equity","PX_LAST","1993-06-18","2026-05-02","Per=M","Days=T","Dir=V")</f>
        <v>0</v>
      </c>
      <c r="AS2">
        <f>BDH("IT US Equity","CUR_MKT_CAP","1993-06-18","2026-05-02","Per=M","Days=T","Dir=V")</f>
        <v>0</v>
      </c>
      <c r="AU2">
        <f>BDH("IT US Equity","EQY_SH_OUT","1993-06-18","2026-05-02","Per=M","Days=T","Dir=V")</f>
        <v>0</v>
      </c>
      <c r="AW2">
        <f>BDH("IT US Equity","PX_VOLUME","1993-06-18","2026-05-02","Per=M","Days=T","Dir=V")</f>
        <v>0</v>
      </c>
      <c r="AY2">
        <f>BDH("IT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BDH("ITG US Equity","BS_TOT_ASSET","1993-06-18","2026-05-02","Per=Y","Days=T","Dir=V")</f>
        <v>0</v>
      </c>
      <c r="C2">
        <f>BDH("ITG US Equity","BS_TOT_LIAB2","1993-06-18","2026-05-02","Per=Y","Days=T","Dir=V")</f>
        <v>0</v>
      </c>
      <c r="E2">
        <f>BDH("ITG US Equity","SHORT_AND_LONG_TERM_DEBT","1993-06-18","2026-05-02","Per=Y","Days=T","Dir=V")</f>
        <v>0</v>
      </c>
      <c r="G2">
        <f>BDH("ITG US Equity","BS_ST_BORROW","1993-06-18","2026-05-02","Per=Y","Days=T","Dir=V")</f>
        <v>0</v>
      </c>
      <c r="I2">
        <f>BDH("ITG US Equity","BS_LT_BORROW","1993-06-18","2026-05-02","Per=Y","Days=T","Dir=V")</f>
        <v>0</v>
      </c>
      <c r="K2">
        <f>BDH("ITG US Equity","BS_CASH_NEAR_CASH_ITEM","1993-06-18","2026-05-02","Per=Y","Days=T","Dir=V")</f>
        <v>0</v>
      </c>
      <c r="M2">
        <f>BDH("ITG US Equity","BS_CUR_ASSET_REPORT","1993-06-18","2026-05-02","Per=Y","Days=T","Dir=V")</f>
        <v>0</v>
      </c>
      <c r="O2">
        <f>BDH("ITG US Equity","BS_CUR_LIAB","1993-06-18","2026-05-02","Per=Y","Days=T","Dir=V")</f>
        <v>0</v>
      </c>
      <c r="Q2">
        <f>BDH("ITG US Equity","BS_SHAREHOLDER_EQY_ENDING_PERIOD","1993-06-18","2026-05-02","Per=Y","Days=T","Dir=V")</f>
        <v>0</v>
      </c>
      <c r="S2">
        <f>BDH("ITG US Equity","BS_ACCT_NOTE_RCV","1993-06-18","2026-05-02","Per=Y","Days=T","Dir=V")</f>
        <v>0</v>
      </c>
      <c r="U2">
        <f>BDH("ITG US Equity","BS_INVENTORIES","1993-06-18","2026-05-02","Per=Y","Days=T","Dir=V")</f>
        <v>0</v>
      </c>
      <c r="W2">
        <f>BDH("ITG US Equity","WORKING_CAPITAL","1993-06-18","2026-05-02","Per=Y","Days=T","Dir=V")</f>
        <v>0</v>
      </c>
      <c r="Y2">
        <f>BDH("ITG US Equity","SALES_REV_TURN","1993-06-18","2026-05-02","Per=Y","Days=T","Dir=V")</f>
        <v>0</v>
      </c>
      <c r="AA2">
        <f>BDH("ITG US Equity","EBIT","1993-06-18","2026-05-02","Per=Y","Days=T","Dir=V")</f>
        <v>0</v>
      </c>
      <c r="AC2">
        <f>BDH("ITG US Equity","EBITDA","1993-06-18","2026-05-02","Per=Y","Days=T","Dir=V")</f>
        <v>0</v>
      </c>
      <c r="AE2">
        <f>BDH("ITG US Equity","NET_INCOME","1993-06-18","2026-05-02","Per=Y","Days=T","Dir=V")</f>
        <v>0</v>
      </c>
      <c r="AG2">
        <f>BDH("ITG US Equity","IS_INT_EXPENSE","1993-06-18","2026-05-02","Per=Y","Days=T","Dir=V")</f>
        <v>0</v>
      </c>
      <c r="AI2">
        <f>BDH("ITG US Equity","IS_DEPR_EXP","1993-06-18","2026-05-02","Per=Y","Days=T","Dir=V")</f>
        <v>0</v>
      </c>
      <c r="AK2">
        <f>BDH("ITG US Equity","CF_CASH_FROM_OPER","1993-06-18","2026-05-02","Per=Y","Days=T","Dir=V")</f>
        <v>0</v>
      </c>
      <c r="AM2">
        <f>BDH("ITG US Equity","CAPITAL_EXPEND","1993-06-18","2026-05-02","Per=Y","Days=T","Dir=V")</f>
        <v>0</v>
      </c>
      <c r="AO2">
        <f>BDH("ITG US Equity","CF_FREE_CASH_FLOW","1993-06-18","2026-05-02","Per=Y","Days=T","Dir=V")</f>
        <v>0</v>
      </c>
      <c r="AQ2">
        <f>BDH("ITG US Equity","PX_LAST","1993-06-18","2026-05-02","Per=M","Days=T","Dir=V")</f>
        <v>0</v>
      </c>
      <c r="AS2">
        <f>BDH("ITG US Equity","CUR_MKT_CAP","1993-06-18","2026-05-02","Per=M","Days=T","Dir=V")</f>
        <v>0</v>
      </c>
      <c r="AU2">
        <f>BDH("ITG US Equity","EQY_SH_OUT","1993-06-18","2026-05-02","Per=M","Days=T","Dir=V")</f>
        <v>0</v>
      </c>
      <c r="AW2">
        <f>BDH("ITG US Equity","PX_VOLUME","1993-06-18","2026-05-02","Per=M","Days=T","Dir=V")</f>
        <v>0</v>
      </c>
      <c r="AY2">
        <f>BDH("ITG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BDH("ITGR US Equity","BS_TOT_ASSET","1993-06-18","2026-05-02","Per=Y","Days=T","Dir=V")</f>
        <v>0</v>
      </c>
      <c r="C2">
        <f>BDH("ITGR US Equity","BS_TOT_LIAB2","1993-06-18","2026-05-02","Per=Y","Days=T","Dir=V")</f>
        <v>0</v>
      </c>
      <c r="E2">
        <f>BDH("ITGR US Equity","SHORT_AND_LONG_TERM_DEBT","1993-06-18","2026-05-02","Per=Y","Days=T","Dir=V")</f>
        <v>0</v>
      </c>
      <c r="G2">
        <f>BDH("ITGR US Equity","BS_ST_BORROW","1993-06-18","2026-05-02","Per=Y","Days=T","Dir=V")</f>
        <v>0</v>
      </c>
      <c r="I2">
        <f>BDH("ITGR US Equity","BS_LT_BORROW","1993-06-18","2026-05-02","Per=Y","Days=T","Dir=V")</f>
        <v>0</v>
      </c>
      <c r="K2">
        <f>BDH("ITGR US Equity","BS_CASH_NEAR_CASH_ITEM","1993-06-18","2026-05-02","Per=Y","Days=T","Dir=V")</f>
        <v>0</v>
      </c>
      <c r="M2">
        <f>BDH("ITGR US Equity","BS_CUR_ASSET_REPORT","1993-06-18","2026-05-02","Per=Y","Days=T","Dir=V")</f>
        <v>0</v>
      </c>
      <c r="O2">
        <f>BDH("ITGR US Equity","BS_CUR_LIAB","1993-06-18","2026-05-02","Per=Y","Days=T","Dir=V")</f>
        <v>0</v>
      </c>
      <c r="Q2">
        <f>BDH("ITGR US Equity","BS_SHAREHOLDER_EQY_ENDING_PERIOD","1993-06-18","2026-05-02","Per=Y","Days=T","Dir=V")</f>
        <v>0</v>
      </c>
      <c r="S2">
        <f>BDH("ITGR US Equity","BS_ACCT_NOTE_RCV","1993-06-18","2026-05-02","Per=Y","Days=T","Dir=V")</f>
        <v>0</v>
      </c>
      <c r="U2">
        <f>BDH("ITGR US Equity","BS_INVENTORIES","1993-06-18","2026-05-02","Per=Y","Days=T","Dir=V")</f>
        <v>0</v>
      </c>
      <c r="W2">
        <f>BDH("ITGR US Equity","WORKING_CAPITAL","1993-06-18","2026-05-02","Per=Y","Days=T","Dir=V")</f>
        <v>0</v>
      </c>
      <c r="Y2">
        <f>BDH("ITGR US Equity","SALES_REV_TURN","1993-06-18","2026-05-02","Per=Y","Days=T","Dir=V")</f>
        <v>0</v>
      </c>
      <c r="AA2">
        <f>BDH("ITGR US Equity","EBIT","1993-06-18","2026-05-02","Per=Y","Days=T","Dir=V")</f>
        <v>0</v>
      </c>
      <c r="AC2">
        <f>BDH("ITGR US Equity","EBITDA","1993-06-18","2026-05-02","Per=Y","Days=T","Dir=V")</f>
        <v>0</v>
      </c>
      <c r="AE2">
        <f>BDH("ITGR US Equity","NET_INCOME","1993-06-18","2026-05-02","Per=Y","Days=T","Dir=V")</f>
        <v>0</v>
      </c>
      <c r="AG2">
        <f>BDH("ITGR US Equity","IS_INT_EXPENSE","1993-06-18","2026-05-02","Per=Y","Days=T","Dir=V")</f>
        <v>0</v>
      </c>
      <c r="AI2">
        <f>BDH("ITGR US Equity","IS_DEPR_EXP","1993-06-18","2026-05-02","Per=Y","Days=T","Dir=V")</f>
        <v>0</v>
      </c>
      <c r="AK2">
        <f>BDH("ITGR US Equity","CF_CASH_FROM_OPER","1993-06-18","2026-05-02","Per=Y","Days=T","Dir=V")</f>
        <v>0</v>
      </c>
      <c r="AM2">
        <f>BDH("ITGR US Equity","CAPITAL_EXPEND","1993-06-18","2026-05-02","Per=Y","Days=T","Dir=V")</f>
        <v>0</v>
      </c>
      <c r="AO2">
        <f>BDH("ITGR US Equity","CF_FREE_CASH_FLOW","1993-06-18","2026-05-02","Per=Y","Days=T","Dir=V")</f>
        <v>0</v>
      </c>
      <c r="AQ2">
        <f>BDH("ITGR US Equity","PX_LAST","1993-06-18","2026-05-02","Per=M","Days=T","Dir=V")</f>
        <v>0</v>
      </c>
      <c r="AS2">
        <f>BDH("ITGR US Equity","CUR_MKT_CAP","1993-06-18","2026-05-02","Per=M","Days=T","Dir=V")</f>
        <v>0</v>
      </c>
      <c r="AU2">
        <f>BDH("ITGR US Equity","EQY_SH_OUT","1993-06-18","2026-05-02","Per=M","Days=T","Dir=V")</f>
        <v>0</v>
      </c>
      <c r="AW2">
        <f>BDH("ITGR US Equity","PX_VOLUME","1993-06-18","2026-05-02","Per=M","Days=T","Dir=V")</f>
        <v>0</v>
      </c>
      <c r="AY2">
        <f>BDH("ITGR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BDH("ITRI US Equity","BS_TOT_ASSET","1993-06-18","2026-05-02","Per=Y","Days=T","Dir=V")</f>
        <v>0</v>
      </c>
      <c r="C2">
        <f>BDH("ITRI US Equity","BS_TOT_LIAB2","1993-06-18","2026-05-02","Per=Y","Days=T","Dir=V")</f>
        <v>0</v>
      </c>
      <c r="E2">
        <f>BDH("ITRI US Equity","SHORT_AND_LONG_TERM_DEBT","1993-06-18","2026-05-02","Per=Y","Days=T","Dir=V")</f>
        <v>0</v>
      </c>
      <c r="G2">
        <f>BDH("ITRI US Equity","BS_ST_BORROW","1993-06-18","2026-05-02","Per=Y","Days=T","Dir=V")</f>
        <v>0</v>
      </c>
      <c r="I2">
        <f>BDH("ITRI US Equity","BS_LT_BORROW","1993-06-18","2026-05-02","Per=Y","Days=T","Dir=V")</f>
        <v>0</v>
      </c>
      <c r="K2">
        <f>BDH("ITRI US Equity","BS_CASH_NEAR_CASH_ITEM","1993-06-18","2026-05-02","Per=Y","Days=T","Dir=V")</f>
        <v>0</v>
      </c>
      <c r="M2">
        <f>BDH("ITRI US Equity","BS_CUR_ASSET_REPORT","1993-06-18","2026-05-02","Per=Y","Days=T","Dir=V")</f>
        <v>0</v>
      </c>
      <c r="O2">
        <f>BDH("ITRI US Equity","BS_CUR_LIAB","1993-06-18","2026-05-02","Per=Y","Days=T","Dir=V")</f>
        <v>0</v>
      </c>
      <c r="Q2">
        <f>BDH("ITRI US Equity","BS_SHAREHOLDER_EQY_ENDING_PERIOD","1993-06-18","2026-05-02","Per=Y","Days=T","Dir=V")</f>
        <v>0</v>
      </c>
      <c r="S2">
        <f>BDH("ITRI US Equity","BS_ACCT_NOTE_RCV","1993-06-18","2026-05-02","Per=Y","Days=T","Dir=V")</f>
        <v>0</v>
      </c>
      <c r="U2">
        <f>BDH("ITRI US Equity","BS_INVENTORIES","1993-06-18","2026-05-02","Per=Y","Days=T","Dir=V")</f>
        <v>0</v>
      </c>
      <c r="W2">
        <f>BDH("ITRI US Equity","WORKING_CAPITAL","1993-06-18","2026-05-02","Per=Y","Days=T","Dir=V")</f>
        <v>0</v>
      </c>
      <c r="Y2">
        <f>BDH("ITRI US Equity","SALES_REV_TURN","1993-06-18","2026-05-02","Per=Y","Days=T","Dir=V")</f>
        <v>0</v>
      </c>
      <c r="AA2">
        <f>BDH("ITRI US Equity","EBIT","1993-06-18","2026-05-02","Per=Y","Days=T","Dir=V")</f>
        <v>0</v>
      </c>
      <c r="AC2">
        <f>BDH("ITRI US Equity","EBITDA","1993-06-18","2026-05-02","Per=Y","Days=T","Dir=V")</f>
        <v>0</v>
      </c>
      <c r="AE2">
        <f>BDH("ITRI US Equity","NET_INCOME","1993-06-18","2026-05-02","Per=Y","Days=T","Dir=V")</f>
        <v>0</v>
      </c>
      <c r="AG2">
        <f>BDH("ITRI US Equity","IS_INT_EXPENSE","1993-06-18","2026-05-02","Per=Y","Days=T","Dir=V")</f>
        <v>0</v>
      </c>
      <c r="AI2">
        <f>BDH("ITRI US Equity","IS_DEPR_EXP","1993-06-18","2026-05-02","Per=Y","Days=T","Dir=V")</f>
        <v>0</v>
      </c>
      <c r="AK2">
        <f>BDH("ITRI US Equity","CF_CASH_FROM_OPER","1993-06-18","2026-05-02","Per=Y","Days=T","Dir=V")</f>
        <v>0</v>
      </c>
      <c r="AM2">
        <f>BDH("ITRI US Equity","CAPITAL_EXPEND","1993-06-18","2026-05-02","Per=Y","Days=T","Dir=V")</f>
        <v>0</v>
      </c>
      <c r="AO2">
        <f>BDH("ITRI US Equity","CF_FREE_CASH_FLOW","1993-06-18","2026-05-02","Per=Y","Days=T","Dir=V")</f>
        <v>0</v>
      </c>
      <c r="AQ2">
        <f>BDH("ITRI US Equity","PX_LAST","1993-06-18","2026-05-02","Per=M","Days=T","Dir=V")</f>
        <v>0</v>
      </c>
      <c r="AS2">
        <f>BDH("ITRI US Equity","CUR_MKT_CAP","1993-06-18","2026-05-02","Per=M","Days=T","Dir=V")</f>
        <v>0</v>
      </c>
      <c r="AU2">
        <f>BDH("ITRI US Equity","EQY_SH_OUT","1993-06-18","2026-05-02","Per=M","Days=T","Dir=V")</f>
        <v>0</v>
      </c>
      <c r="AW2">
        <f>BDH("ITRI US Equity","PX_VOLUME","1993-06-18","2026-05-02","Per=M","Days=T","Dir=V")</f>
        <v>0</v>
      </c>
      <c r="AY2">
        <f>BDH("ITRI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BDH("ITT US Equity","BS_TOT_ASSET","1993-06-18","2026-05-02","Per=Y","Days=T","Dir=V")</f>
        <v>0</v>
      </c>
      <c r="C2">
        <f>BDH("ITT US Equity","BS_TOT_LIAB2","1993-06-18","2026-05-02","Per=Y","Days=T","Dir=V")</f>
        <v>0</v>
      </c>
      <c r="E2">
        <f>BDH("ITT US Equity","SHORT_AND_LONG_TERM_DEBT","1993-06-18","2026-05-02","Per=Y","Days=T","Dir=V")</f>
        <v>0</v>
      </c>
      <c r="G2">
        <f>BDH("ITT US Equity","BS_ST_BORROW","1993-06-18","2026-05-02","Per=Y","Days=T","Dir=V")</f>
        <v>0</v>
      </c>
      <c r="I2">
        <f>BDH("ITT US Equity","BS_LT_BORROW","1993-06-18","2026-05-02","Per=Y","Days=T","Dir=V")</f>
        <v>0</v>
      </c>
      <c r="K2">
        <f>BDH("ITT US Equity","BS_CASH_NEAR_CASH_ITEM","1993-06-18","2026-05-02","Per=Y","Days=T","Dir=V")</f>
        <v>0</v>
      </c>
      <c r="M2">
        <f>BDH("ITT US Equity","BS_CUR_ASSET_REPORT","1993-06-18","2026-05-02","Per=Y","Days=T","Dir=V")</f>
        <v>0</v>
      </c>
      <c r="O2">
        <f>BDH("ITT US Equity","BS_CUR_LIAB","1993-06-18","2026-05-02","Per=Y","Days=T","Dir=V")</f>
        <v>0</v>
      </c>
      <c r="Q2">
        <f>BDH("ITT US Equity","BS_SHAREHOLDER_EQY_ENDING_PERIOD","1993-06-18","2026-05-02","Per=Y","Days=T","Dir=V")</f>
        <v>0</v>
      </c>
      <c r="S2">
        <f>BDH("ITT US Equity","BS_ACCT_NOTE_RCV","1993-06-18","2026-05-02","Per=Y","Days=T","Dir=V")</f>
        <v>0</v>
      </c>
      <c r="U2">
        <f>BDH("ITT US Equity","BS_INVENTORIES","1993-06-18","2026-05-02","Per=Y","Days=T","Dir=V")</f>
        <v>0</v>
      </c>
      <c r="W2">
        <f>BDH("ITT US Equity","WORKING_CAPITAL","1993-06-18","2026-05-02","Per=Y","Days=T","Dir=V")</f>
        <v>0</v>
      </c>
      <c r="Y2">
        <f>BDH("ITT US Equity","SALES_REV_TURN","1993-06-18","2026-05-02","Per=Y","Days=T","Dir=V")</f>
        <v>0</v>
      </c>
      <c r="AA2">
        <f>BDH("ITT US Equity","EBIT","1993-06-18","2026-05-02","Per=Y","Days=T","Dir=V")</f>
        <v>0</v>
      </c>
      <c r="AC2">
        <f>BDH("ITT US Equity","EBITDA","1993-06-18","2026-05-02","Per=Y","Days=T","Dir=V")</f>
        <v>0</v>
      </c>
      <c r="AE2">
        <f>BDH("ITT US Equity","NET_INCOME","1993-06-18","2026-05-02","Per=Y","Days=T","Dir=V")</f>
        <v>0</v>
      </c>
      <c r="AG2">
        <f>BDH("ITT US Equity","IS_INT_EXPENSE","1993-06-18","2026-05-02","Per=Y","Days=T","Dir=V")</f>
        <v>0</v>
      </c>
      <c r="AI2">
        <f>BDH("ITT US Equity","IS_DEPR_EXP","1993-06-18","2026-05-02","Per=Y","Days=T","Dir=V")</f>
        <v>0</v>
      </c>
      <c r="AK2">
        <f>BDH("ITT US Equity","CF_CASH_FROM_OPER","1993-06-18","2026-05-02","Per=Y","Days=T","Dir=V")</f>
        <v>0</v>
      </c>
      <c r="AM2">
        <f>BDH("ITT US Equity","CAPITAL_EXPEND","1993-06-18","2026-05-02","Per=Y","Days=T","Dir=V")</f>
        <v>0</v>
      </c>
      <c r="AO2">
        <f>BDH("ITT US Equity","CF_FREE_CASH_FLOW","1993-06-18","2026-05-02","Per=Y","Days=T","Dir=V")</f>
        <v>0</v>
      </c>
      <c r="AQ2">
        <f>BDH("ITT US Equity","PX_LAST","1993-06-18","2026-05-02","Per=M","Days=T","Dir=V")</f>
        <v>0</v>
      </c>
      <c r="AS2">
        <f>BDH("ITT US Equity","CUR_MKT_CAP","1993-06-18","2026-05-02","Per=M","Days=T","Dir=V")</f>
        <v>0</v>
      </c>
      <c r="AU2">
        <f>BDH("ITT US Equity","EQY_SH_OUT","1993-06-18","2026-05-02","Per=M","Days=T","Dir=V")</f>
        <v>0</v>
      </c>
      <c r="AW2">
        <f>BDH("ITT US Equity","PX_VOLUME","1993-06-18","2026-05-02","Per=M","Days=T","Dir=V")</f>
        <v>0</v>
      </c>
      <c r="AY2">
        <f>BDH("ITT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BDH("ITW US Equity","BS_TOT_ASSET","1993-06-18","2026-05-02","Per=Y","Days=T","Dir=V")</f>
        <v>0</v>
      </c>
      <c r="C2">
        <f>BDH("ITW US Equity","BS_TOT_LIAB2","1993-06-18","2026-05-02","Per=Y","Days=T","Dir=V")</f>
        <v>0</v>
      </c>
      <c r="E2">
        <f>BDH("ITW US Equity","SHORT_AND_LONG_TERM_DEBT","1993-06-18","2026-05-02","Per=Y","Days=T","Dir=V")</f>
        <v>0</v>
      </c>
      <c r="G2">
        <f>BDH("ITW US Equity","BS_ST_BORROW","1993-06-18","2026-05-02","Per=Y","Days=T","Dir=V")</f>
        <v>0</v>
      </c>
      <c r="I2">
        <f>BDH("ITW US Equity","BS_LT_BORROW","1993-06-18","2026-05-02","Per=Y","Days=T","Dir=V")</f>
        <v>0</v>
      </c>
      <c r="K2">
        <f>BDH("ITW US Equity","BS_CASH_NEAR_CASH_ITEM","1993-06-18","2026-05-02","Per=Y","Days=T","Dir=V")</f>
        <v>0</v>
      </c>
      <c r="M2">
        <f>BDH("ITW US Equity","BS_CUR_ASSET_REPORT","1993-06-18","2026-05-02","Per=Y","Days=T","Dir=V")</f>
        <v>0</v>
      </c>
      <c r="O2">
        <f>BDH("ITW US Equity","BS_CUR_LIAB","1993-06-18","2026-05-02","Per=Y","Days=T","Dir=V")</f>
        <v>0</v>
      </c>
      <c r="Q2">
        <f>BDH("ITW US Equity","BS_SHAREHOLDER_EQY_ENDING_PERIOD","1993-06-18","2026-05-02","Per=Y","Days=T","Dir=V")</f>
        <v>0</v>
      </c>
      <c r="S2">
        <f>BDH("ITW US Equity","BS_ACCT_NOTE_RCV","1993-06-18","2026-05-02","Per=Y","Days=T","Dir=V")</f>
        <v>0</v>
      </c>
      <c r="U2">
        <f>BDH("ITW US Equity","BS_INVENTORIES","1993-06-18","2026-05-02","Per=Y","Days=T","Dir=V")</f>
        <v>0</v>
      </c>
      <c r="W2">
        <f>BDH("ITW US Equity","WORKING_CAPITAL","1993-06-18","2026-05-02","Per=Y","Days=T","Dir=V")</f>
        <v>0</v>
      </c>
      <c r="Y2">
        <f>BDH("ITW US Equity","SALES_REV_TURN","1993-06-18","2026-05-02","Per=Y","Days=T","Dir=V")</f>
        <v>0</v>
      </c>
      <c r="AA2">
        <f>BDH("ITW US Equity","EBIT","1993-06-18","2026-05-02","Per=Y","Days=T","Dir=V")</f>
        <v>0</v>
      </c>
      <c r="AC2">
        <f>BDH("ITW US Equity","EBITDA","1993-06-18","2026-05-02","Per=Y","Days=T","Dir=V")</f>
        <v>0</v>
      </c>
      <c r="AE2">
        <f>BDH("ITW US Equity","NET_INCOME","1993-06-18","2026-05-02","Per=Y","Days=T","Dir=V")</f>
        <v>0</v>
      </c>
      <c r="AG2">
        <f>BDH("ITW US Equity","IS_INT_EXPENSE","1993-06-18","2026-05-02","Per=Y","Days=T","Dir=V")</f>
        <v>0</v>
      </c>
      <c r="AI2">
        <f>BDH("ITW US Equity","IS_DEPR_EXP","1993-06-18","2026-05-02","Per=Y","Days=T","Dir=V")</f>
        <v>0</v>
      </c>
      <c r="AK2">
        <f>BDH("ITW US Equity","CF_CASH_FROM_OPER","1993-06-18","2026-05-02","Per=Y","Days=T","Dir=V")</f>
        <v>0</v>
      </c>
      <c r="AM2">
        <f>BDH("ITW US Equity","CAPITAL_EXPEND","1993-06-18","2026-05-02","Per=Y","Days=T","Dir=V")</f>
        <v>0</v>
      </c>
      <c r="AO2">
        <f>BDH("ITW US Equity","CF_FREE_CASH_FLOW","1993-06-18","2026-05-02","Per=Y","Days=T","Dir=V")</f>
        <v>0</v>
      </c>
      <c r="AQ2">
        <f>BDH("ITW US Equity","PX_LAST","1993-06-18","2026-05-02","Per=M","Days=T","Dir=V")</f>
        <v>0</v>
      </c>
      <c r="AS2">
        <f>BDH("ITW US Equity","CUR_MKT_CAP","1993-06-18","2026-05-02","Per=M","Days=T","Dir=V")</f>
        <v>0</v>
      </c>
      <c r="AU2">
        <f>BDH("ITW US Equity","EQY_SH_OUT","1993-06-18","2026-05-02","Per=M","Days=T","Dir=V")</f>
        <v>0</v>
      </c>
      <c r="AW2">
        <f>BDH("ITW US Equity","PX_VOLUME","1993-06-18","2026-05-02","Per=M","Days=T","Dir=V")</f>
        <v>0</v>
      </c>
      <c r="AY2">
        <f>BDH("ITW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BDH("IVDA US Equity","BS_TOT_ASSET","1993-06-18","2026-05-02","Per=Y","Days=T","Dir=V")</f>
        <v>0</v>
      </c>
      <c r="C2">
        <f>BDH("IVDA US Equity","BS_TOT_LIAB2","1993-06-18","2026-05-02","Per=Y","Days=T","Dir=V")</f>
        <v>0</v>
      </c>
      <c r="E2">
        <f>BDH("IVDA US Equity","SHORT_AND_LONG_TERM_DEBT","1993-06-18","2026-05-02","Per=Y","Days=T","Dir=V")</f>
        <v>0</v>
      </c>
      <c r="G2">
        <f>BDH("IVDA US Equity","BS_ST_BORROW","1993-06-18","2026-05-02","Per=Y","Days=T","Dir=V")</f>
        <v>0</v>
      </c>
      <c r="I2">
        <f>BDH("IVDA US Equity","BS_LT_BORROW","1993-06-18","2026-05-02","Per=Y","Days=T","Dir=V")</f>
        <v>0</v>
      </c>
      <c r="K2">
        <f>BDH("IVDA US Equity","BS_CASH_NEAR_CASH_ITEM","1993-06-18","2026-05-02","Per=Y","Days=T","Dir=V")</f>
        <v>0</v>
      </c>
      <c r="M2">
        <f>BDH("IVDA US Equity","BS_CUR_ASSET_REPORT","1993-06-18","2026-05-02","Per=Y","Days=T","Dir=V")</f>
        <v>0</v>
      </c>
      <c r="O2">
        <f>BDH("IVDA US Equity","BS_CUR_LIAB","1993-06-18","2026-05-02","Per=Y","Days=T","Dir=V")</f>
        <v>0</v>
      </c>
      <c r="Q2">
        <f>BDH("IVDA US Equity","BS_SHAREHOLDER_EQY_ENDING_PERIOD","1993-06-18","2026-05-02","Per=Y","Days=T","Dir=V")</f>
        <v>0</v>
      </c>
      <c r="S2">
        <f>BDH("IVDA US Equity","BS_ACCT_NOTE_RCV","1993-06-18","2026-05-02","Per=Y","Days=T","Dir=V")</f>
        <v>0</v>
      </c>
      <c r="U2">
        <f>BDH("IVDA US Equity","BS_INVENTORIES","1993-06-18","2026-05-02","Per=Y","Days=T","Dir=V")</f>
        <v>0</v>
      </c>
      <c r="W2">
        <f>BDH("IVDA US Equity","WORKING_CAPITAL","1993-06-18","2026-05-02","Per=Y","Days=T","Dir=V")</f>
        <v>0</v>
      </c>
      <c r="Y2">
        <f>BDH("IVDA US Equity","SALES_REV_TURN","1993-06-18","2026-05-02","Per=Y","Days=T","Dir=V")</f>
        <v>0</v>
      </c>
      <c r="AA2">
        <f>BDH("IVDA US Equity","EBIT","1993-06-18","2026-05-02","Per=Y","Days=T","Dir=V")</f>
        <v>0</v>
      </c>
      <c r="AC2">
        <f>BDH("IVDA US Equity","EBITDA","1993-06-18","2026-05-02","Per=Y","Days=T","Dir=V")</f>
        <v>0</v>
      </c>
      <c r="AE2">
        <f>BDH("IVDA US Equity","NET_INCOME","1993-06-18","2026-05-02","Per=Y","Days=T","Dir=V")</f>
        <v>0</v>
      </c>
      <c r="AG2">
        <f>BDH("IVDA US Equity","IS_INT_EXPENSE","1993-06-18","2026-05-02","Per=Y","Days=T","Dir=V")</f>
        <v>0</v>
      </c>
      <c r="AI2">
        <f>BDH("IVDA US Equity","IS_DEPR_EXP","1993-06-18","2026-05-02","Per=Y","Days=T","Dir=V")</f>
        <v>0</v>
      </c>
      <c r="AK2">
        <f>BDH("IVDA US Equity","CF_CASH_FROM_OPER","1993-06-18","2026-05-02","Per=Y","Days=T","Dir=V")</f>
        <v>0</v>
      </c>
      <c r="AM2">
        <f>BDH("IVDA US Equity","CAPITAL_EXPEND","1993-06-18","2026-05-02","Per=Y","Days=T","Dir=V")</f>
        <v>0</v>
      </c>
      <c r="AO2">
        <f>BDH("IVDA US Equity","CF_FREE_CASH_FLOW","1993-06-18","2026-05-02","Per=Y","Days=T","Dir=V")</f>
        <v>0</v>
      </c>
      <c r="AQ2">
        <f>BDH("IVDA US Equity","PX_LAST","1993-06-18","2026-05-02","Per=M","Days=T","Dir=V")</f>
        <v>0</v>
      </c>
      <c r="AS2">
        <f>BDH("IVDA US Equity","CUR_MKT_CAP","1993-06-18","2026-05-02","Per=M","Days=T","Dir=V")</f>
        <v>0</v>
      </c>
      <c r="AU2">
        <f>BDH("IVDA US Equity","EQY_SH_OUT","1993-06-18","2026-05-02","Per=M","Days=T","Dir=V")</f>
        <v>0</v>
      </c>
      <c r="AW2">
        <f>BDH("IVDA US Equity","PX_VOLUME","1993-06-18","2026-05-02","Per=M","Days=T","Dir=V")</f>
        <v>0</v>
      </c>
      <c r="AY2">
        <f>BDH("IVDA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BDH("IVDAW US Equity","BS_TOT_ASSET","1993-06-18","2026-05-02","Per=Y","Days=T","Dir=V")</f>
        <v>0</v>
      </c>
      <c r="C2">
        <f>BDH("IVDAW US Equity","BS_TOT_LIAB2","1993-06-18","2026-05-02","Per=Y","Days=T","Dir=V")</f>
        <v>0</v>
      </c>
      <c r="E2">
        <f>BDH("IVDAW US Equity","SHORT_AND_LONG_TERM_DEBT","1993-06-18","2026-05-02","Per=Y","Days=T","Dir=V")</f>
        <v>0</v>
      </c>
      <c r="G2">
        <f>BDH("IVDAW US Equity","BS_ST_BORROW","1993-06-18","2026-05-02","Per=Y","Days=T","Dir=V")</f>
        <v>0</v>
      </c>
      <c r="I2">
        <f>BDH("IVDAW US Equity","BS_LT_BORROW","1993-06-18","2026-05-02","Per=Y","Days=T","Dir=V")</f>
        <v>0</v>
      </c>
      <c r="K2">
        <f>BDH("IVDAW US Equity","BS_CASH_NEAR_CASH_ITEM","1993-06-18","2026-05-02","Per=Y","Days=T","Dir=V")</f>
        <v>0</v>
      </c>
      <c r="M2">
        <f>BDH("IVDAW US Equity","BS_CUR_ASSET_REPORT","1993-06-18","2026-05-02","Per=Y","Days=T","Dir=V")</f>
        <v>0</v>
      </c>
      <c r="O2">
        <f>BDH("IVDAW US Equity","BS_CUR_LIAB","1993-06-18","2026-05-02","Per=Y","Days=T","Dir=V")</f>
        <v>0</v>
      </c>
      <c r="Q2">
        <f>BDH("IVDAW US Equity","BS_SHAREHOLDER_EQY_ENDING_PERIOD","1993-06-18","2026-05-02","Per=Y","Days=T","Dir=V")</f>
        <v>0</v>
      </c>
      <c r="S2">
        <f>BDH("IVDAW US Equity","BS_ACCT_NOTE_RCV","1993-06-18","2026-05-02","Per=Y","Days=T","Dir=V")</f>
        <v>0</v>
      </c>
      <c r="U2">
        <f>BDH("IVDAW US Equity","BS_INVENTORIES","1993-06-18","2026-05-02","Per=Y","Days=T","Dir=V")</f>
        <v>0</v>
      </c>
      <c r="W2">
        <f>BDH("IVDAW US Equity","WORKING_CAPITAL","1993-06-18","2026-05-02","Per=Y","Days=T","Dir=V")</f>
        <v>0</v>
      </c>
      <c r="Y2">
        <f>BDH("IVDAW US Equity","SALES_REV_TURN","1993-06-18","2026-05-02","Per=Y","Days=T","Dir=V")</f>
        <v>0</v>
      </c>
      <c r="AA2">
        <f>BDH("IVDAW US Equity","EBIT","1993-06-18","2026-05-02","Per=Y","Days=T","Dir=V")</f>
        <v>0</v>
      </c>
      <c r="AC2">
        <f>BDH("IVDAW US Equity","EBITDA","1993-06-18","2026-05-02","Per=Y","Days=T","Dir=V")</f>
        <v>0</v>
      </c>
      <c r="AE2">
        <f>BDH("IVDAW US Equity","NET_INCOME","1993-06-18","2026-05-02","Per=Y","Days=T","Dir=V")</f>
        <v>0</v>
      </c>
      <c r="AG2">
        <f>BDH("IVDAW US Equity","IS_INT_EXPENSE","1993-06-18","2026-05-02","Per=Y","Days=T","Dir=V")</f>
        <v>0</v>
      </c>
      <c r="AI2">
        <f>BDH("IVDAW US Equity","IS_DEPR_EXP","1993-06-18","2026-05-02","Per=Y","Days=T","Dir=V")</f>
        <v>0</v>
      </c>
      <c r="AK2">
        <f>BDH("IVDAW US Equity","CF_CASH_FROM_OPER","1993-06-18","2026-05-02","Per=Y","Days=T","Dir=V")</f>
        <v>0</v>
      </c>
      <c r="AM2">
        <f>BDH("IVDAW US Equity","CAPITAL_EXPEND","1993-06-18","2026-05-02","Per=Y","Days=T","Dir=V")</f>
        <v>0</v>
      </c>
      <c r="AO2">
        <f>BDH("IVDAW US Equity","CF_FREE_CASH_FLOW","1993-06-18","2026-05-02","Per=Y","Days=T","Dir=V")</f>
        <v>0</v>
      </c>
      <c r="AQ2">
        <f>BDH("IVDAW US Equity","PX_LAST","1993-06-18","2026-05-02","Per=M","Days=T","Dir=V")</f>
        <v>0</v>
      </c>
      <c r="AS2">
        <f>BDH("IVDAW US Equity","CUR_MKT_CAP","1993-06-18","2026-05-02","Per=M","Days=T","Dir=V")</f>
        <v>0</v>
      </c>
      <c r="AU2">
        <f>BDH("IVDAW US Equity","EQY_SH_OUT","1993-06-18","2026-05-02","Per=M","Days=T","Dir=V")</f>
        <v>0</v>
      </c>
      <c r="AW2">
        <f>BDH("IVDAW US Equity","PX_VOLUME","1993-06-18","2026-05-02","Per=M","Days=T","Dir=V")</f>
        <v>0</v>
      </c>
      <c r="AY2">
        <f>BDH("IVDAW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BDH("IVF US Equity","BS_TOT_ASSET","1993-06-18","2026-05-02","Per=Y","Days=T","Dir=V")</f>
        <v>0</v>
      </c>
      <c r="C2">
        <f>BDH("IVF US Equity","BS_TOT_LIAB2","1993-06-18","2026-05-02","Per=Y","Days=T","Dir=V")</f>
        <v>0</v>
      </c>
      <c r="E2">
        <f>BDH("IVF US Equity","SHORT_AND_LONG_TERM_DEBT","1993-06-18","2026-05-02","Per=Y","Days=T","Dir=V")</f>
        <v>0</v>
      </c>
      <c r="G2">
        <f>BDH("IVF US Equity","BS_ST_BORROW","1993-06-18","2026-05-02","Per=Y","Days=T","Dir=V")</f>
        <v>0</v>
      </c>
      <c r="I2">
        <f>BDH("IVF US Equity","BS_LT_BORROW","1993-06-18","2026-05-02","Per=Y","Days=T","Dir=V")</f>
        <v>0</v>
      </c>
      <c r="K2">
        <f>BDH("IVF US Equity","BS_CASH_NEAR_CASH_ITEM","1993-06-18","2026-05-02","Per=Y","Days=T","Dir=V")</f>
        <v>0</v>
      </c>
      <c r="M2">
        <f>BDH("IVF US Equity","BS_CUR_ASSET_REPORT","1993-06-18","2026-05-02","Per=Y","Days=T","Dir=V")</f>
        <v>0</v>
      </c>
      <c r="O2">
        <f>BDH("IVF US Equity","BS_CUR_LIAB","1993-06-18","2026-05-02","Per=Y","Days=T","Dir=V")</f>
        <v>0</v>
      </c>
      <c r="Q2">
        <f>BDH("IVF US Equity","BS_SHAREHOLDER_EQY_ENDING_PERIOD","1993-06-18","2026-05-02","Per=Y","Days=T","Dir=V")</f>
        <v>0</v>
      </c>
      <c r="S2">
        <f>BDH("IVF US Equity","BS_ACCT_NOTE_RCV","1993-06-18","2026-05-02","Per=Y","Days=T","Dir=V")</f>
        <v>0</v>
      </c>
      <c r="U2">
        <f>BDH("IVF US Equity","BS_INVENTORIES","1993-06-18","2026-05-02","Per=Y","Days=T","Dir=V")</f>
        <v>0</v>
      </c>
      <c r="W2">
        <f>BDH("IVF US Equity","WORKING_CAPITAL","1993-06-18","2026-05-02","Per=Y","Days=T","Dir=V")</f>
        <v>0</v>
      </c>
      <c r="Y2">
        <f>BDH("IVF US Equity","SALES_REV_TURN","1993-06-18","2026-05-02","Per=Y","Days=T","Dir=V")</f>
        <v>0</v>
      </c>
      <c r="AA2">
        <f>BDH("IVF US Equity","EBIT","1993-06-18","2026-05-02","Per=Y","Days=T","Dir=V")</f>
        <v>0</v>
      </c>
      <c r="AC2">
        <f>BDH("IVF US Equity","EBITDA","1993-06-18","2026-05-02","Per=Y","Days=T","Dir=V")</f>
        <v>0</v>
      </c>
      <c r="AE2">
        <f>BDH("IVF US Equity","NET_INCOME","1993-06-18","2026-05-02","Per=Y","Days=T","Dir=V")</f>
        <v>0</v>
      </c>
      <c r="AG2">
        <f>BDH("IVF US Equity","IS_INT_EXPENSE","1993-06-18","2026-05-02","Per=Y","Days=T","Dir=V")</f>
        <v>0</v>
      </c>
      <c r="AI2">
        <f>BDH("IVF US Equity","IS_DEPR_EXP","1993-06-18","2026-05-02","Per=Y","Days=T","Dir=V")</f>
        <v>0</v>
      </c>
      <c r="AK2">
        <f>BDH("IVF US Equity","CF_CASH_FROM_OPER","1993-06-18","2026-05-02","Per=Y","Days=T","Dir=V")</f>
        <v>0</v>
      </c>
      <c r="AM2">
        <f>BDH("IVF US Equity","CAPITAL_EXPEND","1993-06-18","2026-05-02","Per=Y","Days=T","Dir=V")</f>
        <v>0</v>
      </c>
      <c r="AO2">
        <f>BDH("IVF US Equity","CF_FREE_CASH_FLOW","1993-06-18","2026-05-02","Per=Y","Days=T","Dir=V")</f>
        <v>0</v>
      </c>
      <c r="AQ2">
        <f>BDH("IVF US Equity","PX_LAST","1993-06-18","2026-05-02","Per=M","Days=T","Dir=V")</f>
        <v>0</v>
      </c>
      <c r="AS2">
        <f>BDH("IVF US Equity","CUR_MKT_CAP","1993-06-18","2026-05-02","Per=M","Days=T","Dir=V")</f>
        <v>0</v>
      </c>
      <c r="AU2">
        <f>BDH("IVF US Equity","EQY_SH_OUT","1993-06-18","2026-05-02","Per=M","Days=T","Dir=V")</f>
        <v>0</v>
      </c>
      <c r="AW2">
        <f>BDH("IVF US Equity","PX_VOLUME","1993-06-18","2026-05-02","Per=M","Days=T","Dir=V")</f>
        <v>0</v>
      </c>
      <c r="AY2">
        <f>BDH("IVF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BDH("IVVD US Equity","BS_TOT_ASSET","1993-06-18","2026-05-02","Per=Y","Days=T","Dir=V")</f>
        <v>0</v>
      </c>
      <c r="C2">
        <f>BDH("IVVD US Equity","BS_TOT_LIAB2","1993-06-18","2026-05-02","Per=Y","Days=T","Dir=V")</f>
        <v>0</v>
      </c>
      <c r="E2">
        <f>BDH("IVVD US Equity","SHORT_AND_LONG_TERM_DEBT","1993-06-18","2026-05-02","Per=Y","Days=T","Dir=V")</f>
        <v>0</v>
      </c>
      <c r="G2">
        <f>BDH("IVVD US Equity","BS_ST_BORROW","1993-06-18","2026-05-02","Per=Y","Days=T","Dir=V")</f>
        <v>0</v>
      </c>
      <c r="I2">
        <f>BDH("IVVD US Equity","BS_LT_BORROW","1993-06-18","2026-05-02","Per=Y","Days=T","Dir=V")</f>
        <v>0</v>
      </c>
      <c r="K2">
        <f>BDH("IVVD US Equity","BS_CASH_NEAR_CASH_ITEM","1993-06-18","2026-05-02","Per=Y","Days=T","Dir=V")</f>
        <v>0</v>
      </c>
      <c r="M2">
        <f>BDH("IVVD US Equity","BS_CUR_ASSET_REPORT","1993-06-18","2026-05-02","Per=Y","Days=T","Dir=V")</f>
        <v>0</v>
      </c>
      <c r="O2">
        <f>BDH("IVVD US Equity","BS_CUR_LIAB","1993-06-18","2026-05-02","Per=Y","Days=T","Dir=V")</f>
        <v>0</v>
      </c>
      <c r="Q2">
        <f>BDH("IVVD US Equity","BS_SHAREHOLDER_EQY_ENDING_PERIOD","1993-06-18","2026-05-02","Per=Y","Days=T","Dir=V")</f>
        <v>0</v>
      </c>
      <c r="S2">
        <f>BDH("IVVD US Equity","BS_ACCT_NOTE_RCV","1993-06-18","2026-05-02","Per=Y","Days=T","Dir=V")</f>
        <v>0</v>
      </c>
      <c r="U2">
        <f>BDH("IVVD US Equity","BS_INVENTORIES","1993-06-18","2026-05-02","Per=Y","Days=T","Dir=V")</f>
        <v>0</v>
      </c>
      <c r="W2">
        <f>BDH("IVVD US Equity","WORKING_CAPITAL","1993-06-18","2026-05-02","Per=Y","Days=T","Dir=V")</f>
        <v>0</v>
      </c>
      <c r="Y2">
        <f>BDH("IVVD US Equity","SALES_REV_TURN","1993-06-18","2026-05-02","Per=Y","Days=T","Dir=V")</f>
        <v>0</v>
      </c>
      <c r="AA2">
        <f>BDH("IVVD US Equity","EBIT","1993-06-18","2026-05-02","Per=Y","Days=T","Dir=V")</f>
        <v>0</v>
      </c>
      <c r="AC2">
        <f>BDH("IVVD US Equity","EBITDA","1993-06-18","2026-05-02","Per=Y","Days=T","Dir=V")</f>
        <v>0</v>
      </c>
      <c r="AE2">
        <f>BDH("IVVD US Equity","NET_INCOME","1993-06-18","2026-05-02","Per=Y","Days=T","Dir=V")</f>
        <v>0</v>
      </c>
      <c r="AG2">
        <f>BDH("IVVD US Equity","IS_INT_EXPENSE","1993-06-18","2026-05-02","Per=Y","Days=T","Dir=V")</f>
        <v>0</v>
      </c>
      <c r="AI2">
        <f>BDH("IVVD US Equity","IS_DEPR_EXP","1993-06-18","2026-05-02","Per=Y","Days=T","Dir=V")</f>
        <v>0</v>
      </c>
      <c r="AK2">
        <f>BDH("IVVD US Equity","CF_CASH_FROM_OPER","1993-06-18","2026-05-02","Per=Y","Days=T","Dir=V")</f>
        <v>0</v>
      </c>
      <c r="AM2">
        <f>BDH("IVVD US Equity","CAPITAL_EXPEND","1993-06-18","2026-05-02","Per=Y","Days=T","Dir=V")</f>
        <v>0</v>
      </c>
      <c r="AO2">
        <f>BDH("IVVD US Equity","CF_FREE_CASH_FLOW","1993-06-18","2026-05-02","Per=Y","Days=T","Dir=V")</f>
        <v>0</v>
      </c>
      <c r="AQ2">
        <f>BDH("IVVD US Equity","PX_LAST","1993-06-18","2026-05-02","Per=M","Days=T","Dir=V")</f>
        <v>0</v>
      </c>
      <c r="AS2">
        <f>BDH("IVVD US Equity","CUR_MKT_CAP","1993-06-18","2026-05-02","Per=M","Days=T","Dir=V")</f>
        <v>0</v>
      </c>
      <c r="AU2">
        <f>BDH("IVVD US Equity","EQY_SH_OUT","1993-06-18","2026-05-02","Per=M","Days=T","Dir=V")</f>
        <v>0</v>
      </c>
      <c r="AW2">
        <f>BDH("IVVD US Equity","PX_VOLUME","1993-06-18","2026-05-02","Per=M","Days=T","Dir=V")</f>
        <v>0</v>
      </c>
      <c r="AY2">
        <f>BDH("IVVD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BDH("IZEA US Equity","BS_TOT_ASSET","1993-06-18","2026-05-02","Per=Y","Days=T","Dir=V")</f>
        <v>0</v>
      </c>
      <c r="C2">
        <f>BDH("IZEA US Equity","BS_TOT_LIAB2","1993-06-18","2026-05-02","Per=Y","Days=T","Dir=V")</f>
        <v>0</v>
      </c>
      <c r="E2">
        <f>BDH("IZEA US Equity","SHORT_AND_LONG_TERM_DEBT","1993-06-18","2026-05-02","Per=Y","Days=T","Dir=V")</f>
        <v>0</v>
      </c>
      <c r="G2">
        <f>BDH("IZEA US Equity","BS_ST_BORROW","1993-06-18","2026-05-02","Per=Y","Days=T","Dir=V")</f>
        <v>0</v>
      </c>
      <c r="I2">
        <f>BDH("IZEA US Equity","BS_LT_BORROW","1993-06-18","2026-05-02","Per=Y","Days=T","Dir=V")</f>
        <v>0</v>
      </c>
      <c r="K2">
        <f>BDH("IZEA US Equity","BS_CASH_NEAR_CASH_ITEM","1993-06-18","2026-05-02","Per=Y","Days=T","Dir=V")</f>
        <v>0</v>
      </c>
      <c r="M2">
        <f>BDH("IZEA US Equity","BS_CUR_ASSET_REPORT","1993-06-18","2026-05-02","Per=Y","Days=T","Dir=V")</f>
        <v>0</v>
      </c>
      <c r="O2">
        <f>BDH("IZEA US Equity","BS_CUR_LIAB","1993-06-18","2026-05-02","Per=Y","Days=T","Dir=V")</f>
        <v>0</v>
      </c>
      <c r="Q2">
        <f>BDH("IZEA US Equity","BS_SHAREHOLDER_EQY_ENDING_PERIOD","1993-06-18","2026-05-02","Per=Y","Days=T","Dir=V")</f>
        <v>0</v>
      </c>
      <c r="S2">
        <f>BDH("IZEA US Equity","BS_ACCT_NOTE_RCV","1993-06-18","2026-05-02","Per=Y","Days=T","Dir=V")</f>
        <v>0</v>
      </c>
      <c r="U2">
        <f>BDH("IZEA US Equity","BS_INVENTORIES","1993-06-18","2026-05-02","Per=Y","Days=T","Dir=V")</f>
        <v>0</v>
      </c>
      <c r="W2">
        <f>BDH("IZEA US Equity","WORKING_CAPITAL","1993-06-18","2026-05-02","Per=Y","Days=T","Dir=V")</f>
        <v>0</v>
      </c>
      <c r="Y2">
        <f>BDH("IZEA US Equity","SALES_REV_TURN","1993-06-18","2026-05-02","Per=Y","Days=T","Dir=V")</f>
        <v>0</v>
      </c>
      <c r="AA2">
        <f>BDH("IZEA US Equity","EBIT","1993-06-18","2026-05-02","Per=Y","Days=T","Dir=V")</f>
        <v>0</v>
      </c>
      <c r="AC2">
        <f>BDH("IZEA US Equity","EBITDA","1993-06-18","2026-05-02","Per=Y","Days=T","Dir=V")</f>
        <v>0</v>
      </c>
      <c r="AE2">
        <f>BDH("IZEA US Equity","NET_INCOME","1993-06-18","2026-05-02","Per=Y","Days=T","Dir=V")</f>
        <v>0</v>
      </c>
      <c r="AG2">
        <f>BDH("IZEA US Equity","IS_INT_EXPENSE","1993-06-18","2026-05-02","Per=Y","Days=T","Dir=V")</f>
        <v>0</v>
      </c>
      <c r="AI2">
        <f>BDH("IZEA US Equity","IS_DEPR_EXP","1993-06-18","2026-05-02","Per=Y","Days=T","Dir=V")</f>
        <v>0</v>
      </c>
      <c r="AK2">
        <f>BDH("IZEA US Equity","CF_CASH_FROM_OPER","1993-06-18","2026-05-02","Per=Y","Days=T","Dir=V")</f>
        <v>0</v>
      </c>
      <c r="AM2">
        <f>BDH("IZEA US Equity","CAPITAL_EXPEND","1993-06-18","2026-05-02","Per=Y","Days=T","Dir=V")</f>
        <v>0</v>
      </c>
      <c r="AO2">
        <f>BDH("IZEA US Equity","CF_FREE_CASH_FLOW","1993-06-18","2026-05-02","Per=Y","Days=T","Dir=V")</f>
        <v>0</v>
      </c>
      <c r="AQ2">
        <f>BDH("IZEA US Equity","PX_LAST","1993-06-18","2026-05-02","Per=M","Days=T","Dir=V")</f>
        <v>0</v>
      </c>
      <c r="AS2">
        <f>BDH("IZEA US Equity","CUR_MKT_CAP","1993-06-18","2026-05-02","Per=M","Days=T","Dir=V")</f>
        <v>0</v>
      </c>
      <c r="AU2">
        <f>BDH("IZEA US Equity","EQY_SH_OUT","1993-06-18","2026-05-02","Per=M","Days=T","Dir=V")</f>
        <v>0</v>
      </c>
      <c r="AW2">
        <f>BDH("IZEA US Equity","PX_VOLUME","1993-06-18","2026-05-02","Per=M","Days=T","Dir=V")</f>
        <v>0</v>
      </c>
      <c r="AY2">
        <f>BDH("IZEA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 US Equity","BS_TOT_ASSET","1993-06-18","2026-05-02","Per=Y","Days=T","Dir=V")</f>
        <v>0</v>
      </c>
      <c r="C2">
        <f>BDH("J US Equity","BS_TOT_LIAB2","1993-06-18","2026-05-02","Per=Y","Days=T","Dir=V")</f>
        <v>0</v>
      </c>
      <c r="E2">
        <f>BDH("J US Equity","SHORT_AND_LONG_TERM_DEBT","1993-06-18","2026-05-02","Per=Y","Days=T","Dir=V")</f>
        <v>0</v>
      </c>
      <c r="G2">
        <f>BDH("J US Equity","BS_ST_BORROW","1993-06-18","2026-05-02","Per=Y","Days=T","Dir=V")</f>
        <v>0</v>
      </c>
      <c r="I2">
        <f>BDH("J US Equity","BS_LT_BORROW","1993-06-18","2026-05-02","Per=Y","Days=T","Dir=V")</f>
        <v>0</v>
      </c>
      <c r="K2">
        <f>BDH("J US Equity","BS_CASH_NEAR_CASH_ITEM","1993-06-18","2026-05-02","Per=Y","Days=T","Dir=V")</f>
        <v>0</v>
      </c>
      <c r="M2">
        <f>BDH("J US Equity","BS_CUR_ASSET_REPORT","1993-06-18","2026-05-02","Per=Y","Days=T","Dir=V")</f>
        <v>0</v>
      </c>
      <c r="O2">
        <f>BDH("J US Equity","BS_CUR_LIAB","1993-06-18","2026-05-02","Per=Y","Days=T","Dir=V")</f>
        <v>0</v>
      </c>
      <c r="Q2">
        <f>BDH("J US Equity","BS_SHAREHOLDER_EQY_ENDING_PERIOD","1993-06-18","2026-05-02","Per=Y","Days=T","Dir=V")</f>
        <v>0</v>
      </c>
      <c r="S2">
        <f>BDH("J US Equity","BS_ACCT_NOTE_RCV","1993-06-18","2026-05-02","Per=Y","Days=T","Dir=V")</f>
        <v>0</v>
      </c>
      <c r="U2">
        <f>BDH("J US Equity","BS_INVENTORIES","1993-06-18","2026-05-02","Per=Y","Days=T","Dir=V")</f>
        <v>0</v>
      </c>
      <c r="W2">
        <f>BDH("J US Equity","WORKING_CAPITAL","1993-06-18","2026-05-02","Per=Y","Days=T","Dir=V")</f>
        <v>0</v>
      </c>
      <c r="Y2">
        <f>BDH("J US Equity","SALES_REV_TURN","1993-06-18","2026-05-02","Per=Y","Days=T","Dir=V")</f>
        <v>0</v>
      </c>
      <c r="AA2">
        <f>BDH("J US Equity","EBIT","1993-06-18","2026-05-02","Per=Y","Days=T","Dir=V")</f>
        <v>0</v>
      </c>
      <c r="AC2">
        <f>BDH("J US Equity","EBITDA","1993-06-18","2026-05-02","Per=Y","Days=T","Dir=V")</f>
        <v>0</v>
      </c>
      <c r="AE2">
        <f>BDH("J US Equity","NET_INCOME","1993-06-18","2026-05-02","Per=Y","Days=T","Dir=V")</f>
        <v>0</v>
      </c>
      <c r="AG2">
        <f>BDH("J US Equity","IS_INT_EXPENSE","1993-06-18","2026-05-02","Per=Y","Days=T","Dir=V")</f>
        <v>0</v>
      </c>
      <c r="AI2">
        <f>BDH("J US Equity","IS_DEPR_EXP","1993-06-18","2026-05-02","Per=Y","Days=T","Dir=V")</f>
        <v>0</v>
      </c>
      <c r="AK2">
        <f>BDH("J US Equity","CF_CASH_FROM_OPER","1993-06-18","2026-05-02","Per=Y","Days=T","Dir=V")</f>
        <v>0</v>
      </c>
      <c r="AM2">
        <f>BDH("J US Equity","CAPITAL_EXPEND","1993-06-18","2026-05-02","Per=Y","Days=T","Dir=V")</f>
        <v>0</v>
      </c>
      <c r="AO2">
        <f>BDH("J US Equity","CF_FREE_CASH_FLOW","1993-06-18","2026-05-02","Per=Y","Days=T","Dir=V")</f>
        <v>0</v>
      </c>
      <c r="AQ2">
        <f>BDH("J US Equity","PX_LAST","1993-06-18","2026-05-02","Per=M","Days=T","Dir=V")</f>
        <v>0</v>
      </c>
      <c r="AS2">
        <f>BDH("J US Equity","CUR_MKT_CAP","1993-06-18","2026-05-02","Per=M","Days=T","Dir=V")</f>
        <v>0</v>
      </c>
      <c r="AU2">
        <f>BDH("J US Equity","EQY_SH_OUT","1993-06-18","2026-05-02","Per=M","Days=T","Dir=V")</f>
        <v>0</v>
      </c>
      <c r="AW2">
        <f>BDH("J US Equity","PX_VOLUME","1993-06-18","2026-05-02","Per=M","Days=T","Dir=V")</f>
        <v>0</v>
      </c>
      <c r="AY2">
        <f>BDH("J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BDH("JACK US Equity","BS_TOT_ASSET","1993-06-18","2026-05-02","Per=Y","Days=T","Dir=V")</f>
        <v>0</v>
      </c>
      <c r="C2">
        <f>BDH("JACK US Equity","BS_TOT_LIAB2","1993-06-18","2026-05-02","Per=Y","Days=T","Dir=V")</f>
        <v>0</v>
      </c>
      <c r="E2">
        <f>BDH("JACK US Equity","SHORT_AND_LONG_TERM_DEBT","1993-06-18","2026-05-02","Per=Y","Days=T","Dir=V")</f>
        <v>0</v>
      </c>
      <c r="G2">
        <f>BDH("JACK US Equity","BS_ST_BORROW","1993-06-18","2026-05-02","Per=Y","Days=T","Dir=V")</f>
        <v>0</v>
      </c>
      <c r="I2">
        <f>BDH("JACK US Equity","BS_LT_BORROW","1993-06-18","2026-05-02","Per=Y","Days=T","Dir=V")</f>
        <v>0</v>
      </c>
      <c r="K2">
        <f>BDH("JACK US Equity","BS_CASH_NEAR_CASH_ITEM","1993-06-18","2026-05-02","Per=Y","Days=T","Dir=V")</f>
        <v>0</v>
      </c>
      <c r="M2">
        <f>BDH("JACK US Equity","BS_CUR_ASSET_REPORT","1993-06-18","2026-05-02","Per=Y","Days=T","Dir=V")</f>
        <v>0</v>
      </c>
      <c r="O2">
        <f>BDH("JACK US Equity","BS_CUR_LIAB","1993-06-18","2026-05-02","Per=Y","Days=T","Dir=V")</f>
        <v>0</v>
      </c>
      <c r="Q2">
        <f>BDH("JACK US Equity","BS_SHAREHOLDER_EQY_ENDING_PERIOD","1993-06-18","2026-05-02","Per=Y","Days=T","Dir=V")</f>
        <v>0</v>
      </c>
      <c r="S2">
        <f>BDH("JACK US Equity","BS_ACCT_NOTE_RCV","1993-06-18","2026-05-02","Per=Y","Days=T","Dir=V")</f>
        <v>0</v>
      </c>
      <c r="U2">
        <f>BDH("JACK US Equity","BS_INVENTORIES","1993-06-18","2026-05-02","Per=Y","Days=T","Dir=V")</f>
        <v>0</v>
      </c>
      <c r="W2">
        <f>BDH("JACK US Equity","WORKING_CAPITAL","1993-06-18","2026-05-02","Per=Y","Days=T","Dir=V")</f>
        <v>0</v>
      </c>
      <c r="Y2">
        <f>BDH("JACK US Equity","SALES_REV_TURN","1993-06-18","2026-05-02","Per=Y","Days=T","Dir=V")</f>
        <v>0</v>
      </c>
      <c r="AA2">
        <f>BDH("JACK US Equity","EBIT","1993-06-18","2026-05-02","Per=Y","Days=T","Dir=V")</f>
        <v>0</v>
      </c>
      <c r="AC2">
        <f>BDH("JACK US Equity","EBITDA","1993-06-18","2026-05-02","Per=Y","Days=T","Dir=V")</f>
        <v>0</v>
      </c>
      <c r="AE2">
        <f>BDH("JACK US Equity","NET_INCOME","1993-06-18","2026-05-02","Per=Y","Days=T","Dir=V")</f>
        <v>0</v>
      </c>
      <c r="AG2">
        <f>BDH("JACK US Equity","IS_INT_EXPENSE","1993-06-18","2026-05-02","Per=Y","Days=T","Dir=V")</f>
        <v>0</v>
      </c>
      <c r="AI2">
        <f>BDH("JACK US Equity","IS_DEPR_EXP","1993-06-18","2026-05-02","Per=Y","Days=T","Dir=V")</f>
        <v>0</v>
      </c>
      <c r="AK2">
        <f>BDH("JACK US Equity","CF_CASH_FROM_OPER","1993-06-18","2026-05-02","Per=Y","Days=T","Dir=V")</f>
        <v>0</v>
      </c>
      <c r="AM2">
        <f>BDH("JACK US Equity","CAPITAL_EXPEND","1993-06-18","2026-05-02","Per=Y","Days=T","Dir=V")</f>
        <v>0</v>
      </c>
      <c r="AO2">
        <f>BDH("JACK US Equity","CF_FREE_CASH_FLOW","1993-06-18","2026-05-02","Per=Y","Days=T","Dir=V")</f>
        <v>0</v>
      </c>
      <c r="AQ2">
        <f>BDH("JACK US Equity","PX_LAST","1993-06-18","2026-05-02","Per=M","Days=T","Dir=V")</f>
        <v>0</v>
      </c>
      <c r="AS2">
        <f>BDH("JACK US Equity","CUR_MKT_CAP","1993-06-18","2026-05-02","Per=M","Days=T","Dir=V")</f>
        <v>0</v>
      </c>
      <c r="AU2">
        <f>BDH("JACK US Equity","EQY_SH_OUT","1993-06-18","2026-05-02","Per=M","Days=T","Dir=V")</f>
        <v>0</v>
      </c>
      <c r="AW2">
        <f>BDH("JACK US Equity","PX_VOLUME","1993-06-18","2026-05-02","Per=M","Days=T","Dir=V")</f>
        <v>0</v>
      </c>
      <c r="AY2">
        <f>BDH("JACK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BDH("JAGX US Equity","BS_TOT_ASSET","1993-06-18","2026-05-02","Per=Y","Days=T","Dir=V")</f>
        <v>0</v>
      </c>
      <c r="C2">
        <f>BDH("JAGX US Equity","BS_TOT_LIAB2","1993-06-18","2026-05-02","Per=Y","Days=T","Dir=V")</f>
        <v>0</v>
      </c>
      <c r="E2">
        <f>BDH("JAGX US Equity","SHORT_AND_LONG_TERM_DEBT","1993-06-18","2026-05-02","Per=Y","Days=T","Dir=V")</f>
        <v>0</v>
      </c>
      <c r="G2">
        <f>BDH("JAGX US Equity","BS_ST_BORROW","1993-06-18","2026-05-02","Per=Y","Days=T","Dir=V")</f>
        <v>0</v>
      </c>
      <c r="I2">
        <f>BDH("JAGX US Equity","BS_LT_BORROW","1993-06-18","2026-05-02","Per=Y","Days=T","Dir=V")</f>
        <v>0</v>
      </c>
      <c r="K2">
        <f>BDH("JAGX US Equity","BS_CASH_NEAR_CASH_ITEM","1993-06-18","2026-05-02","Per=Y","Days=T","Dir=V")</f>
        <v>0</v>
      </c>
      <c r="M2">
        <f>BDH("JAGX US Equity","BS_CUR_ASSET_REPORT","1993-06-18","2026-05-02","Per=Y","Days=T","Dir=V")</f>
        <v>0</v>
      </c>
      <c r="O2">
        <f>BDH("JAGX US Equity","BS_CUR_LIAB","1993-06-18","2026-05-02","Per=Y","Days=T","Dir=V")</f>
        <v>0</v>
      </c>
      <c r="Q2">
        <f>BDH("JAGX US Equity","BS_SHAREHOLDER_EQY_ENDING_PERIOD","1993-06-18","2026-05-02","Per=Y","Days=T","Dir=V")</f>
        <v>0</v>
      </c>
      <c r="S2">
        <f>BDH("JAGX US Equity","BS_ACCT_NOTE_RCV","1993-06-18","2026-05-02","Per=Y","Days=T","Dir=V")</f>
        <v>0</v>
      </c>
      <c r="U2">
        <f>BDH("JAGX US Equity","BS_INVENTORIES","1993-06-18","2026-05-02","Per=Y","Days=T","Dir=V")</f>
        <v>0</v>
      </c>
      <c r="W2">
        <f>BDH("JAGX US Equity","WORKING_CAPITAL","1993-06-18","2026-05-02","Per=Y","Days=T","Dir=V")</f>
        <v>0</v>
      </c>
      <c r="Y2">
        <f>BDH("JAGX US Equity","SALES_REV_TURN","1993-06-18","2026-05-02","Per=Y","Days=T","Dir=V")</f>
        <v>0</v>
      </c>
      <c r="AA2">
        <f>BDH("JAGX US Equity","EBIT","1993-06-18","2026-05-02","Per=Y","Days=T","Dir=V")</f>
        <v>0</v>
      </c>
      <c r="AC2">
        <f>BDH("JAGX US Equity","EBITDA","1993-06-18","2026-05-02","Per=Y","Days=T","Dir=V")</f>
        <v>0</v>
      </c>
      <c r="AE2">
        <f>BDH("JAGX US Equity","NET_INCOME","1993-06-18","2026-05-02","Per=Y","Days=T","Dir=V")</f>
        <v>0</v>
      </c>
      <c r="AG2">
        <f>BDH("JAGX US Equity","IS_INT_EXPENSE","1993-06-18","2026-05-02","Per=Y","Days=T","Dir=V")</f>
        <v>0</v>
      </c>
      <c r="AI2">
        <f>BDH("JAGX US Equity","IS_DEPR_EXP","1993-06-18","2026-05-02","Per=Y","Days=T","Dir=V")</f>
        <v>0</v>
      </c>
      <c r="AK2">
        <f>BDH("JAGX US Equity","CF_CASH_FROM_OPER","1993-06-18","2026-05-02","Per=Y","Days=T","Dir=V")</f>
        <v>0</v>
      </c>
      <c r="AM2">
        <f>BDH("JAGX US Equity","CAPITAL_EXPEND","1993-06-18","2026-05-02","Per=Y","Days=T","Dir=V")</f>
        <v>0</v>
      </c>
      <c r="AO2">
        <f>BDH("JAGX US Equity","CF_FREE_CASH_FLOW","1993-06-18","2026-05-02","Per=Y","Days=T","Dir=V")</f>
        <v>0</v>
      </c>
      <c r="AQ2">
        <f>BDH("JAGX US Equity","PX_LAST","1993-06-18","2026-05-02","Per=M","Days=T","Dir=V")</f>
        <v>0</v>
      </c>
      <c r="AS2">
        <f>BDH("JAGX US Equity","CUR_MKT_CAP","1993-06-18","2026-05-02","Per=M","Days=T","Dir=V")</f>
        <v>0</v>
      </c>
      <c r="AU2">
        <f>BDH("JAGX US Equity","EQY_SH_OUT","1993-06-18","2026-05-02","Per=M","Days=T","Dir=V")</f>
        <v>0</v>
      </c>
      <c r="AW2">
        <f>BDH("JAGX US Equity","PX_VOLUME","1993-06-18","2026-05-02","Per=M","Days=T","Dir=V")</f>
        <v>0</v>
      </c>
      <c r="AY2">
        <f>BDH("JAGX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BDH("JAKK US Equity","BS_TOT_ASSET","1993-06-18","2026-05-02","Per=Y","Days=T","Dir=V")</f>
        <v>0</v>
      </c>
      <c r="C2">
        <f>BDH("JAKK US Equity","BS_TOT_LIAB2","1993-06-18","2026-05-02","Per=Y","Days=T","Dir=V")</f>
        <v>0</v>
      </c>
      <c r="E2">
        <f>BDH("JAKK US Equity","SHORT_AND_LONG_TERM_DEBT","1993-06-18","2026-05-02","Per=Y","Days=T","Dir=V")</f>
        <v>0</v>
      </c>
      <c r="G2">
        <f>BDH("JAKK US Equity","BS_ST_BORROW","1993-06-18","2026-05-02","Per=Y","Days=T","Dir=V")</f>
        <v>0</v>
      </c>
      <c r="I2">
        <f>BDH("JAKK US Equity","BS_LT_BORROW","1993-06-18","2026-05-02","Per=Y","Days=T","Dir=V")</f>
        <v>0</v>
      </c>
      <c r="K2">
        <f>BDH("JAKK US Equity","BS_CASH_NEAR_CASH_ITEM","1993-06-18","2026-05-02","Per=Y","Days=T","Dir=V")</f>
        <v>0</v>
      </c>
      <c r="M2">
        <f>BDH("JAKK US Equity","BS_CUR_ASSET_REPORT","1993-06-18","2026-05-02","Per=Y","Days=T","Dir=V")</f>
        <v>0</v>
      </c>
      <c r="O2">
        <f>BDH("JAKK US Equity","BS_CUR_LIAB","1993-06-18","2026-05-02","Per=Y","Days=T","Dir=V")</f>
        <v>0</v>
      </c>
      <c r="Q2">
        <f>BDH("JAKK US Equity","BS_SHAREHOLDER_EQY_ENDING_PERIOD","1993-06-18","2026-05-02","Per=Y","Days=T","Dir=V")</f>
        <v>0</v>
      </c>
      <c r="S2">
        <f>BDH("JAKK US Equity","BS_ACCT_NOTE_RCV","1993-06-18","2026-05-02","Per=Y","Days=T","Dir=V")</f>
        <v>0</v>
      </c>
      <c r="U2">
        <f>BDH("JAKK US Equity","BS_INVENTORIES","1993-06-18","2026-05-02","Per=Y","Days=T","Dir=V")</f>
        <v>0</v>
      </c>
      <c r="W2">
        <f>BDH("JAKK US Equity","WORKING_CAPITAL","1993-06-18","2026-05-02","Per=Y","Days=T","Dir=V")</f>
        <v>0</v>
      </c>
      <c r="Y2">
        <f>BDH("JAKK US Equity","SALES_REV_TURN","1993-06-18","2026-05-02","Per=Y","Days=T","Dir=V")</f>
        <v>0</v>
      </c>
      <c r="AA2">
        <f>BDH("JAKK US Equity","EBIT","1993-06-18","2026-05-02","Per=Y","Days=T","Dir=V")</f>
        <v>0</v>
      </c>
      <c r="AC2">
        <f>BDH("JAKK US Equity","EBITDA","1993-06-18","2026-05-02","Per=Y","Days=T","Dir=V")</f>
        <v>0</v>
      </c>
      <c r="AE2">
        <f>BDH("JAKK US Equity","NET_INCOME","1993-06-18","2026-05-02","Per=Y","Days=T","Dir=V")</f>
        <v>0</v>
      </c>
      <c r="AG2">
        <f>BDH("JAKK US Equity","IS_INT_EXPENSE","1993-06-18","2026-05-02","Per=Y","Days=T","Dir=V")</f>
        <v>0</v>
      </c>
      <c r="AI2">
        <f>BDH("JAKK US Equity","IS_DEPR_EXP","1993-06-18","2026-05-02","Per=Y","Days=T","Dir=V")</f>
        <v>0</v>
      </c>
      <c r="AK2">
        <f>BDH("JAKK US Equity","CF_CASH_FROM_OPER","1993-06-18","2026-05-02","Per=Y","Days=T","Dir=V")</f>
        <v>0</v>
      </c>
      <c r="AM2">
        <f>BDH("JAKK US Equity","CAPITAL_EXPEND","1993-06-18","2026-05-02","Per=Y","Days=T","Dir=V")</f>
        <v>0</v>
      </c>
      <c r="AO2">
        <f>BDH("JAKK US Equity","CF_FREE_CASH_FLOW","1993-06-18","2026-05-02","Per=Y","Days=T","Dir=V")</f>
        <v>0</v>
      </c>
      <c r="AQ2">
        <f>BDH("JAKK US Equity","PX_LAST","1993-06-18","2026-05-02","Per=M","Days=T","Dir=V")</f>
        <v>0</v>
      </c>
      <c r="AS2">
        <f>BDH("JAKK US Equity","CUR_MKT_CAP","1993-06-18","2026-05-02","Per=M","Days=T","Dir=V")</f>
        <v>0</v>
      </c>
      <c r="AU2">
        <f>BDH("JAKK US Equity","EQY_SH_OUT","1993-06-18","2026-05-02","Per=M","Days=T","Dir=V")</f>
        <v>0</v>
      </c>
      <c r="AW2">
        <f>BDH("JAKK US Equity","PX_VOLUME","1993-06-18","2026-05-02","Per=M","Days=T","Dir=V")</f>
        <v>0</v>
      </c>
      <c r="AY2">
        <f>BDH("JAKK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BDH("JANX US Equity","BS_TOT_ASSET","1993-06-18","2026-05-02","Per=Y","Days=T","Dir=V")</f>
        <v>0</v>
      </c>
      <c r="C2">
        <f>BDH("JANX US Equity","BS_TOT_LIAB2","1993-06-18","2026-05-02","Per=Y","Days=T","Dir=V")</f>
        <v>0</v>
      </c>
      <c r="E2">
        <f>BDH("JANX US Equity","SHORT_AND_LONG_TERM_DEBT","1993-06-18","2026-05-02","Per=Y","Days=T","Dir=V")</f>
        <v>0</v>
      </c>
      <c r="G2">
        <f>BDH("JANX US Equity","BS_ST_BORROW","1993-06-18","2026-05-02","Per=Y","Days=T","Dir=V")</f>
        <v>0</v>
      </c>
      <c r="I2">
        <f>BDH("JANX US Equity","BS_LT_BORROW","1993-06-18","2026-05-02","Per=Y","Days=T","Dir=V")</f>
        <v>0</v>
      </c>
      <c r="K2">
        <f>BDH("JANX US Equity","BS_CASH_NEAR_CASH_ITEM","1993-06-18","2026-05-02","Per=Y","Days=T","Dir=V")</f>
        <v>0</v>
      </c>
      <c r="M2">
        <f>BDH("JANX US Equity","BS_CUR_ASSET_REPORT","1993-06-18","2026-05-02","Per=Y","Days=T","Dir=V")</f>
        <v>0</v>
      </c>
      <c r="O2">
        <f>BDH("JANX US Equity","BS_CUR_LIAB","1993-06-18","2026-05-02","Per=Y","Days=T","Dir=V")</f>
        <v>0</v>
      </c>
      <c r="Q2">
        <f>BDH("JANX US Equity","BS_SHAREHOLDER_EQY_ENDING_PERIOD","1993-06-18","2026-05-02","Per=Y","Days=T","Dir=V")</f>
        <v>0</v>
      </c>
      <c r="S2">
        <f>BDH("JANX US Equity","BS_ACCT_NOTE_RCV","1993-06-18","2026-05-02","Per=Y","Days=T","Dir=V")</f>
        <v>0</v>
      </c>
      <c r="U2">
        <f>BDH("JANX US Equity","BS_INVENTORIES","1993-06-18","2026-05-02","Per=Y","Days=T","Dir=V")</f>
        <v>0</v>
      </c>
      <c r="W2">
        <f>BDH("JANX US Equity","WORKING_CAPITAL","1993-06-18","2026-05-02","Per=Y","Days=T","Dir=V")</f>
        <v>0</v>
      </c>
      <c r="Y2">
        <f>BDH("JANX US Equity","SALES_REV_TURN","1993-06-18","2026-05-02","Per=Y","Days=T","Dir=V")</f>
        <v>0</v>
      </c>
      <c r="AA2">
        <f>BDH("JANX US Equity","EBIT","1993-06-18","2026-05-02","Per=Y","Days=T","Dir=V")</f>
        <v>0</v>
      </c>
      <c r="AC2">
        <f>BDH("JANX US Equity","EBITDA","1993-06-18","2026-05-02","Per=Y","Days=T","Dir=V")</f>
        <v>0</v>
      </c>
      <c r="AE2">
        <f>BDH("JANX US Equity","NET_INCOME","1993-06-18","2026-05-02","Per=Y","Days=T","Dir=V")</f>
        <v>0</v>
      </c>
      <c r="AG2">
        <f>BDH("JANX US Equity","IS_INT_EXPENSE","1993-06-18","2026-05-02","Per=Y","Days=T","Dir=V")</f>
        <v>0</v>
      </c>
      <c r="AI2">
        <f>BDH("JANX US Equity","IS_DEPR_EXP","1993-06-18","2026-05-02","Per=Y","Days=T","Dir=V")</f>
        <v>0</v>
      </c>
      <c r="AK2">
        <f>BDH("JANX US Equity","CF_CASH_FROM_OPER","1993-06-18","2026-05-02","Per=Y","Days=T","Dir=V")</f>
        <v>0</v>
      </c>
      <c r="AM2">
        <f>BDH("JANX US Equity","CAPITAL_EXPEND","1993-06-18","2026-05-02","Per=Y","Days=T","Dir=V")</f>
        <v>0</v>
      </c>
      <c r="AO2">
        <f>BDH("JANX US Equity","CF_FREE_CASH_FLOW","1993-06-18","2026-05-02","Per=Y","Days=T","Dir=V")</f>
        <v>0</v>
      </c>
      <c r="AQ2">
        <f>BDH("JANX US Equity","PX_LAST","1993-06-18","2026-05-02","Per=M","Days=T","Dir=V")</f>
        <v>0</v>
      </c>
      <c r="AS2">
        <f>BDH("JANX US Equity","CUR_MKT_CAP","1993-06-18","2026-05-02","Per=M","Days=T","Dir=V")</f>
        <v>0</v>
      </c>
      <c r="AU2">
        <f>BDH("JANX US Equity","EQY_SH_OUT","1993-06-18","2026-05-02","Per=M","Days=T","Dir=V")</f>
        <v>0</v>
      </c>
      <c r="AW2">
        <f>BDH("JANX US Equity","PX_VOLUME","1993-06-18","2026-05-02","Per=M","Days=T","Dir=V")</f>
        <v>0</v>
      </c>
      <c r="AY2">
        <f>BDH("JANX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BDH("JBHT US Equity","BS_TOT_ASSET","1993-06-18","2026-05-02","Per=Y","Days=T","Dir=V")</f>
        <v>0</v>
      </c>
      <c r="C2">
        <f>BDH("JBHT US Equity","BS_TOT_LIAB2","1993-06-18","2026-05-02","Per=Y","Days=T","Dir=V")</f>
        <v>0</v>
      </c>
      <c r="E2">
        <f>BDH("JBHT US Equity","SHORT_AND_LONG_TERM_DEBT","1993-06-18","2026-05-02","Per=Y","Days=T","Dir=V")</f>
        <v>0</v>
      </c>
      <c r="G2">
        <f>BDH("JBHT US Equity","BS_ST_BORROW","1993-06-18","2026-05-02","Per=Y","Days=T","Dir=V")</f>
        <v>0</v>
      </c>
      <c r="I2">
        <f>BDH("JBHT US Equity","BS_LT_BORROW","1993-06-18","2026-05-02","Per=Y","Days=T","Dir=V")</f>
        <v>0</v>
      </c>
      <c r="K2">
        <f>BDH("JBHT US Equity","BS_CASH_NEAR_CASH_ITEM","1993-06-18","2026-05-02","Per=Y","Days=T","Dir=V")</f>
        <v>0</v>
      </c>
      <c r="M2">
        <f>BDH("JBHT US Equity","BS_CUR_ASSET_REPORT","1993-06-18","2026-05-02","Per=Y","Days=T","Dir=V")</f>
        <v>0</v>
      </c>
      <c r="O2">
        <f>BDH("JBHT US Equity","BS_CUR_LIAB","1993-06-18","2026-05-02","Per=Y","Days=T","Dir=V")</f>
        <v>0</v>
      </c>
      <c r="Q2">
        <f>BDH("JBHT US Equity","BS_SHAREHOLDER_EQY_ENDING_PERIOD","1993-06-18","2026-05-02","Per=Y","Days=T","Dir=V")</f>
        <v>0</v>
      </c>
      <c r="S2">
        <f>BDH("JBHT US Equity","BS_ACCT_NOTE_RCV","1993-06-18","2026-05-02","Per=Y","Days=T","Dir=V")</f>
        <v>0</v>
      </c>
      <c r="U2">
        <f>BDH("JBHT US Equity","BS_INVENTORIES","1993-06-18","2026-05-02","Per=Y","Days=T","Dir=V")</f>
        <v>0</v>
      </c>
      <c r="W2">
        <f>BDH("JBHT US Equity","WORKING_CAPITAL","1993-06-18","2026-05-02","Per=Y","Days=T","Dir=V")</f>
        <v>0</v>
      </c>
      <c r="Y2">
        <f>BDH("JBHT US Equity","SALES_REV_TURN","1993-06-18","2026-05-02","Per=Y","Days=T","Dir=V")</f>
        <v>0</v>
      </c>
      <c r="AA2">
        <f>BDH("JBHT US Equity","EBIT","1993-06-18","2026-05-02","Per=Y","Days=T","Dir=V")</f>
        <v>0</v>
      </c>
      <c r="AC2">
        <f>BDH("JBHT US Equity","EBITDA","1993-06-18","2026-05-02","Per=Y","Days=T","Dir=V")</f>
        <v>0</v>
      </c>
      <c r="AE2">
        <f>BDH("JBHT US Equity","NET_INCOME","1993-06-18","2026-05-02","Per=Y","Days=T","Dir=V")</f>
        <v>0</v>
      </c>
      <c r="AG2">
        <f>BDH("JBHT US Equity","IS_INT_EXPENSE","1993-06-18","2026-05-02","Per=Y","Days=T","Dir=V")</f>
        <v>0</v>
      </c>
      <c r="AI2">
        <f>BDH("JBHT US Equity","IS_DEPR_EXP","1993-06-18","2026-05-02","Per=Y","Days=T","Dir=V")</f>
        <v>0</v>
      </c>
      <c r="AK2">
        <f>BDH("JBHT US Equity","CF_CASH_FROM_OPER","1993-06-18","2026-05-02","Per=Y","Days=T","Dir=V")</f>
        <v>0</v>
      </c>
      <c r="AM2">
        <f>BDH("JBHT US Equity","CAPITAL_EXPEND","1993-06-18","2026-05-02","Per=Y","Days=T","Dir=V")</f>
        <v>0</v>
      </c>
      <c r="AO2">
        <f>BDH("JBHT US Equity","CF_FREE_CASH_FLOW","1993-06-18","2026-05-02","Per=Y","Days=T","Dir=V")</f>
        <v>0</v>
      </c>
      <c r="AQ2">
        <f>BDH("JBHT US Equity","PX_LAST","1993-06-18","2026-05-02","Per=M","Days=T","Dir=V")</f>
        <v>0</v>
      </c>
      <c r="AS2">
        <f>BDH("JBHT US Equity","CUR_MKT_CAP","1993-06-18","2026-05-02","Per=M","Days=T","Dir=V")</f>
        <v>0</v>
      </c>
      <c r="AU2">
        <f>BDH("JBHT US Equity","EQY_SH_OUT","1993-06-18","2026-05-02","Per=M","Days=T","Dir=V")</f>
        <v>0</v>
      </c>
      <c r="AW2">
        <f>BDH("JBHT US Equity","PX_VOLUME","1993-06-18","2026-05-02","Per=M","Days=T","Dir=V")</f>
        <v>0</v>
      </c>
      <c r="AY2">
        <f>BDH("JBHT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BDH("JBI US Equity","BS_TOT_ASSET","1993-06-18","2026-05-02","Per=Y","Days=T","Dir=V")</f>
        <v>0</v>
      </c>
      <c r="C2">
        <f>BDH("JBI US Equity","BS_TOT_LIAB2","1993-06-18","2026-05-02","Per=Y","Days=T","Dir=V")</f>
        <v>0</v>
      </c>
      <c r="E2">
        <f>BDH("JBI US Equity","SHORT_AND_LONG_TERM_DEBT","1993-06-18","2026-05-02","Per=Y","Days=T","Dir=V")</f>
        <v>0</v>
      </c>
      <c r="G2">
        <f>BDH("JBI US Equity","BS_ST_BORROW","1993-06-18","2026-05-02","Per=Y","Days=T","Dir=V")</f>
        <v>0</v>
      </c>
      <c r="I2">
        <f>BDH("JBI US Equity","BS_LT_BORROW","1993-06-18","2026-05-02","Per=Y","Days=T","Dir=V")</f>
        <v>0</v>
      </c>
      <c r="K2">
        <f>BDH("JBI US Equity","BS_CASH_NEAR_CASH_ITEM","1993-06-18","2026-05-02","Per=Y","Days=T","Dir=V")</f>
        <v>0</v>
      </c>
      <c r="M2">
        <f>BDH("JBI US Equity","BS_CUR_ASSET_REPORT","1993-06-18","2026-05-02","Per=Y","Days=T","Dir=V")</f>
        <v>0</v>
      </c>
      <c r="O2">
        <f>BDH("JBI US Equity","BS_CUR_LIAB","1993-06-18","2026-05-02","Per=Y","Days=T","Dir=V")</f>
        <v>0</v>
      </c>
      <c r="Q2">
        <f>BDH("JBI US Equity","BS_SHAREHOLDER_EQY_ENDING_PERIOD","1993-06-18","2026-05-02","Per=Y","Days=T","Dir=V")</f>
        <v>0</v>
      </c>
      <c r="S2">
        <f>BDH("JBI US Equity","BS_ACCT_NOTE_RCV","1993-06-18","2026-05-02","Per=Y","Days=T","Dir=V")</f>
        <v>0</v>
      </c>
      <c r="U2">
        <f>BDH("JBI US Equity","BS_INVENTORIES","1993-06-18","2026-05-02","Per=Y","Days=T","Dir=V")</f>
        <v>0</v>
      </c>
      <c r="W2">
        <f>BDH("JBI US Equity","WORKING_CAPITAL","1993-06-18","2026-05-02","Per=Y","Days=T","Dir=V")</f>
        <v>0</v>
      </c>
      <c r="Y2">
        <f>BDH("JBI US Equity","SALES_REV_TURN","1993-06-18","2026-05-02","Per=Y","Days=T","Dir=V")</f>
        <v>0</v>
      </c>
      <c r="AA2">
        <f>BDH("JBI US Equity","EBIT","1993-06-18","2026-05-02","Per=Y","Days=T","Dir=V")</f>
        <v>0</v>
      </c>
      <c r="AC2">
        <f>BDH("JBI US Equity","EBITDA","1993-06-18","2026-05-02","Per=Y","Days=T","Dir=V")</f>
        <v>0</v>
      </c>
      <c r="AE2">
        <f>BDH("JBI US Equity","NET_INCOME","1993-06-18","2026-05-02","Per=Y","Days=T","Dir=V")</f>
        <v>0</v>
      </c>
      <c r="AG2">
        <f>BDH("JBI US Equity","IS_INT_EXPENSE","1993-06-18","2026-05-02","Per=Y","Days=T","Dir=V")</f>
        <v>0</v>
      </c>
      <c r="AI2">
        <f>BDH("JBI US Equity","IS_DEPR_EXP","1993-06-18","2026-05-02","Per=Y","Days=T","Dir=V")</f>
        <v>0</v>
      </c>
      <c r="AK2">
        <f>BDH("JBI US Equity","CF_CASH_FROM_OPER","1993-06-18","2026-05-02","Per=Y","Days=T","Dir=V")</f>
        <v>0</v>
      </c>
      <c r="AM2">
        <f>BDH("JBI US Equity","CAPITAL_EXPEND","1993-06-18","2026-05-02","Per=Y","Days=T","Dir=V")</f>
        <v>0</v>
      </c>
      <c r="AO2">
        <f>BDH("JBI US Equity","CF_FREE_CASH_FLOW","1993-06-18","2026-05-02","Per=Y","Days=T","Dir=V")</f>
        <v>0</v>
      </c>
      <c r="AQ2">
        <f>BDH("JBI US Equity","PX_LAST","1993-06-18","2026-05-02","Per=M","Days=T","Dir=V")</f>
        <v>0</v>
      </c>
      <c r="AS2">
        <f>BDH("JBI US Equity","CUR_MKT_CAP","1993-06-18","2026-05-02","Per=M","Days=T","Dir=V")</f>
        <v>0</v>
      </c>
      <c r="AU2">
        <f>BDH("JBI US Equity","EQY_SH_OUT","1993-06-18","2026-05-02","Per=M","Days=T","Dir=V")</f>
        <v>0</v>
      </c>
      <c r="AW2">
        <f>BDH("JBI US Equity","PX_VOLUME","1993-06-18","2026-05-02","Per=M","Days=T","Dir=V")</f>
        <v>0</v>
      </c>
      <c r="AY2">
        <f>BDH("JBI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BDH("JBIO US Equity","BS_TOT_ASSET","1993-06-18","2026-05-02","Per=Y","Days=T","Dir=V")</f>
        <v>0</v>
      </c>
      <c r="C2">
        <f>BDH("JBIO US Equity","BS_TOT_LIAB2","1993-06-18","2026-05-02","Per=Y","Days=T","Dir=V")</f>
        <v>0</v>
      </c>
      <c r="E2">
        <f>BDH("JBIO US Equity","SHORT_AND_LONG_TERM_DEBT","1993-06-18","2026-05-02","Per=Y","Days=T","Dir=V")</f>
        <v>0</v>
      </c>
      <c r="G2">
        <f>BDH("JBIO US Equity","BS_ST_BORROW","1993-06-18","2026-05-02","Per=Y","Days=T","Dir=V")</f>
        <v>0</v>
      </c>
      <c r="I2">
        <f>BDH("JBIO US Equity","BS_LT_BORROW","1993-06-18","2026-05-02","Per=Y","Days=T","Dir=V")</f>
        <v>0</v>
      </c>
      <c r="K2">
        <f>BDH("JBIO US Equity","BS_CASH_NEAR_CASH_ITEM","1993-06-18","2026-05-02","Per=Y","Days=T","Dir=V")</f>
        <v>0</v>
      </c>
      <c r="M2">
        <f>BDH("JBIO US Equity","BS_CUR_ASSET_REPORT","1993-06-18","2026-05-02","Per=Y","Days=T","Dir=V")</f>
        <v>0</v>
      </c>
      <c r="O2">
        <f>BDH("JBIO US Equity","BS_CUR_LIAB","1993-06-18","2026-05-02","Per=Y","Days=T","Dir=V")</f>
        <v>0</v>
      </c>
      <c r="Q2">
        <f>BDH("JBIO US Equity","BS_SHAREHOLDER_EQY_ENDING_PERIOD","1993-06-18","2026-05-02","Per=Y","Days=T","Dir=V")</f>
        <v>0</v>
      </c>
      <c r="S2">
        <f>BDH("JBIO US Equity","BS_ACCT_NOTE_RCV","1993-06-18","2026-05-02","Per=Y","Days=T","Dir=V")</f>
        <v>0</v>
      </c>
      <c r="U2">
        <f>BDH("JBIO US Equity","BS_INVENTORIES","1993-06-18","2026-05-02","Per=Y","Days=T","Dir=V")</f>
        <v>0</v>
      </c>
      <c r="W2">
        <f>BDH("JBIO US Equity","WORKING_CAPITAL","1993-06-18","2026-05-02","Per=Y","Days=T","Dir=V")</f>
        <v>0</v>
      </c>
      <c r="Y2">
        <f>BDH("JBIO US Equity","SALES_REV_TURN","1993-06-18","2026-05-02","Per=Y","Days=T","Dir=V")</f>
        <v>0</v>
      </c>
      <c r="AA2">
        <f>BDH("JBIO US Equity","EBIT","1993-06-18","2026-05-02","Per=Y","Days=T","Dir=V")</f>
        <v>0</v>
      </c>
      <c r="AC2">
        <f>BDH("JBIO US Equity","EBITDA","1993-06-18","2026-05-02","Per=Y","Days=T","Dir=V")</f>
        <v>0</v>
      </c>
      <c r="AE2">
        <f>BDH("JBIO US Equity","NET_INCOME","1993-06-18","2026-05-02","Per=Y","Days=T","Dir=V")</f>
        <v>0</v>
      </c>
      <c r="AG2">
        <f>BDH("JBIO US Equity","IS_INT_EXPENSE","1993-06-18","2026-05-02","Per=Y","Days=T","Dir=V")</f>
        <v>0</v>
      </c>
      <c r="AI2">
        <f>BDH("JBIO US Equity","IS_DEPR_EXP","1993-06-18","2026-05-02","Per=Y","Days=T","Dir=V")</f>
        <v>0</v>
      </c>
      <c r="AK2">
        <f>BDH("JBIO US Equity","CF_CASH_FROM_OPER","1993-06-18","2026-05-02","Per=Y","Days=T","Dir=V")</f>
        <v>0</v>
      </c>
      <c r="AM2">
        <f>BDH("JBIO US Equity","CAPITAL_EXPEND","1993-06-18","2026-05-02","Per=Y","Days=T","Dir=V")</f>
        <v>0</v>
      </c>
      <c r="AO2">
        <f>BDH("JBIO US Equity","CF_FREE_CASH_FLOW","1993-06-18","2026-05-02","Per=Y","Days=T","Dir=V")</f>
        <v>0</v>
      </c>
      <c r="AQ2">
        <f>BDH("JBIO US Equity","PX_LAST","1993-06-18","2026-05-02","Per=M","Days=T","Dir=V")</f>
        <v>0</v>
      </c>
      <c r="AS2">
        <f>BDH("JBIO US Equity","CUR_MKT_CAP","1993-06-18","2026-05-02","Per=M","Days=T","Dir=V")</f>
        <v>0</v>
      </c>
      <c r="AU2">
        <f>BDH("JBIO US Equity","EQY_SH_OUT","1993-06-18","2026-05-02","Per=M","Days=T","Dir=V")</f>
        <v>0</v>
      </c>
      <c r="AW2">
        <f>BDH("JBIO US Equity","PX_VOLUME","1993-06-18","2026-05-02","Per=M","Days=T","Dir=V")</f>
        <v>0</v>
      </c>
      <c r="AY2">
        <f>BDH("JBIO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BDH("JBL US Equity","BS_TOT_ASSET","1993-06-18","2026-05-02","Per=Y","Days=T","Dir=V")</f>
        <v>0</v>
      </c>
      <c r="C2">
        <f>BDH("JBL US Equity","BS_TOT_LIAB2","1993-06-18","2026-05-02","Per=Y","Days=T","Dir=V")</f>
        <v>0</v>
      </c>
      <c r="E2">
        <f>BDH("JBL US Equity","SHORT_AND_LONG_TERM_DEBT","1993-06-18","2026-05-02","Per=Y","Days=T","Dir=V")</f>
        <v>0</v>
      </c>
      <c r="G2">
        <f>BDH("JBL US Equity","BS_ST_BORROW","1993-06-18","2026-05-02","Per=Y","Days=T","Dir=V")</f>
        <v>0</v>
      </c>
      <c r="I2">
        <f>BDH("JBL US Equity","BS_LT_BORROW","1993-06-18","2026-05-02","Per=Y","Days=T","Dir=V")</f>
        <v>0</v>
      </c>
      <c r="K2">
        <f>BDH("JBL US Equity","BS_CASH_NEAR_CASH_ITEM","1993-06-18","2026-05-02","Per=Y","Days=T","Dir=V")</f>
        <v>0</v>
      </c>
      <c r="M2">
        <f>BDH("JBL US Equity","BS_CUR_ASSET_REPORT","1993-06-18","2026-05-02","Per=Y","Days=T","Dir=V")</f>
        <v>0</v>
      </c>
      <c r="O2">
        <f>BDH("JBL US Equity","BS_CUR_LIAB","1993-06-18","2026-05-02","Per=Y","Days=T","Dir=V")</f>
        <v>0</v>
      </c>
      <c r="Q2">
        <f>BDH("JBL US Equity","BS_SHAREHOLDER_EQY_ENDING_PERIOD","1993-06-18","2026-05-02","Per=Y","Days=T","Dir=V")</f>
        <v>0</v>
      </c>
      <c r="S2">
        <f>BDH("JBL US Equity","BS_ACCT_NOTE_RCV","1993-06-18","2026-05-02","Per=Y","Days=T","Dir=V")</f>
        <v>0</v>
      </c>
      <c r="U2">
        <f>BDH("JBL US Equity","BS_INVENTORIES","1993-06-18","2026-05-02","Per=Y","Days=T","Dir=V")</f>
        <v>0</v>
      </c>
      <c r="W2">
        <f>BDH("JBL US Equity","WORKING_CAPITAL","1993-06-18","2026-05-02","Per=Y","Days=T","Dir=V")</f>
        <v>0</v>
      </c>
      <c r="Y2">
        <f>BDH("JBL US Equity","SALES_REV_TURN","1993-06-18","2026-05-02","Per=Y","Days=T","Dir=V")</f>
        <v>0</v>
      </c>
      <c r="AA2">
        <f>BDH("JBL US Equity","EBIT","1993-06-18","2026-05-02","Per=Y","Days=T","Dir=V")</f>
        <v>0</v>
      </c>
      <c r="AC2">
        <f>BDH("JBL US Equity","EBITDA","1993-06-18","2026-05-02","Per=Y","Days=T","Dir=V")</f>
        <v>0</v>
      </c>
      <c r="AE2">
        <f>BDH("JBL US Equity","NET_INCOME","1993-06-18","2026-05-02","Per=Y","Days=T","Dir=V")</f>
        <v>0</v>
      </c>
      <c r="AG2">
        <f>BDH("JBL US Equity","IS_INT_EXPENSE","1993-06-18","2026-05-02","Per=Y","Days=T","Dir=V")</f>
        <v>0</v>
      </c>
      <c r="AI2">
        <f>BDH("JBL US Equity","IS_DEPR_EXP","1993-06-18","2026-05-02","Per=Y","Days=T","Dir=V")</f>
        <v>0</v>
      </c>
      <c r="AK2">
        <f>BDH("JBL US Equity","CF_CASH_FROM_OPER","1993-06-18","2026-05-02","Per=Y","Days=T","Dir=V")</f>
        <v>0</v>
      </c>
      <c r="AM2">
        <f>BDH("JBL US Equity","CAPITAL_EXPEND","1993-06-18","2026-05-02","Per=Y","Days=T","Dir=V")</f>
        <v>0</v>
      </c>
      <c r="AO2">
        <f>BDH("JBL US Equity","CF_FREE_CASH_FLOW","1993-06-18","2026-05-02","Per=Y","Days=T","Dir=V")</f>
        <v>0</v>
      </c>
      <c r="AQ2">
        <f>BDH("JBL US Equity","PX_LAST","1993-06-18","2026-05-02","Per=M","Days=T","Dir=V")</f>
        <v>0</v>
      </c>
      <c r="AS2">
        <f>BDH("JBL US Equity","CUR_MKT_CAP","1993-06-18","2026-05-02","Per=M","Days=T","Dir=V")</f>
        <v>0</v>
      </c>
      <c r="AU2">
        <f>BDH("JBL US Equity","EQY_SH_OUT","1993-06-18","2026-05-02","Per=M","Days=T","Dir=V")</f>
        <v>0</v>
      </c>
      <c r="AW2">
        <f>BDH("JBL US Equity","PX_VOLUME","1993-06-18","2026-05-02","Per=M","Days=T","Dir=V")</f>
        <v>0</v>
      </c>
      <c r="AY2">
        <f>BDH("JBL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BDH("JBLU US Equity","BS_TOT_ASSET","1993-06-18","2026-05-02","Per=Y","Days=T","Dir=V")</f>
        <v>0</v>
      </c>
      <c r="C2">
        <f>BDH("JBLU US Equity","BS_TOT_LIAB2","1993-06-18","2026-05-02","Per=Y","Days=T","Dir=V")</f>
        <v>0</v>
      </c>
      <c r="E2">
        <f>BDH("JBLU US Equity","SHORT_AND_LONG_TERM_DEBT","1993-06-18","2026-05-02","Per=Y","Days=T","Dir=V")</f>
        <v>0</v>
      </c>
      <c r="G2">
        <f>BDH("JBLU US Equity","BS_ST_BORROW","1993-06-18","2026-05-02","Per=Y","Days=T","Dir=V")</f>
        <v>0</v>
      </c>
      <c r="I2">
        <f>BDH("JBLU US Equity","BS_LT_BORROW","1993-06-18","2026-05-02","Per=Y","Days=T","Dir=V")</f>
        <v>0</v>
      </c>
      <c r="K2">
        <f>BDH("JBLU US Equity","BS_CASH_NEAR_CASH_ITEM","1993-06-18","2026-05-02","Per=Y","Days=T","Dir=V")</f>
        <v>0</v>
      </c>
      <c r="M2">
        <f>BDH("JBLU US Equity","BS_CUR_ASSET_REPORT","1993-06-18","2026-05-02","Per=Y","Days=T","Dir=V")</f>
        <v>0</v>
      </c>
      <c r="O2">
        <f>BDH("JBLU US Equity","BS_CUR_LIAB","1993-06-18","2026-05-02","Per=Y","Days=T","Dir=V")</f>
        <v>0</v>
      </c>
      <c r="Q2">
        <f>BDH("JBLU US Equity","BS_SHAREHOLDER_EQY_ENDING_PERIOD","1993-06-18","2026-05-02","Per=Y","Days=T","Dir=V")</f>
        <v>0</v>
      </c>
      <c r="S2">
        <f>BDH("JBLU US Equity","BS_ACCT_NOTE_RCV","1993-06-18","2026-05-02","Per=Y","Days=T","Dir=V")</f>
        <v>0</v>
      </c>
      <c r="U2">
        <f>BDH("JBLU US Equity","BS_INVENTORIES","1993-06-18","2026-05-02","Per=Y","Days=T","Dir=V")</f>
        <v>0</v>
      </c>
      <c r="W2">
        <f>BDH("JBLU US Equity","WORKING_CAPITAL","1993-06-18","2026-05-02","Per=Y","Days=T","Dir=V")</f>
        <v>0</v>
      </c>
      <c r="Y2">
        <f>BDH("JBLU US Equity","SALES_REV_TURN","1993-06-18","2026-05-02","Per=Y","Days=T","Dir=V")</f>
        <v>0</v>
      </c>
      <c r="AA2">
        <f>BDH("JBLU US Equity","EBIT","1993-06-18","2026-05-02","Per=Y","Days=T","Dir=V")</f>
        <v>0</v>
      </c>
      <c r="AC2">
        <f>BDH("JBLU US Equity","EBITDA","1993-06-18","2026-05-02","Per=Y","Days=T","Dir=V")</f>
        <v>0</v>
      </c>
      <c r="AE2">
        <f>BDH("JBLU US Equity","NET_INCOME","1993-06-18","2026-05-02","Per=Y","Days=T","Dir=V")</f>
        <v>0</v>
      </c>
      <c r="AG2">
        <f>BDH("JBLU US Equity","IS_INT_EXPENSE","1993-06-18","2026-05-02","Per=Y","Days=T","Dir=V")</f>
        <v>0</v>
      </c>
      <c r="AI2">
        <f>BDH("JBLU US Equity","IS_DEPR_EXP","1993-06-18","2026-05-02","Per=Y","Days=T","Dir=V")</f>
        <v>0</v>
      </c>
      <c r="AK2">
        <f>BDH("JBLU US Equity","CF_CASH_FROM_OPER","1993-06-18","2026-05-02","Per=Y","Days=T","Dir=V")</f>
        <v>0</v>
      </c>
      <c r="AM2">
        <f>BDH("JBLU US Equity","CAPITAL_EXPEND","1993-06-18","2026-05-02","Per=Y","Days=T","Dir=V")</f>
        <v>0</v>
      </c>
      <c r="AO2">
        <f>BDH("JBLU US Equity","CF_FREE_CASH_FLOW","1993-06-18","2026-05-02","Per=Y","Days=T","Dir=V")</f>
        <v>0</v>
      </c>
      <c r="AQ2">
        <f>BDH("JBLU US Equity","PX_LAST","1993-06-18","2026-05-02","Per=M","Days=T","Dir=V")</f>
        <v>0</v>
      </c>
      <c r="AS2">
        <f>BDH("JBLU US Equity","CUR_MKT_CAP","1993-06-18","2026-05-02","Per=M","Days=T","Dir=V")</f>
        <v>0</v>
      </c>
      <c r="AU2">
        <f>BDH("JBLU US Equity","EQY_SH_OUT","1993-06-18","2026-05-02","Per=M","Days=T","Dir=V")</f>
        <v>0</v>
      </c>
      <c r="AW2">
        <f>BDH("JBLU US Equity","PX_VOLUME","1993-06-18","2026-05-02","Per=M","Days=T","Dir=V")</f>
        <v>0</v>
      </c>
      <c r="AY2">
        <f>BDH("JBLU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BDH("JBSS US Equity","BS_TOT_ASSET","1993-06-18","2026-05-02","Per=Y","Days=T","Dir=V")</f>
        <v>0</v>
      </c>
      <c r="C2">
        <f>BDH("JBSS US Equity","BS_TOT_LIAB2","1993-06-18","2026-05-02","Per=Y","Days=T","Dir=V")</f>
        <v>0</v>
      </c>
      <c r="E2">
        <f>BDH("JBSS US Equity","SHORT_AND_LONG_TERM_DEBT","1993-06-18","2026-05-02","Per=Y","Days=T","Dir=V")</f>
        <v>0</v>
      </c>
      <c r="G2">
        <f>BDH("JBSS US Equity","BS_ST_BORROW","1993-06-18","2026-05-02","Per=Y","Days=T","Dir=V")</f>
        <v>0</v>
      </c>
      <c r="I2">
        <f>BDH("JBSS US Equity","BS_LT_BORROW","1993-06-18","2026-05-02","Per=Y","Days=T","Dir=V")</f>
        <v>0</v>
      </c>
      <c r="K2">
        <f>BDH("JBSS US Equity","BS_CASH_NEAR_CASH_ITEM","1993-06-18","2026-05-02","Per=Y","Days=T","Dir=V")</f>
        <v>0</v>
      </c>
      <c r="M2">
        <f>BDH("JBSS US Equity","BS_CUR_ASSET_REPORT","1993-06-18","2026-05-02","Per=Y","Days=T","Dir=V")</f>
        <v>0</v>
      </c>
      <c r="O2">
        <f>BDH("JBSS US Equity","BS_CUR_LIAB","1993-06-18","2026-05-02","Per=Y","Days=T","Dir=V")</f>
        <v>0</v>
      </c>
      <c r="Q2">
        <f>BDH("JBSS US Equity","BS_SHAREHOLDER_EQY_ENDING_PERIOD","1993-06-18","2026-05-02","Per=Y","Days=T","Dir=V")</f>
        <v>0</v>
      </c>
      <c r="S2">
        <f>BDH("JBSS US Equity","BS_ACCT_NOTE_RCV","1993-06-18","2026-05-02","Per=Y","Days=T","Dir=V")</f>
        <v>0</v>
      </c>
      <c r="U2">
        <f>BDH("JBSS US Equity","BS_INVENTORIES","1993-06-18","2026-05-02","Per=Y","Days=T","Dir=V")</f>
        <v>0</v>
      </c>
      <c r="W2">
        <f>BDH("JBSS US Equity","WORKING_CAPITAL","1993-06-18","2026-05-02","Per=Y","Days=T","Dir=V")</f>
        <v>0</v>
      </c>
      <c r="Y2">
        <f>BDH("JBSS US Equity","SALES_REV_TURN","1993-06-18","2026-05-02","Per=Y","Days=T","Dir=V")</f>
        <v>0</v>
      </c>
      <c r="AA2">
        <f>BDH("JBSS US Equity","EBIT","1993-06-18","2026-05-02","Per=Y","Days=T","Dir=V")</f>
        <v>0</v>
      </c>
      <c r="AC2">
        <f>BDH("JBSS US Equity","EBITDA","1993-06-18","2026-05-02","Per=Y","Days=T","Dir=V")</f>
        <v>0</v>
      </c>
      <c r="AE2">
        <f>BDH("JBSS US Equity","NET_INCOME","1993-06-18","2026-05-02","Per=Y","Days=T","Dir=V")</f>
        <v>0</v>
      </c>
      <c r="AG2">
        <f>BDH("JBSS US Equity","IS_INT_EXPENSE","1993-06-18","2026-05-02","Per=Y","Days=T","Dir=V")</f>
        <v>0</v>
      </c>
      <c r="AI2">
        <f>BDH("JBSS US Equity","IS_DEPR_EXP","1993-06-18","2026-05-02","Per=Y","Days=T","Dir=V")</f>
        <v>0</v>
      </c>
      <c r="AK2">
        <f>BDH("JBSS US Equity","CF_CASH_FROM_OPER","1993-06-18","2026-05-02","Per=Y","Days=T","Dir=V")</f>
        <v>0</v>
      </c>
      <c r="AM2">
        <f>BDH("JBSS US Equity","CAPITAL_EXPEND","1993-06-18","2026-05-02","Per=Y","Days=T","Dir=V")</f>
        <v>0</v>
      </c>
      <c r="AO2">
        <f>BDH("JBSS US Equity","CF_FREE_CASH_FLOW","1993-06-18","2026-05-02","Per=Y","Days=T","Dir=V")</f>
        <v>0</v>
      </c>
      <c r="AQ2">
        <f>BDH("JBSS US Equity","PX_LAST","1993-06-18","2026-05-02","Per=M","Days=T","Dir=V")</f>
        <v>0</v>
      </c>
      <c r="AS2">
        <f>BDH("JBSS US Equity","CUR_MKT_CAP","1993-06-18","2026-05-02","Per=M","Days=T","Dir=V")</f>
        <v>0</v>
      </c>
      <c r="AU2">
        <f>BDH("JBSS US Equity","EQY_SH_OUT","1993-06-18","2026-05-02","Per=M","Days=T","Dir=V")</f>
        <v>0</v>
      </c>
      <c r="AW2">
        <f>BDH("JBSS US Equity","PX_VOLUME","1993-06-18","2026-05-02","Per=M","Days=T","Dir=V")</f>
        <v>0</v>
      </c>
      <c r="AY2">
        <f>BDH("JBSS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BDH("JBTM US Equity","BS_TOT_ASSET","1993-06-18","2026-05-02","Per=Y","Days=T","Dir=V")</f>
        <v>0</v>
      </c>
      <c r="C2">
        <f>BDH("JBTM US Equity","BS_TOT_LIAB2","1993-06-18","2026-05-02","Per=Y","Days=T","Dir=V")</f>
        <v>0</v>
      </c>
      <c r="E2">
        <f>BDH("JBTM US Equity","SHORT_AND_LONG_TERM_DEBT","1993-06-18","2026-05-02","Per=Y","Days=T","Dir=V")</f>
        <v>0</v>
      </c>
      <c r="G2">
        <f>BDH("JBTM US Equity","BS_ST_BORROW","1993-06-18","2026-05-02","Per=Y","Days=T","Dir=V")</f>
        <v>0</v>
      </c>
      <c r="I2">
        <f>BDH("JBTM US Equity","BS_LT_BORROW","1993-06-18","2026-05-02","Per=Y","Days=T","Dir=V")</f>
        <v>0</v>
      </c>
      <c r="K2">
        <f>BDH("JBTM US Equity","BS_CASH_NEAR_CASH_ITEM","1993-06-18","2026-05-02","Per=Y","Days=T","Dir=V")</f>
        <v>0</v>
      </c>
      <c r="M2">
        <f>BDH("JBTM US Equity","BS_CUR_ASSET_REPORT","1993-06-18","2026-05-02","Per=Y","Days=T","Dir=V")</f>
        <v>0</v>
      </c>
      <c r="O2">
        <f>BDH("JBTM US Equity","BS_CUR_LIAB","1993-06-18","2026-05-02","Per=Y","Days=T","Dir=V")</f>
        <v>0</v>
      </c>
      <c r="Q2">
        <f>BDH("JBTM US Equity","BS_SHAREHOLDER_EQY_ENDING_PERIOD","1993-06-18","2026-05-02","Per=Y","Days=T","Dir=V")</f>
        <v>0</v>
      </c>
      <c r="S2">
        <f>BDH("JBTM US Equity","BS_ACCT_NOTE_RCV","1993-06-18","2026-05-02","Per=Y","Days=T","Dir=V")</f>
        <v>0</v>
      </c>
      <c r="U2">
        <f>BDH("JBTM US Equity","BS_INVENTORIES","1993-06-18","2026-05-02","Per=Y","Days=T","Dir=V")</f>
        <v>0</v>
      </c>
      <c r="W2">
        <f>BDH("JBTM US Equity","WORKING_CAPITAL","1993-06-18","2026-05-02","Per=Y","Days=T","Dir=V")</f>
        <v>0</v>
      </c>
      <c r="Y2">
        <f>BDH("JBTM US Equity","SALES_REV_TURN","1993-06-18","2026-05-02","Per=Y","Days=T","Dir=V")</f>
        <v>0</v>
      </c>
      <c r="AA2">
        <f>BDH("JBTM US Equity","EBIT","1993-06-18","2026-05-02","Per=Y","Days=T","Dir=V")</f>
        <v>0</v>
      </c>
      <c r="AC2">
        <f>BDH("JBTM US Equity","EBITDA","1993-06-18","2026-05-02","Per=Y","Days=T","Dir=V")</f>
        <v>0</v>
      </c>
      <c r="AE2">
        <f>BDH("JBTM US Equity","NET_INCOME","1993-06-18","2026-05-02","Per=Y","Days=T","Dir=V")</f>
        <v>0</v>
      </c>
      <c r="AG2">
        <f>BDH("JBTM US Equity","IS_INT_EXPENSE","1993-06-18","2026-05-02","Per=Y","Days=T","Dir=V")</f>
        <v>0</v>
      </c>
      <c r="AI2">
        <f>BDH("JBTM US Equity","IS_DEPR_EXP","1993-06-18","2026-05-02","Per=Y","Days=T","Dir=V")</f>
        <v>0</v>
      </c>
      <c r="AK2">
        <f>BDH("JBTM US Equity","CF_CASH_FROM_OPER","1993-06-18","2026-05-02","Per=Y","Days=T","Dir=V")</f>
        <v>0</v>
      </c>
      <c r="AM2">
        <f>BDH("JBTM US Equity","CAPITAL_EXPEND","1993-06-18","2026-05-02","Per=Y","Days=T","Dir=V")</f>
        <v>0</v>
      </c>
      <c r="AO2">
        <f>BDH("JBTM US Equity","CF_FREE_CASH_FLOW","1993-06-18","2026-05-02","Per=Y","Days=T","Dir=V")</f>
        <v>0</v>
      </c>
      <c r="AQ2">
        <f>BDH("JBTM US Equity","PX_LAST","1993-06-18","2026-05-02","Per=M","Days=T","Dir=V")</f>
        <v>0</v>
      </c>
      <c r="AS2">
        <f>BDH("JBTM US Equity","CUR_MKT_CAP","1993-06-18","2026-05-02","Per=M","Days=T","Dir=V")</f>
        <v>0</v>
      </c>
      <c r="AU2">
        <f>BDH("JBTM US Equity","EQY_SH_OUT","1993-06-18","2026-05-02","Per=M","Days=T","Dir=V")</f>
        <v>0</v>
      </c>
      <c r="AW2">
        <f>BDH("JBTM US Equity","PX_VOLUME","1993-06-18","2026-05-02","Per=M","Days=T","Dir=V")</f>
        <v>0</v>
      </c>
      <c r="AY2">
        <f>BDH("JBTM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BDH("JCTC US Equity","BS_TOT_ASSET","1993-06-18","2026-05-02","Per=Y","Days=T","Dir=V")</f>
        <v>0</v>
      </c>
      <c r="C2">
        <f>BDH("JCTC US Equity","BS_TOT_LIAB2","1993-06-18","2026-05-02","Per=Y","Days=T","Dir=V")</f>
        <v>0</v>
      </c>
      <c r="E2">
        <f>BDH("JCTC US Equity","SHORT_AND_LONG_TERM_DEBT","1993-06-18","2026-05-02","Per=Y","Days=T","Dir=V")</f>
        <v>0</v>
      </c>
      <c r="G2">
        <f>BDH("JCTC US Equity","BS_ST_BORROW","1993-06-18","2026-05-02","Per=Y","Days=T","Dir=V")</f>
        <v>0</v>
      </c>
      <c r="I2">
        <f>BDH("JCTC US Equity","BS_LT_BORROW","1993-06-18","2026-05-02","Per=Y","Days=T","Dir=V")</f>
        <v>0</v>
      </c>
      <c r="K2">
        <f>BDH("JCTC US Equity","BS_CASH_NEAR_CASH_ITEM","1993-06-18","2026-05-02","Per=Y","Days=T","Dir=V")</f>
        <v>0</v>
      </c>
      <c r="M2">
        <f>BDH("JCTC US Equity","BS_CUR_ASSET_REPORT","1993-06-18","2026-05-02","Per=Y","Days=T","Dir=V")</f>
        <v>0</v>
      </c>
      <c r="O2">
        <f>BDH("JCTC US Equity","BS_CUR_LIAB","1993-06-18","2026-05-02","Per=Y","Days=T","Dir=V")</f>
        <v>0</v>
      </c>
      <c r="Q2">
        <f>BDH("JCTC US Equity","BS_SHAREHOLDER_EQY_ENDING_PERIOD","1993-06-18","2026-05-02","Per=Y","Days=T","Dir=V")</f>
        <v>0</v>
      </c>
      <c r="S2">
        <f>BDH("JCTC US Equity","BS_ACCT_NOTE_RCV","1993-06-18","2026-05-02","Per=Y","Days=T","Dir=V")</f>
        <v>0</v>
      </c>
      <c r="U2">
        <f>BDH("JCTC US Equity","BS_INVENTORIES","1993-06-18","2026-05-02","Per=Y","Days=T","Dir=V")</f>
        <v>0</v>
      </c>
      <c r="W2">
        <f>BDH("JCTC US Equity","WORKING_CAPITAL","1993-06-18","2026-05-02","Per=Y","Days=T","Dir=V")</f>
        <v>0</v>
      </c>
      <c r="Y2">
        <f>BDH("JCTC US Equity","SALES_REV_TURN","1993-06-18","2026-05-02","Per=Y","Days=T","Dir=V")</f>
        <v>0</v>
      </c>
      <c r="AA2">
        <f>BDH("JCTC US Equity","EBIT","1993-06-18","2026-05-02","Per=Y","Days=T","Dir=V")</f>
        <v>0</v>
      </c>
      <c r="AC2">
        <f>BDH("JCTC US Equity","EBITDA","1993-06-18","2026-05-02","Per=Y","Days=T","Dir=V")</f>
        <v>0</v>
      </c>
      <c r="AE2">
        <f>BDH("JCTC US Equity","NET_INCOME","1993-06-18","2026-05-02","Per=Y","Days=T","Dir=V")</f>
        <v>0</v>
      </c>
      <c r="AG2">
        <f>BDH("JCTC US Equity","IS_INT_EXPENSE","1993-06-18","2026-05-02","Per=Y","Days=T","Dir=V")</f>
        <v>0</v>
      </c>
      <c r="AI2">
        <f>BDH("JCTC US Equity","IS_DEPR_EXP","1993-06-18","2026-05-02","Per=Y","Days=T","Dir=V")</f>
        <v>0</v>
      </c>
      <c r="AK2">
        <f>BDH("JCTC US Equity","CF_CASH_FROM_OPER","1993-06-18","2026-05-02","Per=Y","Days=T","Dir=V")</f>
        <v>0</v>
      </c>
      <c r="AM2">
        <f>BDH("JCTC US Equity","CAPITAL_EXPEND","1993-06-18","2026-05-02","Per=Y","Days=T","Dir=V")</f>
        <v>0</v>
      </c>
      <c r="AO2">
        <f>BDH("JCTC US Equity","CF_FREE_CASH_FLOW","1993-06-18","2026-05-02","Per=Y","Days=T","Dir=V")</f>
        <v>0</v>
      </c>
      <c r="AQ2">
        <f>BDH("JCTC US Equity","PX_LAST","1993-06-18","2026-05-02","Per=M","Days=T","Dir=V")</f>
        <v>0</v>
      </c>
      <c r="AS2">
        <f>BDH("JCTC US Equity","CUR_MKT_CAP","1993-06-18","2026-05-02","Per=M","Days=T","Dir=V")</f>
        <v>0</v>
      </c>
      <c r="AU2">
        <f>BDH("JCTC US Equity","EQY_SH_OUT","1993-06-18","2026-05-02","Per=M","Days=T","Dir=V")</f>
        <v>0</v>
      </c>
      <c r="AW2">
        <f>BDH("JCTC US Equity","PX_VOLUME","1993-06-18","2026-05-02","Per=M","Days=T","Dir=V")</f>
        <v>0</v>
      </c>
      <c r="AY2">
        <f>BDH("JCTC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BDH("JELD US Equity","BS_TOT_ASSET","1993-06-18","2026-05-02","Per=Y","Days=T","Dir=V")</f>
        <v>0</v>
      </c>
      <c r="C2">
        <f>BDH("JELD US Equity","BS_TOT_LIAB2","1993-06-18","2026-05-02","Per=Y","Days=T","Dir=V")</f>
        <v>0</v>
      </c>
      <c r="E2">
        <f>BDH("JELD US Equity","SHORT_AND_LONG_TERM_DEBT","1993-06-18","2026-05-02","Per=Y","Days=T","Dir=V")</f>
        <v>0</v>
      </c>
      <c r="G2">
        <f>BDH("JELD US Equity","BS_ST_BORROW","1993-06-18","2026-05-02","Per=Y","Days=T","Dir=V")</f>
        <v>0</v>
      </c>
      <c r="I2">
        <f>BDH("JELD US Equity","BS_LT_BORROW","1993-06-18","2026-05-02","Per=Y","Days=T","Dir=V")</f>
        <v>0</v>
      </c>
      <c r="K2">
        <f>BDH("JELD US Equity","BS_CASH_NEAR_CASH_ITEM","1993-06-18","2026-05-02","Per=Y","Days=T","Dir=V")</f>
        <v>0</v>
      </c>
      <c r="M2">
        <f>BDH("JELD US Equity","BS_CUR_ASSET_REPORT","1993-06-18","2026-05-02","Per=Y","Days=T","Dir=V")</f>
        <v>0</v>
      </c>
      <c r="O2">
        <f>BDH("JELD US Equity","BS_CUR_LIAB","1993-06-18","2026-05-02","Per=Y","Days=T","Dir=V")</f>
        <v>0</v>
      </c>
      <c r="Q2">
        <f>BDH("JELD US Equity","BS_SHAREHOLDER_EQY_ENDING_PERIOD","1993-06-18","2026-05-02","Per=Y","Days=T","Dir=V")</f>
        <v>0</v>
      </c>
      <c r="S2">
        <f>BDH("JELD US Equity","BS_ACCT_NOTE_RCV","1993-06-18","2026-05-02","Per=Y","Days=T","Dir=V")</f>
        <v>0</v>
      </c>
      <c r="U2">
        <f>BDH("JELD US Equity","BS_INVENTORIES","1993-06-18","2026-05-02","Per=Y","Days=T","Dir=V")</f>
        <v>0</v>
      </c>
      <c r="W2">
        <f>BDH("JELD US Equity","WORKING_CAPITAL","1993-06-18","2026-05-02","Per=Y","Days=T","Dir=V")</f>
        <v>0</v>
      </c>
      <c r="Y2">
        <f>BDH("JELD US Equity","SALES_REV_TURN","1993-06-18","2026-05-02","Per=Y","Days=T","Dir=V")</f>
        <v>0</v>
      </c>
      <c r="AA2">
        <f>BDH("JELD US Equity","EBIT","1993-06-18","2026-05-02","Per=Y","Days=T","Dir=V")</f>
        <v>0</v>
      </c>
      <c r="AC2">
        <f>BDH("JELD US Equity","EBITDA","1993-06-18","2026-05-02","Per=Y","Days=T","Dir=V")</f>
        <v>0</v>
      </c>
      <c r="AE2">
        <f>BDH("JELD US Equity","NET_INCOME","1993-06-18","2026-05-02","Per=Y","Days=T","Dir=V")</f>
        <v>0</v>
      </c>
      <c r="AG2">
        <f>BDH("JELD US Equity","IS_INT_EXPENSE","1993-06-18","2026-05-02","Per=Y","Days=T","Dir=V")</f>
        <v>0</v>
      </c>
      <c r="AI2">
        <f>BDH("JELD US Equity","IS_DEPR_EXP","1993-06-18","2026-05-02","Per=Y","Days=T","Dir=V")</f>
        <v>0</v>
      </c>
      <c r="AK2">
        <f>BDH("JELD US Equity","CF_CASH_FROM_OPER","1993-06-18","2026-05-02","Per=Y","Days=T","Dir=V")</f>
        <v>0</v>
      </c>
      <c r="AM2">
        <f>BDH("JELD US Equity","CAPITAL_EXPEND","1993-06-18","2026-05-02","Per=Y","Days=T","Dir=V")</f>
        <v>0</v>
      </c>
      <c r="AO2">
        <f>BDH("JELD US Equity","CF_FREE_CASH_FLOW","1993-06-18","2026-05-02","Per=Y","Days=T","Dir=V")</f>
        <v>0</v>
      </c>
      <c r="AQ2">
        <f>BDH("JELD US Equity","PX_LAST","1993-06-18","2026-05-02","Per=M","Days=T","Dir=V")</f>
        <v>0</v>
      </c>
      <c r="AS2">
        <f>BDH("JELD US Equity","CUR_MKT_CAP","1993-06-18","2026-05-02","Per=M","Days=T","Dir=V")</f>
        <v>0</v>
      </c>
      <c r="AU2">
        <f>BDH("JELD US Equity","EQY_SH_OUT","1993-06-18","2026-05-02","Per=M","Days=T","Dir=V")</f>
        <v>0</v>
      </c>
      <c r="AW2">
        <f>BDH("JELD US Equity","PX_VOLUME","1993-06-18","2026-05-02","Per=M","Days=T","Dir=V")</f>
        <v>0</v>
      </c>
      <c r="AY2">
        <f>BDH("JELD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BDH("JILL US Equity","BS_TOT_ASSET","1993-06-18","2026-05-02","Per=Y","Days=T","Dir=V")</f>
        <v>0</v>
      </c>
      <c r="C2">
        <f>BDH("JILL US Equity","BS_TOT_LIAB2","1993-06-18","2026-05-02","Per=Y","Days=T","Dir=V")</f>
        <v>0</v>
      </c>
      <c r="E2">
        <f>BDH("JILL US Equity","SHORT_AND_LONG_TERM_DEBT","1993-06-18","2026-05-02","Per=Y","Days=T","Dir=V")</f>
        <v>0</v>
      </c>
      <c r="G2">
        <f>BDH("JILL US Equity","BS_ST_BORROW","1993-06-18","2026-05-02","Per=Y","Days=T","Dir=V")</f>
        <v>0</v>
      </c>
      <c r="I2">
        <f>BDH("JILL US Equity","BS_LT_BORROW","1993-06-18","2026-05-02","Per=Y","Days=T","Dir=V")</f>
        <v>0</v>
      </c>
      <c r="K2">
        <f>BDH("JILL US Equity","BS_CASH_NEAR_CASH_ITEM","1993-06-18","2026-05-02","Per=Y","Days=T","Dir=V")</f>
        <v>0</v>
      </c>
      <c r="M2">
        <f>BDH("JILL US Equity","BS_CUR_ASSET_REPORT","1993-06-18","2026-05-02","Per=Y","Days=T","Dir=V")</f>
        <v>0</v>
      </c>
      <c r="O2">
        <f>BDH("JILL US Equity","BS_CUR_LIAB","1993-06-18","2026-05-02","Per=Y","Days=T","Dir=V")</f>
        <v>0</v>
      </c>
      <c r="Q2">
        <f>BDH("JILL US Equity","BS_SHAREHOLDER_EQY_ENDING_PERIOD","1993-06-18","2026-05-02","Per=Y","Days=T","Dir=V")</f>
        <v>0</v>
      </c>
      <c r="S2">
        <f>BDH("JILL US Equity","BS_ACCT_NOTE_RCV","1993-06-18","2026-05-02","Per=Y","Days=T","Dir=V")</f>
        <v>0</v>
      </c>
      <c r="U2">
        <f>BDH("JILL US Equity","BS_INVENTORIES","1993-06-18","2026-05-02","Per=Y","Days=T","Dir=V")</f>
        <v>0</v>
      </c>
      <c r="W2">
        <f>BDH("JILL US Equity","WORKING_CAPITAL","1993-06-18","2026-05-02","Per=Y","Days=T","Dir=V")</f>
        <v>0</v>
      </c>
      <c r="Y2">
        <f>BDH("JILL US Equity","SALES_REV_TURN","1993-06-18","2026-05-02","Per=Y","Days=T","Dir=V")</f>
        <v>0</v>
      </c>
      <c r="AA2">
        <f>BDH("JILL US Equity","EBIT","1993-06-18","2026-05-02","Per=Y","Days=T","Dir=V")</f>
        <v>0</v>
      </c>
      <c r="AC2">
        <f>BDH("JILL US Equity","EBITDA","1993-06-18","2026-05-02","Per=Y","Days=T","Dir=V")</f>
        <v>0</v>
      </c>
      <c r="AE2">
        <f>BDH("JILL US Equity","NET_INCOME","1993-06-18","2026-05-02","Per=Y","Days=T","Dir=V")</f>
        <v>0</v>
      </c>
      <c r="AG2">
        <f>BDH("JILL US Equity","IS_INT_EXPENSE","1993-06-18","2026-05-02","Per=Y","Days=T","Dir=V")</f>
        <v>0</v>
      </c>
      <c r="AI2">
        <f>BDH("JILL US Equity","IS_DEPR_EXP","1993-06-18","2026-05-02","Per=Y","Days=T","Dir=V")</f>
        <v>0</v>
      </c>
      <c r="AK2">
        <f>BDH("JILL US Equity","CF_CASH_FROM_OPER","1993-06-18","2026-05-02","Per=Y","Days=T","Dir=V")</f>
        <v>0</v>
      </c>
      <c r="AM2">
        <f>BDH("JILL US Equity","CAPITAL_EXPEND","1993-06-18","2026-05-02","Per=Y","Days=T","Dir=V")</f>
        <v>0</v>
      </c>
      <c r="AO2">
        <f>BDH("JILL US Equity","CF_FREE_CASH_FLOW","1993-06-18","2026-05-02","Per=Y","Days=T","Dir=V")</f>
        <v>0</v>
      </c>
      <c r="AQ2">
        <f>BDH("JILL US Equity","PX_LAST","1993-06-18","2026-05-02","Per=M","Days=T","Dir=V")</f>
        <v>0</v>
      </c>
      <c r="AS2">
        <f>BDH("JILL US Equity","CUR_MKT_CAP","1993-06-18","2026-05-02","Per=M","Days=T","Dir=V")</f>
        <v>0</v>
      </c>
      <c r="AU2">
        <f>BDH("JILL US Equity","EQY_SH_OUT","1993-06-18","2026-05-02","Per=M","Days=T","Dir=V")</f>
        <v>0</v>
      </c>
      <c r="AW2">
        <f>BDH("JILL US Equity","PX_VOLUME","1993-06-18","2026-05-02","Per=M","Days=T","Dir=V")</f>
        <v>0</v>
      </c>
      <c r="AY2">
        <f>BDH("JILL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BDH("JJSF US Equity","BS_TOT_ASSET","1993-06-18","2026-05-02","Per=Y","Days=T","Dir=V")</f>
        <v>0</v>
      </c>
      <c r="C2">
        <f>BDH("JJSF US Equity","BS_TOT_LIAB2","1993-06-18","2026-05-02","Per=Y","Days=T","Dir=V")</f>
        <v>0</v>
      </c>
      <c r="E2">
        <f>BDH("JJSF US Equity","SHORT_AND_LONG_TERM_DEBT","1993-06-18","2026-05-02","Per=Y","Days=T","Dir=V")</f>
        <v>0</v>
      </c>
      <c r="G2">
        <f>BDH("JJSF US Equity","BS_ST_BORROW","1993-06-18","2026-05-02","Per=Y","Days=T","Dir=V")</f>
        <v>0</v>
      </c>
      <c r="I2">
        <f>BDH("JJSF US Equity","BS_LT_BORROW","1993-06-18","2026-05-02","Per=Y","Days=T","Dir=V")</f>
        <v>0</v>
      </c>
      <c r="K2">
        <f>BDH("JJSF US Equity","BS_CASH_NEAR_CASH_ITEM","1993-06-18","2026-05-02","Per=Y","Days=T","Dir=V")</f>
        <v>0</v>
      </c>
      <c r="M2">
        <f>BDH("JJSF US Equity","BS_CUR_ASSET_REPORT","1993-06-18","2026-05-02","Per=Y","Days=T","Dir=V")</f>
        <v>0</v>
      </c>
      <c r="O2">
        <f>BDH("JJSF US Equity","BS_CUR_LIAB","1993-06-18","2026-05-02","Per=Y","Days=T","Dir=V")</f>
        <v>0</v>
      </c>
      <c r="Q2">
        <f>BDH("JJSF US Equity","BS_SHAREHOLDER_EQY_ENDING_PERIOD","1993-06-18","2026-05-02","Per=Y","Days=T","Dir=V")</f>
        <v>0</v>
      </c>
      <c r="S2">
        <f>BDH("JJSF US Equity","BS_ACCT_NOTE_RCV","1993-06-18","2026-05-02","Per=Y","Days=T","Dir=V")</f>
        <v>0</v>
      </c>
      <c r="U2">
        <f>BDH("JJSF US Equity","BS_INVENTORIES","1993-06-18","2026-05-02","Per=Y","Days=T","Dir=V")</f>
        <v>0</v>
      </c>
      <c r="W2">
        <f>BDH("JJSF US Equity","WORKING_CAPITAL","1993-06-18","2026-05-02","Per=Y","Days=T","Dir=V")</f>
        <v>0</v>
      </c>
      <c r="Y2">
        <f>BDH("JJSF US Equity","SALES_REV_TURN","1993-06-18","2026-05-02","Per=Y","Days=T","Dir=V")</f>
        <v>0</v>
      </c>
      <c r="AA2">
        <f>BDH("JJSF US Equity","EBIT","1993-06-18","2026-05-02","Per=Y","Days=T","Dir=V")</f>
        <v>0</v>
      </c>
      <c r="AC2">
        <f>BDH("JJSF US Equity","EBITDA","1993-06-18","2026-05-02","Per=Y","Days=T","Dir=V")</f>
        <v>0</v>
      </c>
      <c r="AE2">
        <f>BDH("JJSF US Equity","NET_INCOME","1993-06-18","2026-05-02","Per=Y","Days=T","Dir=V")</f>
        <v>0</v>
      </c>
      <c r="AG2">
        <f>BDH("JJSF US Equity","IS_INT_EXPENSE","1993-06-18","2026-05-02","Per=Y","Days=T","Dir=V")</f>
        <v>0</v>
      </c>
      <c r="AI2">
        <f>BDH("JJSF US Equity","IS_DEPR_EXP","1993-06-18","2026-05-02","Per=Y","Days=T","Dir=V")</f>
        <v>0</v>
      </c>
      <c r="AK2">
        <f>BDH("JJSF US Equity","CF_CASH_FROM_OPER","1993-06-18","2026-05-02","Per=Y","Days=T","Dir=V")</f>
        <v>0</v>
      </c>
      <c r="AM2">
        <f>BDH("JJSF US Equity","CAPITAL_EXPEND","1993-06-18","2026-05-02","Per=Y","Days=T","Dir=V")</f>
        <v>0</v>
      </c>
      <c r="AO2">
        <f>BDH("JJSF US Equity","CF_FREE_CASH_FLOW","1993-06-18","2026-05-02","Per=Y","Days=T","Dir=V")</f>
        <v>0</v>
      </c>
      <c r="AQ2">
        <f>BDH("JJSF US Equity","PX_LAST","1993-06-18","2026-05-02","Per=M","Days=T","Dir=V")</f>
        <v>0</v>
      </c>
      <c r="AS2">
        <f>BDH("JJSF US Equity","CUR_MKT_CAP","1993-06-18","2026-05-02","Per=M","Days=T","Dir=V")</f>
        <v>0</v>
      </c>
      <c r="AU2">
        <f>BDH("JJSF US Equity","EQY_SH_OUT","1993-06-18","2026-05-02","Per=M","Days=T","Dir=V")</f>
        <v>0</v>
      </c>
      <c r="AW2">
        <f>BDH("JJSF US Equity","PX_VOLUME","1993-06-18","2026-05-02","Per=M","Days=T","Dir=V")</f>
        <v>0</v>
      </c>
      <c r="AY2">
        <f>BDH("JJSF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BDH("JKHY US Equity","BS_TOT_ASSET","1993-06-18","2026-05-02","Per=Y","Days=T","Dir=V")</f>
        <v>0</v>
      </c>
      <c r="C2">
        <f>BDH("JKHY US Equity","BS_TOT_LIAB2","1993-06-18","2026-05-02","Per=Y","Days=T","Dir=V")</f>
        <v>0</v>
      </c>
      <c r="E2">
        <f>BDH("JKHY US Equity","SHORT_AND_LONG_TERM_DEBT","1993-06-18","2026-05-02","Per=Y","Days=T","Dir=V")</f>
        <v>0</v>
      </c>
      <c r="G2">
        <f>BDH("JKHY US Equity","BS_ST_BORROW","1993-06-18","2026-05-02","Per=Y","Days=T","Dir=V")</f>
        <v>0</v>
      </c>
      <c r="I2">
        <f>BDH("JKHY US Equity","BS_LT_BORROW","1993-06-18","2026-05-02","Per=Y","Days=T","Dir=V")</f>
        <v>0</v>
      </c>
      <c r="K2">
        <f>BDH("JKHY US Equity","BS_CASH_NEAR_CASH_ITEM","1993-06-18","2026-05-02","Per=Y","Days=T","Dir=V")</f>
        <v>0</v>
      </c>
      <c r="M2">
        <f>BDH("JKHY US Equity","BS_CUR_ASSET_REPORT","1993-06-18","2026-05-02","Per=Y","Days=T","Dir=V")</f>
        <v>0</v>
      </c>
      <c r="O2">
        <f>BDH("JKHY US Equity","BS_CUR_LIAB","1993-06-18","2026-05-02","Per=Y","Days=T","Dir=V")</f>
        <v>0</v>
      </c>
      <c r="Q2">
        <f>BDH("JKHY US Equity","BS_SHAREHOLDER_EQY_ENDING_PERIOD","1993-06-18","2026-05-02","Per=Y","Days=T","Dir=V")</f>
        <v>0</v>
      </c>
      <c r="S2">
        <f>BDH("JKHY US Equity","BS_ACCT_NOTE_RCV","1993-06-18","2026-05-02","Per=Y","Days=T","Dir=V")</f>
        <v>0</v>
      </c>
      <c r="U2">
        <f>BDH("JKHY US Equity","BS_INVENTORIES","1993-06-18","2026-05-02","Per=Y","Days=T","Dir=V")</f>
        <v>0</v>
      </c>
      <c r="W2">
        <f>BDH("JKHY US Equity","WORKING_CAPITAL","1993-06-18","2026-05-02","Per=Y","Days=T","Dir=V")</f>
        <v>0</v>
      </c>
      <c r="Y2">
        <f>BDH("JKHY US Equity","SALES_REV_TURN","1993-06-18","2026-05-02","Per=Y","Days=T","Dir=V")</f>
        <v>0</v>
      </c>
      <c r="AA2">
        <f>BDH("JKHY US Equity","EBIT","1993-06-18","2026-05-02","Per=Y","Days=T","Dir=V")</f>
        <v>0</v>
      </c>
      <c r="AC2">
        <f>BDH("JKHY US Equity","EBITDA","1993-06-18","2026-05-02","Per=Y","Days=T","Dir=V")</f>
        <v>0</v>
      </c>
      <c r="AE2">
        <f>BDH("JKHY US Equity","NET_INCOME","1993-06-18","2026-05-02","Per=Y","Days=T","Dir=V")</f>
        <v>0</v>
      </c>
      <c r="AG2">
        <f>BDH("JKHY US Equity","IS_INT_EXPENSE","1993-06-18","2026-05-02","Per=Y","Days=T","Dir=V")</f>
        <v>0</v>
      </c>
      <c r="AI2">
        <f>BDH("JKHY US Equity","IS_DEPR_EXP","1993-06-18","2026-05-02","Per=Y","Days=T","Dir=V")</f>
        <v>0</v>
      </c>
      <c r="AK2">
        <f>BDH("JKHY US Equity","CF_CASH_FROM_OPER","1993-06-18","2026-05-02","Per=Y","Days=T","Dir=V")</f>
        <v>0</v>
      </c>
      <c r="AM2">
        <f>BDH("JKHY US Equity","CAPITAL_EXPEND","1993-06-18","2026-05-02","Per=Y","Days=T","Dir=V")</f>
        <v>0</v>
      </c>
      <c r="AO2">
        <f>BDH("JKHY US Equity","CF_FREE_CASH_FLOW","1993-06-18","2026-05-02","Per=Y","Days=T","Dir=V")</f>
        <v>0</v>
      </c>
      <c r="AQ2">
        <f>BDH("JKHY US Equity","PX_LAST","1993-06-18","2026-05-02","Per=M","Days=T","Dir=V")</f>
        <v>0</v>
      </c>
      <c r="AS2">
        <f>BDH("JKHY US Equity","CUR_MKT_CAP","1993-06-18","2026-05-02","Per=M","Days=T","Dir=V")</f>
        <v>0</v>
      </c>
      <c r="AU2">
        <f>BDH("JKHY US Equity","EQY_SH_OUT","1993-06-18","2026-05-02","Per=M","Days=T","Dir=V")</f>
        <v>0</v>
      </c>
      <c r="AW2">
        <f>BDH("JKHY US Equity","PX_VOLUME","1993-06-18","2026-05-02","Per=M","Days=T","Dir=V")</f>
        <v>0</v>
      </c>
      <c r="AY2">
        <f>BDH("JKHY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BDH("JNJ US Equity","BS_TOT_ASSET","1993-06-18","2026-05-02","Per=Y","Days=T","Dir=V")</f>
        <v>0</v>
      </c>
      <c r="C2">
        <f>BDH("JNJ US Equity","BS_TOT_LIAB2","1993-06-18","2026-05-02","Per=Y","Days=T","Dir=V")</f>
        <v>0</v>
      </c>
      <c r="E2">
        <f>BDH("JNJ US Equity","SHORT_AND_LONG_TERM_DEBT","1993-06-18","2026-05-02","Per=Y","Days=T","Dir=V")</f>
        <v>0</v>
      </c>
      <c r="G2">
        <f>BDH("JNJ US Equity","BS_ST_BORROW","1993-06-18","2026-05-02","Per=Y","Days=T","Dir=V")</f>
        <v>0</v>
      </c>
      <c r="I2">
        <f>BDH("JNJ US Equity","BS_LT_BORROW","1993-06-18","2026-05-02","Per=Y","Days=T","Dir=V")</f>
        <v>0</v>
      </c>
      <c r="K2">
        <f>BDH("JNJ US Equity","BS_CASH_NEAR_CASH_ITEM","1993-06-18","2026-05-02","Per=Y","Days=T","Dir=V")</f>
        <v>0</v>
      </c>
      <c r="M2">
        <f>BDH("JNJ US Equity","BS_CUR_ASSET_REPORT","1993-06-18","2026-05-02","Per=Y","Days=T","Dir=V")</f>
        <v>0</v>
      </c>
      <c r="O2">
        <f>BDH("JNJ US Equity","BS_CUR_LIAB","1993-06-18","2026-05-02","Per=Y","Days=T","Dir=V")</f>
        <v>0</v>
      </c>
      <c r="Q2">
        <f>BDH("JNJ US Equity","BS_SHAREHOLDER_EQY_ENDING_PERIOD","1993-06-18","2026-05-02","Per=Y","Days=T","Dir=V")</f>
        <v>0</v>
      </c>
      <c r="S2">
        <f>BDH("JNJ US Equity","BS_ACCT_NOTE_RCV","1993-06-18","2026-05-02","Per=Y","Days=T","Dir=V")</f>
        <v>0</v>
      </c>
      <c r="U2">
        <f>BDH("JNJ US Equity","BS_INVENTORIES","1993-06-18","2026-05-02","Per=Y","Days=T","Dir=V")</f>
        <v>0</v>
      </c>
      <c r="W2">
        <f>BDH("JNJ US Equity","WORKING_CAPITAL","1993-06-18","2026-05-02","Per=Y","Days=T","Dir=V")</f>
        <v>0</v>
      </c>
      <c r="Y2">
        <f>BDH("JNJ US Equity","SALES_REV_TURN","1993-06-18","2026-05-02","Per=Y","Days=T","Dir=V")</f>
        <v>0</v>
      </c>
      <c r="AA2">
        <f>BDH("JNJ US Equity","EBIT","1993-06-18","2026-05-02","Per=Y","Days=T","Dir=V")</f>
        <v>0</v>
      </c>
      <c r="AC2">
        <f>BDH("JNJ US Equity","EBITDA","1993-06-18","2026-05-02","Per=Y","Days=T","Dir=V")</f>
        <v>0</v>
      </c>
      <c r="AE2">
        <f>BDH("JNJ US Equity","NET_INCOME","1993-06-18","2026-05-02","Per=Y","Days=T","Dir=V")</f>
        <v>0</v>
      </c>
      <c r="AG2">
        <f>BDH("JNJ US Equity","IS_INT_EXPENSE","1993-06-18","2026-05-02","Per=Y","Days=T","Dir=V")</f>
        <v>0</v>
      </c>
      <c r="AI2">
        <f>BDH("JNJ US Equity","IS_DEPR_EXP","1993-06-18","2026-05-02","Per=Y","Days=T","Dir=V")</f>
        <v>0</v>
      </c>
      <c r="AK2">
        <f>BDH("JNJ US Equity","CF_CASH_FROM_OPER","1993-06-18","2026-05-02","Per=Y","Days=T","Dir=V")</f>
        <v>0</v>
      </c>
      <c r="AM2">
        <f>BDH("JNJ US Equity","CAPITAL_EXPEND","1993-06-18","2026-05-02","Per=Y","Days=T","Dir=V")</f>
        <v>0</v>
      </c>
      <c r="AO2">
        <f>BDH("JNJ US Equity","CF_FREE_CASH_FLOW","1993-06-18","2026-05-02","Per=Y","Days=T","Dir=V")</f>
        <v>0</v>
      </c>
      <c r="AQ2">
        <f>BDH("JNJ US Equity","PX_LAST","1993-06-18","2026-05-02","Per=M","Days=T","Dir=V")</f>
        <v>0</v>
      </c>
      <c r="AS2">
        <f>BDH("JNJ US Equity","CUR_MKT_CAP","1993-06-18","2026-05-02","Per=M","Days=T","Dir=V")</f>
        <v>0</v>
      </c>
      <c r="AU2">
        <f>BDH("JNJ US Equity","EQY_SH_OUT","1993-06-18","2026-05-02","Per=M","Days=T","Dir=V")</f>
        <v>0</v>
      </c>
      <c r="AW2">
        <f>BDH("JNJ US Equity","PX_VOLUME","1993-06-18","2026-05-02","Per=M","Days=T","Dir=V")</f>
        <v>0</v>
      </c>
      <c r="AY2">
        <f>BDH("JNJ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BDH("JOB US Equity","BS_TOT_ASSET","1993-06-18","2026-05-02","Per=Y","Days=T","Dir=V")</f>
        <v>0</v>
      </c>
      <c r="C2">
        <f>BDH("JOB US Equity","BS_TOT_LIAB2","1993-06-18","2026-05-02","Per=Y","Days=T","Dir=V")</f>
        <v>0</v>
      </c>
      <c r="E2">
        <f>BDH("JOB US Equity","SHORT_AND_LONG_TERM_DEBT","1993-06-18","2026-05-02","Per=Y","Days=T","Dir=V")</f>
        <v>0</v>
      </c>
      <c r="G2">
        <f>BDH("JOB US Equity","BS_ST_BORROW","1993-06-18","2026-05-02","Per=Y","Days=T","Dir=V")</f>
        <v>0</v>
      </c>
      <c r="I2">
        <f>BDH("JOB US Equity","BS_LT_BORROW","1993-06-18","2026-05-02","Per=Y","Days=T","Dir=V")</f>
        <v>0</v>
      </c>
      <c r="K2">
        <f>BDH("JOB US Equity","BS_CASH_NEAR_CASH_ITEM","1993-06-18","2026-05-02","Per=Y","Days=T","Dir=V")</f>
        <v>0</v>
      </c>
      <c r="M2">
        <f>BDH("JOB US Equity","BS_CUR_ASSET_REPORT","1993-06-18","2026-05-02","Per=Y","Days=T","Dir=V")</f>
        <v>0</v>
      </c>
      <c r="O2">
        <f>BDH("JOB US Equity","BS_CUR_LIAB","1993-06-18","2026-05-02","Per=Y","Days=T","Dir=V")</f>
        <v>0</v>
      </c>
      <c r="Q2">
        <f>BDH("JOB US Equity","BS_SHAREHOLDER_EQY_ENDING_PERIOD","1993-06-18","2026-05-02","Per=Y","Days=T","Dir=V")</f>
        <v>0</v>
      </c>
      <c r="S2">
        <f>BDH("JOB US Equity","BS_ACCT_NOTE_RCV","1993-06-18","2026-05-02","Per=Y","Days=T","Dir=V")</f>
        <v>0</v>
      </c>
      <c r="U2">
        <f>BDH("JOB US Equity","BS_INVENTORIES","1993-06-18","2026-05-02","Per=Y","Days=T","Dir=V")</f>
        <v>0</v>
      </c>
      <c r="W2">
        <f>BDH("JOB US Equity","WORKING_CAPITAL","1993-06-18","2026-05-02","Per=Y","Days=T","Dir=V")</f>
        <v>0</v>
      </c>
      <c r="Y2">
        <f>BDH("JOB US Equity","SALES_REV_TURN","1993-06-18","2026-05-02","Per=Y","Days=T","Dir=V")</f>
        <v>0</v>
      </c>
      <c r="AA2">
        <f>BDH("JOB US Equity","EBIT","1993-06-18","2026-05-02","Per=Y","Days=T","Dir=V")</f>
        <v>0</v>
      </c>
      <c r="AC2">
        <f>BDH("JOB US Equity","EBITDA","1993-06-18","2026-05-02","Per=Y","Days=T","Dir=V")</f>
        <v>0</v>
      </c>
      <c r="AE2">
        <f>BDH("JOB US Equity","NET_INCOME","1993-06-18","2026-05-02","Per=Y","Days=T","Dir=V")</f>
        <v>0</v>
      </c>
      <c r="AG2">
        <f>BDH("JOB US Equity","IS_INT_EXPENSE","1993-06-18","2026-05-02","Per=Y","Days=T","Dir=V")</f>
        <v>0</v>
      </c>
      <c r="AI2">
        <f>BDH("JOB US Equity","IS_DEPR_EXP","1993-06-18","2026-05-02","Per=Y","Days=T","Dir=V")</f>
        <v>0</v>
      </c>
      <c r="AK2">
        <f>BDH("JOB US Equity","CF_CASH_FROM_OPER","1993-06-18","2026-05-02","Per=Y","Days=T","Dir=V")</f>
        <v>0</v>
      </c>
      <c r="AM2">
        <f>BDH("JOB US Equity","CAPITAL_EXPEND","1993-06-18","2026-05-02","Per=Y","Days=T","Dir=V")</f>
        <v>0</v>
      </c>
      <c r="AO2">
        <f>BDH("JOB US Equity","CF_FREE_CASH_FLOW","1993-06-18","2026-05-02","Per=Y","Days=T","Dir=V")</f>
        <v>0</v>
      </c>
      <c r="AQ2">
        <f>BDH("JOB US Equity","PX_LAST","1993-06-18","2026-05-02","Per=M","Days=T","Dir=V")</f>
        <v>0</v>
      </c>
      <c r="AS2">
        <f>BDH("JOB US Equity","CUR_MKT_CAP","1993-06-18","2026-05-02","Per=M","Days=T","Dir=V")</f>
        <v>0</v>
      </c>
      <c r="AU2">
        <f>BDH("JOB US Equity","EQY_SH_OUT","1993-06-18","2026-05-02","Per=M","Days=T","Dir=V")</f>
        <v>0</v>
      </c>
      <c r="AW2">
        <f>BDH("JOB US Equity","PX_VOLUME","1993-06-18","2026-05-02","Per=M","Days=T","Dir=V")</f>
        <v>0</v>
      </c>
      <c r="AY2">
        <f>BDH("JOB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BDH("JOBY US Equity","BS_TOT_ASSET","1993-06-18","2026-05-02","Per=Y","Days=T","Dir=V")</f>
        <v>0</v>
      </c>
      <c r="C2">
        <f>BDH("JOBY US Equity","BS_TOT_LIAB2","1993-06-18","2026-05-02","Per=Y","Days=T","Dir=V")</f>
        <v>0</v>
      </c>
      <c r="E2">
        <f>BDH("JOBY US Equity","SHORT_AND_LONG_TERM_DEBT","1993-06-18","2026-05-02","Per=Y","Days=T","Dir=V")</f>
        <v>0</v>
      </c>
      <c r="G2">
        <f>BDH("JOBY US Equity","BS_ST_BORROW","1993-06-18","2026-05-02","Per=Y","Days=T","Dir=V")</f>
        <v>0</v>
      </c>
      <c r="I2">
        <f>BDH("JOBY US Equity","BS_LT_BORROW","1993-06-18","2026-05-02","Per=Y","Days=T","Dir=V")</f>
        <v>0</v>
      </c>
      <c r="K2">
        <f>BDH("JOBY US Equity","BS_CASH_NEAR_CASH_ITEM","1993-06-18","2026-05-02","Per=Y","Days=T","Dir=V")</f>
        <v>0</v>
      </c>
      <c r="M2">
        <f>BDH("JOBY US Equity","BS_CUR_ASSET_REPORT","1993-06-18","2026-05-02","Per=Y","Days=T","Dir=V")</f>
        <v>0</v>
      </c>
      <c r="O2">
        <f>BDH("JOBY US Equity","BS_CUR_LIAB","1993-06-18","2026-05-02","Per=Y","Days=T","Dir=V")</f>
        <v>0</v>
      </c>
      <c r="Q2">
        <f>BDH("JOBY US Equity","BS_SHAREHOLDER_EQY_ENDING_PERIOD","1993-06-18","2026-05-02","Per=Y","Days=T","Dir=V")</f>
        <v>0</v>
      </c>
      <c r="S2">
        <f>BDH("JOBY US Equity","BS_ACCT_NOTE_RCV","1993-06-18","2026-05-02","Per=Y","Days=T","Dir=V")</f>
        <v>0</v>
      </c>
      <c r="U2">
        <f>BDH("JOBY US Equity","BS_INVENTORIES","1993-06-18","2026-05-02","Per=Y","Days=T","Dir=V")</f>
        <v>0</v>
      </c>
      <c r="W2">
        <f>BDH("JOBY US Equity","WORKING_CAPITAL","1993-06-18","2026-05-02","Per=Y","Days=T","Dir=V")</f>
        <v>0</v>
      </c>
      <c r="Y2">
        <f>BDH("JOBY US Equity","SALES_REV_TURN","1993-06-18","2026-05-02","Per=Y","Days=T","Dir=V")</f>
        <v>0</v>
      </c>
      <c r="AA2">
        <f>BDH("JOBY US Equity","EBIT","1993-06-18","2026-05-02","Per=Y","Days=T","Dir=V")</f>
        <v>0</v>
      </c>
      <c r="AC2">
        <f>BDH("JOBY US Equity","EBITDA","1993-06-18","2026-05-02","Per=Y","Days=T","Dir=V")</f>
        <v>0</v>
      </c>
      <c r="AE2">
        <f>BDH("JOBY US Equity","NET_INCOME","1993-06-18","2026-05-02","Per=Y","Days=T","Dir=V")</f>
        <v>0</v>
      </c>
      <c r="AG2">
        <f>BDH("JOBY US Equity","IS_INT_EXPENSE","1993-06-18","2026-05-02","Per=Y","Days=T","Dir=V")</f>
        <v>0</v>
      </c>
      <c r="AI2">
        <f>BDH("JOBY US Equity","IS_DEPR_EXP","1993-06-18","2026-05-02","Per=Y","Days=T","Dir=V")</f>
        <v>0</v>
      </c>
      <c r="AK2">
        <f>BDH("JOBY US Equity","CF_CASH_FROM_OPER","1993-06-18","2026-05-02","Per=Y","Days=T","Dir=V")</f>
        <v>0</v>
      </c>
      <c r="AM2">
        <f>BDH("JOBY US Equity","CAPITAL_EXPEND","1993-06-18","2026-05-02","Per=Y","Days=T","Dir=V")</f>
        <v>0</v>
      </c>
      <c r="AO2">
        <f>BDH("JOBY US Equity","CF_FREE_CASH_FLOW","1993-06-18","2026-05-02","Per=Y","Days=T","Dir=V")</f>
        <v>0</v>
      </c>
      <c r="AQ2">
        <f>BDH("JOBY US Equity","PX_LAST","1993-06-18","2026-05-02","Per=M","Days=T","Dir=V")</f>
        <v>0</v>
      </c>
      <c r="AS2">
        <f>BDH("JOBY US Equity","CUR_MKT_CAP","1993-06-18","2026-05-02","Per=M","Days=T","Dir=V")</f>
        <v>0</v>
      </c>
      <c r="AU2">
        <f>BDH("JOBY US Equity","EQY_SH_OUT","1993-06-18","2026-05-02","Per=M","Days=T","Dir=V")</f>
        <v>0</v>
      </c>
      <c r="AW2">
        <f>BDH("JOBY US Equity","PX_VOLUME","1993-06-18","2026-05-02","Per=M","Days=T","Dir=V")</f>
        <v>0</v>
      </c>
      <c r="AY2">
        <f>BDH("JOBY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BDH("JOUT US Equity","BS_TOT_ASSET","1993-06-18","2026-05-02","Per=Y","Days=T","Dir=V")</f>
        <v>0</v>
      </c>
      <c r="C2">
        <f>BDH("JOUT US Equity","BS_TOT_LIAB2","1993-06-18","2026-05-02","Per=Y","Days=T","Dir=V")</f>
        <v>0</v>
      </c>
      <c r="E2">
        <f>BDH("JOUT US Equity","SHORT_AND_LONG_TERM_DEBT","1993-06-18","2026-05-02","Per=Y","Days=T","Dir=V")</f>
        <v>0</v>
      </c>
      <c r="G2">
        <f>BDH("JOUT US Equity","BS_ST_BORROW","1993-06-18","2026-05-02","Per=Y","Days=T","Dir=V")</f>
        <v>0</v>
      </c>
      <c r="I2">
        <f>BDH("JOUT US Equity","BS_LT_BORROW","1993-06-18","2026-05-02","Per=Y","Days=T","Dir=V")</f>
        <v>0</v>
      </c>
      <c r="K2">
        <f>BDH("JOUT US Equity","BS_CASH_NEAR_CASH_ITEM","1993-06-18","2026-05-02","Per=Y","Days=T","Dir=V")</f>
        <v>0</v>
      </c>
      <c r="M2">
        <f>BDH("JOUT US Equity","BS_CUR_ASSET_REPORT","1993-06-18","2026-05-02","Per=Y","Days=T","Dir=V")</f>
        <v>0</v>
      </c>
      <c r="O2">
        <f>BDH("JOUT US Equity","BS_CUR_LIAB","1993-06-18","2026-05-02","Per=Y","Days=T","Dir=V")</f>
        <v>0</v>
      </c>
      <c r="Q2">
        <f>BDH("JOUT US Equity","BS_SHAREHOLDER_EQY_ENDING_PERIOD","1993-06-18","2026-05-02","Per=Y","Days=T","Dir=V")</f>
        <v>0</v>
      </c>
      <c r="S2">
        <f>BDH("JOUT US Equity","BS_ACCT_NOTE_RCV","1993-06-18","2026-05-02","Per=Y","Days=T","Dir=V")</f>
        <v>0</v>
      </c>
      <c r="U2">
        <f>BDH("JOUT US Equity","BS_INVENTORIES","1993-06-18","2026-05-02","Per=Y","Days=T","Dir=V")</f>
        <v>0</v>
      </c>
      <c r="W2">
        <f>BDH("JOUT US Equity","WORKING_CAPITAL","1993-06-18","2026-05-02","Per=Y","Days=T","Dir=V")</f>
        <v>0</v>
      </c>
      <c r="Y2">
        <f>BDH("JOUT US Equity","SALES_REV_TURN","1993-06-18","2026-05-02","Per=Y","Days=T","Dir=V")</f>
        <v>0</v>
      </c>
      <c r="AA2">
        <f>BDH("JOUT US Equity","EBIT","1993-06-18","2026-05-02","Per=Y","Days=T","Dir=V")</f>
        <v>0</v>
      </c>
      <c r="AC2">
        <f>BDH("JOUT US Equity","EBITDA","1993-06-18","2026-05-02","Per=Y","Days=T","Dir=V")</f>
        <v>0</v>
      </c>
      <c r="AE2">
        <f>BDH("JOUT US Equity","NET_INCOME","1993-06-18","2026-05-02","Per=Y","Days=T","Dir=V")</f>
        <v>0</v>
      </c>
      <c r="AG2">
        <f>BDH("JOUT US Equity","IS_INT_EXPENSE","1993-06-18","2026-05-02","Per=Y","Days=T","Dir=V")</f>
        <v>0</v>
      </c>
      <c r="AI2">
        <f>BDH("JOUT US Equity","IS_DEPR_EXP","1993-06-18","2026-05-02","Per=Y","Days=T","Dir=V")</f>
        <v>0</v>
      </c>
      <c r="AK2">
        <f>BDH("JOUT US Equity","CF_CASH_FROM_OPER","1993-06-18","2026-05-02","Per=Y","Days=T","Dir=V")</f>
        <v>0</v>
      </c>
      <c r="AM2">
        <f>BDH("JOUT US Equity","CAPITAL_EXPEND","1993-06-18","2026-05-02","Per=Y","Days=T","Dir=V")</f>
        <v>0</v>
      </c>
      <c r="AO2">
        <f>BDH("JOUT US Equity","CF_FREE_CASH_FLOW","1993-06-18","2026-05-02","Per=Y","Days=T","Dir=V")</f>
        <v>0</v>
      </c>
      <c r="AQ2">
        <f>BDH("JOUT US Equity","PX_LAST","1993-06-18","2026-05-02","Per=M","Days=T","Dir=V")</f>
        <v>0</v>
      </c>
      <c r="AS2">
        <f>BDH("JOUT US Equity","CUR_MKT_CAP","1993-06-18","2026-05-02","Per=M","Days=T","Dir=V")</f>
        <v>0</v>
      </c>
      <c r="AU2">
        <f>BDH("JOUT US Equity","EQY_SH_OUT","1993-06-18","2026-05-02","Per=M","Days=T","Dir=V")</f>
        <v>0</v>
      </c>
      <c r="AW2">
        <f>BDH("JOUT US Equity","PX_VOLUME","1993-06-18","2026-05-02","Per=M","Days=T","Dir=V")</f>
        <v>0</v>
      </c>
      <c r="AY2">
        <f>BDH("JOUT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BDH("JRSH US Equity","BS_TOT_ASSET","1993-06-18","2026-05-02","Per=Y","Days=T","Dir=V")</f>
        <v>0</v>
      </c>
      <c r="C2">
        <f>BDH("JRSH US Equity","BS_TOT_LIAB2","1993-06-18","2026-05-02","Per=Y","Days=T","Dir=V")</f>
        <v>0</v>
      </c>
      <c r="E2">
        <f>BDH("JRSH US Equity","SHORT_AND_LONG_TERM_DEBT","1993-06-18","2026-05-02","Per=Y","Days=T","Dir=V")</f>
        <v>0</v>
      </c>
      <c r="G2">
        <f>BDH("JRSH US Equity","BS_ST_BORROW","1993-06-18","2026-05-02","Per=Y","Days=T","Dir=V")</f>
        <v>0</v>
      </c>
      <c r="I2">
        <f>BDH("JRSH US Equity","BS_LT_BORROW","1993-06-18","2026-05-02","Per=Y","Days=T","Dir=V")</f>
        <v>0</v>
      </c>
      <c r="K2">
        <f>BDH("JRSH US Equity","BS_CASH_NEAR_CASH_ITEM","1993-06-18","2026-05-02","Per=Y","Days=T","Dir=V")</f>
        <v>0</v>
      </c>
      <c r="M2">
        <f>BDH("JRSH US Equity","BS_CUR_ASSET_REPORT","1993-06-18","2026-05-02","Per=Y","Days=T","Dir=V")</f>
        <v>0</v>
      </c>
      <c r="O2">
        <f>BDH("JRSH US Equity","BS_CUR_LIAB","1993-06-18","2026-05-02","Per=Y","Days=T","Dir=V")</f>
        <v>0</v>
      </c>
      <c r="Q2">
        <f>BDH("JRSH US Equity","BS_SHAREHOLDER_EQY_ENDING_PERIOD","1993-06-18","2026-05-02","Per=Y","Days=T","Dir=V")</f>
        <v>0</v>
      </c>
      <c r="S2">
        <f>BDH("JRSH US Equity","BS_ACCT_NOTE_RCV","1993-06-18","2026-05-02","Per=Y","Days=T","Dir=V")</f>
        <v>0</v>
      </c>
      <c r="U2">
        <f>BDH("JRSH US Equity","BS_INVENTORIES","1993-06-18","2026-05-02","Per=Y","Days=T","Dir=V")</f>
        <v>0</v>
      </c>
      <c r="W2">
        <f>BDH("JRSH US Equity","WORKING_CAPITAL","1993-06-18","2026-05-02","Per=Y","Days=T","Dir=V")</f>
        <v>0</v>
      </c>
      <c r="Y2">
        <f>BDH("JRSH US Equity","SALES_REV_TURN","1993-06-18","2026-05-02","Per=Y","Days=T","Dir=V")</f>
        <v>0</v>
      </c>
      <c r="AA2">
        <f>BDH("JRSH US Equity","EBIT","1993-06-18","2026-05-02","Per=Y","Days=T","Dir=V")</f>
        <v>0</v>
      </c>
      <c r="AC2">
        <f>BDH("JRSH US Equity","EBITDA","1993-06-18","2026-05-02","Per=Y","Days=T","Dir=V")</f>
        <v>0</v>
      </c>
      <c r="AE2">
        <f>BDH("JRSH US Equity","NET_INCOME","1993-06-18","2026-05-02","Per=Y","Days=T","Dir=V")</f>
        <v>0</v>
      </c>
      <c r="AG2">
        <f>BDH("JRSH US Equity","IS_INT_EXPENSE","1993-06-18","2026-05-02","Per=Y","Days=T","Dir=V")</f>
        <v>0</v>
      </c>
      <c r="AI2">
        <f>BDH("JRSH US Equity","IS_DEPR_EXP","1993-06-18","2026-05-02","Per=Y","Days=T","Dir=V")</f>
        <v>0</v>
      </c>
      <c r="AK2">
        <f>BDH("JRSH US Equity","CF_CASH_FROM_OPER","1993-06-18","2026-05-02","Per=Y","Days=T","Dir=V")</f>
        <v>0</v>
      </c>
      <c r="AM2">
        <f>BDH("JRSH US Equity","CAPITAL_EXPEND","1993-06-18","2026-05-02","Per=Y","Days=T","Dir=V")</f>
        <v>0</v>
      </c>
      <c r="AO2">
        <f>BDH("JRSH US Equity","CF_FREE_CASH_FLOW","1993-06-18","2026-05-02","Per=Y","Days=T","Dir=V")</f>
        <v>0</v>
      </c>
      <c r="AQ2">
        <f>BDH("JRSH US Equity","PX_LAST","1993-06-18","2026-05-02","Per=M","Days=T","Dir=V")</f>
        <v>0</v>
      </c>
      <c r="AS2">
        <f>BDH("JRSH US Equity","CUR_MKT_CAP","1993-06-18","2026-05-02","Per=M","Days=T","Dir=V")</f>
        <v>0</v>
      </c>
      <c r="AU2">
        <f>BDH("JRSH US Equity","EQY_SH_OUT","1993-06-18","2026-05-02","Per=M","Days=T","Dir=V")</f>
        <v>0</v>
      </c>
      <c r="AW2">
        <f>BDH("JRSH US Equity","PX_VOLUME","1993-06-18","2026-05-02","Per=M","Days=T","Dir=V")</f>
        <v>0</v>
      </c>
      <c r="AY2">
        <f>BDH("JRSH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BDH("JSPR US Equity","BS_TOT_ASSET","1993-06-18","2026-05-02","Per=Y","Days=T","Dir=V")</f>
        <v>0</v>
      </c>
      <c r="C2">
        <f>BDH("JSPR US Equity","BS_TOT_LIAB2","1993-06-18","2026-05-02","Per=Y","Days=T","Dir=V")</f>
        <v>0</v>
      </c>
      <c r="E2">
        <f>BDH("JSPR US Equity","SHORT_AND_LONG_TERM_DEBT","1993-06-18","2026-05-02","Per=Y","Days=T","Dir=V")</f>
        <v>0</v>
      </c>
      <c r="G2">
        <f>BDH("JSPR US Equity","BS_ST_BORROW","1993-06-18","2026-05-02","Per=Y","Days=T","Dir=V")</f>
        <v>0</v>
      </c>
      <c r="I2">
        <f>BDH("JSPR US Equity","BS_LT_BORROW","1993-06-18","2026-05-02","Per=Y","Days=T","Dir=V")</f>
        <v>0</v>
      </c>
      <c r="K2">
        <f>BDH("JSPR US Equity","BS_CASH_NEAR_CASH_ITEM","1993-06-18","2026-05-02","Per=Y","Days=T","Dir=V")</f>
        <v>0</v>
      </c>
      <c r="M2">
        <f>BDH("JSPR US Equity","BS_CUR_ASSET_REPORT","1993-06-18","2026-05-02","Per=Y","Days=T","Dir=V")</f>
        <v>0</v>
      </c>
      <c r="O2">
        <f>BDH("JSPR US Equity","BS_CUR_LIAB","1993-06-18","2026-05-02","Per=Y","Days=T","Dir=V")</f>
        <v>0</v>
      </c>
      <c r="Q2">
        <f>BDH("JSPR US Equity","BS_SHAREHOLDER_EQY_ENDING_PERIOD","1993-06-18","2026-05-02","Per=Y","Days=T","Dir=V")</f>
        <v>0</v>
      </c>
      <c r="S2">
        <f>BDH("JSPR US Equity","BS_ACCT_NOTE_RCV","1993-06-18","2026-05-02","Per=Y","Days=T","Dir=V")</f>
        <v>0</v>
      </c>
      <c r="U2">
        <f>BDH("JSPR US Equity","BS_INVENTORIES","1993-06-18","2026-05-02","Per=Y","Days=T","Dir=V")</f>
        <v>0</v>
      </c>
      <c r="W2">
        <f>BDH("JSPR US Equity","WORKING_CAPITAL","1993-06-18","2026-05-02","Per=Y","Days=T","Dir=V")</f>
        <v>0</v>
      </c>
      <c r="Y2">
        <f>BDH("JSPR US Equity","SALES_REV_TURN","1993-06-18","2026-05-02","Per=Y","Days=T","Dir=V")</f>
        <v>0</v>
      </c>
      <c r="AA2">
        <f>BDH("JSPR US Equity","EBIT","1993-06-18","2026-05-02","Per=Y","Days=T","Dir=V")</f>
        <v>0</v>
      </c>
      <c r="AC2">
        <f>BDH("JSPR US Equity","EBITDA","1993-06-18","2026-05-02","Per=Y","Days=T","Dir=V")</f>
        <v>0</v>
      </c>
      <c r="AE2">
        <f>BDH("JSPR US Equity","NET_INCOME","1993-06-18","2026-05-02","Per=Y","Days=T","Dir=V")</f>
        <v>0</v>
      </c>
      <c r="AG2">
        <f>BDH("JSPR US Equity","IS_INT_EXPENSE","1993-06-18","2026-05-02","Per=Y","Days=T","Dir=V")</f>
        <v>0</v>
      </c>
      <c r="AI2">
        <f>BDH("JSPR US Equity","IS_DEPR_EXP","1993-06-18","2026-05-02","Per=Y","Days=T","Dir=V")</f>
        <v>0</v>
      </c>
      <c r="AK2">
        <f>BDH("JSPR US Equity","CF_CASH_FROM_OPER","1993-06-18","2026-05-02","Per=Y","Days=T","Dir=V")</f>
        <v>0</v>
      </c>
      <c r="AM2">
        <f>BDH("JSPR US Equity","CAPITAL_EXPEND","1993-06-18","2026-05-02","Per=Y","Days=T","Dir=V")</f>
        <v>0</v>
      </c>
      <c r="AO2">
        <f>BDH("JSPR US Equity","CF_FREE_CASH_FLOW","1993-06-18","2026-05-02","Per=Y","Days=T","Dir=V")</f>
        <v>0</v>
      </c>
      <c r="AQ2">
        <f>BDH("JSPR US Equity","PX_LAST","1993-06-18","2026-05-02","Per=M","Days=T","Dir=V")</f>
        <v>0</v>
      </c>
      <c r="AS2">
        <f>BDH("JSPR US Equity","CUR_MKT_CAP","1993-06-18","2026-05-02","Per=M","Days=T","Dir=V")</f>
        <v>0</v>
      </c>
      <c r="AU2">
        <f>BDH("JSPR US Equity","EQY_SH_OUT","1993-06-18","2026-05-02","Per=M","Days=T","Dir=V")</f>
        <v>0</v>
      </c>
      <c r="AW2">
        <f>BDH("JSPR US Equity","PX_VOLUME","1993-06-18","2026-05-02","Per=M","Days=T","Dir=V")</f>
        <v>0</v>
      </c>
      <c r="AY2">
        <f>BDH("JSPR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BDH("JTAI US Equity","BS_TOT_ASSET","1993-06-18","2026-05-02","Per=Y","Days=T","Dir=V")</f>
        <v>0</v>
      </c>
      <c r="C2">
        <f>BDH("JTAI US Equity","BS_TOT_LIAB2","1993-06-18","2026-05-02","Per=Y","Days=T","Dir=V")</f>
        <v>0</v>
      </c>
      <c r="E2">
        <f>BDH("JTAI US Equity","SHORT_AND_LONG_TERM_DEBT","1993-06-18","2026-05-02","Per=Y","Days=T","Dir=V")</f>
        <v>0</v>
      </c>
      <c r="G2">
        <f>BDH("JTAI US Equity","BS_ST_BORROW","1993-06-18","2026-05-02","Per=Y","Days=T","Dir=V")</f>
        <v>0</v>
      </c>
      <c r="I2">
        <f>BDH("JTAI US Equity","BS_LT_BORROW","1993-06-18","2026-05-02","Per=Y","Days=T","Dir=V")</f>
        <v>0</v>
      </c>
      <c r="K2">
        <f>BDH("JTAI US Equity","BS_CASH_NEAR_CASH_ITEM","1993-06-18","2026-05-02","Per=Y","Days=T","Dir=V")</f>
        <v>0</v>
      </c>
      <c r="M2">
        <f>BDH("JTAI US Equity","BS_CUR_ASSET_REPORT","1993-06-18","2026-05-02","Per=Y","Days=T","Dir=V")</f>
        <v>0</v>
      </c>
      <c r="O2">
        <f>BDH("JTAI US Equity","BS_CUR_LIAB","1993-06-18","2026-05-02","Per=Y","Days=T","Dir=V")</f>
        <v>0</v>
      </c>
      <c r="Q2">
        <f>BDH("JTAI US Equity","BS_SHAREHOLDER_EQY_ENDING_PERIOD","1993-06-18","2026-05-02","Per=Y","Days=T","Dir=V")</f>
        <v>0</v>
      </c>
      <c r="S2">
        <f>BDH("JTAI US Equity","BS_ACCT_NOTE_RCV","1993-06-18","2026-05-02","Per=Y","Days=T","Dir=V")</f>
        <v>0</v>
      </c>
      <c r="U2">
        <f>BDH("JTAI US Equity","BS_INVENTORIES","1993-06-18","2026-05-02","Per=Y","Days=T","Dir=V")</f>
        <v>0</v>
      </c>
      <c r="W2">
        <f>BDH("JTAI US Equity","WORKING_CAPITAL","1993-06-18","2026-05-02","Per=Y","Days=T","Dir=V")</f>
        <v>0</v>
      </c>
      <c r="Y2">
        <f>BDH("JTAI US Equity","SALES_REV_TURN","1993-06-18","2026-05-02","Per=Y","Days=T","Dir=V")</f>
        <v>0</v>
      </c>
      <c r="AA2">
        <f>BDH("JTAI US Equity","EBIT","1993-06-18","2026-05-02","Per=Y","Days=T","Dir=V")</f>
        <v>0</v>
      </c>
      <c r="AC2">
        <f>BDH("JTAI US Equity","EBITDA","1993-06-18","2026-05-02","Per=Y","Days=T","Dir=V")</f>
        <v>0</v>
      </c>
      <c r="AE2">
        <f>BDH("JTAI US Equity","NET_INCOME","1993-06-18","2026-05-02","Per=Y","Days=T","Dir=V")</f>
        <v>0</v>
      </c>
      <c r="AG2">
        <f>BDH("JTAI US Equity","IS_INT_EXPENSE","1993-06-18","2026-05-02","Per=Y","Days=T","Dir=V")</f>
        <v>0</v>
      </c>
      <c r="AI2">
        <f>BDH("JTAI US Equity","IS_DEPR_EXP","1993-06-18","2026-05-02","Per=Y","Days=T","Dir=V")</f>
        <v>0</v>
      </c>
      <c r="AK2">
        <f>BDH("JTAI US Equity","CF_CASH_FROM_OPER","1993-06-18","2026-05-02","Per=Y","Days=T","Dir=V")</f>
        <v>0</v>
      </c>
      <c r="AM2">
        <f>BDH("JTAI US Equity","CAPITAL_EXPEND","1993-06-18","2026-05-02","Per=Y","Days=T","Dir=V")</f>
        <v>0</v>
      </c>
      <c r="AO2">
        <f>BDH("JTAI US Equity","CF_FREE_CASH_FLOW","1993-06-18","2026-05-02","Per=Y","Days=T","Dir=V")</f>
        <v>0</v>
      </c>
      <c r="AQ2">
        <f>BDH("JTAI US Equity","PX_LAST","1993-06-18","2026-05-02","Per=M","Days=T","Dir=V")</f>
        <v>0</v>
      </c>
      <c r="AS2">
        <f>BDH("JTAI US Equity","CUR_MKT_CAP","1993-06-18","2026-05-02","Per=M","Days=T","Dir=V")</f>
        <v>0</v>
      </c>
      <c r="AU2">
        <f>BDH("JTAI US Equity","EQY_SH_OUT","1993-06-18","2026-05-02","Per=M","Days=T","Dir=V")</f>
        <v>0</v>
      </c>
      <c r="AW2">
        <f>BDH("JTAI US Equity","PX_VOLUME","1993-06-18","2026-05-02","Per=M","Days=T","Dir=V")</f>
        <v>0</v>
      </c>
      <c r="AY2">
        <f>BDH("JTAI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BDH("JUNS US Equity","BS_TOT_ASSET","1993-06-18","2026-05-02","Per=Y","Days=T","Dir=V")</f>
        <v>0</v>
      </c>
      <c r="C2">
        <f>BDH("JUNS US Equity","BS_TOT_LIAB2","1993-06-18","2026-05-02","Per=Y","Days=T","Dir=V")</f>
        <v>0</v>
      </c>
      <c r="E2">
        <f>BDH("JUNS US Equity","SHORT_AND_LONG_TERM_DEBT","1993-06-18","2026-05-02","Per=Y","Days=T","Dir=V")</f>
        <v>0</v>
      </c>
      <c r="G2">
        <f>BDH("JUNS US Equity","BS_ST_BORROW","1993-06-18","2026-05-02","Per=Y","Days=T","Dir=V")</f>
        <v>0</v>
      </c>
      <c r="I2">
        <f>BDH("JUNS US Equity","BS_LT_BORROW","1993-06-18","2026-05-02","Per=Y","Days=T","Dir=V")</f>
        <v>0</v>
      </c>
      <c r="K2">
        <f>BDH("JUNS US Equity","BS_CASH_NEAR_CASH_ITEM","1993-06-18","2026-05-02","Per=Y","Days=T","Dir=V")</f>
        <v>0</v>
      </c>
      <c r="M2">
        <f>BDH("JUNS US Equity","BS_CUR_ASSET_REPORT","1993-06-18","2026-05-02","Per=Y","Days=T","Dir=V")</f>
        <v>0</v>
      </c>
      <c r="O2">
        <f>BDH("JUNS US Equity","BS_CUR_LIAB","1993-06-18","2026-05-02","Per=Y","Days=T","Dir=V")</f>
        <v>0</v>
      </c>
      <c r="Q2">
        <f>BDH("JUNS US Equity","BS_SHAREHOLDER_EQY_ENDING_PERIOD","1993-06-18","2026-05-02","Per=Y","Days=T","Dir=V")</f>
        <v>0</v>
      </c>
      <c r="S2">
        <f>BDH("JUNS US Equity","BS_ACCT_NOTE_RCV","1993-06-18","2026-05-02","Per=Y","Days=T","Dir=V")</f>
        <v>0</v>
      </c>
      <c r="U2">
        <f>BDH("JUNS US Equity","BS_INVENTORIES","1993-06-18","2026-05-02","Per=Y","Days=T","Dir=V")</f>
        <v>0</v>
      </c>
      <c r="W2">
        <f>BDH("JUNS US Equity","WORKING_CAPITAL","1993-06-18","2026-05-02","Per=Y","Days=T","Dir=V")</f>
        <v>0</v>
      </c>
      <c r="Y2">
        <f>BDH("JUNS US Equity","SALES_REV_TURN","1993-06-18","2026-05-02","Per=Y","Days=T","Dir=V")</f>
        <v>0</v>
      </c>
      <c r="AA2">
        <f>BDH("JUNS US Equity","EBIT","1993-06-18","2026-05-02","Per=Y","Days=T","Dir=V")</f>
        <v>0</v>
      </c>
      <c r="AC2">
        <f>BDH("JUNS US Equity","EBITDA","1993-06-18","2026-05-02","Per=Y","Days=T","Dir=V")</f>
        <v>0</v>
      </c>
      <c r="AE2">
        <f>BDH("JUNS US Equity","NET_INCOME","1993-06-18","2026-05-02","Per=Y","Days=T","Dir=V")</f>
        <v>0</v>
      </c>
      <c r="AG2">
        <f>BDH("JUNS US Equity","IS_INT_EXPENSE","1993-06-18","2026-05-02","Per=Y","Days=T","Dir=V")</f>
        <v>0</v>
      </c>
      <c r="AI2">
        <f>BDH("JUNS US Equity","IS_DEPR_EXP","1993-06-18","2026-05-02","Per=Y","Days=T","Dir=V")</f>
        <v>0</v>
      </c>
      <c r="AK2">
        <f>BDH("JUNS US Equity","CF_CASH_FROM_OPER","1993-06-18","2026-05-02","Per=Y","Days=T","Dir=V")</f>
        <v>0</v>
      </c>
      <c r="AM2">
        <f>BDH("JUNS US Equity","CAPITAL_EXPEND","1993-06-18","2026-05-02","Per=Y","Days=T","Dir=V")</f>
        <v>0</v>
      </c>
      <c r="AO2">
        <f>BDH("JUNS US Equity","CF_FREE_CASH_FLOW","1993-06-18","2026-05-02","Per=Y","Days=T","Dir=V")</f>
        <v>0</v>
      </c>
      <c r="AQ2">
        <f>BDH("JUNS US Equity","PX_LAST","1993-06-18","2026-05-02","Per=M","Days=T","Dir=V")</f>
        <v>0</v>
      </c>
      <c r="AS2">
        <f>BDH("JUNS US Equity","CUR_MKT_CAP","1993-06-18","2026-05-02","Per=M","Days=T","Dir=V")</f>
        <v>0</v>
      </c>
      <c r="AU2">
        <f>BDH("JUNS US Equity","EQY_SH_OUT","1993-06-18","2026-05-02","Per=M","Days=T","Dir=V")</f>
        <v>0</v>
      </c>
      <c r="AW2">
        <f>BDH("JUNS US Equity","PX_VOLUME","1993-06-18","2026-05-02","Per=M","Days=T","Dir=V")</f>
        <v>0</v>
      </c>
      <c r="AY2">
        <f>BDH("JUNS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BDH("JVA US Equity","BS_TOT_ASSET","1993-06-18","2026-05-02","Per=Y","Days=T","Dir=V")</f>
        <v>0</v>
      </c>
      <c r="C2">
        <f>BDH("JVA US Equity","BS_TOT_LIAB2","1993-06-18","2026-05-02","Per=Y","Days=T","Dir=V")</f>
        <v>0</v>
      </c>
      <c r="E2">
        <f>BDH("JVA US Equity","SHORT_AND_LONG_TERM_DEBT","1993-06-18","2026-05-02","Per=Y","Days=T","Dir=V")</f>
        <v>0</v>
      </c>
      <c r="G2">
        <f>BDH("JVA US Equity","BS_ST_BORROW","1993-06-18","2026-05-02","Per=Y","Days=T","Dir=V")</f>
        <v>0</v>
      </c>
      <c r="I2">
        <f>BDH("JVA US Equity","BS_LT_BORROW","1993-06-18","2026-05-02","Per=Y","Days=T","Dir=V")</f>
        <v>0</v>
      </c>
      <c r="K2">
        <f>BDH("JVA US Equity","BS_CASH_NEAR_CASH_ITEM","1993-06-18","2026-05-02","Per=Y","Days=T","Dir=V")</f>
        <v>0</v>
      </c>
      <c r="M2">
        <f>BDH("JVA US Equity","BS_CUR_ASSET_REPORT","1993-06-18","2026-05-02","Per=Y","Days=T","Dir=V")</f>
        <v>0</v>
      </c>
      <c r="O2">
        <f>BDH("JVA US Equity","BS_CUR_LIAB","1993-06-18","2026-05-02","Per=Y","Days=T","Dir=V")</f>
        <v>0</v>
      </c>
      <c r="Q2">
        <f>BDH("JVA US Equity","BS_SHAREHOLDER_EQY_ENDING_PERIOD","1993-06-18","2026-05-02","Per=Y","Days=T","Dir=V")</f>
        <v>0</v>
      </c>
      <c r="S2">
        <f>BDH("JVA US Equity","BS_ACCT_NOTE_RCV","1993-06-18","2026-05-02","Per=Y","Days=T","Dir=V")</f>
        <v>0</v>
      </c>
      <c r="U2">
        <f>BDH("JVA US Equity","BS_INVENTORIES","1993-06-18","2026-05-02","Per=Y","Days=T","Dir=V")</f>
        <v>0</v>
      </c>
      <c r="W2">
        <f>BDH("JVA US Equity","WORKING_CAPITAL","1993-06-18","2026-05-02","Per=Y","Days=T","Dir=V")</f>
        <v>0</v>
      </c>
      <c r="Y2">
        <f>BDH("JVA US Equity","SALES_REV_TURN","1993-06-18","2026-05-02","Per=Y","Days=T","Dir=V")</f>
        <v>0</v>
      </c>
      <c r="AA2">
        <f>BDH("JVA US Equity","EBIT","1993-06-18","2026-05-02","Per=Y","Days=T","Dir=V")</f>
        <v>0</v>
      </c>
      <c r="AC2">
        <f>BDH("JVA US Equity","EBITDA","1993-06-18","2026-05-02","Per=Y","Days=T","Dir=V")</f>
        <v>0</v>
      </c>
      <c r="AE2">
        <f>BDH("JVA US Equity","NET_INCOME","1993-06-18","2026-05-02","Per=Y","Days=T","Dir=V")</f>
        <v>0</v>
      </c>
      <c r="AG2">
        <f>BDH("JVA US Equity","IS_INT_EXPENSE","1993-06-18","2026-05-02","Per=Y","Days=T","Dir=V")</f>
        <v>0</v>
      </c>
      <c r="AI2">
        <f>BDH("JVA US Equity","IS_DEPR_EXP","1993-06-18","2026-05-02","Per=Y","Days=T","Dir=V")</f>
        <v>0</v>
      </c>
      <c r="AK2">
        <f>BDH("JVA US Equity","CF_CASH_FROM_OPER","1993-06-18","2026-05-02","Per=Y","Days=T","Dir=V")</f>
        <v>0</v>
      </c>
      <c r="AM2">
        <f>BDH("JVA US Equity","CAPITAL_EXPEND","1993-06-18","2026-05-02","Per=Y","Days=T","Dir=V")</f>
        <v>0</v>
      </c>
      <c r="AO2">
        <f>BDH("JVA US Equity","CF_FREE_CASH_FLOW","1993-06-18","2026-05-02","Per=Y","Days=T","Dir=V")</f>
        <v>0</v>
      </c>
      <c r="AQ2">
        <f>BDH("JVA US Equity","PX_LAST","1993-06-18","2026-05-02","Per=M","Days=T","Dir=V")</f>
        <v>0</v>
      </c>
      <c r="AS2">
        <f>BDH("JVA US Equity","CUR_MKT_CAP","1993-06-18","2026-05-02","Per=M","Days=T","Dir=V")</f>
        <v>0</v>
      </c>
      <c r="AU2">
        <f>BDH("JVA US Equity","EQY_SH_OUT","1993-06-18","2026-05-02","Per=M","Days=T","Dir=V")</f>
        <v>0</v>
      </c>
      <c r="AW2">
        <f>BDH("JVA US Equity","PX_VOLUME","1993-06-18","2026-05-02","Per=M","Days=T","Dir=V")</f>
        <v>0</v>
      </c>
      <c r="AY2">
        <f>BDH("JVA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BDH("KAI US Equity","BS_TOT_ASSET","1993-06-18","2026-05-02","Per=Y","Days=T","Dir=V")</f>
        <v>0</v>
      </c>
      <c r="C2">
        <f>BDH("KAI US Equity","BS_TOT_LIAB2","1993-06-18","2026-05-02","Per=Y","Days=T","Dir=V")</f>
        <v>0</v>
      </c>
      <c r="E2">
        <f>BDH("KAI US Equity","SHORT_AND_LONG_TERM_DEBT","1993-06-18","2026-05-02","Per=Y","Days=T","Dir=V")</f>
        <v>0</v>
      </c>
      <c r="G2">
        <f>BDH("KAI US Equity","BS_ST_BORROW","1993-06-18","2026-05-02","Per=Y","Days=T","Dir=V")</f>
        <v>0</v>
      </c>
      <c r="I2">
        <f>BDH("KAI US Equity","BS_LT_BORROW","1993-06-18","2026-05-02","Per=Y","Days=T","Dir=V")</f>
        <v>0</v>
      </c>
      <c r="K2">
        <f>BDH("KAI US Equity","BS_CASH_NEAR_CASH_ITEM","1993-06-18","2026-05-02","Per=Y","Days=T","Dir=V")</f>
        <v>0</v>
      </c>
      <c r="M2">
        <f>BDH("KAI US Equity","BS_CUR_ASSET_REPORT","1993-06-18","2026-05-02","Per=Y","Days=T","Dir=V")</f>
        <v>0</v>
      </c>
      <c r="O2">
        <f>BDH("KAI US Equity","BS_CUR_LIAB","1993-06-18","2026-05-02","Per=Y","Days=T","Dir=V")</f>
        <v>0</v>
      </c>
      <c r="Q2">
        <f>BDH("KAI US Equity","BS_SHAREHOLDER_EQY_ENDING_PERIOD","1993-06-18","2026-05-02","Per=Y","Days=T","Dir=V")</f>
        <v>0</v>
      </c>
      <c r="S2">
        <f>BDH("KAI US Equity","BS_ACCT_NOTE_RCV","1993-06-18","2026-05-02","Per=Y","Days=T","Dir=V")</f>
        <v>0</v>
      </c>
      <c r="U2">
        <f>BDH("KAI US Equity","BS_INVENTORIES","1993-06-18","2026-05-02","Per=Y","Days=T","Dir=V")</f>
        <v>0</v>
      </c>
      <c r="W2">
        <f>BDH("KAI US Equity","WORKING_CAPITAL","1993-06-18","2026-05-02","Per=Y","Days=T","Dir=V")</f>
        <v>0</v>
      </c>
      <c r="Y2">
        <f>BDH("KAI US Equity","SALES_REV_TURN","1993-06-18","2026-05-02","Per=Y","Days=T","Dir=V")</f>
        <v>0</v>
      </c>
      <c r="AA2">
        <f>BDH("KAI US Equity","EBIT","1993-06-18","2026-05-02","Per=Y","Days=T","Dir=V")</f>
        <v>0</v>
      </c>
      <c r="AC2">
        <f>BDH("KAI US Equity","EBITDA","1993-06-18","2026-05-02","Per=Y","Days=T","Dir=V")</f>
        <v>0</v>
      </c>
      <c r="AE2">
        <f>BDH("KAI US Equity","NET_INCOME","1993-06-18","2026-05-02","Per=Y","Days=T","Dir=V")</f>
        <v>0</v>
      </c>
      <c r="AG2">
        <f>BDH("KAI US Equity","IS_INT_EXPENSE","1993-06-18","2026-05-02","Per=Y","Days=T","Dir=V")</f>
        <v>0</v>
      </c>
      <c r="AI2">
        <f>BDH("KAI US Equity","IS_DEPR_EXP","1993-06-18","2026-05-02","Per=Y","Days=T","Dir=V")</f>
        <v>0</v>
      </c>
      <c r="AK2">
        <f>BDH("KAI US Equity","CF_CASH_FROM_OPER","1993-06-18","2026-05-02","Per=Y","Days=T","Dir=V")</f>
        <v>0</v>
      </c>
      <c r="AM2">
        <f>BDH("KAI US Equity","CAPITAL_EXPEND","1993-06-18","2026-05-02","Per=Y","Days=T","Dir=V")</f>
        <v>0</v>
      </c>
      <c r="AO2">
        <f>BDH("KAI US Equity","CF_FREE_CASH_FLOW","1993-06-18","2026-05-02","Per=Y","Days=T","Dir=V")</f>
        <v>0</v>
      </c>
      <c r="AQ2">
        <f>BDH("KAI US Equity","PX_LAST","1993-06-18","2026-05-02","Per=M","Days=T","Dir=V")</f>
        <v>0</v>
      </c>
      <c r="AS2">
        <f>BDH("KAI US Equity","CUR_MKT_CAP","1993-06-18","2026-05-02","Per=M","Days=T","Dir=V")</f>
        <v>0</v>
      </c>
      <c r="AU2">
        <f>BDH("KAI US Equity","EQY_SH_OUT","1993-06-18","2026-05-02","Per=M","Days=T","Dir=V")</f>
        <v>0</v>
      </c>
      <c r="AW2">
        <f>BDH("KAI US Equity","PX_VOLUME","1993-06-18","2026-05-02","Per=M","Days=T","Dir=V")</f>
        <v>0</v>
      </c>
      <c r="AY2">
        <f>BDH("KAI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BDH("KALA US Equity","BS_TOT_ASSET","1993-06-18","2026-05-02","Per=Y","Days=T","Dir=V")</f>
        <v>0</v>
      </c>
      <c r="C2">
        <f>BDH("KALA US Equity","BS_TOT_LIAB2","1993-06-18","2026-05-02","Per=Y","Days=T","Dir=V")</f>
        <v>0</v>
      </c>
      <c r="E2">
        <f>BDH("KALA US Equity","SHORT_AND_LONG_TERM_DEBT","1993-06-18","2026-05-02","Per=Y","Days=T","Dir=V")</f>
        <v>0</v>
      </c>
      <c r="G2">
        <f>BDH("KALA US Equity","BS_ST_BORROW","1993-06-18","2026-05-02","Per=Y","Days=T","Dir=V")</f>
        <v>0</v>
      </c>
      <c r="I2">
        <f>BDH("KALA US Equity","BS_LT_BORROW","1993-06-18","2026-05-02","Per=Y","Days=T","Dir=V")</f>
        <v>0</v>
      </c>
      <c r="K2">
        <f>BDH("KALA US Equity","BS_CASH_NEAR_CASH_ITEM","1993-06-18","2026-05-02","Per=Y","Days=T","Dir=V")</f>
        <v>0</v>
      </c>
      <c r="M2">
        <f>BDH("KALA US Equity","BS_CUR_ASSET_REPORT","1993-06-18","2026-05-02","Per=Y","Days=T","Dir=V")</f>
        <v>0</v>
      </c>
      <c r="O2">
        <f>BDH("KALA US Equity","BS_CUR_LIAB","1993-06-18","2026-05-02","Per=Y","Days=T","Dir=V")</f>
        <v>0</v>
      </c>
      <c r="Q2">
        <f>BDH("KALA US Equity","BS_SHAREHOLDER_EQY_ENDING_PERIOD","1993-06-18","2026-05-02","Per=Y","Days=T","Dir=V")</f>
        <v>0</v>
      </c>
      <c r="S2">
        <f>BDH("KALA US Equity","BS_ACCT_NOTE_RCV","1993-06-18","2026-05-02","Per=Y","Days=T","Dir=V")</f>
        <v>0</v>
      </c>
      <c r="U2">
        <f>BDH("KALA US Equity","BS_INVENTORIES","1993-06-18","2026-05-02","Per=Y","Days=T","Dir=V")</f>
        <v>0</v>
      </c>
      <c r="W2">
        <f>BDH("KALA US Equity","WORKING_CAPITAL","1993-06-18","2026-05-02","Per=Y","Days=T","Dir=V")</f>
        <v>0</v>
      </c>
      <c r="Y2">
        <f>BDH("KALA US Equity","SALES_REV_TURN","1993-06-18","2026-05-02","Per=Y","Days=T","Dir=V")</f>
        <v>0</v>
      </c>
      <c r="AA2">
        <f>BDH("KALA US Equity","EBIT","1993-06-18","2026-05-02","Per=Y","Days=T","Dir=V")</f>
        <v>0</v>
      </c>
      <c r="AC2">
        <f>BDH("KALA US Equity","EBITDA","1993-06-18","2026-05-02","Per=Y","Days=T","Dir=V")</f>
        <v>0</v>
      </c>
      <c r="AE2">
        <f>BDH("KALA US Equity","NET_INCOME","1993-06-18","2026-05-02","Per=Y","Days=T","Dir=V")</f>
        <v>0</v>
      </c>
      <c r="AG2">
        <f>BDH("KALA US Equity","IS_INT_EXPENSE","1993-06-18","2026-05-02","Per=Y","Days=T","Dir=V")</f>
        <v>0</v>
      </c>
      <c r="AI2">
        <f>BDH("KALA US Equity","IS_DEPR_EXP","1993-06-18","2026-05-02","Per=Y","Days=T","Dir=V")</f>
        <v>0</v>
      </c>
      <c r="AK2">
        <f>BDH("KALA US Equity","CF_CASH_FROM_OPER","1993-06-18","2026-05-02","Per=Y","Days=T","Dir=V")</f>
        <v>0</v>
      </c>
      <c r="AM2">
        <f>BDH("KALA US Equity","CAPITAL_EXPEND","1993-06-18","2026-05-02","Per=Y","Days=T","Dir=V")</f>
        <v>0</v>
      </c>
      <c r="AO2">
        <f>BDH("KALA US Equity","CF_FREE_CASH_FLOW","1993-06-18","2026-05-02","Per=Y","Days=T","Dir=V")</f>
        <v>0</v>
      </c>
      <c r="AQ2">
        <f>BDH("KALA US Equity","PX_LAST","1993-06-18","2026-05-02","Per=M","Days=T","Dir=V")</f>
        <v>0</v>
      </c>
      <c r="AS2">
        <f>BDH("KALA US Equity","CUR_MKT_CAP","1993-06-18","2026-05-02","Per=M","Days=T","Dir=V")</f>
        <v>0</v>
      </c>
      <c r="AU2">
        <f>BDH("KALA US Equity","EQY_SH_OUT","1993-06-18","2026-05-02","Per=M","Days=T","Dir=V")</f>
        <v>0</v>
      </c>
      <c r="AW2">
        <f>BDH("KALA US Equity","PX_VOLUME","1993-06-18","2026-05-02","Per=M","Days=T","Dir=V")</f>
        <v>0</v>
      </c>
      <c r="AY2">
        <f>BDH("KALA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BDH("KALU US Equity","BS_TOT_ASSET","1993-06-18","2026-05-02","Per=Y","Days=T","Dir=V")</f>
        <v>0</v>
      </c>
      <c r="C2">
        <f>BDH("KALU US Equity","BS_TOT_LIAB2","1993-06-18","2026-05-02","Per=Y","Days=T","Dir=V")</f>
        <v>0</v>
      </c>
      <c r="E2">
        <f>BDH("KALU US Equity","SHORT_AND_LONG_TERM_DEBT","1993-06-18","2026-05-02","Per=Y","Days=T","Dir=V")</f>
        <v>0</v>
      </c>
      <c r="G2">
        <f>BDH("KALU US Equity","BS_ST_BORROW","1993-06-18","2026-05-02","Per=Y","Days=T","Dir=V")</f>
        <v>0</v>
      </c>
      <c r="I2">
        <f>BDH("KALU US Equity","BS_LT_BORROW","1993-06-18","2026-05-02","Per=Y","Days=T","Dir=V")</f>
        <v>0</v>
      </c>
      <c r="K2">
        <f>BDH("KALU US Equity","BS_CASH_NEAR_CASH_ITEM","1993-06-18","2026-05-02","Per=Y","Days=T","Dir=V")</f>
        <v>0</v>
      </c>
      <c r="M2">
        <f>BDH("KALU US Equity","BS_CUR_ASSET_REPORT","1993-06-18","2026-05-02","Per=Y","Days=T","Dir=V")</f>
        <v>0</v>
      </c>
      <c r="O2">
        <f>BDH("KALU US Equity","BS_CUR_LIAB","1993-06-18","2026-05-02","Per=Y","Days=T","Dir=V")</f>
        <v>0</v>
      </c>
      <c r="Q2">
        <f>BDH("KALU US Equity","BS_SHAREHOLDER_EQY_ENDING_PERIOD","1993-06-18","2026-05-02","Per=Y","Days=T","Dir=V")</f>
        <v>0</v>
      </c>
      <c r="S2">
        <f>BDH("KALU US Equity","BS_ACCT_NOTE_RCV","1993-06-18","2026-05-02","Per=Y","Days=T","Dir=V")</f>
        <v>0</v>
      </c>
      <c r="U2">
        <f>BDH("KALU US Equity","BS_INVENTORIES","1993-06-18","2026-05-02","Per=Y","Days=T","Dir=V")</f>
        <v>0</v>
      </c>
      <c r="W2">
        <f>BDH("KALU US Equity","WORKING_CAPITAL","1993-06-18","2026-05-02","Per=Y","Days=T","Dir=V")</f>
        <v>0</v>
      </c>
      <c r="Y2">
        <f>BDH("KALU US Equity","SALES_REV_TURN","1993-06-18","2026-05-02","Per=Y","Days=T","Dir=V")</f>
        <v>0</v>
      </c>
      <c r="AA2">
        <f>BDH("KALU US Equity","EBIT","1993-06-18","2026-05-02","Per=Y","Days=T","Dir=V")</f>
        <v>0</v>
      </c>
      <c r="AC2">
        <f>BDH("KALU US Equity","EBITDA","1993-06-18","2026-05-02","Per=Y","Days=T","Dir=V")</f>
        <v>0</v>
      </c>
      <c r="AE2">
        <f>BDH("KALU US Equity","NET_INCOME","1993-06-18","2026-05-02","Per=Y","Days=T","Dir=V")</f>
        <v>0</v>
      </c>
      <c r="AG2">
        <f>BDH("KALU US Equity","IS_INT_EXPENSE","1993-06-18","2026-05-02","Per=Y","Days=T","Dir=V")</f>
        <v>0</v>
      </c>
      <c r="AI2">
        <f>BDH("KALU US Equity","IS_DEPR_EXP","1993-06-18","2026-05-02","Per=Y","Days=T","Dir=V")</f>
        <v>0</v>
      </c>
      <c r="AK2">
        <f>BDH("KALU US Equity","CF_CASH_FROM_OPER","1993-06-18","2026-05-02","Per=Y","Days=T","Dir=V")</f>
        <v>0</v>
      </c>
      <c r="AM2">
        <f>BDH("KALU US Equity","CAPITAL_EXPEND","1993-06-18","2026-05-02","Per=Y","Days=T","Dir=V")</f>
        <v>0</v>
      </c>
      <c r="AO2">
        <f>BDH("KALU US Equity","CF_FREE_CASH_FLOW","1993-06-18","2026-05-02","Per=Y","Days=T","Dir=V")</f>
        <v>0</v>
      </c>
      <c r="AQ2">
        <f>BDH("KALU US Equity","PX_LAST","1993-06-18","2026-05-02","Per=M","Days=T","Dir=V")</f>
        <v>0</v>
      </c>
      <c r="AS2">
        <f>BDH("KALU US Equity","CUR_MKT_CAP","1993-06-18","2026-05-02","Per=M","Days=T","Dir=V")</f>
        <v>0</v>
      </c>
      <c r="AU2">
        <f>BDH("KALU US Equity","EQY_SH_OUT","1993-06-18","2026-05-02","Per=M","Days=T","Dir=V")</f>
        <v>0</v>
      </c>
      <c r="AW2">
        <f>BDH("KALU US Equity","PX_VOLUME","1993-06-18","2026-05-02","Per=M","Days=T","Dir=V")</f>
        <v>0</v>
      </c>
      <c r="AY2">
        <f>BDH("KALU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BDH("KARD US Equity","BS_TOT_ASSET","1993-06-18","2026-05-02","Per=Y","Days=T","Dir=V")</f>
        <v>0</v>
      </c>
      <c r="C2">
        <f>BDH("KARD US Equity","BS_TOT_LIAB2","1993-06-18","2026-05-02","Per=Y","Days=T","Dir=V")</f>
        <v>0</v>
      </c>
      <c r="E2">
        <f>BDH("KARD US Equity","SHORT_AND_LONG_TERM_DEBT","1993-06-18","2026-05-02","Per=Y","Days=T","Dir=V")</f>
        <v>0</v>
      </c>
      <c r="G2">
        <f>BDH("KARD US Equity","BS_ST_BORROW","1993-06-18","2026-05-02","Per=Y","Days=T","Dir=V")</f>
        <v>0</v>
      </c>
      <c r="I2">
        <f>BDH("KARD US Equity","BS_LT_BORROW","1993-06-18","2026-05-02","Per=Y","Days=T","Dir=V")</f>
        <v>0</v>
      </c>
      <c r="K2">
        <f>BDH("KARD US Equity","BS_CASH_NEAR_CASH_ITEM","1993-06-18","2026-05-02","Per=Y","Days=T","Dir=V")</f>
        <v>0</v>
      </c>
      <c r="M2">
        <f>BDH("KARD US Equity","BS_CUR_ASSET_REPORT","1993-06-18","2026-05-02","Per=Y","Days=T","Dir=V")</f>
        <v>0</v>
      </c>
      <c r="O2">
        <f>BDH("KARD US Equity","BS_CUR_LIAB","1993-06-18","2026-05-02","Per=Y","Days=T","Dir=V")</f>
        <v>0</v>
      </c>
      <c r="Q2">
        <f>BDH("KARD US Equity","BS_SHAREHOLDER_EQY_ENDING_PERIOD","1993-06-18","2026-05-02","Per=Y","Days=T","Dir=V")</f>
        <v>0</v>
      </c>
      <c r="S2">
        <f>BDH("KARD US Equity","BS_ACCT_NOTE_RCV","1993-06-18","2026-05-02","Per=Y","Days=T","Dir=V")</f>
        <v>0</v>
      </c>
      <c r="U2">
        <f>BDH("KARD US Equity","BS_INVENTORIES","1993-06-18","2026-05-02","Per=Y","Days=T","Dir=V")</f>
        <v>0</v>
      </c>
      <c r="W2">
        <f>BDH("KARD US Equity","WORKING_CAPITAL","1993-06-18","2026-05-02","Per=Y","Days=T","Dir=V")</f>
        <v>0</v>
      </c>
      <c r="Y2">
        <f>BDH("KARD US Equity","SALES_REV_TURN","1993-06-18","2026-05-02","Per=Y","Days=T","Dir=V")</f>
        <v>0</v>
      </c>
      <c r="AA2">
        <f>BDH("KARD US Equity","EBIT","1993-06-18","2026-05-02","Per=Y","Days=T","Dir=V")</f>
        <v>0</v>
      </c>
      <c r="AC2">
        <f>BDH("KARD US Equity","EBITDA","1993-06-18","2026-05-02","Per=Y","Days=T","Dir=V")</f>
        <v>0</v>
      </c>
      <c r="AE2">
        <f>BDH("KARD US Equity","NET_INCOME","1993-06-18","2026-05-02","Per=Y","Days=T","Dir=V")</f>
        <v>0</v>
      </c>
      <c r="AG2">
        <f>BDH("KARD US Equity","IS_INT_EXPENSE","1993-06-18","2026-05-02","Per=Y","Days=T","Dir=V")</f>
        <v>0</v>
      </c>
      <c r="AI2">
        <f>BDH("KARD US Equity","IS_DEPR_EXP","1993-06-18","2026-05-02","Per=Y","Days=T","Dir=V")</f>
        <v>0</v>
      </c>
      <c r="AK2">
        <f>BDH("KARD US Equity","CF_CASH_FROM_OPER","1993-06-18","2026-05-02","Per=Y","Days=T","Dir=V")</f>
        <v>0</v>
      </c>
      <c r="AM2">
        <f>BDH("KARD US Equity","CAPITAL_EXPEND","1993-06-18","2026-05-02","Per=Y","Days=T","Dir=V")</f>
        <v>0</v>
      </c>
      <c r="AO2">
        <f>BDH("KARD US Equity","CF_FREE_CASH_FLOW","1993-06-18","2026-05-02","Per=Y","Days=T","Dir=V")</f>
        <v>0</v>
      </c>
      <c r="AQ2">
        <f>BDH("KARD US Equity","PX_LAST","1993-06-18","2026-05-02","Per=M","Days=T","Dir=V")</f>
        <v>0</v>
      </c>
      <c r="AS2">
        <f>BDH("KARD US Equity","CUR_MKT_CAP","1993-06-18","2026-05-02","Per=M","Days=T","Dir=V")</f>
        <v>0</v>
      </c>
      <c r="AU2">
        <f>BDH("KARD US Equity","EQY_SH_OUT","1993-06-18","2026-05-02","Per=M","Days=T","Dir=V")</f>
        <v>0</v>
      </c>
      <c r="AW2">
        <f>BDH("KARD US Equity","PX_VOLUME","1993-06-18","2026-05-02","Per=M","Days=T","Dir=V")</f>
        <v>0</v>
      </c>
      <c r="AY2">
        <f>BDH("KARD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BDH("KBH US Equity","BS_TOT_ASSET","1993-06-18","2026-05-02","Per=Y","Days=T","Dir=V")</f>
        <v>0</v>
      </c>
      <c r="C2">
        <f>BDH("KBH US Equity","BS_TOT_LIAB2","1993-06-18","2026-05-02","Per=Y","Days=T","Dir=V")</f>
        <v>0</v>
      </c>
      <c r="E2">
        <f>BDH("KBH US Equity","SHORT_AND_LONG_TERM_DEBT","1993-06-18","2026-05-02","Per=Y","Days=T","Dir=V")</f>
        <v>0</v>
      </c>
      <c r="G2">
        <f>BDH("KBH US Equity","BS_ST_BORROW","1993-06-18","2026-05-02","Per=Y","Days=T","Dir=V")</f>
        <v>0</v>
      </c>
      <c r="I2">
        <f>BDH("KBH US Equity","BS_LT_BORROW","1993-06-18","2026-05-02","Per=Y","Days=T","Dir=V")</f>
        <v>0</v>
      </c>
      <c r="K2">
        <f>BDH("KBH US Equity","BS_CASH_NEAR_CASH_ITEM","1993-06-18","2026-05-02","Per=Y","Days=T","Dir=V")</f>
        <v>0</v>
      </c>
      <c r="M2">
        <f>BDH("KBH US Equity","BS_CUR_ASSET_REPORT","1993-06-18","2026-05-02","Per=Y","Days=T","Dir=V")</f>
        <v>0</v>
      </c>
      <c r="O2">
        <f>BDH("KBH US Equity","BS_CUR_LIAB","1993-06-18","2026-05-02","Per=Y","Days=T","Dir=V")</f>
        <v>0</v>
      </c>
      <c r="Q2">
        <f>BDH("KBH US Equity","BS_SHAREHOLDER_EQY_ENDING_PERIOD","1993-06-18","2026-05-02","Per=Y","Days=T","Dir=V")</f>
        <v>0</v>
      </c>
      <c r="S2">
        <f>BDH("KBH US Equity","BS_ACCT_NOTE_RCV","1993-06-18","2026-05-02","Per=Y","Days=T","Dir=V")</f>
        <v>0</v>
      </c>
      <c r="U2">
        <f>BDH("KBH US Equity","BS_INVENTORIES","1993-06-18","2026-05-02","Per=Y","Days=T","Dir=V")</f>
        <v>0</v>
      </c>
      <c r="W2">
        <f>BDH("KBH US Equity","WORKING_CAPITAL","1993-06-18","2026-05-02","Per=Y","Days=T","Dir=V")</f>
        <v>0</v>
      </c>
      <c r="Y2">
        <f>BDH("KBH US Equity","SALES_REV_TURN","1993-06-18","2026-05-02","Per=Y","Days=T","Dir=V")</f>
        <v>0</v>
      </c>
      <c r="AA2">
        <f>BDH("KBH US Equity","EBIT","1993-06-18","2026-05-02","Per=Y","Days=T","Dir=V")</f>
        <v>0</v>
      </c>
      <c r="AC2">
        <f>BDH("KBH US Equity","EBITDA","1993-06-18","2026-05-02","Per=Y","Days=T","Dir=V")</f>
        <v>0</v>
      </c>
      <c r="AE2">
        <f>BDH("KBH US Equity","NET_INCOME","1993-06-18","2026-05-02","Per=Y","Days=T","Dir=V")</f>
        <v>0</v>
      </c>
      <c r="AG2">
        <f>BDH("KBH US Equity","IS_INT_EXPENSE","1993-06-18","2026-05-02","Per=Y","Days=T","Dir=V")</f>
        <v>0</v>
      </c>
      <c r="AI2">
        <f>BDH("KBH US Equity","IS_DEPR_EXP","1993-06-18","2026-05-02","Per=Y","Days=T","Dir=V")</f>
        <v>0</v>
      </c>
      <c r="AK2">
        <f>BDH("KBH US Equity","CF_CASH_FROM_OPER","1993-06-18","2026-05-02","Per=Y","Days=T","Dir=V")</f>
        <v>0</v>
      </c>
      <c r="AM2">
        <f>BDH("KBH US Equity","CAPITAL_EXPEND","1993-06-18","2026-05-02","Per=Y","Days=T","Dir=V")</f>
        <v>0</v>
      </c>
      <c r="AO2">
        <f>BDH("KBH US Equity","CF_FREE_CASH_FLOW","1993-06-18","2026-05-02","Per=Y","Days=T","Dir=V")</f>
        <v>0</v>
      </c>
      <c r="AQ2">
        <f>BDH("KBH US Equity","PX_LAST","1993-06-18","2026-05-02","Per=M","Days=T","Dir=V")</f>
        <v>0</v>
      </c>
      <c r="AS2">
        <f>BDH("KBH US Equity","CUR_MKT_CAP","1993-06-18","2026-05-02","Per=M","Days=T","Dir=V")</f>
        <v>0</v>
      </c>
      <c r="AU2">
        <f>BDH("KBH US Equity","EQY_SH_OUT","1993-06-18","2026-05-02","Per=M","Days=T","Dir=V")</f>
        <v>0</v>
      </c>
      <c r="AW2">
        <f>BDH("KBH US Equity","PX_VOLUME","1993-06-18","2026-05-02","Per=M","Days=T","Dir=V")</f>
        <v>0</v>
      </c>
      <c r="AY2">
        <f>BDH("KBH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BDH("KBR US Equity","BS_TOT_ASSET","1993-06-18","2026-05-02","Per=Y","Days=T","Dir=V")</f>
        <v>0</v>
      </c>
      <c r="C2">
        <f>BDH("KBR US Equity","BS_TOT_LIAB2","1993-06-18","2026-05-02","Per=Y","Days=T","Dir=V")</f>
        <v>0</v>
      </c>
      <c r="E2">
        <f>BDH("KBR US Equity","SHORT_AND_LONG_TERM_DEBT","1993-06-18","2026-05-02","Per=Y","Days=T","Dir=V")</f>
        <v>0</v>
      </c>
      <c r="G2">
        <f>BDH("KBR US Equity","BS_ST_BORROW","1993-06-18","2026-05-02","Per=Y","Days=T","Dir=V")</f>
        <v>0</v>
      </c>
      <c r="I2">
        <f>BDH("KBR US Equity","BS_LT_BORROW","1993-06-18","2026-05-02","Per=Y","Days=T","Dir=V")</f>
        <v>0</v>
      </c>
      <c r="K2">
        <f>BDH("KBR US Equity","BS_CASH_NEAR_CASH_ITEM","1993-06-18","2026-05-02","Per=Y","Days=T","Dir=V")</f>
        <v>0</v>
      </c>
      <c r="M2">
        <f>BDH("KBR US Equity","BS_CUR_ASSET_REPORT","1993-06-18","2026-05-02","Per=Y","Days=T","Dir=V")</f>
        <v>0</v>
      </c>
      <c r="O2">
        <f>BDH("KBR US Equity","BS_CUR_LIAB","1993-06-18","2026-05-02","Per=Y","Days=T","Dir=V")</f>
        <v>0</v>
      </c>
      <c r="Q2">
        <f>BDH("KBR US Equity","BS_SHAREHOLDER_EQY_ENDING_PERIOD","1993-06-18","2026-05-02","Per=Y","Days=T","Dir=V")</f>
        <v>0</v>
      </c>
      <c r="S2">
        <f>BDH("KBR US Equity","BS_ACCT_NOTE_RCV","1993-06-18","2026-05-02","Per=Y","Days=T","Dir=V")</f>
        <v>0</v>
      </c>
      <c r="U2">
        <f>BDH("KBR US Equity","BS_INVENTORIES","1993-06-18","2026-05-02","Per=Y","Days=T","Dir=V")</f>
        <v>0</v>
      </c>
      <c r="W2">
        <f>BDH("KBR US Equity","WORKING_CAPITAL","1993-06-18","2026-05-02","Per=Y","Days=T","Dir=V")</f>
        <v>0</v>
      </c>
      <c r="Y2">
        <f>BDH("KBR US Equity","SALES_REV_TURN","1993-06-18","2026-05-02","Per=Y","Days=T","Dir=V")</f>
        <v>0</v>
      </c>
      <c r="AA2">
        <f>BDH("KBR US Equity","EBIT","1993-06-18","2026-05-02","Per=Y","Days=T","Dir=V")</f>
        <v>0</v>
      </c>
      <c r="AC2">
        <f>BDH("KBR US Equity","EBITDA","1993-06-18","2026-05-02","Per=Y","Days=T","Dir=V")</f>
        <v>0</v>
      </c>
      <c r="AE2">
        <f>BDH("KBR US Equity","NET_INCOME","1993-06-18","2026-05-02","Per=Y","Days=T","Dir=V")</f>
        <v>0</v>
      </c>
      <c r="AG2">
        <f>BDH("KBR US Equity","IS_INT_EXPENSE","1993-06-18","2026-05-02","Per=Y","Days=T","Dir=V")</f>
        <v>0</v>
      </c>
      <c r="AI2">
        <f>BDH("KBR US Equity","IS_DEPR_EXP","1993-06-18","2026-05-02","Per=Y","Days=T","Dir=V")</f>
        <v>0</v>
      </c>
      <c r="AK2">
        <f>BDH("KBR US Equity","CF_CASH_FROM_OPER","1993-06-18","2026-05-02","Per=Y","Days=T","Dir=V")</f>
        <v>0</v>
      </c>
      <c r="AM2">
        <f>BDH("KBR US Equity","CAPITAL_EXPEND","1993-06-18","2026-05-02","Per=Y","Days=T","Dir=V")</f>
        <v>0</v>
      </c>
      <c r="AO2">
        <f>BDH("KBR US Equity","CF_FREE_CASH_FLOW","1993-06-18","2026-05-02","Per=Y","Days=T","Dir=V")</f>
        <v>0</v>
      </c>
      <c r="AQ2">
        <f>BDH("KBR US Equity","PX_LAST","1993-06-18","2026-05-02","Per=M","Days=T","Dir=V")</f>
        <v>0</v>
      </c>
      <c r="AS2">
        <f>BDH("KBR US Equity","CUR_MKT_CAP","1993-06-18","2026-05-02","Per=M","Days=T","Dir=V")</f>
        <v>0</v>
      </c>
      <c r="AU2">
        <f>BDH("KBR US Equity","EQY_SH_OUT","1993-06-18","2026-05-02","Per=M","Days=T","Dir=V")</f>
        <v>0</v>
      </c>
      <c r="AW2">
        <f>BDH("KBR US Equity","PX_VOLUME","1993-06-18","2026-05-02","Per=M","Days=T","Dir=V")</f>
        <v>0</v>
      </c>
      <c r="AY2">
        <f>BDH("KBR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BDH("KD US Equity","BS_TOT_ASSET","1993-06-18","2026-05-02","Per=Y","Days=T","Dir=V")</f>
        <v>0</v>
      </c>
      <c r="C2">
        <f>BDH("KD US Equity","BS_TOT_LIAB2","1993-06-18","2026-05-02","Per=Y","Days=T","Dir=V")</f>
        <v>0</v>
      </c>
      <c r="E2">
        <f>BDH("KD US Equity","SHORT_AND_LONG_TERM_DEBT","1993-06-18","2026-05-02","Per=Y","Days=T","Dir=V")</f>
        <v>0</v>
      </c>
      <c r="G2">
        <f>BDH("KD US Equity","BS_ST_BORROW","1993-06-18","2026-05-02","Per=Y","Days=T","Dir=V")</f>
        <v>0</v>
      </c>
      <c r="I2">
        <f>BDH("KD US Equity","BS_LT_BORROW","1993-06-18","2026-05-02","Per=Y","Days=T","Dir=V")</f>
        <v>0</v>
      </c>
      <c r="K2">
        <f>BDH("KD US Equity","BS_CASH_NEAR_CASH_ITEM","1993-06-18","2026-05-02","Per=Y","Days=T","Dir=V")</f>
        <v>0</v>
      </c>
      <c r="M2">
        <f>BDH("KD US Equity","BS_CUR_ASSET_REPORT","1993-06-18","2026-05-02","Per=Y","Days=T","Dir=V")</f>
        <v>0</v>
      </c>
      <c r="O2">
        <f>BDH("KD US Equity","BS_CUR_LIAB","1993-06-18","2026-05-02","Per=Y","Days=T","Dir=V")</f>
        <v>0</v>
      </c>
      <c r="Q2">
        <f>BDH("KD US Equity","BS_SHAREHOLDER_EQY_ENDING_PERIOD","1993-06-18","2026-05-02","Per=Y","Days=T","Dir=V")</f>
        <v>0</v>
      </c>
      <c r="S2">
        <f>BDH("KD US Equity","BS_ACCT_NOTE_RCV","1993-06-18","2026-05-02","Per=Y","Days=T","Dir=V")</f>
        <v>0</v>
      </c>
      <c r="U2">
        <f>BDH("KD US Equity","BS_INVENTORIES","1993-06-18","2026-05-02","Per=Y","Days=T","Dir=V")</f>
        <v>0</v>
      </c>
      <c r="W2">
        <f>BDH("KD US Equity","WORKING_CAPITAL","1993-06-18","2026-05-02","Per=Y","Days=T","Dir=V")</f>
        <v>0</v>
      </c>
      <c r="Y2">
        <f>BDH("KD US Equity","SALES_REV_TURN","1993-06-18","2026-05-02","Per=Y","Days=T","Dir=V")</f>
        <v>0</v>
      </c>
      <c r="AA2">
        <f>BDH("KD US Equity","EBIT","1993-06-18","2026-05-02","Per=Y","Days=T","Dir=V")</f>
        <v>0</v>
      </c>
      <c r="AC2">
        <f>BDH("KD US Equity","EBITDA","1993-06-18","2026-05-02","Per=Y","Days=T","Dir=V")</f>
        <v>0</v>
      </c>
      <c r="AE2">
        <f>BDH("KD US Equity","NET_INCOME","1993-06-18","2026-05-02","Per=Y","Days=T","Dir=V")</f>
        <v>0</v>
      </c>
      <c r="AG2">
        <f>BDH("KD US Equity","IS_INT_EXPENSE","1993-06-18","2026-05-02","Per=Y","Days=T","Dir=V")</f>
        <v>0</v>
      </c>
      <c r="AI2">
        <f>BDH("KD US Equity","IS_DEPR_EXP","1993-06-18","2026-05-02","Per=Y","Days=T","Dir=V")</f>
        <v>0</v>
      </c>
      <c r="AK2">
        <f>BDH("KD US Equity","CF_CASH_FROM_OPER","1993-06-18","2026-05-02","Per=Y","Days=T","Dir=V")</f>
        <v>0</v>
      </c>
      <c r="AM2">
        <f>BDH("KD US Equity","CAPITAL_EXPEND","1993-06-18","2026-05-02","Per=Y","Days=T","Dir=V")</f>
        <v>0</v>
      </c>
      <c r="AO2">
        <f>BDH("KD US Equity","CF_FREE_CASH_FLOW","1993-06-18","2026-05-02","Per=Y","Days=T","Dir=V")</f>
        <v>0</v>
      </c>
      <c r="AQ2">
        <f>BDH("KD US Equity","PX_LAST","1993-06-18","2026-05-02","Per=M","Days=T","Dir=V")</f>
        <v>0</v>
      </c>
      <c r="AS2">
        <f>BDH("KD US Equity","CUR_MKT_CAP","1993-06-18","2026-05-02","Per=M","Days=T","Dir=V")</f>
        <v>0</v>
      </c>
      <c r="AU2">
        <f>BDH("KD US Equity","EQY_SH_OUT","1993-06-18","2026-05-02","Per=M","Days=T","Dir=V")</f>
        <v>0</v>
      </c>
      <c r="AW2">
        <f>BDH("KD US Equity","PX_VOLUME","1993-06-18","2026-05-02","Per=M","Days=T","Dir=V")</f>
        <v>0</v>
      </c>
      <c r="AY2">
        <f>BDH("KD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BDH("KDK US Equity","BS_TOT_ASSET","1993-06-18","2026-05-02","Per=Y","Days=T","Dir=V")</f>
        <v>0</v>
      </c>
      <c r="C2">
        <f>BDH("KDK US Equity","BS_TOT_LIAB2","1993-06-18","2026-05-02","Per=Y","Days=T","Dir=V")</f>
        <v>0</v>
      </c>
      <c r="E2">
        <f>BDH("KDK US Equity","SHORT_AND_LONG_TERM_DEBT","1993-06-18","2026-05-02","Per=Y","Days=T","Dir=V")</f>
        <v>0</v>
      </c>
      <c r="G2">
        <f>BDH("KDK US Equity","BS_ST_BORROW","1993-06-18","2026-05-02","Per=Y","Days=T","Dir=V")</f>
        <v>0</v>
      </c>
      <c r="I2">
        <f>BDH("KDK US Equity","BS_LT_BORROW","1993-06-18","2026-05-02","Per=Y","Days=T","Dir=V")</f>
        <v>0</v>
      </c>
      <c r="K2">
        <f>BDH("KDK US Equity","BS_CASH_NEAR_CASH_ITEM","1993-06-18","2026-05-02","Per=Y","Days=T","Dir=V")</f>
        <v>0</v>
      </c>
      <c r="M2">
        <f>BDH("KDK US Equity","BS_CUR_ASSET_REPORT","1993-06-18","2026-05-02","Per=Y","Days=T","Dir=V")</f>
        <v>0</v>
      </c>
      <c r="O2">
        <f>BDH("KDK US Equity","BS_CUR_LIAB","1993-06-18","2026-05-02","Per=Y","Days=T","Dir=V")</f>
        <v>0</v>
      </c>
      <c r="Q2">
        <f>BDH("KDK US Equity","BS_SHAREHOLDER_EQY_ENDING_PERIOD","1993-06-18","2026-05-02","Per=Y","Days=T","Dir=V")</f>
        <v>0</v>
      </c>
      <c r="S2">
        <f>BDH("KDK US Equity","BS_ACCT_NOTE_RCV","1993-06-18","2026-05-02","Per=Y","Days=T","Dir=V")</f>
        <v>0</v>
      </c>
      <c r="U2">
        <f>BDH("KDK US Equity","BS_INVENTORIES","1993-06-18","2026-05-02","Per=Y","Days=T","Dir=V")</f>
        <v>0</v>
      </c>
      <c r="W2">
        <f>BDH("KDK US Equity","WORKING_CAPITAL","1993-06-18","2026-05-02","Per=Y","Days=T","Dir=V")</f>
        <v>0</v>
      </c>
      <c r="Y2">
        <f>BDH("KDK US Equity","SALES_REV_TURN","1993-06-18","2026-05-02","Per=Y","Days=T","Dir=V")</f>
        <v>0</v>
      </c>
      <c r="AA2">
        <f>BDH("KDK US Equity","EBIT","1993-06-18","2026-05-02","Per=Y","Days=T","Dir=V")</f>
        <v>0</v>
      </c>
      <c r="AC2">
        <f>BDH("KDK US Equity","EBITDA","1993-06-18","2026-05-02","Per=Y","Days=T","Dir=V")</f>
        <v>0</v>
      </c>
      <c r="AE2">
        <f>BDH("KDK US Equity","NET_INCOME","1993-06-18","2026-05-02","Per=Y","Days=T","Dir=V")</f>
        <v>0</v>
      </c>
      <c r="AG2">
        <f>BDH("KDK US Equity","IS_INT_EXPENSE","1993-06-18","2026-05-02","Per=Y","Days=T","Dir=V")</f>
        <v>0</v>
      </c>
      <c r="AI2">
        <f>BDH("KDK US Equity","IS_DEPR_EXP","1993-06-18","2026-05-02","Per=Y","Days=T","Dir=V")</f>
        <v>0</v>
      </c>
      <c r="AK2">
        <f>BDH("KDK US Equity","CF_CASH_FROM_OPER","1993-06-18","2026-05-02","Per=Y","Days=T","Dir=V")</f>
        <v>0</v>
      </c>
      <c r="AM2">
        <f>BDH("KDK US Equity","CAPITAL_EXPEND","1993-06-18","2026-05-02","Per=Y","Days=T","Dir=V")</f>
        <v>0</v>
      </c>
      <c r="AO2">
        <f>BDH("KDK US Equity","CF_FREE_CASH_FLOW","1993-06-18","2026-05-02","Per=Y","Days=T","Dir=V")</f>
        <v>0</v>
      </c>
      <c r="AQ2">
        <f>BDH("KDK US Equity","PX_LAST","1993-06-18","2026-05-02","Per=M","Days=T","Dir=V")</f>
        <v>0</v>
      </c>
      <c r="AS2">
        <f>BDH("KDK US Equity","CUR_MKT_CAP","1993-06-18","2026-05-02","Per=M","Days=T","Dir=V")</f>
        <v>0</v>
      </c>
      <c r="AU2">
        <f>BDH("KDK US Equity","EQY_SH_OUT","1993-06-18","2026-05-02","Per=M","Days=T","Dir=V")</f>
        <v>0</v>
      </c>
      <c r="AW2">
        <f>BDH("KDK US Equity","PX_VOLUME","1993-06-18","2026-05-02","Per=M","Days=T","Dir=V")</f>
        <v>0</v>
      </c>
      <c r="AY2">
        <f>BDH("KDK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BDH("KDKRW US Equity","BS_TOT_ASSET","1993-06-18","2026-05-02","Per=Y","Days=T","Dir=V")</f>
        <v>0</v>
      </c>
      <c r="C2">
        <f>BDH("KDKRW US Equity","BS_TOT_LIAB2","1993-06-18","2026-05-02","Per=Y","Days=T","Dir=V")</f>
        <v>0</v>
      </c>
      <c r="E2">
        <f>BDH("KDKRW US Equity","SHORT_AND_LONG_TERM_DEBT","1993-06-18","2026-05-02","Per=Y","Days=T","Dir=V")</f>
        <v>0</v>
      </c>
      <c r="G2">
        <f>BDH("KDKRW US Equity","BS_ST_BORROW","1993-06-18","2026-05-02","Per=Y","Days=T","Dir=V")</f>
        <v>0</v>
      </c>
      <c r="I2">
        <f>BDH("KDKRW US Equity","BS_LT_BORROW","1993-06-18","2026-05-02","Per=Y","Days=T","Dir=V")</f>
        <v>0</v>
      </c>
      <c r="K2">
        <f>BDH("KDKRW US Equity","BS_CASH_NEAR_CASH_ITEM","1993-06-18","2026-05-02","Per=Y","Days=T","Dir=V")</f>
        <v>0</v>
      </c>
      <c r="M2">
        <f>BDH("KDKRW US Equity","BS_CUR_ASSET_REPORT","1993-06-18","2026-05-02","Per=Y","Days=T","Dir=V")</f>
        <v>0</v>
      </c>
      <c r="O2">
        <f>BDH("KDKRW US Equity","BS_CUR_LIAB","1993-06-18","2026-05-02","Per=Y","Days=T","Dir=V")</f>
        <v>0</v>
      </c>
      <c r="Q2">
        <f>BDH("KDKRW US Equity","BS_SHAREHOLDER_EQY_ENDING_PERIOD","1993-06-18","2026-05-02","Per=Y","Days=T","Dir=V")</f>
        <v>0</v>
      </c>
      <c r="S2">
        <f>BDH("KDKRW US Equity","BS_ACCT_NOTE_RCV","1993-06-18","2026-05-02","Per=Y","Days=T","Dir=V")</f>
        <v>0</v>
      </c>
      <c r="U2">
        <f>BDH("KDKRW US Equity","BS_INVENTORIES","1993-06-18","2026-05-02","Per=Y","Days=T","Dir=V")</f>
        <v>0</v>
      </c>
      <c r="W2">
        <f>BDH("KDKRW US Equity","WORKING_CAPITAL","1993-06-18","2026-05-02","Per=Y","Days=T","Dir=V")</f>
        <v>0</v>
      </c>
      <c r="Y2">
        <f>BDH("KDKRW US Equity","SALES_REV_TURN","1993-06-18","2026-05-02","Per=Y","Days=T","Dir=V")</f>
        <v>0</v>
      </c>
      <c r="AA2">
        <f>BDH("KDKRW US Equity","EBIT","1993-06-18","2026-05-02","Per=Y","Days=T","Dir=V")</f>
        <v>0</v>
      </c>
      <c r="AC2">
        <f>BDH("KDKRW US Equity","EBITDA","1993-06-18","2026-05-02","Per=Y","Days=T","Dir=V")</f>
        <v>0</v>
      </c>
      <c r="AE2">
        <f>BDH("KDKRW US Equity","NET_INCOME","1993-06-18","2026-05-02","Per=Y","Days=T","Dir=V")</f>
        <v>0</v>
      </c>
      <c r="AG2">
        <f>BDH("KDKRW US Equity","IS_INT_EXPENSE","1993-06-18","2026-05-02","Per=Y","Days=T","Dir=V")</f>
        <v>0</v>
      </c>
      <c r="AI2">
        <f>BDH("KDKRW US Equity","IS_DEPR_EXP","1993-06-18","2026-05-02","Per=Y","Days=T","Dir=V")</f>
        <v>0</v>
      </c>
      <c r="AK2">
        <f>BDH("KDKRW US Equity","CF_CASH_FROM_OPER","1993-06-18","2026-05-02","Per=Y","Days=T","Dir=V")</f>
        <v>0</v>
      </c>
      <c r="AM2">
        <f>BDH("KDKRW US Equity","CAPITAL_EXPEND","1993-06-18","2026-05-02","Per=Y","Days=T","Dir=V")</f>
        <v>0</v>
      </c>
      <c r="AO2">
        <f>BDH("KDKRW US Equity","CF_FREE_CASH_FLOW","1993-06-18","2026-05-02","Per=Y","Days=T","Dir=V")</f>
        <v>0</v>
      </c>
      <c r="AQ2">
        <f>BDH("KDKRW US Equity","PX_LAST","1993-06-18","2026-05-02","Per=M","Days=T","Dir=V")</f>
        <v>0</v>
      </c>
      <c r="AS2">
        <f>BDH("KDKRW US Equity","CUR_MKT_CAP","1993-06-18","2026-05-02","Per=M","Days=T","Dir=V")</f>
        <v>0</v>
      </c>
      <c r="AU2">
        <f>BDH("KDKRW US Equity","EQY_SH_OUT","1993-06-18","2026-05-02","Per=M","Days=T","Dir=V")</f>
        <v>0</v>
      </c>
      <c r="AW2">
        <f>BDH("KDKRW US Equity","PX_VOLUME","1993-06-18","2026-05-02","Per=M","Days=T","Dir=V")</f>
        <v>0</v>
      </c>
      <c r="AY2">
        <f>BDH("KDKRW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BDH("KDP US Equity","BS_TOT_ASSET","1993-06-18","2026-05-02","Per=Y","Days=T","Dir=V")</f>
        <v>0</v>
      </c>
      <c r="C2">
        <f>BDH("KDP US Equity","BS_TOT_LIAB2","1993-06-18","2026-05-02","Per=Y","Days=T","Dir=V")</f>
        <v>0</v>
      </c>
      <c r="E2">
        <f>BDH("KDP US Equity","SHORT_AND_LONG_TERM_DEBT","1993-06-18","2026-05-02","Per=Y","Days=T","Dir=V")</f>
        <v>0</v>
      </c>
      <c r="G2">
        <f>BDH("KDP US Equity","BS_ST_BORROW","1993-06-18","2026-05-02","Per=Y","Days=T","Dir=V")</f>
        <v>0</v>
      </c>
      <c r="I2">
        <f>BDH("KDP US Equity","BS_LT_BORROW","1993-06-18","2026-05-02","Per=Y","Days=T","Dir=V")</f>
        <v>0</v>
      </c>
      <c r="K2">
        <f>BDH("KDP US Equity","BS_CASH_NEAR_CASH_ITEM","1993-06-18","2026-05-02","Per=Y","Days=T","Dir=V")</f>
        <v>0</v>
      </c>
      <c r="M2">
        <f>BDH("KDP US Equity","BS_CUR_ASSET_REPORT","1993-06-18","2026-05-02","Per=Y","Days=T","Dir=V")</f>
        <v>0</v>
      </c>
      <c r="O2">
        <f>BDH("KDP US Equity","BS_CUR_LIAB","1993-06-18","2026-05-02","Per=Y","Days=T","Dir=V")</f>
        <v>0</v>
      </c>
      <c r="Q2">
        <f>BDH("KDP US Equity","BS_SHAREHOLDER_EQY_ENDING_PERIOD","1993-06-18","2026-05-02","Per=Y","Days=T","Dir=V")</f>
        <v>0</v>
      </c>
      <c r="S2">
        <f>BDH("KDP US Equity","BS_ACCT_NOTE_RCV","1993-06-18","2026-05-02","Per=Y","Days=T","Dir=V")</f>
        <v>0</v>
      </c>
      <c r="U2">
        <f>BDH("KDP US Equity","BS_INVENTORIES","1993-06-18","2026-05-02","Per=Y","Days=T","Dir=V")</f>
        <v>0</v>
      </c>
      <c r="W2">
        <f>BDH("KDP US Equity","WORKING_CAPITAL","1993-06-18","2026-05-02","Per=Y","Days=T","Dir=V")</f>
        <v>0</v>
      </c>
      <c r="Y2">
        <f>BDH("KDP US Equity","SALES_REV_TURN","1993-06-18","2026-05-02","Per=Y","Days=T","Dir=V")</f>
        <v>0</v>
      </c>
      <c r="AA2">
        <f>BDH("KDP US Equity","EBIT","1993-06-18","2026-05-02","Per=Y","Days=T","Dir=V")</f>
        <v>0</v>
      </c>
      <c r="AC2">
        <f>BDH("KDP US Equity","EBITDA","1993-06-18","2026-05-02","Per=Y","Days=T","Dir=V")</f>
        <v>0</v>
      </c>
      <c r="AE2">
        <f>BDH("KDP US Equity","NET_INCOME","1993-06-18","2026-05-02","Per=Y","Days=T","Dir=V")</f>
        <v>0</v>
      </c>
      <c r="AG2">
        <f>BDH("KDP US Equity","IS_INT_EXPENSE","1993-06-18","2026-05-02","Per=Y","Days=T","Dir=V")</f>
        <v>0</v>
      </c>
      <c r="AI2">
        <f>BDH("KDP US Equity","IS_DEPR_EXP","1993-06-18","2026-05-02","Per=Y","Days=T","Dir=V")</f>
        <v>0</v>
      </c>
      <c r="AK2">
        <f>BDH("KDP US Equity","CF_CASH_FROM_OPER","1993-06-18","2026-05-02","Per=Y","Days=T","Dir=V")</f>
        <v>0</v>
      </c>
      <c r="AM2">
        <f>BDH("KDP US Equity","CAPITAL_EXPEND","1993-06-18","2026-05-02","Per=Y","Days=T","Dir=V")</f>
        <v>0</v>
      </c>
      <c r="AO2">
        <f>BDH("KDP US Equity","CF_FREE_CASH_FLOW","1993-06-18","2026-05-02","Per=Y","Days=T","Dir=V")</f>
        <v>0</v>
      </c>
      <c r="AQ2">
        <f>BDH("KDP US Equity","PX_LAST","1993-06-18","2026-05-02","Per=M","Days=T","Dir=V")</f>
        <v>0</v>
      </c>
      <c r="AS2">
        <f>BDH("KDP US Equity","CUR_MKT_CAP","1993-06-18","2026-05-02","Per=M","Days=T","Dir=V")</f>
        <v>0</v>
      </c>
      <c r="AU2">
        <f>BDH("KDP US Equity","EQY_SH_OUT","1993-06-18","2026-05-02","Per=M","Days=T","Dir=V")</f>
        <v>0</v>
      </c>
      <c r="AW2">
        <f>BDH("KDP US Equity","PX_VOLUME","1993-06-18","2026-05-02","Per=M","Days=T","Dir=V")</f>
        <v>0</v>
      </c>
      <c r="AY2">
        <f>BDH("KDP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BDH("KE US Equity","BS_TOT_ASSET","1993-06-18","2026-05-02","Per=Y","Days=T","Dir=V")</f>
        <v>0</v>
      </c>
      <c r="C2">
        <f>BDH("KE US Equity","BS_TOT_LIAB2","1993-06-18","2026-05-02","Per=Y","Days=T","Dir=V")</f>
        <v>0</v>
      </c>
      <c r="E2">
        <f>BDH("KE US Equity","SHORT_AND_LONG_TERM_DEBT","1993-06-18","2026-05-02","Per=Y","Days=T","Dir=V")</f>
        <v>0</v>
      </c>
      <c r="G2">
        <f>BDH("KE US Equity","BS_ST_BORROW","1993-06-18","2026-05-02","Per=Y","Days=T","Dir=V")</f>
        <v>0</v>
      </c>
      <c r="I2">
        <f>BDH("KE US Equity","BS_LT_BORROW","1993-06-18","2026-05-02","Per=Y","Days=T","Dir=V")</f>
        <v>0</v>
      </c>
      <c r="K2">
        <f>BDH("KE US Equity","BS_CASH_NEAR_CASH_ITEM","1993-06-18","2026-05-02","Per=Y","Days=T","Dir=V")</f>
        <v>0</v>
      </c>
      <c r="M2">
        <f>BDH("KE US Equity","BS_CUR_ASSET_REPORT","1993-06-18","2026-05-02","Per=Y","Days=T","Dir=V")</f>
        <v>0</v>
      </c>
      <c r="O2">
        <f>BDH("KE US Equity","BS_CUR_LIAB","1993-06-18","2026-05-02","Per=Y","Days=T","Dir=V")</f>
        <v>0</v>
      </c>
      <c r="Q2">
        <f>BDH("KE US Equity","BS_SHAREHOLDER_EQY_ENDING_PERIOD","1993-06-18","2026-05-02","Per=Y","Days=T","Dir=V")</f>
        <v>0</v>
      </c>
      <c r="S2">
        <f>BDH("KE US Equity","BS_ACCT_NOTE_RCV","1993-06-18","2026-05-02","Per=Y","Days=T","Dir=V")</f>
        <v>0</v>
      </c>
      <c r="U2">
        <f>BDH("KE US Equity","BS_INVENTORIES","1993-06-18","2026-05-02","Per=Y","Days=T","Dir=V")</f>
        <v>0</v>
      </c>
      <c r="W2">
        <f>BDH("KE US Equity","WORKING_CAPITAL","1993-06-18","2026-05-02","Per=Y","Days=T","Dir=V")</f>
        <v>0</v>
      </c>
      <c r="Y2">
        <f>BDH("KE US Equity","SALES_REV_TURN","1993-06-18","2026-05-02","Per=Y","Days=T","Dir=V")</f>
        <v>0</v>
      </c>
      <c r="AA2">
        <f>BDH("KE US Equity","EBIT","1993-06-18","2026-05-02","Per=Y","Days=T","Dir=V")</f>
        <v>0</v>
      </c>
      <c r="AC2">
        <f>BDH("KE US Equity","EBITDA","1993-06-18","2026-05-02","Per=Y","Days=T","Dir=V")</f>
        <v>0</v>
      </c>
      <c r="AE2">
        <f>BDH("KE US Equity","NET_INCOME","1993-06-18","2026-05-02","Per=Y","Days=T","Dir=V")</f>
        <v>0</v>
      </c>
      <c r="AG2">
        <f>BDH("KE US Equity","IS_INT_EXPENSE","1993-06-18","2026-05-02","Per=Y","Days=T","Dir=V")</f>
        <v>0</v>
      </c>
      <c r="AI2">
        <f>BDH("KE US Equity","IS_DEPR_EXP","1993-06-18","2026-05-02","Per=Y","Days=T","Dir=V")</f>
        <v>0</v>
      </c>
      <c r="AK2">
        <f>BDH("KE US Equity","CF_CASH_FROM_OPER","1993-06-18","2026-05-02","Per=Y","Days=T","Dir=V")</f>
        <v>0</v>
      </c>
      <c r="AM2">
        <f>BDH("KE US Equity","CAPITAL_EXPEND","1993-06-18","2026-05-02","Per=Y","Days=T","Dir=V")</f>
        <v>0</v>
      </c>
      <c r="AO2">
        <f>BDH("KE US Equity","CF_FREE_CASH_FLOW","1993-06-18","2026-05-02","Per=Y","Days=T","Dir=V")</f>
        <v>0</v>
      </c>
      <c r="AQ2">
        <f>BDH("KE US Equity","PX_LAST","1993-06-18","2026-05-02","Per=M","Days=T","Dir=V")</f>
        <v>0</v>
      </c>
      <c r="AS2">
        <f>BDH("KE US Equity","CUR_MKT_CAP","1993-06-18","2026-05-02","Per=M","Days=T","Dir=V")</f>
        <v>0</v>
      </c>
      <c r="AU2">
        <f>BDH("KE US Equity","EQY_SH_OUT","1993-06-18","2026-05-02","Per=M","Days=T","Dir=V")</f>
        <v>0</v>
      </c>
      <c r="AW2">
        <f>BDH("KE US Equity","PX_VOLUME","1993-06-18","2026-05-02","Per=M","Days=T","Dir=V")</f>
        <v>0</v>
      </c>
      <c r="AY2">
        <f>BDH("KE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1107</v>
      </c>
      <c r="B1" t="s">
        <v>1108</v>
      </c>
      <c r="C1" t="s">
        <v>1109</v>
      </c>
      <c r="D1" t="s">
        <v>1110</v>
      </c>
      <c r="E1" t="s">
        <v>1111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1126</v>
      </c>
      <c r="U1" t="s">
        <v>1127</v>
      </c>
      <c r="V1" t="s">
        <v>1128</v>
      </c>
      <c r="W1" t="s">
        <v>1129</v>
      </c>
      <c r="X1" t="s">
        <v>1130</v>
      </c>
      <c r="Y1" t="s">
        <v>1131</v>
      </c>
      <c r="Z1" t="s">
        <v>1132</v>
      </c>
      <c r="AA1" t="s">
        <v>1133</v>
      </c>
      <c r="AB1" t="s">
        <v>1134</v>
      </c>
      <c r="AC1" t="s">
        <v>1135</v>
      </c>
      <c r="AD1" t="s">
        <v>1136</v>
      </c>
      <c r="AE1" t="s">
        <v>1137</v>
      </c>
      <c r="AF1" t="s">
        <v>1138</v>
      </c>
      <c r="AG1" t="s">
        <v>1139</v>
      </c>
      <c r="AH1" t="s">
        <v>1140</v>
      </c>
      <c r="AI1" t="s">
        <v>1141</v>
      </c>
      <c r="AJ1" t="s">
        <v>1142</v>
      </c>
      <c r="AK1" t="s">
        <v>1143</v>
      </c>
      <c r="AL1" t="s">
        <v>1144</v>
      </c>
      <c r="AM1" t="s">
        <v>1145</v>
      </c>
      <c r="AN1" t="s">
        <v>1146</v>
      </c>
      <c r="AO1" t="s">
        <v>1147</v>
      </c>
      <c r="AP1" t="s">
        <v>1148</v>
      </c>
      <c r="AQ1" t="s">
        <v>1149</v>
      </c>
      <c r="AR1" t="s">
        <v>1150</v>
      </c>
      <c r="AS1" t="s">
        <v>1151</v>
      </c>
      <c r="AT1" t="s">
        <v>1152</v>
      </c>
      <c r="AU1" t="s">
        <v>1153</v>
      </c>
      <c r="AV1" t="s">
        <v>1154</v>
      </c>
      <c r="AW1" t="s">
        <v>1155</v>
      </c>
      <c r="AX1" t="s">
        <v>1156</v>
      </c>
      <c r="AY1" t="s">
        <v>1157</v>
      </c>
      <c r="AZ1" t="s">
        <v>1158</v>
      </c>
    </row>
    <row r="2" spans="1:52">
      <c r="A2">
        <f>BDH("KELYA US Equity","BS_TOT_ASSET","1993-06-18","2026-05-02","Per=Y","Days=T","Dir=V")</f>
        <v>0</v>
      </c>
      <c r="C2">
        <f>BDH("KELYA US Equity","BS_TOT_LIAB2","1993-06-18","2026-05-02","Per=Y","Days=T","Dir=V")</f>
        <v>0</v>
      </c>
      <c r="E2">
        <f>BDH("KELYA US Equity","SHORT_AND_LONG_TERM_DEBT","1993-06-18","2026-05-02","Per=Y","Days=T","Dir=V")</f>
        <v>0</v>
      </c>
      <c r="G2">
        <f>BDH("KELYA US Equity","BS_ST_BORROW","1993-06-18","2026-05-02","Per=Y","Days=T","Dir=V")</f>
        <v>0</v>
      </c>
      <c r="I2">
        <f>BDH("KELYA US Equity","BS_LT_BORROW","1993-06-18","2026-05-02","Per=Y","Days=T","Dir=V")</f>
        <v>0</v>
      </c>
      <c r="K2">
        <f>BDH("KELYA US Equity","BS_CASH_NEAR_CASH_ITEM","1993-06-18","2026-05-02","Per=Y","Days=T","Dir=V")</f>
        <v>0</v>
      </c>
      <c r="M2">
        <f>BDH("KELYA US Equity","BS_CUR_ASSET_REPORT","1993-06-18","2026-05-02","Per=Y","Days=T","Dir=V")</f>
        <v>0</v>
      </c>
      <c r="O2">
        <f>BDH("KELYA US Equity","BS_CUR_LIAB","1993-06-18","2026-05-02","Per=Y","Days=T","Dir=V")</f>
        <v>0</v>
      </c>
      <c r="Q2">
        <f>BDH("KELYA US Equity","BS_SHAREHOLDER_EQY_ENDING_PERIOD","1993-06-18","2026-05-02","Per=Y","Days=T","Dir=V")</f>
        <v>0</v>
      </c>
      <c r="S2">
        <f>BDH("KELYA US Equity","BS_ACCT_NOTE_RCV","1993-06-18","2026-05-02","Per=Y","Days=T","Dir=V")</f>
        <v>0</v>
      </c>
      <c r="U2">
        <f>BDH("KELYA US Equity","BS_INVENTORIES","1993-06-18","2026-05-02","Per=Y","Days=T","Dir=V")</f>
        <v>0</v>
      </c>
      <c r="W2">
        <f>BDH("KELYA US Equity","WORKING_CAPITAL","1993-06-18","2026-05-02","Per=Y","Days=T","Dir=V")</f>
        <v>0</v>
      </c>
      <c r="Y2">
        <f>BDH("KELYA US Equity","SALES_REV_TURN","1993-06-18","2026-05-02","Per=Y","Days=T","Dir=V")</f>
        <v>0</v>
      </c>
      <c r="AA2">
        <f>BDH("KELYA US Equity","EBIT","1993-06-18","2026-05-02","Per=Y","Days=T","Dir=V")</f>
        <v>0</v>
      </c>
      <c r="AC2">
        <f>BDH("KELYA US Equity","EBITDA","1993-06-18","2026-05-02","Per=Y","Days=T","Dir=V")</f>
        <v>0</v>
      </c>
      <c r="AE2">
        <f>BDH("KELYA US Equity","NET_INCOME","1993-06-18","2026-05-02","Per=Y","Days=T","Dir=V")</f>
        <v>0</v>
      </c>
      <c r="AG2">
        <f>BDH("KELYA US Equity","IS_INT_EXPENSE","1993-06-18","2026-05-02","Per=Y","Days=T","Dir=V")</f>
        <v>0</v>
      </c>
      <c r="AI2">
        <f>BDH("KELYA US Equity","IS_DEPR_EXP","1993-06-18","2026-05-02","Per=Y","Days=T","Dir=V")</f>
        <v>0</v>
      </c>
      <c r="AK2">
        <f>BDH("KELYA US Equity","CF_CASH_FROM_OPER","1993-06-18","2026-05-02","Per=Y","Days=T","Dir=V")</f>
        <v>0</v>
      </c>
      <c r="AM2">
        <f>BDH("KELYA US Equity","CAPITAL_EXPEND","1993-06-18","2026-05-02","Per=Y","Days=T","Dir=V")</f>
        <v>0</v>
      </c>
      <c r="AO2">
        <f>BDH("KELYA US Equity","CF_FREE_CASH_FLOW","1993-06-18","2026-05-02","Per=Y","Days=T","Dir=V")</f>
        <v>0</v>
      </c>
      <c r="AQ2">
        <f>BDH("KELYA US Equity","PX_LAST","1993-06-18","2026-05-02","Per=M","Days=T","Dir=V")</f>
        <v>0</v>
      </c>
      <c r="AS2">
        <f>BDH("KELYA US Equity","CUR_MKT_CAP","1993-06-18","2026-05-02","Per=M","Days=T","Dir=V")</f>
        <v>0</v>
      </c>
      <c r="AU2">
        <f>BDH("KELYA US Equity","EQY_SH_OUT","1993-06-18","2026-05-02","Per=M","Days=T","Dir=V")</f>
        <v>0</v>
      </c>
      <c r="AW2">
        <f>BDH("KELYA US Equity","PX_VOLUME","1993-06-18","2026-05-02","Per=M","Days=T","Dir=V")</f>
        <v>0</v>
      </c>
      <c r="AY2">
        <f>BDH("KELYA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NB_1231_HawkEye 360 Inc. Common</vt:lpstr>
      <vt:lpstr>NB_1232_Hayward Holdings Inc. C</vt:lpstr>
      <vt:lpstr>NB_1233_Hamilton Beach Brands H</vt:lpstr>
      <vt:lpstr>NB_1234_Harvard Bioscience Inc.</vt:lpstr>
      <vt:lpstr>NB_1235_HCA Healthcare Inc. Com</vt:lpstr>
      <vt:lpstr>NB_1236_Health Catalyst Inc Com</vt:lpstr>
      <vt:lpstr>NB_1237_Warrior Met Coal Inc. C</vt:lpstr>
      <vt:lpstr>NB_1238_Hackett Group Inc (The)</vt:lpstr>
      <vt:lpstr>NB_1239_HCM III Acquisition Cor</vt:lpstr>
      <vt:lpstr>NB_1240_Healthcare Services Gro</vt:lpstr>
      <vt:lpstr>NB_1241_Healthcare Triangle Inc</vt:lpstr>
      <vt:lpstr>NB_1242_HCW Biologics Inc. Comm</vt:lpstr>
      <vt:lpstr>NB_1243_Home Depot Inc. (The) C</vt:lpstr>
      <vt:lpstr>NB_1244_Hadron Energy Inc. Comm</vt:lpstr>
      <vt:lpstr>NB_1245_Hadron Energy Inc. Warr</vt:lpstr>
      <vt:lpstr>NB_1246_Hudson Technologies Inc</vt:lpstr>
      <vt:lpstr>NB_1247_Hawaiian Electric Indus</vt:lpstr>
      <vt:lpstr>NB_1248_Heico Corporation Commo</vt:lpstr>
      <vt:lpstr>NB_1249_Hess Midstream LP Class</vt:lpstr>
      <vt:lpstr>NB_1250_HF Foods Group Inc. Com</vt:lpstr>
      <vt:lpstr>NB_1251_Heritage Global Inc. Co</vt:lpstr>
      <vt:lpstr>NB_1252_Hilton Grand Vacations </vt:lpstr>
      <vt:lpstr>NB_1253_Harte Hanks Inc. Common</vt:lpstr>
      <vt:lpstr>NB_1254_Huntington Ingalls Indu</vt:lpstr>
      <vt:lpstr>NB_1255_Hims &amp; Hers Health Inc.</vt:lpstr>
      <vt:lpstr>NB_1256_Vyome Holdings Inc. Com</vt:lpstr>
      <vt:lpstr>NB_1257_Hecla Mining Company Co</vt:lpstr>
      <vt:lpstr>NB_1258_Helios Technologies Inc</vt:lpstr>
      <vt:lpstr>NB_1259_Harmonic Inc. Common St</vt:lpstr>
      <vt:lpstr>NB_1260_Holley Inc. Common Stoc</vt:lpstr>
      <vt:lpstr>NB_1261_Hillman Solutions Corp.</vt:lpstr>
      <vt:lpstr>NB_1262_Hilton Worldwide Holdin</vt:lpstr>
      <vt:lpstr>NB_1263_HMH Holding Inc. Class </vt:lpstr>
      <vt:lpstr>NB_1264_Hinge Health Inc. Class</vt:lpstr>
      <vt:lpstr>NB_1265_HNI Corporation Common </vt:lpstr>
      <vt:lpstr>NB_1266_Hallador Energy Company</vt:lpstr>
      <vt:lpstr>NB_1267_The Honest Company Inc.</vt:lpstr>
      <vt:lpstr>NB_1268_Hooker Furnishings Corp</vt:lpstr>
      <vt:lpstr>NB_1269_Harley-Davidson Inc. Co</vt:lpstr>
      <vt:lpstr>NB_1270_MicroCloud Hologram Inc</vt:lpstr>
      <vt:lpstr>NB_1271_MicroCloud Hologram Inc</vt:lpstr>
      <vt:lpstr>NB_1272_Honeywell International</vt:lpstr>
      <vt:lpstr>NB_1273_Honeywell Aerospace Inc</vt:lpstr>
      <vt:lpstr>NB_1274_Hornbeck Offshore Servi</vt:lpstr>
      <vt:lpstr>NB_1275_Hour Loop Inc. Common S</vt:lpstr>
      <vt:lpstr>NB_1276_Hovnanian Enterprises I</vt:lpstr>
      <vt:lpstr>NB_1277_Hovnanian Enterprises I</vt:lpstr>
      <vt:lpstr>NB_1278_New Horizon Aircraft Lt</vt:lpstr>
      <vt:lpstr>NB_1279_New Horizon Aircraft Lt</vt:lpstr>
      <vt:lpstr>NB_1280_Werewolf Therapeutics I</vt:lpstr>
      <vt:lpstr>NB_1281_Helmerich &amp; Payne Inc. </vt:lpstr>
      <vt:lpstr>NB_1282_Hewlett Packard Enterpr</vt:lpstr>
      <vt:lpstr>NB_1283_HighPeak Energy Inc. Co</vt:lpstr>
      <vt:lpstr>NB_1284_HP Inc. Common Stock</vt:lpstr>
      <vt:lpstr>NB_1285_HireQuest Inc. Common S</vt:lpstr>
      <vt:lpstr>NB_1286_HealthEquity Inc. Commo</vt:lpstr>
      <vt:lpstr>NB_1287_H&amp;R Block Inc. Common S</vt:lpstr>
      <vt:lpstr>NB_1288_Herc Holdings Inc. Comm</vt:lpstr>
      <vt:lpstr>NB_1289_Hormel Foods Corporatio</vt:lpstr>
      <vt:lpstr>NB_1290_Harmony Biosciences Hol</vt:lpstr>
      <vt:lpstr>NB_1291_Harrow Inc. Common Stoc</vt:lpstr>
      <vt:lpstr>NB_1292_Heron Therapeutics Inc.</vt:lpstr>
      <vt:lpstr>NB_1293_HeartSciences Inc. Comm</vt:lpstr>
      <vt:lpstr>NB_1294_HeartSciences Inc. Warr</vt:lpstr>
      <vt:lpstr>NB_1295_Solana Company Class A </vt:lpstr>
      <vt:lpstr>NB_1296_Henry Schein Inc. Commo</vt:lpstr>
      <vt:lpstr>NB_1297_HealthStream Inc. Commo</vt:lpstr>
      <vt:lpstr>NB_1298_The Hershey Company Com</vt:lpstr>
      <vt:lpstr>NB_1299_Heartflow Inc. Common S</vt:lpstr>
      <vt:lpstr>NB_1300_Heartland Express Inc. </vt:lpstr>
      <vt:lpstr>NB_1301_H2O America Common Stoc</vt:lpstr>
      <vt:lpstr>NB_1302_Hertz Global Holdings I</vt:lpstr>
      <vt:lpstr>NB_1303_Hertz Global Holdings I</vt:lpstr>
      <vt:lpstr>NB_1304_Hubbell Inc Common Stoc</vt:lpstr>
      <vt:lpstr>NB_1305_Hub Group Inc. Class A </vt:lpstr>
      <vt:lpstr>NB_1306_HubSpot Inc. Common Sto</vt:lpstr>
      <vt:lpstr>NB_1307_Huckleberry.ai Inc. Cla</vt:lpstr>
      <vt:lpstr>NB_1308_Humana Inc. Common Stoc</vt:lpstr>
      <vt:lpstr>NB_1309_Humacyte Inc. Common St</vt:lpstr>
      <vt:lpstr>NB_1310_Huntsman Corporation Co</vt:lpstr>
      <vt:lpstr>NB_1311_TuHURA Biosciences Inc.</vt:lpstr>
      <vt:lpstr>NB_1312_Hurco Companies Inc. Co</vt:lpstr>
      <vt:lpstr>NB_1313_Huron Consulting Group </vt:lpstr>
      <vt:lpstr>NB_1314_HUYA Inc. American depo</vt:lpstr>
      <vt:lpstr>NB_1315_Haverty Furniture Compa</vt:lpstr>
      <vt:lpstr>NB_1316_Hawkins Inc. Common Sto</vt:lpstr>
      <vt:lpstr>NB_1317_Howmet Aerospace Inc. C</vt:lpstr>
      <vt:lpstr>NB_1318_Hexcel Corporation Comm</vt:lpstr>
      <vt:lpstr>NB_1319_Hyster-Yale Inc. Class </vt:lpstr>
      <vt:lpstr>NB_1320_Hydrofarm Holdings Grou</vt:lpstr>
      <vt:lpstr>NB_1321_Hyliion Holdings Corp. </vt:lpstr>
      <vt:lpstr>NB_1322_Hycroft Mining Holding </vt:lpstr>
      <vt:lpstr>NB_1323_Hyperion DeFi Inc. Comm</vt:lpstr>
      <vt:lpstr>NB_1324_Hyperfine Inc. Class A </vt:lpstr>
      <vt:lpstr>NB_1325_MarineMax Inc.  (FL) Co</vt:lpstr>
      <vt:lpstr>NB_1326_Innovative Solutions an</vt:lpstr>
      <vt:lpstr>NB_1327_Integra LifeSciences Ho</vt:lpstr>
      <vt:lpstr>NB_1328_iBio Inc. Common Stock</vt:lpstr>
      <vt:lpstr>NB_1329_International Business </vt:lpstr>
      <vt:lpstr>NB_1330_Installed Building Prod</vt:lpstr>
      <vt:lpstr>NB_1331_ImmunityBio Inc. Common</vt:lpstr>
      <vt:lpstr>NB_1332_Ibotta Inc. Class A Com</vt:lpstr>
      <vt:lpstr>NB_1333_ImmuCell Corporation Co</vt:lpstr>
      <vt:lpstr>NB_1334_ICF International Inc. </vt:lpstr>
      <vt:lpstr>NB_1335_Ichor Holdings Ordinary</vt:lpstr>
      <vt:lpstr>NB_1336_SeaStar Medical Holding</vt:lpstr>
      <vt:lpstr>NB_1337_SeaStar Medical Holding</vt:lpstr>
      <vt:lpstr>NB_1338_ICU Medical Inc. Common</vt:lpstr>
      <vt:lpstr>NB_1339_IDACORP Inc. Common Sto</vt:lpstr>
      <vt:lpstr>NB_1340_T Stamp Inc. Class A Co</vt:lpstr>
      <vt:lpstr>NB_1341_Intellicheck Inc. Commo</vt:lpstr>
      <vt:lpstr>NB_1342_Idaho Strategic Resourc</vt:lpstr>
      <vt:lpstr>NB_1343_IDT Corporation Class B</vt:lpstr>
      <vt:lpstr>NB_1344_IDEXX Laboratories Inc.</vt:lpstr>
      <vt:lpstr>NB_1345_IDEAYA Biosciences Inc.</vt:lpstr>
      <vt:lpstr>NB_1346_Icahn Enterprises L.P. </vt:lpstr>
      <vt:lpstr>NB_1347_IES Holdings Inc. Commo</vt:lpstr>
      <vt:lpstr>NB_1348_IDEX Corporation Common</vt:lpstr>
      <vt:lpstr>NB_1349_International Flavors &amp;</vt:lpstr>
      <vt:lpstr>NB_1350_IGC Pharma Inc. Common </vt:lpstr>
      <vt:lpstr>NB_1351_iHeartMedia Inc. Class </vt:lpstr>
      <vt:lpstr>NB_1352_Information Services Gr</vt:lpstr>
      <vt:lpstr>NB_1353_Insteel Industries Inc.</vt:lpstr>
      <vt:lpstr>NB_1354_i3 Verticals Inc. Class</vt:lpstr>
      <vt:lpstr>NB_1355_Inhibikase Therapeutics</vt:lpstr>
      <vt:lpstr>NB_1356_Illumina Inc. Common St</vt:lpstr>
      <vt:lpstr>NB_1357_ImageneBio Inc. Common </vt:lpstr>
      <vt:lpstr>NB_1358_Insight Molecular Diagn</vt:lpstr>
      <vt:lpstr>NB_1359_Ingles Markets Incorpor</vt:lpstr>
      <vt:lpstr>NB_1360_Immersion Corporation C</vt:lpstr>
      <vt:lpstr>NB_1361_Immix Biopharma Inc. Co</vt:lpstr>
      <vt:lpstr>NB_1362_Immunome Inc. Common St</vt:lpstr>
      <vt:lpstr>NB_1363_Imunon Inc. Common Stoc</vt:lpstr>
      <vt:lpstr>NB_1364_Immuneering Corporation</vt:lpstr>
      <vt:lpstr>NB_1365_Terrestrial Energy Inc.</vt:lpstr>
      <vt:lpstr>NB_1366_Terrestrial Energy Inc.</vt:lpstr>
      <vt:lpstr>NB_1367_Immunic Inc. Common Sto</vt:lpstr>
      <vt:lpstr>NB_1368_Immunovant Inc. Common </vt:lpstr>
      <vt:lpstr>NB_1369_International Money Exp</vt:lpstr>
      <vt:lpstr>NB_1370_IN8bio Inc. Common Stoc</vt:lpstr>
      <vt:lpstr>NB_1371_Intelligent Bio Solutio</vt:lpstr>
      <vt:lpstr>NB_1372_Inhibrx Biosciences Inc</vt:lpstr>
      <vt:lpstr>NB_1373_Incyte Corp. Common Sto</vt:lpstr>
      <vt:lpstr>NB_1374_indie Semiconductor Inc</vt:lpstr>
      <vt:lpstr>NB_1375_Indaptus Therapeutics I</vt:lpstr>
      <vt:lpstr>NB_1376_InfuSystems Holdings In</vt:lpstr>
      <vt:lpstr>NB_1377_Ingram Micro Holding Co</vt:lpstr>
      <vt:lpstr>NB_1378_Inogen Inc Common Stock</vt:lpstr>
      <vt:lpstr>NB_1379_Ingredion Incorporated </vt:lpstr>
      <vt:lpstr>NB_1380_Inno Holdings Inc. Comm</vt:lpstr>
      <vt:lpstr>NB_1381_MiNK Therapeutics Inc. </vt:lpstr>
      <vt:lpstr>NB_1382_INmune Bio Inc. Common </vt:lpstr>
      <vt:lpstr>NB_1383_InnovAge Holding Corp. </vt:lpstr>
      <vt:lpstr>NB_1384_Inovio Pharmaceuticals </vt:lpstr>
      <vt:lpstr>NB_1385_Innodata Inc. Common St</vt:lpstr>
      <vt:lpstr>NB_1386_Infinity Natural Resour</vt:lpstr>
      <vt:lpstr>NB_1387_Inspired Entertainment </vt:lpstr>
      <vt:lpstr>NB_1388_Inseego Corp. Common St</vt:lpstr>
      <vt:lpstr>NB_1389_Insmed Incorporated Com</vt:lpstr>
      <vt:lpstr>NB_1390_Inspire Medical Systems</vt:lpstr>
      <vt:lpstr>NB_1391_International Seaways I</vt:lpstr>
      <vt:lpstr>NB_1392_Intapp Inc. Common Stoc</vt:lpstr>
      <vt:lpstr>NB_1393_Intel Corporation Commo</vt:lpstr>
      <vt:lpstr>NB_1394_Intensity Therapeutics </vt:lpstr>
      <vt:lpstr>NB_1395_inTest Corporation Comm</vt:lpstr>
      <vt:lpstr>NB_1396_Intuit Inc. Common Stoc</vt:lpstr>
      <vt:lpstr>NB_1397_Intrusion Inc. Common S</vt:lpstr>
      <vt:lpstr>NB_1398_Inuvo Inc.</vt:lpstr>
      <vt:lpstr>NB_1399_Innoviva Inc. Common St</vt:lpstr>
      <vt:lpstr>NB_1400_INVE Technologies Inc. </vt:lpstr>
      <vt:lpstr>NB_1401_Innovex International I</vt:lpstr>
      <vt:lpstr>NB_1402_IonQ Inc. Common Stock</vt:lpstr>
      <vt:lpstr>NB_1403_Ionis Pharmaceuticals I</vt:lpstr>
      <vt:lpstr>NB_1404_Innospec Inc. Common St</vt:lpstr>
      <vt:lpstr>NB_1405_Samsara Inc. Class A Co</vt:lpstr>
      <vt:lpstr>NB_1406_Iovance Biotherapeutics</vt:lpstr>
      <vt:lpstr>NB_1407_International Paper Com</vt:lpstr>
      <vt:lpstr>NB_1408_Interparfums Inc. Commo</vt:lpstr>
      <vt:lpstr>NB_1409_Professional Diversity </vt:lpstr>
      <vt:lpstr>NB_1410_Inflection Point Acquis</vt:lpstr>
      <vt:lpstr>NB_1411_IPG Photonics Corporati</vt:lpstr>
      <vt:lpstr>NB_1412_Intrepid Potash Inc Com</vt:lpstr>
      <vt:lpstr>NB_1413_Intelligent Protection </vt:lpstr>
      <vt:lpstr>NB_1414_Century Therapeutics In</vt:lpstr>
      <vt:lpstr>NB_1415_IP Strategy Holdings In</vt:lpstr>
      <vt:lpstr>NB_1416_iPower Inc. Common Stoc</vt:lpstr>
      <vt:lpstr>NB_1417_Ideal Power Inc. Common</vt:lpstr>
      <vt:lpstr>NB_1418_IperionX Limited Americ</vt:lpstr>
      <vt:lpstr>NB_1419_iQSTEL Inc. Common Stoc</vt:lpstr>
      <vt:lpstr>NB_1420_IQVIA Holdings Inc. Com</vt:lpstr>
      <vt:lpstr>NB_1421_Ingersoll Rand Inc. Com</vt:lpstr>
      <vt:lpstr>NB_1422_Opus Genetics Inc. Comm</vt:lpstr>
      <vt:lpstr>NB_1423_Iridium Communications </vt:lpstr>
      <vt:lpstr>NB_1424_IRIDEX Corporation Comm</vt:lpstr>
      <vt:lpstr>NB_1425_iRadimed Corporation Co</vt:lpstr>
      <vt:lpstr>NB_1426_Disc Medicine Inc. Comm</vt:lpstr>
      <vt:lpstr>NB_1427_iRhythm Holdings Inc. C</vt:lpstr>
      <vt:lpstr>NB_1428_Ironwood Pharmaceutical</vt:lpstr>
      <vt:lpstr>NB_1429_iSpecimen Inc. Common S</vt:lpstr>
      <vt:lpstr>NB_1430_Ispire Technology Inc. </vt:lpstr>
      <vt:lpstr>NB_1431_Intuitive Surgical Inc.</vt:lpstr>
      <vt:lpstr>NB_1432_Gartner Inc. Common Sto</vt:lpstr>
      <vt:lpstr>NB_1433_ITG Inc. Class A Common</vt:lpstr>
      <vt:lpstr>NB_1434_Integer Holdings Corpor</vt:lpstr>
      <vt:lpstr>NB_1435_Itron Inc. Common Stock</vt:lpstr>
      <vt:lpstr>NB_1436_ITT Inc. Common Stock</vt:lpstr>
      <vt:lpstr>NB_1437_Illinois Tool Works Inc</vt:lpstr>
      <vt:lpstr>NB_1438_Iveda Solutions Inc. Co</vt:lpstr>
      <vt:lpstr>NB_1439_Iveda Solutions Inc. Wa</vt:lpstr>
      <vt:lpstr>NB_1440_INVO Fertility Inc. Com</vt:lpstr>
      <vt:lpstr>NB_1441_Invivyd Inc. Common Sto</vt:lpstr>
      <vt:lpstr>NB_1442_IZEA Worldwide Inc. Com</vt:lpstr>
      <vt:lpstr>NB_1443_Jacobs Solutions Inc. C</vt:lpstr>
      <vt:lpstr>NB_1444_Jack In The Box Inc. Co</vt:lpstr>
      <vt:lpstr>NB_1445_Jaguar Health Inc. Comm</vt:lpstr>
      <vt:lpstr>NB_1446_JAKKS Pacific Inc. Comm</vt:lpstr>
      <vt:lpstr>NB_1447_Janux Therapeutics Inc.</vt:lpstr>
      <vt:lpstr>NB_1448_J.B. Hunt Transport Ser</vt:lpstr>
      <vt:lpstr>NB_1449_Janus International Gro</vt:lpstr>
      <vt:lpstr>NB_1450_Jade Biosciences Inc. C</vt:lpstr>
      <vt:lpstr>NB_1451_Jabil Inc. Common Stock</vt:lpstr>
      <vt:lpstr>NB_1452_JetBlue Airways Corpora</vt:lpstr>
      <vt:lpstr>NB_1453_John B. Sanfilippo &amp; So</vt:lpstr>
      <vt:lpstr>NB_1454_JBT Marel Corporation C</vt:lpstr>
      <vt:lpstr>NB_1455_Jewett-Cameron Trading </vt:lpstr>
      <vt:lpstr>NB_1456_JELD-WEN Holding Inc. C</vt:lpstr>
      <vt:lpstr>NB_1457_J. Jill Inc. Common Sto</vt:lpstr>
      <vt:lpstr>NB_1458_J &amp; J Snack Foods Corp.</vt:lpstr>
      <vt:lpstr>NB_1459_Jack Henry &amp; Associates</vt:lpstr>
      <vt:lpstr>NB_1460_Johnson &amp; Johnson Commo</vt:lpstr>
      <vt:lpstr>NB_1461_GEE Group Inc. Common S</vt:lpstr>
      <vt:lpstr>NB_1462_Joby Aviation Inc. Comm</vt:lpstr>
      <vt:lpstr>NB_1463_Johnson Outdoors Inc. C</vt:lpstr>
      <vt:lpstr>NB_1464_Jerash Holdings (US) In</vt:lpstr>
      <vt:lpstr>NB_1465_Jasper Therapeutics Inc</vt:lpstr>
      <vt:lpstr>NB_1466_Jet.AI Inc. Common Stoc</vt:lpstr>
      <vt:lpstr>NB_1467_Jupiter Neurosciences I</vt:lpstr>
      <vt:lpstr>NB_1468_Coffee Holding Co. Inc.</vt:lpstr>
      <vt:lpstr>NB_1469_Kadant Inc Common Stock</vt:lpstr>
      <vt:lpstr>NB_1470_KALA BIO Inc. Common St</vt:lpstr>
      <vt:lpstr>NB_1471_Kaiser Aluminum Corpora</vt:lpstr>
      <vt:lpstr>NB_1472_Kardigan Inc. Common St</vt:lpstr>
      <vt:lpstr>NB_1473_KB Home Common Stock</vt:lpstr>
      <vt:lpstr>NB_1474_KBR Inc. Common Stock</vt:lpstr>
      <vt:lpstr>NB_1475_Kyndryl Holdings Inc. C</vt:lpstr>
      <vt:lpstr>NB_1476_Kodiak AI Inc. Common S</vt:lpstr>
      <vt:lpstr>NB_1477_Kodiak AI Inc. Warrants</vt:lpstr>
      <vt:lpstr>NB_1478_Keurig Dr Pepper Inc. C</vt:lpstr>
      <vt:lpstr>NB_1479_Kimball Electronics Inc</vt:lpstr>
      <vt:lpstr>NB_1480_Kelly Services Inc. 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2026-10-04T16:23:31Z</dcterms:created>
  <dcterms:modified xsi:type="dcterms:W3CDTF">2026-10-04T16:23:31Z</dcterms:modified>
</cp:coreProperties>
</file>