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222_Sun Television and Appli" sheetId="2" r:id="rId2"/>
    <sheet name="SA_187_Boston Chicken, Inc." sheetId="3" r:id="rId3"/>
    <sheet name="SA_135_JumboSports, Inc." sheetId="4" r:id="rId4"/>
    <sheet name="SA_4_Salant Corp. (1998)" sheetId="5" r:id="rId5"/>
    <sheet name="SA_26_Wireless One, Inc." sheetId="6" r:id="rId6"/>
    <sheet name="SA_172_Penn Traffic Co (1999)" sheetId="7" r:id="rId7"/>
    <sheet name="SA_80_Service Merchandise Compa" sheetId="8" r:id="rId8"/>
    <sheet name="SA_134_Costilla Energy, Inc." sheetId="9" r:id="rId9"/>
    <sheet name="SA_52_Trism, Inc." sheetId="10" r:id="rId10"/>
    <sheet name="SA_145_Just For Feet, Inc." sheetId="11" r:id="rId11"/>
    <sheet name="SA_75_Tultex Corporation" sheetId="12" r:id="rId12"/>
    <sheet name="SA_234_American Banknote Corpor" sheetId="13" r:id="rId13"/>
    <sheet name="SA_59_Mariner Post-Acute Networ" sheetId="14" r:id="rId14"/>
    <sheet name="SA_263_Kitty Hawk, Inc." sheetId="15" r:id="rId15"/>
    <sheet name="SA_130_System Software Associat" sheetId="16" r:id="rId16"/>
    <sheet name="SA_9_Coram Healthcare Corp." sheetId="17" r:id="rId17"/>
    <sheet name="SA_51_Owens Corning" sheetId="18" r:id="rId18"/>
    <sheet name="SA_215_CareMatrix Corp." sheetId="19" r:id="rId19"/>
    <sheet name="SA_173_ICG Communications, Inc." sheetId="20" r:id="rId20"/>
    <sheet name="SA_280_Northwestern Steel &amp; Wir" sheetId="21" r:id="rId21"/>
    <sheet name="SA_90_Pacific Gateway Exchange," sheetId="22" r:id="rId22"/>
    <sheet name="SA_143_PSINet Inc." sheetId="23" r:id="rId23"/>
    <sheet name="SA_162_Federal-Mogul Corporatio" sheetId="24" r:id="rId24"/>
    <sheet name="SA_176_ANC Rental Corp." sheetId="25" r:id="rId25"/>
    <sheet name="SA_220_Classic Communications, " sheetId="26" r:id="rId26"/>
    <sheet name="SA_238_Burlington Industries, I" sheetId="27" r:id="rId27"/>
    <sheet name="SA_10_Valley Media Inc." sheetId="28" r:id="rId28"/>
    <sheet name="SA_290_Hayes Lemmerz Internatio" sheetId="29" r:id="rId29"/>
    <sheet name="SA_84_Startec Global Communicat" sheetId="30" r:id="rId30"/>
    <sheet name="SA_160_IT Group, Inc." sheetId="31" r:id="rId31"/>
    <sheet name="SA_99_Verado Holdings, Inc." sheetId="32" r:id="rId32"/>
    <sheet name="SA_77_Kellstrom Industries, Inc" sheetId="33" r:id="rId33"/>
    <sheet name="SA_240_National Steel Corp." sheetId="34" r:id="rId34"/>
    <sheet name="SA_3_U.S. Aggregates, Inc." sheetId="35" r:id="rId35"/>
    <sheet name="SA_219_Anchor Glass Container C" sheetId="36" r:id="rId36"/>
    <sheet name="SA_118_Metromedia Fiber Network" sheetId="37" r:id="rId37"/>
    <sheet name="SA_308_Pentacon Inc." sheetId="38" r:id="rId38"/>
    <sheet name="SA_131_Birmingham Steel Corp." sheetId="39" r:id="rId39"/>
    <sheet name="SA_36_NewPower Holdings, Inc." sheetId="40" r:id="rId40"/>
    <sheet name="SA_253_US Airways Group, Inc. (" sheetId="41" r:id="rId41"/>
    <sheet name="SA_223_Consolidated Freightways" sheetId="42" r:id="rId42"/>
    <sheet name="SA_45_Genuity Inc." sheetId="43" r:id="rId43"/>
    <sheet name="SA_58_Seven Seas Petroleum, Inc" sheetId="44" r:id="rId44"/>
    <sheet name="SA_271_Spiegel Inc." sheetId="45" r:id="rId45"/>
    <sheet name="SA_22_SONICblue, Inc." sheetId="46" r:id="rId46"/>
    <sheet name="SA_166_Fleming Companies, Inc." sheetId="47" r:id="rId47"/>
    <sheet name="SA_235_Acterna Corp." sheetId="48" r:id="rId48"/>
    <sheet name="SA_178_DaisyTek International C" sheetId="49" r:id="rId49"/>
    <sheet name="SA_277_Mississippi Chemical Cor" sheetId="50" r:id="rId50"/>
    <sheet name="SA_140_Read-Rite Corp." sheetId="51" r:id="rId51"/>
  </sheets>
  <calcPr calcId="124519" fullCalcOnLoad="1"/>
</workbook>
</file>

<file path=xl/sharedStrings.xml><?xml version="1.0" encoding="utf-8"?>
<sst xmlns="http://schemas.openxmlformats.org/spreadsheetml/2006/main" count="3361" uniqueCount="416">
  <si>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</si>
  <si>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</si>
  <si>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</si>
  <si>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</si>
  <si>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</si>
  <si>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</si>
  <si>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</si>
  <si>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</si>
  <si>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</si>
  <si>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</si>
  <si>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</si>
  <si>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SA_222</t>
  </si>
  <si>
    <t>bankrupt</t>
  </si>
  <si>
    <t>1998-09-16</t>
  </si>
  <si>
    <t>SNTVQ</t>
  </si>
  <si>
    <t>Sun Television and Appliances, Inc.</t>
  </si>
  <si>
    <t/>
  </si>
  <si>
    <t>SNTVQ US Equity</t>
  </si>
  <si>
    <t>1998-06-18</t>
  </si>
  <si>
    <t>1993-06-18</t>
  </si>
  <si>
    <t>SA_187</t>
  </si>
  <si>
    <t>1998-10-05</t>
  </si>
  <si>
    <t>BOST</t>
  </si>
  <si>
    <t>Boston Chicken, Inc.</t>
  </si>
  <si>
    <t>BCHXQ US Equity</t>
  </si>
  <si>
    <t>1998-07-07</t>
  </si>
  <si>
    <t>1993-07-07</t>
  </si>
  <si>
    <t>SA_135</t>
  </si>
  <si>
    <t>1998-12-27</t>
  </si>
  <si>
    <t>JSIBQ</t>
  </si>
  <si>
    <t>JumboSports, Inc.</t>
  </si>
  <si>
    <t>JSIBQ US Equity</t>
  </si>
  <si>
    <t>1998-09-28</t>
  </si>
  <si>
    <t>1993-09-28</t>
  </si>
  <si>
    <t>SA_4</t>
  </si>
  <si>
    <t>1998-12-29</t>
  </si>
  <si>
    <t>SLNT</t>
  </si>
  <si>
    <t>Salant Corp. (1998)</t>
  </si>
  <si>
    <t>2777116Q US Equity</t>
  </si>
  <si>
    <t>1998-09-30</t>
  </si>
  <si>
    <t>1993-09-30</t>
  </si>
  <si>
    <t>SA_26</t>
  </si>
  <si>
    <t>1999-02-11</t>
  </si>
  <si>
    <t>WIRL</t>
  </si>
  <si>
    <t>Wireless One, Inc.</t>
  </si>
  <si>
    <t>WIRLQ US Equity</t>
  </si>
  <si>
    <t>1998-11-13</t>
  </si>
  <si>
    <t>1993-11-13</t>
  </si>
  <si>
    <t>SA_172</t>
  </si>
  <si>
    <t>1999-03-01</t>
  </si>
  <si>
    <t>PNFTQ</t>
  </si>
  <si>
    <t>Penn Traffic Co (1999)</t>
  </si>
  <si>
    <t>PNFTQ US Equity</t>
  </si>
  <si>
    <t>1998-12-01</t>
  </si>
  <si>
    <t>1993-12-01</t>
  </si>
  <si>
    <t>SA_80</t>
  </si>
  <si>
    <t>1999-03-15</t>
  </si>
  <si>
    <t>SME</t>
  </si>
  <si>
    <t>Service Merchandise Company, Inc.</t>
  </si>
  <si>
    <t>SVCDQ US Equity</t>
  </si>
  <si>
    <t>1998-12-15</t>
  </si>
  <si>
    <t>1993-12-15</t>
  </si>
  <si>
    <t>SA_134</t>
  </si>
  <si>
    <t>1999-09-03</t>
  </si>
  <si>
    <t>COSE</t>
  </si>
  <si>
    <t>Costilla Energy, Inc.</t>
  </si>
  <si>
    <t>COSEQ US Equity</t>
  </si>
  <si>
    <t>1999-06-05</t>
  </si>
  <si>
    <t>1994-06-05</t>
  </si>
  <si>
    <t>SA_52</t>
  </si>
  <si>
    <t>1999-09-16</t>
  </si>
  <si>
    <t>TRSM</t>
  </si>
  <si>
    <t>Trism, Inc.</t>
  </si>
  <si>
    <t>2471671D US Equity</t>
  </si>
  <si>
    <t>1999-06-18</t>
  </si>
  <si>
    <t>1994-06-18</t>
  </si>
  <si>
    <t>SA_145</t>
  </si>
  <si>
    <t>1999-11-04</t>
  </si>
  <si>
    <t>FEET</t>
  </si>
  <si>
    <t>Just For Feet, Inc.</t>
  </si>
  <si>
    <t>FEETQ US Equity</t>
  </si>
  <si>
    <t>1999-08-06</t>
  </si>
  <si>
    <t>1994-08-06</t>
  </si>
  <si>
    <t>SA_75</t>
  </si>
  <si>
    <t>1999-12-03</t>
  </si>
  <si>
    <t>TLTXQ</t>
  </si>
  <si>
    <t>Tultex Corporation</t>
  </si>
  <si>
    <t>TLTXQ US Equity</t>
  </si>
  <si>
    <t>1999-09-04</t>
  </si>
  <si>
    <t>1994-09-04</t>
  </si>
  <si>
    <t>SA_234</t>
  </si>
  <si>
    <t>1999-12-08</t>
  </si>
  <si>
    <t>ABNTQ</t>
  </si>
  <si>
    <t>American Banknote Corporation</t>
  </si>
  <si>
    <t>ABNTQ US Equity</t>
  </si>
  <si>
    <t>1999-09-09</t>
  </si>
  <si>
    <t>1994-09-09</t>
  </si>
  <si>
    <t>SA_59</t>
  </si>
  <si>
    <t>2000-01-18</t>
  </si>
  <si>
    <t>MPN</t>
  </si>
  <si>
    <t>Mariner Post-Acute Network, Inc.</t>
  </si>
  <si>
    <t>MPANQ US Equity</t>
  </si>
  <si>
    <t>1999-10-20</t>
  </si>
  <si>
    <t>1994-10-20</t>
  </si>
  <si>
    <t>SA_263</t>
  </si>
  <si>
    <t>2000-05-01</t>
  </si>
  <si>
    <t>KHKH</t>
  </si>
  <si>
    <t>Kitty Hawk, Inc.</t>
  </si>
  <si>
    <t>KHKH US Equity</t>
  </si>
  <si>
    <t>2000-02-01</t>
  </si>
  <si>
    <t>1995-02-01</t>
  </si>
  <si>
    <t>SA_130</t>
  </si>
  <si>
    <t>2000-05-03</t>
  </si>
  <si>
    <t>SSAXQ</t>
  </si>
  <si>
    <t>System Software Associates, Inc.</t>
  </si>
  <si>
    <t>SSAXQ US Equity</t>
  </si>
  <si>
    <t>2000-02-03</t>
  </si>
  <si>
    <t>1995-02-03</t>
  </si>
  <si>
    <t>SA_9</t>
  </si>
  <si>
    <t>2000-08-08</t>
  </si>
  <si>
    <t>CRHEQ</t>
  </si>
  <si>
    <t>Coram Healthcare Corp.</t>
  </si>
  <si>
    <t>CRHEQ US Equity</t>
  </si>
  <si>
    <t>2000-05-10</t>
  </si>
  <si>
    <t>1995-05-10</t>
  </si>
  <si>
    <t>SA_51</t>
  </si>
  <si>
    <t>2000-10-05</t>
  </si>
  <si>
    <t>OWENQ</t>
  </si>
  <si>
    <t>Owens Corning</t>
  </si>
  <si>
    <t>OWENQ US Equity</t>
  </si>
  <si>
    <t>2000-07-07</t>
  </si>
  <si>
    <t>1995-07-07</t>
  </si>
  <si>
    <t>SA_215</t>
  </si>
  <si>
    <t>2000-11-09</t>
  </si>
  <si>
    <t>CMDCQ</t>
  </si>
  <si>
    <t>CareMatrix Corp.</t>
  </si>
  <si>
    <t>CMDCQ US Equity</t>
  </si>
  <si>
    <t>2000-08-11</t>
  </si>
  <si>
    <t>1995-08-11</t>
  </si>
  <si>
    <t>SA_173</t>
  </si>
  <si>
    <t>2000-11-14</t>
  </si>
  <si>
    <t>ICGXQ</t>
  </si>
  <si>
    <t>ICG Communications, Inc.</t>
  </si>
  <si>
    <t>603190Q US Equity</t>
  </si>
  <si>
    <t>2000-08-16</t>
  </si>
  <si>
    <t>1995-08-16</t>
  </si>
  <si>
    <t>SA_280</t>
  </si>
  <si>
    <t>2000-12-19</t>
  </si>
  <si>
    <t>NWSW</t>
  </si>
  <si>
    <t>Northwestern Steel &amp; Wire Co.</t>
  </si>
  <si>
    <t>NWSW US Equity</t>
  </si>
  <si>
    <t>2000-09-20</t>
  </si>
  <si>
    <t>1995-09-20</t>
  </si>
  <si>
    <t>SA_90</t>
  </si>
  <si>
    <t>2000-12-29</t>
  </si>
  <si>
    <t>PGEXQ</t>
  </si>
  <si>
    <t>Pacific Gateway Exchange, Inc.</t>
  </si>
  <si>
    <t>PGEXQ US Equity</t>
  </si>
  <si>
    <t>2000-09-30</t>
  </si>
  <si>
    <t>1995-09-30</t>
  </si>
  <si>
    <t>SA_143</t>
  </si>
  <si>
    <t>2001-05-31</t>
  </si>
  <si>
    <t>PSIXQ</t>
  </si>
  <si>
    <t>PSINet Inc.</t>
  </si>
  <si>
    <t>PSIXQ US Equity</t>
  </si>
  <si>
    <t>2001-03-02</t>
  </si>
  <si>
    <t>1996-03-02</t>
  </si>
  <si>
    <t>SA_162</t>
  </si>
  <si>
    <t>2001-10-01</t>
  </si>
  <si>
    <t>FDMLQ</t>
  </si>
  <si>
    <t>Federal-Mogul Corporation</t>
  </si>
  <si>
    <t>FDMLQ US Equity</t>
  </si>
  <si>
    <t>2001-07-03</t>
  </si>
  <si>
    <t>1996-07-03</t>
  </si>
  <si>
    <t>SA_176</t>
  </si>
  <si>
    <t>2001-11-13</t>
  </si>
  <si>
    <t>ANCJQ</t>
  </si>
  <si>
    <t>ANC Rental Corp.</t>
  </si>
  <si>
    <t>ANCJQ US Equity</t>
  </si>
  <si>
    <t>2001-08-15</t>
  </si>
  <si>
    <t>1996-08-15</t>
  </si>
  <si>
    <t>SA_220</t>
  </si>
  <si>
    <t>CLSCQ</t>
  </si>
  <si>
    <t>Classic Communications, Inc.</t>
  </si>
  <si>
    <t>CLSCQ US Equity</t>
  </si>
  <si>
    <t>SA_238</t>
  </si>
  <si>
    <t>2001-11-15</t>
  </si>
  <si>
    <t>BRLGQ</t>
  </si>
  <si>
    <t>Burlington Industries, Inc.</t>
  </si>
  <si>
    <t>BRLGQ US Equity</t>
  </si>
  <si>
    <t>2001-08-17</t>
  </si>
  <si>
    <t>1996-08-17</t>
  </si>
  <si>
    <t>SA_10</t>
  </si>
  <si>
    <t>2001-11-20</t>
  </si>
  <si>
    <t>VMIXQ</t>
  </si>
  <si>
    <t>Valley Media Inc.</t>
  </si>
  <si>
    <t>VMIXQ US Equity</t>
  </si>
  <si>
    <t>2001-08-22</t>
  </si>
  <si>
    <t>1996-08-22</t>
  </si>
  <si>
    <t>SA_290</t>
  </si>
  <si>
    <t>2001-12-05</t>
  </si>
  <si>
    <t>HAZ</t>
  </si>
  <si>
    <t>Hayes Lemmerz International, Inc. (2001)</t>
  </si>
  <si>
    <t>HLMMQ US Equity</t>
  </si>
  <si>
    <t>2001-09-06</t>
  </si>
  <si>
    <t>1996-09-06</t>
  </si>
  <si>
    <t>SA_84</t>
  </si>
  <si>
    <t>2001-12-14</t>
  </si>
  <si>
    <t>STGCQ</t>
  </si>
  <si>
    <t>Startec Global Communications Corporation</t>
  </si>
  <si>
    <t>STGCQ US Equity</t>
  </si>
  <si>
    <t>2001-09-15</t>
  </si>
  <si>
    <t>1996-09-15</t>
  </si>
  <si>
    <t>SA_160</t>
  </si>
  <si>
    <t>2002-01-16</t>
  </si>
  <si>
    <t>ITXG</t>
  </si>
  <si>
    <t>IT Group, Inc.</t>
  </si>
  <si>
    <t>ITXG US Equity</t>
  </si>
  <si>
    <t>2001-10-18</t>
  </si>
  <si>
    <t>1996-10-18</t>
  </si>
  <si>
    <t>SA_99</t>
  </si>
  <si>
    <t>2002-02-15</t>
  </si>
  <si>
    <t>VRDOQ</t>
  </si>
  <si>
    <t>Verado Holdings, Inc.</t>
  </si>
  <si>
    <t>VRDOQ US Equity</t>
  </si>
  <si>
    <t>2001-11-17</t>
  </si>
  <si>
    <t>1996-11-17</t>
  </si>
  <si>
    <t>SA_77</t>
  </si>
  <si>
    <t>2002-02-20</t>
  </si>
  <si>
    <t>KELLQ</t>
  </si>
  <si>
    <t>Kellstrom Industries, Inc.</t>
  </si>
  <si>
    <t>KELLQ US Equity</t>
  </si>
  <si>
    <t>2001-11-22</t>
  </si>
  <si>
    <t>1996-11-22</t>
  </si>
  <si>
    <t>SA_240</t>
  </si>
  <si>
    <t>2002-03-06</t>
  </si>
  <si>
    <t>NSTLQ</t>
  </si>
  <si>
    <t>National Steel Corp.</t>
  </si>
  <si>
    <t>NSTLQ US Equity</t>
  </si>
  <si>
    <t>2001-12-06</t>
  </si>
  <si>
    <t>1996-12-06</t>
  </si>
  <si>
    <t>SA_3</t>
  </si>
  <si>
    <t>2002-03-11</t>
  </si>
  <si>
    <t>AGATQ</t>
  </si>
  <si>
    <t>U.S. Aggregates, Inc.</t>
  </si>
  <si>
    <t>AGATQ US Equity</t>
  </si>
  <si>
    <t>2001-12-11</t>
  </si>
  <si>
    <t>1996-12-11</t>
  </si>
  <si>
    <t>SA_219</t>
  </si>
  <si>
    <t>2002-04-15</t>
  </si>
  <si>
    <t>AGCCQ</t>
  </si>
  <si>
    <t>Anchor Glass Container Corp. (2002)</t>
  </si>
  <si>
    <t>237002Q US Equity</t>
  </si>
  <si>
    <t>2002-01-15</t>
  </si>
  <si>
    <t>1997-01-15</t>
  </si>
  <si>
    <t>SA_118</t>
  </si>
  <si>
    <t>2002-05-20</t>
  </si>
  <si>
    <t>MFNXQ</t>
  </si>
  <si>
    <t>Metromedia Fiber Network, Inc.</t>
  </si>
  <si>
    <t>MFNXQ US Equity</t>
  </si>
  <si>
    <t>2002-02-19</t>
  </si>
  <si>
    <t>1997-02-19</t>
  </si>
  <si>
    <t>SA_308</t>
  </si>
  <si>
    <t>2002-05-23</t>
  </si>
  <si>
    <t>PTACQ</t>
  </si>
  <si>
    <t>Pentacon Inc.</t>
  </si>
  <si>
    <t>PTACQ US Equity</t>
  </si>
  <si>
    <t>2002-02-22</t>
  </si>
  <si>
    <t>1997-02-22</t>
  </si>
  <si>
    <t>SA_131</t>
  </si>
  <si>
    <t>2002-06-03</t>
  </si>
  <si>
    <t>BIR</t>
  </si>
  <si>
    <t>Birmingham Steel Corp.</t>
  </si>
  <si>
    <t>BIRS US Equity</t>
  </si>
  <si>
    <t>2002-03-05</t>
  </si>
  <si>
    <t>1997-03-05</t>
  </si>
  <si>
    <t>SA_36</t>
  </si>
  <si>
    <t>2002-06-11</t>
  </si>
  <si>
    <t>NWPWQ</t>
  </si>
  <si>
    <t>NewPower Holdings, Inc.</t>
  </si>
  <si>
    <t>NWPWQ US Equity</t>
  </si>
  <si>
    <t>2002-03-13</t>
  </si>
  <si>
    <t>1997-03-13</t>
  </si>
  <si>
    <t>SA_253</t>
  </si>
  <si>
    <t>2002-08-11</t>
  </si>
  <si>
    <t>UAIRQ</t>
  </si>
  <si>
    <t>US Airways Group, Inc. (2002)</t>
  </si>
  <si>
    <t>UAIRQ US Equity</t>
  </si>
  <si>
    <t>2002-05-13</t>
  </si>
  <si>
    <t>1997-05-13</t>
  </si>
  <si>
    <t>SA_223</t>
  </si>
  <si>
    <t>2002-09-03</t>
  </si>
  <si>
    <t>CFWEQ</t>
  </si>
  <si>
    <t>Consolidated Freightways Corp.</t>
  </si>
  <si>
    <t>CFWEQ US Equity</t>
  </si>
  <si>
    <t>2002-06-05</t>
  </si>
  <si>
    <t>1997-06-05</t>
  </si>
  <si>
    <t>SA_45</t>
  </si>
  <si>
    <t>2002-11-27</t>
  </si>
  <si>
    <t>GENUQ</t>
  </si>
  <si>
    <t>Genuity Inc.</t>
  </si>
  <si>
    <t>GENUQ US Equity</t>
  </si>
  <si>
    <t>2002-08-29</t>
  </si>
  <si>
    <t>1997-08-29</t>
  </si>
  <si>
    <t>SA_58</t>
  </si>
  <si>
    <t>2002-12-20</t>
  </si>
  <si>
    <t>SVSSF</t>
  </si>
  <si>
    <t>Seven Seas Petroleum, Inc.</t>
  </si>
  <si>
    <t>SVSSF US Equity</t>
  </si>
  <si>
    <t>2002-09-21</t>
  </si>
  <si>
    <t>1997-09-21</t>
  </si>
  <si>
    <t>SA_271</t>
  </si>
  <si>
    <t>2003-03-17</t>
  </si>
  <si>
    <t>SPGLQ</t>
  </si>
  <si>
    <t>Spiegel Inc.</t>
  </si>
  <si>
    <t>SPGLQ US Equity</t>
  </si>
  <si>
    <t>2002-12-17</t>
  </si>
  <si>
    <t>1997-12-17</t>
  </si>
  <si>
    <t>SA_22</t>
  </si>
  <si>
    <t>2003-03-21</t>
  </si>
  <si>
    <t>SBLUQ</t>
  </si>
  <si>
    <t>SONICblue, Inc.</t>
  </si>
  <si>
    <t>SBLUQ US Equity</t>
  </si>
  <si>
    <t>2002-12-21</t>
  </si>
  <si>
    <t>1997-12-21</t>
  </si>
  <si>
    <t>SA_166</t>
  </si>
  <si>
    <t>2003-04-01</t>
  </si>
  <si>
    <t>FLMIQ</t>
  </si>
  <si>
    <t>Fleming Companies, Inc.</t>
  </si>
  <si>
    <t>FLMIQ US Equity</t>
  </si>
  <si>
    <t>2003-01-01</t>
  </si>
  <si>
    <t>1998-01-01</t>
  </si>
  <si>
    <t>SA_235</t>
  </si>
  <si>
    <t>2003-05-06</t>
  </si>
  <si>
    <t>ACTRQ</t>
  </si>
  <si>
    <t>Acterna Corp.</t>
  </si>
  <si>
    <t>ACTRQ US Equity</t>
  </si>
  <si>
    <t>2003-02-05</t>
  </si>
  <si>
    <t>1998-02-05</t>
  </si>
  <si>
    <t>SA_178</t>
  </si>
  <si>
    <t>2003-05-07</t>
  </si>
  <si>
    <t>DZTKQ</t>
  </si>
  <si>
    <t>DaisyTek International Corp.</t>
  </si>
  <si>
    <t>DZTKQ US Equity</t>
  </si>
  <si>
    <t>2003-02-06</t>
  </si>
  <si>
    <t>1998-02-06</t>
  </si>
  <si>
    <t>SA_277</t>
  </si>
  <si>
    <t>2003-05-15</t>
  </si>
  <si>
    <t>MSPIQ</t>
  </si>
  <si>
    <t>Mississippi Chemical Corp.</t>
  </si>
  <si>
    <t>MSPIQ US Equity</t>
  </si>
  <si>
    <t>2003-02-14</t>
  </si>
  <si>
    <t>1998-02-14</t>
  </si>
  <si>
    <t>SA_140</t>
  </si>
  <si>
    <t>2003-06-17</t>
  </si>
  <si>
    <t>RDRTQ</t>
  </si>
  <si>
    <t>Read-Rite Corp.</t>
  </si>
  <si>
    <t>RDRTQ US Equity</t>
  </si>
  <si>
    <t>2003-03-19</t>
  </si>
  <si>
    <t>1998-03-19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</si>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</sst>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21</v>
      </c>
      <c r="D3" t="s">
        <v>22</v>
      </c>
      <c r="E3" t="s">
        <v>23</v>
      </c>
      <c r="F3" t="s">
        <v>16</v>
      </c>
      <c r="G3" t="s">
        <v>16</v>
      </c>
      <c r="H3" t="s">
        <v>24</v>
      </c>
      <c r="I3" t="s">
        <v>25</v>
      </c>
      <c r="J3" t="s">
        <v>26</v>
      </c>
      <c r="K3" t="s">
        <v>25</v>
      </c>
    </row>
    <row r="4" spans="1:11">
      <c r="A4" t="s">
        <v>27</v>
      </c>
      <c r="B4" t="s">
        <v>12</v>
      </c>
      <c r="C4" t="s">
        <v>28</v>
      </c>
      <c r="D4" t="s">
        <v>29</v>
      </c>
      <c r="E4" t="s">
        <v>30</v>
      </c>
      <c r="F4" t="s">
        <v>16</v>
      </c>
      <c r="G4" t="s">
        <v>16</v>
      </c>
      <c r="H4" t="s">
        <v>31</v>
      </c>
      <c r="I4" t="s">
        <v>32</v>
      </c>
      <c r="J4" t="s">
        <v>33</v>
      </c>
      <c r="K4" t="s">
        <v>32</v>
      </c>
    </row>
    <row r="5" spans="1:11">
      <c r="A5" t="s">
        <v>34</v>
      </c>
      <c r="B5" t="s">
        <v>12</v>
      </c>
      <c r="C5" t="s">
        <v>35</v>
      </c>
      <c r="D5" t="s">
        <v>36</v>
      </c>
      <c r="E5" t="s">
        <v>37</v>
      </c>
      <c r="F5" t="s">
        <v>16</v>
      </c>
      <c r="G5" t="s">
        <v>16</v>
      </c>
      <c r="H5" t="s">
        <v>38</v>
      </c>
      <c r="I5" t="s">
        <v>39</v>
      </c>
      <c r="J5" t="s">
        <v>40</v>
      </c>
      <c r="K5" t="s">
        <v>39</v>
      </c>
    </row>
    <row r="6" spans="1:11">
      <c r="A6" t="s">
        <v>41</v>
      </c>
      <c r="B6" t="s">
        <v>12</v>
      </c>
      <c r="C6" t="s">
        <v>42</v>
      </c>
      <c r="D6" t="s">
        <v>43</v>
      </c>
      <c r="E6" t="s">
        <v>44</v>
      </c>
      <c r="F6" t="s">
        <v>16</v>
      </c>
      <c r="G6" t="s">
        <v>16</v>
      </c>
      <c r="H6" t="s">
        <v>45</v>
      </c>
      <c r="I6" t="s">
        <v>46</v>
      </c>
      <c r="J6" t="s">
        <v>47</v>
      </c>
      <c r="K6" t="s">
        <v>46</v>
      </c>
    </row>
    <row r="7" spans="1:11">
      <c r="A7" t="s">
        <v>48</v>
      </c>
      <c r="B7" t="s">
        <v>12</v>
      </c>
      <c r="C7" t="s">
        <v>49</v>
      </c>
      <c r="D7" t="s">
        <v>50</v>
      </c>
      <c r="E7" t="s">
        <v>51</v>
      </c>
      <c r="F7" t="s">
        <v>16</v>
      </c>
      <c r="G7" t="s">
        <v>16</v>
      </c>
      <c r="H7" t="s">
        <v>52</v>
      </c>
      <c r="I7" t="s">
        <v>53</v>
      </c>
      <c r="J7" t="s">
        <v>54</v>
      </c>
      <c r="K7" t="s">
        <v>53</v>
      </c>
    </row>
    <row r="8" spans="1:11">
      <c r="A8" t="s">
        <v>55</v>
      </c>
      <c r="B8" t="s">
        <v>12</v>
      </c>
      <c r="C8" t="s">
        <v>56</v>
      </c>
      <c r="D8" t="s">
        <v>57</v>
      </c>
      <c r="E8" t="s">
        <v>58</v>
      </c>
      <c r="F8" t="s">
        <v>16</v>
      </c>
      <c r="G8" t="s">
        <v>16</v>
      </c>
      <c r="H8" t="s">
        <v>59</v>
      </c>
      <c r="I8" t="s">
        <v>60</v>
      </c>
      <c r="J8" t="s">
        <v>61</v>
      </c>
      <c r="K8" t="s">
        <v>60</v>
      </c>
    </row>
    <row r="9" spans="1:11">
      <c r="A9" t="s">
        <v>62</v>
      </c>
      <c r="B9" t="s">
        <v>12</v>
      </c>
      <c r="C9" t="s">
        <v>63</v>
      </c>
      <c r="D9" t="s">
        <v>64</v>
      </c>
      <c r="E9" t="s">
        <v>65</v>
      </c>
      <c r="F9" t="s">
        <v>16</v>
      </c>
      <c r="G9" t="s">
        <v>16</v>
      </c>
      <c r="H9" t="s">
        <v>66</v>
      </c>
      <c r="I9" t="s">
        <v>67</v>
      </c>
      <c r="J9" t="s">
        <v>68</v>
      </c>
      <c r="K9" t="s">
        <v>67</v>
      </c>
    </row>
    <row r="10" spans="1:11">
      <c r="A10" t="s">
        <v>69</v>
      </c>
      <c r="B10" t="s">
        <v>12</v>
      </c>
      <c r="C10" t="s">
        <v>70</v>
      </c>
      <c r="D10" t="s">
        <v>71</v>
      </c>
      <c r="E10" t="s">
        <v>72</v>
      </c>
      <c r="F10" t="s">
        <v>16</v>
      </c>
      <c r="G10" t="s">
        <v>16</v>
      </c>
      <c r="H10" t="s">
        <v>73</v>
      </c>
      <c r="I10" t="s">
        <v>74</v>
      </c>
      <c r="J10" t="s">
        <v>75</v>
      </c>
      <c r="K10" t="s">
        <v>74</v>
      </c>
    </row>
    <row r="11" spans="1:11">
      <c r="A11" t="s">
        <v>76</v>
      </c>
      <c r="B11" t="s">
        <v>12</v>
      </c>
      <c r="C11" t="s">
        <v>77</v>
      </c>
      <c r="D11" t="s">
        <v>78</v>
      </c>
      <c r="E11" t="s">
        <v>79</v>
      </c>
      <c r="F11" t="s">
        <v>16</v>
      </c>
      <c r="G11" t="s">
        <v>16</v>
      </c>
      <c r="H11" t="s">
        <v>80</v>
      </c>
      <c r="I11" t="s">
        <v>81</v>
      </c>
      <c r="J11" t="s">
        <v>82</v>
      </c>
      <c r="K11" t="s">
        <v>81</v>
      </c>
    </row>
    <row r="12" spans="1:11">
      <c r="A12" t="s">
        <v>83</v>
      </c>
      <c r="B12" t="s">
        <v>12</v>
      </c>
      <c r="C12" t="s">
        <v>84</v>
      </c>
      <c r="D12" t="s">
        <v>85</v>
      </c>
      <c r="E12" t="s">
        <v>86</v>
      </c>
      <c r="F12" t="s">
        <v>16</v>
      </c>
      <c r="G12" t="s">
        <v>16</v>
      </c>
      <c r="H12" t="s">
        <v>87</v>
      </c>
      <c r="I12" t="s">
        <v>88</v>
      </c>
      <c r="J12" t="s">
        <v>89</v>
      </c>
      <c r="K12" t="s">
        <v>88</v>
      </c>
    </row>
    <row r="13" spans="1:11">
      <c r="A13" t="s">
        <v>90</v>
      </c>
      <c r="B13" t="s">
        <v>12</v>
      </c>
      <c r="C13" t="s">
        <v>91</v>
      </c>
      <c r="D13" t="s">
        <v>92</v>
      </c>
      <c r="E13" t="s">
        <v>93</v>
      </c>
      <c r="F13" t="s">
        <v>16</v>
      </c>
      <c r="G13" t="s">
        <v>16</v>
      </c>
      <c r="H13" t="s">
        <v>94</v>
      </c>
      <c r="I13" t="s">
        <v>95</v>
      </c>
      <c r="J13" t="s">
        <v>96</v>
      </c>
      <c r="K13" t="s">
        <v>95</v>
      </c>
    </row>
    <row r="14" spans="1:11">
      <c r="A14" t="s">
        <v>97</v>
      </c>
      <c r="B14" t="s">
        <v>12</v>
      </c>
      <c r="C14" t="s">
        <v>98</v>
      </c>
      <c r="D14" t="s">
        <v>99</v>
      </c>
      <c r="E14" t="s">
        <v>100</v>
      </c>
      <c r="F14" t="s">
        <v>16</v>
      </c>
      <c r="G14" t="s">
        <v>16</v>
      </c>
      <c r="H14" t="s">
        <v>101</v>
      </c>
      <c r="I14" t="s">
        <v>102</v>
      </c>
      <c r="J14" t="s">
        <v>103</v>
      </c>
      <c r="K14" t="s">
        <v>102</v>
      </c>
    </row>
    <row r="15" spans="1:11">
      <c r="A15" t="s">
        <v>104</v>
      </c>
      <c r="B15" t="s">
        <v>12</v>
      </c>
      <c r="C15" t="s">
        <v>105</v>
      </c>
      <c r="D15" t="s">
        <v>106</v>
      </c>
      <c r="E15" t="s">
        <v>107</v>
      </c>
      <c r="F15" t="s">
        <v>16</v>
      </c>
      <c r="G15" t="s">
        <v>16</v>
      </c>
      <c r="H15" t="s">
        <v>108</v>
      </c>
      <c r="I15" t="s">
        <v>109</v>
      </c>
      <c r="J15" t="s">
        <v>110</v>
      </c>
      <c r="K15" t="s">
        <v>109</v>
      </c>
    </row>
    <row r="16" spans="1:11">
      <c r="A16" t="s">
        <v>111</v>
      </c>
      <c r="B16" t="s">
        <v>12</v>
      </c>
      <c r="C16" t="s">
        <v>112</v>
      </c>
      <c r="D16" t="s">
        <v>113</v>
      </c>
      <c r="E16" t="s">
        <v>114</v>
      </c>
      <c r="F16" t="s">
        <v>16</v>
      </c>
      <c r="G16" t="s">
        <v>16</v>
      </c>
      <c r="H16" t="s">
        <v>115</v>
      </c>
      <c r="I16" t="s">
        <v>116</v>
      </c>
      <c r="J16" t="s">
        <v>117</v>
      </c>
      <c r="K16" t="s">
        <v>116</v>
      </c>
    </row>
    <row r="17" spans="1:11">
      <c r="A17" t="s">
        <v>118</v>
      </c>
      <c r="B17" t="s">
        <v>12</v>
      </c>
      <c r="C17" t="s">
        <v>119</v>
      </c>
      <c r="D17" t="s">
        <v>120</v>
      </c>
      <c r="E17" t="s">
        <v>121</v>
      </c>
      <c r="F17" t="s">
        <v>16</v>
      </c>
      <c r="G17" t="s">
        <v>16</v>
      </c>
      <c r="H17" t="s">
        <v>122</v>
      </c>
      <c r="I17" t="s">
        <v>123</v>
      </c>
      <c r="J17" t="s">
        <v>124</v>
      </c>
      <c r="K17" t="s">
        <v>123</v>
      </c>
    </row>
    <row r="18" spans="1:11">
      <c r="A18" t="s">
        <v>125</v>
      </c>
      <c r="B18" t="s">
        <v>12</v>
      </c>
      <c r="C18" t="s">
        <v>126</v>
      </c>
      <c r="D18" t="s">
        <v>127</v>
      </c>
      <c r="E18" t="s">
        <v>128</v>
      </c>
      <c r="F18" t="s">
        <v>16</v>
      </c>
      <c r="G18" t="s">
        <v>16</v>
      </c>
      <c r="H18" t="s">
        <v>129</v>
      </c>
      <c r="I18" t="s">
        <v>130</v>
      </c>
      <c r="J18" t="s">
        <v>131</v>
      </c>
      <c r="K18" t="s">
        <v>130</v>
      </c>
    </row>
    <row r="19" spans="1:11">
      <c r="A19" t="s">
        <v>132</v>
      </c>
      <c r="B19" t="s">
        <v>12</v>
      </c>
      <c r="C19" t="s">
        <v>133</v>
      </c>
      <c r="D19" t="s">
        <v>134</v>
      </c>
      <c r="E19" t="s">
        <v>135</v>
      </c>
      <c r="F19" t="s">
        <v>16</v>
      </c>
      <c r="G19" t="s">
        <v>16</v>
      </c>
      <c r="H19" t="s">
        <v>136</v>
      </c>
      <c r="I19" t="s">
        <v>137</v>
      </c>
      <c r="J19" t="s">
        <v>138</v>
      </c>
      <c r="K19" t="s">
        <v>137</v>
      </c>
    </row>
    <row r="20" spans="1:11">
      <c r="A20" t="s">
        <v>139</v>
      </c>
      <c r="B20" t="s">
        <v>12</v>
      </c>
      <c r="C20" t="s">
        <v>140</v>
      </c>
      <c r="D20" t="s">
        <v>141</v>
      </c>
      <c r="E20" t="s">
        <v>142</v>
      </c>
      <c r="F20" t="s">
        <v>16</v>
      </c>
      <c r="G20" t="s">
        <v>16</v>
      </c>
      <c r="H20" t="s">
        <v>143</v>
      </c>
      <c r="I20" t="s">
        <v>144</v>
      </c>
      <c r="J20" t="s">
        <v>145</v>
      </c>
      <c r="K20" t="s">
        <v>144</v>
      </c>
    </row>
    <row r="21" spans="1:11">
      <c r="A21" t="s">
        <v>146</v>
      </c>
      <c r="B21" t="s">
        <v>12</v>
      </c>
      <c r="C21" t="s">
        <v>147</v>
      </c>
      <c r="D21" t="s">
        <v>148</v>
      </c>
      <c r="E21" t="s">
        <v>149</v>
      </c>
      <c r="F21" t="s">
        <v>16</v>
      </c>
      <c r="G21" t="s">
        <v>16</v>
      </c>
      <c r="H21" t="s">
        <v>150</v>
      </c>
      <c r="I21" t="s">
        <v>151</v>
      </c>
      <c r="J21" t="s">
        <v>152</v>
      </c>
      <c r="K21" t="s">
        <v>151</v>
      </c>
    </row>
    <row r="22" spans="1:11">
      <c r="A22" t="s">
        <v>153</v>
      </c>
      <c r="B22" t="s">
        <v>12</v>
      </c>
      <c r="C22" t="s">
        <v>154</v>
      </c>
      <c r="D22" t="s">
        <v>155</v>
      </c>
      <c r="E22" t="s">
        <v>156</v>
      </c>
      <c r="F22" t="s">
        <v>16</v>
      </c>
      <c r="G22" t="s">
        <v>16</v>
      </c>
      <c r="H22" t="s">
        <v>157</v>
      </c>
      <c r="I22" t="s">
        <v>158</v>
      </c>
      <c r="J22" t="s">
        <v>159</v>
      </c>
      <c r="K22" t="s">
        <v>158</v>
      </c>
    </row>
    <row r="23" spans="1:11">
      <c r="A23" t="s">
        <v>160</v>
      </c>
      <c r="B23" t="s">
        <v>12</v>
      </c>
      <c r="C23" t="s">
        <v>161</v>
      </c>
      <c r="D23" t="s">
        <v>162</v>
      </c>
      <c r="E23" t="s">
        <v>163</v>
      </c>
      <c r="F23" t="s">
        <v>16</v>
      </c>
      <c r="G23" t="s">
        <v>16</v>
      </c>
      <c r="H23" t="s">
        <v>164</v>
      </c>
      <c r="I23" t="s">
        <v>165</v>
      </c>
      <c r="J23" t="s">
        <v>166</v>
      </c>
      <c r="K23" t="s">
        <v>165</v>
      </c>
    </row>
    <row r="24" spans="1:11">
      <c r="A24" t="s">
        <v>167</v>
      </c>
      <c r="B24" t="s">
        <v>12</v>
      </c>
      <c r="C24" t="s">
        <v>168</v>
      </c>
      <c r="D24" t="s">
        <v>169</v>
      </c>
      <c r="E24" t="s">
        <v>170</v>
      </c>
      <c r="F24" t="s">
        <v>16</v>
      </c>
      <c r="G24" t="s">
        <v>16</v>
      </c>
      <c r="H24" t="s">
        <v>171</v>
      </c>
      <c r="I24" t="s">
        <v>172</v>
      </c>
      <c r="J24" t="s">
        <v>173</v>
      </c>
      <c r="K24" t="s">
        <v>172</v>
      </c>
    </row>
    <row r="25" spans="1:11">
      <c r="A25" t="s">
        <v>174</v>
      </c>
      <c r="B25" t="s">
        <v>12</v>
      </c>
      <c r="C25" t="s">
        <v>175</v>
      </c>
      <c r="D25" t="s">
        <v>176</v>
      </c>
      <c r="E25" t="s">
        <v>177</v>
      </c>
      <c r="F25" t="s">
        <v>16</v>
      </c>
      <c r="G25" t="s">
        <v>16</v>
      </c>
      <c r="H25" t="s">
        <v>178</v>
      </c>
      <c r="I25" t="s">
        <v>179</v>
      </c>
      <c r="J25" t="s">
        <v>180</v>
      </c>
      <c r="K25" t="s">
        <v>179</v>
      </c>
    </row>
    <row r="26" spans="1:11">
      <c r="A26" t="s">
        <v>181</v>
      </c>
      <c r="B26" t="s">
        <v>12</v>
      </c>
      <c r="C26" t="s">
        <v>175</v>
      </c>
      <c r="D26" t="s">
        <v>182</v>
      </c>
      <c r="E26" t="s">
        <v>183</v>
      </c>
      <c r="F26" t="s">
        <v>16</v>
      </c>
      <c r="G26" t="s">
        <v>16</v>
      </c>
      <c r="H26" t="s">
        <v>184</v>
      </c>
      <c r="I26" t="s">
        <v>179</v>
      </c>
      <c r="J26" t="s">
        <v>180</v>
      </c>
      <c r="K26" t="s">
        <v>179</v>
      </c>
    </row>
    <row r="27" spans="1:11">
      <c r="A27" t="s">
        <v>185</v>
      </c>
      <c r="B27" t="s">
        <v>12</v>
      </c>
      <c r="C27" t="s">
        <v>186</v>
      </c>
      <c r="D27" t="s">
        <v>187</v>
      </c>
      <c r="E27" t="s">
        <v>188</v>
      </c>
      <c r="F27" t="s">
        <v>16</v>
      </c>
      <c r="G27" t="s">
        <v>16</v>
      </c>
      <c r="H27" t="s">
        <v>189</v>
      </c>
      <c r="I27" t="s">
        <v>190</v>
      </c>
      <c r="J27" t="s">
        <v>191</v>
      </c>
      <c r="K27" t="s">
        <v>190</v>
      </c>
    </row>
    <row r="28" spans="1:11">
      <c r="A28" t="s">
        <v>192</v>
      </c>
      <c r="B28" t="s">
        <v>12</v>
      </c>
      <c r="C28" t="s">
        <v>193</v>
      </c>
      <c r="D28" t="s">
        <v>194</v>
      </c>
      <c r="E28" t="s">
        <v>195</v>
      </c>
      <c r="F28" t="s">
        <v>16</v>
      </c>
      <c r="G28" t="s">
        <v>16</v>
      </c>
      <c r="H28" t="s">
        <v>196</v>
      </c>
      <c r="I28" t="s">
        <v>197</v>
      </c>
      <c r="J28" t="s">
        <v>198</v>
      </c>
      <c r="K28" t="s">
        <v>197</v>
      </c>
    </row>
    <row r="29" spans="1:11">
      <c r="A29" t="s">
        <v>199</v>
      </c>
      <c r="B29" t="s">
        <v>12</v>
      </c>
      <c r="C29" t="s">
        <v>200</v>
      </c>
      <c r="D29" t="s">
        <v>201</v>
      </c>
      <c r="E29" t="s">
        <v>202</v>
      </c>
      <c r="F29" t="s">
        <v>16</v>
      </c>
      <c r="G29" t="s">
        <v>16</v>
      </c>
      <c r="H29" t="s">
        <v>203</v>
      </c>
      <c r="I29" t="s">
        <v>204</v>
      </c>
      <c r="J29" t="s">
        <v>205</v>
      </c>
      <c r="K29" t="s">
        <v>204</v>
      </c>
    </row>
    <row r="30" spans="1:11">
      <c r="A30" t="s">
        <v>206</v>
      </c>
      <c r="B30" t="s">
        <v>12</v>
      </c>
      <c r="C30" t="s">
        <v>207</v>
      </c>
      <c r="D30" t="s">
        <v>208</v>
      </c>
      <c r="E30" t="s">
        <v>209</v>
      </c>
      <c r="F30" t="s">
        <v>16</v>
      </c>
      <c r="G30" t="s">
        <v>16</v>
      </c>
      <c r="H30" t="s">
        <v>210</v>
      </c>
      <c r="I30" t="s">
        <v>211</v>
      </c>
      <c r="J30" t="s">
        <v>212</v>
      </c>
      <c r="K30" t="s">
        <v>211</v>
      </c>
    </row>
    <row r="31" spans="1:11">
      <c r="A31" t="s">
        <v>213</v>
      </c>
      <c r="B31" t="s">
        <v>12</v>
      </c>
      <c r="C31" t="s">
        <v>214</v>
      </c>
      <c r="D31" t="s">
        <v>215</v>
      </c>
      <c r="E31" t="s">
        <v>216</v>
      </c>
      <c r="F31" t="s">
        <v>16</v>
      </c>
      <c r="G31" t="s">
        <v>16</v>
      </c>
      <c r="H31" t="s">
        <v>217</v>
      </c>
      <c r="I31" t="s">
        <v>218</v>
      </c>
      <c r="J31" t="s">
        <v>219</v>
      </c>
      <c r="K31" t="s">
        <v>218</v>
      </c>
    </row>
    <row r="32" spans="1:11">
      <c r="A32" t="s">
        <v>220</v>
      </c>
      <c r="B32" t="s">
        <v>12</v>
      </c>
      <c r="C32" t="s">
        <v>221</v>
      </c>
      <c r="D32" t="s">
        <v>222</v>
      </c>
      <c r="E32" t="s">
        <v>223</v>
      </c>
      <c r="F32" t="s">
        <v>16</v>
      </c>
      <c r="G32" t="s">
        <v>16</v>
      </c>
      <c r="H32" t="s">
        <v>224</v>
      </c>
      <c r="I32" t="s">
        <v>225</v>
      </c>
      <c r="J32" t="s">
        <v>226</v>
      </c>
      <c r="K32" t="s">
        <v>225</v>
      </c>
    </row>
    <row r="33" spans="1:11">
      <c r="A33" t="s">
        <v>227</v>
      </c>
      <c r="B33" t="s">
        <v>12</v>
      </c>
      <c r="C33" t="s">
        <v>228</v>
      </c>
      <c r="D33" t="s">
        <v>229</v>
      </c>
      <c r="E33" t="s">
        <v>230</v>
      </c>
      <c r="F33" t="s">
        <v>16</v>
      </c>
      <c r="G33" t="s">
        <v>16</v>
      </c>
      <c r="H33" t="s">
        <v>231</v>
      </c>
      <c r="I33" t="s">
        <v>232</v>
      </c>
      <c r="J33" t="s">
        <v>233</v>
      </c>
      <c r="K33" t="s">
        <v>232</v>
      </c>
    </row>
    <row r="34" spans="1:11">
      <c r="A34" t="s">
        <v>234</v>
      </c>
      <c r="B34" t="s">
        <v>12</v>
      </c>
      <c r="C34" t="s">
        <v>235</v>
      </c>
      <c r="D34" t="s">
        <v>236</v>
      </c>
      <c r="E34" t="s">
        <v>237</v>
      </c>
      <c r="F34" t="s">
        <v>16</v>
      </c>
      <c r="G34" t="s">
        <v>16</v>
      </c>
      <c r="H34" t="s">
        <v>238</v>
      </c>
      <c r="I34" t="s">
        <v>239</v>
      </c>
      <c r="J34" t="s">
        <v>240</v>
      </c>
      <c r="K34" t="s">
        <v>239</v>
      </c>
    </row>
    <row r="35" spans="1:11">
      <c r="A35" t="s">
        <v>241</v>
      </c>
      <c r="B35" t="s">
        <v>12</v>
      </c>
      <c r="C35" t="s">
        <v>242</v>
      </c>
      <c r="D35" t="s">
        <v>243</v>
      </c>
      <c r="E35" t="s">
        <v>244</v>
      </c>
      <c r="F35" t="s">
        <v>16</v>
      </c>
      <c r="G35" t="s">
        <v>16</v>
      </c>
      <c r="H35" t="s">
        <v>245</v>
      </c>
      <c r="I35" t="s">
        <v>246</v>
      </c>
      <c r="J35" t="s">
        <v>247</v>
      </c>
      <c r="K35" t="s">
        <v>246</v>
      </c>
    </row>
    <row r="36" spans="1:11">
      <c r="A36" t="s">
        <v>248</v>
      </c>
      <c r="B36" t="s">
        <v>12</v>
      </c>
      <c r="C36" t="s">
        <v>249</v>
      </c>
      <c r="D36" t="s">
        <v>250</v>
      </c>
      <c r="E36" t="s">
        <v>251</v>
      </c>
      <c r="F36" t="s">
        <v>16</v>
      </c>
      <c r="G36" t="s">
        <v>16</v>
      </c>
      <c r="H36" t="s">
        <v>252</v>
      </c>
      <c r="I36" t="s">
        <v>253</v>
      </c>
      <c r="J36" t="s">
        <v>254</v>
      </c>
      <c r="K36" t="s">
        <v>253</v>
      </c>
    </row>
    <row r="37" spans="1:11">
      <c r="A37" t="s">
        <v>255</v>
      </c>
      <c r="B37" t="s">
        <v>12</v>
      </c>
      <c r="C37" t="s">
        <v>256</v>
      </c>
      <c r="D37" t="s">
        <v>257</v>
      </c>
      <c r="E37" t="s">
        <v>258</v>
      </c>
      <c r="F37" t="s">
        <v>16</v>
      </c>
      <c r="G37" t="s">
        <v>16</v>
      </c>
      <c r="H37" t="s">
        <v>259</v>
      </c>
      <c r="I37" t="s">
        <v>260</v>
      </c>
      <c r="J37" t="s">
        <v>261</v>
      </c>
      <c r="K37" t="s">
        <v>260</v>
      </c>
    </row>
    <row r="38" spans="1:11">
      <c r="A38" t="s">
        <v>262</v>
      </c>
      <c r="B38" t="s">
        <v>12</v>
      </c>
      <c r="C38" t="s">
        <v>263</v>
      </c>
      <c r="D38" t="s">
        <v>264</v>
      </c>
      <c r="E38" t="s">
        <v>265</v>
      </c>
      <c r="F38" t="s">
        <v>16</v>
      </c>
      <c r="G38" t="s">
        <v>16</v>
      </c>
      <c r="H38" t="s">
        <v>266</v>
      </c>
      <c r="I38" t="s">
        <v>267</v>
      </c>
      <c r="J38" t="s">
        <v>268</v>
      </c>
      <c r="K38" t="s">
        <v>267</v>
      </c>
    </row>
    <row r="39" spans="1:11">
      <c r="A39" t="s">
        <v>269</v>
      </c>
      <c r="B39" t="s">
        <v>12</v>
      </c>
      <c r="C39" t="s">
        <v>270</v>
      </c>
      <c r="D39" t="s">
        <v>271</v>
      </c>
      <c r="E39" t="s">
        <v>272</v>
      </c>
      <c r="F39" t="s">
        <v>16</v>
      </c>
      <c r="G39" t="s">
        <v>16</v>
      </c>
      <c r="H39" t="s">
        <v>273</v>
      </c>
      <c r="I39" t="s">
        <v>274</v>
      </c>
      <c r="J39" t="s">
        <v>275</v>
      </c>
      <c r="K39" t="s">
        <v>274</v>
      </c>
    </row>
    <row r="40" spans="1:11">
      <c r="A40" t="s">
        <v>276</v>
      </c>
      <c r="B40" t="s">
        <v>12</v>
      </c>
      <c r="C40" t="s">
        <v>277</v>
      </c>
      <c r="D40" t="s">
        <v>278</v>
      </c>
      <c r="E40" t="s">
        <v>279</v>
      </c>
      <c r="F40" t="s">
        <v>16</v>
      </c>
      <c r="G40" t="s">
        <v>16</v>
      </c>
      <c r="H40" t="s">
        <v>280</v>
      </c>
      <c r="I40" t="s">
        <v>281</v>
      </c>
      <c r="J40" t="s">
        <v>282</v>
      </c>
      <c r="K40" t="s">
        <v>281</v>
      </c>
    </row>
    <row r="41" spans="1:11">
      <c r="A41" t="s">
        <v>283</v>
      </c>
      <c r="B41" t="s">
        <v>12</v>
      </c>
      <c r="C41" t="s">
        <v>284</v>
      </c>
      <c r="D41" t="s">
        <v>285</v>
      </c>
      <c r="E41" t="s">
        <v>286</v>
      </c>
      <c r="F41" t="s">
        <v>16</v>
      </c>
      <c r="G41" t="s">
        <v>16</v>
      </c>
      <c r="H41" t="s">
        <v>287</v>
      </c>
      <c r="I41" t="s">
        <v>288</v>
      </c>
      <c r="J41" t="s">
        <v>289</v>
      </c>
      <c r="K41" t="s">
        <v>288</v>
      </c>
    </row>
    <row r="42" spans="1:11">
      <c r="A42" t="s">
        <v>290</v>
      </c>
      <c r="B42" t="s">
        <v>12</v>
      </c>
      <c r="C42" t="s">
        <v>291</v>
      </c>
      <c r="D42" t="s">
        <v>292</v>
      </c>
      <c r="E42" t="s">
        <v>293</v>
      </c>
      <c r="F42" t="s">
        <v>16</v>
      </c>
      <c r="G42" t="s">
        <v>16</v>
      </c>
      <c r="H42" t="s">
        <v>294</v>
      </c>
      <c r="I42" t="s">
        <v>295</v>
      </c>
      <c r="J42" t="s">
        <v>296</v>
      </c>
      <c r="K42" t="s">
        <v>295</v>
      </c>
    </row>
    <row r="43" spans="1:11">
      <c r="A43" t="s">
        <v>297</v>
      </c>
      <c r="B43" t="s">
        <v>12</v>
      </c>
      <c r="C43" t="s">
        <v>298</v>
      </c>
      <c r="D43" t="s">
        <v>299</v>
      </c>
      <c r="E43" t="s">
        <v>300</v>
      </c>
      <c r="F43" t="s">
        <v>16</v>
      </c>
      <c r="G43" t="s">
        <v>16</v>
      </c>
      <c r="H43" t="s">
        <v>301</v>
      </c>
      <c r="I43" t="s">
        <v>302</v>
      </c>
      <c r="J43" t="s">
        <v>303</v>
      </c>
      <c r="K43" t="s">
        <v>302</v>
      </c>
    </row>
    <row r="44" spans="1:11">
      <c r="A44" t="s">
        <v>304</v>
      </c>
      <c r="B44" t="s">
        <v>12</v>
      </c>
      <c r="C44" t="s">
        <v>305</v>
      </c>
      <c r="D44" t="s">
        <v>306</v>
      </c>
      <c r="E44" t="s">
        <v>307</v>
      </c>
      <c r="F44" t="s">
        <v>16</v>
      </c>
      <c r="G44" t="s">
        <v>16</v>
      </c>
      <c r="H44" t="s">
        <v>308</v>
      </c>
      <c r="I44" t="s">
        <v>309</v>
      </c>
      <c r="J44" t="s">
        <v>310</v>
      </c>
      <c r="K44" t="s">
        <v>309</v>
      </c>
    </row>
    <row r="45" spans="1:11">
      <c r="A45" t="s">
        <v>311</v>
      </c>
      <c r="B45" t="s">
        <v>12</v>
      </c>
      <c r="C45" t="s">
        <v>312</v>
      </c>
      <c r="D45" t="s">
        <v>313</v>
      </c>
      <c r="E45" t="s">
        <v>314</v>
      </c>
      <c r="F45" t="s">
        <v>16</v>
      </c>
      <c r="G45" t="s">
        <v>16</v>
      </c>
      <c r="H45" t="s">
        <v>315</v>
      </c>
      <c r="I45" t="s">
        <v>316</v>
      </c>
      <c r="J45" t="s">
        <v>317</v>
      </c>
      <c r="K45" t="s">
        <v>316</v>
      </c>
    </row>
    <row r="46" spans="1:11">
      <c r="A46" t="s">
        <v>318</v>
      </c>
      <c r="B46" t="s">
        <v>12</v>
      </c>
      <c r="C46" t="s">
        <v>319</v>
      </c>
      <c r="D46" t="s">
        <v>320</v>
      </c>
      <c r="E46" t="s">
        <v>321</v>
      </c>
      <c r="F46" t="s">
        <v>16</v>
      </c>
      <c r="G46" t="s">
        <v>16</v>
      </c>
      <c r="H46" t="s">
        <v>322</v>
      </c>
      <c r="I46" t="s">
        <v>323</v>
      </c>
      <c r="J46" t="s">
        <v>324</v>
      </c>
      <c r="K46" t="s">
        <v>323</v>
      </c>
    </row>
    <row r="47" spans="1:11">
      <c r="A47" t="s">
        <v>325</v>
      </c>
      <c r="B47" t="s">
        <v>12</v>
      </c>
      <c r="C47" t="s">
        <v>326</v>
      </c>
      <c r="D47" t="s">
        <v>327</v>
      </c>
      <c r="E47" t="s">
        <v>328</v>
      </c>
      <c r="F47" t="s">
        <v>16</v>
      </c>
      <c r="G47" t="s">
        <v>16</v>
      </c>
      <c r="H47" t="s">
        <v>329</v>
      </c>
      <c r="I47" t="s">
        <v>330</v>
      </c>
      <c r="J47" t="s">
        <v>331</v>
      </c>
      <c r="K47" t="s">
        <v>330</v>
      </c>
    </row>
    <row r="48" spans="1:11">
      <c r="A48" t="s">
        <v>332</v>
      </c>
      <c r="B48" t="s">
        <v>12</v>
      </c>
      <c r="C48" t="s">
        <v>333</v>
      </c>
      <c r="D48" t="s">
        <v>334</v>
      </c>
      <c r="E48" t="s">
        <v>335</v>
      </c>
      <c r="F48" t="s">
        <v>16</v>
      </c>
      <c r="G48" t="s">
        <v>16</v>
      </c>
      <c r="H48" t="s">
        <v>336</v>
      </c>
      <c r="I48" t="s">
        <v>337</v>
      </c>
      <c r="J48" t="s">
        <v>338</v>
      </c>
      <c r="K48" t="s">
        <v>337</v>
      </c>
    </row>
    <row r="49" spans="1:11">
      <c r="A49" t="s">
        <v>339</v>
      </c>
      <c r="B49" t="s">
        <v>12</v>
      </c>
      <c r="C49" t="s">
        <v>340</v>
      </c>
      <c r="D49" t="s">
        <v>341</v>
      </c>
      <c r="E49" t="s">
        <v>342</v>
      </c>
      <c r="F49" t="s">
        <v>16</v>
      </c>
      <c r="G49" t="s">
        <v>16</v>
      </c>
      <c r="H49" t="s">
        <v>343</v>
      </c>
      <c r="I49" t="s">
        <v>344</v>
      </c>
      <c r="J49" t="s">
        <v>345</v>
      </c>
      <c r="K49" t="s">
        <v>344</v>
      </c>
    </row>
    <row r="50" spans="1:11">
      <c r="A50" t="s">
        <v>346</v>
      </c>
      <c r="B50" t="s">
        <v>12</v>
      </c>
      <c r="C50" t="s">
        <v>347</v>
      </c>
      <c r="D50" t="s">
        <v>348</v>
      </c>
      <c r="E50" t="s">
        <v>349</v>
      </c>
      <c r="F50" t="s">
        <v>16</v>
      </c>
      <c r="G50" t="s">
        <v>16</v>
      </c>
      <c r="H50" t="s">
        <v>350</v>
      </c>
      <c r="I50" t="s">
        <v>351</v>
      </c>
      <c r="J50" t="s">
        <v>352</v>
      </c>
      <c r="K50" t="s">
        <v>351</v>
      </c>
    </row>
    <row r="51" spans="1:11">
      <c r="A51" t="s">
        <v>353</v>
      </c>
      <c r="B51" t="s">
        <v>12</v>
      </c>
      <c r="C51" t="s">
        <v>354</v>
      </c>
      <c r="D51" t="s">
        <v>355</v>
      </c>
      <c r="E51" t="s">
        <v>356</v>
      </c>
      <c r="F51" t="s">
        <v>16</v>
      </c>
      <c r="G51" t="s">
        <v>16</v>
      </c>
      <c r="H51" t="s">
        <v>357</v>
      </c>
      <c r="I51" t="s">
        <v>358</v>
      </c>
      <c r="J51" t="s">
        <v>359</v>
      </c>
      <c r="K51" t="s">
        <v>358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BDH("SNTVQ US Equity","BS_TOT_ASSET","1993-06-18","1998-06-18","Per=Y","Days=T","Dir=V")</f>
        <v>0</v>
      </c>
      <c r="C2">
        <f>BDH("SNTVQ US Equity","BS_TOT_LIAB2","1993-06-18","1998-06-18","Per=Y","Days=T","Dir=V")</f>
        <v>0</v>
      </c>
      <c r="E2">
        <f>BDH("SNTVQ US Equity","SHORT_AND_LONG_TERM_DEBT","1993-06-18","1998-06-18","Per=Y","Days=T","Dir=V")</f>
        <v>0</v>
      </c>
      <c r="G2">
        <f>BDH("SNTVQ US Equity","BS_ST_BORROW","1993-06-18","1998-06-18","Per=Y","Days=T","Dir=V")</f>
        <v>0</v>
      </c>
      <c r="I2">
        <f>BDH("SNTVQ US Equity","BS_LT_BORROW","1993-06-18","1998-06-18","Per=Y","Days=T","Dir=V")</f>
        <v>0</v>
      </c>
      <c r="K2">
        <f>BDH("SNTVQ US Equity","BS_CASH_NEAR_CASH_ITEM","1993-06-18","1998-06-18","Per=Y","Days=T","Dir=V")</f>
        <v>0</v>
      </c>
      <c r="M2">
        <f>BDH("SNTVQ US Equity","BS_CUR_ASSET_REPORT","1993-06-18","1998-06-18","Per=Y","Days=T","Dir=V")</f>
        <v>0</v>
      </c>
      <c r="O2">
        <f>BDH("SNTVQ US Equity","BS_CUR_LIAB","1993-06-18","1998-06-18","Per=Y","Days=T","Dir=V")</f>
        <v>0</v>
      </c>
      <c r="Q2">
        <f>BDH("SNTVQ US Equity","BS_SHAREHOLDER_EQY_ENDING_PERIOD","1993-06-18","1998-06-18","Per=Y","Days=T","Dir=V")</f>
        <v>0</v>
      </c>
      <c r="S2">
        <f>BDH("SNTVQ US Equity","BS_ACCT_NOTE_RCV","1993-06-18","1998-06-18","Per=Y","Days=T","Dir=V")</f>
        <v>0</v>
      </c>
      <c r="U2">
        <f>BDH("SNTVQ US Equity","BS_INVENTORIES","1993-06-18","1998-06-18","Per=Y","Days=T","Dir=V")</f>
        <v>0</v>
      </c>
      <c r="W2">
        <f>BDH("SNTVQ US Equity","WORKING_CAPITAL","1993-06-18","1998-06-18","Per=Y","Days=T","Dir=V")</f>
        <v>0</v>
      </c>
      <c r="Y2">
        <f>BDH("SNTVQ US Equity","SALES_REV_TURN","1993-06-18","1998-06-18","Per=Y","Days=T","Dir=V")</f>
        <v>0</v>
      </c>
      <c r="AA2">
        <f>BDH("SNTVQ US Equity","EBIT","1993-06-18","1998-06-18","Per=Y","Days=T","Dir=V")</f>
        <v>0</v>
      </c>
      <c r="AC2">
        <f>BDH("SNTVQ US Equity","EBITDA","1993-06-18","1998-06-18","Per=Y","Days=T","Dir=V")</f>
        <v>0</v>
      </c>
      <c r="AE2">
        <f>BDH("SNTVQ US Equity","NET_INCOME","1993-06-18","1998-06-18","Per=Y","Days=T","Dir=V")</f>
        <v>0</v>
      </c>
      <c r="AG2">
        <f>BDH("SNTVQ US Equity","IS_INT_EXPENSE","1993-06-18","1998-06-18","Per=Y","Days=T","Dir=V")</f>
        <v>0</v>
      </c>
      <c r="AI2">
        <f>BDH("SNTVQ US Equity","IS_DEPR_EXP","1993-06-18","1998-06-18","Per=Y","Days=T","Dir=V")</f>
        <v>0</v>
      </c>
      <c r="AK2">
        <f>BDH("SNTVQ US Equity","CF_CASH_FROM_OPER","1993-06-18","1998-06-18","Per=Y","Days=T","Dir=V")</f>
        <v>0</v>
      </c>
      <c r="AM2">
        <f>BDH("SNTVQ US Equity","CAPITAL_EXPEND","1993-06-18","1998-06-18","Per=Y","Days=T","Dir=V")</f>
        <v>0</v>
      </c>
      <c r="AO2">
        <f>BDH("SNTVQ US Equity","CF_FREE_CASH_FLOW","1993-06-18","1998-06-18","Per=Y","Days=T","Dir=V")</f>
        <v>0</v>
      </c>
      <c r="AQ2">
        <f>BDH("SNTVQ US Equity","PX_LAST","1993-06-18","1998-06-18","Per=M","Days=T","Dir=V")</f>
        <v>0</v>
      </c>
      <c r="AS2">
        <f>BDH("SNTVQ US Equity","CUR_MKT_CAP","1993-06-18","1998-06-18","Per=M","Days=T","Dir=V")</f>
        <v>0</v>
      </c>
      <c r="AU2">
        <f>BDH("SNTVQ US Equity","EQY_SH_OUT","1993-06-18","1998-06-18","Per=M","Days=T","Dir=V")</f>
        <v>0</v>
      </c>
      <c r="AW2">
        <f>BDH("SNTVQ US Equity","BETA_RAW_OVERRIABLE","1993-06-18","1998-06-18","Per=M","Days=T","Dir=V")</f>
        <v>0</v>
      </c>
      <c r="AY2">
        <f>BDH("SNTVQ US Equity","PX_VOLUME","1993-06-18","1998-06-18","Per=M","Days=T","Dir=V")</f>
        <v>0</v>
      </c>
      <c r="BA2">
        <f>BDH("SNTVQ US Equity","TURNOVER","1993-06-18","1998-06-18","Per=M","Days=T","Dir=V")</f>
        <v>0</v>
      </c>
      <c r="BC2">
        <f>BDH("SNTVQ US Equity","SPREAD_BA_CR","1993-06-18","1998-06-18","Per=M","Days=T","Dir=V")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BDH("BCHXQ US Equity","BS_TOT_ASSET","1993-07-07","1998-07-07","Per=Y","Days=T","Dir=V")</f>
        <v>0</v>
      </c>
      <c r="C2">
        <f>BDH("BCHXQ US Equity","BS_TOT_LIAB2","1993-07-07","1998-07-07","Per=Y","Days=T","Dir=V")</f>
        <v>0</v>
      </c>
      <c r="E2">
        <f>BDH("BCHXQ US Equity","SHORT_AND_LONG_TERM_DEBT","1993-07-07","1998-07-07","Per=Y","Days=T","Dir=V")</f>
        <v>0</v>
      </c>
      <c r="G2">
        <f>BDH("BCHXQ US Equity","BS_ST_BORROW","1993-07-07","1998-07-07","Per=Y","Days=T","Dir=V")</f>
        <v>0</v>
      </c>
      <c r="I2">
        <f>BDH("BCHXQ US Equity","BS_LT_BORROW","1993-07-07","1998-07-07","Per=Y","Days=T","Dir=V")</f>
        <v>0</v>
      </c>
      <c r="K2">
        <f>BDH("BCHXQ US Equity","BS_CASH_NEAR_CASH_ITEM","1993-07-07","1998-07-07","Per=Y","Days=T","Dir=V")</f>
        <v>0</v>
      </c>
      <c r="M2">
        <f>BDH("BCHXQ US Equity","BS_CUR_ASSET_REPORT","1993-07-07","1998-07-07","Per=Y","Days=T","Dir=V")</f>
        <v>0</v>
      </c>
      <c r="O2">
        <f>BDH("BCHXQ US Equity","BS_CUR_LIAB","1993-07-07","1998-07-07","Per=Y","Days=T","Dir=V")</f>
        <v>0</v>
      </c>
      <c r="Q2">
        <f>BDH("BCHXQ US Equity","BS_SHAREHOLDER_EQY_ENDING_PERIOD","1993-07-07","1998-07-07","Per=Y","Days=T","Dir=V")</f>
        <v>0</v>
      </c>
      <c r="S2">
        <f>BDH("BCHXQ US Equity","BS_ACCT_NOTE_RCV","1993-07-07","1998-07-07","Per=Y","Days=T","Dir=V")</f>
        <v>0</v>
      </c>
      <c r="U2">
        <f>BDH("BCHXQ US Equity","BS_INVENTORIES","1993-07-07","1998-07-07","Per=Y","Days=T","Dir=V")</f>
        <v>0</v>
      </c>
      <c r="W2">
        <f>BDH("BCHXQ US Equity","WORKING_CAPITAL","1993-07-07","1998-07-07","Per=Y","Days=T","Dir=V")</f>
        <v>0</v>
      </c>
      <c r="Y2">
        <f>BDH("BCHXQ US Equity","SALES_REV_TURN","1993-07-07","1998-07-07","Per=Y","Days=T","Dir=V")</f>
        <v>0</v>
      </c>
      <c r="AA2">
        <f>BDH("BCHXQ US Equity","EBIT","1993-07-07","1998-07-07","Per=Y","Days=T","Dir=V")</f>
        <v>0</v>
      </c>
      <c r="AC2">
        <f>BDH("BCHXQ US Equity","EBITDA","1993-07-07","1998-07-07","Per=Y","Days=T","Dir=V")</f>
        <v>0</v>
      </c>
      <c r="AE2">
        <f>BDH("BCHXQ US Equity","NET_INCOME","1993-07-07","1998-07-07","Per=Y","Days=T","Dir=V")</f>
        <v>0</v>
      </c>
      <c r="AG2">
        <f>BDH("BCHXQ US Equity","IS_INT_EXPENSE","1993-07-07","1998-07-07","Per=Y","Days=T","Dir=V")</f>
        <v>0</v>
      </c>
      <c r="AI2">
        <f>BDH("BCHXQ US Equity","IS_DEPR_EXP","1993-07-07","1998-07-07","Per=Y","Days=T","Dir=V")</f>
        <v>0</v>
      </c>
      <c r="AK2">
        <f>BDH("BCHXQ US Equity","CF_CASH_FROM_OPER","1993-07-07","1998-07-07","Per=Y","Days=T","Dir=V")</f>
        <v>0</v>
      </c>
      <c r="AM2">
        <f>BDH("BCHXQ US Equity","CAPITAL_EXPEND","1993-07-07","1998-07-07","Per=Y","Days=T","Dir=V")</f>
        <v>0</v>
      </c>
      <c r="AO2">
        <f>BDH("BCHXQ US Equity","CF_FREE_CASH_FLOW","1993-07-07","1998-07-07","Per=Y","Days=T","Dir=V")</f>
        <v>0</v>
      </c>
      <c r="AQ2">
        <f>BDH("BCHXQ US Equity","PX_LAST","1993-07-07","1998-07-07","Per=M","Days=T","Dir=V")</f>
        <v>0</v>
      </c>
      <c r="AS2">
        <f>BDH("BCHXQ US Equity","CUR_MKT_CAP","1993-07-07","1998-07-07","Per=M","Days=T","Dir=V")</f>
        <v>0</v>
      </c>
      <c r="AU2">
        <f>BDH("BCHXQ US Equity","EQY_SH_OUT","1993-07-07","1998-07-07","Per=M","Days=T","Dir=V")</f>
        <v>0</v>
      </c>
      <c r="AW2">
        <f>BDH("BCHXQ US Equity","BETA_RAW_OVERRIABLE","1993-07-07","1998-07-07","Per=M","Days=T","Dir=V")</f>
        <v>0</v>
      </c>
      <c r="AY2">
        <f>BDH("BCHXQ US Equity","PX_VOLUME","1993-07-07","1998-07-07","Per=M","Days=T","Dir=V")</f>
        <v>0</v>
      </c>
      <c r="BA2">
        <f>BDH("BCHXQ US Equity","TURNOVER","1993-07-07","1998-07-07","Per=M","Days=T","Dir=V")</f>
        <v>0</v>
      </c>
      <c r="BC2">
        <f>BDH("BCHXQ US Equity","SPREAD_BA_CR","1993-07-07","1998-07-07","Per=M","Days=T","Dir=V")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BDH("JSIBQ US Equity","BS_TOT_ASSET","1993-09-28","1998-09-28","Per=Y","Days=T","Dir=V")</f>
        <v>0</v>
      </c>
      <c r="C2">
        <f>BDH("JSIBQ US Equity","BS_TOT_LIAB2","1993-09-28","1998-09-28","Per=Y","Days=T","Dir=V")</f>
        <v>0</v>
      </c>
      <c r="E2">
        <f>BDH("JSIBQ US Equity","SHORT_AND_LONG_TERM_DEBT","1993-09-28","1998-09-28","Per=Y","Days=T","Dir=V")</f>
        <v>0</v>
      </c>
      <c r="G2">
        <f>BDH("JSIBQ US Equity","BS_ST_BORROW","1993-09-28","1998-09-28","Per=Y","Days=T","Dir=V")</f>
        <v>0</v>
      </c>
      <c r="I2">
        <f>BDH("JSIBQ US Equity","BS_LT_BORROW","1993-09-28","1998-09-28","Per=Y","Days=T","Dir=V")</f>
        <v>0</v>
      </c>
      <c r="K2">
        <f>BDH("JSIBQ US Equity","BS_CASH_NEAR_CASH_ITEM","1993-09-28","1998-09-28","Per=Y","Days=T","Dir=V")</f>
        <v>0</v>
      </c>
      <c r="M2">
        <f>BDH("JSIBQ US Equity","BS_CUR_ASSET_REPORT","1993-09-28","1998-09-28","Per=Y","Days=T","Dir=V")</f>
        <v>0</v>
      </c>
      <c r="O2">
        <f>BDH("JSIBQ US Equity","BS_CUR_LIAB","1993-09-28","1998-09-28","Per=Y","Days=T","Dir=V")</f>
        <v>0</v>
      </c>
      <c r="Q2">
        <f>BDH("JSIBQ US Equity","BS_SHAREHOLDER_EQY_ENDING_PERIOD","1993-09-28","1998-09-28","Per=Y","Days=T","Dir=V")</f>
        <v>0</v>
      </c>
      <c r="S2">
        <f>BDH("JSIBQ US Equity","BS_ACCT_NOTE_RCV","1993-09-28","1998-09-28","Per=Y","Days=T","Dir=V")</f>
        <v>0</v>
      </c>
      <c r="U2">
        <f>BDH("JSIBQ US Equity","BS_INVENTORIES","1993-09-28","1998-09-28","Per=Y","Days=T","Dir=V")</f>
        <v>0</v>
      </c>
      <c r="W2">
        <f>BDH("JSIBQ US Equity","WORKING_CAPITAL","1993-09-28","1998-09-28","Per=Y","Days=T","Dir=V")</f>
        <v>0</v>
      </c>
      <c r="Y2">
        <f>BDH("JSIBQ US Equity","SALES_REV_TURN","1993-09-28","1998-09-28","Per=Y","Days=T","Dir=V")</f>
        <v>0</v>
      </c>
      <c r="AA2">
        <f>BDH("JSIBQ US Equity","EBIT","1993-09-28","1998-09-28","Per=Y","Days=T","Dir=V")</f>
        <v>0</v>
      </c>
      <c r="AC2">
        <f>BDH("JSIBQ US Equity","EBITDA","1993-09-28","1998-09-28","Per=Y","Days=T","Dir=V")</f>
        <v>0</v>
      </c>
      <c r="AE2">
        <f>BDH("JSIBQ US Equity","NET_INCOME","1993-09-28","1998-09-28","Per=Y","Days=T","Dir=V")</f>
        <v>0</v>
      </c>
      <c r="AG2">
        <f>BDH("JSIBQ US Equity","IS_INT_EXPENSE","1993-09-28","1998-09-28","Per=Y","Days=T","Dir=V")</f>
        <v>0</v>
      </c>
      <c r="AI2">
        <f>BDH("JSIBQ US Equity","IS_DEPR_EXP","1993-09-28","1998-09-28","Per=Y","Days=T","Dir=V")</f>
        <v>0</v>
      </c>
      <c r="AK2">
        <f>BDH("JSIBQ US Equity","CF_CASH_FROM_OPER","1993-09-28","1998-09-28","Per=Y","Days=T","Dir=V")</f>
        <v>0</v>
      </c>
      <c r="AM2">
        <f>BDH("JSIBQ US Equity","CAPITAL_EXPEND","1993-09-28","1998-09-28","Per=Y","Days=T","Dir=V")</f>
        <v>0</v>
      </c>
      <c r="AO2">
        <f>BDH("JSIBQ US Equity","CF_FREE_CASH_FLOW","1993-09-28","1998-09-28","Per=Y","Days=T","Dir=V")</f>
        <v>0</v>
      </c>
      <c r="AQ2">
        <f>BDH("JSIBQ US Equity","PX_LAST","1993-09-28","1998-09-28","Per=M","Days=T","Dir=V")</f>
        <v>0</v>
      </c>
      <c r="AS2">
        <f>BDH("JSIBQ US Equity","CUR_MKT_CAP","1993-09-28","1998-09-28","Per=M","Days=T","Dir=V")</f>
        <v>0</v>
      </c>
      <c r="AU2">
        <f>BDH("JSIBQ US Equity","EQY_SH_OUT","1993-09-28","1998-09-28","Per=M","Days=T","Dir=V")</f>
        <v>0</v>
      </c>
      <c r="AW2">
        <f>BDH("JSIBQ US Equity","BETA_RAW_OVERRIABLE","1993-09-28","1998-09-28","Per=M","Days=T","Dir=V")</f>
        <v>0</v>
      </c>
      <c r="AY2">
        <f>BDH("JSIBQ US Equity","PX_VOLUME","1993-09-28","1998-09-28","Per=M","Days=T","Dir=V")</f>
        <v>0</v>
      </c>
      <c r="BA2">
        <f>BDH("JSIBQ US Equity","TURNOVER","1993-09-28","1998-09-28","Per=M","Days=T","Dir=V")</f>
        <v>0</v>
      </c>
      <c r="BC2">
        <f>BDH("JSIBQ US Equity","SPREAD_BA_CR","1993-09-28","1998-09-28","Per=M","Days=T","Dir=V")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BDH("2777116Q US Equity","BS_TOT_ASSET","1993-09-30","1998-09-30","Per=Y","Days=T","Dir=V")</f>
        <v>0</v>
      </c>
      <c r="C2">
        <f>BDH("2777116Q US Equity","BS_TOT_LIAB2","1993-09-30","1998-09-30","Per=Y","Days=T","Dir=V")</f>
        <v>0</v>
      </c>
      <c r="E2">
        <f>BDH("2777116Q US Equity","SHORT_AND_LONG_TERM_DEBT","1993-09-30","1998-09-30","Per=Y","Days=T","Dir=V")</f>
        <v>0</v>
      </c>
      <c r="G2">
        <f>BDH("2777116Q US Equity","BS_ST_BORROW","1993-09-30","1998-09-30","Per=Y","Days=T","Dir=V")</f>
        <v>0</v>
      </c>
      <c r="I2">
        <f>BDH("2777116Q US Equity","BS_LT_BORROW","1993-09-30","1998-09-30","Per=Y","Days=T","Dir=V")</f>
        <v>0</v>
      </c>
      <c r="K2">
        <f>BDH("2777116Q US Equity","BS_CASH_NEAR_CASH_ITEM","1993-09-30","1998-09-30","Per=Y","Days=T","Dir=V")</f>
        <v>0</v>
      </c>
      <c r="M2">
        <f>BDH("2777116Q US Equity","BS_CUR_ASSET_REPORT","1993-09-30","1998-09-30","Per=Y","Days=T","Dir=V")</f>
        <v>0</v>
      </c>
      <c r="O2">
        <f>BDH("2777116Q US Equity","BS_CUR_LIAB","1993-09-30","1998-09-30","Per=Y","Days=T","Dir=V")</f>
        <v>0</v>
      </c>
      <c r="Q2">
        <f>BDH("2777116Q US Equity","BS_SHAREHOLDER_EQY_ENDING_PERIOD","1993-09-30","1998-09-30","Per=Y","Days=T","Dir=V")</f>
        <v>0</v>
      </c>
      <c r="S2">
        <f>BDH("2777116Q US Equity","BS_ACCT_NOTE_RCV","1993-09-30","1998-09-30","Per=Y","Days=T","Dir=V")</f>
        <v>0</v>
      </c>
      <c r="U2">
        <f>BDH("2777116Q US Equity","BS_INVENTORIES","1993-09-30","1998-09-30","Per=Y","Days=T","Dir=V")</f>
        <v>0</v>
      </c>
      <c r="W2">
        <f>BDH("2777116Q US Equity","WORKING_CAPITAL","1993-09-30","1998-09-30","Per=Y","Days=T","Dir=V")</f>
        <v>0</v>
      </c>
      <c r="Y2">
        <f>BDH("2777116Q US Equity","SALES_REV_TURN","1993-09-30","1998-09-30","Per=Y","Days=T","Dir=V")</f>
        <v>0</v>
      </c>
      <c r="AA2">
        <f>BDH("2777116Q US Equity","EBIT","1993-09-30","1998-09-30","Per=Y","Days=T","Dir=V")</f>
        <v>0</v>
      </c>
      <c r="AC2">
        <f>BDH("2777116Q US Equity","EBITDA","1993-09-30","1998-09-30","Per=Y","Days=T","Dir=V")</f>
        <v>0</v>
      </c>
      <c r="AE2">
        <f>BDH("2777116Q US Equity","NET_INCOME","1993-09-30","1998-09-30","Per=Y","Days=T","Dir=V")</f>
        <v>0</v>
      </c>
      <c r="AG2">
        <f>BDH("2777116Q US Equity","IS_INT_EXPENSE","1993-09-30","1998-09-30","Per=Y","Days=T","Dir=V")</f>
        <v>0</v>
      </c>
      <c r="AI2">
        <f>BDH("2777116Q US Equity","IS_DEPR_EXP","1993-09-30","1998-09-30","Per=Y","Days=T","Dir=V")</f>
        <v>0</v>
      </c>
      <c r="AK2">
        <f>BDH("2777116Q US Equity","CF_CASH_FROM_OPER","1993-09-30","1998-09-30","Per=Y","Days=T","Dir=V")</f>
        <v>0</v>
      </c>
      <c r="AM2">
        <f>BDH("2777116Q US Equity","CAPITAL_EXPEND","1993-09-30","1998-09-30","Per=Y","Days=T","Dir=V")</f>
        <v>0</v>
      </c>
      <c r="AO2">
        <f>BDH("2777116Q US Equity","CF_FREE_CASH_FLOW","1993-09-30","1998-09-30","Per=Y","Days=T","Dir=V")</f>
        <v>0</v>
      </c>
      <c r="AQ2">
        <f>BDH("2777116Q US Equity","PX_LAST","1993-09-30","1998-09-30","Per=M","Days=T","Dir=V")</f>
        <v>0</v>
      </c>
      <c r="AS2">
        <f>BDH("2777116Q US Equity","CUR_MKT_CAP","1993-09-30","1998-09-30","Per=M","Days=T","Dir=V")</f>
        <v>0</v>
      </c>
      <c r="AU2">
        <f>BDH("2777116Q US Equity","EQY_SH_OUT","1993-09-30","1998-09-30","Per=M","Days=T","Dir=V")</f>
        <v>0</v>
      </c>
      <c r="AW2">
        <f>BDH("2777116Q US Equity","BETA_RAW_OVERRIABLE","1993-09-30","1998-09-30","Per=M","Days=T","Dir=V")</f>
        <v>0</v>
      </c>
      <c r="AY2">
        <f>BDH("2777116Q US Equity","PX_VOLUME","1993-09-30","1998-09-30","Per=M","Days=T","Dir=V")</f>
        <v>0</v>
      </c>
      <c r="BA2">
        <f>BDH("2777116Q US Equity","TURNOVER","1993-09-30","1998-09-30","Per=M","Days=T","Dir=V")</f>
        <v>0</v>
      </c>
      <c r="BC2">
        <f>BDH("2777116Q US Equity","SPREAD_BA_CR","1993-09-30","1998-09-30","Per=M","Days=T","Dir=V")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BDH("WIRLQ US Equity","BS_TOT_ASSET","1993-11-13","1998-11-13","Per=Y","Days=T","Dir=V")</f>
        <v>0</v>
      </c>
      <c r="C2">
        <f>BDH("WIRLQ US Equity","BS_TOT_LIAB2","1993-11-13","1998-11-13","Per=Y","Days=T","Dir=V")</f>
        <v>0</v>
      </c>
      <c r="E2">
        <f>BDH("WIRLQ US Equity","SHORT_AND_LONG_TERM_DEBT","1993-11-13","1998-11-13","Per=Y","Days=T","Dir=V")</f>
        <v>0</v>
      </c>
      <c r="G2">
        <f>BDH("WIRLQ US Equity","BS_ST_BORROW","1993-11-13","1998-11-13","Per=Y","Days=T","Dir=V")</f>
        <v>0</v>
      </c>
      <c r="I2">
        <f>BDH("WIRLQ US Equity","BS_LT_BORROW","1993-11-13","1998-11-13","Per=Y","Days=T","Dir=V")</f>
        <v>0</v>
      </c>
      <c r="K2">
        <f>BDH("WIRLQ US Equity","BS_CASH_NEAR_CASH_ITEM","1993-11-13","1998-11-13","Per=Y","Days=T","Dir=V")</f>
        <v>0</v>
      </c>
      <c r="M2">
        <f>BDH("WIRLQ US Equity","BS_CUR_ASSET_REPORT","1993-11-13","1998-11-13","Per=Y","Days=T","Dir=V")</f>
        <v>0</v>
      </c>
      <c r="O2">
        <f>BDH("WIRLQ US Equity","BS_CUR_LIAB","1993-11-13","1998-11-13","Per=Y","Days=T","Dir=V")</f>
        <v>0</v>
      </c>
      <c r="Q2">
        <f>BDH("WIRLQ US Equity","BS_SHAREHOLDER_EQY_ENDING_PERIOD","1993-11-13","1998-11-13","Per=Y","Days=T","Dir=V")</f>
        <v>0</v>
      </c>
      <c r="S2">
        <f>BDH("WIRLQ US Equity","BS_ACCT_NOTE_RCV","1993-11-13","1998-11-13","Per=Y","Days=T","Dir=V")</f>
        <v>0</v>
      </c>
      <c r="U2">
        <f>BDH("WIRLQ US Equity","BS_INVENTORIES","1993-11-13","1998-11-13","Per=Y","Days=T","Dir=V")</f>
        <v>0</v>
      </c>
      <c r="W2">
        <f>BDH("WIRLQ US Equity","WORKING_CAPITAL","1993-11-13","1998-11-13","Per=Y","Days=T","Dir=V")</f>
        <v>0</v>
      </c>
      <c r="Y2">
        <f>BDH("WIRLQ US Equity","SALES_REV_TURN","1993-11-13","1998-11-13","Per=Y","Days=T","Dir=V")</f>
        <v>0</v>
      </c>
      <c r="AA2">
        <f>BDH("WIRLQ US Equity","EBIT","1993-11-13","1998-11-13","Per=Y","Days=T","Dir=V")</f>
        <v>0</v>
      </c>
      <c r="AC2">
        <f>BDH("WIRLQ US Equity","EBITDA","1993-11-13","1998-11-13","Per=Y","Days=T","Dir=V")</f>
        <v>0</v>
      </c>
      <c r="AE2">
        <f>BDH("WIRLQ US Equity","NET_INCOME","1993-11-13","1998-11-13","Per=Y","Days=T","Dir=V")</f>
        <v>0</v>
      </c>
      <c r="AG2">
        <f>BDH("WIRLQ US Equity","IS_INT_EXPENSE","1993-11-13","1998-11-13","Per=Y","Days=T","Dir=V")</f>
        <v>0</v>
      </c>
      <c r="AI2">
        <f>BDH("WIRLQ US Equity","IS_DEPR_EXP","1993-11-13","1998-11-13","Per=Y","Days=T","Dir=V")</f>
        <v>0</v>
      </c>
      <c r="AK2">
        <f>BDH("WIRLQ US Equity","CF_CASH_FROM_OPER","1993-11-13","1998-11-13","Per=Y","Days=T","Dir=V")</f>
        <v>0</v>
      </c>
      <c r="AM2">
        <f>BDH("WIRLQ US Equity","CAPITAL_EXPEND","1993-11-13","1998-11-13","Per=Y","Days=T","Dir=V")</f>
        <v>0</v>
      </c>
      <c r="AO2">
        <f>BDH("WIRLQ US Equity","CF_FREE_CASH_FLOW","1993-11-13","1998-11-13","Per=Y","Days=T","Dir=V")</f>
        <v>0</v>
      </c>
      <c r="AQ2">
        <f>BDH("WIRLQ US Equity","PX_LAST","1993-11-13","1998-11-13","Per=M","Days=T","Dir=V")</f>
        <v>0</v>
      </c>
      <c r="AS2">
        <f>BDH("WIRLQ US Equity","CUR_MKT_CAP","1993-11-13","1998-11-13","Per=M","Days=T","Dir=V")</f>
        <v>0</v>
      </c>
      <c r="AU2">
        <f>BDH("WIRLQ US Equity","EQY_SH_OUT","1993-11-13","1998-11-13","Per=M","Days=T","Dir=V")</f>
        <v>0</v>
      </c>
      <c r="AW2">
        <f>BDH("WIRLQ US Equity","BETA_RAW_OVERRIABLE","1993-11-13","1998-11-13","Per=M","Days=T","Dir=V")</f>
        <v>0</v>
      </c>
      <c r="AY2">
        <f>BDH("WIRLQ US Equity","PX_VOLUME","1993-11-13","1998-11-13","Per=M","Days=T","Dir=V")</f>
        <v>0</v>
      </c>
      <c r="BA2">
        <f>BDH("WIRLQ US Equity","TURNOVER","1993-11-13","1998-11-13","Per=M","Days=T","Dir=V")</f>
        <v>0</v>
      </c>
      <c r="BC2">
        <f>BDH("WIRLQ US Equity","SPREAD_BA_CR","1993-11-13","1998-11-13","Per=M","Days=T","Dir=V")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BDH("PNFTQ US Equity","BS_TOT_ASSET","1993-12-01","1998-12-01","Per=Y","Days=T","Dir=V")</f>
        <v>0</v>
      </c>
      <c r="C2">
        <f>BDH("PNFTQ US Equity","BS_TOT_LIAB2","1993-12-01","1998-12-01","Per=Y","Days=T","Dir=V")</f>
        <v>0</v>
      </c>
      <c r="E2">
        <f>BDH("PNFTQ US Equity","SHORT_AND_LONG_TERM_DEBT","1993-12-01","1998-12-01","Per=Y","Days=T","Dir=V")</f>
        <v>0</v>
      </c>
      <c r="G2">
        <f>BDH("PNFTQ US Equity","BS_ST_BORROW","1993-12-01","1998-12-01","Per=Y","Days=T","Dir=V")</f>
        <v>0</v>
      </c>
      <c r="I2">
        <f>BDH("PNFTQ US Equity","BS_LT_BORROW","1993-12-01","1998-12-01","Per=Y","Days=T","Dir=V")</f>
        <v>0</v>
      </c>
      <c r="K2">
        <f>BDH("PNFTQ US Equity","BS_CASH_NEAR_CASH_ITEM","1993-12-01","1998-12-01","Per=Y","Days=T","Dir=V")</f>
        <v>0</v>
      </c>
      <c r="M2">
        <f>BDH("PNFTQ US Equity","BS_CUR_ASSET_REPORT","1993-12-01","1998-12-01","Per=Y","Days=T","Dir=V")</f>
        <v>0</v>
      </c>
      <c r="O2">
        <f>BDH("PNFTQ US Equity","BS_CUR_LIAB","1993-12-01","1998-12-01","Per=Y","Days=T","Dir=V")</f>
        <v>0</v>
      </c>
      <c r="Q2">
        <f>BDH("PNFTQ US Equity","BS_SHAREHOLDER_EQY_ENDING_PERIOD","1993-12-01","1998-12-01","Per=Y","Days=T","Dir=V")</f>
        <v>0</v>
      </c>
      <c r="S2">
        <f>BDH("PNFTQ US Equity","BS_ACCT_NOTE_RCV","1993-12-01","1998-12-01","Per=Y","Days=T","Dir=V")</f>
        <v>0</v>
      </c>
      <c r="U2">
        <f>BDH("PNFTQ US Equity","BS_INVENTORIES","1993-12-01","1998-12-01","Per=Y","Days=T","Dir=V")</f>
        <v>0</v>
      </c>
      <c r="W2">
        <f>BDH("PNFTQ US Equity","WORKING_CAPITAL","1993-12-01","1998-12-01","Per=Y","Days=T","Dir=V")</f>
        <v>0</v>
      </c>
      <c r="Y2">
        <f>BDH("PNFTQ US Equity","SALES_REV_TURN","1993-12-01","1998-12-01","Per=Y","Days=T","Dir=V")</f>
        <v>0</v>
      </c>
      <c r="AA2">
        <f>BDH("PNFTQ US Equity","EBIT","1993-12-01","1998-12-01","Per=Y","Days=T","Dir=V")</f>
        <v>0</v>
      </c>
      <c r="AC2">
        <f>BDH("PNFTQ US Equity","EBITDA","1993-12-01","1998-12-01","Per=Y","Days=T","Dir=V")</f>
        <v>0</v>
      </c>
      <c r="AE2">
        <f>BDH("PNFTQ US Equity","NET_INCOME","1993-12-01","1998-12-01","Per=Y","Days=T","Dir=V")</f>
        <v>0</v>
      </c>
      <c r="AG2">
        <f>BDH("PNFTQ US Equity","IS_INT_EXPENSE","1993-12-01","1998-12-01","Per=Y","Days=T","Dir=V")</f>
        <v>0</v>
      </c>
      <c r="AI2">
        <f>BDH("PNFTQ US Equity","IS_DEPR_EXP","1993-12-01","1998-12-01","Per=Y","Days=T","Dir=V")</f>
        <v>0</v>
      </c>
      <c r="AK2">
        <f>BDH("PNFTQ US Equity","CF_CASH_FROM_OPER","1993-12-01","1998-12-01","Per=Y","Days=T","Dir=V")</f>
        <v>0</v>
      </c>
      <c r="AM2">
        <f>BDH("PNFTQ US Equity","CAPITAL_EXPEND","1993-12-01","1998-12-01","Per=Y","Days=T","Dir=V")</f>
        <v>0</v>
      </c>
      <c r="AO2">
        <f>BDH("PNFTQ US Equity","CF_FREE_CASH_FLOW","1993-12-01","1998-12-01","Per=Y","Days=T","Dir=V")</f>
        <v>0</v>
      </c>
      <c r="AQ2">
        <f>BDH("PNFTQ US Equity","PX_LAST","1993-12-01","1998-12-01","Per=M","Days=T","Dir=V")</f>
        <v>0</v>
      </c>
      <c r="AS2">
        <f>BDH("PNFTQ US Equity","CUR_MKT_CAP","1993-12-01","1998-12-01","Per=M","Days=T","Dir=V")</f>
        <v>0</v>
      </c>
      <c r="AU2">
        <f>BDH("PNFTQ US Equity","EQY_SH_OUT","1993-12-01","1998-12-01","Per=M","Days=T","Dir=V")</f>
        <v>0</v>
      </c>
      <c r="AW2">
        <f>BDH("PNFTQ US Equity","BETA_RAW_OVERRIABLE","1993-12-01","1998-12-01","Per=M","Days=T","Dir=V")</f>
        <v>0</v>
      </c>
      <c r="AY2">
        <f>BDH("PNFTQ US Equity","PX_VOLUME","1993-12-01","1998-12-01","Per=M","Days=T","Dir=V")</f>
        <v>0</v>
      </c>
      <c r="BA2">
        <f>BDH("PNFTQ US Equity","TURNOVER","1993-12-01","1998-12-01","Per=M","Days=T","Dir=V")</f>
        <v>0</v>
      </c>
      <c r="BC2">
        <f>BDH("PNFTQ US Equity","SPREAD_BA_CR","1993-12-01","1998-12-01","Per=M","Days=T","Dir=V")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BDH("SVCDQ US Equity","BS_TOT_ASSET","1993-12-15","1998-12-15","Per=Y","Days=T","Dir=V")</f>
        <v>0</v>
      </c>
      <c r="C2">
        <f>BDH("SVCDQ US Equity","BS_TOT_LIAB2","1993-12-15","1998-12-15","Per=Y","Days=T","Dir=V")</f>
        <v>0</v>
      </c>
      <c r="E2">
        <f>BDH("SVCDQ US Equity","SHORT_AND_LONG_TERM_DEBT","1993-12-15","1998-12-15","Per=Y","Days=T","Dir=V")</f>
        <v>0</v>
      </c>
      <c r="G2">
        <f>BDH("SVCDQ US Equity","BS_ST_BORROW","1993-12-15","1998-12-15","Per=Y","Days=T","Dir=V")</f>
        <v>0</v>
      </c>
      <c r="I2">
        <f>BDH("SVCDQ US Equity","BS_LT_BORROW","1993-12-15","1998-12-15","Per=Y","Days=T","Dir=V")</f>
        <v>0</v>
      </c>
      <c r="K2">
        <f>BDH("SVCDQ US Equity","BS_CASH_NEAR_CASH_ITEM","1993-12-15","1998-12-15","Per=Y","Days=T","Dir=V")</f>
        <v>0</v>
      </c>
      <c r="M2">
        <f>BDH("SVCDQ US Equity","BS_CUR_ASSET_REPORT","1993-12-15","1998-12-15","Per=Y","Days=T","Dir=V")</f>
        <v>0</v>
      </c>
      <c r="O2">
        <f>BDH("SVCDQ US Equity","BS_CUR_LIAB","1993-12-15","1998-12-15","Per=Y","Days=T","Dir=V")</f>
        <v>0</v>
      </c>
      <c r="Q2">
        <f>BDH("SVCDQ US Equity","BS_SHAREHOLDER_EQY_ENDING_PERIOD","1993-12-15","1998-12-15","Per=Y","Days=T","Dir=V")</f>
        <v>0</v>
      </c>
      <c r="S2">
        <f>BDH("SVCDQ US Equity","BS_ACCT_NOTE_RCV","1993-12-15","1998-12-15","Per=Y","Days=T","Dir=V")</f>
        <v>0</v>
      </c>
      <c r="U2">
        <f>BDH("SVCDQ US Equity","BS_INVENTORIES","1993-12-15","1998-12-15","Per=Y","Days=T","Dir=V")</f>
        <v>0</v>
      </c>
      <c r="W2">
        <f>BDH("SVCDQ US Equity","WORKING_CAPITAL","1993-12-15","1998-12-15","Per=Y","Days=T","Dir=V")</f>
        <v>0</v>
      </c>
      <c r="Y2">
        <f>BDH("SVCDQ US Equity","SALES_REV_TURN","1993-12-15","1998-12-15","Per=Y","Days=T","Dir=V")</f>
        <v>0</v>
      </c>
      <c r="AA2">
        <f>BDH("SVCDQ US Equity","EBIT","1993-12-15","1998-12-15","Per=Y","Days=T","Dir=V")</f>
        <v>0</v>
      </c>
      <c r="AC2">
        <f>BDH("SVCDQ US Equity","EBITDA","1993-12-15","1998-12-15","Per=Y","Days=T","Dir=V")</f>
        <v>0</v>
      </c>
      <c r="AE2">
        <f>BDH("SVCDQ US Equity","NET_INCOME","1993-12-15","1998-12-15","Per=Y","Days=T","Dir=V")</f>
        <v>0</v>
      </c>
      <c r="AG2">
        <f>BDH("SVCDQ US Equity","IS_INT_EXPENSE","1993-12-15","1998-12-15","Per=Y","Days=T","Dir=V")</f>
        <v>0</v>
      </c>
      <c r="AI2">
        <f>BDH("SVCDQ US Equity","IS_DEPR_EXP","1993-12-15","1998-12-15","Per=Y","Days=T","Dir=V")</f>
        <v>0</v>
      </c>
      <c r="AK2">
        <f>BDH("SVCDQ US Equity","CF_CASH_FROM_OPER","1993-12-15","1998-12-15","Per=Y","Days=T","Dir=V")</f>
        <v>0</v>
      </c>
      <c r="AM2">
        <f>BDH("SVCDQ US Equity","CAPITAL_EXPEND","1993-12-15","1998-12-15","Per=Y","Days=T","Dir=V")</f>
        <v>0</v>
      </c>
      <c r="AO2">
        <f>BDH("SVCDQ US Equity","CF_FREE_CASH_FLOW","1993-12-15","1998-12-15","Per=Y","Days=T","Dir=V")</f>
        <v>0</v>
      </c>
      <c r="AQ2">
        <f>BDH("SVCDQ US Equity","PX_LAST","1993-12-15","1998-12-15","Per=M","Days=T","Dir=V")</f>
        <v>0</v>
      </c>
      <c r="AS2">
        <f>BDH("SVCDQ US Equity","CUR_MKT_CAP","1993-12-15","1998-12-15","Per=M","Days=T","Dir=V")</f>
        <v>0</v>
      </c>
      <c r="AU2">
        <f>BDH("SVCDQ US Equity","EQY_SH_OUT","1993-12-15","1998-12-15","Per=M","Days=T","Dir=V")</f>
        <v>0</v>
      </c>
      <c r="AW2">
        <f>BDH("SVCDQ US Equity","BETA_RAW_OVERRIABLE","1993-12-15","1998-12-15","Per=M","Days=T","Dir=V")</f>
        <v>0</v>
      </c>
      <c r="AY2">
        <f>BDH("SVCDQ US Equity","PX_VOLUME","1993-12-15","1998-12-15","Per=M","Days=T","Dir=V")</f>
        <v>0</v>
      </c>
      <c r="BA2">
        <f>BDH("SVCDQ US Equity","TURNOVER","1993-12-15","1998-12-15","Per=M","Days=T","Dir=V")</f>
        <v>0</v>
      </c>
      <c r="BC2">
        <f>BDH("SVCDQ US Equity","SPREAD_BA_CR","1993-12-15","1998-12-15","Per=M","Days=T","Dir=V")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BDH("COSEQ US Equity","BS_TOT_ASSET","1994-06-05","1999-06-05","Per=Y","Days=T","Dir=V")</f>
        <v>0</v>
      </c>
      <c r="C2">
        <f>BDH("COSEQ US Equity","BS_TOT_LIAB2","1994-06-05","1999-06-05","Per=Y","Days=T","Dir=V")</f>
        <v>0</v>
      </c>
      <c r="E2">
        <f>BDH("COSEQ US Equity","SHORT_AND_LONG_TERM_DEBT","1994-06-05","1999-06-05","Per=Y","Days=T","Dir=V")</f>
        <v>0</v>
      </c>
      <c r="G2">
        <f>BDH("COSEQ US Equity","BS_ST_BORROW","1994-06-05","1999-06-05","Per=Y","Days=T","Dir=V")</f>
        <v>0</v>
      </c>
      <c r="I2">
        <f>BDH("COSEQ US Equity","BS_LT_BORROW","1994-06-05","1999-06-05","Per=Y","Days=T","Dir=V")</f>
        <v>0</v>
      </c>
      <c r="K2">
        <f>BDH("COSEQ US Equity","BS_CASH_NEAR_CASH_ITEM","1994-06-05","1999-06-05","Per=Y","Days=T","Dir=V")</f>
        <v>0</v>
      </c>
      <c r="M2">
        <f>BDH("COSEQ US Equity","BS_CUR_ASSET_REPORT","1994-06-05","1999-06-05","Per=Y","Days=T","Dir=V")</f>
        <v>0</v>
      </c>
      <c r="O2">
        <f>BDH("COSEQ US Equity","BS_CUR_LIAB","1994-06-05","1999-06-05","Per=Y","Days=T","Dir=V")</f>
        <v>0</v>
      </c>
      <c r="Q2">
        <f>BDH("COSEQ US Equity","BS_SHAREHOLDER_EQY_ENDING_PERIOD","1994-06-05","1999-06-05","Per=Y","Days=T","Dir=V")</f>
        <v>0</v>
      </c>
      <c r="S2">
        <f>BDH("COSEQ US Equity","BS_ACCT_NOTE_RCV","1994-06-05","1999-06-05","Per=Y","Days=T","Dir=V")</f>
        <v>0</v>
      </c>
      <c r="U2">
        <f>BDH("COSEQ US Equity","BS_INVENTORIES","1994-06-05","1999-06-05","Per=Y","Days=T","Dir=V")</f>
        <v>0</v>
      </c>
      <c r="W2">
        <f>BDH("COSEQ US Equity","WORKING_CAPITAL","1994-06-05","1999-06-05","Per=Y","Days=T","Dir=V")</f>
        <v>0</v>
      </c>
      <c r="Y2">
        <f>BDH("COSEQ US Equity","SALES_REV_TURN","1994-06-05","1999-06-05","Per=Y","Days=T","Dir=V")</f>
        <v>0</v>
      </c>
      <c r="AA2">
        <f>BDH("COSEQ US Equity","EBIT","1994-06-05","1999-06-05","Per=Y","Days=T","Dir=V")</f>
        <v>0</v>
      </c>
      <c r="AC2">
        <f>BDH("COSEQ US Equity","EBITDA","1994-06-05","1999-06-05","Per=Y","Days=T","Dir=V")</f>
        <v>0</v>
      </c>
      <c r="AE2">
        <f>BDH("COSEQ US Equity","NET_INCOME","1994-06-05","1999-06-05","Per=Y","Days=T","Dir=V")</f>
        <v>0</v>
      </c>
      <c r="AG2">
        <f>BDH("COSEQ US Equity","IS_INT_EXPENSE","1994-06-05","1999-06-05","Per=Y","Days=T","Dir=V")</f>
        <v>0</v>
      </c>
      <c r="AI2">
        <f>BDH("COSEQ US Equity","IS_DEPR_EXP","1994-06-05","1999-06-05","Per=Y","Days=T","Dir=V")</f>
        <v>0</v>
      </c>
      <c r="AK2">
        <f>BDH("COSEQ US Equity","CF_CASH_FROM_OPER","1994-06-05","1999-06-05","Per=Y","Days=T","Dir=V")</f>
        <v>0</v>
      </c>
      <c r="AM2">
        <f>BDH("COSEQ US Equity","CAPITAL_EXPEND","1994-06-05","1999-06-05","Per=Y","Days=T","Dir=V")</f>
        <v>0</v>
      </c>
      <c r="AO2">
        <f>BDH("COSEQ US Equity","CF_FREE_CASH_FLOW","1994-06-05","1999-06-05","Per=Y","Days=T","Dir=V")</f>
        <v>0</v>
      </c>
      <c r="AQ2">
        <f>BDH("COSEQ US Equity","PX_LAST","1994-06-05","1999-06-05","Per=M","Days=T","Dir=V")</f>
        <v>0</v>
      </c>
      <c r="AS2">
        <f>BDH("COSEQ US Equity","CUR_MKT_CAP","1994-06-05","1999-06-05","Per=M","Days=T","Dir=V")</f>
        <v>0</v>
      </c>
      <c r="AU2">
        <f>BDH("COSEQ US Equity","EQY_SH_OUT","1994-06-05","1999-06-05","Per=M","Days=T","Dir=V")</f>
        <v>0</v>
      </c>
      <c r="AW2">
        <f>BDH("COSEQ US Equity","BETA_RAW_OVERRIABLE","1994-06-05","1999-06-05","Per=M","Days=T","Dir=V")</f>
        <v>0</v>
      </c>
      <c r="AY2">
        <f>BDH("COSEQ US Equity","PX_VOLUME","1994-06-05","1999-06-05","Per=M","Days=T","Dir=V")</f>
        <v>0</v>
      </c>
      <c r="BA2">
        <f>BDH("COSEQ US Equity","TURNOVER","1994-06-05","1999-06-05","Per=M","Days=T","Dir=V")</f>
        <v>0</v>
      </c>
      <c r="BC2">
        <f>BDH("COSEQ US Equity","SPREAD_BA_CR","1994-06-05","1999-06-05","Per=M","Days=T","Dir=V")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BDH("2471671D US Equity","BS_TOT_ASSET","1994-06-18","1999-06-18","Per=Y","Days=T","Dir=V")</f>
        <v>0</v>
      </c>
      <c r="C2">
        <f>BDH("2471671D US Equity","BS_TOT_LIAB2","1994-06-18","1999-06-18","Per=Y","Days=T","Dir=V")</f>
        <v>0</v>
      </c>
      <c r="E2">
        <f>BDH("2471671D US Equity","SHORT_AND_LONG_TERM_DEBT","1994-06-18","1999-06-18","Per=Y","Days=T","Dir=V")</f>
        <v>0</v>
      </c>
      <c r="G2">
        <f>BDH("2471671D US Equity","BS_ST_BORROW","1994-06-18","1999-06-18","Per=Y","Days=T","Dir=V")</f>
        <v>0</v>
      </c>
      <c r="I2">
        <f>BDH("2471671D US Equity","BS_LT_BORROW","1994-06-18","1999-06-18","Per=Y","Days=T","Dir=V")</f>
        <v>0</v>
      </c>
      <c r="K2">
        <f>BDH("2471671D US Equity","BS_CASH_NEAR_CASH_ITEM","1994-06-18","1999-06-18","Per=Y","Days=T","Dir=V")</f>
        <v>0</v>
      </c>
      <c r="M2">
        <f>BDH("2471671D US Equity","BS_CUR_ASSET_REPORT","1994-06-18","1999-06-18","Per=Y","Days=T","Dir=V")</f>
        <v>0</v>
      </c>
      <c r="O2">
        <f>BDH("2471671D US Equity","BS_CUR_LIAB","1994-06-18","1999-06-18","Per=Y","Days=T","Dir=V")</f>
        <v>0</v>
      </c>
      <c r="Q2">
        <f>BDH("2471671D US Equity","BS_SHAREHOLDER_EQY_ENDING_PERIOD","1994-06-18","1999-06-18","Per=Y","Days=T","Dir=V")</f>
        <v>0</v>
      </c>
      <c r="S2">
        <f>BDH("2471671D US Equity","BS_ACCT_NOTE_RCV","1994-06-18","1999-06-18","Per=Y","Days=T","Dir=V")</f>
        <v>0</v>
      </c>
      <c r="U2">
        <f>BDH("2471671D US Equity","BS_INVENTORIES","1994-06-18","1999-06-18","Per=Y","Days=T","Dir=V")</f>
        <v>0</v>
      </c>
      <c r="W2">
        <f>BDH("2471671D US Equity","WORKING_CAPITAL","1994-06-18","1999-06-18","Per=Y","Days=T","Dir=V")</f>
        <v>0</v>
      </c>
      <c r="Y2">
        <f>BDH("2471671D US Equity","SALES_REV_TURN","1994-06-18","1999-06-18","Per=Y","Days=T","Dir=V")</f>
        <v>0</v>
      </c>
      <c r="AA2">
        <f>BDH("2471671D US Equity","EBIT","1994-06-18","1999-06-18","Per=Y","Days=T","Dir=V")</f>
        <v>0</v>
      </c>
      <c r="AC2">
        <f>BDH("2471671D US Equity","EBITDA","1994-06-18","1999-06-18","Per=Y","Days=T","Dir=V")</f>
        <v>0</v>
      </c>
      <c r="AE2">
        <f>BDH("2471671D US Equity","NET_INCOME","1994-06-18","1999-06-18","Per=Y","Days=T","Dir=V")</f>
        <v>0</v>
      </c>
      <c r="AG2">
        <f>BDH("2471671D US Equity","IS_INT_EXPENSE","1994-06-18","1999-06-18","Per=Y","Days=T","Dir=V")</f>
        <v>0</v>
      </c>
      <c r="AI2">
        <f>BDH("2471671D US Equity","IS_DEPR_EXP","1994-06-18","1999-06-18","Per=Y","Days=T","Dir=V")</f>
        <v>0</v>
      </c>
      <c r="AK2">
        <f>BDH("2471671D US Equity","CF_CASH_FROM_OPER","1994-06-18","1999-06-18","Per=Y","Days=T","Dir=V")</f>
        <v>0</v>
      </c>
      <c r="AM2">
        <f>BDH("2471671D US Equity","CAPITAL_EXPEND","1994-06-18","1999-06-18","Per=Y","Days=T","Dir=V")</f>
        <v>0</v>
      </c>
      <c r="AO2">
        <f>BDH("2471671D US Equity","CF_FREE_CASH_FLOW","1994-06-18","1999-06-18","Per=Y","Days=T","Dir=V")</f>
        <v>0</v>
      </c>
      <c r="AQ2">
        <f>BDH("2471671D US Equity","PX_LAST","1994-06-18","1999-06-18","Per=M","Days=T","Dir=V")</f>
        <v>0</v>
      </c>
      <c r="AS2">
        <f>BDH("2471671D US Equity","CUR_MKT_CAP","1994-06-18","1999-06-18","Per=M","Days=T","Dir=V")</f>
        <v>0</v>
      </c>
      <c r="AU2">
        <f>BDH("2471671D US Equity","EQY_SH_OUT","1994-06-18","1999-06-18","Per=M","Days=T","Dir=V")</f>
        <v>0</v>
      </c>
      <c r="AW2">
        <f>BDH("2471671D US Equity","BETA_RAW_OVERRIABLE","1994-06-18","1999-06-18","Per=M","Days=T","Dir=V")</f>
        <v>0</v>
      </c>
      <c r="AY2">
        <f>BDH("2471671D US Equity","PX_VOLUME","1994-06-18","1999-06-18","Per=M","Days=T","Dir=V")</f>
        <v>0</v>
      </c>
      <c r="BA2">
        <f>BDH("2471671D US Equity","TURNOVER","1994-06-18","1999-06-18","Per=M","Days=T","Dir=V")</f>
        <v>0</v>
      </c>
      <c r="BC2">
        <f>BDH("2471671D US Equity","SPREAD_BA_CR","1994-06-18","1999-06-18","Per=M","Days=T","Dir=V")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BDH("FEETQ US Equity","BS_TOT_ASSET","1994-08-06","1999-08-06","Per=Y","Days=T","Dir=V")</f>
        <v>0</v>
      </c>
      <c r="C2">
        <f>BDH("FEETQ US Equity","BS_TOT_LIAB2","1994-08-06","1999-08-06","Per=Y","Days=T","Dir=V")</f>
        <v>0</v>
      </c>
      <c r="E2">
        <f>BDH("FEETQ US Equity","SHORT_AND_LONG_TERM_DEBT","1994-08-06","1999-08-06","Per=Y","Days=T","Dir=V")</f>
        <v>0</v>
      </c>
      <c r="G2">
        <f>BDH("FEETQ US Equity","BS_ST_BORROW","1994-08-06","1999-08-06","Per=Y","Days=T","Dir=V")</f>
        <v>0</v>
      </c>
      <c r="I2">
        <f>BDH("FEETQ US Equity","BS_LT_BORROW","1994-08-06","1999-08-06","Per=Y","Days=T","Dir=V")</f>
        <v>0</v>
      </c>
      <c r="K2">
        <f>BDH("FEETQ US Equity","BS_CASH_NEAR_CASH_ITEM","1994-08-06","1999-08-06","Per=Y","Days=T","Dir=V")</f>
        <v>0</v>
      </c>
      <c r="M2">
        <f>BDH("FEETQ US Equity","BS_CUR_ASSET_REPORT","1994-08-06","1999-08-06","Per=Y","Days=T","Dir=V")</f>
        <v>0</v>
      </c>
      <c r="O2">
        <f>BDH("FEETQ US Equity","BS_CUR_LIAB","1994-08-06","1999-08-06","Per=Y","Days=T","Dir=V")</f>
        <v>0</v>
      </c>
      <c r="Q2">
        <f>BDH("FEETQ US Equity","BS_SHAREHOLDER_EQY_ENDING_PERIOD","1994-08-06","1999-08-06","Per=Y","Days=T","Dir=V")</f>
        <v>0</v>
      </c>
      <c r="S2">
        <f>BDH("FEETQ US Equity","BS_ACCT_NOTE_RCV","1994-08-06","1999-08-06","Per=Y","Days=T","Dir=V")</f>
        <v>0</v>
      </c>
      <c r="U2">
        <f>BDH("FEETQ US Equity","BS_INVENTORIES","1994-08-06","1999-08-06","Per=Y","Days=T","Dir=V")</f>
        <v>0</v>
      </c>
      <c r="W2">
        <f>BDH("FEETQ US Equity","WORKING_CAPITAL","1994-08-06","1999-08-06","Per=Y","Days=T","Dir=V")</f>
        <v>0</v>
      </c>
      <c r="Y2">
        <f>BDH("FEETQ US Equity","SALES_REV_TURN","1994-08-06","1999-08-06","Per=Y","Days=T","Dir=V")</f>
        <v>0</v>
      </c>
      <c r="AA2">
        <f>BDH("FEETQ US Equity","EBIT","1994-08-06","1999-08-06","Per=Y","Days=T","Dir=V")</f>
        <v>0</v>
      </c>
      <c r="AC2">
        <f>BDH("FEETQ US Equity","EBITDA","1994-08-06","1999-08-06","Per=Y","Days=T","Dir=V")</f>
        <v>0</v>
      </c>
      <c r="AE2">
        <f>BDH("FEETQ US Equity","NET_INCOME","1994-08-06","1999-08-06","Per=Y","Days=T","Dir=V")</f>
        <v>0</v>
      </c>
      <c r="AG2">
        <f>BDH("FEETQ US Equity","IS_INT_EXPENSE","1994-08-06","1999-08-06","Per=Y","Days=T","Dir=V")</f>
        <v>0</v>
      </c>
      <c r="AI2">
        <f>BDH("FEETQ US Equity","IS_DEPR_EXP","1994-08-06","1999-08-06","Per=Y","Days=T","Dir=V")</f>
        <v>0</v>
      </c>
      <c r="AK2">
        <f>BDH("FEETQ US Equity","CF_CASH_FROM_OPER","1994-08-06","1999-08-06","Per=Y","Days=T","Dir=V")</f>
        <v>0</v>
      </c>
      <c r="AM2">
        <f>BDH("FEETQ US Equity","CAPITAL_EXPEND","1994-08-06","1999-08-06","Per=Y","Days=T","Dir=V")</f>
        <v>0</v>
      </c>
      <c r="AO2">
        <f>BDH("FEETQ US Equity","CF_FREE_CASH_FLOW","1994-08-06","1999-08-06","Per=Y","Days=T","Dir=V")</f>
        <v>0</v>
      </c>
      <c r="AQ2">
        <f>BDH("FEETQ US Equity","PX_LAST","1994-08-06","1999-08-06","Per=M","Days=T","Dir=V")</f>
        <v>0</v>
      </c>
      <c r="AS2">
        <f>BDH("FEETQ US Equity","CUR_MKT_CAP","1994-08-06","1999-08-06","Per=M","Days=T","Dir=V")</f>
        <v>0</v>
      </c>
      <c r="AU2">
        <f>BDH("FEETQ US Equity","EQY_SH_OUT","1994-08-06","1999-08-06","Per=M","Days=T","Dir=V")</f>
        <v>0</v>
      </c>
      <c r="AW2">
        <f>BDH("FEETQ US Equity","BETA_RAW_OVERRIABLE","1994-08-06","1999-08-06","Per=M","Days=T","Dir=V")</f>
        <v>0</v>
      </c>
      <c r="AY2">
        <f>BDH("FEETQ US Equity","PX_VOLUME","1994-08-06","1999-08-06","Per=M","Days=T","Dir=V")</f>
        <v>0</v>
      </c>
      <c r="BA2">
        <f>BDH("FEETQ US Equity","TURNOVER","1994-08-06","1999-08-06","Per=M","Days=T","Dir=V")</f>
        <v>0</v>
      </c>
      <c r="BC2">
        <f>BDH("FEETQ US Equity","SPREAD_BA_CR","1994-08-06","1999-08-06","Per=M","Days=T","Dir=V")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BDH("TLTXQ US Equity","BS_TOT_ASSET","1994-09-04","1999-09-04","Per=Y","Days=T","Dir=V")</f>
        <v>0</v>
      </c>
      <c r="C2">
        <f>BDH("TLTXQ US Equity","BS_TOT_LIAB2","1994-09-04","1999-09-04","Per=Y","Days=T","Dir=V")</f>
        <v>0</v>
      </c>
      <c r="E2">
        <f>BDH("TLTXQ US Equity","SHORT_AND_LONG_TERM_DEBT","1994-09-04","1999-09-04","Per=Y","Days=T","Dir=V")</f>
        <v>0</v>
      </c>
      <c r="G2">
        <f>BDH("TLTXQ US Equity","BS_ST_BORROW","1994-09-04","1999-09-04","Per=Y","Days=T","Dir=V")</f>
        <v>0</v>
      </c>
      <c r="I2">
        <f>BDH("TLTXQ US Equity","BS_LT_BORROW","1994-09-04","1999-09-04","Per=Y","Days=T","Dir=V")</f>
        <v>0</v>
      </c>
      <c r="K2">
        <f>BDH("TLTXQ US Equity","BS_CASH_NEAR_CASH_ITEM","1994-09-04","1999-09-04","Per=Y","Days=T","Dir=V")</f>
        <v>0</v>
      </c>
      <c r="M2">
        <f>BDH("TLTXQ US Equity","BS_CUR_ASSET_REPORT","1994-09-04","1999-09-04","Per=Y","Days=T","Dir=V")</f>
        <v>0</v>
      </c>
      <c r="O2">
        <f>BDH("TLTXQ US Equity","BS_CUR_LIAB","1994-09-04","1999-09-04","Per=Y","Days=T","Dir=V")</f>
        <v>0</v>
      </c>
      <c r="Q2">
        <f>BDH("TLTXQ US Equity","BS_SHAREHOLDER_EQY_ENDING_PERIOD","1994-09-04","1999-09-04","Per=Y","Days=T","Dir=V")</f>
        <v>0</v>
      </c>
      <c r="S2">
        <f>BDH("TLTXQ US Equity","BS_ACCT_NOTE_RCV","1994-09-04","1999-09-04","Per=Y","Days=T","Dir=V")</f>
        <v>0</v>
      </c>
      <c r="U2">
        <f>BDH("TLTXQ US Equity","BS_INVENTORIES","1994-09-04","1999-09-04","Per=Y","Days=T","Dir=V")</f>
        <v>0</v>
      </c>
      <c r="W2">
        <f>BDH("TLTXQ US Equity","WORKING_CAPITAL","1994-09-04","1999-09-04","Per=Y","Days=T","Dir=V")</f>
        <v>0</v>
      </c>
      <c r="Y2">
        <f>BDH("TLTXQ US Equity","SALES_REV_TURN","1994-09-04","1999-09-04","Per=Y","Days=T","Dir=V")</f>
        <v>0</v>
      </c>
      <c r="AA2">
        <f>BDH("TLTXQ US Equity","EBIT","1994-09-04","1999-09-04","Per=Y","Days=T","Dir=V")</f>
        <v>0</v>
      </c>
      <c r="AC2">
        <f>BDH("TLTXQ US Equity","EBITDA","1994-09-04","1999-09-04","Per=Y","Days=T","Dir=V")</f>
        <v>0</v>
      </c>
      <c r="AE2">
        <f>BDH("TLTXQ US Equity","NET_INCOME","1994-09-04","1999-09-04","Per=Y","Days=T","Dir=V")</f>
        <v>0</v>
      </c>
      <c r="AG2">
        <f>BDH("TLTXQ US Equity","IS_INT_EXPENSE","1994-09-04","1999-09-04","Per=Y","Days=T","Dir=V")</f>
        <v>0</v>
      </c>
      <c r="AI2">
        <f>BDH("TLTXQ US Equity","IS_DEPR_EXP","1994-09-04","1999-09-04","Per=Y","Days=T","Dir=V")</f>
        <v>0</v>
      </c>
      <c r="AK2">
        <f>BDH("TLTXQ US Equity","CF_CASH_FROM_OPER","1994-09-04","1999-09-04","Per=Y","Days=T","Dir=V")</f>
        <v>0</v>
      </c>
      <c r="AM2">
        <f>BDH("TLTXQ US Equity","CAPITAL_EXPEND","1994-09-04","1999-09-04","Per=Y","Days=T","Dir=V")</f>
        <v>0</v>
      </c>
      <c r="AO2">
        <f>BDH("TLTXQ US Equity","CF_FREE_CASH_FLOW","1994-09-04","1999-09-04","Per=Y","Days=T","Dir=V")</f>
        <v>0</v>
      </c>
      <c r="AQ2">
        <f>BDH("TLTXQ US Equity","PX_LAST","1994-09-04","1999-09-04","Per=M","Days=T","Dir=V")</f>
        <v>0</v>
      </c>
      <c r="AS2">
        <f>BDH("TLTXQ US Equity","CUR_MKT_CAP","1994-09-04","1999-09-04","Per=M","Days=T","Dir=V")</f>
        <v>0</v>
      </c>
      <c r="AU2">
        <f>BDH("TLTXQ US Equity","EQY_SH_OUT","1994-09-04","1999-09-04","Per=M","Days=T","Dir=V")</f>
        <v>0</v>
      </c>
      <c r="AW2">
        <f>BDH("TLTXQ US Equity","BETA_RAW_OVERRIABLE","1994-09-04","1999-09-04","Per=M","Days=T","Dir=V")</f>
        <v>0</v>
      </c>
      <c r="AY2">
        <f>BDH("TLTXQ US Equity","PX_VOLUME","1994-09-04","1999-09-04","Per=M","Days=T","Dir=V")</f>
        <v>0</v>
      </c>
      <c r="BA2">
        <f>BDH("TLTXQ US Equity","TURNOVER","1994-09-04","1999-09-04","Per=M","Days=T","Dir=V")</f>
        <v>0</v>
      </c>
      <c r="BC2">
        <f>BDH("TLTXQ US Equity","SPREAD_BA_CR","1994-09-04","1999-09-04","Per=M","Days=T","Dir=V")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BDH("ABNTQ US Equity","BS_TOT_ASSET","1994-09-09","1999-09-09","Per=Y","Days=T","Dir=V")</f>
        <v>0</v>
      </c>
      <c r="C2">
        <f>BDH("ABNTQ US Equity","BS_TOT_LIAB2","1994-09-09","1999-09-09","Per=Y","Days=T","Dir=V")</f>
        <v>0</v>
      </c>
      <c r="E2">
        <f>BDH("ABNTQ US Equity","SHORT_AND_LONG_TERM_DEBT","1994-09-09","1999-09-09","Per=Y","Days=T","Dir=V")</f>
        <v>0</v>
      </c>
      <c r="G2">
        <f>BDH("ABNTQ US Equity","BS_ST_BORROW","1994-09-09","1999-09-09","Per=Y","Days=T","Dir=V")</f>
        <v>0</v>
      </c>
      <c r="I2">
        <f>BDH("ABNTQ US Equity","BS_LT_BORROW","1994-09-09","1999-09-09","Per=Y","Days=T","Dir=V")</f>
        <v>0</v>
      </c>
      <c r="K2">
        <f>BDH("ABNTQ US Equity","BS_CASH_NEAR_CASH_ITEM","1994-09-09","1999-09-09","Per=Y","Days=T","Dir=V")</f>
        <v>0</v>
      </c>
      <c r="M2">
        <f>BDH("ABNTQ US Equity","BS_CUR_ASSET_REPORT","1994-09-09","1999-09-09","Per=Y","Days=T","Dir=V")</f>
        <v>0</v>
      </c>
      <c r="O2">
        <f>BDH("ABNTQ US Equity","BS_CUR_LIAB","1994-09-09","1999-09-09","Per=Y","Days=T","Dir=V")</f>
        <v>0</v>
      </c>
      <c r="Q2">
        <f>BDH("ABNTQ US Equity","BS_SHAREHOLDER_EQY_ENDING_PERIOD","1994-09-09","1999-09-09","Per=Y","Days=T","Dir=V")</f>
        <v>0</v>
      </c>
      <c r="S2">
        <f>BDH("ABNTQ US Equity","BS_ACCT_NOTE_RCV","1994-09-09","1999-09-09","Per=Y","Days=T","Dir=V")</f>
        <v>0</v>
      </c>
      <c r="U2">
        <f>BDH("ABNTQ US Equity","BS_INVENTORIES","1994-09-09","1999-09-09","Per=Y","Days=T","Dir=V")</f>
        <v>0</v>
      </c>
      <c r="W2">
        <f>BDH("ABNTQ US Equity","WORKING_CAPITAL","1994-09-09","1999-09-09","Per=Y","Days=T","Dir=V")</f>
        <v>0</v>
      </c>
      <c r="Y2">
        <f>BDH("ABNTQ US Equity","SALES_REV_TURN","1994-09-09","1999-09-09","Per=Y","Days=T","Dir=V")</f>
        <v>0</v>
      </c>
      <c r="AA2">
        <f>BDH("ABNTQ US Equity","EBIT","1994-09-09","1999-09-09","Per=Y","Days=T","Dir=V")</f>
        <v>0</v>
      </c>
      <c r="AC2">
        <f>BDH("ABNTQ US Equity","EBITDA","1994-09-09","1999-09-09","Per=Y","Days=T","Dir=V")</f>
        <v>0</v>
      </c>
      <c r="AE2">
        <f>BDH("ABNTQ US Equity","NET_INCOME","1994-09-09","1999-09-09","Per=Y","Days=T","Dir=V")</f>
        <v>0</v>
      </c>
      <c r="AG2">
        <f>BDH("ABNTQ US Equity","IS_INT_EXPENSE","1994-09-09","1999-09-09","Per=Y","Days=T","Dir=V")</f>
        <v>0</v>
      </c>
      <c r="AI2">
        <f>BDH("ABNTQ US Equity","IS_DEPR_EXP","1994-09-09","1999-09-09","Per=Y","Days=T","Dir=V")</f>
        <v>0</v>
      </c>
      <c r="AK2">
        <f>BDH("ABNTQ US Equity","CF_CASH_FROM_OPER","1994-09-09","1999-09-09","Per=Y","Days=T","Dir=V")</f>
        <v>0</v>
      </c>
      <c r="AM2">
        <f>BDH("ABNTQ US Equity","CAPITAL_EXPEND","1994-09-09","1999-09-09","Per=Y","Days=T","Dir=V")</f>
        <v>0</v>
      </c>
      <c r="AO2">
        <f>BDH("ABNTQ US Equity","CF_FREE_CASH_FLOW","1994-09-09","1999-09-09","Per=Y","Days=T","Dir=V")</f>
        <v>0</v>
      </c>
      <c r="AQ2">
        <f>BDH("ABNTQ US Equity","PX_LAST","1994-09-09","1999-09-09","Per=M","Days=T","Dir=V")</f>
        <v>0</v>
      </c>
      <c r="AS2">
        <f>BDH("ABNTQ US Equity","CUR_MKT_CAP","1994-09-09","1999-09-09","Per=M","Days=T","Dir=V")</f>
        <v>0</v>
      </c>
      <c r="AU2">
        <f>BDH("ABNTQ US Equity","EQY_SH_OUT","1994-09-09","1999-09-09","Per=M","Days=T","Dir=V")</f>
        <v>0</v>
      </c>
      <c r="AW2">
        <f>BDH("ABNTQ US Equity","BETA_RAW_OVERRIABLE","1994-09-09","1999-09-09","Per=M","Days=T","Dir=V")</f>
        <v>0</v>
      </c>
      <c r="AY2">
        <f>BDH("ABNTQ US Equity","PX_VOLUME","1994-09-09","1999-09-09","Per=M","Days=T","Dir=V")</f>
        <v>0</v>
      </c>
      <c r="BA2">
        <f>BDH("ABNTQ US Equity","TURNOVER","1994-09-09","1999-09-09","Per=M","Days=T","Dir=V")</f>
        <v>0</v>
      </c>
      <c r="BC2">
        <f>BDH("ABNTQ US Equity","SPREAD_BA_CR","1994-09-09","1999-09-09","Per=M","Days=T","Dir=V")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BDH("MPANQ US Equity","BS_TOT_ASSET","1994-10-20","1999-10-20","Per=Y","Days=T","Dir=V")</f>
        <v>0</v>
      </c>
      <c r="C2">
        <f>BDH("MPANQ US Equity","BS_TOT_LIAB2","1994-10-20","1999-10-20","Per=Y","Days=T","Dir=V")</f>
        <v>0</v>
      </c>
      <c r="E2">
        <f>BDH("MPANQ US Equity","SHORT_AND_LONG_TERM_DEBT","1994-10-20","1999-10-20","Per=Y","Days=T","Dir=V")</f>
        <v>0</v>
      </c>
      <c r="G2">
        <f>BDH("MPANQ US Equity","BS_ST_BORROW","1994-10-20","1999-10-20","Per=Y","Days=T","Dir=V")</f>
        <v>0</v>
      </c>
      <c r="I2">
        <f>BDH("MPANQ US Equity","BS_LT_BORROW","1994-10-20","1999-10-20","Per=Y","Days=T","Dir=V")</f>
        <v>0</v>
      </c>
      <c r="K2">
        <f>BDH("MPANQ US Equity","BS_CASH_NEAR_CASH_ITEM","1994-10-20","1999-10-20","Per=Y","Days=T","Dir=V")</f>
        <v>0</v>
      </c>
      <c r="M2">
        <f>BDH("MPANQ US Equity","BS_CUR_ASSET_REPORT","1994-10-20","1999-10-20","Per=Y","Days=T","Dir=V")</f>
        <v>0</v>
      </c>
      <c r="O2">
        <f>BDH("MPANQ US Equity","BS_CUR_LIAB","1994-10-20","1999-10-20","Per=Y","Days=T","Dir=V")</f>
        <v>0</v>
      </c>
      <c r="Q2">
        <f>BDH("MPANQ US Equity","BS_SHAREHOLDER_EQY_ENDING_PERIOD","1994-10-20","1999-10-20","Per=Y","Days=T","Dir=V")</f>
        <v>0</v>
      </c>
      <c r="S2">
        <f>BDH("MPANQ US Equity","BS_ACCT_NOTE_RCV","1994-10-20","1999-10-20","Per=Y","Days=T","Dir=V")</f>
        <v>0</v>
      </c>
      <c r="U2">
        <f>BDH("MPANQ US Equity","BS_INVENTORIES","1994-10-20","1999-10-20","Per=Y","Days=T","Dir=V")</f>
        <v>0</v>
      </c>
      <c r="W2">
        <f>BDH("MPANQ US Equity","WORKING_CAPITAL","1994-10-20","1999-10-20","Per=Y","Days=T","Dir=V")</f>
        <v>0</v>
      </c>
      <c r="Y2">
        <f>BDH("MPANQ US Equity","SALES_REV_TURN","1994-10-20","1999-10-20","Per=Y","Days=T","Dir=V")</f>
        <v>0</v>
      </c>
      <c r="AA2">
        <f>BDH("MPANQ US Equity","EBIT","1994-10-20","1999-10-20","Per=Y","Days=T","Dir=V")</f>
        <v>0</v>
      </c>
      <c r="AC2">
        <f>BDH("MPANQ US Equity","EBITDA","1994-10-20","1999-10-20","Per=Y","Days=T","Dir=V")</f>
        <v>0</v>
      </c>
      <c r="AE2">
        <f>BDH("MPANQ US Equity","NET_INCOME","1994-10-20","1999-10-20","Per=Y","Days=T","Dir=V")</f>
        <v>0</v>
      </c>
      <c r="AG2">
        <f>BDH("MPANQ US Equity","IS_INT_EXPENSE","1994-10-20","1999-10-20","Per=Y","Days=T","Dir=V")</f>
        <v>0</v>
      </c>
      <c r="AI2">
        <f>BDH("MPANQ US Equity","IS_DEPR_EXP","1994-10-20","1999-10-20","Per=Y","Days=T","Dir=V")</f>
        <v>0</v>
      </c>
      <c r="AK2">
        <f>BDH("MPANQ US Equity","CF_CASH_FROM_OPER","1994-10-20","1999-10-20","Per=Y","Days=T","Dir=V")</f>
        <v>0</v>
      </c>
      <c r="AM2">
        <f>BDH("MPANQ US Equity","CAPITAL_EXPEND","1994-10-20","1999-10-20","Per=Y","Days=T","Dir=V")</f>
        <v>0</v>
      </c>
      <c r="AO2">
        <f>BDH("MPANQ US Equity","CF_FREE_CASH_FLOW","1994-10-20","1999-10-20","Per=Y","Days=T","Dir=V")</f>
        <v>0</v>
      </c>
      <c r="AQ2">
        <f>BDH("MPANQ US Equity","PX_LAST","1994-10-20","1999-10-20","Per=M","Days=T","Dir=V")</f>
        <v>0</v>
      </c>
      <c r="AS2">
        <f>BDH("MPANQ US Equity","CUR_MKT_CAP","1994-10-20","1999-10-20","Per=M","Days=T","Dir=V")</f>
        <v>0</v>
      </c>
      <c r="AU2">
        <f>BDH("MPANQ US Equity","EQY_SH_OUT","1994-10-20","1999-10-20","Per=M","Days=T","Dir=V")</f>
        <v>0</v>
      </c>
      <c r="AW2">
        <f>BDH("MPANQ US Equity","BETA_RAW_OVERRIABLE","1994-10-20","1999-10-20","Per=M","Days=T","Dir=V")</f>
        <v>0</v>
      </c>
      <c r="AY2">
        <f>BDH("MPANQ US Equity","PX_VOLUME","1994-10-20","1999-10-20","Per=M","Days=T","Dir=V")</f>
        <v>0</v>
      </c>
      <c r="BA2">
        <f>BDH("MPANQ US Equity","TURNOVER","1994-10-20","1999-10-20","Per=M","Days=T","Dir=V")</f>
        <v>0</v>
      </c>
      <c r="BC2">
        <f>BDH("MPANQ US Equity","SPREAD_BA_CR","1994-10-20","1999-10-20","Per=M","Days=T","Dir=V")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BDH("KHKH US Equity","BS_TOT_ASSET","1995-02-01","2000-02-01","Per=Y","Days=T","Dir=V")</f>
        <v>0</v>
      </c>
      <c r="C2">
        <f>BDH("KHKH US Equity","BS_TOT_LIAB2","1995-02-01","2000-02-01","Per=Y","Days=T","Dir=V")</f>
        <v>0</v>
      </c>
      <c r="E2">
        <f>BDH("KHKH US Equity","SHORT_AND_LONG_TERM_DEBT","1995-02-01","2000-02-01","Per=Y","Days=T","Dir=V")</f>
        <v>0</v>
      </c>
      <c r="G2">
        <f>BDH("KHKH US Equity","BS_ST_BORROW","1995-02-01","2000-02-01","Per=Y","Days=T","Dir=V")</f>
        <v>0</v>
      </c>
      <c r="I2">
        <f>BDH("KHKH US Equity","BS_LT_BORROW","1995-02-01","2000-02-01","Per=Y","Days=T","Dir=V")</f>
        <v>0</v>
      </c>
      <c r="K2">
        <f>BDH("KHKH US Equity","BS_CASH_NEAR_CASH_ITEM","1995-02-01","2000-02-01","Per=Y","Days=T","Dir=V")</f>
        <v>0</v>
      </c>
      <c r="M2">
        <f>BDH("KHKH US Equity","BS_CUR_ASSET_REPORT","1995-02-01","2000-02-01","Per=Y","Days=T","Dir=V")</f>
        <v>0</v>
      </c>
      <c r="O2">
        <f>BDH("KHKH US Equity","BS_CUR_LIAB","1995-02-01","2000-02-01","Per=Y","Days=T","Dir=V")</f>
        <v>0</v>
      </c>
      <c r="Q2">
        <f>BDH("KHKH US Equity","BS_SHAREHOLDER_EQY_ENDING_PERIOD","1995-02-01","2000-02-01","Per=Y","Days=T","Dir=V")</f>
        <v>0</v>
      </c>
      <c r="S2">
        <f>BDH("KHKH US Equity","BS_ACCT_NOTE_RCV","1995-02-01","2000-02-01","Per=Y","Days=T","Dir=V")</f>
        <v>0</v>
      </c>
      <c r="U2">
        <f>BDH("KHKH US Equity","BS_INVENTORIES","1995-02-01","2000-02-01","Per=Y","Days=T","Dir=V")</f>
        <v>0</v>
      </c>
      <c r="W2">
        <f>BDH("KHKH US Equity","WORKING_CAPITAL","1995-02-01","2000-02-01","Per=Y","Days=T","Dir=V")</f>
        <v>0</v>
      </c>
      <c r="Y2">
        <f>BDH("KHKH US Equity","SALES_REV_TURN","1995-02-01","2000-02-01","Per=Y","Days=T","Dir=V")</f>
        <v>0</v>
      </c>
      <c r="AA2">
        <f>BDH("KHKH US Equity","EBIT","1995-02-01","2000-02-01","Per=Y","Days=T","Dir=V")</f>
        <v>0</v>
      </c>
      <c r="AC2">
        <f>BDH("KHKH US Equity","EBITDA","1995-02-01","2000-02-01","Per=Y","Days=T","Dir=V")</f>
        <v>0</v>
      </c>
      <c r="AE2">
        <f>BDH("KHKH US Equity","NET_INCOME","1995-02-01","2000-02-01","Per=Y","Days=T","Dir=V")</f>
        <v>0</v>
      </c>
      <c r="AG2">
        <f>BDH("KHKH US Equity","IS_INT_EXPENSE","1995-02-01","2000-02-01","Per=Y","Days=T","Dir=V")</f>
        <v>0</v>
      </c>
      <c r="AI2">
        <f>BDH("KHKH US Equity","IS_DEPR_EXP","1995-02-01","2000-02-01","Per=Y","Days=T","Dir=V")</f>
        <v>0</v>
      </c>
      <c r="AK2">
        <f>BDH("KHKH US Equity","CF_CASH_FROM_OPER","1995-02-01","2000-02-01","Per=Y","Days=T","Dir=V")</f>
        <v>0</v>
      </c>
      <c r="AM2">
        <f>BDH("KHKH US Equity","CAPITAL_EXPEND","1995-02-01","2000-02-01","Per=Y","Days=T","Dir=V")</f>
        <v>0</v>
      </c>
      <c r="AO2">
        <f>BDH("KHKH US Equity","CF_FREE_CASH_FLOW","1995-02-01","2000-02-01","Per=Y","Days=T","Dir=V")</f>
        <v>0</v>
      </c>
      <c r="AQ2">
        <f>BDH("KHKH US Equity","PX_LAST","1995-02-01","2000-02-01","Per=M","Days=T","Dir=V")</f>
        <v>0</v>
      </c>
      <c r="AS2">
        <f>BDH("KHKH US Equity","CUR_MKT_CAP","1995-02-01","2000-02-01","Per=M","Days=T","Dir=V")</f>
        <v>0</v>
      </c>
      <c r="AU2">
        <f>BDH("KHKH US Equity","EQY_SH_OUT","1995-02-01","2000-02-01","Per=M","Days=T","Dir=V")</f>
        <v>0</v>
      </c>
      <c r="AW2">
        <f>BDH("KHKH US Equity","BETA_RAW_OVERRIABLE","1995-02-01","2000-02-01","Per=M","Days=T","Dir=V")</f>
        <v>0</v>
      </c>
      <c r="AY2">
        <f>BDH("KHKH US Equity","PX_VOLUME","1995-02-01","2000-02-01","Per=M","Days=T","Dir=V")</f>
        <v>0</v>
      </c>
      <c r="BA2">
        <f>BDH("KHKH US Equity","TURNOVER","1995-02-01","2000-02-01","Per=M","Days=T","Dir=V")</f>
        <v>0</v>
      </c>
      <c r="BC2">
        <f>BDH("KHKH US Equity","SPREAD_BA_CR","1995-02-01","2000-02-01","Per=M","Days=T","Dir=V")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BDH("SSAXQ US Equity","BS_TOT_ASSET","1995-02-03","2000-02-03","Per=Y","Days=T","Dir=V")</f>
        <v>0</v>
      </c>
      <c r="C2">
        <f>BDH("SSAXQ US Equity","BS_TOT_LIAB2","1995-02-03","2000-02-03","Per=Y","Days=T","Dir=V")</f>
        <v>0</v>
      </c>
      <c r="E2">
        <f>BDH("SSAXQ US Equity","SHORT_AND_LONG_TERM_DEBT","1995-02-03","2000-02-03","Per=Y","Days=T","Dir=V")</f>
        <v>0</v>
      </c>
      <c r="G2">
        <f>BDH("SSAXQ US Equity","BS_ST_BORROW","1995-02-03","2000-02-03","Per=Y","Days=T","Dir=V")</f>
        <v>0</v>
      </c>
      <c r="I2">
        <f>BDH("SSAXQ US Equity","BS_LT_BORROW","1995-02-03","2000-02-03","Per=Y","Days=T","Dir=V")</f>
        <v>0</v>
      </c>
      <c r="K2">
        <f>BDH("SSAXQ US Equity","BS_CASH_NEAR_CASH_ITEM","1995-02-03","2000-02-03","Per=Y","Days=T","Dir=V")</f>
        <v>0</v>
      </c>
      <c r="M2">
        <f>BDH("SSAXQ US Equity","BS_CUR_ASSET_REPORT","1995-02-03","2000-02-03","Per=Y","Days=T","Dir=V")</f>
        <v>0</v>
      </c>
      <c r="O2">
        <f>BDH("SSAXQ US Equity","BS_CUR_LIAB","1995-02-03","2000-02-03","Per=Y","Days=T","Dir=V")</f>
        <v>0</v>
      </c>
      <c r="Q2">
        <f>BDH("SSAXQ US Equity","BS_SHAREHOLDER_EQY_ENDING_PERIOD","1995-02-03","2000-02-03","Per=Y","Days=T","Dir=V")</f>
        <v>0</v>
      </c>
      <c r="S2">
        <f>BDH("SSAXQ US Equity","BS_ACCT_NOTE_RCV","1995-02-03","2000-02-03","Per=Y","Days=T","Dir=V")</f>
        <v>0</v>
      </c>
      <c r="U2">
        <f>BDH("SSAXQ US Equity","BS_INVENTORIES","1995-02-03","2000-02-03","Per=Y","Days=T","Dir=V")</f>
        <v>0</v>
      </c>
      <c r="W2">
        <f>BDH("SSAXQ US Equity","WORKING_CAPITAL","1995-02-03","2000-02-03","Per=Y","Days=T","Dir=V")</f>
        <v>0</v>
      </c>
      <c r="Y2">
        <f>BDH("SSAXQ US Equity","SALES_REV_TURN","1995-02-03","2000-02-03","Per=Y","Days=T","Dir=V")</f>
        <v>0</v>
      </c>
      <c r="AA2">
        <f>BDH("SSAXQ US Equity","EBIT","1995-02-03","2000-02-03","Per=Y","Days=T","Dir=V")</f>
        <v>0</v>
      </c>
      <c r="AC2">
        <f>BDH("SSAXQ US Equity","EBITDA","1995-02-03","2000-02-03","Per=Y","Days=T","Dir=V")</f>
        <v>0</v>
      </c>
      <c r="AE2">
        <f>BDH("SSAXQ US Equity","NET_INCOME","1995-02-03","2000-02-03","Per=Y","Days=T","Dir=V")</f>
        <v>0</v>
      </c>
      <c r="AG2">
        <f>BDH("SSAXQ US Equity","IS_INT_EXPENSE","1995-02-03","2000-02-03","Per=Y","Days=T","Dir=V")</f>
        <v>0</v>
      </c>
      <c r="AI2">
        <f>BDH("SSAXQ US Equity","IS_DEPR_EXP","1995-02-03","2000-02-03","Per=Y","Days=T","Dir=V")</f>
        <v>0</v>
      </c>
      <c r="AK2">
        <f>BDH("SSAXQ US Equity","CF_CASH_FROM_OPER","1995-02-03","2000-02-03","Per=Y","Days=T","Dir=V")</f>
        <v>0</v>
      </c>
      <c r="AM2">
        <f>BDH("SSAXQ US Equity","CAPITAL_EXPEND","1995-02-03","2000-02-03","Per=Y","Days=T","Dir=V")</f>
        <v>0</v>
      </c>
      <c r="AO2">
        <f>BDH("SSAXQ US Equity","CF_FREE_CASH_FLOW","1995-02-03","2000-02-03","Per=Y","Days=T","Dir=V")</f>
        <v>0</v>
      </c>
      <c r="AQ2">
        <f>BDH("SSAXQ US Equity","PX_LAST","1995-02-03","2000-02-03","Per=M","Days=T","Dir=V")</f>
        <v>0</v>
      </c>
      <c r="AS2">
        <f>BDH("SSAXQ US Equity","CUR_MKT_CAP","1995-02-03","2000-02-03","Per=M","Days=T","Dir=V")</f>
        <v>0</v>
      </c>
      <c r="AU2">
        <f>BDH("SSAXQ US Equity","EQY_SH_OUT","1995-02-03","2000-02-03","Per=M","Days=T","Dir=V")</f>
        <v>0</v>
      </c>
      <c r="AW2">
        <f>BDH("SSAXQ US Equity","BETA_RAW_OVERRIABLE","1995-02-03","2000-02-03","Per=M","Days=T","Dir=V")</f>
        <v>0</v>
      </c>
      <c r="AY2">
        <f>BDH("SSAXQ US Equity","PX_VOLUME","1995-02-03","2000-02-03","Per=M","Days=T","Dir=V")</f>
        <v>0</v>
      </c>
      <c r="BA2">
        <f>BDH("SSAXQ US Equity","TURNOVER","1995-02-03","2000-02-03","Per=M","Days=T","Dir=V")</f>
        <v>0</v>
      </c>
      <c r="BC2">
        <f>BDH("SSAXQ US Equity","SPREAD_BA_CR","1995-02-03","2000-02-03","Per=M","Days=T","Dir=V")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BDH("CRHEQ US Equity","BS_TOT_ASSET","1995-05-10","2000-05-10","Per=Y","Days=T","Dir=V")</f>
        <v>0</v>
      </c>
      <c r="C2">
        <f>BDH("CRHEQ US Equity","BS_TOT_LIAB2","1995-05-10","2000-05-10","Per=Y","Days=T","Dir=V")</f>
        <v>0</v>
      </c>
      <c r="E2">
        <f>BDH("CRHEQ US Equity","SHORT_AND_LONG_TERM_DEBT","1995-05-10","2000-05-10","Per=Y","Days=T","Dir=V")</f>
        <v>0</v>
      </c>
      <c r="G2">
        <f>BDH("CRHEQ US Equity","BS_ST_BORROW","1995-05-10","2000-05-10","Per=Y","Days=T","Dir=V")</f>
        <v>0</v>
      </c>
      <c r="I2">
        <f>BDH("CRHEQ US Equity","BS_LT_BORROW","1995-05-10","2000-05-10","Per=Y","Days=T","Dir=V")</f>
        <v>0</v>
      </c>
      <c r="K2">
        <f>BDH("CRHEQ US Equity","BS_CASH_NEAR_CASH_ITEM","1995-05-10","2000-05-10","Per=Y","Days=T","Dir=V")</f>
        <v>0</v>
      </c>
      <c r="M2">
        <f>BDH("CRHEQ US Equity","BS_CUR_ASSET_REPORT","1995-05-10","2000-05-10","Per=Y","Days=T","Dir=V")</f>
        <v>0</v>
      </c>
      <c r="O2">
        <f>BDH("CRHEQ US Equity","BS_CUR_LIAB","1995-05-10","2000-05-10","Per=Y","Days=T","Dir=V")</f>
        <v>0</v>
      </c>
      <c r="Q2">
        <f>BDH("CRHEQ US Equity","BS_SHAREHOLDER_EQY_ENDING_PERIOD","1995-05-10","2000-05-10","Per=Y","Days=T","Dir=V")</f>
        <v>0</v>
      </c>
      <c r="S2">
        <f>BDH("CRHEQ US Equity","BS_ACCT_NOTE_RCV","1995-05-10","2000-05-10","Per=Y","Days=T","Dir=V")</f>
        <v>0</v>
      </c>
      <c r="U2">
        <f>BDH("CRHEQ US Equity","BS_INVENTORIES","1995-05-10","2000-05-10","Per=Y","Days=T","Dir=V")</f>
        <v>0</v>
      </c>
      <c r="W2">
        <f>BDH("CRHEQ US Equity","WORKING_CAPITAL","1995-05-10","2000-05-10","Per=Y","Days=T","Dir=V")</f>
        <v>0</v>
      </c>
      <c r="Y2">
        <f>BDH("CRHEQ US Equity","SALES_REV_TURN","1995-05-10","2000-05-10","Per=Y","Days=T","Dir=V")</f>
        <v>0</v>
      </c>
      <c r="AA2">
        <f>BDH("CRHEQ US Equity","EBIT","1995-05-10","2000-05-10","Per=Y","Days=T","Dir=V")</f>
        <v>0</v>
      </c>
      <c r="AC2">
        <f>BDH("CRHEQ US Equity","EBITDA","1995-05-10","2000-05-10","Per=Y","Days=T","Dir=V")</f>
        <v>0</v>
      </c>
      <c r="AE2">
        <f>BDH("CRHEQ US Equity","NET_INCOME","1995-05-10","2000-05-10","Per=Y","Days=T","Dir=V")</f>
        <v>0</v>
      </c>
      <c r="AG2">
        <f>BDH("CRHEQ US Equity","IS_INT_EXPENSE","1995-05-10","2000-05-10","Per=Y","Days=T","Dir=V")</f>
        <v>0</v>
      </c>
      <c r="AI2">
        <f>BDH("CRHEQ US Equity","IS_DEPR_EXP","1995-05-10","2000-05-10","Per=Y","Days=T","Dir=V")</f>
        <v>0</v>
      </c>
      <c r="AK2">
        <f>BDH("CRHEQ US Equity","CF_CASH_FROM_OPER","1995-05-10","2000-05-10","Per=Y","Days=T","Dir=V")</f>
        <v>0</v>
      </c>
      <c r="AM2">
        <f>BDH("CRHEQ US Equity","CAPITAL_EXPEND","1995-05-10","2000-05-10","Per=Y","Days=T","Dir=V")</f>
        <v>0</v>
      </c>
      <c r="AO2">
        <f>BDH("CRHEQ US Equity","CF_FREE_CASH_FLOW","1995-05-10","2000-05-10","Per=Y","Days=T","Dir=V")</f>
        <v>0</v>
      </c>
      <c r="AQ2">
        <f>BDH("CRHEQ US Equity","PX_LAST","1995-05-10","2000-05-10","Per=M","Days=T","Dir=V")</f>
        <v>0</v>
      </c>
      <c r="AS2">
        <f>BDH("CRHEQ US Equity","CUR_MKT_CAP","1995-05-10","2000-05-10","Per=M","Days=T","Dir=V")</f>
        <v>0</v>
      </c>
      <c r="AU2">
        <f>BDH("CRHEQ US Equity","EQY_SH_OUT","1995-05-10","2000-05-10","Per=M","Days=T","Dir=V")</f>
        <v>0</v>
      </c>
      <c r="AW2">
        <f>BDH("CRHEQ US Equity","BETA_RAW_OVERRIABLE","1995-05-10","2000-05-10","Per=M","Days=T","Dir=V")</f>
        <v>0</v>
      </c>
      <c r="AY2">
        <f>BDH("CRHEQ US Equity","PX_VOLUME","1995-05-10","2000-05-10","Per=M","Days=T","Dir=V")</f>
        <v>0</v>
      </c>
      <c r="BA2">
        <f>BDH("CRHEQ US Equity","TURNOVER","1995-05-10","2000-05-10","Per=M","Days=T","Dir=V")</f>
        <v>0</v>
      </c>
      <c r="BC2">
        <f>BDH("CRHEQ US Equity","SPREAD_BA_CR","1995-05-10","2000-05-10","Per=M","Days=T","Dir=V")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BDH("OWENQ US Equity","BS_TOT_ASSET","1995-07-07","2000-07-07","Per=Y","Days=T","Dir=V")</f>
        <v>0</v>
      </c>
      <c r="C2">
        <f>BDH("OWENQ US Equity","BS_TOT_LIAB2","1995-07-07","2000-07-07","Per=Y","Days=T","Dir=V")</f>
        <v>0</v>
      </c>
      <c r="E2">
        <f>BDH("OWENQ US Equity","SHORT_AND_LONG_TERM_DEBT","1995-07-07","2000-07-07","Per=Y","Days=T","Dir=V")</f>
        <v>0</v>
      </c>
      <c r="G2">
        <f>BDH("OWENQ US Equity","BS_ST_BORROW","1995-07-07","2000-07-07","Per=Y","Days=T","Dir=V")</f>
        <v>0</v>
      </c>
      <c r="I2">
        <f>BDH("OWENQ US Equity","BS_LT_BORROW","1995-07-07","2000-07-07","Per=Y","Days=T","Dir=V")</f>
        <v>0</v>
      </c>
      <c r="K2">
        <f>BDH("OWENQ US Equity","BS_CASH_NEAR_CASH_ITEM","1995-07-07","2000-07-07","Per=Y","Days=T","Dir=V")</f>
        <v>0</v>
      </c>
      <c r="M2">
        <f>BDH("OWENQ US Equity","BS_CUR_ASSET_REPORT","1995-07-07","2000-07-07","Per=Y","Days=T","Dir=V")</f>
        <v>0</v>
      </c>
      <c r="O2">
        <f>BDH("OWENQ US Equity","BS_CUR_LIAB","1995-07-07","2000-07-07","Per=Y","Days=T","Dir=V")</f>
        <v>0</v>
      </c>
      <c r="Q2">
        <f>BDH("OWENQ US Equity","BS_SHAREHOLDER_EQY_ENDING_PERIOD","1995-07-07","2000-07-07","Per=Y","Days=T","Dir=V")</f>
        <v>0</v>
      </c>
      <c r="S2">
        <f>BDH("OWENQ US Equity","BS_ACCT_NOTE_RCV","1995-07-07","2000-07-07","Per=Y","Days=T","Dir=V")</f>
        <v>0</v>
      </c>
      <c r="U2">
        <f>BDH("OWENQ US Equity","BS_INVENTORIES","1995-07-07","2000-07-07","Per=Y","Days=T","Dir=V")</f>
        <v>0</v>
      </c>
      <c r="W2">
        <f>BDH("OWENQ US Equity","WORKING_CAPITAL","1995-07-07","2000-07-07","Per=Y","Days=T","Dir=V")</f>
        <v>0</v>
      </c>
      <c r="Y2">
        <f>BDH("OWENQ US Equity","SALES_REV_TURN","1995-07-07","2000-07-07","Per=Y","Days=T","Dir=V")</f>
        <v>0</v>
      </c>
      <c r="AA2">
        <f>BDH("OWENQ US Equity","EBIT","1995-07-07","2000-07-07","Per=Y","Days=T","Dir=V")</f>
        <v>0</v>
      </c>
      <c r="AC2">
        <f>BDH("OWENQ US Equity","EBITDA","1995-07-07","2000-07-07","Per=Y","Days=T","Dir=V")</f>
        <v>0</v>
      </c>
      <c r="AE2">
        <f>BDH("OWENQ US Equity","NET_INCOME","1995-07-07","2000-07-07","Per=Y","Days=T","Dir=V")</f>
        <v>0</v>
      </c>
      <c r="AG2">
        <f>BDH("OWENQ US Equity","IS_INT_EXPENSE","1995-07-07","2000-07-07","Per=Y","Days=T","Dir=V")</f>
        <v>0</v>
      </c>
      <c r="AI2">
        <f>BDH("OWENQ US Equity","IS_DEPR_EXP","1995-07-07","2000-07-07","Per=Y","Days=T","Dir=V")</f>
        <v>0</v>
      </c>
      <c r="AK2">
        <f>BDH("OWENQ US Equity","CF_CASH_FROM_OPER","1995-07-07","2000-07-07","Per=Y","Days=T","Dir=V")</f>
        <v>0</v>
      </c>
      <c r="AM2">
        <f>BDH("OWENQ US Equity","CAPITAL_EXPEND","1995-07-07","2000-07-07","Per=Y","Days=T","Dir=V")</f>
        <v>0</v>
      </c>
      <c r="AO2">
        <f>BDH("OWENQ US Equity","CF_FREE_CASH_FLOW","1995-07-07","2000-07-07","Per=Y","Days=T","Dir=V")</f>
        <v>0</v>
      </c>
      <c r="AQ2">
        <f>BDH("OWENQ US Equity","PX_LAST","1995-07-07","2000-07-07","Per=M","Days=T","Dir=V")</f>
        <v>0</v>
      </c>
      <c r="AS2">
        <f>BDH("OWENQ US Equity","CUR_MKT_CAP","1995-07-07","2000-07-07","Per=M","Days=T","Dir=V")</f>
        <v>0</v>
      </c>
      <c r="AU2">
        <f>BDH("OWENQ US Equity","EQY_SH_OUT","1995-07-07","2000-07-07","Per=M","Days=T","Dir=V")</f>
        <v>0</v>
      </c>
      <c r="AW2">
        <f>BDH("OWENQ US Equity","BETA_RAW_OVERRIABLE","1995-07-07","2000-07-07","Per=M","Days=T","Dir=V")</f>
        <v>0</v>
      </c>
      <c r="AY2">
        <f>BDH("OWENQ US Equity","PX_VOLUME","1995-07-07","2000-07-07","Per=M","Days=T","Dir=V")</f>
        <v>0</v>
      </c>
      <c r="BA2">
        <f>BDH("OWENQ US Equity","TURNOVER","1995-07-07","2000-07-07","Per=M","Days=T","Dir=V")</f>
        <v>0</v>
      </c>
      <c r="BC2">
        <f>BDH("OWENQ US Equity","SPREAD_BA_CR","1995-07-07","2000-07-07","Per=M","Days=T","Dir=V")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BDH("CMDCQ US Equity","BS_TOT_ASSET","1995-08-11","2000-08-11","Per=Y","Days=T","Dir=V")</f>
        <v>0</v>
      </c>
      <c r="C2">
        <f>BDH("CMDCQ US Equity","BS_TOT_LIAB2","1995-08-11","2000-08-11","Per=Y","Days=T","Dir=V")</f>
        <v>0</v>
      </c>
      <c r="E2">
        <f>BDH("CMDCQ US Equity","SHORT_AND_LONG_TERM_DEBT","1995-08-11","2000-08-11","Per=Y","Days=T","Dir=V")</f>
        <v>0</v>
      </c>
      <c r="G2">
        <f>BDH("CMDCQ US Equity","BS_ST_BORROW","1995-08-11","2000-08-11","Per=Y","Days=T","Dir=V")</f>
        <v>0</v>
      </c>
      <c r="I2">
        <f>BDH("CMDCQ US Equity","BS_LT_BORROW","1995-08-11","2000-08-11","Per=Y","Days=T","Dir=V")</f>
        <v>0</v>
      </c>
      <c r="K2">
        <f>BDH("CMDCQ US Equity","BS_CASH_NEAR_CASH_ITEM","1995-08-11","2000-08-11","Per=Y","Days=T","Dir=V")</f>
        <v>0</v>
      </c>
      <c r="M2">
        <f>BDH("CMDCQ US Equity","BS_CUR_ASSET_REPORT","1995-08-11","2000-08-11","Per=Y","Days=T","Dir=V")</f>
        <v>0</v>
      </c>
      <c r="O2">
        <f>BDH("CMDCQ US Equity","BS_CUR_LIAB","1995-08-11","2000-08-11","Per=Y","Days=T","Dir=V")</f>
        <v>0</v>
      </c>
      <c r="Q2">
        <f>BDH("CMDCQ US Equity","BS_SHAREHOLDER_EQY_ENDING_PERIOD","1995-08-11","2000-08-11","Per=Y","Days=T","Dir=V")</f>
        <v>0</v>
      </c>
      <c r="S2">
        <f>BDH("CMDCQ US Equity","BS_ACCT_NOTE_RCV","1995-08-11","2000-08-11","Per=Y","Days=T","Dir=V")</f>
        <v>0</v>
      </c>
      <c r="U2">
        <f>BDH("CMDCQ US Equity","BS_INVENTORIES","1995-08-11","2000-08-11","Per=Y","Days=T","Dir=V")</f>
        <v>0</v>
      </c>
      <c r="W2">
        <f>BDH("CMDCQ US Equity","WORKING_CAPITAL","1995-08-11","2000-08-11","Per=Y","Days=T","Dir=V")</f>
        <v>0</v>
      </c>
      <c r="Y2">
        <f>BDH("CMDCQ US Equity","SALES_REV_TURN","1995-08-11","2000-08-11","Per=Y","Days=T","Dir=V")</f>
        <v>0</v>
      </c>
      <c r="AA2">
        <f>BDH("CMDCQ US Equity","EBIT","1995-08-11","2000-08-11","Per=Y","Days=T","Dir=V")</f>
        <v>0</v>
      </c>
      <c r="AC2">
        <f>BDH("CMDCQ US Equity","EBITDA","1995-08-11","2000-08-11","Per=Y","Days=T","Dir=V")</f>
        <v>0</v>
      </c>
      <c r="AE2">
        <f>BDH("CMDCQ US Equity","NET_INCOME","1995-08-11","2000-08-11","Per=Y","Days=T","Dir=V")</f>
        <v>0</v>
      </c>
      <c r="AG2">
        <f>BDH("CMDCQ US Equity","IS_INT_EXPENSE","1995-08-11","2000-08-11","Per=Y","Days=T","Dir=V")</f>
        <v>0</v>
      </c>
      <c r="AI2">
        <f>BDH("CMDCQ US Equity","IS_DEPR_EXP","1995-08-11","2000-08-11","Per=Y","Days=T","Dir=V")</f>
        <v>0</v>
      </c>
      <c r="AK2">
        <f>BDH("CMDCQ US Equity","CF_CASH_FROM_OPER","1995-08-11","2000-08-11","Per=Y","Days=T","Dir=V")</f>
        <v>0</v>
      </c>
      <c r="AM2">
        <f>BDH("CMDCQ US Equity","CAPITAL_EXPEND","1995-08-11","2000-08-11","Per=Y","Days=T","Dir=V")</f>
        <v>0</v>
      </c>
      <c r="AO2">
        <f>BDH("CMDCQ US Equity","CF_FREE_CASH_FLOW","1995-08-11","2000-08-11","Per=Y","Days=T","Dir=V")</f>
        <v>0</v>
      </c>
      <c r="AQ2">
        <f>BDH("CMDCQ US Equity","PX_LAST","1995-08-11","2000-08-11","Per=M","Days=T","Dir=V")</f>
        <v>0</v>
      </c>
      <c r="AS2">
        <f>BDH("CMDCQ US Equity","CUR_MKT_CAP","1995-08-11","2000-08-11","Per=M","Days=T","Dir=V")</f>
        <v>0</v>
      </c>
      <c r="AU2">
        <f>BDH("CMDCQ US Equity","EQY_SH_OUT","1995-08-11","2000-08-11","Per=M","Days=T","Dir=V")</f>
        <v>0</v>
      </c>
      <c r="AW2">
        <f>BDH("CMDCQ US Equity","BETA_RAW_OVERRIABLE","1995-08-11","2000-08-11","Per=M","Days=T","Dir=V")</f>
        <v>0</v>
      </c>
      <c r="AY2">
        <f>BDH("CMDCQ US Equity","PX_VOLUME","1995-08-11","2000-08-11","Per=M","Days=T","Dir=V")</f>
        <v>0</v>
      </c>
      <c r="BA2">
        <f>BDH("CMDCQ US Equity","TURNOVER","1995-08-11","2000-08-11","Per=M","Days=T","Dir=V")</f>
        <v>0</v>
      </c>
      <c r="BC2">
        <f>BDH("CMDCQ US Equity","SPREAD_BA_CR","1995-08-11","2000-08-11","Per=M","Days=T","Dir=V")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BDH("603190Q US Equity","BS_TOT_ASSET","1995-08-16","2000-08-16","Per=Y","Days=T","Dir=V")</f>
        <v>0</v>
      </c>
      <c r="C2">
        <f>BDH("603190Q US Equity","BS_TOT_LIAB2","1995-08-16","2000-08-16","Per=Y","Days=T","Dir=V")</f>
        <v>0</v>
      </c>
      <c r="E2">
        <f>BDH("603190Q US Equity","SHORT_AND_LONG_TERM_DEBT","1995-08-16","2000-08-16","Per=Y","Days=T","Dir=V")</f>
        <v>0</v>
      </c>
      <c r="G2">
        <f>BDH("603190Q US Equity","BS_ST_BORROW","1995-08-16","2000-08-16","Per=Y","Days=T","Dir=V")</f>
        <v>0</v>
      </c>
      <c r="I2">
        <f>BDH("603190Q US Equity","BS_LT_BORROW","1995-08-16","2000-08-16","Per=Y","Days=T","Dir=V")</f>
        <v>0</v>
      </c>
      <c r="K2">
        <f>BDH("603190Q US Equity","BS_CASH_NEAR_CASH_ITEM","1995-08-16","2000-08-16","Per=Y","Days=T","Dir=V")</f>
        <v>0</v>
      </c>
      <c r="M2">
        <f>BDH("603190Q US Equity","BS_CUR_ASSET_REPORT","1995-08-16","2000-08-16","Per=Y","Days=T","Dir=V")</f>
        <v>0</v>
      </c>
      <c r="O2">
        <f>BDH("603190Q US Equity","BS_CUR_LIAB","1995-08-16","2000-08-16","Per=Y","Days=T","Dir=V")</f>
        <v>0</v>
      </c>
      <c r="Q2">
        <f>BDH("603190Q US Equity","BS_SHAREHOLDER_EQY_ENDING_PERIOD","1995-08-16","2000-08-16","Per=Y","Days=T","Dir=V")</f>
        <v>0</v>
      </c>
      <c r="S2">
        <f>BDH("603190Q US Equity","BS_ACCT_NOTE_RCV","1995-08-16","2000-08-16","Per=Y","Days=T","Dir=V")</f>
        <v>0</v>
      </c>
      <c r="U2">
        <f>BDH("603190Q US Equity","BS_INVENTORIES","1995-08-16","2000-08-16","Per=Y","Days=T","Dir=V")</f>
        <v>0</v>
      </c>
      <c r="W2">
        <f>BDH("603190Q US Equity","WORKING_CAPITAL","1995-08-16","2000-08-16","Per=Y","Days=T","Dir=V")</f>
        <v>0</v>
      </c>
      <c r="Y2">
        <f>BDH("603190Q US Equity","SALES_REV_TURN","1995-08-16","2000-08-16","Per=Y","Days=T","Dir=V")</f>
        <v>0</v>
      </c>
      <c r="AA2">
        <f>BDH("603190Q US Equity","EBIT","1995-08-16","2000-08-16","Per=Y","Days=T","Dir=V")</f>
        <v>0</v>
      </c>
      <c r="AC2">
        <f>BDH("603190Q US Equity","EBITDA","1995-08-16","2000-08-16","Per=Y","Days=T","Dir=V")</f>
        <v>0</v>
      </c>
      <c r="AE2">
        <f>BDH("603190Q US Equity","NET_INCOME","1995-08-16","2000-08-16","Per=Y","Days=T","Dir=V")</f>
        <v>0</v>
      </c>
      <c r="AG2">
        <f>BDH("603190Q US Equity","IS_INT_EXPENSE","1995-08-16","2000-08-16","Per=Y","Days=T","Dir=V")</f>
        <v>0</v>
      </c>
      <c r="AI2">
        <f>BDH("603190Q US Equity","IS_DEPR_EXP","1995-08-16","2000-08-16","Per=Y","Days=T","Dir=V")</f>
        <v>0</v>
      </c>
      <c r="AK2">
        <f>BDH("603190Q US Equity","CF_CASH_FROM_OPER","1995-08-16","2000-08-16","Per=Y","Days=T","Dir=V")</f>
        <v>0</v>
      </c>
      <c r="AM2">
        <f>BDH("603190Q US Equity","CAPITAL_EXPEND","1995-08-16","2000-08-16","Per=Y","Days=T","Dir=V")</f>
        <v>0</v>
      </c>
      <c r="AO2">
        <f>BDH("603190Q US Equity","CF_FREE_CASH_FLOW","1995-08-16","2000-08-16","Per=Y","Days=T","Dir=V")</f>
        <v>0</v>
      </c>
      <c r="AQ2">
        <f>BDH("603190Q US Equity","PX_LAST","1995-08-16","2000-08-16","Per=M","Days=T","Dir=V")</f>
        <v>0</v>
      </c>
      <c r="AS2">
        <f>BDH("603190Q US Equity","CUR_MKT_CAP","1995-08-16","2000-08-16","Per=M","Days=T","Dir=V")</f>
        <v>0</v>
      </c>
      <c r="AU2">
        <f>BDH("603190Q US Equity","EQY_SH_OUT","1995-08-16","2000-08-16","Per=M","Days=T","Dir=V")</f>
        <v>0</v>
      </c>
      <c r="AW2">
        <f>BDH("603190Q US Equity","BETA_RAW_OVERRIABLE","1995-08-16","2000-08-16","Per=M","Days=T","Dir=V")</f>
        <v>0</v>
      </c>
      <c r="AY2">
        <f>BDH("603190Q US Equity","PX_VOLUME","1995-08-16","2000-08-16","Per=M","Days=T","Dir=V")</f>
        <v>0</v>
      </c>
      <c r="BA2">
        <f>BDH("603190Q US Equity","TURNOVER","1995-08-16","2000-08-16","Per=M","Days=T","Dir=V")</f>
        <v>0</v>
      </c>
      <c r="BC2">
        <f>BDH("603190Q US Equity","SPREAD_BA_CR","1995-08-16","2000-08-16","Per=M","Days=T","Dir=V")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BDH("NWSW US Equity","BS_TOT_ASSET","1995-09-20","2000-09-20","Per=Y","Days=T","Dir=V")</f>
        <v>0</v>
      </c>
      <c r="C2">
        <f>BDH("NWSW US Equity","BS_TOT_LIAB2","1995-09-20","2000-09-20","Per=Y","Days=T","Dir=V")</f>
        <v>0</v>
      </c>
      <c r="E2">
        <f>BDH("NWSW US Equity","SHORT_AND_LONG_TERM_DEBT","1995-09-20","2000-09-20","Per=Y","Days=T","Dir=V")</f>
        <v>0</v>
      </c>
      <c r="G2">
        <f>BDH("NWSW US Equity","BS_ST_BORROW","1995-09-20","2000-09-20","Per=Y","Days=T","Dir=V")</f>
        <v>0</v>
      </c>
      <c r="I2">
        <f>BDH("NWSW US Equity","BS_LT_BORROW","1995-09-20","2000-09-20","Per=Y","Days=T","Dir=V")</f>
        <v>0</v>
      </c>
      <c r="K2">
        <f>BDH("NWSW US Equity","BS_CASH_NEAR_CASH_ITEM","1995-09-20","2000-09-20","Per=Y","Days=T","Dir=V")</f>
        <v>0</v>
      </c>
      <c r="M2">
        <f>BDH("NWSW US Equity","BS_CUR_ASSET_REPORT","1995-09-20","2000-09-20","Per=Y","Days=T","Dir=V")</f>
        <v>0</v>
      </c>
      <c r="O2">
        <f>BDH("NWSW US Equity","BS_CUR_LIAB","1995-09-20","2000-09-20","Per=Y","Days=T","Dir=V")</f>
        <v>0</v>
      </c>
      <c r="Q2">
        <f>BDH("NWSW US Equity","BS_SHAREHOLDER_EQY_ENDING_PERIOD","1995-09-20","2000-09-20","Per=Y","Days=T","Dir=V")</f>
        <v>0</v>
      </c>
      <c r="S2">
        <f>BDH("NWSW US Equity","BS_ACCT_NOTE_RCV","1995-09-20","2000-09-20","Per=Y","Days=T","Dir=V")</f>
        <v>0</v>
      </c>
      <c r="U2">
        <f>BDH("NWSW US Equity","BS_INVENTORIES","1995-09-20","2000-09-20","Per=Y","Days=T","Dir=V")</f>
        <v>0</v>
      </c>
      <c r="W2">
        <f>BDH("NWSW US Equity","WORKING_CAPITAL","1995-09-20","2000-09-20","Per=Y","Days=T","Dir=V")</f>
        <v>0</v>
      </c>
      <c r="Y2">
        <f>BDH("NWSW US Equity","SALES_REV_TURN","1995-09-20","2000-09-20","Per=Y","Days=T","Dir=V")</f>
        <v>0</v>
      </c>
      <c r="AA2">
        <f>BDH("NWSW US Equity","EBIT","1995-09-20","2000-09-20","Per=Y","Days=T","Dir=V")</f>
        <v>0</v>
      </c>
      <c r="AC2">
        <f>BDH("NWSW US Equity","EBITDA","1995-09-20","2000-09-20","Per=Y","Days=T","Dir=V")</f>
        <v>0</v>
      </c>
      <c r="AE2">
        <f>BDH("NWSW US Equity","NET_INCOME","1995-09-20","2000-09-20","Per=Y","Days=T","Dir=V")</f>
        <v>0</v>
      </c>
      <c r="AG2">
        <f>BDH("NWSW US Equity","IS_INT_EXPENSE","1995-09-20","2000-09-20","Per=Y","Days=T","Dir=V")</f>
        <v>0</v>
      </c>
      <c r="AI2">
        <f>BDH("NWSW US Equity","IS_DEPR_EXP","1995-09-20","2000-09-20","Per=Y","Days=T","Dir=V")</f>
        <v>0</v>
      </c>
      <c r="AK2">
        <f>BDH("NWSW US Equity","CF_CASH_FROM_OPER","1995-09-20","2000-09-20","Per=Y","Days=T","Dir=V")</f>
        <v>0</v>
      </c>
      <c r="AM2">
        <f>BDH("NWSW US Equity","CAPITAL_EXPEND","1995-09-20","2000-09-20","Per=Y","Days=T","Dir=V")</f>
        <v>0</v>
      </c>
      <c r="AO2">
        <f>BDH("NWSW US Equity","CF_FREE_CASH_FLOW","1995-09-20","2000-09-20","Per=Y","Days=T","Dir=V")</f>
        <v>0</v>
      </c>
      <c r="AQ2">
        <f>BDH("NWSW US Equity","PX_LAST","1995-09-20","2000-09-20","Per=M","Days=T","Dir=V")</f>
        <v>0</v>
      </c>
      <c r="AS2">
        <f>BDH("NWSW US Equity","CUR_MKT_CAP","1995-09-20","2000-09-20","Per=M","Days=T","Dir=V")</f>
        <v>0</v>
      </c>
      <c r="AU2">
        <f>BDH("NWSW US Equity","EQY_SH_OUT","1995-09-20","2000-09-20","Per=M","Days=T","Dir=V")</f>
        <v>0</v>
      </c>
      <c r="AW2">
        <f>BDH("NWSW US Equity","BETA_RAW_OVERRIABLE","1995-09-20","2000-09-20","Per=M","Days=T","Dir=V")</f>
        <v>0</v>
      </c>
      <c r="AY2">
        <f>BDH("NWSW US Equity","PX_VOLUME","1995-09-20","2000-09-20","Per=M","Days=T","Dir=V")</f>
        <v>0</v>
      </c>
      <c r="BA2">
        <f>BDH("NWSW US Equity","TURNOVER","1995-09-20","2000-09-20","Per=M","Days=T","Dir=V")</f>
        <v>0</v>
      </c>
      <c r="BC2">
        <f>BDH("NWSW US Equity","SPREAD_BA_CR","1995-09-20","2000-09-20","Per=M","Days=T","Dir=V")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BDH("PGEXQ US Equity","BS_TOT_ASSET","1995-09-30","2000-09-30","Per=Y","Days=T","Dir=V")</f>
        <v>0</v>
      </c>
      <c r="C2">
        <f>BDH("PGEXQ US Equity","BS_TOT_LIAB2","1995-09-30","2000-09-30","Per=Y","Days=T","Dir=V")</f>
        <v>0</v>
      </c>
      <c r="E2">
        <f>BDH("PGEXQ US Equity","SHORT_AND_LONG_TERM_DEBT","1995-09-30","2000-09-30","Per=Y","Days=T","Dir=V")</f>
        <v>0</v>
      </c>
      <c r="G2">
        <f>BDH("PGEXQ US Equity","BS_ST_BORROW","1995-09-30","2000-09-30","Per=Y","Days=T","Dir=V")</f>
        <v>0</v>
      </c>
      <c r="I2">
        <f>BDH("PGEXQ US Equity","BS_LT_BORROW","1995-09-30","2000-09-30","Per=Y","Days=T","Dir=V")</f>
        <v>0</v>
      </c>
      <c r="K2">
        <f>BDH("PGEXQ US Equity","BS_CASH_NEAR_CASH_ITEM","1995-09-30","2000-09-30","Per=Y","Days=T","Dir=V")</f>
        <v>0</v>
      </c>
      <c r="M2">
        <f>BDH("PGEXQ US Equity","BS_CUR_ASSET_REPORT","1995-09-30","2000-09-30","Per=Y","Days=T","Dir=V")</f>
        <v>0</v>
      </c>
      <c r="O2">
        <f>BDH("PGEXQ US Equity","BS_CUR_LIAB","1995-09-30","2000-09-30","Per=Y","Days=T","Dir=V")</f>
        <v>0</v>
      </c>
      <c r="Q2">
        <f>BDH("PGEXQ US Equity","BS_SHAREHOLDER_EQY_ENDING_PERIOD","1995-09-30","2000-09-30","Per=Y","Days=T","Dir=V")</f>
        <v>0</v>
      </c>
      <c r="S2">
        <f>BDH("PGEXQ US Equity","BS_ACCT_NOTE_RCV","1995-09-30","2000-09-30","Per=Y","Days=T","Dir=V")</f>
        <v>0</v>
      </c>
      <c r="U2">
        <f>BDH("PGEXQ US Equity","BS_INVENTORIES","1995-09-30","2000-09-30","Per=Y","Days=T","Dir=V")</f>
        <v>0</v>
      </c>
      <c r="W2">
        <f>BDH("PGEXQ US Equity","WORKING_CAPITAL","1995-09-30","2000-09-30","Per=Y","Days=T","Dir=V")</f>
        <v>0</v>
      </c>
      <c r="Y2">
        <f>BDH("PGEXQ US Equity","SALES_REV_TURN","1995-09-30","2000-09-30","Per=Y","Days=T","Dir=V")</f>
        <v>0</v>
      </c>
      <c r="AA2">
        <f>BDH("PGEXQ US Equity","EBIT","1995-09-30","2000-09-30","Per=Y","Days=T","Dir=V")</f>
        <v>0</v>
      </c>
      <c r="AC2">
        <f>BDH("PGEXQ US Equity","EBITDA","1995-09-30","2000-09-30","Per=Y","Days=T","Dir=V")</f>
        <v>0</v>
      </c>
      <c r="AE2">
        <f>BDH("PGEXQ US Equity","NET_INCOME","1995-09-30","2000-09-30","Per=Y","Days=T","Dir=V")</f>
        <v>0</v>
      </c>
      <c r="AG2">
        <f>BDH("PGEXQ US Equity","IS_INT_EXPENSE","1995-09-30","2000-09-30","Per=Y","Days=T","Dir=V")</f>
        <v>0</v>
      </c>
      <c r="AI2">
        <f>BDH("PGEXQ US Equity","IS_DEPR_EXP","1995-09-30","2000-09-30","Per=Y","Days=T","Dir=V")</f>
        <v>0</v>
      </c>
      <c r="AK2">
        <f>BDH("PGEXQ US Equity","CF_CASH_FROM_OPER","1995-09-30","2000-09-30","Per=Y","Days=T","Dir=V")</f>
        <v>0</v>
      </c>
      <c r="AM2">
        <f>BDH("PGEXQ US Equity","CAPITAL_EXPEND","1995-09-30","2000-09-30","Per=Y","Days=T","Dir=V")</f>
        <v>0</v>
      </c>
      <c r="AO2">
        <f>BDH("PGEXQ US Equity","CF_FREE_CASH_FLOW","1995-09-30","2000-09-30","Per=Y","Days=T","Dir=V")</f>
        <v>0</v>
      </c>
      <c r="AQ2">
        <f>BDH("PGEXQ US Equity","PX_LAST","1995-09-30","2000-09-30","Per=M","Days=T","Dir=V")</f>
        <v>0</v>
      </c>
      <c r="AS2">
        <f>BDH("PGEXQ US Equity","CUR_MKT_CAP","1995-09-30","2000-09-30","Per=M","Days=T","Dir=V")</f>
        <v>0</v>
      </c>
      <c r="AU2">
        <f>BDH("PGEXQ US Equity","EQY_SH_OUT","1995-09-30","2000-09-30","Per=M","Days=T","Dir=V")</f>
        <v>0</v>
      </c>
      <c r="AW2">
        <f>BDH("PGEXQ US Equity","BETA_RAW_OVERRIABLE","1995-09-30","2000-09-30","Per=M","Days=T","Dir=V")</f>
        <v>0</v>
      </c>
      <c r="AY2">
        <f>BDH("PGEXQ US Equity","PX_VOLUME","1995-09-30","2000-09-30","Per=M","Days=T","Dir=V")</f>
        <v>0</v>
      </c>
      <c r="BA2">
        <f>BDH("PGEXQ US Equity","TURNOVER","1995-09-30","2000-09-30","Per=M","Days=T","Dir=V")</f>
        <v>0</v>
      </c>
      <c r="BC2">
        <f>BDH("PGEXQ US Equity","SPREAD_BA_CR","1995-09-30","2000-09-30","Per=M","Days=T","Dir=V")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BDH("PSIXQ US Equity","BS_TOT_ASSET","1996-03-02","2001-03-02","Per=Y","Days=T","Dir=V")</f>
        <v>0</v>
      </c>
      <c r="C2">
        <f>BDH("PSIXQ US Equity","BS_TOT_LIAB2","1996-03-02","2001-03-02","Per=Y","Days=T","Dir=V")</f>
        <v>0</v>
      </c>
      <c r="E2">
        <f>BDH("PSIXQ US Equity","SHORT_AND_LONG_TERM_DEBT","1996-03-02","2001-03-02","Per=Y","Days=T","Dir=V")</f>
        <v>0</v>
      </c>
      <c r="G2">
        <f>BDH("PSIXQ US Equity","BS_ST_BORROW","1996-03-02","2001-03-02","Per=Y","Days=T","Dir=V")</f>
        <v>0</v>
      </c>
      <c r="I2">
        <f>BDH("PSIXQ US Equity","BS_LT_BORROW","1996-03-02","2001-03-02","Per=Y","Days=T","Dir=V")</f>
        <v>0</v>
      </c>
      <c r="K2">
        <f>BDH("PSIXQ US Equity","BS_CASH_NEAR_CASH_ITEM","1996-03-02","2001-03-02","Per=Y","Days=T","Dir=V")</f>
        <v>0</v>
      </c>
      <c r="M2">
        <f>BDH("PSIXQ US Equity","BS_CUR_ASSET_REPORT","1996-03-02","2001-03-02","Per=Y","Days=T","Dir=V")</f>
        <v>0</v>
      </c>
      <c r="O2">
        <f>BDH("PSIXQ US Equity","BS_CUR_LIAB","1996-03-02","2001-03-02","Per=Y","Days=T","Dir=V")</f>
        <v>0</v>
      </c>
      <c r="Q2">
        <f>BDH("PSIXQ US Equity","BS_SHAREHOLDER_EQY_ENDING_PERIOD","1996-03-02","2001-03-02","Per=Y","Days=T","Dir=V")</f>
        <v>0</v>
      </c>
      <c r="S2">
        <f>BDH("PSIXQ US Equity","BS_ACCT_NOTE_RCV","1996-03-02","2001-03-02","Per=Y","Days=T","Dir=V")</f>
        <v>0</v>
      </c>
      <c r="U2">
        <f>BDH("PSIXQ US Equity","BS_INVENTORIES","1996-03-02","2001-03-02","Per=Y","Days=T","Dir=V")</f>
        <v>0</v>
      </c>
      <c r="W2">
        <f>BDH("PSIXQ US Equity","WORKING_CAPITAL","1996-03-02","2001-03-02","Per=Y","Days=T","Dir=V")</f>
        <v>0</v>
      </c>
      <c r="Y2">
        <f>BDH("PSIXQ US Equity","SALES_REV_TURN","1996-03-02","2001-03-02","Per=Y","Days=T","Dir=V")</f>
        <v>0</v>
      </c>
      <c r="AA2">
        <f>BDH("PSIXQ US Equity","EBIT","1996-03-02","2001-03-02","Per=Y","Days=T","Dir=V")</f>
        <v>0</v>
      </c>
      <c r="AC2">
        <f>BDH("PSIXQ US Equity","EBITDA","1996-03-02","2001-03-02","Per=Y","Days=T","Dir=V")</f>
        <v>0</v>
      </c>
      <c r="AE2">
        <f>BDH("PSIXQ US Equity","NET_INCOME","1996-03-02","2001-03-02","Per=Y","Days=T","Dir=V")</f>
        <v>0</v>
      </c>
      <c r="AG2">
        <f>BDH("PSIXQ US Equity","IS_INT_EXPENSE","1996-03-02","2001-03-02","Per=Y","Days=T","Dir=V")</f>
        <v>0</v>
      </c>
      <c r="AI2">
        <f>BDH("PSIXQ US Equity","IS_DEPR_EXP","1996-03-02","2001-03-02","Per=Y","Days=T","Dir=V")</f>
        <v>0</v>
      </c>
      <c r="AK2">
        <f>BDH("PSIXQ US Equity","CF_CASH_FROM_OPER","1996-03-02","2001-03-02","Per=Y","Days=T","Dir=V")</f>
        <v>0</v>
      </c>
      <c r="AM2">
        <f>BDH("PSIXQ US Equity","CAPITAL_EXPEND","1996-03-02","2001-03-02","Per=Y","Days=T","Dir=V")</f>
        <v>0</v>
      </c>
      <c r="AO2">
        <f>BDH("PSIXQ US Equity","CF_FREE_CASH_FLOW","1996-03-02","2001-03-02","Per=Y","Days=T","Dir=V")</f>
        <v>0</v>
      </c>
      <c r="AQ2">
        <f>BDH("PSIXQ US Equity","PX_LAST","1996-03-02","2001-03-02","Per=M","Days=T","Dir=V")</f>
        <v>0</v>
      </c>
      <c r="AS2">
        <f>BDH("PSIXQ US Equity","CUR_MKT_CAP","1996-03-02","2001-03-02","Per=M","Days=T","Dir=V")</f>
        <v>0</v>
      </c>
      <c r="AU2">
        <f>BDH("PSIXQ US Equity","EQY_SH_OUT","1996-03-02","2001-03-02","Per=M","Days=T","Dir=V")</f>
        <v>0</v>
      </c>
      <c r="AW2">
        <f>BDH("PSIXQ US Equity","BETA_RAW_OVERRIABLE","1996-03-02","2001-03-02","Per=M","Days=T","Dir=V")</f>
        <v>0</v>
      </c>
      <c r="AY2">
        <f>BDH("PSIXQ US Equity","PX_VOLUME","1996-03-02","2001-03-02","Per=M","Days=T","Dir=V")</f>
        <v>0</v>
      </c>
      <c r="BA2">
        <f>BDH("PSIXQ US Equity","TURNOVER","1996-03-02","2001-03-02","Per=M","Days=T","Dir=V")</f>
        <v>0</v>
      </c>
      <c r="BC2">
        <f>BDH("PSIXQ US Equity","SPREAD_BA_CR","1996-03-02","2001-03-02","Per=M","Days=T","Dir=V")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BDH("FDMLQ US Equity","BS_TOT_ASSET","1996-07-03","2001-07-03","Per=Y","Days=T","Dir=V")</f>
        <v>0</v>
      </c>
      <c r="C2">
        <f>BDH("FDMLQ US Equity","BS_TOT_LIAB2","1996-07-03","2001-07-03","Per=Y","Days=T","Dir=V")</f>
        <v>0</v>
      </c>
      <c r="E2">
        <f>BDH("FDMLQ US Equity","SHORT_AND_LONG_TERM_DEBT","1996-07-03","2001-07-03","Per=Y","Days=T","Dir=V")</f>
        <v>0</v>
      </c>
      <c r="G2">
        <f>BDH("FDMLQ US Equity","BS_ST_BORROW","1996-07-03","2001-07-03","Per=Y","Days=T","Dir=V")</f>
        <v>0</v>
      </c>
      <c r="I2">
        <f>BDH("FDMLQ US Equity","BS_LT_BORROW","1996-07-03","2001-07-03","Per=Y","Days=T","Dir=V")</f>
        <v>0</v>
      </c>
      <c r="K2">
        <f>BDH("FDMLQ US Equity","BS_CASH_NEAR_CASH_ITEM","1996-07-03","2001-07-03","Per=Y","Days=T","Dir=V")</f>
        <v>0</v>
      </c>
      <c r="M2">
        <f>BDH("FDMLQ US Equity","BS_CUR_ASSET_REPORT","1996-07-03","2001-07-03","Per=Y","Days=T","Dir=V")</f>
        <v>0</v>
      </c>
      <c r="O2">
        <f>BDH("FDMLQ US Equity","BS_CUR_LIAB","1996-07-03","2001-07-03","Per=Y","Days=T","Dir=V")</f>
        <v>0</v>
      </c>
      <c r="Q2">
        <f>BDH("FDMLQ US Equity","BS_SHAREHOLDER_EQY_ENDING_PERIOD","1996-07-03","2001-07-03","Per=Y","Days=T","Dir=V")</f>
        <v>0</v>
      </c>
      <c r="S2">
        <f>BDH("FDMLQ US Equity","BS_ACCT_NOTE_RCV","1996-07-03","2001-07-03","Per=Y","Days=T","Dir=V")</f>
        <v>0</v>
      </c>
      <c r="U2">
        <f>BDH("FDMLQ US Equity","BS_INVENTORIES","1996-07-03","2001-07-03","Per=Y","Days=T","Dir=V")</f>
        <v>0</v>
      </c>
      <c r="W2">
        <f>BDH("FDMLQ US Equity","WORKING_CAPITAL","1996-07-03","2001-07-03","Per=Y","Days=T","Dir=V")</f>
        <v>0</v>
      </c>
      <c r="Y2">
        <f>BDH("FDMLQ US Equity","SALES_REV_TURN","1996-07-03","2001-07-03","Per=Y","Days=T","Dir=V")</f>
        <v>0</v>
      </c>
      <c r="AA2">
        <f>BDH("FDMLQ US Equity","EBIT","1996-07-03","2001-07-03","Per=Y","Days=T","Dir=V")</f>
        <v>0</v>
      </c>
      <c r="AC2">
        <f>BDH("FDMLQ US Equity","EBITDA","1996-07-03","2001-07-03","Per=Y","Days=T","Dir=V")</f>
        <v>0</v>
      </c>
      <c r="AE2">
        <f>BDH("FDMLQ US Equity","NET_INCOME","1996-07-03","2001-07-03","Per=Y","Days=T","Dir=V")</f>
        <v>0</v>
      </c>
      <c r="AG2">
        <f>BDH("FDMLQ US Equity","IS_INT_EXPENSE","1996-07-03","2001-07-03","Per=Y","Days=T","Dir=V")</f>
        <v>0</v>
      </c>
      <c r="AI2">
        <f>BDH("FDMLQ US Equity","IS_DEPR_EXP","1996-07-03","2001-07-03","Per=Y","Days=T","Dir=V")</f>
        <v>0</v>
      </c>
      <c r="AK2">
        <f>BDH("FDMLQ US Equity","CF_CASH_FROM_OPER","1996-07-03","2001-07-03","Per=Y","Days=T","Dir=V")</f>
        <v>0</v>
      </c>
      <c r="AM2">
        <f>BDH("FDMLQ US Equity","CAPITAL_EXPEND","1996-07-03","2001-07-03","Per=Y","Days=T","Dir=V")</f>
        <v>0</v>
      </c>
      <c r="AO2">
        <f>BDH("FDMLQ US Equity","CF_FREE_CASH_FLOW","1996-07-03","2001-07-03","Per=Y","Days=T","Dir=V")</f>
        <v>0</v>
      </c>
      <c r="AQ2">
        <f>BDH("FDMLQ US Equity","PX_LAST","1996-07-03","2001-07-03","Per=M","Days=T","Dir=V")</f>
        <v>0</v>
      </c>
      <c r="AS2">
        <f>BDH("FDMLQ US Equity","CUR_MKT_CAP","1996-07-03","2001-07-03","Per=M","Days=T","Dir=V")</f>
        <v>0</v>
      </c>
      <c r="AU2">
        <f>BDH("FDMLQ US Equity","EQY_SH_OUT","1996-07-03","2001-07-03","Per=M","Days=T","Dir=V")</f>
        <v>0</v>
      </c>
      <c r="AW2">
        <f>BDH("FDMLQ US Equity","BETA_RAW_OVERRIABLE","1996-07-03","2001-07-03","Per=M","Days=T","Dir=V")</f>
        <v>0</v>
      </c>
      <c r="AY2">
        <f>BDH("FDMLQ US Equity","PX_VOLUME","1996-07-03","2001-07-03","Per=M","Days=T","Dir=V")</f>
        <v>0</v>
      </c>
      <c r="BA2">
        <f>BDH("FDMLQ US Equity","TURNOVER","1996-07-03","2001-07-03","Per=M","Days=T","Dir=V")</f>
        <v>0</v>
      </c>
      <c r="BC2">
        <f>BDH("FDMLQ US Equity","SPREAD_BA_CR","1996-07-03","2001-07-03","Per=M","Days=T","Dir=V")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BDH("ANCJQ US Equity","BS_TOT_ASSET","1996-08-15","2001-08-15","Per=Y","Days=T","Dir=V")</f>
        <v>0</v>
      </c>
      <c r="C2">
        <f>BDH("ANCJQ US Equity","BS_TOT_LIAB2","1996-08-15","2001-08-15","Per=Y","Days=T","Dir=V")</f>
        <v>0</v>
      </c>
      <c r="E2">
        <f>BDH("ANCJQ US Equity","SHORT_AND_LONG_TERM_DEBT","1996-08-15","2001-08-15","Per=Y","Days=T","Dir=V")</f>
        <v>0</v>
      </c>
      <c r="G2">
        <f>BDH("ANCJQ US Equity","BS_ST_BORROW","1996-08-15","2001-08-15","Per=Y","Days=T","Dir=V")</f>
        <v>0</v>
      </c>
      <c r="I2">
        <f>BDH("ANCJQ US Equity","BS_LT_BORROW","1996-08-15","2001-08-15","Per=Y","Days=T","Dir=V")</f>
        <v>0</v>
      </c>
      <c r="K2">
        <f>BDH("ANCJQ US Equity","BS_CASH_NEAR_CASH_ITEM","1996-08-15","2001-08-15","Per=Y","Days=T","Dir=V")</f>
        <v>0</v>
      </c>
      <c r="M2">
        <f>BDH("ANCJQ US Equity","BS_CUR_ASSET_REPORT","1996-08-15","2001-08-15","Per=Y","Days=T","Dir=V")</f>
        <v>0</v>
      </c>
      <c r="O2">
        <f>BDH("ANCJQ US Equity","BS_CUR_LIAB","1996-08-15","2001-08-15","Per=Y","Days=T","Dir=V")</f>
        <v>0</v>
      </c>
      <c r="Q2">
        <f>BDH("ANCJQ US Equity","BS_SHAREHOLDER_EQY_ENDING_PERIOD","1996-08-15","2001-08-15","Per=Y","Days=T","Dir=V")</f>
        <v>0</v>
      </c>
      <c r="S2">
        <f>BDH("ANCJQ US Equity","BS_ACCT_NOTE_RCV","1996-08-15","2001-08-15","Per=Y","Days=T","Dir=V")</f>
        <v>0</v>
      </c>
      <c r="U2">
        <f>BDH("ANCJQ US Equity","BS_INVENTORIES","1996-08-15","2001-08-15","Per=Y","Days=T","Dir=V")</f>
        <v>0</v>
      </c>
      <c r="W2">
        <f>BDH("ANCJQ US Equity","WORKING_CAPITAL","1996-08-15","2001-08-15","Per=Y","Days=T","Dir=V")</f>
        <v>0</v>
      </c>
      <c r="Y2">
        <f>BDH("ANCJQ US Equity","SALES_REV_TURN","1996-08-15","2001-08-15","Per=Y","Days=T","Dir=V")</f>
        <v>0</v>
      </c>
      <c r="AA2">
        <f>BDH("ANCJQ US Equity","EBIT","1996-08-15","2001-08-15","Per=Y","Days=T","Dir=V")</f>
        <v>0</v>
      </c>
      <c r="AC2">
        <f>BDH("ANCJQ US Equity","EBITDA","1996-08-15","2001-08-15","Per=Y","Days=T","Dir=V")</f>
        <v>0</v>
      </c>
      <c r="AE2">
        <f>BDH("ANCJQ US Equity","NET_INCOME","1996-08-15","2001-08-15","Per=Y","Days=T","Dir=V")</f>
        <v>0</v>
      </c>
      <c r="AG2">
        <f>BDH("ANCJQ US Equity","IS_INT_EXPENSE","1996-08-15","2001-08-15","Per=Y","Days=T","Dir=V")</f>
        <v>0</v>
      </c>
      <c r="AI2">
        <f>BDH("ANCJQ US Equity","IS_DEPR_EXP","1996-08-15","2001-08-15","Per=Y","Days=T","Dir=V")</f>
        <v>0</v>
      </c>
      <c r="AK2">
        <f>BDH("ANCJQ US Equity","CF_CASH_FROM_OPER","1996-08-15","2001-08-15","Per=Y","Days=T","Dir=V")</f>
        <v>0</v>
      </c>
      <c r="AM2">
        <f>BDH("ANCJQ US Equity","CAPITAL_EXPEND","1996-08-15","2001-08-15","Per=Y","Days=T","Dir=V")</f>
        <v>0</v>
      </c>
      <c r="AO2">
        <f>BDH("ANCJQ US Equity","CF_FREE_CASH_FLOW","1996-08-15","2001-08-15","Per=Y","Days=T","Dir=V")</f>
        <v>0</v>
      </c>
      <c r="AQ2">
        <f>BDH("ANCJQ US Equity","PX_LAST","1996-08-15","2001-08-15","Per=M","Days=T","Dir=V")</f>
        <v>0</v>
      </c>
      <c r="AS2">
        <f>BDH("ANCJQ US Equity","CUR_MKT_CAP","1996-08-15","2001-08-15","Per=M","Days=T","Dir=V")</f>
        <v>0</v>
      </c>
      <c r="AU2">
        <f>BDH("ANCJQ US Equity","EQY_SH_OUT","1996-08-15","2001-08-15","Per=M","Days=T","Dir=V")</f>
        <v>0</v>
      </c>
      <c r="AW2">
        <f>BDH("ANCJQ US Equity","BETA_RAW_OVERRIABLE","1996-08-15","2001-08-15","Per=M","Days=T","Dir=V")</f>
        <v>0</v>
      </c>
      <c r="AY2">
        <f>BDH("ANCJQ US Equity","PX_VOLUME","1996-08-15","2001-08-15","Per=M","Days=T","Dir=V")</f>
        <v>0</v>
      </c>
      <c r="BA2">
        <f>BDH("ANCJQ US Equity","TURNOVER","1996-08-15","2001-08-15","Per=M","Days=T","Dir=V")</f>
        <v>0</v>
      </c>
      <c r="BC2">
        <f>BDH("ANCJQ US Equity","SPREAD_BA_CR","1996-08-15","2001-08-15","Per=M","Days=T","Dir=V")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BDH("CLSCQ US Equity","BS_TOT_ASSET","1996-08-15","2001-08-15","Per=Y","Days=T","Dir=V")</f>
        <v>0</v>
      </c>
      <c r="C2">
        <f>BDH("CLSCQ US Equity","BS_TOT_LIAB2","1996-08-15","2001-08-15","Per=Y","Days=T","Dir=V")</f>
        <v>0</v>
      </c>
      <c r="E2">
        <f>BDH("CLSCQ US Equity","SHORT_AND_LONG_TERM_DEBT","1996-08-15","2001-08-15","Per=Y","Days=T","Dir=V")</f>
        <v>0</v>
      </c>
      <c r="G2">
        <f>BDH("CLSCQ US Equity","BS_ST_BORROW","1996-08-15","2001-08-15","Per=Y","Days=T","Dir=V")</f>
        <v>0</v>
      </c>
      <c r="I2">
        <f>BDH("CLSCQ US Equity","BS_LT_BORROW","1996-08-15","2001-08-15","Per=Y","Days=T","Dir=V")</f>
        <v>0</v>
      </c>
      <c r="K2">
        <f>BDH("CLSCQ US Equity","BS_CASH_NEAR_CASH_ITEM","1996-08-15","2001-08-15","Per=Y","Days=T","Dir=V")</f>
        <v>0</v>
      </c>
      <c r="M2">
        <f>BDH("CLSCQ US Equity","BS_CUR_ASSET_REPORT","1996-08-15","2001-08-15","Per=Y","Days=T","Dir=V")</f>
        <v>0</v>
      </c>
      <c r="O2">
        <f>BDH("CLSCQ US Equity","BS_CUR_LIAB","1996-08-15","2001-08-15","Per=Y","Days=T","Dir=V")</f>
        <v>0</v>
      </c>
      <c r="Q2">
        <f>BDH("CLSCQ US Equity","BS_SHAREHOLDER_EQY_ENDING_PERIOD","1996-08-15","2001-08-15","Per=Y","Days=T","Dir=V")</f>
        <v>0</v>
      </c>
      <c r="S2">
        <f>BDH("CLSCQ US Equity","BS_ACCT_NOTE_RCV","1996-08-15","2001-08-15","Per=Y","Days=T","Dir=V")</f>
        <v>0</v>
      </c>
      <c r="U2">
        <f>BDH("CLSCQ US Equity","BS_INVENTORIES","1996-08-15","2001-08-15","Per=Y","Days=T","Dir=V")</f>
        <v>0</v>
      </c>
      <c r="W2">
        <f>BDH("CLSCQ US Equity","WORKING_CAPITAL","1996-08-15","2001-08-15","Per=Y","Days=T","Dir=V")</f>
        <v>0</v>
      </c>
      <c r="Y2">
        <f>BDH("CLSCQ US Equity","SALES_REV_TURN","1996-08-15","2001-08-15","Per=Y","Days=T","Dir=V")</f>
        <v>0</v>
      </c>
      <c r="AA2">
        <f>BDH("CLSCQ US Equity","EBIT","1996-08-15","2001-08-15","Per=Y","Days=T","Dir=V")</f>
        <v>0</v>
      </c>
      <c r="AC2">
        <f>BDH("CLSCQ US Equity","EBITDA","1996-08-15","2001-08-15","Per=Y","Days=T","Dir=V")</f>
        <v>0</v>
      </c>
      <c r="AE2">
        <f>BDH("CLSCQ US Equity","NET_INCOME","1996-08-15","2001-08-15","Per=Y","Days=T","Dir=V")</f>
        <v>0</v>
      </c>
      <c r="AG2">
        <f>BDH("CLSCQ US Equity","IS_INT_EXPENSE","1996-08-15","2001-08-15","Per=Y","Days=T","Dir=V")</f>
        <v>0</v>
      </c>
      <c r="AI2">
        <f>BDH("CLSCQ US Equity","IS_DEPR_EXP","1996-08-15","2001-08-15","Per=Y","Days=T","Dir=V")</f>
        <v>0</v>
      </c>
      <c r="AK2">
        <f>BDH("CLSCQ US Equity","CF_CASH_FROM_OPER","1996-08-15","2001-08-15","Per=Y","Days=T","Dir=V")</f>
        <v>0</v>
      </c>
      <c r="AM2">
        <f>BDH("CLSCQ US Equity","CAPITAL_EXPEND","1996-08-15","2001-08-15","Per=Y","Days=T","Dir=V")</f>
        <v>0</v>
      </c>
      <c r="AO2">
        <f>BDH("CLSCQ US Equity","CF_FREE_CASH_FLOW","1996-08-15","2001-08-15","Per=Y","Days=T","Dir=V")</f>
        <v>0</v>
      </c>
      <c r="AQ2">
        <f>BDH("CLSCQ US Equity","PX_LAST","1996-08-15","2001-08-15","Per=M","Days=T","Dir=V")</f>
        <v>0</v>
      </c>
      <c r="AS2">
        <f>BDH("CLSCQ US Equity","CUR_MKT_CAP","1996-08-15","2001-08-15","Per=M","Days=T","Dir=V")</f>
        <v>0</v>
      </c>
      <c r="AU2">
        <f>BDH("CLSCQ US Equity","EQY_SH_OUT","1996-08-15","2001-08-15","Per=M","Days=T","Dir=V")</f>
        <v>0</v>
      </c>
      <c r="AW2">
        <f>BDH("CLSCQ US Equity","BETA_RAW_OVERRIABLE","1996-08-15","2001-08-15","Per=M","Days=T","Dir=V")</f>
        <v>0</v>
      </c>
      <c r="AY2">
        <f>BDH("CLSCQ US Equity","PX_VOLUME","1996-08-15","2001-08-15","Per=M","Days=T","Dir=V")</f>
        <v>0</v>
      </c>
      <c r="BA2">
        <f>BDH("CLSCQ US Equity","TURNOVER","1996-08-15","2001-08-15","Per=M","Days=T","Dir=V")</f>
        <v>0</v>
      </c>
      <c r="BC2">
        <f>BDH("CLSCQ US Equity","SPREAD_BA_CR","1996-08-15","2001-08-15","Per=M","Days=T","Dir=V")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BDH("BRLGQ US Equity","BS_TOT_ASSET","1996-08-17","2001-08-17","Per=Y","Days=T","Dir=V")</f>
        <v>0</v>
      </c>
      <c r="C2">
        <f>BDH("BRLGQ US Equity","BS_TOT_LIAB2","1996-08-17","2001-08-17","Per=Y","Days=T","Dir=V")</f>
        <v>0</v>
      </c>
      <c r="E2">
        <f>BDH("BRLGQ US Equity","SHORT_AND_LONG_TERM_DEBT","1996-08-17","2001-08-17","Per=Y","Days=T","Dir=V")</f>
        <v>0</v>
      </c>
      <c r="G2">
        <f>BDH("BRLGQ US Equity","BS_ST_BORROW","1996-08-17","2001-08-17","Per=Y","Days=T","Dir=V")</f>
        <v>0</v>
      </c>
      <c r="I2">
        <f>BDH("BRLGQ US Equity","BS_LT_BORROW","1996-08-17","2001-08-17","Per=Y","Days=T","Dir=V")</f>
        <v>0</v>
      </c>
      <c r="K2">
        <f>BDH("BRLGQ US Equity","BS_CASH_NEAR_CASH_ITEM","1996-08-17","2001-08-17","Per=Y","Days=T","Dir=V")</f>
        <v>0</v>
      </c>
      <c r="M2">
        <f>BDH("BRLGQ US Equity","BS_CUR_ASSET_REPORT","1996-08-17","2001-08-17","Per=Y","Days=T","Dir=V")</f>
        <v>0</v>
      </c>
      <c r="O2">
        <f>BDH("BRLGQ US Equity","BS_CUR_LIAB","1996-08-17","2001-08-17","Per=Y","Days=T","Dir=V")</f>
        <v>0</v>
      </c>
      <c r="Q2">
        <f>BDH("BRLGQ US Equity","BS_SHAREHOLDER_EQY_ENDING_PERIOD","1996-08-17","2001-08-17","Per=Y","Days=T","Dir=V")</f>
        <v>0</v>
      </c>
      <c r="S2">
        <f>BDH("BRLGQ US Equity","BS_ACCT_NOTE_RCV","1996-08-17","2001-08-17","Per=Y","Days=T","Dir=V")</f>
        <v>0</v>
      </c>
      <c r="U2">
        <f>BDH("BRLGQ US Equity","BS_INVENTORIES","1996-08-17","2001-08-17","Per=Y","Days=T","Dir=V")</f>
        <v>0</v>
      </c>
      <c r="W2">
        <f>BDH("BRLGQ US Equity","WORKING_CAPITAL","1996-08-17","2001-08-17","Per=Y","Days=T","Dir=V")</f>
        <v>0</v>
      </c>
      <c r="Y2">
        <f>BDH("BRLGQ US Equity","SALES_REV_TURN","1996-08-17","2001-08-17","Per=Y","Days=T","Dir=V")</f>
        <v>0</v>
      </c>
      <c r="AA2">
        <f>BDH("BRLGQ US Equity","EBIT","1996-08-17","2001-08-17","Per=Y","Days=T","Dir=V")</f>
        <v>0</v>
      </c>
      <c r="AC2">
        <f>BDH("BRLGQ US Equity","EBITDA","1996-08-17","2001-08-17","Per=Y","Days=T","Dir=V")</f>
        <v>0</v>
      </c>
      <c r="AE2">
        <f>BDH("BRLGQ US Equity","NET_INCOME","1996-08-17","2001-08-17","Per=Y","Days=T","Dir=V")</f>
        <v>0</v>
      </c>
      <c r="AG2">
        <f>BDH("BRLGQ US Equity","IS_INT_EXPENSE","1996-08-17","2001-08-17","Per=Y","Days=T","Dir=V")</f>
        <v>0</v>
      </c>
      <c r="AI2">
        <f>BDH("BRLGQ US Equity","IS_DEPR_EXP","1996-08-17","2001-08-17","Per=Y","Days=T","Dir=V")</f>
        <v>0</v>
      </c>
      <c r="AK2">
        <f>BDH("BRLGQ US Equity","CF_CASH_FROM_OPER","1996-08-17","2001-08-17","Per=Y","Days=T","Dir=V")</f>
        <v>0</v>
      </c>
      <c r="AM2">
        <f>BDH("BRLGQ US Equity","CAPITAL_EXPEND","1996-08-17","2001-08-17","Per=Y","Days=T","Dir=V")</f>
        <v>0</v>
      </c>
      <c r="AO2">
        <f>BDH("BRLGQ US Equity","CF_FREE_CASH_FLOW","1996-08-17","2001-08-17","Per=Y","Days=T","Dir=V")</f>
        <v>0</v>
      </c>
      <c r="AQ2">
        <f>BDH("BRLGQ US Equity","PX_LAST","1996-08-17","2001-08-17","Per=M","Days=T","Dir=V")</f>
        <v>0</v>
      </c>
      <c r="AS2">
        <f>BDH("BRLGQ US Equity","CUR_MKT_CAP","1996-08-17","2001-08-17","Per=M","Days=T","Dir=V")</f>
        <v>0</v>
      </c>
      <c r="AU2">
        <f>BDH("BRLGQ US Equity","EQY_SH_OUT","1996-08-17","2001-08-17","Per=M","Days=T","Dir=V")</f>
        <v>0</v>
      </c>
      <c r="AW2">
        <f>BDH("BRLGQ US Equity","BETA_RAW_OVERRIABLE","1996-08-17","2001-08-17","Per=M","Days=T","Dir=V")</f>
        <v>0</v>
      </c>
      <c r="AY2">
        <f>BDH("BRLGQ US Equity","PX_VOLUME","1996-08-17","2001-08-17","Per=M","Days=T","Dir=V")</f>
        <v>0</v>
      </c>
      <c r="BA2">
        <f>BDH("BRLGQ US Equity","TURNOVER","1996-08-17","2001-08-17","Per=M","Days=T","Dir=V")</f>
        <v>0</v>
      </c>
      <c r="BC2">
        <f>BDH("BRLGQ US Equity","SPREAD_BA_CR","1996-08-17","2001-08-17","Per=M","Days=T","Dir=V")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BDH("VMIXQ US Equity","BS_TOT_ASSET","1996-08-22","2001-08-22","Per=Y","Days=T","Dir=V")</f>
        <v>0</v>
      </c>
      <c r="C2">
        <f>BDH("VMIXQ US Equity","BS_TOT_LIAB2","1996-08-22","2001-08-22","Per=Y","Days=T","Dir=V")</f>
        <v>0</v>
      </c>
      <c r="E2">
        <f>BDH("VMIXQ US Equity","SHORT_AND_LONG_TERM_DEBT","1996-08-22","2001-08-22","Per=Y","Days=T","Dir=V")</f>
        <v>0</v>
      </c>
      <c r="G2">
        <f>BDH("VMIXQ US Equity","BS_ST_BORROW","1996-08-22","2001-08-22","Per=Y","Days=T","Dir=V")</f>
        <v>0</v>
      </c>
      <c r="I2">
        <f>BDH("VMIXQ US Equity","BS_LT_BORROW","1996-08-22","2001-08-22","Per=Y","Days=T","Dir=V")</f>
        <v>0</v>
      </c>
      <c r="K2">
        <f>BDH("VMIXQ US Equity","BS_CASH_NEAR_CASH_ITEM","1996-08-22","2001-08-22","Per=Y","Days=T","Dir=V")</f>
        <v>0</v>
      </c>
      <c r="M2">
        <f>BDH("VMIXQ US Equity","BS_CUR_ASSET_REPORT","1996-08-22","2001-08-22","Per=Y","Days=T","Dir=V")</f>
        <v>0</v>
      </c>
      <c r="O2">
        <f>BDH("VMIXQ US Equity","BS_CUR_LIAB","1996-08-22","2001-08-22","Per=Y","Days=T","Dir=V")</f>
        <v>0</v>
      </c>
      <c r="Q2">
        <f>BDH("VMIXQ US Equity","BS_SHAREHOLDER_EQY_ENDING_PERIOD","1996-08-22","2001-08-22","Per=Y","Days=T","Dir=V")</f>
        <v>0</v>
      </c>
      <c r="S2">
        <f>BDH("VMIXQ US Equity","BS_ACCT_NOTE_RCV","1996-08-22","2001-08-22","Per=Y","Days=T","Dir=V")</f>
        <v>0</v>
      </c>
      <c r="U2">
        <f>BDH("VMIXQ US Equity","BS_INVENTORIES","1996-08-22","2001-08-22","Per=Y","Days=T","Dir=V")</f>
        <v>0</v>
      </c>
      <c r="W2">
        <f>BDH("VMIXQ US Equity","WORKING_CAPITAL","1996-08-22","2001-08-22","Per=Y","Days=T","Dir=V")</f>
        <v>0</v>
      </c>
      <c r="Y2">
        <f>BDH("VMIXQ US Equity","SALES_REV_TURN","1996-08-22","2001-08-22","Per=Y","Days=T","Dir=V")</f>
        <v>0</v>
      </c>
      <c r="AA2">
        <f>BDH("VMIXQ US Equity","EBIT","1996-08-22","2001-08-22","Per=Y","Days=T","Dir=V")</f>
        <v>0</v>
      </c>
      <c r="AC2">
        <f>BDH("VMIXQ US Equity","EBITDA","1996-08-22","2001-08-22","Per=Y","Days=T","Dir=V")</f>
        <v>0</v>
      </c>
      <c r="AE2">
        <f>BDH("VMIXQ US Equity","NET_INCOME","1996-08-22","2001-08-22","Per=Y","Days=T","Dir=V")</f>
        <v>0</v>
      </c>
      <c r="AG2">
        <f>BDH("VMIXQ US Equity","IS_INT_EXPENSE","1996-08-22","2001-08-22","Per=Y","Days=T","Dir=V")</f>
        <v>0</v>
      </c>
      <c r="AI2">
        <f>BDH("VMIXQ US Equity","IS_DEPR_EXP","1996-08-22","2001-08-22","Per=Y","Days=T","Dir=V")</f>
        <v>0</v>
      </c>
      <c r="AK2">
        <f>BDH("VMIXQ US Equity","CF_CASH_FROM_OPER","1996-08-22","2001-08-22","Per=Y","Days=T","Dir=V")</f>
        <v>0</v>
      </c>
      <c r="AM2">
        <f>BDH("VMIXQ US Equity","CAPITAL_EXPEND","1996-08-22","2001-08-22","Per=Y","Days=T","Dir=V")</f>
        <v>0</v>
      </c>
      <c r="AO2">
        <f>BDH("VMIXQ US Equity","CF_FREE_CASH_FLOW","1996-08-22","2001-08-22","Per=Y","Days=T","Dir=V")</f>
        <v>0</v>
      </c>
      <c r="AQ2">
        <f>BDH("VMIXQ US Equity","PX_LAST","1996-08-22","2001-08-22","Per=M","Days=T","Dir=V")</f>
        <v>0</v>
      </c>
      <c r="AS2">
        <f>BDH("VMIXQ US Equity","CUR_MKT_CAP","1996-08-22","2001-08-22","Per=M","Days=T","Dir=V")</f>
        <v>0</v>
      </c>
      <c r="AU2">
        <f>BDH("VMIXQ US Equity","EQY_SH_OUT","1996-08-22","2001-08-22","Per=M","Days=T","Dir=V")</f>
        <v>0</v>
      </c>
      <c r="AW2">
        <f>BDH("VMIXQ US Equity","BETA_RAW_OVERRIABLE","1996-08-22","2001-08-22","Per=M","Days=T","Dir=V")</f>
        <v>0</v>
      </c>
      <c r="AY2">
        <f>BDH("VMIXQ US Equity","PX_VOLUME","1996-08-22","2001-08-22","Per=M","Days=T","Dir=V")</f>
        <v>0</v>
      </c>
      <c r="BA2">
        <f>BDH("VMIXQ US Equity","TURNOVER","1996-08-22","2001-08-22","Per=M","Days=T","Dir=V")</f>
        <v>0</v>
      </c>
      <c r="BC2">
        <f>BDH("VMIXQ US Equity","SPREAD_BA_CR","1996-08-22","2001-08-22","Per=M","Days=T","Dir=V")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BDH("HLMMQ US Equity","BS_TOT_ASSET","1996-09-06","2001-09-06","Per=Y","Days=T","Dir=V")</f>
        <v>0</v>
      </c>
      <c r="C2">
        <f>BDH("HLMMQ US Equity","BS_TOT_LIAB2","1996-09-06","2001-09-06","Per=Y","Days=T","Dir=V")</f>
        <v>0</v>
      </c>
      <c r="E2">
        <f>BDH("HLMMQ US Equity","SHORT_AND_LONG_TERM_DEBT","1996-09-06","2001-09-06","Per=Y","Days=T","Dir=V")</f>
        <v>0</v>
      </c>
      <c r="G2">
        <f>BDH("HLMMQ US Equity","BS_ST_BORROW","1996-09-06","2001-09-06","Per=Y","Days=T","Dir=V")</f>
        <v>0</v>
      </c>
      <c r="I2">
        <f>BDH("HLMMQ US Equity","BS_LT_BORROW","1996-09-06","2001-09-06","Per=Y","Days=T","Dir=V")</f>
        <v>0</v>
      </c>
      <c r="K2">
        <f>BDH("HLMMQ US Equity","BS_CASH_NEAR_CASH_ITEM","1996-09-06","2001-09-06","Per=Y","Days=T","Dir=V")</f>
        <v>0</v>
      </c>
      <c r="M2">
        <f>BDH("HLMMQ US Equity","BS_CUR_ASSET_REPORT","1996-09-06","2001-09-06","Per=Y","Days=T","Dir=V")</f>
        <v>0</v>
      </c>
      <c r="O2">
        <f>BDH("HLMMQ US Equity","BS_CUR_LIAB","1996-09-06","2001-09-06","Per=Y","Days=T","Dir=V")</f>
        <v>0</v>
      </c>
      <c r="Q2">
        <f>BDH("HLMMQ US Equity","BS_SHAREHOLDER_EQY_ENDING_PERIOD","1996-09-06","2001-09-06","Per=Y","Days=T","Dir=V")</f>
        <v>0</v>
      </c>
      <c r="S2">
        <f>BDH("HLMMQ US Equity","BS_ACCT_NOTE_RCV","1996-09-06","2001-09-06","Per=Y","Days=T","Dir=V")</f>
        <v>0</v>
      </c>
      <c r="U2">
        <f>BDH("HLMMQ US Equity","BS_INVENTORIES","1996-09-06","2001-09-06","Per=Y","Days=T","Dir=V")</f>
        <v>0</v>
      </c>
      <c r="W2">
        <f>BDH("HLMMQ US Equity","WORKING_CAPITAL","1996-09-06","2001-09-06","Per=Y","Days=T","Dir=V")</f>
        <v>0</v>
      </c>
      <c r="Y2">
        <f>BDH("HLMMQ US Equity","SALES_REV_TURN","1996-09-06","2001-09-06","Per=Y","Days=T","Dir=V")</f>
        <v>0</v>
      </c>
      <c r="AA2">
        <f>BDH("HLMMQ US Equity","EBIT","1996-09-06","2001-09-06","Per=Y","Days=T","Dir=V")</f>
        <v>0</v>
      </c>
      <c r="AC2">
        <f>BDH("HLMMQ US Equity","EBITDA","1996-09-06","2001-09-06","Per=Y","Days=T","Dir=V")</f>
        <v>0</v>
      </c>
      <c r="AE2">
        <f>BDH("HLMMQ US Equity","NET_INCOME","1996-09-06","2001-09-06","Per=Y","Days=T","Dir=V")</f>
        <v>0</v>
      </c>
      <c r="AG2">
        <f>BDH("HLMMQ US Equity","IS_INT_EXPENSE","1996-09-06","2001-09-06","Per=Y","Days=T","Dir=V")</f>
        <v>0</v>
      </c>
      <c r="AI2">
        <f>BDH("HLMMQ US Equity","IS_DEPR_EXP","1996-09-06","2001-09-06","Per=Y","Days=T","Dir=V")</f>
        <v>0</v>
      </c>
      <c r="AK2">
        <f>BDH("HLMMQ US Equity","CF_CASH_FROM_OPER","1996-09-06","2001-09-06","Per=Y","Days=T","Dir=V")</f>
        <v>0</v>
      </c>
      <c r="AM2">
        <f>BDH("HLMMQ US Equity","CAPITAL_EXPEND","1996-09-06","2001-09-06","Per=Y","Days=T","Dir=V")</f>
        <v>0</v>
      </c>
      <c r="AO2">
        <f>BDH("HLMMQ US Equity","CF_FREE_CASH_FLOW","1996-09-06","2001-09-06","Per=Y","Days=T","Dir=V")</f>
        <v>0</v>
      </c>
      <c r="AQ2">
        <f>BDH("HLMMQ US Equity","PX_LAST","1996-09-06","2001-09-06","Per=M","Days=T","Dir=V")</f>
        <v>0</v>
      </c>
      <c r="AS2">
        <f>BDH("HLMMQ US Equity","CUR_MKT_CAP","1996-09-06","2001-09-06","Per=M","Days=T","Dir=V")</f>
        <v>0</v>
      </c>
      <c r="AU2">
        <f>BDH("HLMMQ US Equity","EQY_SH_OUT","1996-09-06","2001-09-06","Per=M","Days=T","Dir=V")</f>
        <v>0</v>
      </c>
      <c r="AW2">
        <f>BDH("HLMMQ US Equity","BETA_RAW_OVERRIABLE","1996-09-06","2001-09-06","Per=M","Days=T","Dir=V")</f>
        <v>0</v>
      </c>
      <c r="AY2">
        <f>BDH("HLMMQ US Equity","PX_VOLUME","1996-09-06","2001-09-06","Per=M","Days=T","Dir=V")</f>
        <v>0</v>
      </c>
      <c r="BA2">
        <f>BDH("HLMMQ US Equity","TURNOVER","1996-09-06","2001-09-06","Per=M","Days=T","Dir=V")</f>
        <v>0</v>
      </c>
      <c r="BC2">
        <f>BDH("HLMMQ US Equity","SPREAD_BA_CR","1996-09-06","2001-09-06","Per=M","Days=T","Dir=V")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BDH("STGCQ US Equity","BS_TOT_ASSET","1996-09-15","2001-09-15","Per=Y","Days=T","Dir=V")</f>
        <v>0</v>
      </c>
      <c r="C2">
        <f>BDH("STGCQ US Equity","BS_TOT_LIAB2","1996-09-15","2001-09-15","Per=Y","Days=T","Dir=V")</f>
        <v>0</v>
      </c>
      <c r="E2">
        <f>BDH("STGCQ US Equity","SHORT_AND_LONG_TERM_DEBT","1996-09-15","2001-09-15","Per=Y","Days=T","Dir=V")</f>
        <v>0</v>
      </c>
      <c r="G2">
        <f>BDH("STGCQ US Equity","BS_ST_BORROW","1996-09-15","2001-09-15","Per=Y","Days=T","Dir=V")</f>
        <v>0</v>
      </c>
      <c r="I2">
        <f>BDH("STGCQ US Equity","BS_LT_BORROW","1996-09-15","2001-09-15","Per=Y","Days=T","Dir=V")</f>
        <v>0</v>
      </c>
      <c r="K2">
        <f>BDH("STGCQ US Equity","BS_CASH_NEAR_CASH_ITEM","1996-09-15","2001-09-15","Per=Y","Days=T","Dir=V")</f>
        <v>0</v>
      </c>
      <c r="M2">
        <f>BDH("STGCQ US Equity","BS_CUR_ASSET_REPORT","1996-09-15","2001-09-15","Per=Y","Days=T","Dir=V")</f>
        <v>0</v>
      </c>
      <c r="O2">
        <f>BDH("STGCQ US Equity","BS_CUR_LIAB","1996-09-15","2001-09-15","Per=Y","Days=T","Dir=V")</f>
        <v>0</v>
      </c>
      <c r="Q2">
        <f>BDH("STGCQ US Equity","BS_SHAREHOLDER_EQY_ENDING_PERIOD","1996-09-15","2001-09-15","Per=Y","Days=T","Dir=V")</f>
        <v>0</v>
      </c>
      <c r="S2">
        <f>BDH("STGCQ US Equity","BS_ACCT_NOTE_RCV","1996-09-15","2001-09-15","Per=Y","Days=T","Dir=V")</f>
        <v>0</v>
      </c>
      <c r="U2">
        <f>BDH("STGCQ US Equity","BS_INVENTORIES","1996-09-15","2001-09-15","Per=Y","Days=T","Dir=V")</f>
        <v>0</v>
      </c>
      <c r="W2">
        <f>BDH("STGCQ US Equity","WORKING_CAPITAL","1996-09-15","2001-09-15","Per=Y","Days=T","Dir=V")</f>
        <v>0</v>
      </c>
      <c r="Y2">
        <f>BDH("STGCQ US Equity","SALES_REV_TURN","1996-09-15","2001-09-15","Per=Y","Days=T","Dir=V")</f>
        <v>0</v>
      </c>
      <c r="AA2">
        <f>BDH("STGCQ US Equity","EBIT","1996-09-15","2001-09-15","Per=Y","Days=T","Dir=V")</f>
        <v>0</v>
      </c>
      <c r="AC2">
        <f>BDH("STGCQ US Equity","EBITDA","1996-09-15","2001-09-15","Per=Y","Days=T","Dir=V")</f>
        <v>0</v>
      </c>
      <c r="AE2">
        <f>BDH("STGCQ US Equity","NET_INCOME","1996-09-15","2001-09-15","Per=Y","Days=T","Dir=V")</f>
        <v>0</v>
      </c>
      <c r="AG2">
        <f>BDH("STGCQ US Equity","IS_INT_EXPENSE","1996-09-15","2001-09-15","Per=Y","Days=T","Dir=V")</f>
        <v>0</v>
      </c>
      <c r="AI2">
        <f>BDH("STGCQ US Equity","IS_DEPR_EXP","1996-09-15","2001-09-15","Per=Y","Days=T","Dir=V")</f>
        <v>0</v>
      </c>
      <c r="AK2">
        <f>BDH("STGCQ US Equity","CF_CASH_FROM_OPER","1996-09-15","2001-09-15","Per=Y","Days=T","Dir=V")</f>
        <v>0</v>
      </c>
      <c r="AM2">
        <f>BDH("STGCQ US Equity","CAPITAL_EXPEND","1996-09-15","2001-09-15","Per=Y","Days=T","Dir=V")</f>
        <v>0</v>
      </c>
      <c r="AO2">
        <f>BDH("STGCQ US Equity","CF_FREE_CASH_FLOW","1996-09-15","2001-09-15","Per=Y","Days=T","Dir=V")</f>
        <v>0</v>
      </c>
      <c r="AQ2">
        <f>BDH("STGCQ US Equity","PX_LAST","1996-09-15","2001-09-15","Per=M","Days=T","Dir=V")</f>
        <v>0</v>
      </c>
      <c r="AS2">
        <f>BDH("STGCQ US Equity","CUR_MKT_CAP","1996-09-15","2001-09-15","Per=M","Days=T","Dir=V")</f>
        <v>0</v>
      </c>
      <c r="AU2">
        <f>BDH("STGCQ US Equity","EQY_SH_OUT","1996-09-15","2001-09-15","Per=M","Days=T","Dir=V")</f>
        <v>0</v>
      </c>
      <c r="AW2">
        <f>BDH("STGCQ US Equity","BETA_RAW_OVERRIABLE","1996-09-15","2001-09-15","Per=M","Days=T","Dir=V")</f>
        <v>0</v>
      </c>
      <c r="AY2">
        <f>BDH("STGCQ US Equity","PX_VOLUME","1996-09-15","2001-09-15","Per=M","Days=T","Dir=V")</f>
        <v>0</v>
      </c>
      <c r="BA2">
        <f>BDH("STGCQ US Equity","TURNOVER","1996-09-15","2001-09-15","Per=M","Days=T","Dir=V")</f>
        <v>0</v>
      </c>
      <c r="BC2">
        <f>BDH("STGCQ US Equity","SPREAD_BA_CR","1996-09-15","2001-09-15","Per=M","Days=T","Dir=V")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BDH("ITXG US Equity","BS_TOT_ASSET","1996-10-18","2001-10-18","Per=Y","Days=T","Dir=V")</f>
        <v>0</v>
      </c>
      <c r="C2">
        <f>BDH("ITXG US Equity","BS_TOT_LIAB2","1996-10-18","2001-10-18","Per=Y","Days=T","Dir=V")</f>
        <v>0</v>
      </c>
      <c r="E2">
        <f>BDH("ITXG US Equity","SHORT_AND_LONG_TERM_DEBT","1996-10-18","2001-10-18","Per=Y","Days=T","Dir=V")</f>
        <v>0</v>
      </c>
      <c r="G2">
        <f>BDH("ITXG US Equity","BS_ST_BORROW","1996-10-18","2001-10-18","Per=Y","Days=T","Dir=V")</f>
        <v>0</v>
      </c>
      <c r="I2">
        <f>BDH("ITXG US Equity","BS_LT_BORROW","1996-10-18","2001-10-18","Per=Y","Days=T","Dir=V")</f>
        <v>0</v>
      </c>
      <c r="K2">
        <f>BDH("ITXG US Equity","BS_CASH_NEAR_CASH_ITEM","1996-10-18","2001-10-18","Per=Y","Days=T","Dir=V")</f>
        <v>0</v>
      </c>
      <c r="M2">
        <f>BDH("ITXG US Equity","BS_CUR_ASSET_REPORT","1996-10-18","2001-10-18","Per=Y","Days=T","Dir=V")</f>
        <v>0</v>
      </c>
      <c r="O2">
        <f>BDH("ITXG US Equity","BS_CUR_LIAB","1996-10-18","2001-10-18","Per=Y","Days=T","Dir=V")</f>
        <v>0</v>
      </c>
      <c r="Q2">
        <f>BDH("ITXG US Equity","BS_SHAREHOLDER_EQY_ENDING_PERIOD","1996-10-18","2001-10-18","Per=Y","Days=T","Dir=V")</f>
        <v>0</v>
      </c>
      <c r="S2">
        <f>BDH("ITXG US Equity","BS_ACCT_NOTE_RCV","1996-10-18","2001-10-18","Per=Y","Days=T","Dir=V")</f>
        <v>0</v>
      </c>
      <c r="U2">
        <f>BDH("ITXG US Equity","BS_INVENTORIES","1996-10-18","2001-10-18","Per=Y","Days=T","Dir=V")</f>
        <v>0</v>
      </c>
      <c r="W2">
        <f>BDH("ITXG US Equity","WORKING_CAPITAL","1996-10-18","2001-10-18","Per=Y","Days=T","Dir=V")</f>
        <v>0</v>
      </c>
      <c r="Y2">
        <f>BDH("ITXG US Equity","SALES_REV_TURN","1996-10-18","2001-10-18","Per=Y","Days=T","Dir=V")</f>
        <v>0</v>
      </c>
      <c r="AA2">
        <f>BDH("ITXG US Equity","EBIT","1996-10-18","2001-10-18","Per=Y","Days=T","Dir=V")</f>
        <v>0</v>
      </c>
      <c r="AC2">
        <f>BDH("ITXG US Equity","EBITDA","1996-10-18","2001-10-18","Per=Y","Days=T","Dir=V")</f>
        <v>0</v>
      </c>
      <c r="AE2">
        <f>BDH("ITXG US Equity","NET_INCOME","1996-10-18","2001-10-18","Per=Y","Days=T","Dir=V")</f>
        <v>0</v>
      </c>
      <c r="AG2">
        <f>BDH("ITXG US Equity","IS_INT_EXPENSE","1996-10-18","2001-10-18","Per=Y","Days=T","Dir=V")</f>
        <v>0</v>
      </c>
      <c r="AI2">
        <f>BDH("ITXG US Equity","IS_DEPR_EXP","1996-10-18","2001-10-18","Per=Y","Days=T","Dir=V")</f>
        <v>0</v>
      </c>
      <c r="AK2">
        <f>BDH("ITXG US Equity","CF_CASH_FROM_OPER","1996-10-18","2001-10-18","Per=Y","Days=T","Dir=V")</f>
        <v>0</v>
      </c>
      <c r="AM2">
        <f>BDH("ITXG US Equity","CAPITAL_EXPEND","1996-10-18","2001-10-18","Per=Y","Days=T","Dir=V")</f>
        <v>0</v>
      </c>
      <c r="AO2">
        <f>BDH("ITXG US Equity","CF_FREE_CASH_FLOW","1996-10-18","2001-10-18","Per=Y","Days=T","Dir=V")</f>
        <v>0</v>
      </c>
      <c r="AQ2">
        <f>BDH("ITXG US Equity","PX_LAST","1996-10-18","2001-10-18","Per=M","Days=T","Dir=V")</f>
        <v>0</v>
      </c>
      <c r="AS2">
        <f>BDH("ITXG US Equity","CUR_MKT_CAP","1996-10-18","2001-10-18","Per=M","Days=T","Dir=V")</f>
        <v>0</v>
      </c>
      <c r="AU2">
        <f>BDH("ITXG US Equity","EQY_SH_OUT","1996-10-18","2001-10-18","Per=M","Days=T","Dir=V")</f>
        <v>0</v>
      </c>
      <c r="AW2">
        <f>BDH("ITXG US Equity","BETA_RAW_OVERRIABLE","1996-10-18","2001-10-18","Per=M","Days=T","Dir=V")</f>
        <v>0</v>
      </c>
      <c r="AY2">
        <f>BDH("ITXG US Equity","PX_VOLUME","1996-10-18","2001-10-18","Per=M","Days=T","Dir=V")</f>
        <v>0</v>
      </c>
      <c r="BA2">
        <f>BDH("ITXG US Equity","TURNOVER","1996-10-18","2001-10-18","Per=M","Days=T","Dir=V")</f>
        <v>0</v>
      </c>
      <c r="BC2">
        <f>BDH("ITXG US Equity","SPREAD_BA_CR","1996-10-18","2001-10-18","Per=M","Days=T","Dir=V")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BDH("VRDOQ US Equity","BS_TOT_ASSET","1996-11-17","2001-11-17","Per=Y","Days=T","Dir=V")</f>
        <v>0</v>
      </c>
      <c r="C2">
        <f>BDH("VRDOQ US Equity","BS_TOT_LIAB2","1996-11-17","2001-11-17","Per=Y","Days=T","Dir=V")</f>
        <v>0</v>
      </c>
      <c r="E2">
        <f>BDH("VRDOQ US Equity","SHORT_AND_LONG_TERM_DEBT","1996-11-17","2001-11-17","Per=Y","Days=T","Dir=V")</f>
        <v>0</v>
      </c>
      <c r="G2">
        <f>BDH("VRDOQ US Equity","BS_ST_BORROW","1996-11-17","2001-11-17","Per=Y","Days=T","Dir=V")</f>
        <v>0</v>
      </c>
      <c r="I2">
        <f>BDH("VRDOQ US Equity","BS_LT_BORROW","1996-11-17","2001-11-17","Per=Y","Days=T","Dir=V")</f>
        <v>0</v>
      </c>
      <c r="K2">
        <f>BDH("VRDOQ US Equity","BS_CASH_NEAR_CASH_ITEM","1996-11-17","2001-11-17","Per=Y","Days=T","Dir=V")</f>
        <v>0</v>
      </c>
      <c r="M2">
        <f>BDH("VRDOQ US Equity","BS_CUR_ASSET_REPORT","1996-11-17","2001-11-17","Per=Y","Days=T","Dir=V")</f>
        <v>0</v>
      </c>
      <c r="O2">
        <f>BDH("VRDOQ US Equity","BS_CUR_LIAB","1996-11-17","2001-11-17","Per=Y","Days=T","Dir=V")</f>
        <v>0</v>
      </c>
      <c r="Q2">
        <f>BDH("VRDOQ US Equity","BS_SHAREHOLDER_EQY_ENDING_PERIOD","1996-11-17","2001-11-17","Per=Y","Days=T","Dir=V")</f>
        <v>0</v>
      </c>
      <c r="S2">
        <f>BDH("VRDOQ US Equity","BS_ACCT_NOTE_RCV","1996-11-17","2001-11-17","Per=Y","Days=T","Dir=V")</f>
        <v>0</v>
      </c>
      <c r="U2">
        <f>BDH("VRDOQ US Equity","BS_INVENTORIES","1996-11-17","2001-11-17","Per=Y","Days=T","Dir=V")</f>
        <v>0</v>
      </c>
      <c r="W2">
        <f>BDH("VRDOQ US Equity","WORKING_CAPITAL","1996-11-17","2001-11-17","Per=Y","Days=T","Dir=V")</f>
        <v>0</v>
      </c>
      <c r="Y2">
        <f>BDH("VRDOQ US Equity","SALES_REV_TURN","1996-11-17","2001-11-17","Per=Y","Days=T","Dir=V")</f>
        <v>0</v>
      </c>
      <c r="AA2">
        <f>BDH("VRDOQ US Equity","EBIT","1996-11-17","2001-11-17","Per=Y","Days=T","Dir=V")</f>
        <v>0</v>
      </c>
      <c r="AC2">
        <f>BDH("VRDOQ US Equity","EBITDA","1996-11-17","2001-11-17","Per=Y","Days=T","Dir=V")</f>
        <v>0</v>
      </c>
      <c r="AE2">
        <f>BDH("VRDOQ US Equity","NET_INCOME","1996-11-17","2001-11-17","Per=Y","Days=T","Dir=V")</f>
        <v>0</v>
      </c>
      <c r="AG2">
        <f>BDH("VRDOQ US Equity","IS_INT_EXPENSE","1996-11-17","2001-11-17","Per=Y","Days=T","Dir=V")</f>
        <v>0</v>
      </c>
      <c r="AI2">
        <f>BDH("VRDOQ US Equity","IS_DEPR_EXP","1996-11-17","2001-11-17","Per=Y","Days=T","Dir=V")</f>
        <v>0</v>
      </c>
      <c r="AK2">
        <f>BDH("VRDOQ US Equity","CF_CASH_FROM_OPER","1996-11-17","2001-11-17","Per=Y","Days=T","Dir=V")</f>
        <v>0</v>
      </c>
      <c r="AM2">
        <f>BDH("VRDOQ US Equity","CAPITAL_EXPEND","1996-11-17","2001-11-17","Per=Y","Days=T","Dir=V")</f>
        <v>0</v>
      </c>
      <c r="AO2">
        <f>BDH("VRDOQ US Equity","CF_FREE_CASH_FLOW","1996-11-17","2001-11-17","Per=Y","Days=T","Dir=V")</f>
        <v>0</v>
      </c>
      <c r="AQ2">
        <f>BDH("VRDOQ US Equity","PX_LAST","1996-11-17","2001-11-17","Per=M","Days=T","Dir=V")</f>
        <v>0</v>
      </c>
      <c r="AS2">
        <f>BDH("VRDOQ US Equity","CUR_MKT_CAP","1996-11-17","2001-11-17","Per=M","Days=T","Dir=V")</f>
        <v>0</v>
      </c>
      <c r="AU2">
        <f>BDH("VRDOQ US Equity","EQY_SH_OUT","1996-11-17","2001-11-17","Per=M","Days=T","Dir=V")</f>
        <v>0</v>
      </c>
      <c r="AW2">
        <f>BDH("VRDOQ US Equity","BETA_RAW_OVERRIABLE","1996-11-17","2001-11-17","Per=M","Days=T","Dir=V")</f>
        <v>0</v>
      </c>
      <c r="AY2">
        <f>BDH("VRDOQ US Equity","PX_VOLUME","1996-11-17","2001-11-17","Per=M","Days=T","Dir=V")</f>
        <v>0</v>
      </c>
      <c r="BA2">
        <f>BDH("VRDOQ US Equity","TURNOVER","1996-11-17","2001-11-17","Per=M","Days=T","Dir=V")</f>
        <v>0</v>
      </c>
      <c r="BC2">
        <f>BDH("VRDOQ US Equity","SPREAD_BA_CR","1996-11-17","2001-11-17","Per=M","Days=T","Dir=V")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BDH("KELLQ US Equity","BS_TOT_ASSET","1996-11-22","2001-11-22","Per=Y","Days=T","Dir=V")</f>
        <v>0</v>
      </c>
      <c r="C2">
        <f>BDH("KELLQ US Equity","BS_TOT_LIAB2","1996-11-22","2001-11-22","Per=Y","Days=T","Dir=V")</f>
        <v>0</v>
      </c>
      <c r="E2">
        <f>BDH("KELLQ US Equity","SHORT_AND_LONG_TERM_DEBT","1996-11-22","2001-11-22","Per=Y","Days=T","Dir=V")</f>
        <v>0</v>
      </c>
      <c r="G2">
        <f>BDH("KELLQ US Equity","BS_ST_BORROW","1996-11-22","2001-11-22","Per=Y","Days=T","Dir=V")</f>
        <v>0</v>
      </c>
      <c r="I2">
        <f>BDH("KELLQ US Equity","BS_LT_BORROW","1996-11-22","2001-11-22","Per=Y","Days=T","Dir=V")</f>
        <v>0</v>
      </c>
      <c r="K2">
        <f>BDH("KELLQ US Equity","BS_CASH_NEAR_CASH_ITEM","1996-11-22","2001-11-22","Per=Y","Days=T","Dir=V")</f>
        <v>0</v>
      </c>
      <c r="M2">
        <f>BDH("KELLQ US Equity","BS_CUR_ASSET_REPORT","1996-11-22","2001-11-22","Per=Y","Days=T","Dir=V")</f>
        <v>0</v>
      </c>
      <c r="O2">
        <f>BDH("KELLQ US Equity","BS_CUR_LIAB","1996-11-22","2001-11-22","Per=Y","Days=T","Dir=V")</f>
        <v>0</v>
      </c>
      <c r="Q2">
        <f>BDH("KELLQ US Equity","BS_SHAREHOLDER_EQY_ENDING_PERIOD","1996-11-22","2001-11-22","Per=Y","Days=T","Dir=V")</f>
        <v>0</v>
      </c>
      <c r="S2">
        <f>BDH("KELLQ US Equity","BS_ACCT_NOTE_RCV","1996-11-22","2001-11-22","Per=Y","Days=T","Dir=V")</f>
        <v>0</v>
      </c>
      <c r="U2">
        <f>BDH("KELLQ US Equity","BS_INVENTORIES","1996-11-22","2001-11-22","Per=Y","Days=T","Dir=V")</f>
        <v>0</v>
      </c>
      <c r="W2">
        <f>BDH("KELLQ US Equity","WORKING_CAPITAL","1996-11-22","2001-11-22","Per=Y","Days=T","Dir=V")</f>
        <v>0</v>
      </c>
      <c r="Y2">
        <f>BDH("KELLQ US Equity","SALES_REV_TURN","1996-11-22","2001-11-22","Per=Y","Days=T","Dir=V")</f>
        <v>0</v>
      </c>
      <c r="AA2">
        <f>BDH("KELLQ US Equity","EBIT","1996-11-22","2001-11-22","Per=Y","Days=T","Dir=V")</f>
        <v>0</v>
      </c>
      <c r="AC2">
        <f>BDH("KELLQ US Equity","EBITDA","1996-11-22","2001-11-22","Per=Y","Days=T","Dir=V")</f>
        <v>0</v>
      </c>
      <c r="AE2">
        <f>BDH("KELLQ US Equity","NET_INCOME","1996-11-22","2001-11-22","Per=Y","Days=T","Dir=V")</f>
        <v>0</v>
      </c>
      <c r="AG2">
        <f>BDH("KELLQ US Equity","IS_INT_EXPENSE","1996-11-22","2001-11-22","Per=Y","Days=T","Dir=V")</f>
        <v>0</v>
      </c>
      <c r="AI2">
        <f>BDH("KELLQ US Equity","IS_DEPR_EXP","1996-11-22","2001-11-22","Per=Y","Days=T","Dir=V")</f>
        <v>0</v>
      </c>
      <c r="AK2">
        <f>BDH("KELLQ US Equity","CF_CASH_FROM_OPER","1996-11-22","2001-11-22","Per=Y","Days=T","Dir=V")</f>
        <v>0</v>
      </c>
      <c r="AM2">
        <f>BDH("KELLQ US Equity","CAPITAL_EXPEND","1996-11-22","2001-11-22","Per=Y","Days=T","Dir=V")</f>
        <v>0</v>
      </c>
      <c r="AO2">
        <f>BDH("KELLQ US Equity","CF_FREE_CASH_FLOW","1996-11-22","2001-11-22","Per=Y","Days=T","Dir=V")</f>
        <v>0</v>
      </c>
      <c r="AQ2">
        <f>BDH("KELLQ US Equity","PX_LAST","1996-11-22","2001-11-22","Per=M","Days=T","Dir=V")</f>
        <v>0</v>
      </c>
      <c r="AS2">
        <f>BDH("KELLQ US Equity","CUR_MKT_CAP","1996-11-22","2001-11-22","Per=M","Days=T","Dir=V")</f>
        <v>0</v>
      </c>
      <c r="AU2">
        <f>BDH("KELLQ US Equity","EQY_SH_OUT","1996-11-22","2001-11-22","Per=M","Days=T","Dir=V")</f>
        <v>0</v>
      </c>
      <c r="AW2">
        <f>BDH("KELLQ US Equity","BETA_RAW_OVERRIABLE","1996-11-22","2001-11-22","Per=M","Days=T","Dir=V")</f>
        <v>0</v>
      </c>
      <c r="AY2">
        <f>BDH("KELLQ US Equity","PX_VOLUME","1996-11-22","2001-11-22","Per=M","Days=T","Dir=V")</f>
        <v>0</v>
      </c>
      <c r="BA2">
        <f>BDH("KELLQ US Equity","TURNOVER","1996-11-22","2001-11-22","Per=M","Days=T","Dir=V")</f>
        <v>0</v>
      </c>
      <c r="BC2">
        <f>BDH("KELLQ US Equity","SPREAD_BA_CR","1996-11-22","2001-11-22","Per=M","Days=T","Dir=V")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BDH("NSTLQ US Equity","BS_TOT_ASSET","1996-12-06","2001-12-06","Per=Y","Days=T","Dir=V")</f>
        <v>0</v>
      </c>
      <c r="C2">
        <f>BDH("NSTLQ US Equity","BS_TOT_LIAB2","1996-12-06","2001-12-06","Per=Y","Days=T","Dir=V")</f>
        <v>0</v>
      </c>
      <c r="E2">
        <f>BDH("NSTLQ US Equity","SHORT_AND_LONG_TERM_DEBT","1996-12-06","2001-12-06","Per=Y","Days=T","Dir=V")</f>
        <v>0</v>
      </c>
      <c r="G2">
        <f>BDH("NSTLQ US Equity","BS_ST_BORROW","1996-12-06","2001-12-06","Per=Y","Days=T","Dir=V")</f>
        <v>0</v>
      </c>
      <c r="I2">
        <f>BDH("NSTLQ US Equity","BS_LT_BORROW","1996-12-06","2001-12-06","Per=Y","Days=T","Dir=V")</f>
        <v>0</v>
      </c>
      <c r="K2">
        <f>BDH("NSTLQ US Equity","BS_CASH_NEAR_CASH_ITEM","1996-12-06","2001-12-06","Per=Y","Days=T","Dir=V")</f>
        <v>0</v>
      </c>
      <c r="M2">
        <f>BDH("NSTLQ US Equity","BS_CUR_ASSET_REPORT","1996-12-06","2001-12-06","Per=Y","Days=T","Dir=V")</f>
        <v>0</v>
      </c>
      <c r="O2">
        <f>BDH("NSTLQ US Equity","BS_CUR_LIAB","1996-12-06","2001-12-06","Per=Y","Days=T","Dir=V")</f>
        <v>0</v>
      </c>
      <c r="Q2">
        <f>BDH("NSTLQ US Equity","BS_SHAREHOLDER_EQY_ENDING_PERIOD","1996-12-06","2001-12-06","Per=Y","Days=T","Dir=V")</f>
        <v>0</v>
      </c>
      <c r="S2">
        <f>BDH("NSTLQ US Equity","BS_ACCT_NOTE_RCV","1996-12-06","2001-12-06","Per=Y","Days=T","Dir=V")</f>
        <v>0</v>
      </c>
      <c r="U2">
        <f>BDH("NSTLQ US Equity","BS_INVENTORIES","1996-12-06","2001-12-06","Per=Y","Days=T","Dir=V")</f>
        <v>0</v>
      </c>
      <c r="W2">
        <f>BDH("NSTLQ US Equity","WORKING_CAPITAL","1996-12-06","2001-12-06","Per=Y","Days=T","Dir=V")</f>
        <v>0</v>
      </c>
      <c r="Y2">
        <f>BDH("NSTLQ US Equity","SALES_REV_TURN","1996-12-06","2001-12-06","Per=Y","Days=T","Dir=V")</f>
        <v>0</v>
      </c>
      <c r="AA2">
        <f>BDH("NSTLQ US Equity","EBIT","1996-12-06","2001-12-06","Per=Y","Days=T","Dir=V")</f>
        <v>0</v>
      </c>
      <c r="AC2">
        <f>BDH("NSTLQ US Equity","EBITDA","1996-12-06","2001-12-06","Per=Y","Days=T","Dir=V")</f>
        <v>0</v>
      </c>
      <c r="AE2">
        <f>BDH("NSTLQ US Equity","NET_INCOME","1996-12-06","2001-12-06","Per=Y","Days=T","Dir=V")</f>
        <v>0</v>
      </c>
      <c r="AG2">
        <f>BDH("NSTLQ US Equity","IS_INT_EXPENSE","1996-12-06","2001-12-06","Per=Y","Days=T","Dir=V")</f>
        <v>0</v>
      </c>
      <c r="AI2">
        <f>BDH("NSTLQ US Equity","IS_DEPR_EXP","1996-12-06","2001-12-06","Per=Y","Days=T","Dir=V")</f>
        <v>0</v>
      </c>
      <c r="AK2">
        <f>BDH("NSTLQ US Equity","CF_CASH_FROM_OPER","1996-12-06","2001-12-06","Per=Y","Days=T","Dir=V")</f>
        <v>0</v>
      </c>
      <c r="AM2">
        <f>BDH("NSTLQ US Equity","CAPITAL_EXPEND","1996-12-06","2001-12-06","Per=Y","Days=T","Dir=V")</f>
        <v>0</v>
      </c>
      <c r="AO2">
        <f>BDH("NSTLQ US Equity","CF_FREE_CASH_FLOW","1996-12-06","2001-12-06","Per=Y","Days=T","Dir=V")</f>
        <v>0</v>
      </c>
      <c r="AQ2">
        <f>BDH("NSTLQ US Equity","PX_LAST","1996-12-06","2001-12-06","Per=M","Days=T","Dir=V")</f>
        <v>0</v>
      </c>
      <c r="AS2">
        <f>BDH("NSTLQ US Equity","CUR_MKT_CAP","1996-12-06","2001-12-06","Per=M","Days=T","Dir=V")</f>
        <v>0</v>
      </c>
      <c r="AU2">
        <f>BDH("NSTLQ US Equity","EQY_SH_OUT","1996-12-06","2001-12-06","Per=M","Days=T","Dir=V")</f>
        <v>0</v>
      </c>
      <c r="AW2">
        <f>BDH("NSTLQ US Equity","BETA_RAW_OVERRIABLE","1996-12-06","2001-12-06","Per=M","Days=T","Dir=V")</f>
        <v>0</v>
      </c>
      <c r="AY2">
        <f>BDH("NSTLQ US Equity","PX_VOLUME","1996-12-06","2001-12-06","Per=M","Days=T","Dir=V")</f>
        <v>0</v>
      </c>
      <c r="BA2">
        <f>BDH("NSTLQ US Equity","TURNOVER","1996-12-06","2001-12-06","Per=M","Days=T","Dir=V")</f>
        <v>0</v>
      </c>
      <c r="BC2">
        <f>BDH("NSTLQ US Equity","SPREAD_BA_CR","1996-12-06","2001-12-06","Per=M","Days=T","Dir=V")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BDH("AGATQ US Equity","BS_TOT_ASSET","1996-12-11","2001-12-11","Per=Y","Days=T","Dir=V")</f>
        <v>0</v>
      </c>
      <c r="C2">
        <f>BDH("AGATQ US Equity","BS_TOT_LIAB2","1996-12-11","2001-12-11","Per=Y","Days=T","Dir=V")</f>
        <v>0</v>
      </c>
      <c r="E2">
        <f>BDH("AGATQ US Equity","SHORT_AND_LONG_TERM_DEBT","1996-12-11","2001-12-11","Per=Y","Days=T","Dir=V")</f>
        <v>0</v>
      </c>
      <c r="G2">
        <f>BDH("AGATQ US Equity","BS_ST_BORROW","1996-12-11","2001-12-11","Per=Y","Days=T","Dir=V")</f>
        <v>0</v>
      </c>
      <c r="I2">
        <f>BDH("AGATQ US Equity","BS_LT_BORROW","1996-12-11","2001-12-11","Per=Y","Days=T","Dir=V")</f>
        <v>0</v>
      </c>
      <c r="K2">
        <f>BDH("AGATQ US Equity","BS_CASH_NEAR_CASH_ITEM","1996-12-11","2001-12-11","Per=Y","Days=T","Dir=V")</f>
        <v>0</v>
      </c>
      <c r="M2">
        <f>BDH("AGATQ US Equity","BS_CUR_ASSET_REPORT","1996-12-11","2001-12-11","Per=Y","Days=T","Dir=V")</f>
        <v>0</v>
      </c>
      <c r="O2">
        <f>BDH("AGATQ US Equity","BS_CUR_LIAB","1996-12-11","2001-12-11","Per=Y","Days=T","Dir=V")</f>
        <v>0</v>
      </c>
      <c r="Q2">
        <f>BDH("AGATQ US Equity","BS_SHAREHOLDER_EQY_ENDING_PERIOD","1996-12-11","2001-12-11","Per=Y","Days=T","Dir=V")</f>
        <v>0</v>
      </c>
      <c r="S2">
        <f>BDH("AGATQ US Equity","BS_ACCT_NOTE_RCV","1996-12-11","2001-12-11","Per=Y","Days=T","Dir=V")</f>
        <v>0</v>
      </c>
      <c r="U2">
        <f>BDH("AGATQ US Equity","BS_INVENTORIES","1996-12-11","2001-12-11","Per=Y","Days=T","Dir=V")</f>
        <v>0</v>
      </c>
      <c r="W2">
        <f>BDH("AGATQ US Equity","WORKING_CAPITAL","1996-12-11","2001-12-11","Per=Y","Days=T","Dir=V")</f>
        <v>0</v>
      </c>
      <c r="Y2">
        <f>BDH("AGATQ US Equity","SALES_REV_TURN","1996-12-11","2001-12-11","Per=Y","Days=T","Dir=V")</f>
        <v>0</v>
      </c>
      <c r="AA2">
        <f>BDH("AGATQ US Equity","EBIT","1996-12-11","2001-12-11","Per=Y","Days=T","Dir=V")</f>
        <v>0</v>
      </c>
      <c r="AC2">
        <f>BDH("AGATQ US Equity","EBITDA","1996-12-11","2001-12-11","Per=Y","Days=T","Dir=V")</f>
        <v>0</v>
      </c>
      <c r="AE2">
        <f>BDH("AGATQ US Equity","NET_INCOME","1996-12-11","2001-12-11","Per=Y","Days=T","Dir=V")</f>
        <v>0</v>
      </c>
      <c r="AG2">
        <f>BDH("AGATQ US Equity","IS_INT_EXPENSE","1996-12-11","2001-12-11","Per=Y","Days=T","Dir=V")</f>
        <v>0</v>
      </c>
      <c r="AI2">
        <f>BDH("AGATQ US Equity","IS_DEPR_EXP","1996-12-11","2001-12-11","Per=Y","Days=T","Dir=V")</f>
        <v>0</v>
      </c>
      <c r="AK2">
        <f>BDH("AGATQ US Equity","CF_CASH_FROM_OPER","1996-12-11","2001-12-11","Per=Y","Days=T","Dir=V")</f>
        <v>0</v>
      </c>
      <c r="AM2">
        <f>BDH("AGATQ US Equity","CAPITAL_EXPEND","1996-12-11","2001-12-11","Per=Y","Days=T","Dir=V")</f>
        <v>0</v>
      </c>
      <c r="AO2">
        <f>BDH("AGATQ US Equity","CF_FREE_CASH_FLOW","1996-12-11","2001-12-11","Per=Y","Days=T","Dir=V")</f>
        <v>0</v>
      </c>
      <c r="AQ2">
        <f>BDH("AGATQ US Equity","PX_LAST","1996-12-11","2001-12-11","Per=M","Days=T","Dir=V")</f>
        <v>0</v>
      </c>
      <c r="AS2">
        <f>BDH("AGATQ US Equity","CUR_MKT_CAP","1996-12-11","2001-12-11","Per=M","Days=T","Dir=V")</f>
        <v>0</v>
      </c>
      <c r="AU2">
        <f>BDH("AGATQ US Equity","EQY_SH_OUT","1996-12-11","2001-12-11","Per=M","Days=T","Dir=V")</f>
        <v>0</v>
      </c>
      <c r="AW2">
        <f>BDH("AGATQ US Equity","BETA_RAW_OVERRIABLE","1996-12-11","2001-12-11","Per=M","Days=T","Dir=V")</f>
        <v>0</v>
      </c>
      <c r="AY2">
        <f>BDH("AGATQ US Equity","PX_VOLUME","1996-12-11","2001-12-11","Per=M","Days=T","Dir=V")</f>
        <v>0</v>
      </c>
      <c r="BA2">
        <f>BDH("AGATQ US Equity","TURNOVER","1996-12-11","2001-12-11","Per=M","Days=T","Dir=V")</f>
        <v>0</v>
      </c>
      <c r="BC2">
        <f>BDH("AGATQ US Equity","SPREAD_BA_CR","1996-12-11","2001-12-11","Per=M","Days=T","Dir=V")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BDH("237002Q US Equity","BS_TOT_ASSET","1997-01-15","2002-01-15","Per=Y","Days=T","Dir=V")</f>
        <v>0</v>
      </c>
      <c r="C2">
        <f>BDH("237002Q US Equity","BS_TOT_LIAB2","1997-01-15","2002-01-15","Per=Y","Days=T","Dir=V")</f>
        <v>0</v>
      </c>
      <c r="E2">
        <f>BDH("237002Q US Equity","SHORT_AND_LONG_TERM_DEBT","1997-01-15","2002-01-15","Per=Y","Days=T","Dir=V")</f>
        <v>0</v>
      </c>
      <c r="G2">
        <f>BDH("237002Q US Equity","BS_ST_BORROW","1997-01-15","2002-01-15","Per=Y","Days=T","Dir=V")</f>
        <v>0</v>
      </c>
      <c r="I2">
        <f>BDH("237002Q US Equity","BS_LT_BORROW","1997-01-15","2002-01-15","Per=Y","Days=T","Dir=V")</f>
        <v>0</v>
      </c>
      <c r="K2">
        <f>BDH("237002Q US Equity","BS_CASH_NEAR_CASH_ITEM","1997-01-15","2002-01-15","Per=Y","Days=T","Dir=V")</f>
        <v>0</v>
      </c>
      <c r="M2">
        <f>BDH("237002Q US Equity","BS_CUR_ASSET_REPORT","1997-01-15","2002-01-15","Per=Y","Days=T","Dir=V")</f>
        <v>0</v>
      </c>
      <c r="O2">
        <f>BDH("237002Q US Equity","BS_CUR_LIAB","1997-01-15","2002-01-15","Per=Y","Days=T","Dir=V")</f>
        <v>0</v>
      </c>
      <c r="Q2">
        <f>BDH("237002Q US Equity","BS_SHAREHOLDER_EQY_ENDING_PERIOD","1997-01-15","2002-01-15","Per=Y","Days=T","Dir=V")</f>
        <v>0</v>
      </c>
      <c r="S2">
        <f>BDH("237002Q US Equity","BS_ACCT_NOTE_RCV","1997-01-15","2002-01-15","Per=Y","Days=T","Dir=V")</f>
        <v>0</v>
      </c>
      <c r="U2">
        <f>BDH("237002Q US Equity","BS_INVENTORIES","1997-01-15","2002-01-15","Per=Y","Days=T","Dir=V")</f>
        <v>0</v>
      </c>
      <c r="W2">
        <f>BDH("237002Q US Equity","WORKING_CAPITAL","1997-01-15","2002-01-15","Per=Y","Days=T","Dir=V")</f>
        <v>0</v>
      </c>
      <c r="Y2">
        <f>BDH("237002Q US Equity","SALES_REV_TURN","1997-01-15","2002-01-15","Per=Y","Days=T","Dir=V")</f>
        <v>0</v>
      </c>
      <c r="AA2">
        <f>BDH("237002Q US Equity","EBIT","1997-01-15","2002-01-15","Per=Y","Days=T","Dir=V")</f>
        <v>0</v>
      </c>
      <c r="AC2">
        <f>BDH("237002Q US Equity","EBITDA","1997-01-15","2002-01-15","Per=Y","Days=T","Dir=V")</f>
        <v>0</v>
      </c>
      <c r="AE2">
        <f>BDH("237002Q US Equity","NET_INCOME","1997-01-15","2002-01-15","Per=Y","Days=T","Dir=V")</f>
        <v>0</v>
      </c>
      <c r="AG2">
        <f>BDH("237002Q US Equity","IS_INT_EXPENSE","1997-01-15","2002-01-15","Per=Y","Days=T","Dir=V")</f>
        <v>0</v>
      </c>
      <c r="AI2">
        <f>BDH("237002Q US Equity","IS_DEPR_EXP","1997-01-15","2002-01-15","Per=Y","Days=T","Dir=V")</f>
        <v>0</v>
      </c>
      <c r="AK2">
        <f>BDH("237002Q US Equity","CF_CASH_FROM_OPER","1997-01-15","2002-01-15","Per=Y","Days=T","Dir=V")</f>
        <v>0</v>
      </c>
      <c r="AM2">
        <f>BDH("237002Q US Equity","CAPITAL_EXPEND","1997-01-15","2002-01-15","Per=Y","Days=T","Dir=V")</f>
        <v>0</v>
      </c>
      <c r="AO2">
        <f>BDH("237002Q US Equity","CF_FREE_CASH_FLOW","1997-01-15","2002-01-15","Per=Y","Days=T","Dir=V")</f>
        <v>0</v>
      </c>
      <c r="AQ2">
        <f>BDH("237002Q US Equity","PX_LAST","1997-01-15","2002-01-15","Per=M","Days=T","Dir=V")</f>
        <v>0</v>
      </c>
      <c r="AS2">
        <f>BDH("237002Q US Equity","CUR_MKT_CAP","1997-01-15","2002-01-15","Per=M","Days=T","Dir=V")</f>
        <v>0</v>
      </c>
      <c r="AU2">
        <f>BDH("237002Q US Equity","EQY_SH_OUT","1997-01-15","2002-01-15","Per=M","Days=T","Dir=V")</f>
        <v>0</v>
      </c>
      <c r="AW2">
        <f>BDH("237002Q US Equity","BETA_RAW_OVERRIABLE","1997-01-15","2002-01-15","Per=M","Days=T","Dir=V")</f>
        <v>0</v>
      </c>
      <c r="AY2">
        <f>BDH("237002Q US Equity","PX_VOLUME","1997-01-15","2002-01-15","Per=M","Days=T","Dir=V")</f>
        <v>0</v>
      </c>
      <c r="BA2">
        <f>BDH("237002Q US Equity","TURNOVER","1997-01-15","2002-01-15","Per=M","Days=T","Dir=V")</f>
        <v>0</v>
      </c>
      <c r="BC2">
        <f>BDH("237002Q US Equity","SPREAD_BA_CR","1997-01-15","2002-01-15","Per=M","Days=T","Dir=V")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BDH("MFNXQ US Equity","BS_TOT_ASSET","1997-02-19","2002-02-19","Per=Y","Days=T","Dir=V")</f>
        <v>0</v>
      </c>
      <c r="C2">
        <f>BDH("MFNXQ US Equity","BS_TOT_LIAB2","1997-02-19","2002-02-19","Per=Y","Days=T","Dir=V")</f>
        <v>0</v>
      </c>
      <c r="E2">
        <f>BDH("MFNXQ US Equity","SHORT_AND_LONG_TERM_DEBT","1997-02-19","2002-02-19","Per=Y","Days=T","Dir=V")</f>
        <v>0</v>
      </c>
      <c r="G2">
        <f>BDH("MFNXQ US Equity","BS_ST_BORROW","1997-02-19","2002-02-19","Per=Y","Days=T","Dir=V")</f>
        <v>0</v>
      </c>
      <c r="I2">
        <f>BDH("MFNXQ US Equity","BS_LT_BORROW","1997-02-19","2002-02-19","Per=Y","Days=T","Dir=V")</f>
        <v>0</v>
      </c>
      <c r="K2">
        <f>BDH("MFNXQ US Equity","BS_CASH_NEAR_CASH_ITEM","1997-02-19","2002-02-19","Per=Y","Days=T","Dir=V")</f>
        <v>0</v>
      </c>
      <c r="M2">
        <f>BDH("MFNXQ US Equity","BS_CUR_ASSET_REPORT","1997-02-19","2002-02-19","Per=Y","Days=T","Dir=V")</f>
        <v>0</v>
      </c>
      <c r="O2">
        <f>BDH("MFNXQ US Equity","BS_CUR_LIAB","1997-02-19","2002-02-19","Per=Y","Days=T","Dir=V")</f>
        <v>0</v>
      </c>
      <c r="Q2">
        <f>BDH("MFNXQ US Equity","BS_SHAREHOLDER_EQY_ENDING_PERIOD","1997-02-19","2002-02-19","Per=Y","Days=T","Dir=V")</f>
        <v>0</v>
      </c>
      <c r="S2">
        <f>BDH("MFNXQ US Equity","BS_ACCT_NOTE_RCV","1997-02-19","2002-02-19","Per=Y","Days=T","Dir=V")</f>
        <v>0</v>
      </c>
      <c r="U2">
        <f>BDH("MFNXQ US Equity","BS_INVENTORIES","1997-02-19","2002-02-19","Per=Y","Days=T","Dir=V")</f>
        <v>0</v>
      </c>
      <c r="W2">
        <f>BDH("MFNXQ US Equity","WORKING_CAPITAL","1997-02-19","2002-02-19","Per=Y","Days=T","Dir=V")</f>
        <v>0</v>
      </c>
      <c r="Y2">
        <f>BDH("MFNXQ US Equity","SALES_REV_TURN","1997-02-19","2002-02-19","Per=Y","Days=T","Dir=V")</f>
        <v>0</v>
      </c>
      <c r="AA2">
        <f>BDH("MFNXQ US Equity","EBIT","1997-02-19","2002-02-19","Per=Y","Days=T","Dir=V")</f>
        <v>0</v>
      </c>
      <c r="AC2">
        <f>BDH("MFNXQ US Equity","EBITDA","1997-02-19","2002-02-19","Per=Y","Days=T","Dir=V")</f>
        <v>0</v>
      </c>
      <c r="AE2">
        <f>BDH("MFNXQ US Equity","NET_INCOME","1997-02-19","2002-02-19","Per=Y","Days=T","Dir=V")</f>
        <v>0</v>
      </c>
      <c r="AG2">
        <f>BDH("MFNXQ US Equity","IS_INT_EXPENSE","1997-02-19","2002-02-19","Per=Y","Days=T","Dir=V")</f>
        <v>0</v>
      </c>
      <c r="AI2">
        <f>BDH("MFNXQ US Equity","IS_DEPR_EXP","1997-02-19","2002-02-19","Per=Y","Days=T","Dir=V")</f>
        <v>0</v>
      </c>
      <c r="AK2">
        <f>BDH("MFNXQ US Equity","CF_CASH_FROM_OPER","1997-02-19","2002-02-19","Per=Y","Days=T","Dir=V")</f>
        <v>0</v>
      </c>
      <c r="AM2">
        <f>BDH("MFNXQ US Equity","CAPITAL_EXPEND","1997-02-19","2002-02-19","Per=Y","Days=T","Dir=V")</f>
        <v>0</v>
      </c>
      <c r="AO2">
        <f>BDH("MFNXQ US Equity","CF_FREE_CASH_FLOW","1997-02-19","2002-02-19","Per=Y","Days=T","Dir=V")</f>
        <v>0</v>
      </c>
      <c r="AQ2">
        <f>BDH("MFNXQ US Equity","PX_LAST","1997-02-19","2002-02-19","Per=M","Days=T","Dir=V")</f>
        <v>0</v>
      </c>
      <c r="AS2">
        <f>BDH("MFNXQ US Equity","CUR_MKT_CAP","1997-02-19","2002-02-19","Per=M","Days=T","Dir=V")</f>
        <v>0</v>
      </c>
      <c r="AU2">
        <f>BDH("MFNXQ US Equity","EQY_SH_OUT","1997-02-19","2002-02-19","Per=M","Days=T","Dir=V")</f>
        <v>0</v>
      </c>
      <c r="AW2">
        <f>BDH("MFNXQ US Equity","BETA_RAW_OVERRIABLE","1997-02-19","2002-02-19","Per=M","Days=T","Dir=V")</f>
        <v>0</v>
      </c>
      <c r="AY2">
        <f>BDH("MFNXQ US Equity","PX_VOLUME","1997-02-19","2002-02-19","Per=M","Days=T","Dir=V")</f>
        <v>0</v>
      </c>
      <c r="BA2">
        <f>BDH("MFNXQ US Equity","TURNOVER","1997-02-19","2002-02-19","Per=M","Days=T","Dir=V")</f>
        <v>0</v>
      </c>
      <c r="BC2">
        <f>BDH("MFNXQ US Equity","SPREAD_BA_CR","1997-02-19","2002-02-19","Per=M","Days=T","Dir=V")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BDH("PTACQ US Equity","BS_TOT_ASSET","1997-02-22","2002-02-22","Per=Y","Days=T","Dir=V")</f>
        <v>0</v>
      </c>
      <c r="C2">
        <f>BDH("PTACQ US Equity","BS_TOT_LIAB2","1997-02-22","2002-02-22","Per=Y","Days=T","Dir=V")</f>
        <v>0</v>
      </c>
      <c r="E2">
        <f>BDH("PTACQ US Equity","SHORT_AND_LONG_TERM_DEBT","1997-02-22","2002-02-22","Per=Y","Days=T","Dir=V")</f>
        <v>0</v>
      </c>
      <c r="G2">
        <f>BDH("PTACQ US Equity","BS_ST_BORROW","1997-02-22","2002-02-22","Per=Y","Days=T","Dir=V")</f>
        <v>0</v>
      </c>
      <c r="I2">
        <f>BDH("PTACQ US Equity","BS_LT_BORROW","1997-02-22","2002-02-22","Per=Y","Days=T","Dir=V")</f>
        <v>0</v>
      </c>
      <c r="K2">
        <f>BDH("PTACQ US Equity","BS_CASH_NEAR_CASH_ITEM","1997-02-22","2002-02-22","Per=Y","Days=T","Dir=V")</f>
        <v>0</v>
      </c>
      <c r="M2">
        <f>BDH("PTACQ US Equity","BS_CUR_ASSET_REPORT","1997-02-22","2002-02-22","Per=Y","Days=T","Dir=V")</f>
        <v>0</v>
      </c>
      <c r="O2">
        <f>BDH("PTACQ US Equity","BS_CUR_LIAB","1997-02-22","2002-02-22","Per=Y","Days=T","Dir=V")</f>
        <v>0</v>
      </c>
      <c r="Q2">
        <f>BDH("PTACQ US Equity","BS_SHAREHOLDER_EQY_ENDING_PERIOD","1997-02-22","2002-02-22","Per=Y","Days=T","Dir=V")</f>
        <v>0</v>
      </c>
      <c r="S2">
        <f>BDH("PTACQ US Equity","BS_ACCT_NOTE_RCV","1997-02-22","2002-02-22","Per=Y","Days=T","Dir=V")</f>
        <v>0</v>
      </c>
      <c r="U2">
        <f>BDH("PTACQ US Equity","BS_INVENTORIES","1997-02-22","2002-02-22","Per=Y","Days=T","Dir=V")</f>
        <v>0</v>
      </c>
      <c r="W2">
        <f>BDH("PTACQ US Equity","WORKING_CAPITAL","1997-02-22","2002-02-22","Per=Y","Days=T","Dir=V")</f>
        <v>0</v>
      </c>
      <c r="Y2">
        <f>BDH("PTACQ US Equity","SALES_REV_TURN","1997-02-22","2002-02-22","Per=Y","Days=T","Dir=V")</f>
        <v>0</v>
      </c>
      <c r="AA2">
        <f>BDH("PTACQ US Equity","EBIT","1997-02-22","2002-02-22","Per=Y","Days=T","Dir=V")</f>
        <v>0</v>
      </c>
      <c r="AC2">
        <f>BDH("PTACQ US Equity","EBITDA","1997-02-22","2002-02-22","Per=Y","Days=T","Dir=V")</f>
        <v>0</v>
      </c>
      <c r="AE2">
        <f>BDH("PTACQ US Equity","NET_INCOME","1997-02-22","2002-02-22","Per=Y","Days=T","Dir=V")</f>
        <v>0</v>
      </c>
      <c r="AG2">
        <f>BDH("PTACQ US Equity","IS_INT_EXPENSE","1997-02-22","2002-02-22","Per=Y","Days=T","Dir=V")</f>
        <v>0</v>
      </c>
      <c r="AI2">
        <f>BDH("PTACQ US Equity","IS_DEPR_EXP","1997-02-22","2002-02-22","Per=Y","Days=T","Dir=V")</f>
        <v>0</v>
      </c>
      <c r="AK2">
        <f>BDH("PTACQ US Equity","CF_CASH_FROM_OPER","1997-02-22","2002-02-22","Per=Y","Days=T","Dir=V")</f>
        <v>0</v>
      </c>
      <c r="AM2">
        <f>BDH("PTACQ US Equity","CAPITAL_EXPEND","1997-02-22","2002-02-22","Per=Y","Days=T","Dir=V")</f>
        <v>0</v>
      </c>
      <c r="AO2">
        <f>BDH("PTACQ US Equity","CF_FREE_CASH_FLOW","1997-02-22","2002-02-22","Per=Y","Days=T","Dir=V")</f>
        <v>0</v>
      </c>
      <c r="AQ2">
        <f>BDH("PTACQ US Equity","PX_LAST","1997-02-22","2002-02-22","Per=M","Days=T","Dir=V")</f>
        <v>0</v>
      </c>
      <c r="AS2">
        <f>BDH("PTACQ US Equity","CUR_MKT_CAP","1997-02-22","2002-02-22","Per=M","Days=T","Dir=V")</f>
        <v>0</v>
      </c>
      <c r="AU2">
        <f>BDH("PTACQ US Equity","EQY_SH_OUT","1997-02-22","2002-02-22","Per=M","Days=T","Dir=V")</f>
        <v>0</v>
      </c>
      <c r="AW2">
        <f>BDH("PTACQ US Equity","BETA_RAW_OVERRIABLE","1997-02-22","2002-02-22","Per=M","Days=T","Dir=V")</f>
        <v>0</v>
      </c>
      <c r="AY2">
        <f>BDH("PTACQ US Equity","PX_VOLUME","1997-02-22","2002-02-22","Per=M","Days=T","Dir=V")</f>
        <v>0</v>
      </c>
      <c r="BA2">
        <f>BDH("PTACQ US Equity","TURNOVER","1997-02-22","2002-02-22","Per=M","Days=T","Dir=V")</f>
        <v>0</v>
      </c>
      <c r="BC2">
        <f>BDH("PTACQ US Equity","SPREAD_BA_CR","1997-02-22","2002-02-22","Per=M","Days=T","Dir=V")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BDH("BIRS US Equity","BS_TOT_ASSET","1997-03-05","2002-03-05","Per=Y","Days=T","Dir=V")</f>
        <v>0</v>
      </c>
      <c r="C2">
        <f>BDH("BIRS US Equity","BS_TOT_LIAB2","1997-03-05","2002-03-05","Per=Y","Days=T","Dir=V")</f>
        <v>0</v>
      </c>
      <c r="E2">
        <f>BDH("BIRS US Equity","SHORT_AND_LONG_TERM_DEBT","1997-03-05","2002-03-05","Per=Y","Days=T","Dir=V")</f>
        <v>0</v>
      </c>
      <c r="G2">
        <f>BDH("BIRS US Equity","BS_ST_BORROW","1997-03-05","2002-03-05","Per=Y","Days=T","Dir=V")</f>
        <v>0</v>
      </c>
      <c r="I2">
        <f>BDH("BIRS US Equity","BS_LT_BORROW","1997-03-05","2002-03-05","Per=Y","Days=T","Dir=V")</f>
        <v>0</v>
      </c>
      <c r="K2">
        <f>BDH("BIRS US Equity","BS_CASH_NEAR_CASH_ITEM","1997-03-05","2002-03-05","Per=Y","Days=T","Dir=V")</f>
        <v>0</v>
      </c>
      <c r="M2">
        <f>BDH("BIRS US Equity","BS_CUR_ASSET_REPORT","1997-03-05","2002-03-05","Per=Y","Days=T","Dir=V")</f>
        <v>0</v>
      </c>
      <c r="O2">
        <f>BDH("BIRS US Equity","BS_CUR_LIAB","1997-03-05","2002-03-05","Per=Y","Days=T","Dir=V")</f>
        <v>0</v>
      </c>
      <c r="Q2">
        <f>BDH("BIRS US Equity","BS_SHAREHOLDER_EQY_ENDING_PERIOD","1997-03-05","2002-03-05","Per=Y","Days=T","Dir=V")</f>
        <v>0</v>
      </c>
      <c r="S2">
        <f>BDH("BIRS US Equity","BS_ACCT_NOTE_RCV","1997-03-05","2002-03-05","Per=Y","Days=T","Dir=V")</f>
        <v>0</v>
      </c>
      <c r="U2">
        <f>BDH("BIRS US Equity","BS_INVENTORIES","1997-03-05","2002-03-05","Per=Y","Days=T","Dir=V")</f>
        <v>0</v>
      </c>
      <c r="W2">
        <f>BDH("BIRS US Equity","WORKING_CAPITAL","1997-03-05","2002-03-05","Per=Y","Days=T","Dir=V")</f>
        <v>0</v>
      </c>
      <c r="Y2">
        <f>BDH("BIRS US Equity","SALES_REV_TURN","1997-03-05","2002-03-05","Per=Y","Days=T","Dir=V")</f>
        <v>0</v>
      </c>
      <c r="AA2">
        <f>BDH("BIRS US Equity","EBIT","1997-03-05","2002-03-05","Per=Y","Days=T","Dir=V")</f>
        <v>0</v>
      </c>
      <c r="AC2">
        <f>BDH("BIRS US Equity","EBITDA","1997-03-05","2002-03-05","Per=Y","Days=T","Dir=V")</f>
        <v>0</v>
      </c>
      <c r="AE2">
        <f>BDH("BIRS US Equity","NET_INCOME","1997-03-05","2002-03-05","Per=Y","Days=T","Dir=V")</f>
        <v>0</v>
      </c>
      <c r="AG2">
        <f>BDH("BIRS US Equity","IS_INT_EXPENSE","1997-03-05","2002-03-05","Per=Y","Days=T","Dir=V")</f>
        <v>0</v>
      </c>
      <c r="AI2">
        <f>BDH("BIRS US Equity","IS_DEPR_EXP","1997-03-05","2002-03-05","Per=Y","Days=T","Dir=V")</f>
        <v>0</v>
      </c>
      <c r="AK2">
        <f>BDH("BIRS US Equity","CF_CASH_FROM_OPER","1997-03-05","2002-03-05","Per=Y","Days=T","Dir=V")</f>
        <v>0</v>
      </c>
      <c r="AM2">
        <f>BDH("BIRS US Equity","CAPITAL_EXPEND","1997-03-05","2002-03-05","Per=Y","Days=T","Dir=V")</f>
        <v>0</v>
      </c>
      <c r="AO2">
        <f>BDH("BIRS US Equity","CF_FREE_CASH_FLOW","1997-03-05","2002-03-05","Per=Y","Days=T","Dir=V")</f>
        <v>0</v>
      </c>
      <c r="AQ2">
        <f>BDH("BIRS US Equity","PX_LAST","1997-03-05","2002-03-05","Per=M","Days=T","Dir=V")</f>
        <v>0</v>
      </c>
      <c r="AS2">
        <f>BDH("BIRS US Equity","CUR_MKT_CAP","1997-03-05","2002-03-05","Per=M","Days=T","Dir=V")</f>
        <v>0</v>
      </c>
      <c r="AU2">
        <f>BDH("BIRS US Equity","EQY_SH_OUT","1997-03-05","2002-03-05","Per=M","Days=T","Dir=V")</f>
        <v>0</v>
      </c>
      <c r="AW2">
        <f>BDH("BIRS US Equity","BETA_RAW_OVERRIABLE","1997-03-05","2002-03-05","Per=M","Days=T","Dir=V")</f>
        <v>0</v>
      </c>
      <c r="AY2">
        <f>BDH("BIRS US Equity","PX_VOLUME","1997-03-05","2002-03-05","Per=M","Days=T","Dir=V")</f>
        <v>0</v>
      </c>
      <c r="BA2">
        <f>BDH("BIRS US Equity","TURNOVER","1997-03-05","2002-03-05","Per=M","Days=T","Dir=V")</f>
        <v>0</v>
      </c>
      <c r="BC2">
        <f>BDH("BIRS US Equity","SPREAD_BA_CR","1997-03-05","2002-03-05","Per=M","Days=T","Dir=V")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BDH("NWPWQ US Equity","BS_TOT_ASSET","1997-03-13","2002-03-13","Per=Y","Days=T","Dir=V")</f>
        <v>0</v>
      </c>
      <c r="C2">
        <f>BDH("NWPWQ US Equity","BS_TOT_LIAB2","1997-03-13","2002-03-13","Per=Y","Days=T","Dir=V")</f>
        <v>0</v>
      </c>
      <c r="E2">
        <f>BDH("NWPWQ US Equity","SHORT_AND_LONG_TERM_DEBT","1997-03-13","2002-03-13","Per=Y","Days=T","Dir=V")</f>
        <v>0</v>
      </c>
      <c r="G2">
        <f>BDH("NWPWQ US Equity","BS_ST_BORROW","1997-03-13","2002-03-13","Per=Y","Days=T","Dir=V")</f>
        <v>0</v>
      </c>
      <c r="I2">
        <f>BDH("NWPWQ US Equity","BS_LT_BORROW","1997-03-13","2002-03-13","Per=Y","Days=T","Dir=V")</f>
        <v>0</v>
      </c>
      <c r="K2">
        <f>BDH("NWPWQ US Equity","BS_CASH_NEAR_CASH_ITEM","1997-03-13","2002-03-13","Per=Y","Days=T","Dir=V")</f>
        <v>0</v>
      </c>
      <c r="M2">
        <f>BDH("NWPWQ US Equity","BS_CUR_ASSET_REPORT","1997-03-13","2002-03-13","Per=Y","Days=T","Dir=V")</f>
        <v>0</v>
      </c>
      <c r="O2">
        <f>BDH("NWPWQ US Equity","BS_CUR_LIAB","1997-03-13","2002-03-13","Per=Y","Days=T","Dir=V")</f>
        <v>0</v>
      </c>
      <c r="Q2">
        <f>BDH("NWPWQ US Equity","BS_SHAREHOLDER_EQY_ENDING_PERIOD","1997-03-13","2002-03-13","Per=Y","Days=T","Dir=V")</f>
        <v>0</v>
      </c>
      <c r="S2">
        <f>BDH("NWPWQ US Equity","BS_ACCT_NOTE_RCV","1997-03-13","2002-03-13","Per=Y","Days=T","Dir=V")</f>
        <v>0</v>
      </c>
      <c r="U2">
        <f>BDH("NWPWQ US Equity","BS_INVENTORIES","1997-03-13","2002-03-13","Per=Y","Days=T","Dir=V")</f>
        <v>0</v>
      </c>
      <c r="W2">
        <f>BDH("NWPWQ US Equity","WORKING_CAPITAL","1997-03-13","2002-03-13","Per=Y","Days=T","Dir=V")</f>
        <v>0</v>
      </c>
      <c r="Y2">
        <f>BDH("NWPWQ US Equity","SALES_REV_TURN","1997-03-13","2002-03-13","Per=Y","Days=T","Dir=V")</f>
        <v>0</v>
      </c>
      <c r="AA2">
        <f>BDH("NWPWQ US Equity","EBIT","1997-03-13","2002-03-13","Per=Y","Days=T","Dir=V")</f>
        <v>0</v>
      </c>
      <c r="AC2">
        <f>BDH("NWPWQ US Equity","EBITDA","1997-03-13","2002-03-13","Per=Y","Days=T","Dir=V")</f>
        <v>0</v>
      </c>
      <c r="AE2">
        <f>BDH("NWPWQ US Equity","NET_INCOME","1997-03-13","2002-03-13","Per=Y","Days=T","Dir=V")</f>
        <v>0</v>
      </c>
      <c r="AG2">
        <f>BDH("NWPWQ US Equity","IS_INT_EXPENSE","1997-03-13","2002-03-13","Per=Y","Days=T","Dir=V")</f>
        <v>0</v>
      </c>
      <c r="AI2">
        <f>BDH("NWPWQ US Equity","IS_DEPR_EXP","1997-03-13","2002-03-13","Per=Y","Days=T","Dir=V")</f>
        <v>0</v>
      </c>
      <c r="AK2">
        <f>BDH("NWPWQ US Equity","CF_CASH_FROM_OPER","1997-03-13","2002-03-13","Per=Y","Days=T","Dir=V")</f>
        <v>0</v>
      </c>
      <c r="AM2">
        <f>BDH("NWPWQ US Equity","CAPITAL_EXPEND","1997-03-13","2002-03-13","Per=Y","Days=T","Dir=V")</f>
        <v>0</v>
      </c>
      <c r="AO2">
        <f>BDH("NWPWQ US Equity","CF_FREE_CASH_FLOW","1997-03-13","2002-03-13","Per=Y","Days=T","Dir=V")</f>
        <v>0</v>
      </c>
      <c r="AQ2">
        <f>BDH("NWPWQ US Equity","PX_LAST","1997-03-13","2002-03-13","Per=M","Days=T","Dir=V")</f>
        <v>0</v>
      </c>
      <c r="AS2">
        <f>BDH("NWPWQ US Equity","CUR_MKT_CAP","1997-03-13","2002-03-13","Per=M","Days=T","Dir=V")</f>
        <v>0</v>
      </c>
      <c r="AU2">
        <f>BDH("NWPWQ US Equity","EQY_SH_OUT","1997-03-13","2002-03-13","Per=M","Days=T","Dir=V")</f>
        <v>0</v>
      </c>
      <c r="AW2">
        <f>BDH("NWPWQ US Equity","BETA_RAW_OVERRIABLE","1997-03-13","2002-03-13","Per=M","Days=T","Dir=V")</f>
        <v>0</v>
      </c>
      <c r="AY2">
        <f>BDH("NWPWQ US Equity","PX_VOLUME","1997-03-13","2002-03-13","Per=M","Days=T","Dir=V")</f>
        <v>0</v>
      </c>
      <c r="BA2">
        <f>BDH("NWPWQ US Equity","TURNOVER","1997-03-13","2002-03-13","Per=M","Days=T","Dir=V")</f>
        <v>0</v>
      </c>
      <c r="BC2">
        <f>BDH("NWPWQ US Equity","SPREAD_BA_CR","1997-03-13","2002-03-13","Per=M","Days=T","Dir=V")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BDH("UAIRQ US Equity","BS_TOT_ASSET","1997-05-13","2002-05-13","Per=Y","Days=T","Dir=V")</f>
        <v>0</v>
      </c>
      <c r="C2">
        <f>BDH("UAIRQ US Equity","BS_TOT_LIAB2","1997-05-13","2002-05-13","Per=Y","Days=T","Dir=V")</f>
        <v>0</v>
      </c>
      <c r="E2">
        <f>BDH("UAIRQ US Equity","SHORT_AND_LONG_TERM_DEBT","1997-05-13","2002-05-13","Per=Y","Days=T","Dir=V")</f>
        <v>0</v>
      </c>
      <c r="G2">
        <f>BDH("UAIRQ US Equity","BS_ST_BORROW","1997-05-13","2002-05-13","Per=Y","Days=T","Dir=V")</f>
        <v>0</v>
      </c>
      <c r="I2">
        <f>BDH("UAIRQ US Equity","BS_LT_BORROW","1997-05-13","2002-05-13","Per=Y","Days=T","Dir=V")</f>
        <v>0</v>
      </c>
      <c r="K2">
        <f>BDH("UAIRQ US Equity","BS_CASH_NEAR_CASH_ITEM","1997-05-13","2002-05-13","Per=Y","Days=T","Dir=V")</f>
        <v>0</v>
      </c>
      <c r="M2">
        <f>BDH("UAIRQ US Equity","BS_CUR_ASSET_REPORT","1997-05-13","2002-05-13","Per=Y","Days=T","Dir=V")</f>
        <v>0</v>
      </c>
      <c r="O2">
        <f>BDH("UAIRQ US Equity","BS_CUR_LIAB","1997-05-13","2002-05-13","Per=Y","Days=T","Dir=V")</f>
        <v>0</v>
      </c>
      <c r="Q2">
        <f>BDH("UAIRQ US Equity","BS_SHAREHOLDER_EQY_ENDING_PERIOD","1997-05-13","2002-05-13","Per=Y","Days=T","Dir=V")</f>
        <v>0</v>
      </c>
      <c r="S2">
        <f>BDH("UAIRQ US Equity","BS_ACCT_NOTE_RCV","1997-05-13","2002-05-13","Per=Y","Days=T","Dir=V")</f>
        <v>0</v>
      </c>
      <c r="U2">
        <f>BDH("UAIRQ US Equity","BS_INVENTORIES","1997-05-13","2002-05-13","Per=Y","Days=T","Dir=V")</f>
        <v>0</v>
      </c>
      <c r="W2">
        <f>BDH("UAIRQ US Equity","WORKING_CAPITAL","1997-05-13","2002-05-13","Per=Y","Days=T","Dir=V")</f>
        <v>0</v>
      </c>
      <c r="Y2">
        <f>BDH("UAIRQ US Equity","SALES_REV_TURN","1997-05-13","2002-05-13","Per=Y","Days=T","Dir=V")</f>
        <v>0</v>
      </c>
      <c r="AA2">
        <f>BDH("UAIRQ US Equity","EBIT","1997-05-13","2002-05-13","Per=Y","Days=T","Dir=V")</f>
        <v>0</v>
      </c>
      <c r="AC2">
        <f>BDH("UAIRQ US Equity","EBITDA","1997-05-13","2002-05-13","Per=Y","Days=T","Dir=V")</f>
        <v>0</v>
      </c>
      <c r="AE2">
        <f>BDH("UAIRQ US Equity","NET_INCOME","1997-05-13","2002-05-13","Per=Y","Days=T","Dir=V")</f>
        <v>0</v>
      </c>
      <c r="AG2">
        <f>BDH("UAIRQ US Equity","IS_INT_EXPENSE","1997-05-13","2002-05-13","Per=Y","Days=T","Dir=V")</f>
        <v>0</v>
      </c>
      <c r="AI2">
        <f>BDH("UAIRQ US Equity","IS_DEPR_EXP","1997-05-13","2002-05-13","Per=Y","Days=T","Dir=V")</f>
        <v>0</v>
      </c>
      <c r="AK2">
        <f>BDH("UAIRQ US Equity","CF_CASH_FROM_OPER","1997-05-13","2002-05-13","Per=Y","Days=T","Dir=V")</f>
        <v>0</v>
      </c>
      <c r="AM2">
        <f>BDH("UAIRQ US Equity","CAPITAL_EXPEND","1997-05-13","2002-05-13","Per=Y","Days=T","Dir=V")</f>
        <v>0</v>
      </c>
      <c r="AO2">
        <f>BDH("UAIRQ US Equity","CF_FREE_CASH_FLOW","1997-05-13","2002-05-13","Per=Y","Days=T","Dir=V")</f>
        <v>0</v>
      </c>
      <c r="AQ2">
        <f>BDH("UAIRQ US Equity","PX_LAST","1997-05-13","2002-05-13","Per=M","Days=T","Dir=V")</f>
        <v>0</v>
      </c>
      <c r="AS2">
        <f>BDH("UAIRQ US Equity","CUR_MKT_CAP","1997-05-13","2002-05-13","Per=M","Days=T","Dir=V")</f>
        <v>0</v>
      </c>
      <c r="AU2">
        <f>BDH("UAIRQ US Equity","EQY_SH_OUT","1997-05-13","2002-05-13","Per=M","Days=T","Dir=V")</f>
        <v>0</v>
      </c>
      <c r="AW2">
        <f>BDH("UAIRQ US Equity","BETA_RAW_OVERRIABLE","1997-05-13","2002-05-13","Per=M","Days=T","Dir=V")</f>
        <v>0</v>
      </c>
      <c r="AY2">
        <f>BDH("UAIRQ US Equity","PX_VOLUME","1997-05-13","2002-05-13","Per=M","Days=T","Dir=V")</f>
        <v>0</v>
      </c>
      <c r="BA2">
        <f>BDH("UAIRQ US Equity","TURNOVER","1997-05-13","2002-05-13","Per=M","Days=T","Dir=V")</f>
        <v>0</v>
      </c>
      <c r="BC2">
        <f>BDH("UAIRQ US Equity","SPREAD_BA_CR","1997-05-13","2002-05-13","Per=M","Days=T","Dir=V")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BDH("CFWEQ US Equity","BS_TOT_ASSET","1997-06-05","2002-06-05","Per=Y","Days=T","Dir=V")</f>
        <v>0</v>
      </c>
      <c r="C2">
        <f>BDH("CFWEQ US Equity","BS_TOT_LIAB2","1997-06-05","2002-06-05","Per=Y","Days=T","Dir=V")</f>
        <v>0</v>
      </c>
      <c r="E2">
        <f>BDH("CFWEQ US Equity","SHORT_AND_LONG_TERM_DEBT","1997-06-05","2002-06-05","Per=Y","Days=T","Dir=V")</f>
        <v>0</v>
      </c>
      <c r="G2">
        <f>BDH("CFWEQ US Equity","BS_ST_BORROW","1997-06-05","2002-06-05","Per=Y","Days=T","Dir=V")</f>
        <v>0</v>
      </c>
      <c r="I2">
        <f>BDH("CFWEQ US Equity","BS_LT_BORROW","1997-06-05","2002-06-05","Per=Y","Days=T","Dir=V")</f>
        <v>0</v>
      </c>
      <c r="K2">
        <f>BDH("CFWEQ US Equity","BS_CASH_NEAR_CASH_ITEM","1997-06-05","2002-06-05","Per=Y","Days=T","Dir=V")</f>
        <v>0</v>
      </c>
      <c r="M2">
        <f>BDH("CFWEQ US Equity","BS_CUR_ASSET_REPORT","1997-06-05","2002-06-05","Per=Y","Days=T","Dir=V")</f>
        <v>0</v>
      </c>
      <c r="O2">
        <f>BDH("CFWEQ US Equity","BS_CUR_LIAB","1997-06-05","2002-06-05","Per=Y","Days=T","Dir=V")</f>
        <v>0</v>
      </c>
      <c r="Q2">
        <f>BDH("CFWEQ US Equity","BS_SHAREHOLDER_EQY_ENDING_PERIOD","1997-06-05","2002-06-05","Per=Y","Days=T","Dir=V")</f>
        <v>0</v>
      </c>
      <c r="S2">
        <f>BDH("CFWEQ US Equity","BS_ACCT_NOTE_RCV","1997-06-05","2002-06-05","Per=Y","Days=T","Dir=V")</f>
        <v>0</v>
      </c>
      <c r="U2">
        <f>BDH("CFWEQ US Equity","BS_INVENTORIES","1997-06-05","2002-06-05","Per=Y","Days=T","Dir=V")</f>
        <v>0</v>
      </c>
      <c r="W2">
        <f>BDH("CFWEQ US Equity","WORKING_CAPITAL","1997-06-05","2002-06-05","Per=Y","Days=T","Dir=V")</f>
        <v>0</v>
      </c>
      <c r="Y2">
        <f>BDH("CFWEQ US Equity","SALES_REV_TURN","1997-06-05","2002-06-05","Per=Y","Days=T","Dir=V")</f>
        <v>0</v>
      </c>
      <c r="AA2">
        <f>BDH("CFWEQ US Equity","EBIT","1997-06-05","2002-06-05","Per=Y","Days=T","Dir=V")</f>
        <v>0</v>
      </c>
      <c r="AC2">
        <f>BDH("CFWEQ US Equity","EBITDA","1997-06-05","2002-06-05","Per=Y","Days=T","Dir=V")</f>
        <v>0</v>
      </c>
      <c r="AE2">
        <f>BDH("CFWEQ US Equity","NET_INCOME","1997-06-05","2002-06-05","Per=Y","Days=T","Dir=V")</f>
        <v>0</v>
      </c>
      <c r="AG2">
        <f>BDH("CFWEQ US Equity","IS_INT_EXPENSE","1997-06-05","2002-06-05","Per=Y","Days=T","Dir=V")</f>
        <v>0</v>
      </c>
      <c r="AI2">
        <f>BDH("CFWEQ US Equity","IS_DEPR_EXP","1997-06-05","2002-06-05","Per=Y","Days=T","Dir=V")</f>
        <v>0</v>
      </c>
      <c r="AK2">
        <f>BDH("CFWEQ US Equity","CF_CASH_FROM_OPER","1997-06-05","2002-06-05","Per=Y","Days=T","Dir=V")</f>
        <v>0</v>
      </c>
      <c r="AM2">
        <f>BDH("CFWEQ US Equity","CAPITAL_EXPEND","1997-06-05","2002-06-05","Per=Y","Days=T","Dir=V")</f>
        <v>0</v>
      </c>
      <c r="AO2">
        <f>BDH("CFWEQ US Equity","CF_FREE_CASH_FLOW","1997-06-05","2002-06-05","Per=Y","Days=T","Dir=V")</f>
        <v>0</v>
      </c>
      <c r="AQ2">
        <f>BDH("CFWEQ US Equity","PX_LAST","1997-06-05","2002-06-05","Per=M","Days=T","Dir=V")</f>
        <v>0</v>
      </c>
      <c r="AS2">
        <f>BDH("CFWEQ US Equity","CUR_MKT_CAP","1997-06-05","2002-06-05","Per=M","Days=T","Dir=V")</f>
        <v>0</v>
      </c>
      <c r="AU2">
        <f>BDH("CFWEQ US Equity","EQY_SH_OUT","1997-06-05","2002-06-05","Per=M","Days=T","Dir=V")</f>
        <v>0</v>
      </c>
      <c r="AW2">
        <f>BDH("CFWEQ US Equity","BETA_RAW_OVERRIABLE","1997-06-05","2002-06-05","Per=M","Days=T","Dir=V")</f>
        <v>0</v>
      </c>
      <c r="AY2">
        <f>BDH("CFWEQ US Equity","PX_VOLUME","1997-06-05","2002-06-05","Per=M","Days=T","Dir=V")</f>
        <v>0</v>
      </c>
      <c r="BA2">
        <f>BDH("CFWEQ US Equity","TURNOVER","1997-06-05","2002-06-05","Per=M","Days=T","Dir=V")</f>
        <v>0</v>
      </c>
      <c r="BC2">
        <f>BDH("CFWEQ US Equity","SPREAD_BA_CR","1997-06-05","2002-06-05","Per=M","Days=T","Dir=V")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BDH("GENUQ US Equity","BS_TOT_ASSET","1997-08-29","2002-08-29","Per=Y","Days=T","Dir=V")</f>
        <v>0</v>
      </c>
      <c r="C2">
        <f>BDH("GENUQ US Equity","BS_TOT_LIAB2","1997-08-29","2002-08-29","Per=Y","Days=T","Dir=V")</f>
        <v>0</v>
      </c>
      <c r="E2">
        <f>BDH("GENUQ US Equity","SHORT_AND_LONG_TERM_DEBT","1997-08-29","2002-08-29","Per=Y","Days=T","Dir=V")</f>
        <v>0</v>
      </c>
      <c r="G2">
        <f>BDH("GENUQ US Equity","BS_ST_BORROW","1997-08-29","2002-08-29","Per=Y","Days=T","Dir=V")</f>
        <v>0</v>
      </c>
      <c r="I2">
        <f>BDH("GENUQ US Equity","BS_LT_BORROW","1997-08-29","2002-08-29","Per=Y","Days=T","Dir=V")</f>
        <v>0</v>
      </c>
      <c r="K2">
        <f>BDH("GENUQ US Equity","BS_CASH_NEAR_CASH_ITEM","1997-08-29","2002-08-29","Per=Y","Days=T","Dir=V")</f>
        <v>0</v>
      </c>
      <c r="M2">
        <f>BDH("GENUQ US Equity","BS_CUR_ASSET_REPORT","1997-08-29","2002-08-29","Per=Y","Days=T","Dir=V")</f>
        <v>0</v>
      </c>
      <c r="O2">
        <f>BDH("GENUQ US Equity","BS_CUR_LIAB","1997-08-29","2002-08-29","Per=Y","Days=T","Dir=V")</f>
        <v>0</v>
      </c>
      <c r="Q2">
        <f>BDH("GENUQ US Equity","BS_SHAREHOLDER_EQY_ENDING_PERIOD","1997-08-29","2002-08-29","Per=Y","Days=T","Dir=V")</f>
        <v>0</v>
      </c>
      <c r="S2">
        <f>BDH("GENUQ US Equity","BS_ACCT_NOTE_RCV","1997-08-29","2002-08-29","Per=Y","Days=T","Dir=V")</f>
        <v>0</v>
      </c>
      <c r="U2">
        <f>BDH("GENUQ US Equity","BS_INVENTORIES","1997-08-29","2002-08-29","Per=Y","Days=T","Dir=V")</f>
        <v>0</v>
      </c>
      <c r="W2">
        <f>BDH("GENUQ US Equity","WORKING_CAPITAL","1997-08-29","2002-08-29","Per=Y","Days=T","Dir=V")</f>
        <v>0</v>
      </c>
      <c r="Y2">
        <f>BDH("GENUQ US Equity","SALES_REV_TURN","1997-08-29","2002-08-29","Per=Y","Days=T","Dir=V")</f>
        <v>0</v>
      </c>
      <c r="AA2">
        <f>BDH("GENUQ US Equity","EBIT","1997-08-29","2002-08-29","Per=Y","Days=T","Dir=V")</f>
        <v>0</v>
      </c>
      <c r="AC2">
        <f>BDH("GENUQ US Equity","EBITDA","1997-08-29","2002-08-29","Per=Y","Days=T","Dir=V")</f>
        <v>0</v>
      </c>
      <c r="AE2">
        <f>BDH("GENUQ US Equity","NET_INCOME","1997-08-29","2002-08-29","Per=Y","Days=T","Dir=V")</f>
        <v>0</v>
      </c>
      <c r="AG2">
        <f>BDH("GENUQ US Equity","IS_INT_EXPENSE","1997-08-29","2002-08-29","Per=Y","Days=T","Dir=V")</f>
        <v>0</v>
      </c>
      <c r="AI2">
        <f>BDH("GENUQ US Equity","IS_DEPR_EXP","1997-08-29","2002-08-29","Per=Y","Days=T","Dir=V")</f>
        <v>0</v>
      </c>
      <c r="AK2">
        <f>BDH("GENUQ US Equity","CF_CASH_FROM_OPER","1997-08-29","2002-08-29","Per=Y","Days=T","Dir=V")</f>
        <v>0</v>
      </c>
      <c r="AM2">
        <f>BDH("GENUQ US Equity","CAPITAL_EXPEND","1997-08-29","2002-08-29","Per=Y","Days=T","Dir=V")</f>
        <v>0</v>
      </c>
      <c r="AO2">
        <f>BDH("GENUQ US Equity","CF_FREE_CASH_FLOW","1997-08-29","2002-08-29","Per=Y","Days=T","Dir=V")</f>
        <v>0</v>
      </c>
      <c r="AQ2">
        <f>BDH("GENUQ US Equity","PX_LAST","1997-08-29","2002-08-29","Per=M","Days=T","Dir=V")</f>
        <v>0</v>
      </c>
      <c r="AS2">
        <f>BDH("GENUQ US Equity","CUR_MKT_CAP","1997-08-29","2002-08-29","Per=M","Days=T","Dir=V")</f>
        <v>0</v>
      </c>
      <c r="AU2">
        <f>BDH("GENUQ US Equity","EQY_SH_OUT","1997-08-29","2002-08-29","Per=M","Days=T","Dir=V")</f>
        <v>0</v>
      </c>
      <c r="AW2">
        <f>BDH("GENUQ US Equity","BETA_RAW_OVERRIABLE","1997-08-29","2002-08-29","Per=M","Days=T","Dir=V")</f>
        <v>0</v>
      </c>
      <c r="AY2">
        <f>BDH("GENUQ US Equity","PX_VOLUME","1997-08-29","2002-08-29","Per=M","Days=T","Dir=V")</f>
        <v>0</v>
      </c>
      <c r="BA2">
        <f>BDH("GENUQ US Equity","TURNOVER","1997-08-29","2002-08-29","Per=M","Days=T","Dir=V")</f>
        <v>0</v>
      </c>
      <c r="BC2">
        <f>BDH("GENUQ US Equity","SPREAD_BA_CR","1997-08-29","2002-08-29","Per=M","Days=T","Dir=V")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BDH("SVSSF US Equity","BS_TOT_ASSET","1997-09-21","2002-09-21","Per=Y","Days=T","Dir=V")</f>
        <v>0</v>
      </c>
      <c r="C2">
        <f>BDH("SVSSF US Equity","BS_TOT_LIAB2","1997-09-21","2002-09-21","Per=Y","Days=T","Dir=V")</f>
        <v>0</v>
      </c>
      <c r="E2">
        <f>BDH("SVSSF US Equity","SHORT_AND_LONG_TERM_DEBT","1997-09-21","2002-09-21","Per=Y","Days=T","Dir=V")</f>
        <v>0</v>
      </c>
      <c r="G2">
        <f>BDH("SVSSF US Equity","BS_ST_BORROW","1997-09-21","2002-09-21","Per=Y","Days=T","Dir=V")</f>
        <v>0</v>
      </c>
      <c r="I2">
        <f>BDH("SVSSF US Equity","BS_LT_BORROW","1997-09-21","2002-09-21","Per=Y","Days=T","Dir=V")</f>
        <v>0</v>
      </c>
      <c r="K2">
        <f>BDH("SVSSF US Equity","BS_CASH_NEAR_CASH_ITEM","1997-09-21","2002-09-21","Per=Y","Days=T","Dir=V")</f>
        <v>0</v>
      </c>
      <c r="M2">
        <f>BDH("SVSSF US Equity","BS_CUR_ASSET_REPORT","1997-09-21","2002-09-21","Per=Y","Days=T","Dir=V")</f>
        <v>0</v>
      </c>
      <c r="O2">
        <f>BDH("SVSSF US Equity","BS_CUR_LIAB","1997-09-21","2002-09-21","Per=Y","Days=T","Dir=V")</f>
        <v>0</v>
      </c>
      <c r="Q2">
        <f>BDH("SVSSF US Equity","BS_SHAREHOLDER_EQY_ENDING_PERIOD","1997-09-21","2002-09-21","Per=Y","Days=T","Dir=V")</f>
        <v>0</v>
      </c>
      <c r="S2">
        <f>BDH("SVSSF US Equity","BS_ACCT_NOTE_RCV","1997-09-21","2002-09-21","Per=Y","Days=T","Dir=V")</f>
        <v>0</v>
      </c>
      <c r="U2">
        <f>BDH("SVSSF US Equity","BS_INVENTORIES","1997-09-21","2002-09-21","Per=Y","Days=T","Dir=V")</f>
        <v>0</v>
      </c>
      <c r="W2">
        <f>BDH("SVSSF US Equity","WORKING_CAPITAL","1997-09-21","2002-09-21","Per=Y","Days=T","Dir=V")</f>
        <v>0</v>
      </c>
      <c r="Y2">
        <f>BDH("SVSSF US Equity","SALES_REV_TURN","1997-09-21","2002-09-21","Per=Y","Days=T","Dir=V")</f>
        <v>0</v>
      </c>
      <c r="AA2">
        <f>BDH("SVSSF US Equity","EBIT","1997-09-21","2002-09-21","Per=Y","Days=T","Dir=V")</f>
        <v>0</v>
      </c>
      <c r="AC2">
        <f>BDH("SVSSF US Equity","EBITDA","1997-09-21","2002-09-21","Per=Y","Days=T","Dir=V")</f>
        <v>0</v>
      </c>
      <c r="AE2">
        <f>BDH("SVSSF US Equity","NET_INCOME","1997-09-21","2002-09-21","Per=Y","Days=T","Dir=V")</f>
        <v>0</v>
      </c>
      <c r="AG2">
        <f>BDH("SVSSF US Equity","IS_INT_EXPENSE","1997-09-21","2002-09-21","Per=Y","Days=T","Dir=V")</f>
        <v>0</v>
      </c>
      <c r="AI2">
        <f>BDH("SVSSF US Equity","IS_DEPR_EXP","1997-09-21","2002-09-21","Per=Y","Days=T","Dir=V")</f>
        <v>0</v>
      </c>
      <c r="AK2">
        <f>BDH("SVSSF US Equity","CF_CASH_FROM_OPER","1997-09-21","2002-09-21","Per=Y","Days=T","Dir=V")</f>
        <v>0</v>
      </c>
      <c r="AM2">
        <f>BDH("SVSSF US Equity","CAPITAL_EXPEND","1997-09-21","2002-09-21","Per=Y","Days=T","Dir=V")</f>
        <v>0</v>
      </c>
      <c r="AO2">
        <f>BDH("SVSSF US Equity","CF_FREE_CASH_FLOW","1997-09-21","2002-09-21","Per=Y","Days=T","Dir=V")</f>
        <v>0</v>
      </c>
      <c r="AQ2">
        <f>BDH("SVSSF US Equity","PX_LAST","1997-09-21","2002-09-21","Per=M","Days=T","Dir=V")</f>
        <v>0</v>
      </c>
      <c r="AS2">
        <f>BDH("SVSSF US Equity","CUR_MKT_CAP","1997-09-21","2002-09-21","Per=M","Days=T","Dir=V")</f>
        <v>0</v>
      </c>
      <c r="AU2">
        <f>BDH("SVSSF US Equity","EQY_SH_OUT","1997-09-21","2002-09-21","Per=M","Days=T","Dir=V")</f>
        <v>0</v>
      </c>
      <c r="AW2">
        <f>BDH("SVSSF US Equity","BETA_RAW_OVERRIABLE","1997-09-21","2002-09-21","Per=M","Days=T","Dir=V")</f>
        <v>0</v>
      </c>
      <c r="AY2">
        <f>BDH("SVSSF US Equity","PX_VOLUME","1997-09-21","2002-09-21","Per=M","Days=T","Dir=V")</f>
        <v>0</v>
      </c>
      <c r="BA2">
        <f>BDH("SVSSF US Equity","TURNOVER","1997-09-21","2002-09-21","Per=M","Days=T","Dir=V")</f>
        <v>0</v>
      </c>
      <c r="BC2">
        <f>BDH("SVSSF US Equity","SPREAD_BA_CR","1997-09-21","2002-09-21","Per=M","Days=T","Dir=V")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BDH("SPGLQ US Equity","BS_TOT_ASSET","1997-12-17","2002-12-17","Per=Y","Days=T","Dir=V")</f>
        <v>0</v>
      </c>
      <c r="C2">
        <f>BDH("SPGLQ US Equity","BS_TOT_LIAB2","1997-12-17","2002-12-17","Per=Y","Days=T","Dir=V")</f>
        <v>0</v>
      </c>
      <c r="E2">
        <f>BDH("SPGLQ US Equity","SHORT_AND_LONG_TERM_DEBT","1997-12-17","2002-12-17","Per=Y","Days=T","Dir=V")</f>
        <v>0</v>
      </c>
      <c r="G2">
        <f>BDH("SPGLQ US Equity","BS_ST_BORROW","1997-12-17","2002-12-17","Per=Y","Days=T","Dir=V")</f>
        <v>0</v>
      </c>
      <c r="I2">
        <f>BDH("SPGLQ US Equity","BS_LT_BORROW","1997-12-17","2002-12-17","Per=Y","Days=T","Dir=V")</f>
        <v>0</v>
      </c>
      <c r="K2">
        <f>BDH("SPGLQ US Equity","BS_CASH_NEAR_CASH_ITEM","1997-12-17","2002-12-17","Per=Y","Days=T","Dir=V")</f>
        <v>0</v>
      </c>
      <c r="M2">
        <f>BDH("SPGLQ US Equity","BS_CUR_ASSET_REPORT","1997-12-17","2002-12-17","Per=Y","Days=T","Dir=V")</f>
        <v>0</v>
      </c>
      <c r="O2">
        <f>BDH("SPGLQ US Equity","BS_CUR_LIAB","1997-12-17","2002-12-17","Per=Y","Days=T","Dir=V")</f>
        <v>0</v>
      </c>
      <c r="Q2">
        <f>BDH("SPGLQ US Equity","BS_SHAREHOLDER_EQY_ENDING_PERIOD","1997-12-17","2002-12-17","Per=Y","Days=T","Dir=V")</f>
        <v>0</v>
      </c>
      <c r="S2">
        <f>BDH("SPGLQ US Equity","BS_ACCT_NOTE_RCV","1997-12-17","2002-12-17","Per=Y","Days=T","Dir=V")</f>
        <v>0</v>
      </c>
      <c r="U2">
        <f>BDH("SPGLQ US Equity","BS_INVENTORIES","1997-12-17","2002-12-17","Per=Y","Days=T","Dir=V")</f>
        <v>0</v>
      </c>
      <c r="W2">
        <f>BDH("SPGLQ US Equity","WORKING_CAPITAL","1997-12-17","2002-12-17","Per=Y","Days=T","Dir=V")</f>
        <v>0</v>
      </c>
      <c r="Y2">
        <f>BDH("SPGLQ US Equity","SALES_REV_TURN","1997-12-17","2002-12-17","Per=Y","Days=T","Dir=V")</f>
        <v>0</v>
      </c>
      <c r="AA2">
        <f>BDH("SPGLQ US Equity","EBIT","1997-12-17","2002-12-17","Per=Y","Days=T","Dir=V")</f>
        <v>0</v>
      </c>
      <c r="AC2">
        <f>BDH("SPGLQ US Equity","EBITDA","1997-12-17","2002-12-17","Per=Y","Days=T","Dir=V")</f>
        <v>0</v>
      </c>
      <c r="AE2">
        <f>BDH("SPGLQ US Equity","NET_INCOME","1997-12-17","2002-12-17","Per=Y","Days=T","Dir=V")</f>
        <v>0</v>
      </c>
      <c r="AG2">
        <f>BDH("SPGLQ US Equity","IS_INT_EXPENSE","1997-12-17","2002-12-17","Per=Y","Days=T","Dir=V")</f>
        <v>0</v>
      </c>
      <c r="AI2">
        <f>BDH("SPGLQ US Equity","IS_DEPR_EXP","1997-12-17","2002-12-17","Per=Y","Days=T","Dir=V")</f>
        <v>0</v>
      </c>
      <c r="AK2">
        <f>BDH("SPGLQ US Equity","CF_CASH_FROM_OPER","1997-12-17","2002-12-17","Per=Y","Days=T","Dir=V")</f>
        <v>0</v>
      </c>
      <c r="AM2">
        <f>BDH("SPGLQ US Equity","CAPITAL_EXPEND","1997-12-17","2002-12-17","Per=Y","Days=T","Dir=V")</f>
        <v>0</v>
      </c>
      <c r="AO2">
        <f>BDH("SPGLQ US Equity","CF_FREE_CASH_FLOW","1997-12-17","2002-12-17","Per=Y","Days=T","Dir=V")</f>
        <v>0</v>
      </c>
      <c r="AQ2">
        <f>BDH("SPGLQ US Equity","PX_LAST","1997-12-17","2002-12-17","Per=M","Days=T","Dir=V")</f>
        <v>0</v>
      </c>
      <c r="AS2">
        <f>BDH("SPGLQ US Equity","CUR_MKT_CAP","1997-12-17","2002-12-17","Per=M","Days=T","Dir=V")</f>
        <v>0</v>
      </c>
      <c r="AU2">
        <f>BDH("SPGLQ US Equity","EQY_SH_OUT","1997-12-17","2002-12-17","Per=M","Days=T","Dir=V")</f>
        <v>0</v>
      </c>
      <c r="AW2">
        <f>BDH("SPGLQ US Equity","BETA_RAW_OVERRIABLE","1997-12-17","2002-12-17","Per=M","Days=T","Dir=V")</f>
        <v>0</v>
      </c>
      <c r="AY2">
        <f>BDH("SPGLQ US Equity","PX_VOLUME","1997-12-17","2002-12-17","Per=M","Days=T","Dir=V")</f>
        <v>0</v>
      </c>
      <c r="BA2">
        <f>BDH("SPGLQ US Equity","TURNOVER","1997-12-17","2002-12-17","Per=M","Days=T","Dir=V")</f>
        <v>0</v>
      </c>
      <c r="BC2">
        <f>BDH("SPGLQ US Equity","SPREAD_BA_CR","1997-12-17","2002-12-17","Per=M","Days=T","Dir=V")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BDH("SBLUQ US Equity","BS_TOT_ASSET","1997-12-21","2002-12-21","Per=Y","Days=T","Dir=V")</f>
        <v>0</v>
      </c>
      <c r="C2">
        <f>BDH("SBLUQ US Equity","BS_TOT_LIAB2","1997-12-21","2002-12-21","Per=Y","Days=T","Dir=V")</f>
        <v>0</v>
      </c>
      <c r="E2">
        <f>BDH("SBLUQ US Equity","SHORT_AND_LONG_TERM_DEBT","1997-12-21","2002-12-21","Per=Y","Days=T","Dir=V")</f>
        <v>0</v>
      </c>
      <c r="G2">
        <f>BDH("SBLUQ US Equity","BS_ST_BORROW","1997-12-21","2002-12-21","Per=Y","Days=T","Dir=V")</f>
        <v>0</v>
      </c>
      <c r="I2">
        <f>BDH("SBLUQ US Equity","BS_LT_BORROW","1997-12-21","2002-12-21","Per=Y","Days=T","Dir=V")</f>
        <v>0</v>
      </c>
      <c r="K2">
        <f>BDH("SBLUQ US Equity","BS_CASH_NEAR_CASH_ITEM","1997-12-21","2002-12-21","Per=Y","Days=T","Dir=V")</f>
        <v>0</v>
      </c>
      <c r="M2">
        <f>BDH("SBLUQ US Equity","BS_CUR_ASSET_REPORT","1997-12-21","2002-12-21","Per=Y","Days=T","Dir=V")</f>
        <v>0</v>
      </c>
      <c r="O2">
        <f>BDH("SBLUQ US Equity","BS_CUR_LIAB","1997-12-21","2002-12-21","Per=Y","Days=T","Dir=V")</f>
        <v>0</v>
      </c>
      <c r="Q2">
        <f>BDH("SBLUQ US Equity","BS_SHAREHOLDER_EQY_ENDING_PERIOD","1997-12-21","2002-12-21","Per=Y","Days=T","Dir=V")</f>
        <v>0</v>
      </c>
      <c r="S2">
        <f>BDH("SBLUQ US Equity","BS_ACCT_NOTE_RCV","1997-12-21","2002-12-21","Per=Y","Days=T","Dir=V")</f>
        <v>0</v>
      </c>
      <c r="U2">
        <f>BDH("SBLUQ US Equity","BS_INVENTORIES","1997-12-21","2002-12-21","Per=Y","Days=T","Dir=V")</f>
        <v>0</v>
      </c>
      <c r="W2">
        <f>BDH("SBLUQ US Equity","WORKING_CAPITAL","1997-12-21","2002-12-21","Per=Y","Days=T","Dir=V")</f>
        <v>0</v>
      </c>
      <c r="Y2">
        <f>BDH("SBLUQ US Equity","SALES_REV_TURN","1997-12-21","2002-12-21","Per=Y","Days=T","Dir=V")</f>
        <v>0</v>
      </c>
      <c r="AA2">
        <f>BDH("SBLUQ US Equity","EBIT","1997-12-21","2002-12-21","Per=Y","Days=T","Dir=V")</f>
        <v>0</v>
      </c>
      <c r="AC2">
        <f>BDH("SBLUQ US Equity","EBITDA","1997-12-21","2002-12-21","Per=Y","Days=T","Dir=V")</f>
        <v>0</v>
      </c>
      <c r="AE2">
        <f>BDH("SBLUQ US Equity","NET_INCOME","1997-12-21","2002-12-21","Per=Y","Days=T","Dir=V")</f>
        <v>0</v>
      </c>
      <c r="AG2">
        <f>BDH("SBLUQ US Equity","IS_INT_EXPENSE","1997-12-21","2002-12-21","Per=Y","Days=T","Dir=V")</f>
        <v>0</v>
      </c>
      <c r="AI2">
        <f>BDH("SBLUQ US Equity","IS_DEPR_EXP","1997-12-21","2002-12-21","Per=Y","Days=T","Dir=V")</f>
        <v>0</v>
      </c>
      <c r="AK2">
        <f>BDH("SBLUQ US Equity","CF_CASH_FROM_OPER","1997-12-21","2002-12-21","Per=Y","Days=T","Dir=V")</f>
        <v>0</v>
      </c>
      <c r="AM2">
        <f>BDH("SBLUQ US Equity","CAPITAL_EXPEND","1997-12-21","2002-12-21","Per=Y","Days=T","Dir=V")</f>
        <v>0</v>
      </c>
      <c r="AO2">
        <f>BDH("SBLUQ US Equity","CF_FREE_CASH_FLOW","1997-12-21","2002-12-21","Per=Y","Days=T","Dir=V")</f>
        <v>0</v>
      </c>
      <c r="AQ2">
        <f>BDH("SBLUQ US Equity","PX_LAST","1997-12-21","2002-12-21","Per=M","Days=T","Dir=V")</f>
        <v>0</v>
      </c>
      <c r="AS2">
        <f>BDH("SBLUQ US Equity","CUR_MKT_CAP","1997-12-21","2002-12-21","Per=M","Days=T","Dir=V")</f>
        <v>0</v>
      </c>
      <c r="AU2">
        <f>BDH("SBLUQ US Equity","EQY_SH_OUT","1997-12-21","2002-12-21","Per=M","Days=T","Dir=V")</f>
        <v>0</v>
      </c>
      <c r="AW2">
        <f>BDH("SBLUQ US Equity","BETA_RAW_OVERRIABLE","1997-12-21","2002-12-21","Per=M","Days=T","Dir=V")</f>
        <v>0</v>
      </c>
      <c r="AY2">
        <f>BDH("SBLUQ US Equity","PX_VOLUME","1997-12-21","2002-12-21","Per=M","Days=T","Dir=V")</f>
        <v>0</v>
      </c>
      <c r="BA2">
        <f>BDH("SBLUQ US Equity","TURNOVER","1997-12-21","2002-12-21","Per=M","Days=T","Dir=V")</f>
        <v>0</v>
      </c>
      <c r="BC2">
        <f>BDH("SBLUQ US Equity","SPREAD_BA_CR","1997-12-21","2002-12-21","Per=M","Days=T","Dir=V")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BDH("FLMIQ US Equity","BS_TOT_ASSET","1998-01-01","2003-01-01","Per=Y","Days=T","Dir=V")</f>
        <v>0</v>
      </c>
      <c r="C2">
        <f>BDH("FLMIQ US Equity","BS_TOT_LIAB2","1998-01-01","2003-01-01","Per=Y","Days=T","Dir=V")</f>
        <v>0</v>
      </c>
      <c r="E2">
        <f>BDH("FLMIQ US Equity","SHORT_AND_LONG_TERM_DEBT","1998-01-01","2003-01-01","Per=Y","Days=T","Dir=V")</f>
        <v>0</v>
      </c>
      <c r="G2">
        <f>BDH("FLMIQ US Equity","BS_ST_BORROW","1998-01-01","2003-01-01","Per=Y","Days=T","Dir=V")</f>
        <v>0</v>
      </c>
      <c r="I2">
        <f>BDH("FLMIQ US Equity","BS_LT_BORROW","1998-01-01","2003-01-01","Per=Y","Days=T","Dir=V")</f>
        <v>0</v>
      </c>
      <c r="K2">
        <f>BDH("FLMIQ US Equity","BS_CASH_NEAR_CASH_ITEM","1998-01-01","2003-01-01","Per=Y","Days=T","Dir=V")</f>
        <v>0</v>
      </c>
      <c r="M2">
        <f>BDH("FLMIQ US Equity","BS_CUR_ASSET_REPORT","1998-01-01","2003-01-01","Per=Y","Days=T","Dir=V")</f>
        <v>0</v>
      </c>
      <c r="O2">
        <f>BDH("FLMIQ US Equity","BS_CUR_LIAB","1998-01-01","2003-01-01","Per=Y","Days=T","Dir=V")</f>
        <v>0</v>
      </c>
      <c r="Q2">
        <f>BDH("FLMIQ US Equity","BS_SHAREHOLDER_EQY_ENDING_PERIOD","1998-01-01","2003-01-01","Per=Y","Days=T","Dir=V")</f>
        <v>0</v>
      </c>
      <c r="S2">
        <f>BDH("FLMIQ US Equity","BS_ACCT_NOTE_RCV","1998-01-01","2003-01-01","Per=Y","Days=T","Dir=V")</f>
        <v>0</v>
      </c>
      <c r="U2">
        <f>BDH("FLMIQ US Equity","BS_INVENTORIES","1998-01-01","2003-01-01","Per=Y","Days=T","Dir=V")</f>
        <v>0</v>
      </c>
      <c r="W2">
        <f>BDH("FLMIQ US Equity","WORKING_CAPITAL","1998-01-01","2003-01-01","Per=Y","Days=T","Dir=V")</f>
        <v>0</v>
      </c>
      <c r="Y2">
        <f>BDH("FLMIQ US Equity","SALES_REV_TURN","1998-01-01","2003-01-01","Per=Y","Days=T","Dir=V")</f>
        <v>0</v>
      </c>
      <c r="AA2">
        <f>BDH("FLMIQ US Equity","EBIT","1998-01-01","2003-01-01","Per=Y","Days=T","Dir=V")</f>
        <v>0</v>
      </c>
      <c r="AC2">
        <f>BDH("FLMIQ US Equity","EBITDA","1998-01-01","2003-01-01","Per=Y","Days=T","Dir=V")</f>
        <v>0</v>
      </c>
      <c r="AE2">
        <f>BDH("FLMIQ US Equity","NET_INCOME","1998-01-01","2003-01-01","Per=Y","Days=T","Dir=V")</f>
        <v>0</v>
      </c>
      <c r="AG2">
        <f>BDH("FLMIQ US Equity","IS_INT_EXPENSE","1998-01-01","2003-01-01","Per=Y","Days=T","Dir=V")</f>
        <v>0</v>
      </c>
      <c r="AI2">
        <f>BDH("FLMIQ US Equity","IS_DEPR_EXP","1998-01-01","2003-01-01","Per=Y","Days=T","Dir=V")</f>
        <v>0</v>
      </c>
      <c r="AK2">
        <f>BDH("FLMIQ US Equity","CF_CASH_FROM_OPER","1998-01-01","2003-01-01","Per=Y","Days=T","Dir=V")</f>
        <v>0</v>
      </c>
      <c r="AM2">
        <f>BDH("FLMIQ US Equity","CAPITAL_EXPEND","1998-01-01","2003-01-01","Per=Y","Days=T","Dir=V")</f>
        <v>0</v>
      </c>
      <c r="AO2">
        <f>BDH("FLMIQ US Equity","CF_FREE_CASH_FLOW","1998-01-01","2003-01-01","Per=Y","Days=T","Dir=V")</f>
        <v>0</v>
      </c>
      <c r="AQ2">
        <f>BDH("FLMIQ US Equity","PX_LAST","1998-01-01","2003-01-01","Per=M","Days=T","Dir=V")</f>
        <v>0</v>
      </c>
      <c r="AS2">
        <f>BDH("FLMIQ US Equity","CUR_MKT_CAP","1998-01-01","2003-01-01","Per=M","Days=T","Dir=V")</f>
        <v>0</v>
      </c>
      <c r="AU2">
        <f>BDH("FLMIQ US Equity","EQY_SH_OUT","1998-01-01","2003-01-01","Per=M","Days=T","Dir=V")</f>
        <v>0</v>
      </c>
      <c r="AW2">
        <f>BDH("FLMIQ US Equity","BETA_RAW_OVERRIABLE","1998-01-01","2003-01-01","Per=M","Days=T","Dir=V")</f>
        <v>0</v>
      </c>
      <c r="AY2">
        <f>BDH("FLMIQ US Equity","PX_VOLUME","1998-01-01","2003-01-01","Per=M","Days=T","Dir=V")</f>
        <v>0</v>
      </c>
      <c r="BA2">
        <f>BDH("FLMIQ US Equity","TURNOVER","1998-01-01","2003-01-01","Per=M","Days=T","Dir=V")</f>
        <v>0</v>
      </c>
      <c r="BC2">
        <f>BDH("FLMIQ US Equity","SPREAD_BA_CR","1998-01-01","2003-01-01","Per=M","Days=T","Dir=V")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BDH("ACTRQ US Equity","BS_TOT_ASSET","1998-02-05","2003-02-05","Per=Y","Days=T","Dir=V")</f>
        <v>0</v>
      </c>
      <c r="C2">
        <f>BDH("ACTRQ US Equity","BS_TOT_LIAB2","1998-02-05","2003-02-05","Per=Y","Days=T","Dir=V")</f>
        <v>0</v>
      </c>
      <c r="E2">
        <f>BDH("ACTRQ US Equity","SHORT_AND_LONG_TERM_DEBT","1998-02-05","2003-02-05","Per=Y","Days=T","Dir=V")</f>
        <v>0</v>
      </c>
      <c r="G2">
        <f>BDH("ACTRQ US Equity","BS_ST_BORROW","1998-02-05","2003-02-05","Per=Y","Days=T","Dir=V")</f>
        <v>0</v>
      </c>
      <c r="I2">
        <f>BDH("ACTRQ US Equity","BS_LT_BORROW","1998-02-05","2003-02-05","Per=Y","Days=T","Dir=V")</f>
        <v>0</v>
      </c>
      <c r="K2">
        <f>BDH("ACTRQ US Equity","BS_CASH_NEAR_CASH_ITEM","1998-02-05","2003-02-05","Per=Y","Days=T","Dir=V")</f>
        <v>0</v>
      </c>
      <c r="M2">
        <f>BDH("ACTRQ US Equity","BS_CUR_ASSET_REPORT","1998-02-05","2003-02-05","Per=Y","Days=T","Dir=V")</f>
        <v>0</v>
      </c>
      <c r="O2">
        <f>BDH("ACTRQ US Equity","BS_CUR_LIAB","1998-02-05","2003-02-05","Per=Y","Days=T","Dir=V")</f>
        <v>0</v>
      </c>
      <c r="Q2">
        <f>BDH("ACTRQ US Equity","BS_SHAREHOLDER_EQY_ENDING_PERIOD","1998-02-05","2003-02-05","Per=Y","Days=T","Dir=V")</f>
        <v>0</v>
      </c>
      <c r="S2">
        <f>BDH("ACTRQ US Equity","BS_ACCT_NOTE_RCV","1998-02-05","2003-02-05","Per=Y","Days=T","Dir=V")</f>
        <v>0</v>
      </c>
      <c r="U2">
        <f>BDH("ACTRQ US Equity","BS_INVENTORIES","1998-02-05","2003-02-05","Per=Y","Days=T","Dir=V")</f>
        <v>0</v>
      </c>
      <c r="W2">
        <f>BDH("ACTRQ US Equity","WORKING_CAPITAL","1998-02-05","2003-02-05","Per=Y","Days=T","Dir=V")</f>
        <v>0</v>
      </c>
      <c r="Y2">
        <f>BDH("ACTRQ US Equity","SALES_REV_TURN","1998-02-05","2003-02-05","Per=Y","Days=T","Dir=V")</f>
        <v>0</v>
      </c>
      <c r="AA2">
        <f>BDH("ACTRQ US Equity","EBIT","1998-02-05","2003-02-05","Per=Y","Days=T","Dir=V")</f>
        <v>0</v>
      </c>
      <c r="AC2">
        <f>BDH("ACTRQ US Equity","EBITDA","1998-02-05","2003-02-05","Per=Y","Days=T","Dir=V")</f>
        <v>0</v>
      </c>
      <c r="AE2">
        <f>BDH("ACTRQ US Equity","NET_INCOME","1998-02-05","2003-02-05","Per=Y","Days=T","Dir=V")</f>
        <v>0</v>
      </c>
      <c r="AG2">
        <f>BDH("ACTRQ US Equity","IS_INT_EXPENSE","1998-02-05","2003-02-05","Per=Y","Days=T","Dir=V")</f>
        <v>0</v>
      </c>
      <c r="AI2">
        <f>BDH("ACTRQ US Equity","IS_DEPR_EXP","1998-02-05","2003-02-05","Per=Y","Days=T","Dir=V")</f>
        <v>0</v>
      </c>
      <c r="AK2">
        <f>BDH("ACTRQ US Equity","CF_CASH_FROM_OPER","1998-02-05","2003-02-05","Per=Y","Days=T","Dir=V")</f>
        <v>0</v>
      </c>
      <c r="AM2">
        <f>BDH("ACTRQ US Equity","CAPITAL_EXPEND","1998-02-05","2003-02-05","Per=Y","Days=T","Dir=V")</f>
        <v>0</v>
      </c>
      <c r="AO2">
        <f>BDH("ACTRQ US Equity","CF_FREE_CASH_FLOW","1998-02-05","2003-02-05","Per=Y","Days=T","Dir=V")</f>
        <v>0</v>
      </c>
      <c r="AQ2">
        <f>BDH("ACTRQ US Equity","PX_LAST","1998-02-05","2003-02-05","Per=M","Days=T","Dir=V")</f>
        <v>0</v>
      </c>
      <c r="AS2">
        <f>BDH("ACTRQ US Equity","CUR_MKT_CAP","1998-02-05","2003-02-05","Per=M","Days=T","Dir=V")</f>
        <v>0</v>
      </c>
      <c r="AU2">
        <f>BDH("ACTRQ US Equity","EQY_SH_OUT","1998-02-05","2003-02-05","Per=M","Days=T","Dir=V")</f>
        <v>0</v>
      </c>
      <c r="AW2">
        <f>BDH("ACTRQ US Equity","BETA_RAW_OVERRIABLE","1998-02-05","2003-02-05","Per=M","Days=T","Dir=V")</f>
        <v>0</v>
      </c>
      <c r="AY2">
        <f>BDH("ACTRQ US Equity","PX_VOLUME","1998-02-05","2003-02-05","Per=M","Days=T","Dir=V")</f>
        <v>0</v>
      </c>
      <c r="BA2">
        <f>BDH("ACTRQ US Equity","TURNOVER","1998-02-05","2003-02-05","Per=M","Days=T","Dir=V")</f>
        <v>0</v>
      </c>
      <c r="BC2">
        <f>BDH("ACTRQ US Equity","SPREAD_BA_CR","1998-02-05","2003-02-05","Per=M","Days=T","Dir=V")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BDH("DZTKQ US Equity","BS_TOT_ASSET","1998-02-06","2003-02-06","Per=Y","Days=T","Dir=V")</f>
        <v>0</v>
      </c>
      <c r="C2">
        <f>BDH("DZTKQ US Equity","BS_TOT_LIAB2","1998-02-06","2003-02-06","Per=Y","Days=T","Dir=V")</f>
        <v>0</v>
      </c>
      <c r="E2">
        <f>BDH("DZTKQ US Equity","SHORT_AND_LONG_TERM_DEBT","1998-02-06","2003-02-06","Per=Y","Days=T","Dir=V")</f>
        <v>0</v>
      </c>
      <c r="G2">
        <f>BDH("DZTKQ US Equity","BS_ST_BORROW","1998-02-06","2003-02-06","Per=Y","Days=T","Dir=V")</f>
        <v>0</v>
      </c>
      <c r="I2">
        <f>BDH("DZTKQ US Equity","BS_LT_BORROW","1998-02-06","2003-02-06","Per=Y","Days=T","Dir=V")</f>
        <v>0</v>
      </c>
      <c r="K2">
        <f>BDH("DZTKQ US Equity","BS_CASH_NEAR_CASH_ITEM","1998-02-06","2003-02-06","Per=Y","Days=T","Dir=V")</f>
        <v>0</v>
      </c>
      <c r="M2">
        <f>BDH("DZTKQ US Equity","BS_CUR_ASSET_REPORT","1998-02-06","2003-02-06","Per=Y","Days=T","Dir=V")</f>
        <v>0</v>
      </c>
      <c r="O2">
        <f>BDH("DZTKQ US Equity","BS_CUR_LIAB","1998-02-06","2003-02-06","Per=Y","Days=T","Dir=V")</f>
        <v>0</v>
      </c>
      <c r="Q2">
        <f>BDH("DZTKQ US Equity","BS_SHAREHOLDER_EQY_ENDING_PERIOD","1998-02-06","2003-02-06","Per=Y","Days=T","Dir=V")</f>
        <v>0</v>
      </c>
      <c r="S2">
        <f>BDH("DZTKQ US Equity","BS_ACCT_NOTE_RCV","1998-02-06","2003-02-06","Per=Y","Days=T","Dir=V")</f>
        <v>0</v>
      </c>
      <c r="U2">
        <f>BDH("DZTKQ US Equity","BS_INVENTORIES","1998-02-06","2003-02-06","Per=Y","Days=T","Dir=V")</f>
        <v>0</v>
      </c>
      <c r="W2">
        <f>BDH("DZTKQ US Equity","WORKING_CAPITAL","1998-02-06","2003-02-06","Per=Y","Days=T","Dir=V")</f>
        <v>0</v>
      </c>
      <c r="Y2">
        <f>BDH("DZTKQ US Equity","SALES_REV_TURN","1998-02-06","2003-02-06","Per=Y","Days=T","Dir=V")</f>
        <v>0</v>
      </c>
      <c r="AA2">
        <f>BDH("DZTKQ US Equity","EBIT","1998-02-06","2003-02-06","Per=Y","Days=T","Dir=V")</f>
        <v>0</v>
      </c>
      <c r="AC2">
        <f>BDH("DZTKQ US Equity","EBITDA","1998-02-06","2003-02-06","Per=Y","Days=T","Dir=V")</f>
        <v>0</v>
      </c>
      <c r="AE2">
        <f>BDH("DZTKQ US Equity","NET_INCOME","1998-02-06","2003-02-06","Per=Y","Days=T","Dir=V")</f>
        <v>0</v>
      </c>
      <c r="AG2">
        <f>BDH("DZTKQ US Equity","IS_INT_EXPENSE","1998-02-06","2003-02-06","Per=Y","Days=T","Dir=V")</f>
        <v>0</v>
      </c>
      <c r="AI2">
        <f>BDH("DZTKQ US Equity","IS_DEPR_EXP","1998-02-06","2003-02-06","Per=Y","Days=T","Dir=V")</f>
        <v>0</v>
      </c>
      <c r="AK2">
        <f>BDH("DZTKQ US Equity","CF_CASH_FROM_OPER","1998-02-06","2003-02-06","Per=Y","Days=T","Dir=V")</f>
        <v>0</v>
      </c>
      <c r="AM2">
        <f>BDH("DZTKQ US Equity","CAPITAL_EXPEND","1998-02-06","2003-02-06","Per=Y","Days=T","Dir=V")</f>
        <v>0</v>
      </c>
      <c r="AO2">
        <f>BDH("DZTKQ US Equity","CF_FREE_CASH_FLOW","1998-02-06","2003-02-06","Per=Y","Days=T","Dir=V")</f>
        <v>0</v>
      </c>
      <c r="AQ2">
        <f>BDH("DZTKQ US Equity","PX_LAST","1998-02-06","2003-02-06","Per=M","Days=T","Dir=V")</f>
        <v>0</v>
      </c>
      <c r="AS2">
        <f>BDH("DZTKQ US Equity","CUR_MKT_CAP","1998-02-06","2003-02-06","Per=M","Days=T","Dir=V")</f>
        <v>0</v>
      </c>
      <c r="AU2">
        <f>BDH("DZTKQ US Equity","EQY_SH_OUT","1998-02-06","2003-02-06","Per=M","Days=T","Dir=V")</f>
        <v>0</v>
      </c>
      <c r="AW2">
        <f>BDH("DZTKQ US Equity","BETA_RAW_OVERRIABLE","1998-02-06","2003-02-06","Per=M","Days=T","Dir=V")</f>
        <v>0</v>
      </c>
      <c r="AY2">
        <f>BDH("DZTKQ US Equity","PX_VOLUME","1998-02-06","2003-02-06","Per=M","Days=T","Dir=V")</f>
        <v>0</v>
      </c>
      <c r="BA2">
        <f>BDH("DZTKQ US Equity","TURNOVER","1998-02-06","2003-02-06","Per=M","Days=T","Dir=V")</f>
        <v>0</v>
      </c>
      <c r="BC2">
        <f>BDH("DZTKQ US Equity","SPREAD_BA_CR","1998-02-06","2003-02-06","Per=M","Days=T","Dir=V")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BDH("MSPIQ US Equity","BS_TOT_ASSET","1998-02-14","2003-02-14","Per=Y","Days=T","Dir=V")</f>
        <v>0</v>
      </c>
      <c r="C2">
        <f>BDH("MSPIQ US Equity","BS_TOT_LIAB2","1998-02-14","2003-02-14","Per=Y","Days=T","Dir=V")</f>
        <v>0</v>
      </c>
      <c r="E2">
        <f>BDH("MSPIQ US Equity","SHORT_AND_LONG_TERM_DEBT","1998-02-14","2003-02-14","Per=Y","Days=T","Dir=V")</f>
        <v>0</v>
      </c>
      <c r="G2">
        <f>BDH("MSPIQ US Equity","BS_ST_BORROW","1998-02-14","2003-02-14","Per=Y","Days=T","Dir=V")</f>
        <v>0</v>
      </c>
      <c r="I2">
        <f>BDH("MSPIQ US Equity","BS_LT_BORROW","1998-02-14","2003-02-14","Per=Y","Days=T","Dir=V")</f>
        <v>0</v>
      </c>
      <c r="K2">
        <f>BDH("MSPIQ US Equity","BS_CASH_NEAR_CASH_ITEM","1998-02-14","2003-02-14","Per=Y","Days=T","Dir=V")</f>
        <v>0</v>
      </c>
      <c r="M2">
        <f>BDH("MSPIQ US Equity","BS_CUR_ASSET_REPORT","1998-02-14","2003-02-14","Per=Y","Days=T","Dir=V")</f>
        <v>0</v>
      </c>
      <c r="O2">
        <f>BDH("MSPIQ US Equity","BS_CUR_LIAB","1998-02-14","2003-02-14","Per=Y","Days=T","Dir=V")</f>
        <v>0</v>
      </c>
      <c r="Q2">
        <f>BDH("MSPIQ US Equity","BS_SHAREHOLDER_EQY_ENDING_PERIOD","1998-02-14","2003-02-14","Per=Y","Days=T","Dir=V")</f>
        <v>0</v>
      </c>
      <c r="S2">
        <f>BDH("MSPIQ US Equity","BS_ACCT_NOTE_RCV","1998-02-14","2003-02-14","Per=Y","Days=T","Dir=V")</f>
        <v>0</v>
      </c>
      <c r="U2">
        <f>BDH("MSPIQ US Equity","BS_INVENTORIES","1998-02-14","2003-02-14","Per=Y","Days=T","Dir=V")</f>
        <v>0</v>
      </c>
      <c r="W2">
        <f>BDH("MSPIQ US Equity","WORKING_CAPITAL","1998-02-14","2003-02-14","Per=Y","Days=T","Dir=V")</f>
        <v>0</v>
      </c>
      <c r="Y2">
        <f>BDH("MSPIQ US Equity","SALES_REV_TURN","1998-02-14","2003-02-14","Per=Y","Days=T","Dir=V")</f>
        <v>0</v>
      </c>
      <c r="AA2">
        <f>BDH("MSPIQ US Equity","EBIT","1998-02-14","2003-02-14","Per=Y","Days=T","Dir=V")</f>
        <v>0</v>
      </c>
      <c r="AC2">
        <f>BDH("MSPIQ US Equity","EBITDA","1998-02-14","2003-02-14","Per=Y","Days=T","Dir=V")</f>
        <v>0</v>
      </c>
      <c r="AE2">
        <f>BDH("MSPIQ US Equity","NET_INCOME","1998-02-14","2003-02-14","Per=Y","Days=T","Dir=V")</f>
        <v>0</v>
      </c>
      <c r="AG2">
        <f>BDH("MSPIQ US Equity","IS_INT_EXPENSE","1998-02-14","2003-02-14","Per=Y","Days=T","Dir=V")</f>
        <v>0</v>
      </c>
      <c r="AI2">
        <f>BDH("MSPIQ US Equity","IS_DEPR_EXP","1998-02-14","2003-02-14","Per=Y","Days=T","Dir=V")</f>
        <v>0</v>
      </c>
      <c r="AK2">
        <f>BDH("MSPIQ US Equity","CF_CASH_FROM_OPER","1998-02-14","2003-02-14","Per=Y","Days=T","Dir=V")</f>
        <v>0</v>
      </c>
      <c r="AM2">
        <f>BDH("MSPIQ US Equity","CAPITAL_EXPEND","1998-02-14","2003-02-14","Per=Y","Days=T","Dir=V")</f>
        <v>0</v>
      </c>
      <c r="AO2">
        <f>BDH("MSPIQ US Equity","CF_FREE_CASH_FLOW","1998-02-14","2003-02-14","Per=Y","Days=T","Dir=V")</f>
        <v>0</v>
      </c>
      <c r="AQ2">
        <f>BDH("MSPIQ US Equity","PX_LAST","1998-02-14","2003-02-14","Per=M","Days=T","Dir=V")</f>
        <v>0</v>
      </c>
      <c r="AS2">
        <f>BDH("MSPIQ US Equity","CUR_MKT_CAP","1998-02-14","2003-02-14","Per=M","Days=T","Dir=V")</f>
        <v>0</v>
      </c>
      <c r="AU2">
        <f>BDH("MSPIQ US Equity","EQY_SH_OUT","1998-02-14","2003-02-14","Per=M","Days=T","Dir=V")</f>
        <v>0</v>
      </c>
      <c r="AW2">
        <f>BDH("MSPIQ US Equity","BETA_RAW_OVERRIABLE","1998-02-14","2003-02-14","Per=M","Days=T","Dir=V")</f>
        <v>0</v>
      </c>
      <c r="AY2">
        <f>BDH("MSPIQ US Equity","PX_VOLUME","1998-02-14","2003-02-14","Per=M","Days=T","Dir=V")</f>
        <v>0</v>
      </c>
      <c r="BA2">
        <f>BDH("MSPIQ US Equity","TURNOVER","1998-02-14","2003-02-14","Per=M","Days=T","Dir=V")</f>
        <v>0</v>
      </c>
      <c r="BC2">
        <f>BDH("MSPIQ US Equity","SPREAD_BA_CR","1998-02-14","2003-02-14","Per=M","Days=T","Dir=V")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360</v>
      </c>
      <c r="B1" t="s">
        <v>361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375</v>
      </c>
      <c r="Q1" t="s">
        <v>376</v>
      </c>
      <c r="R1" t="s">
        <v>377</v>
      </c>
      <c r="S1" t="s">
        <v>378</v>
      </c>
      <c r="T1" t="s">
        <v>379</v>
      </c>
      <c r="U1" t="s">
        <v>380</v>
      </c>
      <c r="V1" t="s">
        <v>381</v>
      </c>
      <c r="W1" t="s">
        <v>382</v>
      </c>
      <c r="X1" t="s">
        <v>383</v>
      </c>
      <c r="Y1" t="s">
        <v>384</v>
      </c>
      <c r="Z1" t="s">
        <v>385</v>
      </c>
      <c r="AA1" t="s">
        <v>386</v>
      </c>
      <c r="AB1" t="s">
        <v>387</v>
      </c>
      <c r="AC1" t="s">
        <v>388</v>
      </c>
      <c r="AD1" t="s">
        <v>389</v>
      </c>
      <c r="AE1" t="s">
        <v>390</v>
      </c>
      <c r="AF1" t="s">
        <v>391</v>
      </c>
      <c r="AG1" t="s">
        <v>392</v>
      </c>
      <c r="AH1" t="s">
        <v>393</v>
      </c>
      <c r="AI1" t="s">
        <v>394</v>
      </c>
      <c r="AJ1" t="s">
        <v>395</v>
      </c>
      <c r="AK1" t="s">
        <v>396</v>
      </c>
      <c r="AL1" t="s">
        <v>397</v>
      </c>
      <c r="AM1" t="s">
        <v>398</v>
      </c>
      <c r="AN1" t="s">
        <v>399</v>
      </c>
      <c r="AO1" t="s">
        <v>400</v>
      </c>
      <c r="AP1" t="s">
        <v>401</v>
      </c>
      <c r="AQ1" t="s">
        <v>402</v>
      </c>
      <c r="AR1" t="s">
        <v>403</v>
      </c>
      <c r="AS1" t="s">
        <v>404</v>
      </c>
      <c r="AT1" t="s">
        <v>405</v>
      </c>
      <c r="AU1" t="s">
        <v>406</v>
      </c>
      <c r="AV1" t="s">
        <v>407</v>
      </c>
      <c r="AW1" t="s">
        <v>408</v>
      </c>
      <c r="AX1" t="s">
        <v>409</v>
      </c>
      <c r="AY1" t="s">
        <v>410</v>
      </c>
      <c r="AZ1" t="s">
        <v>411</v>
      </c>
      <c r="BA1" t="s">
        <v>412</v>
      </c>
      <c r="BB1" t="s">
        <v>413</v>
      </c>
      <c r="BC1" t="s">
        <v>414</v>
      </c>
      <c r="BD1" t="s">
        <v>415</v>
      </c>
    </row>
    <row r="2" spans="1:56">
      <c r="A2">
        <f>BDH("RDRTQ US Equity","BS_TOT_ASSET","1998-03-19","2003-03-19","Per=Y","Days=T","Dir=V")</f>
        <v>0</v>
      </c>
      <c r="C2">
        <f>BDH("RDRTQ US Equity","BS_TOT_LIAB2","1998-03-19","2003-03-19","Per=Y","Days=T","Dir=V")</f>
        <v>0</v>
      </c>
      <c r="E2">
        <f>BDH("RDRTQ US Equity","SHORT_AND_LONG_TERM_DEBT","1998-03-19","2003-03-19","Per=Y","Days=T","Dir=V")</f>
        <v>0</v>
      </c>
      <c r="G2">
        <f>BDH("RDRTQ US Equity","BS_ST_BORROW","1998-03-19","2003-03-19","Per=Y","Days=T","Dir=V")</f>
        <v>0</v>
      </c>
      <c r="I2">
        <f>BDH("RDRTQ US Equity","BS_LT_BORROW","1998-03-19","2003-03-19","Per=Y","Days=T","Dir=V")</f>
        <v>0</v>
      </c>
      <c r="K2">
        <f>BDH("RDRTQ US Equity","BS_CASH_NEAR_CASH_ITEM","1998-03-19","2003-03-19","Per=Y","Days=T","Dir=V")</f>
        <v>0</v>
      </c>
      <c r="M2">
        <f>BDH("RDRTQ US Equity","BS_CUR_ASSET_REPORT","1998-03-19","2003-03-19","Per=Y","Days=T","Dir=V")</f>
        <v>0</v>
      </c>
      <c r="O2">
        <f>BDH("RDRTQ US Equity","BS_CUR_LIAB","1998-03-19","2003-03-19","Per=Y","Days=T","Dir=V")</f>
        <v>0</v>
      </c>
      <c r="Q2">
        <f>BDH("RDRTQ US Equity","BS_SHAREHOLDER_EQY_ENDING_PERIOD","1998-03-19","2003-03-19","Per=Y","Days=T","Dir=V")</f>
        <v>0</v>
      </c>
      <c r="S2">
        <f>BDH("RDRTQ US Equity","BS_ACCT_NOTE_RCV","1998-03-19","2003-03-19","Per=Y","Days=T","Dir=V")</f>
        <v>0</v>
      </c>
      <c r="U2">
        <f>BDH("RDRTQ US Equity","BS_INVENTORIES","1998-03-19","2003-03-19","Per=Y","Days=T","Dir=V")</f>
        <v>0</v>
      </c>
      <c r="W2">
        <f>BDH("RDRTQ US Equity","WORKING_CAPITAL","1998-03-19","2003-03-19","Per=Y","Days=T","Dir=V")</f>
        <v>0</v>
      </c>
      <c r="Y2">
        <f>BDH("RDRTQ US Equity","SALES_REV_TURN","1998-03-19","2003-03-19","Per=Y","Days=T","Dir=V")</f>
        <v>0</v>
      </c>
      <c r="AA2">
        <f>BDH("RDRTQ US Equity","EBIT","1998-03-19","2003-03-19","Per=Y","Days=T","Dir=V")</f>
        <v>0</v>
      </c>
      <c r="AC2">
        <f>BDH("RDRTQ US Equity","EBITDA","1998-03-19","2003-03-19","Per=Y","Days=T","Dir=V")</f>
        <v>0</v>
      </c>
      <c r="AE2">
        <f>BDH("RDRTQ US Equity","NET_INCOME","1998-03-19","2003-03-19","Per=Y","Days=T","Dir=V")</f>
        <v>0</v>
      </c>
      <c r="AG2">
        <f>BDH("RDRTQ US Equity","IS_INT_EXPENSE","1998-03-19","2003-03-19","Per=Y","Days=T","Dir=V")</f>
        <v>0</v>
      </c>
      <c r="AI2">
        <f>BDH("RDRTQ US Equity","IS_DEPR_EXP","1998-03-19","2003-03-19","Per=Y","Days=T","Dir=V")</f>
        <v>0</v>
      </c>
      <c r="AK2">
        <f>BDH("RDRTQ US Equity","CF_CASH_FROM_OPER","1998-03-19","2003-03-19","Per=Y","Days=T","Dir=V")</f>
        <v>0</v>
      </c>
      <c r="AM2">
        <f>BDH("RDRTQ US Equity","CAPITAL_EXPEND","1998-03-19","2003-03-19","Per=Y","Days=T","Dir=V")</f>
        <v>0</v>
      </c>
      <c r="AO2">
        <f>BDH("RDRTQ US Equity","CF_FREE_CASH_FLOW","1998-03-19","2003-03-19","Per=Y","Days=T","Dir=V")</f>
        <v>0</v>
      </c>
      <c r="AQ2">
        <f>BDH("RDRTQ US Equity","PX_LAST","1998-03-19","2003-03-19","Per=M","Days=T","Dir=V")</f>
        <v>0</v>
      </c>
      <c r="AS2">
        <f>BDH("RDRTQ US Equity","CUR_MKT_CAP","1998-03-19","2003-03-19","Per=M","Days=T","Dir=V")</f>
        <v>0</v>
      </c>
      <c r="AU2">
        <f>BDH("RDRTQ US Equity","EQY_SH_OUT","1998-03-19","2003-03-19","Per=M","Days=T","Dir=V")</f>
        <v>0</v>
      </c>
      <c r="AW2">
        <f>BDH("RDRTQ US Equity","BETA_RAW_OVERRIABLE","1998-03-19","2003-03-19","Per=M","Days=T","Dir=V")</f>
        <v>0</v>
      </c>
      <c r="AY2">
        <f>BDH("RDRTQ US Equity","PX_VOLUME","1998-03-19","2003-03-19","Per=M","Days=T","Dir=V")</f>
        <v>0</v>
      </c>
      <c r="BA2">
        <f>BDH("RDRTQ US Equity","TURNOVER","1998-03-19","2003-03-19","Per=M","Days=T","Dir=V")</f>
        <v>0</v>
      </c>
      <c r="BC2">
        <f>BDH("RDRTQ US Equity","SPREAD_BA_CR","1998-03-19","2003-03-19","Per=M","Days=T","Dir=V")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SA_222_Sun Television and Appli</vt:lpstr>
      <vt:lpstr>SA_187_Boston Chicken, Inc.</vt:lpstr>
      <vt:lpstr>SA_135_JumboSports, Inc.</vt:lpstr>
      <vt:lpstr>SA_4_Salant Corp. (1998)</vt:lpstr>
      <vt:lpstr>SA_26_Wireless One, Inc.</vt:lpstr>
      <vt:lpstr>SA_172_Penn Traffic Co (1999)</vt:lpstr>
      <vt:lpstr>SA_80_Service Merchandise Compa</vt:lpstr>
      <vt:lpstr>SA_134_Costilla Energy, Inc.</vt:lpstr>
      <vt:lpstr>SA_52_Trism, Inc.</vt:lpstr>
      <vt:lpstr>SA_145_Just For Feet, Inc.</vt:lpstr>
      <vt:lpstr>SA_75_Tultex Corporation</vt:lpstr>
      <vt:lpstr>SA_234_American Banknote Corpor</vt:lpstr>
      <vt:lpstr>SA_59_Mariner Post-Acute Networ</vt:lpstr>
      <vt:lpstr>SA_263_Kitty Hawk, Inc.</vt:lpstr>
      <vt:lpstr>SA_130_System Software Associat</vt:lpstr>
      <vt:lpstr>SA_9_Coram Healthcare Corp.</vt:lpstr>
      <vt:lpstr>SA_51_Owens Corning</vt:lpstr>
      <vt:lpstr>SA_215_CareMatrix Corp.</vt:lpstr>
      <vt:lpstr>SA_173_ICG Communications, Inc.</vt:lpstr>
      <vt:lpstr>SA_280_Northwestern Steel &amp; Wir</vt:lpstr>
      <vt:lpstr>SA_90_Pacific Gateway Exchange,</vt:lpstr>
      <vt:lpstr>SA_143_PSINet Inc.</vt:lpstr>
      <vt:lpstr>SA_162_Federal-Mogul Corporatio</vt:lpstr>
      <vt:lpstr>SA_176_ANC Rental Corp.</vt:lpstr>
      <vt:lpstr>SA_220_Classic Communications, </vt:lpstr>
      <vt:lpstr>SA_238_Burlington Industries, I</vt:lpstr>
      <vt:lpstr>SA_10_Valley Media Inc.</vt:lpstr>
      <vt:lpstr>SA_290_Hayes Lemmerz Internatio</vt:lpstr>
      <vt:lpstr>SA_84_Startec Global Communicat</vt:lpstr>
      <vt:lpstr>SA_160_IT Group, Inc.</vt:lpstr>
      <vt:lpstr>SA_99_Verado Holdings, Inc.</vt:lpstr>
      <vt:lpstr>SA_77_Kellstrom Industries, Inc</vt:lpstr>
      <vt:lpstr>SA_240_National Steel Corp.</vt:lpstr>
      <vt:lpstr>SA_3_U.S. Aggregates, Inc.</vt:lpstr>
      <vt:lpstr>SA_219_Anchor Glass Container C</vt:lpstr>
      <vt:lpstr>SA_118_Metromedia Fiber Network</vt:lpstr>
      <vt:lpstr>SA_308_Pentacon Inc.</vt:lpstr>
      <vt:lpstr>SA_131_Birmingham Steel Corp.</vt:lpstr>
      <vt:lpstr>SA_36_NewPower Holdings, Inc.</vt:lpstr>
      <vt:lpstr>SA_253_US Airways Group, Inc. (</vt:lpstr>
      <vt:lpstr>SA_223_Consolidated Freightways</vt:lpstr>
      <vt:lpstr>SA_45_Genuity Inc.</vt:lpstr>
      <vt:lpstr>SA_58_Seven Seas Petroleum, Inc</vt:lpstr>
      <vt:lpstr>SA_271_Spiegel Inc.</vt:lpstr>
      <vt:lpstr>SA_22_SONICblue, Inc.</vt:lpstr>
      <vt:lpstr>SA_166_Fleming Companies, Inc.</vt:lpstr>
      <vt:lpstr>SA_235_Acterna Corp.</vt:lpstr>
      <vt:lpstr>SA_178_DaisyTek International C</vt:lpstr>
      <vt:lpstr>SA_277_Mississippi Chemical Cor</vt:lpstr>
      <vt:lpstr>SA_140_Read-Rite Corp.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2026-09-30T16:51:34Z</dcterms:created>
  <dcterms:modified xsi:type="dcterms:W3CDTF">2026-09-30T16:51:34Z</dcterms:modified>
</cp:coreProperties>
</file>