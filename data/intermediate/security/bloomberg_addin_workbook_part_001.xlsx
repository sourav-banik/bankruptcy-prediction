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SA_222_Sun Television and Appli" sheetId="2" r:id="rId2"/>
    <sheet name="SA_187_Boston Chicken, Inc." sheetId="3" r:id="rId3"/>
    <sheet name="SA_135_JumboSports, Inc." sheetId="4" r:id="rId4"/>
    <sheet name="SA_4_Salant Corp. (1998)" sheetId="5" r:id="rId5"/>
    <sheet name="SA_26_Wireless One, Inc." sheetId="6" r:id="rId6"/>
    <sheet name="SA_172_Penn Traffic Co (1999)" sheetId="7" r:id="rId7"/>
    <sheet name="SA_80_Service Merchandise Compa" sheetId="8" r:id="rId8"/>
    <sheet name="SA_134_Costilla Energy, Inc." sheetId="9" r:id="rId9"/>
    <sheet name="SA_52_Trism, Inc." sheetId="10" r:id="rId10"/>
    <sheet name="SA_145_Just For Feet, Inc." sheetId="11" r:id="rId11"/>
    <sheet name="SA_75_Tultex Corporation" sheetId="12" r:id="rId12"/>
    <sheet name="SA_234_American Banknote Corpor" sheetId="13" r:id="rId13"/>
    <sheet name="SA_59_Mariner Post-Acute Networ" sheetId="14" r:id="rId14"/>
    <sheet name="SA_263_Kitty Hawk, Inc." sheetId="15" r:id="rId15"/>
    <sheet name="SA_130_System Software Associat" sheetId="16" r:id="rId16"/>
    <sheet name="SA_9_Coram Healthcare Corp." sheetId="17" r:id="rId17"/>
    <sheet name="SA_51_Owens Corning" sheetId="18" r:id="rId18"/>
    <sheet name="SA_215_CareMatrix Corp." sheetId="19" r:id="rId19"/>
    <sheet name="SA_173_ICG Communications, Inc." sheetId="20" r:id="rId20"/>
    <sheet name="SA_280_Northwestern Steel &amp; Wir" sheetId="21" r:id="rId21"/>
    <sheet name="SA_90_Pacific Gateway Exchange," sheetId="22" r:id="rId22"/>
    <sheet name="SA_143_PSINet Inc." sheetId="23" r:id="rId23"/>
    <sheet name="SA_162_Federal-Mogul Corporatio" sheetId="24" r:id="rId24"/>
    <sheet name="SA_176_ANC Rental Corp." sheetId="25" r:id="rId25"/>
    <sheet name="SA_220_Classic Communications, " sheetId="26" r:id="rId26"/>
    <sheet name="SA_238_Burlington Industries, I" sheetId="27" r:id="rId27"/>
    <sheet name="SA_10_Valley Media Inc." sheetId="28" r:id="rId28"/>
    <sheet name="SA_290_Hayes Lemmerz Internatio" sheetId="29" r:id="rId29"/>
    <sheet name="SA_84_Startec Global Communicat" sheetId="30" r:id="rId30"/>
    <sheet name="SA_160_IT Group, Inc." sheetId="31" r:id="rId31"/>
    <sheet name="SA_99_Verado Holdings, Inc." sheetId="32" r:id="rId32"/>
    <sheet name="SA_77_Kellstrom Industries, Inc" sheetId="33" r:id="rId33"/>
    <sheet name="SA_240_National Steel Corp." sheetId="34" r:id="rId34"/>
    <sheet name="SA_3_U.S. Aggregates, Inc." sheetId="35" r:id="rId35"/>
    <sheet name="SA_219_Anchor Glass Container C" sheetId="36" r:id="rId36"/>
    <sheet name="SA_118_Metromedia Fiber Network" sheetId="37" r:id="rId37"/>
    <sheet name="SA_308_Pentacon Inc." sheetId="38" r:id="rId38"/>
    <sheet name="SA_131_Birmingham Steel Corp." sheetId="39" r:id="rId39"/>
    <sheet name="SA_36_NewPower Holdings, Inc." sheetId="40" r:id="rId40"/>
    <sheet name="SA_253_US Airways Group, Inc. (" sheetId="41" r:id="rId41"/>
    <sheet name="SA_223_Consolidated Freightways" sheetId="42" r:id="rId42"/>
    <sheet name="SA_45_Genuity Inc." sheetId="43" r:id="rId43"/>
    <sheet name="SA_58_Seven Seas Petroleum, Inc" sheetId="44" r:id="rId44"/>
    <sheet name="SA_271_Spiegel Inc." sheetId="45" r:id="rId45"/>
    <sheet name="SA_22_SONICblue, Inc." sheetId="46" r:id="rId46"/>
    <sheet name="SA_166_Fleming Companies, Inc." sheetId="47" r:id="rId47"/>
    <sheet name="SA_235_Acterna Corp." sheetId="48" r:id="rId48"/>
    <sheet name="SA_178_DaisyTek International C" sheetId="49" r:id="rId49"/>
    <sheet name="SA_277_Mississippi Chemical Cor" sheetId="50" r:id="rId50"/>
    <sheet name="SA_140_Read-Rite Corp." sheetId="51" r:id="rId51"/>
    <sheet name="SA_105_National Equipment Servi" sheetId="52" r:id="rId52"/>
    <sheet name="SA_203_Crown Pacific Partners L" sheetId="53" r:id="rId53"/>
    <sheet name="SA_117_DDI Corp." sheetId="54" r:id="rId54"/>
    <sheet name="SA_68_NorthWestern Corporation" sheetId="55" r:id="rId55"/>
    <sheet name="SA_251_Cone Mills Corp" sheetId="56" r:id="rId56"/>
    <sheet name="SA_47_Rouge Industries, Inc." sheetId="57" r:id="rId57"/>
    <sheet name="SA_136_Atlas Air Worldwide Hold" sheetId="58" r:id="rId58"/>
    <sheet name="SA_0_Avado Brands Inc." sheetId="59" r:id="rId59"/>
    <sheet name="SA_268_RCN Corporation" sheetId="60" r:id="rId60"/>
    <sheet name="SA_13_Choice One Communications" sheetId="61" r:id="rId61"/>
    <sheet name="SA_70_Huffy Corp." sheetId="62" r:id="rId62"/>
    <sheet name="SA_165_ATA Holdings Corp." sheetId="63" r:id="rId63"/>
    <sheet name="SA_287_Amcast Industrial Corpor" sheetId="64" r:id="rId64"/>
    <sheet name="SA_206_Trico Marine Services, I" sheetId="65" r:id="rId65"/>
    <sheet name="SA_207_Falcon Products, Inc." sheetId="66" r:id="rId66"/>
    <sheet name="SA_182_Tower Automotive, Inc." sheetId="67" r:id="rId67"/>
    <sheet name="SA_53_Winn-Dixie Stores, Inc." sheetId="68" r:id="rId68"/>
    <sheet name="SA_158_WHX Corporation" sheetId="69" r:id="rId69"/>
    <sheet name="SA_88_Collins &amp; Aikman Corporat" sheetId="70" r:id="rId70"/>
    <sheet name="SA_120_Allied Holdings, Inc." sheetId="71" r:id="rId71"/>
    <sheet name="SA_267_Delta Air Lines, Inc." sheetId="72" r:id="rId72"/>
    <sheet name="SA_5_Northwest Airlines Corpora" sheetId="73" r:id="rId73"/>
    <sheet name="SA_79_FLYi, Inc." sheetId="74" r:id="rId74"/>
    <sheet name="SA_190_Global Power Equipment G" sheetId="75" r:id="rId75"/>
    <sheet name="SA_71_Granite Broadcasting Corp" sheetId="76" r:id="rId76"/>
    <sheet name="SA_49_Hancock Fabrics, Inc." sheetId="77" r:id="rId77"/>
    <sheet name="SA_93_Pope &amp; Talbot, Inc." sheetId="78" r:id="rId78"/>
    <sheet name="SA_39_TOUSA, Inc." sheetId="79" r:id="rId79"/>
    <sheet name="SA_153_MPC Corporation" sheetId="80" r:id="rId80"/>
    <sheet name="SA_211_BearingPoint, Inc." sheetId="81" r:id="rId81"/>
    <sheet name="SA_27_Journal Register Company" sheetId="82" r:id="rId82"/>
    <sheet name="SA_171_Chemtura Corporation" sheetId="83" r:id="rId83"/>
    <sheet name="SA_243_Charter Communications, " sheetId="84" r:id="rId84"/>
    <sheet name="SA_309_Idearc Inc." sheetId="85" r:id="rId85"/>
    <sheet name="SA_115_Dayton Superior Corporat" sheetId="86" r:id="rId86"/>
    <sheet name="SA_7_Asyst Technologies, Inc." sheetId="87" r:id="rId87"/>
    <sheet name="SA_129_Visteon Corporation" sheetId="88" r:id="rId88"/>
    <sheet name="SA_202_R.H. Donnelley Corporati" sheetId="89" r:id="rId89"/>
    <sheet name="SA_102_Lear Corporation" sheetId="90" r:id="rId90"/>
    <sheet name="SA_78_Barzel Industries Inc." sheetId="91" r:id="rId91"/>
    <sheet name="SA_248_Edge Petroleum Corporati" sheetId="92" r:id="rId92"/>
    <sheet name="SA_164_Champion Enterprises, In" sheetId="93" r:id="rId93"/>
    <sheet name="SA_106_Neff Corp." sheetId="94" r:id="rId94"/>
    <sheet name="SA_40_Blockbuster Inc." sheetId="95" r:id="rId95"/>
    <sheet name="SA_57_Seahawk Drilling, Inc." sheetId="96" r:id="rId96"/>
    <sheet name="SA_209_Jackson Hewitt Tax Servi" sheetId="97" r:id="rId97"/>
    <sheet name="SA_266_ShengdaTech, Inc." sheetId="98" r:id="rId98"/>
    <sheet name="SA_307_Syms Corp." sheetId="99" r:id="rId99"/>
    <sheet name="SA_186_Dynegy Holdings, LLC" sheetId="100" r:id="rId100"/>
    <sheet name="SA_274_Trident Microsystems, In" sheetId="101" r:id="rId101"/>
    <sheet name="SA_64_Energy Conversion Devices" sheetId="102" r:id="rId102"/>
    <sheet name="SA_113_Reddy Ice Holdings, Inc." sheetId="103" r:id="rId103"/>
    <sheet name="SA_34_FiberTower Corporation" sheetId="104" r:id="rId104"/>
    <sheet name="SA_29_ATP Oil &amp; Gas Corporation" sheetId="105" r:id="rId105"/>
    <sheet name="SA_65_Overseas Shipholding Grou" sheetId="106" r:id="rId106"/>
    <sheet name="SA_72_School Specialty, Inc." sheetId="107" r:id="rId107"/>
    <sheet name="SA_74_Powerwave Technologies, I" sheetId="108" r:id="rId108"/>
    <sheet name="SA_18_Rotech Healthcare Inc." sheetId="109" r:id="rId109"/>
    <sheet name="SA_265_Hoku Corporation" sheetId="110" r:id="rId110"/>
    <sheet name="SA_205_FriendFinder Networks In" sheetId="111" r:id="rId111"/>
    <sheet name="SA_161_GateHouse Media, Inc." sheetId="112" r:id="rId112"/>
    <sheet name="SA_41_Dolan Company" sheetId="113" r:id="rId113"/>
    <sheet name="SA_137_Coldwater Creek Inc." sheetId="114" r:id="rId114"/>
    <sheet name="SA_76_RadioShack Corporation" sheetId="115" r:id="rId115"/>
    <sheet name="SA_191_Cal Dive International, " sheetId="116" r:id="rId116"/>
    <sheet name="SA_149_Standard Register Compan" sheetId="117" r:id="rId117"/>
    <sheet name="SA_6_Quicksilver Resources Inc." sheetId="118" r:id="rId118"/>
    <sheet name="SA_189_Corinthian Colleges, Inc" sheetId="119" r:id="rId119"/>
    <sheet name="SA_272_Molycorp, Inc." sheetId="120" r:id="rId120"/>
    <sheet name="SA_44_Walter Energy, Inc." sheetId="121" r:id="rId121"/>
    <sheet name="SA_82_Sabine Oil &amp; Gas Corporat" sheetId="122" r:id="rId122"/>
    <sheet name="SA_221_Alpha Natural Resources," sheetId="123" r:id="rId123"/>
    <sheet name="SA_154_Hercules Offshore, Inc." sheetId="124" r:id="rId124"/>
    <sheet name="SA_33_Arch Coal, Inc." sheetId="125" r:id="rId125"/>
    <sheet name="SA_276_Noranda Aluminum Holding" sheetId="126" r:id="rId126"/>
    <sheet name="SA_174_Republic Airways Holding" sheetId="127" r:id="rId127"/>
    <sheet name="SA_55_SunEdison, Inc." sheetId="128" r:id="rId128"/>
    <sheet name="SA_116_Ultra Petroleum Corp. (2" sheetId="129" r:id="rId129"/>
    <sheet name="SA_180_Fairway Group Holdings C" sheetId="130" r:id="rId130"/>
    <sheet name="SA_224_Aeropostale, Inc." sheetId="131" r:id="rId131"/>
    <sheet name="SA_256_Breitburn Energy Partner" sheetId="132" r:id="rId132"/>
    <sheet name="SA_282_SandRidge Energy, Inc." sheetId="133" r:id="rId133"/>
    <sheet name="SA_109_Seventy Seven Energy Inc" sheetId="134" r:id="rId134"/>
    <sheet name="SA_192_Halcon Resources Corpora" sheetId="135" r:id="rId135"/>
    <sheet name="SA_304_International Shipholdin" sheetId="136" r:id="rId136"/>
    <sheet name="SA_81_ITT Educational Services," sheetId="137" r:id="rId137"/>
    <sheet name="SA_14_Basic Energy Services, In" sheetId="138" r:id="rId138"/>
    <sheet name="SA_257_Memorial Production Part" sheetId="139" r:id="rId139"/>
    <sheet name="SA_83_Azure Midstream Partners," sheetId="140" r:id="rId140"/>
    <sheet name="SA_15_Nuverra Environmental Sol" sheetId="141" r:id="rId141"/>
    <sheet name="SA_159_GulfMark Offshore, Inc." sheetId="142" r:id="rId142"/>
    <sheet name="SA_236_Perfumania Holdings, Inc" sheetId="143" r:id="rId143"/>
    <sheet name="SA_35_Cumulus Media Inc." sheetId="144" r:id="rId144"/>
    <sheet name="SA_292_Cobalt International Ene" sheetId="145" r:id="rId145"/>
    <sheet name="SA_62_Rentech, Inc." sheetId="146" r:id="rId146"/>
    <sheet name="SA_232_EXCO Resources, Inc." sheetId="147" r:id="rId147"/>
    <sheet name="SA_151_Cenveo, Inc." sheetId="148" r:id="rId148"/>
    <sheet name="SA_250_Orexigen Therapeutics, I" sheetId="149" r:id="rId149"/>
    <sheet name="SA_46_Rex Energy Corporation" sheetId="150" r:id="rId150"/>
    <sheet name="SA_288_Sears Holdings Corporati" sheetId="151" r:id="rId151"/>
    <sheet name="SA_112_Gastar Exploration Inc." sheetId="152" r:id="rId152"/>
    <sheet name="SA_199_Parker Drilling Company" sheetId="153" r:id="rId153"/>
    <sheet name="SA_289_Windstream Holdings, Inc" sheetId="154" r:id="rId154"/>
    <sheet name="SA_69_PHI, Inc." sheetId="155" r:id="rId155"/>
    <sheet name="SA_194_Orchids Paper Products C" sheetId="156" r:id="rId156"/>
    <sheet name="SA_227_Jones Energy, Inc." sheetId="157" r:id="rId157"/>
    <sheet name="SA_50_Cloud Peak Energy Inc." sheetId="158" r:id="rId158"/>
    <sheet name="SA_193_Bristow Group Inc." sheetId="159" r:id="rId159"/>
    <sheet name="SA_218_Legacy Reserves Inc." sheetId="160" r:id="rId160"/>
    <sheet name="SA_241_Sanchez Energy Corporati" sheetId="161" r:id="rId161"/>
    <sheet name="SA_104_EP Energy Corporation (E" sheetId="162" r:id="rId162"/>
    <sheet name="SA_270_Nobilis Health Corp." sheetId="163" r:id="rId163"/>
    <sheet name="SA_2_Approach Resources Inc." sheetId="164" r:id="rId164"/>
    <sheet name="SA_119_McDermott International," sheetId="165" r:id="rId165"/>
    <sheet name="SA_252_Pier 1 Imports, Inc." sheetId="166" r:id="rId166"/>
    <sheet name="SA_214_Foresight Energy LP" sheetId="167" r:id="rId167"/>
    <sheet name="SA_262_Quorum Health Corporatio" sheetId="168" r:id="rId168"/>
    <sheet name="SA_198_Centric Brands Inc." sheetId="169" r:id="rId169"/>
    <sheet name="SA_56_Hornbeck Offshore Service" sheetId="170" r:id="rId170"/>
    <sheet name="SA_144_Akorn, Inc." sheetId="171" r:id="rId171"/>
    <sheet name="SA_298_Tuesday Morning Corporat" sheetId="172" r:id="rId172"/>
    <sheet name="SA_31_Libbey Inc." sheetId="173" r:id="rId173"/>
    <sheet name="SA_188_Pyxus International, Inc" sheetId="174" r:id="rId174"/>
    <sheet name="SA_231_AAC Holdings, Inc." sheetId="175" r:id="rId175"/>
    <sheet name="SA_8_GNC Holdings, Inc." sheetId="176" r:id="rId176"/>
    <sheet name="SA_286_Jason Industries, Inc." sheetId="177" r:id="rId177"/>
    <sheet name="SA_100_Covia Holdings Corporati" sheetId="178" r:id="rId178"/>
    <sheet name="SA_95_Hi-Crush Inc." sheetId="179" r:id="rId179"/>
    <sheet name="SA_244_California Resources Cor" sheetId="180" r:id="rId180"/>
    <sheet name="SA_38_Rosehill Resources Inc." sheetId="181" r:id="rId181"/>
    <sheet name="SA_226_Tailored Brands, Inc." sheetId="182" r:id="rId182"/>
    <sheet name="SA_111_Lonestar Resources US In" sheetId="183" r:id="rId183"/>
    <sheet name="SA_54_Sequential Brands Group, " sheetId="184" r:id="rId184"/>
    <sheet name="SA_11_Clovis Oncology, Inc." sheetId="185" r:id="rId185"/>
    <sheet name="SA_184_2u Inc" sheetId="186" r:id="rId186"/>
    <sheet name="SA_156_Vbi Vaccines Inc" sheetId="187" r:id="rId187"/>
    <sheet name="SA_294_Ll Flooring Holdings Inc" sheetId="188" r:id="rId188"/>
    <sheet name="SA_303_Sunpower Corp" sheetId="189" r:id="rId189"/>
    <sheet name="SA_275_Meta Materials Inc" sheetId="190" r:id="rId190"/>
    <sheet name="SA_200_Big Lots Inc" sheetId="191" r:id="rId191"/>
    <sheet name="SA_21_Tupperware Brands Corp" sheetId="192" r:id="rId192"/>
    <sheet name="SA_24_Edgio Inc" sheetId="193" r:id="rId193"/>
    <sheet name="SA_48_Bright Green Corp" sheetId="194" r:id="rId194"/>
    <sheet name="SA_60_Smart For Life Inc" sheetId="195" r:id="rId195"/>
    <sheet name="SA_230_Burgerfi International I" sheetId="196" r:id="rId196"/>
    <sheet name="SA_73_Enviva Inc" sheetId="197" r:id="rId197"/>
    <sheet name="SA_42_Vertex Energy Inc" sheetId="198" r:id="rId198"/>
    <sheet name="SA_30_Gritstone Bio Inc" sheetId="199" r:id="rId199"/>
    <sheet name="SA_208_Vicinity Motor Corp" sheetId="200" r:id="rId200"/>
    <sheet name="SA_132_Spirit Airlines Inc" sheetId="201" r:id="rId201"/>
    <sheet name="SA_242_Gaucho Group Holdings In" sheetId="202" r:id="rId202"/>
    <sheet name="SA_133_Caremax Inc" sheetId="203" r:id="rId203"/>
    <sheet name="SA_110_Englobal Corp" sheetId="204" r:id="rId204"/>
    <sheet name="SA_157_Mondee Holdings Inc" sheetId="205" r:id="rId205"/>
    <sheet name="SA_181_Container Store Group In" sheetId="206" r:id="rId206"/>
    <sheet name="SA_67_Tff Pharmaceuticals Inc" sheetId="207" r:id="rId207"/>
    <sheet name="SA_177_Akoustis Technologies In" sheetId="208" r:id="rId208"/>
    <sheet name="SA_281_Lion Electric Co." sheetId="209" r:id="rId209"/>
    <sheet name="SA_213_Blue Star Foods Corp" sheetId="210" r:id="rId210"/>
    <sheet name="SA_259_Molecular Templates Inc" sheetId="211" r:id="rId211"/>
    <sheet name="SA_258_Danimer Scientific Inc" sheetId="212" r:id="rId212"/>
    <sheet name="SA_175_Ilearningengines Inc" sheetId="213" r:id="rId213"/>
    <sheet name="SA_124_Canoo Inc" sheetId="214" r:id="rId214"/>
    <sheet name="SA_233_Hyzon Motors Inc" sheetId="215" r:id="rId215"/>
    <sheet name="SA_260_Avinger Inc" sheetId="216" r:id="rId216"/>
    <sheet name="SA_261_Bio-path Holdings Inc" sheetId="217" r:id="rId217"/>
    <sheet name="SA_170_Omega Therapeutics Inc" sheetId="218" r:id="rId218"/>
    <sheet name="SA_204_Nikola Corp" sheetId="219" r:id="rId219"/>
    <sheet name="SA_66_Crown Electrokinetics Cor" sheetId="220" r:id="rId220"/>
    <sheet name="SA_169_Cutera Inc" sheetId="221" r:id="rId221"/>
    <sheet name="SA_279_Avenue Therapeutics Inc" sheetId="222" r:id="rId222"/>
    <sheet name="SA_228_Imac Holdings Inc" sheetId="223" r:id="rId223"/>
    <sheet name="SA_284_Benson Hill Inc" sheetId="224" r:id="rId224"/>
    <sheet name="SA_43_Luokung Technology Corp" sheetId="225" r:id="rId225"/>
    <sheet name="SA_141_Virpax Pharmaceuticals I" sheetId="226" r:id="rId226"/>
    <sheet name="SA_196_Scorpius Holdings Inc" sheetId="227" r:id="rId227"/>
    <sheet name="SA_291_Thunder Power Holdings I" sheetId="228" r:id="rId228"/>
    <sheet name="SA_273_Vincerx Pharma Inc" sheetId="229" r:id="rId229"/>
    <sheet name="SA_197_Accelerate Diagnostics I" sheetId="230" r:id="rId230"/>
    <sheet name="SA_217_Icoreconnect Inc" sheetId="231" r:id="rId231"/>
    <sheet name="SA_103_Sunnova Energy Internati" sheetId="232" r:id="rId232"/>
    <sheet name="SA_278_Femto Technologies Inc" sheetId="233" r:id="rId233"/>
    <sheet name="SA_195_Marin Software Inc" sheetId="234" r:id="rId234"/>
    <sheet name="SA_216_Wag! Group Co." sheetId="235" r:id="rId235"/>
    <sheet name="SA_246_S&amp;w Seed Co." sheetId="236" r:id="rId236"/>
    <sheet name="SA_28_Third Harmonic Bio Inc" sheetId="237" r:id="rId237"/>
    <sheet name="SA_152_Hookipa Pharma Inc" sheetId="238" r:id="rId238"/>
    <sheet name="SA_254_Foxo Technologies Inc" sheetId="239" r:id="rId239"/>
    <sheet name="SA_168_Ontrak Inc" sheetId="240" r:id="rId240"/>
    <sheet name="SA_23_Tpi Composites Inc" sheetId="241" r:id="rId241"/>
    <sheet name="SA_61_Modivcare Inc" sheetId="242" r:id="rId242"/>
    <sheet name="SA_12_Spirit Aviation Holdings " sheetId="243" r:id="rId243"/>
    <sheet name="SA_85_Flexshopper Inc" sheetId="244" r:id="rId244"/>
    <sheet name="SA_91_Ambipar Emergency Respons" sheetId="245" r:id="rId245"/>
    <sheet name="SA_128_Sonder Holdings Inc" sheetId="246" r:id="rId246"/>
    <sheet name="SA_107_Nabors Energy Transition" sheetId="247" r:id="rId247"/>
    <sheet name="SA_19_Lazydays Holdings Inc" sheetId="248" r:id="rId248"/>
    <sheet name="SA_138_Clearside Biomedical Inc" sheetId="249" r:id="rId249"/>
    <sheet name="SA_210_Harrison Global Holdings" sheetId="250" r:id="rId250"/>
    <sheet name="SA_249_Irobot Corp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<sst xmlns="http://schemas.openxmlformats.org/spreadsheetml/2006/main" count="15763" uniqueCount="1759">
  <si>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</si>
  <si>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</si>
  <si>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</si>
  <si>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</si>
  <si>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</si>
  <si>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</si>
  <si>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</si>
  <si>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</si>
  <si>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</si>
  <si>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</si>
  <si>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</si>
  <si>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</si>
  <si>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</si>
  <si>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SA_222</t>
  </si>
  <si>
    <t>bankrupt</t>
  </si>
  <si>
    <t>1998-09-16</t>
  </si>
  <si>
    <t>SNTVQ</t>
  </si>
  <si>
    <t>Sun Television and Appliances, Inc.</t>
  </si>
  <si>
    <t/>
  </si>
  <si>
    <t>SNTVQ US Equity</t>
  </si>
  <si>
    <t>1998-06-18</t>
  </si>
  <si>
    <t>1993-06-18</t>
  </si>
  <si>
    <t>SA_187</t>
  </si>
  <si>
    <t>1998-10-05</t>
  </si>
  <si>
    <t>BOST</t>
  </si>
  <si>
    <t>Boston Chicken, Inc.</t>
  </si>
  <si>
    <t>BCHXQ US Equity</t>
  </si>
  <si>
    <t>1998-07-07</t>
  </si>
  <si>
    <t>1993-07-07</t>
  </si>
  <si>
    <t>SA_135</t>
  </si>
  <si>
    <t>1998-12-27</t>
  </si>
  <si>
    <t>JSIBQ</t>
  </si>
  <si>
    <t>JumboSports, Inc.</t>
  </si>
  <si>
    <t>JSIBQ US Equity</t>
  </si>
  <si>
    <t>1998-09-28</t>
  </si>
  <si>
    <t>1993-09-28</t>
  </si>
  <si>
    <t>SA_4</t>
  </si>
  <si>
    <t>1998-12-29</t>
  </si>
  <si>
    <t>SLNT</t>
  </si>
  <si>
    <t>Salant Corp. (1998)</t>
  </si>
  <si>
    <t>2777116Q US Equity</t>
  </si>
  <si>
    <t>1998-09-30</t>
  </si>
  <si>
    <t>1993-09-30</t>
  </si>
  <si>
    <t>SA_26</t>
  </si>
  <si>
    <t>1999-02-11</t>
  </si>
  <si>
    <t>WIRL</t>
  </si>
  <si>
    <t>Wireless One, Inc.</t>
  </si>
  <si>
    <t>WIRLQ US Equity</t>
  </si>
  <si>
    <t>1998-11-13</t>
  </si>
  <si>
    <t>1993-11-13</t>
  </si>
  <si>
    <t>SA_172</t>
  </si>
  <si>
    <t>1999-03-01</t>
  </si>
  <si>
    <t>PNFTQ</t>
  </si>
  <si>
    <t>Penn Traffic Co (1999)</t>
  </si>
  <si>
    <t>PNFTQ US Equity</t>
  </si>
  <si>
    <t>1998-12-01</t>
  </si>
  <si>
    <t>1993-12-01</t>
  </si>
  <si>
    <t>SA_80</t>
  </si>
  <si>
    <t>1999-03-15</t>
  </si>
  <si>
    <t>SME</t>
  </si>
  <si>
    <t>Service Merchandise Company, Inc.</t>
  </si>
  <si>
    <t>SVCDQ US Equity</t>
  </si>
  <si>
    <t>1998-12-15</t>
  </si>
  <si>
    <t>1993-12-15</t>
  </si>
  <si>
    <t>SA_134</t>
  </si>
  <si>
    <t>1999-09-03</t>
  </si>
  <si>
    <t>COSE</t>
  </si>
  <si>
    <t>Costilla Energy, Inc.</t>
  </si>
  <si>
    <t>COSEQ US Equity</t>
  </si>
  <si>
    <t>1999-06-05</t>
  </si>
  <si>
    <t>1994-06-05</t>
  </si>
  <si>
    <t>SA_52</t>
  </si>
  <si>
    <t>1999-09-16</t>
  </si>
  <si>
    <t>TRSM</t>
  </si>
  <si>
    <t>Trism, Inc.</t>
  </si>
  <si>
    <t>2471671D US Equity</t>
  </si>
  <si>
    <t>1999-06-18</t>
  </si>
  <si>
    <t>1994-06-18</t>
  </si>
  <si>
    <t>SA_145</t>
  </si>
  <si>
    <t>1999-11-04</t>
  </si>
  <si>
    <t>FEET</t>
  </si>
  <si>
    <t>Just For Feet, Inc.</t>
  </si>
  <si>
    <t>FEETQ US Equity</t>
  </si>
  <si>
    <t>1999-08-06</t>
  </si>
  <si>
    <t>1994-08-06</t>
  </si>
  <si>
    <t>SA_75</t>
  </si>
  <si>
    <t>1999-12-03</t>
  </si>
  <si>
    <t>TLTXQ</t>
  </si>
  <si>
    <t>Tultex Corporation</t>
  </si>
  <si>
    <t>TLTXQ US Equity</t>
  </si>
  <si>
    <t>1999-09-04</t>
  </si>
  <si>
    <t>1994-09-04</t>
  </si>
  <si>
    <t>SA_234</t>
  </si>
  <si>
    <t>1999-12-08</t>
  </si>
  <si>
    <t>ABNTQ</t>
  </si>
  <si>
    <t>American Banknote Corporation</t>
  </si>
  <si>
    <t>ABNTQ US Equity</t>
  </si>
  <si>
    <t>1999-09-09</t>
  </si>
  <si>
    <t>1994-09-09</t>
  </si>
  <si>
    <t>SA_59</t>
  </si>
  <si>
    <t>2000-01-18</t>
  </si>
  <si>
    <t>MPN</t>
  </si>
  <si>
    <t>Mariner Post-Acute Network, Inc.</t>
  </si>
  <si>
    <t>MPANQ US Equity</t>
  </si>
  <si>
    <t>1999-10-20</t>
  </si>
  <si>
    <t>1994-10-20</t>
  </si>
  <si>
    <t>SA_263</t>
  </si>
  <si>
    <t>2000-05-01</t>
  </si>
  <si>
    <t>KHKH</t>
  </si>
  <si>
    <t>Kitty Hawk, Inc.</t>
  </si>
  <si>
    <t>KHKH US Equity</t>
  </si>
  <si>
    <t>2000-02-01</t>
  </si>
  <si>
    <t>1995-02-01</t>
  </si>
  <si>
    <t>SA_130</t>
  </si>
  <si>
    <t>2000-05-03</t>
  </si>
  <si>
    <t>SSAXQ</t>
  </si>
  <si>
    <t>System Software Associates, Inc.</t>
  </si>
  <si>
    <t>SSAXQ US Equity</t>
  </si>
  <si>
    <t>2000-02-03</t>
  </si>
  <si>
    <t>1995-02-03</t>
  </si>
  <si>
    <t>SA_9</t>
  </si>
  <si>
    <t>2000-08-08</t>
  </si>
  <si>
    <t>CRHEQ</t>
  </si>
  <si>
    <t>Coram Healthcare Corp.</t>
  </si>
  <si>
    <t>CRHEQ US Equity</t>
  </si>
  <si>
    <t>2000-05-10</t>
  </si>
  <si>
    <t>1995-05-10</t>
  </si>
  <si>
    <t>SA_51</t>
  </si>
  <si>
    <t>2000-10-05</t>
  </si>
  <si>
    <t>OWENQ</t>
  </si>
  <si>
    <t>Owens Corning</t>
  </si>
  <si>
    <t>OWENQ US Equity</t>
  </si>
  <si>
    <t>2000-07-07</t>
  </si>
  <si>
    <t>1995-07-07</t>
  </si>
  <si>
    <t>SA_215</t>
  </si>
  <si>
    <t>2000-11-09</t>
  </si>
  <si>
    <t>CMDCQ</t>
  </si>
  <si>
    <t>CareMatrix Corp.</t>
  </si>
  <si>
    <t>CMDCQ US Equity</t>
  </si>
  <si>
    <t>2000-08-11</t>
  </si>
  <si>
    <t>1995-08-11</t>
  </si>
  <si>
    <t>SA_173</t>
  </si>
  <si>
    <t>2000-11-14</t>
  </si>
  <si>
    <t>ICGXQ</t>
  </si>
  <si>
    <t>ICG Communications, Inc.</t>
  </si>
  <si>
    <t>603190Q US Equity</t>
  </si>
  <si>
    <t>2000-08-16</t>
  </si>
  <si>
    <t>1995-08-16</t>
  </si>
  <si>
    <t>SA_280</t>
  </si>
  <si>
    <t>2000-12-19</t>
  </si>
  <si>
    <t>NWSW</t>
  </si>
  <si>
    <t>Northwestern Steel &amp; Wire Co.</t>
  </si>
  <si>
    <t>NWSW US Equity</t>
  </si>
  <si>
    <t>2000-09-20</t>
  </si>
  <si>
    <t>1995-09-20</t>
  </si>
  <si>
    <t>SA_90</t>
  </si>
  <si>
    <t>2000-12-29</t>
  </si>
  <si>
    <t>PGEXQ</t>
  </si>
  <si>
    <t>Pacific Gateway Exchange, Inc.</t>
  </si>
  <si>
    <t>PGEXQ US Equity</t>
  </si>
  <si>
    <t>2000-09-30</t>
  </si>
  <si>
    <t>1995-09-30</t>
  </si>
  <si>
    <t>SA_143</t>
  </si>
  <si>
    <t>2001-05-31</t>
  </si>
  <si>
    <t>PSIXQ</t>
  </si>
  <si>
    <t>PSINet Inc.</t>
  </si>
  <si>
    <t>PSIXQ US Equity</t>
  </si>
  <si>
    <t>2001-03-02</t>
  </si>
  <si>
    <t>1996-03-02</t>
  </si>
  <si>
    <t>SA_162</t>
  </si>
  <si>
    <t>2001-10-01</t>
  </si>
  <si>
    <t>FDMLQ</t>
  </si>
  <si>
    <t>Federal-Mogul Corporation</t>
  </si>
  <si>
    <t>FDMLQ US Equity</t>
  </si>
  <si>
    <t>2001-07-03</t>
  </si>
  <si>
    <t>1996-07-03</t>
  </si>
  <si>
    <t>SA_176</t>
  </si>
  <si>
    <t>2001-11-13</t>
  </si>
  <si>
    <t>ANCJQ</t>
  </si>
  <si>
    <t>ANC Rental Corp.</t>
  </si>
  <si>
    <t>ANCJQ US Equity</t>
  </si>
  <si>
    <t>2001-08-15</t>
  </si>
  <si>
    <t>1996-08-15</t>
  </si>
  <si>
    <t>SA_220</t>
  </si>
  <si>
    <t>CLSCQ</t>
  </si>
  <si>
    <t>Classic Communications, Inc.</t>
  </si>
  <si>
    <t>CLSCQ US Equity</t>
  </si>
  <si>
    <t>SA_238</t>
  </si>
  <si>
    <t>2001-11-15</t>
  </si>
  <si>
    <t>BRLGQ</t>
  </si>
  <si>
    <t>Burlington Industries, Inc.</t>
  </si>
  <si>
    <t>BRLGQ US Equity</t>
  </si>
  <si>
    <t>2001-08-17</t>
  </si>
  <si>
    <t>1996-08-17</t>
  </si>
  <si>
    <t>SA_10</t>
  </si>
  <si>
    <t>2001-11-20</t>
  </si>
  <si>
    <t>VMIXQ</t>
  </si>
  <si>
    <t>Valley Media Inc.</t>
  </si>
  <si>
    <t>VMIXQ US Equity</t>
  </si>
  <si>
    <t>2001-08-22</t>
  </si>
  <si>
    <t>1996-08-22</t>
  </si>
  <si>
    <t>SA_290</t>
  </si>
  <si>
    <t>2001-12-05</t>
  </si>
  <si>
    <t>HAZ</t>
  </si>
  <si>
    <t>Hayes Lemmerz International, Inc. (2001)</t>
  </si>
  <si>
    <t>HLMMQ US Equity</t>
  </si>
  <si>
    <t>2001-09-06</t>
  </si>
  <si>
    <t>1996-09-06</t>
  </si>
  <si>
    <t>SA_84</t>
  </si>
  <si>
    <t>2001-12-14</t>
  </si>
  <si>
    <t>STGCQ</t>
  </si>
  <si>
    <t>Startec Global Communications Corporation</t>
  </si>
  <si>
    <t>STGCQ US Equity</t>
  </si>
  <si>
    <t>2001-09-15</t>
  </si>
  <si>
    <t>1996-09-15</t>
  </si>
  <si>
    <t>SA_160</t>
  </si>
  <si>
    <t>2002-01-16</t>
  </si>
  <si>
    <t>ITXG</t>
  </si>
  <si>
    <t>IT Group, Inc.</t>
  </si>
  <si>
    <t>ITXG US Equity</t>
  </si>
  <si>
    <t>2001-10-18</t>
  </si>
  <si>
    <t>1996-10-18</t>
  </si>
  <si>
    <t>SA_99</t>
  </si>
  <si>
    <t>2002-02-15</t>
  </si>
  <si>
    <t>VRDOQ</t>
  </si>
  <si>
    <t>Verado Holdings, Inc.</t>
  </si>
  <si>
    <t>VRDOQ US Equity</t>
  </si>
  <si>
    <t>2001-11-17</t>
  </si>
  <si>
    <t>1996-11-17</t>
  </si>
  <si>
    <t>SA_77</t>
  </si>
  <si>
    <t>2002-02-20</t>
  </si>
  <si>
    <t>KELLQ</t>
  </si>
  <si>
    <t>Kellstrom Industries, Inc.</t>
  </si>
  <si>
    <t>KELLQ US Equity</t>
  </si>
  <si>
    <t>2001-11-22</t>
  </si>
  <si>
    <t>1996-11-22</t>
  </si>
  <si>
    <t>SA_240</t>
  </si>
  <si>
    <t>2002-03-06</t>
  </si>
  <si>
    <t>NSTLQ</t>
  </si>
  <si>
    <t>National Steel Corp.</t>
  </si>
  <si>
    <t>NSTLQ US Equity</t>
  </si>
  <si>
    <t>2001-12-06</t>
  </si>
  <si>
    <t>1996-12-06</t>
  </si>
  <si>
    <t>SA_3</t>
  </si>
  <si>
    <t>2002-03-11</t>
  </si>
  <si>
    <t>AGATQ</t>
  </si>
  <si>
    <t>U.S. Aggregates, Inc.</t>
  </si>
  <si>
    <t>AGATQ US Equity</t>
  </si>
  <si>
    <t>2001-12-11</t>
  </si>
  <si>
    <t>1996-12-11</t>
  </si>
  <si>
    <t>SA_219</t>
  </si>
  <si>
    <t>2002-04-15</t>
  </si>
  <si>
    <t>AGCCQ</t>
  </si>
  <si>
    <t>Anchor Glass Container Corp. (2002)</t>
  </si>
  <si>
    <t>237002Q US Equity</t>
  </si>
  <si>
    <t>2002-01-15</t>
  </si>
  <si>
    <t>1997-01-15</t>
  </si>
  <si>
    <t>SA_118</t>
  </si>
  <si>
    <t>2002-05-20</t>
  </si>
  <si>
    <t>MFNXQ</t>
  </si>
  <si>
    <t>Metromedia Fiber Network, Inc.</t>
  </si>
  <si>
    <t>MFNXQ US Equity</t>
  </si>
  <si>
    <t>2002-02-19</t>
  </si>
  <si>
    <t>1997-02-19</t>
  </si>
  <si>
    <t>SA_308</t>
  </si>
  <si>
    <t>2002-05-23</t>
  </si>
  <si>
    <t>PTACQ</t>
  </si>
  <si>
    <t>Pentacon Inc.</t>
  </si>
  <si>
    <t>PTACQ US Equity</t>
  </si>
  <si>
    <t>2002-02-22</t>
  </si>
  <si>
    <t>1997-02-22</t>
  </si>
  <si>
    <t>SA_131</t>
  </si>
  <si>
    <t>2002-06-03</t>
  </si>
  <si>
    <t>BIR</t>
  </si>
  <si>
    <t>Birmingham Steel Corp.</t>
  </si>
  <si>
    <t>BIRS US Equity</t>
  </si>
  <si>
    <t>2002-03-05</t>
  </si>
  <si>
    <t>1997-03-05</t>
  </si>
  <si>
    <t>SA_36</t>
  </si>
  <si>
    <t>2002-06-11</t>
  </si>
  <si>
    <t>NWPWQ</t>
  </si>
  <si>
    <t>NewPower Holdings, Inc.</t>
  </si>
  <si>
    <t>NWPWQ US Equity</t>
  </si>
  <si>
    <t>2002-03-13</t>
  </si>
  <si>
    <t>1997-03-13</t>
  </si>
  <si>
    <t>SA_253</t>
  </si>
  <si>
    <t>2002-08-11</t>
  </si>
  <si>
    <t>UAIRQ</t>
  </si>
  <si>
    <t>US Airways Group, Inc. (2002)</t>
  </si>
  <si>
    <t>UAIRQ US Equity</t>
  </si>
  <si>
    <t>2002-05-13</t>
  </si>
  <si>
    <t>1997-05-13</t>
  </si>
  <si>
    <t>SA_223</t>
  </si>
  <si>
    <t>2002-09-03</t>
  </si>
  <si>
    <t>CFWEQ</t>
  </si>
  <si>
    <t>Consolidated Freightways Corp.</t>
  </si>
  <si>
    <t>CFWEQ US Equity</t>
  </si>
  <si>
    <t>2002-06-05</t>
  </si>
  <si>
    <t>1997-06-05</t>
  </si>
  <si>
    <t>SA_45</t>
  </si>
  <si>
    <t>2002-11-27</t>
  </si>
  <si>
    <t>GENUQ</t>
  </si>
  <si>
    <t>Genuity Inc.</t>
  </si>
  <si>
    <t>GENUQ US Equity</t>
  </si>
  <si>
    <t>2002-08-29</t>
  </si>
  <si>
    <t>1997-08-29</t>
  </si>
  <si>
    <t>SA_58</t>
  </si>
  <si>
    <t>2002-12-20</t>
  </si>
  <si>
    <t>SVSSF</t>
  </si>
  <si>
    <t>Seven Seas Petroleum, Inc.</t>
  </si>
  <si>
    <t>SVSSF US Equity</t>
  </si>
  <si>
    <t>2002-09-21</t>
  </si>
  <si>
    <t>1997-09-21</t>
  </si>
  <si>
    <t>SA_271</t>
  </si>
  <si>
    <t>2003-03-17</t>
  </si>
  <si>
    <t>SPGLQ</t>
  </si>
  <si>
    <t>Spiegel Inc.</t>
  </si>
  <si>
    <t>SPGLQ US Equity</t>
  </si>
  <si>
    <t>2002-12-17</t>
  </si>
  <si>
    <t>1997-12-17</t>
  </si>
  <si>
    <t>SA_22</t>
  </si>
  <si>
    <t>2003-03-21</t>
  </si>
  <si>
    <t>SBLUQ</t>
  </si>
  <si>
    <t>SONICblue, Inc.</t>
  </si>
  <si>
    <t>SBLUQ US Equity</t>
  </si>
  <si>
    <t>2002-12-21</t>
  </si>
  <si>
    <t>1997-12-21</t>
  </si>
  <si>
    <t>SA_166</t>
  </si>
  <si>
    <t>2003-04-01</t>
  </si>
  <si>
    <t>FLMIQ</t>
  </si>
  <si>
    <t>Fleming Companies, Inc.</t>
  </si>
  <si>
    <t>FLMIQ US Equity</t>
  </si>
  <si>
    <t>2003-01-01</t>
  </si>
  <si>
    <t>1998-01-01</t>
  </si>
  <si>
    <t>SA_235</t>
  </si>
  <si>
    <t>2003-05-06</t>
  </si>
  <si>
    <t>ACTRQ</t>
  </si>
  <si>
    <t>Acterna Corp.</t>
  </si>
  <si>
    <t>ACTRQ US Equity</t>
  </si>
  <si>
    <t>2003-02-05</t>
  </si>
  <si>
    <t>1998-02-05</t>
  </si>
  <si>
    <t>SA_178</t>
  </si>
  <si>
    <t>2003-05-07</t>
  </si>
  <si>
    <t>DZTKQ</t>
  </si>
  <si>
    <t>DaisyTek International Corp.</t>
  </si>
  <si>
    <t>DZTKQ US Equity</t>
  </si>
  <si>
    <t>2003-02-06</t>
  </si>
  <si>
    <t>1998-02-06</t>
  </si>
  <si>
    <t>SA_277</t>
  </si>
  <si>
    <t>2003-05-15</t>
  </si>
  <si>
    <t>MSPIQ</t>
  </si>
  <si>
    <t>Mississippi Chemical Corp.</t>
  </si>
  <si>
    <t>MSPIQ US Equity</t>
  </si>
  <si>
    <t>2003-02-14</t>
  </si>
  <si>
    <t>1998-02-14</t>
  </si>
  <si>
    <t>SA_140</t>
  </si>
  <si>
    <t>2003-06-17</t>
  </si>
  <si>
    <t>RDRTQ</t>
  </si>
  <si>
    <t>Read-Rite Corp.</t>
  </si>
  <si>
    <t>RDRTQ US Equity</t>
  </si>
  <si>
    <t>2003-03-19</t>
  </si>
  <si>
    <t>1998-03-19</t>
  </si>
  <si>
    <t>SA_105</t>
  </si>
  <si>
    <t>2003-06-27</t>
  </si>
  <si>
    <t>NSV</t>
  </si>
  <si>
    <t>National Equipment Services Inc.</t>
  </si>
  <si>
    <t>NEQSQ US Equity</t>
  </si>
  <si>
    <t>2003-03-29</t>
  </si>
  <si>
    <t>1998-03-29</t>
  </si>
  <si>
    <t>SA_203</t>
  </si>
  <si>
    <t>2003-06-29</t>
  </si>
  <si>
    <t>CRPP</t>
  </si>
  <si>
    <t>Crown Pacific Partners L.P.</t>
  </si>
  <si>
    <t>1514052D US Equity</t>
  </si>
  <si>
    <t>2003-03-31</t>
  </si>
  <si>
    <t>1998-03-31</t>
  </si>
  <si>
    <t>SA_117</t>
  </si>
  <si>
    <t>2003-08-20</t>
  </si>
  <si>
    <t>DDICQ</t>
  </si>
  <si>
    <t>DDI Corp.</t>
  </si>
  <si>
    <t>DDICQ US Equity</t>
  </si>
  <si>
    <t>2003-05-22</t>
  </si>
  <si>
    <t>1998-05-22</t>
  </si>
  <si>
    <t>SA_68</t>
  </si>
  <si>
    <t>2003-09-14</t>
  </si>
  <si>
    <t>NTHWQ</t>
  </si>
  <si>
    <t>NorthWestern Corporation</t>
  </si>
  <si>
    <t>NTHWQ US Equity</t>
  </si>
  <si>
    <t>2003-06-16</t>
  </si>
  <si>
    <t>1998-06-16</t>
  </si>
  <si>
    <t>SA_251</t>
  </si>
  <si>
    <t>2003-09-24</t>
  </si>
  <si>
    <t>CJML</t>
  </si>
  <si>
    <t>Cone Mills Corp</t>
  </si>
  <si>
    <t>CJML US Equity</t>
  </si>
  <si>
    <t>2003-06-26</t>
  </si>
  <si>
    <t>1998-06-26</t>
  </si>
  <si>
    <t>SA_47</t>
  </si>
  <si>
    <t>2003-10-23</t>
  </si>
  <si>
    <t>RGIDQ</t>
  </si>
  <si>
    <t>Rouge Industries, Inc.</t>
  </si>
  <si>
    <t>RGIDQ US Equity</t>
  </si>
  <si>
    <t>2003-07-25</t>
  </si>
  <si>
    <t>1998-07-25</t>
  </si>
  <si>
    <t>SA_136</t>
  </si>
  <si>
    <t>2004-01-30</t>
  </si>
  <si>
    <t>AAWHQ</t>
  </si>
  <si>
    <t>Atlas Air Worldwide Holdings Inc.</t>
  </si>
  <si>
    <t>AAWHQ US Equity</t>
  </si>
  <si>
    <t>2003-11-01</t>
  </si>
  <si>
    <t>1998-11-01</t>
  </si>
  <si>
    <t>SA_0</t>
  </si>
  <si>
    <t>2004-02-04</t>
  </si>
  <si>
    <t>AVDO</t>
  </si>
  <si>
    <t>Avado Brands Inc.</t>
  </si>
  <si>
    <t>AVDO US Equity</t>
  </si>
  <si>
    <t>2003-11-06</t>
  </si>
  <si>
    <t>1998-11-06</t>
  </si>
  <si>
    <t>SA_268</t>
  </si>
  <si>
    <t>2004-05-27</t>
  </si>
  <si>
    <t>RCNCQ</t>
  </si>
  <si>
    <t>RCN Corporation</t>
  </si>
  <si>
    <t>RCNCQ US Equity</t>
  </si>
  <si>
    <t>2004-02-27</t>
  </si>
  <si>
    <t>1999-02-27</t>
  </si>
  <si>
    <t>SA_13</t>
  </si>
  <si>
    <t>2004-10-05</t>
  </si>
  <si>
    <t>CWONQ</t>
  </si>
  <si>
    <t>Choice One Communications, Inc.</t>
  </si>
  <si>
    <t>CWONQ US Equity</t>
  </si>
  <si>
    <t>2004-07-07</t>
  </si>
  <si>
    <t>1999-07-07</t>
  </si>
  <si>
    <t>SA_70</t>
  </si>
  <si>
    <t>2004-10-20</t>
  </si>
  <si>
    <t>HUFCQ</t>
  </si>
  <si>
    <t>Huffy Corp.</t>
  </si>
  <si>
    <t>HUFCQ US Equity</t>
  </si>
  <si>
    <t>2004-07-22</t>
  </si>
  <si>
    <t>1999-07-22</t>
  </si>
  <si>
    <t>SA_165</t>
  </si>
  <si>
    <t>2004-10-26</t>
  </si>
  <si>
    <t>ATAHQ</t>
  </si>
  <si>
    <t>ATA Holdings Corp.</t>
  </si>
  <si>
    <t>ATAHQ US Equity</t>
  </si>
  <si>
    <t>2004-07-28</t>
  </si>
  <si>
    <t>1999-07-28</t>
  </si>
  <si>
    <t>SA_287</t>
  </si>
  <si>
    <t>2004-11-30</t>
  </si>
  <si>
    <t>AICOQ</t>
  </si>
  <si>
    <t>Amcast Industrial Corporation (2004)</t>
  </si>
  <si>
    <t>AICOQ US Equity</t>
  </si>
  <si>
    <t>2004-09-01</t>
  </si>
  <si>
    <t>1999-09-01</t>
  </si>
  <si>
    <t>SA_206</t>
  </si>
  <si>
    <t>2004-12-21</t>
  </si>
  <si>
    <t>TMARQ</t>
  </si>
  <si>
    <t>Trico Marine Services, Inc. (2004)</t>
  </si>
  <si>
    <t>TRMAQ US Equity</t>
  </si>
  <si>
    <t>2004-09-22</t>
  </si>
  <si>
    <t>1999-09-22</t>
  </si>
  <si>
    <t>SA_207</t>
  </si>
  <si>
    <t>2005-01-31</t>
  </si>
  <si>
    <t>FCPR</t>
  </si>
  <si>
    <t>Falcon Products, Inc.</t>
  </si>
  <si>
    <t>FCPR US Equity</t>
  </si>
  <si>
    <t>2004-11-02</t>
  </si>
  <si>
    <t>1999-11-02</t>
  </si>
  <si>
    <t>SA_182</t>
  </si>
  <si>
    <t>2005-02-02</t>
  </si>
  <si>
    <t>TWRAQ</t>
  </si>
  <si>
    <t>Tower Automotive, Inc.</t>
  </si>
  <si>
    <t>TWRAQ US Equity</t>
  </si>
  <si>
    <t>2004-11-04</t>
  </si>
  <si>
    <t>SA_53</t>
  </si>
  <si>
    <t>2005-02-21</t>
  </si>
  <si>
    <t>WNDXQ</t>
  </si>
  <si>
    <t>Winn-Dixie Stores, Inc.</t>
  </si>
  <si>
    <t>1986047D US Equity</t>
  </si>
  <si>
    <t>2004-11-23</t>
  </si>
  <si>
    <t>1999-11-23</t>
  </si>
  <si>
    <t>SA_158</t>
  </si>
  <si>
    <t>2005-03-07</t>
  </si>
  <si>
    <t>WHXCQ</t>
  </si>
  <si>
    <t>WHX Corporation</t>
  </si>
  <si>
    <t>WHXCQ US Equity</t>
  </si>
  <si>
    <t>2004-12-07</t>
  </si>
  <si>
    <t>1999-12-07</t>
  </si>
  <si>
    <t>SA_88</t>
  </si>
  <si>
    <t>2005-05-17</t>
  </si>
  <si>
    <t>CKCRQ</t>
  </si>
  <si>
    <t>Collins &amp; Aikman Corporation</t>
  </si>
  <si>
    <t>CKCRQ US Equity</t>
  </si>
  <si>
    <t>2005-02-16</t>
  </si>
  <si>
    <t>2000-02-16</t>
  </si>
  <si>
    <t>SA_120</t>
  </si>
  <si>
    <t>2005-07-31</t>
  </si>
  <si>
    <t>AHIZQ</t>
  </si>
  <si>
    <t>Allied Holdings, Inc.</t>
  </si>
  <si>
    <t>AHIZQ US Equity</t>
  </si>
  <si>
    <t>2005-05-02</t>
  </si>
  <si>
    <t>2000-05-02</t>
  </si>
  <si>
    <t>SA_267</t>
  </si>
  <si>
    <t>2005-09-14</t>
  </si>
  <si>
    <t>DALRQ</t>
  </si>
  <si>
    <t>Delta Air Lines, Inc.</t>
  </si>
  <si>
    <t>DALRQ US Equity</t>
  </si>
  <si>
    <t>2005-06-16</t>
  </si>
  <si>
    <t>2000-06-16</t>
  </si>
  <si>
    <t>SA_5</t>
  </si>
  <si>
    <t>NWACQ</t>
  </si>
  <si>
    <t>Northwest Airlines Corporation</t>
  </si>
  <si>
    <t>NWACQ US Equity</t>
  </si>
  <si>
    <t>SA_79</t>
  </si>
  <si>
    <t>2005-11-07</t>
  </si>
  <si>
    <t>FLYIQ</t>
  </si>
  <si>
    <t>FLYi, Inc.</t>
  </si>
  <si>
    <t>FLYIQ US Equity</t>
  </si>
  <si>
    <t>2005-08-09</t>
  </si>
  <si>
    <t>2000-08-09</t>
  </si>
  <si>
    <t>SA_190</t>
  </si>
  <si>
    <t>2006-09-28</t>
  </si>
  <si>
    <t>GEGQQ</t>
  </si>
  <si>
    <t>Global Power Equipment Group Inc.</t>
  </si>
  <si>
    <t>GEGQQ US Equity</t>
  </si>
  <si>
    <t>2006-06-30</t>
  </si>
  <si>
    <t>2001-06-30</t>
  </si>
  <si>
    <t>SA_71</t>
  </si>
  <si>
    <t>2006-12-11</t>
  </si>
  <si>
    <t>GBTVQ</t>
  </si>
  <si>
    <t>Granite Broadcasting Corporation</t>
  </si>
  <si>
    <t>GBTVQ US Equity</t>
  </si>
  <si>
    <t>2006-09-12</t>
  </si>
  <si>
    <t>2001-09-12</t>
  </si>
  <si>
    <t>SA_49</t>
  </si>
  <si>
    <t>2007-03-21</t>
  </si>
  <si>
    <t>HKFIQ</t>
  </si>
  <si>
    <t>Hancock Fabrics, Inc.</t>
  </si>
  <si>
    <t>HKFIQ US Equity</t>
  </si>
  <si>
    <t>2006-12-21</t>
  </si>
  <si>
    <t>2001-12-21</t>
  </si>
  <si>
    <t>SA_93</t>
  </si>
  <si>
    <t>2007-11-19</t>
  </si>
  <si>
    <t>PTBTQ</t>
  </si>
  <si>
    <t>Pope &amp; Talbot, Inc.</t>
  </si>
  <si>
    <t>PTBTQ US Equity</t>
  </si>
  <si>
    <t>2007-08-21</t>
  </si>
  <si>
    <t>2002-08-21</t>
  </si>
  <si>
    <t>SA_39</t>
  </si>
  <si>
    <t>2008-01-29</t>
  </si>
  <si>
    <t>TOUSQ</t>
  </si>
  <si>
    <t>TOUSA, Inc.</t>
  </si>
  <si>
    <t>TOUSQ US Equity</t>
  </si>
  <si>
    <t>2007-10-31</t>
  </si>
  <si>
    <t>2002-10-31</t>
  </si>
  <si>
    <t>SA_153</t>
  </si>
  <si>
    <t>2008-11-06</t>
  </si>
  <si>
    <t>MPCCQ</t>
  </si>
  <si>
    <t>MPC Corporation</t>
  </si>
  <si>
    <t>MPCCQ US Equity</t>
  </si>
  <si>
    <t>2008-08-08</t>
  </si>
  <si>
    <t>2003-08-08</t>
  </si>
  <si>
    <t>SA_211</t>
  </si>
  <si>
    <t>2009-02-18</t>
  </si>
  <si>
    <t>BGPTQ</t>
  </si>
  <si>
    <t>BearingPoint, Inc.</t>
  </si>
  <si>
    <t>BGPTQ US Equity</t>
  </si>
  <si>
    <t>2008-11-20</t>
  </si>
  <si>
    <t>2003-11-20</t>
  </si>
  <si>
    <t>SA_27</t>
  </si>
  <si>
    <t>2009-02-21</t>
  </si>
  <si>
    <t>JRCOQ</t>
  </si>
  <si>
    <t>Journal Register Company</t>
  </si>
  <si>
    <t>JRCOQ US Equity</t>
  </si>
  <si>
    <t>2008-11-23</t>
  </si>
  <si>
    <t>2003-11-23</t>
  </si>
  <si>
    <t>SA_171</t>
  </si>
  <si>
    <t>2009-03-18</t>
  </si>
  <si>
    <t>CEMJQ</t>
  </si>
  <si>
    <t>Chemtura Corporation</t>
  </si>
  <si>
    <t>CEMJQ US Equity</t>
  </si>
  <si>
    <t>2008-12-18</t>
  </si>
  <si>
    <t>2003-12-18</t>
  </si>
  <si>
    <t>SA_243</t>
  </si>
  <si>
    <t>2009-03-27</t>
  </si>
  <si>
    <t>CHTRQ</t>
  </si>
  <si>
    <t>Charter Communications, Inc.</t>
  </si>
  <si>
    <t>CHTRQ US Equity</t>
  </si>
  <si>
    <t>2008-12-27</t>
  </si>
  <si>
    <t>2003-12-27</t>
  </si>
  <si>
    <t>SA_309</t>
  </si>
  <si>
    <t>2009-03-31</t>
  </si>
  <si>
    <t>IDARQ</t>
  </si>
  <si>
    <t>Idearc Inc.</t>
  </si>
  <si>
    <t>IDARQ US Equity</t>
  </si>
  <si>
    <t>2008-12-31</t>
  </si>
  <si>
    <t>2003-12-31</t>
  </si>
  <si>
    <t>SA_115</t>
  </si>
  <si>
    <t>2009-04-19</t>
  </si>
  <si>
    <t>DSUPQ</t>
  </si>
  <si>
    <t>Dayton Superior Corporation</t>
  </si>
  <si>
    <t>DSUPQ US Equity</t>
  </si>
  <si>
    <t>2009-01-19</t>
  </si>
  <si>
    <t>2004-01-19</t>
  </si>
  <si>
    <t>SA_7</t>
  </si>
  <si>
    <t>2009-04-20</t>
  </si>
  <si>
    <t>ASYTQ</t>
  </si>
  <si>
    <t>Asyst Technologies, Inc.</t>
  </si>
  <si>
    <t>ASYTQ US Equity</t>
  </si>
  <si>
    <t>2009-01-20</t>
  </si>
  <si>
    <t>2004-01-20</t>
  </si>
  <si>
    <t>SA_129</t>
  </si>
  <si>
    <t>2009-05-28</t>
  </si>
  <si>
    <t>VSTNQ</t>
  </si>
  <si>
    <t>Visteon Corporation</t>
  </si>
  <si>
    <t>VSTNQ US Equity</t>
  </si>
  <si>
    <t>2009-02-27</t>
  </si>
  <si>
    <t>SA_202</t>
  </si>
  <si>
    <t>RHDCQ</t>
  </si>
  <si>
    <t>R.H. Donnelley Corporation</t>
  </si>
  <si>
    <t>RHDCQ US Equity</t>
  </si>
  <si>
    <t>SA_102</t>
  </si>
  <si>
    <t>2009-07-07</t>
  </si>
  <si>
    <t>LEARQ</t>
  </si>
  <si>
    <t>Lear Corporation</t>
  </si>
  <si>
    <t>LEARQ US Equity</t>
  </si>
  <si>
    <t>2009-04-08</t>
  </si>
  <si>
    <t>2004-04-08</t>
  </si>
  <si>
    <t>SA_78</t>
  </si>
  <si>
    <t>2009-09-15</t>
  </si>
  <si>
    <t>TPUTQ</t>
  </si>
  <si>
    <t>Barzel Industries Inc.</t>
  </si>
  <si>
    <t>TPUTQ US Equity</t>
  </si>
  <si>
    <t>2009-06-17</t>
  </si>
  <si>
    <t>2004-06-17</t>
  </si>
  <si>
    <t>SA_248</t>
  </si>
  <si>
    <t>2009-10-01</t>
  </si>
  <si>
    <t>EPEXQ</t>
  </si>
  <si>
    <t>Edge Petroleum Corporation</t>
  </si>
  <si>
    <t>EPEXQ US Equity</t>
  </si>
  <si>
    <t>2009-07-03</t>
  </si>
  <si>
    <t>2004-07-03</t>
  </si>
  <si>
    <t>SA_164</t>
  </si>
  <si>
    <t>2009-11-15</t>
  </si>
  <si>
    <t>CJHBQ</t>
  </si>
  <si>
    <t>Champion Enterprises, Inc.</t>
  </si>
  <si>
    <t>CJHBQ US Equity</t>
  </si>
  <si>
    <t>2009-08-17</t>
  </si>
  <si>
    <t>2004-08-17</t>
  </si>
  <si>
    <t>SA_106</t>
  </si>
  <si>
    <t>2010-05-16</t>
  </si>
  <si>
    <t>NFFCA</t>
  </si>
  <si>
    <t>Neff Corp.</t>
  </si>
  <si>
    <t>NFFCA US Equity</t>
  </si>
  <si>
    <t>2010-02-15</t>
  </si>
  <si>
    <t>2005-02-15</t>
  </si>
  <si>
    <t>SA_40</t>
  </si>
  <si>
    <t>2010-09-23</t>
  </si>
  <si>
    <t>BLIAQ</t>
  </si>
  <si>
    <t>Blockbuster Inc.</t>
  </si>
  <si>
    <t>BLIAQ US Equity</t>
  </si>
  <si>
    <t>2010-06-25</t>
  </si>
  <si>
    <t>2005-06-25</t>
  </si>
  <si>
    <t>SA_57</t>
  </si>
  <si>
    <t>2011-02-11</t>
  </si>
  <si>
    <t>HAWKQ</t>
  </si>
  <si>
    <t>Seahawk Drilling, Inc.</t>
  </si>
  <si>
    <t>HAWKQ US Equity</t>
  </si>
  <si>
    <t>2010-11-13</t>
  </si>
  <si>
    <t>2005-11-13</t>
  </si>
  <si>
    <t>SA_209</t>
  </si>
  <si>
    <t>2011-05-24</t>
  </si>
  <si>
    <t>JHTXQ</t>
  </si>
  <si>
    <t>Jackson Hewitt Tax Service Inc.</t>
  </si>
  <si>
    <t>JHTXQ US Equity</t>
  </si>
  <si>
    <t>2011-02-23</t>
  </si>
  <si>
    <t>2006-02-23</t>
  </si>
  <si>
    <t>SA_266</t>
  </si>
  <si>
    <t>2011-08-19</t>
  </si>
  <si>
    <t>SDTHQ</t>
  </si>
  <si>
    <t>ShengdaTech, Inc.</t>
  </si>
  <si>
    <t>SDTHQ US Equity</t>
  </si>
  <si>
    <t>2011-05-21</t>
  </si>
  <si>
    <t>2006-05-21</t>
  </si>
  <si>
    <t>SA_307</t>
  </si>
  <si>
    <t>2011-11-02</t>
  </si>
  <si>
    <t>SYMSQ</t>
  </si>
  <si>
    <t>Syms Corp.</t>
  </si>
  <si>
    <t>SYMSQ US Equity</t>
  </si>
  <si>
    <t>2011-08-04</t>
  </si>
  <si>
    <t>2006-08-04</t>
  </si>
  <si>
    <t>SA_186</t>
  </si>
  <si>
    <t>2011-11-07</t>
  </si>
  <si>
    <t>DYNIQ</t>
  </si>
  <si>
    <t>Dynegy Holdings, LLC</t>
  </si>
  <si>
    <t>DYNIQ US Equity</t>
  </si>
  <si>
    <t>2011-08-09</t>
  </si>
  <si>
    <t>2006-08-09</t>
  </si>
  <si>
    <t>SA_274</t>
  </si>
  <si>
    <t>2012-01-04</t>
  </si>
  <si>
    <t>TRIDQ</t>
  </si>
  <si>
    <t>Trident Microsystems, Inc.</t>
  </si>
  <si>
    <t>TRIDQ US Equity</t>
  </si>
  <si>
    <t>2011-10-06</t>
  </si>
  <si>
    <t>2006-10-06</t>
  </si>
  <si>
    <t>SA_64</t>
  </si>
  <si>
    <t>2012-02-14</t>
  </si>
  <si>
    <t>ENERQ</t>
  </si>
  <si>
    <t>Energy Conversion Devices, Inc.</t>
  </si>
  <si>
    <t>ENERQ US Equity</t>
  </si>
  <si>
    <t>2011-11-16</t>
  </si>
  <si>
    <t>2006-11-16</t>
  </si>
  <si>
    <t>SA_113</t>
  </si>
  <si>
    <t>2012-04-12</t>
  </si>
  <si>
    <t>RDDYQ</t>
  </si>
  <si>
    <t>Reddy Ice Holdings, Inc.</t>
  </si>
  <si>
    <t>RDDYQ US Equity</t>
  </si>
  <si>
    <t>2012-01-13</t>
  </si>
  <si>
    <t>2007-01-13</t>
  </si>
  <si>
    <t>SA_34</t>
  </si>
  <si>
    <t>2012-07-17</t>
  </si>
  <si>
    <t>FTWRQ</t>
  </si>
  <si>
    <t>FiberTower Corporation</t>
  </si>
  <si>
    <t>FBBT US Equity</t>
  </si>
  <si>
    <t>2012-04-18</t>
  </si>
  <si>
    <t>2007-04-18</t>
  </si>
  <si>
    <t>SA_29</t>
  </si>
  <si>
    <t>2012-08-17</t>
  </si>
  <si>
    <t>ATPAQ</t>
  </si>
  <si>
    <t>ATP Oil &amp; Gas Corporation</t>
  </si>
  <si>
    <t>ATPAQ US Equity</t>
  </si>
  <si>
    <t>2012-05-19</t>
  </si>
  <si>
    <t>2007-05-19</t>
  </si>
  <si>
    <t>SA_65</t>
  </si>
  <si>
    <t>2012-11-14</t>
  </si>
  <si>
    <t>OSGIQ</t>
  </si>
  <si>
    <t>Overseas Shipholding Group, Inc.</t>
  </si>
  <si>
    <t>OSGIQ US Equity</t>
  </si>
  <si>
    <t>2012-08-16</t>
  </si>
  <si>
    <t>2007-08-16</t>
  </si>
  <si>
    <t>SA_72</t>
  </si>
  <si>
    <t>2013-01-28</t>
  </si>
  <si>
    <t>SCHSQ</t>
  </si>
  <si>
    <t>School Specialty, Inc.</t>
  </si>
  <si>
    <t>SCHSQ US Equity</t>
  </si>
  <si>
    <t>2012-10-30</t>
  </si>
  <si>
    <t>2007-10-30</t>
  </si>
  <si>
    <t>SA_74</t>
  </si>
  <si>
    <t>PWAVQ</t>
  </si>
  <si>
    <t>Powerwave Technologies, Inc.</t>
  </si>
  <si>
    <t>PWAVQ US Equity</t>
  </si>
  <si>
    <t>SA_18</t>
  </si>
  <si>
    <t>2013-04-08</t>
  </si>
  <si>
    <t>ROHIQ</t>
  </si>
  <si>
    <t>Rotech Healthcare Inc.</t>
  </si>
  <si>
    <t>ROHIQ US Equity</t>
  </si>
  <si>
    <t>2013-01-08</t>
  </si>
  <si>
    <t>2008-01-08</t>
  </si>
  <si>
    <t>SA_265</t>
  </si>
  <si>
    <t>2013-07-02</t>
  </si>
  <si>
    <t>HOKUQ</t>
  </si>
  <si>
    <t>Hoku Corporation</t>
  </si>
  <si>
    <t>HOKUQ US Equity</t>
  </si>
  <si>
    <t>2013-04-03</t>
  </si>
  <si>
    <t>2008-04-03</t>
  </si>
  <si>
    <t>SA_205</t>
  </si>
  <si>
    <t>2013-09-17</t>
  </si>
  <si>
    <t>FFNTQ</t>
  </si>
  <si>
    <t>FriendFinder Networks Inc.</t>
  </si>
  <si>
    <t>FFNTQ US Equity</t>
  </si>
  <si>
    <t>2013-06-19</t>
  </si>
  <si>
    <t>2008-06-19</t>
  </si>
  <si>
    <t>SA_161</t>
  </si>
  <si>
    <t>2013-09-27</t>
  </si>
  <si>
    <t>GHSEQ</t>
  </si>
  <si>
    <t>GateHouse Media, Inc.</t>
  </si>
  <si>
    <t>1917175D US Equity</t>
  </si>
  <si>
    <t>2013-06-29</t>
  </si>
  <si>
    <t>2008-06-29</t>
  </si>
  <si>
    <t>SA_41</t>
  </si>
  <si>
    <t>2014-03-23</t>
  </si>
  <si>
    <t>DOLNQ</t>
  </si>
  <si>
    <t>Dolan Company</t>
  </si>
  <si>
    <t>DOLNQ US Equity</t>
  </si>
  <si>
    <t>2013-12-23</t>
  </si>
  <si>
    <t>2008-12-23</t>
  </si>
  <si>
    <t>SA_137</t>
  </si>
  <si>
    <t>2014-04-11</t>
  </si>
  <si>
    <t>CWTRQ</t>
  </si>
  <si>
    <t>Coldwater Creek Inc.</t>
  </si>
  <si>
    <t>CWTRQ US Equity</t>
  </si>
  <si>
    <t>2014-01-11</t>
  </si>
  <si>
    <t>2009-01-11</t>
  </si>
  <si>
    <t>SA_76</t>
  </si>
  <si>
    <t>2015-02-05</t>
  </si>
  <si>
    <t>RSHCQ</t>
  </si>
  <si>
    <t>RadioShack Corporation</t>
  </si>
  <si>
    <t>RSHCQ US Equity</t>
  </si>
  <si>
    <t>2014-11-07</t>
  </si>
  <si>
    <t>2009-11-07</t>
  </si>
  <si>
    <t>SA_191</t>
  </si>
  <si>
    <t>2015-03-03</t>
  </si>
  <si>
    <t>CDVIQ</t>
  </si>
  <si>
    <t>Cal Dive International, Inc.</t>
  </si>
  <si>
    <t>CDVIQ US Equity</t>
  </si>
  <si>
    <t>2014-12-03</t>
  </si>
  <si>
    <t>2009-12-03</t>
  </si>
  <si>
    <t>SA_149</t>
  </si>
  <si>
    <t>2015-03-12</t>
  </si>
  <si>
    <t>SRCTQ</t>
  </si>
  <si>
    <t>Standard Register Company</t>
  </si>
  <si>
    <t>SRCTQ US Equity</t>
  </si>
  <si>
    <t>2014-12-12</t>
  </si>
  <si>
    <t>2009-12-12</t>
  </si>
  <si>
    <t>SA_6</t>
  </si>
  <si>
    <t>2015-03-17</t>
  </si>
  <si>
    <t>KWKAQ</t>
  </si>
  <si>
    <t>Quicksilver Resources Inc.</t>
  </si>
  <si>
    <t>KWKAQ US Equity</t>
  </si>
  <si>
    <t>2014-12-17</t>
  </si>
  <si>
    <t>2009-12-17</t>
  </si>
  <si>
    <t>SA_189</t>
  </si>
  <si>
    <t>2015-05-04</t>
  </si>
  <si>
    <t>COCOQ</t>
  </si>
  <si>
    <t>Corinthian Colleges, Inc.</t>
  </si>
  <si>
    <t>COCOQ US Equity</t>
  </si>
  <si>
    <t>2015-02-03</t>
  </si>
  <si>
    <t>2010-02-03</t>
  </si>
  <si>
    <t>SA_272</t>
  </si>
  <si>
    <t>2015-06-25</t>
  </si>
  <si>
    <t>MCPIQ</t>
  </si>
  <si>
    <t>Molycorp, Inc.</t>
  </si>
  <si>
    <t>MCPIQ US Equity</t>
  </si>
  <si>
    <t>2015-03-27</t>
  </si>
  <si>
    <t>2010-03-27</t>
  </si>
  <si>
    <t>SA_44</t>
  </si>
  <si>
    <t>2015-07-15</t>
  </si>
  <si>
    <t>WLTGQ</t>
  </si>
  <si>
    <t>Walter Energy, Inc.</t>
  </si>
  <si>
    <t>WLTGQ US Equity</t>
  </si>
  <si>
    <t>2015-04-16</t>
  </si>
  <si>
    <t>2010-04-16</t>
  </si>
  <si>
    <t>SA_82</t>
  </si>
  <si>
    <t>SOGCQ</t>
  </si>
  <si>
    <t>Sabine Oil &amp; Gas Corporation</t>
  </si>
  <si>
    <t>SOGCQ US Equity</t>
  </si>
  <si>
    <t>SA_221</t>
  </si>
  <si>
    <t>2015-08-03</t>
  </si>
  <si>
    <t>ANRZQ</t>
  </si>
  <si>
    <t>Alpha Natural Resources, Inc.</t>
  </si>
  <si>
    <t>ANRZQ US Equity</t>
  </si>
  <si>
    <t>2015-05-05</t>
  </si>
  <si>
    <t>2010-05-05</t>
  </si>
  <si>
    <t>SA_154</t>
  </si>
  <si>
    <t>2015-08-13</t>
  </si>
  <si>
    <t>HEROQ</t>
  </si>
  <si>
    <t>Hercules Offshore, Inc.</t>
  </si>
  <si>
    <t>HEROQ US Equity</t>
  </si>
  <si>
    <t>2015-05-15</t>
  </si>
  <si>
    <t>2010-05-15</t>
  </si>
  <si>
    <t>SA_33</t>
  </si>
  <si>
    <t>2016-01-11</t>
  </si>
  <si>
    <t>ACIIQ</t>
  </si>
  <si>
    <t>Arch Coal, Inc.</t>
  </si>
  <si>
    <t>ARCH US Equity</t>
  </si>
  <si>
    <t>2015-10-13</t>
  </si>
  <si>
    <t>2010-10-13</t>
  </si>
  <si>
    <t>SA_276</t>
  </si>
  <si>
    <t>2016-02-08</t>
  </si>
  <si>
    <t>NORNQ</t>
  </si>
  <si>
    <t>Noranda Aluminum Holding Corporation</t>
  </si>
  <si>
    <t>NORNQ US Equity</t>
  </si>
  <si>
    <t>2015-11-10</t>
  </si>
  <si>
    <t>2010-11-10</t>
  </si>
  <si>
    <t>SA_174</t>
  </si>
  <si>
    <t>2016-02-25</t>
  </si>
  <si>
    <t>RJETQ</t>
  </si>
  <si>
    <t>Republic Airways Holdings Inc.</t>
  </si>
  <si>
    <t>RJETQ US Equity</t>
  </si>
  <si>
    <t>2015-11-27</t>
  </si>
  <si>
    <t>2010-11-27</t>
  </si>
  <si>
    <t>SA_55</t>
  </si>
  <si>
    <t>2016-04-21</t>
  </si>
  <si>
    <t>SUNEQ</t>
  </si>
  <si>
    <t>SunEdison, Inc.</t>
  </si>
  <si>
    <t>SUNEQ US Equity</t>
  </si>
  <si>
    <t>2016-01-22</t>
  </si>
  <si>
    <t>2011-01-22</t>
  </si>
  <si>
    <t>SA_116</t>
  </si>
  <si>
    <t>2016-04-29</t>
  </si>
  <si>
    <t>UPLCQ</t>
  </si>
  <si>
    <t>Ultra Petroleum Corp. (2016)</t>
  </si>
  <si>
    <t>UPLCQ US Equity</t>
  </si>
  <si>
    <t>2016-01-30</t>
  </si>
  <si>
    <t>2011-01-30</t>
  </si>
  <si>
    <t>SA_180</t>
  </si>
  <si>
    <t>2016-05-02</t>
  </si>
  <si>
    <t>FWMHQ</t>
  </si>
  <si>
    <t>Fairway Group Holdings Corp.</t>
  </si>
  <si>
    <t>FWMHQ US Equity</t>
  </si>
  <si>
    <t>2016-02-02</t>
  </si>
  <si>
    <t>2011-02-02</t>
  </si>
  <si>
    <t>SA_224</t>
  </si>
  <si>
    <t>2016-05-04</t>
  </si>
  <si>
    <t>AROPQ</t>
  </si>
  <si>
    <t>Aeropostale, Inc.</t>
  </si>
  <si>
    <t>AROPQ US Equity</t>
  </si>
  <si>
    <t>2016-02-04</t>
  </si>
  <si>
    <t>2011-02-04</t>
  </si>
  <si>
    <t>SA_256</t>
  </si>
  <si>
    <t>2016-05-15</t>
  </si>
  <si>
    <t>BBEPQ</t>
  </si>
  <si>
    <t>Breitburn Energy Partners LP</t>
  </si>
  <si>
    <t>BBEPQ US Equity</t>
  </si>
  <si>
    <t>2016-02-15</t>
  </si>
  <si>
    <t>2011-02-15</t>
  </si>
  <si>
    <t>SA_282</t>
  </si>
  <si>
    <t>2016-05-16</t>
  </si>
  <si>
    <t>SDOCQ</t>
  </si>
  <si>
    <t>SandRidge Energy, Inc.</t>
  </si>
  <si>
    <t>SD US Equity</t>
  </si>
  <si>
    <t>2016-02-16</t>
  </si>
  <si>
    <t>2011-02-16</t>
  </si>
  <si>
    <t>SA_109</t>
  </si>
  <si>
    <t>2016-06-07</t>
  </si>
  <si>
    <t>SSEIQ</t>
  </si>
  <si>
    <t>Seventy Seven Energy Inc.</t>
  </si>
  <si>
    <t>SSEIQ US Equity</t>
  </si>
  <si>
    <t>2016-03-09</t>
  </si>
  <si>
    <t>2011-03-09</t>
  </si>
  <si>
    <t>SA_192</t>
  </si>
  <si>
    <t>2016-07-27</t>
  </si>
  <si>
    <t>HKRSQ</t>
  </si>
  <si>
    <t>Halcon Resources Corporation</t>
  </si>
  <si>
    <t>HKRSQ US Equity</t>
  </si>
  <si>
    <t>2016-04-28</t>
  </si>
  <si>
    <t>2011-04-28</t>
  </si>
  <si>
    <t>SA_304</t>
  </si>
  <si>
    <t>2016-08-01</t>
  </si>
  <si>
    <t>ISHCQ</t>
  </si>
  <si>
    <t>International Shipholding Corporation</t>
  </si>
  <si>
    <t>ISHCQ US Equity</t>
  </si>
  <si>
    <t>2016-05-03</t>
  </si>
  <si>
    <t>2011-05-03</t>
  </si>
  <si>
    <t>SA_81</t>
  </si>
  <si>
    <t>2016-09-16</t>
  </si>
  <si>
    <t>ESINQ</t>
  </si>
  <si>
    <t>ITT Educational Services, Inc.</t>
  </si>
  <si>
    <t>ESINQ US Equity</t>
  </si>
  <si>
    <t>2016-06-18</t>
  </si>
  <si>
    <t>2011-06-18</t>
  </si>
  <si>
    <t>SA_14</t>
  </si>
  <si>
    <t>2016-10-25</t>
  </si>
  <si>
    <t>BASXQ</t>
  </si>
  <si>
    <t>Basic Energy Services, Inc. (2016)</t>
  </si>
  <si>
    <t>BASXQ US Equity</t>
  </si>
  <si>
    <t>2011-07-27</t>
  </si>
  <si>
    <t>SA_257</t>
  </si>
  <si>
    <t>2017-01-16</t>
  </si>
  <si>
    <t>MEMPQ</t>
  </si>
  <si>
    <t>Memorial Production Partners LP</t>
  </si>
  <si>
    <t>0618563D US Equity</t>
  </si>
  <si>
    <t>2016-10-18</t>
  </si>
  <si>
    <t>2011-10-18</t>
  </si>
  <si>
    <t>SA_83</t>
  </si>
  <si>
    <t>2017-01-30</t>
  </si>
  <si>
    <t>AZURQ</t>
  </si>
  <si>
    <t>Azure Midstream Partners, LP</t>
  </si>
  <si>
    <t>0862978D US Equity</t>
  </si>
  <si>
    <t>2016-11-01</t>
  </si>
  <si>
    <t>2011-11-01</t>
  </si>
  <si>
    <t>SA_15</t>
  </si>
  <si>
    <t>2017-05-01</t>
  </si>
  <si>
    <t>NESCQ</t>
  </si>
  <si>
    <t>Nuverra Environmental Solutions, Inc.</t>
  </si>
  <si>
    <t>NES US Equity</t>
  </si>
  <si>
    <t>2017-01-31</t>
  </si>
  <si>
    <t>2012-01-31</t>
  </si>
  <si>
    <t>SA_159</t>
  </si>
  <si>
    <t>2017-05-17</t>
  </si>
  <si>
    <t>GLFMQ</t>
  </si>
  <si>
    <t>GulfMark Offshore, Inc.</t>
  </si>
  <si>
    <t>GLF US Equity</t>
  </si>
  <si>
    <t>2017-02-16</t>
  </si>
  <si>
    <t>2012-02-16</t>
  </si>
  <si>
    <t>SA_236</t>
  </si>
  <si>
    <t>2017-08-26</t>
  </si>
  <si>
    <t>PERFQ</t>
  </si>
  <si>
    <t>Perfumania Holdings, Inc.</t>
  </si>
  <si>
    <t>PERFQ US Equity</t>
  </si>
  <si>
    <t>2017-05-28</t>
  </si>
  <si>
    <t>2012-05-28</t>
  </si>
  <si>
    <t>SA_35</t>
  </si>
  <si>
    <t>2017-11-29</t>
  </si>
  <si>
    <t>CMLSQ</t>
  </si>
  <si>
    <t>Cumulus Media Inc.</t>
  </si>
  <si>
    <t>CMLSQ US Equity</t>
  </si>
  <si>
    <t>2017-08-31</t>
  </si>
  <si>
    <t>2012-08-31</t>
  </si>
  <si>
    <t>SA_292</t>
  </si>
  <si>
    <t>2017-12-14</t>
  </si>
  <si>
    <t>CIEIQ</t>
  </si>
  <si>
    <t>Cobalt International Energy, Inc.</t>
  </si>
  <si>
    <t>CIEIQ US Equity</t>
  </si>
  <si>
    <t>2017-09-15</t>
  </si>
  <si>
    <t>2012-09-15</t>
  </si>
  <si>
    <t>SA_62</t>
  </si>
  <si>
    <t>2017-12-19</t>
  </si>
  <si>
    <t>RTKHQ</t>
  </si>
  <si>
    <t>Rentech, Inc.</t>
  </si>
  <si>
    <t>RTKHQ US Equity</t>
  </si>
  <si>
    <t>2017-09-20</t>
  </si>
  <si>
    <t>2012-09-20</t>
  </si>
  <si>
    <t>SA_232</t>
  </si>
  <si>
    <t>2018-01-15</t>
  </si>
  <si>
    <t>XCOOQ</t>
  </si>
  <si>
    <t>EXCO Resources, Inc.</t>
  </si>
  <si>
    <t>XCOOQ US Equity</t>
  </si>
  <si>
    <t>2017-10-17</t>
  </si>
  <si>
    <t>2012-10-17</t>
  </si>
  <si>
    <t>SA_151</t>
  </si>
  <si>
    <t>2018-02-02</t>
  </si>
  <si>
    <t>CVOVQ</t>
  </si>
  <si>
    <t>Cenveo, Inc.</t>
  </si>
  <si>
    <t>CVOVQ US Equity</t>
  </si>
  <si>
    <t>2017-11-04</t>
  </si>
  <si>
    <t>2012-11-04</t>
  </si>
  <si>
    <t>SA_250</t>
  </si>
  <si>
    <t>2018-03-12</t>
  </si>
  <si>
    <t>OREXQ</t>
  </si>
  <si>
    <t>Orexigen Therapeutics, Inc.</t>
  </si>
  <si>
    <t>OREXQ US Equity</t>
  </si>
  <si>
    <t>2017-12-12</t>
  </si>
  <si>
    <t>2012-12-12</t>
  </si>
  <si>
    <t>SA_46</t>
  </si>
  <si>
    <t>2018-05-18</t>
  </si>
  <si>
    <t>REXXQ</t>
  </si>
  <si>
    <t>Rex Energy Corporation</t>
  </si>
  <si>
    <t>REXXQ US Equity</t>
  </si>
  <si>
    <t>2018-02-17</t>
  </si>
  <si>
    <t>2013-02-17</t>
  </si>
  <si>
    <t>SA_288</t>
  </si>
  <si>
    <t>2018-10-15</t>
  </si>
  <si>
    <t>SHLDQ</t>
  </si>
  <si>
    <t>Sears Holdings Corporation</t>
  </si>
  <si>
    <t>SHLDQ US Equity</t>
  </si>
  <si>
    <t>2018-07-17</t>
  </si>
  <si>
    <t>2013-07-17</t>
  </si>
  <si>
    <t>SA_112</t>
  </si>
  <si>
    <t>2018-10-31</t>
  </si>
  <si>
    <t>GSTCQ</t>
  </si>
  <si>
    <t>Gastar Exploration Inc.</t>
  </si>
  <si>
    <t>GSTCQ US Equity</t>
  </si>
  <si>
    <t>2018-08-02</t>
  </si>
  <si>
    <t>2013-08-02</t>
  </si>
  <si>
    <t>SA_199</t>
  </si>
  <si>
    <t>2018-12-12</t>
  </si>
  <si>
    <t>PKDSQ</t>
  </si>
  <si>
    <t>Parker Drilling Company</t>
  </si>
  <si>
    <t>PKDC US Equity</t>
  </si>
  <si>
    <t>2018-09-13</t>
  </si>
  <si>
    <t>2013-09-13</t>
  </si>
  <si>
    <t>SA_289</t>
  </si>
  <si>
    <t>2019-02-25</t>
  </si>
  <si>
    <t>WINMQ</t>
  </si>
  <si>
    <t>Windstream Holdings, Inc. (Windstream Services, LLC)</t>
  </si>
  <si>
    <t>WINMQ US Equity</t>
  </si>
  <si>
    <t>2018-11-27</t>
  </si>
  <si>
    <t>2013-11-27</t>
  </si>
  <si>
    <t>SA_69</t>
  </si>
  <si>
    <t>2019-03-14</t>
  </si>
  <si>
    <t>PHIIQ</t>
  </si>
  <si>
    <t>PHI, Inc.</t>
  </si>
  <si>
    <t>PHIIQ US Equity</t>
  </si>
  <si>
    <t>2018-12-14</t>
  </si>
  <si>
    <t>2013-12-14</t>
  </si>
  <si>
    <t>SA_194</t>
  </si>
  <si>
    <t>2019-04-01</t>
  </si>
  <si>
    <t>TISUQ</t>
  </si>
  <si>
    <t>Orchids Paper Products Company</t>
  </si>
  <si>
    <t>TISUQ US Equity</t>
  </si>
  <si>
    <t>2019-01-01</t>
  </si>
  <si>
    <t>2014-01-01</t>
  </si>
  <si>
    <t>SA_227</t>
  </si>
  <si>
    <t>2019-04-14</t>
  </si>
  <si>
    <t>JONEQ</t>
  </si>
  <si>
    <t>Jones Energy, Inc.</t>
  </si>
  <si>
    <t>JONEQ US Equity</t>
  </si>
  <si>
    <t>2019-01-14</t>
  </si>
  <si>
    <t>2014-01-14</t>
  </si>
  <si>
    <t>SA_50</t>
  </si>
  <si>
    <t>2019-05-10</t>
  </si>
  <si>
    <t>CLDPQ</t>
  </si>
  <si>
    <t>Cloud Peak Energy Inc.</t>
  </si>
  <si>
    <t>CLDPQ US Equity</t>
  </si>
  <si>
    <t>2019-02-09</t>
  </si>
  <si>
    <t>2014-02-09</t>
  </si>
  <si>
    <t>SA_193</t>
  </si>
  <si>
    <t>2019-05-11</t>
  </si>
  <si>
    <t>BRSWQ</t>
  </si>
  <si>
    <t>Bristow Group Inc.</t>
  </si>
  <si>
    <t>BRSWQ US Equity</t>
  </si>
  <si>
    <t>2019-02-10</t>
  </si>
  <si>
    <t>2014-02-10</t>
  </si>
  <si>
    <t>SA_218</t>
  </si>
  <si>
    <t>2019-06-18</t>
  </si>
  <si>
    <t>LGCYQ</t>
  </si>
  <si>
    <t>Legacy Reserves Inc.</t>
  </si>
  <si>
    <t>LGCYQ US Equity</t>
  </si>
  <si>
    <t>2019-03-20</t>
  </si>
  <si>
    <t>2014-03-20</t>
  </si>
  <si>
    <t>SA_241</t>
  </si>
  <si>
    <t>2019-08-11</t>
  </si>
  <si>
    <t>SNECQ</t>
  </si>
  <si>
    <t>Sanchez Energy Corporation</t>
  </si>
  <si>
    <t>SNECQ US Equity</t>
  </si>
  <si>
    <t>2019-05-13</t>
  </si>
  <si>
    <t>2014-05-13</t>
  </si>
  <si>
    <t>SA_104</t>
  </si>
  <si>
    <t>2019-10-03</t>
  </si>
  <si>
    <t>EPEGQ</t>
  </si>
  <si>
    <t>EP Energy Corporation (EP Energy LLC)</t>
  </si>
  <si>
    <t>EPEGQ US Equity</t>
  </si>
  <si>
    <t>2019-07-05</t>
  </si>
  <si>
    <t>2014-07-05</t>
  </si>
  <si>
    <t>SA_270</t>
  </si>
  <si>
    <t>2019-10-21</t>
  </si>
  <si>
    <t>NRTSF</t>
  </si>
  <si>
    <t>Nobilis Health Corp.</t>
  </si>
  <si>
    <t>NRTSF US Equity</t>
  </si>
  <si>
    <t>2019-07-23</t>
  </si>
  <si>
    <t>2014-07-23</t>
  </si>
  <si>
    <t>SA_2</t>
  </si>
  <si>
    <t>2019-11-18</t>
  </si>
  <si>
    <t>AREXQ</t>
  </si>
  <si>
    <t>Approach Resources Inc.</t>
  </si>
  <si>
    <t>AREXQ US Equity</t>
  </si>
  <si>
    <t>2019-08-20</t>
  </si>
  <si>
    <t>2014-08-20</t>
  </si>
  <si>
    <t>SA_119</t>
  </si>
  <si>
    <t>2020-01-21</t>
  </si>
  <si>
    <t>MDRIQ</t>
  </si>
  <si>
    <t>McDermott International, Inc.</t>
  </si>
  <si>
    <t>MDRIQ US Equity</t>
  </si>
  <si>
    <t>2019-10-23</t>
  </si>
  <si>
    <t>2014-10-23</t>
  </si>
  <si>
    <t>SA_252</t>
  </si>
  <si>
    <t>2020-02-17</t>
  </si>
  <si>
    <t>PIRRQ</t>
  </si>
  <si>
    <t>Pier 1 Imports, Inc.</t>
  </si>
  <si>
    <t>PIRRQ US Equity</t>
  </si>
  <si>
    <t>2019-11-19</t>
  </si>
  <si>
    <t>2014-11-19</t>
  </si>
  <si>
    <t>SA_214</t>
  </si>
  <si>
    <t>2020-03-10</t>
  </si>
  <si>
    <t>FELPQ</t>
  </si>
  <si>
    <t>Foresight Energy LP</t>
  </si>
  <si>
    <t>FELPQ US Equity</t>
  </si>
  <si>
    <t>2019-12-11</t>
  </si>
  <si>
    <t>2014-12-11</t>
  </si>
  <si>
    <t>SA_262</t>
  </si>
  <si>
    <t>2020-04-07</t>
  </si>
  <si>
    <t>QHCCQ</t>
  </si>
  <si>
    <t>Quorum Health Corporation</t>
  </si>
  <si>
    <t>QHCCQ US Equity</t>
  </si>
  <si>
    <t>2020-01-08</t>
  </si>
  <si>
    <t>2015-01-08</t>
  </si>
  <si>
    <t>SA_198</t>
  </si>
  <si>
    <t>2020-05-18</t>
  </si>
  <si>
    <t>CTRCQ</t>
  </si>
  <si>
    <t>Centric Brands Inc.</t>
  </si>
  <si>
    <t>CTRCQ US Equity</t>
  </si>
  <si>
    <t>2020-02-18</t>
  </si>
  <si>
    <t>2015-02-18</t>
  </si>
  <si>
    <t>SA_56</t>
  </si>
  <si>
    <t>2020-05-19</t>
  </si>
  <si>
    <t>HOSSQ</t>
  </si>
  <si>
    <t>Hornbeck Offshore Services, Inc.</t>
  </si>
  <si>
    <t>HOS US Equity</t>
  </si>
  <si>
    <t>2020-02-19</t>
  </si>
  <si>
    <t>2015-02-19</t>
  </si>
  <si>
    <t>SA_144</t>
  </si>
  <si>
    <t>2020-05-20</t>
  </si>
  <si>
    <t>AKRXQ</t>
  </si>
  <si>
    <t>Akorn, Inc.</t>
  </si>
  <si>
    <t>AKRXQ US Equity</t>
  </si>
  <si>
    <t>2020-02-20</t>
  </si>
  <si>
    <t>2015-02-20</t>
  </si>
  <si>
    <t>SA_298</t>
  </si>
  <si>
    <t>2020-05-27</t>
  </si>
  <si>
    <t>TUEMQ</t>
  </si>
  <si>
    <t>Tuesday Morning Corporation</t>
  </si>
  <si>
    <t>TUEMQ US Equity</t>
  </si>
  <si>
    <t>2020-02-27</t>
  </si>
  <si>
    <t>2015-02-27</t>
  </si>
  <si>
    <t>SA_31</t>
  </si>
  <si>
    <t>2020-06-01</t>
  </si>
  <si>
    <t>LBYYQ</t>
  </si>
  <si>
    <t>Libbey Inc.</t>
  </si>
  <si>
    <t>LBYYQ US Equity</t>
  </si>
  <si>
    <t>2020-03-03</t>
  </si>
  <si>
    <t>SA_188</t>
  </si>
  <si>
    <t>2020-06-15</t>
  </si>
  <si>
    <t>PYXSQ</t>
  </si>
  <si>
    <t>Pyxus International, Inc.</t>
  </si>
  <si>
    <t>PYXSQ US Equity</t>
  </si>
  <si>
    <t>2020-03-17</t>
  </si>
  <si>
    <t>SA_231</t>
  </si>
  <si>
    <t>2020-06-20</t>
  </si>
  <si>
    <t>AACH</t>
  </si>
  <si>
    <t>AAC Holdings, Inc.</t>
  </si>
  <si>
    <t>AACH US Equity</t>
  </si>
  <si>
    <t>2020-03-22</t>
  </si>
  <si>
    <t>2015-03-22</t>
  </si>
  <si>
    <t>SA_8</t>
  </si>
  <si>
    <t>2020-06-23</t>
  </si>
  <si>
    <t>GNCIQ</t>
  </si>
  <si>
    <t>GNC Holdings, Inc.</t>
  </si>
  <si>
    <t>GNCIQ US Equity</t>
  </si>
  <si>
    <t>2020-03-25</t>
  </si>
  <si>
    <t>2015-03-25</t>
  </si>
  <si>
    <t>SA_286</t>
  </si>
  <si>
    <t>2020-06-24</t>
  </si>
  <si>
    <t>JASNQ</t>
  </si>
  <si>
    <t>Jason Industries, Inc.</t>
  </si>
  <si>
    <t>JASNQ US Equity</t>
  </si>
  <si>
    <t>2020-03-26</t>
  </si>
  <si>
    <t>2015-03-26</t>
  </si>
  <si>
    <t>SA_100</t>
  </si>
  <si>
    <t>2020-06-29</t>
  </si>
  <si>
    <t>CVIAQ</t>
  </si>
  <si>
    <t>Covia Holdings Corporation</t>
  </si>
  <si>
    <t>CVIAQ US Equity</t>
  </si>
  <si>
    <t>2020-03-31</t>
  </si>
  <si>
    <t>2015-03-31</t>
  </si>
  <si>
    <t>SA_95</t>
  </si>
  <si>
    <t>2020-07-12</t>
  </si>
  <si>
    <t>HCRSQ</t>
  </si>
  <si>
    <t>Hi-Crush Inc.</t>
  </si>
  <si>
    <t>HCRSQ US Equity</t>
  </si>
  <si>
    <t>2020-04-13</t>
  </si>
  <si>
    <t>2015-04-13</t>
  </si>
  <si>
    <t>SA_244</t>
  </si>
  <si>
    <t>2020-07-15</t>
  </si>
  <si>
    <t>CRCQQ</t>
  </si>
  <si>
    <t>California Resources Corporation</t>
  </si>
  <si>
    <t>CRC US Equity</t>
  </si>
  <si>
    <t>2020-04-16</t>
  </si>
  <si>
    <t>SA_38</t>
  </si>
  <si>
    <t>2020-07-26</t>
  </si>
  <si>
    <t>ROSEQ</t>
  </si>
  <si>
    <t>Rosehill Resources Inc.</t>
  </si>
  <si>
    <t>ROSUQ US Equity</t>
  </si>
  <si>
    <t>2020-04-27</t>
  </si>
  <si>
    <t>2015-04-27</t>
  </si>
  <si>
    <t>SA_226</t>
  </si>
  <si>
    <t>2020-08-02</t>
  </si>
  <si>
    <t>TLRDQ</t>
  </si>
  <si>
    <t>Tailored Brands, Inc.</t>
  </si>
  <si>
    <t>TLRDQ US Equity</t>
  </si>
  <si>
    <t>2020-05-04</t>
  </si>
  <si>
    <t>SA_111</t>
  </si>
  <si>
    <t>2020-09-30</t>
  </si>
  <si>
    <t>LONEQ</t>
  </si>
  <si>
    <t>Lonestar Resources US Inc.</t>
  </si>
  <si>
    <t>1478868D US Equity</t>
  </si>
  <si>
    <t>2020-07-02</t>
  </si>
  <si>
    <t>2015-07-02</t>
  </si>
  <si>
    <t>SA_54</t>
  </si>
  <si>
    <t>2021-08-31</t>
  </si>
  <si>
    <t>SQBGQ</t>
  </si>
  <si>
    <t>Sequential Brands Group, Inc.</t>
  </si>
  <si>
    <t>SQBGQ US Equity</t>
  </si>
  <si>
    <t>2021-06-02</t>
  </si>
  <si>
    <t>2016-06-02</t>
  </si>
  <si>
    <t>SA_11</t>
  </si>
  <si>
    <t>2022-12-11</t>
  </si>
  <si>
    <t>CLVSQ</t>
  </si>
  <si>
    <t>Clovis Oncology, Inc.</t>
  </si>
  <si>
    <t>CLVSQ US Equity</t>
  </si>
  <si>
    <t>2022-09-12</t>
  </si>
  <si>
    <t>2017-09-12</t>
  </si>
  <si>
    <t>SA_184</t>
  </si>
  <si>
    <t>2024-08-06</t>
  </si>
  <si>
    <t>TWOUQ</t>
  </si>
  <si>
    <t>2u Inc</t>
  </si>
  <si>
    <t>TWOUQ US Equity</t>
  </si>
  <si>
    <t>2024-05-08</t>
  </si>
  <si>
    <t>2019-05-08</t>
  </si>
  <si>
    <t>SA_156</t>
  </si>
  <si>
    <t>2024-08-07</t>
  </si>
  <si>
    <t>VBIV</t>
  </si>
  <si>
    <t>Vbi Vaccines Inc</t>
  </si>
  <si>
    <t>VBIVQ US Equity</t>
  </si>
  <si>
    <t>2024-05-09</t>
  </si>
  <si>
    <t>2019-05-09</t>
  </si>
  <si>
    <t>SA_294</t>
  </si>
  <si>
    <t>2024-08-09</t>
  </si>
  <si>
    <t>LLFLQ</t>
  </si>
  <si>
    <t>Ll Flooring Holdings Inc</t>
  </si>
  <si>
    <t>LLFLQ US Equity</t>
  </si>
  <si>
    <t>2024-05-11</t>
  </si>
  <si>
    <t>SA_303</t>
  </si>
  <si>
    <t>2024-08-15</t>
  </si>
  <si>
    <t>SPWRQ</t>
  </si>
  <si>
    <t>Sunpower Corp</t>
  </si>
  <si>
    <t>SPWRQ US Equity</t>
  </si>
  <si>
    <t>2024-05-17</t>
  </si>
  <si>
    <t>2019-05-17</t>
  </si>
  <si>
    <t>SA_275</t>
  </si>
  <si>
    <t>2024-08-20</t>
  </si>
  <si>
    <t>MMATQ</t>
  </si>
  <si>
    <t>Meta Materials Inc</t>
  </si>
  <si>
    <t>MMATQ US Equity</t>
  </si>
  <si>
    <t>2024-05-22</t>
  </si>
  <si>
    <t>2019-05-22</t>
  </si>
  <si>
    <t>SA_200</t>
  </si>
  <si>
    <t>2024-09-09</t>
  </si>
  <si>
    <t>BIGGQ</t>
  </si>
  <si>
    <t>Big Lots Inc</t>
  </si>
  <si>
    <t>BIGGQ US Equity</t>
  </si>
  <si>
    <t>2024-06-11</t>
  </si>
  <si>
    <t>2019-06-11</t>
  </si>
  <si>
    <t>SA_21</t>
  </si>
  <si>
    <t>2024-09-17</t>
  </si>
  <si>
    <t>TUPBQ</t>
  </si>
  <si>
    <t>Tupperware Brands Corp</t>
  </si>
  <si>
    <t>TUPBQ US Equity</t>
  </si>
  <si>
    <t>2024-06-19</t>
  </si>
  <si>
    <t>2019-06-19</t>
  </si>
  <si>
    <t>SA_24</t>
  </si>
  <si>
    <t>EGIOQ</t>
  </si>
  <si>
    <t>Edgio Inc</t>
  </si>
  <si>
    <t>EGIOQ US Equity</t>
  </si>
  <si>
    <t>SA_48</t>
  </si>
  <si>
    <t>2024-09-18</t>
  </si>
  <si>
    <t>BGXXQ</t>
  </si>
  <si>
    <t>Bright Green Corp</t>
  </si>
  <si>
    <t>BGXXQ US Equity</t>
  </si>
  <si>
    <t>2024-06-20</t>
  </si>
  <si>
    <t>2019-06-20</t>
  </si>
  <si>
    <t>SA_60</t>
  </si>
  <si>
    <t>SMFL</t>
  </si>
  <si>
    <t>Smart For Life Inc</t>
  </si>
  <si>
    <t>SMFL US Equity</t>
  </si>
  <si>
    <t>SA_230</t>
  </si>
  <si>
    <t>2024-09-20</t>
  </si>
  <si>
    <t>BFICQ</t>
  </si>
  <si>
    <t>Burgerfi International Inc</t>
  </si>
  <si>
    <t>BFICQ US Equity</t>
  </si>
  <si>
    <t>2024-06-22</t>
  </si>
  <si>
    <t>2019-06-22</t>
  </si>
  <si>
    <t>SA_73</t>
  </si>
  <si>
    <t>2024-10-03</t>
  </si>
  <si>
    <t>EVVAQ</t>
  </si>
  <si>
    <t>Enviva Inc</t>
  </si>
  <si>
    <t>EVVAQ US Equity</t>
  </si>
  <si>
    <t>2024-07-05</t>
  </si>
  <si>
    <t>SA_42</t>
  </si>
  <si>
    <t>2024-10-07</t>
  </si>
  <si>
    <t>VTNRQ</t>
  </si>
  <si>
    <t>Vertex Energy Inc</t>
  </si>
  <si>
    <t>VTNRQ US Equity</t>
  </si>
  <si>
    <t>2024-07-09</t>
  </si>
  <si>
    <t>2019-07-09</t>
  </si>
  <si>
    <t>SA_30</t>
  </si>
  <si>
    <t>2024-10-21</t>
  </si>
  <si>
    <t>GRTSQ</t>
  </si>
  <si>
    <t>Gritstone Bio Inc</t>
  </si>
  <si>
    <t>GRTSQ US Equity</t>
  </si>
  <si>
    <t>2024-07-23</t>
  </si>
  <si>
    <t>SA_208</t>
  </si>
  <si>
    <t>2024-10-30</t>
  </si>
  <si>
    <t>VEVMQ</t>
  </si>
  <si>
    <t>Vicinity Motor Corp</t>
  </si>
  <si>
    <t>VEVMQ US Equity</t>
  </si>
  <si>
    <t>2024-08-01</t>
  </si>
  <si>
    <t>2019-08-01</t>
  </si>
  <si>
    <t>SA_132</t>
  </si>
  <si>
    <t>2024-11-18</t>
  </si>
  <si>
    <t>SAVEQ</t>
  </si>
  <si>
    <t>Spirit Airlines Inc</t>
  </si>
  <si>
    <t>SAVEQ US Equity</t>
  </si>
  <si>
    <t>SA_242</t>
  </si>
  <si>
    <t>2024-11-21</t>
  </si>
  <si>
    <t>VINOQ</t>
  </si>
  <si>
    <t>Gaucho Group Holdings Inc</t>
  </si>
  <si>
    <t>VINO US Equity</t>
  </si>
  <si>
    <t>2024-08-23</t>
  </si>
  <si>
    <t>2019-08-23</t>
  </si>
  <si>
    <t>SA_133</t>
  </si>
  <si>
    <t>2024-11-27</t>
  </si>
  <si>
    <t>CMAXQ</t>
  </si>
  <si>
    <t>Caremax Inc</t>
  </si>
  <si>
    <t>CMAXQ US Equity</t>
  </si>
  <si>
    <t>2024-08-29</t>
  </si>
  <si>
    <t>2019-08-29</t>
  </si>
  <si>
    <t>SA_110</t>
  </si>
  <si>
    <t>2024-12-05</t>
  </si>
  <si>
    <t>ENGC</t>
  </si>
  <si>
    <t>Englobal Corp</t>
  </si>
  <si>
    <t>ENGCQ US Equity</t>
  </si>
  <si>
    <t>2024-09-06</t>
  </si>
  <si>
    <t>2019-09-06</t>
  </si>
  <si>
    <t>SA_157</t>
  </si>
  <si>
    <t>MONDQ</t>
  </si>
  <si>
    <t>Mondee Holdings Inc</t>
  </si>
  <si>
    <t>MOND US Equity</t>
  </si>
  <si>
    <t>SA_181</t>
  </si>
  <si>
    <t>2024-12-09</t>
  </si>
  <si>
    <t>TCSGQ</t>
  </si>
  <si>
    <t>Container Store Group Inc</t>
  </si>
  <si>
    <t>TCSGQ US Equity</t>
  </si>
  <si>
    <t>2024-09-10</t>
  </si>
  <si>
    <t>2019-09-10</t>
  </si>
  <si>
    <t>SA_67</t>
  </si>
  <si>
    <t>2024-12-12</t>
  </si>
  <si>
    <t>TFFP</t>
  </si>
  <si>
    <t>Tff Pharmaceuticals Inc</t>
  </si>
  <si>
    <t>TFFP US Equity</t>
  </si>
  <si>
    <t>2024-09-13</t>
  </si>
  <si>
    <t>2019-09-13</t>
  </si>
  <si>
    <t>SA_177</t>
  </si>
  <si>
    <t>2024-12-17</t>
  </si>
  <si>
    <t>AKTSQ</t>
  </si>
  <si>
    <t>Akoustis Technologies Inc</t>
  </si>
  <si>
    <t>AKTSQ US Equity</t>
  </si>
  <si>
    <t>2019-09-18</t>
  </si>
  <si>
    <t>SA_281</t>
  </si>
  <si>
    <t>LEVGQ</t>
  </si>
  <si>
    <t>Lion Electric Co.</t>
  </si>
  <si>
    <t>LEVGQ US Equity</t>
  </si>
  <si>
    <t>SA_213</t>
  </si>
  <si>
    <t>2024-12-19</t>
  </si>
  <si>
    <t>BSFC</t>
  </si>
  <si>
    <t>Blue Star Foods Corp</t>
  </si>
  <si>
    <t>BSFC US Equity</t>
  </si>
  <si>
    <t>2019-09-20</t>
  </si>
  <si>
    <t>SA_259</t>
  </si>
  <si>
    <t>2024-12-24</t>
  </si>
  <si>
    <t>MTEM</t>
  </si>
  <si>
    <t>Molecular Templates Inc</t>
  </si>
  <si>
    <t>MTEMQ US Equity</t>
  </si>
  <si>
    <t>2024-09-25</t>
  </si>
  <si>
    <t>2019-09-25</t>
  </si>
  <si>
    <t>SA_258</t>
  </si>
  <si>
    <t>2024-12-30</t>
  </si>
  <si>
    <t>DNMRQ</t>
  </si>
  <si>
    <t>Danimer Scientific Inc</t>
  </si>
  <si>
    <t>DNMRQ US Equity</t>
  </si>
  <si>
    <t>2024-10-01</t>
  </si>
  <si>
    <t>2019-10-01</t>
  </si>
  <si>
    <t>SA_175</t>
  </si>
  <si>
    <t>2024-12-31</t>
  </si>
  <si>
    <t>AILEQ</t>
  </si>
  <si>
    <t>Ilearningengines Inc</t>
  </si>
  <si>
    <t>AILEQ US Equity</t>
  </si>
  <si>
    <t>2024-10-02</t>
  </si>
  <si>
    <t>2019-10-02</t>
  </si>
  <si>
    <t>SA_124</t>
  </si>
  <si>
    <t>2025-01-28</t>
  </si>
  <si>
    <t>GOEVQ</t>
  </si>
  <si>
    <t>Canoo Inc</t>
  </si>
  <si>
    <t>GOEVQ US Equity</t>
  </si>
  <si>
    <t>2019-10-30</t>
  </si>
  <si>
    <t>SA_233</t>
  </si>
  <si>
    <t>2025-01-30</t>
  </si>
  <si>
    <t>HYZN</t>
  </si>
  <si>
    <t>Hyzon Motors Inc</t>
  </si>
  <si>
    <t>1837938D US Equity</t>
  </si>
  <si>
    <t>2024-11-01</t>
  </si>
  <si>
    <t>2019-11-01</t>
  </si>
  <si>
    <t>SA_260</t>
  </si>
  <si>
    <t>2025-02-14</t>
  </si>
  <si>
    <t>AVGR</t>
  </si>
  <si>
    <t>Avinger Inc</t>
  </si>
  <si>
    <t>AVGR US Equity</t>
  </si>
  <si>
    <t>2024-11-16</t>
  </si>
  <si>
    <t>2019-11-16</t>
  </si>
  <si>
    <t>SA_261</t>
  </si>
  <si>
    <t>2025-02-18</t>
  </si>
  <si>
    <t>BPTH</t>
  </si>
  <si>
    <t>Bio-path Holdings Inc</t>
  </si>
  <si>
    <t>BPTH US Equity</t>
  </si>
  <si>
    <t>2024-11-20</t>
  </si>
  <si>
    <t>2019-11-20</t>
  </si>
  <si>
    <t>SA_170</t>
  </si>
  <si>
    <t>2025-02-24</t>
  </si>
  <si>
    <t>OMGAQ</t>
  </si>
  <si>
    <t>Omega Therapeutics Inc</t>
  </si>
  <si>
    <t>OMGAQ US Equity</t>
  </si>
  <si>
    <t>2024-11-26</t>
  </si>
  <si>
    <t>2019-11-26</t>
  </si>
  <si>
    <t>SA_204</t>
  </si>
  <si>
    <t>2025-02-25</t>
  </si>
  <si>
    <t>NKLAQ</t>
  </si>
  <si>
    <t>Nikola Corp</t>
  </si>
  <si>
    <t>NKLAQ US Equity</t>
  </si>
  <si>
    <t>2019-11-27</t>
  </si>
  <si>
    <t>SA_66</t>
  </si>
  <si>
    <t>2025-03-04</t>
  </si>
  <si>
    <t>CRKN</t>
  </si>
  <si>
    <t>Crown Electrokinetics Corp</t>
  </si>
  <si>
    <t>CRKN US Equity</t>
  </si>
  <si>
    <t>2024-12-04</t>
  </si>
  <si>
    <t>2019-12-04</t>
  </si>
  <si>
    <t>SA_169</t>
  </si>
  <si>
    <t>2025-03-12</t>
  </si>
  <si>
    <t>CUTRQ</t>
  </si>
  <si>
    <t>Cutera Inc</t>
  </si>
  <si>
    <t>CUTRQ US Equity</t>
  </si>
  <si>
    <t>2019-12-12</t>
  </si>
  <si>
    <t>SA_279</t>
  </si>
  <si>
    <t>2025-03-18</t>
  </si>
  <si>
    <t>ATXI</t>
  </si>
  <si>
    <t>Avenue Therapeutics Inc</t>
  </si>
  <si>
    <t>ATXI US Equity</t>
  </si>
  <si>
    <t>2024-12-18</t>
  </si>
  <si>
    <t>2019-12-18</t>
  </si>
  <si>
    <t>SA_228</t>
  </si>
  <si>
    <t>2025-03-25</t>
  </si>
  <si>
    <t>BACK</t>
  </si>
  <si>
    <t>Imac Holdings Inc</t>
  </si>
  <si>
    <t>BACK US Equity</t>
  </si>
  <si>
    <t>2024-12-25</t>
  </si>
  <si>
    <t>2019-12-25</t>
  </si>
  <si>
    <t>SA_284</t>
  </si>
  <si>
    <t>2025-03-26</t>
  </si>
  <si>
    <t>BHILQ</t>
  </si>
  <si>
    <t>Benson Hill Inc</t>
  </si>
  <si>
    <t>BHILQ US Equity</t>
  </si>
  <si>
    <t>2024-12-26</t>
  </si>
  <si>
    <t>2019-12-26</t>
  </si>
  <si>
    <t>SA_43</t>
  </si>
  <si>
    <t>2025-03-28</t>
  </si>
  <si>
    <t>LKCOF</t>
  </si>
  <si>
    <t>Luokung Technology Corp</t>
  </si>
  <si>
    <t>LKCOF US Equity</t>
  </si>
  <si>
    <t>2024-12-28</t>
  </si>
  <si>
    <t>2019-12-28</t>
  </si>
  <si>
    <t>SA_141</t>
  </si>
  <si>
    <t>2025-04-04</t>
  </si>
  <si>
    <t>VRPX</t>
  </si>
  <si>
    <t>Virpax Pharmaceuticals Inc</t>
  </si>
  <si>
    <t>VRPX US Equity</t>
  </si>
  <si>
    <t>2025-01-04</t>
  </si>
  <si>
    <t>2020-01-04</t>
  </si>
  <si>
    <t>SA_196</t>
  </si>
  <si>
    <t>2025-04-21</t>
  </si>
  <si>
    <t>SCPX</t>
  </si>
  <si>
    <t>Scorpius Holdings Inc</t>
  </si>
  <si>
    <t>SCPX US Equity</t>
  </si>
  <si>
    <t>2025-01-21</t>
  </si>
  <si>
    <t>SA_291</t>
  </si>
  <si>
    <t>AIEV</t>
  </si>
  <si>
    <t>Thunder Power Holdings Inc</t>
  </si>
  <si>
    <t>AIEV US Equity</t>
  </si>
  <si>
    <t>SA_273</t>
  </si>
  <si>
    <t>2025-04-22</t>
  </si>
  <si>
    <t>VINC</t>
  </si>
  <si>
    <t>Vincerx Pharma Inc</t>
  </si>
  <si>
    <t>VINC US Equity</t>
  </si>
  <si>
    <t>2025-01-22</t>
  </si>
  <si>
    <t>2020-01-22</t>
  </si>
  <si>
    <t>SA_197</t>
  </si>
  <si>
    <t>2025-05-14</t>
  </si>
  <si>
    <t>AXDXQ</t>
  </si>
  <si>
    <t>Accelerate Diagnostics Inc</t>
  </si>
  <si>
    <t>AXDXQ US Equity</t>
  </si>
  <si>
    <t>2025-02-13</t>
  </si>
  <si>
    <t>2020-02-13</t>
  </si>
  <si>
    <t>SA_217</t>
  </si>
  <si>
    <t>2025-05-21</t>
  </si>
  <si>
    <t>ICCT</t>
  </si>
  <si>
    <t>Icoreconnect Inc</t>
  </si>
  <si>
    <t>ICCT US Equity</t>
  </si>
  <si>
    <t>2025-02-20</t>
  </si>
  <si>
    <t>SA_103</t>
  </si>
  <si>
    <t>2025-06-10</t>
  </si>
  <si>
    <t>NOVA</t>
  </si>
  <si>
    <t>Sunnova Energy International Inc</t>
  </si>
  <si>
    <t>NOVAQ US Equity</t>
  </si>
  <si>
    <t>2020-03-12</t>
  </si>
  <si>
    <t>SA_278</t>
  </si>
  <si>
    <t>2025-06-20</t>
  </si>
  <si>
    <t>FMTOF</t>
  </si>
  <si>
    <t>Femto Technologies Inc</t>
  </si>
  <si>
    <t>FMTOF US Equity</t>
  </si>
  <si>
    <t>2025-03-22</t>
  </si>
  <si>
    <t>SA_195</t>
  </si>
  <si>
    <t>2025-06-25</t>
  </si>
  <si>
    <t>MRINQ</t>
  </si>
  <si>
    <t>Marin Software Inc</t>
  </si>
  <si>
    <t>MRINQ US Equity</t>
  </si>
  <si>
    <t>2025-03-27</t>
  </si>
  <si>
    <t>2020-03-27</t>
  </si>
  <si>
    <t>SA_216</t>
  </si>
  <si>
    <t>2025-07-29</t>
  </si>
  <si>
    <t>PETXQ</t>
  </si>
  <si>
    <t>Wag! Group Co.</t>
  </si>
  <si>
    <t>PETXQ US Equity</t>
  </si>
  <si>
    <t>2025-04-30</t>
  </si>
  <si>
    <t>2020-04-30</t>
  </si>
  <si>
    <t>SA_246</t>
  </si>
  <si>
    <t>2025-08-05</t>
  </si>
  <si>
    <t>SANW</t>
  </si>
  <si>
    <t>S&amp;w Seed Co.</t>
  </si>
  <si>
    <t>SANW US Equity</t>
  </si>
  <si>
    <t>2025-05-07</t>
  </si>
  <si>
    <t>2020-05-07</t>
  </si>
  <si>
    <t>SA_28</t>
  </si>
  <si>
    <t>THRD</t>
  </si>
  <si>
    <t>Third Harmonic Bio Inc</t>
  </si>
  <si>
    <t>2617273D US Equity</t>
  </si>
  <si>
    <t>SA_152</t>
  </si>
  <si>
    <t>2025-08-08</t>
  </si>
  <si>
    <t>HOOK</t>
  </si>
  <si>
    <t>Hookipa Pharma Inc</t>
  </si>
  <si>
    <t>HOOK US Equity</t>
  </si>
  <si>
    <t>2025-05-10</t>
  </si>
  <si>
    <t>2020-05-10</t>
  </si>
  <si>
    <t>SA_254</t>
  </si>
  <si>
    <t>2025-08-12</t>
  </si>
  <si>
    <t>FOXO</t>
  </si>
  <si>
    <t>Foxo Technologies Inc</t>
  </si>
  <si>
    <t>FOXO US Equity</t>
  </si>
  <si>
    <t>2020-05-14</t>
  </si>
  <si>
    <t>SA_168</t>
  </si>
  <si>
    <t>2025-08-15</t>
  </si>
  <si>
    <t>OTRKQ</t>
  </si>
  <si>
    <t>Ontrak Inc</t>
  </si>
  <si>
    <t>OTRKQ US Equity</t>
  </si>
  <si>
    <t>2025-05-17</t>
  </si>
  <si>
    <t>2020-05-17</t>
  </si>
  <si>
    <t>SA_23</t>
  </si>
  <si>
    <t>2025-08-18</t>
  </si>
  <si>
    <t>TPIC</t>
  </si>
  <si>
    <t>Tpi Composites Inc</t>
  </si>
  <si>
    <t>TPICQ US Equity</t>
  </si>
  <si>
    <t>2025-05-20</t>
  </si>
  <si>
    <t>SA_61</t>
  </si>
  <si>
    <t>2025-08-28</t>
  </si>
  <si>
    <t>MODVQ</t>
  </si>
  <si>
    <t>Modivcare Inc</t>
  </si>
  <si>
    <t>MODVQ US Equity</t>
  </si>
  <si>
    <t>2025-05-30</t>
  </si>
  <si>
    <t>2020-05-30</t>
  </si>
  <si>
    <t>SA_12</t>
  </si>
  <si>
    <t>2025-09-03</t>
  </si>
  <si>
    <t>FLYYQ</t>
  </si>
  <si>
    <t>Spirit Aviation Holdings Inc</t>
  </si>
  <si>
    <t>FLYYQ US Equity</t>
  </si>
  <si>
    <t>2025-06-05</t>
  </si>
  <si>
    <t>2020-06-05</t>
  </si>
  <si>
    <t>SA_85</t>
  </si>
  <si>
    <t>2025-10-24</t>
  </si>
  <si>
    <t>FPAYQ</t>
  </si>
  <si>
    <t>Flexshopper Inc</t>
  </si>
  <si>
    <t>FPAYQ US Equity</t>
  </si>
  <si>
    <t>2025-07-26</t>
  </si>
  <si>
    <t>SA_91</t>
  </si>
  <si>
    <t>2025-10-28</t>
  </si>
  <si>
    <t>AMBIQ</t>
  </si>
  <si>
    <t>Ambipar Emergency Response</t>
  </si>
  <si>
    <t>AMBIQ US Equity</t>
  </si>
  <si>
    <t>2025-07-30</t>
  </si>
  <si>
    <t>2020-07-30</t>
  </si>
  <si>
    <t>SA_128</t>
  </si>
  <si>
    <t>2025-11-21</t>
  </si>
  <si>
    <t>SONDQ</t>
  </si>
  <si>
    <t>Sonder Holdings Inc</t>
  </si>
  <si>
    <t>SONDQ US Equity</t>
  </si>
  <si>
    <t>2025-08-23</t>
  </si>
  <si>
    <t>2020-08-23</t>
  </si>
  <si>
    <t>SA_107</t>
  </si>
  <si>
    <t>2025-11-25</t>
  </si>
  <si>
    <t>NETD</t>
  </si>
  <si>
    <t>Nabors Energy Transition Corp Ii</t>
  </si>
  <si>
    <t>NETC US Equity</t>
  </si>
  <si>
    <t>2025-08-27</t>
  </si>
  <si>
    <t>2020-08-27</t>
  </si>
  <si>
    <t>SA_19</t>
  </si>
  <si>
    <t>2025-11-26</t>
  </si>
  <si>
    <t>GORV</t>
  </si>
  <si>
    <t>Lazydays Holdings Inc</t>
  </si>
  <si>
    <t>GORV US Equity</t>
  </si>
  <si>
    <t>2020-08-28</t>
  </si>
  <si>
    <t>SA_138</t>
  </si>
  <si>
    <t>2025-11-28</t>
  </si>
  <si>
    <t>CLSDQ</t>
  </si>
  <si>
    <t>Clearside Biomedical Inc</t>
  </si>
  <si>
    <t>CLSDQ US Equity</t>
  </si>
  <si>
    <t>2025-08-30</t>
  </si>
  <si>
    <t>2020-08-30</t>
  </si>
  <si>
    <t>SA_210</t>
  </si>
  <si>
    <t>2025-12-12</t>
  </si>
  <si>
    <t>BLMZF</t>
  </si>
  <si>
    <t>Harrison Global Holdings Inc</t>
  </si>
  <si>
    <t>BLMZF US Equity</t>
  </si>
  <si>
    <t>2025-09-13</t>
  </si>
  <si>
    <t>2020-09-13</t>
  </si>
  <si>
    <t>SA_249</t>
  </si>
  <si>
    <t>2025-12-19</t>
  </si>
  <si>
    <t>IRBTQ</t>
  </si>
  <si>
    <t>Irobot Corp</t>
  </si>
  <si>
    <t>IRBTQ US Equity</t>
  </si>
  <si>
    <t>2025-09-20</t>
  </si>
  <si>
    <t>2020-09-20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</si>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</sst>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20</v>
      </c>
      <c r="L2">
        <f>BDP($H2,"BICS_LEVEL_1_SECTOR_NAME")</f>
        <v/>
      </c>
      <c r="M2">
        <f>BDP($H2,"BICS_LEVEL_3_INDUSTRY_NAME")</f>
        <v/>
      </c>
    </row>
    <row r="3" spans="1:13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18</v>
      </c>
      <c r="G3" t="s">
        <v>18</v>
      </c>
      <c r="H3" t="s">
        <v>26</v>
      </c>
      <c r="I3" t="s">
        <v>27</v>
      </c>
      <c r="J3" t="s">
        <v>28</v>
      </c>
      <c r="K3" t="s">
        <v>27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30</v>
      </c>
      <c r="D4" t="s">
        <v>31</v>
      </c>
      <c r="E4" t="s">
        <v>32</v>
      </c>
      <c r="F4" t="s">
        <v>18</v>
      </c>
      <c r="G4" t="s">
        <v>18</v>
      </c>
      <c r="H4" t="s">
        <v>33</v>
      </c>
      <c r="I4" t="s">
        <v>34</v>
      </c>
      <c r="J4" t="s">
        <v>35</v>
      </c>
      <c r="K4" t="s">
        <v>34</v>
      </c>
      <c r="L4">
        <f>BDP($H4,"BICS_LEVEL_1_SECTOR_NAME")</f>
        <v/>
      </c>
      <c r="M4">
        <f>BDP($H4,"BICS_LEVEL_3_INDUSTRY_NAME")</f>
        <v/>
      </c>
    </row>
    <row r="5" spans="1:13">
      <c r="A5" t="s">
        <v>36</v>
      </c>
      <c r="B5" t="s">
        <v>14</v>
      </c>
      <c r="C5" t="s">
        <v>37</v>
      </c>
      <c r="D5" t="s">
        <v>38</v>
      </c>
      <c r="E5" t="s">
        <v>39</v>
      </c>
      <c r="F5" t="s">
        <v>18</v>
      </c>
      <c r="G5" t="s">
        <v>18</v>
      </c>
      <c r="H5" t="s">
        <v>40</v>
      </c>
      <c r="I5" t="s">
        <v>41</v>
      </c>
      <c r="J5" t="s">
        <v>42</v>
      </c>
      <c r="K5" t="s">
        <v>41</v>
      </c>
      <c r="L5">
        <f>BDP($H5,"BICS_LEVEL_1_SECTOR_NAME")</f>
        <v/>
      </c>
      <c r="M5">
        <f>BDP($H5,"BICS_LEVEL_3_INDUSTRY_NAME")</f>
        <v/>
      </c>
    </row>
    <row r="6" spans="1:13">
      <c r="A6" t="s">
        <v>43</v>
      </c>
      <c r="B6" t="s">
        <v>14</v>
      </c>
      <c r="C6" t="s">
        <v>44</v>
      </c>
      <c r="D6" t="s">
        <v>45</v>
      </c>
      <c r="E6" t="s">
        <v>46</v>
      </c>
      <c r="F6" t="s">
        <v>18</v>
      </c>
      <c r="G6" t="s">
        <v>18</v>
      </c>
      <c r="H6" t="s">
        <v>47</v>
      </c>
      <c r="I6" t="s">
        <v>48</v>
      </c>
      <c r="J6" t="s">
        <v>49</v>
      </c>
      <c r="K6" t="s">
        <v>48</v>
      </c>
      <c r="L6">
        <f>BDP($H6,"BICS_LEVEL_1_SECTOR_NAME")</f>
        <v/>
      </c>
      <c r="M6">
        <f>BDP($H6,"BICS_LEVEL_3_INDUSTRY_NAME")</f>
        <v/>
      </c>
    </row>
    <row r="7" spans="1:13">
      <c r="A7" t="s">
        <v>50</v>
      </c>
      <c r="B7" t="s">
        <v>14</v>
      </c>
      <c r="C7" t="s">
        <v>51</v>
      </c>
      <c r="D7" t="s">
        <v>52</v>
      </c>
      <c r="E7" t="s">
        <v>53</v>
      </c>
      <c r="F7" t="s">
        <v>18</v>
      </c>
      <c r="G7" t="s">
        <v>18</v>
      </c>
      <c r="H7" t="s">
        <v>54</v>
      </c>
      <c r="I7" t="s">
        <v>55</v>
      </c>
      <c r="J7" t="s">
        <v>56</v>
      </c>
      <c r="K7" t="s">
        <v>55</v>
      </c>
      <c r="L7">
        <f>BDP($H7,"BICS_LEVEL_1_SECTOR_NAME")</f>
        <v/>
      </c>
      <c r="M7">
        <f>BDP($H7,"BICS_LEVEL_3_INDUSTRY_NAME")</f>
        <v/>
      </c>
    </row>
    <row r="8" spans="1:13">
      <c r="A8" t="s">
        <v>57</v>
      </c>
      <c r="B8" t="s">
        <v>14</v>
      </c>
      <c r="C8" t="s">
        <v>58</v>
      </c>
      <c r="D8" t="s">
        <v>59</v>
      </c>
      <c r="E8" t="s">
        <v>60</v>
      </c>
      <c r="F8" t="s">
        <v>18</v>
      </c>
      <c r="G8" t="s">
        <v>18</v>
      </c>
      <c r="H8" t="s">
        <v>61</v>
      </c>
      <c r="I8" t="s">
        <v>62</v>
      </c>
      <c r="J8" t="s">
        <v>63</v>
      </c>
      <c r="K8" t="s">
        <v>62</v>
      </c>
      <c r="L8">
        <f>BDP($H8,"BICS_LEVEL_1_SECTOR_NAME")</f>
        <v/>
      </c>
      <c r="M8">
        <f>BDP($H8,"BICS_LEVEL_3_INDUSTRY_NAME")</f>
        <v/>
      </c>
    </row>
    <row r="9" spans="1:13">
      <c r="A9" t="s">
        <v>64</v>
      </c>
      <c r="B9" t="s">
        <v>14</v>
      </c>
      <c r="C9" t="s">
        <v>65</v>
      </c>
      <c r="D9" t="s">
        <v>66</v>
      </c>
      <c r="E9" t="s">
        <v>67</v>
      </c>
      <c r="F9" t="s">
        <v>18</v>
      </c>
      <c r="G9" t="s">
        <v>18</v>
      </c>
      <c r="H9" t="s">
        <v>68</v>
      </c>
      <c r="I9" t="s">
        <v>69</v>
      </c>
      <c r="J9" t="s">
        <v>70</v>
      </c>
      <c r="K9" t="s">
        <v>69</v>
      </c>
      <c r="L9">
        <f>BDP($H9,"BICS_LEVEL_1_SECTOR_NAME")</f>
        <v/>
      </c>
      <c r="M9">
        <f>BDP($H9,"BICS_LEVEL_3_INDUSTRY_NAME")</f>
        <v/>
      </c>
    </row>
    <row r="10" spans="1:13">
      <c r="A10" t="s">
        <v>71</v>
      </c>
      <c r="B10" t="s">
        <v>14</v>
      </c>
      <c r="C10" t="s">
        <v>72</v>
      </c>
      <c r="D10" t="s">
        <v>73</v>
      </c>
      <c r="E10" t="s">
        <v>74</v>
      </c>
      <c r="F10" t="s">
        <v>18</v>
      </c>
      <c r="G10" t="s">
        <v>18</v>
      </c>
      <c r="H10" t="s">
        <v>75</v>
      </c>
      <c r="I10" t="s">
        <v>76</v>
      </c>
      <c r="J10" t="s">
        <v>77</v>
      </c>
      <c r="K10" t="s">
        <v>76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78</v>
      </c>
      <c r="B11" t="s">
        <v>14</v>
      </c>
      <c r="C11" t="s">
        <v>79</v>
      </c>
      <c r="D11" t="s">
        <v>80</v>
      </c>
      <c r="E11" t="s">
        <v>81</v>
      </c>
      <c r="F11" t="s">
        <v>18</v>
      </c>
      <c r="G11" t="s">
        <v>18</v>
      </c>
      <c r="H11" t="s">
        <v>82</v>
      </c>
      <c r="I11" t="s">
        <v>83</v>
      </c>
      <c r="J11" t="s">
        <v>84</v>
      </c>
      <c r="K11" t="s">
        <v>83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85</v>
      </c>
      <c r="B12" t="s">
        <v>14</v>
      </c>
      <c r="C12" t="s">
        <v>86</v>
      </c>
      <c r="D12" t="s">
        <v>87</v>
      </c>
      <c r="E12" t="s">
        <v>88</v>
      </c>
      <c r="F12" t="s">
        <v>18</v>
      </c>
      <c r="G12" t="s">
        <v>18</v>
      </c>
      <c r="H12" t="s">
        <v>89</v>
      </c>
      <c r="I12" t="s">
        <v>90</v>
      </c>
      <c r="J12" t="s">
        <v>91</v>
      </c>
      <c r="K12" t="s">
        <v>90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92</v>
      </c>
      <c r="B13" t="s">
        <v>14</v>
      </c>
      <c r="C13" t="s">
        <v>93</v>
      </c>
      <c r="D13" t="s">
        <v>94</v>
      </c>
      <c r="E13" t="s">
        <v>95</v>
      </c>
      <c r="F13" t="s">
        <v>18</v>
      </c>
      <c r="G13" t="s">
        <v>18</v>
      </c>
      <c r="H13" t="s">
        <v>96</v>
      </c>
      <c r="I13" t="s">
        <v>97</v>
      </c>
      <c r="J13" t="s">
        <v>98</v>
      </c>
      <c r="K13" t="s">
        <v>97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99</v>
      </c>
      <c r="B14" t="s">
        <v>14</v>
      </c>
      <c r="C14" t="s">
        <v>100</v>
      </c>
      <c r="D14" t="s">
        <v>101</v>
      </c>
      <c r="E14" t="s">
        <v>102</v>
      </c>
      <c r="F14" t="s">
        <v>18</v>
      </c>
      <c r="G14" t="s">
        <v>18</v>
      </c>
      <c r="H14" t="s">
        <v>103</v>
      </c>
      <c r="I14" t="s">
        <v>104</v>
      </c>
      <c r="J14" t="s">
        <v>105</v>
      </c>
      <c r="K14" t="s">
        <v>104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106</v>
      </c>
      <c r="B15" t="s">
        <v>14</v>
      </c>
      <c r="C15" t="s">
        <v>107</v>
      </c>
      <c r="D15" t="s">
        <v>108</v>
      </c>
      <c r="E15" t="s">
        <v>109</v>
      </c>
      <c r="F15" t="s">
        <v>18</v>
      </c>
      <c r="G15" t="s">
        <v>18</v>
      </c>
      <c r="H15" t="s">
        <v>110</v>
      </c>
      <c r="I15" t="s">
        <v>111</v>
      </c>
      <c r="J15" t="s">
        <v>112</v>
      </c>
      <c r="K15" t="s">
        <v>111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113</v>
      </c>
      <c r="B16" t="s">
        <v>14</v>
      </c>
      <c r="C16" t="s">
        <v>114</v>
      </c>
      <c r="D16" t="s">
        <v>115</v>
      </c>
      <c r="E16" t="s">
        <v>116</v>
      </c>
      <c r="F16" t="s">
        <v>18</v>
      </c>
      <c r="G16" t="s">
        <v>18</v>
      </c>
      <c r="H16" t="s">
        <v>117</v>
      </c>
      <c r="I16" t="s">
        <v>118</v>
      </c>
      <c r="J16" t="s">
        <v>119</v>
      </c>
      <c r="K16" t="s">
        <v>118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120</v>
      </c>
      <c r="B17" t="s">
        <v>14</v>
      </c>
      <c r="C17" t="s">
        <v>121</v>
      </c>
      <c r="D17" t="s">
        <v>122</v>
      </c>
      <c r="E17" t="s">
        <v>123</v>
      </c>
      <c r="F17" t="s">
        <v>18</v>
      </c>
      <c r="G17" t="s">
        <v>18</v>
      </c>
      <c r="H17" t="s">
        <v>124</v>
      </c>
      <c r="I17" t="s">
        <v>125</v>
      </c>
      <c r="J17" t="s">
        <v>126</v>
      </c>
      <c r="K17" t="s">
        <v>125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127</v>
      </c>
      <c r="B18" t="s">
        <v>14</v>
      </c>
      <c r="C18" t="s">
        <v>128</v>
      </c>
      <c r="D18" t="s">
        <v>129</v>
      </c>
      <c r="E18" t="s">
        <v>130</v>
      </c>
      <c r="F18" t="s">
        <v>18</v>
      </c>
      <c r="G18" t="s">
        <v>18</v>
      </c>
      <c r="H18" t="s">
        <v>131</v>
      </c>
      <c r="I18" t="s">
        <v>132</v>
      </c>
      <c r="J18" t="s">
        <v>133</v>
      </c>
      <c r="K18" t="s">
        <v>132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134</v>
      </c>
      <c r="B19" t="s">
        <v>14</v>
      </c>
      <c r="C19" t="s">
        <v>135</v>
      </c>
      <c r="D19" t="s">
        <v>136</v>
      </c>
      <c r="E19" t="s">
        <v>137</v>
      </c>
      <c r="F19" t="s">
        <v>18</v>
      </c>
      <c r="G19" t="s">
        <v>18</v>
      </c>
      <c r="H19" t="s">
        <v>138</v>
      </c>
      <c r="I19" t="s">
        <v>139</v>
      </c>
      <c r="J19" t="s">
        <v>140</v>
      </c>
      <c r="K19" t="s">
        <v>139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141</v>
      </c>
      <c r="B20" t="s">
        <v>14</v>
      </c>
      <c r="C20" t="s">
        <v>142</v>
      </c>
      <c r="D20" t="s">
        <v>143</v>
      </c>
      <c r="E20" t="s">
        <v>144</v>
      </c>
      <c r="F20" t="s">
        <v>18</v>
      </c>
      <c r="G20" t="s">
        <v>18</v>
      </c>
      <c r="H20" t="s">
        <v>145</v>
      </c>
      <c r="I20" t="s">
        <v>146</v>
      </c>
      <c r="J20" t="s">
        <v>147</v>
      </c>
      <c r="K20" t="s">
        <v>146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148</v>
      </c>
      <c r="B21" t="s">
        <v>14</v>
      </c>
      <c r="C21" t="s">
        <v>149</v>
      </c>
      <c r="D21" t="s">
        <v>150</v>
      </c>
      <c r="E21" t="s">
        <v>151</v>
      </c>
      <c r="F21" t="s">
        <v>18</v>
      </c>
      <c r="G21" t="s">
        <v>18</v>
      </c>
      <c r="H21" t="s">
        <v>152</v>
      </c>
      <c r="I21" t="s">
        <v>153</v>
      </c>
      <c r="J21" t="s">
        <v>154</v>
      </c>
      <c r="K21" t="s">
        <v>153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155</v>
      </c>
      <c r="B22" t="s">
        <v>14</v>
      </c>
      <c r="C22" t="s">
        <v>156</v>
      </c>
      <c r="D22" t="s">
        <v>157</v>
      </c>
      <c r="E22" t="s">
        <v>158</v>
      </c>
      <c r="F22" t="s">
        <v>18</v>
      </c>
      <c r="G22" t="s">
        <v>18</v>
      </c>
      <c r="H22" t="s">
        <v>159</v>
      </c>
      <c r="I22" t="s">
        <v>160</v>
      </c>
      <c r="J22" t="s">
        <v>161</v>
      </c>
      <c r="K22" t="s">
        <v>160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162</v>
      </c>
      <c r="B23" t="s">
        <v>14</v>
      </c>
      <c r="C23" t="s">
        <v>163</v>
      </c>
      <c r="D23" t="s">
        <v>164</v>
      </c>
      <c r="E23" t="s">
        <v>165</v>
      </c>
      <c r="F23" t="s">
        <v>18</v>
      </c>
      <c r="G23" t="s">
        <v>18</v>
      </c>
      <c r="H23" t="s">
        <v>166</v>
      </c>
      <c r="I23" t="s">
        <v>167</v>
      </c>
      <c r="J23" t="s">
        <v>168</v>
      </c>
      <c r="K23" t="s">
        <v>167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169</v>
      </c>
      <c r="B24" t="s">
        <v>14</v>
      </c>
      <c r="C24" t="s">
        <v>170</v>
      </c>
      <c r="D24" t="s">
        <v>171</v>
      </c>
      <c r="E24" t="s">
        <v>172</v>
      </c>
      <c r="F24" t="s">
        <v>18</v>
      </c>
      <c r="G24" t="s">
        <v>18</v>
      </c>
      <c r="H24" t="s">
        <v>173</v>
      </c>
      <c r="I24" t="s">
        <v>174</v>
      </c>
      <c r="J24" t="s">
        <v>175</v>
      </c>
      <c r="K24" t="s">
        <v>174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176</v>
      </c>
      <c r="B25" t="s">
        <v>14</v>
      </c>
      <c r="C25" t="s">
        <v>177</v>
      </c>
      <c r="D25" t="s">
        <v>178</v>
      </c>
      <c r="E25" t="s">
        <v>179</v>
      </c>
      <c r="F25" t="s">
        <v>18</v>
      </c>
      <c r="G25" t="s">
        <v>18</v>
      </c>
      <c r="H25" t="s">
        <v>180</v>
      </c>
      <c r="I25" t="s">
        <v>181</v>
      </c>
      <c r="J25" t="s">
        <v>182</v>
      </c>
      <c r="K25" t="s">
        <v>181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183</v>
      </c>
      <c r="B26" t="s">
        <v>14</v>
      </c>
      <c r="C26" t="s">
        <v>177</v>
      </c>
      <c r="D26" t="s">
        <v>184</v>
      </c>
      <c r="E26" t="s">
        <v>185</v>
      </c>
      <c r="F26" t="s">
        <v>18</v>
      </c>
      <c r="G26" t="s">
        <v>18</v>
      </c>
      <c r="H26" t="s">
        <v>186</v>
      </c>
      <c r="I26" t="s">
        <v>181</v>
      </c>
      <c r="J26" t="s">
        <v>182</v>
      </c>
      <c r="K26" t="s">
        <v>181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187</v>
      </c>
      <c r="B27" t="s">
        <v>14</v>
      </c>
      <c r="C27" t="s">
        <v>188</v>
      </c>
      <c r="D27" t="s">
        <v>189</v>
      </c>
      <c r="E27" t="s">
        <v>190</v>
      </c>
      <c r="F27" t="s">
        <v>18</v>
      </c>
      <c r="G27" t="s">
        <v>18</v>
      </c>
      <c r="H27" t="s">
        <v>191</v>
      </c>
      <c r="I27" t="s">
        <v>192</v>
      </c>
      <c r="J27" t="s">
        <v>193</v>
      </c>
      <c r="K27" t="s">
        <v>192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194</v>
      </c>
      <c r="B28" t="s">
        <v>14</v>
      </c>
      <c r="C28" t="s">
        <v>195</v>
      </c>
      <c r="D28" t="s">
        <v>196</v>
      </c>
      <c r="E28" t="s">
        <v>197</v>
      </c>
      <c r="F28" t="s">
        <v>18</v>
      </c>
      <c r="G28" t="s">
        <v>18</v>
      </c>
      <c r="H28" t="s">
        <v>198</v>
      </c>
      <c r="I28" t="s">
        <v>199</v>
      </c>
      <c r="J28" t="s">
        <v>200</v>
      </c>
      <c r="K28" t="s">
        <v>199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201</v>
      </c>
      <c r="B29" t="s">
        <v>14</v>
      </c>
      <c r="C29" t="s">
        <v>202</v>
      </c>
      <c r="D29" t="s">
        <v>203</v>
      </c>
      <c r="E29" t="s">
        <v>204</v>
      </c>
      <c r="F29" t="s">
        <v>18</v>
      </c>
      <c r="G29" t="s">
        <v>18</v>
      </c>
      <c r="H29" t="s">
        <v>205</v>
      </c>
      <c r="I29" t="s">
        <v>206</v>
      </c>
      <c r="J29" t="s">
        <v>207</v>
      </c>
      <c r="K29" t="s">
        <v>206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208</v>
      </c>
      <c r="B30" t="s">
        <v>14</v>
      </c>
      <c r="C30" t="s">
        <v>209</v>
      </c>
      <c r="D30" t="s">
        <v>210</v>
      </c>
      <c r="E30" t="s">
        <v>211</v>
      </c>
      <c r="F30" t="s">
        <v>18</v>
      </c>
      <c r="G30" t="s">
        <v>18</v>
      </c>
      <c r="H30" t="s">
        <v>212</v>
      </c>
      <c r="I30" t="s">
        <v>213</v>
      </c>
      <c r="J30" t="s">
        <v>214</v>
      </c>
      <c r="K30" t="s">
        <v>213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215</v>
      </c>
      <c r="B31" t="s">
        <v>14</v>
      </c>
      <c r="C31" t="s">
        <v>216</v>
      </c>
      <c r="D31" t="s">
        <v>217</v>
      </c>
      <c r="E31" t="s">
        <v>218</v>
      </c>
      <c r="F31" t="s">
        <v>18</v>
      </c>
      <c r="G31" t="s">
        <v>18</v>
      </c>
      <c r="H31" t="s">
        <v>219</v>
      </c>
      <c r="I31" t="s">
        <v>220</v>
      </c>
      <c r="J31" t="s">
        <v>221</v>
      </c>
      <c r="K31" t="s">
        <v>220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222</v>
      </c>
      <c r="B32" t="s">
        <v>14</v>
      </c>
      <c r="C32" t="s">
        <v>223</v>
      </c>
      <c r="D32" t="s">
        <v>224</v>
      </c>
      <c r="E32" t="s">
        <v>225</v>
      </c>
      <c r="F32" t="s">
        <v>18</v>
      </c>
      <c r="G32" t="s">
        <v>18</v>
      </c>
      <c r="H32" t="s">
        <v>226</v>
      </c>
      <c r="I32" t="s">
        <v>227</v>
      </c>
      <c r="J32" t="s">
        <v>228</v>
      </c>
      <c r="K32" t="s">
        <v>227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229</v>
      </c>
      <c r="B33" t="s">
        <v>14</v>
      </c>
      <c r="C33" t="s">
        <v>230</v>
      </c>
      <c r="D33" t="s">
        <v>231</v>
      </c>
      <c r="E33" t="s">
        <v>232</v>
      </c>
      <c r="F33" t="s">
        <v>18</v>
      </c>
      <c r="G33" t="s">
        <v>18</v>
      </c>
      <c r="H33" t="s">
        <v>233</v>
      </c>
      <c r="I33" t="s">
        <v>234</v>
      </c>
      <c r="J33" t="s">
        <v>235</v>
      </c>
      <c r="K33" t="s">
        <v>234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236</v>
      </c>
      <c r="B34" t="s">
        <v>14</v>
      </c>
      <c r="C34" t="s">
        <v>237</v>
      </c>
      <c r="D34" t="s">
        <v>238</v>
      </c>
      <c r="E34" t="s">
        <v>239</v>
      </c>
      <c r="F34" t="s">
        <v>18</v>
      </c>
      <c r="G34" t="s">
        <v>18</v>
      </c>
      <c r="H34" t="s">
        <v>240</v>
      </c>
      <c r="I34" t="s">
        <v>241</v>
      </c>
      <c r="J34" t="s">
        <v>242</v>
      </c>
      <c r="K34" t="s">
        <v>241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243</v>
      </c>
      <c r="B35" t="s">
        <v>14</v>
      </c>
      <c r="C35" t="s">
        <v>244</v>
      </c>
      <c r="D35" t="s">
        <v>245</v>
      </c>
      <c r="E35" t="s">
        <v>246</v>
      </c>
      <c r="F35" t="s">
        <v>18</v>
      </c>
      <c r="G35" t="s">
        <v>18</v>
      </c>
      <c r="H35" t="s">
        <v>247</v>
      </c>
      <c r="I35" t="s">
        <v>248</v>
      </c>
      <c r="J35" t="s">
        <v>249</v>
      </c>
      <c r="K35" t="s">
        <v>248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250</v>
      </c>
      <c r="B36" t="s">
        <v>14</v>
      </c>
      <c r="C36" t="s">
        <v>251</v>
      </c>
      <c r="D36" t="s">
        <v>252</v>
      </c>
      <c r="E36" t="s">
        <v>253</v>
      </c>
      <c r="F36" t="s">
        <v>18</v>
      </c>
      <c r="G36" t="s">
        <v>18</v>
      </c>
      <c r="H36" t="s">
        <v>254</v>
      </c>
      <c r="I36" t="s">
        <v>255</v>
      </c>
      <c r="J36" t="s">
        <v>256</v>
      </c>
      <c r="K36" t="s">
        <v>255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257</v>
      </c>
      <c r="B37" t="s">
        <v>14</v>
      </c>
      <c r="C37" t="s">
        <v>258</v>
      </c>
      <c r="D37" t="s">
        <v>259</v>
      </c>
      <c r="E37" t="s">
        <v>260</v>
      </c>
      <c r="F37" t="s">
        <v>18</v>
      </c>
      <c r="G37" t="s">
        <v>18</v>
      </c>
      <c r="H37" t="s">
        <v>261</v>
      </c>
      <c r="I37" t="s">
        <v>262</v>
      </c>
      <c r="J37" t="s">
        <v>263</v>
      </c>
      <c r="K37" t="s">
        <v>262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264</v>
      </c>
      <c r="B38" t="s">
        <v>14</v>
      </c>
      <c r="C38" t="s">
        <v>265</v>
      </c>
      <c r="D38" t="s">
        <v>266</v>
      </c>
      <c r="E38" t="s">
        <v>267</v>
      </c>
      <c r="F38" t="s">
        <v>18</v>
      </c>
      <c r="G38" t="s">
        <v>18</v>
      </c>
      <c r="H38" t="s">
        <v>268</v>
      </c>
      <c r="I38" t="s">
        <v>269</v>
      </c>
      <c r="J38" t="s">
        <v>270</v>
      </c>
      <c r="K38" t="s">
        <v>269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271</v>
      </c>
      <c r="B39" t="s">
        <v>14</v>
      </c>
      <c r="C39" t="s">
        <v>272</v>
      </c>
      <c r="D39" t="s">
        <v>273</v>
      </c>
      <c r="E39" t="s">
        <v>274</v>
      </c>
      <c r="F39" t="s">
        <v>18</v>
      </c>
      <c r="G39" t="s">
        <v>18</v>
      </c>
      <c r="H39" t="s">
        <v>275</v>
      </c>
      <c r="I39" t="s">
        <v>276</v>
      </c>
      <c r="J39" t="s">
        <v>277</v>
      </c>
      <c r="K39" t="s">
        <v>276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278</v>
      </c>
      <c r="B40" t="s">
        <v>14</v>
      </c>
      <c r="C40" t="s">
        <v>279</v>
      </c>
      <c r="D40" t="s">
        <v>280</v>
      </c>
      <c r="E40" t="s">
        <v>281</v>
      </c>
      <c r="F40" t="s">
        <v>18</v>
      </c>
      <c r="G40" t="s">
        <v>18</v>
      </c>
      <c r="H40" t="s">
        <v>282</v>
      </c>
      <c r="I40" t="s">
        <v>283</v>
      </c>
      <c r="J40" t="s">
        <v>284</v>
      </c>
      <c r="K40" t="s">
        <v>283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285</v>
      </c>
      <c r="B41" t="s">
        <v>14</v>
      </c>
      <c r="C41" t="s">
        <v>286</v>
      </c>
      <c r="D41" t="s">
        <v>287</v>
      </c>
      <c r="E41" t="s">
        <v>288</v>
      </c>
      <c r="F41" t="s">
        <v>18</v>
      </c>
      <c r="G41" t="s">
        <v>18</v>
      </c>
      <c r="H41" t="s">
        <v>289</v>
      </c>
      <c r="I41" t="s">
        <v>290</v>
      </c>
      <c r="J41" t="s">
        <v>291</v>
      </c>
      <c r="K41" t="s">
        <v>290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292</v>
      </c>
      <c r="B42" t="s">
        <v>14</v>
      </c>
      <c r="C42" t="s">
        <v>293</v>
      </c>
      <c r="D42" t="s">
        <v>294</v>
      </c>
      <c r="E42" t="s">
        <v>295</v>
      </c>
      <c r="F42" t="s">
        <v>18</v>
      </c>
      <c r="G42" t="s">
        <v>18</v>
      </c>
      <c r="H42" t="s">
        <v>296</v>
      </c>
      <c r="I42" t="s">
        <v>297</v>
      </c>
      <c r="J42" t="s">
        <v>298</v>
      </c>
      <c r="K42" t="s">
        <v>297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299</v>
      </c>
      <c r="B43" t="s">
        <v>14</v>
      </c>
      <c r="C43" t="s">
        <v>300</v>
      </c>
      <c r="D43" t="s">
        <v>301</v>
      </c>
      <c r="E43" t="s">
        <v>302</v>
      </c>
      <c r="F43" t="s">
        <v>18</v>
      </c>
      <c r="G43" t="s">
        <v>18</v>
      </c>
      <c r="H43" t="s">
        <v>303</v>
      </c>
      <c r="I43" t="s">
        <v>304</v>
      </c>
      <c r="J43" t="s">
        <v>305</v>
      </c>
      <c r="K43" t="s">
        <v>304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306</v>
      </c>
      <c r="B44" t="s">
        <v>14</v>
      </c>
      <c r="C44" t="s">
        <v>307</v>
      </c>
      <c r="D44" t="s">
        <v>308</v>
      </c>
      <c r="E44" t="s">
        <v>309</v>
      </c>
      <c r="F44" t="s">
        <v>18</v>
      </c>
      <c r="G44" t="s">
        <v>18</v>
      </c>
      <c r="H44" t="s">
        <v>310</v>
      </c>
      <c r="I44" t="s">
        <v>311</v>
      </c>
      <c r="J44" t="s">
        <v>312</v>
      </c>
      <c r="K44" t="s">
        <v>311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313</v>
      </c>
      <c r="B45" t="s">
        <v>14</v>
      </c>
      <c r="C45" t="s">
        <v>314</v>
      </c>
      <c r="D45" t="s">
        <v>315</v>
      </c>
      <c r="E45" t="s">
        <v>316</v>
      </c>
      <c r="F45" t="s">
        <v>18</v>
      </c>
      <c r="G45" t="s">
        <v>18</v>
      </c>
      <c r="H45" t="s">
        <v>317</v>
      </c>
      <c r="I45" t="s">
        <v>318</v>
      </c>
      <c r="J45" t="s">
        <v>319</v>
      </c>
      <c r="K45" t="s">
        <v>318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320</v>
      </c>
      <c r="B46" t="s">
        <v>14</v>
      </c>
      <c r="C46" t="s">
        <v>321</v>
      </c>
      <c r="D46" t="s">
        <v>322</v>
      </c>
      <c r="E46" t="s">
        <v>323</v>
      </c>
      <c r="F46" t="s">
        <v>18</v>
      </c>
      <c r="G46" t="s">
        <v>18</v>
      </c>
      <c r="H46" t="s">
        <v>324</v>
      </c>
      <c r="I46" t="s">
        <v>325</v>
      </c>
      <c r="J46" t="s">
        <v>326</v>
      </c>
      <c r="K46" t="s">
        <v>325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327</v>
      </c>
      <c r="B47" t="s">
        <v>14</v>
      </c>
      <c r="C47" t="s">
        <v>328</v>
      </c>
      <c r="D47" t="s">
        <v>329</v>
      </c>
      <c r="E47" t="s">
        <v>330</v>
      </c>
      <c r="F47" t="s">
        <v>18</v>
      </c>
      <c r="G47" t="s">
        <v>18</v>
      </c>
      <c r="H47" t="s">
        <v>331</v>
      </c>
      <c r="I47" t="s">
        <v>332</v>
      </c>
      <c r="J47" t="s">
        <v>333</v>
      </c>
      <c r="K47" t="s">
        <v>332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334</v>
      </c>
      <c r="B48" t="s">
        <v>14</v>
      </c>
      <c r="C48" t="s">
        <v>335</v>
      </c>
      <c r="D48" t="s">
        <v>336</v>
      </c>
      <c r="E48" t="s">
        <v>337</v>
      </c>
      <c r="F48" t="s">
        <v>18</v>
      </c>
      <c r="G48" t="s">
        <v>18</v>
      </c>
      <c r="H48" t="s">
        <v>338</v>
      </c>
      <c r="I48" t="s">
        <v>339</v>
      </c>
      <c r="J48" t="s">
        <v>340</v>
      </c>
      <c r="K48" t="s">
        <v>339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341</v>
      </c>
      <c r="B49" t="s">
        <v>14</v>
      </c>
      <c r="C49" t="s">
        <v>342</v>
      </c>
      <c r="D49" t="s">
        <v>343</v>
      </c>
      <c r="E49" t="s">
        <v>344</v>
      </c>
      <c r="F49" t="s">
        <v>18</v>
      </c>
      <c r="G49" t="s">
        <v>18</v>
      </c>
      <c r="H49" t="s">
        <v>345</v>
      </c>
      <c r="I49" t="s">
        <v>346</v>
      </c>
      <c r="J49" t="s">
        <v>347</v>
      </c>
      <c r="K49" t="s">
        <v>346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348</v>
      </c>
      <c r="B50" t="s">
        <v>14</v>
      </c>
      <c r="C50" t="s">
        <v>349</v>
      </c>
      <c r="D50" t="s">
        <v>350</v>
      </c>
      <c r="E50" t="s">
        <v>351</v>
      </c>
      <c r="F50" t="s">
        <v>18</v>
      </c>
      <c r="G50" t="s">
        <v>18</v>
      </c>
      <c r="H50" t="s">
        <v>352</v>
      </c>
      <c r="I50" t="s">
        <v>353</v>
      </c>
      <c r="J50" t="s">
        <v>354</v>
      </c>
      <c r="K50" t="s">
        <v>353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355</v>
      </c>
      <c r="B51" t="s">
        <v>14</v>
      </c>
      <c r="C51" t="s">
        <v>356</v>
      </c>
      <c r="D51" t="s">
        <v>357</v>
      </c>
      <c r="E51" t="s">
        <v>358</v>
      </c>
      <c r="F51" t="s">
        <v>18</v>
      </c>
      <c r="G51" t="s">
        <v>18</v>
      </c>
      <c r="H51" t="s">
        <v>359</v>
      </c>
      <c r="I51" t="s">
        <v>360</v>
      </c>
      <c r="J51" t="s">
        <v>361</v>
      </c>
      <c r="K51" t="s">
        <v>360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362</v>
      </c>
      <c r="B52" t="s">
        <v>14</v>
      </c>
      <c r="C52" t="s">
        <v>363</v>
      </c>
      <c r="D52" t="s">
        <v>364</v>
      </c>
      <c r="E52" t="s">
        <v>365</v>
      </c>
      <c r="F52" t="s">
        <v>18</v>
      </c>
      <c r="G52" t="s">
        <v>18</v>
      </c>
      <c r="H52" t="s">
        <v>366</v>
      </c>
      <c r="I52" t="s">
        <v>367</v>
      </c>
      <c r="J52" t="s">
        <v>368</v>
      </c>
      <c r="K52" t="s">
        <v>367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369</v>
      </c>
      <c r="B53" t="s">
        <v>14</v>
      </c>
      <c r="C53" t="s">
        <v>370</v>
      </c>
      <c r="D53" t="s">
        <v>371</v>
      </c>
      <c r="E53" t="s">
        <v>372</v>
      </c>
      <c r="F53" t="s">
        <v>18</v>
      </c>
      <c r="G53" t="s">
        <v>18</v>
      </c>
      <c r="H53" t="s">
        <v>373</v>
      </c>
      <c r="I53" t="s">
        <v>374</v>
      </c>
      <c r="J53" t="s">
        <v>375</v>
      </c>
      <c r="K53" t="s">
        <v>374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376</v>
      </c>
      <c r="B54" t="s">
        <v>14</v>
      </c>
      <c r="C54" t="s">
        <v>377</v>
      </c>
      <c r="D54" t="s">
        <v>378</v>
      </c>
      <c r="E54" t="s">
        <v>379</v>
      </c>
      <c r="F54" t="s">
        <v>18</v>
      </c>
      <c r="G54" t="s">
        <v>18</v>
      </c>
      <c r="H54" t="s">
        <v>380</v>
      </c>
      <c r="I54" t="s">
        <v>381</v>
      </c>
      <c r="J54" t="s">
        <v>382</v>
      </c>
      <c r="K54" t="s">
        <v>381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383</v>
      </c>
      <c r="B55" t="s">
        <v>14</v>
      </c>
      <c r="C55" t="s">
        <v>384</v>
      </c>
      <c r="D55" t="s">
        <v>385</v>
      </c>
      <c r="E55" t="s">
        <v>386</v>
      </c>
      <c r="F55" t="s">
        <v>18</v>
      </c>
      <c r="G55" t="s">
        <v>18</v>
      </c>
      <c r="H55" t="s">
        <v>387</v>
      </c>
      <c r="I55" t="s">
        <v>388</v>
      </c>
      <c r="J55" t="s">
        <v>389</v>
      </c>
      <c r="K55" t="s">
        <v>388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390</v>
      </c>
      <c r="B56" t="s">
        <v>14</v>
      </c>
      <c r="C56" t="s">
        <v>391</v>
      </c>
      <c r="D56" t="s">
        <v>392</v>
      </c>
      <c r="E56" t="s">
        <v>393</v>
      </c>
      <c r="F56" t="s">
        <v>18</v>
      </c>
      <c r="G56" t="s">
        <v>18</v>
      </c>
      <c r="H56" t="s">
        <v>394</v>
      </c>
      <c r="I56" t="s">
        <v>395</v>
      </c>
      <c r="J56" t="s">
        <v>396</v>
      </c>
      <c r="K56" t="s">
        <v>395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397</v>
      </c>
      <c r="B57" t="s">
        <v>14</v>
      </c>
      <c r="C57" t="s">
        <v>398</v>
      </c>
      <c r="D57" t="s">
        <v>399</v>
      </c>
      <c r="E57" t="s">
        <v>400</v>
      </c>
      <c r="F57" t="s">
        <v>18</v>
      </c>
      <c r="G57" t="s">
        <v>18</v>
      </c>
      <c r="H57" t="s">
        <v>401</v>
      </c>
      <c r="I57" t="s">
        <v>402</v>
      </c>
      <c r="J57" t="s">
        <v>403</v>
      </c>
      <c r="K57" t="s">
        <v>402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404</v>
      </c>
      <c r="B58" t="s">
        <v>14</v>
      </c>
      <c r="C58" t="s">
        <v>405</v>
      </c>
      <c r="D58" t="s">
        <v>406</v>
      </c>
      <c r="E58" t="s">
        <v>407</v>
      </c>
      <c r="F58" t="s">
        <v>18</v>
      </c>
      <c r="G58" t="s">
        <v>18</v>
      </c>
      <c r="H58" t="s">
        <v>408</v>
      </c>
      <c r="I58" t="s">
        <v>409</v>
      </c>
      <c r="J58" t="s">
        <v>410</v>
      </c>
      <c r="K58" t="s">
        <v>409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411</v>
      </c>
      <c r="B59" t="s">
        <v>14</v>
      </c>
      <c r="C59" t="s">
        <v>412</v>
      </c>
      <c r="D59" t="s">
        <v>413</v>
      </c>
      <c r="E59" t="s">
        <v>414</v>
      </c>
      <c r="F59" t="s">
        <v>18</v>
      </c>
      <c r="G59" t="s">
        <v>18</v>
      </c>
      <c r="H59" t="s">
        <v>415</v>
      </c>
      <c r="I59" t="s">
        <v>416</v>
      </c>
      <c r="J59" t="s">
        <v>417</v>
      </c>
      <c r="K59" t="s">
        <v>416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418</v>
      </c>
      <c r="B60" t="s">
        <v>14</v>
      </c>
      <c r="C60" t="s">
        <v>419</v>
      </c>
      <c r="D60" t="s">
        <v>420</v>
      </c>
      <c r="E60" t="s">
        <v>421</v>
      </c>
      <c r="F60" t="s">
        <v>18</v>
      </c>
      <c r="G60" t="s">
        <v>18</v>
      </c>
      <c r="H60" t="s">
        <v>422</v>
      </c>
      <c r="I60" t="s">
        <v>423</v>
      </c>
      <c r="J60" t="s">
        <v>424</v>
      </c>
      <c r="K60" t="s">
        <v>423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425</v>
      </c>
      <c r="B61" t="s">
        <v>14</v>
      </c>
      <c r="C61" t="s">
        <v>426</v>
      </c>
      <c r="D61" t="s">
        <v>427</v>
      </c>
      <c r="E61" t="s">
        <v>428</v>
      </c>
      <c r="F61" t="s">
        <v>18</v>
      </c>
      <c r="G61" t="s">
        <v>18</v>
      </c>
      <c r="H61" t="s">
        <v>429</v>
      </c>
      <c r="I61" t="s">
        <v>430</v>
      </c>
      <c r="J61" t="s">
        <v>431</v>
      </c>
      <c r="K61" t="s">
        <v>430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432</v>
      </c>
      <c r="B62" t="s">
        <v>14</v>
      </c>
      <c r="C62" t="s">
        <v>433</v>
      </c>
      <c r="D62" t="s">
        <v>434</v>
      </c>
      <c r="E62" t="s">
        <v>435</v>
      </c>
      <c r="F62" t="s">
        <v>18</v>
      </c>
      <c r="G62" t="s">
        <v>18</v>
      </c>
      <c r="H62" t="s">
        <v>436</v>
      </c>
      <c r="I62" t="s">
        <v>437</v>
      </c>
      <c r="J62" t="s">
        <v>438</v>
      </c>
      <c r="K62" t="s">
        <v>437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439</v>
      </c>
      <c r="B63" t="s">
        <v>14</v>
      </c>
      <c r="C63" t="s">
        <v>440</v>
      </c>
      <c r="D63" t="s">
        <v>441</v>
      </c>
      <c r="E63" t="s">
        <v>442</v>
      </c>
      <c r="F63" t="s">
        <v>18</v>
      </c>
      <c r="G63" t="s">
        <v>18</v>
      </c>
      <c r="H63" t="s">
        <v>443</v>
      </c>
      <c r="I63" t="s">
        <v>444</v>
      </c>
      <c r="J63" t="s">
        <v>445</v>
      </c>
      <c r="K63" t="s">
        <v>444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446</v>
      </c>
      <c r="B64" t="s">
        <v>14</v>
      </c>
      <c r="C64" t="s">
        <v>447</v>
      </c>
      <c r="D64" t="s">
        <v>448</v>
      </c>
      <c r="E64" t="s">
        <v>449</v>
      </c>
      <c r="F64" t="s">
        <v>18</v>
      </c>
      <c r="G64" t="s">
        <v>18</v>
      </c>
      <c r="H64" t="s">
        <v>450</v>
      </c>
      <c r="I64" t="s">
        <v>451</v>
      </c>
      <c r="J64" t="s">
        <v>452</v>
      </c>
      <c r="K64" t="s">
        <v>451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453</v>
      </c>
      <c r="B65" t="s">
        <v>14</v>
      </c>
      <c r="C65" t="s">
        <v>454</v>
      </c>
      <c r="D65" t="s">
        <v>455</v>
      </c>
      <c r="E65" t="s">
        <v>456</v>
      </c>
      <c r="F65" t="s">
        <v>18</v>
      </c>
      <c r="G65" t="s">
        <v>18</v>
      </c>
      <c r="H65" t="s">
        <v>457</v>
      </c>
      <c r="I65" t="s">
        <v>458</v>
      </c>
      <c r="J65" t="s">
        <v>459</v>
      </c>
      <c r="K65" t="s">
        <v>458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460</v>
      </c>
      <c r="B66" t="s">
        <v>14</v>
      </c>
      <c r="C66" t="s">
        <v>461</v>
      </c>
      <c r="D66" t="s">
        <v>462</v>
      </c>
      <c r="E66" t="s">
        <v>463</v>
      </c>
      <c r="F66" t="s">
        <v>18</v>
      </c>
      <c r="G66" t="s">
        <v>18</v>
      </c>
      <c r="H66" t="s">
        <v>464</v>
      </c>
      <c r="I66" t="s">
        <v>465</v>
      </c>
      <c r="J66" t="s">
        <v>466</v>
      </c>
      <c r="K66" t="s">
        <v>465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467</v>
      </c>
      <c r="B67" t="s">
        <v>14</v>
      </c>
      <c r="C67" t="s">
        <v>468</v>
      </c>
      <c r="D67" t="s">
        <v>469</v>
      </c>
      <c r="E67" t="s">
        <v>470</v>
      </c>
      <c r="F67" t="s">
        <v>18</v>
      </c>
      <c r="G67" t="s">
        <v>18</v>
      </c>
      <c r="H67" t="s">
        <v>471</v>
      </c>
      <c r="I67" t="s">
        <v>472</v>
      </c>
      <c r="J67" t="s">
        <v>79</v>
      </c>
      <c r="K67" t="s">
        <v>472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473</v>
      </c>
      <c r="B68" t="s">
        <v>14</v>
      </c>
      <c r="C68" t="s">
        <v>474</v>
      </c>
      <c r="D68" t="s">
        <v>475</v>
      </c>
      <c r="E68" t="s">
        <v>476</v>
      </c>
      <c r="F68" t="s">
        <v>18</v>
      </c>
      <c r="G68" t="s">
        <v>18</v>
      </c>
      <c r="H68" t="s">
        <v>477</v>
      </c>
      <c r="I68" t="s">
        <v>478</v>
      </c>
      <c r="J68" t="s">
        <v>479</v>
      </c>
      <c r="K68" t="s">
        <v>478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480</v>
      </c>
      <c r="B69" t="s">
        <v>14</v>
      </c>
      <c r="C69" t="s">
        <v>481</v>
      </c>
      <c r="D69" t="s">
        <v>482</v>
      </c>
      <c r="E69" t="s">
        <v>483</v>
      </c>
      <c r="F69" t="s">
        <v>18</v>
      </c>
      <c r="G69" t="s">
        <v>18</v>
      </c>
      <c r="H69" t="s">
        <v>484</v>
      </c>
      <c r="I69" t="s">
        <v>485</v>
      </c>
      <c r="J69" t="s">
        <v>486</v>
      </c>
      <c r="K69" t="s">
        <v>485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487</v>
      </c>
      <c r="B70" t="s">
        <v>14</v>
      </c>
      <c r="C70" t="s">
        <v>488</v>
      </c>
      <c r="D70" t="s">
        <v>489</v>
      </c>
      <c r="E70" t="s">
        <v>490</v>
      </c>
      <c r="F70" t="s">
        <v>18</v>
      </c>
      <c r="G70" t="s">
        <v>18</v>
      </c>
      <c r="H70" t="s">
        <v>491</v>
      </c>
      <c r="I70" t="s">
        <v>492</v>
      </c>
      <c r="J70" t="s">
        <v>493</v>
      </c>
      <c r="K70" t="s">
        <v>492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494</v>
      </c>
      <c r="B71" t="s">
        <v>14</v>
      </c>
      <c r="C71" t="s">
        <v>495</v>
      </c>
      <c r="D71" t="s">
        <v>496</v>
      </c>
      <c r="E71" t="s">
        <v>497</v>
      </c>
      <c r="F71" t="s">
        <v>18</v>
      </c>
      <c r="G71" t="s">
        <v>18</v>
      </c>
      <c r="H71" t="s">
        <v>498</v>
      </c>
      <c r="I71" t="s">
        <v>499</v>
      </c>
      <c r="J71" t="s">
        <v>500</v>
      </c>
      <c r="K71" t="s">
        <v>499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501</v>
      </c>
      <c r="B72" t="s">
        <v>14</v>
      </c>
      <c r="C72" t="s">
        <v>502</v>
      </c>
      <c r="D72" t="s">
        <v>503</v>
      </c>
      <c r="E72" t="s">
        <v>504</v>
      </c>
      <c r="F72" t="s">
        <v>18</v>
      </c>
      <c r="G72" t="s">
        <v>18</v>
      </c>
      <c r="H72" t="s">
        <v>505</v>
      </c>
      <c r="I72" t="s">
        <v>506</v>
      </c>
      <c r="J72" t="s">
        <v>507</v>
      </c>
      <c r="K72" t="s">
        <v>506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508</v>
      </c>
      <c r="B73" t="s">
        <v>14</v>
      </c>
      <c r="C73" t="s">
        <v>502</v>
      </c>
      <c r="D73" t="s">
        <v>509</v>
      </c>
      <c r="E73" t="s">
        <v>510</v>
      </c>
      <c r="F73" t="s">
        <v>18</v>
      </c>
      <c r="G73" t="s">
        <v>18</v>
      </c>
      <c r="H73" t="s">
        <v>511</v>
      </c>
      <c r="I73" t="s">
        <v>506</v>
      </c>
      <c r="J73" t="s">
        <v>507</v>
      </c>
      <c r="K73" t="s">
        <v>506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512</v>
      </c>
      <c r="B74" t="s">
        <v>14</v>
      </c>
      <c r="C74" t="s">
        <v>513</v>
      </c>
      <c r="D74" t="s">
        <v>514</v>
      </c>
      <c r="E74" t="s">
        <v>515</v>
      </c>
      <c r="F74" t="s">
        <v>18</v>
      </c>
      <c r="G74" t="s">
        <v>18</v>
      </c>
      <c r="H74" t="s">
        <v>516</v>
      </c>
      <c r="I74" t="s">
        <v>517</v>
      </c>
      <c r="J74" t="s">
        <v>518</v>
      </c>
      <c r="K74" t="s">
        <v>517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519</v>
      </c>
      <c r="B75" t="s">
        <v>14</v>
      </c>
      <c r="C75" t="s">
        <v>520</v>
      </c>
      <c r="D75" t="s">
        <v>521</v>
      </c>
      <c r="E75" t="s">
        <v>522</v>
      </c>
      <c r="F75" t="s">
        <v>18</v>
      </c>
      <c r="G75" t="s">
        <v>18</v>
      </c>
      <c r="H75" t="s">
        <v>523</v>
      </c>
      <c r="I75" t="s">
        <v>524</v>
      </c>
      <c r="J75" t="s">
        <v>525</v>
      </c>
      <c r="K75" t="s">
        <v>524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526</v>
      </c>
      <c r="B76" t="s">
        <v>14</v>
      </c>
      <c r="C76" t="s">
        <v>527</v>
      </c>
      <c r="D76" t="s">
        <v>528</v>
      </c>
      <c r="E76" t="s">
        <v>529</v>
      </c>
      <c r="F76" t="s">
        <v>18</v>
      </c>
      <c r="G76" t="s">
        <v>18</v>
      </c>
      <c r="H76" t="s">
        <v>530</v>
      </c>
      <c r="I76" t="s">
        <v>531</v>
      </c>
      <c r="J76" t="s">
        <v>532</v>
      </c>
      <c r="K76" t="s">
        <v>531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533</v>
      </c>
      <c r="B77" t="s">
        <v>14</v>
      </c>
      <c r="C77" t="s">
        <v>534</v>
      </c>
      <c r="D77" t="s">
        <v>535</v>
      </c>
      <c r="E77" t="s">
        <v>536</v>
      </c>
      <c r="F77" t="s">
        <v>18</v>
      </c>
      <c r="G77" t="s">
        <v>18</v>
      </c>
      <c r="H77" t="s">
        <v>537</v>
      </c>
      <c r="I77" t="s">
        <v>538</v>
      </c>
      <c r="J77" t="s">
        <v>539</v>
      </c>
      <c r="K77" t="s">
        <v>538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540</v>
      </c>
      <c r="B78" t="s">
        <v>14</v>
      </c>
      <c r="C78" t="s">
        <v>541</v>
      </c>
      <c r="D78" t="s">
        <v>542</v>
      </c>
      <c r="E78" t="s">
        <v>543</v>
      </c>
      <c r="F78" t="s">
        <v>18</v>
      </c>
      <c r="G78" t="s">
        <v>18</v>
      </c>
      <c r="H78" t="s">
        <v>544</v>
      </c>
      <c r="I78" t="s">
        <v>545</v>
      </c>
      <c r="J78" t="s">
        <v>546</v>
      </c>
      <c r="K78" t="s">
        <v>545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547</v>
      </c>
      <c r="B79" t="s">
        <v>14</v>
      </c>
      <c r="C79" t="s">
        <v>548</v>
      </c>
      <c r="D79" t="s">
        <v>549</v>
      </c>
      <c r="E79" t="s">
        <v>550</v>
      </c>
      <c r="F79" t="s">
        <v>18</v>
      </c>
      <c r="G79" t="s">
        <v>18</v>
      </c>
      <c r="H79" t="s">
        <v>551</v>
      </c>
      <c r="I79" t="s">
        <v>552</v>
      </c>
      <c r="J79" t="s">
        <v>553</v>
      </c>
      <c r="K79" t="s">
        <v>552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554</v>
      </c>
      <c r="B80" t="s">
        <v>14</v>
      </c>
      <c r="C80" t="s">
        <v>555</v>
      </c>
      <c r="D80" t="s">
        <v>556</v>
      </c>
      <c r="E80" t="s">
        <v>557</v>
      </c>
      <c r="F80" t="s">
        <v>18</v>
      </c>
      <c r="G80" t="s">
        <v>18</v>
      </c>
      <c r="H80" t="s">
        <v>558</v>
      </c>
      <c r="I80" t="s">
        <v>559</v>
      </c>
      <c r="J80" t="s">
        <v>560</v>
      </c>
      <c r="K80" t="s">
        <v>559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561</v>
      </c>
      <c r="B81" t="s">
        <v>14</v>
      </c>
      <c r="C81" t="s">
        <v>562</v>
      </c>
      <c r="D81" t="s">
        <v>563</v>
      </c>
      <c r="E81" t="s">
        <v>564</v>
      </c>
      <c r="F81" t="s">
        <v>18</v>
      </c>
      <c r="G81" t="s">
        <v>18</v>
      </c>
      <c r="H81" t="s">
        <v>565</v>
      </c>
      <c r="I81" t="s">
        <v>566</v>
      </c>
      <c r="J81" t="s">
        <v>567</v>
      </c>
      <c r="K81" t="s">
        <v>566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568</v>
      </c>
      <c r="B82" t="s">
        <v>14</v>
      </c>
      <c r="C82" t="s">
        <v>569</v>
      </c>
      <c r="D82" t="s">
        <v>570</v>
      </c>
      <c r="E82" t="s">
        <v>571</v>
      </c>
      <c r="F82" t="s">
        <v>18</v>
      </c>
      <c r="G82" t="s">
        <v>18</v>
      </c>
      <c r="H82" t="s">
        <v>572</v>
      </c>
      <c r="I82" t="s">
        <v>573</v>
      </c>
      <c r="J82" t="s">
        <v>574</v>
      </c>
      <c r="K82" t="s">
        <v>573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575</v>
      </c>
      <c r="B83" t="s">
        <v>14</v>
      </c>
      <c r="C83" t="s">
        <v>576</v>
      </c>
      <c r="D83" t="s">
        <v>577</v>
      </c>
      <c r="E83" t="s">
        <v>578</v>
      </c>
      <c r="F83" t="s">
        <v>18</v>
      </c>
      <c r="G83" t="s">
        <v>18</v>
      </c>
      <c r="H83" t="s">
        <v>579</v>
      </c>
      <c r="I83" t="s">
        <v>580</v>
      </c>
      <c r="J83" t="s">
        <v>581</v>
      </c>
      <c r="K83" t="s">
        <v>580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582</v>
      </c>
      <c r="B84" t="s">
        <v>14</v>
      </c>
      <c r="C84" t="s">
        <v>583</v>
      </c>
      <c r="D84" t="s">
        <v>584</v>
      </c>
      <c r="E84" t="s">
        <v>585</v>
      </c>
      <c r="F84" t="s">
        <v>18</v>
      </c>
      <c r="G84" t="s">
        <v>18</v>
      </c>
      <c r="H84" t="s">
        <v>586</v>
      </c>
      <c r="I84" t="s">
        <v>587</v>
      </c>
      <c r="J84" t="s">
        <v>588</v>
      </c>
      <c r="K84" t="s">
        <v>587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589</v>
      </c>
      <c r="B85" t="s">
        <v>14</v>
      </c>
      <c r="C85" t="s">
        <v>590</v>
      </c>
      <c r="D85" t="s">
        <v>591</v>
      </c>
      <c r="E85" t="s">
        <v>592</v>
      </c>
      <c r="F85" t="s">
        <v>18</v>
      </c>
      <c r="G85" t="s">
        <v>18</v>
      </c>
      <c r="H85" t="s">
        <v>593</v>
      </c>
      <c r="I85" t="s">
        <v>594</v>
      </c>
      <c r="J85" t="s">
        <v>595</v>
      </c>
      <c r="K85" t="s">
        <v>594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596</v>
      </c>
      <c r="B86" t="s">
        <v>14</v>
      </c>
      <c r="C86" t="s">
        <v>597</v>
      </c>
      <c r="D86" t="s">
        <v>598</v>
      </c>
      <c r="E86" t="s">
        <v>599</v>
      </c>
      <c r="F86" t="s">
        <v>18</v>
      </c>
      <c r="G86" t="s">
        <v>18</v>
      </c>
      <c r="H86" t="s">
        <v>600</v>
      </c>
      <c r="I86" t="s">
        <v>601</v>
      </c>
      <c r="J86" t="s">
        <v>602</v>
      </c>
      <c r="K86" t="s">
        <v>601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603</v>
      </c>
      <c r="B87" t="s">
        <v>14</v>
      </c>
      <c r="C87" t="s">
        <v>604</v>
      </c>
      <c r="D87" t="s">
        <v>605</v>
      </c>
      <c r="E87" t="s">
        <v>606</v>
      </c>
      <c r="F87" t="s">
        <v>18</v>
      </c>
      <c r="G87" t="s">
        <v>18</v>
      </c>
      <c r="H87" t="s">
        <v>607</v>
      </c>
      <c r="I87" t="s">
        <v>608</v>
      </c>
      <c r="J87" t="s">
        <v>609</v>
      </c>
      <c r="K87" t="s">
        <v>608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610</v>
      </c>
      <c r="B88" t="s">
        <v>14</v>
      </c>
      <c r="C88" t="s">
        <v>611</v>
      </c>
      <c r="D88" t="s">
        <v>612</v>
      </c>
      <c r="E88" t="s">
        <v>613</v>
      </c>
      <c r="F88" t="s">
        <v>18</v>
      </c>
      <c r="G88" t="s">
        <v>18</v>
      </c>
      <c r="H88" t="s">
        <v>614</v>
      </c>
      <c r="I88" t="s">
        <v>615</v>
      </c>
      <c r="J88" t="s">
        <v>423</v>
      </c>
      <c r="K88" t="s">
        <v>615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616</v>
      </c>
      <c r="B89" t="s">
        <v>14</v>
      </c>
      <c r="C89" t="s">
        <v>611</v>
      </c>
      <c r="D89" t="s">
        <v>617</v>
      </c>
      <c r="E89" t="s">
        <v>618</v>
      </c>
      <c r="F89" t="s">
        <v>18</v>
      </c>
      <c r="G89" t="s">
        <v>18</v>
      </c>
      <c r="H89" t="s">
        <v>619</v>
      </c>
      <c r="I89" t="s">
        <v>615</v>
      </c>
      <c r="J89" t="s">
        <v>423</v>
      </c>
      <c r="K89" t="s">
        <v>615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620</v>
      </c>
      <c r="B90" t="s">
        <v>14</v>
      </c>
      <c r="C90" t="s">
        <v>621</v>
      </c>
      <c r="D90" t="s">
        <v>622</v>
      </c>
      <c r="E90" t="s">
        <v>623</v>
      </c>
      <c r="F90" t="s">
        <v>18</v>
      </c>
      <c r="G90" t="s">
        <v>18</v>
      </c>
      <c r="H90" t="s">
        <v>624</v>
      </c>
      <c r="I90" t="s">
        <v>625</v>
      </c>
      <c r="J90" t="s">
        <v>626</v>
      </c>
      <c r="K90" t="s">
        <v>625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627</v>
      </c>
      <c r="B91" t="s">
        <v>14</v>
      </c>
      <c r="C91" t="s">
        <v>628</v>
      </c>
      <c r="D91" t="s">
        <v>629</v>
      </c>
      <c r="E91" t="s">
        <v>630</v>
      </c>
      <c r="F91" t="s">
        <v>18</v>
      </c>
      <c r="G91" t="s">
        <v>18</v>
      </c>
      <c r="H91" t="s">
        <v>631</v>
      </c>
      <c r="I91" t="s">
        <v>632</v>
      </c>
      <c r="J91" t="s">
        <v>633</v>
      </c>
      <c r="K91" t="s">
        <v>632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634</v>
      </c>
      <c r="B92" t="s">
        <v>14</v>
      </c>
      <c r="C92" t="s">
        <v>635</v>
      </c>
      <c r="D92" t="s">
        <v>636</v>
      </c>
      <c r="E92" t="s">
        <v>637</v>
      </c>
      <c r="F92" t="s">
        <v>18</v>
      </c>
      <c r="G92" t="s">
        <v>18</v>
      </c>
      <c r="H92" t="s">
        <v>638</v>
      </c>
      <c r="I92" t="s">
        <v>639</v>
      </c>
      <c r="J92" t="s">
        <v>640</v>
      </c>
      <c r="K92" t="s">
        <v>639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641</v>
      </c>
      <c r="B93" t="s">
        <v>14</v>
      </c>
      <c r="C93" t="s">
        <v>642</v>
      </c>
      <c r="D93" t="s">
        <v>643</v>
      </c>
      <c r="E93" t="s">
        <v>644</v>
      </c>
      <c r="F93" t="s">
        <v>18</v>
      </c>
      <c r="G93" t="s">
        <v>18</v>
      </c>
      <c r="H93" t="s">
        <v>645</v>
      </c>
      <c r="I93" t="s">
        <v>646</v>
      </c>
      <c r="J93" t="s">
        <v>647</v>
      </c>
      <c r="K93" t="s">
        <v>646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648</v>
      </c>
      <c r="B94" t="s">
        <v>14</v>
      </c>
      <c r="C94" t="s">
        <v>649</v>
      </c>
      <c r="D94" t="s">
        <v>650</v>
      </c>
      <c r="E94" t="s">
        <v>651</v>
      </c>
      <c r="F94" t="s">
        <v>18</v>
      </c>
      <c r="G94" t="s">
        <v>18</v>
      </c>
      <c r="H94" t="s">
        <v>652</v>
      </c>
      <c r="I94" t="s">
        <v>653</v>
      </c>
      <c r="J94" t="s">
        <v>654</v>
      </c>
      <c r="K94" t="s">
        <v>653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655</v>
      </c>
      <c r="B95" t="s">
        <v>14</v>
      </c>
      <c r="C95" t="s">
        <v>656</v>
      </c>
      <c r="D95" t="s">
        <v>657</v>
      </c>
      <c r="E95" t="s">
        <v>658</v>
      </c>
      <c r="F95" t="s">
        <v>18</v>
      </c>
      <c r="G95" t="s">
        <v>18</v>
      </c>
      <c r="H95" t="s">
        <v>659</v>
      </c>
      <c r="I95" t="s">
        <v>660</v>
      </c>
      <c r="J95" t="s">
        <v>661</v>
      </c>
      <c r="K95" t="s">
        <v>660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662</v>
      </c>
      <c r="B96" t="s">
        <v>14</v>
      </c>
      <c r="C96" t="s">
        <v>663</v>
      </c>
      <c r="D96" t="s">
        <v>664</v>
      </c>
      <c r="E96" t="s">
        <v>665</v>
      </c>
      <c r="F96" t="s">
        <v>18</v>
      </c>
      <c r="G96" t="s">
        <v>18</v>
      </c>
      <c r="H96" t="s">
        <v>666</v>
      </c>
      <c r="I96" t="s">
        <v>667</v>
      </c>
      <c r="J96" t="s">
        <v>668</v>
      </c>
      <c r="K96" t="s">
        <v>667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669</v>
      </c>
      <c r="B97" t="s">
        <v>14</v>
      </c>
      <c r="C97" t="s">
        <v>670</v>
      </c>
      <c r="D97" t="s">
        <v>671</v>
      </c>
      <c r="E97" t="s">
        <v>672</v>
      </c>
      <c r="F97" t="s">
        <v>18</v>
      </c>
      <c r="G97" t="s">
        <v>18</v>
      </c>
      <c r="H97" t="s">
        <v>673</v>
      </c>
      <c r="I97" t="s">
        <v>674</v>
      </c>
      <c r="J97" t="s">
        <v>675</v>
      </c>
      <c r="K97" t="s">
        <v>674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676</v>
      </c>
      <c r="B98" t="s">
        <v>14</v>
      </c>
      <c r="C98" t="s">
        <v>677</v>
      </c>
      <c r="D98" t="s">
        <v>678</v>
      </c>
      <c r="E98" t="s">
        <v>679</v>
      </c>
      <c r="F98" t="s">
        <v>18</v>
      </c>
      <c r="G98" t="s">
        <v>18</v>
      </c>
      <c r="H98" t="s">
        <v>680</v>
      </c>
      <c r="I98" t="s">
        <v>681</v>
      </c>
      <c r="J98" t="s">
        <v>682</v>
      </c>
      <c r="K98" t="s">
        <v>681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683</v>
      </c>
      <c r="B99" t="s">
        <v>14</v>
      </c>
      <c r="C99" t="s">
        <v>684</v>
      </c>
      <c r="D99" t="s">
        <v>685</v>
      </c>
      <c r="E99" t="s">
        <v>686</v>
      </c>
      <c r="F99" t="s">
        <v>18</v>
      </c>
      <c r="G99" t="s">
        <v>18</v>
      </c>
      <c r="H99" t="s">
        <v>687</v>
      </c>
      <c r="I99" t="s">
        <v>688</v>
      </c>
      <c r="J99" t="s">
        <v>689</v>
      </c>
      <c r="K99" t="s">
        <v>688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690</v>
      </c>
      <c r="B100" t="s">
        <v>14</v>
      </c>
      <c r="C100" t="s">
        <v>691</v>
      </c>
      <c r="D100" t="s">
        <v>692</v>
      </c>
      <c r="E100" t="s">
        <v>693</v>
      </c>
      <c r="F100" t="s">
        <v>18</v>
      </c>
      <c r="G100" t="s">
        <v>18</v>
      </c>
      <c r="H100" t="s">
        <v>694</v>
      </c>
      <c r="I100" t="s">
        <v>695</v>
      </c>
      <c r="J100" t="s">
        <v>696</v>
      </c>
      <c r="K100" t="s">
        <v>695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697</v>
      </c>
      <c r="B101" t="s">
        <v>14</v>
      </c>
      <c r="C101" t="s">
        <v>698</v>
      </c>
      <c r="D101" t="s">
        <v>699</v>
      </c>
      <c r="E101" t="s">
        <v>700</v>
      </c>
      <c r="F101" t="s">
        <v>18</v>
      </c>
      <c r="G101" t="s">
        <v>18</v>
      </c>
      <c r="H101" t="s">
        <v>701</v>
      </c>
      <c r="I101" t="s">
        <v>702</v>
      </c>
      <c r="J101" t="s">
        <v>703</v>
      </c>
      <c r="K101" t="s">
        <v>702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704</v>
      </c>
      <c r="B102" t="s">
        <v>14</v>
      </c>
      <c r="C102" t="s">
        <v>705</v>
      </c>
      <c r="D102" t="s">
        <v>706</v>
      </c>
      <c r="E102" t="s">
        <v>707</v>
      </c>
      <c r="F102" t="s">
        <v>18</v>
      </c>
      <c r="G102" t="s">
        <v>18</v>
      </c>
      <c r="H102" t="s">
        <v>708</v>
      </c>
      <c r="I102" t="s">
        <v>709</v>
      </c>
      <c r="J102" t="s">
        <v>710</v>
      </c>
      <c r="K102" t="s">
        <v>709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711</v>
      </c>
      <c r="B103" t="s">
        <v>14</v>
      </c>
      <c r="C103" t="s">
        <v>712</v>
      </c>
      <c r="D103" t="s">
        <v>713</v>
      </c>
      <c r="E103" t="s">
        <v>714</v>
      </c>
      <c r="F103" t="s">
        <v>18</v>
      </c>
      <c r="G103" t="s">
        <v>18</v>
      </c>
      <c r="H103" t="s">
        <v>715</v>
      </c>
      <c r="I103" t="s">
        <v>716</v>
      </c>
      <c r="J103" t="s">
        <v>717</v>
      </c>
      <c r="K103" t="s">
        <v>716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718</v>
      </c>
      <c r="B104" t="s">
        <v>14</v>
      </c>
      <c r="C104" t="s">
        <v>719</v>
      </c>
      <c r="D104" t="s">
        <v>720</v>
      </c>
      <c r="E104" t="s">
        <v>721</v>
      </c>
      <c r="F104" t="s">
        <v>18</v>
      </c>
      <c r="G104" t="s">
        <v>18</v>
      </c>
      <c r="H104" t="s">
        <v>722</v>
      </c>
      <c r="I104" t="s">
        <v>723</v>
      </c>
      <c r="J104" t="s">
        <v>724</v>
      </c>
      <c r="K104" t="s">
        <v>723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725</v>
      </c>
      <c r="B105" t="s">
        <v>14</v>
      </c>
      <c r="C105" t="s">
        <v>726</v>
      </c>
      <c r="D105" t="s">
        <v>727</v>
      </c>
      <c r="E105" t="s">
        <v>728</v>
      </c>
      <c r="F105" t="s">
        <v>18</v>
      </c>
      <c r="G105" t="s">
        <v>18</v>
      </c>
      <c r="H105" t="s">
        <v>729</v>
      </c>
      <c r="I105" t="s">
        <v>730</v>
      </c>
      <c r="J105" t="s">
        <v>731</v>
      </c>
      <c r="K105" t="s">
        <v>730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732</v>
      </c>
      <c r="B106" t="s">
        <v>14</v>
      </c>
      <c r="C106" t="s">
        <v>733</v>
      </c>
      <c r="D106" t="s">
        <v>734</v>
      </c>
      <c r="E106" t="s">
        <v>735</v>
      </c>
      <c r="F106" t="s">
        <v>18</v>
      </c>
      <c r="G106" t="s">
        <v>18</v>
      </c>
      <c r="H106" t="s">
        <v>736</v>
      </c>
      <c r="I106" t="s">
        <v>737</v>
      </c>
      <c r="J106" t="s">
        <v>738</v>
      </c>
      <c r="K106" t="s">
        <v>737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739</v>
      </c>
      <c r="B107" t="s">
        <v>14</v>
      </c>
      <c r="C107" t="s">
        <v>740</v>
      </c>
      <c r="D107" t="s">
        <v>741</v>
      </c>
      <c r="E107" t="s">
        <v>742</v>
      </c>
      <c r="F107" t="s">
        <v>18</v>
      </c>
      <c r="G107" t="s">
        <v>18</v>
      </c>
      <c r="H107" t="s">
        <v>743</v>
      </c>
      <c r="I107" t="s">
        <v>744</v>
      </c>
      <c r="J107" t="s">
        <v>745</v>
      </c>
      <c r="K107" t="s">
        <v>744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746</v>
      </c>
      <c r="B108" t="s">
        <v>14</v>
      </c>
      <c r="C108" t="s">
        <v>740</v>
      </c>
      <c r="D108" t="s">
        <v>747</v>
      </c>
      <c r="E108" t="s">
        <v>748</v>
      </c>
      <c r="F108" t="s">
        <v>18</v>
      </c>
      <c r="G108" t="s">
        <v>18</v>
      </c>
      <c r="H108" t="s">
        <v>749</v>
      </c>
      <c r="I108" t="s">
        <v>744</v>
      </c>
      <c r="J108" t="s">
        <v>745</v>
      </c>
      <c r="K108" t="s">
        <v>744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750</v>
      </c>
      <c r="B109" t="s">
        <v>14</v>
      </c>
      <c r="C109" t="s">
        <v>751</v>
      </c>
      <c r="D109" t="s">
        <v>752</v>
      </c>
      <c r="E109" t="s">
        <v>753</v>
      </c>
      <c r="F109" t="s">
        <v>18</v>
      </c>
      <c r="G109" t="s">
        <v>18</v>
      </c>
      <c r="H109" t="s">
        <v>754</v>
      </c>
      <c r="I109" t="s">
        <v>755</v>
      </c>
      <c r="J109" t="s">
        <v>756</v>
      </c>
      <c r="K109" t="s">
        <v>755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757</v>
      </c>
      <c r="B110" t="s">
        <v>14</v>
      </c>
      <c r="C110" t="s">
        <v>758</v>
      </c>
      <c r="D110" t="s">
        <v>759</v>
      </c>
      <c r="E110" t="s">
        <v>760</v>
      </c>
      <c r="F110" t="s">
        <v>18</v>
      </c>
      <c r="G110" t="s">
        <v>18</v>
      </c>
      <c r="H110" t="s">
        <v>761</v>
      </c>
      <c r="I110" t="s">
        <v>762</v>
      </c>
      <c r="J110" t="s">
        <v>763</v>
      </c>
      <c r="K110" t="s">
        <v>762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764</v>
      </c>
      <c r="B111" t="s">
        <v>14</v>
      </c>
      <c r="C111" t="s">
        <v>765</v>
      </c>
      <c r="D111" t="s">
        <v>766</v>
      </c>
      <c r="E111" t="s">
        <v>767</v>
      </c>
      <c r="F111" t="s">
        <v>18</v>
      </c>
      <c r="G111" t="s">
        <v>18</v>
      </c>
      <c r="H111" t="s">
        <v>768</v>
      </c>
      <c r="I111" t="s">
        <v>769</v>
      </c>
      <c r="J111" t="s">
        <v>770</v>
      </c>
      <c r="K111" t="s">
        <v>769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771</v>
      </c>
      <c r="B112" t="s">
        <v>14</v>
      </c>
      <c r="C112" t="s">
        <v>772</v>
      </c>
      <c r="D112" t="s">
        <v>773</v>
      </c>
      <c r="E112" t="s">
        <v>774</v>
      </c>
      <c r="F112" t="s">
        <v>18</v>
      </c>
      <c r="G112" t="s">
        <v>18</v>
      </c>
      <c r="H112" t="s">
        <v>775</v>
      </c>
      <c r="I112" t="s">
        <v>776</v>
      </c>
      <c r="J112" t="s">
        <v>777</v>
      </c>
      <c r="K112" t="s">
        <v>776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778</v>
      </c>
      <c r="B113" t="s">
        <v>14</v>
      </c>
      <c r="C113" t="s">
        <v>779</v>
      </c>
      <c r="D113" t="s">
        <v>780</v>
      </c>
      <c r="E113" t="s">
        <v>781</v>
      </c>
      <c r="F113" t="s">
        <v>18</v>
      </c>
      <c r="G113" t="s">
        <v>18</v>
      </c>
      <c r="H113" t="s">
        <v>782</v>
      </c>
      <c r="I113" t="s">
        <v>783</v>
      </c>
      <c r="J113" t="s">
        <v>784</v>
      </c>
      <c r="K113" t="s">
        <v>783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785</v>
      </c>
      <c r="B114" t="s">
        <v>14</v>
      </c>
      <c r="C114" t="s">
        <v>786</v>
      </c>
      <c r="D114" t="s">
        <v>787</v>
      </c>
      <c r="E114" t="s">
        <v>788</v>
      </c>
      <c r="F114" t="s">
        <v>18</v>
      </c>
      <c r="G114" t="s">
        <v>18</v>
      </c>
      <c r="H114" t="s">
        <v>789</v>
      </c>
      <c r="I114" t="s">
        <v>790</v>
      </c>
      <c r="J114" t="s">
        <v>791</v>
      </c>
      <c r="K114" t="s">
        <v>790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792</v>
      </c>
      <c r="B115" t="s">
        <v>14</v>
      </c>
      <c r="C115" t="s">
        <v>793</v>
      </c>
      <c r="D115" t="s">
        <v>794</v>
      </c>
      <c r="E115" t="s">
        <v>795</v>
      </c>
      <c r="F115" t="s">
        <v>18</v>
      </c>
      <c r="G115" t="s">
        <v>18</v>
      </c>
      <c r="H115" t="s">
        <v>796</v>
      </c>
      <c r="I115" t="s">
        <v>797</v>
      </c>
      <c r="J115" t="s">
        <v>798</v>
      </c>
      <c r="K115" t="s">
        <v>797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799</v>
      </c>
      <c r="B116" t="s">
        <v>14</v>
      </c>
      <c r="C116" t="s">
        <v>800</v>
      </c>
      <c r="D116" t="s">
        <v>801</v>
      </c>
      <c r="E116" t="s">
        <v>802</v>
      </c>
      <c r="F116" t="s">
        <v>18</v>
      </c>
      <c r="G116" t="s">
        <v>18</v>
      </c>
      <c r="H116" t="s">
        <v>803</v>
      </c>
      <c r="I116" t="s">
        <v>804</v>
      </c>
      <c r="J116" t="s">
        <v>805</v>
      </c>
      <c r="K116" t="s">
        <v>804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806</v>
      </c>
      <c r="B117" t="s">
        <v>14</v>
      </c>
      <c r="C117" t="s">
        <v>807</v>
      </c>
      <c r="D117" t="s">
        <v>808</v>
      </c>
      <c r="E117" t="s">
        <v>809</v>
      </c>
      <c r="F117" t="s">
        <v>18</v>
      </c>
      <c r="G117" t="s">
        <v>18</v>
      </c>
      <c r="H117" t="s">
        <v>810</v>
      </c>
      <c r="I117" t="s">
        <v>811</v>
      </c>
      <c r="J117" t="s">
        <v>812</v>
      </c>
      <c r="K117" t="s">
        <v>811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813</v>
      </c>
      <c r="B118" t="s">
        <v>14</v>
      </c>
      <c r="C118" t="s">
        <v>814</v>
      </c>
      <c r="D118" t="s">
        <v>815</v>
      </c>
      <c r="E118" t="s">
        <v>816</v>
      </c>
      <c r="F118" t="s">
        <v>18</v>
      </c>
      <c r="G118" t="s">
        <v>18</v>
      </c>
      <c r="H118" t="s">
        <v>817</v>
      </c>
      <c r="I118" t="s">
        <v>818</v>
      </c>
      <c r="J118" t="s">
        <v>819</v>
      </c>
      <c r="K118" t="s">
        <v>818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820</v>
      </c>
      <c r="B119" t="s">
        <v>14</v>
      </c>
      <c r="C119" t="s">
        <v>821</v>
      </c>
      <c r="D119" t="s">
        <v>822</v>
      </c>
      <c r="E119" t="s">
        <v>823</v>
      </c>
      <c r="F119" t="s">
        <v>18</v>
      </c>
      <c r="G119" t="s">
        <v>18</v>
      </c>
      <c r="H119" t="s">
        <v>824</v>
      </c>
      <c r="I119" t="s">
        <v>825</v>
      </c>
      <c r="J119" t="s">
        <v>826</v>
      </c>
      <c r="K119" t="s">
        <v>825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827</v>
      </c>
      <c r="B120" t="s">
        <v>14</v>
      </c>
      <c r="C120" t="s">
        <v>828</v>
      </c>
      <c r="D120" t="s">
        <v>829</v>
      </c>
      <c r="E120" t="s">
        <v>830</v>
      </c>
      <c r="F120" t="s">
        <v>18</v>
      </c>
      <c r="G120" t="s">
        <v>18</v>
      </c>
      <c r="H120" t="s">
        <v>831</v>
      </c>
      <c r="I120" t="s">
        <v>832</v>
      </c>
      <c r="J120" t="s">
        <v>833</v>
      </c>
      <c r="K120" t="s">
        <v>832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834</v>
      </c>
      <c r="B121" t="s">
        <v>14</v>
      </c>
      <c r="C121" t="s">
        <v>835</v>
      </c>
      <c r="D121" t="s">
        <v>836</v>
      </c>
      <c r="E121" t="s">
        <v>837</v>
      </c>
      <c r="F121" t="s">
        <v>18</v>
      </c>
      <c r="G121" t="s">
        <v>18</v>
      </c>
      <c r="H121" t="s">
        <v>838</v>
      </c>
      <c r="I121" t="s">
        <v>839</v>
      </c>
      <c r="J121" t="s">
        <v>840</v>
      </c>
      <c r="K121" t="s">
        <v>839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841</v>
      </c>
      <c r="B122" t="s">
        <v>14</v>
      </c>
      <c r="C122" t="s">
        <v>835</v>
      </c>
      <c r="D122" t="s">
        <v>842</v>
      </c>
      <c r="E122" t="s">
        <v>843</v>
      </c>
      <c r="F122" t="s">
        <v>18</v>
      </c>
      <c r="G122" t="s">
        <v>18</v>
      </c>
      <c r="H122" t="s">
        <v>844</v>
      </c>
      <c r="I122" t="s">
        <v>839</v>
      </c>
      <c r="J122" t="s">
        <v>840</v>
      </c>
      <c r="K122" t="s">
        <v>839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845</v>
      </c>
      <c r="B123" t="s">
        <v>14</v>
      </c>
      <c r="C123" t="s">
        <v>846</v>
      </c>
      <c r="D123" t="s">
        <v>847</v>
      </c>
      <c r="E123" t="s">
        <v>848</v>
      </c>
      <c r="F123" t="s">
        <v>18</v>
      </c>
      <c r="G123" t="s">
        <v>18</v>
      </c>
      <c r="H123" t="s">
        <v>849</v>
      </c>
      <c r="I123" t="s">
        <v>850</v>
      </c>
      <c r="J123" t="s">
        <v>851</v>
      </c>
      <c r="K123" t="s">
        <v>850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852</v>
      </c>
      <c r="B124" t="s">
        <v>14</v>
      </c>
      <c r="C124" t="s">
        <v>853</v>
      </c>
      <c r="D124" t="s">
        <v>854</v>
      </c>
      <c r="E124" t="s">
        <v>855</v>
      </c>
      <c r="F124" t="s">
        <v>18</v>
      </c>
      <c r="G124" t="s">
        <v>18</v>
      </c>
      <c r="H124" t="s">
        <v>856</v>
      </c>
      <c r="I124" t="s">
        <v>857</v>
      </c>
      <c r="J124" t="s">
        <v>858</v>
      </c>
      <c r="K124" t="s">
        <v>857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859</v>
      </c>
      <c r="B125" t="s">
        <v>14</v>
      </c>
      <c r="C125" t="s">
        <v>860</v>
      </c>
      <c r="D125" t="s">
        <v>861</v>
      </c>
      <c r="E125" t="s">
        <v>862</v>
      </c>
      <c r="F125" t="s">
        <v>18</v>
      </c>
      <c r="G125" t="s">
        <v>18</v>
      </c>
      <c r="H125" t="s">
        <v>863</v>
      </c>
      <c r="I125" t="s">
        <v>864</v>
      </c>
      <c r="J125" t="s">
        <v>865</v>
      </c>
      <c r="K125" t="s">
        <v>864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866</v>
      </c>
      <c r="B126" t="s">
        <v>14</v>
      </c>
      <c r="C126" t="s">
        <v>867</v>
      </c>
      <c r="D126" t="s">
        <v>868</v>
      </c>
      <c r="E126" t="s">
        <v>869</v>
      </c>
      <c r="F126" t="s">
        <v>18</v>
      </c>
      <c r="G126" t="s">
        <v>18</v>
      </c>
      <c r="H126" t="s">
        <v>870</v>
      </c>
      <c r="I126" t="s">
        <v>871</v>
      </c>
      <c r="J126" t="s">
        <v>872</v>
      </c>
      <c r="K126" t="s">
        <v>871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873</v>
      </c>
      <c r="B127" t="s">
        <v>14</v>
      </c>
      <c r="C127" t="s">
        <v>874</v>
      </c>
      <c r="D127" t="s">
        <v>875</v>
      </c>
      <c r="E127" t="s">
        <v>876</v>
      </c>
      <c r="F127" t="s">
        <v>18</v>
      </c>
      <c r="G127" t="s">
        <v>18</v>
      </c>
      <c r="H127" t="s">
        <v>877</v>
      </c>
      <c r="I127" t="s">
        <v>878</v>
      </c>
      <c r="J127" t="s">
        <v>879</v>
      </c>
      <c r="K127" t="s">
        <v>878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880</v>
      </c>
      <c r="B128" t="s">
        <v>14</v>
      </c>
      <c r="C128" t="s">
        <v>881</v>
      </c>
      <c r="D128" t="s">
        <v>882</v>
      </c>
      <c r="E128" t="s">
        <v>883</v>
      </c>
      <c r="F128" t="s">
        <v>18</v>
      </c>
      <c r="G128" t="s">
        <v>18</v>
      </c>
      <c r="H128" t="s">
        <v>884</v>
      </c>
      <c r="I128" t="s">
        <v>885</v>
      </c>
      <c r="J128" t="s">
        <v>886</v>
      </c>
      <c r="K128" t="s">
        <v>885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887</v>
      </c>
      <c r="B129" t="s">
        <v>14</v>
      </c>
      <c r="C129" t="s">
        <v>888</v>
      </c>
      <c r="D129" t="s">
        <v>889</v>
      </c>
      <c r="E129" t="s">
        <v>890</v>
      </c>
      <c r="F129" t="s">
        <v>18</v>
      </c>
      <c r="G129" t="s">
        <v>18</v>
      </c>
      <c r="H129" t="s">
        <v>891</v>
      </c>
      <c r="I129" t="s">
        <v>892</v>
      </c>
      <c r="J129" t="s">
        <v>893</v>
      </c>
      <c r="K129" t="s">
        <v>892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894</v>
      </c>
      <c r="B130" t="s">
        <v>14</v>
      </c>
      <c r="C130" t="s">
        <v>895</v>
      </c>
      <c r="D130" t="s">
        <v>896</v>
      </c>
      <c r="E130" t="s">
        <v>897</v>
      </c>
      <c r="F130" t="s">
        <v>18</v>
      </c>
      <c r="G130" t="s">
        <v>18</v>
      </c>
      <c r="H130" t="s">
        <v>898</v>
      </c>
      <c r="I130" t="s">
        <v>899</v>
      </c>
      <c r="J130" t="s">
        <v>900</v>
      </c>
      <c r="K130" t="s">
        <v>899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901</v>
      </c>
      <c r="B131" t="s">
        <v>14</v>
      </c>
      <c r="C131" t="s">
        <v>902</v>
      </c>
      <c r="D131" t="s">
        <v>903</v>
      </c>
      <c r="E131" t="s">
        <v>904</v>
      </c>
      <c r="F131" t="s">
        <v>18</v>
      </c>
      <c r="G131" t="s">
        <v>18</v>
      </c>
      <c r="H131" t="s">
        <v>905</v>
      </c>
      <c r="I131" t="s">
        <v>906</v>
      </c>
      <c r="J131" t="s">
        <v>907</v>
      </c>
      <c r="K131" t="s">
        <v>906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908</v>
      </c>
      <c r="B132" t="s">
        <v>14</v>
      </c>
      <c r="C132" t="s">
        <v>909</v>
      </c>
      <c r="D132" t="s">
        <v>910</v>
      </c>
      <c r="E132" t="s">
        <v>911</v>
      </c>
      <c r="F132" t="s">
        <v>18</v>
      </c>
      <c r="G132" t="s">
        <v>18</v>
      </c>
      <c r="H132" t="s">
        <v>912</v>
      </c>
      <c r="I132" t="s">
        <v>913</v>
      </c>
      <c r="J132" t="s">
        <v>914</v>
      </c>
      <c r="K132" t="s">
        <v>913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915</v>
      </c>
      <c r="B133" t="s">
        <v>14</v>
      </c>
      <c r="C133" t="s">
        <v>916</v>
      </c>
      <c r="D133" t="s">
        <v>917</v>
      </c>
      <c r="E133" t="s">
        <v>918</v>
      </c>
      <c r="F133" t="s">
        <v>18</v>
      </c>
      <c r="G133" t="s">
        <v>18</v>
      </c>
      <c r="H133" t="s">
        <v>919</v>
      </c>
      <c r="I133" t="s">
        <v>920</v>
      </c>
      <c r="J133" t="s">
        <v>921</v>
      </c>
      <c r="K133" t="s">
        <v>920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922</v>
      </c>
      <c r="B134" t="s">
        <v>14</v>
      </c>
      <c r="C134" t="s">
        <v>923</v>
      </c>
      <c r="D134" t="s">
        <v>924</v>
      </c>
      <c r="E134" t="s">
        <v>925</v>
      </c>
      <c r="F134" t="s">
        <v>18</v>
      </c>
      <c r="G134" t="s">
        <v>18</v>
      </c>
      <c r="H134" t="s">
        <v>926</v>
      </c>
      <c r="I134" t="s">
        <v>927</v>
      </c>
      <c r="J134" t="s">
        <v>928</v>
      </c>
      <c r="K134" t="s">
        <v>927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929</v>
      </c>
      <c r="B135" t="s">
        <v>14</v>
      </c>
      <c r="C135" t="s">
        <v>930</v>
      </c>
      <c r="D135" t="s">
        <v>931</v>
      </c>
      <c r="E135" t="s">
        <v>932</v>
      </c>
      <c r="F135" t="s">
        <v>18</v>
      </c>
      <c r="G135" t="s">
        <v>18</v>
      </c>
      <c r="H135" t="s">
        <v>933</v>
      </c>
      <c r="I135" t="s">
        <v>934</v>
      </c>
      <c r="J135" t="s">
        <v>935</v>
      </c>
      <c r="K135" t="s">
        <v>934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936</v>
      </c>
      <c r="B136" t="s">
        <v>14</v>
      </c>
      <c r="C136" t="s">
        <v>937</v>
      </c>
      <c r="D136" t="s">
        <v>938</v>
      </c>
      <c r="E136" t="s">
        <v>939</v>
      </c>
      <c r="F136" t="s">
        <v>18</v>
      </c>
      <c r="G136" t="s">
        <v>18</v>
      </c>
      <c r="H136" t="s">
        <v>940</v>
      </c>
      <c r="I136" t="s">
        <v>941</v>
      </c>
      <c r="J136" t="s">
        <v>942</v>
      </c>
      <c r="K136" t="s">
        <v>941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943</v>
      </c>
      <c r="B137" t="s">
        <v>14</v>
      </c>
      <c r="C137" t="s">
        <v>944</v>
      </c>
      <c r="D137" t="s">
        <v>945</v>
      </c>
      <c r="E137" t="s">
        <v>946</v>
      </c>
      <c r="F137" t="s">
        <v>18</v>
      </c>
      <c r="G137" t="s">
        <v>18</v>
      </c>
      <c r="H137" t="s">
        <v>947</v>
      </c>
      <c r="I137" t="s">
        <v>948</v>
      </c>
      <c r="J137" t="s">
        <v>949</v>
      </c>
      <c r="K137" t="s">
        <v>948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950</v>
      </c>
      <c r="B138" t="s">
        <v>14</v>
      </c>
      <c r="C138" t="s">
        <v>951</v>
      </c>
      <c r="D138" t="s">
        <v>952</v>
      </c>
      <c r="E138" t="s">
        <v>953</v>
      </c>
      <c r="F138" t="s">
        <v>18</v>
      </c>
      <c r="G138" t="s">
        <v>18</v>
      </c>
      <c r="H138" t="s">
        <v>954</v>
      </c>
      <c r="I138" t="s">
        <v>930</v>
      </c>
      <c r="J138" t="s">
        <v>955</v>
      </c>
      <c r="K138" t="s">
        <v>930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956</v>
      </c>
      <c r="B139" t="s">
        <v>14</v>
      </c>
      <c r="C139" t="s">
        <v>957</v>
      </c>
      <c r="D139" t="s">
        <v>958</v>
      </c>
      <c r="E139" t="s">
        <v>959</v>
      </c>
      <c r="F139" t="s">
        <v>18</v>
      </c>
      <c r="G139" t="s">
        <v>18</v>
      </c>
      <c r="H139" t="s">
        <v>960</v>
      </c>
      <c r="I139" t="s">
        <v>961</v>
      </c>
      <c r="J139" t="s">
        <v>962</v>
      </c>
      <c r="K139" t="s">
        <v>961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963</v>
      </c>
      <c r="B140" t="s">
        <v>14</v>
      </c>
      <c r="C140" t="s">
        <v>964</v>
      </c>
      <c r="D140" t="s">
        <v>965</v>
      </c>
      <c r="E140" t="s">
        <v>966</v>
      </c>
      <c r="F140" t="s">
        <v>18</v>
      </c>
      <c r="G140" t="s">
        <v>18</v>
      </c>
      <c r="H140" t="s">
        <v>967</v>
      </c>
      <c r="I140" t="s">
        <v>968</v>
      </c>
      <c r="J140" t="s">
        <v>969</v>
      </c>
      <c r="K140" t="s">
        <v>968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970</v>
      </c>
      <c r="B141" t="s">
        <v>14</v>
      </c>
      <c r="C141" t="s">
        <v>971</v>
      </c>
      <c r="D141" t="s">
        <v>972</v>
      </c>
      <c r="E141" t="s">
        <v>973</v>
      </c>
      <c r="F141" t="s">
        <v>18</v>
      </c>
      <c r="G141" t="s">
        <v>18</v>
      </c>
      <c r="H141" t="s">
        <v>974</v>
      </c>
      <c r="I141" t="s">
        <v>975</v>
      </c>
      <c r="J141" t="s">
        <v>976</v>
      </c>
      <c r="K141" t="s">
        <v>975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977</v>
      </c>
      <c r="B142" t="s">
        <v>14</v>
      </c>
      <c r="C142" t="s">
        <v>978</v>
      </c>
      <c r="D142" t="s">
        <v>979</v>
      </c>
      <c r="E142" t="s">
        <v>980</v>
      </c>
      <c r="F142" t="s">
        <v>18</v>
      </c>
      <c r="G142" t="s">
        <v>18</v>
      </c>
      <c r="H142" t="s">
        <v>981</v>
      </c>
      <c r="I142" t="s">
        <v>982</v>
      </c>
      <c r="J142" t="s">
        <v>983</v>
      </c>
      <c r="K142" t="s">
        <v>982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984</v>
      </c>
      <c r="B143" t="s">
        <v>14</v>
      </c>
      <c r="C143" t="s">
        <v>985</v>
      </c>
      <c r="D143" t="s">
        <v>986</v>
      </c>
      <c r="E143" t="s">
        <v>987</v>
      </c>
      <c r="F143" t="s">
        <v>18</v>
      </c>
      <c r="G143" t="s">
        <v>18</v>
      </c>
      <c r="H143" t="s">
        <v>988</v>
      </c>
      <c r="I143" t="s">
        <v>989</v>
      </c>
      <c r="J143" t="s">
        <v>990</v>
      </c>
      <c r="K143" t="s">
        <v>989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991</v>
      </c>
      <c r="B144" t="s">
        <v>14</v>
      </c>
      <c r="C144" t="s">
        <v>992</v>
      </c>
      <c r="D144" t="s">
        <v>993</v>
      </c>
      <c r="E144" t="s">
        <v>994</v>
      </c>
      <c r="F144" t="s">
        <v>18</v>
      </c>
      <c r="G144" t="s">
        <v>18</v>
      </c>
      <c r="H144" t="s">
        <v>995</v>
      </c>
      <c r="I144" t="s">
        <v>996</v>
      </c>
      <c r="J144" t="s">
        <v>997</v>
      </c>
      <c r="K144" t="s">
        <v>996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998</v>
      </c>
      <c r="B145" t="s">
        <v>14</v>
      </c>
      <c r="C145" t="s">
        <v>999</v>
      </c>
      <c r="D145" t="s">
        <v>1000</v>
      </c>
      <c r="E145" t="s">
        <v>1001</v>
      </c>
      <c r="F145" t="s">
        <v>18</v>
      </c>
      <c r="G145" t="s">
        <v>18</v>
      </c>
      <c r="H145" t="s">
        <v>1002</v>
      </c>
      <c r="I145" t="s">
        <v>1003</v>
      </c>
      <c r="J145" t="s">
        <v>1004</v>
      </c>
      <c r="K145" t="s">
        <v>1003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1005</v>
      </c>
      <c r="B146" t="s">
        <v>14</v>
      </c>
      <c r="C146" t="s">
        <v>1006</v>
      </c>
      <c r="D146" t="s">
        <v>1007</v>
      </c>
      <c r="E146" t="s">
        <v>1008</v>
      </c>
      <c r="F146" t="s">
        <v>18</v>
      </c>
      <c r="G146" t="s">
        <v>18</v>
      </c>
      <c r="H146" t="s">
        <v>1009</v>
      </c>
      <c r="I146" t="s">
        <v>1010</v>
      </c>
      <c r="J146" t="s">
        <v>1011</v>
      </c>
      <c r="K146" t="s">
        <v>1010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1012</v>
      </c>
      <c r="B147" t="s">
        <v>14</v>
      </c>
      <c r="C147" t="s">
        <v>1013</v>
      </c>
      <c r="D147" t="s">
        <v>1014</v>
      </c>
      <c r="E147" t="s">
        <v>1015</v>
      </c>
      <c r="F147" t="s">
        <v>18</v>
      </c>
      <c r="G147" t="s">
        <v>18</v>
      </c>
      <c r="H147" t="s">
        <v>1016</v>
      </c>
      <c r="I147" t="s">
        <v>1017</v>
      </c>
      <c r="J147" t="s">
        <v>1018</v>
      </c>
      <c r="K147" t="s">
        <v>1017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1019</v>
      </c>
      <c r="B148" t="s">
        <v>14</v>
      </c>
      <c r="C148" t="s">
        <v>1020</v>
      </c>
      <c r="D148" t="s">
        <v>1021</v>
      </c>
      <c r="E148" t="s">
        <v>1022</v>
      </c>
      <c r="F148" t="s">
        <v>18</v>
      </c>
      <c r="G148" t="s">
        <v>18</v>
      </c>
      <c r="H148" t="s">
        <v>1023</v>
      </c>
      <c r="I148" t="s">
        <v>1024</v>
      </c>
      <c r="J148" t="s">
        <v>1025</v>
      </c>
      <c r="K148" t="s">
        <v>1024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1026</v>
      </c>
      <c r="B149" t="s">
        <v>14</v>
      </c>
      <c r="C149" t="s">
        <v>1027</v>
      </c>
      <c r="D149" t="s">
        <v>1028</v>
      </c>
      <c r="E149" t="s">
        <v>1029</v>
      </c>
      <c r="F149" t="s">
        <v>18</v>
      </c>
      <c r="G149" t="s">
        <v>18</v>
      </c>
      <c r="H149" t="s">
        <v>1030</v>
      </c>
      <c r="I149" t="s">
        <v>1031</v>
      </c>
      <c r="J149" t="s">
        <v>1032</v>
      </c>
      <c r="K149" t="s">
        <v>1031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1033</v>
      </c>
      <c r="B150" t="s">
        <v>14</v>
      </c>
      <c r="C150" t="s">
        <v>1034</v>
      </c>
      <c r="D150" t="s">
        <v>1035</v>
      </c>
      <c r="E150" t="s">
        <v>1036</v>
      </c>
      <c r="F150" t="s">
        <v>18</v>
      </c>
      <c r="G150" t="s">
        <v>18</v>
      </c>
      <c r="H150" t="s">
        <v>1037</v>
      </c>
      <c r="I150" t="s">
        <v>1038</v>
      </c>
      <c r="J150" t="s">
        <v>1039</v>
      </c>
      <c r="K150" t="s">
        <v>1038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1040</v>
      </c>
      <c r="B151" t="s">
        <v>14</v>
      </c>
      <c r="C151" t="s">
        <v>1041</v>
      </c>
      <c r="D151" t="s">
        <v>1042</v>
      </c>
      <c r="E151" t="s">
        <v>1043</v>
      </c>
      <c r="F151" t="s">
        <v>18</v>
      </c>
      <c r="G151" t="s">
        <v>18</v>
      </c>
      <c r="H151" t="s">
        <v>1044</v>
      </c>
      <c r="I151" t="s">
        <v>1045</v>
      </c>
      <c r="J151" t="s">
        <v>1046</v>
      </c>
      <c r="K151" t="s">
        <v>1045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1047</v>
      </c>
      <c r="B152" t="s">
        <v>14</v>
      </c>
      <c r="C152" t="s">
        <v>1048</v>
      </c>
      <c r="D152" t="s">
        <v>1049</v>
      </c>
      <c r="E152" t="s">
        <v>1050</v>
      </c>
      <c r="F152" t="s">
        <v>18</v>
      </c>
      <c r="G152" t="s">
        <v>18</v>
      </c>
      <c r="H152" t="s">
        <v>1051</v>
      </c>
      <c r="I152" t="s">
        <v>1052</v>
      </c>
      <c r="J152" t="s">
        <v>1053</v>
      </c>
      <c r="K152" t="s">
        <v>1052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1054</v>
      </c>
      <c r="B153" t="s">
        <v>14</v>
      </c>
      <c r="C153" t="s">
        <v>1055</v>
      </c>
      <c r="D153" t="s">
        <v>1056</v>
      </c>
      <c r="E153" t="s">
        <v>1057</v>
      </c>
      <c r="F153" t="s">
        <v>18</v>
      </c>
      <c r="G153" t="s">
        <v>18</v>
      </c>
      <c r="H153" t="s">
        <v>1058</v>
      </c>
      <c r="I153" t="s">
        <v>1059</v>
      </c>
      <c r="J153" t="s">
        <v>1060</v>
      </c>
      <c r="K153" t="s">
        <v>1059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1061</v>
      </c>
      <c r="B154" t="s">
        <v>14</v>
      </c>
      <c r="C154" t="s">
        <v>1062</v>
      </c>
      <c r="D154" t="s">
        <v>1063</v>
      </c>
      <c r="E154" t="s">
        <v>1064</v>
      </c>
      <c r="F154" t="s">
        <v>18</v>
      </c>
      <c r="G154" t="s">
        <v>18</v>
      </c>
      <c r="H154" t="s">
        <v>1065</v>
      </c>
      <c r="I154" t="s">
        <v>1066</v>
      </c>
      <c r="J154" t="s">
        <v>1067</v>
      </c>
      <c r="K154" t="s">
        <v>1066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1068</v>
      </c>
      <c r="B155" t="s">
        <v>14</v>
      </c>
      <c r="C155" t="s">
        <v>1069</v>
      </c>
      <c r="D155" t="s">
        <v>1070</v>
      </c>
      <c r="E155" t="s">
        <v>1071</v>
      </c>
      <c r="F155" t="s">
        <v>18</v>
      </c>
      <c r="G155" t="s">
        <v>18</v>
      </c>
      <c r="H155" t="s">
        <v>1072</v>
      </c>
      <c r="I155" t="s">
        <v>1073</v>
      </c>
      <c r="J155" t="s">
        <v>1074</v>
      </c>
      <c r="K155" t="s">
        <v>1073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1075</v>
      </c>
      <c r="B156" t="s">
        <v>14</v>
      </c>
      <c r="C156" t="s">
        <v>1076</v>
      </c>
      <c r="D156" t="s">
        <v>1077</v>
      </c>
      <c r="E156" t="s">
        <v>1078</v>
      </c>
      <c r="F156" t="s">
        <v>18</v>
      </c>
      <c r="G156" t="s">
        <v>18</v>
      </c>
      <c r="H156" t="s">
        <v>1079</v>
      </c>
      <c r="I156" t="s">
        <v>1080</v>
      </c>
      <c r="J156" t="s">
        <v>1081</v>
      </c>
      <c r="K156" t="s">
        <v>1080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1082</v>
      </c>
      <c r="B157" t="s">
        <v>14</v>
      </c>
      <c r="C157" t="s">
        <v>1083</v>
      </c>
      <c r="D157" t="s">
        <v>1084</v>
      </c>
      <c r="E157" t="s">
        <v>1085</v>
      </c>
      <c r="F157" t="s">
        <v>18</v>
      </c>
      <c r="G157" t="s">
        <v>18</v>
      </c>
      <c r="H157" t="s">
        <v>1086</v>
      </c>
      <c r="I157" t="s">
        <v>1087</v>
      </c>
      <c r="J157" t="s">
        <v>1088</v>
      </c>
      <c r="K157" t="s">
        <v>1087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1089</v>
      </c>
      <c r="B158" t="s">
        <v>14</v>
      </c>
      <c r="C158" t="s">
        <v>1090</v>
      </c>
      <c r="D158" t="s">
        <v>1091</v>
      </c>
      <c r="E158" t="s">
        <v>1092</v>
      </c>
      <c r="F158" t="s">
        <v>18</v>
      </c>
      <c r="G158" t="s">
        <v>18</v>
      </c>
      <c r="H158" t="s">
        <v>1093</v>
      </c>
      <c r="I158" t="s">
        <v>1094</v>
      </c>
      <c r="J158" t="s">
        <v>1095</v>
      </c>
      <c r="K158" t="s">
        <v>1094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1096</v>
      </c>
      <c r="B159" t="s">
        <v>14</v>
      </c>
      <c r="C159" t="s">
        <v>1097</v>
      </c>
      <c r="D159" t="s">
        <v>1098</v>
      </c>
      <c r="E159" t="s">
        <v>1099</v>
      </c>
      <c r="F159" t="s">
        <v>18</v>
      </c>
      <c r="G159" t="s">
        <v>18</v>
      </c>
      <c r="H159" t="s">
        <v>1100</v>
      </c>
      <c r="I159" t="s">
        <v>1101</v>
      </c>
      <c r="J159" t="s">
        <v>1102</v>
      </c>
      <c r="K159" t="s">
        <v>1101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1103</v>
      </c>
      <c r="B160" t="s">
        <v>14</v>
      </c>
      <c r="C160" t="s">
        <v>1104</v>
      </c>
      <c r="D160" t="s">
        <v>1105</v>
      </c>
      <c r="E160" t="s">
        <v>1106</v>
      </c>
      <c r="F160" t="s">
        <v>18</v>
      </c>
      <c r="G160" t="s">
        <v>18</v>
      </c>
      <c r="H160" t="s">
        <v>1107</v>
      </c>
      <c r="I160" t="s">
        <v>1108</v>
      </c>
      <c r="J160" t="s">
        <v>1109</v>
      </c>
      <c r="K160" t="s">
        <v>1108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1110</v>
      </c>
      <c r="B161" t="s">
        <v>14</v>
      </c>
      <c r="C161" t="s">
        <v>1111</v>
      </c>
      <c r="D161" t="s">
        <v>1112</v>
      </c>
      <c r="E161" t="s">
        <v>1113</v>
      </c>
      <c r="F161" t="s">
        <v>18</v>
      </c>
      <c r="G161" t="s">
        <v>18</v>
      </c>
      <c r="H161" t="s">
        <v>1114</v>
      </c>
      <c r="I161" t="s">
        <v>1115</v>
      </c>
      <c r="J161" t="s">
        <v>1116</v>
      </c>
      <c r="K161" t="s">
        <v>1115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1117</v>
      </c>
      <c r="B162" t="s">
        <v>14</v>
      </c>
      <c r="C162" t="s">
        <v>1118</v>
      </c>
      <c r="D162" t="s">
        <v>1119</v>
      </c>
      <c r="E162" t="s">
        <v>1120</v>
      </c>
      <c r="F162" t="s">
        <v>18</v>
      </c>
      <c r="G162" t="s">
        <v>18</v>
      </c>
      <c r="H162" t="s">
        <v>1121</v>
      </c>
      <c r="I162" t="s">
        <v>1122</v>
      </c>
      <c r="J162" t="s">
        <v>1123</v>
      </c>
      <c r="K162" t="s">
        <v>1122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1124</v>
      </c>
      <c r="B163" t="s">
        <v>14</v>
      </c>
      <c r="C163" t="s">
        <v>1125</v>
      </c>
      <c r="D163" t="s">
        <v>1126</v>
      </c>
      <c r="E163" t="s">
        <v>1127</v>
      </c>
      <c r="F163" t="s">
        <v>18</v>
      </c>
      <c r="G163" t="s">
        <v>18</v>
      </c>
      <c r="H163" t="s">
        <v>1128</v>
      </c>
      <c r="I163" t="s">
        <v>1129</v>
      </c>
      <c r="J163" t="s">
        <v>1130</v>
      </c>
      <c r="K163" t="s">
        <v>1129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1131</v>
      </c>
      <c r="B164" t="s">
        <v>14</v>
      </c>
      <c r="C164" t="s">
        <v>1132</v>
      </c>
      <c r="D164" t="s">
        <v>1133</v>
      </c>
      <c r="E164" t="s">
        <v>1134</v>
      </c>
      <c r="F164" t="s">
        <v>18</v>
      </c>
      <c r="G164" t="s">
        <v>18</v>
      </c>
      <c r="H164" t="s">
        <v>1135</v>
      </c>
      <c r="I164" t="s">
        <v>1136</v>
      </c>
      <c r="J164" t="s">
        <v>1137</v>
      </c>
      <c r="K164" t="s">
        <v>1136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1138</v>
      </c>
      <c r="B165" t="s">
        <v>14</v>
      </c>
      <c r="C165" t="s">
        <v>1139</v>
      </c>
      <c r="D165" t="s">
        <v>1140</v>
      </c>
      <c r="E165" t="s">
        <v>1141</v>
      </c>
      <c r="F165" t="s">
        <v>18</v>
      </c>
      <c r="G165" t="s">
        <v>18</v>
      </c>
      <c r="H165" t="s">
        <v>1142</v>
      </c>
      <c r="I165" t="s">
        <v>1143</v>
      </c>
      <c r="J165" t="s">
        <v>1144</v>
      </c>
      <c r="K165" t="s">
        <v>1143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1145</v>
      </c>
      <c r="B166" t="s">
        <v>14</v>
      </c>
      <c r="C166" t="s">
        <v>1146</v>
      </c>
      <c r="D166" t="s">
        <v>1147</v>
      </c>
      <c r="E166" t="s">
        <v>1148</v>
      </c>
      <c r="F166" t="s">
        <v>18</v>
      </c>
      <c r="G166" t="s">
        <v>18</v>
      </c>
      <c r="H166" t="s">
        <v>1149</v>
      </c>
      <c r="I166" t="s">
        <v>1150</v>
      </c>
      <c r="J166" t="s">
        <v>1151</v>
      </c>
      <c r="K166" t="s">
        <v>1150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1152</v>
      </c>
      <c r="B167" t="s">
        <v>14</v>
      </c>
      <c r="C167" t="s">
        <v>1153</v>
      </c>
      <c r="D167" t="s">
        <v>1154</v>
      </c>
      <c r="E167" t="s">
        <v>1155</v>
      </c>
      <c r="F167" t="s">
        <v>18</v>
      </c>
      <c r="G167" t="s">
        <v>18</v>
      </c>
      <c r="H167" t="s">
        <v>1156</v>
      </c>
      <c r="I167" t="s">
        <v>1157</v>
      </c>
      <c r="J167" t="s">
        <v>1158</v>
      </c>
      <c r="K167" t="s">
        <v>1157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1159</v>
      </c>
      <c r="B168" t="s">
        <v>14</v>
      </c>
      <c r="C168" t="s">
        <v>1160</v>
      </c>
      <c r="D168" t="s">
        <v>1161</v>
      </c>
      <c r="E168" t="s">
        <v>1162</v>
      </c>
      <c r="F168" t="s">
        <v>18</v>
      </c>
      <c r="G168" t="s">
        <v>18</v>
      </c>
      <c r="H168" t="s">
        <v>1163</v>
      </c>
      <c r="I168" t="s">
        <v>1164</v>
      </c>
      <c r="J168" t="s">
        <v>1165</v>
      </c>
      <c r="K168" t="s">
        <v>1164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1166</v>
      </c>
      <c r="B169" t="s">
        <v>14</v>
      </c>
      <c r="C169" t="s">
        <v>1167</v>
      </c>
      <c r="D169" t="s">
        <v>1168</v>
      </c>
      <c r="E169" t="s">
        <v>1169</v>
      </c>
      <c r="F169" t="s">
        <v>18</v>
      </c>
      <c r="G169" t="s">
        <v>18</v>
      </c>
      <c r="H169" t="s">
        <v>1170</v>
      </c>
      <c r="I169" t="s">
        <v>1171</v>
      </c>
      <c r="J169" t="s">
        <v>1172</v>
      </c>
      <c r="K169" t="s">
        <v>1171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1173</v>
      </c>
      <c r="B170" t="s">
        <v>14</v>
      </c>
      <c r="C170" t="s">
        <v>1174</v>
      </c>
      <c r="D170" t="s">
        <v>1175</v>
      </c>
      <c r="E170" t="s">
        <v>1176</v>
      </c>
      <c r="F170" t="s">
        <v>18</v>
      </c>
      <c r="G170" t="s">
        <v>18</v>
      </c>
      <c r="H170" t="s">
        <v>1177</v>
      </c>
      <c r="I170" t="s">
        <v>1178</v>
      </c>
      <c r="J170" t="s">
        <v>1179</v>
      </c>
      <c r="K170" t="s">
        <v>1178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1180</v>
      </c>
      <c r="B171" t="s">
        <v>14</v>
      </c>
      <c r="C171" t="s">
        <v>1181</v>
      </c>
      <c r="D171" t="s">
        <v>1182</v>
      </c>
      <c r="E171" t="s">
        <v>1183</v>
      </c>
      <c r="F171" t="s">
        <v>18</v>
      </c>
      <c r="G171" t="s">
        <v>18</v>
      </c>
      <c r="H171" t="s">
        <v>1184</v>
      </c>
      <c r="I171" t="s">
        <v>1185</v>
      </c>
      <c r="J171" t="s">
        <v>1186</v>
      </c>
      <c r="K171" t="s">
        <v>1185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1187</v>
      </c>
      <c r="B172" t="s">
        <v>14</v>
      </c>
      <c r="C172" t="s">
        <v>1188</v>
      </c>
      <c r="D172" t="s">
        <v>1189</v>
      </c>
      <c r="E172" t="s">
        <v>1190</v>
      </c>
      <c r="F172" t="s">
        <v>18</v>
      </c>
      <c r="G172" t="s">
        <v>18</v>
      </c>
      <c r="H172" t="s">
        <v>1191</v>
      </c>
      <c r="I172" t="s">
        <v>1192</v>
      </c>
      <c r="J172" t="s">
        <v>1193</v>
      </c>
      <c r="K172" t="s">
        <v>1192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1194</v>
      </c>
      <c r="B173" t="s">
        <v>14</v>
      </c>
      <c r="C173" t="s">
        <v>1195</v>
      </c>
      <c r="D173" t="s">
        <v>1196</v>
      </c>
      <c r="E173" t="s">
        <v>1197</v>
      </c>
      <c r="F173" t="s">
        <v>18</v>
      </c>
      <c r="G173" t="s">
        <v>18</v>
      </c>
      <c r="H173" t="s">
        <v>1198</v>
      </c>
      <c r="I173" t="s">
        <v>1199</v>
      </c>
      <c r="J173" t="s">
        <v>800</v>
      </c>
      <c r="K173" t="s">
        <v>1199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1200</v>
      </c>
      <c r="B174" t="s">
        <v>14</v>
      </c>
      <c r="C174" t="s">
        <v>1201</v>
      </c>
      <c r="D174" t="s">
        <v>1202</v>
      </c>
      <c r="E174" t="s">
        <v>1203</v>
      </c>
      <c r="F174" t="s">
        <v>18</v>
      </c>
      <c r="G174" t="s">
        <v>18</v>
      </c>
      <c r="H174" t="s">
        <v>1204</v>
      </c>
      <c r="I174" t="s">
        <v>1205</v>
      </c>
      <c r="J174" t="s">
        <v>814</v>
      </c>
      <c r="K174" t="s">
        <v>1205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1206</v>
      </c>
      <c r="B175" t="s">
        <v>14</v>
      </c>
      <c r="C175" t="s">
        <v>1207</v>
      </c>
      <c r="D175" t="s">
        <v>1208</v>
      </c>
      <c r="E175" t="s">
        <v>1209</v>
      </c>
      <c r="F175" t="s">
        <v>18</v>
      </c>
      <c r="G175" t="s">
        <v>18</v>
      </c>
      <c r="H175" t="s">
        <v>1210</v>
      </c>
      <c r="I175" t="s">
        <v>1211</v>
      </c>
      <c r="J175" t="s">
        <v>1212</v>
      </c>
      <c r="K175" t="s">
        <v>1211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1213</v>
      </c>
      <c r="B176" t="s">
        <v>14</v>
      </c>
      <c r="C176" t="s">
        <v>1214</v>
      </c>
      <c r="D176" t="s">
        <v>1215</v>
      </c>
      <c r="E176" t="s">
        <v>1216</v>
      </c>
      <c r="F176" t="s">
        <v>18</v>
      </c>
      <c r="G176" t="s">
        <v>18</v>
      </c>
      <c r="H176" t="s">
        <v>1217</v>
      </c>
      <c r="I176" t="s">
        <v>1218</v>
      </c>
      <c r="J176" t="s">
        <v>1219</v>
      </c>
      <c r="K176" t="s">
        <v>1218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1220</v>
      </c>
      <c r="B177" t="s">
        <v>14</v>
      </c>
      <c r="C177" t="s">
        <v>1221</v>
      </c>
      <c r="D177" t="s">
        <v>1222</v>
      </c>
      <c r="E177" t="s">
        <v>1223</v>
      </c>
      <c r="F177" t="s">
        <v>18</v>
      </c>
      <c r="G177" t="s">
        <v>18</v>
      </c>
      <c r="H177" t="s">
        <v>1224</v>
      </c>
      <c r="I177" t="s">
        <v>1225</v>
      </c>
      <c r="J177" t="s">
        <v>1226</v>
      </c>
      <c r="K177" t="s">
        <v>1225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1227</v>
      </c>
      <c r="B178" t="s">
        <v>14</v>
      </c>
      <c r="C178" t="s">
        <v>1228</v>
      </c>
      <c r="D178" t="s">
        <v>1229</v>
      </c>
      <c r="E178" t="s">
        <v>1230</v>
      </c>
      <c r="F178" t="s">
        <v>18</v>
      </c>
      <c r="G178" t="s">
        <v>18</v>
      </c>
      <c r="H178" t="s">
        <v>1231</v>
      </c>
      <c r="I178" t="s">
        <v>1232</v>
      </c>
      <c r="J178" t="s">
        <v>1233</v>
      </c>
      <c r="K178" t="s">
        <v>1232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1234</v>
      </c>
      <c r="B179" t="s">
        <v>14</v>
      </c>
      <c r="C179" t="s">
        <v>1235</v>
      </c>
      <c r="D179" t="s">
        <v>1236</v>
      </c>
      <c r="E179" t="s">
        <v>1237</v>
      </c>
      <c r="F179" t="s">
        <v>18</v>
      </c>
      <c r="G179" t="s">
        <v>18</v>
      </c>
      <c r="H179" t="s">
        <v>1238</v>
      </c>
      <c r="I179" t="s">
        <v>1239</v>
      </c>
      <c r="J179" t="s">
        <v>1240</v>
      </c>
      <c r="K179" t="s">
        <v>1239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1241</v>
      </c>
      <c r="B180" t="s">
        <v>14</v>
      </c>
      <c r="C180" t="s">
        <v>1242</v>
      </c>
      <c r="D180" t="s">
        <v>1243</v>
      </c>
      <c r="E180" t="s">
        <v>1244</v>
      </c>
      <c r="F180" t="s">
        <v>18</v>
      </c>
      <c r="G180" t="s">
        <v>18</v>
      </c>
      <c r="H180" t="s">
        <v>1245</v>
      </c>
      <c r="I180" t="s">
        <v>1246</v>
      </c>
      <c r="J180" t="s">
        <v>839</v>
      </c>
      <c r="K180" t="s">
        <v>1246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1247</v>
      </c>
      <c r="B181" t="s">
        <v>14</v>
      </c>
      <c r="C181" t="s">
        <v>1248</v>
      </c>
      <c r="D181" t="s">
        <v>1249</v>
      </c>
      <c r="E181" t="s">
        <v>1250</v>
      </c>
      <c r="F181" t="s">
        <v>18</v>
      </c>
      <c r="G181" t="s">
        <v>18</v>
      </c>
      <c r="H181" t="s">
        <v>1251</v>
      </c>
      <c r="I181" t="s">
        <v>1252</v>
      </c>
      <c r="J181" t="s">
        <v>1253</v>
      </c>
      <c r="K181" t="s">
        <v>1252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1254</v>
      </c>
      <c r="B182" t="s">
        <v>14</v>
      </c>
      <c r="C182" t="s">
        <v>1255</v>
      </c>
      <c r="D182" t="s">
        <v>1256</v>
      </c>
      <c r="E182" t="s">
        <v>1257</v>
      </c>
      <c r="F182" t="s">
        <v>18</v>
      </c>
      <c r="G182" t="s">
        <v>18</v>
      </c>
      <c r="H182" t="s">
        <v>1258</v>
      </c>
      <c r="I182" t="s">
        <v>1259</v>
      </c>
      <c r="J182" t="s">
        <v>821</v>
      </c>
      <c r="K182" t="s">
        <v>1259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1260</v>
      </c>
      <c r="B183" t="s">
        <v>14</v>
      </c>
      <c r="C183" t="s">
        <v>1261</v>
      </c>
      <c r="D183" t="s">
        <v>1262</v>
      </c>
      <c r="E183" t="s">
        <v>1263</v>
      </c>
      <c r="F183" t="s">
        <v>18</v>
      </c>
      <c r="G183" t="s">
        <v>18</v>
      </c>
      <c r="H183" t="s">
        <v>1264</v>
      </c>
      <c r="I183" t="s">
        <v>1265</v>
      </c>
      <c r="J183" t="s">
        <v>1266</v>
      </c>
      <c r="K183" t="s">
        <v>1265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1267</v>
      </c>
      <c r="B184" t="s">
        <v>14</v>
      </c>
      <c r="C184" t="s">
        <v>1268</v>
      </c>
      <c r="D184" t="s">
        <v>1269</v>
      </c>
      <c r="E184" t="s">
        <v>1270</v>
      </c>
      <c r="F184" t="s">
        <v>18</v>
      </c>
      <c r="G184" t="s">
        <v>18</v>
      </c>
      <c r="H184" t="s">
        <v>1271</v>
      </c>
      <c r="I184" t="s">
        <v>1272</v>
      </c>
      <c r="J184" t="s">
        <v>1273</v>
      </c>
      <c r="K184" t="s">
        <v>1272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1274</v>
      </c>
      <c r="B185" t="s">
        <v>14</v>
      </c>
      <c r="C185" t="s">
        <v>1275</v>
      </c>
      <c r="D185" t="s">
        <v>1276</v>
      </c>
      <c r="E185" t="s">
        <v>1277</v>
      </c>
      <c r="F185" t="s">
        <v>18</v>
      </c>
      <c r="G185" t="s">
        <v>18</v>
      </c>
      <c r="H185" t="s">
        <v>1278</v>
      </c>
      <c r="I185" t="s">
        <v>1279</v>
      </c>
      <c r="J185" t="s">
        <v>1280</v>
      </c>
      <c r="K185" t="s">
        <v>1279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1281</v>
      </c>
      <c r="B186" t="s">
        <v>14</v>
      </c>
      <c r="C186" t="s">
        <v>1282</v>
      </c>
      <c r="D186" t="s">
        <v>1283</v>
      </c>
      <c r="E186" t="s">
        <v>1284</v>
      </c>
      <c r="F186" t="s">
        <v>18</v>
      </c>
      <c r="G186" t="s">
        <v>18</v>
      </c>
      <c r="H186" t="s">
        <v>1285</v>
      </c>
      <c r="I186" t="s">
        <v>1286</v>
      </c>
      <c r="J186" t="s">
        <v>1287</v>
      </c>
      <c r="K186" t="s">
        <v>1286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1288</v>
      </c>
      <c r="B187" t="s">
        <v>14</v>
      </c>
      <c r="C187" t="s">
        <v>1289</v>
      </c>
      <c r="D187" t="s">
        <v>1290</v>
      </c>
      <c r="E187" t="s">
        <v>1291</v>
      </c>
      <c r="F187" t="s">
        <v>18</v>
      </c>
      <c r="G187" t="s">
        <v>18</v>
      </c>
      <c r="H187" t="s">
        <v>1292</v>
      </c>
      <c r="I187" t="s">
        <v>1293</v>
      </c>
      <c r="J187" t="s">
        <v>1294</v>
      </c>
      <c r="K187" t="s">
        <v>1293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1295</v>
      </c>
      <c r="B188" t="s">
        <v>14</v>
      </c>
      <c r="C188" t="s">
        <v>1296</v>
      </c>
      <c r="D188" t="s">
        <v>1297</v>
      </c>
      <c r="E188" t="s">
        <v>1298</v>
      </c>
      <c r="F188" t="s">
        <v>18</v>
      </c>
      <c r="G188" t="s">
        <v>18</v>
      </c>
      <c r="H188" t="s">
        <v>1299</v>
      </c>
      <c r="I188" t="s">
        <v>1300</v>
      </c>
      <c r="J188" t="s">
        <v>1097</v>
      </c>
      <c r="K188" t="s">
        <v>1300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1301</v>
      </c>
      <c r="B189" t="s">
        <v>14</v>
      </c>
      <c r="C189" t="s">
        <v>1302</v>
      </c>
      <c r="D189" t="s">
        <v>1303</v>
      </c>
      <c r="E189" t="s">
        <v>1304</v>
      </c>
      <c r="F189" t="s">
        <v>18</v>
      </c>
      <c r="G189" t="s">
        <v>18</v>
      </c>
      <c r="H189" t="s">
        <v>1305</v>
      </c>
      <c r="I189" t="s">
        <v>1306</v>
      </c>
      <c r="J189" t="s">
        <v>1307</v>
      </c>
      <c r="K189" t="s">
        <v>1306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1308</v>
      </c>
      <c r="B190" t="s">
        <v>14</v>
      </c>
      <c r="C190" t="s">
        <v>1309</v>
      </c>
      <c r="D190" t="s">
        <v>1310</v>
      </c>
      <c r="E190" t="s">
        <v>1311</v>
      </c>
      <c r="F190" t="s">
        <v>18</v>
      </c>
      <c r="G190" t="s">
        <v>18</v>
      </c>
      <c r="H190" t="s">
        <v>1312</v>
      </c>
      <c r="I190" t="s">
        <v>1313</v>
      </c>
      <c r="J190" t="s">
        <v>1314</v>
      </c>
      <c r="K190" t="s">
        <v>1313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1315</v>
      </c>
      <c r="B191" t="s">
        <v>14</v>
      </c>
      <c r="C191" t="s">
        <v>1316</v>
      </c>
      <c r="D191" t="s">
        <v>1317</v>
      </c>
      <c r="E191" t="s">
        <v>1318</v>
      </c>
      <c r="F191" t="s">
        <v>18</v>
      </c>
      <c r="G191" t="s">
        <v>18</v>
      </c>
      <c r="H191" t="s">
        <v>1319</v>
      </c>
      <c r="I191" t="s">
        <v>1320</v>
      </c>
      <c r="J191" t="s">
        <v>1321</v>
      </c>
      <c r="K191" t="s">
        <v>1320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1322</v>
      </c>
      <c r="B192" t="s">
        <v>14</v>
      </c>
      <c r="C192" t="s">
        <v>1323</v>
      </c>
      <c r="D192" t="s">
        <v>1324</v>
      </c>
      <c r="E192" t="s">
        <v>1325</v>
      </c>
      <c r="F192" t="s">
        <v>18</v>
      </c>
      <c r="G192" t="s">
        <v>18</v>
      </c>
      <c r="H192" t="s">
        <v>1326</v>
      </c>
      <c r="I192" t="s">
        <v>1327</v>
      </c>
      <c r="J192" t="s">
        <v>1328</v>
      </c>
      <c r="K192" t="s">
        <v>1327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1329</v>
      </c>
      <c r="B193" t="s">
        <v>14</v>
      </c>
      <c r="C193" t="s">
        <v>1323</v>
      </c>
      <c r="D193" t="s">
        <v>1330</v>
      </c>
      <c r="E193" t="s">
        <v>1331</v>
      </c>
      <c r="F193" t="s">
        <v>18</v>
      </c>
      <c r="G193" t="s">
        <v>18</v>
      </c>
      <c r="H193" t="s">
        <v>1332</v>
      </c>
      <c r="I193" t="s">
        <v>1327</v>
      </c>
      <c r="J193" t="s">
        <v>1328</v>
      </c>
      <c r="K193" t="s">
        <v>1327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1333</v>
      </c>
      <c r="B194" t="s">
        <v>14</v>
      </c>
      <c r="C194" t="s">
        <v>1334</v>
      </c>
      <c r="D194" t="s">
        <v>1335</v>
      </c>
      <c r="E194" t="s">
        <v>1336</v>
      </c>
      <c r="F194" t="s">
        <v>18</v>
      </c>
      <c r="G194" t="s">
        <v>18</v>
      </c>
      <c r="H194" t="s">
        <v>1337</v>
      </c>
      <c r="I194" t="s">
        <v>1338</v>
      </c>
      <c r="J194" t="s">
        <v>1339</v>
      </c>
      <c r="K194" t="s">
        <v>1338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1340</v>
      </c>
      <c r="B195" t="s">
        <v>14</v>
      </c>
      <c r="C195" t="s">
        <v>1334</v>
      </c>
      <c r="D195" t="s">
        <v>1341</v>
      </c>
      <c r="E195" t="s">
        <v>1342</v>
      </c>
      <c r="F195" t="s">
        <v>18</v>
      </c>
      <c r="G195" t="s">
        <v>18</v>
      </c>
      <c r="H195" t="s">
        <v>1343</v>
      </c>
      <c r="I195" t="s">
        <v>1338</v>
      </c>
      <c r="J195" t="s">
        <v>1339</v>
      </c>
      <c r="K195" t="s">
        <v>1338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1344</v>
      </c>
      <c r="B196" t="s">
        <v>14</v>
      </c>
      <c r="C196" t="s">
        <v>1345</v>
      </c>
      <c r="D196" t="s">
        <v>1346</v>
      </c>
      <c r="E196" t="s">
        <v>1347</v>
      </c>
      <c r="F196" t="s">
        <v>18</v>
      </c>
      <c r="G196" t="s">
        <v>18</v>
      </c>
      <c r="H196" t="s">
        <v>1348</v>
      </c>
      <c r="I196" t="s">
        <v>1349</v>
      </c>
      <c r="J196" t="s">
        <v>1350</v>
      </c>
      <c r="K196" t="s">
        <v>1349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1351</v>
      </c>
      <c r="B197" t="s">
        <v>14</v>
      </c>
      <c r="C197" t="s">
        <v>1352</v>
      </c>
      <c r="D197" t="s">
        <v>1353</v>
      </c>
      <c r="E197" t="s">
        <v>1354</v>
      </c>
      <c r="F197" t="s">
        <v>18</v>
      </c>
      <c r="G197" t="s">
        <v>18</v>
      </c>
      <c r="H197" t="s">
        <v>1355</v>
      </c>
      <c r="I197" t="s">
        <v>1356</v>
      </c>
      <c r="J197" t="s">
        <v>1122</v>
      </c>
      <c r="K197" t="s">
        <v>1356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1357</v>
      </c>
      <c r="B198" t="s">
        <v>14</v>
      </c>
      <c r="C198" t="s">
        <v>1358</v>
      </c>
      <c r="D198" t="s">
        <v>1359</v>
      </c>
      <c r="E198" t="s">
        <v>1360</v>
      </c>
      <c r="F198" t="s">
        <v>18</v>
      </c>
      <c r="G198" t="s">
        <v>18</v>
      </c>
      <c r="H198" t="s">
        <v>1361</v>
      </c>
      <c r="I198" t="s">
        <v>1362</v>
      </c>
      <c r="J198" t="s">
        <v>1363</v>
      </c>
      <c r="K198" t="s">
        <v>1362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1364</v>
      </c>
      <c r="B199" t="s">
        <v>14</v>
      </c>
      <c r="C199" t="s">
        <v>1365</v>
      </c>
      <c r="D199" t="s">
        <v>1366</v>
      </c>
      <c r="E199" t="s">
        <v>1367</v>
      </c>
      <c r="F199" t="s">
        <v>18</v>
      </c>
      <c r="G199" t="s">
        <v>18</v>
      </c>
      <c r="H199" t="s">
        <v>1368</v>
      </c>
      <c r="I199" t="s">
        <v>1369</v>
      </c>
      <c r="J199" t="s">
        <v>1129</v>
      </c>
      <c r="K199" t="s">
        <v>1369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1370</v>
      </c>
      <c r="B200" t="s">
        <v>14</v>
      </c>
      <c r="C200" t="s">
        <v>1371</v>
      </c>
      <c r="D200" t="s">
        <v>1372</v>
      </c>
      <c r="E200" t="s">
        <v>1373</v>
      </c>
      <c r="F200" t="s">
        <v>18</v>
      </c>
      <c r="G200" t="s">
        <v>18</v>
      </c>
      <c r="H200" t="s">
        <v>1374</v>
      </c>
      <c r="I200" t="s">
        <v>1375</v>
      </c>
      <c r="J200" t="s">
        <v>1376</v>
      </c>
      <c r="K200" t="s">
        <v>1375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1377</v>
      </c>
      <c r="B201" t="s">
        <v>14</v>
      </c>
      <c r="C201" t="s">
        <v>1378</v>
      </c>
      <c r="D201" t="s">
        <v>1379</v>
      </c>
      <c r="E201" t="s">
        <v>1380</v>
      </c>
      <c r="F201" t="s">
        <v>18</v>
      </c>
      <c r="G201" t="s">
        <v>18</v>
      </c>
      <c r="H201" t="s">
        <v>1381</v>
      </c>
      <c r="I201" t="s">
        <v>1309</v>
      </c>
      <c r="J201" t="s">
        <v>1136</v>
      </c>
      <c r="K201" t="s">
        <v>1309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1382</v>
      </c>
      <c r="B202" t="s">
        <v>14</v>
      </c>
      <c r="C202" t="s">
        <v>1383</v>
      </c>
      <c r="D202" t="s">
        <v>1384</v>
      </c>
      <c r="E202" t="s">
        <v>1385</v>
      </c>
      <c r="F202" t="s">
        <v>18</v>
      </c>
      <c r="G202" t="s">
        <v>18</v>
      </c>
      <c r="H202" t="s">
        <v>1386</v>
      </c>
      <c r="I202" t="s">
        <v>1387</v>
      </c>
      <c r="J202" t="s">
        <v>1388</v>
      </c>
      <c r="K202" t="s">
        <v>1387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1389</v>
      </c>
      <c r="B203" t="s">
        <v>14</v>
      </c>
      <c r="C203" t="s">
        <v>1390</v>
      </c>
      <c r="D203" t="s">
        <v>1391</v>
      </c>
      <c r="E203" t="s">
        <v>1392</v>
      </c>
      <c r="F203" t="s">
        <v>18</v>
      </c>
      <c r="G203" t="s">
        <v>18</v>
      </c>
      <c r="H203" t="s">
        <v>1393</v>
      </c>
      <c r="I203" t="s">
        <v>1394</v>
      </c>
      <c r="J203" t="s">
        <v>1395</v>
      </c>
      <c r="K203" t="s">
        <v>1394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1396</v>
      </c>
      <c r="B204" t="s">
        <v>14</v>
      </c>
      <c r="C204" t="s">
        <v>1397</v>
      </c>
      <c r="D204" t="s">
        <v>1398</v>
      </c>
      <c r="E204" t="s">
        <v>1399</v>
      </c>
      <c r="F204" t="s">
        <v>18</v>
      </c>
      <c r="G204" t="s">
        <v>18</v>
      </c>
      <c r="H204" t="s">
        <v>1400</v>
      </c>
      <c r="I204" t="s">
        <v>1401</v>
      </c>
      <c r="J204" t="s">
        <v>1402</v>
      </c>
      <c r="K204" t="s">
        <v>1401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1403</v>
      </c>
      <c r="B205" t="s">
        <v>14</v>
      </c>
      <c r="C205" t="s">
        <v>1397</v>
      </c>
      <c r="D205" t="s">
        <v>1404</v>
      </c>
      <c r="E205" t="s">
        <v>1405</v>
      </c>
      <c r="F205" t="s">
        <v>18</v>
      </c>
      <c r="G205" t="s">
        <v>18</v>
      </c>
      <c r="H205" t="s">
        <v>1406</v>
      </c>
      <c r="I205" t="s">
        <v>1401</v>
      </c>
      <c r="J205" t="s">
        <v>1402</v>
      </c>
      <c r="K205" t="s">
        <v>1401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1407</v>
      </c>
      <c r="B206" t="s">
        <v>14</v>
      </c>
      <c r="C206" t="s">
        <v>1408</v>
      </c>
      <c r="D206" t="s">
        <v>1409</v>
      </c>
      <c r="E206" t="s">
        <v>1410</v>
      </c>
      <c r="F206" t="s">
        <v>18</v>
      </c>
      <c r="G206" t="s">
        <v>18</v>
      </c>
      <c r="H206" t="s">
        <v>1411</v>
      </c>
      <c r="I206" t="s">
        <v>1412</v>
      </c>
      <c r="J206" t="s">
        <v>1413</v>
      </c>
      <c r="K206" t="s">
        <v>1412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1414</v>
      </c>
      <c r="B207" t="s">
        <v>14</v>
      </c>
      <c r="C207" t="s">
        <v>1415</v>
      </c>
      <c r="D207" t="s">
        <v>1416</v>
      </c>
      <c r="E207" t="s">
        <v>1417</v>
      </c>
      <c r="F207" t="s">
        <v>18</v>
      </c>
      <c r="G207" t="s">
        <v>18</v>
      </c>
      <c r="H207" t="s">
        <v>1418</v>
      </c>
      <c r="I207" t="s">
        <v>1419</v>
      </c>
      <c r="J207" t="s">
        <v>1420</v>
      </c>
      <c r="K207" t="s">
        <v>1419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1421</v>
      </c>
      <c r="B208" t="s">
        <v>14</v>
      </c>
      <c r="C208" t="s">
        <v>1422</v>
      </c>
      <c r="D208" t="s">
        <v>1423</v>
      </c>
      <c r="E208" t="s">
        <v>1424</v>
      </c>
      <c r="F208" t="s">
        <v>18</v>
      </c>
      <c r="G208" t="s">
        <v>18</v>
      </c>
      <c r="H208" t="s">
        <v>1425</v>
      </c>
      <c r="I208" t="s">
        <v>1334</v>
      </c>
      <c r="J208" t="s">
        <v>1426</v>
      </c>
      <c r="K208" t="s">
        <v>1334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1427</v>
      </c>
      <c r="B209" t="s">
        <v>14</v>
      </c>
      <c r="C209" t="s">
        <v>1422</v>
      </c>
      <c r="D209" t="s">
        <v>1428</v>
      </c>
      <c r="E209" t="s">
        <v>1429</v>
      </c>
      <c r="F209" t="s">
        <v>18</v>
      </c>
      <c r="G209" t="s">
        <v>18</v>
      </c>
      <c r="H209" t="s">
        <v>1430</v>
      </c>
      <c r="I209" t="s">
        <v>1334</v>
      </c>
      <c r="J209" t="s">
        <v>1426</v>
      </c>
      <c r="K209" t="s">
        <v>1334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1431</v>
      </c>
      <c r="B210" t="s">
        <v>14</v>
      </c>
      <c r="C210" t="s">
        <v>1432</v>
      </c>
      <c r="D210" t="s">
        <v>1433</v>
      </c>
      <c r="E210" t="s">
        <v>1434</v>
      </c>
      <c r="F210" t="s">
        <v>18</v>
      </c>
      <c r="G210" t="s">
        <v>18</v>
      </c>
      <c r="H210" t="s">
        <v>1435</v>
      </c>
      <c r="I210" t="s">
        <v>1345</v>
      </c>
      <c r="J210" t="s">
        <v>1436</v>
      </c>
      <c r="K210" t="s">
        <v>1345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1437</v>
      </c>
      <c r="B211" t="s">
        <v>14</v>
      </c>
      <c r="C211" t="s">
        <v>1438</v>
      </c>
      <c r="D211" t="s">
        <v>1439</v>
      </c>
      <c r="E211" t="s">
        <v>1440</v>
      </c>
      <c r="F211" t="s">
        <v>18</v>
      </c>
      <c r="G211" t="s">
        <v>18</v>
      </c>
      <c r="H211" t="s">
        <v>1441</v>
      </c>
      <c r="I211" t="s">
        <v>1442</v>
      </c>
      <c r="J211" t="s">
        <v>1443</v>
      </c>
      <c r="K211" t="s">
        <v>1442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1444</v>
      </c>
      <c r="B212" t="s">
        <v>14</v>
      </c>
      <c r="C212" t="s">
        <v>1445</v>
      </c>
      <c r="D212" t="s">
        <v>1446</v>
      </c>
      <c r="E212" t="s">
        <v>1447</v>
      </c>
      <c r="F212" t="s">
        <v>18</v>
      </c>
      <c r="G212" t="s">
        <v>18</v>
      </c>
      <c r="H212" t="s">
        <v>1448</v>
      </c>
      <c r="I212" t="s">
        <v>1449</v>
      </c>
      <c r="J212" t="s">
        <v>1450</v>
      </c>
      <c r="K212" t="s">
        <v>1449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1451</v>
      </c>
      <c r="B213" t="s">
        <v>14</v>
      </c>
      <c r="C213" t="s">
        <v>1452</v>
      </c>
      <c r="D213" t="s">
        <v>1453</v>
      </c>
      <c r="E213" t="s">
        <v>1454</v>
      </c>
      <c r="F213" t="s">
        <v>18</v>
      </c>
      <c r="G213" t="s">
        <v>18</v>
      </c>
      <c r="H213" t="s">
        <v>1455</v>
      </c>
      <c r="I213" t="s">
        <v>1456</v>
      </c>
      <c r="J213" t="s">
        <v>1457</v>
      </c>
      <c r="K213" t="s">
        <v>1456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1458</v>
      </c>
      <c r="B214" t="s">
        <v>14</v>
      </c>
      <c r="C214" t="s">
        <v>1459</v>
      </c>
      <c r="D214" t="s">
        <v>1460</v>
      </c>
      <c r="E214" t="s">
        <v>1461</v>
      </c>
      <c r="F214" t="s">
        <v>18</v>
      </c>
      <c r="G214" t="s">
        <v>18</v>
      </c>
      <c r="H214" t="s">
        <v>1462</v>
      </c>
      <c r="I214" t="s">
        <v>1371</v>
      </c>
      <c r="J214" t="s">
        <v>1463</v>
      </c>
      <c r="K214" t="s">
        <v>1371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1464</v>
      </c>
      <c r="B215" t="s">
        <v>14</v>
      </c>
      <c r="C215" t="s">
        <v>1465</v>
      </c>
      <c r="D215" t="s">
        <v>1466</v>
      </c>
      <c r="E215" t="s">
        <v>1467</v>
      </c>
      <c r="F215" t="s">
        <v>18</v>
      </c>
      <c r="G215" t="s">
        <v>18</v>
      </c>
      <c r="H215" t="s">
        <v>1468</v>
      </c>
      <c r="I215" t="s">
        <v>1469</v>
      </c>
      <c r="J215" t="s">
        <v>1470</v>
      </c>
      <c r="K215" t="s">
        <v>1469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1471</v>
      </c>
      <c r="B216" t="s">
        <v>14</v>
      </c>
      <c r="C216" t="s">
        <v>1472</v>
      </c>
      <c r="D216" t="s">
        <v>1473</v>
      </c>
      <c r="E216" t="s">
        <v>1474</v>
      </c>
      <c r="F216" t="s">
        <v>18</v>
      </c>
      <c r="G216" t="s">
        <v>18</v>
      </c>
      <c r="H216" t="s">
        <v>1475</v>
      </c>
      <c r="I216" t="s">
        <v>1476</v>
      </c>
      <c r="J216" t="s">
        <v>1477</v>
      </c>
      <c r="K216" t="s">
        <v>1476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1478</v>
      </c>
      <c r="B217" t="s">
        <v>14</v>
      </c>
      <c r="C217" t="s">
        <v>1479</v>
      </c>
      <c r="D217" t="s">
        <v>1480</v>
      </c>
      <c r="E217" t="s">
        <v>1481</v>
      </c>
      <c r="F217" t="s">
        <v>18</v>
      </c>
      <c r="G217" t="s">
        <v>18</v>
      </c>
      <c r="H217" t="s">
        <v>1482</v>
      </c>
      <c r="I217" t="s">
        <v>1483</v>
      </c>
      <c r="J217" t="s">
        <v>1484</v>
      </c>
      <c r="K217" t="s">
        <v>1483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1485</v>
      </c>
      <c r="B218" t="s">
        <v>14</v>
      </c>
      <c r="C218" t="s">
        <v>1486</v>
      </c>
      <c r="D218" t="s">
        <v>1487</v>
      </c>
      <c r="E218" t="s">
        <v>1488</v>
      </c>
      <c r="F218" t="s">
        <v>18</v>
      </c>
      <c r="G218" t="s">
        <v>18</v>
      </c>
      <c r="H218" t="s">
        <v>1489</v>
      </c>
      <c r="I218" t="s">
        <v>1490</v>
      </c>
      <c r="J218" t="s">
        <v>1491</v>
      </c>
      <c r="K218" t="s">
        <v>1490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1492</v>
      </c>
      <c r="B219" t="s">
        <v>14</v>
      </c>
      <c r="C219" t="s">
        <v>1493</v>
      </c>
      <c r="D219" t="s">
        <v>1494</v>
      </c>
      <c r="E219" t="s">
        <v>1495</v>
      </c>
      <c r="F219" t="s">
        <v>18</v>
      </c>
      <c r="G219" t="s">
        <v>18</v>
      </c>
      <c r="H219" t="s">
        <v>1496</v>
      </c>
      <c r="I219" t="s">
        <v>1390</v>
      </c>
      <c r="J219" t="s">
        <v>1497</v>
      </c>
      <c r="K219" t="s">
        <v>1390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1498</v>
      </c>
      <c r="B220" t="s">
        <v>14</v>
      </c>
      <c r="C220" t="s">
        <v>1499</v>
      </c>
      <c r="D220" t="s">
        <v>1500</v>
      </c>
      <c r="E220" t="s">
        <v>1501</v>
      </c>
      <c r="F220" t="s">
        <v>18</v>
      </c>
      <c r="G220" t="s">
        <v>18</v>
      </c>
      <c r="H220" t="s">
        <v>1502</v>
      </c>
      <c r="I220" t="s">
        <v>1503</v>
      </c>
      <c r="J220" t="s">
        <v>1504</v>
      </c>
      <c r="K220" t="s">
        <v>1503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1505</v>
      </c>
      <c r="B221" t="s">
        <v>14</v>
      </c>
      <c r="C221" t="s">
        <v>1506</v>
      </c>
      <c r="D221" t="s">
        <v>1507</v>
      </c>
      <c r="E221" t="s">
        <v>1508</v>
      </c>
      <c r="F221" t="s">
        <v>18</v>
      </c>
      <c r="G221" t="s">
        <v>18</v>
      </c>
      <c r="H221" t="s">
        <v>1509</v>
      </c>
      <c r="I221" t="s">
        <v>1415</v>
      </c>
      <c r="J221" t="s">
        <v>1510</v>
      </c>
      <c r="K221" t="s">
        <v>1415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1511</v>
      </c>
      <c r="B222" t="s">
        <v>14</v>
      </c>
      <c r="C222" t="s">
        <v>1512</v>
      </c>
      <c r="D222" t="s">
        <v>1513</v>
      </c>
      <c r="E222" t="s">
        <v>1514</v>
      </c>
      <c r="F222" t="s">
        <v>18</v>
      </c>
      <c r="G222" t="s">
        <v>18</v>
      </c>
      <c r="H222" t="s">
        <v>1515</v>
      </c>
      <c r="I222" t="s">
        <v>1516</v>
      </c>
      <c r="J222" t="s">
        <v>1517</v>
      </c>
      <c r="K222" t="s">
        <v>1516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1518</v>
      </c>
      <c r="B223" t="s">
        <v>14</v>
      </c>
      <c r="C223" t="s">
        <v>1519</v>
      </c>
      <c r="D223" t="s">
        <v>1520</v>
      </c>
      <c r="E223" t="s">
        <v>1521</v>
      </c>
      <c r="F223" t="s">
        <v>18</v>
      </c>
      <c r="G223" t="s">
        <v>18</v>
      </c>
      <c r="H223" t="s">
        <v>1522</v>
      </c>
      <c r="I223" t="s">
        <v>1523</v>
      </c>
      <c r="J223" t="s">
        <v>1524</v>
      </c>
      <c r="K223" t="s">
        <v>1523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1525</v>
      </c>
      <c r="B224" t="s">
        <v>14</v>
      </c>
      <c r="C224" t="s">
        <v>1526</v>
      </c>
      <c r="D224" t="s">
        <v>1527</v>
      </c>
      <c r="E224" t="s">
        <v>1528</v>
      </c>
      <c r="F224" t="s">
        <v>18</v>
      </c>
      <c r="G224" t="s">
        <v>18</v>
      </c>
      <c r="H224" t="s">
        <v>1529</v>
      </c>
      <c r="I224" t="s">
        <v>1530</v>
      </c>
      <c r="J224" t="s">
        <v>1531</v>
      </c>
      <c r="K224" t="s">
        <v>1530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1532</v>
      </c>
      <c r="B225" t="s">
        <v>14</v>
      </c>
      <c r="C225" t="s">
        <v>1533</v>
      </c>
      <c r="D225" t="s">
        <v>1534</v>
      </c>
      <c r="E225" t="s">
        <v>1535</v>
      </c>
      <c r="F225" t="s">
        <v>18</v>
      </c>
      <c r="G225" t="s">
        <v>18</v>
      </c>
      <c r="H225" t="s">
        <v>1536</v>
      </c>
      <c r="I225" t="s">
        <v>1537</v>
      </c>
      <c r="J225" t="s">
        <v>1538</v>
      </c>
      <c r="K225" t="s">
        <v>1537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1539</v>
      </c>
      <c r="B226" t="s">
        <v>14</v>
      </c>
      <c r="C226" t="s">
        <v>1540</v>
      </c>
      <c r="D226" t="s">
        <v>1541</v>
      </c>
      <c r="E226" t="s">
        <v>1542</v>
      </c>
      <c r="F226" t="s">
        <v>18</v>
      </c>
      <c r="G226" t="s">
        <v>18</v>
      </c>
      <c r="H226" t="s">
        <v>1543</v>
      </c>
      <c r="I226" t="s">
        <v>1544</v>
      </c>
      <c r="J226" t="s">
        <v>1545</v>
      </c>
      <c r="K226" t="s">
        <v>1544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1546</v>
      </c>
      <c r="B227" t="s">
        <v>14</v>
      </c>
      <c r="C227" t="s">
        <v>1547</v>
      </c>
      <c r="D227" t="s">
        <v>1548</v>
      </c>
      <c r="E227" t="s">
        <v>1549</v>
      </c>
      <c r="F227" t="s">
        <v>18</v>
      </c>
      <c r="G227" t="s">
        <v>18</v>
      </c>
      <c r="H227" t="s">
        <v>1550</v>
      </c>
      <c r="I227" t="s">
        <v>1551</v>
      </c>
      <c r="J227" t="s">
        <v>1139</v>
      </c>
      <c r="K227" t="s">
        <v>1551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1552</v>
      </c>
      <c r="B228" t="s">
        <v>14</v>
      </c>
      <c r="C228" t="s">
        <v>1547</v>
      </c>
      <c r="D228" t="s">
        <v>1553</v>
      </c>
      <c r="E228" t="s">
        <v>1554</v>
      </c>
      <c r="F228" t="s">
        <v>18</v>
      </c>
      <c r="G228" t="s">
        <v>18</v>
      </c>
      <c r="H228" t="s">
        <v>1555</v>
      </c>
      <c r="I228" t="s">
        <v>1551</v>
      </c>
      <c r="J228" t="s">
        <v>1139</v>
      </c>
      <c r="K228" t="s">
        <v>1551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1556</v>
      </c>
      <c r="B229" t="s">
        <v>14</v>
      </c>
      <c r="C229" t="s">
        <v>1557</v>
      </c>
      <c r="D229" t="s">
        <v>1558</v>
      </c>
      <c r="E229" t="s">
        <v>1559</v>
      </c>
      <c r="F229" t="s">
        <v>18</v>
      </c>
      <c r="G229" t="s">
        <v>18</v>
      </c>
      <c r="H229" t="s">
        <v>1560</v>
      </c>
      <c r="I229" t="s">
        <v>1561</v>
      </c>
      <c r="J229" t="s">
        <v>1562</v>
      </c>
      <c r="K229" t="s">
        <v>1561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1563</v>
      </c>
      <c r="B230" t="s">
        <v>14</v>
      </c>
      <c r="C230" t="s">
        <v>1564</v>
      </c>
      <c r="D230" t="s">
        <v>1565</v>
      </c>
      <c r="E230" t="s">
        <v>1566</v>
      </c>
      <c r="F230" t="s">
        <v>18</v>
      </c>
      <c r="G230" t="s">
        <v>18</v>
      </c>
      <c r="H230" t="s">
        <v>1567</v>
      </c>
      <c r="I230" t="s">
        <v>1568</v>
      </c>
      <c r="J230" t="s">
        <v>1569</v>
      </c>
      <c r="K230" t="s">
        <v>1568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1570</v>
      </c>
      <c r="B231" t="s">
        <v>14</v>
      </c>
      <c r="C231" t="s">
        <v>1571</v>
      </c>
      <c r="D231" t="s">
        <v>1572</v>
      </c>
      <c r="E231" t="s">
        <v>1573</v>
      </c>
      <c r="F231" t="s">
        <v>18</v>
      </c>
      <c r="G231" t="s">
        <v>18</v>
      </c>
      <c r="H231" t="s">
        <v>1574</v>
      </c>
      <c r="I231" t="s">
        <v>1575</v>
      </c>
      <c r="J231" t="s">
        <v>1185</v>
      </c>
      <c r="K231" t="s">
        <v>1575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1576</v>
      </c>
      <c r="B232" t="s">
        <v>14</v>
      </c>
      <c r="C232" t="s">
        <v>1577</v>
      </c>
      <c r="D232" t="s">
        <v>1578</v>
      </c>
      <c r="E232" t="s">
        <v>1579</v>
      </c>
      <c r="F232" t="s">
        <v>18</v>
      </c>
      <c r="G232" t="s">
        <v>18</v>
      </c>
      <c r="H232" t="s">
        <v>1580</v>
      </c>
      <c r="I232" t="s">
        <v>1506</v>
      </c>
      <c r="J232" t="s">
        <v>1581</v>
      </c>
      <c r="K232" t="s">
        <v>1506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1582</v>
      </c>
      <c r="B233" t="s">
        <v>14</v>
      </c>
      <c r="C233" t="s">
        <v>1583</v>
      </c>
      <c r="D233" t="s">
        <v>1584</v>
      </c>
      <c r="E233" t="s">
        <v>1585</v>
      </c>
      <c r="F233" t="s">
        <v>18</v>
      </c>
      <c r="G233" t="s">
        <v>18</v>
      </c>
      <c r="H233" t="s">
        <v>1586</v>
      </c>
      <c r="I233" t="s">
        <v>1587</v>
      </c>
      <c r="J233" t="s">
        <v>1211</v>
      </c>
      <c r="K233" t="s">
        <v>1587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1588</v>
      </c>
      <c r="B234" t="s">
        <v>14</v>
      </c>
      <c r="C234" t="s">
        <v>1589</v>
      </c>
      <c r="D234" t="s">
        <v>1590</v>
      </c>
      <c r="E234" t="s">
        <v>1591</v>
      </c>
      <c r="F234" t="s">
        <v>18</v>
      </c>
      <c r="G234" t="s">
        <v>18</v>
      </c>
      <c r="H234" t="s">
        <v>1592</v>
      </c>
      <c r="I234" t="s">
        <v>1593</v>
      </c>
      <c r="J234" t="s">
        <v>1594</v>
      </c>
      <c r="K234" t="s">
        <v>1593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1595</v>
      </c>
      <c r="B235" t="s">
        <v>14</v>
      </c>
      <c r="C235" t="s">
        <v>1596</v>
      </c>
      <c r="D235" t="s">
        <v>1597</v>
      </c>
      <c r="E235" t="s">
        <v>1598</v>
      </c>
      <c r="F235" t="s">
        <v>18</v>
      </c>
      <c r="G235" t="s">
        <v>18</v>
      </c>
      <c r="H235" t="s">
        <v>1599</v>
      </c>
      <c r="I235" t="s">
        <v>1600</v>
      </c>
      <c r="J235" t="s">
        <v>1601</v>
      </c>
      <c r="K235" t="s">
        <v>1600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1602</v>
      </c>
      <c r="B236" t="s">
        <v>14</v>
      </c>
      <c r="C236" t="s">
        <v>1603</v>
      </c>
      <c r="D236" t="s">
        <v>1604</v>
      </c>
      <c r="E236" t="s">
        <v>1605</v>
      </c>
      <c r="F236" t="s">
        <v>18</v>
      </c>
      <c r="G236" t="s">
        <v>18</v>
      </c>
      <c r="H236" t="s">
        <v>1606</v>
      </c>
      <c r="I236" t="s">
        <v>1607</v>
      </c>
      <c r="J236" t="s">
        <v>1608</v>
      </c>
      <c r="K236" t="s">
        <v>1607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1609</v>
      </c>
      <c r="B237" t="s">
        <v>14</v>
      </c>
      <c r="C237" t="s">
        <v>1603</v>
      </c>
      <c r="D237" t="s">
        <v>1610</v>
      </c>
      <c r="E237" t="s">
        <v>1611</v>
      </c>
      <c r="F237" t="s">
        <v>18</v>
      </c>
      <c r="G237" t="s">
        <v>18</v>
      </c>
      <c r="H237" t="s">
        <v>1612</v>
      </c>
      <c r="I237" t="s">
        <v>1607</v>
      </c>
      <c r="J237" t="s">
        <v>1608</v>
      </c>
      <c r="K237" t="s">
        <v>1607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1613</v>
      </c>
      <c r="B238" t="s">
        <v>14</v>
      </c>
      <c r="C238" t="s">
        <v>1614</v>
      </c>
      <c r="D238" t="s">
        <v>1615</v>
      </c>
      <c r="E238" t="s">
        <v>1616</v>
      </c>
      <c r="F238" t="s">
        <v>18</v>
      </c>
      <c r="G238" t="s">
        <v>18</v>
      </c>
      <c r="H238" t="s">
        <v>1617</v>
      </c>
      <c r="I238" t="s">
        <v>1618</v>
      </c>
      <c r="J238" t="s">
        <v>1619</v>
      </c>
      <c r="K238" t="s">
        <v>1618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1620</v>
      </c>
      <c r="B239" t="s">
        <v>14</v>
      </c>
      <c r="C239" t="s">
        <v>1621</v>
      </c>
      <c r="D239" t="s">
        <v>1622</v>
      </c>
      <c r="E239" t="s">
        <v>1623</v>
      </c>
      <c r="F239" t="s">
        <v>18</v>
      </c>
      <c r="G239" t="s">
        <v>18</v>
      </c>
      <c r="H239" t="s">
        <v>1624</v>
      </c>
      <c r="I239" t="s">
        <v>1564</v>
      </c>
      <c r="J239" t="s">
        <v>1625</v>
      </c>
      <c r="K239" t="s">
        <v>1564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1626</v>
      </c>
      <c r="B240" t="s">
        <v>14</v>
      </c>
      <c r="C240" t="s">
        <v>1627</v>
      </c>
      <c r="D240" t="s">
        <v>1628</v>
      </c>
      <c r="E240" t="s">
        <v>1629</v>
      </c>
      <c r="F240" t="s">
        <v>18</v>
      </c>
      <c r="G240" t="s">
        <v>18</v>
      </c>
      <c r="H240" t="s">
        <v>1630</v>
      </c>
      <c r="I240" t="s">
        <v>1631</v>
      </c>
      <c r="J240" t="s">
        <v>1632</v>
      </c>
      <c r="K240" t="s">
        <v>1631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1633</v>
      </c>
      <c r="B241" t="s">
        <v>14</v>
      </c>
      <c r="C241" t="s">
        <v>1634</v>
      </c>
      <c r="D241" t="s">
        <v>1635</v>
      </c>
      <c r="E241" t="s">
        <v>1636</v>
      </c>
      <c r="F241" t="s">
        <v>18</v>
      </c>
      <c r="G241" t="s">
        <v>18</v>
      </c>
      <c r="H241" t="s">
        <v>1637</v>
      </c>
      <c r="I241" t="s">
        <v>1638</v>
      </c>
      <c r="J241" t="s">
        <v>1181</v>
      </c>
      <c r="K241" t="s">
        <v>1638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1639</v>
      </c>
      <c r="B242" t="s">
        <v>14</v>
      </c>
      <c r="C242" t="s">
        <v>1640</v>
      </c>
      <c r="D242" t="s">
        <v>1641</v>
      </c>
      <c r="E242" t="s">
        <v>1642</v>
      </c>
      <c r="F242" t="s">
        <v>18</v>
      </c>
      <c r="G242" t="s">
        <v>18</v>
      </c>
      <c r="H242" t="s">
        <v>1643</v>
      </c>
      <c r="I242" t="s">
        <v>1644</v>
      </c>
      <c r="J242" t="s">
        <v>1645</v>
      </c>
      <c r="K242" t="s">
        <v>1644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1646</v>
      </c>
      <c r="B243" t="s">
        <v>14</v>
      </c>
      <c r="C243" t="s">
        <v>1647</v>
      </c>
      <c r="D243" t="s">
        <v>1648</v>
      </c>
      <c r="E243" t="s">
        <v>1649</v>
      </c>
      <c r="F243" t="s">
        <v>18</v>
      </c>
      <c r="G243" t="s">
        <v>18</v>
      </c>
      <c r="H243" t="s">
        <v>1650</v>
      </c>
      <c r="I243" t="s">
        <v>1651</v>
      </c>
      <c r="J243" t="s">
        <v>1652</v>
      </c>
      <c r="K243" t="s">
        <v>1651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1653</v>
      </c>
      <c r="B244" t="s">
        <v>14</v>
      </c>
      <c r="C244" t="s">
        <v>1654</v>
      </c>
      <c r="D244" t="s">
        <v>1655</v>
      </c>
      <c r="E244" t="s">
        <v>1656</v>
      </c>
      <c r="F244" t="s">
        <v>18</v>
      </c>
      <c r="G244" t="s">
        <v>18</v>
      </c>
      <c r="H244" t="s">
        <v>1657</v>
      </c>
      <c r="I244" t="s">
        <v>1658</v>
      </c>
      <c r="J244" t="s">
        <v>1248</v>
      </c>
      <c r="K244" t="s">
        <v>1658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1659</v>
      </c>
      <c r="B245" t="s">
        <v>14</v>
      </c>
      <c r="C245" t="s">
        <v>1660</v>
      </c>
      <c r="D245" t="s">
        <v>1661</v>
      </c>
      <c r="E245" t="s">
        <v>1662</v>
      </c>
      <c r="F245" t="s">
        <v>18</v>
      </c>
      <c r="G245" t="s">
        <v>18</v>
      </c>
      <c r="H245" t="s">
        <v>1663</v>
      </c>
      <c r="I245" t="s">
        <v>1664</v>
      </c>
      <c r="J245" t="s">
        <v>1665</v>
      </c>
      <c r="K245" t="s">
        <v>1664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1666</v>
      </c>
      <c r="B246" t="s">
        <v>14</v>
      </c>
      <c r="C246" t="s">
        <v>1667</v>
      </c>
      <c r="D246" t="s">
        <v>1668</v>
      </c>
      <c r="E246" t="s">
        <v>1669</v>
      </c>
      <c r="F246" t="s">
        <v>18</v>
      </c>
      <c r="G246" t="s">
        <v>18</v>
      </c>
      <c r="H246" t="s">
        <v>1670</v>
      </c>
      <c r="I246" t="s">
        <v>1671</v>
      </c>
      <c r="J246" t="s">
        <v>1672</v>
      </c>
      <c r="K246" t="s">
        <v>1671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1673</v>
      </c>
      <c r="B247" t="s">
        <v>14</v>
      </c>
      <c r="C247" t="s">
        <v>1674</v>
      </c>
      <c r="D247" t="s">
        <v>1675</v>
      </c>
      <c r="E247" t="s">
        <v>1676</v>
      </c>
      <c r="F247" t="s">
        <v>18</v>
      </c>
      <c r="G247" t="s">
        <v>18</v>
      </c>
      <c r="H247" t="s">
        <v>1677</v>
      </c>
      <c r="I247" t="s">
        <v>1678</v>
      </c>
      <c r="J247" t="s">
        <v>1679</v>
      </c>
      <c r="K247" t="s">
        <v>1678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1680</v>
      </c>
      <c r="B248" t="s">
        <v>14</v>
      </c>
      <c r="C248" t="s">
        <v>1681</v>
      </c>
      <c r="D248" t="s">
        <v>1682</v>
      </c>
      <c r="E248" t="s">
        <v>1683</v>
      </c>
      <c r="F248" t="s">
        <v>18</v>
      </c>
      <c r="G248" t="s">
        <v>18</v>
      </c>
      <c r="H248" t="s">
        <v>1684</v>
      </c>
      <c r="I248" t="s">
        <v>1640</v>
      </c>
      <c r="J248" t="s">
        <v>1685</v>
      </c>
      <c r="K248" t="s">
        <v>1640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1686</v>
      </c>
      <c r="B249" t="s">
        <v>14</v>
      </c>
      <c r="C249" t="s">
        <v>1687</v>
      </c>
      <c r="D249" t="s">
        <v>1688</v>
      </c>
      <c r="E249" t="s">
        <v>1689</v>
      </c>
      <c r="F249" t="s">
        <v>18</v>
      </c>
      <c r="G249" t="s">
        <v>18</v>
      </c>
      <c r="H249" t="s">
        <v>1690</v>
      </c>
      <c r="I249" t="s">
        <v>1691</v>
      </c>
      <c r="J249" t="s">
        <v>1692</v>
      </c>
      <c r="K249" t="s">
        <v>1691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1693</v>
      </c>
      <c r="B250" t="s">
        <v>14</v>
      </c>
      <c r="C250" t="s">
        <v>1694</v>
      </c>
      <c r="D250" t="s">
        <v>1695</v>
      </c>
      <c r="E250" t="s">
        <v>1696</v>
      </c>
      <c r="F250" t="s">
        <v>18</v>
      </c>
      <c r="G250" t="s">
        <v>18</v>
      </c>
      <c r="H250" t="s">
        <v>1697</v>
      </c>
      <c r="I250" t="s">
        <v>1698</v>
      </c>
      <c r="J250" t="s">
        <v>1699</v>
      </c>
      <c r="K250" t="s">
        <v>1698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1700</v>
      </c>
      <c r="B251" t="s">
        <v>14</v>
      </c>
      <c r="C251" t="s">
        <v>1701</v>
      </c>
      <c r="D251" t="s">
        <v>1702</v>
      </c>
      <c r="E251" t="s">
        <v>1703</v>
      </c>
      <c r="F251" t="s">
        <v>18</v>
      </c>
      <c r="G251" t="s">
        <v>18</v>
      </c>
      <c r="H251" t="s">
        <v>1704</v>
      </c>
      <c r="I251" t="s">
        <v>1705</v>
      </c>
      <c r="J251" t="s">
        <v>1706</v>
      </c>
      <c r="K251" t="s">
        <v>1705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BDH("SNTVQ US Equity","BS_TOT_ASSET","1993-06-18","1998-06-18","Per=Y","Days=T","Dir=V")</f>
        <v>0</v>
      </c>
      <c r="C2">
        <f>BDH("SNTVQ US Equity","BS_TOT_LIAB2","1993-06-18","1998-06-18","Per=Y","Days=T","Dir=V")</f>
        <v>0</v>
      </c>
      <c r="E2">
        <f>BDH("SNTVQ US Equity","SHORT_AND_LONG_TERM_DEBT","1993-06-18","1998-06-18","Per=Y","Days=T","Dir=V")</f>
        <v>0</v>
      </c>
      <c r="G2">
        <f>BDH("SNTVQ US Equity","BS_ST_BORROW","1993-06-18","1998-06-18","Per=Y","Days=T","Dir=V")</f>
        <v>0</v>
      </c>
      <c r="I2">
        <f>BDH("SNTVQ US Equity","BS_LT_BORROW","1993-06-18","1998-06-18","Per=Y","Days=T","Dir=V")</f>
        <v>0</v>
      </c>
      <c r="K2">
        <f>BDH("SNTVQ US Equity","BS_CASH_NEAR_CASH_ITEM","1993-06-18","1998-06-18","Per=Y","Days=T","Dir=V")</f>
        <v>0</v>
      </c>
      <c r="M2">
        <f>BDH("SNTVQ US Equity","BS_CUR_ASSET_REPORT","1993-06-18","1998-06-18","Per=Y","Days=T","Dir=V")</f>
        <v>0</v>
      </c>
      <c r="O2">
        <f>BDH("SNTVQ US Equity","BS_CUR_LIAB","1993-06-18","1998-06-18","Per=Y","Days=T","Dir=V")</f>
        <v>0</v>
      </c>
      <c r="Q2">
        <f>BDH("SNTVQ US Equity","BS_SHAREHOLDER_EQY_ENDING_PERIOD","1993-06-18","1998-06-18","Per=Y","Days=T","Dir=V")</f>
        <v>0</v>
      </c>
      <c r="S2">
        <f>BDH("SNTVQ US Equity","BS_ACCT_NOTE_RCV","1993-06-18","1998-06-18","Per=Y","Days=T","Dir=V")</f>
        <v>0</v>
      </c>
      <c r="U2">
        <f>BDH("SNTVQ US Equity","BS_INVENTORIES","1993-06-18","1998-06-18","Per=Y","Days=T","Dir=V")</f>
        <v>0</v>
      </c>
      <c r="W2">
        <f>BDH("SNTVQ US Equity","WORKING_CAPITAL","1993-06-18","1998-06-18","Per=Y","Days=T","Dir=V")</f>
        <v>0</v>
      </c>
      <c r="Y2">
        <f>BDH("SNTVQ US Equity","SALES_REV_TURN","1993-06-18","1998-06-18","Per=Y","Days=T","Dir=V")</f>
        <v>0</v>
      </c>
      <c r="AA2">
        <f>BDH("SNTVQ US Equity","EBIT","1993-06-18","1998-06-18","Per=Y","Days=T","Dir=V")</f>
        <v>0</v>
      </c>
      <c r="AC2">
        <f>BDH("SNTVQ US Equity","EBITDA","1993-06-18","1998-06-18","Per=Y","Days=T","Dir=V")</f>
        <v>0</v>
      </c>
      <c r="AE2">
        <f>BDH("SNTVQ US Equity","NET_INCOME","1993-06-18","1998-06-18","Per=Y","Days=T","Dir=V")</f>
        <v>0</v>
      </c>
      <c r="AG2">
        <f>BDH("SNTVQ US Equity","IS_INT_EXPENSE","1993-06-18","1998-06-18","Per=Y","Days=T","Dir=V")</f>
        <v>0</v>
      </c>
      <c r="AI2">
        <f>BDH("SNTVQ US Equity","IS_DEPR_EXP","1993-06-18","1998-06-18","Per=Y","Days=T","Dir=V")</f>
        <v>0</v>
      </c>
      <c r="AK2">
        <f>BDH("SNTVQ US Equity","CF_CASH_FROM_OPER","1993-06-18","1998-06-18","Per=Y","Days=T","Dir=V")</f>
        <v>0</v>
      </c>
      <c r="AM2">
        <f>BDH("SNTVQ US Equity","CAPITAL_EXPEND","1993-06-18","1998-06-18","Per=Y","Days=T","Dir=V")</f>
        <v>0</v>
      </c>
      <c r="AO2">
        <f>BDH("SNTVQ US Equity","CF_FREE_CASH_FLOW","1993-06-18","1998-06-18","Per=Y","Days=T","Dir=V")</f>
        <v>0</v>
      </c>
      <c r="AQ2">
        <f>BDH("SNTVQ US Equity","PX_LAST","1993-06-18","1998-06-18","Per=M","Days=T","Dir=V")</f>
        <v>0</v>
      </c>
      <c r="AS2">
        <f>BDH("SNTVQ US Equity","CUR_MKT_CAP","1993-06-18","1998-06-18","Per=M","Days=T","Dir=V")</f>
        <v>0</v>
      </c>
      <c r="AU2">
        <f>BDH("SNTVQ US Equity","EQY_SH_OUT","1993-06-18","1998-06-18","Per=M","Days=T","Dir=V")</f>
        <v>0</v>
      </c>
      <c r="AW2">
        <f>BDH("SNTVQ US Equity","PX_VOLUME","1993-06-18","1998-06-18","Per=M","Days=T","Dir=V")</f>
        <v>0</v>
      </c>
      <c r="AY2">
        <f>BDH("SNTVQ US Equity","TURNOVER","1993-06-18","1998-06-18","Per=M","Days=T","Dir=V")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BDH("BCHXQ US Equity","BS_TOT_ASSET","1993-07-07","1998-07-07","Per=Y","Days=T","Dir=V")</f>
        <v>0</v>
      </c>
      <c r="C2">
        <f>BDH("BCHXQ US Equity","BS_TOT_LIAB2","1993-07-07","1998-07-07","Per=Y","Days=T","Dir=V")</f>
        <v>0</v>
      </c>
      <c r="E2">
        <f>BDH("BCHXQ US Equity","SHORT_AND_LONG_TERM_DEBT","1993-07-07","1998-07-07","Per=Y","Days=T","Dir=V")</f>
        <v>0</v>
      </c>
      <c r="G2">
        <f>BDH("BCHXQ US Equity","BS_ST_BORROW","1993-07-07","1998-07-07","Per=Y","Days=T","Dir=V")</f>
        <v>0</v>
      </c>
      <c r="I2">
        <f>BDH("BCHXQ US Equity","BS_LT_BORROW","1993-07-07","1998-07-07","Per=Y","Days=T","Dir=V")</f>
        <v>0</v>
      </c>
      <c r="K2">
        <f>BDH("BCHXQ US Equity","BS_CASH_NEAR_CASH_ITEM","1993-07-07","1998-07-07","Per=Y","Days=T","Dir=V")</f>
        <v>0</v>
      </c>
      <c r="M2">
        <f>BDH("BCHXQ US Equity","BS_CUR_ASSET_REPORT","1993-07-07","1998-07-07","Per=Y","Days=T","Dir=V")</f>
        <v>0</v>
      </c>
      <c r="O2">
        <f>BDH("BCHXQ US Equity","BS_CUR_LIAB","1993-07-07","1998-07-07","Per=Y","Days=T","Dir=V")</f>
        <v>0</v>
      </c>
      <c r="Q2">
        <f>BDH("BCHXQ US Equity","BS_SHAREHOLDER_EQY_ENDING_PERIOD","1993-07-07","1998-07-07","Per=Y","Days=T","Dir=V")</f>
        <v>0</v>
      </c>
      <c r="S2">
        <f>BDH("BCHXQ US Equity","BS_ACCT_NOTE_RCV","1993-07-07","1998-07-07","Per=Y","Days=T","Dir=V")</f>
        <v>0</v>
      </c>
      <c r="U2">
        <f>BDH("BCHXQ US Equity","BS_INVENTORIES","1993-07-07","1998-07-07","Per=Y","Days=T","Dir=V")</f>
        <v>0</v>
      </c>
      <c r="W2">
        <f>BDH("BCHXQ US Equity","WORKING_CAPITAL","1993-07-07","1998-07-07","Per=Y","Days=T","Dir=V")</f>
        <v>0</v>
      </c>
      <c r="Y2">
        <f>BDH("BCHXQ US Equity","SALES_REV_TURN","1993-07-07","1998-07-07","Per=Y","Days=T","Dir=V")</f>
        <v>0</v>
      </c>
      <c r="AA2">
        <f>BDH("BCHXQ US Equity","EBIT","1993-07-07","1998-07-07","Per=Y","Days=T","Dir=V")</f>
        <v>0</v>
      </c>
      <c r="AC2">
        <f>BDH("BCHXQ US Equity","EBITDA","1993-07-07","1998-07-07","Per=Y","Days=T","Dir=V")</f>
        <v>0</v>
      </c>
      <c r="AE2">
        <f>BDH("BCHXQ US Equity","NET_INCOME","1993-07-07","1998-07-07","Per=Y","Days=T","Dir=V")</f>
        <v>0</v>
      </c>
      <c r="AG2">
        <f>BDH("BCHXQ US Equity","IS_INT_EXPENSE","1993-07-07","1998-07-07","Per=Y","Days=T","Dir=V")</f>
        <v>0</v>
      </c>
      <c r="AI2">
        <f>BDH("BCHXQ US Equity","IS_DEPR_EXP","1993-07-07","1998-07-07","Per=Y","Days=T","Dir=V")</f>
        <v>0</v>
      </c>
      <c r="AK2">
        <f>BDH("BCHXQ US Equity","CF_CASH_FROM_OPER","1993-07-07","1998-07-07","Per=Y","Days=T","Dir=V")</f>
        <v>0</v>
      </c>
      <c r="AM2">
        <f>BDH("BCHXQ US Equity","CAPITAL_EXPEND","1993-07-07","1998-07-07","Per=Y","Days=T","Dir=V")</f>
        <v>0</v>
      </c>
      <c r="AO2">
        <f>BDH("BCHXQ US Equity","CF_FREE_CASH_FLOW","1993-07-07","1998-07-07","Per=Y","Days=T","Dir=V")</f>
        <v>0</v>
      </c>
      <c r="AQ2">
        <f>BDH("BCHXQ US Equity","PX_LAST","1993-07-07","1998-07-07","Per=M","Days=T","Dir=V")</f>
        <v>0</v>
      </c>
      <c r="AS2">
        <f>BDH("BCHXQ US Equity","CUR_MKT_CAP","1993-07-07","1998-07-07","Per=M","Days=T","Dir=V")</f>
        <v>0</v>
      </c>
      <c r="AU2">
        <f>BDH("BCHXQ US Equity","EQY_SH_OUT","1993-07-07","1998-07-07","Per=M","Days=T","Dir=V")</f>
        <v>0</v>
      </c>
      <c r="AW2">
        <f>BDH("BCHXQ US Equity","PX_VOLUME","1993-07-07","1998-07-07","Per=M","Days=T","Dir=V")</f>
        <v>0</v>
      </c>
      <c r="AY2">
        <f>BDH("BCHXQ US Equity","TURNOVER","1993-07-07","1998-07-07","Per=M","Days=T","Dir=V")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BDH("JSIBQ US Equity","BS_TOT_ASSET","1993-09-28","1998-09-28","Per=Y","Days=T","Dir=V")</f>
        <v>0</v>
      </c>
      <c r="C2">
        <f>BDH("JSIBQ US Equity","BS_TOT_LIAB2","1993-09-28","1998-09-28","Per=Y","Days=T","Dir=V")</f>
        <v>0</v>
      </c>
      <c r="E2">
        <f>BDH("JSIBQ US Equity","SHORT_AND_LONG_TERM_DEBT","1993-09-28","1998-09-28","Per=Y","Days=T","Dir=V")</f>
        <v>0</v>
      </c>
      <c r="G2">
        <f>BDH("JSIBQ US Equity","BS_ST_BORROW","1993-09-28","1998-09-28","Per=Y","Days=T","Dir=V")</f>
        <v>0</v>
      </c>
      <c r="I2">
        <f>BDH("JSIBQ US Equity","BS_LT_BORROW","1993-09-28","1998-09-28","Per=Y","Days=T","Dir=V")</f>
        <v>0</v>
      </c>
      <c r="K2">
        <f>BDH("JSIBQ US Equity","BS_CASH_NEAR_CASH_ITEM","1993-09-28","1998-09-28","Per=Y","Days=T","Dir=V")</f>
        <v>0</v>
      </c>
      <c r="M2">
        <f>BDH("JSIBQ US Equity","BS_CUR_ASSET_REPORT","1993-09-28","1998-09-28","Per=Y","Days=T","Dir=V")</f>
        <v>0</v>
      </c>
      <c r="O2">
        <f>BDH("JSIBQ US Equity","BS_CUR_LIAB","1993-09-28","1998-09-28","Per=Y","Days=T","Dir=V")</f>
        <v>0</v>
      </c>
      <c r="Q2">
        <f>BDH("JSIBQ US Equity","BS_SHAREHOLDER_EQY_ENDING_PERIOD","1993-09-28","1998-09-28","Per=Y","Days=T","Dir=V")</f>
        <v>0</v>
      </c>
      <c r="S2">
        <f>BDH("JSIBQ US Equity","BS_ACCT_NOTE_RCV","1993-09-28","1998-09-28","Per=Y","Days=T","Dir=V")</f>
        <v>0</v>
      </c>
      <c r="U2">
        <f>BDH("JSIBQ US Equity","BS_INVENTORIES","1993-09-28","1998-09-28","Per=Y","Days=T","Dir=V")</f>
        <v>0</v>
      </c>
      <c r="W2">
        <f>BDH("JSIBQ US Equity","WORKING_CAPITAL","1993-09-28","1998-09-28","Per=Y","Days=T","Dir=V")</f>
        <v>0</v>
      </c>
      <c r="Y2">
        <f>BDH("JSIBQ US Equity","SALES_REV_TURN","1993-09-28","1998-09-28","Per=Y","Days=T","Dir=V")</f>
        <v>0</v>
      </c>
      <c r="AA2">
        <f>BDH("JSIBQ US Equity","EBIT","1993-09-28","1998-09-28","Per=Y","Days=T","Dir=V")</f>
        <v>0</v>
      </c>
      <c r="AC2">
        <f>BDH("JSIBQ US Equity","EBITDA","1993-09-28","1998-09-28","Per=Y","Days=T","Dir=V")</f>
        <v>0</v>
      </c>
      <c r="AE2">
        <f>BDH("JSIBQ US Equity","NET_INCOME","1993-09-28","1998-09-28","Per=Y","Days=T","Dir=V")</f>
        <v>0</v>
      </c>
      <c r="AG2">
        <f>BDH("JSIBQ US Equity","IS_INT_EXPENSE","1993-09-28","1998-09-28","Per=Y","Days=T","Dir=V")</f>
        <v>0</v>
      </c>
      <c r="AI2">
        <f>BDH("JSIBQ US Equity","IS_DEPR_EXP","1993-09-28","1998-09-28","Per=Y","Days=T","Dir=V")</f>
        <v>0</v>
      </c>
      <c r="AK2">
        <f>BDH("JSIBQ US Equity","CF_CASH_FROM_OPER","1993-09-28","1998-09-28","Per=Y","Days=T","Dir=V")</f>
        <v>0</v>
      </c>
      <c r="AM2">
        <f>BDH("JSIBQ US Equity","CAPITAL_EXPEND","1993-09-28","1998-09-28","Per=Y","Days=T","Dir=V")</f>
        <v>0</v>
      </c>
      <c r="AO2">
        <f>BDH("JSIBQ US Equity","CF_FREE_CASH_FLOW","1993-09-28","1998-09-28","Per=Y","Days=T","Dir=V")</f>
        <v>0</v>
      </c>
      <c r="AQ2">
        <f>BDH("JSIBQ US Equity","PX_LAST","1993-09-28","1998-09-28","Per=M","Days=T","Dir=V")</f>
        <v>0</v>
      </c>
      <c r="AS2">
        <f>BDH("JSIBQ US Equity","CUR_MKT_CAP","1993-09-28","1998-09-28","Per=M","Days=T","Dir=V")</f>
        <v>0</v>
      </c>
      <c r="AU2">
        <f>BDH("JSIBQ US Equity","EQY_SH_OUT","1993-09-28","1998-09-28","Per=M","Days=T","Dir=V")</f>
        <v>0</v>
      </c>
      <c r="AW2">
        <f>BDH("JSIBQ US Equity","PX_VOLUME","1993-09-28","1998-09-28","Per=M","Days=T","Dir=V")</f>
        <v>0</v>
      </c>
      <c r="AY2">
        <f>BDH("JSIBQ US Equity","TURNOVER","1993-09-28","1998-09-28","Per=M","Days=T","Dir=V")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BDH("2777116Q US Equity","BS_TOT_ASSET","1993-09-30","1998-09-30","Per=Y","Days=T","Dir=V")</f>
        <v>0</v>
      </c>
      <c r="C2">
        <f>BDH("2777116Q US Equity","BS_TOT_LIAB2","1993-09-30","1998-09-30","Per=Y","Days=T","Dir=V")</f>
        <v>0</v>
      </c>
      <c r="E2">
        <f>BDH("2777116Q US Equity","SHORT_AND_LONG_TERM_DEBT","1993-09-30","1998-09-30","Per=Y","Days=T","Dir=V")</f>
        <v>0</v>
      </c>
      <c r="G2">
        <f>BDH("2777116Q US Equity","BS_ST_BORROW","1993-09-30","1998-09-30","Per=Y","Days=T","Dir=V")</f>
        <v>0</v>
      </c>
      <c r="I2">
        <f>BDH("2777116Q US Equity","BS_LT_BORROW","1993-09-30","1998-09-30","Per=Y","Days=T","Dir=V")</f>
        <v>0</v>
      </c>
      <c r="K2">
        <f>BDH("2777116Q US Equity","BS_CASH_NEAR_CASH_ITEM","1993-09-30","1998-09-30","Per=Y","Days=T","Dir=V")</f>
        <v>0</v>
      </c>
      <c r="M2">
        <f>BDH("2777116Q US Equity","BS_CUR_ASSET_REPORT","1993-09-30","1998-09-30","Per=Y","Days=T","Dir=V")</f>
        <v>0</v>
      </c>
      <c r="O2">
        <f>BDH("2777116Q US Equity","BS_CUR_LIAB","1993-09-30","1998-09-30","Per=Y","Days=T","Dir=V")</f>
        <v>0</v>
      </c>
      <c r="Q2">
        <f>BDH("2777116Q US Equity","BS_SHAREHOLDER_EQY_ENDING_PERIOD","1993-09-30","1998-09-30","Per=Y","Days=T","Dir=V")</f>
        <v>0</v>
      </c>
      <c r="S2">
        <f>BDH("2777116Q US Equity","BS_ACCT_NOTE_RCV","1993-09-30","1998-09-30","Per=Y","Days=T","Dir=V")</f>
        <v>0</v>
      </c>
      <c r="U2">
        <f>BDH("2777116Q US Equity","BS_INVENTORIES","1993-09-30","1998-09-30","Per=Y","Days=T","Dir=V")</f>
        <v>0</v>
      </c>
      <c r="W2">
        <f>BDH("2777116Q US Equity","WORKING_CAPITAL","1993-09-30","1998-09-30","Per=Y","Days=T","Dir=V")</f>
        <v>0</v>
      </c>
      <c r="Y2">
        <f>BDH("2777116Q US Equity","SALES_REV_TURN","1993-09-30","1998-09-30","Per=Y","Days=T","Dir=V")</f>
        <v>0</v>
      </c>
      <c r="AA2">
        <f>BDH("2777116Q US Equity","EBIT","1993-09-30","1998-09-30","Per=Y","Days=T","Dir=V")</f>
        <v>0</v>
      </c>
      <c r="AC2">
        <f>BDH("2777116Q US Equity","EBITDA","1993-09-30","1998-09-30","Per=Y","Days=T","Dir=V")</f>
        <v>0</v>
      </c>
      <c r="AE2">
        <f>BDH("2777116Q US Equity","NET_INCOME","1993-09-30","1998-09-30","Per=Y","Days=T","Dir=V")</f>
        <v>0</v>
      </c>
      <c r="AG2">
        <f>BDH("2777116Q US Equity","IS_INT_EXPENSE","1993-09-30","1998-09-30","Per=Y","Days=T","Dir=V")</f>
        <v>0</v>
      </c>
      <c r="AI2">
        <f>BDH("2777116Q US Equity","IS_DEPR_EXP","1993-09-30","1998-09-30","Per=Y","Days=T","Dir=V")</f>
        <v>0</v>
      </c>
      <c r="AK2">
        <f>BDH("2777116Q US Equity","CF_CASH_FROM_OPER","1993-09-30","1998-09-30","Per=Y","Days=T","Dir=V")</f>
        <v>0</v>
      </c>
      <c r="AM2">
        <f>BDH("2777116Q US Equity","CAPITAL_EXPEND","1993-09-30","1998-09-30","Per=Y","Days=T","Dir=V")</f>
        <v>0</v>
      </c>
      <c r="AO2">
        <f>BDH("2777116Q US Equity","CF_FREE_CASH_FLOW","1993-09-30","1998-09-30","Per=Y","Days=T","Dir=V")</f>
        <v>0</v>
      </c>
      <c r="AQ2">
        <f>BDH("2777116Q US Equity","PX_LAST","1993-09-30","1998-09-30","Per=M","Days=T","Dir=V")</f>
        <v>0</v>
      </c>
      <c r="AS2">
        <f>BDH("2777116Q US Equity","CUR_MKT_CAP","1993-09-30","1998-09-30","Per=M","Days=T","Dir=V")</f>
        <v>0</v>
      </c>
      <c r="AU2">
        <f>BDH("2777116Q US Equity","EQY_SH_OUT","1993-09-30","1998-09-30","Per=M","Days=T","Dir=V")</f>
        <v>0</v>
      </c>
      <c r="AW2">
        <f>BDH("2777116Q US Equity","PX_VOLUME","1993-09-30","1998-09-30","Per=M","Days=T","Dir=V")</f>
        <v>0</v>
      </c>
      <c r="AY2">
        <f>BDH("2777116Q US Equity","TURNOVER","1993-09-30","1998-09-30","Per=M","Days=T","Dir=V")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BDH("WIRLQ US Equity","BS_TOT_ASSET","1993-11-13","1998-11-13","Per=Y","Days=T","Dir=V")</f>
        <v>0</v>
      </c>
      <c r="C2">
        <f>BDH("WIRLQ US Equity","BS_TOT_LIAB2","1993-11-13","1998-11-13","Per=Y","Days=T","Dir=V")</f>
        <v>0</v>
      </c>
      <c r="E2">
        <f>BDH("WIRLQ US Equity","SHORT_AND_LONG_TERM_DEBT","1993-11-13","1998-11-13","Per=Y","Days=T","Dir=V")</f>
        <v>0</v>
      </c>
      <c r="G2">
        <f>BDH("WIRLQ US Equity","BS_ST_BORROW","1993-11-13","1998-11-13","Per=Y","Days=T","Dir=V")</f>
        <v>0</v>
      </c>
      <c r="I2">
        <f>BDH("WIRLQ US Equity","BS_LT_BORROW","1993-11-13","1998-11-13","Per=Y","Days=T","Dir=V")</f>
        <v>0</v>
      </c>
      <c r="K2">
        <f>BDH("WIRLQ US Equity","BS_CASH_NEAR_CASH_ITEM","1993-11-13","1998-11-13","Per=Y","Days=T","Dir=V")</f>
        <v>0</v>
      </c>
      <c r="M2">
        <f>BDH("WIRLQ US Equity","BS_CUR_ASSET_REPORT","1993-11-13","1998-11-13","Per=Y","Days=T","Dir=V")</f>
        <v>0</v>
      </c>
      <c r="O2">
        <f>BDH("WIRLQ US Equity","BS_CUR_LIAB","1993-11-13","1998-11-13","Per=Y","Days=T","Dir=V")</f>
        <v>0</v>
      </c>
      <c r="Q2">
        <f>BDH("WIRLQ US Equity","BS_SHAREHOLDER_EQY_ENDING_PERIOD","1993-11-13","1998-11-13","Per=Y","Days=T","Dir=V")</f>
        <v>0</v>
      </c>
      <c r="S2">
        <f>BDH("WIRLQ US Equity","BS_ACCT_NOTE_RCV","1993-11-13","1998-11-13","Per=Y","Days=T","Dir=V")</f>
        <v>0</v>
      </c>
      <c r="U2">
        <f>BDH("WIRLQ US Equity","BS_INVENTORIES","1993-11-13","1998-11-13","Per=Y","Days=T","Dir=V")</f>
        <v>0</v>
      </c>
      <c r="W2">
        <f>BDH("WIRLQ US Equity","WORKING_CAPITAL","1993-11-13","1998-11-13","Per=Y","Days=T","Dir=V")</f>
        <v>0</v>
      </c>
      <c r="Y2">
        <f>BDH("WIRLQ US Equity","SALES_REV_TURN","1993-11-13","1998-11-13","Per=Y","Days=T","Dir=V")</f>
        <v>0</v>
      </c>
      <c r="AA2">
        <f>BDH("WIRLQ US Equity","EBIT","1993-11-13","1998-11-13","Per=Y","Days=T","Dir=V")</f>
        <v>0</v>
      </c>
      <c r="AC2">
        <f>BDH("WIRLQ US Equity","EBITDA","1993-11-13","1998-11-13","Per=Y","Days=T","Dir=V")</f>
        <v>0</v>
      </c>
      <c r="AE2">
        <f>BDH("WIRLQ US Equity","NET_INCOME","1993-11-13","1998-11-13","Per=Y","Days=T","Dir=V")</f>
        <v>0</v>
      </c>
      <c r="AG2">
        <f>BDH("WIRLQ US Equity","IS_INT_EXPENSE","1993-11-13","1998-11-13","Per=Y","Days=T","Dir=V")</f>
        <v>0</v>
      </c>
      <c r="AI2">
        <f>BDH("WIRLQ US Equity","IS_DEPR_EXP","1993-11-13","1998-11-13","Per=Y","Days=T","Dir=V")</f>
        <v>0</v>
      </c>
      <c r="AK2">
        <f>BDH("WIRLQ US Equity","CF_CASH_FROM_OPER","1993-11-13","1998-11-13","Per=Y","Days=T","Dir=V")</f>
        <v>0</v>
      </c>
      <c r="AM2">
        <f>BDH("WIRLQ US Equity","CAPITAL_EXPEND","1993-11-13","1998-11-13","Per=Y","Days=T","Dir=V")</f>
        <v>0</v>
      </c>
      <c r="AO2">
        <f>BDH("WIRLQ US Equity","CF_FREE_CASH_FLOW","1993-11-13","1998-11-13","Per=Y","Days=T","Dir=V")</f>
        <v>0</v>
      </c>
      <c r="AQ2">
        <f>BDH("WIRLQ US Equity","PX_LAST","1993-11-13","1998-11-13","Per=M","Days=T","Dir=V")</f>
        <v>0</v>
      </c>
      <c r="AS2">
        <f>BDH("WIRLQ US Equity","CUR_MKT_CAP","1993-11-13","1998-11-13","Per=M","Days=T","Dir=V")</f>
        <v>0</v>
      </c>
      <c r="AU2">
        <f>BDH("WIRLQ US Equity","EQY_SH_OUT","1993-11-13","1998-11-13","Per=M","Days=T","Dir=V")</f>
        <v>0</v>
      </c>
      <c r="AW2">
        <f>BDH("WIRLQ US Equity","PX_VOLUME","1993-11-13","1998-11-13","Per=M","Days=T","Dir=V")</f>
        <v>0</v>
      </c>
      <c r="AY2">
        <f>BDH("WIRLQ US Equity","TURNOVER","1993-11-13","1998-11-13","Per=M","Days=T","Dir=V")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BDH("PNFTQ US Equity","BS_TOT_ASSET","1993-12-01","1998-12-01","Per=Y","Days=T","Dir=V")</f>
        <v>0</v>
      </c>
      <c r="C2">
        <f>BDH("PNFTQ US Equity","BS_TOT_LIAB2","1993-12-01","1998-12-01","Per=Y","Days=T","Dir=V")</f>
        <v>0</v>
      </c>
      <c r="E2">
        <f>BDH("PNFTQ US Equity","SHORT_AND_LONG_TERM_DEBT","1993-12-01","1998-12-01","Per=Y","Days=T","Dir=V")</f>
        <v>0</v>
      </c>
      <c r="G2">
        <f>BDH("PNFTQ US Equity","BS_ST_BORROW","1993-12-01","1998-12-01","Per=Y","Days=T","Dir=V")</f>
        <v>0</v>
      </c>
      <c r="I2">
        <f>BDH("PNFTQ US Equity","BS_LT_BORROW","1993-12-01","1998-12-01","Per=Y","Days=T","Dir=V")</f>
        <v>0</v>
      </c>
      <c r="K2">
        <f>BDH("PNFTQ US Equity","BS_CASH_NEAR_CASH_ITEM","1993-12-01","1998-12-01","Per=Y","Days=T","Dir=V")</f>
        <v>0</v>
      </c>
      <c r="M2">
        <f>BDH("PNFTQ US Equity","BS_CUR_ASSET_REPORT","1993-12-01","1998-12-01","Per=Y","Days=T","Dir=V")</f>
        <v>0</v>
      </c>
      <c r="O2">
        <f>BDH("PNFTQ US Equity","BS_CUR_LIAB","1993-12-01","1998-12-01","Per=Y","Days=T","Dir=V")</f>
        <v>0</v>
      </c>
      <c r="Q2">
        <f>BDH("PNFTQ US Equity","BS_SHAREHOLDER_EQY_ENDING_PERIOD","1993-12-01","1998-12-01","Per=Y","Days=T","Dir=V")</f>
        <v>0</v>
      </c>
      <c r="S2">
        <f>BDH("PNFTQ US Equity","BS_ACCT_NOTE_RCV","1993-12-01","1998-12-01","Per=Y","Days=T","Dir=V")</f>
        <v>0</v>
      </c>
      <c r="U2">
        <f>BDH("PNFTQ US Equity","BS_INVENTORIES","1993-12-01","1998-12-01","Per=Y","Days=T","Dir=V")</f>
        <v>0</v>
      </c>
      <c r="W2">
        <f>BDH("PNFTQ US Equity","WORKING_CAPITAL","1993-12-01","1998-12-01","Per=Y","Days=T","Dir=V")</f>
        <v>0</v>
      </c>
      <c r="Y2">
        <f>BDH("PNFTQ US Equity","SALES_REV_TURN","1993-12-01","1998-12-01","Per=Y","Days=T","Dir=V")</f>
        <v>0</v>
      </c>
      <c r="AA2">
        <f>BDH("PNFTQ US Equity","EBIT","1993-12-01","1998-12-01","Per=Y","Days=T","Dir=V")</f>
        <v>0</v>
      </c>
      <c r="AC2">
        <f>BDH("PNFTQ US Equity","EBITDA","1993-12-01","1998-12-01","Per=Y","Days=T","Dir=V")</f>
        <v>0</v>
      </c>
      <c r="AE2">
        <f>BDH("PNFTQ US Equity","NET_INCOME","1993-12-01","1998-12-01","Per=Y","Days=T","Dir=V")</f>
        <v>0</v>
      </c>
      <c r="AG2">
        <f>BDH("PNFTQ US Equity","IS_INT_EXPENSE","1993-12-01","1998-12-01","Per=Y","Days=T","Dir=V")</f>
        <v>0</v>
      </c>
      <c r="AI2">
        <f>BDH("PNFTQ US Equity","IS_DEPR_EXP","1993-12-01","1998-12-01","Per=Y","Days=T","Dir=V")</f>
        <v>0</v>
      </c>
      <c r="AK2">
        <f>BDH("PNFTQ US Equity","CF_CASH_FROM_OPER","1993-12-01","1998-12-01","Per=Y","Days=T","Dir=V")</f>
        <v>0</v>
      </c>
      <c r="AM2">
        <f>BDH("PNFTQ US Equity","CAPITAL_EXPEND","1993-12-01","1998-12-01","Per=Y","Days=T","Dir=V")</f>
        <v>0</v>
      </c>
      <c r="AO2">
        <f>BDH("PNFTQ US Equity","CF_FREE_CASH_FLOW","1993-12-01","1998-12-01","Per=Y","Days=T","Dir=V")</f>
        <v>0</v>
      </c>
      <c r="AQ2">
        <f>BDH("PNFTQ US Equity","PX_LAST","1993-12-01","1998-12-01","Per=M","Days=T","Dir=V")</f>
        <v>0</v>
      </c>
      <c r="AS2">
        <f>BDH("PNFTQ US Equity","CUR_MKT_CAP","1993-12-01","1998-12-01","Per=M","Days=T","Dir=V")</f>
        <v>0</v>
      </c>
      <c r="AU2">
        <f>BDH("PNFTQ US Equity","EQY_SH_OUT","1993-12-01","1998-12-01","Per=M","Days=T","Dir=V")</f>
        <v>0</v>
      </c>
      <c r="AW2">
        <f>BDH("PNFTQ US Equity","PX_VOLUME","1993-12-01","1998-12-01","Per=M","Days=T","Dir=V")</f>
        <v>0</v>
      </c>
      <c r="AY2">
        <f>BDH("PNFTQ US Equity","TURNOVER","1993-12-01","1998-12-01","Per=M","Days=T","Dir=V")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BDH("SVCDQ US Equity","BS_TOT_ASSET","1993-12-15","1998-12-15","Per=Y","Days=T","Dir=V")</f>
        <v>0</v>
      </c>
      <c r="C2">
        <f>BDH("SVCDQ US Equity","BS_TOT_LIAB2","1993-12-15","1998-12-15","Per=Y","Days=T","Dir=V")</f>
        <v>0</v>
      </c>
      <c r="E2">
        <f>BDH("SVCDQ US Equity","SHORT_AND_LONG_TERM_DEBT","1993-12-15","1998-12-15","Per=Y","Days=T","Dir=V")</f>
        <v>0</v>
      </c>
      <c r="G2">
        <f>BDH("SVCDQ US Equity","BS_ST_BORROW","1993-12-15","1998-12-15","Per=Y","Days=T","Dir=V")</f>
        <v>0</v>
      </c>
      <c r="I2">
        <f>BDH("SVCDQ US Equity","BS_LT_BORROW","1993-12-15","1998-12-15","Per=Y","Days=T","Dir=V")</f>
        <v>0</v>
      </c>
      <c r="K2">
        <f>BDH("SVCDQ US Equity","BS_CASH_NEAR_CASH_ITEM","1993-12-15","1998-12-15","Per=Y","Days=T","Dir=V")</f>
        <v>0</v>
      </c>
      <c r="M2">
        <f>BDH("SVCDQ US Equity","BS_CUR_ASSET_REPORT","1993-12-15","1998-12-15","Per=Y","Days=T","Dir=V")</f>
        <v>0</v>
      </c>
      <c r="O2">
        <f>BDH("SVCDQ US Equity","BS_CUR_LIAB","1993-12-15","1998-12-15","Per=Y","Days=T","Dir=V")</f>
        <v>0</v>
      </c>
      <c r="Q2">
        <f>BDH("SVCDQ US Equity","BS_SHAREHOLDER_EQY_ENDING_PERIOD","1993-12-15","1998-12-15","Per=Y","Days=T","Dir=V")</f>
        <v>0</v>
      </c>
      <c r="S2">
        <f>BDH("SVCDQ US Equity","BS_ACCT_NOTE_RCV","1993-12-15","1998-12-15","Per=Y","Days=T","Dir=V")</f>
        <v>0</v>
      </c>
      <c r="U2">
        <f>BDH("SVCDQ US Equity","BS_INVENTORIES","1993-12-15","1998-12-15","Per=Y","Days=T","Dir=V")</f>
        <v>0</v>
      </c>
      <c r="W2">
        <f>BDH("SVCDQ US Equity","WORKING_CAPITAL","1993-12-15","1998-12-15","Per=Y","Days=T","Dir=V")</f>
        <v>0</v>
      </c>
      <c r="Y2">
        <f>BDH("SVCDQ US Equity","SALES_REV_TURN","1993-12-15","1998-12-15","Per=Y","Days=T","Dir=V")</f>
        <v>0</v>
      </c>
      <c r="AA2">
        <f>BDH("SVCDQ US Equity","EBIT","1993-12-15","1998-12-15","Per=Y","Days=T","Dir=V")</f>
        <v>0</v>
      </c>
      <c r="AC2">
        <f>BDH("SVCDQ US Equity","EBITDA","1993-12-15","1998-12-15","Per=Y","Days=T","Dir=V")</f>
        <v>0</v>
      </c>
      <c r="AE2">
        <f>BDH("SVCDQ US Equity","NET_INCOME","1993-12-15","1998-12-15","Per=Y","Days=T","Dir=V")</f>
        <v>0</v>
      </c>
      <c r="AG2">
        <f>BDH("SVCDQ US Equity","IS_INT_EXPENSE","1993-12-15","1998-12-15","Per=Y","Days=T","Dir=V")</f>
        <v>0</v>
      </c>
      <c r="AI2">
        <f>BDH("SVCDQ US Equity","IS_DEPR_EXP","1993-12-15","1998-12-15","Per=Y","Days=T","Dir=V")</f>
        <v>0</v>
      </c>
      <c r="AK2">
        <f>BDH("SVCDQ US Equity","CF_CASH_FROM_OPER","1993-12-15","1998-12-15","Per=Y","Days=T","Dir=V")</f>
        <v>0</v>
      </c>
      <c r="AM2">
        <f>BDH("SVCDQ US Equity","CAPITAL_EXPEND","1993-12-15","1998-12-15","Per=Y","Days=T","Dir=V")</f>
        <v>0</v>
      </c>
      <c r="AO2">
        <f>BDH("SVCDQ US Equity","CF_FREE_CASH_FLOW","1993-12-15","1998-12-15","Per=Y","Days=T","Dir=V")</f>
        <v>0</v>
      </c>
      <c r="AQ2">
        <f>BDH("SVCDQ US Equity","PX_LAST","1993-12-15","1998-12-15","Per=M","Days=T","Dir=V")</f>
        <v>0</v>
      </c>
      <c r="AS2">
        <f>BDH("SVCDQ US Equity","CUR_MKT_CAP","1993-12-15","1998-12-15","Per=M","Days=T","Dir=V")</f>
        <v>0</v>
      </c>
      <c r="AU2">
        <f>BDH("SVCDQ US Equity","EQY_SH_OUT","1993-12-15","1998-12-15","Per=M","Days=T","Dir=V")</f>
        <v>0</v>
      </c>
      <c r="AW2">
        <f>BDH("SVCDQ US Equity","PX_VOLUME","1993-12-15","1998-12-15","Per=M","Days=T","Dir=V")</f>
        <v>0</v>
      </c>
      <c r="AY2">
        <f>BDH("SVCDQ US Equity","TURNOVER","1993-12-15","1998-12-15","Per=M","Days=T","Dir=V")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BDH("COSEQ US Equity","BS_TOT_ASSET","1994-06-05","1999-06-05","Per=Y","Days=T","Dir=V")</f>
        <v>0</v>
      </c>
      <c r="C2">
        <f>BDH("COSEQ US Equity","BS_TOT_LIAB2","1994-06-05","1999-06-05","Per=Y","Days=T","Dir=V")</f>
        <v>0</v>
      </c>
      <c r="E2">
        <f>BDH("COSEQ US Equity","SHORT_AND_LONG_TERM_DEBT","1994-06-05","1999-06-05","Per=Y","Days=T","Dir=V")</f>
        <v>0</v>
      </c>
      <c r="G2">
        <f>BDH("COSEQ US Equity","BS_ST_BORROW","1994-06-05","1999-06-05","Per=Y","Days=T","Dir=V")</f>
        <v>0</v>
      </c>
      <c r="I2">
        <f>BDH("COSEQ US Equity","BS_LT_BORROW","1994-06-05","1999-06-05","Per=Y","Days=T","Dir=V")</f>
        <v>0</v>
      </c>
      <c r="K2">
        <f>BDH("COSEQ US Equity","BS_CASH_NEAR_CASH_ITEM","1994-06-05","1999-06-05","Per=Y","Days=T","Dir=V")</f>
        <v>0</v>
      </c>
      <c r="M2">
        <f>BDH("COSEQ US Equity","BS_CUR_ASSET_REPORT","1994-06-05","1999-06-05","Per=Y","Days=T","Dir=V")</f>
        <v>0</v>
      </c>
      <c r="O2">
        <f>BDH("COSEQ US Equity","BS_CUR_LIAB","1994-06-05","1999-06-05","Per=Y","Days=T","Dir=V")</f>
        <v>0</v>
      </c>
      <c r="Q2">
        <f>BDH("COSEQ US Equity","BS_SHAREHOLDER_EQY_ENDING_PERIOD","1994-06-05","1999-06-05","Per=Y","Days=T","Dir=V")</f>
        <v>0</v>
      </c>
      <c r="S2">
        <f>BDH("COSEQ US Equity","BS_ACCT_NOTE_RCV","1994-06-05","1999-06-05","Per=Y","Days=T","Dir=V")</f>
        <v>0</v>
      </c>
      <c r="U2">
        <f>BDH("COSEQ US Equity","BS_INVENTORIES","1994-06-05","1999-06-05","Per=Y","Days=T","Dir=V")</f>
        <v>0</v>
      </c>
      <c r="W2">
        <f>BDH("COSEQ US Equity","WORKING_CAPITAL","1994-06-05","1999-06-05","Per=Y","Days=T","Dir=V")</f>
        <v>0</v>
      </c>
      <c r="Y2">
        <f>BDH("COSEQ US Equity","SALES_REV_TURN","1994-06-05","1999-06-05","Per=Y","Days=T","Dir=V")</f>
        <v>0</v>
      </c>
      <c r="AA2">
        <f>BDH("COSEQ US Equity","EBIT","1994-06-05","1999-06-05","Per=Y","Days=T","Dir=V")</f>
        <v>0</v>
      </c>
      <c r="AC2">
        <f>BDH("COSEQ US Equity","EBITDA","1994-06-05","1999-06-05","Per=Y","Days=T","Dir=V")</f>
        <v>0</v>
      </c>
      <c r="AE2">
        <f>BDH("COSEQ US Equity","NET_INCOME","1994-06-05","1999-06-05","Per=Y","Days=T","Dir=V")</f>
        <v>0</v>
      </c>
      <c r="AG2">
        <f>BDH("COSEQ US Equity","IS_INT_EXPENSE","1994-06-05","1999-06-05","Per=Y","Days=T","Dir=V")</f>
        <v>0</v>
      </c>
      <c r="AI2">
        <f>BDH("COSEQ US Equity","IS_DEPR_EXP","1994-06-05","1999-06-05","Per=Y","Days=T","Dir=V")</f>
        <v>0</v>
      </c>
      <c r="AK2">
        <f>BDH("COSEQ US Equity","CF_CASH_FROM_OPER","1994-06-05","1999-06-05","Per=Y","Days=T","Dir=V")</f>
        <v>0</v>
      </c>
      <c r="AM2">
        <f>BDH("COSEQ US Equity","CAPITAL_EXPEND","1994-06-05","1999-06-05","Per=Y","Days=T","Dir=V")</f>
        <v>0</v>
      </c>
      <c r="AO2">
        <f>BDH("COSEQ US Equity","CF_FREE_CASH_FLOW","1994-06-05","1999-06-05","Per=Y","Days=T","Dir=V")</f>
        <v>0</v>
      </c>
      <c r="AQ2">
        <f>BDH("COSEQ US Equity","PX_LAST","1994-06-05","1999-06-05","Per=M","Days=T","Dir=V")</f>
        <v>0</v>
      </c>
      <c r="AS2">
        <f>BDH("COSEQ US Equity","CUR_MKT_CAP","1994-06-05","1999-06-05","Per=M","Days=T","Dir=V")</f>
        <v>0</v>
      </c>
      <c r="AU2">
        <f>BDH("COSEQ US Equity","EQY_SH_OUT","1994-06-05","1999-06-05","Per=M","Days=T","Dir=V")</f>
        <v>0</v>
      </c>
      <c r="AW2">
        <f>BDH("COSEQ US Equity","PX_VOLUME","1994-06-05","1999-06-05","Per=M","Days=T","Dir=V")</f>
        <v>0</v>
      </c>
      <c r="AY2">
        <f>BDH("COSEQ US Equity","TURNOVER","1994-06-05","1999-06-05","Per=M","Days=T","Dir=V")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BDH("2471671D US Equity","BS_TOT_ASSET","1994-06-18","1999-06-18","Per=Y","Days=T","Dir=V")</f>
        <v>0</v>
      </c>
      <c r="C2">
        <f>BDH("2471671D US Equity","BS_TOT_LIAB2","1994-06-18","1999-06-18","Per=Y","Days=T","Dir=V")</f>
        <v>0</v>
      </c>
      <c r="E2">
        <f>BDH("2471671D US Equity","SHORT_AND_LONG_TERM_DEBT","1994-06-18","1999-06-18","Per=Y","Days=T","Dir=V")</f>
        <v>0</v>
      </c>
      <c r="G2">
        <f>BDH("2471671D US Equity","BS_ST_BORROW","1994-06-18","1999-06-18","Per=Y","Days=T","Dir=V")</f>
        <v>0</v>
      </c>
      <c r="I2">
        <f>BDH("2471671D US Equity","BS_LT_BORROW","1994-06-18","1999-06-18","Per=Y","Days=T","Dir=V")</f>
        <v>0</v>
      </c>
      <c r="K2">
        <f>BDH("2471671D US Equity","BS_CASH_NEAR_CASH_ITEM","1994-06-18","1999-06-18","Per=Y","Days=T","Dir=V")</f>
        <v>0</v>
      </c>
      <c r="M2">
        <f>BDH("2471671D US Equity","BS_CUR_ASSET_REPORT","1994-06-18","1999-06-18","Per=Y","Days=T","Dir=V")</f>
        <v>0</v>
      </c>
      <c r="O2">
        <f>BDH("2471671D US Equity","BS_CUR_LIAB","1994-06-18","1999-06-18","Per=Y","Days=T","Dir=V")</f>
        <v>0</v>
      </c>
      <c r="Q2">
        <f>BDH("2471671D US Equity","BS_SHAREHOLDER_EQY_ENDING_PERIOD","1994-06-18","1999-06-18","Per=Y","Days=T","Dir=V")</f>
        <v>0</v>
      </c>
      <c r="S2">
        <f>BDH("2471671D US Equity","BS_ACCT_NOTE_RCV","1994-06-18","1999-06-18","Per=Y","Days=T","Dir=V")</f>
        <v>0</v>
      </c>
      <c r="U2">
        <f>BDH("2471671D US Equity","BS_INVENTORIES","1994-06-18","1999-06-18","Per=Y","Days=T","Dir=V")</f>
        <v>0</v>
      </c>
      <c r="W2">
        <f>BDH("2471671D US Equity","WORKING_CAPITAL","1994-06-18","1999-06-18","Per=Y","Days=T","Dir=V")</f>
        <v>0</v>
      </c>
      <c r="Y2">
        <f>BDH("2471671D US Equity","SALES_REV_TURN","1994-06-18","1999-06-18","Per=Y","Days=T","Dir=V")</f>
        <v>0</v>
      </c>
      <c r="AA2">
        <f>BDH("2471671D US Equity","EBIT","1994-06-18","1999-06-18","Per=Y","Days=T","Dir=V")</f>
        <v>0</v>
      </c>
      <c r="AC2">
        <f>BDH("2471671D US Equity","EBITDA","1994-06-18","1999-06-18","Per=Y","Days=T","Dir=V")</f>
        <v>0</v>
      </c>
      <c r="AE2">
        <f>BDH("2471671D US Equity","NET_INCOME","1994-06-18","1999-06-18","Per=Y","Days=T","Dir=V")</f>
        <v>0</v>
      </c>
      <c r="AG2">
        <f>BDH("2471671D US Equity","IS_INT_EXPENSE","1994-06-18","1999-06-18","Per=Y","Days=T","Dir=V")</f>
        <v>0</v>
      </c>
      <c r="AI2">
        <f>BDH("2471671D US Equity","IS_DEPR_EXP","1994-06-18","1999-06-18","Per=Y","Days=T","Dir=V")</f>
        <v>0</v>
      </c>
      <c r="AK2">
        <f>BDH("2471671D US Equity","CF_CASH_FROM_OPER","1994-06-18","1999-06-18","Per=Y","Days=T","Dir=V")</f>
        <v>0</v>
      </c>
      <c r="AM2">
        <f>BDH("2471671D US Equity","CAPITAL_EXPEND","1994-06-18","1999-06-18","Per=Y","Days=T","Dir=V")</f>
        <v>0</v>
      </c>
      <c r="AO2">
        <f>BDH("2471671D US Equity","CF_FREE_CASH_FLOW","1994-06-18","1999-06-18","Per=Y","Days=T","Dir=V")</f>
        <v>0</v>
      </c>
      <c r="AQ2">
        <f>BDH("2471671D US Equity","PX_LAST","1994-06-18","1999-06-18","Per=M","Days=T","Dir=V")</f>
        <v>0</v>
      </c>
      <c r="AS2">
        <f>BDH("2471671D US Equity","CUR_MKT_CAP","1994-06-18","1999-06-18","Per=M","Days=T","Dir=V")</f>
        <v>0</v>
      </c>
      <c r="AU2">
        <f>BDH("2471671D US Equity","EQY_SH_OUT","1994-06-18","1999-06-18","Per=M","Days=T","Dir=V")</f>
        <v>0</v>
      </c>
      <c r="AW2">
        <f>BDH("2471671D US Equity","PX_VOLUME","1994-06-18","1999-06-18","Per=M","Days=T","Dir=V")</f>
        <v>0</v>
      </c>
      <c r="AY2">
        <f>BDH("2471671D US Equity","TURNOVER","1994-06-18","1999-06-18","Per=M","Days=T","Dir=V")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BDH("FEETQ US Equity","BS_TOT_ASSET","1994-08-06","1999-08-06","Per=Y","Days=T","Dir=V")</f>
        <v>0</v>
      </c>
      <c r="C2">
        <f>BDH("FEETQ US Equity","BS_TOT_LIAB2","1994-08-06","1999-08-06","Per=Y","Days=T","Dir=V")</f>
        <v>0</v>
      </c>
      <c r="E2">
        <f>BDH("FEETQ US Equity","SHORT_AND_LONG_TERM_DEBT","1994-08-06","1999-08-06","Per=Y","Days=T","Dir=V")</f>
        <v>0</v>
      </c>
      <c r="G2">
        <f>BDH("FEETQ US Equity","BS_ST_BORROW","1994-08-06","1999-08-06","Per=Y","Days=T","Dir=V")</f>
        <v>0</v>
      </c>
      <c r="I2">
        <f>BDH("FEETQ US Equity","BS_LT_BORROW","1994-08-06","1999-08-06","Per=Y","Days=T","Dir=V")</f>
        <v>0</v>
      </c>
      <c r="K2">
        <f>BDH("FEETQ US Equity","BS_CASH_NEAR_CASH_ITEM","1994-08-06","1999-08-06","Per=Y","Days=T","Dir=V")</f>
        <v>0</v>
      </c>
      <c r="M2">
        <f>BDH("FEETQ US Equity","BS_CUR_ASSET_REPORT","1994-08-06","1999-08-06","Per=Y","Days=T","Dir=V")</f>
        <v>0</v>
      </c>
      <c r="O2">
        <f>BDH("FEETQ US Equity","BS_CUR_LIAB","1994-08-06","1999-08-06","Per=Y","Days=T","Dir=V")</f>
        <v>0</v>
      </c>
      <c r="Q2">
        <f>BDH("FEETQ US Equity","BS_SHAREHOLDER_EQY_ENDING_PERIOD","1994-08-06","1999-08-06","Per=Y","Days=T","Dir=V")</f>
        <v>0</v>
      </c>
      <c r="S2">
        <f>BDH("FEETQ US Equity","BS_ACCT_NOTE_RCV","1994-08-06","1999-08-06","Per=Y","Days=T","Dir=V")</f>
        <v>0</v>
      </c>
      <c r="U2">
        <f>BDH("FEETQ US Equity","BS_INVENTORIES","1994-08-06","1999-08-06","Per=Y","Days=T","Dir=V")</f>
        <v>0</v>
      </c>
      <c r="W2">
        <f>BDH("FEETQ US Equity","WORKING_CAPITAL","1994-08-06","1999-08-06","Per=Y","Days=T","Dir=V")</f>
        <v>0</v>
      </c>
      <c r="Y2">
        <f>BDH("FEETQ US Equity","SALES_REV_TURN","1994-08-06","1999-08-06","Per=Y","Days=T","Dir=V")</f>
        <v>0</v>
      </c>
      <c r="AA2">
        <f>BDH("FEETQ US Equity","EBIT","1994-08-06","1999-08-06","Per=Y","Days=T","Dir=V")</f>
        <v>0</v>
      </c>
      <c r="AC2">
        <f>BDH("FEETQ US Equity","EBITDA","1994-08-06","1999-08-06","Per=Y","Days=T","Dir=V")</f>
        <v>0</v>
      </c>
      <c r="AE2">
        <f>BDH("FEETQ US Equity","NET_INCOME","1994-08-06","1999-08-06","Per=Y","Days=T","Dir=V")</f>
        <v>0</v>
      </c>
      <c r="AG2">
        <f>BDH("FEETQ US Equity","IS_INT_EXPENSE","1994-08-06","1999-08-06","Per=Y","Days=T","Dir=V")</f>
        <v>0</v>
      </c>
      <c r="AI2">
        <f>BDH("FEETQ US Equity","IS_DEPR_EXP","1994-08-06","1999-08-06","Per=Y","Days=T","Dir=V")</f>
        <v>0</v>
      </c>
      <c r="AK2">
        <f>BDH("FEETQ US Equity","CF_CASH_FROM_OPER","1994-08-06","1999-08-06","Per=Y","Days=T","Dir=V")</f>
        <v>0</v>
      </c>
      <c r="AM2">
        <f>BDH("FEETQ US Equity","CAPITAL_EXPEND","1994-08-06","1999-08-06","Per=Y","Days=T","Dir=V")</f>
        <v>0</v>
      </c>
      <c r="AO2">
        <f>BDH("FEETQ US Equity","CF_FREE_CASH_FLOW","1994-08-06","1999-08-06","Per=Y","Days=T","Dir=V")</f>
        <v>0</v>
      </c>
      <c r="AQ2">
        <f>BDH("FEETQ US Equity","PX_LAST","1994-08-06","1999-08-06","Per=M","Days=T","Dir=V")</f>
        <v>0</v>
      </c>
      <c r="AS2">
        <f>BDH("FEETQ US Equity","CUR_MKT_CAP","1994-08-06","1999-08-06","Per=M","Days=T","Dir=V")</f>
        <v>0</v>
      </c>
      <c r="AU2">
        <f>BDH("FEETQ US Equity","EQY_SH_OUT","1994-08-06","1999-08-06","Per=M","Days=T","Dir=V")</f>
        <v>0</v>
      </c>
      <c r="AW2">
        <f>BDH("FEETQ US Equity","PX_VOLUME","1994-08-06","1999-08-06","Per=M","Days=T","Dir=V")</f>
        <v>0</v>
      </c>
      <c r="AY2">
        <f>BDH("FEETQ US Equity","TURNOVER","1994-08-06","1999-08-06","Per=M","Days=T","Dir=V")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BDH("TLTXQ US Equity","BS_TOT_ASSET","1994-09-04","1999-09-04","Per=Y","Days=T","Dir=V")</f>
        <v>0</v>
      </c>
      <c r="C2">
        <f>BDH("TLTXQ US Equity","BS_TOT_LIAB2","1994-09-04","1999-09-04","Per=Y","Days=T","Dir=V")</f>
        <v>0</v>
      </c>
      <c r="E2">
        <f>BDH("TLTXQ US Equity","SHORT_AND_LONG_TERM_DEBT","1994-09-04","1999-09-04","Per=Y","Days=T","Dir=V")</f>
        <v>0</v>
      </c>
      <c r="G2">
        <f>BDH("TLTXQ US Equity","BS_ST_BORROW","1994-09-04","1999-09-04","Per=Y","Days=T","Dir=V")</f>
        <v>0</v>
      </c>
      <c r="I2">
        <f>BDH("TLTXQ US Equity","BS_LT_BORROW","1994-09-04","1999-09-04","Per=Y","Days=T","Dir=V")</f>
        <v>0</v>
      </c>
      <c r="K2">
        <f>BDH("TLTXQ US Equity","BS_CASH_NEAR_CASH_ITEM","1994-09-04","1999-09-04","Per=Y","Days=T","Dir=V")</f>
        <v>0</v>
      </c>
      <c r="M2">
        <f>BDH("TLTXQ US Equity","BS_CUR_ASSET_REPORT","1994-09-04","1999-09-04","Per=Y","Days=T","Dir=V")</f>
        <v>0</v>
      </c>
      <c r="O2">
        <f>BDH("TLTXQ US Equity","BS_CUR_LIAB","1994-09-04","1999-09-04","Per=Y","Days=T","Dir=V")</f>
        <v>0</v>
      </c>
      <c r="Q2">
        <f>BDH("TLTXQ US Equity","BS_SHAREHOLDER_EQY_ENDING_PERIOD","1994-09-04","1999-09-04","Per=Y","Days=T","Dir=V")</f>
        <v>0</v>
      </c>
      <c r="S2">
        <f>BDH("TLTXQ US Equity","BS_ACCT_NOTE_RCV","1994-09-04","1999-09-04","Per=Y","Days=T","Dir=V")</f>
        <v>0</v>
      </c>
      <c r="U2">
        <f>BDH("TLTXQ US Equity","BS_INVENTORIES","1994-09-04","1999-09-04","Per=Y","Days=T","Dir=V")</f>
        <v>0</v>
      </c>
      <c r="W2">
        <f>BDH("TLTXQ US Equity","WORKING_CAPITAL","1994-09-04","1999-09-04","Per=Y","Days=T","Dir=V")</f>
        <v>0</v>
      </c>
      <c r="Y2">
        <f>BDH("TLTXQ US Equity","SALES_REV_TURN","1994-09-04","1999-09-04","Per=Y","Days=T","Dir=V")</f>
        <v>0</v>
      </c>
      <c r="AA2">
        <f>BDH("TLTXQ US Equity","EBIT","1994-09-04","1999-09-04","Per=Y","Days=T","Dir=V")</f>
        <v>0</v>
      </c>
      <c r="AC2">
        <f>BDH("TLTXQ US Equity","EBITDA","1994-09-04","1999-09-04","Per=Y","Days=T","Dir=V")</f>
        <v>0</v>
      </c>
      <c r="AE2">
        <f>BDH("TLTXQ US Equity","NET_INCOME","1994-09-04","1999-09-04","Per=Y","Days=T","Dir=V")</f>
        <v>0</v>
      </c>
      <c r="AG2">
        <f>BDH("TLTXQ US Equity","IS_INT_EXPENSE","1994-09-04","1999-09-04","Per=Y","Days=T","Dir=V")</f>
        <v>0</v>
      </c>
      <c r="AI2">
        <f>BDH("TLTXQ US Equity","IS_DEPR_EXP","1994-09-04","1999-09-04","Per=Y","Days=T","Dir=V")</f>
        <v>0</v>
      </c>
      <c r="AK2">
        <f>BDH("TLTXQ US Equity","CF_CASH_FROM_OPER","1994-09-04","1999-09-04","Per=Y","Days=T","Dir=V")</f>
        <v>0</v>
      </c>
      <c r="AM2">
        <f>BDH("TLTXQ US Equity","CAPITAL_EXPEND","1994-09-04","1999-09-04","Per=Y","Days=T","Dir=V")</f>
        <v>0</v>
      </c>
      <c r="AO2">
        <f>BDH("TLTXQ US Equity","CF_FREE_CASH_FLOW","1994-09-04","1999-09-04","Per=Y","Days=T","Dir=V")</f>
        <v>0</v>
      </c>
      <c r="AQ2">
        <f>BDH("TLTXQ US Equity","PX_LAST","1994-09-04","1999-09-04","Per=M","Days=T","Dir=V")</f>
        <v>0</v>
      </c>
      <c r="AS2">
        <f>BDH("TLTXQ US Equity","CUR_MKT_CAP","1994-09-04","1999-09-04","Per=M","Days=T","Dir=V")</f>
        <v>0</v>
      </c>
      <c r="AU2">
        <f>BDH("TLTXQ US Equity","EQY_SH_OUT","1994-09-04","1999-09-04","Per=M","Days=T","Dir=V")</f>
        <v>0</v>
      </c>
      <c r="AW2">
        <f>BDH("TLTXQ US Equity","PX_VOLUME","1994-09-04","1999-09-04","Per=M","Days=T","Dir=V")</f>
        <v>0</v>
      </c>
      <c r="AY2">
        <f>BDH("TLTXQ US Equity","TURNOVER","1994-09-04","1999-09-04","Per=M","Days=T","Dir=V")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BDH("ABNTQ US Equity","BS_TOT_ASSET","1994-09-09","1999-09-09","Per=Y","Days=T","Dir=V")</f>
        <v>0</v>
      </c>
      <c r="C2">
        <f>BDH("ABNTQ US Equity","BS_TOT_LIAB2","1994-09-09","1999-09-09","Per=Y","Days=T","Dir=V")</f>
        <v>0</v>
      </c>
      <c r="E2">
        <f>BDH("ABNTQ US Equity","SHORT_AND_LONG_TERM_DEBT","1994-09-09","1999-09-09","Per=Y","Days=T","Dir=V")</f>
        <v>0</v>
      </c>
      <c r="G2">
        <f>BDH("ABNTQ US Equity","BS_ST_BORROW","1994-09-09","1999-09-09","Per=Y","Days=T","Dir=V")</f>
        <v>0</v>
      </c>
      <c r="I2">
        <f>BDH("ABNTQ US Equity","BS_LT_BORROW","1994-09-09","1999-09-09","Per=Y","Days=T","Dir=V")</f>
        <v>0</v>
      </c>
      <c r="K2">
        <f>BDH("ABNTQ US Equity","BS_CASH_NEAR_CASH_ITEM","1994-09-09","1999-09-09","Per=Y","Days=T","Dir=V")</f>
        <v>0</v>
      </c>
      <c r="M2">
        <f>BDH("ABNTQ US Equity","BS_CUR_ASSET_REPORT","1994-09-09","1999-09-09","Per=Y","Days=T","Dir=V")</f>
        <v>0</v>
      </c>
      <c r="O2">
        <f>BDH("ABNTQ US Equity","BS_CUR_LIAB","1994-09-09","1999-09-09","Per=Y","Days=T","Dir=V")</f>
        <v>0</v>
      </c>
      <c r="Q2">
        <f>BDH("ABNTQ US Equity","BS_SHAREHOLDER_EQY_ENDING_PERIOD","1994-09-09","1999-09-09","Per=Y","Days=T","Dir=V")</f>
        <v>0</v>
      </c>
      <c r="S2">
        <f>BDH("ABNTQ US Equity","BS_ACCT_NOTE_RCV","1994-09-09","1999-09-09","Per=Y","Days=T","Dir=V")</f>
        <v>0</v>
      </c>
      <c r="U2">
        <f>BDH("ABNTQ US Equity","BS_INVENTORIES","1994-09-09","1999-09-09","Per=Y","Days=T","Dir=V")</f>
        <v>0</v>
      </c>
      <c r="W2">
        <f>BDH("ABNTQ US Equity","WORKING_CAPITAL","1994-09-09","1999-09-09","Per=Y","Days=T","Dir=V")</f>
        <v>0</v>
      </c>
      <c r="Y2">
        <f>BDH("ABNTQ US Equity","SALES_REV_TURN","1994-09-09","1999-09-09","Per=Y","Days=T","Dir=V")</f>
        <v>0</v>
      </c>
      <c r="AA2">
        <f>BDH("ABNTQ US Equity","EBIT","1994-09-09","1999-09-09","Per=Y","Days=T","Dir=V")</f>
        <v>0</v>
      </c>
      <c r="AC2">
        <f>BDH("ABNTQ US Equity","EBITDA","1994-09-09","1999-09-09","Per=Y","Days=T","Dir=V")</f>
        <v>0</v>
      </c>
      <c r="AE2">
        <f>BDH("ABNTQ US Equity","NET_INCOME","1994-09-09","1999-09-09","Per=Y","Days=T","Dir=V")</f>
        <v>0</v>
      </c>
      <c r="AG2">
        <f>BDH("ABNTQ US Equity","IS_INT_EXPENSE","1994-09-09","1999-09-09","Per=Y","Days=T","Dir=V")</f>
        <v>0</v>
      </c>
      <c r="AI2">
        <f>BDH("ABNTQ US Equity","IS_DEPR_EXP","1994-09-09","1999-09-09","Per=Y","Days=T","Dir=V")</f>
        <v>0</v>
      </c>
      <c r="AK2">
        <f>BDH("ABNTQ US Equity","CF_CASH_FROM_OPER","1994-09-09","1999-09-09","Per=Y","Days=T","Dir=V")</f>
        <v>0</v>
      </c>
      <c r="AM2">
        <f>BDH("ABNTQ US Equity","CAPITAL_EXPEND","1994-09-09","1999-09-09","Per=Y","Days=T","Dir=V")</f>
        <v>0</v>
      </c>
      <c r="AO2">
        <f>BDH("ABNTQ US Equity","CF_FREE_CASH_FLOW","1994-09-09","1999-09-09","Per=Y","Days=T","Dir=V")</f>
        <v>0</v>
      </c>
      <c r="AQ2">
        <f>BDH("ABNTQ US Equity","PX_LAST","1994-09-09","1999-09-09","Per=M","Days=T","Dir=V")</f>
        <v>0</v>
      </c>
      <c r="AS2">
        <f>BDH("ABNTQ US Equity","CUR_MKT_CAP","1994-09-09","1999-09-09","Per=M","Days=T","Dir=V")</f>
        <v>0</v>
      </c>
      <c r="AU2">
        <f>BDH("ABNTQ US Equity","EQY_SH_OUT","1994-09-09","1999-09-09","Per=M","Days=T","Dir=V")</f>
        <v>0</v>
      </c>
      <c r="AW2">
        <f>BDH("ABNTQ US Equity","PX_VOLUME","1994-09-09","1999-09-09","Per=M","Days=T","Dir=V")</f>
        <v>0</v>
      </c>
      <c r="AY2">
        <f>BDH("ABNTQ US Equity","TURNOVER","1994-09-09","1999-09-09","Per=M","Days=T","Dir=V")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BDH("MPANQ US Equity","BS_TOT_ASSET","1994-10-20","1999-10-20","Per=Y","Days=T","Dir=V")</f>
        <v>0</v>
      </c>
      <c r="C2">
        <f>BDH("MPANQ US Equity","BS_TOT_LIAB2","1994-10-20","1999-10-20","Per=Y","Days=T","Dir=V")</f>
        <v>0</v>
      </c>
      <c r="E2">
        <f>BDH("MPANQ US Equity","SHORT_AND_LONG_TERM_DEBT","1994-10-20","1999-10-20","Per=Y","Days=T","Dir=V")</f>
        <v>0</v>
      </c>
      <c r="G2">
        <f>BDH("MPANQ US Equity","BS_ST_BORROW","1994-10-20","1999-10-20","Per=Y","Days=T","Dir=V")</f>
        <v>0</v>
      </c>
      <c r="I2">
        <f>BDH("MPANQ US Equity","BS_LT_BORROW","1994-10-20","1999-10-20","Per=Y","Days=T","Dir=V")</f>
        <v>0</v>
      </c>
      <c r="K2">
        <f>BDH("MPANQ US Equity","BS_CASH_NEAR_CASH_ITEM","1994-10-20","1999-10-20","Per=Y","Days=T","Dir=V")</f>
        <v>0</v>
      </c>
      <c r="M2">
        <f>BDH("MPANQ US Equity","BS_CUR_ASSET_REPORT","1994-10-20","1999-10-20","Per=Y","Days=T","Dir=V")</f>
        <v>0</v>
      </c>
      <c r="O2">
        <f>BDH("MPANQ US Equity","BS_CUR_LIAB","1994-10-20","1999-10-20","Per=Y","Days=T","Dir=V")</f>
        <v>0</v>
      </c>
      <c r="Q2">
        <f>BDH("MPANQ US Equity","BS_SHAREHOLDER_EQY_ENDING_PERIOD","1994-10-20","1999-10-20","Per=Y","Days=T","Dir=V")</f>
        <v>0</v>
      </c>
      <c r="S2">
        <f>BDH("MPANQ US Equity","BS_ACCT_NOTE_RCV","1994-10-20","1999-10-20","Per=Y","Days=T","Dir=V")</f>
        <v>0</v>
      </c>
      <c r="U2">
        <f>BDH("MPANQ US Equity","BS_INVENTORIES","1994-10-20","1999-10-20","Per=Y","Days=T","Dir=V")</f>
        <v>0</v>
      </c>
      <c r="W2">
        <f>BDH("MPANQ US Equity","WORKING_CAPITAL","1994-10-20","1999-10-20","Per=Y","Days=T","Dir=V")</f>
        <v>0</v>
      </c>
      <c r="Y2">
        <f>BDH("MPANQ US Equity","SALES_REV_TURN","1994-10-20","1999-10-20","Per=Y","Days=T","Dir=V")</f>
        <v>0</v>
      </c>
      <c r="AA2">
        <f>BDH("MPANQ US Equity","EBIT","1994-10-20","1999-10-20","Per=Y","Days=T","Dir=V")</f>
        <v>0</v>
      </c>
      <c r="AC2">
        <f>BDH("MPANQ US Equity","EBITDA","1994-10-20","1999-10-20","Per=Y","Days=T","Dir=V")</f>
        <v>0</v>
      </c>
      <c r="AE2">
        <f>BDH("MPANQ US Equity","NET_INCOME","1994-10-20","1999-10-20","Per=Y","Days=T","Dir=V")</f>
        <v>0</v>
      </c>
      <c r="AG2">
        <f>BDH("MPANQ US Equity","IS_INT_EXPENSE","1994-10-20","1999-10-20","Per=Y","Days=T","Dir=V")</f>
        <v>0</v>
      </c>
      <c r="AI2">
        <f>BDH("MPANQ US Equity","IS_DEPR_EXP","1994-10-20","1999-10-20","Per=Y","Days=T","Dir=V")</f>
        <v>0</v>
      </c>
      <c r="AK2">
        <f>BDH("MPANQ US Equity","CF_CASH_FROM_OPER","1994-10-20","1999-10-20","Per=Y","Days=T","Dir=V")</f>
        <v>0</v>
      </c>
      <c r="AM2">
        <f>BDH("MPANQ US Equity","CAPITAL_EXPEND","1994-10-20","1999-10-20","Per=Y","Days=T","Dir=V")</f>
        <v>0</v>
      </c>
      <c r="AO2">
        <f>BDH("MPANQ US Equity","CF_FREE_CASH_FLOW","1994-10-20","1999-10-20","Per=Y","Days=T","Dir=V")</f>
        <v>0</v>
      </c>
      <c r="AQ2">
        <f>BDH("MPANQ US Equity","PX_LAST","1994-10-20","1999-10-20","Per=M","Days=T","Dir=V")</f>
        <v>0</v>
      </c>
      <c r="AS2">
        <f>BDH("MPANQ US Equity","CUR_MKT_CAP","1994-10-20","1999-10-20","Per=M","Days=T","Dir=V")</f>
        <v>0</v>
      </c>
      <c r="AU2">
        <f>BDH("MPANQ US Equity","EQY_SH_OUT","1994-10-20","1999-10-20","Per=M","Days=T","Dir=V")</f>
        <v>0</v>
      </c>
      <c r="AW2">
        <f>BDH("MPANQ US Equity","PX_VOLUME","1994-10-20","1999-10-20","Per=M","Days=T","Dir=V")</f>
        <v>0</v>
      </c>
      <c r="AY2">
        <f>BDH("MPANQ US Equity","TURNOVER","1994-10-20","1999-10-20","Per=M","Days=T","Dir=V")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BDH("KHKH US Equity","BS_TOT_ASSET","1995-02-01","2000-02-01","Per=Y","Days=T","Dir=V")</f>
        <v>0</v>
      </c>
      <c r="C2">
        <f>BDH("KHKH US Equity","BS_TOT_LIAB2","1995-02-01","2000-02-01","Per=Y","Days=T","Dir=V")</f>
        <v>0</v>
      </c>
      <c r="E2">
        <f>BDH("KHKH US Equity","SHORT_AND_LONG_TERM_DEBT","1995-02-01","2000-02-01","Per=Y","Days=T","Dir=V")</f>
        <v>0</v>
      </c>
      <c r="G2">
        <f>BDH("KHKH US Equity","BS_ST_BORROW","1995-02-01","2000-02-01","Per=Y","Days=T","Dir=V")</f>
        <v>0</v>
      </c>
      <c r="I2">
        <f>BDH("KHKH US Equity","BS_LT_BORROW","1995-02-01","2000-02-01","Per=Y","Days=T","Dir=V")</f>
        <v>0</v>
      </c>
      <c r="K2">
        <f>BDH("KHKH US Equity","BS_CASH_NEAR_CASH_ITEM","1995-02-01","2000-02-01","Per=Y","Days=T","Dir=V")</f>
        <v>0</v>
      </c>
      <c r="M2">
        <f>BDH("KHKH US Equity","BS_CUR_ASSET_REPORT","1995-02-01","2000-02-01","Per=Y","Days=T","Dir=V")</f>
        <v>0</v>
      </c>
      <c r="O2">
        <f>BDH("KHKH US Equity","BS_CUR_LIAB","1995-02-01","2000-02-01","Per=Y","Days=T","Dir=V")</f>
        <v>0</v>
      </c>
      <c r="Q2">
        <f>BDH("KHKH US Equity","BS_SHAREHOLDER_EQY_ENDING_PERIOD","1995-02-01","2000-02-01","Per=Y","Days=T","Dir=V")</f>
        <v>0</v>
      </c>
      <c r="S2">
        <f>BDH("KHKH US Equity","BS_ACCT_NOTE_RCV","1995-02-01","2000-02-01","Per=Y","Days=T","Dir=V")</f>
        <v>0</v>
      </c>
      <c r="U2">
        <f>BDH("KHKH US Equity","BS_INVENTORIES","1995-02-01","2000-02-01","Per=Y","Days=T","Dir=V")</f>
        <v>0</v>
      </c>
      <c r="W2">
        <f>BDH("KHKH US Equity","WORKING_CAPITAL","1995-02-01","2000-02-01","Per=Y","Days=T","Dir=V")</f>
        <v>0</v>
      </c>
      <c r="Y2">
        <f>BDH("KHKH US Equity","SALES_REV_TURN","1995-02-01","2000-02-01","Per=Y","Days=T","Dir=V")</f>
        <v>0</v>
      </c>
      <c r="AA2">
        <f>BDH("KHKH US Equity","EBIT","1995-02-01","2000-02-01","Per=Y","Days=T","Dir=V")</f>
        <v>0</v>
      </c>
      <c r="AC2">
        <f>BDH("KHKH US Equity","EBITDA","1995-02-01","2000-02-01","Per=Y","Days=T","Dir=V")</f>
        <v>0</v>
      </c>
      <c r="AE2">
        <f>BDH("KHKH US Equity","NET_INCOME","1995-02-01","2000-02-01","Per=Y","Days=T","Dir=V")</f>
        <v>0</v>
      </c>
      <c r="AG2">
        <f>BDH("KHKH US Equity","IS_INT_EXPENSE","1995-02-01","2000-02-01","Per=Y","Days=T","Dir=V")</f>
        <v>0</v>
      </c>
      <c r="AI2">
        <f>BDH("KHKH US Equity","IS_DEPR_EXP","1995-02-01","2000-02-01","Per=Y","Days=T","Dir=V")</f>
        <v>0</v>
      </c>
      <c r="AK2">
        <f>BDH("KHKH US Equity","CF_CASH_FROM_OPER","1995-02-01","2000-02-01","Per=Y","Days=T","Dir=V")</f>
        <v>0</v>
      </c>
      <c r="AM2">
        <f>BDH("KHKH US Equity","CAPITAL_EXPEND","1995-02-01","2000-02-01","Per=Y","Days=T","Dir=V")</f>
        <v>0</v>
      </c>
      <c r="AO2">
        <f>BDH("KHKH US Equity","CF_FREE_CASH_FLOW","1995-02-01","2000-02-01","Per=Y","Days=T","Dir=V")</f>
        <v>0</v>
      </c>
      <c r="AQ2">
        <f>BDH("KHKH US Equity","PX_LAST","1995-02-01","2000-02-01","Per=M","Days=T","Dir=V")</f>
        <v>0</v>
      </c>
      <c r="AS2">
        <f>BDH("KHKH US Equity","CUR_MKT_CAP","1995-02-01","2000-02-01","Per=M","Days=T","Dir=V")</f>
        <v>0</v>
      </c>
      <c r="AU2">
        <f>BDH("KHKH US Equity","EQY_SH_OUT","1995-02-01","2000-02-01","Per=M","Days=T","Dir=V")</f>
        <v>0</v>
      </c>
      <c r="AW2">
        <f>BDH("KHKH US Equity","PX_VOLUME","1995-02-01","2000-02-01","Per=M","Days=T","Dir=V")</f>
        <v>0</v>
      </c>
      <c r="AY2">
        <f>BDH("KHKH US Equity","TURNOVER","1995-02-01","2000-02-01","Per=M","Days=T","Dir=V")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BDH("SSAXQ US Equity","BS_TOT_ASSET","1995-02-03","2000-02-03","Per=Y","Days=T","Dir=V")</f>
        <v>0</v>
      </c>
      <c r="C2">
        <f>BDH("SSAXQ US Equity","BS_TOT_LIAB2","1995-02-03","2000-02-03","Per=Y","Days=T","Dir=V")</f>
        <v>0</v>
      </c>
      <c r="E2">
        <f>BDH("SSAXQ US Equity","SHORT_AND_LONG_TERM_DEBT","1995-02-03","2000-02-03","Per=Y","Days=T","Dir=V")</f>
        <v>0</v>
      </c>
      <c r="G2">
        <f>BDH("SSAXQ US Equity","BS_ST_BORROW","1995-02-03","2000-02-03","Per=Y","Days=T","Dir=V")</f>
        <v>0</v>
      </c>
      <c r="I2">
        <f>BDH("SSAXQ US Equity","BS_LT_BORROW","1995-02-03","2000-02-03","Per=Y","Days=T","Dir=V")</f>
        <v>0</v>
      </c>
      <c r="K2">
        <f>BDH("SSAXQ US Equity","BS_CASH_NEAR_CASH_ITEM","1995-02-03","2000-02-03","Per=Y","Days=T","Dir=V")</f>
        <v>0</v>
      </c>
      <c r="M2">
        <f>BDH("SSAXQ US Equity","BS_CUR_ASSET_REPORT","1995-02-03","2000-02-03","Per=Y","Days=T","Dir=V")</f>
        <v>0</v>
      </c>
      <c r="O2">
        <f>BDH("SSAXQ US Equity","BS_CUR_LIAB","1995-02-03","2000-02-03","Per=Y","Days=T","Dir=V")</f>
        <v>0</v>
      </c>
      <c r="Q2">
        <f>BDH("SSAXQ US Equity","BS_SHAREHOLDER_EQY_ENDING_PERIOD","1995-02-03","2000-02-03","Per=Y","Days=T","Dir=V")</f>
        <v>0</v>
      </c>
      <c r="S2">
        <f>BDH("SSAXQ US Equity","BS_ACCT_NOTE_RCV","1995-02-03","2000-02-03","Per=Y","Days=T","Dir=V")</f>
        <v>0</v>
      </c>
      <c r="U2">
        <f>BDH("SSAXQ US Equity","BS_INVENTORIES","1995-02-03","2000-02-03","Per=Y","Days=T","Dir=V")</f>
        <v>0</v>
      </c>
      <c r="W2">
        <f>BDH("SSAXQ US Equity","WORKING_CAPITAL","1995-02-03","2000-02-03","Per=Y","Days=T","Dir=V")</f>
        <v>0</v>
      </c>
      <c r="Y2">
        <f>BDH("SSAXQ US Equity","SALES_REV_TURN","1995-02-03","2000-02-03","Per=Y","Days=T","Dir=V")</f>
        <v>0</v>
      </c>
      <c r="AA2">
        <f>BDH("SSAXQ US Equity","EBIT","1995-02-03","2000-02-03","Per=Y","Days=T","Dir=V")</f>
        <v>0</v>
      </c>
      <c r="AC2">
        <f>BDH("SSAXQ US Equity","EBITDA","1995-02-03","2000-02-03","Per=Y","Days=T","Dir=V")</f>
        <v>0</v>
      </c>
      <c r="AE2">
        <f>BDH("SSAXQ US Equity","NET_INCOME","1995-02-03","2000-02-03","Per=Y","Days=T","Dir=V")</f>
        <v>0</v>
      </c>
      <c r="AG2">
        <f>BDH("SSAXQ US Equity","IS_INT_EXPENSE","1995-02-03","2000-02-03","Per=Y","Days=T","Dir=V")</f>
        <v>0</v>
      </c>
      <c r="AI2">
        <f>BDH("SSAXQ US Equity","IS_DEPR_EXP","1995-02-03","2000-02-03","Per=Y","Days=T","Dir=V")</f>
        <v>0</v>
      </c>
      <c r="AK2">
        <f>BDH("SSAXQ US Equity","CF_CASH_FROM_OPER","1995-02-03","2000-02-03","Per=Y","Days=T","Dir=V")</f>
        <v>0</v>
      </c>
      <c r="AM2">
        <f>BDH("SSAXQ US Equity","CAPITAL_EXPEND","1995-02-03","2000-02-03","Per=Y","Days=T","Dir=V")</f>
        <v>0</v>
      </c>
      <c r="AO2">
        <f>BDH("SSAXQ US Equity","CF_FREE_CASH_FLOW","1995-02-03","2000-02-03","Per=Y","Days=T","Dir=V")</f>
        <v>0</v>
      </c>
      <c r="AQ2">
        <f>BDH("SSAXQ US Equity","PX_LAST","1995-02-03","2000-02-03","Per=M","Days=T","Dir=V")</f>
        <v>0</v>
      </c>
      <c r="AS2">
        <f>BDH("SSAXQ US Equity","CUR_MKT_CAP","1995-02-03","2000-02-03","Per=M","Days=T","Dir=V")</f>
        <v>0</v>
      </c>
      <c r="AU2">
        <f>BDH("SSAXQ US Equity","EQY_SH_OUT","1995-02-03","2000-02-03","Per=M","Days=T","Dir=V")</f>
        <v>0</v>
      </c>
      <c r="AW2">
        <f>BDH("SSAXQ US Equity","PX_VOLUME","1995-02-03","2000-02-03","Per=M","Days=T","Dir=V")</f>
        <v>0</v>
      </c>
      <c r="AY2">
        <f>BDH("SSAXQ US Equity","TURNOVER","1995-02-03","2000-02-03","Per=M","Days=T","Dir=V")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BDH("CRHEQ US Equity","BS_TOT_ASSET","1995-05-10","2000-05-10","Per=Y","Days=T","Dir=V")</f>
        <v>0</v>
      </c>
      <c r="C2">
        <f>BDH("CRHEQ US Equity","BS_TOT_LIAB2","1995-05-10","2000-05-10","Per=Y","Days=T","Dir=V")</f>
        <v>0</v>
      </c>
      <c r="E2">
        <f>BDH("CRHEQ US Equity","SHORT_AND_LONG_TERM_DEBT","1995-05-10","2000-05-10","Per=Y","Days=T","Dir=V")</f>
        <v>0</v>
      </c>
      <c r="G2">
        <f>BDH("CRHEQ US Equity","BS_ST_BORROW","1995-05-10","2000-05-10","Per=Y","Days=T","Dir=V")</f>
        <v>0</v>
      </c>
      <c r="I2">
        <f>BDH("CRHEQ US Equity","BS_LT_BORROW","1995-05-10","2000-05-10","Per=Y","Days=T","Dir=V")</f>
        <v>0</v>
      </c>
      <c r="K2">
        <f>BDH("CRHEQ US Equity","BS_CASH_NEAR_CASH_ITEM","1995-05-10","2000-05-10","Per=Y","Days=T","Dir=V")</f>
        <v>0</v>
      </c>
      <c r="M2">
        <f>BDH("CRHEQ US Equity","BS_CUR_ASSET_REPORT","1995-05-10","2000-05-10","Per=Y","Days=T","Dir=V")</f>
        <v>0</v>
      </c>
      <c r="O2">
        <f>BDH("CRHEQ US Equity","BS_CUR_LIAB","1995-05-10","2000-05-10","Per=Y","Days=T","Dir=V")</f>
        <v>0</v>
      </c>
      <c r="Q2">
        <f>BDH("CRHEQ US Equity","BS_SHAREHOLDER_EQY_ENDING_PERIOD","1995-05-10","2000-05-10","Per=Y","Days=T","Dir=V")</f>
        <v>0</v>
      </c>
      <c r="S2">
        <f>BDH("CRHEQ US Equity","BS_ACCT_NOTE_RCV","1995-05-10","2000-05-10","Per=Y","Days=T","Dir=V")</f>
        <v>0</v>
      </c>
      <c r="U2">
        <f>BDH("CRHEQ US Equity","BS_INVENTORIES","1995-05-10","2000-05-10","Per=Y","Days=T","Dir=V")</f>
        <v>0</v>
      </c>
      <c r="W2">
        <f>BDH("CRHEQ US Equity","WORKING_CAPITAL","1995-05-10","2000-05-10","Per=Y","Days=T","Dir=V")</f>
        <v>0</v>
      </c>
      <c r="Y2">
        <f>BDH("CRHEQ US Equity","SALES_REV_TURN","1995-05-10","2000-05-10","Per=Y","Days=T","Dir=V")</f>
        <v>0</v>
      </c>
      <c r="AA2">
        <f>BDH("CRHEQ US Equity","EBIT","1995-05-10","2000-05-10","Per=Y","Days=T","Dir=V")</f>
        <v>0</v>
      </c>
      <c r="AC2">
        <f>BDH("CRHEQ US Equity","EBITDA","1995-05-10","2000-05-10","Per=Y","Days=T","Dir=V")</f>
        <v>0</v>
      </c>
      <c r="AE2">
        <f>BDH("CRHEQ US Equity","NET_INCOME","1995-05-10","2000-05-10","Per=Y","Days=T","Dir=V")</f>
        <v>0</v>
      </c>
      <c r="AG2">
        <f>BDH("CRHEQ US Equity","IS_INT_EXPENSE","1995-05-10","2000-05-10","Per=Y","Days=T","Dir=V")</f>
        <v>0</v>
      </c>
      <c r="AI2">
        <f>BDH("CRHEQ US Equity","IS_DEPR_EXP","1995-05-10","2000-05-10","Per=Y","Days=T","Dir=V")</f>
        <v>0</v>
      </c>
      <c r="AK2">
        <f>BDH("CRHEQ US Equity","CF_CASH_FROM_OPER","1995-05-10","2000-05-10","Per=Y","Days=T","Dir=V")</f>
        <v>0</v>
      </c>
      <c r="AM2">
        <f>BDH("CRHEQ US Equity","CAPITAL_EXPEND","1995-05-10","2000-05-10","Per=Y","Days=T","Dir=V")</f>
        <v>0</v>
      </c>
      <c r="AO2">
        <f>BDH("CRHEQ US Equity","CF_FREE_CASH_FLOW","1995-05-10","2000-05-10","Per=Y","Days=T","Dir=V")</f>
        <v>0</v>
      </c>
      <c r="AQ2">
        <f>BDH("CRHEQ US Equity","PX_LAST","1995-05-10","2000-05-10","Per=M","Days=T","Dir=V")</f>
        <v>0</v>
      </c>
      <c r="AS2">
        <f>BDH("CRHEQ US Equity","CUR_MKT_CAP","1995-05-10","2000-05-10","Per=M","Days=T","Dir=V")</f>
        <v>0</v>
      </c>
      <c r="AU2">
        <f>BDH("CRHEQ US Equity","EQY_SH_OUT","1995-05-10","2000-05-10","Per=M","Days=T","Dir=V")</f>
        <v>0</v>
      </c>
      <c r="AW2">
        <f>BDH("CRHEQ US Equity","PX_VOLUME","1995-05-10","2000-05-10","Per=M","Days=T","Dir=V")</f>
        <v>0</v>
      </c>
      <c r="AY2">
        <f>BDH("CRHEQ US Equity","TURNOVER","1995-05-10","2000-05-10","Per=M","Days=T","Dir=V")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BDH("OWENQ US Equity","BS_TOT_ASSET","1995-07-07","2000-07-07","Per=Y","Days=T","Dir=V")</f>
        <v>0</v>
      </c>
      <c r="C2">
        <f>BDH("OWENQ US Equity","BS_TOT_LIAB2","1995-07-07","2000-07-07","Per=Y","Days=T","Dir=V")</f>
        <v>0</v>
      </c>
      <c r="E2">
        <f>BDH("OWENQ US Equity","SHORT_AND_LONG_TERM_DEBT","1995-07-07","2000-07-07","Per=Y","Days=T","Dir=V")</f>
        <v>0</v>
      </c>
      <c r="G2">
        <f>BDH("OWENQ US Equity","BS_ST_BORROW","1995-07-07","2000-07-07","Per=Y","Days=T","Dir=V")</f>
        <v>0</v>
      </c>
      <c r="I2">
        <f>BDH("OWENQ US Equity","BS_LT_BORROW","1995-07-07","2000-07-07","Per=Y","Days=T","Dir=V")</f>
        <v>0</v>
      </c>
      <c r="K2">
        <f>BDH("OWENQ US Equity","BS_CASH_NEAR_CASH_ITEM","1995-07-07","2000-07-07","Per=Y","Days=T","Dir=V")</f>
        <v>0</v>
      </c>
      <c r="M2">
        <f>BDH("OWENQ US Equity","BS_CUR_ASSET_REPORT","1995-07-07","2000-07-07","Per=Y","Days=T","Dir=V")</f>
        <v>0</v>
      </c>
      <c r="O2">
        <f>BDH("OWENQ US Equity","BS_CUR_LIAB","1995-07-07","2000-07-07","Per=Y","Days=T","Dir=V")</f>
        <v>0</v>
      </c>
      <c r="Q2">
        <f>BDH("OWENQ US Equity","BS_SHAREHOLDER_EQY_ENDING_PERIOD","1995-07-07","2000-07-07","Per=Y","Days=T","Dir=V")</f>
        <v>0</v>
      </c>
      <c r="S2">
        <f>BDH("OWENQ US Equity","BS_ACCT_NOTE_RCV","1995-07-07","2000-07-07","Per=Y","Days=T","Dir=V")</f>
        <v>0</v>
      </c>
      <c r="U2">
        <f>BDH("OWENQ US Equity","BS_INVENTORIES","1995-07-07","2000-07-07","Per=Y","Days=T","Dir=V")</f>
        <v>0</v>
      </c>
      <c r="W2">
        <f>BDH("OWENQ US Equity","WORKING_CAPITAL","1995-07-07","2000-07-07","Per=Y","Days=T","Dir=V")</f>
        <v>0</v>
      </c>
      <c r="Y2">
        <f>BDH("OWENQ US Equity","SALES_REV_TURN","1995-07-07","2000-07-07","Per=Y","Days=T","Dir=V")</f>
        <v>0</v>
      </c>
      <c r="AA2">
        <f>BDH("OWENQ US Equity","EBIT","1995-07-07","2000-07-07","Per=Y","Days=T","Dir=V")</f>
        <v>0</v>
      </c>
      <c r="AC2">
        <f>BDH("OWENQ US Equity","EBITDA","1995-07-07","2000-07-07","Per=Y","Days=T","Dir=V")</f>
        <v>0</v>
      </c>
      <c r="AE2">
        <f>BDH("OWENQ US Equity","NET_INCOME","1995-07-07","2000-07-07","Per=Y","Days=T","Dir=V")</f>
        <v>0</v>
      </c>
      <c r="AG2">
        <f>BDH("OWENQ US Equity","IS_INT_EXPENSE","1995-07-07","2000-07-07","Per=Y","Days=T","Dir=V")</f>
        <v>0</v>
      </c>
      <c r="AI2">
        <f>BDH("OWENQ US Equity","IS_DEPR_EXP","1995-07-07","2000-07-07","Per=Y","Days=T","Dir=V")</f>
        <v>0</v>
      </c>
      <c r="AK2">
        <f>BDH("OWENQ US Equity","CF_CASH_FROM_OPER","1995-07-07","2000-07-07","Per=Y","Days=T","Dir=V")</f>
        <v>0</v>
      </c>
      <c r="AM2">
        <f>BDH("OWENQ US Equity","CAPITAL_EXPEND","1995-07-07","2000-07-07","Per=Y","Days=T","Dir=V")</f>
        <v>0</v>
      </c>
      <c r="AO2">
        <f>BDH("OWENQ US Equity","CF_FREE_CASH_FLOW","1995-07-07","2000-07-07","Per=Y","Days=T","Dir=V")</f>
        <v>0</v>
      </c>
      <c r="AQ2">
        <f>BDH("OWENQ US Equity","PX_LAST","1995-07-07","2000-07-07","Per=M","Days=T","Dir=V")</f>
        <v>0</v>
      </c>
      <c r="AS2">
        <f>BDH("OWENQ US Equity","CUR_MKT_CAP","1995-07-07","2000-07-07","Per=M","Days=T","Dir=V")</f>
        <v>0</v>
      </c>
      <c r="AU2">
        <f>BDH("OWENQ US Equity","EQY_SH_OUT","1995-07-07","2000-07-07","Per=M","Days=T","Dir=V")</f>
        <v>0</v>
      </c>
      <c r="AW2">
        <f>BDH("OWENQ US Equity","PX_VOLUME","1995-07-07","2000-07-07","Per=M","Days=T","Dir=V")</f>
        <v>0</v>
      </c>
      <c r="AY2">
        <f>BDH("OWENQ US Equity","TURNOVER","1995-07-07","2000-07-07","Per=M","Days=T","Dir=V")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BDH("CMDCQ US Equity","BS_TOT_ASSET","1995-08-11","2000-08-11","Per=Y","Days=T","Dir=V")</f>
        <v>0</v>
      </c>
      <c r="C2">
        <f>BDH("CMDCQ US Equity","BS_TOT_LIAB2","1995-08-11","2000-08-11","Per=Y","Days=T","Dir=V")</f>
        <v>0</v>
      </c>
      <c r="E2">
        <f>BDH("CMDCQ US Equity","SHORT_AND_LONG_TERM_DEBT","1995-08-11","2000-08-11","Per=Y","Days=T","Dir=V")</f>
        <v>0</v>
      </c>
      <c r="G2">
        <f>BDH("CMDCQ US Equity","BS_ST_BORROW","1995-08-11","2000-08-11","Per=Y","Days=T","Dir=V")</f>
        <v>0</v>
      </c>
      <c r="I2">
        <f>BDH("CMDCQ US Equity","BS_LT_BORROW","1995-08-11","2000-08-11","Per=Y","Days=T","Dir=V")</f>
        <v>0</v>
      </c>
      <c r="K2">
        <f>BDH("CMDCQ US Equity","BS_CASH_NEAR_CASH_ITEM","1995-08-11","2000-08-11","Per=Y","Days=T","Dir=V")</f>
        <v>0</v>
      </c>
      <c r="M2">
        <f>BDH("CMDCQ US Equity","BS_CUR_ASSET_REPORT","1995-08-11","2000-08-11","Per=Y","Days=T","Dir=V")</f>
        <v>0</v>
      </c>
      <c r="O2">
        <f>BDH("CMDCQ US Equity","BS_CUR_LIAB","1995-08-11","2000-08-11","Per=Y","Days=T","Dir=V")</f>
        <v>0</v>
      </c>
      <c r="Q2">
        <f>BDH("CMDCQ US Equity","BS_SHAREHOLDER_EQY_ENDING_PERIOD","1995-08-11","2000-08-11","Per=Y","Days=T","Dir=V")</f>
        <v>0</v>
      </c>
      <c r="S2">
        <f>BDH("CMDCQ US Equity","BS_ACCT_NOTE_RCV","1995-08-11","2000-08-11","Per=Y","Days=T","Dir=V")</f>
        <v>0</v>
      </c>
      <c r="U2">
        <f>BDH("CMDCQ US Equity","BS_INVENTORIES","1995-08-11","2000-08-11","Per=Y","Days=T","Dir=V")</f>
        <v>0</v>
      </c>
      <c r="W2">
        <f>BDH("CMDCQ US Equity","WORKING_CAPITAL","1995-08-11","2000-08-11","Per=Y","Days=T","Dir=V")</f>
        <v>0</v>
      </c>
      <c r="Y2">
        <f>BDH("CMDCQ US Equity","SALES_REV_TURN","1995-08-11","2000-08-11","Per=Y","Days=T","Dir=V")</f>
        <v>0</v>
      </c>
      <c r="AA2">
        <f>BDH("CMDCQ US Equity","EBIT","1995-08-11","2000-08-11","Per=Y","Days=T","Dir=V")</f>
        <v>0</v>
      </c>
      <c r="AC2">
        <f>BDH("CMDCQ US Equity","EBITDA","1995-08-11","2000-08-11","Per=Y","Days=T","Dir=V")</f>
        <v>0</v>
      </c>
      <c r="AE2">
        <f>BDH("CMDCQ US Equity","NET_INCOME","1995-08-11","2000-08-11","Per=Y","Days=T","Dir=V")</f>
        <v>0</v>
      </c>
      <c r="AG2">
        <f>BDH("CMDCQ US Equity","IS_INT_EXPENSE","1995-08-11","2000-08-11","Per=Y","Days=T","Dir=V")</f>
        <v>0</v>
      </c>
      <c r="AI2">
        <f>BDH("CMDCQ US Equity","IS_DEPR_EXP","1995-08-11","2000-08-11","Per=Y","Days=T","Dir=V")</f>
        <v>0</v>
      </c>
      <c r="AK2">
        <f>BDH("CMDCQ US Equity","CF_CASH_FROM_OPER","1995-08-11","2000-08-11","Per=Y","Days=T","Dir=V")</f>
        <v>0</v>
      </c>
      <c r="AM2">
        <f>BDH("CMDCQ US Equity","CAPITAL_EXPEND","1995-08-11","2000-08-11","Per=Y","Days=T","Dir=V")</f>
        <v>0</v>
      </c>
      <c r="AO2">
        <f>BDH("CMDCQ US Equity","CF_FREE_CASH_FLOW","1995-08-11","2000-08-11","Per=Y","Days=T","Dir=V")</f>
        <v>0</v>
      </c>
      <c r="AQ2">
        <f>BDH("CMDCQ US Equity","PX_LAST","1995-08-11","2000-08-11","Per=M","Days=T","Dir=V")</f>
        <v>0</v>
      </c>
      <c r="AS2">
        <f>BDH("CMDCQ US Equity","CUR_MKT_CAP","1995-08-11","2000-08-11","Per=M","Days=T","Dir=V")</f>
        <v>0</v>
      </c>
      <c r="AU2">
        <f>BDH("CMDCQ US Equity","EQY_SH_OUT","1995-08-11","2000-08-11","Per=M","Days=T","Dir=V")</f>
        <v>0</v>
      </c>
      <c r="AW2">
        <f>BDH("CMDCQ US Equity","PX_VOLUME","1995-08-11","2000-08-11","Per=M","Days=T","Dir=V")</f>
        <v>0</v>
      </c>
      <c r="AY2">
        <f>BDH("CMDCQ US Equity","TURNOVER","1995-08-11","2000-08-11","Per=M","Days=T","Dir=V")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BDH("603190Q US Equity","BS_TOT_ASSET","1995-08-16","2000-08-16","Per=Y","Days=T","Dir=V")</f>
        <v>0</v>
      </c>
      <c r="C2">
        <f>BDH("603190Q US Equity","BS_TOT_LIAB2","1995-08-16","2000-08-16","Per=Y","Days=T","Dir=V")</f>
        <v>0</v>
      </c>
      <c r="E2">
        <f>BDH("603190Q US Equity","SHORT_AND_LONG_TERM_DEBT","1995-08-16","2000-08-16","Per=Y","Days=T","Dir=V")</f>
        <v>0</v>
      </c>
      <c r="G2">
        <f>BDH("603190Q US Equity","BS_ST_BORROW","1995-08-16","2000-08-16","Per=Y","Days=T","Dir=V")</f>
        <v>0</v>
      </c>
      <c r="I2">
        <f>BDH("603190Q US Equity","BS_LT_BORROW","1995-08-16","2000-08-16","Per=Y","Days=T","Dir=V")</f>
        <v>0</v>
      </c>
      <c r="K2">
        <f>BDH("603190Q US Equity","BS_CASH_NEAR_CASH_ITEM","1995-08-16","2000-08-16","Per=Y","Days=T","Dir=V")</f>
        <v>0</v>
      </c>
      <c r="M2">
        <f>BDH("603190Q US Equity","BS_CUR_ASSET_REPORT","1995-08-16","2000-08-16","Per=Y","Days=T","Dir=V")</f>
        <v>0</v>
      </c>
      <c r="O2">
        <f>BDH("603190Q US Equity","BS_CUR_LIAB","1995-08-16","2000-08-16","Per=Y","Days=T","Dir=V")</f>
        <v>0</v>
      </c>
      <c r="Q2">
        <f>BDH("603190Q US Equity","BS_SHAREHOLDER_EQY_ENDING_PERIOD","1995-08-16","2000-08-16","Per=Y","Days=T","Dir=V")</f>
        <v>0</v>
      </c>
      <c r="S2">
        <f>BDH("603190Q US Equity","BS_ACCT_NOTE_RCV","1995-08-16","2000-08-16","Per=Y","Days=T","Dir=V")</f>
        <v>0</v>
      </c>
      <c r="U2">
        <f>BDH("603190Q US Equity","BS_INVENTORIES","1995-08-16","2000-08-16","Per=Y","Days=T","Dir=V")</f>
        <v>0</v>
      </c>
      <c r="W2">
        <f>BDH("603190Q US Equity","WORKING_CAPITAL","1995-08-16","2000-08-16","Per=Y","Days=T","Dir=V")</f>
        <v>0</v>
      </c>
      <c r="Y2">
        <f>BDH("603190Q US Equity","SALES_REV_TURN","1995-08-16","2000-08-16","Per=Y","Days=T","Dir=V")</f>
        <v>0</v>
      </c>
      <c r="AA2">
        <f>BDH("603190Q US Equity","EBIT","1995-08-16","2000-08-16","Per=Y","Days=T","Dir=V")</f>
        <v>0</v>
      </c>
      <c r="AC2">
        <f>BDH("603190Q US Equity","EBITDA","1995-08-16","2000-08-16","Per=Y","Days=T","Dir=V")</f>
        <v>0</v>
      </c>
      <c r="AE2">
        <f>BDH("603190Q US Equity","NET_INCOME","1995-08-16","2000-08-16","Per=Y","Days=T","Dir=V")</f>
        <v>0</v>
      </c>
      <c r="AG2">
        <f>BDH("603190Q US Equity","IS_INT_EXPENSE","1995-08-16","2000-08-16","Per=Y","Days=T","Dir=V")</f>
        <v>0</v>
      </c>
      <c r="AI2">
        <f>BDH("603190Q US Equity","IS_DEPR_EXP","1995-08-16","2000-08-16","Per=Y","Days=T","Dir=V")</f>
        <v>0</v>
      </c>
      <c r="AK2">
        <f>BDH("603190Q US Equity","CF_CASH_FROM_OPER","1995-08-16","2000-08-16","Per=Y","Days=T","Dir=V")</f>
        <v>0</v>
      </c>
      <c r="AM2">
        <f>BDH("603190Q US Equity","CAPITAL_EXPEND","1995-08-16","2000-08-16","Per=Y","Days=T","Dir=V")</f>
        <v>0</v>
      </c>
      <c r="AO2">
        <f>BDH("603190Q US Equity","CF_FREE_CASH_FLOW","1995-08-16","2000-08-16","Per=Y","Days=T","Dir=V")</f>
        <v>0</v>
      </c>
      <c r="AQ2">
        <f>BDH("603190Q US Equity","PX_LAST","1995-08-16","2000-08-16","Per=M","Days=T","Dir=V")</f>
        <v>0</v>
      </c>
      <c r="AS2">
        <f>BDH("603190Q US Equity","CUR_MKT_CAP","1995-08-16","2000-08-16","Per=M","Days=T","Dir=V")</f>
        <v>0</v>
      </c>
      <c r="AU2">
        <f>BDH("603190Q US Equity","EQY_SH_OUT","1995-08-16","2000-08-16","Per=M","Days=T","Dir=V")</f>
        <v>0</v>
      </c>
      <c r="AW2">
        <f>BDH("603190Q US Equity","PX_VOLUME","1995-08-16","2000-08-16","Per=M","Days=T","Dir=V")</f>
        <v>0</v>
      </c>
      <c r="AY2">
        <f>BDH("603190Q US Equity","TURNOVER","1995-08-16","2000-08-16","Per=M","Days=T","Dir=V")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BDH("NWSW US Equity","BS_TOT_ASSET","1995-09-20","2000-09-20","Per=Y","Days=T","Dir=V")</f>
        <v>0</v>
      </c>
      <c r="C2">
        <f>BDH("NWSW US Equity","BS_TOT_LIAB2","1995-09-20","2000-09-20","Per=Y","Days=T","Dir=V")</f>
        <v>0</v>
      </c>
      <c r="E2">
        <f>BDH("NWSW US Equity","SHORT_AND_LONG_TERM_DEBT","1995-09-20","2000-09-20","Per=Y","Days=T","Dir=V")</f>
        <v>0</v>
      </c>
      <c r="G2">
        <f>BDH("NWSW US Equity","BS_ST_BORROW","1995-09-20","2000-09-20","Per=Y","Days=T","Dir=V")</f>
        <v>0</v>
      </c>
      <c r="I2">
        <f>BDH("NWSW US Equity","BS_LT_BORROW","1995-09-20","2000-09-20","Per=Y","Days=T","Dir=V")</f>
        <v>0</v>
      </c>
      <c r="K2">
        <f>BDH("NWSW US Equity","BS_CASH_NEAR_CASH_ITEM","1995-09-20","2000-09-20","Per=Y","Days=T","Dir=V")</f>
        <v>0</v>
      </c>
      <c r="M2">
        <f>BDH("NWSW US Equity","BS_CUR_ASSET_REPORT","1995-09-20","2000-09-20","Per=Y","Days=T","Dir=V")</f>
        <v>0</v>
      </c>
      <c r="O2">
        <f>BDH("NWSW US Equity","BS_CUR_LIAB","1995-09-20","2000-09-20","Per=Y","Days=T","Dir=V")</f>
        <v>0</v>
      </c>
      <c r="Q2">
        <f>BDH("NWSW US Equity","BS_SHAREHOLDER_EQY_ENDING_PERIOD","1995-09-20","2000-09-20","Per=Y","Days=T","Dir=V")</f>
        <v>0</v>
      </c>
      <c r="S2">
        <f>BDH("NWSW US Equity","BS_ACCT_NOTE_RCV","1995-09-20","2000-09-20","Per=Y","Days=T","Dir=V")</f>
        <v>0</v>
      </c>
      <c r="U2">
        <f>BDH("NWSW US Equity","BS_INVENTORIES","1995-09-20","2000-09-20","Per=Y","Days=T","Dir=V")</f>
        <v>0</v>
      </c>
      <c r="W2">
        <f>BDH("NWSW US Equity","WORKING_CAPITAL","1995-09-20","2000-09-20","Per=Y","Days=T","Dir=V")</f>
        <v>0</v>
      </c>
      <c r="Y2">
        <f>BDH("NWSW US Equity","SALES_REV_TURN","1995-09-20","2000-09-20","Per=Y","Days=T","Dir=V")</f>
        <v>0</v>
      </c>
      <c r="AA2">
        <f>BDH("NWSW US Equity","EBIT","1995-09-20","2000-09-20","Per=Y","Days=T","Dir=V")</f>
        <v>0</v>
      </c>
      <c r="AC2">
        <f>BDH("NWSW US Equity","EBITDA","1995-09-20","2000-09-20","Per=Y","Days=T","Dir=V")</f>
        <v>0</v>
      </c>
      <c r="AE2">
        <f>BDH("NWSW US Equity","NET_INCOME","1995-09-20","2000-09-20","Per=Y","Days=T","Dir=V")</f>
        <v>0</v>
      </c>
      <c r="AG2">
        <f>BDH("NWSW US Equity","IS_INT_EXPENSE","1995-09-20","2000-09-20","Per=Y","Days=T","Dir=V")</f>
        <v>0</v>
      </c>
      <c r="AI2">
        <f>BDH("NWSW US Equity","IS_DEPR_EXP","1995-09-20","2000-09-20","Per=Y","Days=T","Dir=V")</f>
        <v>0</v>
      </c>
      <c r="AK2">
        <f>BDH("NWSW US Equity","CF_CASH_FROM_OPER","1995-09-20","2000-09-20","Per=Y","Days=T","Dir=V")</f>
        <v>0</v>
      </c>
      <c r="AM2">
        <f>BDH("NWSW US Equity","CAPITAL_EXPEND","1995-09-20","2000-09-20","Per=Y","Days=T","Dir=V")</f>
        <v>0</v>
      </c>
      <c r="AO2">
        <f>BDH("NWSW US Equity","CF_FREE_CASH_FLOW","1995-09-20","2000-09-20","Per=Y","Days=T","Dir=V")</f>
        <v>0</v>
      </c>
      <c r="AQ2">
        <f>BDH("NWSW US Equity","PX_LAST","1995-09-20","2000-09-20","Per=M","Days=T","Dir=V")</f>
        <v>0</v>
      </c>
      <c r="AS2">
        <f>BDH("NWSW US Equity","CUR_MKT_CAP","1995-09-20","2000-09-20","Per=M","Days=T","Dir=V")</f>
        <v>0</v>
      </c>
      <c r="AU2">
        <f>BDH("NWSW US Equity","EQY_SH_OUT","1995-09-20","2000-09-20","Per=M","Days=T","Dir=V")</f>
        <v>0</v>
      </c>
      <c r="AW2">
        <f>BDH("NWSW US Equity","PX_VOLUME","1995-09-20","2000-09-20","Per=M","Days=T","Dir=V")</f>
        <v>0</v>
      </c>
      <c r="AY2">
        <f>BDH("NWSW US Equity","TURNOVER","1995-09-20","2000-09-20","Per=M","Days=T","Dir=V")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BDH("PGEXQ US Equity","BS_TOT_ASSET","1995-09-30","2000-09-30","Per=Y","Days=T","Dir=V")</f>
        <v>0</v>
      </c>
      <c r="C2">
        <f>BDH("PGEXQ US Equity","BS_TOT_LIAB2","1995-09-30","2000-09-30","Per=Y","Days=T","Dir=V")</f>
        <v>0</v>
      </c>
      <c r="E2">
        <f>BDH("PGEXQ US Equity","SHORT_AND_LONG_TERM_DEBT","1995-09-30","2000-09-30","Per=Y","Days=T","Dir=V")</f>
        <v>0</v>
      </c>
      <c r="G2">
        <f>BDH("PGEXQ US Equity","BS_ST_BORROW","1995-09-30","2000-09-30","Per=Y","Days=T","Dir=V")</f>
        <v>0</v>
      </c>
      <c r="I2">
        <f>BDH("PGEXQ US Equity","BS_LT_BORROW","1995-09-30","2000-09-30","Per=Y","Days=T","Dir=V")</f>
        <v>0</v>
      </c>
      <c r="K2">
        <f>BDH("PGEXQ US Equity","BS_CASH_NEAR_CASH_ITEM","1995-09-30","2000-09-30","Per=Y","Days=T","Dir=V")</f>
        <v>0</v>
      </c>
      <c r="M2">
        <f>BDH("PGEXQ US Equity","BS_CUR_ASSET_REPORT","1995-09-30","2000-09-30","Per=Y","Days=T","Dir=V")</f>
        <v>0</v>
      </c>
      <c r="O2">
        <f>BDH("PGEXQ US Equity","BS_CUR_LIAB","1995-09-30","2000-09-30","Per=Y","Days=T","Dir=V")</f>
        <v>0</v>
      </c>
      <c r="Q2">
        <f>BDH("PGEXQ US Equity","BS_SHAREHOLDER_EQY_ENDING_PERIOD","1995-09-30","2000-09-30","Per=Y","Days=T","Dir=V")</f>
        <v>0</v>
      </c>
      <c r="S2">
        <f>BDH("PGEXQ US Equity","BS_ACCT_NOTE_RCV","1995-09-30","2000-09-30","Per=Y","Days=T","Dir=V")</f>
        <v>0</v>
      </c>
      <c r="U2">
        <f>BDH("PGEXQ US Equity","BS_INVENTORIES","1995-09-30","2000-09-30","Per=Y","Days=T","Dir=V")</f>
        <v>0</v>
      </c>
      <c r="W2">
        <f>BDH("PGEXQ US Equity","WORKING_CAPITAL","1995-09-30","2000-09-30","Per=Y","Days=T","Dir=V")</f>
        <v>0</v>
      </c>
      <c r="Y2">
        <f>BDH("PGEXQ US Equity","SALES_REV_TURN","1995-09-30","2000-09-30","Per=Y","Days=T","Dir=V")</f>
        <v>0</v>
      </c>
      <c r="AA2">
        <f>BDH("PGEXQ US Equity","EBIT","1995-09-30","2000-09-30","Per=Y","Days=T","Dir=V")</f>
        <v>0</v>
      </c>
      <c r="AC2">
        <f>BDH("PGEXQ US Equity","EBITDA","1995-09-30","2000-09-30","Per=Y","Days=T","Dir=V")</f>
        <v>0</v>
      </c>
      <c r="AE2">
        <f>BDH("PGEXQ US Equity","NET_INCOME","1995-09-30","2000-09-30","Per=Y","Days=T","Dir=V")</f>
        <v>0</v>
      </c>
      <c r="AG2">
        <f>BDH("PGEXQ US Equity","IS_INT_EXPENSE","1995-09-30","2000-09-30","Per=Y","Days=T","Dir=V")</f>
        <v>0</v>
      </c>
      <c r="AI2">
        <f>BDH("PGEXQ US Equity","IS_DEPR_EXP","1995-09-30","2000-09-30","Per=Y","Days=T","Dir=V")</f>
        <v>0</v>
      </c>
      <c r="AK2">
        <f>BDH("PGEXQ US Equity","CF_CASH_FROM_OPER","1995-09-30","2000-09-30","Per=Y","Days=T","Dir=V")</f>
        <v>0</v>
      </c>
      <c r="AM2">
        <f>BDH("PGEXQ US Equity","CAPITAL_EXPEND","1995-09-30","2000-09-30","Per=Y","Days=T","Dir=V")</f>
        <v>0</v>
      </c>
      <c r="AO2">
        <f>BDH("PGEXQ US Equity","CF_FREE_CASH_FLOW","1995-09-30","2000-09-30","Per=Y","Days=T","Dir=V")</f>
        <v>0</v>
      </c>
      <c r="AQ2">
        <f>BDH("PGEXQ US Equity","PX_LAST","1995-09-30","2000-09-30","Per=M","Days=T","Dir=V")</f>
        <v>0</v>
      </c>
      <c r="AS2">
        <f>BDH("PGEXQ US Equity","CUR_MKT_CAP","1995-09-30","2000-09-30","Per=M","Days=T","Dir=V")</f>
        <v>0</v>
      </c>
      <c r="AU2">
        <f>BDH("PGEXQ US Equity","EQY_SH_OUT","1995-09-30","2000-09-30","Per=M","Days=T","Dir=V")</f>
        <v>0</v>
      </c>
      <c r="AW2">
        <f>BDH("PGEXQ US Equity","PX_VOLUME","1995-09-30","2000-09-30","Per=M","Days=T","Dir=V")</f>
        <v>0</v>
      </c>
      <c r="AY2">
        <f>BDH("PGEXQ US Equity","TURNOVER","1995-09-30","2000-09-30","Per=M","Days=T","Dir=V")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BDH("PSIXQ US Equity","BS_TOT_ASSET","1996-03-02","2001-03-02","Per=Y","Days=T","Dir=V")</f>
        <v>0</v>
      </c>
      <c r="C2">
        <f>BDH("PSIXQ US Equity","BS_TOT_LIAB2","1996-03-02","2001-03-02","Per=Y","Days=T","Dir=V")</f>
        <v>0</v>
      </c>
      <c r="E2">
        <f>BDH("PSIXQ US Equity","SHORT_AND_LONG_TERM_DEBT","1996-03-02","2001-03-02","Per=Y","Days=T","Dir=V")</f>
        <v>0</v>
      </c>
      <c r="G2">
        <f>BDH("PSIXQ US Equity","BS_ST_BORROW","1996-03-02","2001-03-02","Per=Y","Days=T","Dir=V")</f>
        <v>0</v>
      </c>
      <c r="I2">
        <f>BDH("PSIXQ US Equity","BS_LT_BORROW","1996-03-02","2001-03-02","Per=Y","Days=T","Dir=V")</f>
        <v>0</v>
      </c>
      <c r="K2">
        <f>BDH("PSIXQ US Equity","BS_CASH_NEAR_CASH_ITEM","1996-03-02","2001-03-02","Per=Y","Days=T","Dir=V")</f>
        <v>0</v>
      </c>
      <c r="M2">
        <f>BDH("PSIXQ US Equity","BS_CUR_ASSET_REPORT","1996-03-02","2001-03-02","Per=Y","Days=T","Dir=V")</f>
        <v>0</v>
      </c>
      <c r="O2">
        <f>BDH("PSIXQ US Equity","BS_CUR_LIAB","1996-03-02","2001-03-02","Per=Y","Days=T","Dir=V")</f>
        <v>0</v>
      </c>
      <c r="Q2">
        <f>BDH("PSIXQ US Equity","BS_SHAREHOLDER_EQY_ENDING_PERIOD","1996-03-02","2001-03-02","Per=Y","Days=T","Dir=V")</f>
        <v>0</v>
      </c>
      <c r="S2">
        <f>BDH("PSIXQ US Equity","BS_ACCT_NOTE_RCV","1996-03-02","2001-03-02","Per=Y","Days=T","Dir=V")</f>
        <v>0</v>
      </c>
      <c r="U2">
        <f>BDH("PSIXQ US Equity","BS_INVENTORIES","1996-03-02","2001-03-02","Per=Y","Days=T","Dir=V")</f>
        <v>0</v>
      </c>
      <c r="W2">
        <f>BDH("PSIXQ US Equity","WORKING_CAPITAL","1996-03-02","2001-03-02","Per=Y","Days=T","Dir=V")</f>
        <v>0</v>
      </c>
      <c r="Y2">
        <f>BDH("PSIXQ US Equity","SALES_REV_TURN","1996-03-02","2001-03-02","Per=Y","Days=T","Dir=V")</f>
        <v>0</v>
      </c>
      <c r="AA2">
        <f>BDH("PSIXQ US Equity","EBIT","1996-03-02","2001-03-02","Per=Y","Days=T","Dir=V")</f>
        <v>0</v>
      </c>
      <c r="AC2">
        <f>BDH("PSIXQ US Equity","EBITDA","1996-03-02","2001-03-02","Per=Y","Days=T","Dir=V")</f>
        <v>0</v>
      </c>
      <c r="AE2">
        <f>BDH("PSIXQ US Equity","NET_INCOME","1996-03-02","2001-03-02","Per=Y","Days=T","Dir=V")</f>
        <v>0</v>
      </c>
      <c r="AG2">
        <f>BDH("PSIXQ US Equity","IS_INT_EXPENSE","1996-03-02","2001-03-02","Per=Y","Days=T","Dir=V")</f>
        <v>0</v>
      </c>
      <c r="AI2">
        <f>BDH("PSIXQ US Equity","IS_DEPR_EXP","1996-03-02","2001-03-02","Per=Y","Days=T","Dir=V")</f>
        <v>0</v>
      </c>
      <c r="AK2">
        <f>BDH("PSIXQ US Equity","CF_CASH_FROM_OPER","1996-03-02","2001-03-02","Per=Y","Days=T","Dir=V")</f>
        <v>0</v>
      </c>
      <c r="AM2">
        <f>BDH("PSIXQ US Equity","CAPITAL_EXPEND","1996-03-02","2001-03-02","Per=Y","Days=T","Dir=V")</f>
        <v>0</v>
      </c>
      <c r="AO2">
        <f>BDH("PSIXQ US Equity","CF_FREE_CASH_FLOW","1996-03-02","2001-03-02","Per=Y","Days=T","Dir=V")</f>
        <v>0</v>
      </c>
      <c r="AQ2">
        <f>BDH("PSIXQ US Equity","PX_LAST","1996-03-02","2001-03-02","Per=M","Days=T","Dir=V")</f>
        <v>0</v>
      </c>
      <c r="AS2">
        <f>BDH("PSIXQ US Equity","CUR_MKT_CAP","1996-03-02","2001-03-02","Per=M","Days=T","Dir=V")</f>
        <v>0</v>
      </c>
      <c r="AU2">
        <f>BDH("PSIXQ US Equity","EQY_SH_OUT","1996-03-02","2001-03-02","Per=M","Days=T","Dir=V")</f>
        <v>0</v>
      </c>
      <c r="AW2">
        <f>BDH("PSIXQ US Equity","PX_VOLUME","1996-03-02","2001-03-02","Per=M","Days=T","Dir=V")</f>
        <v>0</v>
      </c>
      <c r="AY2">
        <f>BDH("PSIXQ US Equity","TURNOVER","1996-03-02","2001-03-02","Per=M","Days=T","Dir=V")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BDH("FDMLQ US Equity","BS_TOT_ASSET","1996-07-03","2001-07-03","Per=Y","Days=T","Dir=V")</f>
        <v>0</v>
      </c>
      <c r="C2">
        <f>BDH("FDMLQ US Equity","BS_TOT_LIAB2","1996-07-03","2001-07-03","Per=Y","Days=T","Dir=V")</f>
        <v>0</v>
      </c>
      <c r="E2">
        <f>BDH("FDMLQ US Equity","SHORT_AND_LONG_TERM_DEBT","1996-07-03","2001-07-03","Per=Y","Days=T","Dir=V")</f>
        <v>0</v>
      </c>
      <c r="G2">
        <f>BDH("FDMLQ US Equity","BS_ST_BORROW","1996-07-03","2001-07-03","Per=Y","Days=T","Dir=V")</f>
        <v>0</v>
      </c>
      <c r="I2">
        <f>BDH("FDMLQ US Equity","BS_LT_BORROW","1996-07-03","2001-07-03","Per=Y","Days=T","Dir=V")</f>
        <v>0</v>
      </c>
      <c r="K2">
        <f>BDH("FDMLQ US Equity","BS_CASH_NEAR_CASH_ITEM","1996-07-03","2001-07-03","Per=Y","Days=T","Dir=V")</f>
        <v>0</v>
      </c>
      <c r="M2">
        <f>BDH("FDMLQ US Equity","BS_CUR_ASSET_REPORT","1996-07-03","2001-07-03","Per=Y","Days=T","Dir=V")</f>
        <v>0</v>
      </c>
      <c r="O2">
        <f>BDH("FDMLQ US Equity","BS_CUR_LIAB","1996-07-03","2001-07-03","Per=Y","Days=T","Dir=V")</f>
        <v>0</v>
      </c>
      <c r="Q2">
        <f>BDH("FDMLQ US Equity","BS_SHAREHOLDER_EQY_ENDING_PERIOD","1996-07-03","2001-07-03","Per=Y","Days=T","Dir=V")</f>
        <v>0</v>
      </c>
      <c r="S2">
        <f>BDH("FDMLQ US Equity","BS_ACCT_NOTE_RCV","1996-07-03","2001-07-03","Per=Y","Days=T","Dir=V")</f>
        <v>0</v>
      </c>
      <c r="U2">
        <f>BDH("FDMLQ US Equity","BS_INVENTORIES","1996-07-03","2001-07-03","Per=Y","Days=T","Dir=V")</f>
        <v>0</v>
      </c>
      <c r="W2">
        <f>BDH("FDMLQ US Equity","WORKING_CAPITAL","1996-07-03","2001-07-03","Per=Y","Days=T","Dir=V")</f>
        <v>0</v>
      </c>
      <c r="Y2">
        <f>BDH("FDMLQ US Equity","SALES_REV_TURN","1996-07-03","2001-07-03","Per=Y","Days=T","Dir=V")</f>
        <v>0</v>
      </c>
      <c r="AA2">
        <f>BDH("FDMLQ US Equity","EBIT","1996-07-03","2001-07-03","Per=Y","Days=T","Dir=V")</f>
        <v>0</v>
      </c>
      <c r="AC2">
        <f>BDH("FDMLQ US Equity","EBITDA","1996-07-03","2001-07-03","Per=Y","Days=T","Dir=V")</f>
        <v>0</v>
      </c>
      <c r="AE2">
        <f>BDH("FDMLQ US Equity","NET_INCOME","1996-07-03","2001-07-03","Per=Y","Days=T","Dir=V")</f>
        <v>0</v>
      </c>
      <c r="AG2">
        <f>BDH("FDMLQ US Equity","IS_INT_EXPENSE","1996-07-03","2001-07-03","Per=Y","Days=T","Dir=V")</f>
        <v>0</v>
      </c>
      <c r="AI2">
        <f>BDH("FDMLQ US Equity","IS_DEPR_EXP","1996-07-03","2001-07-03","Per=Y","Days=T","Dir=V")</f>
        <v>0</v>
      </c>
      <c r="AK2">
        <f>BDH("FDMLQ US Equity","CF_CASH_FROM_OPER","1996-07-03","2001-07-03","Per=Y","Days=T","Dir=V")</f>
        <v>0</v>
      </c>
      <c r="AM2">
        <f>BDH("FDMLQ US Equity","CAPITAL_EXPEND","1996-07-03","2001-07-03","Per=Y","Days=T","Dir=V")</f>
        <v>0</v>
      </c>
      <c r="AO2">
        <f>BDH("FDMLQ US Equity","CF_FREE_CASH_FLOW","1996-07-03","2001-07-03","Per=Y","Days=T","Dir=V")</f>
        <v>0</v>
      </c>
      <c r="AQ2">
        <f>BDH("FDMLQ US Equity","PX_LAST","1996-07-03","2001-07-03","Per=M","Days=T","Dir=V")</f>
        <v>0</v>
      </c>
      <c r="AS2">
        <f>BDH("FDMLQ US Equity","CUR_MKT_CAP","1996-07-03","2001-07-03","Per=M","Days=T","Dir=V")</f>
        <v>0</v>
      </c>
      <c r="AU2">
        <f>BDH("FDMLQ US Equity","EQY_SH_OUT","1996-07-03","2001-07-03","Per=M","Days=T","Dir=V")</f>
        <v>0</v>
      </c>
      <c r="AW2">
        <f>BDH("FDMLQ US Equity","PX_VOLUME","1996-07-03","2001-07-03","Per=M","Days=T","Dir=V")</f>
        <v>0</v>
      </c>
      <c r="AY2">
        <f>BDH("FDMLQ US Equity","TURNOVER","1996-07-03","2001-07-03","Per=M","Days=T","Dir=V")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BDH("ANCJQ US Equity","BS_TOT_ASSET","1996-08-15","2001-08-15","Per=Y","Days=T","Dir=V")</f>
        <v>0</v>
      </c>
      <c r="C2">
        <f>BDH("ANCJQ US Equity","BS_TOT_LIAB2","1996-08-15","2001-08-15","Per=Y","Days=T","Dir=V")</f>
        <v>0</v>
      </c>
      <c r="E2">
        <f>BDH("ANCJQ US Equity","SHORT_AND_LONG_TERM_DEBT","1996-08-15","2001-08-15","Per=Y","Days=T","Dir=V")</f>
        <v>0</v>
      </c>
      <c r="G2">
        <f>BDH("ANCJQ US Equity","BS_ST_BORROW","1996-08-15","2001-08-15","Per=Y","Days=T","Dir=V")</f>
        <v>0</v>
      </c>
      <c r="I2">
        <f>BDH("ANCJQ US Equity","BS_LT_BORROW","1996-08-15","2001-08-15","Per=Y","Days=T","Dir=V")</f>
        <v>0</v>
      </c>
      <c r="K2">
        <f>BDH("ANCJQ US Equity","BS_CASH_NEAR_CASH_ITEM","1996-08-15","2001-08-15","Per=Y","Days=T","Dir=V")</f>
        <v>0</v>
      </c>
      <c r="M2">
        <f>BDH("ANCJQ US Equity","BS_CUR_ASSET_REPORT","1996-08-15","2001-08-15","Per=Y","Days=T","Dir=V")</f>
        <v>0</v>
      </c>
      <c r="O2">
        <f>BDH("ANCJQ US Equity","BS_CUR_LIAB","1996-08-15","2001-08-15","Per=Y","Days=T","Dir=V")</f>
        <v>0</v>
      </c>
      <c r="Q2">
        <f>BDH("ANCJQ US Equity","BS_SHAREHOLDER_EQY_ENDING_PERIOD","1996-08-15","2001-08-15","Per=Y","Days=T","Dir=V")</f>
        <v>0</v>
      </c>
      <c r="S2">
        <f>BDH("ANCJQ US Equity","BS_ACCT_NOTE_RCV","1996-08-15","2001-08-15","Per=Y","Days=T","Dir=V")</f>
        <v>0</v>
      </c>
      <c r="U2">
        <f>BDH("ANCJQ US Equity","BS_INVENTORIES","1996-08-15","2001-08-15","Per=Y","Days=T","Dir=V")</f>
        <v>0</v>
      </c>
      <c r="W2">
        <f>BDH("ANCJQ US Equity","WORKING_CAPITAL","1996-08-15","2001-08-15","Per=Y","Days=T","Dir=V")</f>
        <v>0</v>
      </c>
      <c r="Y2">
        <f>BDH("ANCJQ US Equity","SALES_REV_TURN","1996-08-15","2001-08-15","Per=Y","Days=T","Dir=V")</f>
        <v>0</v>
      </c>
      <c r="AA2">
        <f>BDH("ANCJQ US Equity","EBIT","1996-08-15","2001-08-15","Per=Y","Days=T","Dir=V")</f>
        <v>0</v>
      </c>
      <c r="AC2">
        <f>BDH("ANCJQ US Equity","EBITDA","1996-08-15","2001-08-15","Per=Y","Days=T","Dir=V")</f>
        <v>0</v>
      </c>
      <c r="AE2">
        <f>BDH("ANCJQ US Equity","NET_INCOME","1996-08-15","2001-08-15","Per=Y","Days=T","Dir=V")</f>
        <v>0</v>
      </c>
      <c r="AG2">
        <f>BDH("ANCJQ US Equity","IS_INT_EXPENSE","1996-08-15","2001-08-15","Per=Y","Days=T","Dir=V")</f>
        <v>0</v>
      </c>
      <c r="AI2">
        <f>BDH("ANCJQ US Equity","IS_DEPR_EXP","1996-08-15","2001-08-15","Per=Y","Days=T","Dir=V")</f>
        <v>0</v>
      </c>
      <c r="AK2">
        <f>BDH("ANCJQ US Equity","CF_CASH_FROM_OPER","1996-08-15","2001-08-15","Per=Y","Days=T","Dir=V")</f>
        <v>0</v>
      </c>
      <c r="AM2">
        <f>BDH("ANCJQ US Equity","CAPITAL_EXPEND","1996-08-15","2001-08-15","Per=Y","Days=T","Dir=V")</f>
        <v>0</v>
      </c>
      <c r="AO2">
        <f>BDH("ANCJQ US Equity","CF_FREE_CASH_FLOW","1996-08-15","2001-08-15","Per=Y","Days=T","Dir=V")</f>
        <v>0</v>
      </c>
      <c r="AQ2">
        <f>BDH("ANCJQ US Equity","PX_LAST","1996-08-15","2001-08-15","Per=M","Days=T","Dir=V")</f>
        <v>0</v>
      </c>
      <c r="AS2">
        <f>BDH("ANCJQ US Equity","CUR_MKT_CAP","1996-08-15","2001-08-15","Per=M","Days=T","Dir=V")</f>
        <v>0</v>
      </c>
      <c r="AU2">
        <f>BDH("ANCJQ US Equity","EQY_SH_OUT","1996-08-15","2001-08-15","Per=M","Days=T","Dir=V")</f>
        <v>0</v>
      </c>
      <c r="AW2">
        <f>BDH("ANCJQ US Equity","PX_VOLUME","1996-08-15","2001-08-15","Per=M","Days=T","Dir=V")</f>
        <v>0</v>
      </c>
      <c r="AY2">
        <f>BDH("ANCJQ US Equity","TURNOVER","1996-08-15","2001-08-15","Per=M","Days=T","Dir=V")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BDH("CLSCQ US Equity","BS_TOT_ASSET","1996-08-15","2001-08-15","Per=Y","Days=T","Dir=V")</f>
        <v>0</v>
      </c>
      <c r="C2">
        <f>BDH("CLSCQ US Equity","BS_TOT_LIAB2","1996-08-15","2001-08-15","Per=Y","Days=T","Dir=V")</f>
        <v>0</v>
      </c>
      <c r="E2">
        <f>BDH("CLSCQ US Equity","SHORT_AND_LONG_TERM_DEBT","1996-08-15","2001-08-15","Per=Y","Days=T","Dir=V")</f>
        <v>0</v>
      </c>
      <c r="G2">
        <f>BDH("CLSCQ US Equity","BS_ST_BORROW","1996-08-15","2001-08-15","Per=Y","Days=T","Dir=V")</f>
        <v>0</v>
      </c>
      <c r="I2">
        <f>BDH("CLSCQ US Equity","BS_LT_BORROW","1996-08-15","2001-08-15","Per=Y","Days=T","Dir=V")</f>
        <v>0</v>
      </c>
      <c r="K2">
        <f>BDH("CLSCQ US Equity","BS_CASH_NEAR_CASH_ITEM","1996-08-15","2001-08-15","Per=Y","Days=T","Dir=V")</f>
        <v>0</v>
      </c>
      <c r="M2">
        <f>BDH("CLSCQ US Equity","BS_CUR_ASSET_REPORT","1996-08-15","2001-08-15","Per=Y","Days=T","Dir=V")</f>
        <v>0</v>
      </c>
      <c r="O2">
        <f>BDH("CLSCQ US Equity","BS_CUR_LIAB","1996-08-15","2001-08-15","Per=Y","Days=T","Dir=V")</f>
        <v>0</v>
      </c>
      <c r="Q2">
        <f>BDH("CLSCQ US Equity","BS_SHAREHOLDER_EQY_ENDING_PERIOD","1996-08-15","2001-08-15","Per=Y","Days=T","Dir=V")</f>
        <v>0</v>
      </c>
      <c r="S2">
        <f>BDH("CLSCQ US Equity","BS_ACCT_NOTE_RCV","1996-08-15","2001-08-15","Per=Y","Days=T","Dir=V")</f>
        <v>0</v>
      </c>
      <c r="U2">
        <f>BDH("CLSCQ US Equity","BS_INVENTORIES","1996-08-15","2001-08-15","Per=Y","Days=T","Dir=V")</f>
        <v>0</v>
      </c>
      <c r="W2">
        <f>BDH("CLSCQ US Equity","WORKING_CAPITAL","1996-08-15","2001-08-15","Per=Y","Days=T","Dir=V")</f>
        <v>0</v>
      </c>
      <c r="Y2">
        <f>BDH("CLSCQ US Equity","SALES_REV_TURN","1996-08-15","2001-08-15","Per=Y","Days=T","Dir=V")</f>
        <v>0</v>
      </c>
      <c r="AA2">
        <f>BDH("CLSCQ US Equity","EBIT","1996-08-15","2001-08-15","Per=Y","Days=T","Dir=V")</f>
        <v>0</v>
      </c>
      <c r="AC2">
        <f>BDH("CLSCQ US Equity","EBITDA","1996-08-15","2001-08-15","Per=Y","Days=T","Dir=V")</f>
        <v>0</v>
      </c>
      <c r="AE2">
        <f>BDH("CLSCQ US Equity","NET_INCOME","1996-08-15","2001-08-15","Per=Y","Days=T","Dir=V")</f>
        <v>0</v>
      </c>
      <c r="AG2">
        <f>BDH("CLSCQ US Equity","IS_INT_EXPENSE","1996-08-15","2001-08-15","Per=Y","Days=T","Dir=V")</f>
        <v>0</v>
      </c>
      <c r="AI2">
        <f>BDH("CLSCQ US Equity","IS_DEPR_EXP","1996-08-15","2001-08-15","Per=Y","Days=T","Dir=V")</f>
        <v>0</v>
      </c>
      <c r="AK2">
        <f>BDH("CLSCQ US Equity","CF_CASH_FROM_OPER","1996-08-15","2001-08-15","Per=Y","Days=T","Dir=V")</f>
        <v>0</v>
      </c>
      <c r="AM2">
        <f>BDH("CLSCQ US Equity","CAPITAL_EXPEND","1996-08-15","2001-08-15","Per=Y","Days=T","Dir=V")</f>
        <v>0</v>
      </c>
      <c r="AO2">
        <f>BDH("CLSCQ US Equity","CF_FREE_CASH_FLOW","1996-08-15","2001-08-15","Per=Y","Days=T","Dir=V")</f>
        <v>0</v>
      </c>
      <c r="AQ2">
        <f>BDH("CLSCQ US Equity","PX_LAST","1996-08-15","2001-08-15","Per=M","Days=T","Dir=V")</f>
        <v>0</v>
      </c>
      <c r="AS2">
        <f>BDH("CLSCQ US Equity","CUR_MKT_CAP","1996-08-15","2001-08-15","Per=M","Days=T","Dir=V")</f>
        <v>0</v>
      </c>
      <c r="AU2">
        <f>BDH("CLSCQ US Equity","EQY_SH_OUT","1996-08-15","2001-08-15","Per=M","Days=T","Dir=V")</f>
        <v>0</v>
      </c>
      <c r="AW2">
        <f>BDH("CLSCQ US Equity","PX_VOLUME","1996-08-15","2001-08-15","Per=M","Days=T","Dir=V")</f>
        <v>0</v>
      </c>
      <c r="AY2">
        <f>BDH("CLSCQ US Equity","TURNOVER","1996-08-15","2001-08-15","Per=M","Days=T","Dir=V")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BDH("BRLGQ US Equity","BS_TOT_ASSET","1996-08-17","2001-08-17","Per=Y","Days=T","Dir=V")</f>
        <v>0</v>
      </c>
      <c r="C2">
        <f>BDH("BRLGQ US Equity","BS_TOT_LIAB2","1996-08-17","2001-08-17","Per=Y","Days=T","Dir=V")</f>
        <v>0</v>
      </c>
      <c r="E2">
        <f>BDH("BRLGQ US Equity","SHORT_AND_LONG_TERM_DEBT","1996-08-17","2001-08-17","Per=Y","Days=T","Dir=V")</f>
        <v>0</v>
      </c>
      <c r="G2">
        <f>BDH("BRLGQ US Equity","BS_ST_BORROW","1996-08-17","2001-08-17","Per=Y","Days=T","Dir=V")</f>
        <v>0</v>
      </c>
      <c r="I2">
        <f>BDH("BRLGQ US Equity","BS_LT_BORROW","1996-08-17","2001-08-17","Per=Y","Days=T","Dir=V")</f>
        <v>0</v>
      </c>
      <c r="K2">
        <f>BDH("BRLGQ US Equity","BS_CASH_NEAR_CASH_ITEM","1996-08-17","2001-08-17","Per=Y","Days=T","Dir=V")</f>
        <v>0</v>
      </c>
      <c r="M2">
        <f>BDH("BRLGQ US Equity","BS_CUR_ASSET_REPORT","1996-08-17","2001-08-17","Per=Y","Days=T","Dir=V")</f>
        <v>0</v>
      </c>
      <c r="O2">
        <f>BDH("BRLGQ US Equity","BS_CUR_LIAB","1996-08-17","2001-08-17","Per=Y","Days=T","Dir=V")</f>
        <v>0</v>
      </c>
      <c r="Q2">
        <f>BDH("BRLGQ US Equity","BS_SHAREHOLDER_EQY_ENDING_PERIOD","1996-08-17","2001-08-17","Per=Y","Days=T","Dir=V")</f>
        <v>0</v>
      </c>
      <c r="S2">
        <f>BDH("BRLGQ US Equity","BS_ACCT_NOTE_RCV","1996-08-17","2001-08-17","Per=Y","Days=T","Dir=V")</f>
        <v>0</v>
      </c>
      <c r="U2">
        <f>BDH("BRLGQ US Equity","BS_INVENTORIES","1996-08-17","2001-08-17","Per=Y","Days=T","Dir=V")</f>
        <v>0</v>
      </c>
      <c r="W2">
        <f>BDH("BRLGQ US Equity","WORKING_CAPITAL","1996-08-17","2001-08-17","Per=Y","Days=T","Dir=V")</f>
        <v>0</v>
      </c>
      <c r="Y2">
        <f>BDH("BRLGQ US Equity","SALES_REV_TURN","1996-08-17","2001-08-17","Per=Y","Days=T","Dir=V")</f>
        <v>0</v>
      </c>
      <c r="AA2">
        <f>BDH("BRLGQ US Equity","EBIT","1996-08-17","2001-08-17","Per=Y","Days=T","Dir=V")</f>
        <v>0</v>
      </c>
      <c r="AC2">
        <f>BDH("BRLGQ US Equity","EBITDA","1996-08-17","2001-08-17","Per=Y","Days=T","Dir=V")</f>
        <v>0</v>
      </c>
      <c r="AE2">
        <f>BDH("BRLGQ US Equity","NET_INCOME","1996-08-17","2001-08-17","Per=Y","Days=T","Dir=V")</f>
        <v>0</v>
      </c>
      <c r="AG2">
        <f>BDH("BRLGQ US Equity","IS_INT_EXPENSE","1996-08-17","2001-08-17","Per=Y","Days=T","Dir=V")</f>
        <v>0</v>
      </c>
      <c r="AI2">
        <f>BDH("BRLGQ US Equity","IS_DEPR_EXP","1996-08-17","2001-08-17","Per=Y","Days=T","Dir=V")</f>
        <v>0</v>
      </c>
      <c r="AK2">
        <f>BDH("BRLGQ US Equity","CF_CASH_FROM_OPER","1996-08-17","2001-08-17","Per=Y","Days=T","Dir=V")</f>
        <v>0</v>
      </c>
      <c r="AM2">
        <f>BDH("BRLGQ US Equity","CAPITAL_EXPEND","1996-08-17","2001-08-17","Per=Y","Days=T","Dir=V")</f>
        <v>0</v>
      </c>
      <c r="AO2">
        <f>BDH("BRLGQ US Equity","CF_FREE_CASH_FLOW","1996-08-17","2001-08-17","Per=Y","Days=T","Dir=V")</f>
        <v>0</v>
      </c>
      <c r="AQ2">
        <f>BDH("BRLGQ US Equity","PX_LAST","1996-08-17","2001-08-17","Per=M","Days=T","Dir=V")</f>
        <v>0</v>
      </c>
      <c r="AS2">
        <f>BDH("BRLGQ US Equity","CUR_MKT_CAP","1996-08-17","2001-08-17","Per=M","Days=T","Dir=V")</f>
        <v>0</v>
      </c>
      <c r="AU2">
        <f>BDH("BRLGQ US Equity","EQY_SH_OUT","1996-08-17","2001-08-17","Per=M","Days=T","Dir=V")</f>
        <v>0</v>
      </c>
      <c r="AW2">
        <f>BDH("BRLGQ US Equity","PX_VOLUME","1996-08-17","2001-08-17","Per=M","Days=T","Dir=V")</f>
        <v>0</v>
      </c>
      <c r="AY2">
        <f>BDH("BRLGQ US Equity","TURNOVER","1996-08-17","2001-08-17","Per=M","Days=T","Dir=V")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BDH("VMIXQ US Equity","BS_TOT_ASSET","1996-08-22","2001-08-22","Per=Y","Days=T","Dir=V")</f>
        <v>0</v>
      </c>
      <c r="C2">
        <f>BDH("VMIXQ US Equity","BS_TOT_LIAB2","1996-08-22","2001-08-22","Per=Y","Days=T","Dir=V")</f>
        <v>0</v>
      </c>
      <c r="E2">
        <f>BDH("VMIXQ US Equity","SHORT_AND_LONG_TERM_DEBT","1996-08-22","2001-08-22","Per=Y","Days=T","Dir=V")</f>
        <v>0</v>
      </c>
      <c r="G2">
        <f>BDH("VMIXQ US Equity","BS_ST_BORROW","1996-08-22","2001-08-22","Per=Y","Days=T","Dir=V")</f>
        <v>0</v>
      </c>
      <c r="I2">
        <f>BDH("VMIXQ US Equity","BS_LT_BORROW","1996-08-22","2001-08-22","Per=Y","Days=T","Dir=V")</f>
        <v>0</v>
      </c>
      <c r="K2">
        <f>BDH("VMIXQ US Equity","BS_CASH_NEAR_CASH_ITEM","1996-08-22","2001-08-22","Per=Y","Days=T","Dir=V")</f>
        <v>0</v>
      </c>
      <c r="M2">
        <f>BDH("VMIXQ US Equity","BS_CUR_ASSET_REPORT","1996-08-22","2001-08-22","Per=Y","Days=T","Dir=V")</f>
        <v>0</v>
      </c>
      <c r="O2">
        <f>BDH("VMIXQ US Equity","BS_CUR_LIAB","1996-08-22","2001-08-22","Per=Y","Days=T","Dir=V")</f>
        <v>0</v>
      </c>
      <c r="Q2">
        <f>BDH("VMIXQ US Equity","BS_SHAREHOLDER_EQY_ENDING_PERIOD","1996-08-22","2001-08-22","Per=Y","Days=T","Dir=V")</f>
        <v>0</v>
      </c>
      <c r="S2">
        <f>BDH("VMIXQ US Equity","BS_ACCT_NOTE_RCV","1996-08-22","2001-08-22","Per=Y","Days=T","Dir=V")</f>
        <v>0</v>
      </c>
      <c r="U2">
        <f>BDH("VMIXQ US Equity","BS_INVENTORIES","1996-08-22","2001-08-22","Per=Y","Days=T","Dir=V")</f>
        <v>0</v>
      </c>
      <c r="W2">
        <f>BDH("VMIXQ US Equity","WORKING_CAPITAL","1996-08-22","2001-08-22","Per=Y","Days=T","Dir=V")</f>
        <v>0</v>
      </c>
      <c r="Y2">
        <f>BDH("VMIXQ US Equity","SALES_REV_TURN","1996-08-22","2001-08-22","Per=Y","Days=T","Dir=V")</f>
        <v>0</v>
      </c>
      <c r="AA2">
        <f>BDH("VMIXQ US Equity","EBIT","1996-08-22","2001-08-22","Per=Y","Days=T","Dir=V")</f>
        <v>0</v>
      </c>
      <c r="AC2">
        <f>BDH("VMIXQ US Equity","EBITDA","1996-08-22","2001-08-22","Per=Y","Days=T","Dir=V")</f>
        <v>0</v>
      </c>
      <c r="AE2">
        <f>BDH("VMIXQ US Equity","NET_INCOME","1996-08-22","2001-08-22","Per=Y","Days=T","Dir=V")</f>
        <v>0</v>
      </c>
      <c r="AG2">
        <f>BDH("VMIXQ US Equity","IS_INT_EXPENSE","1996-08-22","2001-08-22","Per=Y","Days=T","Dir=V")</f>
        <v>0</v>
      </c>
      <c r="AI2">
        <f>BDH("VMIXQ US Equity","IS_DEPR_EXP","1996-08-22","2001-08-22","Per=Y","Days=T","Dir=V")</f>
        <v>0</v>
      </c>
      <c r="AK2">
        <f>BDH("VMIXQ US Equity","CF_CASH_FROM_OPER","1996-08-22","2001-08-22","Per=Y","Days=T","Dir=V")</f>
        <v>0</v>
      </c>
      <c r="AM2">
        <f>BDH("VMIXQ US Equity","CAPITAL_EXPEND","1996-08-22","2001-08-22","Per=Y","Days=T","Dir=V")</f>
        <v>0</v>
      </c>
      <c r="AO2">
        <f>BDH("VMIXQ US Equity","CF_FREE_CASH_FLOW","1996-08-22","2001-08-22","Per=Y","Days=T","Dir=V")</f>
        <v>0</v>
      </c>
      <c r="AQ2">
        <f>BDH("VMIXQ US Equity","PX_LAST","1996-08-22","2001-08-22","Per=M","Days=T","Dir=V")</f>
        <v>0</v>
      </c>
      <c r="AS2">
        <f>BDH("VMIXQ US Equity","CUR_MKT_CAP","1996-08-22","2001-08-22","Per=M","Days=T","Dir=V")</f>
        <v>0</v>
      </c>
      <c r="AU2">
        <f>BDH("VMIXQ US Equity","EQY_SH_OUT","1996-08-22","2001-08-22","Per=M","Days=T","Dir=V")</f>
        <v>0</v>
      </c>
      <c r="AW2">
        <f>BDH("VMIXQ US Equity","PX_VOLUME","1996-08-22","2001-08-22","Per=M","Days=T","Dir=V")</f>
        <v>0</v>
      </c>
      <c r="AY2">
        <f>BDH("VMIXQ US Equity","TURNOVER","1996-08-22","2001-08-22","Per=M","Days=T","Dir=V")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BDH("HLMMQ US Equity","BS_TOT_ASSET","1996-09-06","2001-09-06","Per=Y","Days=T","Dir=V")</f>
        <v>0</v>
      </c>
      <c r="C2">
        <f>BDH("HLMMQ US Equity","BS_TOT_LIAB2","1996-09-06","2001-09-06","Per=Y","Days=T","Dir=V")</f>
        <v>0</v>
      </c>
      <c r="E2">
        <f>BDH("HLMMQ US Equity","SHORT_AND_LONG_TERM_DEBT","1996-09-06","2001-09-06","Per=Y","Days=T","Dir=V")</f>
        <v>0</v>
      </c>
      <c r="G2">
        <f>BDH("HLMMQ US Equity","BS_ST_BORROW","1996-09-06","2001-09-06","Per=Y","Days=T","Dir=V")</f>
        <v>0</v>
      </c>
      <c r="I2">
        <f>BDH("HLMMQ US Equity","BS_LT_BORROW","1996-09-06","2001-09-06","Per=Y","Days=T","Dir=V")</f>
        <v>0</v>
      </c>
      <c r="K2">
        <f>BDH("HLMMQ US Equity","BS_CASH_NEAR_CASH_ITEM","1996-09-06","2001-09-06","Per=Y","Days=T","Dir=V")</f>
        <v>0</v>
      </c>
      <c r="M2">
        <f>BDH("HLMMQ US Equity","BS_CUR_ASSET_REPORT","1996-09-06","2001-09-06","Per=Y","Days=T","Dir=V")</f>
        <v>0</v>
      </c>
      <c r="O2">
        <f>BDH("HLMMQ US Equity","BS_CUR_LIAB","1996-09-06","2001-09-06","Per=Y","Days=T","Dir=V")</f>
        <v>0</v>
      </c>
      <c r="Q2">
        <f>BDH("HLMMQ US Equity","BS_SHAREHOLDER_EQY_ENDING_PERIOD","1996-09-06","2001-09-06","Per=Y","Days=T","Dir=V")</f>
        <v>0</v>
      </c>
      <c r="S2">
        <f>BDH("HLMMQ US Equity","BS_ACCT_NOTE_RCV","1996-09-06","2001-09-06","Per=Y","Days=T","Dir=V")</f>
        <v>0</v>
      </c>
      <c r="U2">
        <f>BDH("HLMMQ US Equity","BS_INVENTORIES","1996-09-06","2001-09-06","Per=Y","Days=T","Dir=V")</f>
        <v>0</v>
      </c>
      <c r="W2">
        <f>BDH("HLMMQ US Equity","WORKING_CAPITAL","1996-09-06","2001-09-06","Per=Y","Days=T","Dir=V")</f>
        <v>0</v>
      </c>
      <c r="Y2">
        <f>BDH("HLMMQ US Equity","SALES_REV_TURN","1996-09-06","2001-09-06","Per=Y","Days=T","Dir=V")</f>
        <v>0</v>
      </c>
      <c r="AA2">
        <f>BDH("HLMMQ US Equity","EBIT","1996-09-06","2001-09-06","Per=Y","Days=T","Dir=V")</f>
        <v>0</v>
      </c>
      <c r="AC2">
        <f>BDH("HLMMQ US Equity","EBITDA","1996-09-06","2001-09-06","Per=Y","Days=T","Dir=V")</f>
        <v>0</v>
      </c>
      <c r="AE2">
        <f>BDH("HLMMQ US Equity","NET_INCOME","1996-09-06","2001-09-06","Per=Y","Days=T","Dir=V")</f>
        <v>0</v>
      </c>
      <c r="AG2">
        <f>BDH("HLMMQ US Equity","IS_INT_EXPENSE","1996-09-06","2001-09-06","Per=Y","Days=T","Dir=V")</f>
        <v>0</v>
      </c>
      <c r="AI2">
        <f>BDH("HLMMQ US Equity","IS_DEPR_EXP","1996-09-06","2001-09-06","Per=Y","Days=T","Dir=V")</f>
        <v>0</v>
      </c>
      <c r="AK2">
        <f>BDH("HLMMQ US Equity","CF_CASH_FROM_OPER","1996-09-06","2001-09-06","Per=Y","Days=T","Dir=V")</f>
        <v>0</v>
      </c>
      <c r="AM2">
        <f>BDH("HLMMQ US Equity","CAPITAL_EXPEND","1996-09-06","2001-09-06","Per=Y","Days=T","Dir=V")</f>
        <v>0</v>
      </c>
      <c r="AO2">
        <f>BDH("HLMMQ US Equity","CF_FREE_CASH_FLOW","1996-09-06","2001-09-06","Per=Y","Days=T","Dir=V")</f>
        <v>0</v>
      </c>
      <c r="AQ2">
        <f>BDH("HLMMQ US Equity","PX_LAST","1996-09-06","2001-09-06","Per=M","Days=T","Dir=V")</f>
        <v>0</v>
      </c>
      <c r="AS2">
        <f>BDH("HLMMQ US Equity","CUR_MKT_CAP","1996-09-06","2001-09-06","Per=M","Days=T","Dir=V")</f>
        <v>0</v>
      </c>
      <c r="AU2">
        <f>BDH("HLMMQ US Equity","EQY_SH_OUT","1996-09-06","2001-09-06","Per=M","Days=T","Dir=V")</f>
        <v>0</v>
      </c>
      <c r="AW2">
        <f>BDH("HLMMQ US Equity","PX_VOLUME","1996-09-06","2001-09-06","Per=M","Days=T","Dir=V")</f>
        <v>0</v>
      </c>
      <c r="AY2">
        <f>BDH("HLMMQ US Equity","TURNOVER","1996-09-06","2001-09-06","Per=M","Days=T","Dir=V")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BDH("STGCQ US Equity","BS_TOT_ASSET","1996-09-15","2001-09-15","Per=Y","Days=T","Dir=V")</f>
        <v>0</v>
      </c>
      <c r="C2">
        <f>BDH("STGCQ US Equity","BS_TOT_LIAB2","1996-09-15","2001-09-15","Per=Y","Days=T","Dir=V")</f>
        <v>0</v>
      </c>
      <c r="E2">
        <f>BDH("STGCQ US Equity","SHORT_AND_LONG_TERM_DEBT","1996-09-15","2001-09-15","Per=Y","Days=T","Dir=V")</f>
        <v>0</v>
      </c>
      <c r="G2">
        <f>BDH("STGCQ US Equity","BS_ST_BORROW","1996-09-15","2001-09-15","Per=Y","Days=T","Dir=V")</f>
        <v>0</v>
      </c>
      <c r="I2">
        <f>BDH("STGCQ US Equity","BS_LT_BORROW","1996-09-15","2001-09-15","Per=Y","Days=T","Dir=V")</f>
        <v>0</v>
      </c>
      <c r="K2">
        <f>BDH("STGCQ US Equity","BS_CASH_NEAR_CASH_ITEM","1996-09-15","2001-09-15","Per=Y","Days=T","Dir=V")</f>
        <v>0</v>
      </c>
      <c r="M2">
        <f>BDH("STGCQ US Equity","BS_CUR_ASSET_REPORT","1996-09-15","2001-09-15","Per=Y","Days=T","Dir=V")</f>
        <v>0</v>
      </c>
      <c r="O2">
        <f>BDH("STGCQ US Equity","BS_CUR_LIAB","1996-09-15","2001-09-15","Per=Y","Days=T","Dir=V")</f>
        <v>0</v>
      </c>
      <c r="Q2">
        <f>BDH("STGCQ US Equity","BS_SHAREHOLDER_EQY_ENDING_PERIOD","1996-09-15","2001-09-15","Per=Y","Days=T","Dir=V")</f>
        <v>0</v>
      </c>
      <c r="S2">
        <f>BDH("STGCQ US Equity","BS_ACCT_NOTE_RCV","1996-09-15","2001-09-15","Per=Y","Days=T","Dir=V")</f>
        <v>0</v>
      </c>
      <c r="U2">
        <f>BDH("STGCQ US Equity","BS_INVENTORIES","1996-09-15","2001-09-15","Per=Y","Days=T","Dir=V")</f>
        <v>0</v>
      </c>
      <c r="W2">
        <f>BDH("STGCQ US Equity","WORKING_CAPITAL","1996-09-15","2001-09-15","Per=Y","Days=T","Dir=V")</f>
        <v>0</v>
      </c>
      <c r="Y2">
        <f>BDH("STGCQ US Equity","SALES_REV_TURN","1996-09-15","2001-09-15","Per=Y","Days=T","Dir=V")</f>
        <v>0</v>
      </c>
      <c r="AA2">
        <f>BDH("STGCQ US Equity","EBIT","1996-09-15","2001-09-15","Per=Y","Days=T","Dir=V")</f>
        <v>0</v>
      </c>
      <c r="AC2">
        <f>BDH("STGCQ US Equity","EBITDA","1996-09-15","2001-09-15","Per=Y","Days=T","Dir=V")</f>
        <v>0</v>
      </c>
      <c r="AE2">
        <f>BDH("STGCQ US Equity","NET_INCOME","1996-09-15","2001-09-15","Per=Y","Days=T","Dir=V")</f>
        <v>0</v>
      </c>
      <c r="AG2">
        <f>BDH("STGCQ US Equity","IS_INT_EXPENSE","1996-09-15","2001-09-15","Per=Y","Days=T","Dir=V")</f>
        <v>0</v>
      </c>
      <c r="AI2">
        <f>BDH("STGCQ US Equity","IS_DEPR_EXP","1996-09-15","2001-09-15","Per=Y","Days=T","Dir=V")</f>
        <v>0</v>
      </c>
      <c r="AK2">
        <f>BDH("STGCQ US Equity","CF_CASH_FROM_OPER","1996-09-15","2001-09-15","Per=Y","Days=T","Dir=V")</f>
        <v>0</v>
      </c>
      <c r="AM2">
        <f>BDH("STGCQ US Equity","CAPITAL_EXPEND","1996-09-15","2001-09-15","Per=Y","Days=T","Dir=V")</f>
        <v>0</v>
      </c>
      <c r="AO2">
        <f>BDH("STGCQ US Equity","CF_FREE_CASH_FLOW","1996-09-15","2001-09-15","Per=Y","Days=T","Dir=V")</f>
        <v>0</v>
      </c>
      <c r="AQ2">
        <f>BDH("STGCQ US Equity","PX_LAST","1996-09-15","2001-09-15","Per=M","Days=T","Dir=V")</f>
        <v>0</v>
      </c>
      <c r="AS2">
        <f>BDH("STGCQ US Equity","CUR_MKT_CAP","1996-09-15","2001-09-15","Per=M","Days=T","Dir=V")</f>
        <v>0</v>
      </c>
      <c r="AU2">
        <f>BDH("STGCQ US Equity","EQY_SH_OUT","1996-09-15","2001-09-15","Per=M","Days=T","Dir=V")</f>
        <v>0</v>
      </c>
      <c r="AW2">
        <f>BDH("STGCQ US Equity","PX_VOLUME","1996-09-15","2001-09-15","Per=M","Days=T","Dir=V")</f>
        <v>0</v>
      </c>
      <c r="AY2">
        <f>BDH("STGCQ US Equity","TURNOVER","1996-09-15","2001-09-15","Per=M","Days=T","Dir=V")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BDH("ITXG US Equity","BS_TOT_ASSET","1996-10-18","2001-10-18","Per=Y","Days=T","Dir=V")</f>
        <v>0</v>
      </c>
      <c r="C2">
        <f>BDH("ITXG US Equity","BS_TOT_LIAB2","1996-10-18","2001-10-18","Per=Y","Days=T","Dir=V")</f>
        <v>0</v>
      </c>
      <c r="E2">
        <f>BDH("ITXG US Equity","SHORT_AND_LONG_TERM_DEBT","1996-10-18","2001-10-18","Per=Y","Days=T","Dir=V")</f>
        <v>0</v>
      </c>
      <c r="G2">
        <f>BDH("ITXG US Equity","BS_ST_BORROW","1996-10-18","2001-10-18","Per=Y","Days=T","Dir=V")</f>
        <v>0</v>
      </c>
      <c r="I2">
        <f>BDH("ITXG US Equity","BS_LT_BORROW","1996-10-18","2001-10-18","Per=Y","Days=T","Dir=V")</f>
        <v>0</v>
      </c>
      <c r="K2">
        <f>BDH("ITXG US Equity","BS_CASH_NEAR_CASH_ITEM","1996-10-18","2001-10-18","Per=Y","Days=T","Dir=V")</f>
        <v>0</v>
      </c>
      <c r="M2">
        <f>BDH("ITXG US Equity","BS_CUR_ASSET_REPORT","1996-10-18","2001-10-18","Per=Y","Days=T","Dir=V")</f>
        <v>0</v>
      </c>
      <c r="O2">
        <f>BDH("ITXG US Equity","BS_CUR_LIAB","1996-10-18","2001-10-18","Per=Y","Days=T","Dir=V")</f>
        <v>0</v>
      </c>
      <c r="Q2">
        <f>BDH("ITXG US Equity","BS_SHAREHOLDER_EQY_ENDING_PERIOD","1996-10-18","2001-10-18","Per=Y","Days=T","Dir=V")</f>
        <v>0</v>
      </c>
      <c r="S2">
        <f>BDH("ITXG US Equity","BS_ACCT_NOTE_RCV","1996-10-18","2001-10-18","Per=Y","Days=T","Dir=V")</f>
        <v>0</v>
      </c>
      <c r="U2">
        <f>BDH("ITXG US Equity","BS_INVENTORIES","1996-10-18","2001-10-18","Per=Y","Days=T","Dir=V")</f>
        <v>0</v>
      </c>
      <c r="W2">
        <f>BDH("ITXG US Equity","WORKING_CAPITAL","1996-10-18","2001-10-18","Per=Y","Days=T","Dir=V")</f>
        <v>0</v>
      </c>
      <c r="Y2">
        <f>BDH("ITXG US Equity","SALES_REV_TURN","1996-10-18","2001-10-18","Per=Y","Days=T","Dir=V")</f>
        <v>0</v>
      </c>
      <c r="AA2">
        <f>BDH("ITXG US Equity","EBIT","1996-10-18","2001-10-18","Per=Y","Days=T","Dir=V")</f>
        <v>0</v>
      </c>
      <c r="AC2">
        <f>BDH("ITXG US Equity","EBITDA","1996-10-18","2001-10-18","Per=Y","Days=T","Dir=V")</f>
        <v>0</v>
      </c>
      <c r="AE2">
        <f>BDH("ITXG US Equity","NET_INCOME","1996-10-18","2001-10-18","Per=Y","Days=T","Dir=V")</f>
        <v>0</v>
      </c>
      <c r="AG2">
        <f>BDH("ITXG US Equity","IS_INT_EXPENSE","1996-10-18","2001-10-18","Per=Y","Days=T","Dir=V")</f>
        <v>0</v>
      </c>
      <c r="AI2">
        <f>BDH("ITXG US Equity","IS_DEPR_EXP","1996-10-18","2001-10-18","Per=Y","Days=T","Dir=V")</f>
        <v>0</v>
      </c>
      <c r="AK2">
        <f>BDH("ITXG US Equity","CF_CASH_FROM_OPER","1996-10-18","2001-10-18","Per=Y","Days=T","Dir=V")</f>
        <v>0</v>
      </c>
      <c r="AM2">
        <f>BDH("ITXG US Equity","CAPITAL_EXPEND","1996-10-18","2001-10-18","Per=Y","Days=T","Dir=V")</f>
        <v>0</v>
      </c>
      <c r="AO2">
        <f>BDH("ITXG US Equity","CF_FREE_CASH_FLOW","1996-10-18","2001-10-18","Per=Y","Days=T","Dir=V")</f>
        <v>0</v>
      </c>
      <c r="AQ2">
        <f>BDH("ITXG US Equity","PX_LAST","1996-10-18","2001-10-18","Per=M","Days=T","Dir=V")</f>
        <v>0</v>
      </c>
      <c r="AS2">
        <f>BDH("ITXG US Equity","CUR_MKT_CAP","1996-10-18","2001-10-18","Per=M","Days=T","Dir=V")</f>
        <v>0</v>
      </c>
      <c r="AU2">
        <f>BDH("ITXG US Equity","EQY_SH_OUT","1996-10-18","2001-10-18","Per=M","Days=T","Dir=V")</f>
        <v>0</v>
      </c>
      <c r="AW2">
        <f>BDH("ITXG US Equity","PX_VOLUME","1996-10-18","2001-10-18","Per=M","Days=T","Dir=V")</f>
        <v>0</v>
      </c>
      <c r="AY2">
        <f>BDH("ITXG US Equity","TURNOVER","1996-10-18","2001-10-18","Per=M","Days=T","Dir=V")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BDH("VRDOQ US Equity","BS_TOT_ASSET","1996-11-17","2001-11-17","Per=Y","Days=T","Dir=V")</f>
        <v>0</v>
      </c>
      <c r="C2">
        <f>BDH("VRDOQ US Equity","BS_TOT_LIAB2","1996-11-17","2001-11-17","Per=Y","Days=T","Dir=V")</f>
        <v>0</v>
      </c>
      <c r="E2">
        <f>BDH("VRDOQ US Equity","SHORT_AND_LONG_TERM_DEBT","1996-11-17","2001-11-17","Per=Y","Days=T","Dir=V")</f>
        <v>0</v>
      </c>
      <c r="G2">
        <f>BDH("VRDOQ US Equity","BS_ST_BORROW","1996-11-17","2001-11-17","Per=Y","Days=T","Dir=V")</f>
        <v>0</v>
      </c>
      <c r="I2">
        <f>BDH("VRDOQ US Equity","BS_LT_BORROW","1996-11-17","2001-11-17","Per=Y","Days=T","Dir=V")</f>
        <v>0</v>
      </c>
      <c r="K2">
        <f>BDH("VRDOQ US Equity","BS_CASH_NEAR_CASH_ITEM","1996-11-17","2001-11-17","Per=Y","Days=T","Dir=V")</f>
        <v>0</v>
      </c>
      <c r="M2">
        <f>BDH("VRDOQ US Equity","BS_CUR_ASSET_REPORT","1996-11-17","2001-11-17","Per=Y","Days=T","Dir=V")</f>
        <v>0</v>
      </c>
      <c r="O2">
        <f>BDH("VRDOQ US Equity","BS_CUR_LIAB","1996-11-17","2001-11-17","Per=Y","Days=T","Dir=V")</f>
        <v>0</v>
      </c>
      <c r="Q2">
        <f>BDH("VRDOQ US Equity","BS_SHAREHOLDER_EQY_ENDING_PERIOD","1996-11-17","2001-11-17","Per=Y","Days=T","Dir=V")</f>
        <v>0</v>
      </c>
      <c r="S2">
        <f>BDH("VRDOQ US Equity","BS_ACCT_NOTE_RCV","1996-11-17","2001-11-17","Per=Y","Days=T","Dir=V")</f>
        <v>0</v>
      </c>
      <c r="U2">
        <f>BDH("VRDOQ US Equity","BS_INVENTORIES","1996-11-17","2001-11-17","Per=Y","Days=T","Dir=V")</f>
        <v>0</v>
      </c>
      <c r="W2">
        <f>BDH("VRDOQ US Equity","WORKING_CAPITAL","1996-11-17","2001-11-17","Per=Y","Days=T","Dir=V")</f>
        <v>0</v>
      </c>
      <c r="Y2">
        <f>BDH("VRDOQ US Equity","SALES_REV_TURN","1996-11-17","2001-11-17","Per=Y","Days=T","Dir=V")</f>
        <v>0</v>
      </c>
      <c r="AA2">
        <f>BDH("VRDOQ US Equity","EBIT","1996-11-17","2001-11-17","Per=Y","Days=T","Dir=V")</f>
        <v>0</v>
      </c>
      <c r="AC2">
        <f>BDH("VRDOQ US Equity","EBITDA","1996-11-17","2001-11-17","Per=Y","Days=T","Dir=V")</f>
        <v>0</v>
      </c>
      <c r="AE2">
        <f>BDH("VRDOQ US Equity","NET_INCOME","1996-11-17","2001-11-17","Per=Y","Days=T","Dir=V")</f>
        <v>0</v>
      </c>
      <c r="AG2">
        <f>BDH("VRDOQ US Equity","IS_INT_EXPENSE","1996-11-17","2001-11-17","Per=Y","Days=T","Dir=V")</f>
        <v>0</v>
      </c>
      <c r="AI2">
        <f>BDH("VRDOQ US Equity","IS_DEPR_EXP","1996-11-17","2001-11-17","Per=Y","Days=T","Dir=V")</f>
        <v>0</v>
      </c>
      <c r="AK2">
        <f>BDH("VRDOQ US Equity","CF_CASH_FROM_OPER","1996-11-17","2001-11-17","Per=Y","Days=T","Dir=V")</f>
        <v>0</v>
      </c>
      <c r="AM2">
        <f>BDH("VRDOQ US Equity","CAPITAL_EXPEND","1996-11-17","2001-11-17","Per=Y","Days=T","Dir=V")</f>
        <v>0</v>
      </c>
      <c r="AO2">
        <f>BDH("VRDOQ US Equity","CF_FREE_CASH_FLOW","1996-11-17","2001-11-17","Per=Y","Days=T","Dir=V")</f>
        <v>0</v>
      </c>
      <c r="AQ2">
        <f>BDH("VRDOQ US Equity","PX_LAST","1996-11-17","2001-11-17","Per=M","Days=T","Dir=V")</f>
        <v>0</v>
      </c>
      <c r="AS2">
        <f>BDH("VRDOQ US Equity","CUR_MKT_CAP","1996-11-17","2001-11-17","Per=M","Days=T","Dir=V")</f>
        <v>0</v>
      </c>
      <c r="AU2">
        <f>BDH("VRDOQ US Equity","EQY_SH_OUT","1996-11-17","2001-11-17","Per=M","Days=T","Dir=V")</f>
        <v>0</v>
      </c>
      <c r="AW2">
        <f>BDH("VRDOQ US Equity","PX_VOLUME","1996-11-17","2001-11-17","Per=M","Days=T","Dir=V")</f>
        <v>0</v>
      </c>
      <c r="AY2">
        <f>BDH("VRDOQ US Equity","TURNOVER","1996-11-17","2001-11-17","Per=M","Days=T","Dir=V")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BDH("KELLQ US Equity","BS_TOT_ASSET","1996-11-22","2001-11-22","Per=Y","Days=T","Dir=V")</f>
        <v>0</v>
      </c>
      <c r="C2">
        <f>BDH("KELLQ US Equity","BS_TOT_LIAB2","1996-11-22","2001-11-22","Per=Y","Days=T","Dir=V")</f>
        <v>0</v>
      </c>
      <c r="E2">
        <f>BDH("KELLQ US Equity","SHORT_AND_LONG_TERM_DEBT","1996-11-22","2001-11-22","Per=Y","Days=T","Dir=V")</f>
        <v>0</v>
      </c>
      <c r="G2">
        <f>BDH("KELLQ US Equity","BS_ST_BORROW","1996-11-22","2001-11-22","Per=Y","Days=T","Dir=V")</f>
        <v>0</v>
      </c>
      <c r="I2">
        <f>BDH("KELLQ US Equity","BS_LT_BORROW","1996-11-22","2001-11-22","Per=Y","Days=T","Dir=V")</f>
        <v>0</v>
      </c>
      <c r="K2">
        <f>BDH("KELLQ US Equity","BS_CASH_NEAR_CASH_ITEM","1996-11-22","2001-11-22","Per=Y","Days=T","Dir=V")</f>
        <v>0</v>
      </c>
      <c r="M2">
        <f>BDH("KELLQ US Equity","BS_CUR_ASSET_REPORT","1996-11-22","2001-11-22","Per=Y","Days=T","Dir=V")</f>
        <v>0</v>
      </c>
      <c r="O2">
        <f>BDH("KELLQ US Equity","BS_CUR_LIAB","1996-11-22","2001-11-22","Per=Y","Days=T","Dir=V")</f>
        <v>0</v>
      </c>
      <c r="Q2">
        <f>BDH("KELLQ US Equity","BS_SHAREHOLDER_EQY_ENDING_PERIOD","1996-11-22","2001-11-22","Per=Y","Days=T","Dir=V")</f>
        <v>0</v>
      </c>
      <c r="S2">
        <f>BDH("KELLQ US Equity","BS_ACCT_NOTE_RCV","1996-11-22","2001-11-22","Per=Y","Days=T","Dir=V")</f>
        <v>0</v>
      </c>
      <c r="U2">
        <f>BDH("KELLQ US Equity","BS_INVENTORIES","1996-11-22","2001-11-22","Per=Y","Days=T","Dir=V")</f>
        <v>0</v>
      </c>
      <c r="W2">
        <f>BDH("KELLQ US Equity","WORKING_CAPITAL","1996-11-22","2001-11-22","Per=Y","Days=T","Dir=V")</f>
        <v>0</v>
      </c>
      <c r="Y2">
        <f>BDH("KELLQ US Equity","SALES_REV_TURN","1996-11-22","2001-11-22","Per=Y","Days=T","Dir=V")</f>
        <v>0</v>
      </c>
      <c r="AA2">
        <f>BDH("KELLQ US Equity","EBIT","1996-11-22","2001-11-22","Per=Y","Days=T","Dir=V")</f>
        <v>0</v>
      </c>
      <c r="AC2">
        <f>BDH("KELLQ US Equity","EBITDA","1996-11-22","2001-11-22","Per=Y","Days=T","Dir=V")</f>
        <v>0</v>
      </c>
      <c r="AE2">
        <f>BDH("KELLQ US Equity","NET_INCOME","1996-11-22","2001-11-22","Per=Y","Days=T","Dir=V")</f>
        <v>0</v>
      </c>
      <c r="AG2">
        <f>BDH("KELLQ US Equity","IS_INT_EXPENSE","1996-11-22","2001-11-22","Per=Y","Days=T","Dir=V")</f>
        <v>0</v>
      </c>
      <c r="AI2">
        <f>BDH("KELLQ US Equity","IS_DEPR_EXP","1996-11-22","2001-11-22","Per=Y","Days=T","Dir=V")</f>
        <v>0</v>
      </c>
      <c r="AK2">
        <f>BDH("KELLQ US Equity","CF_CASH_FROM_OPER","1996-11-22","2001-11-22","Per=Y","Days=T","Dir=V")</f>
        <v>0</v>
      </c>
      <c r="AM2">
        <f>BDH("KELLQ US Equity","CAPITAL_EXPEND","1996-11-22","2001-11-22","Per=Y","Days=T","Dir=V")</f>
        <v>0</v>
      </c>
      <c r="AO2">
        <f>BDH("KELLQ US Equity","CF_FREE_CASH_FLOW","1996-11-22","2001-11-22","Per=Y","Days=T","Dir=V")</f>
        <v>0</v>
      </c>
      <c r="AQ2">
        <f>BDH("KELLQ US Equity","PX_LAST","1996-11-22","2001-11-22","Per=M","Days=T","Dir=V")</f>
        <v>0</v>
      </c>
      <c r="AS2">
        <f>BDH("KELLQ US Equity","CUR_MKT_CAP","1996-11-22","2001-11-22","Per=M","Days=T","Dir=V")</f>
        <v>0</v>
      </c>
      <c r="AU2">
        <f>BDH("KELLQ US Equity","EQY_SH_OUT","1996-11-22","2001-11-22","Per=M","Days=T","Dir=V")</f>
        <v>0</v>
      </c>
      <c r="AW2">
        <f>BDH("KELLQ US Equity","PX_VOLUME","1996-11-22","2001-11-22","Per=M","Days=T","Dir=V")</f>
        <v>0</v>
      </c>
      <c r="AY2">
        <f>BDH("KELLQ US Equity","TURNOVER","1996-11-22","2001-11-22","Per=M","Days=T","Dir=V")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BDH("NSTLQ US Equity","BS_TOT_ASSET","1996-12-06","2001-12-06","Per=Y","Days=T","Dir=V")</f>
        <v>0</v>
      </c>
      <c r="C2">
        <f>BDH("NSTLQ US Equity","BS_TOT_LIAB2","1996-12-06","2001-12-06","Per=Y","Days=T","Dir=V")</f>
        <v>0</v>
      </c>
      <c r="E2">
        <f>BDH("NSTLQ US Equity","SHORT_AND_LONG_TERM_DEBT","1996-12-06","2001-12-06","Per=Y","Days=T","Dir=V")</f>
        <v>0</v>
      </c>
      <c r="G2">
        <f>BDH("NSTLQ US Equity","BS_ST_BORROW","1996-12-06","2001-12-06","Per=Y","Days=T","Dir=V")</f>
        <v>0</v>
      </c>
      <c r="I2">
        <f>BDH("NSTLQ US Equity","BS_LT_BORROW","1996-12-06","2001-12-06","Per=Y","Days=T","Dir=V")</f>
        <v>0</v>
      </c>
      <c r="K2">
        <f>BDH("NSTLQ US Equity","BS_CASH_NEAR_CASH_ITEM","1996-12-06","2001-12-06","Per=Y","Days=T","Dir=V")</f>
        <v>0</v>
      </c>
      <c r="M2">
        <f>BDH("NSTLQ US Equity","BS_CUR_ASSET_REPORT","1996-12-06","2001-12-06","Per=Y","Days=T","Dir=V")</f>
        <v>0</v>
      </c>
      <c r="O2">
        <f>BDH("NSTLQ US Equity","BS_CUR_LIAB","1996-12-06","2001-12-06","Per=Y","Days=T","Dir=V")</f>
        <v>0</v>
      </c>
      <c r="Q2">
        <f>BDH("NSTLQ US Equity","BS_SHAREHOLDER_EQY_ENDING_PERIOD","1996-12-06","2001-12-06","Per=Y","Days=T","Dir=V")</f>
        <v>0</v>
      </c>
      <c r="S2">
        <f>BDH("NSTLQ US Equity","BS_ACCT_NOTE_RCV","1996-12-06","2001-12-06","Per=Y","Days=T","Dir=V")</f>
        <v>0</v>
      </c>
      <c r="U2">
        <f>BDH("NSTLQ US Equity","BS_INVENTORIES","1996-12-06","2001-12-06","Per=Y","Days=T","Dir=V")</f>
        <v>0</v>
      </c>
      <c r="W2">
        <f>BDH("NSTLQ US Equity","WORKING_CAPITAL","1996-12-06","2001-12-06","Per=Y","Days=T","Dir=V")</f>
        <v>0</v>
      </c>
      <c r="Y2">
        <f>BDH("NSTLQ US Equity","SALES_REV_TURN","1996-12-06","2001-12-06","Per=Y","Days=T","Dir=V")</f>
        <v>0</v>
      </c>
      <c r="AA2">
        <f>BDH("NSTLQ US Equity","EBIT","1996-12-06","2001-12-06","Per=Y","Days=T","Dir=V")</f>
        <v>0</v>
      </c>
      <c r="AC2">
        <f>BDH("NSTLQ US Equity","EBITDA","1996-12-06","2001-12-06","Per=Y","Days=T","Dir=V")</f>
        <v>0</v>
      </c>
      <c r="AE2">
        <f>BDH("NSTLQ US Equity","NET_INCOME","1996-12-06","2001-12-06","Per=Y","Days=T","Dir=V")</f>
        <v>0</v>
      </c>
      <c r="AG2">
        <f>BDH("NSTLQ US Equity","IS_INT_EXPENSE","1996-12-06","2001-12-06","Per=Y","Days=T","Dir=V")</f>
        <v>0</v>
      </c>
      <c r="AI2">
        <f>BDH("NSTLQ US Equity","IS_DEPR_EXP","1996-12-06","2001-12-06","Per=Y","Days=T","Dir=V")</f>
        <v>0</v>
      </c>
      <c r="AK2">
        <f>BDH("NSTLQ US Equity","CF_CASH_FROM_OPER","1996-12-06","2001-12-06","Per=Y","Days=T","Dir=V")</f>
        <v>0</v>
      </c>
      <c r="AM2">
        <f>BDH("NSTLQ US Equity","CAPITAL_EXPEND","1996-12-06","2001-12-06","Per=Y","Days=T","Dir=V")</f>
        <v>0</v>
      </c>
      <c r="AO2">
        <f>BDH("NSTLQ US Equity","CF_FREE_CASH_FLOW","1996-12-06","2001-12-06","Per=Y","Days=T","Dir=V")</f>
        <v>0</v>
      </c>
      <c r="AQ2">
        <f>BDH("NSTLQ US Equity","PX_LAST","1996-12-06","2001-12-06","Per=M","Days=T","Dir=V")</f>
        <v>0</v>
      </c>
      <c r="AS2">
        <f>BDH("NSTLQ US Equity","CUR_MKT_CAP","1996-12-06","2001-12-06","Per=M","Days=T","Dir=V")</f>
        <v>0</v>
      </c>
      <c r="AU2">
        <f>BDH("NSTLQ US Equity","EQY_SH_OUT","1996-12-06","2001-12-06","Per=M","Days=T","Dir=V")</f>
        <v>0</v>
      </c>
      <c r="AW2">
        <f>BDH("NSTLQ US Equity","PX_VOLUME","1996-12-06","2001-12-06","Per=M","Days=T","Dir=V")</f>
        <v>0</v>
      </c>
      <c r="AY2">
        <f>BDH("NSTLQ US Equity","TURNOVER","1996-12-06","2001-12-06","Per=M","Days=T","Dir=V")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BDH("AGATQ US Equity","BS_TOT_ASSET","1996-12-11","2001-12-11","Per=Y","Days=T","Dir=V")</f>
        <v>0</v>
      </c>
      <c r="C2">
        <f>BDH("AGATQ US Equity","BS_TOT_LIAB2","1996-12-11","2001-12-11","Per=Y","Days=T","Dir=V")</f>
        <v>0</v>
      </c>
      <c r="E2">
        <f>BDH("AGATQ US Equity","SHORT_AND_LONG_TERM_DEBT","1996-12-11","2001-12-11","Per=Y","Days=T","Dir=V")</f>
        <v>0</v>
      </c>
      <c r="G2">
        <f>BDH("AGATQ US Equity","BS_ST_BORROW","1996-12-11","2001-12-11","Per=Y","Days=T","Dir=V")</f>
        <v>0</v>
      </c>
      <c r="I2">
        <f>BDH("AGATQ US Equity","BS_LT_BORROW","1996-12-11","2001-12-11","Per=Y","Days=T","Dir=V")</f>
        <v>0</v>
      </c>
      <c r="K2">
        <f>BDH("AGATQ US Equity","BS_CASH_NEAR_CASH_ITEM","1996-12-11","2001-12-11","Per=Y","Days=T","Dir=V")</f>
        <v>0</v>
      </c>
      <c r="M2">
        <f>BDH("AGATQ US Equity","BS_CUR_ASSET_REPORT","1996-12-11","2001-12-11","Per=Y","Days=T","Dir=V")</f>
        <v>0</v>
      </c>
      <c r="O2">
        <f>BDH("AGATQ US Equity","BS_CUR_LIAB","1996-12-11","2001-12-11","Per=Y","Days=T","Dir=V")</f>
        <v>0</v>
      </c>
      <c r="Q2">
        <f>BDH("AGATQ US Equity","BS_SHAREHOLDER_EQY_ENDING_PERIOD","1996-12-11","2001-12-11","Per=Y","Days=T","Dir=V")</f>
        <v>0</v>
      </c>
      <c r="S2">
        <f>BDH("AGATQ US Equity","BS_ACCT_NOTE_RCV","1996-12-11","2001-12-11","Per=Y","Days=T","Dir=V")</f>
        <v>0</v>
      </c>
      <c r="U2">
        <f>BDH("AGATQ US Equity","BS_INVENTORIES","1996-12-11","2001-12-11","Per=Y","Days=T","Dir=V")</f>
        <v>0</v>
      </c>
      <c r="W2">
        <f>BDH("AGATQ US Equity","WORKING_CAPITAL","1996-12-11","2001-12-11","Per=Y","Days=T","Dir=V")</f>
        <v>0</v>
      </c>
      <c r="Y2">
        <f>BDH("AGATQ US Equity","SALES_REV_TURN","1996-12-11","2001-12-11","Per=Y","Days=T","Dir=V")</f>
        <v>0</v>
      </c>
      <c r="AA2">
        <f>BDH("AGATQ US Equity","EBIT","1996-12-11","2001-12-11","Per=Y","Days=T","Dir=V")</f>
        <v>0</v>
      </c>
      <c r="AC2">
        <f>BDH("AGATQ US Equity","EBITDA","1996-12-11","2001-12-11","Per=Y","Days=T","Dir=V")</f>
        <v>0</v>
      </c>
      <c r="AE2">
        <f>BDH("AGATQ US Equity","NET_INCOME","1996-12-11","2001-12-11","Per=Y","Days=T","Dir=V")</f>
        <v>0</v>
      </c>
      <c r="AG2">
        <f>BDH("AGATQ US Equity","IS_INT_EXPENSE","1996-12-11","2001-12-11","Per=Y","Days=T","Dir=V")</f>
        <v>0</v>
      </c>
      <c r="AI2">
        <f>BDH("AGATQ US Equity","IS_DEPR_EXP","1996-12-11","2001-12-11","Per=Y","Days=T","Dir=V")</f>
        <v>0</v>
      </c>
      <c r="AK2">
        <f>BDH("AGATQ US Equity","CF_CASH_FROM_OPER","1996-12-11","2001-12-11","Per=Y","Days=T","Dir=V")</f>
        <v>0</v>
      </c>
      <c r="AM2">
        <f>BDH("AGATQ US Equity","CAPITAL_EXPEND","1996-12-11","2001-12-11","Per=Y","Days=T","Dir=V")</f>
        <v>0</v>
      </c>
      <c r="AO2">
        <f>BDH("AGATQ US Equity","CF_FREE_CASH_FLOW","1996-12-11","2001-12-11","Per=Y","Days=T","Dir=V")</f>
        <v>0</v>
      </c>
      <c r="AQ2">
        <f>BDH("AGATQ US Equity","PX_LAST","1996-12-11","2001-12-11","Per=M","Days=T","Dir=V")</f>
        <v>0</v>
      </c>
      <c r="AS2">
        <f>BDH("AGATQ US Equity","CUR_MKT_CAP","1996-12-11","2001-12-11","Per=M","Days=T","Dir=V")</f>
        <v>0</v>
      </c>
      <c r="AU2">
        <f>BDH("AGATQ US Equity","EQY_SH_OUT","1996-12-11","2001-12-11","Per=M","Days=T","Dir=V")</f>
        <v>0</v>
      </c>
      <c r="AW2">
        <f>BDH("AGATQ US Equity","PX_VOLUME","1996-12-11","2001-12-11","Per=M","Days=T","Dir=V")</f>
        <v>0</v>
      </c>
      <c r="AY2">
        <f>BDH("AGATQ US Equity","TURNOVER","1996-12-11","2001-12-11","Per=M","Days=T","Dir=V")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BDH("237002Q US Equity","BS_TOT_ASSET","1997-01-15","2002-01-15","Per=Y","Days=T","Dir=V")</f>
        <v>0</v>
      </c>
      <c r="C2">
        <f>BDH("237002Q US Equity","BS_TOT_LIAB2","1997-01-15","2002-01-15","Per=Y","Days=T","Dir=V")</f>
        <v>0</v>
      </c>
      <c r="E2">
        <f>BDH("237002Q US Equity","SHORT_AND_LONG_TERM_DEBT","1997-01-15","2002-01-15","Per=Y","Days=T","Dir=V")</f>
        <v>0</v>
      </c>
      <c r="G2">
        <f>BDH("237002Q US Equity","BS_ST_BORROW","1997-01-15","2002-01-15","Per=Y","Days=T","Dir=V")</f>
        <v>0</v>
      </c>
      <c r="I2">
        <f>BDH("237002Q US Equity","BS_LT_BORROW","1997-01-15","2002-01-15","Per=Y","Days=T","Dir=V")</f>
        <v>0</v>
      </c>
      <c r="K2">
        <f>BDH("237002Q US Equity","BS_CASH_NEAR_CASH_ITEM","1997-01-15","2002-01-15","Per=Y","Days=T","Dir=V")</f>
        <v>0</v>
      </c>
      <c r="M2">
        <f>BDH("237002Q US Equity","BS_CUR_ASSET_REPORT","1997-01-15","2002-01-15","Per=Y","Days=T","Dir=V")</f>
        <v>0</v>
      </c>
      <c r="O2">
        <f>BDH("237002Q US Equity","BS_CUR_LIAB","1997-01-15","2002-01-15","Per=Y","Days=T","Dir=V")</f>
        <v>0</v>
      </c>
      <c r="Q2">
        <f>BDH("237002Q US Equity","BS_SHAREHOLDER_EQY_ENDING_PERIOD","1997-01-15","2002-01-15","Per=Y","Days=T","Dir=V")</f>
        <v>0</v>
      </c>
      <c r="S2">
        <f>BDH("237002Q US Equity","BS_ACCT_NOTE_RCV","1997-01-15","2002-01-15","Per=Y","Days=T","Dir=V")</f>
        <v>0</v>
      </c>
      <c r="U2">
        <f>BDH("237002Q US Equity","BS_INVENTORIES","1997-01-15","2002-01-15","Per=Y","Days=T","Dir=V")</f>
        <v>0</v>
      </c>
      <c r="W2">
        <f>BDH("237002Q US Equity","WORKING_CAPITAL","1997-01-15","2002-01-15","Per=Y","Days=T","Dir=V")</f>
        <v>0</v>
      </c>
      <c r="Y2">
        <f>BDH("237002Q US Equity","SALES_REV_TURN","1997-01-15","2002-01-15","Per=Y","Days=T","Dir=V")</f>
        <v>0</v>
      </c>
      <c r="AA2">
        <f>BDH("237002Q US Equity","EBIT","1997-01-15","2002-01-15","Per=Y","Days=T","Dir=V")</f>
        <v>0</v>
      </c>
      <c r="AC2">
        <f>BDH("237002Q US Equity","EBITDA","1997-01-15","2002-01-15","Per=Y","Days=T","Dir=V")</f>
        <v>0</v>
      </c>
      <c r="AE2">
        <f>BDH("237002Q US Equity","NET_INCOME","1997-01-15","2002-01-15","Per=Y","Days=T","Dir=V")</f>
        <v>0</v>
      </c>
      <c r="AG2">
        <f>BDH("237002Q US Equity","IS_INT_EXPENSE","1997-01-15","2002-01-15","Per=Y","Days=T","Dir=V")</f>
        <v>0</v>
      </c>
      <c r="AI2">
        <f>BDH("237002Q US Equity","IS_DEPR_EXP","1997-01-15","2002-01-15","Per=Y","Days=T","Dir=V")</f>
        <v>0</v>
      </c>
      <c r="AK2">
        <f>BDH("237002Q US Equity","CF_CASH_FROM_OPER","1997-01-15","2002-01-15","Per=Y","Days=T","Dir=V")</f>
        <v>0</v>
      </c>
      <c r="AM2">
        <f>BDH("237002Q US Equity","CAPITAL_EXPEND","1997-01-15","2002-01-15","Per=Y","Days=T","Dir=V")</f>
        <v>0</v>
      </c>
      <c r="AO2">
        <f>BDH("237002Q US Equity","CF_FREE_CASH_FLOW","1997-01-15","2002-01-15","Per=Y","Days=T","Dir=V")</f>
        <v>0</v>
      </c>
      <c r="AQ2">
        <f>BDH("237002Q US Equity","PX_LAST","1997-01-15","2002-01-15","Per=M","Days=T","Dir=V")</f>
        <v>0</v>
      </c>
      <c r="AS2">
        <f>BDH("237002Q US Equity","CUR_MKT_CAP","1997-01-15","2002-01-15","Per=M","Days=T","Dir=V")</f>
        <v>0</v>
      </c>
      <c r="AU2">
        <f>BDH("237002Q US Equity","EQY_SH_OUT","1997-01-15","2002-01-15","Per=M","Days=T","Dir=V")</f>
        <v>0</v>
      </c>
      <c r="AW2">
        <f>BDH("237002Q US Equity","PX_VOLUME","1997-01-15","2002-01-15","Per=M","Days=T","Dir=V")</f>
        <v>0</v>
      </c>
      <c r="AY2">
        <f>BDH("237002Q US Equity","TURNOVER","1997-01-15","2002-01-15","Per=M","Days=T","Dir=V")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BDH("MFNXQ US Equity","BS_TOT_ASSET","1997-02-19","2002-02-19","Per=Y","Days=T","Dir=V")</f>
        <v>0</v>
      </c>
      <c r="C2">
        <f>BDH("MFNXQ US Equity","BS_TOT_LIAB2","1997-02-19","2002-02-19","Per=Y","Days=T","Dir=V")</f>
        <v>0</v>
      </c>
      <c r="E2">
        <f>BDH("MFNXQ US Equity","SHORT_AND_LONG_TERM_DEBT","1997-02-19","2002-02-19","Per=Y","Days=T","Dir=V")</f>
        <v>0</v>
      </c>
      <c r="G2">
        <f>BDH("MFNXQ US Equity","BS_ST_BORROW","1997-02-19","2002-02-19","Per=Y","Days=T","Dir=V")</f>
        <v>0</v>
      </c>
      <c r="I2">
        <f>BDH("MFNXQ US Equity","BS_LT_BORROW","1997-02-19","2002-02-19","Per=Y","Days=T","Dir=V")</f>
        <v>0</v>
      </c>
      <c r="K2">
        <f>BDH("MFNXQ US Equity","BS_CASH_NEAR_CASH_ITEM","1997-02-19","2002-02-19","Per=Y","Days=T","Dir=V")</f>
        <v>0</v>
      </c>
      <c r="M2">
        <f>BDH("MFNXQ US Equity","BS_CUR_ASSET_REPORT","1997-02-19","2002-02-19","Per=Y","Days=T","Dir=V")</f>
        <v>0</v>
      </c>
      <c r="O2">
        <f>BDH("MFNXQ US Equity","BS_CUR_LIAB","1997-02-19","2002-02-19","Per=Y","Days=T","Dir=V")</f>
        <v>0</v>
      </c>
      <c r="Q2">
        <f>BDH("MFNXQ US Equity","BS_SHAREHOLDER_EQY_ENDING_PERIOD","1997-02-19","2002-02-19","Per=Y","Days=T","Dir=V")</f>
        <v>0</v>
      </c>
      <c r="S2">
        <f>BDH("MFNXQ US Equity","BS_ACCT_NOTE_RCV","1997-02-19","2002-02-19","Per=Y","Days=T","Dir=V")</f>
        <v>0</v>
      </c>
      <c r="U2">
        <f>BDH("MFNXQ US Equity","BS_INVENTORIES","1997-02-19","2002-02-19","Per=Y","Days=T","Dir=V")</f>
        <v>0</v>
      </c>
      <c r="W2">
        <f>BDH("MFNXQ US Equity","WORKING_CAPITAL","1997-02-19","2002-02-19","Per=Y","Days=T","Dir=V")</f>
        <v>0</v>
      </c>
      <c r="Y2">
        <f>BDH("MFNXQ US Equity","SALES_REV_TURN","1997-02-19","2002-02-19","Per=Y","Days=T","Dir=V")</f>
        <v>0</v>
      </c>
      <c r="AA2">
        <f>BDH("MFNXQ US Equity","EBIT","1997-02-19","2002-02-19","Per=Y","Days=T","Dir=V")</f>
        <v>0</v>
      </c>
      <c r="AC2">
        <f>BDH("MFNXQ US Equity","EBITDA","1997-02-19","2002-02-19","Per=Y","Days=T","Dir=V")</f>
        <v>0</v>
      </c>
      <c r="AE2">
        <f>BDH("MFNXQ US Equity","NET_INCOME","1997-02-19","2002-02-19","Per=Y","Days=T","Dir=V")</f>
        <v>0</v>
      </c>
      <c r="AG2">
        <f>BDH("MFNXQ US Equity","IS_INT_EXPENSE","1997-02-19","2002-02-19","Per=Y","Days=T","Dir=V")</f>
        <v>0</v>
      </c>
      <c r="AI2">
        <f>BDH("MFNXQ US Equity","IS_DEPR_EXP","1997-02-19","2002-02-19","Per=Y","Days=T","Dir=V")</f>
        <v>0</v>
      </c>
      <c r="AK2">
        <f>BDH("MFNXQ US Equity","CF_CASH_FROM_OPER","1997-02-19","2002-02-19","Per=Y","Days=T","Dir=V")</f>
        <v>0</v>
      </c>
      <c r="AM2">
        <f>BDH("MFNXQ US Equity","CAPITAL_EXPEND","1997-02-19","2002-02-19","Per=Y","Days=T","Dir=V")</f>
        <v>0</v>
      </c>
      <c r="AO2">
        <f>BDH("MFNXQ US Equity","CF_FREE_CASH_FLOW","1997-02-19","2002-02-19","Per=Y","Days=T","Dir=V")</f>
        <v>0</v>
      </c>
      <c r="AQ2">
        <f>BDH("MFNXQ US Equity","PX_LAST","1997-02-19","2002-02-19","Per=M","Days=T","Dir=V")</f>
        <v>0</v>
      </c>
      <c r="AS2">
        <f>BDH("MFNXQ US Equity","CUR_MKT_CAP","1997-02-19","2002-02-19","Per=M","Days=T","Dir=V")</f>
        <v>0</v>
      </c>
      <c r="AU2">
        <f>BDH("MFNXQ US Equity","EQY_SH_OUT","1997-02-19","2002-02-19","Per=M","Days=T","Dir=V")</f>
        <v>0</v>
      </c>
      <c r="AW2">
        <f>BDH("MFNXQ US Equity","PX_VOLUME","1997-02-19","2002-02-19","Per=M","Days=T","Dir=V")</f>
        <v>0</v>
      </c>
      <c r="AY2">
        <f>BDH("MFNXQ US Equity","TURNOVER","1997-02-19","2002-02-19","Per=M","Days=T","Dir=V")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BDH("PTACQ US Equity","BS_TOT_ASSET","1997-02-22","2002-02-22","Per=Y","Days=T","Dir=V")</f>
        <v>0</v>
      </c>
      <c r="C2">
        <f>BDH("PTACQ US Equity","BS_TOT_LIAB2","1997-02-22","2002-02-22","Per=Y","Days=T","Dir=V")</f>
        <v>0</v>
      </c>
      <c r="E2">
        <f>BDH("PTACQ US Equity","SHORT_AND_LONG_TERM_DEBT","1997-02-22","2002-02-22","Per=Y","Days=T","Dir=V")</f>
        <v>0</v>
      </c>
      <c r="G2">
        <f>BDH("PTACQ US Equity","BS_ST_BORROW","1997-02-22","2002-02-22","Per=Y","Days=T","Dir=V")</f>
        <v>0</v>
      </c>
      <c r="I2">
        <f>BDH("PTACQ US Equity","BS_LT_BORROW","1997-02-22","2002-02-22","Per=Y","Days=T","Dir=V")</f>
        <v>0</v>
      </c>
      <c r="K2">
        <f>BDH("PTACQ US Equity","BS_CASH_NEAR_CASH_ITEM","1997-02-22","2002-02-22","Per=Y","Days=T","Dir=V")</f>
        <v>0</v>
      </c>
      <c r="M2">
        <f>BDH("PTACQ US Equity","BS_CUR_ASSET_REPORT","1997-02-22","2002-02-22","Per=Y","Days=T","Dir=V")</f>
        <v>0</v>
      </c>
      <c r="O2">
        <f>BDH("PTACQ US Equity","BS_CUR_LIAB","1997-02-22","2002-02-22","Per=Y","Days=T","Dir=V")</f>
        <v>0</v>
      </c>
      <c r="Q2">
        <f>BDH("PTACQ US Equity","BS_SHAREHOLDER_EQY_ENDING_PERIOD","1997-02-22","2002-02-22","Per=Y","Days=T","Dir=V")</f>
        <v>0</v>
      </c>
      <c r="S2">
        <f>BDH("PTACQ US Equity","BS_ACCT_NOTE_RCV","1997-02-22","2002-02-22","Per=Y","Days=T","Dir=V")</f>
        <v>0</v>
      </c>
      <c r="U2">
        <f>BDH("PTACQ US Equity","BS_INVENTORIES","1997-02-22","2002-02-22","Per=Y","Days=T","Dir=V")</f>
        <v>0</v>
      </c>
      <c r="W2">
        <f>BDH("PTACQ US Equity","WORKING_CAPITAL","1997-02-22","2002-02-22","Per=Y","Days=T","Dir=V")</f>
        <v>0</v>
      </c>
      <c r="Y2">
        <f>BDH("PTACQ US Equity","SALES_REV_TURN","1997-02-22","2002-02-22","Per=Y","Days=T","Dir=V")</f>
        <v>0</v>
      </c>
      <c r="AA2">
        <f>BDH("PTACQ US Equity","EBIT","1997-02-22","2002-02-22","Per=Y","Days=T","Dir=V")</f>
        <v>0</v>
      </c>
      <c r="AC2">
        <f>BDH("PTACQ US Equity","EBITDA","1997-02-22","2002-02-22","Per=Y","Days=T","Dir=V")</f>
        <v>0</v>
      </c>
      <c r="AE2">
        <f>BDH("PTACQ US Equity","NET_INCOME","1997-02-22","2002-02-22","Per=Y","Days=T","Dir=V")</f>
        <v>0</v>
      </c>
      <c r="AG2">
        <f>BDH("PTACQ US Equity","IS_INT_EXPENSE","1997-02-22","2002-02-22","Per=Y","Days=T","Dir=V")</f>
        <v>0</v>
      </c>
      <c r="AI2">
        <f>BDH("PTACQ US Equity","IS_DEPR_EXP","1997-02-22","2002-02-22","Per=Y","Days=T","Dir=V")</f>
        <v>0</v>
      </c>
      <c r="AK2">
        <f>BDH("PTACQ US Equity","CF_CASH_FROM_OPER","1997-02-22","2002-02-22","Per=Y","Days=T","Dir=V")</f>
        <v>0</v>
      </c>
      <c r="AM2">
        <f>BDH("PTACQ US Equity","CAPITAL_EXPEND","1997-02-22","2002-02-22","Per=Y","Days=T","Dir=V")</f>
        <v>0</v>
      </c>
      <c r="AO2">
        <f>BDH("PTACQ US Equity","CF_FREE_CASH_FLOW","1997-02-22","2002-02-22","Per=Y","Days=T","Dir=V")</f>
        <v>0</v>
      </c>
      <c r="AQ2">
        <f>BDH("PTACQ US Equity","PX_LAST","1997-02-22","2002-02-22","Per=M","Days=T","Dir=V")</f>
        <v>0</v>
      </c>
      <c r="AS2">
        <f>BDH("PTACQ US Equity","CUR_MKT_CAP","1997-02-22","2002-02-22","Per=M","Days=T","Dir=V")</f>
        <v>0</v>
      </c>
      <c r="AU2">
        <f>BDH("PTACQ US Equity","EQY_SH_OUT","1997-02-22","2002-02-22","Per=M","Days=T","Dir=V")</f>
        <v>0</v>
      </c>
      <c r="AW2">
        <f>BDH("PTACQ US Equity","PX_VOLUME","1997-02-22","2002-02-22","Per=M","Days=T","Dir=V")</f>
        <v>0</v>
      </c>
      <c r="AY2">
        <f>BDH("PTACQ US Equity","TURNOVER","1997-02-22","2002-02-22","Per=M","Days=T","Dir=V")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BDH("BIRS US Equity","BS_TOT_ASSET","1997-03-05","2002-03-05","Per=Y","Days=T","Dir=V")</f>
        <v>0</v>
      </c>
      <c r="C2">
        <f>BDH("BIRS US Equity","BS_TOT_LIAB2","1997-03-05","2002-03-05","Per=Y","Days=T","Dir=V")</f>
        <v>0</v>
      </c>
      <c r="E2">
        <f>BDH("BIRS US Equity","SHORT_AND_LONG_TERM_DEBT","1997-03-05","2002-03-05","Per=Y","Days=T","Dir=V")</f>
        <v>0</v>
      </c>
      <c r="G2">
        <f>BDH("BIRS US Equity","BS_ST_BORROW","1997-03-05","2002-03-05","Per=Y","Days=T","Dir=V")</f>
        <v>0</v>
      </c>
      <c r="I2">
        <f>BDH("BIRS US Equity","BS_LT_BORROW","1997-03-05","2002-03-05","Per=Y","Days=T","Dir=V")</f>
        <v>0</v>
      </c>
      <c r="K2">
        <f>BDH("BIRS US Equity","BS_CASH_NEAR_CASH_ITEM","1997-03-05","2002-03-05","Per=Y","Days=T","Dir=V")</f>
        <v>0</v>
      </c>
      <c r="M2">
        <f>BDH("BIRS US Equity","BS_CUR_ASSET_REPORT","1997-03-05","2002-03-05","Per=Y","Days=T","Dir=V")</f>
        <v>0</v>
      </c>
      <c r="O2">
        <f>BDH("BIRS US Equity","BS_CUR_LIAB","1997-03-05","2002-03-05","Per=Y","Days=T","Dir=V")</f>
        <v>0</v>
      </c>
      <c r="Q2">
        <f>BDH("BIRS US Equity","BS_SHAREHOLDER_EQY_ENDING_PERIOD","1997-03-05","2002-03-05","Per=Y","Days=T","Dir=V")</f>
        <v>0</v>
      </c>
      <c r="S2">
        <f>BDH("BIRS US Equity","BS_ACCT_NOTE_RCV","1997-03-05","2002-03-05","Per=Y","Days=T","Dir=V")</f>
        <v>0</v>
      </c>
      <c r="U2">
        <f>BDH("BIRS US Equity","BS_INVENTORIES","1997-03-05","2002-03-05","Per=Y","Days=T","Dir=V")</f>
        <v>0</v>
      </c>
      <c r="W2">
        <f>BDH("BIRS US Equity","WORKING_CAPITAL","1997-03-05","2002-03-05","Per=Y","Days=T","Dir=V")</f>
        <v>0</v>
      </c>
      <c r="Y2">
        <f>BDH("BIRS US Equity","SALES_REV_TURN","1997-03-05","2002-03-05","Per=Y","Days=T","Dir=V")</f>
        <v>0</v>
      </c>
      <c r="AA2">
        <f>BDH("BIRS US Equity","EBIT","1997-03-05","2002-03-05","Per=Y","Days=T","Dir=V")</f>
        <v>0</v>
      </c>
      <c r="AC2">
        <f>BDH("BIRS US Equity","EBITDA","1997-03-05","2002-03-05","Per=Y","Days=T","Dir=V")</f>
        <v>0</v>
      </c>
      <c r="AE2">
        <f>BDH("BIRS US Equity","NET_INCOME","1997-03-05","2002-03-05","Per=Y","Days=T","Dir=V")</f>
        <v>0</v>
      </c>
      <c r="AG2">
        <f>BDH("BIRS US Equity","IS_INT_EXPENSE","1997-03-05","2002-03-05","Per=Y","Days=T","Dir=V")</f>
        <v>0</v>
      </c>
      <c r="AI2">
        <f>BDH("BIRS US Equity","IS_DEPR_EXP","1997-03-05","2002-03-05","Per=Y","Days=T","Dir=V")</f>
        <v>0</v>
      </c>
      <c r="AK2">
        <f>BDH("BIRS US Equity","CF_CASH_FROM_OPER","1997-03-05","2002-03-05","Per=Y","Days=T","Dir=V")</f>
        <v>0</v>
      </c>
      <c r="AM2">
        <f>BDH("BIRS US Equity","CAPITAL_EXPEND","1997-03-05","2002-03-05","Per=Y","Days=T","Dir=V")</f>
        <v>0</v>
      </c>
      <c r="AO2">
        <f>BDH("BIRS US Equity","CF_FREE_CASH_FLOW","1997-03-05","2002-03-05","Per=Y","Days=T","Dir=V")</f>
        <v>0</v>
      </c>
      <c r="AQ2">
        <f>BDH("BIRS US Equity","PX_LAST","1997-03-05","2002-03-05","Per=M","Days=T","Dir=V")</f>
        <v>0</v>
      </c>
      <c r="AS2">
        <f>BDH("BIRS US Equity","CUR_MKT_CAP","1997-03-05","2002-03-05","Per=M","Days=T","Dir=V")</f>
        <v>0</v>
      </c>
      <c r="AU2">
        <f>BDH("BIRS US Equity","EQY_SH_OUT","1997-03-05","2002-03-05","Per=M","Days=T","Dir=V")</f>
        <v>0</v>
      </c>
      <c r="AW2">
        <f>BDH("BIRS US Equity","PX_VOLUME","1997-03-05","2002-03-05","Per=M","Days=T","Dir=V")</f>
        <v>0</v>
      </c>
      <c r="AY2">
        <f>BDH("BIRS US Equity","TURNOVER","1997-03-05","2002-03-05","Per=M","Days=T","Dir=V")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BDH("NWPWQ US Equity","BS_TOT_ASSET","1997-03-13","2002-03-13","Per=Y","Days=T","Dir=V")</f>
        <v>0</v>
      </c>
      <c r="C2">
        <f>BDH("NWPWQ US Equity","BS_TOT_LIAB2","1997-03-13","2002-03-13","Per=Y","Days=T","Dir=V")</f>
        <v>0</v>
      </c>
      <c r="E2">
        <f>BDH("NWPWQ US Equity","SHORT_AND_LONG_TERM_DEBT","1997-03-13","2002-03-13","Per=Y","Days=T","Dir=V")</f>
        <v>0</v>
      </c>
      <c r="G2">
        <f>BDH("NWPWQ US Equity","BS_ST_BORROW","1997-03-13","2002-03-13","Per=Y","Days=T","Dir=V")</f>
        <v>0</v>
      </c>
      <c r="I2">
        <f>BDH("NWPWQ US Equity","BS_LT_BORROW","1997-03-13","2002-03-13","Per=Y","Days=T","Dir=V")</f>
        <v>0</v>
      </c>
      <c r="K2">
        <f>BDH("NWPWQ US Equity","BS_CASH_NEAR_CASH_ITEM","1997-03-13","2002-03-13","Per=Y","Days=T","Dir=V")</f>
        <v>0</v>
      </c>
      <c r="M2">
        <f>BDH("NWPWQ US Equity","BS_CUR_ASSET_REPORT","1997-03-13","2002-03-13","Per=Y","Days=T","Dir=V")</f>
        <v>0</v>
      </c>
      <c r="O2">
        <f>BDH("NWPWQ US Equity","BS_CUR_LIAB","1997-03-13","2002-03-13","Per=Y","Days=T","Dir=V")</f>
        <v>0</v>
      </c>
      <c r="Q2">
        <f>BDH("NWPWQ US Equity","BS_SHAREHOLDER_EQY_ENDING_PERIOD","1997-03-13","2002-03-13","Per=Y","Days=T","Dir=V")</f>
        <v>0</v>
      </c>
      <c r="S2">
        <f>BDH("NWPWQ US Equity","BS_ACCT_NOTE_RCV","1997-03-13","2002-03-13","Per=Y","Days=T","Dir=V")</f>
        <v>0</v>
      </c>
      <c r="U2">
        <f>BDH("NWPWQ US Equity","BS_INVENTORIES","1997-03-13","2002-03-13","Per=Y","Days=T","Dir=V")</f>
        <v>0</v>
      </c>
      <c r="W2">
        <f>BDH("NWPWQ US Equity","WORKING_CAPITAL","1997-03-13","2002-03-13","Per=Y","Days=T","Dir=V")</f>
        <v>0</v>
      </c>
      <c r="Y2">
        <f>BDH("NWPWQ US Equity","SALES_REV_TURN","1997-03-13","2002-03-13","Per=Y","Days=T","Dir=V")</f>
        <v>0</v>
      </c>
      <c r="AA2">
        <f>BDH("NWPWQ US Equity","EBIT","1997-03-13","2002-03-13","Per=Y","Days=T","Dir=V")</f>
        <v>0</v>
      </c>
      <c r="AC2">
        <f>BDH("NWPWQ US Equity","EBITDA","1997-03-13","2002-03-13","Per=Y","Days=T","Dir=V")</f>
        <v>0</v>
      </c>
      <c r="AE2">
        <f>BDH("NWPWQ US Equity","NET_INCOME","1997-03-13","2002-03-13","Per=Y","Days=T","Dir=V")</f>
        <v>0</v>
      </c>
      <c r="AG2">
        <f>BDH("NWPWQ US Equity","IS_INT_EXPENSE","1997-03-13","2002-03-13","Per=Y","Days=T","Dir=V")</f>
        <v>0</v>
      </c>
      <c r="AI2">
        <f>BDH("NWPWQ US Equity","IS_DEPR_EXP","1997-03-13","2002-03-13","Per=Y","Days=T","Dir=V")</f>
        <v>0</v>
      </c>
      <c r="AK2">
        <f>BDH("NWPWQ US Equity","CF_CASH_FROM_OPER","1997-03-13","2002-03-13","Per=Y","Days=T","Dir=V")</f>
        <v>0</v>
      </c>
      <c r="AM2">
        <f>BDH("NWPWQ US Equity","CAPITAL_EXPEND","1997-03-13","2002-03-13","Per=Y","Days=T","Dir=V")</f>
        <v>0</v>
      </c>
      <c r="AO2">
        <f>BDH("NWPWQ US Equity","CF_FREE_CASH_FLOW","1997-03-13","2002-03-13","Per=Y","Days=T","Dir=V")</f>
        <v>0</v>
      </c>
      <c r="AQ2">
        <f>BDH("NWPWQ US Equity","PX_LAST","1997-03-13","2002-03-13","Per=M","Days=T","Dir=V")</f>
        <v>0</v>
      </c>
      <c r="AS2">
        <f>BDH("NWPWQ US Equity","CUR_MKT_CAP","1997-03-13","2002-03-13","Per=M","Days=T","Dir=V")</f>
        <v>0</v>
      </c>
      <c r="AU2">
        <f>BDH("NWPWQ US Equity","EQY_SH_OUT","1997-03-13","2002-03-13","Per=M","Days=T","Dir=V")</f>
        <v>0</v>
      </c>
      <c r="AW2">
        <f>BDH("NWPWQ US Equity","PX_VOLUME","1997-03-13","2002-03-13","Per=M","Days=T","Dir=V")</f>
        <v>0</v>
      </c>
      <c r="AY2">
        <f>BDH("NWPWQ US Equity","TURNOVER","1997-03-13","2002-03-13","Per=M","Days=T","Dir=V")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BDH("UAIRQ US Equity","BS_TOT_ASSET","1997-05-13","2002-05-13","Per=Y","Days=T","Dir=V")</f>
        <v>0</v>
      </c>
      <c r="C2">
        <f>BDH("UAIRQ US Equity","BS_TOT_LIAB2","1997-05-13","2002-05-13","Per=Y","Days=T","Dir=V")</f>
        <v>0</v>
      </c>
      <c r="E2">
        <f>BDH("UAIRQ US Equity","SHORT_AND_LONG_TERM_DEBT","1997-05-13","2002-05-13","Per=Y","Days=T","Dir=V")</f>
        <v>0</v>
      </c>
      <c r="G2">
        <f>BDH("UAIRQ US Equity","BS_ST_BORROW","1997-05-13","2002-05-13","Per=Y","Days=T","Dir=V")</f>
        <v>0</v>
      </c>
      <c r="I2">
        <f>BDH("UAIRQ US Equity","BS_LT_BORROW","1997-05-13","2002-05-13","Per=Y","Days=T","Dir=V")</f>
        <v>0</v>
      </c>
      <c r="K2">
        <f>BDH("UAIRQ US Equity","BS_CASH_NEAR_CASH_ITEM","1997-05-13","2002-05-13","Per=Y","Days=T","Dir=V")</f>
        <v>0</v>
      </c>
      <c r="M2">
        <f>BDH("UAIRQ US Equity","BS_CUR_ASSET_REPORT","1997-05-13","2002-05-13","Per=Y","Days=T","Dir=V")</f>
        <v>0</v>
      </c>
      <c r="O2">
        <f>BDH("UAIRQ US Equity","BS_CUR_LIAB","1997-05-13","2002-05-13","Per=Y","Days=T","Dir=V")</f>
        <v>0</v>
      </c>
      <c r="Q2">
        <f>BDH("UAIRQ US Equity","BS_SHAREHOLDER_EQY_ENDING_PERIOD","1997-05-13","2002-05-13","Per=Y","Days=T","Dir=V")</f>
        <v>0</v>
      </c>
      <c r="S2">
        <f>BDH("UAIRQ US Equity","BS_ACCT_NOTE_RCV","1997-05-13","2002-05-13","Per=Y","Days=T","Dir=V")</f>
        <v>0</v>
      </c>
      <c r="U2">
        <f>BDH("UAIRQ US Equity","BS_INVENTORIES","1997-05-13","2002-05-13","Per=Y","Days=T","Dir=V")</f>
        <v>0</v>
      </c>
      <c r="W2">
        <f>BDH("UAIRQ US Equity","WORKING_CAPITAL","1997-05-13","2002-05-13","Per=Y","Days=T","Dir=V")</f>
        <v>0</v>
      </c>
      <c r="Y2">
        <f>BDH("UAIRQ US Equity","SALES_REV_TURN","1997-05-13","2002-05-13","Per=Y","Days=T","Dir=V")</f>
        <v>0</v>
      </c>
      <c r="AA2">
        <f>BDH("UAIRQ US Equity","EBIT","1997-05-13","2002-05-13","Per=Y","Days=T","Dir=V")</f>
        <v>0</v>
      </c>
      <c r="AC2">
        <f>BDH("UAIRQ US Equity","EBITDA","1997-05-13","2002-05-13","Per=Y","Days=T","Dir=V")</f>
        <v>0</v>
      </c>
      <c r="AE2">
        <f>BDH("UAIRQ US Equity","NET_INCOME","1997-05-13","2002-05-13","Per=Y","Days=T","Dir=V")</f>
        <v>0</v>
      </c>
      <c r="AG2">
        <f>BDH("UAIRQ US Equity","IS_INT_EXPENSE","1997-05-13","2002-05-13","Per=Y","Days=T","Dir=V")</f>
        <v>0</v>
      </c>
      <c r="AI2">
        <f>BDH("UAIRQ US Equity","IS_DEPR_EXP","1997-05-13","2002-05-13","Per=Y","Days=T","Dir=V")</f>
        <v>0</v>
      </c>
      <c r="AK2">
        <f>BDH("UAIRQ US Equity","CF_CASH_FROM_OPER","1997-05-13","2002-05-13","Per=Y","Days=T","Dir=V")</f>
        <v>0</v>
      </c>
      <c r="AM2">
        <f>BDH("UAIRQ US Equity","CAPITAL_EXPEND","1997-05-13","2002-05-13","Per=Y","Days=T","Dir=V")</f>
        <v>0</v>
      </c>
      <c r="AO2">
        <f>BDH("UAIRQ US Equity","CF_FREE_CASH_FLOW","1997-05-13","2002-05-13","Per=Y","Days=T","Dir=V")</f>
        <v>0</v>
      </c>
      <c r="AQ2">
        <f>BDH("UAIRQ US Equity","PX_LAST","1997-05-13","2002-05-13","Per=M","Days=T","Dir=V")</f>
        <v>0</v>
      </c>
      <c r="AS2">
        <f>BDH("UAIRQ US Equity","CUR_MKT_CAP","1997-05-13","2002-05-13","Per=M","Days=T","Dir=V")</f>
        <v>0</v>
      </c>
      <c r="AU2">
        <f>BDH("UAIRQ US Equity","EQY_SH_OUT","1997-05-13","2002-05-13","Per=M","Days=T","Dir=V")</f>
        <v>0</v>
      </c>
      <c r="AW2">
        <f>BDH("UAIRQ US Equity","PX_VOLUME","1997-05-13","2002-05-13","Per=M","Days=T","Dir=V")</f>
        <v>0</v>
      </c>
      <c r="AY2">
        <f>BDH("UAIRQ US Equity","TURNOVER","1997-05-13","2002-05-13","Per=M","Days=T","Dir=V")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BDH("CFWEQ US Equity","BS_TOT_ASSET","1997-06-05","2002-06-05","Per=Y","Days=T","Dir=V")</f>
        <v>0</v>
      </c>
      <c r="C2">
        <f>BDH("CFWEQ US Equity","BS_TOT_LIAB2","1997-06-05","2002-06-05","Per=Y","Days=T","Dir=V")</f>
        <v>0</v>
      </c>
      <c r="E2">
        <f>BDH("CFWEQ US Equity","SHORT_AND_LONG_TERM_DEBT","1997-06-05","2002-06-05","Per=Y","Days=T","Dir=V")</f>
        <v>0</v>
      </c>
      <c r="G2">
        <f>BDH("CFWEQ US Equity","BS_ST_BORROW","1997-06-05","2002-06-05","Per=Y","Days=T","Dir=V")</f>
        <v>0</v>
      </c>
      <c r="I2">
        <f>BDH("CFWEQ US Equity","BS_LT_BORROW","1997-06-05","2002-06-05","Per=Y","Days=T","Dir=V")</f>
        <v>0</v>
      </c>
      <c r="K2">
        <f>BDH("CFWEQ US Equity","BS_CASH_NEAR_CASH_ITEM","1997-06-05","2002-06-05","Per=Y","Days=T","Dir=V")</f>
        <v>0</v>
      </c>
      <c r="M2">
        <f>BDH("CFWEQ US Equity","BS_CUR_ASSET_REPORT","1997-06-05","2002-06-05","Per=Y","Days=T","Dir=V")</f>
        <v>0</v>
      </c>
      <c r="O2">
        <f>BDH("CFWEQ US Equity","BS_CUR_LIAB","1997-06-05","2002-06-05","Per=Y","Days=T","Dir=V")</f>
        <v>0</v>
      </c>
      <c r="Q2">
        <f>BDH("CFWEQ US Equity","BS_SHAREHOLDER_EQY_ENDING_PERIOD","1997-06-05","2002-06-05","Per=Y","Days=T","Dir=V")</f>
        <v>0</v>
      </c>
      <c r="S2">
        <f>BDH("CFWEQ US Equity","BS_ACCT_NOTE_RCV","1997-06-05","2002-06-05","Per=Y","Days=T","Dir=V")</f>
        <v>0</v>
      </c>
      <c r="U2">
        <f>BDH("CFWEQ US Equity","BS_INVENTORIES","1997-06-05","2002-06-05","Per=Y","Days=T","Dir=V")</f>
        <v>0</v>
      </c>
      <c r="W2">
        <f>BDH("CFWEQ US Equity","WORKING_CAPITAL","1997-06-05","2002-06-05","Per=Y","Days=T","Dir=V")</f>
        <v>0</v>
      </c>
      <c r="Y2">
        <f>BDH("CFWEQ US Equity","SALES_REV_TURN","1997-06-05","2002-06-05","Per=Y","Days=T","Dir=V")</f>
        <v>0</v>
      </c>
      <c r="AA2">
        <f>BDH("CFWEQ US Equity","EBIT","1997-06-05","2002-06-05","Per=Y","Days=T","Dir=V")</f>
        <v>0</v>
      </c>
      <c r="AC2">
        <f>BDH("CFWEQ US Equity","EBITDA","1997-06-05","2002-06-05","Per=Y","Days=T","Dir=V")</f>
        <v>0</v>
      </c>
      <c r="AE2">
        <f>BDH("CFWEQ US Equity","NET_INCOME","1997-06-05","2002-06-05","Per=Y","Days=T","Dir=V")</f>
        <v>0</v>
      </c>
      <c r="AG2">
        <f>BDH("CFWEQ US Equity","IS_INT_EXPENSE","1997-06-05","2002-06-05","Per=Y","Days=T","Dir=V")</f>
        <v>0</v>
      </c>
      <c r="AI2">
        <f>BDH("CFWEQ US Equity","IS_DEPR_EXP","1997-06-05","2002-06-05","Per=Y","Days=T","Dir=V")</f>
        <v>0</v>
      </c>
      <c r="AK2">
        <f>BDH("CFWEQ US Equity","CF_CASH_FROM_OPER","1997-06-05","2002-06-05","Per=Y","Days=T","Dir=V")</f>
        <v>0</v>
      </c>
      <c r="AM2">
        <f>BDH("CFWEQ US Equity","CAPITAL_EXPEND","1997-06-05","2002-06-05","Per=Y","Days=T","Dir=V")</f>
        <v>0</v>
      </c>
      <c r="AO2">
        <f>BDH("CFWEQ US Equity","CF_FREE_CASH_FLOW","1997-06-05","2002-06-05","Per=Y","Days=T","Dir=V")</f>
        <v>0</v>
      </c>
      <c r="AQ2">
        <f>BDH("CFWEQ US Equity","PX_LAST","1997-06-05","2002-06-05","Per=M","Days=T","Dir=V")</f>
        <v>0</v>
      </c>
      <c r="AS2">
        <f>BDH("CFWEQ US Equity","CUR_MKT_CAP","1997-06-05","2002-06-05","Per=M","Days=T","Dir=V")</f>
        <v>0</v>
      </c>
      <c r="AU2">
        <f>BDH("CFWEQ US Equity","EQY_SH_OUT","1997-06-05","2002-06-05","Per=M","Days=T","Dir=V")</f>
        <v>0</v>
      </c>
      <c r="AW2">
        <f>BDH("CFWEQ US Equity","PX_VOLUME","1997-06-05","2002-06-05","Per=M","Days=T","Dir=V")</f>
        <v>0</v>
      </c>
      <c r="AY2">
        <f>BDH("CFWEQ US Equity","TURNOVER","1997-06-05","2002-06-05","Per=M","Days=T","Dir=V")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BDH("GENUQ US Equity","BS_TOT_ASSET","1997-08-29","2002-08-29","Per=Y","Days=T","Dir=V")</f>
        <v>0</v>
      </c>
      <c r="C2">
        <f>BDH("GENUQ US Equity","BS_TOT_LIAB2","1997-08-29","2002-08-29","Per=Y","Days=T","Dir=V")</f>
        <v>0</v>
      </c>
      <c r="E2">
        <f>BDH("GENUQ US Equity","SHORT_AND_LONG_TERM_DEBT","1997-08-29","2002-08-29","Per=Y","Days=T","Dir=V")</f>
        <v>0</v>
      </c>
      <c r="G2">
        <f>BDH("GENUQ US Equity","BS_ST_BORROW","1997-08-29","2002-08-29","Per=Y","Days=T","Dir=V")</f>
        <v>0</v>
      </c>
      <c r="I2">
        <f>BDH("GENUQ US Equity","BS_LT_BORROW","1997-08-29","2002-08-29","Per=Y","Days=T","Dir=V")</f>
        <v>0</v>
      </c>
      <c r="K2">
        <f>BDH("GENUQ US Equity","BS_CASH_NEAR_CASH_ITEM","1997-08-29","2002-08-29","Per=Y","Days=T","Dir=V")</f>
        <v>0</v>
      </c>
      <c r="M2">
        <f>BDH("GENUQ US Equity","BS_CUR_ASSET_REPORT","1997-08-29","2002-08-29","Per=Y","Days=T","Dir=V")</f>
        <v>0</v>
      </c>
      <c r="O2">
        <f>BDH("GENUQ US Equity","BS_CUR_LIAB","1997-08-29","2002-08-29","Per=Y","Days=T","Dir=V")</f>
        <v>0</v>
      </c>
      <c r="Q2">
        <f>BDH("GENUQ US Equity","BS_SHAREHOLDER_EQY_ENDING_PERIOD","1997-08-29","2002-08-29","Per=Y","Days=T","Dir=V")</f>
        <v>0</v>
      </c>
      <c r="S2">
        <f>BDH("GENUQ US Equity","BS_ACCT_NOTE_RCV","1997-08-29","2002-08-29","Per=Y","Days=T","Dir=V")</f>
        <v>0</v>
      </c>
      <c r="U2">
        <f>BDH("GENUQ US Equity","BS_INVENTORIES","1997-08-29","2002-08-29","Per=Y","Days=T","Dir=V")</f>
        <v>0</v>
      </c>
      <c r="W2">
        <f>BDH("GENUQ US Equity","WORKING_CAPITAL","1997-08-29","2002-08-29","Per=Y","Days=T","Dir=V")</f>
        <v>0</v>
      </c>
      <c r="Y2">
        <f>BDH("GENUQ US Equity","SALES_REV_TURN","1997-08-29","2002-08-29","Per=Y","Days=T","Dir=V")</f>
        <v>0</v>
      </c>
      <c r="AA2">
        <f>BDH("GENUQ US Equity","EBIT","1997-08-29","2002-08-29","Per=Y","Days=T","Dir=V")</f>
        <v>0</v>
      </c>
      <c r="AC2">
        <f>BDH("GENUQ US Equity","EBITDA","1997-08-29","2002-08-29","Per=Y","Days=T","Dir=V")</f>
        <v>0</v>
      </c>
      <c r="AE2">
        <f>BDH("GENUQ US Equity","NET_INCOME","1997-08-29","2002-08-29","Per=Y","Days=T","Dir=V")</f>
        <v>0</v>
      </c>
      <c r="AG2">
        <f>BDH("GENUQ US Equity","IS_INT_EXPENSE","1997-08-29","2002-08-29","Per=Y","Days=T","Dir=V")</f>
        <v>0</v>
      </c>
      <c r="AI2">
        <f>BDH("GENUQ US Equity","IS_DEPR_EXP","1997-08-29","2002-08-29","Per=Y","Days=T","Dir=V")</f>
        <v>0</v>
      </c>
      <c r="AK2">
        <f>BDH("GENUQ US Equity","CF_CASH_FROM_OPER","1997-08-29","2002-08-29","Per=Y","Days=T","Dir=V")</f>
        <v>0</v>
      </c>
      <c r="AM2">
        <f>BDH("GENUQ US Equity","CAPITAL_EXPEND","1997-08-29","2002-08-29","Per=Y","Days=T","Dir=V")</f>
        <v>0</v>
      </c>
      <c r="AO2">
        <f>BDH("GENUQ US Equity","CF_FREE_CASH_FLOW","1997-08-29","2002-08-29","Per=Y","Days=T","Dir=V")</f>
        <v>0</v>
      </c>
      <c r="AQ2">
        <f>BDH("GENUQ US Equity","PX_LAST","1997-08-29","2002-08-29","Per=M","Days=T","Dir=V")</f>
        <v>0</v>
      </c>
      <c r="AS2">
        <f>BDH("GENUQ US Equity","CUR_MKT_CAP","1997-08-29","2002-08-29","Per=M","Days=T","Dir=V")</f>
        <v>0</v>
      </c>
      <c r="AU2">
        <f>BDH("GENUQ US Equity","EQY_SH_OUT","1997-08-29","2002-08-29","Per=M","Days=T","Dir=V")</f>
        <v>0</v>
      </c>
      <c r="AW2">
        <f>BDH("GENUQ US Equity","PX_VOLUME","1997-08-29","2002-08-29","Per=M","Days=T","Dir=V")</f>
        <v>0</v>
      </c>
      <c r="AY2">
        <f>BDH("GENUQ US Equity","TURNOVER","1997-08-29","2002-08-29","Per=M","Days=T","Dir=V")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BDH("SVSSF US Equity","BS_TOT_ASSET","1997-09-21","2002-09-21","Per=Y","Days=T","Dir=V")</f>
        <v>0</v>
      </c>
      <c r="C2">
        <f>BDH("SVSSF US Equity","BS_TOT_LIAB2","1997-09-21","2002-09-21","Per=Y","Days=T","Dir=V")</f>
        <v>0</v>
      </c>
      <c r="E2">
        <f>BDH("SVSSF US Equity","SHORT_AND_LONG_TERM_DEBT","1997-09-21","2002-09-21","Per=Y","Days=T","Dir=V")</f>
        <v>0</v>
      </c>
      <c r="G2">
        <f>BDH("SVSSF US Equity","BS_ST_BORROW","1997-09-21","2002-09-21","Per=Y","Days=T","Dir=V")</f>
        <v>0</v>
      </c>
      <c r="I2">
        <f>BDH("SVSSF US Equity","BS_LT_BORROW","1997-09-21","2002-09-21","Per=Y","Days=T","Dir=V")</f>
        <v>0</v>
      </c>
      <c r="K2">
        <f>BDH("SVSSF US Equity","BS_CASH_NEAR_CASH_ITEM","1997-09-21","2002-09-21","Per=Y","Days=T","Dir=V")</f>
        <v>0</v>
      </c>
      <c r="M2">
        <f>BDH("SVSSF US Equity","BS_CUR_ASSET_REPORT","1997-09-21","2002-09-21","Per=Y","Days=T","Dir=V")</f>
        <v>0</v>
      </c>
      <c r="O2">
        <f>BDH("SVSSF US Equity","BS_CUR_LIAB","1997-09-21","2002-09-21","Per=Y","Days=T","Dir=V")</f>
        <v>0</v>
      </c>
      <c r="Q2">
        <f>BDH("SVSSF US Equity","BS_SHAREHOLDER_EQY_ENDING_PERIOD","1997-09-21","2002-09-21","Per=Y","Days=T","Dir=V")</f>
        <v>0</v>
      </c>
      <c r="S2">
        <f>BDH("SVSSF US Equity","BS_ACCT_NOTE_RCV","1997-09-21","2002-09-21","Per=Y","Days=T","Dir=V")</f>
        <v>0</v>
      </c>
      <c r="U2">
        <f>BDH("SVSSF US Equity","BS_INVENTORIES","1997-09-21","2002-09-21","Per=Y","Days=T","Dir=V")</f>
        <v>0</v>
      </c>
      <c r="W2">
        <f>BDH("SVSSF US Equity","WORKING_CAPITAL","1997-09-21","2002-09-21","Per=Y","Days=T","Dir=V")</f>
        <v>0</v>
      </c>
      <c r="Y2">
        <f>BDH("SVSSF US Equity","SALES_REV_TURN","1997-09-21","2002-09-21","Per=Y","Days=T","Dir=V")</f>
        <v>0</v>
      </c>
      <c r="AA2">
        <f>BDH("SVSSF US Equity","EBIT","1997-09-21","2002-09-21","Per=Y","Days=T","Dir=V")</f>
        <v>0</v>
      </c>
      <c r="AC2">
        <f>BDH("SVSSF US Equity","EBITDA","1997-09-21","2002-09-21","Per=Y","Days=T","Dir=V")</f>
        <v>0</v>
      </c>
      <c r="AE2">
        <f>BDH("SVSSF US Equity","NET_INCOME","1997-09-21","2002-09-21","Per=Y","Days=T","Dir=V")</f>
        <v>0</v>
      </c>
      <c r="AG2">
        <f>BDH("SVSSF US Equity","IS_INT_EXPENSE","1997-09-21","2002-09-21","Per=Y","Days=T","Dir=V")</f>
        <v>0</v>
      </c>
      <c r="AI2">
        <f>BDH("SVSSF US Equity","IS_DEPR_EXP","1997-09-21","2002-09-21","Per=Y","Days=T","Dir=V")</f>
        <v>0</v>
      </c>
      <c r="AK2">
        <f>BDH("SVSSF US Equity","CF_CASH_FROM_OPER","1997-09-21","2002-09-21","Per=Y","Days=T","Dir=V")</f>
        <v>0</v>
      </c>
      <c r="AM2">
        <f>BDH("SVSSF US Equity","CAPITAL_EXPEND","1997-09-21","2002-09-21","Per=Y","Days=T","Dir=V")</f>
        <v>0</v>
      </c>
      <c r="AO2">
        <f>BDH("SVSSF US Equity","CF_FREE_CASH_FLOW","1997-09-21","2002-09-21","Per=Y","Days=T","Dir=V")</f>
        <v>0</v>
      </c>
      <c r="AQ2">
        <f>BDH("SVSSF US Equity","PX_LAST","1997-09-21","2002-09-21","Per=M","Days=T","Dir=V")</f>
        <v>0</v>
      </c>
      <c r="AS2">
        <f>BDH("SVSSF US Equity","CUR_MKT_CAP","1997-09-21","2002-09-21","Per=M","Days=T","Dir=V")</f>
        <v>0</v>
      </c>
      <c r="AU2">
        <f>BDH("SVSSF US Equity","EQY_SH_OUT","1997-09-21","2002-09-21","Per=M","Days=T","Dir=V")</f>
        <v>0</v>
      </c>
      <c r="AW2">
        <f>BDH("SVSSF US Equity","PX_VOLUME","1997-09-21","2002-09-21","Per=M","Days=T","Dir=V")</f>
        <v>0</v>
      </c>
      <c r="AY2">
        <f>BDH("SVSSF US Equity","TURNOVER","1997-09-21","2002-09-21","Per=M","Days=T","Dir=V")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BDH("SPGLQ US Equity","BS_TOT_ASSET","1997-12-17","2002-12-17","Per=Y","Days=T","Dir=V")</f>
        <v>0</v>
      </c>
      <c r="C2">
        <f>BDH("SPGLQ US Equity","BS_TOT_LIAB2","1997-12-17","2002-12-17","Per=Y","Days=T","Dir=V")</f>
        <v>0</v>
      </c>
      <c r="E2">
        <f>BDH("SPGLQ US Equity","SHORT_AND_LONG_TERM_DEBT","1997-12-17","2002-12-17","Per=Y","Days=T","Dir=V")</f>
        <v>0</v>
      </c>
      <c r="G2">
        <f>BDH("SPGLQ US Equity","BS_ST_BORROW","1997-12-17","2002-12-17","Per=Y","Days=T","Dir=V")</f>
        <v>0</v>
      </c>
      <c r="I2">
        <f>BDH("SPGLQ US Equity","BS_LT_BORROW","1997-12-17","2002-12-17","Per=Y","Days=T","Dir=V")</f>
        <v>0</v>
      </c>
      <c r="K2">
        <f>BDH("SPGLQ US Equity","BS_CASH_NEAR_CASH_ITEM","1997-12-17","2002-12-17","Per=Y","Days=T","Dir=V")</f>
        <v>0</v>
      </c>
      <c r="M2">
        <f>BDH("SPGLQ US Equity","BS_CUR_ASSET_REPORT","1997-12-17","2002-12-17","Per=Y","Days=T","Dir=V")</f>
        <v>0</v>
      </c>
      <c r="O2">
        <f>BDH("SPGLQ US Equity","BS_CUR_LIAB","1997-12-17","2002-12-17","Per=Y","Days=T","Dir=V")</f>
        <v>0</v>
      </c>
      <c r="Q2">
        <f>BDH("SPGLQ US Equity","BS_SHAREHOLDER_EQY_ENDING_PERIOD","1997-12-17","2002-12-17","Per=Y","Days=T","Dir=V")</f>
        <v>0</v>
      </c>
      <c r="S2">
        <f>BDH("SPGLQ US Equity","BS_ACCT_NOTE_RCV","1997-12-17","2002-12-17","Per=Y","Days=T","Dir=V")</f>
        <v>0</v>
      </c>
      <c r="U2">
        <f>BDH("SPGLQ US Equity","BS_INVENTORIES","1997-12-17","2002-12-17","Per=Y","Days=T","Dir=V")</f>
        <v>0</v>
      </c>
      <c r="W2">
        <f>BDH("SPGLQ US Equity","WORKING_CAPITAL","1997-12-17","2002-12-17","Per=Y","Days=T","Dir=V")</f>
        <v>0</v>
      </c>
      <c r="Y2">
        <f>BDH("SPGLQ US Equity","SALES_REV_TURN","1997-12-17","2002-12-17","Per=Y","Days=T","Dir=V")</f>
        <v>0</v>
      </c>
      <c r="AA2">
        <f>BDH("SPGLQ US Equity","EBIT","1997-12-17","2002-12-17","Per=Y","Days=T","Dir=V")</f>
        <v>0</v>
      </c>
      <c r="AC2">
        <f>BDH("SPGLQ US Equity","EBITDA","1997-12-17","2002-12-17","Per=Y","Days=T","Dir=V")</f>
        <v>0</v>
      </c>
      <c r="AE2">
        <f>BDH("SPGLQ US Equity","NET_INCOME","1997-12-17","2002-12-17","Per=Y","Days=T","Dir=V")</f>
        <v>0</v>
      </c>
      <c r="AG2">
        <f>BDH("SPGLQ US Equity","IS_INT_EXPENSE","1997-12-17","2002-12-17","Per=Y","Days=T","Dir=V")</f>
        <v>0</v>
      </c>
      <c r="AI2">
        <f>BDH("SPGLQ US Equity","IS_DEPR_EXP","1997-12-17","2002-12-17","Per=Y","Days=T","Dir=V")</f>
        <v>0</v>
      </c>
      <c r="AK2">
        <f>BDH("SPGLQ US Equity","CF_CASH_FROM_OPER","1997-12-17","2002-12-17","Per=Y","Days=T","Dir=V")</f>
        <v>0</v>
      </c>
      <c r="AM2">
        <f>BDH("SPGLQ US Equity","CAPITAL_EXPEND","1997-12-17","2002-12-17","Per=Y","Days=T","Dir=V")</f>
        <v>0</v>
      </c>
      <c r="AO2">
        <f>BDH("SPGLQ US Equity","CF_FREE_CASH_FLOW","1997-12-17","2002-12-17","Per=Y","Days=T","Dir=V")</f>
        <v>0</v>
      </c>
      <c r="AQ2">
        <f>BDH("SPGLQ US Equity","PX_LAST","1997-12-17","2002-12-17","Per=M","Days=T","Dir=V")</f>
        <v>0</v>
      </c>
      <c r="AS2">
        <f>BDH("SPGLQ US Equity","CUR_MKT_CAP","1997-12-17","2002-12-17","Per=M","Days=T","Dir=V")</f>
        <v>0</v>
      </c>
      <c r="AU2">
        <f>BDH("SPGLQ US Equity","EQY_SH_OUT","1997-12-17","2002-12-17","Per=M","Days=T","Dir=V")</f>
        <v>0</v>
      </c>
      <c r="AW2">
        <f>BDH("SPGLQ US Equity","PX_VOLUME","1997-12-17","2002-12-17","Per=M","Days=T","Dir=V")</f>
        <v>0</v>
      </c>
      <c r="AY2">
        <f>BDH("SPGLQ US Equity","TURNOVER","1997-12-17","2002-12-17","Per=M","Days=T","Dir=V")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BDH("SBLUQ US Equity","BS_TOT_ASSET","1997-12-21","2002-12-21","Per=Y","Days=T","Dir=V")</f>
        <v>0</v>
      </c>
      <c r="C2">
        <f>BDH("SBLUQ US Equity","BS_TOT_LIAB2","1997-12-21","2002-12-21","Per=Y","Days=T","Dir=V")</f>
        <v>0</v>
      </c>
      <c r="E2">
        <f>BDH("SBLUQ US Equity","SHORT_AND_LONG_TERM_DEBT","1997-12-21","2002-12-21","Per=Y","Days=T","Dir=V")</f>
        <v>0</v>
      </c>
      <c r="G2">
        <f>BDH("SBLUQ US Equity","BS_ST_BORROW","1997-12-21","2002-12-21","Per=Y","Days=T","Dir=V")</f>
        <v>0</v>
      </c>
      <c r="I2">
        <f>BDH("SBLUQ US Equity","BS_LT_BORROW","1997-12-21","2002-12-21","Per=Y","Days=T","Dir=V")</f>
        <v>0</v>
      </c>
      <c r="K2">
        <f>BDH("SBLUQ US Equity","BS_CASH_NEAR_CASH_ITEM","1997-12-21","2002-12-21","Per=Y","Days=T","Dir=V")</f>
        <v>0</v>
      </c>
      <c r="M2">
        <f>BDH("SBLUQ US Equity","BS_CUR_ASSET_REPORT","1997-12-21","2002-12-21","Per=Y","Days=T","Dir=V")</f>
        <v>0</v>
      </c>
      <c r="O2">
        <f>BDH("SBLUQ US Equity","BS_CUR_LIAB","1997-12-21","2002-12-21","Per=Y","Days=T","Dir=V")</f>
        <v>0</v>
      </c>
      <c r="Q2">
        <f>BDH("SBLUQ US Equity","BS_SHAREHOLDER_EQY_ENDING_PERIOD","1997-12-21","2002-12-21","Per=Y","Days=T","Dir=V")</f>
        <v>0</v>
      </c>
      <c r="S2">
        <f>BDH("SBLUQ US Equity","BS_ACCT_NOTE_RCV","1997-12-21","2002-12-21","Per=Y","Days=T","Dir=V")</f>
        <v>0</v>
      </c>
      <c r="U2">
        <f>BDH("SBLUQ US Equity","BS_INVENTORIES","1997-12-21","2002-12-21","Per=Y","Days=T","Dir=V")</f>
        <v>0</v>
      </c>
      <c r="W2">
        <f>BDH("SBLUQ US Equity","WORKING_CAPITAL","1997-12-21","2002-12-21","Per=Y","Days=T","Dir=V")</f>
        <v>0</v>
      </c>
      <c r="Y2">
        <f>BDH("SBLUQ US Equity","SALES_REV_TURN","1997-12-21","2002-12-21","Per=Y","Days=T","Dir=V")</f>
        <v>0</v>
      </c>
      <c r="AA2">
        <f>BDH("SBLUQ US Equity","EBIT","1997-12-21","2002-12-21","Per=Y","Days=T","Dir=V")</f>
        <v>0</v>
      </c>
      <c r="AC2">
        <f>BDH("SBLUQ US Equity","EBITDA","1997-12-21","2002-12-21","Per=Y","Days=T","Dir=V")</f>
        <v>0</v>
      </c>
      <c r="AE2">
        <f>BDH("SBLUQ US Equity","NET_INCOME","1997-12-21","2002-12-21","Per=Y","Days=T","Dir=V")</f>
        <v>0</v>
      </c>
      <c r="AG2">
        <f>BDH("SBLUQ US Equity","IS_INT_EXPENSE","1997-12-21","2002-12-21","Per=Y","Days=T","Dir=V")</f>
        <v>0</v>
      </c>
      <c r="AI2">
        <f>BDH("SBLUQ US Equity","IS_DEPR_EXP","1997-12-21","2002-12-21","Per=Y","Days=T","Dir=V")</f>
        <v>0</v>
      </c>
      <c r="AK2">
        <f>BDH("SBLUQ US Equity","CF_CASH_FROM_OPER","1997-12-21","2002-12-21","Per=Y","Days=T","Dir=V")</f>
        <v>0</v>
      </c>
      <c r="AM2">
        <f>BDH("SBLUQ US Equity","CAPITAL_EXPEND","1997-12-21","2002-12-21","Per=Y","Days=T","Dir=V")</f>
        <v>0</v>
      </c>
      <c r="AO2">
        <f>BDH("SBLUQ US Equity","CF_FREE_CASH_FLOW","1997-12-21","2002-12-21","Per=Y","Days=T","Dir=V")</f>
        <v>0</v>
      </c>
      <c r="AQ2">
        <f>BDH("SBLUQ US Equity","PX_LAST","1997-12-21","2002-12-21","Per=M","Days=T","Dir=V")</f>
        <v>0</v>
      </c>
      <c r="AS2">
        <f>BDH("SBLUQ US Equity","CUR_MKT_CAP","1997-12-21","2002-12-21","Per=M","Days=T","Dir=V")</f>
        <v>0</v>
      </c>
      <c r="AU2">
        <f>BDH("SBLUQ US Equity","EQY_SH_OUT","1997-12-21","2002-12-21","Per=M","Days=T","Dir=V")</f>
        <v>0</v>
      </c>
      <c r="AW2">
        <f>BDH("SBLUQ US Equity","PX_VOLUME","1997-12-21","2002-12-21","Per=M","Days=T","Dir=V")</f>
        <v>0</v>
      </c>
      <c r="AY2">
        <f>BDH("SBLUQ US Equity","TURNOVER","1997-12-21","2002-12-21","Per=M","Days=T","Dir=V")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BDH("FLMIQ US Equity","BS_TOT_ASSET","1998-01-01","2003-01-01","Per=Y","Days=T","Dir=V")</f>
        <v>0</v>
      </c>
      <c r="C2">
        <f>BDH("FLMIQ US Equity","BS_TOT_LIAB2","1998-01-01","2003-01-01","Per=Y","Days=T","Dir=V")</f>
        <v>0</v>
      </c>
      <c r="E2">
        <f>BDH("FLMIQ US Equity","SHORT_AND_LONG_TERM_DEBT","1998-01-01","2003-01-01","Per=Y","Days=T","Dir=V")</f>
        <v>0</v>
      </c>
      <c r="G2">
        <f>BDH("FLMIQ US Equity","BS_ST_BORROW","1998-01-01","2003-01-01","Per=Y","Days=T","Dir=V")</f>
        <v>0</v>
      </c>
      <c r="I2">
        <f>BDH("FLMIQ US Equity","BS_LT_BORROW","1998-01-01","2003-01-01","Per=Y","Days=T","Dir=V")</f>
        <v>0</v>
      </c>
      <c r="K2">
        <f>BDH("FLMIQ US Equity","BS_CASH_NEAR_CASH_ITEM","1998-01-01","2003-01-01","Per=Y","Days=T","Dir=V")</f>
        <v>0</v>
      </c>
      <c r="M2">
        <f>BDH("FLMIQ US Equity","BS_CUR_ASSET_REPORT","1998-01-01","2003-01-01","Per=Y","Days=T","Dir=V")</f>
        <v>0</v>
      </c>
      <c r="O2">
        <f>BDH("FLMIQ US Equity","BS_CUR_LIAB","1998-01-01","2003-01-01","Per=Y","Days=T","Dir=V")</f>
        <v>0</v>
      </c>
      <c r="Q2">
        <f>BDH("FLMIQ US Equity","BS_SHAREHOLDER_EQY_ENDING_PERIOD","1998-01-01","2003-01-01","Per=Y","Days=T","Dir=V")</f>
        <v>0</v>
      </c>
      <c r="S2">
        <f>BDH("FLMIQ US Equity","BS_ACCT_NOTE_RCV","1998-01-01","2003-01-01","Per=Y","Days=T","Dir=V")</f>
        <v>0</v>
      </c>
      <c r="U2">
        <f>BDH("FLMIQ US Equity","BS_INVENTORIES","1998-01-01","2003-01-01","Per=Y","Days=T","Dir=V")</f>
        <v>0</v>
      </c>
      <c r="W2">
        <f>BDH("FLMIQ US Equity","WORKING_CAPITAL","1998-01-01","2003-01-01","Per=Y","Days=T","Dir=V")</f>
        <v>0</v>
      </c>
      <c r="Y2">
        <f>BDH("FLMIQ US Equity","SALES_REV_TURN","1998-01-01","2003-01-01","Per=Y","Days=T","Dir=V")</f>
        <v>0</v>
      </c>
      <c r="AA2">
        <f>BDH("FLMIQ US Equity","EBIT","1998-01-01","2003-01-01","Per=Y","Days=T","Dir=V")</f>
        <v>0</v>
      </c>
      <c r="AC2">
        <f>BDH("FLMIQ US Equity","EBITDA","1998-01-01","2003-01-01","Per=Y","Days=T","Dir=V")</f>
        <v>0</v>
      </c>
      <c r="AE2">
        <f>BDH("FLMIQ US Equity","NET_INCOME","1998-01-01","2003-01-01","Per=Y","Days=T","Dir=V")</f>
        <v>0</v>
      </c>
      <c r="AG2">
        <f>BDH("FLMIQ US Equity","IS_INT_EXPENSE","1998-01-01","2003-01-01","Per=Y","Days=T","Dir=V")</f>
        <v>0</v>
      </c>
      <c r="AI2">
        <f>BDH("FLMIQ US Equity","IS_DEPR_EXP","1998-01-01","2003-01-01","Per=Y","Days=T","Dir=V")</f>
        <v>0</v>
      </c>
      <c r="AK2">
        <f>BDH("FLMIQ US Equity","CF_CASH_FROM_OPER","1998-01-01","2003-01-01","Per=Y","Days=T","Dir=V")</f>
        <v>0</v>
      </c>
      <c r="AM2">
        <f>BDH("FLMIQ US Equity","CAPITAL_EXPEND","1998-01-01","2003-01-01","Per=Y","Days=T","Dir=V")</f>
        <v>0</v>
      </c>
      <c r="AO2">
        <f>BDH("FLMIQ US Equity","CF_FREE_CASH_FLOW","1998-01-01","2003-01-01","Per=Y","Days=T","Dir=V")</f>
        <v>0</v>
      </c>
      <c r="AQ2">
        <f>BDH("FLMIQ US Equity","PX_LAST","1998-01-01","2003-01-01","Per=M","Days=T","Dir=V")</f>
        <v>0</v>
      </c>
      <c r="AS2">
        <f>BDH("FLMIQ US Equity","CUR_MKT_CAP","1998-01-01","2003-01-01","Per=M","Days=T","Dir=V")</f>
        <v>0</v>
      </c>
      <c r="AU2">
        <f>BDH("FLMIQ US Equity","EQY_SH_OUT","1998-01-01","2003-01-01","Per=M","Days=T","Dir=V")</f>
        <v>0</v>
      </c>
      <c r="AW2">
        <f>BDH("FLMIQ US Equity","PX_VOLUME","1998-01-01","2003-01-01","Per=M","Days=T","Dir=V")</f>
        <v>0</v>
      </c>
      <c r="AY2">
        <f>BDH("FLMIQ US Equity","TURNOVER","1998-01-01","2003-01-01","Per=M","Days=T","Dir=V")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BDH("ACTRQ US Equity","BS_TOT_ASSET","1998-02-05","2003-02-05","Per=Y","Days=T","Dir=V")</f>
        <v>0</v>
      </c>
      <c r="C2">
        <f>BDH("ACTRQ US Equity","BS_TOT_LIAB2","1998-02-05","2003-02-05","Per=Y","Days=T","Dir=V")</f>
        <v>0</v>
      </c>
      <c r="E2">
        <f>BDH("ACTRQ US Equity","SHORT_AND_LONG_TERM_DEBT","1998-02-05","2003-02-05","Per=Y","Days=T","Dir=V")</f>
        <v>0</v>
      </c>
      <c r="G2">
        <f>BDH("ACTRQ US Equity","BS_ST_BORROW","1998-02-05","2003-02-05","Per=Y","Days=T","Dir=V")</f>
        <v>0</v>
      </c>
      <c r="I2">
        <f>BDH("ACTRQ US Equity","BS_LT_BORROW","1998-02-05","2003-02-05","Per=Y","Days=T","Dir=V")</f>
        <v>0</v>
      </c>
      <c r="K2">
        <f>BDH("ACTRQ US Equity","BS_CASH_NEAR_CASH_ITEM","1998-02-05","2003-02-05","Per=Y","Days=T","Dir=V")</f>
        <v>0</v>
      </c>
      <c r="M2">
        <f>BDH("ACTRQ US Equity","BS_CUR_ASSET_REPORT","1998-02-05","2003-02-05","Per=Y","Days=T","Dir=V")</f>
        <v>0</v>
      </c>
      <c r="O2">
        <f>BDH("ACTRQ US Equity","BS_CUR_LIAB","1998-02-05","2003-02-05","Per=Y","Days=T","Dir=V")</f>
        <v>0</v>
      </c>
      <c r="Q2">
        <f>BDH("ACTRQ US Equity","BS_SHAREHOLDER_EQY_ENDING_PERIOD","1998-02-05","2003-02-05","Per=Y","Days=T","Dir=V")</f>
        <v>0</v>
      </c>
      <c r="S2">
        <f>BDH("ACTRQ US Equity","BS_ACCT_NOTE_RCV","1998-02-05","2003-02-05","Per=Y","Days=T","Dir=V")</f>
        <v>0</v>
      </c>
      <c r="U2">
        <f>BDH("ACTRQ US Equity","BS_INVENTORIES","1998-02-05","2003-02-05","Per=Y","Days=T","Dir=V")</f>
        <v>0</v>
      </c>
      <c r="W2">
        <f>BDH("ACTRQ US Equity","WORKING_CAPITAL","1998-02-05","2003-02-05","Per=Y","Days=T","Dir=V")</f>
        <v>0</v>
      </c>
      <c r="Y2">
        <f>BDH("ACTRQ US Equity","SALES_REV_TURN","1998-02-05","2003-02-05","Per=Y","Days=T","Dir=V")</f>
        <v>0</v>
      </c>
      <c r="AA2">
        <f>BDH("ACTRQ US Equity","EBIT","1998-02-05","2003-02-05","Per=Y","Days=T","Dir=V")</f>
        <v>0</v>
      </c>
      <c r="AC2">
        <f>BDH("ACTRQ US Equity","EBITDA","1998-02-05","2003-02-05","Per=Y","Days=T","Dir=V")</f>
        <v>0</v>
      </c>
      <c r="AE2">
        <f>BDH("ACTRQ US Equity","NET_INCOME","1998-02-05","2003-02-05","Per=Y","Days=T","Dir=V")</f>
        <v>0</v>
      </c>
      <c r="AG2">
        <f>BDH("ACTRQ US Equity","IS_INT_EXPENSE","1998-02-05","2003-02-05","Per=Y","Days=T","Dir=V")</f>
        <v>0</v>
      </c>
      <c r="AI2">
        <f>BDH("ACTRQ US Equity","IS_DEPR_EXP","1998-02-05","2003-02-05","Per=Y","Days=T","Dir=V")</f>
        <v>0</v>
      </c>
      <c r="AK2">
        <f>BDH("ACTRQ US Equity","CF_CASH_FROM_OPER","1998-02-05","2003-02-05","Per=Y","Days=T","Dir=V")</f>
        <v>0</v>
      </c>
      <c r="AM2">
        <f>BDH("ACTRQ US Equity","CAPITAL_EXPEND","1998-02-05","2003-02-05","Per=Y","Days=T","Dir=V")</f>
        <v>0</v>
      </c>
      <c r="AO2">
        <f>BDH("ACTRQ US Equity","CF_FREE_CASH_FLOW","1998-02-05","2003-02-05","Per=Y","Days=T","Dir=V")</f>
        <v>0</v>
      </c>
      <c r="AQ2">
        <f>BDH("ACTRQ US Equity","PX_LAST","1998-02-05","2003-02-05","Per=M","Days=T","Dir=V")</f>
        <v>0</v>
      </c>
      <c r="AS2">
        <f>BDH("ACTRQ US Equity","CUR_MKT_CAP","1998-02-05","2003-02-05","Per=M","Days=T","Dir=V")</f>
        <v>0</v>
      </c>
      <c r="AU2">
        <f>BDH("ACTRQ US Equity","EQY_SH_OUT","1998-02-05","2003-02-05","Per=M","Days=T","Dir=V")</f>
        <v>0</v>
      </c>
      <c r="AW2">
        <f>BDH("ACTRQ US Equity","PX_VOLUME","1998-02-05","2003-02-05","Per=M","Days=T","Dir=V")</f>
        <v>0</v>
      </c>
      <c r="AY2">
        <f>BDH("ACTRQ US Equity","TURNOVER","1998-02-05","2003-02-05","Per=M","Days=T","Dir=V")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BDH("DZTKQ US Equity","BS_TOT_ASSET","1998-02-06","2003-02-06","Per=Y","Days=T","Dir=V")</f>
        <v>0</v>
      </c>
      <c r="C2">
        <f>BDH("DZTKQ US Equity","BS_TOT_LIAB2","1998-02-06","2003-02-06","Per=Y","Days=T","Dir=V")</f>
        <v>0</v>
      </c>
      <c r="E2">
        <f>BDH("DZTKQ US Equity","SHORT_AND_LONG_TERM_DEBT","1998-02-06","2003-02-06","Per=Y","Days=T","Dir=V")</f>
        <v>0</v>
      </c>
      <c r="G2">
        <f>BDH("DZTKQ US Equity","BS_ST_BORROW","1998-02-06","2003-02-06","Per=Y","Days=T","Dir=V")</f>
        <v>0</v>
      </c>
      <c r="I2">
        <f>BDH("DZTKQ US Equity","BS_LT_BORROW","1998-02-06","2003-02-06","Per=Y","Days=T","Dir=V")</f>
        <v>0</v>
      </c>
      <c r="K2">
        <f>BDH("DZTKQ US Equity","BS_CASH_NEAR_CASH_ITEM","1998-02-06","2003-02-06","Per=Y","Days=T","Dir=V")</f>
        <v>0</v>
      </c>
      <c r="M2">
        <f>BDH("DZTKQ US Equity","BS_CUR_ASSET_REPORT","1998-02-06","2003-02-06","Per=Y","Days=T","Dir=V")</f>
        <v>0</v>
      </c>
      <c r="O2">
        <f>BDH("DZTKQ US Equity","BS_CUR_LIAB","1998-02-06","2003-02-06","Per=Y","Days=T","Dir=V")</f>
        <v>0</v>
      </c>
      <c r="Q2">
        <f>BDH("DZTKQ US Equity","BS_SHAREHOLDER_EQY_ENDING_PERIOD","1998-02-06","2003-02-06","Per=Y","Days=T","Dir=V")</f>
        <v>0</v>
      </c>
      <c r="S2">
        <f>BDH("DZTKQ US Equity","BS_ACCT_NOTE_RCV","1998-02-06","2003-02-06","Per=Y","Days=T","Dir=V")</f>
        <v>0</v>
      </c>
      <c r="U2">
        <f>BDH("DZTKQ US Equity","BS_INVENTORIES","1998-02-06","2003-02-06","Per=Y","Days=T","Dir=V")</f>
        <v>0</v>
      </c>
      <c r="W2">
        <f>BDH("DZTKQ US Equity","WORKING_CAPITAL","1998-02-06","2003-02-06","Per=Y","Days=T","Dir=V")</f>
        <v>0</v>
      </c>
      <c r="Y2">
        <f>BDH("DZTKQ US Equity","SALES_REV_TURN","1998-02-06","2003-02-06","Per=Y","Days=T","Dir=V")</f>
        <v>0</v>
      </c>
      <c r="AA2">
        <f>BDH("DZTKQ US Equity","EBIT","1998-02-06","2003-02-06","Per=Y","Days=T","Dir=V")</f>
        <v>0</v>
      </c>
      <c r="AC2">
        <f>BDH("DZTKQ US Equity","EBITDA","1998-02-06","2003-02-06","Per=Y","Days=T","Dir=V")</f>
        <v>0</v>
      </c>
      <c r="AE2">
        <f>BDH("DZTKQ US Equity","NET_INCOME","1998-02-06","2003-02-06","Per=Y","Days=T","Dir=V")</f>
        <v>0</v>
      </c>
      <c r="AG2">
        <f>BDH("DZTKQ US Equity","IS_INT_EXPENSE","1998-02-06","2003-02-06","Per=Y","Days=T","Dir=V")</f>
        <v>0</v>
      </c>
      <c r="AI2">
        <f>BDH("DZTKQ US Equity","IS_DEPR_EXP","1998-02-06","2003-02-06","Per=Y","Days=T","Dir=V")</f>
        <v>0</v>
      </c>
      <c r="AK2">
        <f>BDH("DZTKQ US Equity","CF_CASH_FROM_OPER","1998-02-06","2003-02-06","Per=Y","Days=T","Dir=V")</f>
        <v>0</v>
      </c>
      <c r="AM2">
        <f>BDH("DZTKQ US Equity","CAPITAL_EXPEND","1998-02-06","2003-02-06","Per=Y","Days=T","Dir=V")</f>
        <v>0</v>
      </c>
      <c r="AO2">
        <f>BDH("DZTKQ US Equity","CF_FREE_CASH_FLOW","1998-02-06","2003-02-06","Per=Y","Days=T","Dir=V")</f>
        <v>0</v>
      </c>
      <c r="AQ2">
        <f>BDH("DZTKQ US Equity","PX_LAST","1998-02-06","2003-02-06","Per=M","Days=T","Dir=V")</f>
        <v>0</v>
      </c>
      <c r="AS2">
        <f>BDH("DZTKQ US Equity","CUR_MKT_CAP","1998-02-06","2003-02-06","Per=M","Days=T","Dir=V")</f>
        <v>0</v>
      </c>
      <c r="AU2">
        <f>BDH("DZTKQ US Equity","EQY_SH_OUT","1998-02-06","2003-02-06","Per=M","Days=T","Dir=V")</f>
        <v>0</v>
      </c>
      <c r="AW2">
        <f>BDH("DZTKQ US Equity","PX_VOLUME","1998-02-06","2003-02-06","Per=M","Days=T","Dir=V")</f>
        <v>0</v>
      </c>
      <c r="AY2">
        <f>BDH("DZTKQ US Equity","TURNOVER","1998-02-06","2003-02-06","Per=M","Days=T","Dir=V")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BDH("MSPIQ US Equity","BS_TOT_ASSET","1998-02-14","2003-02-14","Per=Y","Days=T","Dir=V")</f>
        <v>0</v>
      </c>
      <c r="C2">
        <f>BDH("MSPIQ US Equity","BS_TOT_LIAB2","1998-02-14","2003-02-14","Per=Y","Days=T","Dir=V")</f>
        <v>0</v>
      </c>
      <c r="E2">
        <f>BDH("MSPIQ US Equity","SHORT_AND_LONG_TERM_DEBT","1998-02-14","2003-02-14","Per=Y","Days=T","Dir=V")</f>
        <v>0</v>
      </c>
      <c r="G2">
        <f>BDH("MSPIQ US Equity","BS_ST_BORROW","1998-02-14","2003-02-14","Per=Y","Days=T","Dir=V")</f>
        <v>0</v>
      </c>
      <c r="I2">
        <f>BDH("MSPIQ US Equity","BS_LT_BORROW","1998-02-14","2003-02-14","Per=Y","Days=T","Dir=V")</f>
        <v>0</v>
      </c>
      <c r="K2">
        <f>BDH("MSPIQ US Equity","BS_CASH_NEAR_CASH_ITEM","1998-02-14","2003-02-14","Per=Y","Days=T","Dir=V")</f>
        <v>0</v>
      </c>
      <c r="M2">
        <f>BDH("MSPIQ US Equity","BS_CUR_ASSET_REPORT","1998-02-14","2003-02-14","Per=Y","Days=T","Dir=V")</f>
        <v>0</v>
      </c>
      <c r="O2">
        <f>BDH("MSPIQ US Equity","BS_CUR_LIAB","1998-02-14","2003-02-14","Per=Y","Days=T","Dir=V")</f>
        <v>0</v>
      </c>
      <c r="Q2">
        <f>BDH("MSPIQ US Equity","BS_SHAREHOLDER_EQY_ENDING_PERIOD","1998-02-14","2003-02-14","Per=Y","Days=T","Dir=V")</f>
        <v>0</v>
      </c>
      <c r="S2">
        <f>BDH("MSPIQ US Equity","BS_ACCT_NOTE_RCV","1998-02-14","2003-02-14","Per=Y","Days=T","Dir=V")</f>
        <v>0</v>
      </c>
      <c r="U2">
        <f>BDH("MSPIQ US Equity","BS_INVENTORIES","1998-02-14","2003-02-14","Per=Y","Days=T","Dir=V")</f>
        <v>0</v>
      </c>
      <c r="W2">
        <f>BDH("MSPIQ US Equity","WORKING_CAPITAL","1998-02-14","2003-02-14","Per=Y","Days=T","Dir=V")</f>
        <v>0</v>
      </c>
      <c r="Y2">
        <f>BDH("MSPIQ US Equity","SALES_REV_TURN","1998-02-14","2003-02-14","Per=Y","Days=T","Dir=V")</f>
        <v>0</v>
      </c>
      <c r="AA2">
        <f>BDH("MSPIQ US Equity","EBIT","1998-02-14","2003-02-14","Per=Y","Days=T","Dir=V")</f>
        <v>0</v>
      </c>
      <c r="AC2">
        <f>BDH("MSPIQ US Equity","EBITDA","1998-02-14","2003-02-14","Per=Y","Days=T","Dir=V")</f>
        <v>0</v>
      </c>
      <c r="AE2">
        <f>BDH("MSPIQ US Equity","NET_INCOME","1998-02-14","2003-02-14","Per=Y","Days=T","Dir=V")</f>
        <v>0</v>
      </c>
      <c r="AG2">
        <f>BDH("MSPIQ US Equity","IS_INT_EXPENSE","1998-02-14","2003-02-14","Per=Y","Days=T","Dir=V")</f>
        <v>0</v>
      </c>
      <c r="AI2">
        <f>BDH("MSPIQ US Equity","IS_DEPR_EXP","1998-02-14","2003-02-14","Per=Y","Days=T","Dir=V")</f>
        <v>0</v>
      </c>
      <c r="AK2">
        <f>BDH("MSPIQ US Equity","CF_CASH_FROM_OPER","1998-02-14","2003-02-14","Per=Y","Days=T","Dir=V")</f>
        <v>0</v>
      </c>
      <c r="AM2">
        <f>BDH("MSPIQ US Equity","CAPITAL_EXPEND","1998-02-14","2003-02-14","Per=Y","Days=T","Dir=V")</f>
        <v>0</v>
      </c>
      <c r="AO2">
        <f>BDH("MSPIQ US Equity","CF_FREE_CASH_FLOW","1998-02-14","2003-02-14","Per=Y","Days=T","Dir=V")</f>
        <v>0</v>
      </c>
      <c r="AQ2">
        <f>BDH("MSPIQ US Equity","PX_LAST","1998-02-14","2003-02-14","Per=M","Days=T","Dir=V")</f>
        <v>0</v>
      </c>
      <c r="AS2">
        <f>BDH("MSPIQ US Equity","CUR_MKT_CAP","1998-02-14","2003-02-14","Per=M","Days=T","Dir=V")</f>
        <v>0</v>
      </c>
      <c r="AU2">
        <f>BDH("MSPIQ US Equity","EQY_SH_OUT","1998-02-14","2003-02-14","Per=M","Days=T","Dir=V")</f>
        <v>0</v>
      </c>
      <c r="AW2">
        <f>BDH("MSPIQ US Equity","PX_VOLUME","1998-02-14","2003-02-14","Per=M","Days=T","Dir=V")</f>
        <v>0</v>
      </c>
      <c r="AY2">
        <f>BDH("MSPIQ US Equity","TURNOVER","1998-02-14","2003-02-14","Per=M","Days=T","Dir=V")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BDH("RDRTQ US Equity","BS_TOT_ASSET","1998-03-19","2003-03-19","Per=Y","Days=T","Dir=V")</f>
        <v>0</v>
      </c>
      <c r="C2">
        <f>BDH("RDRTQ US Equity","BS_TOT_LIAB2","1998-03-19","2003-03-19","Per=Y","Days=T","Dir=V")</f>
        <v>0</v>
      </c>
      <c r="E2">
        <f>BDH("RDRTQ US Equity","SHORT_AND_LONG_TERM_DEBT","1998-03-19","2003-03-19","Per=Y","Days=T","Dir=V")</f>
        <v>0</v>
      </c>
      <c r="G2">
        <f>BDH("RDRTQ US Equity","BS_ST_BORROW","1998-03-19","2003-03-19","Per=Y","Days=T","Dir=V")</f>
        <v>0</v>
      </c>
      <c r="I2">
        <f>BDH("RDRTQ US Equity","BS_LT_BORROW","1998-03-19","2003-03-19","Per=Y","Days=T","Dir=V")</f>
        <v>0</v>
      </c>
      <c r="K2">
        <f>BDH("RDRTQ US Equity","BS_CASH_NEAR_CASH_ITEM","1998-03-19","2003-03-19","Per=Y","Days=T","Dir=V")</f>
        <v>0</v>
      </c>
      <c r="M2">
        <f>BDH("RDRTQ US Equity","BS_CUR_ASSET_REPORT","1998-03-19","2003-03-19","Per=Y","Days=T","Dir=V")</f>
        <v>0</v>
      </c>
      <c r="O2">
        <f>BDH("RDRTQ US Equity","BS_CUR_LIAB","1998-03-19","2003-03-19","Per=Y","Days=T","Dir=V")</f>
        <v>0</v>
      </c>
      <c r="Q2">
        <f>BDH("RDRTQ US Equity","BS_SHAREHOLDER_EQY_ENDING_PERIOD","1998-03-19","2003-03-19","Per=Y","Days=T","Dir=V")</f>
        <v>0</v>
      </c>
      <c r="S2">
        <f>BDH("RDRTQ US Equity","BS_ACCT_NOTE_RCV","1998-03-19","2003-03-19","Per=Y","Days=T","Dir=V")</f>
        <v>0</v>
      </c>
      <c r="U2">
        <f>BDH("RDRTQ US Equity","BS_INVENTORIES","1998-03-19","2003-03-19","Per=Y","Days=T","Dir=V")</f>
        <v>0</v>
      </c>
      <c r="W2">
        <f>BDH("RDRTQ US Equity","WORKING_CAPITAL","1998-03-19","2003-03-19","Per=Y","Days=T","Dir=V")</f>
        <v>0</v>
      </c>
      <c r="Y2">
        <f>BDH("RDRTQ US Equity","SALES_REV_TURN","1998-03-19","2003-03-19","Per=Y","Days=T","Dir=V")</f>
        <v>0</v>
      </c>
      <c r="AA2">
        <f>BDH("RDRTQ US Equity","EBIT","1998-03-19","2003-03-19","Per=Y","Days=T","Dir=V")</f>
        <v>0</v>
      </c>
      <c r="AC2">
        <f>BDH("RDRTQ US Equity","EBITDA","1998-03-19","2003-03-19","Per=Y","Days=T","Dir=V")</f>
        <v>0</v>
      </c>
      <c r="AE2">
        <f>BDH("RDRTQ US Equity","NET_INCOME","1998-03-19","2003-03-19","Per=Y","Days=T","Dir=V")</f>
        <v>0</v>
      </c>
      <c r="AG2">
        <f>BDH("RDRTQ US Equity","IS_INT_EXPENSE","1998-03-19","2003-03-19","Per=Y","Days=T","Dir=V")</f>
        <v>0</v>
      </c>
      <c r="AI2">
        <f>BDH("RDRTQ US Equity","IS_DEPR_EXP","1998-03-19","2003-03-19","Per=Y","Days=T","Dir=V")</f>
        <v>0</v>
      </c>
      <c r="AK2">
        <f>BDH("RDRTQ US Equity","CF_CASH_FROM_OPER","1998-03-19","2003-03-19","Per=Y","Days=T","Dir=V")</f>
        <v>0</v>
      </c>
      <c r="AM2">
        <f>BDH("RDRTQ US Equity","CAPITAL_EXPEND","1998-03-19","2003-03-19","Per=Y","Days=T","Dir=V")</f>
        <v>0</v>
      </c>
      <c r="AO2">
        <f>BDH("RDRTQ US Equity","CF_FREE_CASH_FLOW","1998-03-19","2003-03-19","Per=Y","Days=T","Dir=V")</f>
        <v>0</v>
      </c>
      <c r="AQ2">
        <f>BDH("RDRTQ US Equity","PX_LAST","1998-03-19","2003-03-19","Per=M","Days=T","Dir=V")</f>
        <v>0</v>
      </c>
      <c r="AS2">
        <f>BDH("RDRTQ US Equity","CUR_MKT_CAP","1998-03-19","2003-03-19","Per=M","Days=T","Dir=V")</f>
        <v>0</v>
      </c>
      <c r="AU2">
        <f>BDH("RDRTQ US Equity","EQY_SH_OUT","1998-03-19","2003-03-19","Per=M","Days=T","Dir=V")</f>
        <v>0</v>
      </c>
      <c r="AW2">
        <f>BDH("RDRTQ US Equity","PX_VOLUME","1998-03-19","2003-03-19","Per=M","Days=T","Dir=V")</f>
        <v>0</v>
      </c>
      <c r="AY2">
        <f>BDH("RDRTQ US Equity","TURNOVER","1998-03-19","2003-03-19","Per=M","Days=T","Dir=V")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BDH("NEQSQ US Equity","BS_TOT_ASSET","1998-03-29","2003-03-29","Per=Y","Days=T","Dir=V")</f>
        <v>0</v>
      </c>
      <c r="C2">
        <f>BDH("NEQSQ US Equity","BS_TOT_LIAB2","1998-03-29","2003-03-29","Per=Y","Days=T","Dir=V")</f>
        <v>0</v>
      </c>
      <c r="E2">
        <f>BDH("NEQSQ US Equity","SHORT_AND_LONG_TERM_DEBT","1998-03-29","2003-03-29","Per=Y","Days=T","Dir=V")</f>
        <v>0</v>
      </c>
      <c r="G2">
        <f>BDH("NEQSQ US Equity","BS_ST_BORROW","1998-03-29","2003-03-29","Per=Y","Days=T","Dir=V")</f>
        <v>0</v>
      </c>
      <c r="I2">
        <f>BDH("NEQSQ US Equity","BS_LT_BORROW","1998-03-29","2003-03-29","Per=Y","Days=T","Dir=V")</f>
        <v>0</v>
      </c>
      <c r="K2">
        <f>BDH("NEQSQ US Equity","BS_CASH_NEAR_CASH_ITEM","1998-03-29","2003-03-29","Per=Y","Days=T","Dir=V")</f>
        <v>0</v>
      </c>
      <c r="M2">
        <f>BDH("NEQSQ US Equity","BS_CUR_ASSET_REPORT","1998-03-29","2003-03-29","Per=Y","Days=T","Dir=V")</f>
        <v>0</v>
      </c>
      <c r="O2">
        <f>BDH("NEQSQ US Equity","BS_CUR_LIAB","1998-03-29","2003-03-29","Per=Y","Days=T","Dir=V")</f>
        <v>0</v>
      </c>
      <c r="Q2">
        <f>BDH("NEQSQ US Equity","BS_SHAREHOLDER_EQY_ENDING_PERIOD","1998-03-29","2003-03-29","Per=Y","Days=T","Dir=V")</f>
        <v>0</v>
      </c>
      <c r="S2">
        <f>BDH("NEQSQ US Equity","BS_ACCT_NOTE_RCV","1998-03-29","2003-03-29","Per=Y","Days=T","Dir=V")</f>
        <v>0</v>
      </c>
      <c r="U2">
        <f>BDH("NEQSQ US Equity","BS_INVENTORIES","1998-03-29","2003-03-29","Per=Y","Days=T","Dir=V")</f>
        <v>0</v>
      </c>
      <c r="W2">
        <f>BDH("NEQSQ US Equity","WORKING_CAPITAL","1998-03-29","2003-03-29","Per=Y","Days=T","Dir=V")</f>
        <v>0</v>
      </c>
      <c r="Y2">
        <f>BDH("NEQSQ US Equity","SALES_REV_TURN","1998-03-29","2003-03-29","Per=Y","Days=T","Dir=V")</f>
        <v>0</v>
      </c>
      <c r="AA2">
        <f>BDH("NEQSQ US Equity","EBIT","1998-03-29","2003-03-29","Per=Y","Days=T","Dir=V")</f>
        <v>0</v>
      </c>
      <c r="AC2">
        <f>BDH("NEQSQ US Equity","EBITDA","1998-03-29","2003-03-29","Per=Y","Days=T","Dir=V")</f>
        <v>0</v>
      </c>
      <c r="AE2">
        <f>BDH("NEQSQ US Equity","NET_INCOME","1998-03-29","2003-03-29","Per=Y","Days=T","Dir=V")</f>
        <v>0</v>
      </c>
      <c r="AG2">
        <f>BDH("NEQSQ US Equity","IS_INT_EXPENSE","1998-03-29","2003-03-29","Per=Y","Days=T","Dir=V")</f>
        <v>0</v>
      </c>
      <c r="AI2">
        <f>BDH("NEQSQ US Equity","IS_DEPR_EXP","1998-03-29","2003-03-29","Per=Y","Days=T","Dir=V")</f>
        <v>0</v>
      </c>
      <c r="AK2">
        <f>BDH("NEQSQ US Equity","CF_CASH_FROM_OPER","1998-03-29","2003-03-29","Per=Y","Days=T","Dir=V")</f>
        <v>0</v>
      </c>
      <c r="AM2">
        <f>BDH("NEQSQ US Equity","CAPITAL_EXPEND","1998-03-29","2003-03-29","Per=Y","Days=T","Dir=V")</f>
        <v>0</v>
      </c>
      <c r="AO2">
        <f>BDH("NEQSQ US Equity","CF_FREE_CASH_FLOW","1998-03-29","2003-03-29","Per=Y","Days=T","Dir=V")</f>
        <v>0</v>
      </c>
      <c r="AQ2">
        <f>BDH("NEQSQ US Equity","PX_LAST","1998-03-29","2003-03-29","Per=M","Days=T","Dir=V")</f>
        <v>0</v>
      </c>
      <c r="AS2">
        <f>BDH("NEQSQ US Equity","CUR_MKT_CAP","1998-03-29","2003-03-29","Per=M","Days=T","Dir=V")</f>
        <v>0</v>
      </c>
      <c r="AU2">
        <f>BDH("NEQSQ US Equity","EQY_SH_OUT","1998-03-29","2003-03-29","Per=M","Days=T","Dir=V")</f>
        <v>0</v>
      </c>
      <c r="AW2">
        <f>BDH("NEQSQ US Equity","PX_VOLUME","1998-03-29","2003-03-29","Per=M","Days=T","Dir=V")</f>
        <v>0</v>
      </c>
      <c r="AY2">
        <f>BDH("NEQSQ US Equity","TURNOVER","1998-03-29","2003-03-29","Per=M","Days=T","Dir=V")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BDH("1514052D US Equity","BS_TOT_ASSET","1998-03-31","2003-03-31","Per=Y","Days=T","Dir=V")</f>
        <v>0</v>
      </c>
      <c r="C2">
        <f>BDH("1514052D US Equity","BS_TOT_LIAB2","1998-03-31","2003-03-31","Per=Y","Days=T","Dir=V")</f>
        <v>0</v>
      </c>
      <c r="E2">
        <f>BDH("1514052D US Equity","SHORT_AND_LONG_TERM_DEBT","1998-03-31","2003-03-31","Per=Y","Days=T","Dir=V")</f>
        <v>0</v>
      </c>
      <c r="G2">
        <f>BDH("1514052D US Equity","BS_ST_BORROW","1998-03-31","2003-03-31","Per=Y","Days=T","Dir=V")</f>
        <v>0</v>
      </c>
      <c r="I2">
        <f>BDH("1514052D US Equity","BS_LT_BORROW","1998-03-31","2003-03-31","Per=Y","Days=T","Dir=V")</f>
        <v>0</v>
      </c>
      <c r="K2">
        <f>BDH("1514052D US Equity","BS_CASH_NEAR_CASH_ITEM","1998-03-31","2003-03-31","Per=Y","Days=T","Dir=V")</f>
        <v>0</v>
      </c>
      <c r="M2">
        <f>BDH("1514052D US Equity","BS_CUR_ASSET_REPORT","1998-03-31","2003-03-31","Per=Y","Days=T","Dir=V")</f>
        <v>0</v>
      </c>
      <c r="O2">
        <f>BDH("1514052D US Equity","BS_CUR_LIAB","1998-03-31","2003-03-31","Per=Y","Days=T","Dir=V")</f>
        <v>0</v>
      </c>
      <c r="Q2">
        <f>BDH("1514052D US Equity","BS_SHAREHOLDER_EQY_ENDING_PERIOD","1998-03-31","2003-03-31","Per=Y","Days=T","Dir=V")</f>
        <v>0</v>
      </c>
      <c r="S2">
        <f>BDH("1514052D US Equity","BS_ACCT_NOTE_RCV","1998-03-31","2003-03-31","Per=Y","Days=T","Dir=V")</f>
        <v>0</v>
      </c>
      <c r="U2">
        <f>BDH("1514052D US Equity","BS_INVENTORIES","1998-03-31","2003-03-31","Per=Y","Days=T","Dir=V")</f>
        <v>0</v>
      </c>
      <c r="W2">
        <f>BDH("1514052D US Equity","WORKING_CAPITAL","1998-03-31","2003-03-31","Per=Y","Days=T","Dir=V")</f>
        <v>0</v>
      </c>
      <c r="Y2">
        <f>BDH("1514052D US Equity","SALES_REV_TURN","1998-03-31","2003-03-31","Per=Y","Days=T","Dir=V")</f>
        <v>0</v>
      </c>
      <c r="AA2">
        <f>BDH("1514052D US Equity","EBIT","1998-03-31","2003-03-31","Per=Y","Days=T","Dir=V")</f>
        <v>0</v>
      </c>
      <c r="AC2">
        <f>BDH("1514052D US Equity","EBITDA","1998-03-31","2003-03-31","Per=Y","Days=T","Dir=V")</f>
        <v>0</v>
      </c>
      <c r="AE2">
        <f>BDH("1514052D US Equity","NET_INCOME","1998-03-31","2003-03-31","Per=Y","Days=T","Dir=V")</f>
        <v>0</v>
      </c>
      <c r="AG2">
        <f>BDH("1514052D US Equity","IS_INT_EXPENSE","1998-03-31","2003-03-31","Per=Y","Days=T","Dir=V")</f>
        <v>0</v>
      </c>
      <c r="AI2">
        <f>BDH("1514052D US Equity","IS_DEPR_EXP","1998-03-31","2003-03-31","Per=Y","Days=T","Dir=V")</f>
        <v>0</v>
      </c>
      <c r="AK2">
        <f>BDH("1514052D US Equity","CF_CASH_FROM_OPER","1998-03-31","2003-03-31","Per=Y","Days=T","Dir=V")</f>
        <v>0</v>
      </c>
      <c r="AM2">
        <f>BDH("1514052D US Equity","CAPITAL_EXPEND","1998-03-31","2003-03-31","Per=Y","Days=T","Dir=V")</f>
        <v>0</v>
      </c>
      <c r="AO2">
        <f>BDH("1514052D US Equity","CF_FREE_CASH_FLOW","1998-03-31","2003-03-31","Per=Y","Days=T","Dir=V")</f>
        <v>0</v>
      </c>
      <c r="AQ2">
        <f>BDH("1514052D US Equity","PX_LAST","1998-03-31","2003-03-31","Per=M","Days=T","Dir=V")</f>
        <v>0</v>
      </c>
      <c r="AS2">
        <f>BDH("1514052D US Equity","CUR_MKT_CAP","1998-03-31","2003-03-31","Per=M","Days=T","Dir=V")</f>
        <v>0</v>
      </c>
      <c r="AU2">
        <f>BDH("1514052D US Equity","EQY_SH_OUT","1998-03-31","2003-03-31","Per=M","Days=T","Dir=V")</f>
        <v>0</v>
      </c>
      <c r="AW2">
        <f>BDH("1514052D US Equity","PX_VOLUME","1998-03-31","2003-03-31","Per=M","Days=T","Dir=V")</f>
        <v>0</v>
      </c>
      <c r="AY2">
        <f>BDH("1514052D US Equity","TURNOVER","1998-03-31","2003-03-31","Per=M","Days=T","Dir=V")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BDH("DDICQ US Equity","BS_TOT_ASSET","1998-05-22","2003-05-22","Per=Y","Days=T","Dir=V")</f>
        <v>0</v>
      </c>
      <c r="C2">
        <f>BDH("DDICQ US Equity","BS_TOT_LIAB2","1998-05-22","2003-05-22","Per=Y","Days=T","Dir=V")</f>
        <v>0</v>
      </c>
      <c r="E2">
        <f>BDH("DDICQ US Equity","SHORT_AND_LONG_TERM_DEBT","1998-05-22","2003-05-22","Per=Y","Days=T","Dir=V")</f>
        <v>0</v>
      </c>
      <c r="G2">
        <f>BDH("DDICQ US Equity","BS_ST_BORROW","1998-05-22","2003-05-22","Per=Y","Days=T","Dir=V")</f>
        <v>0</v>
      </c>
      <c r="I2">
        <f>BDH("DDICQ US Equity","BS_LT_BORROW","1998-05-22","2003-05-22","Per=Y","Days=T","Dir=V")</f>
        <v>0</v>
      </c>
      <c r="K2">
        <f>BDH("DDICQ US Equity","BS_CASH_NEAR_CASH_ITEM","1998-05-22","2003-05-22","Per=Y","Days=T","Dir=V")</f>
        <v>0</v>
      </c>
      <c r="M2">
        <f>BDH("DDICQ US Equity","BS_CUR_ASSET_REPORT","1998-05-22","2003-05-22","Per=Y","Days=T","Dir=V")</f>
        <v>0</v>
      </c>
      <c r="O2">
        <f>BDH("DDICQ US Equity","BS_CUR_LIAB","1998-05-22","2003-05-22","Per=Y","Days=T","Dir=V")</f>
        <v>0</v>
      </c>
      <c r="Q2">
        <f>BDH("DDICQ US Equity","BS_SHAREHOLDER_EQY_ENDING_PERIOD","1998-05-22","2003-05-22","Per=Y","Days=T","Dir=V")</f>
        <v>0</v>
      </c>
      <c r="S2">
        <f>BDH("DDICQ US Equity","BS_ACCT_NOTE_RCV","1998-05-22","2003-05-22","Per=Y","Days=T","Dir=V")</f>
        <v>0</v>
      </c>
      <c r="U2">
        <f>BDH("DDICQ US Equity","BS_INVENTORIES","1998-05-22","2003-05-22","Per=Y","Days=T","Dir=V")</f>
        <v>0</v>
      </c>
      <c r="W2">
        <f>BDH("DDICQ US Equity","WORKING_CAPITAL","1998-05-22","2003-05-22","Per=Y","Days=T","Dir=V")</f>
        <v>0</v>
      </c>
      <c r="Y2">
        <f>BDH("DDICQ US Equity","SALES_REV_TURN","1998-05-22","2003-05-22","Per=Y","Days=T","Dir=V")</f>
        <v>0</v>
      </c>
      <c r="AA2">
        <f>BDH("DDICQ US Equity","EBIT","1998-05-22","2003-05-22","Per=Y","Days=T","Dir=V")</f>
        <v>0</v>
      </c>
      <c r="AC2">
        <f>BDH("DDICQ US Equity","EBITDA","1998-05-22","2003-05-22","Per=Y","Days=T","Dir=V")</f>
        <v>0</v>
      </c>
      <c r="AE2">
        <f>BDH("DDICQ US Equity","NET_INCOME","1998-05-22","2003-05-22","Per=Y","Days=T","Dir=V")</f>
        <v>0</v>
      </c>
      <c r="AG2">
        <f>BDH("DDICQ US Equity","IS_INT_EXPENSE","1998-05-22","2003-05-22","Per=Y","Days=T","Dir=V")</f>
        <v>0</v>
      </c>
      <c r="AI2">
        <f>BDH("DDICQ US Equity","IS_DEPR_EXP","1998-05-22","2003-05-22","Per=Y","Days=T","Dir=V")</f>
        <v>0</v>
      </c>
      <c r="AK2">
        <f>BDH("DDICQ US Equity","CF_CASH_FROM_OPER","1998-05-22","2003-05-22","Per=Y","Days=T","Dir=V")</f>
        <v>0</v>
      </c>
      <c r="AM2">
        <f>BDH("DDICQ US Equity","CAPITAL_EXPEND","1998-05-22","2003-05-22","Per=Y","Days=T","Dir=V")</f>
        <v>0</v>
      </c>
      <c r="AO2">
        <f>BDH("DDICQ US Equity","CF_FREE_CASH_FLOW","1998-05-22","2003-05-22","Per=Y","Days=T","Dir=V")</f>
        <v>0</v>
      </c>
      <c r="AQ2">
        <f>BDH("DDICQ US Equity","PX_LAST","1998-05-22","2003-05-22","Per=M","Days=T","Dir=V")</f>
        <v>0</v>
      </c>
      <c r="AS2">
        <f>BDH("DDICQ US Equity","CUR_MKT_CAP","1998-05-22","2003-05-22","Per=M","Days=T","Dir=V")</f>
        <v>0</v>
      </c>
      <c r="AU2">
        <f>BDH("DDICQ US Equity","EQY_SH_OUT","1998-05-22","2003-05-22","Per=M","Days=T","Dir=V")</f>
        <v>0</v>
      </c>
      <c r="AW2">
        <f>BDH("DDICQ US Equity","PX_VOLUME","1998-05-22","2003-05-22","Per=M","Days=T","Dir=V")</f>
        <v>0</v>
      </c>
      <c r="AY2">
        <f>BDH("DDICQ US Equity","TURNOVER","1998-05-22","2003-05-22","Per=M","Days=T","Dir=V")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BDH("NTHWQ US Equity","BS_TOT_ASSET","1998-06-16","2003-06-16","Per=Y","Days=T","Dir=V")</f>
        <v>0</v>
      </c>
      <c r="C2">
        <f>BDH("NTHWQ US Equity","BS_TOT_LIAB2","1998-06-16","2003-06-16","Per=Y","Days=T","Dir=V")</f>
        <v>0</v>
      </c>
      <c r="E2">
        <f>BDH("NTHWQ US Equity","SHORT_AND_LONG_TERM_DEBT","1998-06-16","2003-06-16","Per=Y","Days=T","Dir=V")</f>
        <v>0</v>
      </c>
      <c r="G2">
        <f>BDH("NTHWQ US Equity","BS_ST_BORROW","1998-06-16","2003-06-16","Per=Y","Days=T","Dir=V")</f>
        <v>0</v>
      </c>
      <c r="I2">
        <f>BDH("NTHWQ US Equity","BS_LT_BORROW","1998-06-16","2003-06-16","Per=Y","Days=T","Dir=V")</f>
        <v>0</v>
      </c>
      <c r="K2">
        <f>BDH("NTHWQ US Equity","BS_CASH_NEAR_CASH_ITEM","1998-06-16","2003-06-16","Per=Y","Days=T","Dir=V")</f>
        <v>0</v>
      </c>
      <c r="M2">
        <f>BDH("NTHWQ US Equity","BS_CUR_ASSET_REPORT","1998-06-16","2003-06-16","Per=Y","Days=T","Dir=V")</f>
        <v>0</v>
      </c>
      <c r="O2">
        <f>BDH("NTHWQ US Equity","BS_CUR_LIAB","1998-06-16","2003-06-16","Per=Y","Days=T","Dir=V")</f>
        <v>0</v>
      </c>
      <c r="Q2">
        <f>BDH("NTHWQ US Equity","BS_SHAREHOLDER_EQY_ENDING_PERIOD","1998-06-16","2003-06-16","Per=Y","Days=T","Dir=V")</f>
        <v>0</v>
      </c>
      <c r="S2">
        <f>BDH("NTHWQ US Equity","BS_ACCT_NOTE_RCV","1998-06-16","2003-06-16","Per=Y","Days=T","Dir=V")</f>
        <v>0</v>
      </c>
      <c r="U2">
        <f>BDH("NTHWQ US Equity","BS_INVENTORIES","1998-06-16","2003-06-16","Per=Y","Days=T","Dir=V")</f>
        <v>0</v>
      </c>
      <c r="W2">
        <f>BDH("NTHWQ US Equity","WORKING_CAPITAL","1998-06-16","2003-06-16","Per=Y","Days=T","Dir=V")</f>
        <v>0</v>
      </c>
      <c r="Y2">
        <f>BDH("NTHWQ US Equity","SALES_REV_TURN","1998-06-16","2003-06-16","Per=Y","Days=T","Dir=V")</f>
        <v>0</v>
      </c>
      <c r="AA2">
        <f>BDH("NTHWQ US Equity","EBIT","1998-06-16","2003-06-16","Per=Y","Days=T","Dir=V")</f>
        <v>0</v>
      </c>
      <c r="AC2">
        <f>BDH("NTHWQ US Equity","EBITDA","1998-06-16","2003-06-16","Per=Y","Days=T","Dir=V")</f>
        <v>0</v>
      </c>
      <c r="AE2">
        <f>BDH("NTHWQ US Equity","NET_INCOME","1998-06-16","2003-06-16","Per=Y","Days=T","Dir=V")</f>
        <v>0</v>
      </c>
      <c r="AG2">
        <f>BDH("NTHWQ US Equity","IS_INT_EXPENSE","1998-06-16","2003-06-16","Per=Y","Days=T","Dir=V")</f>
        <v>0</v>
      </c>
      <c r="AI2">
        <f>BDH("NTHWQ US Equity","IS_DEPR_EXP","1998-06-16","2003-06-16","Per=Y","Days=T","Dir=V")</f>
        <v>0</v>
      </c>
      <c r="AK2">
        <f>BDH("NTHWQ US Equity","CF_CASH_FROM_OPER","1998-06-16","2003-06-16","Per=Y","Days=T","Dir=V")</f>
        <v>0</v>
      </c>
      <c r="AM2">
        <f>BDH("NTHWQ US Equity","CAPITAL_EXPEND","1998-06-16","2003-06-16","Per=Y","Days=T","Dir=V")</f>
        <v>0</v>
      </c>
      <c r="AO2">
        <f>BDH("NTHWQ US Equity","CF_FREE_CASH_FLOW","1998-06-16","2003-06-16","Per=Y","Days=T","Dir=V")</f>
        <v>0</v>
      </c>
      <c r="AQ2">
        <f>BDH("NTHWQ US Equity","PX_LAST","1998-06-16","2003-06-16","Per=M","Days=T","Dir=V")</f>
        <v>0</v>
      </c>
      <c r="AS2">
        <f>BDH("NTHWQ US Equity","CUR_MKT_CAP","1998-06-16","2003-06-16","Per=M","Days=T","Dir=V")</f>
        <v>0</v>
      </c>
      <c r="AU2">
        <f>BDH("NTHWQ US Equity","EQY_SH_OUT","1998-06-16","2003-06-16","Per=M","Days=T","Dir=V")</f>
        <v>0</v>
      </c>
      <c r="AW2">
        <f>BDH("NTHWQ US Equity","PX_VOLUME","1998-06-16","2003-06-16","Per=M","Days=T","Dir=V")</f>
        <v>0</v>
      </c>
      <c r="AY2">
        <f>BDH("NTHWQ US Equity","TURNOVER","1998-06-16","2003-06-16","Per=M","Days=T","Dir=V")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BDH("CJML US Equity","BS_TOT_ASSET","1998-06-26","2003-06-26","Per=Y","Days=T","Dir=V")</f>
        <v>0</v>
      </c>
      <c r="C2">
        <f>BDH("CJML US Equity","BS_TOT_LIAB2","1998-06-26","2003-06-26","Per=Y","Days=T","Dir=V")</f>
        <v>0</v>
      </c>
      <c r="E2">
        <f>BDH("CJML US Equity","SHORT_AND_LONG_TERM_DEBT","1998-06-26","2003-06-26","Per=Y","Days=T","Dir=V")</f>
        <v>0</v>
      </c>
      <c r="G2">
        <f>BDH("CJML US Equity","BS_ST_BORROW","1998-06-26","2003-06-26","Per=Y","Days=T","Dir=V")</f>
        <v>0</v>
      </c>
      <c r="I2">
        <f>BDH("CJML US Equity","BS_LT_BORROW","1998-06-26","2003-06-26","Per=Y","Days=T","Dir=V")</f>
        <v>0</v>
      </c>
      <c r="K2">
        <f>BDH("CJML US Equity","BS_CASH_NEAR_CASH_ITEM","1998-06-26","2003-06-26","Per=Y","Days=T","Dir=V")</f>
        <v>0</v>
      </c>
      <c r="M2">
        <f>BDH("CJML US Equity","BS_CUR_ASSET_REPORT","1998-06-26","2003-06-26","Per=Y","Days=T","Dir=V")</f>
        <v>0</v>
      </c>
      <c r="O2">
        <f>BDH("CJML US Equity","BS_CUR_LIAB","1998-06-26","2003-06-26","Per=Y","Days=T","Dir=V")</f>
        <v>0</v>
      </c>
      <c r="Q2">
        <f>BDH("CJML US Equity","BS_SHAREHOLDER_EQY_ENDING_PERIOD","1998-06-26","2003-06-26","Per=Y","Days=T","Dir=V")</f>
        <v>0</v>
      </c>
      <c r="S2">
        <f>BDH("CJML US Equity","BS_ACCT_NOTE_RCV","1998-06-26","2003-06-26","Per=Y","Days=T","Dir=V")</f>
        <v>0</v>
      </c>
      <c r="U2">
        <f>BDH("CJML US Equity","BS_INVENTORIES","1998-06-26","2003-06-26","Per=Y","Days=T","Dir=V")</f>
        <v>0</v>
      </c>
      <c r="W2">
        <f>BDH("CJML US Equity","WORKING_CAPITAL","1998-06-26","2003-06-26","Per=Y","Days=T","Dir=V")</f>
        <v>0</v>
      </c>
      <c r="Y2">
        <f>BDH("CJML US Equity","SALES_REV_TURN","1998-06-26","2003-06-26","Per=Y","Days=T","Dir=V")</f>
        <v>0</v>
      </c>
      <c r="AA2">
        <f>BDH("CJML US Equity","EBIT","1998-06-26","2003-06-26","Per=Y","Days=T","Dir=V")</f>
        <v>0</v>
      </c>
      <c r="AC2">
        <f>BDH("CJML US Equity","EBITDA","1998-06-26","2003-06-26","Per=Y","Days=T","Dir=V")</f>
        <v>0</v>
      </c>
      <c r="AE2">
        <f>BDH("CJML US Equity","NET_INCOME","1998-06-26","2003-06-26","Per=Y","Days=T","Dir=V")</f>
        <v>0</v>
      </c>
      <c r="AG2">
        <f>BDH("CJML US Equity","IS_INT_EXPENSE","1998-06-26","2003-06-26","Per=Y","Days=T","Dir=V")</f>
        <v>0</v>
      </c>
      <c r="AI2">
        <f>BDH("CJML US Equity","IS_DEPR_EXP","1998-06-26","2003-06-26","Per=Y","Days=T","Dir=V")</f>
        <v>0</v>
      </c>
      <c r="AK2">
        <f>BDH("CJML US Equity","CF_CASH_FROM_OPER","1998-06-26","2003-06-26","Per=Y","Days=T","Dir=V")</f>
        <v>0</v>
      </c>
      <c r="AM2">
        <f>BDH("CJML US Equity","CAPITAL_EXPEND","1998-06-26","2003-06-26","Per=Y","Days=T","Dir=V")</f>
        <v>0</v>
      </c>
      <c r="AO2">
        <f>BDH("CJML US Equity","CF_FREE_CASH_FLOW","1998-06-26","2003-06-26","Per=Y","Days=T","Dir=V")</f>
        <v>0</v>
      </c>
      <c r="AQ2">
        <f>BDH("CJML US Equity","PX_LAST","1998-06-26","2003-06-26","Per=M","Days=T","Dir=V")</f>
        <v>0</v>
      </c>
      <c r="AS2">
        <f>BDH("CJML US Equity","CUR_MKT_CAP","1998-06-26","2003-06-26","Per=M","Days=T","Dir=V")</f>
        <v>0</v>
      </c>
      <c r="AU2">
        <f>BDH("CJML US Equity","EQY_SH_OUT","1998-06-26","2003-06-26","Per=M","Days=T","Dir=V")</f>
        <v>0</v>
      </c>
      <c r="AW2">
        <f>BDH("CJML US Equity","PX_VOLUME","1998-06-26","2003-06-26","Per=M","Days=T","Dir=V")</f>
        <v>0</v>
      </c>
      <c r="AY2">
        <f>BDH("CJML US Equity","TURNOVER","1998-06-26","2003-06-26","Per=M","Days=T","Dir=V")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BDH("RGIDQ US Equity","BS_TOT_ASSET","1998-07-25","2003-07-25","Per=Y","Days=T","Dir=V")</f>
        <v>0</v>
      </c>
      <c r="C2">
        <f>BDH("RGIDQ US Equity","BS_TOT_LIAB2","1998-07-25","2003-07-25","Per=Y","Days=T","Dir=V")</f>
        <v>0</v>
      </c>
      <c r="E2">
        <f>BDH("RGIDQ US Equity","SHORT_AND_LONG_TERM_DEBT","1998-07-25","2003-07-25","Per=Y","Days=T","Dir=V")</f>
        <v>0</v>
      </c>
      <c r="G2">
        <f>BDH("RGIDQ US Equity","BS_ST_BORROW","1998-07-25","2003-07-25","Per=Y","Days=T","Dir=V")</f>
        <v>0</v>
      </c>
      <c r="I2">
        <f>BDH("RGIDQ US Equity","BS_LT_BORROW","1998-07-25","2003-07-25","Per=Y","Days=T","Dir=V")</f>
        <v>0</v>
      </c>
      <c r="K2">
        <f>BDH("RGIDQ US Equity","BS_CASH_NEAR_CASH_ITEM","1998-07-25","2003-07-25","Per=Y","Days=T","Dir=V")</f>
        <v>0</v>
      </c>
      <c r="M2">
        <f>BDH("RGIDQ US Equity","BS_CUR_ASSET_REPORT","1998-07-25","2003-07-25","Per=Y","Days=T","Dir=V")</f>
        <v>0</v>
      </c>
      <c r="O2">
        <f>BDH("RGIDQ US Equity","BS_CUR_LIAB","1998-07-25","2003-07-25","Per=Y","Days=T","Dir=V")</f>
        <v>0</v>
      </c>
      <c r="Q2">
        <f>BDH("RGIDQ US Equity","BS_SHAREHOLDER_EQY_ENDING_PERIOD","1998-07-25","2003-07-25","Per=Y","Days=T","Dir=V")</f>
        <v>0</v>
      </c>
      <c r="S2">
        <f>BDH("RGIDQ US Equity","BS_ACCT_NOTE_RCV","1998-07-25","2003-07-25","Per=Y","Days=T","Dir=V")</f>
        <v>0</v>
      </c>
      <c r="U2">
        <f>BDH("RGIDQ US Equity","BS_INVENTORIES","1998-07-25","2003-07-25","Per=Y","Days=T","Dir=V")</f>
        <v>0</v>
      </c>
      <c r="W2">
        <f>BDH("RGIDQ US Equity","WORKING_CAPITAL","1998-07-25","2003-07-25","Per=Y","Days=T","Dir=V")</f>
        <v>0</v>
      </c>
      <c r="Y2">
        <f>BDH("RGIDQ US Equity","SALES_REV_TURN","1998-07-25","2003-07-25","Per=Y","Days=T","Dir=V")</f>
        <v>0</v>
      </c>
      <c r="AA2">
        <f>BDH("RGIDQ US Equity","EBIT","1998-07-25","2003-07-25","Per=Y","Days=T","Dir=V")</f>
        <v>0</v>
      </c>
      <c r="AC2">
        <f>BDH("RGIDQ US Equity","EBITDA","1998-07-25","2003-07-25","Per=Y","Days=T","Dir=V")</f>
        <v>0</v>
      </c>
      <c r="AE2">
        <f>BDH("RGIDQ US Equity","NET_INCOME","1998-07-25","2003-07-25","Per=Y","Days=T","Dir=V")</f>
        <v>0</v>
      </c>
      <c r="AG2">
        <f>BDH("RGIDQ US Equity","IS_INT_EXPENSE","1998-07-25","2003-07-25","Per=Y","Days=T","Dir=V")</f>
        <v>0</v>
      </c>
      <c r="AI2">
        <f>BDH("RGIDQ US Equity","IS_DEPR_EXP","1998-07-25","2003-07-25","Per=Y","Days=T","Dir=V")</f>
        <v>0</v>
      </c>
      <c r="AK2">
        <f>BDH("RGIDQ US Equity","CF_CASH_FROM_OPER","1998-07-25","2003-07-25","Per=Y","Days=T","Dir=V")</f>
        <v>0</v>
      </c>
      <c r="AM2">
        <f>BDH("RGIDQ US Equity","CAPITAL_EXPEND","1998-07-25","2003-07-25","Per=Y","Days=T","Dir=V")</f>
        <v>0</v>
      </c>
      <c r="AO2">
        <f>BDH("RGIDQ US Equity","CF_FREE_CASH_FLOW","1998-07-25","2003-07-25","Per=Y","Days=T","Dir=V")</f>
        <v>0</v>
      </c>
      <c r="AQ2">
        <f>BDH("RGIDQ US Equity","PX_LAST","1998-07-25","2003-07-25","Per=M","Days=T","Dir=V")</f>
        <v>0</v>
      </c>
      <c r="AS2">
        <f>BDH("RGIDQ US Equity","CUR_MKT_CAP","1998-07-25","2003-07-25","Per=M","Days=T","Dir=V")</f>
        <v>0</v>
      </c>
      <c r="AU2">
        <f>BDH("RGIDQ US Equity","EQY_SH_OUT","1998-07-25","2003-07-25","Per=M","Days=T","Dir=V")</f>
        <v>0</v>
      </c>
      <c r="AW2">
        <f>BDH("RGIDQ US Equity","PX_VOLUME","1998-07-25","2003-07-25","Per=M","Days=T","Dir=V")</f>
        <v>0</v>
      </c>
      <c r="AY2">
        <f>BDH("RGIDQ US Equity","TURNOVER","1998-07-25","2003-07-25","Per=M","Days=T","Dir=V")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BDH("AAWHQ US Equity","BS_TOT_ASSET","1998-11-01","2003-11-01","Per=Y","Days=T","Dir=V")</f>
        <v>0</v>
      </c>
      <c r="C2">
        <f>BDH("AAWHQ US Equity","BS_TOT_LIAB2","1998-11-01","2003-11-01","Per=Y","Days=T","Dir=V")</f>
        <v>0</v>
      </c>
      <c r="E2">
        <f>BDH("AAWHQ US Equity","SHORT_AND_LONG_TERM_DEBT","1998-11-01","2003-11-01","Per=Y","Days=T","Dir=V")</f>
        <v>0</v>
      </c>
      <c r="G2">
        <f>BDH("AAWHQ US Equity","BS_ST_BORROW","1998-11-01","2003-11-01","Per=Y","Days=T","Dir=V")</f>
        <v>0</v>
      </c>
      <c r="I2">
        <f>BDH("AAWHQ US Equity","BS_LT_BORROW","1998-11-01","2003-11-01","Per=Y","Days=T","Dir=V")</f>
        <v>0</v>
      </c>
      <c r="K2">
        <f>BDH("AAWHQ US Equity","BS_CASH_NEAR_CASH_ITEM","1998-11-01","2003-11-01","Per=Y","Days=T","Dir=V")</f>
        <v>0</v>
      </c>
      <c r="M2">
        <f>BDH("AAWHQ US Equity","BS_CUR_ASSET_REPORT","1998-11-01","2003-11-01","Per=Y","Days=T","Dir=V")</f>
        <v>0</v>
      </c>
      <c r="O2">
        <f>BDH("AAWHQ US Equity","BS_CUR_LIAB","1998-11-01","2003-11-01","Per=Y","Days=T","Dir=V")</f>
        <v>0</v>
      </c>
      <c r="Q2">
        <f>BDH("AAWHQ US Equity","BS_SHAREHOLDER_EQY_ENDING_PERIOD","1998-11-01","2003-11-01","Per=Y","Days=T","Dir=V")</f>
        <v>0</v>
      </c>
      <c r="S2">
        <f>BDH("AAWHQ US Equity","BS_ACCT_NOTE_RCV","1998-11-01","2003-11-01","Per=Y","Days=T","Dir=V")</f>
        <v>0</v>
      </c>
      <c r="U2">
        <f>BDH("AAWHQ US Equity","BS_INVENTORIES","1998-11-01","2003-11-01","Per=Y","Days=T","Dir=V")</f>
        <v>0</v>
      </c>
      <c r="W2">
        <f>BDH("AAWHQ US Equity","WORKING_CAPITAL","1998-11-01","2003-11-01","Per=Y","Days=T","Dir=V")</f>
        <v>0</v>
      </c>
      <c r="Y2">
        <f>BDH("AAWHQ US Equity","SALES_REV_TURN","1998-11-01","2003-11-01","Per=Y","Days=T","Dir=V")</f>
        <v>0</v>
      </c>
      <c r="AA2">
        <f>BDH("AAWHQ US Equity","EBIT","1998-11-01","2003-11-01","Per=Y","Days=T","Dir=V")</f>
        <v>0</v>
      </c>
      <c r="AC2">
        <f>BDH("AAWHQ US Equity","EBITDA","1998-11-01","2003-11-01","Per=Y","Days=T","Dir=V")</f>
        <v>0</v>
      </c>
      <c r="AE2">
        <f>BDH("AAWHQ US Equity","NET_INCOME","1998-11-01","2003-11-01","Per=Y","Days=T","Dir=V")</f>
        <v>0</v>
      </c>
      <c r="AG2">
        <f>BDH("AAWHQ US Equity","IS_INT_EXPENSE","1998-11-01","2003-11-01","Per=Y","Days=T","Dir=V")</f>
        <v>0</v>
      </c>
      <c r="AI2">
        <f>BDH("AAWHQ US Equity","IS_DEPR_EXP","1998-11-01","2003-11-01","Per=Y","Days=T","Dir=V")</f>
        <v>0</v>
      </c>
      <c r="AK2">
        <f>BDH("AAWHQ US Equity","CF_CASH_FROM_OPER","1998-11-01","2003-11-01","Per=Y","Days=T","Dir=V")</f>
        <v>0</v>
      </c>
      <c r="AM2">
        <f>BDH("AAWHQ US Equity","CAPITAL_EXPEND","1998-11-01","2003-11-01","Per=Y","Days=T","Dir=V")</f>
        <v>0</v>
      </c>
      <c r="AO2">
        <f>BDH("AAWHQ US Equity","CF_FREE_CASH_FLOW","1998-11-01","2003-11-01","Per=Y","Days=T","Dir=V")</f>
        <v>0</v>
      </c>
      <c r="AQ2">
        <f>BDH("AAWHQ US Equity","PX_LAST","1998-11-01","2003-11-01","Per=M","Days=T","Dir=V")</f>
        <v>0</v>
      </c>
      <c r="AS2">
        <f>BDH("AAWHQ US Equity","CUR_MKT_CAP","1998-11-01","2003-11-01","Per=M","Days=T","Dir=V")</f>
        <v>0</v>
      </c>
      <c r="AU2">
        <f>BDH("AAWHQ US Equity","EQY_SH_OUT","1998-11-01","2003-11-01","Per=M","Days=T","Dir=V")</f>
        <v>0</v>
      </c>
      <c r="AW2">
        <f>BDH("AAWHQ US Equity","PX_VOLUME","1998-11-01","2003-11-01","Per=M","Days=T","Dir=V")</f>
        <v>0</v>
      </c>
      <c r="AY2">
        <f>BDH("AAWHQ US Equity","TURNOVER","1998-11-01","2003-11-01","Per=M","Days=T","Dir=V")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BDH("AVDO US Equity","BS_TOT_ASSET","1998-11-06","2003-11-06","Per=Y","Days=T","Dir=V")</f>
        <v>0</v>
      </c>
      <c r="C2">
        <f>BDH("AVDO US Equity","BS_TOT_LIAB2","1998-11-06","2003-11-06","Per=Y","Days=T","Dir=V")</f>
        <v>0</v>
      </c>
      <c r="E2">
        <f>BDH("AVDO US Equity","SHORT_AND_LONG_TERM_DEBT","1998-11-06","2003-11-06","Per=Y","Days=T","Dir=V")</f>
        <v>0</v>
      </c>
      <c r="G2">
        <f>BDH("AVDO US Equity","BS_ST_BORROW","1998-11-06","2003-11-06","Per=Y","Days=T","Dir=V")</f>
        <v>0</v>
      </c>
      <c r="I2">
        <f>BDH("AVDO US Equity","BS_LT_BORROW","1998-11-06","2003-11-06","Per=Y","Days=T","Dir=V")</f>
        <v>0</v>
      </c>
      <c r="K2">
        <f>BDH("AVDO US Equity","BS_CASH_NEAR_CASH_ITEM","1998-11-06","2003-11-06","Per=Y","Days=T","Dir=V")</f>
        <v>0</v>
      </c>
      <c r="M2">
        <f>BDH("AVDO US Equity","BS_CUR_ASSET_REPORT","1998-11-06","2003-11-06","Per=Y","Days=T","Dir=V")</f>
        <v>0</v>
      </c>
      <c r="O2">
        <f>BDH("AVDO US Equity","BS_CUR_LIAB","1998-11-06","2003-11-06","Per=Y","Days=T","Dir=V")</f>
        <v>0</v>
      </c>
      <c r="Q2">
        <f>BDH("AVDO US Equity","BS_SHAREHOLDER_EQY_ENDING_PERIOD","1998-11-06","2003-11-06","Per=Y","Days=T","Dir=V")</f>
        <v>0</v>
      </c>
      <c r="S2">
        <f>BDH("AVDO US Equity","BS_ACCT_NOTE_RCV","1998-11-06","2003-11-06","Per=Y","Days=T","Dir=V")</f>
        <v>0</v>
      </c>
      <c r="U2">
        <f>BDH("AVDO US Equity","BS_INVENTORIES","1998-11-06","2003-11-06","Per=Y","Days=T","Dir=V")</f>
        <v>0</v>
      </c>
      <c r="W2">
        <f>BDH("AVDO US Equity","WORKING_CAPITAL","1998-11-06","2003-11-06","Per=Y","Days=T","Dir=V")</f>
        <v>0</v>
      </c>
      <c r="Y2">
        <f>BDH("AVDO US Equity","SALES_REV_TURN","1998-11-06","2003-11-06","Per=Y","Days=T","Dir=V")</f>
        <v>0</v>
      </c>
      <c r="AA2">
        <f>BDH("AVDO US Equity","EBIT","1998-11-06","2003-11-06","Per=Y","Days=T","Dir=V")</f>
        <v>0</v>
      </c>
      <c r="AC2">
        <f>BDH("AVDO US Equity","EBITDA","1998-11-06","2003-11-06","Per=Y","Days=T","Dir=V")</f>
        <v>0</v>
      </c>
      <c r="AE2">
        <f>BDH("AVDO US Equity","NET_INCOME","1998-11-06","2003-11-06","Per=Y","Days=T","Dir=V")</f>
        <v>0</v>
      </c>
      <c r="AG2">
        <f>BDH("AVDO US Equity","IS_INT_EXPENSE","1998-11-06","2003-11-06","Per=Y","Days=T","Dir=V")</f>
        <v>0</v>
      </c>
      <c r="AI2">
        <f>BDH("AVDO US Equity","IS_DEPR_EXP","1998-11-06","2003-11-06","Per=Y","Days=T","Dir=V")</f>
        <v>0</v>
      </c>
      <c r="AK2">
        <f>BDH("AVDO US Equity","CF_CASH_FROM_OPER","1998-11-06","2003-11-06","Per=Y","Days=T","Dir=V")</f>
        <v>0</v>
      </c>
      <c r="AM2">
        <f>BDH("AVDO US Equity","CAPITAL_EXPEND","1998-11-06","2003-11-06","Per=Y","Days=T","Dir=V")</f>
        <v>0</v>
      </c>
      <c r="AO2">
        <f>BDH("AVDO US Equity","CF_FREE_CASH_FLOW","1998-11-06","2003-11-06","Per=Y","Days=T","Dir=V")</f>
        <v>0</v>
      </c>
      <c r="AQ2">
        <f>BDH("AVDO US Equity","PX_LAST","1998-11-06","2003-11-06","Per=M","Days=T","Dir=V")</f>
        <v>0</v>
      </c>
      <c r="AS2">
        <f>BDH("AVDO US Equity","CUR_MKT_CAP","1998-11-06","2003-11-06","Per=M","Days=T","Dir=V")</f>
        <v>0</v>
      </c>
      <c r="AU2">
        <f>BDH("AVDO US Equity","EQY_SH_OUT","1998-11-06","2003-11-06","Per=M","Days=T","Dir=V")</f>
        <v>0</v>
      </c>
      <c r="AW2">
        <f>BDH("AVDO US Equity","PX_VOLUME","1998-11-06","2003-11-06","Per=M","Days=T","Dir=V")</f>
        <v>0</v>
      </c>
      <c r="AY2">
        <f>BDH("AVDO US Equity","TURNOVER","1998-11-06","2003-11-06","Per=M","Days=T","Dir=V")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BDH("RCNCQ US Equity","BS_TOT_ASSET","1999-02-27","2004-02-27","Per=Y","Days=T","Dir=V")</f>
        <v>0</v>
      </c>
      <c r="C2">
        <f>BDH("RCNCQ US Equity","BS_TOT_LIAB2","1999-02-27","2004-02-27","Per=Y","Days=T","Dir=V")</f>
        <v>0</v>
      </c>
      <c r="E2">
        <f>BDH("RCNCQ US Equity","SHORT_AND_LONG_TERM_DEBT","1999-02-27","2004-02-27","Per=Y","Days=T","Dir=V")</f>
        <v>0</v>
      </c>
      <c r="G2">
        <f>BDH("RCNCQ US Equity","BS_ST_BORROW","1999-02-27","2004-02-27","Per=Y","Days=T","Dir=V")</f>
        <v>0</v>
      </c>
      <c r="I2">
        <f>BDH("RCNCQ US Equity","BS_LT_BORROW","1999-02-27","2004-02-27","Per=Y","Days=T","Dir=V")</f>
        <v>0</v>
      </c>
      <c r="K2">
        <f>BDH("RCNCQ US Equity","BS_CASH_NEAR_CASH_ITEM","1999-02-27","2004-02-27","Per=Y","Days=T","Dir=V")</f>
        <v>0</v>
      </c>
      <c r="M2">
        <f>BDH("RCNCQ US Equity","BS_CUR_ASSET_REPORT","1999-02-27","2004-02-27","Per=Y","Days=T","Dir=V")</f>
        <v>0</v>
      </c>
      <c r="O2">
        <f>BDH("RCNCQ US Equity","BS_CUR_LIAB","1999-02-27","2004-02-27","Per=Y","Days=T","Dir=V")</f>
        <v>0</v>
      </c>
      <c r="Q2">
        <f>BDH("RCNCQ US Equity","BS_SHAREHOLDER_EQY_ENDING_PERIOD","1999-02-27","2004-02-27","Per=Y","Days=T","Dir=V")</f>
        <v>0</v>
      </c>
      <c r="S2">
        <f>BDH("RCNCQ US Equity","BS_ACCT_NOTE_RCV","1999-02-27","2004-02-27","Per=Y","Days=T","Dir=V")</f>
        <v>0</v>
      </c>
      <c r="U2">
        <f>BDH("RCNCQ US Equity","BS_INVENTORIES","1999-02-27","2004-02-27","Per=Y","Days=T","Dir=V")</f>
        <v>0</v>
      </c>
      <c r="W2">
        <f>BDH("RCNCQ US Equity","WORKING_CAPITAL","1999-02-27","2004-02-27","Per=Y","Days=T","Dir=V")</f>
        <v>0</v>
      </c>
      <c r="Y2">
        <f>BDH("RCNCQ US Equity","SALES_REV_TURN","1999-02-27","2004-02-27","Per=Y","Days=T","Dir=V")</f>
        <v>0</v>
      </c>
      <c r="AA2">
        <f>BDH("RCNCQ US Equity","EBIT","1999-02-27","2004-02-27","Per=Y","Days=T","Dir=V")</f>
        <v>0</v>
      </c>
      <c r="AC2">
        <f>BDH("RCNCQ US Equity","EBITDA","1999-02-27","2004-02-27","Per=Y","Days=T","Dir=V")</f>
        <v>0</v>
      </c>
      <c r="AE2">
        <f>BDH("RCNCQ US Equity","NET_INCOME","1999-02-27","2004-02-27","Per=Y","Days=T","Dir=V")</f>
        <v>0</v>
      </c>
      <c r="AG2">
        <f>BDH("RCNCQ US Equity","IS_INT_EXPENSE","1999-02-27","2004-02-27","Per=Y","Days=T","Dir=V")</f>
        <v>0</v>
      </c>
      <c r="AI2">
        <f>BDH("RCNCQ US Equity","IS_DEPR_EXP","1999-02-27","2004-02-27","Per=Y","Days=T","Dir=V")</f>
        <v>0</v>
      </c>
      <c r="AK2">
        <f>BDH("RCNCQ US Equity","CF_CASH_FROM_OPER","1999-02-27","2004-02-27","Per=Y","Days=T","Dir=V")</f>
        <v>0</v>
      </c>
      <c r="AM2">
        <f>BDH("RCNCQ US Equity","CAPITAL_EXPEND","1999-02-27","2004-02-27","Per=Y","Days=T","Dir=V")</f>
        <v>0</v>
      </c>
      <c r="AO2">
        <f>BDH("RCNCQ US Equity","CF_FREE_CASH_FLOW","1999-02-27","2004-02-27","Per=Y","Days=T","Dir=V")</f>
        <v>0</v>
      </c>
      <c r="AQ2">
        <f>BDH("RCNCQ US Equity","PX_LAST","1999-02-27","2004-02-27","Per=M","Days=T","Dir=V")</f>
        <v>0</v>
      </c>
      <c r="AS2">
        <f>BDH("RCNCQ US Equity","CUR_MKT_CAP","1999-02-27","2004-02-27","Per=M","Days=T","Dir=V")</f>
        <v>0</v>
      </c>
      <c r="AU2">
        <f>BDH("RCNCQ US Equity","EQY_SH_OUT","1999-02-27","2004-02-27","Per=M","Days=T","Dir=V")</f>
        <v>0</v>
      </c>
      <c r="AW2">
        <f>BDH("RCNCQ US Equity","PX_VOLUME","1999-02-27","2004-02-27","Per=M","Days=T","Dir=V")</f>
        <v>0</v>
      </c>
      <c r="AY2">
        <f>BDH("RCNCQ US Equity","TURNOVER","1999-02-27","2004-02-27","Per=M","Days=T","Dir=V")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BDH("CWONQ US Equity","BS_TOT_ASSET","1999-07-07","2004-07-07","Per=Y","Days=T","Dir=V")</f>
        <v>0</v>
      </c>
      <c r="C2">
        <f>BDH("CWONQ US Equity","BS_TOT_LIAB2","1999-07-07","2004-07-07","Per=Y","Days=T","Dir=V")</f>
        <v>0</v>
      </c>
      <c r="E2">
        <f>BDH("CWONQ US Equity","SHORT_AND_LONG_TERM_DEBT","1999-07-07","2004-07-07","Per=Y","Days=T","Dir=V")</f>
        <v>0</v>
      </c>
      <c r="G2">
        <f>BDH("CWONQ US Equity","BS_ST_BORROW","1999-07-07","2004-07-07","Per=Y","Days=T","Dir=V")</f>
        <v>0</v>
      </c>
      <c r="I2">
        <f>BDH("CWONQ US Equity","BS_LT_BORROW","1999-07-07","2004-07-07","Per=Y","Days=T","Dir=V")</f>
        <v>0</v>
      </c>
      <c r="K2">
        <f>BDH("CWONQ US Equity","BS_CASH_NEAR_CASH_ITEM","1999-07-07","2004-07-07","Per=Y","Days=T","Dir=V")</f>
        <v>0</v>
      </c>
      <c r="M2">
        <f>BDH("CWONQ US Equity","BS_CUR_ASSET_REPORT","1999-07-07","2004-07-07","Per=Y","Days=T","Dir=V")</f>
        <v>0</v>
      </c>
      <c r="O2">
        <f>BDH("CWONQ US Equity","BS_CUR_LIAB","1999-07-07","2004-07-07","Per=Y","Days=T","Dir=V")</f>
        <v>0</v>
      </c>
      <c r="Q2">
        <f>BDH("CWONQ US Equity","BS_SHAREHOLDER_EQY_ENDING_PERIOD","1999-07-07","2004-07-07","Per=Y","Days=T","Dir=V")</f>
        <v>0</v>
      </c>
      <c r="S2">
        <f>BDH("CWONQ US Equity","BS_ACCT_NOTE_RCV","1999-07-07","2004-07-07","Per=Y","Days=T","Dir=V")</f>
        <v>0</v>
      </c>
      <c r="U2">
        <f>BDH("CWONQ US Equity","BS_INVENTORIES","1999-07-07","2004-07-07","Per=Y","Days=T","Dir=V")</f>
        <v>0</v>
      </c>
      <c r="W2">
        <f>BDH("CWONQ US Equity","WORKING_CAPITAL","1999-07-07","2004-07-07","Per=Y","Days=T","Dir=V")</f>
        <v>0</v>
      </c>
      <c r="Y2">
        <f>BDH("CWONQ US Equity","SALES_REV_TURN","1999-07-07","2004-07-07","Per=Y","Days=T","Dir=V")</f>
        <v>0</v>
      </c>
      <c r="AA2">
        <f>BDH("CWONQ US Equity","EBIT","1999-07-07","2004-07-07","Per=Y","Days=T","Dir=V")</f>
        <v>0</v>
      </c>
      <c r="AC2">
        <f>BDH("CWONQ US Equity","EBITDA","1999-07-07","2004-07-07","Per=Y","Days=T","Dir=V")</f>
        <v>0</v>
      </c>
      <c r="AE2">
        <f>BDH("CWONQ US Equity","NET_INCOME","1999-07-07","2004-07-07","Per=Y","Days=T","Dir=V")</f>
        <v>0</v>
      </c>
      <c r="AG2">
        <f>BDH("CWONQ US Equity","IS_INT_EXPENSE","1999-07-07","2004-07-07","Per=Y","Days=T","Dir=V")</f>
        <v>0</v>
      </c>
      <c r="AI2">
        <f>BDH("CWONQ US Equity","IS_DEPR_EXP","1999-07-07","2004-07-07","Per=Y","Days=T","Dir=V")</f>
        <v>0</v>
      </c>
      <c r="AK2">
        <f>BDH("CWONQ US Equity","CF_CASH_FROM_OPER","1999-07-07","2004-07-07","Per=Y","Days=T","Dir=V")</f>
        <v>0</v>
      </c>
      <c r="AM2">
        <f>BDH("CWONQ US Equity","CAPITAL_EXPEND","1999-07-07","2004-07-07","Per=Y","Days=T","Dir=V")</f>
        <v>0</v>
      </c>
      <c r="AO2">
        <f>BDH("CWONQ US Equity","CF_FREE_CASH_FLOW","1999-07-07","2004-07-07","Per=Y","Days=T","Dir=V")</f>
        <v>0</v>
      </c>
      <c r="AQ2">
        <f>BDH("CWONQ US Equity","PX_LAST","1999-07-07","2004-07-07","Per=M","Days=T","Dir=V")</f>
        <v>0</v>
      </c>
      <c r="AS2">
        <f>BDH("CWONQ US Equity","CUR_MKT_CAP","1999-07-07","2004-07-07","Per=M","Days=T","Dir=V")</f>
        <v>0</v>
      </c>
      <c r="AU2">
        <f>BDH("CWONQ US Equity","EQY_SH_OUT","1999-07-07","2004-07-07","Per=M","Days=T","Dir=V")</f>
        <v>0</v>
      </c>
      <c r="AW2">
        <f>BDH("CWONQ US Equity","PX_VOLUME","1999-07-07","2004-07-07","Per=M","Days=T","Dir=V")</f>
        <v>0</v>
      </c>
      <c r="AY2">
        <f>BDH("CWONQ US Equity","TURNOVER","1999-07-07","2004-07-07","Per=M","Days=T","Dir=V")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BDH("HUFCQ US Equity","BS_TOT_ASSET","1999-07-22","2004-07-22","Per=Y","Days=T","Dir=V")</f>
        <v>0</v>
      </c>
      <c r="C2">
        <f>BDH("HUFCQ US Equity","BS_TOT_LIAB2","1999-07-22","2004-07-22","Per=Y","Days=T","Dir=V")</f>
        <v>0</v>
      </c>
      <c r="E2">
        <f>BDH("HUFCQ US Equity","SHORT_AND_LONG_TERM_DEBT","1999-07-22","2004-07-22","Per=Y","Days=T","Dir=V")</f>
        <v>0</v>
      </c>
      <c r="G2">
        <f>BDH("HUFCQ US Equity","BS_ST_BORROW","1999-07-22","2004-07-22","Per=Y","Days=T","Dir=V")</f>
        <v>0</v>
      </c>
      <c r="I2">
        <f>BDH("HUFCQ US Equity","BS_LT_BORROW","1999-07-22","2004-07-22","Per=Y","Days=T","Dir=V")</f>
        <v>0</v>
      </c>
      <c r="K2">
        <f>BDH("HUFCQ US Equity","BS_CASH_NEAR_CASH_ITEM","1999-07-22","2004-07-22","Per=Y","Days=T","Dir=V")</f>
        <v>0</v>
      </c>
      <c r="M2">
        <f>BDH("HUFCQ US Equity","BS_CUR_ASSET_REPORT","1999-07-22","2004-07-22","Per=Y","Days=T","Dir=V")</f>
        <v>0</v>
      </c>
      <c r="O2">
        <f>BDH("HUFCQ US Equity","BS_CUR_LIAB","1999-07-22","2004-07-22","Per=Y","Days=T","Dir=V")</f>
        <v>0</v>
      </c>
      <c r="Q2">
        <f>BDH("HUFCQ US Equity","BS_SHAREHOLDER_EQY_ENDING_PERIOD","1999-07-22","2004-07-22","Per=Y","Days=T","Dir=V")</f>
        <v>0</v>
      </c>
      <c r="S2">
        <f>BDH("HUFCQ US Equity","BS_ACCT_NOTE_RCV","1999-07-22","2004-07-22","Per=Y","Days=T","Dir=V")</f>
        <v>0</v>
      </c>
      <c r="U2">
        <f>BDH("HUFCQ US Equity","BS_INVENTORIES","1999-07-22","2004-07-22","Per=Y","Days=T","Dir=V")</f>
        <v>0</v>
      </c>
      <c r="W2">
        <f>BDH("HUFCQ US Equity","WORKING_CAPITAL","1999-07-22","2004-07-22","Per=Y","Days=T","Dir=V")</f>
        <v>0</v>
      </c>
      <c r="Y2">
        <f>BDH("HUFCQ US Equity","SALES_REV_TURN","1999-07-22","2004-07-22","Per=Y","Days=T","Dir=V")</f>
        <v>0</v>
      </c>
      <c r="AA2">
        <f>BDH("HUFCQ US Equity","EBIT","1999-07-22","2004-07-22","Per=Y","Days=T","Dir=V")</f>
        <v>0</v>
      </c>
      <c r="AC2">
        <f>BDH("HUFCQ US Equity","EBITDA","1999-07-22","2004-07-22","Per=Y","Days=T","Dir=V")</f>
        <v>0</v>
      </c>
      <c r="AE2">
        <f>BDH("HUFCQ US Equity","NET_INCOME","1999-07-22","2004-07-22","Per=Y","Days=T","Dir=V")</f>
        <v>0</v>
      </c>
      <c r="AG2">
        <f>BDH("HUFCQ US Equity","IS_INT_EXPENSE","1999-07-22","2004-07-22","Per=Y","Days=T","Dir=V")</f>
        <v>0</v>
      </c>
      <c r="AI2">
        <f>BDH("HUFCQ US Equity","IS_DEPR_EXP","1999-07-22","2004-07-22","Per=Y","Days=T","Dir=V")</f>
        <v>0</v>
      </c>
      <c r="AK2">
        <f>BDH("HUFCQ US Equity","CF_CASH_FROM_OPER","1999-07-22","2004-07-22","Per=Y","Days=T","Dir=V")</f>
        <v>0</v>
      </c>
      <c r="AM2">
        <f>BDH("HUFCQ US Equity","CAPITAL_EXPEND","1999-07-22","2004-07-22","Per=Y","Days=T","Dir=V")</f>
        <v>0</v>
      </c>
      <c r="AO2">
        <f>BDH("HUFCQ US Equity","CF_FREE_CASH_FLOW","1999-07-22","2004-07-22","Per=Y","Days=T","Dir=V")</f>
        <v>0</v>
      </c>
      <c r="AQ2">
        <f>BDH("HUFCQ US Equity","PX_LAST","1999-07-22","2004-07-22","Per=M","Days=T","Dir=V")</f>
        <v>0</v>
      </c>
      <c r="AS2">
        <f>BDH("HUFCQ US Equity","CUR_MKT_CAP","1999-07-22","2004-07-22","Per=M","Days=T","Dir=V")</f>
        <v>0</v>
      </c>
      <c r="AU2">
        <f>BDH("HUFCQ US Equity","EQY_SH_OUT","1999-07-22","2004-07-22","Per=M","Days=T","Dir=V")</f>
        <v>0</v>
      </c>
      <c r="AW2">
        <f>BDH("HUFCQ US Equity","PX_VOLUME","1999-07-22","2004-07-22","Per=M","Days=T","Dir=V")</f>
        <v>0</v>
      </c>
      <c r="AY2">
        <f>BDH("HUFCQ US Equity","TURNOVER","1999-07-22","2004-07-22","Per=M","Days=T","Dir=V")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BDH("ATAHQ US Equity","BS_TOT_ASSET","1999-07-28","2004-07-28","Per=Y","Days=T","Dir=V")</f>
        <v>0</v>
      </c>
      <c r="C2">
        <f>BDH("ATAHQ US Equity","BS_TOT_LIAB2","1999-07-28","2004-07-28","Per=Y","Days=T","Dir=V")</f>
        <v>0</v>
      </c>
      <c r="E2">
        <f>BDH("ATAHQ US Equity","SHORT_AND_LONG_TERM_DEBT","1999-07-28","2004-07-28","Per=Y","Days=T","Dir=V")</f>
        <v>0</v>
      </c>
      <c r="G2">
        <f>BDH("ATAHQ US Equity","BS_ST_BORROW","1999-07-28","2004-07-28","Per=Y","Days=T","Dir=V")</f>
        <v>0</v>
      </c>
      <c r="I2">
        <f>BDH("ATAHQ US Equity","BS_LT_BORROW","1999-07-28","2004-07-28","Per=Y","Days=T","Dir=V")</f>
        <v>0</v>
      </c>
      <c r="K2">
        <f>BDH("ATAHQ US Equity","BS_CASH_NEAR_CASH_ITEM","1999-07-28","2004-07-28","Per=Y","Days=T","Dir=V")</f>
        <v>0</v>
      </c>
      <c r="M2">
        <f>BDH("ATAHQ US Equity","BS_CUR_ASSET_REPORT","1999-07-28","2004-07-28","Per=Y","Days=T","Dir=V")</f>
        <v>0</v>
      </c>
      <c r="O2">
        <f>BDH("ATAHQ US Equity","BS_CUR_LIAB","1999-07-28","2004-07-28","Per=Y","Days=T","Dir=V")</f>
        <v>0</v>
      </c>
      <c r="Q2">
        <f>BDH("ATAHQ US Equity","BS_SHAREHOLDER_EQY_ENDING_PERIOD","1999-07-28","2004-07-28","Per=Y","Days=T","Dir=V")</f>
        <v>0</v>
      </c>
      <c r="S2">
        <f>BDH("ATAHQ US Equity","BS_ACCT_NOTE_RCV","1999-07-28","2004-07-28","Per=Y","Days=T","Dir=V")</f>
        <v>0</v>
      </c>
      <c r="U2">
        <f>BDH("ATAHQ US Equity","BS_INVENTORIES","1999-07-28","2004-07-28","Per=Y","Days=T","Dir=V")</f>
        <v>0</v>
      </c>
      <c r="W2">
        <f>BDH("ATAHQ US Equity","WORKING_CAPITAL","1999-07-28","2004-07-28","Per=Y","Days=T","Dir=V")</f>
        <v>0</v>
      </c>
      <c r="Y2">
        <f>BDH("ATAHQ US Equity","SALES_REV_TURN","1999-07-28","2004-07-28","Per=Y","Days=T","Dir=V")</f>
        <v>0</v>
      </c>
      <c r="AA2">
        <f>BDH("ATAHQ US Equity","EBIT","1999-07-28","2004-07-28","Per=Y","Days=T","Dir=V")</f>
        <v>0</v>
      </c>
      <c r="AC2">
        <f>BDH("ATAHQ US Equity","EBITDA","1999-07-28","2004-07-28","Per=Y","Days=T","Dir=V")</f>
        <v>0</v>
      </c>
      <c r="AE2">
        <f>BDH("ATAHQ US Equity","NET_INCOME","1999-07-28","2004-07-28","Per=Y","Days=T","Dir=V")</f>
        <v>0</v>
      </c>
      <c r="AG2">
        <f>BDH("ATAHQ US Equity","IS_INT_EXPENSE","1999-07-28","2004-07-28","Per=Y","Days=T","Dir=V")</f>
        <v>0</v>
      </c>
      <c r="AI2">
        <f>BDH("ATAHQ US Equity","IS_DEPR_EXP","1999-07-28","2004-07-28","Per=Y","Days=T","Dir=V")</f>
        <v>0</v>
      </c>
      <c r="AK2">
        <f>BDH("ATAHQ US Equity","CF_CASH_FROM_OPER","1999-07-28","2004-07-28","Per=Y","Days=T","Dir=V")</f>
        <v>0</v>
      </c>
      <c r="AM2">
        <f>BDH("ATAHQ US Equity","CAPITAL_EXPEND","1999-07-28","2004-07-28","Per=Y","Days=T","Dir=V")</f>
        <v>0</v>
      </c>
      <c r="AO2">
        <f>BDH("ATAHQ US Equity","CF_FREE_CASH_FLOW","1999-07-28","2004-07-28","Per=Y","Days=T","Dir=V")</f>
        <v>0</v>
      </c>
      <c r="AQ2">
        <f>BDH("ATAHQ US Equity","PX_LAST","1999-07-28","2004-07-28","Per=M","Days=T","Dir=V")</f>
        <v>0</v>
      </c>
      <c r="AS2">
        <f>BDH("ATAHQ US Equity","CUR_MKT_CAP","1999-07-28","2004-07-28","Per=M","Days=T","Dir=V")</f>
        <v>0</v>
      </c>
      <c r="AU2">
        <f>BDH("ATAHQ US Equity","EQY_SH_OUT","1999-07-28","2004-07-28","Per=M","Days=T","Dir=V")</f>
        <v>0</v>
      </c>
      <c r="AW2">
        <f>BDH("ATAHQ US Equity","PX_VOLUME","1999-07-28","2004-07-28","Per=M","Days=T","Dir=V")</f>
        <v>0</v>
      </c>
      <c r="AY2">
        <f>BDH("ATAHQ US Equity","TURNOVER","1999-07-28","2004-07-28","Per=M","Days=T","Dir=V")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BDH("AICOQ US Equity","BS_TOT_ASSET","1999-09-01","2004-09-01","Per=Y","Days=T","Dir=V")</f>
        <v>0</v>
      </c>
      <c r="C2">
        <f>BDH("AICOQ US Equity","BS_TOT_LIAB2","1999-09-01","2004-09-01","Per=Y","Days=T","Dir=V")</f>
        <v>0</v>
      </c>
      <c r="E2">
        <f>BDH("AICOQ US Equity","SHORT_AND_LONG_TERM_DEBT","1999-09-01","2004-09-01","Per=Y","Days=T","Dir=V")</f>
        <v>0</v>
      </c>
      <c r="G2">
        <f>BDH("AICOQ US Equity","BS_ST_BORROW","1999-09-01","2004-09-01","Per=Y","Days=T","Dir=V")</f>
        <v>0</v>
      </c>
      <c r="I2">
        <f>BDH("AICOQ US Equity","BS_LT_BORROW","1999-09-01","2004-09-01","Per=Y","Days=T","Dir=V")</f>
        <v>0</v>
      </c>
      <c r="K2">
        <f>BDH("AICOQ US Equity","BS_CASH_NEAR_CASH_ITEM","1999-09-01","2004-09-01","Per=Y","Days=T","Dir=V")</f>
        <v>0</v>
      </c>
      <c r="M2">
        <f>BDH("AICOQ US Equity","BS_CUR_ASSET_REPORT","1999-09-01","2004-09-01","Per=Y","Days=T","Dir=V")</f>
        <v>0</v>
      </c>
      <c r="O2">
        <f>BDH("AICOQ US Equity","BS_CUR_LIAB","1999-09-01","2004-09-01","Per=Y","Days=T","Dir=V")</f>
        <v>0</v>
      </c>
      <c r="Q2">
        <f>BDH("AICOQ US Equity","BS_SHAREHOLDER_EQY_ENDING_PERIOD","1999-09-01","2004-09-01","Per=Y","Days=T","Dir=V")</f>
        <v>0</v>
      </c>
      <c r="S2">
        <f>BDH("AICOQ US Equity","BS_ACCT_NOTE_RCV","1999-09-01","2004-09-01","Per=Y","Days=T","Dir=V")</f>
        <v>0</v>
      </c>
      <c r="U2">
        <f>BDH("AICOQ US Equity","BS_INVENTORIES","1999-09-01","2004-09-01","Per=Y","Days=T","Dir=V")</f>
        <v>0</v>
      </c>
      <c r="W2">
        <f>BDH("AICOQ US Equity","WORKING_CAPITAL","1999-09-01","2004-09-01","Per=Y","Days=T","Dir=V")</f>
        <v>0</v>
      </c>
      <c r="Y2">
        <f>BDH("AICOQ US Equity","SALES_REV_TURN","1999-09-01","2004-09-01","Per=Y","Days=T","Dir=V")</f>
        <v>0</v>
      </c>
      <c r="AA2">
        <f>BDH("AICOQ US Equity","EBIT","1999-09-01","2004-09-01","Per=Y","Days=T","Dir=V")</f>
        <v>0</v>
      </c>
      <c r="AC2">
        <f>BDH("AICOQ US Equity","EBITDA","1999-09-01","2004-09-01","Per=Y","Days=T","Dir=V")</f>
        <v>0</v>
      </c>
      <c r="AE2">
        <f>BDH("AICOQ US Equity","NET_INCOME","1999-09-01","2004-09-01","Per=Y","Days=T","Dir=V")</f>
        <v>0</v>
      </c>
      <c r="AG2">
        <f>BDH("AICOQ US Equity","IS_INT_EXPENSE","1999-09-01","2004-09-01","Per=Y","Days=T","Dir=V")</f>
        <v>0</v>
      </c>
      <c r="AI2">
        <f>BDH("AICOQ US Equity","IS_DEPR_EXP","1999-09-01","2004-09-01","Per=Y","Days=T","Dir=V")</f>
        <v>0</v>
      </c>
      <c r="AK2">
        <f>BDH("AICOQ US Equity","CF_CASH_FROM_OPER","1999-09-01","2004-09-01","Per=Y","Days=T","Dir=V")</f>
        <v>0</v>
      </c>
      <c r="AM2">
        <f>BDH("AICOQ US Equity","CAPITAL_EXPEND","1999-09-01","2004-09-01","Per=Y","Days=T","Dir=V")</f>
        <v>0</v>
      </c>
      <c r="AO2">
        <f>BDH("AICOQ US Equity","CF_FREE_CASH_FLOW","1999-09-01","2004-09-01","Per=Y","Days=T","Dir=V")</f>
        <v>0</v>
      </c>
      <c r="AQ2">
        <f>BDH("AICOQ US Equity","PX_LAST","1999-09-01","2004-09-01","Per=M","Days=T","Dir=V")</f>
        <v>0</v>
      </c>
      <c r="AS2">
        <f>BDH("AICOQ US Equity","CUR_MKT_CAP","1999-09-01","2004-09-01","Per=M","Days=T","Dir=V")</f>
        <v>0</v>
      </c>
      <c r="AU2">
        <f>BDH("AICOQ US Equity","EQY_SH_OUT","1999-09-01","2004-09-01","Per=M","Days=T","Dir=V")</f>
        <v>0</v>
      </c>
      <c r="AW2">
        <f>BDH("AICOQ US Equity","PX_VOLUME","1999-09-01","2004-09-01","Per=M","Days=T","Dir=V")</f>
        <v>0</v>
      </c>
      <c r="AY2">
        <f>BDH("AICOQ US Equity","TURNOVER","1999-09-01","2004-09-01","Per=M","Days=T","Dir=V")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BDH("TRMAQ US Equity","BS_TOT_ASSET","1999-09-22","2004-09-22","Per=Y","Days=T","Dir=V")</f>
        <v>0</v>
      </c>
      <c r="C2">
        <f>BDH("TRMAQ US Equity","BS_TOT_LIAB2","1999-09-22","2004-09-22","Per=Y","Days=T","Dir=V")</f>
        <v>0</v>
      </c>
      <c r="E2">
        <f>BDH("TRMAQ US Equity","SHORT_AND_LONG_TERM_DEBT","1999-09-22","2004-09-22","Per=Y","Days=T","Dir=V")</f>
        <v>0</v>
      </c>
      <c r="G2">
        <f>BDH("TRMAQ US Equity","BS_ST_BORROW","1999-09-22","2004-09-22","Per=Y","Days=T","Dir=V")</f>
        <v>0</v>
      </c>
      <c r="I2">
        <f>BDH("TRMAQ US Equity","BS_LT_BORROW","1999-09-22","2004-09-22","Per=Y","Days=T","Dir=V")</f>
        <v>0</v>
      </c>
      <c r="K2">
        <f>BDH("TRMAQ US Equity","BS_CASH_NEAR_CASH_ITEM","1999-09-22","2004-09-22","Per=Y","Days=T","Dir=V")</f>
        <v>0</v>
      </c>
      <c r="M2">
        <f>BDH("TRMAQ US Equity","BS_CUR_ASSET_REPORT","1999-09-22","2004-09-22","Per=Y","Days=T","Dir=V")</f>
        <v>0</v>
      </c>
      <c r="O2">
        <f>BDH("TRMAQ US Equity","BS_CUR_LIAB","1999-09-22","2004-09-22","Per=Y","Days=T","Dir=V")</f>
        <v>0</v>
      </c>
      <c r="Q2">
        <f>BDH("TRMAQ US Equity","BS_SHAREHOLDER_EQY_ENDING_PERIOD","1999-09-22","2004-09-22","Per=Y","Days=T","Dir=V")</f>
        <v>0</v>
      </c>
      <c r="S2">
        <f>BDH("TRMAQ US Equity","BS_ACCT_NOTE_RCV","1999-09-22","2004-09-22","Per=Y","Days=T","Dir=V")</f>
        <v>0</v>
      </c>
      <c r="U2">
        <f>BDH("TRMAQ US Equity","BS_INVENTORIES","1999-09-22","2004-09-22","Per=Y","Days=T","Dir=V")</f>
        <v>0</v>
      </c>
      <c r="W2">
        <f>BDH("TRMAQ US Equity","WORKING_CAPITAL","1999-09-22","2004-09-22","Per=Y","Days=T","Dir=V")</f>
        <v>0</v>
      </c>
      <c r="Y2">
        <f>BDH("TRMAQ US Equity","SALES_REV_TURN","1999-09-22","2004-09-22","Per=Y","Days=T","Dir=V")</f>
        <v>0</v>
      </c>
      <c r="AA2">
        <f>BDH("TRMAQ US Equity","EBIT","1999-09-22","2004-09-22","Per=Y","Days=T","Dir=V")</f>
        <v>0</v>
      </c>
      <c r="AC2">
        <f>BDH("TRMAQ US Equity","EBITDA","1999-09-22","2004-09-22","Per=Y","Days=T","Dir=V")</f>
        <v>0</v>
      </c>
      <c r="AE2">
        <f>BDH("TRMAQ US Equity","NET_INCOME","1999-09-22","2004-09-22","Per=Y","Days=T","Dir=V")</f>
        <v>0</v>
      </c>
      <c r="AG2">
        <f>BDH("TRMAQ US Equity","IS_INT_EXPENSE","1999-09-22","2004-09-22","Per=Y","Days=T","Dir=V")</f>
        <v>0</v>
      </c>
      <c r="AI2">
        <f>BDH("TRMAQ US Equity","IS_DEPR_EXP","1999-09-22","2004-09-22","Per=Y","Days=T","Dir=V")</f>
        <v>0</v>
      </c>
      <c r="AK2">
        <f>BDH("TRMAQ US Equity","CF_CASH_FROM_OPER","1999-09-22","2004-09-22","Per=Y","Days=T","Dir=V")</f>
        <v>0</v>
      </c>
      <c r="AM2">
        <f>BDH("TRMAQ US Equity","CAPITAL_EXPEND","1999-09-22","2004-09-22","Per=Y","Days=T","Dir=V")</f>
        <v>0</v>
      </c>
      <c r="AO2">
        <f>BDH("TRMAQ US Equity","CF_FREE_CASH_FLOW","1999-09-22","2004-09-22","Per=Y","Days=T","Dir=V")</f>
        <v>0</v>
      </c>
      <c r="AQ2">
        <f>BDH("TRMAQ US Equity","PX_LAST","1999-09-22","2004-09-22","Per=M","Days=T","Dir=V")</f>
        <v>0</v>
      </c>
      <c r="AS2">
        <f>BDH("TRMAQ US Equity","CUR_MKT_CAP","1999-09-22","2004-09-22","Per=M","Days=T","Dir=V")</f>
        <v>0</v>
      </c>
      <c r="AU2">
        <f>BDH("TRMAQ US Equity","EQY_SH_OUT","1999-09-22","2004-09-22","Per=M","Days=T","Dir=V")</f>
        <v>0</v>
      </c>
      <c r="AW2">
        <f>BDH("TRMAQ US Equity","PX_VOLUME","1999-09-22","2004-09-22","Per=M","Days=T","Dir=V")</f>
        <v>0</v>
      </c>
      <c r="AY2">
        <f>BDH("TRMAQ US Equity","TURNOVER","1999-09-22","2004-09-22","Per=M","Days=T","Dir=V")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BDH("FCPR US Equity","BS_TOT_ASSET","1999-11-02","2004-11-02","Per=Y","Days=T","Dir=V")</f>
        <v>0</v>
      </c>
      <c r="C2">
        <f>BDH("FCPR US Equity","BS_TOT_LIAB2","1999-11-02","2004-11-02","Per=Y","Days=T","Dir=V")</f>
        <v>0</v>
      </c>
      <c r="E2">
        <f>BDH("FCPR US Equity","SHORT_AND_LONG_TERM_DEBT","1999-11-02","2004-11-02","Per=Y","Days=T","Dir=V")</f>
        <v>0</v>
      </c>
      <c r="G2">
        <f>BDH("FCPR US Equity","BS_ST_BORROW","1999-11-02","2004-11-02","Per=Y","Days=T","Dir=V")</f>
        <v>0</v>
      </c>
      <c r="I2">
        <f>BDH("FCPR US Equity","BS_LT_BORROW","1999-11-02","2004-11-02","Per=Y","Days=T","Dir=V")</f>
        <v>0</v>
      </c>
      <c r="K2">
        <f>BDH("FCPR US Equity","BS_CASH_NEAR_CASH_ITEM","1999-11-02","2004-11-02","Per=Y","Days=T","Dir=V")</f>
        <v>0</v>
      </c>
      <c r="M2">
        <f>BDH("FCPR US Equity","BS_CUR_ASSET_REPORT","1999-11-02","2004-11-02","Per=Y","Days=T","Dir=V")</f>
        <v>0</v>
      </c>
      <c r="O2">
        <f>BDH("FCPR US Equity","BS_CUR_LIAB","1999-11-02","2004-11-02","Per=Y","Days=T","Dir=V")</f>
        <v>0</v>
      </c>
      <c r="Q2">
        <f>BDH("FCPR US Equity","BS_SHAREHOLDER_EQY_ENDING_PERIOD","1999-11-02","2004-11-02","Per=Y","Days=T","Dir=V")</f>
        <v>0</v>
      </c>
      <c r="S2">
        <f>BDH("FCPR US Equity","BS_ACCT_NOTE_RCV","1999-11-02","2004-11-02","Per=Y","Days=T","Dir=V")</f>
        <v>0</v>
      </c>
      <c r="U2">
        <f>BDH("FCPR US Equity","BS_INVENTORIES","1999-11-02","2004-11-02","Per=Y","Days=T","Dir=V")</f>
        <v>0</v>
      </c>
      <c r="W2">
        <f>BDH("FCPR US Equity","WORKING_CAPITAL","1999-11-02","2004-11-02","Per=Y","Days=T","Dir=V")</f>
        <v>0</v>
      </c>
      <c r="Y2">
        <f>BDH("FCPR US Equity","SALES_REV_TURN","1999-11-02","2004-11-02","Per=Y","Days=T","Dir=V")</f>
        <v>0</v>
      </c>
      <c r="AA2">
        <f>BDH("FCPR US Equity","EBIT","1999-11-02","2004-11-02","Per=Y","Days=T","Dir=V")</f>
        <v>0</v>
      </c>
      <c r="AC2">
        <f>BDH("FCPR US Equity","EBITDA","1999-11-02","2004-11-02","Per=Y","Days=T","Dir=V")</f>
        <v>0</v>
      </c>
      <c r="AE2">
        <f>BDH("FCPR US Equity","NET_INCOME","1999-11-02","2004-11-02","Per=Y","Days=T","Dir=V")</f>
        <v>0</v>
      </c>
      <c r="AG2">
        <f>BDH("FCPR US Equity","IS_INT_EXPENSE","1999-11-02","2004-11-02","Per=Y","Days=T","Dir=V")</f>
        <v>0</v>
      </c>
      <c r="AI2">
        <f>BDH("FCPR US Equity","IS_DEPR_EXP","1999-11-02","2004-11-02","Per=Y","Days=T","Dir=V")</f>
        <v>0</v>
      </c>
      <c r="AK2">
        <f>BDH("FCPR US Equity","CF_CASH_FROM_OPER","1999-11-02","2004-11-02","Per=Y","Days=T","Dir=V")</f>
        <v>0</v>
      </c>
      <c r="AM2">
        <f>BDH("FCPR US Equity","CAPITAL_EXPEND","1999-11-02","2004-11-02","Per=Y","Days=T","Dir=V")</f>
        <v>0</v>
      </c>
      <c r="AO2">
        <f>BDH("FCPR US Equity","CF_FREE_CASH_FLOW","1999-11-02","2004-11-02","Per=Y","Days=T","Dir=V")</f>
        <v>0</v>
      </c>
      <c r="AQ2">
        <f>BDH("FCPR US Equity","PX_LAST","1999-11-02","2004-11-02","Per=M","Days=T","Dir=V")</f>
        <v>0</v>
      </c>
      <c r="AS2">
        <f>BDH("FCPR US Equity","CUR_MKT_CAP","1999-11-02","2004-11-02","Per=M","Days=T","Dir=V")</f>
        <v>0</v>
      </c>
      <c r="AU2">
        <f>BDH("FCPR US Equity","EQY_SH_OUT","1999-11-02","2004-11-02","Per=M","Days=T","Dir=V")</f>
        <v>0</v>
      </c>
      <c r="AW2">
        <f>BDH("FCPR US Equity","PX_VOLUME","1999-11-02","2004-11-02","Per=M","Days=T","Dir=V")</f>
        <v>0</v>
      </c>
      <c r="AY2">
        <f>BDH("FCPR US Equity","TURNOVER","1999-11-02","2004-11-02","Per=M","Days=T","Dir=V")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BDH("TWRAQ US Equity","BS_TOT_ASSET","1999-11-04","2004-11-04","Per=Y","Days=T","Dir=V")</f>
        <v>0</v>
      </c>
      <c r="C2">
        <f>BDH("TWRAQ US Equity","BS_TOT_LIAB2","1999-11-04","2004-11-04","Per=Y","Days=T","Dir=V")</f>
        <v>0</v>
      </c>
      <c r="E2">
        <f>BDH("TWRAQ US Equity","SHORT_AND_LONG_TERM_DEBT","1999-11-04","2004-11-04","Per=Y","Days=T","Dir=V")</f>
        <v>0</v>
      </c>
      <c r="G2">
        <f>BDH("TWRAQ US Equity","BS_ST_BORROW","1999-11-04","2004-11-04","Per=Y","Days=T","Dir=V")</f>
        <v>0</v>
      </c>
      <c r="I2">
        <f>BDH("TWRAQ US Equity","BS_LT_BORROW","1999-11-04","2004-11-04","Per=Y","Days=T","Dir=V")</f>
        <v>0</v>
      </c>
      <c r="K2">
        <f>BDH("TWRAQ US Equity","BS_CASH_NEAR_CASH_ITEM","1999-11-04","2004-11-04","Per=Y","Days=T","Dir=V")</f>
        <v>0</v>
      </c>
      <c r="M2">
        <f>BDH("TWRAQ US Equity","BS_CUR_ASSET_REPORT","1999-11-04","2004-11-04","Per=Y","Days=T","Dir=V")</f>
        <v>0</v>
      </c>
      <c r="O2">
        <f>BDH("TWRAQ US Equity","BS_CUR_LIAB","1999-11-04","2004-11-04","Per=Y","Days=T","Dir=V")</f>
        <v>0</v>
      </c>
      <c r="Q2">
        <f>BDH("TWRAQ US Equity","BS_SHAREHOLDER_EQY_ENDING_PERIOD","1999-11-04","2004-11-04","Per=Y","Days=T","Dir=V")</f>
        <v>0</v>
      </c>
      <c r="S2">
        <f>BDH("TWRAQ US Equity","BS_ACCT_NOTE_RCV","1999-11-04","2004-11-04","Per=Y","Days=T","Dir=V")</f>
        <v>0</v>
      </c>
      <c r="U2">
        <f>BDH("TWRAQ US Equity","BS_INVENTORIES","1999-11-04","2004-11-04","Per=Y","Days=T","Dir=V")</f>
        <v>0</v>
      </c>
      <c r="W2">
        <f>BDH("TWRAQ US Equity","WORKING_CAPITAL","1999-11-04","2004-11-04","Per=Y","Days=T","Dir=V")</f>
        <v>0</v>
      </c>
      <c r="Y2">
        <f>BDH("TWRAQ US Equity","SALES_REV_TURN","1999-11-04","2004-11-04","Per=Y","Days=T","Dir=V")</f>
        <v>0</v>
      </c>
      <c r="AA2">
        <f>BDH("TWRAQ US Equity","EBIT","1999-11-04","2004-11-04","Per=Y","Days=T","Dir=V")</f>
        <v>0</v>
      </c>
      <c r="AC2">
        <f>BDH("TWRAQ US Equity","EBITDA","1999-11-04","2004-11-04","Per=Y","Days=T","Dir=V")</f>
        <v>0</v>
      </c>
      <c r="AE2">
        <f>BDH("TWRAQ US Equity","NET_INCOME","1999-11-04","2004-11-04","Per=Y","Days=T","Dir=V")</f>
        <v>0</v>
      </c>
      <c r="AG2">
        <f>BDH("TWRAQ US Equity","IS_INT_EXPENSE","1999-11-04","2004-11-04","Per=Y","Days=T","Dir=V")</f>
        <v>0</v>
      </c>
      <c r="AI2">
        <f>BDH("TWRAQ US Equity","IS_DEPR_EXP","1999-11-04","2004-11-04","Per=Y","Days=T","Dir=V")</f>
        <v>0</v>
      </c>
      <c r="AK2">
        <f>BDH("TWRAQ US Equity","CF_CASH_FROM_OPER","1999-11-04","2004-11-04","Per=Y","Days=T","Dir=V")</f>
        <v>0</v>
      </c>
      <c r="AM2">
        <f>BDH("TWRAQ US Equity","CAPITAL_EXPEND","1999-11-04","2004-11-04","Per=Y","Days=T","Dir=V")</f>
        <v>0</v>
      </c>
      <c r="AO2">
        <f>BDH("TWRAQ US Equity","CF_FREE_CASH_FLOW","1999-11-04","2004-11-04","Per=Y","Days=T","Dir=V")</f>
        <v>0</v>
      </c>
      <c r="AQ2">
        <f>BDH("TWRAQ US Equity","PX_LAST","1999-11-04","2004-11-04","Per=M","Days=T","Dir=V")</f>
        <v>0</v>
      </c>
      <c r="AS2">
        <f>BDH("TWRAQ US Equity","CUR_MKT_CAP","1999-11-04","2004-11-04","Per=M","Days=T","Dir=V")</f>
        <v>0</v>
      </c>
      <c r="AU2">
        <f>BDH("TWRAQ US Equity","EQY_SH_OUT","1999-11-04","2004-11-04","Per=M","Days=T","Dir=V")</f>
        <v>0</v>
      </c>
      <c r="AW2">
        <f>BDH("TWRAQ US Equity","PX_VOLUME","1999-11-04","2004-11-04","Per=M","Days=T","Dir=V")</f>
        <v>0</v>
      </c>
      <c r="AY2">
        <f>BDH("TWRAQ US Equity","TURNOVER","1999-11-04","2004-11-04","Per=M","Days=T","Dir=V")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BDH("1986047D US Equity","BS_TOT_ASSET","1999-11-23","2004-11-23","Per=Y","Days=T","Dir=V")</f>
        <v>0</v>
      </c>
      <c r="C2">
        <f>BDH("1986047D US Equity","BS_TOT_LIAB2","1999-11-23","2004-11-23","Per=Y","Days=T","Dir=V")</f>
        <v>0</v>
      </c>
      <c r="E2">
        <f>BDH("1986047D US Equity","SHORT_AND_LONG_TERM_DEBT","1999-11-23","2004-11-23","Per=Y","Days=T","Dir=V")</f>
        <v>0</v>
      </c>
      <c r="G2">
        <f>BDH("1986047D US Equity","BS_ST_BORROW","1999-11-23","2004-11-23","Per=Y","Days=T","Dir=V")</f>
        <v>0</v>
      </c>
      <c r="I2">
        <f>BDH("1986047D US Equity","BS_LT_BORROW","1999-11-23","2004-11-23","Per=Y","Days=T","Dir=V")</f>
        <v>0</v>
      </c>
      <c r="K2">
        <f>BDH("1986047D US Equity","BS_CASH_NEAR_CASH_ITEM","1999-11-23","2004-11-23","Per=Y","Days=T","Dir=V")</f>
        <v>0</v>
      </c>
      <c r="M2">
        <f>BDH("1986047D US Equity","BS_CUR_ASSET_REPORT","1999-11-23","2004-11-23","Per=Y","Days=T","Dir=V")</f>
        <v>0</v>
      </c>
      <c r="O2">
        <f>BDH("1986047D US Equity","BS_CUR_LIAB","1999-11-23","2004-11-23","Per=Y","Days=T","Dir=V")</f>
        <v>0</v>
      </c>
      <c r="Q2">
        <f>BDH("1986047D US Equity","BS_SHAREHOLDER_EQY_ENDING_PERIOD","1999-11-23","2004-11-23","Per=Y","Days=T","Dir=V")</f>
        <v>0</v>
      </c>
      <c r="S2">
        <f>BDH("1986047D US Equity","BS_ACCT_NOTE_RCV","1999-11-23","2004-11-23","Per=Y","Days=T","Dir=V")</f>
        <v>0</v>
      </c>
      <c r="U2">
        <f>BDH("1986047D US Equity","BS_INVENTORIES","1999-11-23","2004-11-23","Per=Y","Days=T","Dir=V")</f>
        <v>0</v>
      </c>
      <c r="W2">
        <f>BDH("1986047D US Equity","WORKING_CAPITAL","1999-11-23","2004-11-23","Per=Y","Days=T","Dir=V")</f>
        <v>0</v>
      </c>
      <c r="Y2">
        <f>BDH("1986047D US Equity","SALES_REV_TURN","1999-11-23","2004-11-23","Per=Y","Days=T","Dir=V")</f>
        <v>0</v>
      </c>
      <c r="AA2">
        <f>BDH("1986047D US Equity","EBIT","1999-11-23","2004-11-23","Per=Y","Days=T","Dir=V")</f>
        <v>0</v>
      </c>
      <c r="AC2">
        <f>BDH("1986047D US Equity","EBITDA","1999-11-23","2004-11-23","Per=Y","Days=T","Dir=V")</f>
        <v>0</v>
      </c>
      <c r="AE2">
        <f>BDH("1986047D US Equity","NET_INCOME","1999-11-23","2004-11-23","Per=Y","Days=T","Dir=V")</f>
        <v>0</v>
      </c>
      <c r="AG2">
        <f>BDH("1986047D US Equity","IS_INT_EXPENSE","1999-11-23","2004-11-23","Per=Y","Days=T","Dir=V")</f>
        <v>0</v>
      </c>
      <c r="AI2">
        <f>BDH("1986047D US Equity","IS_DEPR_EXP","1999-11-23","2004-11-23","Per=Y","Days=T","Dir=V")</f>
        <v>0</v>
      </c>
      <c r="AK2">
        <f>BDH("1986047D US Equity","CF_CASH_FROM_OPER","1999-11-23","2004-11-23","Per=Y","Days=T","Dir=V")</f>
        <v>0</v>
      </c>
      <c r="AM2">
        <f>BDH("1986047D US Equity","CAPITAL_EXPEND","1999-11-23","2004-11-23","Per=Y","Days=T","Dir=V")</f>
        <v>0</v>
      </c>
      <c r="AO2">
        <f>BDH("1986047D US Equity","CF_FREE_CASH_FLOW","1999-11-23","2004-11-23","Per=Y","Days=T","Dir=V")</f>
        <v>0</v>
      </c>
      <c r="AQ2">
        <f>BDH("1986047D US Equity","PX_LAST","1999-11-23","2004-11-23","Per=M","Days=T","Dir=V")</f>
        <v>0</v>
      </c>
      <c r="AS2">
        <f>BDH("1986047D US Equity","CUR_MKT_CAP","1999-11-23","2004-11-23","Per=M","Days=T","Dir=V")</f>
        <v>0</v>
      </c>
      <c r="AU2">
        <f>BDH("1986047D US Equity","EQY_SH_OUT","1999-11-23","2004-11-23","Per=M","Days=T","Dir=V")</f>
        <v>0</v>
      </c>
      <c r="AW2">
        <f>BDH("1986047D US Equity","PX_VOLUME","1999-11-23","2004-11-23","Per=M","Days=T","Dir=V")</f>
        <v>0</v>
      </c>
      <c r="AY2">
        <f>BDH("1986047D US Equity","TURNOVER","1999-11-23","2004-11-23","Per=M","Days=T","Dir=V")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BDH("WHXCQ US Equity","BS_TOT_ASSET","1999-12-07","2004-12-07","Per=Y","Days=T","Dir=V")</f>
        <v>0</v>
      </c>
      <c r="C2">
        <f>BDH("WHXCQ US Equity","BS_TOT_LIAB2","1999-12-07","2004-12-07","Per=Y","Days=T","Dir=V")</f>
        <v>0</v>
      </c>
      <c r="E2">
        <f>BDH("WHXCQ US Equity","SHORT_AND_LONG_TERM_DEBT","1999-12-07","2004-12-07","Per=Y","Days=T","Dir=V")</f>
        <v>0</v>
      </c>
      <c r="G2">
        <f>BDH("WHXCQ US Equity","BS_ST_BORROW","1999-12-07","2004-12-07","Per=Y","Days=T","Dir=V")</f>
        <v>0</v>
      </c>
      <c r="I2">
        <f>BDH("WHXCQ US Equity","BS_LT_BORROW","1999-12-07","2004-12-07","Per=Y","Days=T","Dir=V")</f>
        <v>0</v>
      </c>
      <c r="K2">
        <f>BDH("WHXCQ US Equity","BS_CASH_NEAR_CASH_ITEM","1999-12-07","2004-12-07","Per=Y","Days=T","Dir=V")</f>
        <v>0</v>
      </c>
      <c r="M2">
        <f>BDH("WHXCQ US Equity","BS_CUR_ASSET_REPORT","1999-12-07","2004-12-07","Per=Y","Days=T","Dir=V")</f>
        <v>0</v>
      </c>
      <c r="O2">
        <f>BDH("WHXCQ US Equity","BS_CUR_LIAB","1999-12-07","2004-12-07","Per=Y","Days=T","Dir=V")</f>
        <v>0</v>
      </c>
      <c r="Q2">
        <f>BDH("WHXCQ US Equity","BS_SHAREHOLDER_EQY_ENDING_PERIOD","1999-12-07","2004-12-07","Per=Y","Days=T","Dir=V")</f>
        <v>0</v>
      </c>
      <c r="S2">
        <f>BDH("WHXCQ US Equity","BS_ACCT_NOTE_RCV","1999-12-07","2004-12-07","Per=Y","Days=T","Dir=V")</f>
        <v>0</v>
      </c>
      <c r="U2">
        <f>BDH("WHXCQ US Equity","BS_INVENTORIES","1999-12-07","2004-12-07","Per=Y","Days=T","Dir=V")</f>
        <v>0</v>
      </c>
      <c r="W2">
        <f>BDH("WHXCQ US Equity","WORKING_CAPITAL","1999-12-07","2004-12-07","Per=Y","Days=T","Dir=V")</f>
        <v>0</v>
      </c>
      <c r="Y2">
        <f>BDH("WHXCQ US Equity","SALES_REV_TURN","1999-12-07","2004-12-07","Per=Y","Days=T","Dir=V")</f>
        <v>0</v>
      </c>
      <c r="AA2">
        <f>BDH("WHXCQ US Equity","EBIT","1999-12-07","2004-12-07","Per=Y","Days=T","Dir=V")</f>
        <v>0</v>
      </c>
      <c r="AC2">
        <f>BDH("WHXCQ US Equity","EBITDA","1999-12-07","2004-12-07","Per=Y","Days=T","Dir=V")</f>
        <v>0</v>
      </c>
      <c r="AE2">
        <f>BDH("WHXCQ US Equity","NET_INCOME","1999-12-07","2004-12-07","Per=Y","Days=T","Dir=V")</f>
        <v>0</v>
      </c>
      <c r="AG2">
        <f>BDH("WHXCQ US Equity","IS_INT_EXPENSE","1999-12-07","2004-12-07","Per=Y","Days=T","Dir=V")</f>
        <v>0</v>
      </c>
      <c r="AI2">
        <f>BDH("WHXCQ US Equity","IS_DEPR_EXP","1999-12-07","2004-12-07","Per=Y","Days=T","Dir=V")</f>
        <v>0</v>
      </c>
      <c r="AK2">
        <f>BDH("WHXCQ US Equity","CF_CASH_FROM_OPER","1999-12-07","2004-12-07","Per=Y","Days=T","Dir=V")</f>
        <v>0</v>
      </c>
      <c r="AM2">
        <f>BDH("WHXCQ US Equity","CAPITAL_EXPEND","1999-12-07","2004-12-07","Per=Y","Days=T","Dir=V")</f>
        <v>0</v>
      </c>
      <c r="AO2">
        <f>BDH("WHXCQ US Equity","CF_FREE_CASH_FLOW","1999-12-07","2004-12-07","Per=Y","Days=T","Dir=V")</f>
        <v>0</v>
      </c>
      <c r="AQ2">
        <f>BDH("WHXCQ US Equity","PX_LAST","1999-12-07","2004-12-07","Per=M","Days=T","Dir=V")</f>
        <v>0</v>
      </c>
      <c r="AS2">
        <f>BDH("WHXCQ US Equity","CUR_MKT_CAP","1999-12-07","2004-12-07","Per=M","Days=T","Dir=V")</f>
        <v>0</v>
      </c>
      <c r="AU2">
        <f>BDH("WHXCQ US Equity","EQY_SH_OUT","1999-12-07","2004-12-07","Per=M","Days=T","Dir=V")</f>
        <v>0</v>
      </c>
      <c r="AW2">
        <f>BDH("WHXCQ US Equity","PX_VOLUME","1999-12-07","2004-12-07","Per=M","Days=T","Dir=V")</f>
        <v>0</v>
      </c>
      <c r="AY2">
        <f>BDH("WHXCQ US Equity","TURNOVER","1999-12-07","2004-12-07","Per=M","Days=T","Dir=V")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BDH("CKCRQ US Equity","BS_TOT_ASSET","2000-02-16","2005-02-16","Per=Y","Days=T","Dir=V")</f>
        <v>0</v>
      </c>
      <c r="C2">
        <f>BDH("CKCRQ US Equity","BS_TOT_LIAB2","2000-02-16","2005-02-16","Per=Y","Days=T","Dir=V")</f>
        <v>0</v>
      </c>
      <c r="E2">
        <f>BDH("CKCRQ US Equity","SHORT_AND_LONG_TERM_DEBT","2000-02-16","2005-02-16","Per=Y","Days=T","Dir=V")</f>
        <v>0</v>
      </c>
      <c r="G2">
        <f>BDH("CKCRQ US Equity","BS_ST_BORROW","2000-02-16","2005-02-16","Per=Y","Days=T","Dir=V")</f>
        <v>0</v>
      </c>
      <c r="I2">
        <f>BDH("CKCRQ US Equity","BS_LT_BORROW","2000-02-16","2005-02-16","Per=Y","Days=T","Dir=V")</f>
        <v>0</v>
      </c>
      <c r="K2">
        <f>BDH("CKCRQ US Equity","BS_CASH_NEAR_CASH_ITEM","2000-02-16","2005-02-16","Per=Y","Days=T","Dir=V")</f>
        <v>0</v>
      </c>
      <c r="M2">
        <f>BDH("CKCRQ US Equity","BS_CUR_ASSET_REPORT","2000-02-16","2005-02-16","Per=Y","Days=T","Dir=V")</f>
        <v>0</v>
      </c>
      <c r="O2">
        <f>BDH("CKCRQ US Equity","BS_CUR_LIAB","2000-02-16","2005-02-16","Per=Y","Days=T","Dir=V")</f>
        <v>0</v>
      </c>
      <c r="Q2">
        <f>BDH("CKCRQ US Equity","BS_SHAREHOLDER_EQY_ENDING_PERIOD","2000-02-16","2005-02-16","Per=Y","Days=T","Dir=V")</f>
        <v>0</v>
      </c>
      <c r="S2">
        <f>BDH("CKCRQ US Equity","BS_ACCT_NOTE_RCV","2000-02-16","2005-02-16","Per=Y","Days=T","Dir=V")</f>
        <v>0</v>
      </c>
      <c r="U2">
        <f>BDH("CKCRQ US Equity","BS_INVENTORIES","2000-02-16","2005-02-16","Per=Y","Days=T","Dir=V")</f>
        <v>0</v>
      </c>
      <c r="W2">
        <f>BDH("CKCRQ US Equity","WORKING_CAPITAL","2000-02-16","2005-02-16","Per=Y","Days=T","Dir=V")</f>
        <v>0</v>
      </c>
      <c r="Y2">
        <f>BDH("CKCRQ US Equity","SALES_REV_TURN","2000-02-16","2005-02-16","Per=Y","Days=T","Dir=V")</f>
        <v>0</v>
      </c>
      <c r="AA2">
        <f>BDH("CKCRQ US Equity","EBIT","2000-02-16","2005-02-16","Per=Y","Days=T","Dir=V")</f>
        <v>0</v>
      </c>
      <c r="AC2">
        <f>BDH("CKCRQ US Equity","EBITDA","2000-02-16","2005-02-16","Per=Y","Days=T","Dir=V")</f>
        <v>0</v>
      </c>
      <c r="AE2">
        <f>BDH("CKCRQ US Equity","NET_INCOME","2000-02-16","2005-02-16","Per=Y","Days=T","Dir=V")</f>
        <v>0</v>
      </c>
      <c r="AG2">
        <f>BDH("CKCRQ US Equity","IS_INT_EXPENSE","2000-02-16","2005-02-16","Per=Y","Days=T","Dir=V")</f>
        <v>0</v>
      </c>
      <c r="AI2">
        <f>BDH("CKCRQ US Equity","IS_DEPR_EXP","2000-02-16","2005-02-16","Per=Y","Days=T","Dir=V")</f>
        <v>0</v>
      </c>
      <c r="AK2">
        <f>BDH("CKCRQ US Equity","CF_CASH_FROM_OPER","2000-02-16","2005-02-16","Per=Y","Days=T","Dir=V")</f>
        <v>0</v>
      </c>
      <c r="AM2">
        <f>BDH("CKCRQ US Equity","CAPITAL_EXPEND","2000-02-16","2005-02-16","Per=Y","Days=T","Dir=V")</f>
        <v>0</v>
      </c>
      <c r="AO2">
        <f>BDH("CKCRQ US Equity","CF_FREE_CASH_FLOW","2000-02-16","2005-02-16","Per=Y","Days=T","Dir=V")</f>
        <v>0</v>
      </c>
      <c r="AQ2">
        <f>BDH("CKCRQ US Equity","PX_LAST","2000-02-16","2005-02-16","Per=M","Days=T","Dir=V")</f>
        <v>0</v>
      </c>
      <c r="AS2">
        <f>BDH("CKCRQ US Equity","CUR_MKT_CAP","2000-02-16","2005-02-16","Per=M","Days=T","Dir=V")</f>
        <v>0</v>
      </c>
      <c r="AU2">
        <f>BDH("CKCRQ US Equity","EQY_SH_OUT","2000-02-16","2005-02-16","Per=M","Days=T","Dir=V")</f>
        <v>0</v>
      </c>
      <c r="AW2">
        <f>BDH("CKCRQ US Equity","PX_VOLUME","2000-02-16","2005-02-16","Per=M","Days=T","Dir=V")</f>
        <v>0</v>
      </c>
      <c r="AY2">
        <f>BDH("CKCRQ US Equity","TURNOVER","2000-02-16","2005-02-16","Per=M","Days=T","Dir=V")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BDH("AHIZQ US Equity","BS_TOT_ASSET","2000-05-02","2005-05-02","Per=Y","Days=T","Dir=V")</f>
        <v>0</v>
      </c>
      <c r="C2">
        <f>BDH("AHIZQ US Equity","BS_TOT_LIAB2","2000-05-02","2005-05-02","Per=Y","Days=T","Dir=V")</f>
        <v>0</v>
      </c>
      <c r="E2">
        <f>BDH("AHIZQ US Equity","SHORT_AND_LONG_TERM_DEBT","2000-05-02","2005-05-02","Per=Y","Days=T","Dir=V")</f>
        <v>0</v>
      </c>
      <c r="G2">
        <f>BDH("AHIZQ US Equity","BS_ST_BORROW","2000-05-02","2005-05-02","Per=Y","Days=T","Dir=V")</f>
        <v>0</v>
      </c>
      <c r="I2">
        <f>BDH("AHIZQ US Equity","BS_LT_BORROW","2000-05-02","2005-05-02","Per=Y","Days=T","Dir=V")</f>
        <v>0</v>
      </c>
      <c r="K2">
        <f>BDH("AHIZQ US Equity","BS_CASH_NEAR_CASH_ITEM","2000-05-02","2005-05-02","Per=Y","Days=T","Dir=V")</f>
        <v>0</v>
      </c>
      <c r="M2">
        <f>BDH("AHIZQ US Equity","BS_CUR_ASSET_REPORT","2000-05-02","2005-05-02","Per=Y","Days=T","Dir=V")</f>
        <v>0</v>
      </c>
      <c r="O2">
        <f>BDH("AHIZQ US Equity","BS_CUR_LIAB","2000-05-02","2005-05-02","Per=Y","Days=T","Dir=V")</f>
        <v>0</v>
      </c>
      <c r="Q2">
        <f>BDH("AHIZQ US Equity","BS_SHAREHOLDER_EQY_ENDING_PERIOD","2000-05-02","2005-05-02","Per=Y","Days=T","Dir=V")</f>
        <v>0</v>
      </c>
      <c r="S2">
        <f>BDH("AHIZQ US Equity","BS_ACCT_NOTE_RCV","2000-05-02","2005-05-02","Per=Y","Days=T","Dir=V")</f>
        <v>0</v>
      </c>
      <c r="U2">
        <f>BDH("AHIZQ US Equity","BS_INVENTORIES","2000-05-02","2005-05-02","Per=Y","Days=T","Dir=V")</f>
        <v>0</v>
      </c>
      <c r="W2">
        <f>BDH("AHIZQ US Equity","WORKING_CAPITAL","2000-05-02","2005-05-02","Per=Y","Days=T","Dir=V")</f>
        <v>0</v>
      </c>
      <c r="Y2">
        <f>BDH("AHIZQ US Equity","SALES_REV_TURN","2000-05-02","2005-05-02","Per=Y","Days=T","Dir=V")</f>
        <v>0</v>
      </c>
      <c r="AA2">
        <f>BDH("AHIZQ US Equity","EBIT","2000-05-02","2005-05-02","Per=Y","Days=T","Dir=V")</f>
        <v>0</v>
      </c>
      <c r="AC2">
        <f>BDH("AHIZQ US Equity","EBITDA","2000-05-02","2005-05-02","Per=Y","Days=T","Dir=V")</f>
        <v>0</v>
      </c>
      <c r="AE2">
        <f>BDH("AHIZQ US Equity","NET_INCOME","2000-05-02","2005-05-02","Per=Y","Days=T","Dir=V")</f>
        <v>0</v>
      </c>
      <c r="AG2">
        <f>BDH("AHIZQ US Equity","IS_INT_EXPENSE","2000-05-02","2005-05-02","Per=Y","Days=T","Dir=V")</f>
        <v>0</v>
      </c>
      <c r="AI2">
        <f>BDH("AHIZQ US Equity","IS_DEPR_EXP","2000-05-02","2005-05-02","Per=Y","Days=T","Dir=V")</f>
        <v>0</v>
      </c>
      <c r="AK2">
        <f>BDH("AHIZQ US Equity","CF_CASH_FROM_OPER","2000-05-02","2005-05-02","Per=Y","Days=T","Dir=V")</f>
        <v>0</v>
      </c>
      <c r="AM2">
        <f>BDH("AHIZQ US Equity","CAPITAL_EXPEND","2000-05-02","2005-05-02","Per=Y","Days=T","Dir=V")</f>
        <v>0</v>
      </c>
      <c r="AO2">
        <f>BDH("AHIZQ US Equity","CF_FREE_CASH_FLOW","2000-05-02","2005-05-02","Per=Y","Days=T","Dir=V")</f>
        <v>0</v>
      </c>
      <c r="AQ2">
        <f>BDH("AHIZQ US Equity","PX_LAST","2000-05-02","2005-05-02","Per=M","Days=T","Dir=V")</f>
        <v>0</v>
      </c>
      <c r="AS2">
        <f>BDH("AHIZQ US Equity","CUR_MKT_CAP","2000-05-02","2005-05-02","Per=M","Days=T","Dir=V")</f>
        <v>0</v>
      </c>
      <c r="AU2">
        <f>BDH("AHIZQ US Equity","EQY_SH_OUT","2000-05-02","2005-05-02","Per=M","Days=T","Dir=V")</f>
        <v>0</v>
      </c>
      <c r="AW2">
        <f>BDH("AHIZQ US Equity","PX_VOLUME","2000-05-02","2005-05-02","Per=M","Days=T","Dir=V")</f>
        <v>0</v>
      </c>
      <c r="AY2">
        <f>BDH("AHIZQ US Equity","TURNOVER","2000-05-02","2005-05-02","Per=M","Days=T","Dir=V")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BDH("DALRQ US Equity","BS_TOT_ASSET","2000-06-16","2005-06-16","Per=Y","Days=T","Dir=V")</f>
        <v>0</v>
      </c>
      <c r="C2">
        <f>BDH("DALRQ US Equity","BS_TOT_LIAB2","2000-06-16","2005-06-16","Per=Y","Days=T","Dir=V")</f>
        <v>0</v>
      </c>
      <c r="E2">
        <f>BDH("DALRQ US Equity","SHORT_AND_LONG_TERM_DEBT","2000-06-16","2005-06-16","Per=Y","Days=T","Dir=V")</f>
        <v>0</v>
      </c>
      <c r="G2">
        <f>BDH("DALRQ US Equity","BS_ST_BORROW","2000-06-16","2005-06-16","Per=Y","Days=T","Dir=V")</f>
        <v>0</v>
      </c>
      <c r="I2">
        <f>BDH("DALRQ US Equity","BS_LT_BORROW","2000-06-16","2005-06-16","Per=Y","Days=T","Dir=V")</f>
        <v>0</v>
      </c>
      <c r="K2">
        <f>BDH("DALRQ US Equity","BS_CASH_NEAR_CASH_ITEM","2000-06-16","2005-06-16","Per=Y","Days=T","Dir=V")</f>
        <v>0</v>
      </c>
      <c r="M2">
        <f>BDH("DALRQ US Equity","BS_CUR_ASSET_REPORT","2000-06-16","2005-06-16","Per=Y","Days=T","Dir=V")</f>
        <v>0</v>
      </c>
      <c r="O2">
        <f>BDH("DALRQ US Equity","BS_CUR_LIAB","2000-06-16","2005-06-16","Per=Y","Days=T","Dir=V")</f>
        <v>0</v>
      </c>
      <c r="Q2">
        <f>BDH("DALRQ US Equity","BS_SHAREHOLDER_EQY_ENDING_PERIOD","2000-06-16","2005-06-16","Per=Y","Days=T","Dir=V")</f>
        <v>0</v>
      </c>
      <c r="S2">
        <f>BDH("DALRQ US Equity","BS_ACCT_NOTE_RCV","2000-06-16","2005-06-16","Per=Y","Days=T","Dir=V")</f>
        <v>0</v>
      </c>
      <c r="U2">
        <f>BDH("DALRQ US Equity","BS_INVENTORIES","2000-06-16","2005-06-16","Per=Y","Days=T","Dir=V")</f>
        <v>0</v>
      </c>
      <c r="W2">
        <f>BDH("DALRQ US Equity","WORKING_CAPITAL","2000-06-16","2005-06-16","Per=Y","Days=T","Dir=V")</f>
        <v>0</v>
      </c>
      <c r="Y2">
        <f>BDH("DALRQ US Equity","SALES_REV_TURN","2000-06-16","2005-06-16","Per=Y","Days=T","Dir=V")</f>
        <v>0</v>
      </c>
      <c r="AA2">
        <f>BDH("DALRQ US Equity","EBIT","2000-06-16","2005-06-16","Per=Y","Days=T","Dir=V")</f>
        <v>0</v>
      </c>
      <c r="AC2">
        <f>BDH("DALRQ US Equity","EBITDA","2000-06-16","2005-06-16","Per=Y","Days=T","Dir=V")</f>
        <v>0</v>
      </c>
      <c r="AE2">
        <f>BDH("DALRQ US Equity","NET_INCOME","2000-06-16","2005-06-16","Per=Y","Days=T","Dir=V")</f>
        <v>0</v>
      </c>
      <c r="AG2">
        <f>BDH("DALRQ US Equity","IS_INT_EXPENSE","2000-06-16","2005-06-16","Per=Y","Days=T","Dir=V")</f>
        <v>0</v>
      </c>
      <c r="AI2">
        <f>BDH("DALRQ US Equity","IS_DEPR_EXP","2000-06-16","2005-06-16","Per=Y","Days=T","Dir=V")</f>
        <v>0</v>
      </c>
      <c r="AK2">
        <f>BDH("DALRQ US Equity","CF_CASH_FROM_OPER","2000-06-16","2005-06-16","Per=Y","Days=T","Dir=V")</f>
        <v>0</v>
      </c>
      <c r="AM2">
        <f>BDH("DALRQ US Equity","CAPITAL_EXPEND","2000-06-16","2005-06-16","Per=Y","Days=T","Dir=V")</f>
        <v>0</v>
      </c>
      <c r="AO2">
        <f>BDH("DALRQ US Equity","CF_FREE_CASH_FLOW","2000-06-16","2005-06-16","Per=Y","Days=T","Dir=V")</f>
        <v>0</v>
      </c>
      <c r="AQ2">
        <f>BDH("DALRQ US Equity","PX_LAST","2000-06-16","2005-06-16","Per=M","Days=T","Dir=V")</f>
        <v>0</v>
      </c>
      <c r="AS2">
        <f>BDH("DALRQ US Equity","CUR_MKT_CAP","2000-06-16","2005-06-16","Per=M","Days=T","Dir=V")</f>
        <v>0</v>
      </c>
      <c r="AU2">
        <f>BDH("DALRQ US Equity","EQY_SH_OUT","2000-06-16","2005-06-16","Per=M","Days=T","Dir=V")</f>
        <v>0</v>
      </c>
      <c r="AW2">
        <f>BDH("DALRQ US Equity","PX_VOLUME","2000-06-16","2005-06-16","Per=M","Days=T","Dir=V")</f>
        <v>0</v>
      </c>
      <c r="AY2">
        <f>BDH("DALRQ US Equity","TURNOVER","2000-06-16","2005-06-16","Per=M","Days=T","Dir=V")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BDH("NWACQ US Equity","BS_TOT_ASSET","2000-06-16","2005-06-16","Per=Y","Days=T","Dir=V")</f>
        <v>0</v>
      </c>
      <c r="C2">
        <f>BDH("NWACQ US Equity","BS_TOT_LIAB2","2000-06-16","2005-06-16","Per=Y","Days=T","Dir=V")</f>
        <v>0</v>
      </c>
      <c r="E2">
        <f>BDH("NWACQ US Equity","SHORT_AND_LONG_TERM_DEBT","2000-06-16","2005-06-16","Per=Y","Days=T","Dir=V")</f>
        <v>0</v>
      </c>
      <c r="G2">
        <f>BDH("NWACQ US Equity","BS_ST_BORROW","2000-06-16","2005-06-16","Per=Y","Days=T","Dir=V")</f>
        <v>0</v>
      </c>
      <c r="I2">
        <f>BDH("NWACQ US Equity","BS_LT_BORROW","2000-06-16","2005-06-16","Per=Y","Days=T","Dir=V")</f>
        <v>0</v>
      </c>
      <c r="K2">
        <f>BDH("NWACQ US Equity","BS_CASH_NEAR_CASH_ITEM","2000-06-16","2005-06-16","Per=Y","Days=T","Dir=V")</f>
        <v>0</v>
      </c>
      <c r="M2">
        <f>BDH("NWACQ US Equity","BS_CUR_ASSET_REPORT","2000-06-16","2005-06-16","Per=Y","Days=T","Dir=V")</f>
        <v>0</v>
      </c>
      <c r="O2">
        <f>BDH("NWACQ US Equity","BS_CUR_LIAB","2000-06-16","2005-06-16","Per=Y","Days=T","Dir=V")</f>
        <v>0</v>
      </c>
      <c r="Q2">
        <f>BDH("NWACQ US Equity","BS_SHAREHOLDER_EQY_ENDING_PERIOD","2000-06-16","2005-06-16","Per=Y","Days=T","Dir=V")</f>
        <v>0</v>
      </c>
      <c r="S2">
        <f>BDH("NWACQ US Equity","BS_ACCT_NOTE_RCV","2000-06-16","2005-06-16","Per=Y","Days=T","Dir=V")</f>
        <v>0</v>
      </c>
      <c r="U2">
        <f>BDH("NWACQ US Equity","BS_INVENTORIES","2000-06-16","2005-06-16","Per=Y","Days=T","Dir=V")</f>
        <v>0</v>
      </c>
      <c r="W2">
        <f>BDH("NWACQ US Equity","WORKING_CAPITAL","2000-06-16","2005-06-16","Per=Y","Days=T","Dir=V")</f>
        <v>0</v>
      </c>
      <c r="Y2">
        <f>BDH("NWACQ US Equity","SALES_REV_TURN","2000-06-16","2005-06-16","Per=Y","Days=T","Dir=V")</f>
        <v>0</v>
      </c>
      <c r="AA2">
        <f>BDH("NWACQ US Equity","EBIT","2000-06-16","2005-06-16","Per=Y","Days=T","Dir=V")</f>
        <v>0</v>
      </c>
      <c r="AC2">
        <f>BDH("NWACQ US Equity","EBITDA","2000-06-16","2005-06-16","Per=Y","Days=T","Dir=V")</f>
        <v>0</v>
      </c>
      <c r="AE2">
        <f>BDH("NWACQ US Equity","NET_INCOME","2000-06-16","2005-06-16","Per=Y","Days=T","Dir=V")</f>
        <v>0</v>
      </c>
      <c r="AG2">
        <f>BDH("NWACQ US Equity","IS_INT_EXPENSE","2000-06-16","2005-06-16","Per=Y","Days=T","Dir=V")</f>
        <v>0</v>
      </c>
      <c r="AI2">
        <f>BDH("NWACQ US Equity","IS_DEPR_EXP","2000-06-16","2005-06-16","Per=Y","Days=T","Dir=V")</f>
        <v>0</v>
      </c>
      <c r="AK2">
        <f>BDH("NWACQ US Equity","CF_CASH_FROM_OPER","2000-06-16","2005-06-16","Per=Y","Days=T","Dir=V")</f>
        <v>0</v>
      </c>
      <c r="AM2">
        <f>BDH("NWACQ US Equity","CAPITAL_EXPEND","2000-06-16","2005-06-16","Per=Y","Days=T","Dir=V")</f>
        <v>0</v>
      </c>
      <c r="AO2">
        <f>BDH("NWACQ US Equity","CF_FREE_CASH_FLOW","2000-06-16","2005-06-16","Per=Y","Days=T","Dir=V")</f>
        <v>0</v>
      </c>
      <c r="AQ2">
        <f>BDH("NWACQ US Equity","PX_LAST","2000-06-16","2005-06-16","Per=M","Days=T","Dir=V")</f>
        <v>0</v>
      </c>
      <c r="AS2">
        <f>BDH("NWACQ US Equity","CUR_MKT_CAP","2000-06-16","2005-06-16","Per=M","Days=T","Dir=V")</f>
        <v>0</v>
      </c>
      <c r="AU2">
        <f>BDH("NWACQ US Equity","EQY_SH_OUT","2000-06-16","2005-06-16","Per=M","Days=T","Dir=V")</f>
        <v>0</v>
      </c>
      <c r="AW2">
        <f>BDH("NWACQ US Equity","PX_VOLUME","2000-06-16","2005-06-16","Per=M","Days=T","Dir=V")</f>
        <v>0</v>
      </c>
      <c r="AY2">
        <f>BDH("NWACQ US Equity","TURNOVER","2000-06-16","2005-06-16","Per=M","Days=T","Dir=V")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BDH("FLYIQ US Equity","BS_TOT_ASSET","2000-08-09","2005-08-09","Per=Y","Days=T","Dir=V")</f>
        <v>0</v>
      </c>
      <c r="C2">
        <f>BDH("FLYIQ US Equity","BS_TOT_LIAB2","2000-08-09","2005-08-09","Per=Y","Days=T","Dir=V")</f>
        <v>0</v>
      </c>
      <c r="E2">
        <f>BDH("FLYIQ US Equity","SHORT_AND_LONG_TERM_DEBT","2000-08-09","2005-08-09","Per=Y","Days=T","Dir=V")</f>
        <v>0</v>
      </c>
      <c r="G2">
        <f>BDH("FLYIQ US Equity","BS_ST_BORROW","2000-08-09","2005-08-09","Per=Y","Days=T","Dir=V")</f>
        <v>0</v>
      </c>
      <c r="I2">
        <f>BDH("FLYIQ US Equity","BS_LT_BORROW","2000-08-09","2005-08-09","Per=Y","Days=T","Dir=V")</f>
        <v>0</v>
      </c>
      <c r="K2">
        <f>BDH("FLYIQ US Equity","BS_CASH_NEAR_CASH_ITEM","2000-08-09","2005-08-09","Per=Y","Days=T","Dir=V")</f>
        <v>0</v>
      </c>
      <c r="M2">
        <f>BDH("FLYIQ US Equity","BS_CUR_ASSET_REPORT","2000-08-09","2005-08-09","Per=Y","Days=T","Dir=V")</f>
        <v>0</v>
      </c>
      <c r="O2">
        <f>BDH("FLYIQ US Equity","BS_CUR_LIAB","2000-08-09","2005-08-09","Per=Y","Days=T","Dir=V")</f>
        <v>0</v>
      </c>
      <c r="Q2">
        <f>BDH("FLYIQ US Equity","BS_SHAREHOLDER_EQY_ENDING_PERIOD","2000-08-09","2005-08-09","Per=Y","Days=T","Dir=V")</f>
        <v>0</v>
      </c>
      <c r="S2">
        <f>BDH("FLYIQ US Equity","BS_ACCT_NOTE_RCV","2000-08-09","2005-08-09","Per=Y","Days=T","Dir=V")</f>
        <v>0</v>
      </c>
      <c r="U2">
        <f>BDH("FLYIQ US Equity","BS_INVENTORIES","2000-08-09","2005-08-09","Per=Y","Days=T","Dir=V")</f>
        <v>0</v>
      </c>
      <c r="W2">
        <f>BDH("FLYIQ US Equity","WORKING_CAPITAL","2000-08-09","2005-08-09","Per=Y","Days=T","Dir=V")</f>
        <v>0</v>
      </c>
      <c r="Y2">
        <f>BDH("FLYIQ US Equity","SALES_REV_TURN","2000-08-09","2005-08-09","Per=Y","Days=T","Dir=V")</f>
        <v>0</v>
      </c>
      <c r="AA2">
        <f>BDH("FLYIQ US Equity","EBIT","2000-08-09","2005-08-09","Per=Y","Days=T","Dir=V")</f>
        <v>0</v>
      </c>
      <c r="AC2">
        <f>BDH("FLYIQ US Equity","EBITDA","2000-08-09","2005-08-09","Per=Y","Days=T","Dir=V")</f>
        <v>0</v>
      </c>
      <c r="AE2">
        <f>BDH("FLYIQ US Equity","NET_INCOME","2000-08-09","2005-08-09","Per=Y","Days=T","Dir=V")</f>
        <v>0</v>
      </c>
      <c r="AG2">
        <f>BDH("FLYIQ US Equity","IS_INT_EXPENSE","2000-08-09","2005-08-09","Per=Y","Days=T","Dir=V")</f>
        <v>0</v>
      </c>
      <c r="AI2">
        <f>BDH("FLYIQ US Equity","IS_DEPR_EXP","2000-08-09","2005-08-09","Per=Y","Days=T","Dir=V")</f>
        <v>0</v>
      </c>
      <c r="AK2">
        <f>BDH("FLYIQ US Equity","CF_CASH_FROM_OPER","2000-08-09","2005-08-09","Per=Y","Days=T","Dir=V")</f>
        <v>0</v>
      </c>
      <c r="AM2">
        <f>BDH("FLYIQ US Equity","CAPITAL_EXPEND","2000-08-09","2005-08-09","Per=Y","Days=T","Dir=V")</f>
        <v>0</v>
      </c>
      <c r="AO2">
        <f>BDH("FLYIQ US Equity","CF_FREE_CASH_FLOW","2000-08-09","2005-08-09","Per=Y","Days=T","Dir=V")</f>
        <v>0</v>
      </c>
      <c r="AQ2">
        <f>BDH("FLYIQ US Equity","PX_LAST","2000-08-09","2005-08-09","Per=M","Days=T","Dir=V")</f>
        <v>0</v>
      </c>
      <c r="AS2">
        <f>BDH("FLYIQ US Equity","CUR_MKT_CAP","2000-08-09","2005-08-09","Per=M","Days=T","Dir=V")</f>
        <v>0</v>
      </c>
      <c r="AU2">
        <f>BDH("FLYIQ US Equity","EQY_SH_OUT","2000-08-09","2005-08-09","Per=M","Days=T","Dir=V")</f>
        <v>0</v>
      </c>
      <c r="AW2">
        <f>BDH("FLYIQ US Equity","PX_VOLUME","2000-08-09","2005-08-09","Per=M","Days=T","Dir=V")</f>
        <v>0</v>
      </c>
      <c r="AY2">
        <f>BDH("FLYIQ US Equity","TURNOVER","2000-08-09","2005-08-09","Per=M","Days=T","Dir=V")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BDH("GEGQQ US Equity","BS_TOT_ASSET","2001-06-30","2006-06-30","Per=Y","Days=T","Dir=V")</f>
        <v>0</v>
      </c>
      <c r="C2">
        <f>BDH("GEGQQ US Equity","BS_TOT_LIAB2","2001-06-30","2006-06-30","Per=Y","Days=T","Dir=V")</f>
        <v>0</v>
      </c>
      <c r="E2">
        <f>BDH("GEGQQ US Equity","SHORT_AND_LONG_TERM_DEBT","2001-06-30","2006-06-30","Per=Y","Days=T","Dir=V")</f>
        <v>0</v>
      </c>
      <c r="G2">
        <f>BDH("GEGQQ US Equity","BS_ST_BORROW","2001-06-30","2006-06-30","Per=Y","Days=T","Dir=V")</f>
        <v>0</v>
      </c>
      <c r="I2">
        <f>BDH("GEGQQ US Equity","BS_LT_BORROW","2001-06-30","2006-06-30","Per=Y","Days=T","Dir=V")</f>
        <v>0</v>
      </c>
      <c r="K2">
        <f>BDH("GEGQQ US Equity","BS_CASH_NEAR_CASH_ITEM","2001-06-30","2006-06-30","Per=Y","Days=T","Dir=V")</f>
        <v>0</v>
      </c>
      <c r="M2">
        <f>BDH("GEGQQ US Equity","BS_CUR_ASSET_REPORT","2001-06-30","2006-06-30","Per=Y","Days=T","Dir=V")</f>
        <v>0</v>
      </c>
      <c r="O2">
        <f>BDH("GEGQQ US Equity","BS_CUR_LIAB","2001-06-30","2006-06-30","Per=Y","Days=T","Dir=V")</f>
        <v>0</v>
      </c>
      <c r="Q2">
        <f>BDH("GEGQQ US Equity","BS_SHAREHOLDER_EQY_ENDING_PERIOD","2001-06-30","2006-06-30","Per=Y","Days=T","Dir=V")</f>
        <v>0</v>
      </c>
      <c r="S2">
        <f>BDH("GEGQQ US Equity","BS_ACCT_NOTE_RCV","2001-06-30","2006-06-30","Per=Y","Days=T","Dir=V")</f>
        <v>0</v>
      </c>
      <c r="U2">
        <f>BDH("GEGQQ US Equity","BS_INVENTORIES","2001-06-30","2006-06-30","Per=Y","Days=T","Dir=V")</f>
        <v>0</v>
      </c>
      <c r="W2">
        <f>BDH("GEGQQ US Equity","WORKING_CAPITAL","2001-06-30","2006-06-30","Per=Y","Days=T","Dir=V")</f>
        <v>0</v>
      </c>
      <c r="Y2">
        <f>BDH("GEGQQ US Equity","SALES_REV_TURN","2001-06-30","2006-06-30","Per=Y","Days=T","Dir=V")</f>
        <v>0</v>
      </c>
      <c r="AA2">
        <f>BDH("GEGQQ US Equity","EBIT","2001-06-30","2006-06-30","Per=Y","Days=T","Dir=V")</f>
        <v>0</v>
      </c>
      <c r="AC2">
        <f>BDH("GEGQQ US Equity","EBITDA","2001-06-30","2006-06-30","Per=Y","Days=T","Dir=V")</f>
        <v>0</v>
      </c>
      <c r="AE2">
        <f>BDH("GEGQQ US Equity","NET_INCOME","2001-06-30","2006-06-30","Per=Y","Days=T","Dir=V")</f>
        <v>0</v>
      </c>
      <c r="AG2">
        <f>BDH("GEGQQ US Equity","IS_INT_EXPENSE","2001-06-30","2006-06-30","Per=Y","Days=T","Dir=V")</f>
        <v>0</v>
      </c>
      <c r="AI2">
        <f>BDH("GEGQQ US Equity","IS_DEPR_EXP","2001-06-30","2006-06-30","Per=Y","Days=T","Dir=V")</f>
        <v>0</v>
      </c>
      <c r="AK2">
        <f>BDH("GEGQQ US Equity","CF_CASH_FROM_OPER","2001-06-30","2006-06-30","Per=Y","Days=T","Dir=V")</f>
        <v>0</v>
      </c>
      <c r="AM2">
        <f>BDH("GEGQQ US Equity","CAPITAL_EXPEND","2001-06-30","2006-06-30","Per=Y","Days=T","Dir=V")</f>
        <v>0</v>
      </c>
      <c r="AO2">
        <f>BDH("GEGQQ US Equity","CF_FREE_CASH_FLOW","2001-06-30","2006-06-30","Per=Y","Days=T","Dir=V")</f>
        <v>0</v>
      </c>
      <c r="AQ2">
        <f>BDH("GEGQQ US Equity","PX_LAST","2001-06-30","2006-06-30","Per=M","Days=T","Dir=V")</f>
        <v>0</v>
      </c>
      <c r="AS2">
        <f>BDH("GEGQQ US Equity","CUR_MKT_CAP","2001-06-30","2006-06-30","Per=M","Days=T","Dir=V")</f>
        <v>0</v>
      </c>
      <c r="AU2">
        <f>BDH("GEGQQ US Equity","EQY_SH_OUT","2001-06-30","2006-06-30","Per=M","Days=T","Dir=V")</f>
        <v>0</v>
      </c>
      <c r="AW2">
        <f>BDH("GEGQQ US Equity","PX_VOLUME","2001-06-30","2006-06-30","Per=M","Days=T","Dir=V")</f>
        <v>0</v>
      </c>
      <c r="AY2">
        <f>BDH("GEGQQ US Equity","TURNOVER","2001-06-30","2006-06-30","Per=M","Days=T","Dir=V")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BDH("GBTVQ US Equity","BS_TOT_ASSET","2001-09-12","2006-09-12","Per=Y","Days=T","Dir=V")</f>
        <v>0</v>
      </c>
      <c r="C2">
        <f>BDH("GBTVQ US Equity","BS_TOT_LIAB2","2001-09-12","2006-09-12","Per=Y","Days=T","Dir=V")</f>
        <v>0</v>
      </c>
      <c r="E2">
        <f>BDH("GBTVQ US Equity","SHORT_AND_LONG_TERM_DEBT","2001-09-12","2006-09-12","Per=Y","Days=T","Dir=V")</f>
        <v>0</v>
      </c>
      <c r="G2">
        <f>BDH("GBTVQ US Equity","BS_ST_BORROW","2001-09-12","2006-09-12","Per=Y","Days=T","Dir=V")</f>
        <v>0</v>
      </c>
      <c r="I2">
        <f>BDH("GBTVQ US Equity","BS_LT_BORROW","2001-09-12","2006-09-12","Per=Y","Days=T","Dir=V")</f>
        <v>0</v>
      </c>
      <c r="K2">
        <f>BDH("GBTVQ US Equity","BS_CASH_NEAR_CASH_ITEM","2001-09-12","2006-09-12","Per=Y","Days=T","Dir=V")</f>
        <v>0</v>
      </c>
      <c r="M2">
        <f>BDH("GBTVQ US Equity","BS_CUR_ASSET_REPORT","2001-09-12","2006-09-12","Per=Y","Days=T","Dir=V")</f>
        <v>0</v>
      </c>
      <c r="O2">
        <f>BDH("GBTVQ US Equity","BS_CUR_LIAB","2001-09-12","2006-09-12","Per=Y","Days=T","Dir=V")</f>
        <v>0</v>
      </c>
      <c r="Q2">
        <f>BDH("GBTVQ US Equity","BS_SHAREHOLDER_EQY_ENDING_PERIOD","2001-09-12","2006-09-12","Per=Y","Days=T","Dir=V")</f>
        <v>0</v>
      </c>
      <c r="S2">
        <f>BDH("GBTVQ US Equity","BS_ACCT_NOTE_RCV","2001-09-12","2006-09-12","Per=Y","Days=T","Dir=V")</f>
        <v>0</v>
      </c>
      <c r="U2">
        <f>BDH("GBTVQ US Equity","BS_INVENTORIES","2001-09-12","2006-09-12","Per=Y","Days=T","Dir=V")</f>
        <v>0</v>
      </c>
      <c r="W2">
        <f>BDH("GBTVQ US Equity","WORKING_CAPITAL","2001-09-12","2006-09-12","Per=Y","Days=T","Dir=V")</f>
        <v>0</v>
      </c>
      <c r="Y2">
        <f>BDH("GBTVQ US Equity","SALES_REV_TURN","2001-09-12","2006-09-12","Per=Y","Days=T","Dir=V")</f>
        <v>0</v>
      </c>
      <c r="AA2">
        <f>BDH("GBTVQ US Equity","EBIT","2001-09-12","2006-09-12","Per=Y","Days=T","Dir=V")</f>
        <v>0</v>
      </c>
      <c r="AC2">
        <f>BDH("GBTVQ US Equity","EBITDA","2001-09-12","2006-09-12","Per=Y","Days=T","Dir=V")</f>
        <v>0</v>
      </c>
      <c r="AE2">
        <f>BDH("GBTVQ US Equity","NET_INCOME","2001-09-12","2006-09-12","Per=Y","Days=T","Dir=V")</f>
        <v>0</v>
      </c>
      <c r="AG2">
        <f>BDH("GBTVQ US Equity","IS_INT_EXPENSE","2001-09-12","2006-09-12","Per=Y","Days=T","Dir=V")</f>
        <v>0</v>
      </c>
      <c r="AI2">
        <f>BDH("GBTVQ US Equity","IS_DEPR_EXP","2001-09-12","2006-09-12","Per=Y","Days=T","Dir=V")</f>
        <v>0</v>
      </c>
      <c r="AK2">
        <f>BDH("GBTVQ US Equity","CF_CASH_FROM_OPER","2001-09-12","2006-09-12","Per=Y","Days=T","Dir=V")</f>
        <v>0</v>
      </c>
      <c r="AM2">
        <f>BDH("GBTVQ US Equity","CAPITAL_EXPEND","2001-09-12","2006-09-12","Per=Y","Days=T","Dir=V")</f>
        <v>0</v>
      </c>
      <c r="AO2">
        <f>BDH("GBTVQ US Equity","CF_FREE_CASH_FLOW","2001-09-12","2006-09-12","Per=Y","Days=T","Dir=V")</f>
        <v>0</v>
      </c>
      <c r="AQ2">
        <f>BDH("GBTVQ US Equity","PX_LAST","2001-09-12","2006-09-12","Per=M","Days=T","Dir=V")</f>
        <v>0</v>
      </c>
      <c r="AS2">
        <f>BDH("GBTVQ US Equity","CUR_MKT_CAP","2001-09-12","2006-09-12","Per=M","Days=T","Dir=V")</f>
        <v>0</v>
      </c>
      <c r="AU2">
        <f>BDH("GBTVQ US Equity","EQY_SH_OUT","2001-09-12","2006-09-12","Per=M","Days=T","Dir=V")</f>
        <v>0</v>
      </c>
      <c r="AW2">
        <f>BDH("GBTVQ US Equity","PX_VOLUME","2001-09-12","2006-09-12","Per=M","Days=T","Dir=V")</f>
        <v>0</v>
      </c>
      <c r="AY2">
        <f>BDH("GBTVQ US Equity","TURNOVER","2001-09-12","2006-09-12","Per=M","Days=T","Dir=V")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BDH("HKFIQ US Equity","BS_TOT_ASSET","2001-12-21","2006-12-21","Per=Y","Days=T","Dir=V")</f>
        <v>0</v>
      </c>
      <c r="C2">
        <f>BDH("HKFIQ US Equity","BS_TOT_LIAB2","2001-12-21","2006-12-21","Per=Y","Days=T","Dir=V")</f>
        <v>0</v>
      </c>
      <c r="E2">
        <f>BDH("HKFIQ US Equity","SHORT_AND_LONG_TERM_DEBT","2001-12-21","2006-12-21","Per=Y","Days=T","Dir=V")</f>
        <v>0</v>
      </c>
      <c r="G2">
        <f>BDH("HKFIQ US Equity","BS_ST_BORROW","2001-12-21","2006-12-21","Per=Y","Days=T","Dir=V")</f>
        <v>0</v>
      </c>
      <c r="I2">
        <f>BDH("HKFIQ US Equity","BS_LT_BORROW","2001-12-21","2006-12-21","Per=Y","Days=T","Dir=V")</f>
        <v>0</v>
      </c>
      <c r="K2">
        <f>BDH("HKFIQ US Equity","BS_CASH_NEAR_CASH_ITEM","2001-12-21","2006-12-21","Per=Y","Days=T","Dir=V")</f>
        <v>0</v>
      </c>
      <c r="M2">
        <f>BDH("HKFIQ US Equity","BS_CUR_ASSET_REPORT","2001-12-21","2006-12-21","Per=Y","Days=T","Dir=V")</f>
        <v>0</v>
      </c>
      <c r="O2">
        <f>BDH("HKFIQ US Equity","BS_CUR_LIAB","2001-12-21","2006-12-21","Per=Y","Days=T","Dir=V")</f>
        <v>0</v>
      </c>
      <c r="Q2">
        <f>BDH("HKFIQ US Equity","BS_SHAREHOLDER_EQY_ENDING_PERIOD","2001-12-21","2006-12-21","Per=Y","Days=T","Dir=V")</f>
        <v>0</v>
      </c>
      <c r="S2">
        <f>BDH("HKFIQ US Equity","BS_ACCT_NOTE_RCV","2001-12-21","2006-12-21","Per=Y","Days=T","Dir=V")</f>
        <v>0</v>
      </c>
      <c r="U2">
        <f>BDH("HKFIQ US Equity","BS_INVENTORIES","2001-12-21","2006-12-21","Per=Y","Days=T","Dir=V")</f>
        <v>0</v>
      </c>
      <c r="W2">
        <f>BDH("HKFIQ US Equity","WORKING_CAPITAL","2001-12-21","2006-12-21","Per=Y","Days=T","Dir=V")</f>
        <v>0</v>
      </c>
      <c r="Y2">
        <f>BDH("HKFIQ US Equity","SALES_REV_TURN","2001-12-21","2006-12-21","Per=Y","Days=T","Dir=V")</f>
        <v>0</v>
      </c>
      <c r="AA2">
        <f>BDH("HKFIQ US Equity","EBIT","2001-12-21","2006-12-21","Per=Y","Days=T","Dir=V")</f>
        <v>0</v>
      </c>
      <c r="AC2">
        <f>BDH("HKFIQ US Equity","EBITDA","2001-12-21","2006-12-21","Per=Y","Days=T","Dir=V")</f>
        <v>0</v>
      </c>
      <c r="AE2">
        <f>BDH("HKFIQ US Equity","NET_INCOME","2001-12-21","2006-12-21","Per=Y","Days=T","Dir=V")</f>
        <v>0</v>
      </c>
      <c r="AG2">
        <f>BDH("HKFIQ US Equity","IS_INT_EXPENSE","2001-12-21","2006-12-21","Per=Y","Days=T","Dir=V")</f>
        <v>0</v>
      </c>
      <c r="AI2">
        <f>BDH("HKFIQ US Equity","IS_DEPR_EXP","2001-12-21","2006-12-21","Per=Y","Days=T","Dir=V")</f>
        <v>0</v>
      </c>
      <c r="AK2">
        <f>BDH("HKFIQ US Equity","CF_CASH_FROM_OPER","2001-12-21","2006-12-21","Per=Y","Days=T","Dir=V")</f>
        <v>0</v>
      </c>
      <c r="AM2">
        <f>BDH("HKFIQ US Equity","CAPITAL_EXPEND","2001-12-21","2006-12-21","Per=Y","Days=T","Dir=V")</f>
        <v>0</v>
      </c>
      <c r="AO2">
        <f>BDH("HKFIQ US Equity","CF_FREE_CASH_FLOW","2001-12-21","2006-12-21","Per=Y","Days=T","Dir=V")</f>
        <v>0</v>
      </c>
      <c r="AQ2">
        <f>BDH("HKFIQ US Equity","PX_LAST","2001-12-21","2006-12-21","Per=M","Days=T","Dir=V")</f>
        <v>0</v>
      </c>
      <c r="AS2">
        <f>BDH("HKFIQ US Equity","CUR_MKT_CAP","2001-12-21","2006-12-21","Per=M","Days=T","Dir=V")</f>
        <v>0</v>
      </c>
      <c r="AU2">
        <f>BDH("HKFIQ US Equity","EQY_SH_OUT","2001-12-21","2006-12-21","Per=M","Days=T","Dir=V")</f>
        <v>0</v>
      </c>
      <c r="AW2">
        <f>BDH("HKFIQ US Equity","PX_VOLUME","2001-12-21","2006-12-21","Per=M","Days=T","Dir=V")</f>
        <v>0</v>
      </c>
      <c r="AY2">
        <f>BDH("HKFIQ US Equity","TURNOVER","2001-12-21","2006-12-21","Per=M","Days=T","Dir=V")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BDH("PTBTQ US Equity","BS_TOT_ASSET","2002-08-21","2007-08-21","Per=Y","Days=T","Dir=V")</f>
        <v>0</v>
      </c>
      <c r="C2">
        <f>BDH("PTBTQ US Equity","BS_TOT_LIAB2","2002-08-21","2007-08-21","Per=Y","Days=T","Dir=V")</f>
        <v>0</v>
      </c>
      <c r="E2">
        <f>BDH("PTBTQ US Equity","SHORT_AND_LONG_TERM_DEBT","2002-08-21","2007-08-21","Per=Y","Days=T","Dir=V")</f>
        <v>0</v>
      </c>
      <c r="G2">
        <f>BDH("PTBTQ US Equity","BS_ST_BORROW","2002-08-21","2007-08-21","Per=Y","Days=T","Dir=V")</f>
        <v>0</v>
      </c>
      <c r="I2">
        <f>BDH("PTBTQ US Equity","BS_LT_BORROW","2002-08-21","2007-08-21","Per=Y","Days=T","Dir=V")</f>
        <v>0</v>
      </c>
      <c r="K2">
        <f>BDH("PTBTQ US Equity","BS_CASH_NEAR_CASH_ITEM","2002-08-21","2007-08-21","Per=Y","Days=T","Dir=V")</f>
        <v>0</v>
      </c>
      <c r="M2">
        <f>BDH("PTBTQ US Equity","BS_CUR_ASSET_REPORT","2002-08-21","2007-08-21","Per=Y","Days=T","Dir=V")</f>
        <v>0</v>
      </c>
      <c r="O2">
        <f>BDH("PTBTQ US Equity","BS_CUR_LIAB","2002-08-21","2007-08-21","Per=Y","Days=T","Dir=V")</f>
        <v>0</v>
      </c>
      <c r="Q2">
        <f>BDH("PTBTQ US Equity","BS_SHAREHOLDER_EQY_ENDING_PERIOD","2002-08-21","2007-08-21","Per=Y","Days=T","Dir=V")</f>
        <v>0</v>
      </c>
      <c r="S2">
        <f>BDH("PTBTQ US Equity","BS_ACCT_NOTE_RCV","2002-08-21","2007-08-21","Per=Y","Days=T","Dir=V")</f>
        <v>0</v>
      </c>
      <c r="U2">
        <f>BDH("PTBTQ US Equity","BS_INVENTORIES","2002-08-21","2007-08-21","Per=Y","Days=T","Dir=V")</f>
        <v>0</v>
      </c>
      <c r="W2">
        <f>BDH("PTBTQ US Equity","WORKING_CAPITAL","2002-08-21","2007-08-21","Per=Y","Days=T","Dir=V")</f>
        <v>0</v>
      </c>
      <c r="Y2">
        <f>BDH("PTBTQ US Equity","SALES_REV_TURN","2002-08-21","2007-08-21","Per=Y","Days=T","Dir=V")</f>
        <v>0</v>
      </c>
      <c r="AA2">
        <f>BDH("PTBTQ US Equity","EBIT","2002-08-21","2007-08-21","Per=Y","Days=T","Dir=V")</f>
        <v>0</v>
      </c>
      <c r="AC2">
        <f>BDH("PTBTQ US Equity","EBITDA","2002-08-21","2007-08-21","Per=Y","Days=T","Dir=V")</f>
        <v>0</v>
      </c>
      <c r="AE2">
        <f>BDH("PTBTQ US Equity","NET_INCOME","2002-08-21","2007-08-21","Per=Y","Days=T","Dir=V")</f>
        <v>0</v>
      </c>
      <c r="AG2">
        <f>BDH("PTBTQ US Equity","IS_INT_EXPENSE","2002-08-21","2007-08-21","Per=Y","Days=T","Dir=V")</f>
        <v>0</v>
      </c>
      <c r="AI2">
        <f>BDH("PTBTQ US Equity","IS_DEPR_EXP","2002-08-21","2007-08-21","Per=Y","Days=T","Dir=V")</f>
        <v>0</v>
      </c>
      <c r="AK2">
        <f>BDH("PTBTQ US Equity","CF_CASH_FROM_OPER","2002-08-21","2007-08-21","Per=Y","Days=T","Dir=V")</f>
        <v>0</v>
      </c>
      <c r="AM2">
        <f>BDH("PTBTQ US Equity","CAPITAL_EXPEND","2002-08-21","2007-08-21","Per=Y","Days=T","Dir=V")</f>
        <v>0</v>
      </c>
      <c r="AO2">
        <f>BDH("PTBTQ US Equity","CF_FREE_CASH_FLOW","2002-08-21","2007-08-21","Per=Y","Days=T","Dir=V")</f>
        <v>0</v>
      </c>
      <c r="AQ2">
        <f>BDH("PTBTQ US Equity","PX_LAST","2002-08-21","2007-08-21","Per=M","Days=T","Dir=V")</f>
        <v>0</v>
      </c>
      <c r="AS2">
        <f>BDH("PTBTQ US Equity","CUR_MKT_CAP","2002-08-21","2007-08-21","Per=M","Days=T","Dir=V")</f>
        <v>0</v>
      </c>
      <c r="AU2">
        <f>BDH("PTBTQ US Equity","EQY_SH_OUT","2002-08-21","2007-08-21","Per=M","Days=T","Dir=V")</f>
        <v>0</v>
      </c>
      <c r="AW2">
        <f>BDH("PTBTQ US Equity","PX_VOLUME","2002-08-21","2007-08-21","Per=M","Days=T","Dir=V")</f>
        <v>0</v>
      </c>
      <c r="AY2">
        <f>BDH("PTBTQ US Equity","TURNOVER","2002-08-21","2007-08-21","Per=M","Days=T","Dir=V")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BDH("TOUSQ US Equity","BS_TOT_ASSET","2002-10-31","2007-10-31","Per=Y","Days=T","Dir=V")</f>
        <v>0</v>
      </c>
      <c r="C2">
        <f>BDH("TOUSQ US Equity","BS_TOT_LIAB2","2002-10-31","2007-10-31","Per=Y","Days=T","Dir=V")</f>
        <v>0</v>
      </c>
      <c r="E2">
        <f>BDH("TOUSQ US Equity","SHORT_AND_LONG_TERM_DEBT","2002-10-31","2007-10-31","Per=Y","Days=T","Dir=V")</f>
        <v>0</v>
      </c>
      <c r="G2">
        <f>BDH("TOUSQ US Equity","BS_ST_BORROW","2002-10-31","2007-10-31","Per=Y","Days=T","Dir=V")</f>
        <v>0</v>
      </c>
      <c r="I2">
        <f>BDH("TOUSQ US Equity","BS_LT_BORROW","2002-10-31","2007-10-31","Per=Y","Days=T","Dir=V")</f>
        <v>0</v>
      </c>
      <c r="K2">
        <f>BDH("TOUSQ US Equity","BS_CASH_NEAR_CASH_ITEM","2002-10-31","2007-10-31","Per=Y","Days=T","Dir=V")</f>
        <v>0</v>
      </c>
      <c r="M2">
        <f>BDH("TOUSQ US Equity","BS_CUR_ASSET_REPORT","2002-10-31","2007-10-31","Per=Y","Days=T","Dir=V")</f>
        <v>0</v>
      </c>
      <c r="O2">
        <f>BDH("TOUSQ US Equity","BS_CUR_LIAB","2002-10-31","2007-10-31","Per=Y","Days=T","Dir=V")</f>
        <v>0</v>
      </c>
      <c r="Q2">
        <f>BDH("TOUSQ US Equity","BS_SHAREHOLDER_EQY_ENDING_PERIOD","2002-10-31","2007-10-31","Per=Y","Days=T","Dir=V")</f>
        <v>0</v>
      </c>
      <c r="S2">
        <f>BDH("TOUSQ US Equity","BS_ACCT_NOTE_RCV","2002-10-31","2007-10-31","Per=Y","Days=T","Dir=V")</f>
        <v>0</v>
      </c>
      <c r="U2">
        <f>BDH("TOUSQ US Equity","BS_INVENTORIES","2002-10-31","2007-10-31","Per=Y","Days=T","Dir=V")</f>
        <v>0</v>
      </c>
      <c r="W2">
        <f>BDH("TOUSQ US Equity","WORKING_CAPITAL","2002-10-31","2007-10-31","Per=Y","Days=T","Dir=V")</f>
        <v>0</v>
      </c>
      <c r="Y2">
        <f>BDH("TOUSQ US Equity","SALES_REV_TURN","2002-10-31","2007-10-31","Per=Y","Days=T","Dir=V")</f>
        <v>0</v>
      </c>
      <c r="AA2">
        <f>BDH("TOUSQ US Equity","EBIT","2002-10-31","2007-10-31","Per=Y","Days=T","Dir=V")</f>
        <v>0</v>
      </c>
      <c r="AC2">
        <f>BDH("TOUSQ US Equity","EBITDA","2002-10-31","2007-10-31","Per=Y","Days=T","Dir=V")</f>
        <v>0</v>
      </c>
      <c r="AE2">
        <f>BDH("TOUSQ US Equity","NET_INCOME","2002-10-31","2007-10-31","Per=Y","Days=T","Dir=V")</f>
        <v>0</v>
      </c>
      <c r="AG2">
        <f>BDH("TOUSQ US Equity","IS_INT_EXPENSE","2002-10-31","2007-10-31","Per=Y","Days=T","Dir=V")</f>
        <v>0</v>
      </c>
      <c r="AI2">
        <f>BDH("TOUSQ US Equity","IS_DEPR_EXP","2002-10-31","2007-10-31","Per=Y","Days=T","Dir=V")</f>
        <v>0</v>
      </c>
      <c r="AK2">
        <f>BDH("TOUSQ US Equity","CF_CASH_FROM_OPER","2002-10-31","2007-10-31","Per=Y","Days=T","Dir=V")</f>
        <v>0</v>
      </c>
      <c r="AM2">
        <f>BDH("TOUSQ US Equity","CAPITAL_EXPEND","2002-10-31","2007-10-31","Per=Y","Days=T","Dir=V")</f>
        <v>0</v>
      </c>
      <c r="AO2">
        <f>BDH("TOUSQ US Equity","CF_FREE_CASH_FLOW","2002-10-31","2007-10-31","Per=Y","Days=T","Dir=V")</f>
        <v>0</v>
      </c>
      <c r="AQ2">
        <f>BDH("TOUSQ US Equity","PX_LAST","2002-10-31","2007-10-31","Per=M","Days=T","Dir=V")</f>
        <v>0</v>
      </c>
      <c r="AS2">
        <f>BDH("TOUSQ US Equity","CUR_MKT_CAP","2002-10-31","2007-10-31","Per=M","Days=T","Dir=V")</f>
        <v>0</v>
      </c>
      <c r="AU2">
        <f>BDH("TOUSQ US Equity","EQY_SH_OUT","2002-10-31","2007-10-31","Per=M","Days=T","Dir=V")</f>
        <v>0</v>
      </c>
      <c r="AW2">
        <f>BDH("TOUSQ US Equity","PX_VOLUME","2002-10-31","2007-10-31","Per=M","Days=T","Dir=V")</f>
        <v>0</v>
      </c>
      <c r="AY2">
        <f>BDH("TOUSQ US Equity","TURNOVER","2002-10-31","2007-10-31","Per=M","Days=T","Dir=V")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BDH("MPCCQ US Equity","BS_TOT_ASSET","2003-08-08","2008-08-08","Per=Y","Days=T","Dir=V")</f>
        <v>0</v>
      </c>
      <c r="C2">
        <f>BDH("MPCCQ US Equity","BS_TOT_LIAB2","2003-08-08","2008-08-08","Per=Y","Days=T","Dir=V")</f>
        <v>0</v>
      </c>
      <c r="E2">
        <f>BDH("MPCCQ US Equity","SHORT_AND_LONG_TERM_DEBT","2003-08-08","2008-08-08","Per=Y","Days=T","Dir=V")</f>
        <v>0</v>
      </c>
      <c r="G2">
        <f>BDH("MPCCQ US Equity","BS_ST_BORROW","2003-08-08","2008-08-08","Per=Y","Days=T","Dir=V")</f>
        <v>0</v>
      </c>
      <c r="I2">
        <f>BDH("MPCCQ US Equity","BS_LT_BORROW","2003-08-08","2008-08-08","Per=Y","Days=T","Dir=V")</f>
        <v>0</v>
      </c>
      <c r="K2">
        <f>BDH("MPCCQ US Equity","BS_CASH_NEAR_CASH_ITEM","2003-08-08","2008-08-08","Per=Y","Days=T","Dir=V")</f>
        <v>0</v>
      </c>
      <c r="M2">
        <f>BDH("MPCCQ US Equity","BS_CUR_ASSET_REPORT","2003-08-08","2008-08-08","Per=Y","Days=T","Dir=V")</f>
        <v>0</v>
      </c>
      <c r="O2">
        <f>BDH("MPCCQ US Equity","BS_CUR_LIAB","2003-08-08","2008-08-08","Per=Y","Days=T","Dir=V")</f>
        <v>0</v>
      </c>
      <c r="Q2">
        <f>BDH("MPCCQ US Equity","BS_SHAREHOLDER_EQY_ENDING_PERIOD","2003-08-08","2008-08-08","Per=Y","Days=T","Dir=V")</f>
        <v>0</v>
      </c>
      <c r="S2">
        <f>BDH("MPCCQ US Equity","BS_ACCT_NOTE_RCV","2003-08-08","2008-08-08","Per=Y","Days=T","Dir=V")</f>
        <v>0</v>
      </c>
      <c r="U2">
        <f>BDH("MPCCQ US Equity","BS_INVENTORIES","2003-08-08","2008-08-08","Per=Y","Days=T","Dir=V")</f>
        <v>0</v>
      </c>
      <c r="W2">
        <f>BDH("MPCCQ US Equity","WORKING_CAPITAL","2003-08-08","2008-08-08","Per=Y","Days=T","Dir=V")</f>
        <v>0</v>
      </c>
      <c r="Y2">
        <f>BDH("MPCCQ US Equity","SALES_REV_TURN","2003-08-08","2008-08-08","Per=Y","Days=T","Dir=V")</f>
        <v>0</v>
      </c>
      <c r="AA2">
        <f>BDH("MPCCQ US Equity","EBIT","2003-08-08","2008-08-08","Per=Y","Days=T","Dir=V")</f>
        <v>0</v>
      </c>
      <c r="AC2">
        <f>BDH("MPCCQ US Equity","EBITDA","2003-08-08","2008-08-08","Per=Y","Days=T","Dir=V")</f>
        <v>0</v>
      </c>
      <c r="AE2">
        <f>BDH("MPCCQ US Equity","NET_INCOME","2003-08-08","2008-08-08","Per=Y","Days=T","Dir=V")</f>
        <v>0</v>
      </c>
      <c r="AG2">
        <f>BDH("MPCCQ US Equity","IS_INT_EXPENSE","2003-08-08","2008-08-08","Per=Y","Days=T","Dir=V")</f>
        <v>0</v>
      </c>
      <c r="AI2">
        <f>BDH("MPCCQ US Equity","IS_DEPR_EXP","2003-08-08","2008-08-08","Per=Y","Days=T","Dir=V")</f>
        <v>0</v>
      </c>
      <c r="AK2">
        <f>BDH("MPCCQ US Equity","CF_CASH_FROM_OPER","2003-08-08","2008-08-08","Per=Y","Days=T","Dir=V")</f>
        <v>0</v>
      </c>
      <c r="AM2">
        <f>BDH("MPCCQ US Equity","CAPITAL_EXPEND","2003-08-08","2008-08-08","Per=Y","Days=T","Dir=V")</f>
        <v>0</v>
      </c>
      <c r="AO2">
        <f>BDH("MPCCQ US Equity","CF_FREE_CASH_FLOW","2003-08-08","2008-08-08","Per=Y","Days=T","Dir=V")</f>
        <v>0</v>
      </c>
      <c r="AQ2">
        <f>BDH("MPCCQ US Equity","PX_LAST","2003-08-08","2008-08-08","Per=M","Days=T","Dir=V")</f>
        <v>0</v>
      </c>
      <c r="AS2">
        <f>BDH("MPCCQ US Equity","CUR_MKT_CAP","2003-08-08","2008-08-08","Per=M","Days=T","Dir=V")</f>
        <v>0</v>
      </c>
      <c r="AU2">
        <f>BDH("MPCCQ US Equity","EQY_SH_OUT","2003-08-08","2008-08-08","Per=M","Days=T","Dir=V")</f>
        <v>0</v>
      </c>
      <c r="AW2">
        <f>BDH("MPCCQ US Equity","PX_VOLUME","2003-08-08","2008-08-08","Per=M","Days=T","Dir=V")</f>
        <v>0</v>
      </c>
      <c r="AY2">
        <f>BDH("MPCCQ US Equity","TURNOVER","2003-08-08","2008-08-08","Per=M","Days=T","Dir=V")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BDH("BGPTQ US Equity","BS_TOT_ASSET","2003-11-20","2008-11-20","Per=Y","Days=T","Dir=V")</f>
        <v>0</v>
      </c>
      <c r="C2">
        <f>BDH("BGPTQ US Equity","BS_TOT_LIAB2","2003-11-20","2008-11-20","Per=Y","Days=T","Dir=V")</f>
        <v>0</v>
      </c>
      <c r="E2">
        <f>BDH("BGPTQ US Equity","SHORT_AND_LONG_TERM_DEBT","2003-11-20","2008-11-20","Per=Y","Days=T","Dir=V")</f>
        <v>0</v>
      </c>
      <c r="G2">
        <f>BDH("BGPTQ US Equity","BS_ST_BORROW","2003-11-20","2008-11-20","Per=Y","Days=T","Dir=V")</f>
        <v>0</v>
      </c>
      <c r="I2">
        <f>BDH("BGPTQ US Equity","BS_LT_BORROW","2003-11-20","2008-11-20","Per=Y","Days=T","Dir=V")</f>
        <v>0</v>
      </c>
      <c r="K2">
        <f>BDH("BGPTQ US Equity","BS_CASH_NEAR_CASH_ITEM","2003-11-20","2008-11-20","Per=Y","Days=T","Dir=V")</f>
        <v>0</v>
      </c>
      <c r="M2">
        <f>BDH("BGPTQ US Equity","BS_CUR_ASSET_REPORT","2003-11-20","2008-11-20","Per=Y","Days=T","Dir=V")</f>
        <v>0</v>
      </c>
      <c r="O2">
        <f>BDH("BGPTQ US Equity","BS_CUR_LIAB","2003-11-20","2008-11-20","Per=Y","Days=T","Dir=V")</f>
        <v>0</v>
      </c>
      <c r="Q2">
        <f>BDH("BGPTQ US Equity","BS_SHAREHOLDER_EQY_ENDING_PERIOD","2003-11-20","2008-11-20","Per=Y","Days=T","Dir=V")</f>
        <v>0</v>
      </c>
      <c r="S2">
        <f>BDH("BGPTQ US Equity","BS_ACCT_NOTE_RCV","2003-11-20","2008-11-20","Per=Y","Days=T","Dir=V")</f>
        <v>0</v>
      </c>
      <c r="U2">
        <f>BDH("BGPTQ US Equity","BS_INVENTORIES","2003-11-20","2008-11-20","Per=Y","Days=T","Dir=V")</f>
        <v>0</v>
      </c>
      <c r="W2">
        <f>BDH("BGPTQ US Equity","WORKING_CAPITAL","2003-11-20","2008-11-20","Per=Y","Days=T","Dir=V")</f>
        <v>0</v>
      </c>
      <c r="Y2">
        <f>BDH("BGPTQ US Equity","SALES_REV_TURN","2003-11-20","2008-11-20","Per=Y","Days=T","Dir=V")</f>
        <v>0</v>
      </c>
      <c r="AA2">
        <f>BDH("BGPTQ US Equity","EBIT","2003-11-20","2008-11-20","Per=Y","Days=T","Dir=V")</f>
        <v>0</v>
      </c>
      <c r="AC2">
        <f>BDH("BGPTQ US Equity","EBITDA","2003-11-20","2008-11-20","Per=Y","Days=T","Dir=V")</f>
        <v>0</v>
      </c>
      <c r="AE2">
        <f>BDH("BGPTQ US Equity","NET_INCOME","2003-11-20","2008-11-20","Per=Y","Days=T","Dir=V")</f>
        <v>0</v>
      </c>
      <c r="AG2">
        <f>BDH("BGPTQ US Equity","IS_INT_EXPENSE","2003-11-20","2008-11-20","Per=Y","Days=T","Dir=V")</f>
        <v>0</v>
      </c>
      <c r="AI2">
        <f>BDH("BGPTQ US Equity","IS_DEPR_EXP","2003-11-20","2008-11-20","Per=Y","Days=T","Dir=V")</f>
        <v>0</v>
      </c>
      <c r="AK2">
        <f>BDH("BGPTQ US Equity","CF_CASH_FROM_OPER","2003-11-20","2008-11-20","Per=Y","Days=T","Dir=V")</f>
        <v>0</v>
      </c>
      <c r="AM2">
        <f>BDH("BGPTQ US Equity","CAPITAL_EXPEND","2003-11-20","2008-11-20","Per=Y","Days=T","Dir=V")</f>
        <v>0</v>
      </c>
      <c r="AO2">
        <f>BDH("BGPTQ US Equity","CF_FREE_CASH_FLOW","2003-11-20","2008-11-20","Per=Y","Days=T","Dir=V")</f>
        <v>0</v>
      </c>
      <c r="AQ2">
        <f>BDH("BGPTQ US Equity","PX_LAST","2003-11-20","2008-11-20","Per=M","Days=T","Dir=V")</f>
        <v>0</v>
      </c>
      <c r="AS2">
        <f>BDH("BGPTQ US Equity","CUR_MKT_CAP","2003-11-20","2008-11-20","Per=M","Days=T","Dir=V")</f>
        <v>0</v>
      </c>
      <c r="AU2">
        <f>BDH("BGPTQ US Equity","EQY_SH_OUT","2003-11-20","2008-11-20","Per=M","Days=T","Dir=V")</f>
        <v>0</v>
      </c>
      <c r="AW2">
        <f>BDH("BGPTQ US Equity","PX_VOLUME","2003-11-20","2008-11-20","Per=M","Days=T","Dir=V")</f>
        <v>0</v>
      </c>
      <c r="AY2">
        <f>BDH("BGPTQ US Equity","TURNOVER","2003-11-20","2008-11-20","Per=M","Days=T","Dir=V")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BDH("JRCOQ US Equity","BS_TOT_ASSET","2003-11-23","2008-11-23","Per=Y","Days=T","Dir=V")</f>
        <v>0</v>
      </c>
      <c r="C2">
        <f>BDH("JRCOQ US Equity","BS_TOT_LIAB2","2003-11-23","2008-11-23","Per=Y","Days=T","Dir=V")</f>
        <v>0</v>
      </c>
      <c r="E2">
        <f>BDH("JRCOQ US Equity","SHORT_AND_LONG_TERM_DEBT","2003-11-23","2008-11-23","Per=Y","Days=T","Dir=V")</f>
        <v>0</v>
      </c>
      <c r="G2">
        <f>BDH("JRCOQ US Equity","BS_ST_BORROW","2003-11-23","2008-11-23","Per=Y","Days=T","Dir=V")</f>
        <v>0</v>
      </c>
      <c r="I2">
        <f>BDH("JRCOQ US Equity","BS_LT_BORROW","2003-11-23","2008-11-23","Per=Y","Days=T","Dir=V")</f>
        <v>0</v>
      </c>
      <c r="K2">
        <f>BDH("JRCOQ US Equity","BS_CASH_NEAR_CASH_ITEM","2003-11-23","2008-11-23","Per=Y","Days=T","Dir=V")</f>
        <v>0</v>
      </c>
      <c r="M2">
        <f>BDH("JRCOQ US Equity","BS_CUR_ASSET_REPORT","2003-11-23","2008-11-23","Per=Y","Days=T","Dir=V")</f>
        <v>0</v>
      </c>
      <c r="O2">
        <f>BDH("JRCOQ US Equity","BS_CUR_LIAB","2003-11-23","2008-11-23","Per=Y","Days=T","Dir=V")</f>
        <v>0</v>
      </c>
      <c r="Q2">
        <f>BDH("JRCOQ US Equity","BS_SHAREHOLDER_EQY_ENDING_PERIOD","2003-11-23","2008-11-23","Per=Y","Days=T","Dir=V")</f>
        <v>0</v>
      </c>
      <c r="S2">
        <f>BDH("JRCOQ US Equity","BS_ACCT_NOTE_RCV","2003-11-23","2008-11-23","Per=Y","Days=T","Dir=V")</f>
        <v>0</v>
      </c>
      <c r="U2">
        <f>BDH("JRCOQ US Equity","BS_INVENTORIES","2003-11-23","2008-11-23","Per=Y","Days=T","Dir=V")</f>
        <v>0</v>
      </c>
      <c r="W2">
        <f>BDH("JRCOQ US Equity","WORKING_CAPITAL","2003-11-23","2008-11-23","Per=Y","Days=T","Dir=V")</f>
        <v>0</v>
      </c>
      <c r="Y2">
        <f>BDH("JRCOQ US Equity","SALES_REV_TURN","2003-11-23","2008-11-23","Per=Y","Days=T","Dir=V")</f>
        <v>0</v>
      </c>
      <c r="AA2">
        <f>BDH("JRCOQ US Equity","EBIT","2003-11-23","2008-11-23","Per=Y","Days=T","Dir=V")</f>
        <v>0</v>
      </c>
      <c r="AC2">
        <f>BDH("JRCOQ US Equity","EBITDA","2003-11-23","2008-11-23","Per=Y","Days=T","Dir=V")</f>
        <v>0</v>
      </c>
      <c r="AE2">
        <f>BDH("JRCOQ US Equity","NET_INCOME","2003-11-23","2008-11-23","Per=Y","Days=T","Dir=V")</f>
        <v>0</v>
      </c>
      <c r="AG2">
        <f>BDH("JRCOQ US Equity","IS_INT_EXPENSE","2003-11-23","2008-11-23","Per=Y","Days=T","Dir=V")</f>
        <v>0</v>
      </c>
      <c r="AI2">
        <f>BDH("JRCOQ US Equity","IS_DEPR_EXP","2003-11-23","2008-11-23","Per=Y","Days=T","Dir=V")</f>
        <v>0</v>
      </c>
      <c r="AK2">
        <f>BDH("JRCOQ US Equity","CF_CASH_FROM_OPER","2003-11-23","2008-11-23","Per=Y","Days=T","Dir=V")</f>
        <v>0</v>
      </c>
      <c r="AM2">
        <f>BDH("JRCOQ US Equity","CAPITAL_EXPEND","2003-11-23","2008-11-23","Per=Y","Days=T","Dir=V")</f>
        <v>0</v>
      </c>
      <c r="AO2">
        <f>BDH("JRCOQ US Equity","CF_FREE_CASH_FLOW","2003-11-23","2008-11-23","Per=Y","Days=T","Dir=V")</f>
        <v>0</v>
      </c>
      <c r="AQ2">
        <f>BDH("JRCOQ US Equity","PX_LAST","2003-11-23","2008-11-23","Per=M","Days=T","Dir=V")</f>
        <v>0</v>
      </c>
      <c r="AS2">
        <f>BDH("JRCOQ US Equity","CUR_MKT_CAP","2003-11-23","2008-11-23","Per=M","Days=T","Dir=V")</f>
        <v>0</v>
      </c>
      <c r="AU2">
        <f>BDH("JRCOQ US Equity","EQY_SH_OUT","2003-11-23","2008-11-23","Per=M","Days=T","Dir=V")</f>
        <v>0</v>
      </c>
      <c r="AW2">
        <f>BDH("JRCOQ US Equity","PX_VOLUME","2003-11-23","2008-11-23","Per=M","Days=T","Dir=V")</f>
        <v>0</v>
      </c>
      <c r="AY2">
        <f>BDH("JRCOQ US Equity","TURNOVER","2003-11-23","2008-11-23","Per=M","Days=T","Dir=V")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BDH("CEMJQ US Equity","BS_TOT_ASSET","2003-12-18","2008-12-18","Per=Y","Days=T","Dir=V")</f>
        <v>0</v>
      </c>
      <c r="C2">
        <f>BDH("CEMJQ US Equity","BS_TOT_LIAB2","2003-12-18","2008-12-18","Per=Y","Days=T","Dir=V")</f>
        <v>0</v>
      </c>
      <c r="E2">
        <f>BDH("CEMJQ US Equity","SHORT_AND_LONG_TERM_DEBT","2003-12-18","2008-12-18","Per=Y","Days=T","Dir=V")</f>
        <v>0</v>
      </c>
      <c r="G2">
        <f>BDH("CEMJQ US Equity","BS_ST_BORROW","2003-12-18","2008-12-18","Per=Y","Days=T","Dir=V")</f>
        <v>0</v>
      </c>
      <c r="I2">
        <f>BDH("CEMJQ US Equity","BS_LT_BORROW","2003-12-18","2008-12-18","Per=Y","Days=T","Dir=V")</f>
        <v>0</v>
      </c>
      <c r="K2">
        <f>BDH("CEMJQ US Equity","BS_CASH_NEAR_CASH_ITEM","2003-12-18","2008-12-18","Per=Y","Days=T","Dir=V")</f>
        <v>0</v>
      </c>
      <c r="M2">
        <f>BDH("CEMJQ US Equity","BS_CUR_ASSET_REPORT","2003-12-18","2008-12-18","Per=Y","Days=T","Dir=V")</f>
        <v>0</v>
      </c>
      <c r="O2">
        <f>BDH("CEMJQ US Equity","BS_CUR_LIAB","2003-12-18","2008-12-18","Per=Y","Days=T","Dir=V")</f>
        <v>0</v>
      </c>
      <c r="Q2">
        <f>BDH("CEMJQ US Equity","BS_SHAREHOLDER_EQY_ENDING_PERIOD","2003-12-18","2008-12-18","Per=Y","Days=T","Dir=V")</f>
        <v>0</v>
      </c>
      <c r="S2">
        <f>BDH("CEMJQ US Equity","BS_ACCT_NOTE_RCV","2003-12-18","2008-12-18","Per=Y","Days=T","Dir=V")</f>
        <v>0</v>
      </c>
      <c r="U2">
        <f>BDH("CEMJQ US Equity","BS_INVENTORIES","2003-12-18","2008-12-18","Per=Y","Days=T","Dir=V")</f>
        <v>0</v>
      </c>
      <c r="W2">
        <f>BDH("CEMJQ US Equity","WORKING_CAPITAL","2003-12-18","2008-12-18","Per=Y","Days=T","Dir=V")</f>
        <v>0</v>
      </c>
      <c r="Y2">
        <f>BDH("CEMJQ US Equity","SALES_REV_TURN","2003-12-18","2008-12-18","Per=Y","Days=T","Dir=V")</f>
        <v>0</v>
      </c>
      <c r="AA2">
        <f>BDH("CEMJQ US Equity","EBIT","2003-12-18","2008-12-18","Per=Y","Days=T","Dir=V")</f>
        <v>0</v>
      </c>
      <c r="AC2">
        <f>BDH("CEMJQ US Equity","EBITDA","2003-12-18","2008-12-18","Per=Y","Days=T","Dir=V")</f>
        <v>0</v>
      </c>
      <c r="AE2">
        <f>BDH("CEMJQ US Equity","NET_INCOME","2003-12-18","2008-12-18","Per=Y","Days=T","Dir=V")</f>
        <v>0</v>
      </c>
      <c r="AG2">
        <f>BDH("CEMJQ US Equity","IS_INT_EXPENSE","2003-12-18","2008-12-18","Per=Y","Days=T","Dir=V")</f>
        <v>0</v>
      </c>
      <c r="AI2">
        <f>BDH("CEMJQ US Equity","IS_DEPR_EXP","2003-12-18","2008-12-18","Per=Y","Days=T","Dir=V")</f>
        <v>0</v>
      </c>
      <c r="AK2">
        <f>BDH("CEMJQ US Equity","CF_CASH_FROM_OPER","2003-12-18","2008-12-18","Per=Y","Days=T","Dir=V")</f>
        <v>0</v>
      </c>
      <c r="AM2">
        <f>BDH("CEMJQ US Equity","CAPITAL_EXPEND","2003-12-18","2008-12-18","Per=Y","Days=T","Dir=V")</f>
        <v>0</v>
      </c>
      <c r="AO2">
        <f>BDH("CEMJQ US Equity","CF_FREE_CASH_FLOW","2003-12-18","2008-12-18","Per=Y","Days=T","Dir=V")</f>
        <v>0</v>
      </c>
      <c r="AQ2">
        <f>BDH("CEMJQ US Equity","PX_LAST","2003-12-18","2008-12-18","Per=M","Days=T","Dir=V")</f>
        <v>0</v>
      </c>
      <c r="AS2">
        <f>BDH("CEMJQ US Equity","CUR_MKT_CAP","2003-12-18","2008-12-18","Per=M","Days=T","Dir=V")</f>
        <v>0</v>
      </c>
      <c r="AU2">
        <f>BDH("CEMJQ US Equity","EQY_SH_OUT","2003-12-18","2008-12-18","Per=M","Days=T","Dir=V")</f>
        <v>0</v>
      </c>
      <c r="AW2">
        <f>BDH("CEMJQ US Equity","PX_VOLUME","2003-12-18","2008-12-18","Per=M","Days=T","Dir=V")</f>
        <v>0</v>
      </c>
      <c r="AY2">
        <f>BDH("CEMJQ US Equity","TURNOVER","2003-12-18","2008-12-18","Per=M","Days=T","Dir=V")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BDH("CHTRQ US Equity","BS_TOT_ASSET","2003-12-27","2008-12-27","Per=Y","Days=T","Dir=V")</f>
        <v>0</v>
      </c>
      <c r="C2">
        <f>BDH("CHTRQ US Equity","BS_TOT_LIAB2","2003-12-27","2008-12-27","Per=Y","Days=T","Dir=V")</f>
        <v>0</v>
      </c>
      <c r="E2">
        <f>BDH("CHTRQ US Equity","SHORT_AND_LONG_TERM_DEBT","2003-12-27","2008-12-27","Per=Y","Days=T","Dir=V")</f>
        <v>0</v>
      </c>
      <c r="G2">
        <f>BDH("CHTRQ US Equity","BS_ST_BORROW","2003-12-27","2008-12-27","Per=Y","Days=T","Dir=V")</f>
        <v>0</v>
      </c>
      <c r="I2">
        <f>BDH("CHTRQ US Equity","BS_LT_BORROW","2003-12-27","2008-12-27","Per=Y","Days=T","Dir=V")</f>
        <v>0</v>
      </c>
      <c r="K2">
        <f>BDH("CHTRQ US Equity","BS_CASH_NEAR_CASH_ITEM","2003-12-27","2008-12-27","Per=Y","Days=T","Dir=V")</f>
        <v>0</v>
      </c>
      <c r="M2">
        <f>BDH("CHTRQ US Equity","BS_CUR_ASSET_REPORT","2003-12-27","2008-12-27","Per=Y","Days=T","Dir=V")</f>
        <v>0</v>
      </c>
      <c r="O2">
        <f>BDH("CHTRQ US Equity","BS_CUR_LIAB","2003-12-27","2008-12-27","Per=Y","Days=T","Dir=V")</f>
        <v>0</v>
      </c>
      <c r="Q2">
        <f>BDH("CHTRQ US Equity","BS_SHAREHOLDER_EQY_ENDING_PERIOD","2003-12-27","2008-12-27","Per=Y","Days=T","Dir=V")</f>
        <v>0</v>
      </c>
      <c r="S2">
        <f>BDH("CHTRQ US Equity","BS_ACCT_NOTE_RCV","2003-12-27","2008-12-27","Per=Y","Days=T","Dir=V")</f>
        <v>0</v>
      </c>
      <c r="U2">
        <f>BDH("CHTRQ US Equity","BS_INVENTORIES","2003-12-27","2008-12-27","Per=Y","Days=T","Dir=V")</f>
        <v>0</v>
      </c>
      <c r="W2">
        <f>BDH("CHTRQ US Equity","WORKING_CAPITAL","2003-12-27","2008-12-27","Per=Y","Days=T","Dir=V")</f>
        <v>0</v>
      </c>
      <c r="Y2">
        <f>BDH("CHTRQ US Equity","SALES_REV_TURN","2003-12-27","2008-12-27","Per=Y","Days=T","Dir=V")</f>
        <v>0</v>
      </c>
      <c r="AA2">
        <f>BDH("CHTRQ US Equity","EBIT","2003-12-27","2008-12-27","Per=Y","Days=T","Dir=V")</f>
        <v>0</v>
      </c>
      <c r="AC2">
        <f>BDH("CHTRQ US Equity","EBITDA","2003-12-27","2008-12-27","Per=Y","Days=T","Dir=V")</f>
        <v>0</v>
      </c>
      <c r="AE2">
        <f>BDH("CHTRQ US Equity","NET_INCOME","2003-12-27","2008-12-27","Per=Y","Days=T","Dir=V")</f>
        <v>0</v>
      </c>
      <c r="AG2">
        <f>BDH("CHTRQ US Equity","IS_INT_EXPENSE","2003-12-27","2008-12-27","Per=Y","Days=T","Dir=V")</f>
        <v>0</v>
      </c>
      <c r="AI2">
        <f>BDH("CHTRQ US Equity","IS_DEPR_EXP","2003-12-27","2008-12-27","Per=Y","Days=T","Dir=V")</f>
        <v>0</v>
      </c>
      <c r="AK2">
        <f>BDH("CHTRQ US Equity","CF_CASH_FROM_OPER","2003-12-27","2008-12-27","Per=Y","Days=T","Dir=V")</f>
        <v>0</v>
      </c>
      <c r="AM2">
        <f>BDH("CHTRQ US Equity","CAPITAL_EXPEND","2003-12-27","2008-12-27","Per=Y","Days=T","Dir=V")</f>
        <v>0</v>
      </c>
      <c r="AO2">
        <f>BDH("CHTRQ US Equity","CF_FREE_CASH_FLOW","2003-12-27","2008-12-27","Per=Y","Days=T","Dir=V")</f>
        <v>0</v>
      </c>
      <c r="AQ2">
        <f>BDH("CHTRQ US Equity","PX_LAST","2003-12-27","2008-12-27","Per=M","Days=T","Dir=V")</f>
        <v>0</v>
      </c>
      <c r="AS2">
        <f>BDH("CHTRQ US Equity","CUR_MKT_CAP","2003-12-27","2008-12-27","Per=M","Days=T","Dir=V")</f>
        <v>0</v>
      </c>
      <c r="AU2">
        <f>BDH("CHTRQ US Equity","EQY_SH_OUT","2003-12-27","2008-12-27","Per=M","Days=T","Dir=V")</f>
        <v>0</v>
      </c>
      <c r="AW2">
        <f>BDH("CHTRQ US Equity","PX_VOLUME","2003-12-27","2008-12-27","Per=M","Days=T","Dir=V")</f>
        <v>0</v>
      </c>
      <c r="AY2">
        <f>BDH("CHTRQ US Equity","TURNOVER","2003-12-27","2008-12-27","Per=M","Days=T","Dir=V")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BDH("IDARQ US Equity","BS_TOT_ASSET","2003-12-31","2008-12-31","Per=Y","Days=T","Dir=V")</f>
        <v>0</v>
      </c>
      <c r="C2">
        <f>BDH("IDARQ US Equity","BS_TOT_LIAB2","2003-12-31","2008-12-31","Per=Y","Days=T","Dir=V")</f>
        <v>0</v>
      </c>
      <c r="E2">
        <f>BDH("IDARQ US Equity","SHORT_AND_LONG_TERM_DEBT","2003-12-31","2008-12-31","Per=Y","Days=T","Dir=V")</f>
        <v>0</v>
      </c>
      <c r="G2">
        <f>BDH("IDARQ US Equity","BS_ST_BORROW","2003-12-31","2008-12-31","Per=Y","Days=T","Dir=V")</f>
        <v>0</v>
      </c>
      <c r="I2">
        <f>BDH("IDARQ US Equity","BS_LT_BORROW","2003-12-31","2008-12-31","Per=Y","Days=T","Dir=V")</f>
        <v>0</v>
      </c>
      <c r="K2">
        <f>BDH("IDARQ US Equity","BS_CASH_NEAR_CASH_ITEM","2003-12-31","2008-12-31","Per=Y","Days=T","Dir=V")</f>
        <v>0</v>
      </c>
      <c r="M2">
        <f>BDH("IDARQ US Equity","BS_CUR_ASSET_REPORT","2003-12-31","2008-12-31","Per=Y","Days=T","Dir=V")</f>
        <v>0</v>
      </c>
      <c r="O2">
        <f>BDH("IDARQ US Equity","BS_CUR_LIAB","2003-12-31","2008-12-31","Per=Y","Days=T","Dir=V")</f>
        <v>0</v>
      </c>
      <c r="Q2">
        <f>BDH("IDARQ US Equity","BS_SHAREHOLDER_EQY_ENDING_PERIOD","2003-12-31","2008-12-31","Per=Y","Days=T","Dir=V")</f>
        <v>0</v>
      </c>
      <c r="S2">
        <f>BDH("IDARQ US Equity","BS_ACCT_NOTE_RCV","2003-12-31","2008-12-31","Per=Y","Days=T","Dir=V")</f>
        <v>0</v>
      </c>
      <c r="U2">
        <f>BDH("IDARQ US Equity","BS_INVENTORIES","2003-12-31","2008-12-31","Per=Y","Days=T","Dir=V")</f>
        <v>0</v>
      </c>
      <c r="W2">
        <f>BDH("IDARQ US Equity","WORKING_CAPITAL","2003-12-31","2008-12-31","Per=Y","Days=T","Dir=V")</f>
        <v>0</v>
      </c>
      <c r="Y2">
        <f>BDH("IDARQ US Equity","SALES_REV_TURN","2003-12-31","2008-12-31","Per=Y","Days=T","Dir=V")</f>
        <v>0</v>
      </c>
      <c r="AA2">
        <f>BDH("IDARQ US Equity","EBIT","2003-12-31","2008-12-31","Per=Y","Days=T","Dir=V")</f>
        <v>0</v>
      </c>
      <c r="AC2">
        <f>BDH("IDARQ US Equity","EBITDA","2003-12-31","2008-12-31","Per=Y","Days=T","Dir=V")</f>
        <v>0</v>
      </c>
      <c r="AE2">
        <f>BDH("IDARQ US Equity","NET_INCOME","2003-12-31","2008-12-31","Per=Y","Days=T","Dir=V")</f>
        <v>0</v>
      </c>
      <c r="AG2">
        <f>BDH("IDARQ US Equity","IS_INT_EXPENSE","2003-12-31","2008-12-31","Per=Y","Days=T","Dir=V")</f>
        <v>0</v>
      </c>
      <c r="AI2">
        <f>BDH("IDARQ US Equity","IS_DEPR_EXP","2003-12-31","2008-12-31","Per=Y","Days=T","Dir=V")</f>
        <v>0</v>
      </c>
      <c r="AK2">
        <f>BDH("IDARQ US Equity","CF_CASH_FROM_OPER","2003-12-31","2008-12-31","Per=Y","Days=T","Dir=V")</f>
        <v>0</v>
      </c>
      <c r="AM2">
        <f>BDH("IDARQ US Equity","CAPITAL_EXPEND","2003-12-31","2008-12-31","Per=Y","Days=T","Dir=V")</f>
        <v>0</v>
      </c>
      <c r="AO2">
        <f>BDH("IDARQ US Equity","CF_FREE_CASH_FLOW","2003-12-31","2008-12-31","Per=Y","Days=T","Dir=V")</f>
        <v>0</v>
      </c>
      <c r="AQ2">
        <f>BDH("IDARQ US Equity","PX_LAST","2003-12-31","2008-12-31","Per=M","Days=T","Dir=V")</f>
        <v>0</v>
      </c>
      <c r="AS2">
        <f>BDH("IDARQ US Equity","CUR_MKT_CAP","2003-12-31","2008-12-31","Per=M","Days=T","Dir=V")</f>
        <v>0</v>
      </c>
      <c r="AU2">
        <f>BDH("IDARQ US Equity","EQY_SH_OUT","2003-12-31","2008-12-31","Per=M","Days=T","Dir=V")</f>
        <v>0</v>
      </c>
      <c r="AW2">
        <f>BDH("IDARQ US Equity","PX_VOLUME","2003-12-31","2008-12-31","Per=M","Days=T","Dir=V")</f>
        <v>0</v>
      </c>
      <c r="AY2">
        <f>BDH("IDARQ US Equity","TURNOVER","2003-12-31","2008-12-31","Per=M","Days=T","Dir=V")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BDH("DSUPQ US Equity","BS_TOT_ASSET","2004-01-19","2009-01-19","Per=Y","Days=T","Dir=V")</f>
        <v>0</v>
      </c>
      <c r="C2">
        <f>BDH("DSUPQ US Equity","BS_TOT_LIAB2","2004-01-19","2009-01-19","Per=Y","Days=T","Dir=V")</f>
        <v>0</v>
      </c>
      <c r="E2">
        <f>BDH("DSUPQ US Equity","SHORT_AND_LONG_TERM_DEBT","2004-01-19","2009-01-19","Per=Y","Days=T","Dir=V")</f>
        <v>0</v>
      </c>
      <c r="G2">
        <f>BDH("DSUPQ US Equity","BS_ST_BORROW","2004-01-19","2009-01-19","Per=Y","Days=T","Dir=V")</f>
        <v>0</v>
      </c>
      <c r="I2">
        <f>BDH("DSUPQ US Equity","BS_LT_BORROW","2004-01-19","2009-01-19","Per=Y","Days=T","Dir=V")</f>
        <v>0</v>
      </c>
      <c r="K2">
        <f>BDH("DSUPQ US Equity","BS_CASH_NEAR_CASH_ITEM","2004-01-19","2009-01-19","Per=Y","Days=T","Dir=V")</f>
        <v>0</v>
      </c>
      <c r="M2">
        <f>BDH("DSUPQ US Equity","BS_CUR_ASSET_REPORT","2004-01-19","2009-01-19","Per=Y","Days=T","Dir=V")</f>
        <v>0</v>
      </c>
      <c r="O2">
        <f>BDH("DSUPQ US Equity","BS_CUR_LIAB","2004-01-19","2009-01-19","Per=Y","Days=T","Dir=V")</f>
        <v>0</v>
      </c>
      <c r="Q2">
        <f>BDH("DSUPQ US Equity","BS_SHAREHOLDER_EQY_ENDING_PERIOD","2004-01-19","2009-01-19","Per=Y","Days=T","Dir=V")</f>
        <v>0</v>
      </c>
      <c r="S2">
        <f>BDH("DSUPQ US Equity","BS_ACCT_NOTE_RCV","2004-01-19","2009-01-19","Per=Y","Days=T","Dir=V")</f>
        <v>0</v>
      </c>
      <c r="U2">
        <f>BDH("DSUPQ US Equity","BS_INVENTORIES","2004-01-19","2009-01-19","Per=Y","Days=T","Dir=V")</f>
        <v>0</v>
      </c>
      <c r="W2">
        <f>BDH("DSUPQ US Equity","WORKING_CAPITAL","2004-01-19","2009-01-19","Per=Y","Days=T","Dir=V")</f>
        <v>0</v>
      </c>
      <c r="Y2">
        <f>BDH("DSUPQ US Equity","SALES_REV_TURN","2004-01-19","2009-01-19","Per=Y","Days=T","Dir=V")</f>
        <v>0</v>
      </c>
      <c r="AA2">
        <f>BDH("DSUPQ US Equity","EBIT","2004-01-19","2009-01-19","Per=Y","Days=T","Dir=V")</f>
        <v>0</v>
      </c>
      <c r="AC2">
        <f>BDH("DSUPQ US Equity","EBITDA","2004-01-19","2009-01-19","Per=Y","Days=T","Dir=V")</f>
        <v>0</v>
      </c>
      <c r="AE2">
        <f>BDH("DSUPQ US Equity","NET_INCOME","2004-01-19","2009-01-19","Per=Y","Days=T","Dir=V")</f>
        <v>0</v>
      </c>
      <c r="AG2">
        <f>BDH("DSUPQ US Equity","IS_INT_EXPENSE","2004-01-19","2009-01-19","Per=Y","Days=T","Dir=V")</f>
        <v>0</v>
      </c>
      <c r="AI2">
        <f>BDH("DSUPQ US Equity","IS_DEPR_EXP","2004-01-19","2009-01-19","Per=Y","Days=T","Dir=V")</f>
        <v>0</v>
      </c>
      <c r="AK2">
        <f>BDH("DSUPQ US Equity","CF_CASH_FROM_OPER","2004-01-19","2009-01-19","Per=Y","Days=T","Dir=V")</f>
        <v>0</v>
      </c>
      <c r="AM2">
        <f>BDH("DSUPQ US Equity","CAPITAL_EXPEND","2004-01-19","2009-01-19","Per=Y","Days=T","Dir=V")</f>
        <v>0</v>
      </c>
      <c r="AO2">
        <f>BDH("DSUPQ US Equity","CF_FREE_CASH_FLOW","2004-01-19","2009-01-19","Per=Y","Days=T","Dir=V")</f>
        <v>0</v>
      </c>
      <c r="AQ2">
        <f>BDH("DSUPQ US Equity","PX_LAST","2004-01-19","2009-01-19","Per=M","Days=T","Dir=V")</f>
        <v>0</v>
      </c>
      <c r="AS2">
        <f>BDH("DSUPQ US Equity","CUR_MKT_CAP","2004-01-19","2009-01-19","Per=M","Days=T","Dir=V")</f>
        <v>0</v>
      </c>
      <c r="AU2">
        <f>BDH("DSUPQ US Equity","EQY_SH_OUT","2004-01-19","2009-01-19","Per=M","Days=T","Dir=V")</f>
        <v>0</v>
      </c>
      <c r="AW2">
        <f>BDH("DSUPQ US Equity","PX_VOLUME","2004-01-19","2009-01-19","Per=M","Days=T","Dir=V")</f>
        <v>0</v>
      </c>
      <c r="AY2">
        <f>BDH("DSUPQ US Equity","TURNOVER","2004-01-19","2009-01-19","Per=M","Days=T","Dir=V")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BDH("ASYTQ US Equity","BS_TOT_ASSET","2004-01-20","2009-01-20","Per=Y","Days=T","Dir=V")</f>
        <v>0</v>
      </c>
      <c r="C2">
        <f>BDH("ASYTQ US Equity","BS_TOT_LIAB2","2004-01-20","2009-01-20","Per=Y","Days=T","Dir=V")</f>
        <v>0</v>
      </c>
      <c r="E2">
        <f>BDH("ASYTQ US Equity","SHORT_AND_LONG_TERM_DEBT","2004-01-20","2009-01-20","Per=Y","Days=T","Dir=V")</f>
        <v>0</v>
      </c>
      <c r="G2">
        <f>BDH("ASYTQ US Equity","BS_ST_BORROW","2004-01-20","2009-01-20","Per=Y","Days=T","Dir=V")</f>
        <v>0</v>
      </c>
      <c r="I2">
        <f>BDH("ASYTQ US Equity","BS_LT_BORROW","2004-01-20","2009-01-20","Per=Y","Days=T","Dir=V")</f>
        <v>0</v>
      </c>
      <c r="K2">
        <f>BDH("ASYTQ US Equity","BS_CASH_NEAR_CASH_ITEM","2004-01-20","2009-01-20","Per=Y","Days=T","Dir=V")</f>
        <v>0</v>
      </c>
      <c r="M2">
        <f>BDH("ASYTQ US Equity","BS_CUR_ASSET_REPORT","2004-01-20","2009-01-20","Per=Y","Days=T","Dir=V")</f>
        <v>0</v>
      </c>
      <c r="O2">
        <f>BDH("ASYTQ US Equity","BS_CUR_LIAB","2004-01-20","2009-01-20","Per=Y","Days=T","Dir=V")</f>
        <v>0</v>
      </c>
      <c r="Q2">
        <f>BDH("ASYTQ US Equity","BS_SHAREHOLDER_EQY_ENDING_PERIOD","2004-01-20","2009-01-20","Per=Y","Days=T","Dir=V")</f>
        <v>0</v>
      </c>
      <c r="S2">
        <f>BDH("ASYTQ US Equity","BS_ACCT_NOTE_RCV","2004-01-20","2009-01-20","Per=Y","Days=T","Dir=V")</f>
        <v>0</v>
      </c>
      <c r="U2">
        <f>BDH("ASYTQ US Equity","BS_INVENTORIES","2004-01-20","2009-01-20","Per=Y","Days=T","Dir=V")</f>
        <v>0</v>
      </c>
      <c r="W2">
        <f>BDH("ASYTQ US Equity","WORKING_CAPITAL","2004-01-20","2009-01-20","Per=Y","Days=T","Dir=V")</f>
        <v>0</v>
      </c>
      <c r="Y2">
        <f>BDH("ASYTQ US Equity","SALES_REV_TURN","2004-01-20","2009-01-20","Per=Y","Days=T","Dir=V")</f>
        <v>0</v>
      </c>
      <c r="AA2">
        <f>BDH("ASYTQ US Equity","EBIT","2004-01-20","2009-01-20","Per=Y","Days=T","Dir=V")</f>
        <v>0</v>
      </c>
      <c r="AC2">
        <f>BDH("ASYTQ US Equity","EBITDA","2004-01-20","2009-01-20","Per=Y","Days=T","Dir=V")</f>
        <v>0</v>
      </c>
      <c r="AE2">
        <f>BDH("ASYTQ US Equity","NET_INCOME","2004-01-20","2009-01-20","Per=Y","Days=T","Dir=V")</f>
        <v>0</v>
      </c>
      <c r="AG2">
        <f>BDH("ASYTQ US Equity","IS_INT_EXPENSE","2004-01-20","2009-01-20","Per=Y","Days=T","Dir=V")</f>
        <v>0</v>
      </c>
      <c r="AI2">
        <f>BDH("ASYTQ US Equity","IS_DEPR_EXP","2004-01-20","2009-01-20","Per=Y","Days=T","Dir=V")</f>
        <v>0</v>
      </c>
      <c r="AK2">
        <f>BDH("ASYTQ US Equity","CF_CASH_FROM_OPER","2004-01-20","2009-01-20","Per=Y","Days=T","Dir=V")</f>
        <v>0</v>
      </c>
      <c r="AM2">
        <f>BDH("ASYTQ US Equity","CAPITAL_EXPEND","2004-01-20","2009-01-20","Per=Y","Days=T","Dir=V")</f>
        <v>0</v>
      </c>
      <c r="AO2">
        <f>BDH("ASYTQ US Equity","CF_FREE_CASH_FLOW","2004-01-20","2009-01-20","Per=Y","Days=T","Dir=V")</f>
        <v>0</v>
      </c>
      <c r="AQ2">
        <f>BDH("ASYTQ US Equity","PX_LAST","2004-01-20","2009-01-20","Per=M","Days=T","Dir=V")</f>
        <v>0</v>
      </c>
      <c r="AS2">
        <f>BDH("ASYTQ US Equity","CUR_MKT_CAP","2004-01-20","2009-01-20","Per=M","Days=T","Dir=V")</f>
        <v>0</v>
      </c>
      <c r="AU2">
        <f>BDH("ASYTQ US Equity","EQY_SH_OUT","2004-01-20","2009-01-20","Per=M","Days=T","Dir=V")</f>
        <v>0</v>
      </c>
      <c r="AW2">
        <f>BDH("ASYTQ US Equity","PX_VOLUME","2004-01-20","2009-01-20","Per=M","Days=T","Dir=V")</f>
        <v>0</v>
      </c>
      <c r="AY2">
        <f>BDH("ASYTQ US Equity","TURNOVER","2004-01-20","2009-01-20","Per=M","Days=T","Dir=V")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BDH("VSTNQ US Equity","BS_TOT_ASSET","2004-02-27","2009-02-27","Per=Y","Days=T","Dir=V")</f>
        <v>0</v>
      </c>
      <c r="C2">
        <f>BDH("VSTNQ US Equity","BS_TOT_LIAB2","2004-02-27","2009-02-27","Per=Y","Days=T","Dir=V")</f>
        <v>0</v>
      </c>
      <c r="E2">
        <f>BDH("VSTNQ US Equity","SHORT_AND_LONG_TERM_DEBT","2004-02-27","2009-02-27","Per=Y","Days=T","Dir=V")</f>
        <v>0</v>
      </c>
      <c r="G2">
        <f>BDH("VSTNQ US Equity","BS_ST_BORROW","2004-02-27","2009-02-27","Per=Y","Days=T","Dir=V")</f>
        <v>0</v>
      </c>
      <c r="I2">
        <f>BDH("VSTNQ US Equity","BS_LT_BORROW","2004-02-27","2009-02-27","Per=Y","Days=T","Dir=V")</f>
        <v>0</v>
      </c>
      <c r="K2">
        <f>BDH("VSTNQ US Equity","BS_CASH_NEAR_CASH_ITEM","2004-02-27","2009-02-27","Per=Y","Days=T","Dir=V")</f>
        <v>0</v>
      </c>
      <c r="M2">
        <f>BDH("VSTNQ US Equity","BS_CUR_ASSET_REPORT","2004-02-27","2009-02-27","Per=Y","Days=T","Dir=V")</f>
        <v>0</v>
      </c>
      <c r="O2">
        <f>BDH("VSTNQ US Equity","BS_CUR_LIAB","2004-02-27","2009-02-27","Per=Y","Days=T","Dir=V")</f>
        <v>0</v>
      </c>
      <c r="Q2">
        <f>BDH("VSTNQ US Equity","BS_SHAREHOLDER_EQY_ENDING_PERIOD","2004-02-27","2009-02-27","Per=Y","Days=T","Dir=V")</f>
        <v>0</v>
      </c>
      <c r="S2">
        <f>BDH("VSTNQ US Equity","BS_ACCT_NOTE_RCV","2004-02-27","2009-02-27","Per=Y","Days=T","Dir=V")</f>
        <v>0</v>
      </c>
      <c r="U2">
        <f>BDH("VSTNQ US Equity","BS_INVENTORIES","2004-02-27","2009-02-27","Per=Y","Days=T","Dir=V")</f>
        <v>0</v>
      </c>
      <c r="W2">
        <f>BDH("VSTNQ US Equity","WORKING_CAPITAL","2004-02-27","2009-02-27","Per=Y","Days=T","Dir=V")</f>
        <v>0</v>
      </c>
      <c r="Y2">
        <f>BDH("VSTNQ US Equity","SALES_REV_TURN","2004-02-27","2009-02-27","Per=Y","Days=T","Dir=V")</f>
        <v>0</v>
      </c>
      <c r="AA2">
        <f>BDH("VSTNQ US Equity","EBIT","2004-02-27","2009-02-27","Per=Y","Days=T","Dir=V")</f>
        <v>0</v>
      </c>
      <c r="AC2">
        <f>BDH("VSTNQ US Equity","EBITDA","2004-02-27","2009-02-27","Per=Y","Days=T","Dir=V")</f>
        <v>0</v>
      </c>
      <c r="AE2">
        <f>BDH("VSTNQ US Equity","NET_INCOME","2004-02-27","2009-02-27","Per=Y","Days=T","Dir=V")</f>
        <v>0</v>
      </c>
      <c r="AG2">
        <f>BDH("VSTNQ US Equity","IS_INT_EXPENSE","2004-02-27","2009-02-27","Per=Y","Days=T","Dir=V")</f>
        <v>0</v>
      </c>
      <c r="AI2">
        <f>BDH("VSTNQ US Equity","IS_DEPR_EXP","2004-02-27","2009-02-27","Per=Y","Days=T","Dir=V")</f>
        <v>0</v>
      </c>
      <c r="AK2">
        <f>BDH("VSTNQ US Equity","CF_CASH_FROM_OPER","2004-02-27","2009-02-27","Per=Y","Days=T","Dir=V")</f>
        <v>0</v>
      </c>
      <c r="AM2">
        <f>BDH("VSTNQ US Equity","CAPITAL_EXPEND","2004-02-27","2009-02-27","Per=Y","Days=T","Dir=V")</f>
        <v>0</v>
      </c>
      <c r="AO2">
        <f>BDH("VSTNQ US Equity","CF_FREE_CASH_FLOW","2004-02-27","2009-02-27","Per=Y","Days=T","Dir=V")</f>
        <v>0</v>
      </c>
      <c r="AQ2">
        <f>BDH("VSTNQ US Equity","PX_LAST","2004-02-27","2009-02-27","Per=M","Days=T","Dir=V")</f>
        <v>0</v>
      </c>
      <c r="AS2">
        <f>BDH("VSTNQ US Equity","CUR_MKT_CAP","2004-02-27","2009-02-27","Per=M","Days=T","Dir=V")</f>
        <v>0</v>
      </c>
      <c r="AU2">
        <f>BDH("VSTNQ US Equity","EQY_SH_OUT","2004-02-27","2009-02-27","Per=M","Days=T","Dir=V")</f>
        <v>0</v>
      </c>
      <c r="AW2">
        <f>BDH("VSTNQ US Equity","PX_VOLUME","2004-02-27","2009-02-27","Per=M","Days=T","Dir=V")</f>
        <v>0</v>
      </c>
      <c r="AY2">
        <f>BDH("VSTNQ US Equity","TURNOVER","2004-02-27","2009-02-27","Per=M","Days=T","Dir=V")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BDH("RHDCQ US Equity","BS_TOT_ASSET","2004-02-27","2009-02-27","Per=Y","Days=T","Dir=V")</f>
        <v>0</v>
      </c>
      <c r="C2">
        <f>BDH("RHDCQ US Equity","BS_TOT_LIAB2","2004-02-27","2009-02-27","Per=Y","Days=T","Dir=V")</f>
        <v>0</v>
      </c>
      <c r="E2">
        <f>BDH("RHDCQ US Equity","SHORT_AND_LONG_TERM_DEBT","2004-02-27","2009-02-27","Per=Y","Days=T","Dir=V")</f>
        <v>0</v>
      </c>
      <c r="G2">
        <f>BDH("RHDCQ US Equity","BS_ST_BORROW","2004-02-27","2009-02-27","Per=Y","Days=T","Dir=V")</f>
        <v>0</v>
      </c>
      <c r="I2">
        <f>BDH("RHDCQ US Equity","BS_LT_BORROW","2004-02-27","2009-02-27","Per=Y","Days=T","Dir=V")</f>
        <v>0</v>
      </c>
      <c r="K2">
        <f>BDH("RHDCQ US Equity","BS_CASH_NEAR_CASH_ITEM","2004-02-27","2009-02-27","Per=Y","Days=T","Dir=V")</f>
        <v>0</v>
      </c>
      <c r="M2">
        <f>BDH("RHDCQ US Equity","BS_CUR_ASSET_REPORT","2004-02-27","2009-02-27","Per=Y","Days=T","Dir=V")</f>
        <v>0</v>
      </c>
      <c r="O2">
        <f>BDH("RHDCQ US Equity","BS_CUR_LIAB","2004-02-27","2009-02-27","Per=Y","Days=T","Dir=V")</f>
        <v>0</v>
      </c>
      <c r="Q2">
        <f>BDH("RHDCQ US Equity","BS_SHAREHOLDER_EQY_ENDING_PERIOD","2004-02-27","2009-02-27","Per=Y","Days=T","Dir=V")</f>
        <v>0</v>
      </c>
      <c r="S2">
        <f>BDH("RHDCQ US Equity","BS_ACCT_NOTE_RCV","2004-02-27","2009-02-27","Per=Y","Days=T","Dir=V")</f>
        <v>0</v>
      </c>
      <c r="U2">
        <f>BDH("RHDCQ US Equity","BS_INVENTORIES","2004-02-27","2009-02-27","Per=Y","Days=T","Dir=V")</f>
        <v>0</v>
      </c>
      <c r="W2">
        <f>BDH("RHDCQ US Equity","WORKING_CAPITAL","2004-02-27","2009-02-27","Per=Y","Days=T","Dir=V")</f>
        <v>0</v>
      </c>
      <c r="Y2">
        <f>BDH("RHDCQ US Equity","SALES_REV_TURN","2004-02-27","2009-02-27","Per=Y","Days=T","Dir=V")</f>
        <v>0</v>
      </c>
      <c r="AA2">
        <f>BDH("RHDCQ US Equity","EBIT","2004-02-27","2009-02-27","Per=Y","Days=T","Dir=V")</f>
        <v>0</v>
      </c>
      <c r="AC2">
        <f>BDH("RHDCQ US Equity","EBITDA","2004-02-27","2009-02-27","Per=Y","Days=T","Dir=V")</f>
        <v>0</v>
      </c>
      <c r="AE2">
        <f>BDH("RHDCQ US Equity","NET_INCOME","2004-02-27","2009-02-27","Per=Y","Days=T","Dir=V")</f>
        <v>0</v>
      </c>
      <c r="AG2">
        <f>BDH("RHDCQ US Equity","IS_INT_EXPENSE","2004-02-27","2009-02-27","Per=Y","Days=T","Dir=V")</f>
        <v>0</v>
      </c>
      <c r="AI2">
        <f>BDH("RHDCQ US Equity","IS_DEPR_EXP","2004-02-27","2009-02-27","Per=Y","Days=T","Dir=V")</f>
        <v>0</v>
      </c>
      <c r="AK2">
        <f>BDH("RHDCQ US Equity","CF_CASH_FROM_OPER","2004-02-27","2009-02-27","Per=Y","Days=T","Dir=V")</f>
        <v>0</v>
      </c>
      <c r="AM2">
        <f>BDH("RHDCQ US Equity","CAPITAL_EXPEND","2004-02-27","2009-02-27","Per=Y","Days=T","Dir=V")</f>
        <v>0</v>
      </c>
      <c r="AO2">
        <f>BDH("RHDCQ US Equity","CF_FREE_CASH_FLOW","2004-02-27","2009-02-27","Per=Y","Days=T","Dir=V")</f>
        <v>0</v>
      </c>
      <c r="AQ2">
        <f>BDH("RHDCQ US Equity","PX_LAST","2004-02-27","2009-02-27","Per=M","Days=T","Dir=V")</f>
        <v>0</v>
      </c>
      <c r="AS2">
        <f>BDH("RHDCQ US Equity","CUR_MKT_CAP","2004-02-27","2009-02-27","Per=M","Days=T","Dir=V")</f>
        <v>0</v>
      </c>
      <c r="AU2">
        <f>BDH("RHDCQ US Equity","EQY_SH_OUT","2004-02-27","2009-02-27","Per=M","Days=T","Dir=V")</f>
        <v>0</v>
      </c>
      <c r="AW2">
        <f>BDH("RHDCQ US Equity","PX_VOLUME","2004-02-27","2009-02-27","Per=M","Days=T","Dir=V")</f>
        <v>0</v>
      </c>
      <c r="AY2">
        <f>BDH("RHDCQ US Equity","TURNOVER","2004-02-27","2009-02-27","Per=M","Days=T","Dir=V")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BDH("LEARQ US Equity","BS_TOT_ASSET","2004-04-08","2009-04-08","Per=Y","Days=T","Dir=V")</f>
        <v>0</v>
      </c>
      <c r="C2">
        <f>BDH("LEARQ US Equity","BS_TOT_LIAB2","2004-04-08","2009-04-08","Per=Y","Days=T","Dir=V")</f>
        <v>0</v>
      </c>
      <c r="E2">
        <f>BDH("LEARQ US Equity","SHORT_AND_LONG_TERM_DEBT","2004-04-08","2009-04-08","Per=Y","Days=T","Dir=V")</f>
        <v>0</v>
      </c>
      <c r="G2">
        <f>BDH("LEARQ US Equity","BS_ST_BORROW","2004-04-08","2009-04-08","Per=Y","Days=T","Dir=V")</f>
        <v>0</v>
      </c>
      <c r="I2">
        <f>BDH("LEARQ US Equity","BS_LT_BORROW","2004-04-08","2009-04-08","Per=Y","Days=T","Dir=V")</f>
        <v>0</v>
      </c>
      <c r="K2">
        <f>BDH("LEARQ US Equity","BS_CASH_NEAR_CASH_ITEM","2004-04-08","2009-04-08","Per=Y","Days=T","Dir=V")</f>
        <v>0</v>
      </c>
      <c r="M2">
        <f>BDH("LEARQ US Equity","BS_CUR_ASSET_REPORT","2004-04-08","2009-04-08","Per=Y","Days=T","Dir=V")</f>
        <v>0</v>
      </c>
      <c r="O2">
        <f>BDH("LEARQ US Equity","BS_CUR_LIAB","2004-04-08","2009-04-08","Per=Y","Days=T","Dir=V")</f>
        <v>0</v>
      </c>
      <c r="Q2">
        <f>BDH("LEARQ US Equity","BS_SHAREHOLDER_EQY_ENDING_PERIOD","2004-04-08","2009-04-08","Per=Y","Days=T","Dir=V")</f>
        <v>0</v>
      </c>
      <c r="S2">
        <f>BDH("LEARQ US Equity","BS_ACCT_NOTE_RCV","2004-04-08","2009-04-08","Per=Y","Days=T","Dir=V")</f>
        <v>0</v>
      </c>
      <c r="U2">
        <f>BDH("LEARQ US Equity","BS_INVENTORIES","2004-04-08","2009-04-08","Per=Y","Days=T","Dir=V")</f>
        <v>0</v>
      </c>
      <c r="W2">
        <f>BDH("LEARQ US Equity","WORKING_CAPITAL","2004-04-08","2009-04-08","Per=Y","Days=T","Dir=V")</f>
        <v>0</v>
      </c>
      <c r="Y2">
        <f>BDH("LEARQ US Equity","SALES_REV_TURN","2004-04-08","2009-04-08","Per=Y","Days=T","Dir=V")</f>
        <v>0</v>
      </c>
      <c r="AA2">
        <f>BDH("LEARQ US Equity","EBIT","2004-04-08","2009-04-08","Per=Y","Days=T","Dir=V")</f>
        <v>0</v>
      </c>
      <c r="AC2">
        <f>BDH("LEARQ US Equity","EBITDA","2004-04-08","2009-04-08","Per=Y","Days=T","Dir=V")</f>
        <v>0</v>
      </c>
      <c r="AE2">
        <f>BDH("LEARQ US Equity","NET_INCOME","2004-04-08","2009-04-08","Per=Y","Days=T","Dir=V")</f>
        <v>0</v>
      </c>
      <c r="AG2">
        <f>BDH("LEARQ US Equity","IS_INT_EXPENSE","2004-04-08","2009-04-08","Per=Y","Days=T","Dir=V")</f>
        <v>0</v>
      </c>
      <c r="AI2">
        <f>BDH("LEARQ US Equity","IS_DEPR_EXP","2004-04-08","2009-04-08","Per=Y","Days=T","Dir=V")</f>
        <v>0</v>
      </c>
      <c r="AK2">
        <f>BDH("LEARQ US Equity","CF_CASH_FROM_OPER","2004-04-08","2009-04-08","Per=Y","Days=T","Dir=V")</f>
        <v>0</v>
      </c>
      <c r="AM2">
        <f>BDH("LEARQ US Equity","CAPITAL_EXPEND","2004-04-08","2009-04-08","Per=Y","Days=T","Dir=V")</f>
        <v>0</v>
      </c>
      <c r="AO2">
        <f>BDH("LEARQ US Equity","CF_FREE_CASH_FLOW","2004-04-08","2009-04-08","Per=Y","Days=T","Dir=V")</f>
        <v>0</v>
      </c>
      <c r="AQ2">
        <f>BDH("LEARQ US Equity","PX_LAST","2004-04-08","2009-04-08","Per=M","Days=T","Dir=V")</f>
        <v>0</v>
      </c>
      <c r="AS2">
        <f>BDH("LEARQ US Equity","CUR_MKT_CAP","2004-04-08","2009-04-08","Per=M","Days=T","Dir=V")</f>
        <v>0</v>
      </c>
      <c r="AU2">
        <f>BDH("LEARQ US Equity","EQY_SH_OUT","2004-04-08","2009-04-08","Per=M","Days=T","Dir=V")</f>
        <v>0</v>
      </c>
      <c r="AW2">
        <f>BDH("LEARQ US Equity","PX_VOLUME","2004-04-08","2009-04-08","Per=M","Days=T","Dir=V")</f>
        <v>0</v>
      </c>
      <c r="AY2">
        <f>BDH("LEARQ US Equity","TURNOVER","2004-04-08","2009-04-08","Per=M","Days=T","Dir=V")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BDH("TPUTQ US Equity","BS_TOT_ASSET","2004-06-17","2009-06-17","Per=Y","Days=T","Dir=V")</f>
        <v>0</v>
      </c>
      <c r="C2">
        <f>BDH("TPUTQ US Equity","BS_TOT_LIAB2","2004-06-17","2009-06-17","Per=Y","Days=T","Dir=V")</f>
        <v>0</v>
      </c>
      <c r="E2">
        <f>BDH("TPUTQ US Equity","SHORT_AND_LONG_TERM_DEBT","2004-06-17","2009-06-17","Per=Y","Days=T","Dir=V")</f>
        <v>0</v>
      </c>
      <c r="G2">
        <f>BDH("TPUTQ US Equity","BS_ST_BORROW","2004-06-17","2009-06-17","Per=Y","Days=T","Dir=V")</f>
        <v>0</v>
      </c>
      <c r="I2">
        <f>BDH("TPUTQ US Equity","BS_LT_BORROW","2004-06-17","2009-06-17","Per=Y","Days=T","Dir=V")</f>
        <v>0</v>
      </c>
      <c r="K2">
        <f>BDH("TPUTQ US Equity","BS_CASH_NEAR_CASH_ITEM","2004-06-17","2009-06-17","Per=Y","Days=T","Dir=V")</f>
        <v>0</v>
      </c>
      <c r="M2">
        <f>BDH("TPUTQ US Equity","BS_CUR_ASSET_REPORT","2004-06-17","2009-06-17","Per=Y","Days=T","Dir=V")</f>
        <v>0</v>
      </c>
      <c r="O2">
        <f>BDH("TPUTQ US Equity","BS_CUR_LIAB","2004-06-17","2009-06-17","Per=Y","Days=T","Dir=V")</f>
        <v>0</v>
      </c>
      <c r="Q2">
        <f>BDH("TPUTQ US Equity","BS_SHAREHOLDER_EQY_ENDING_PERIOD","2004-06-17","2009-06-17","Per=Y","Days=T","Dir=V")</f>
        <v>0</v>
      </c>
      <c r="S2">
        <f>BDH("TPUTQ US Equity","BS_ACCT_NOTE_RCV","2004-06-17","2009-06-17","Per=Y","Days=T","Dir=V")</f>
        <v>0</v>
      </c>
      <c r="U2">
        <f>BDH("TPUTQ US Equity","BS_INVENTORIES","2004-06-17","2009-06-17","Per=Y","Days=T","Dir=V")</f>
        <v>0</v>
      </c>
      <c r="W2">
        <f>BDH("TPUTQ US Equity","WORKING_CAPITAL","2004-06-17","2009-06-17","Per=Y","Days=T","Dir=V")</f>
        <v>0</v>
      </c>
      <c r="Y2">
        <f>BDH("TPUTQ US Equity","SALES_REV_TURN","2004-06-17","2009-06-17","Per=Y","Days=T","Dir=V")</f>
        <v>0</v>
      </c>
      <c r="AA2">
        <f>BDH("TPUTQ US Equity","EBIT","2004-06-17","2009-06-17","Per=Y","Days=T","Dir=V")</f>
        <v>0</v>
      </c>
      <c r="AC2">
        <f>BDH("TPUTQ US Equity","EBITDA","2004-06-17","2009-06-17","Per=Y","Days=T","Dir=V")</f>
        <v>0</v>
      </c>
      <c r="AE2">
        <f>BDH("TPUTQ US Equity","NET_INCOME","2004-06-17","2009-06-17","Per=Y","Days=T","Dir=V")</f>
        <v>0</v>
      </c>
      <c r="AG2">
        <f>BDH("TPUTQ US Equity","IS_INT_EXPENSE","2004-06-17","2009-06-17","Per=Y","Days=T","Dir=V")</f>
        <v>0</v>
      </c>
      <c r="AI2">
        <f>BDH("TPUTQ US Equity","IS_DEPR_EXP","2004-06-17","2009-06-17","Per=Y","Days=T","Dir=V")</f>
        <v>0</v>
      </c>
      <c r="AK2">
        <f>BDH("TPUTQ US Equity","CF_CASH_FROM_OPER","2004-06-17","2009-06-17","Per=Y","Days=T","Dir=V")</f>
        <v>0</v>
      </c>
      <c r="AM2">
        <f>BDH("TPUTQ US Equity","CAPITAL_EXPEND","2004-06-17","2009-06-17","Per=Y","Days=T","Dir=V")</f>
        <v>0</v>
      </c>
      <c r="AO2">
        <f>BDH("TPUTQ US Equity","CF_FREE_CASH_FLOW","2004-06-17","2009-06-17","Per=Y","Days=T","Dir=V")</f>
        <v>0</v>
      </c>
      <c r="AQ2">
        <f>BDH("TPUTQ US Equity","PX_LAST","2004-06-17","2009-06-17","Per=M","Days=T","Dir=V")</f>
        <v>0</v>
      </c>
      <c r="AS2">
        <f>BDH("TPUTQ US Equity","CUR_MKT_CAP","2004-06-17","2009-06-17","Per=M","Days=T","Dir=V")</f>
        <v>0</v>
      </c>
      <c r="AU2">
        <f>BDH("TPUTQ US Equity","EQY_SH_OUT","2004-06-17","2009-06-17","Per=M","Days=T","Dir=V")</f>
        <v>0</v>
      </c>
      <c r="AW2">
        <f>BDH("TPUTQ US Equity","PX_VOLUME","2004-06-17","2009-06-17","Per=M","Days=T","Dir=V")</f>
        <v>0</v>
      </c>
      <c r="AY2">
        <f>BDH("TPUTQ US Equity","TURNOVER","2004-06-17","2009-06-17","Per=M","Days=T","Dir=V")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BDH("EPEXQ US Equity","BS_TOT_ASSET","2004-07-03","2009-07-03","Per=Y","Days=T","Dir=V")</f>
        <v>0</v>
      </c>
      <c r="C2">
        <f>BDH("EPEXQ US Equity","BS_TOT_LIAB2","2004-07-03","2009-07-03","Per=Y","Days=T","Dir=V")</f>
        <v>0</v>
      </c>
      <c r="E2">
        <f>BDH("EPEXQ US Equity","SHORT_AND_LONG_TERM_DEBT","2004-07-03","2009-07-03","Per=Y","Days=T","Dir=V")</f>
        <v>0</v>
      </c>
      <c r="G2">
        <f>BDH("EPEXQ US Equity","BS_ST_BORROW","2004-07-03","2009-07-03","Per=Y","Days=T","Dir=V")</f>
        <v>0</v>
      </c>
      <c r="I2">
        <f>BDH("EPEXQ US Equity","BS_LT_BORROW","2004-07-03","2009-07-03","Per=Y","Days=T","Dir=V")</f>
        <v>0</v>
      </c>
      <c r="K2">
        <f>BDH("EPEXQ US Equity","BS_CASH_NEAR_CASH_ITEM","2004-07-03","2009-07-03","Per=Y","Days=T","Dir=V")</f>
        <v>0</v>
      </c>
      <c r="M2">
        <f>BDH("EPEXQ US Equity","BS_CUR_ASSET_REPORT","2004-07-03","2009-07-03","Per=Y","Days=T","Dir=V")</f>
        <v>0</v>
      </c>
      <c r="O2">
        <f>BDH("EPEXQ US Equity","BS_CUR_LIAB","2004-07-03","2009-07-03","Per=Y","Days=T","Dir=V")</f>
        <v>0</v>
      </c>
      <c r="Q2">
        <f>BDH("EPEXQ US Equity","BS_SHAREHOLDER_EQY_ENDING_PERIOD","2004-07-03","2009-07-03","Per=Y","Days=T","Dir=V")</f>
        <v>0</v>
      </c>
      <c r="S2">
        <f>BDH("EPEXQ US Equity","BS_ACCT_NOTE_RCV","2004-07-03","2009-07-03","Per=Y","Days=T","Dir=V")</f>
        <v>0</v>
      </c>
      <c r="U2">
        <f>BDH("EPEXQ US Equity","BS_INVENTORIES","2004-07-03","2009-07-03","Per=Y","Days=T","Dir=V")</f>
        <v>0</v>
      </c>
      <c r="W2">
        <f>BDH("EPEXQ US Equity","WORKING_CAPITAL","2004-07-03","2009-07-03","Per=Y","Days=T","Dir=V")</f>
        <v>0</v>
      </c>
      <c r="Y2">
        <f>BDH("EPEXQ US Equity","SALES_REV_TURN","2004-07-03","2009-07-03","Per=Y","Days=T","Dir=V")</f>
        <v>0</v>
      </c>
      <c r="AA2">
        <f>BDH("EPEXQ US Equity","EBIT","2004-07-03","2009-07-03","Per=Y","Days=T","Dir=V")</f>
        <v>0</v>
      </c>
      <c r="AC2">
        <f>BDH("EPEXQ US Equity","EBITDA","2004-07-03","2009-07-03","Per=Y","Days=T","Dir=V")</f>
        <v>0</v>
      </c>
      <c r="AE2">
        <f>BDH("EPEXQ US Equity","NET_INCOME","2004-07-03","2009-07-03","Per=Y","Days=T","Dir=V")</f>
        <v>0</v>
      </c>
      <c r="AG2">
        <f>BDH("EPEXQ US Equity","IS_INT_EXPENSE","2004-07-03","2009-07-03","Per=Y","Days=T","Dir=V")</f>
        <v>0</v>
      </c>
      <c r="AI2">
        <f>BDH("EPEXQ US Equity","IS_DEPR_EXP","2004-07-03","2009-07-03","Per=Y","Days=T","Dir=V")</f>
        <v>0</v>
      </c>
      <c r="AK2">
        <f>BDH("EPEXQ US Equity","CF_CASH_FROM_OPER","2004-07-03","2009-07-03","Per=Y","Days=T","Dir=V")</f>
        <v>0</v>
      </c>
      <c r="AM2">
        <f>BDH("EPEXQ US Equity","CAPITAL_EXPEND","2004-07-03","2009-07-03","Per=Y","Days=T","Dir=V")</f>
        <v>0</v>
      </c>
      <c r="AO2">
        <f>BDH("EPEXQ US Equity","CF_FREE_CASH_FLOW","2004-07-03","2009-07-03","Per=Y","Days=T","Dir=V")</f>
        <v>0</v>
      </c>
      <c r="AQ2">
        <f>BDH("EPEXQ US Equity","PX_LAST","2004-07-03","2009-07-03","Per=M","Days=T","Dir=V")</f>
        <v>0</v>
      </c>
      <c r="AS2">
        <f>BDH("EPEXQ US Equity","CUR_MKT_CAP","2004-07-03","2009-07-03","Per=M","Days=T","Dir=V")</f>
        <v>0</v>
      </c>
      <c r="AU2">
        <f>BDH("EPEXQ US Equity","EQY_SH_OUT","2004-07-03","2009-07-03","Per=M","Days=T","Dir=V")</f>
        <v>0</v>
      </c>
      <c r="AW2">
        <f>BDH("EPEXQ US Equity","PX_VOLUME","2004-07-03","2009-07-03","Per=M","Days=T","Dir=V")</f>
        <v>0</v>
      </c>
      <c r="AY2">
        <f>BDH("EPEXQ US Equity","TURNOVER","2004-07-03","2009-07-03","Per=M","Days=T","Dir=V")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BDH("CJHBQ US Equity","BS_TOT_ASSET","2004-08-17","2009-08-17","Per=Y","Days=T","Dir=V")</f>
        <v>0</v>
      </c>
      <c r="C2">
        <f>BDH("CJHBQ US Equity","BS_TOT_LIAB2","2004-08-17","2009-08-17","Per=Y","Days=T","Dir=V")</f>
        <v>0</v>
      </c>
      <c r="E2">
        <f>BDH("CJHBQ US Equity","SHORT_AND_LONG_TERM_DEBT","2004-08-17","2009-08-17","Per=Y","Days=T","Dir=V")</f>
        <v>0</v>
      </c>
      <c r="G2">
        <f>BDH("CJHBQ US Equity","BS_ST_BORROW","2004-08-17","2009-08-17","Per=Y","Days=T","Dir=V")</f>
        <v>0</v>
      </c>
      <c r="I2">
        <f>BDH("CJHBQ US Equity","BS_LT_BORROW","2004-08-17","2009-08-17","Per=Y","Days=T","Dir=V")</f>
        <v>0</v>
      </c>
      <c r="K2">
        <f>BDH("CJHBQ US Equity","BS_CASH_NEAR_CASH_ITEM","2004-08-17","2009-08-17","Per=Y","Days=T","Dir=V")</f>
        <v>0</v>
      </c>
      <c r="M2">
        <f>BDH("CJHBQ US Equity","BS_CUR_ASSET_REPORT","2004-08-17","2009-08-17","Per=Y","Days=T","Dir=V")</f>
        <v>0</v>
      </c>
      <c r="O2">
        <f>BDH("CJHBQ US Equity","BS_CUR_LIAB","2004-08-17","2009-08-17","Per=Y","Days=T","Dir=V")</f>
        <v>0</v>
      </c>
      <c r="Q2">
        <f>BDH("CJHBQ US Equity","BS_SHAREHOLDER_EQY_ENDING_PERIOD","2004-08-17","2009-08-17","Per=Y","Days=T","Dir=V")</f>
        <v>0</v>
      </c>
      <c r="S2">
        <f>BDH("CJHBQ US Equity","BS_ACCT_NOTE_RCV","2004-08-17","2009-08-17","Per=Y","Days=T","Dir=V")</f>
        <v>0</v>
      </c>
      <c r="U2">
        <f>BDH("CJHBQ US Equity","BS_INVENTORIES","2004-08-17","2009-08-17","Per=Y","Days=T","Dir=V")</f>
        <v>0</v>
      </c>
      <c r="W2">
        <f>BDH("CJHBQ US Equity","WORKING_CAPITAL","2004-08-17","2009-08-17","Per=Y","Days=T","Dir=V")</f>
        <v>0</v>
      </c>
      <c r="Y2">
        <f>BDH("CJHBQ US Equity","SALES_REV_TURN","2004-08-17","2009-08-17","Per=Y","Days=T","Dir=V")</f>
        <v>0</v>
      </c>
      <c r="AA2">
        <f>BDH("CJHBQ US Equity","EBIT","2004-08-17","2009-08-17","Per=Y","Days=T","Dir=V")</f>
        <v>0</v>
      </c>
      <c r="AC2">
        <f>BDH("CJHBQ US Equity","EBITDA","2004-08-17","2009-08-17","Per=Y","Days=T","Dir=V")</f>
        <v>0</v>
      </c>
      <c r="AE2">
        <f>BDH("CJHBQ US Equity","NET_INCOME","2004-08-17","2009-08-17","Per=Y","Days=T","Dir=V")</f>
        <v>0</v>
      </c>
      <c r="AG2">
        <f>BDH("CJHBQ US Equity","IS_INT_EXPENSE","2004-08-17","2009-08-17","Per=Y","Days=T","Dir=V")</f>
        <v>0</v>
      </c>
      <c r="AI2">
        <f>BDH("CJHBQ US Equity","IS_DEPR_EXP","2004-08-17","2009-08-17","Per=Y","Days=T","Dir=V")</f>
        <v>0</v>
      </c>
      <c r="AK2">
        <f>BDH("CJHBQ US Equity","CF_CASH_FROM_OPER","2004-08-17","2009-08-17","Per=Y","Days=T","Dir=V")</f>
        <v>0</v>
      </c>
      <c r="AM2">
        <f>BDH("CJHBQ US Equity","CAPITAL_EXPEND","2004-08-17","2009-08-17","Per=Y","Days=T","Dir=V")</f>
        <v>0</v>
      </c>
      <c r="AO2">
        <f>BDH("CJHBQ US Equity","CF_FREE_CASH_FLOW","2004-08-17","2009-08-17","Per=Y","Days=T","Dir=V")</f>
        <v>0</v>
      </c>
      <c r="AQ2">
        <f>BDH("CJHBQ US Equity","PX_LAST","2004-08-17","2009-08-17","Per=M","Days=T","Dir=V")</f>
        <v>0</v>
      </c>
      <c r="AS2">
        <f>BDH("CJHBQ US Equity","CUR_MKT_CAP","2004-08-17","2009-08-17","Per=M","Days=T","Dir=V")</f>
        <v>0</v>
      </c>
      <c r="AU2">
        <f>BDH("CJHBQ US Equity","EQY_SH_OUT","2004-08-17","2009-08-17","Per=M","Days=T","Dir=V")</f>
        <v>0</v>
      </c>
      <c r="AW2">
        <f>BDH("CJHBQ US Equity","PX_VOLUME","2004-08-17","2009-08-17","Per=M","Days=T","Dir=V")</f>
        <v>0</v>
      </c>
      <c r="AY2">
        <f>BDH("CJHBQ US Equity","TURNOVER","2004-08-17","2009-08-17","Per=M","Days=T","Dir=V")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BDH("NFFCA US Equity","BS_TOT_ASSET","2005-02-15","2010-02-15","Per=Y","Days=T","Dir=V")</f>
        <v>0</v>
      </c>
      <c r="C2">
        <f>BDH("NFFCA US Equity","BS_TOT_LIAB2","2005-02-15","2010-02-15","Per=Y","Days=T","Dir=V")</f>
        <v>0</v>
      </c>
      <c r="E2">
        <f>BDH("NFFCA US Equity","SHORT_AND_LONG_TERM_DEBT","2005-02-15","2010-02-15","Per=Y","Days=T","Dir=V")</f>
        <v>0</v>
      </c>
      <c r="G2">
        <f>BDH("NFFCA US Equity","BS_ST_BORROW","2005-02-15","2010-02-15","Per=Y","Days=T","Dir=V")</f>
        <v>0</v>
      </c>
      <c r="I2">
        <f>BDH("NFFCA US Equity","BS_LT_BORROW","2005-02-15","2010-02-15","Per=Y","Days=T","Dir=V")</f>
        <v>0</v>
      </c>
      <c r="K2">
        <f>BDH("NFFCA US Equity","BS_CASH_NEAR_CASH_ITEM","2005-02-15","2010-02-15","Per=Y","Days=T","Dir=V")</f>
        <v>0</v>
      </c>
      <c r="M2">
        <f>BDH("NFFCA US Equity","BS_CUR_ASSET_REPORT","2005-02-15","2010-02-15","Per=Y","Days=T","Dir=V")</f>
        <v>0</v>
      </c>
      <c r="O2">
        <f>BDH("NFFCA US Equity","BS_CUR_LIAB","2005-02-15","2010-02-15","Per=Y","Days=T","Dir=V")</f>
        <v>0</v>
      </c>
      <c r="Q2">
        <f>BDH("NFFCA US Equity","BS_SHAREHOLDER_EQY_ENDING_PERIOD","2005-02-15","2010-02-15","Per=Y","Days=T","Dir=V")</f>
        <v>0</v>
      </c>
      <c r="S2">
        <f>BDH("NFFCA US Equity","BS_ACCT_NOTE_RCV","2005-02-15","2010-02-15","Per=Y","Days=T","Dir=V")</f>
        <v>0</v>
      </c>
      <c r="U2">
        <f>BDH("NFFCA US Equity","BS_INVENTORIES","2005-02-15","2010-02-15","Per=Y","Days=T","Dir=V")</f>
        <v>0</v>
      </c>
      <c r="W2">
        <f>BDH("NFFCA US Equity","WORKING_CAPITAL","2005-02-15","2010-02-15","Per=Y","Days=T","Dir=V")</f>
        <v>0</v>
      </c>
      <c r="Y2">
        <f>BDH("NFFCA US Equity","SALES_REV_TURN","2005-02-15","2010-02-15","Per=Y","Days=T","Dir=V")</f>
        <v>0</v>
      </c>
      <c r="AA2">
        <f>BDH("NFFCA US Equity","EBIT","2005-02-15","2010-02-15","Per=Y","Days=T","Dir=V")</f>
        <v>0</v>
      </c>
      <c r="AC2">
        <f>BDH("NFFCA US Equity","EBITDA","2005-02-15","2010-02-15","Per=Y","Days=T","Dir=V")</f>
        <v>0</v>
      </c>
      <c r="AE2">
        <f>BDH("NFFCA US Equity","NET_INCOME","2005-02-15","2010-02-15","Per=Y","Days=T","Dir=V")</f>
        <v>0</v>
      </c>
      <c r="AG2">
        <f>BDH("NFFCA US Equity","IS_INT_EXPENSE","2005-02-15","2010-02-15","Per=Y","Days=T","Dir=V")</f>
        <v>0</v>
      </c>
      <c r="AI2">
        <f>BDH("NFFCA US Equity","IS_DEPR_EXP","2005-02-15","2010-02-15","Per=Y","Days=T","Dir=V")</f>
        <v>0</v>
      </c>
      <c r="AK2">
        <f>BDH("NFFCA US Equity","CF_CASH_FROM_OPER","2005-02-15","2010-02-15","Per=Y","Days=T","Dir=V")</f>
        <v>0</v>
      </c>
      <c r="AM2">
        <f>BDH("NFFCA US Equity","CAPITAL_EXPEND","2005-02-15","2010-02-15","Per=Y","Days=T","Dir=V")</f>
        <v>0</v>
      </c>
      <c r="AO2">
        <f>BDH("NFFCA US Equity","CF_FREE_CASH_FLOW","2005-02-15","2010-02-15","Per=Y","Days=T","Dir=V")</f>
        <v>0</v>
      </c>
      <c r="AQ2">
        <f>BDH("NFFCA US Equity","PX_LAST","2005-02-15","2010-02-15","Per=M","Days=T","Dir=V")</f>
        <v>0</v>
      </c>
      <c r="AS2">
        <f>BDH("NFFCA US Equity","CUR_MKT_CAP","2005-02-15","2010-02-15","Per=M","Days=T","Dir=V")</f>
        <v>0</v>
      </c>
      <c r="AU2">
        <f>BDH("NFFCA US Equity","EQY_SH_OUT","2005-02-15","2010-02-15","Per=M","Days=T","Dir=V")</f>
        <v>0</v>
      </c>
      <c r="AW2">
        <f>BDH("NFFCA US Equity","PX_VOLUME","2005-02-15","2010-02-15","Per=M","Days=T","Dir=V")</f>
        <v>0</v>
      </c>
      <c r="AY2">
        <f>BDH("NFFCA US Equity","TURNOVER","2005-02-15","2010-02-15","Per=M","Days=T","Dir=V")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BDH("BLIAQ US Equity","BS_TOT_ASSET","2005-06-25","2010-06-25","Per=Y","Days=T","Dir=V")</f>
        <v>0</v>
      </c>
      <c r="C2">
        <f>BDH("BLIAQ US Equity","BS_TOT_LIAB2","2005-06-25","2010-06-25","Per=Y","Days=T","Dir=V")</f>
        <v>0</v>
      </c>
      <c r="E2">
        <f>BDH("BLIAQ US Equity","SHORT_AND_LONG_TERM_DEBT","2005-06-25","2010-06-25","Per=Y","Days=T","Dir=V")</f>
        <v>0</v>
      </c>
      <c r="G2">
        <f>BDH("BLIAQ US Equity","BS_ST_BORROW","2005-06-25","2010-06-25","Per=Y","Days=T","Dir=V")</f>
        <v>0</v>
      </c>
      <c r="I2">
        <f>BDH("BLIAQ US Equity","BS_LT_BORROW","2005-06-25","2010-06-25","Per=Y","Days=T","Dir=V")</f>
        <v>0</v>
      </c>
      <c r="K2">
        <f>BDH("BLIAQ US Equity","BS_CASH_NEAR_CASH_ITEM","2005-06-25","2010-06-25","Per=Y","Days=T","Dir=V")</f>
        <v>0</v>
      </c>
      <c r="M2">
        <f>BDH("BLIAQ US Equity","BS_CUR_ASSET_REPORT","2005-06-25","2010-06-25","Per=Y","Days=T","Dir=V")</f>
        <v>0</v>
      </c>
      <c r="O2">
        <f>BDH("BLIAQ US Equity","BS_CUR_LIAB","2005-06-25","2010-06-25","Per=Y","Days=T","Dir=V")</f>
        <v>0</v>
      </c>
      <c r="Q2">
        <f>BDH("BLIAQ US Equity","BS_SHAREHOLDER_EQY_ENDING_PERIOD","2005-06-25","2010-06-25","Per=Y","Days=T","Dir=V")</f>
        <v>0</v>
      </c>
      <c r="S2">
        <f>BDH("BLIAQ US Equity","BS_ACCT_NOTE_RCV","2005-06-25","2010-06-25","Per=Y","Days=T","Dir=V")</f>
        <v>0</v>
      </c>
      <c r="U2">
        <f>BDH("BLIAQ US Equity","BS_INVENTORIES","2005-06-25","2010-06-25","Per=Y","Days=T","Dir=V")</f>
        <v>0</v>
      </c>
      <c r="W2">
        <f>BDH("BLIAQ US Equity","WORKING_CAPITAL","2005-06-25","2010-06-25","Per=Y","Days=T","Dir=V")</f>
        <v>0</v>
      </c>
      <c r="Y2">
        <f>BDH("BLIAQ US Equity","SALES_REV_TURN","2005-06-25","2010-06-25","Per=Y","Days=T","Dir=V")</f>
        <v>0</v>
      </c>
      <c r="AA2">
        <f>BDH("BLIAQ US Equity","EBIT","2005-06-25","2010-06-25","Per=Y","Days=T","Dir=V")</f>
        <v>0</v>
      </c>
      <c r="AC2">
        <f>BDH("BLIAQ US Equity","EBITDA","2005-06-25","2010-06-25","Per=Y","Days=T","Dir=V")</f>
        <v>0</v>
      </c>
      <c r="AE2">
        <f>BDH("BLIAQ US Equity","NET_INCOME","2005-06-25","2010-06-25","Per=Y","Days=T","Dir=V")</f>
        <v>0</v>
      </c>
      <c r="AG2">
        <f>BDH("BLIAQ US Equity","IS_INT_EXPENSE","2005-06-25","2010-06-25","Per=Y","Days=T","Dir=V")</f>
        <v>0</v>
      </c>
      <c r="AI2">
        <f>BDH("BLIAQ US Equity","IS_DEPR_EXP","2005-06-25","2010-06-25","Per=Y","Days=T","Dir=V")</f>
        <v>0</v>
      </c>
      <c r="AK2">
        <f>BDH("BLIAQ US Equity","CF_CASH_FROM_OPER","2005-06-25","2010-06-25","Per=Y","Days=T","Dir=V")</f>
        <v>0</v>
      </c>
      <c r="AM2">
        <f>BDH("BLIAQ US Equity","CAPITAL_EXPEND","2005-06-25","2010-06-25","Per=Y","Days=T","Dir=V")</f>
        <v>0</v>
      </c>
      <c r="AO2">
        <f>BDH("BLIAQ US Equity","CF_FREE_CASH_FLOW","2005-06-25","2010-06-25","Per=Y","Days=T","Dir=V")</f>
        <v>0</v>
      </c>
      <c r="AQ2">
        <f>BDH("BLIAQ US Equity","PX_LAST","2005-06-25","2010-06-25","Per=M","Days=T","Dir=V")</f>
        <v>0</v>
      </c>
      <c r="AS2">
        <f>BDH("BLIAQ US Equity","CUR_MKT_CAP","2005-06-25","2010-06-25","Per=M","Days=T","Dir=V")</f>
        <v>0</v>
      </c>
      <c r="AU2">
        <f>BDH("BLIAQ US Equity","EQY_SH_OUT","2005-06-25","2010-06-25","Per=M","Days=T","Dir=V")</f>
        <v>0</v>
      </c>
      <c r="AW2">
        <f>BDH("BLIAQ US Equity","PX_VOLUME","2005-06-25","2010-06-25","Per=M","Days=T","Dir=V")</f>
        <v>0</v>
      </c>
      <c r="AY2">
        <f>BDH("BLIAQ US Equity","TURNOVER","2005-06-25","2010-06-25","Per=M","Days=T","Dir=V")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BDH("HAWKQ US Equity","BS_TOT_ASSET","2005-11-13","2010-11-13","Per=Y","Days=T","Dir=V")</f>
        <v>0</v>
      </c>
      <c r="C2">
        <f>BDH("HAWKQ US Equity","BS_TOT_LIAB2","2005-11-13","2010-11-13","Per=Y","Days=T","Dir=V")</f>
        <v>0</v>
      </c>
      <c r="E2">
        <f>BDH("HAWKQ US Equity","SHORT_AND_LONG_TERM_DEBT","2005-11-13","2010-11-13","Per=Y","Days=T","Dir=V")</f>
        <v>0</v>
      </c>
      <c r="G2">
        <f>BDH("HAWKQ US Equity","BS_ST_BORROW","2005-11-13","2010-11-13","Per=Y","Days=T","Dir=V")</f>
        <v>0</v>
      </c>
      <c r="I2">
        <f>BDH("HAWKQ US Equity","BS_LT_BORROW","2005-11-13","2010-11-13","Per=Y","Days=T","Dir=V")</f>
        <v>0</v>
      </c>
      <c r="K2">
        <f>BDH("HAWKQ US Equity","BS_CASH_NEAR_CASH_ITEM","2005-11-13","2010-11-13","Per=Y","Days=T","Dir=V")</f>
        <v>0</v>
      </c>
      <c r="M2">
        <f>BDH("HAWKQ US Equity","BS_CUR_ASSET_REPORT","2005-11-13","2010-11-13","Per=Y","Days=T","Dir=V")</f>
        <v>0</v>
      </c>
      <c r="O2">
        <f>BDH("HAWKQ US Equity","BS_CUR_LIAB","2005-11-13","2010-11-13","Per=Y","Days=T","Dir=V")</f>
        <v>0</v>
      </c>
      <c r="Q2">
        <f>BDH("HAWKQ US Equity","BS_SHAREHOLDER_EQY_ENDING_PERIOD","2005-11-13","2010-11-13","Per=Y","Days=T","Dir=V")</f>
        <v>0</v>
      </c>
      <c r="S2">
        <f>BDH("HAWKQ US Equity","BS_ACCT_NOTE_RCV","2005-11-13","2010-11-13","Per=Y","Days=T","Dir=V")</f>
        <v>0</v>
      </c>
      <c r="U2">
        <f>BDH("HAWKQ US Equity","BS_INVENTORIES","2005-11-13","2010-11-13","Per=Y","Days=T","Dir=V")</f>
        <v>0</v>
      </c>
      <c r="W2">
        <f>BDH("HAWKQ US Equity","WORKING_CAPITAL","2005-11-13","2010-11-13","Per=Y","Days=T","Dir=V")</f>
        <v>0</v>
      </c>
      <c r="Y2">
        <f>BDH("HAWKQ US Equity","SALES_REV_TURN","2005-11-13","2010-11-13","Per=Y","Days=T","Dir=V")</f>
        <v>0</v>
      </c>
      <c r="AA2">
        <f>BDH("HAWKQ US Equity","EBIT","2005-11-13","2010-11-13","Per=Y","Days=T","Dir=V")</f>
        <v>0</v>
      </c>
      <c r="AC2">
        <f>BDH("HAWKQ US Equity","EBITDA","2005-11-13","2010-11-13","Per=Y","Days=T","Dir=V")</f>
        <v>0</v>
      </c>
      <c r="AE2">
        <f>BDH("HAWKQ US Equity","NET_INCOME","2005-11-13","2010-11-13","Per=Y","Days=T","Dir=V")</f>
        <v>0</v>
      </c>
      <c r="AG2">
        <f>BDH("HAWKQ US Equity","IS_INT_EXPENSE","2005-11-13","2010-11-13","Per=Y","Days=T","Dir=V")</f>
        <v>0</v>
      </c>
      <c r="AI2">
        <f>BDH("HAWKQ US Equity","IS_DEPR_EXP","2005-11-13","2010-11-13","Per=Y","Days=T","Dir=V")</f>
        <v>0</v>
      </c>
      <c r="AK2">
        <f>BDH("HAWKQ US Equity","CF_CASH_FROM_OPER","2005-11-13","2010-11-13","Per=Y","Days=T","Dir=V")</f>
        <v>0</v>
      </c>
      <c r="AM2">
        <f>BDH("HAWKQ US Equity","CAPITAL_EXPEND","2005-11-13","2010-11-13","Per=Y","Days=T","Dir=V")</f>
        <v>0</v>
      </c>
      <c r="AO2">
        <f>BDH("HAWKQ US Equity","CF_FREE_CASH_FLOW","2005-11-13","2010-11-13","Per=Y","Days=T","Dir=V")</f>
        <v>0</v>
      </c>
      <c r="AQ2">
        <f>BDH("HAWKQ US Equity","PX_LAST","2005-11-13","2010-11-13","Per=M","Days=T","Dir=V")</f>
        <v>0</v>
      </c>
      <c r="AS2">
        <f>BDH("HAWKQ US Equity","CUR_MKT_CAP","2005-11-13","2010-11-13","Per=M","Days=T","Dir=V")</f>
        <v>0</v>
      </c>
      <c r="AU2">
        <f>BDH("HAWKQ US Equity","EQY_SH_OUT","2005-11-13","2010-11-13","Per=M","Days=T","Dir=V")</f>
        <v>0</v>
      </c>
      <c r="AW2">
        <f>BDH("HAWKQ US Equity","PX_VOLUME","2005-11-13","2010-11-13","Per=M","Days=T","Dir=V")</f>
        <v>0</v>
      </c>
      <c r="AY2">
        <f>BDH("HAWKQ US Equity","TURNOVER","2005-11-13","2010-11-13","Per=M","Days=T","Dir=V")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BDH("JHTXQ US Equity","BS_TOT_ASSET","2006-02-23","2011-02-23","Per=Y","Days=T","Dir=V")</f>
        <v>0</v>
      </c>
      <c r="C2">
        <f>BDH("JHTXQ US Equity","BS_TOT_LIAB2","2006-02-23","2011-02-23","Per=Y","Days=T","Dir=V")</f>
        <v>0</v>
      </c>
      <c r="E2">
        <f>BDH("JHTXQ US Equity","SHORT_AND_LONG_TERM_DEBT","2006-02-23","2011-02-23","Per=Y","Days=T","Dir=V")</f>
        <v>0</v>
      </c>
      <c r="G2">
        <f>BDH("JHTXQ US Equity","BS_ST_BORROW","2006-02-23","2011-02-23","Per=Y","Days=T","Dir=V")</f>
        <v>0</v>
      </c>
      <c r="I2">
        <f>BDH("JHTXQ US Equity","BS_LT_BORROW","2006-02-23","2011-02-23","Per=Y","Days=T","Dir=V")</f>
        <v>0</v>
      </c>
      <c r="K2">
        <f>BDH("JHTXQ US Equity","BS_CASH_NEAR_CASH_ITEM","2006-02-23","2011-02-23","Per=Y","Days=T","Dir=V")</f>
        <v>0</v>
      </c>
      <c r="M2">
        <f>BDH("JHTXQ US Equity","BS_CUR_ASSET_REPORT","2006-02-23","2011-02-23","Per=Y","Days=T","Dir=V")</f>
        <v>0</v>
      </c>
      <c r="O2">
        <f>BDH("JHTXQ US Equity","BS_CUR_LIAB","2006-02-23","2011-02-23","Per=Y","Days=T","Dir=V")</f>
        <v>0</v>
      </c>
      <c r="Q2">
        <f>BDH("JHTXQ US Equity","BS_SHAREHOLDER_EQY_ENDING_PERIOD","2006-02-23","2011-02-23","Per=Y","Days=T","Dir=V")</f>
        <v>0</v>
      </c>
      <c r="S2">
        <f>BDH("JHTXQ US Equity","BS_ACCT_NOTE_RCV","2006-02-23","2011-02-23","Per=Y","Days=T","Dir=V")</f>
        <v>0</v>
      </c>
      <c r="U2">
        <f>BDH("JHTXQ US Equity","BS_INVENTORIES","2006-02-23","2011-02-23","Per=Y","Days=T","Dir=V")</f>
        <v>0</v>
      </c>
      <c r="W2">
        <f>BDH("JHTXQ US Equity","WORKING_CAPITAL","2006-02-23","2011-02-23","Per=Y","Days=T","Dir=V")</f>
        <v>0</v>
      </c>
      <c r="Y2">
        <f>BDH("JHTXQ US Equity","SALES_REV_TURN","2006-02-23","2011-02-23","Per=Y","Days=T","Dir=V")</f>
        <v>0</v>
      </c>
      <c r="AA2">
        <f>BDH("JHTXQ US Equity","EBIT","2006-02-23","2011-02-23","Per=Y","Days=T","Dir=V")</f>
        <v>0</v>
      </c>
      <c r="AC2">
        <f>BDH("JHTXQ US Equity","EBITDA","2006-02-23","2011-02-23","Per=Y","Days=T","Dir=V")</f>
        <v>0</v>
      </c>
      <c r="AE2">
        <f>BDH("JHTXQ US Equity","NET_INCOME","2006-02-23","2011-02-23","Per=Y","Days=T","Dir=V")</f>
        <v>0</v>
      </c>
      <c r="AG2">
        <f>BDH("JHTXQ US Equity","IS_INT_EXPENSE","2006-02-23","2011-02-23","Per=Y","Days=T","Dir=V")</f>
        <v>0</v>
      </c>
      <c r="AI2">
        <f>BDH("JHTXQ US Equity","IS_DEPR_EXP","2006-02-23","2011-02-23","Per=Y","Days=T","Dir=V")</f>
        <v>0</v>
      </c>
      <c r="AK2">
        <f>BDH("JHTXQ US Equity","CF_CASH_FROM_OPER","2006-02-23","2011-02-23","Per=Y","Days=T","Dir=V")</f>
        <v>0</v>
      </c>
      <c r="AM2">
        <f>BDH("JHTXQ US Equity","CAPITAL_EXPEND","2006-02-23","2011-02-23","Per=Y","Days=T","Dir=V")</f>
        <v>0</v>
      </c>
      <c r="AO2">
        <f>BDH("JHTXQ US Equity","CF_FREE_CASH_FLOW","2006-02-23","2011-02-23","Per=Y","Days=T","Dir=V")</f>
        <v>0</v>
      </c>
      <c r="AQ2">
        <f>BDH("JHTXQ US Equity","PX_LAST","2006-02-23","2011-02-23","Per=M","Days=T","Dir=V")</f>
        <v>0</v>
      </c>
      <c r="AS2">
        <f>BDH("JHTXQ US Equity","CUR_MKT_CAP","2006-02-23","2011-02-23","Per=M","Days=T","Dir=V")</f>
        <v>0</v>
      </c>
      <c r="AU2">
        <f>BDH("JHTXQ US Equity","EQY_SH_OUT","2006-02-23","2011-02-23","Per=M","Days=T","Dir=V")</f>
        <v>0</v>
      </c>
      <c r="AW2">
        <f>BDH("JHTXQ US Equity","PX_VOLUME","2006-02-23","2011-02-23","Per=M","Days=T","Dir=V")</f>
        <v>0</v>
      </c>
      <c r="AY2">
        <f>BDH("JHTXQ US Equity","TURNOVER","2006-02-23","2011-02-23","Per=M","Days=T","Dir=V")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BDH("SDTHQ US Equity","BS_TOT_ASSET","2006-05-21","2011-05-21","Per=Y","Days=T","Dir=V")</f>
        <v>0</v>
      </c>
      <c r="C2">
        <f>BDH("SDTHQ US Equity","BS_TOT_LIAB2","2006-05-21","2011-05-21","Per=Y","Days=T","Dir=V")</f>
        <v>0</v>
      </c>
      <c r="E2">
        <f>BDH("SDTHQ US Equity","SHORT_AND_LONG_TERM_DEBT","2006-05-21","2011-05-21","Per=Y","Days=T","Dir=V")</f>
        <v>0</v>
      </c>
      <c r="G2">
        <f>BDH("SDTHQ US Equity","BS_ST_BORROW","2006-05-21","2011-05-21","Per=Y","Days=T","Dir=V")</f>
        <v>0</v>
      </c>
      <c r="I2">
        <f>BDH("SDTHQ US Equity","BS_LT_BORROW","2006-05-21","2011-05-21","Per=Y","Days=T","Dir=V")</f>
        <v>0</v>
      </c>
      <c r="K2">
        <f>BDH("SDTHQ US Equity","BS_CASH_NEAR_CASH_ITEM","2006-05-21","2011-05-21","Per=Y","Days=T","Dir=V")</f>
        <v>0</v>
      </c>
      <c r="M2">
        <f>BDH("SDTHQ US Equity","BS_CUR_ASSET_REPORT","2006-05-21","2011-05-21","Per=Y","Days=T","Dir=V")</f>
        <v>0</v>
      </c>
      <c r="O2">
        <f>BDH("SDTHQ US Equity","BS_CUR_LIAB","2006-05-21","2011-05-21","Per=Y","Days=T","Dir=V")</f>
        <v>0</v>
      </c>
      <c r="Q2">
        <f>BDH("SDTHQ US Equity","BS_SHAREHOLDER_EQY_ENDING_PERIOD","2006-05-21","2011-05-21","Per=Y","Days=T","Dir=V")</f>
        <v>0</v>
      </c>
      <c r="S2">
        <f>BDH("SDTHQ US Equity","BS_ACCT_NOTE_RCV","2006-05-21","2011-05-21","Per=Y","Days=T","Dir=V")</f>
        <v>0</v>
      </c>
      <c r="U2">
        <f>BDH("SDTHQ US Equity","BS_INVENTORIES","2006-05-21","2011-05-21","Per=Y","Days=T","Dir=V")</f>
        <v>0</v>
      </c>
      <c r="W2">
        <f>BDH("SDTHQ US Equity","WORKING_CAPITAL","2006-05-21","2011-05-21","Per=Y","Days=T","Dir=V")</f>
        <v>0</v>
      </c>
      <c r="Y2">
        <f>BDH("SDTHQ US Equity","SALES_REV_TURN","2006-05-21","2011-05-21","Per=Y","Days=T","Dir=V")</f>
        <v>0</v>
      </c>
      <c r="AA2">
        <f>BDH("SDTHQ US Equity","EBIT","2006-05-21","2011-05-21","Per=Y","Days=T","Dir=V")</f>
        <v>0</v>
      </c>
      <c r="AC2">
        <f>BDH("SDTHQ US Equity","EBITDA","2006-05-21","2011-05-21","Per=Y","Days=T","Dir=V")</f>
        <v>0</v>
      </c>
      <c r="AE2">
        <f>BDH("SDTHQ US Equity","NET_INCOME","2006-05-21","2011-05-21","Per=Y","Days=T","Dir=V")</f>
        <v>0</v>
      </c>
      <c r="AG2">
        <f>BDH("SDTHQ US Equity","IS_INT_EXPENSE","2006-05-21","2011-05-21","Per=Y","Days=T","Dir=V")</f>
        <v>0</v>
      </c>
      <c r="AI2">
        <f>BDH("SDTHQ US Equity","IS_DEPR_EXP","2006-05-21","2011-05-21","Per=Y","Days=T","Dir=V")</f>
        <v>0</v>
      </c>
      <c r="AK2">
        <f>BDH("SDTHQ US Equity","CF_CASH_FROM_OPER","2006-05-21","2011-05-21","Per=Y","Days=T","Dir=V")</f>
        <v>0</v>
      </c>
      <c r="AM2">
        <f>BDH("SDTHQ US Equity","CAPITAL_EXPEND","2006-05-21","2011-05-21","Per=Y","Days=T","Dir=V")</f>
        <v>0</v>
      </c>
      <c r="AO2">
        <f>BDH("SDTHQ US Equity","CF_FREE_CASH_FLOW","2006-05-21","2011-05-21","Per=Y","Days=T","Dir=V")</f>
        <v>0</v>
      </c>
      <c r="AQ2">
        <f>BDH("SDTHQ US Equity","PX_LAST","2006-05-21","2011-05-21","Per=M","Days=T","Dir=V")</f>
        <v>0</v>
      </c>
      <c r="AS2">
        <f>BDH("SDTHQ US Equity","CUR_MKT_CAP","2006-05-21","2011-05-21","Per=M","Days=T","Dir=V")</f>
        <v>0</v>
      </c>
      <c r="AU2">
        <f>BDH("SDTHQ US Equity","EQY_SH_OUT","2006-05-21","2011-05-21","Per=M","Days=T","Dir=V")</f>
        <v>0</v>
      </c>
      <c r="AW2">
        <f>BDH("SDTHQ US Equity","PX_VOLUME","2006-05-21","2011-05-21","Per=M","Days=T","Dir=V")</f>
        <v>0</v>
      </c>
      <c r="AY2">
        <f>BDH("SDTHQ US Equity","TURNOVER","2006-05-21","2011-05-21","Per=M","Days=T","Dir=V")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BDH("SYMSQ US Equity","BS_TOT_ASSET","2006-08-04","2011-08-04","Per=Y","Days=T","Dir=V")</f>
        <v>0</v>
      </c>
      <c r="C2">
        <f>BDH("SYMSQ US Equity","BS_TOT_LIAB2","2006-08-04","2011-08-04","Per=Y","Days=T","Dir=V")</f>
        <v>0</v>
      </c>
      <c r="E2">
        <f>BDH("SYMSQ US Equity","SHORT_AND_LONG_TERM_DEBT","2006-08-04","2011-08-04","Per=Y","Days=T","Dir=V")</f>
        <v>0</v>
      </c>
      <c r="G2">
        <f>BDH("SYMSQ US Equity","BS_ST_BORROW","2006-08-04","2011-08-04","Per=Y","Days=T","Dir=V")</f>
        <v>0</v>
      </c>
      <c r="I2">
        <f>BDH("SYMSQ US Equity","BS_LT_BORROW","2006-08-04","2011-08-04","Per=Y","Days=T","Dir=V")</f>
        <v>0</v>
      </c>
      <c r="K2">
        <f>BDH("SYMSQ US Equity","BS_CASH_NEAR_CASH_ITEM","2006-08-04","2011-08-04","Per=Y","Days=T","Dir=V")</f>
        <v>0</v>
      </c>
      <c r="M2">
        <f>BDH("SYMSQ US Equity","BS_CUR_ASSET_REPORT","2006-08-04","2011-08-04","Per=Y","Days=T","Dir=V")</f>
        <v>0</v>
      </c>
      <c r="O2">
        <f>BDH("SYMSQ US Equity","BS_CUR_LIAB","2006-08-04","2011-08-04","Per=Y","Days=T","Dir=V")</f>
        <v>0</v>
      </c>
      <c r="Q2">
        <f>BDH("SYMSQ US Equity","BS_SHAREHOLDER_EQY_ENDING_PERIOD","2006-08-04","2011-08-04","Per=Y","Days=T","Dir=V")</f>
        <v>0</v>
      </c>
      <c r="S2">
        <f>BDH("SYMSQ US Equity","BS_ACCT_NOTE_RCV","2006-08-04","2011-08-04","Per=Y","Days=T","Dir=V")</f>
        <v>0</v>
      </c>
      <c r="U2">
        <f>BDH("SYMSQ US Equity","BS_INVENTORIES","2006-08-04","2011-08-04","Per=Y","Days=T","Dir=V")</f>
        <v>0</v>
      </c>
      <c r="W2">
        <f>BDH("SYMSQ US Equity","WORKING_CAPITAL","2006-08-04","2011-08-04","Per=Y","Days=T","Dir=V")</f>
        <v>0</v>
      </c>
      <c r="Y2">
        <f>BDH("SYMSQ US Equity","SALES_REV_TURN","2006-08-04","2011-08-04","Per=Y","Days=T","Dir=V")</f>
        <v>0</v>
      </c>
      <c r="AA2">
        <f>BDH("SYMSQ US Equity","EBIT","2006-08-04","2011-08-04","Per=Y","Days=T","Dir=V")</f>
        <v>0</v>
      </c>
      <c r="AC2">
        <f>BDH("SYMSQ US Equity","EBITDA","2006-08-04","2011-08-04","Per=Y","Days=T","Dir=V")</f>
        <v>0</v>
      </c>
      <c r="AE2">
        <f>BDH("SYMSQ US Equity","NET_INCOME","2006-08-04","2011-08-04","Per=Y","Days=T","Dir=V")</f>
        <v>0</v>
      </c>
      <c r="AG2">
        <f>BDH("SYMSQ US Equity","IS_INT_EXPENSE","2006-08-04","2011-08-04","Per=Y","Days=T","Dir=V")</f>
        <v>0</v>
      </c>
      <c r="AI2">
        <f>BDH("SYMSQ US Equity","IS_DEPR_EXP","2006-08-04","2011-08-04","Per=Y","Days=T","Dir=V")</f>
        <v>0</v>
      </c>
      <c r="AK2">
        <f>BDH("SYMSQ US Equity","CF_CASH_FROM_OPER","2006-08-04","2011-08-04","Per=Y","Days=T","Dir=V")</f>
        <v>0</v>
      </c>
      <c r="AM2">
        <f>BDH("SYMSQ US Equity","CAPITAL_EXPEND","2006-08-04","2011-08-04","Per=Y","Days=T","Dir=V")</f>
        <v>0</v>
      </c>
      <c r="AO2">
        <f>BDH("SYMSQ US Equity","CF_FREE_CASH_FLOW","2006-08-04","2011-08-04","Per=Y","Days=T","Dir=V")</f>
        <v>0</v>
      </c>
      <c r="AQ2">
        <f>BDH("SYMSQ US Equity","PX_LAST","2006-08-04","2011-08-04","Per=M","Days=T","Dir=V")</f>
        <v>0</v>
      </c>
      <c r="AS2">
        <f>BDH("SYMSQ US Equity","CUR_MKT_CAP","2006-08-04","2011-08-04","Per=M","Days=T","Dir=V")</f>
        <v>0</v>
      </c>
      <c r="AU2">
        <f>BDH("SYMSQ US Equity","EQY_SH_OUT","2006-08-04","2011-08-04","Per=M","Days=T","Dir=V")</f>
        <v>0</v>
      </c>
      <c r="AW2">
        <f>BDH("SYMSQ US Equity","PX_VOLUME","2006-08-04","2011-08-04","Per=M","Days=T","Dir=V")</f>
        <v>0</v>
      </c>
      <c r="AY2">
        <f>BDH("SYMSQ US Equity","TURNOVER","2006-08-04","2011-08-04","Per=M","Days=T","Dir=V")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BDH("DYNIQ US Equity","BS_TOT_ASSET","2006-08-09","2011-08-09","Per=Y","Days=T","Dir=V")</f>
        <v>0</v>
      </c>
      <c r="C2">
        <f>BDH("DYNIQ US Equity","BS_TOT_LIAB2","2006-08-09","2011-08-09","Per=Y","Days=T","Dir=V")</f>
        <v>0</v>
      </c>
      <c r="E2">
        <f>BDH("DYNIQ US Equity","SHORT_AND_LONG_TERM_DEBT","2006-08-09","2011-08-09","Per=Y","Days=T","Dir=V")</f>
        <v>0</v>
      </c>
      <c r="G2">
        <f>BDH("DYNIQ US Equity","BS_ST_BORROW","2006-08-09","2011-08-09","Per=Y","Days=T","Dir=V")</f>
        <v>0</v>
      </c>
      <c r="I2">
        <f>BDH("DYNIQ US Equity","BS_LT_BORROW","2006-08-09","2011-08-09","Per=Y","Days=T","Dir=V")</f>
        <v>0</v>
      </c>
      <c r="K2">
        <f>BDH("DYNIQ US Equity","BS_CASH_NEAR_CASH_ITEM","2006-08-09","2011-08-09","Per=Y","Days=T","Dir=V")</f>
        <v>0</v>
      </c>
      <c r="M2">
        <f>BDH("DYNIQ US Equity","BS_CUR_ASSET_REPORT","2006-08-09","2011-08-09","Per=Y","Days=T","Dir=V")</f>
        <v>0</v>
      </c>
      <c r="O2">
        <f>BDH("DYNIQ US Equity","BS_CUR_LIAB","2006-08-09","2011-08-09","Per=Y","Days=T","Dir=V")</f>
        <v>0</v>
      </c>
      <c r="Q2">
        <f>BDH("DYNIQ US Equity","BS_SHAREHOLDER_EQY_ENDING_PERIOD","2006-08-09","2011-08-09","Per=Y","Days=T","Dir=V")</f>
        <v>0</v>
      </c>
      <c r="S2">
        <f>BDH("DYNIQ US Equity","BS_ACCT_NOTE_RCV","2006-08-09","2011-08-09","Per=Y","Days=T","Dir=V")</f>
        <v>0</v>
      </c>
      <c r="U2">
        <f>BDH("DYNIQ US Equity","BS_INVENTORIES","2006-08-09","2011-08-09","Per=Y","Days=T","Dir=V")</f>
        <v>0</v>
      </c>
      <c r="W2">
        <f>BDH("DYNIQ US Equity","WORKING_CAPITAL","2006-08-09","2011-08-09","Per=Y","Days=T","Dir=V")</f>
        <v>0</v>
      </c>
      <c r="Y2">
        <f>BDH("DYNIQ US Equity","SALES_REV_TURN","2006-08-09","2011-08-09","Per=Y","Days=T","Dir=V")</f>
        <v>0</v>
      </c>
      <c r="AA2">
        <f>BDH("DYNIQ US Equity","EBIT","2006-08-09","2011-08-09","Per=Y","Days=T","Dir=V")</f>
        <v>0</v>
      </c>
      <c r="AC2">
        <f>BDH("DYNIQ US Equity","EBITDA","2006-08-09","2011-08-09","Per=Y","Days=T","Dir=V")</f>
        <v>0</v>
      </c>
      <c r="AE2">
        <f>BDH("DYNIQ US Equity","NET_INCOME","2006-08-09","2011-08-09","Per=Y","Days=T","Dir=V")</f>
        <v>0</v>
      </c>
      <c r="AG2">
        <f>BDH("DYNIQ US Equity","IS_INT_EXPENSE","2006-08-09","2011-08-09","Per=Y","Days=T","Dir=V")</f>
        <v>0</v>
      </c>
      <c r="AI2">
        <f>BDH("DYNIQ US Equity","IS_DEPR_EXP","2006-08-09","2011-08-09","Per=Y","Days=T","Dir=V")</f>
        <v>0</v>
      </c>
      <c r="AK2">
        <f>BDH("DYNIQ US Equity","CF_CASH_FROM_OPER","2006-08-09","2011-08-09","Per=Y","Days=T","Dir=V")</f>
        <v>0</v>
      </c>
      <c r="AM2">
        <f>BDH("DYNIQ US Equity","CAPITAL_EXPEND","2006-08-09","2011-08-09","Per=Y","Days=T","Dir=V")</f>
        <v>0</v>
      </c>
      <c r="AO2">
        <f>BDH("DYNIQ US Equity","CF_FREE_CASH_FLOW","2006-08-09","2011-08-09","Per=Y","Days=T","Dir=V")</f>
        <v>0</v>
      </c>
      <c r="AQ2">
        <f>BDH("DYNIQ US Equity","PX_LAST","2006-08-09","2011-08-09","Per=M","Days=T","Dir=V")</f>
        <v>0</v>
      </c>
      <c r="AS2">
        <f>BDH("DYNIQ US Equity","CUR_MKT_CAP","2006-08-09","2011-08-09","Per=M","Days=T","Dir=V")</f>
        <v>0</v>
      </c>
      <c r="AU2">
        <f>BDH("DYNIQ US Equity","EQY_SH_OUT","2006-08-09","2011-08-09","Per=M","Days=T","Dir=V")</f>
        <v>0</v>
      </c>
      <c r="AW2">
        <f>BDH("DYNIQ US Equity","PX_VOLUME","2006-08-09","2011-08-09","Per=M","Days=T","Dir=V")</f>
        <v>0</v>
      </c>
      <c r="AY2">
        <f>BDH("DYNIQ US Equity","TURNOVER","2006-08-09","2011-08-09","Per=M","Days=T","Dir=V")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BDH("TRIDQ US Equity","BS_TOT_ASSET","2006-10-06","2011-10-06","Per=Y","Days=T","Dir=V")</f>
        <v>0</v>
      </c>
      <c r="C2">
        <f>BDH("TRIDQ US Equity","BS_TOT_LIAB2","2006-10-06","2011-10-06","Per=Y","Days=T","Dir=V")</f>
        <v>0</v>
      </c>
      <c r="E2">
        <f>BDH("TRIDQ US Equity","SHORT_AND_LONG_TERM_DEBT","2006-10-06","2011-10-06","Per=Y","Days=T","Dir=V")</f>
        <v>0</v>
      </c>
      <c r="G2">
        <f>BDH("TRIDQ US Equity","BS_ST_BORROW","2006-10-06","2011-10-06","Per=Y","Days=T","Dir=V")</f>
        <v>0</v>
      </c>
      <c r="I2">
        <f>BDH("TRIDQ US Equity","BS_LT_BORROW","2006-10-06","2011-10-06","Per=Y","Days=T","Dir=V")</f>
        <v>0</v>
      </c>
      <c r="K2">
        <f>BDH("TRIDQ US Equity","BS_CASH_NEAR_CASH_ITEM","2006-10-06","2011-10-06","Per=Y","Days=T","Dir=V")</f>
        <v>0</v>
      </c>
      <c r="M2">
        <f>BDH("TRIDQ US Equity","BS_CUR_ASSET_REPORT","2006-10-06","2011-10-06","Per=Y","Days=T","Dir=V")</f>
        <v>0</v>
      </c>
      <c r="O2">
        <f>BDH("TRIDQ US Equity","BS_CUR_LIAB","2006-10-06","2011-10-06","Per=Y","Days=T","Dir=V")</f>
        <v>0</v>
      </c>
      <c r="Q2">
        <f>BDH("TRIDQ US Equity","BS_SHAREHOLDER_EQY_ENDING_PERIOD","2006-10-06","2011-10-06","Per=Y","Days=T","Dir=V")</f>
        <v>0</v>
      </c>
      <c r="S2">
        <f>BDH("TRIDQ US Equity","BS_ACCT_NOTE_RCV","2006-10-06","2011-10-06","Per=Y","Days=T","Dir=V")</f>
        <v>0</v>
      </c>
      <c r="U2">
        <f>BDH("TRIDQ US Equity","BS_INVENTORIES","2006-10-06","2011-10-06","Per=Y","Days=T","Dir=V")</f>
        <v>0</v>
      </c>
      <c r="W2">
        <f>BDH("TRIDQ US Equity","WORKING_CAPITAL","2006-10-06","2011-10-06","Per=Y","Days=T","Dir=V")</f>
        <v>0</v>
      </c>
      <c r="Y2">
        <f>BDH("TRIDQ US Equity","SALES_REV_TURN","2006-10-06","2011-10-06","Per=Y","Days=T","Dir=V")</f>
        <v>0</v>
      </c>
      <c r="AA2">
        <f>BDH("TRIDQ US Equity","EBIT","2006-10-06","2011-10-06","Per=Y","Days=T","Dir=V")</f>
        <v>0</v>
      </c>
      <c r="AC2">
        <f>BDH("TRIDQ US Equity","EBITDA","2006-10-06","2011-10-06","Per=Y","Days=T","Dir=V")</f>
        <v>0</v>
      </c>
      <c r="AE2">
        <f>BDH("TRIDQ US Equity","NET_INCOME","2006-10-06","2011-10-06","Per=Y","Days=T","Dir=V")</f>
        <v>0</v>
      </c>
      <c r="AG2">
        <f>BDH("TRIDQ US Equity","IS_INT_EXPENSE","2006-10-06","2011-10-06","Per=Y","Days=T","Dir=V")</f>
        <v>0</v>
      </c>
      <c r="AI2">
        <f>BDH("TRIDQ US Equity","IS_DEPR_EXP","2006-10-06","2011-10-06","Per=Y","Days=T","Dir=V")</f>
        <v>0</v>
      </c>
      <c r="AK2">
        <f>BDH("TRIDQ US Equity","CF_CASH_FROM_OPER","2006-10-06","2011-10-06","Per=Y","Days=T","Dir=V")</f>
        <v>0</v>
      </c>
      <c r="AM2">
        <f>BDH("TRIDQ US Equity","CAPITAL_EXPEND","2006-10-06","2011-10-06","Per=Y","Days=T","Dir=V")</f>
        <v>0</v>
      </c>
      <c r="AO2">
        <f>BDH("TRIDQ US Equity","CF_FREE_CASH_FLOW","2006-10-06","2011-10-06","Per=Y","Days=T","Dir=V")</f>
        <v>0</v>
      </c>
      <c r="AQ2">
        <f>BDH("TRIDQ US Equity","PX_LAST","2006-10-06","2011-10-06","Per=M","Days=T","Dir=V")</f>
        <v>0</v>
      </c>
      <c r="AS2">
        <f>BDH("TRIDQ US Equity","CUR_MKT_CAP","2006-10-06","2011-10-06","Per=M","Days=T","Dir=V")</f>
        <v>0</v>
      </c>
      <c r="AU2">
        <f>BDH("TRIDQ US Equity","EQY_SH_OUT","2006-10-06","2011-10-06","Per=M","Days=T","Dir=V")</f>
        <v>0</v>
      </c>
      <c r="AW2">
        <f>BDH("TRIDQ US Equity","PX_VOLUME","2006-10-06","2011-10-06","Per=M","Days=T","Dir=V")</f>
        <v>0</v>
      </c>
      <c r="AY2">
        <f>BDH("TRIDQ US Equity","TURNOVER","2006-10-06","2011-10-06","Per=M","Days=T","Dir=V")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BDH("ENERQ US Equity","BS_TOT_ASSET","2006-11-16","2011-11-16","Per=Y","Days=T","Dir=V")</f>
        <v>0</v>
      </c>
      <c r="C2">
        <f>BDH("ENERQ US Equity","BS_TOT_LIAB2","2006-11-16","2011-11-16","Per=Y","Days=T","Dir=V")</f>
        <v>0</v>
      </c>
      <c r="E2">
        <f>BDH("ENERQ US Equity","SHORT_AND_LONG_TERM_DEBT","2006-11-16","2011-11-16","Per=Y","Days=T","Dir=V")</f>
        <v>0</v>
      </c>
      <c r="G2">
        <f>BDH("ENERQ US Equity","BS_ST_BORROW","2006-11-16","2011-11-16","Per=Y","Days=T","Dir=V")</f>
        <v>0</v>
      </c>
      <c r="I2">
        <f>BDH("ENERQ US Equity","BS_LT_BORROW","2006-11-16","2011-11-16","Per=Y","Days=T","Dir=V")</f>
        <v>0</v>
      </c>
      <c r="K2">
        <f>BDH("ENERQ US Equity","BS_CASH_NEAR_CASH_ITEM","2006-11-16","2011-11-16","Per=Y","Days=T","Dir=V")</f>
        <v>0</v>
      </c>
      <c r="M2">
        <f>BDH("ENERQ US Equity","BS_CUR_ASSET_REPORT","2006-11-16","2011-11-16","Per=Y","Days=T","Dir=V")</f>
        <v>0</v>
      </c>
      <c r="O2">
        <f>BDH("ENERQ US Equity","BS_CUR_LIAB","2006-11-16","2011-11-16","Per=Y","Days=T","Dir=V")</f>
        <v>0</v>
      </c>
      <c r="Q2">
        <f>BDH("ENERQ US Equity","BS_SHAREHOLDER_EQY_ENDING_PERIOD","2006-11-16","2011-11-16","Per=Y","Days=T","Dir=V")</f>
        <v>0</v>
      </c>
      <c r="S2">
        <f>BDH("ENERQ US Equity","BS_ACCT_NOTE_RCV","2006-11-16","2011-11-16","Per=Y","Days=T","Dir=V")</f>
        <v>0</v>
      </c>
      <c r="U2">
        <f>BDH("ENERQ US Equity","BS_INVENTORIES","2006-11-16","2011-11-16","Per=Y","Days=T","Dir=V")</f>
        <v>0</v>
      </c>
      <c r="W2">
        <f>BDH("ENERQ US Equity","WORKING_CAPITAL","2006-11-16","2011-11-16","Per=Y","Days=T","Dir=V")</f>
        <v>0</v>
      </c>
      <c r="Y2">
        <f>BDH("ENERQ US Equity","SALES_REV_TURN","2006-11-16","2011-11-16","Per=Y","Days=T","Dir=V")</f>
        <v>0</v>
      </c>
      <c r="AA2">
        <f>BDH("ENERQ US Equity","EBIT","2006-11-16","2011-11-16","Per=Y","Days=T","Dir=V")</f>
        <v>0</v>
      </c>
      <c r="AC2">
        <f>BDH("ENERQ US Equity","EBITDA","2006-11-16","2011-11-16","Per=Y","Days=T","Dir=V")</f>
        <v>0</v>
      </c>
      <c r="AE2">
        <f>BDH("ENERQ US Equity","NET_INCOME","2006-11-16","2011-11-16","Per=Y","Days=T","Dir=V")</f>
        <v>0</v>
      </c>
      <c r="AG2">
        <f>BDH("ENERQ US Equity","IS_INT_EXPENSE","2006-11-16","2011-11-16","Per=Y","Days=T","Dir=V")</f>
        <v>0</v>
      </c>
      <c r="AI2">
        <f>BDH("ENERQ US Equity","IS_DEPR_EXP","2006-11-16","2011-11-16","Per=Y","Days=T","Dir=V")</f>
        <v>0</v>
      </c>
      <c r="AK2">
        <f>BDH("ENERQ US Equity","CF_CASH_FROM_OPER","2006-11-16","2011-11-16","Per=Y","Days=T","Dir=V")</f>
        <v>0</v>
      </c>
      <c r="AM2">
        <f>BDH("ENERQ US Equity","CAPITAL_EXPEND","2006-11-16","2011-11-16","Per=Y","Days=T","Dir=V")</f>
        <v>0</v>
      </c>
      <c r="AO2">
        <f>BDH("ENERQ US Equity","CF_FREE_CASH_FLOW","2006-11-16","2011-11-16","Per=Y","Days=T","Dir=V")</f>
        <v>0</v>
      </c>
      <c r="AQ2">
        <f>BDH("ENERQ US Equity","PX_LAST","2006-11-16","2011-11-16","Per=M","Days=T","Dir=V")</f>
        <v>0</v>
      </c>
      <c r="AS2">
        <f>BDH("ENERQ US Equity","CUR_MKT_CAP","2006-11-16","2011-11-16","Per=M","Days=T","Dir=V")</f>
        <v>0</v>
      </c>
      <c r="AU2">
        <f>BDH("ENERQ US Equity","EQY_SH_OUT","2006-11-16","2011-11-16","Per=M","Days=T","Dir=V")</f>
        <v>0</v>
      </c>
      <c r="AW2">
        <f>BDH("ENERQ US Equity","PX_VOLUME","2006-11-16","2011-11-16","Per=M","Days=T","Dir=V")</f>
        <v>0</v>
      </c>
      <c r="AY2">
        <f>BDH("ENERQ US Equity","TURNOVER","2006-11-16","2011-11-16","Per=M","Days=T","Dir=V")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BDH("RDDYQ US Equity","BS_TOT_ASSET","2007-01-13","2012-01-13","Per=Y","Days=T","Dir=V")</f>
        <v>0</v>
      </c>
      <c r="C2">
        <f>BDH("RDDYQ US Equity","BS_TOT_LIAB2","2007-01-13","2012-01-13","Per=Y","Days=T","Dir=V")</f>
        <v>0</v>
      </c>
      <c r="E2">
        <f>BDH("RDDYQ US Equity","SHORT_AND_LONG_TERM_DEBT","2007-01-13","2012-01-13","Per=Y","Days=T","Dir=V")</f>
        <v>0</v>
      </c>
      <c r="G2">
        <f>BDH("RDDYQ US Equity","BS_ST_BORROW","2007-01-13","2012-01-13","Per=Y","Days=T","Dir=V")</f>
        <v>0</v>
      </c>
      <c r="I2">
        <f>BDH("RDDYQ US Equity","BS_LT_BORROW","2007-01-13","2012-01-13","Per=Y","Days=T","Dir=V")</f>
        <v>0</v>
      </c>
      <c r="K2">
        <f>BDH("RDDYQ US Equity","BS_CASH_NEAR_CASH_ITEM","2007-01-13","2012-01-13","Per=Y","Days=T","Dir=V")</f>
        <v>0</v>
      </c>
      <c r="M2">
        <f>BDH("RDDYQ US Equity","BS_CUR_ASSET_REPORT","2007-01-13","2012-01-13","Per=Y","Days=T","Dir=V")</f>
        <v>0</v>
      </c>
      <c r="O2">
        <f>BDH("RDDYQ US Equity","BS_CUR_LIAB","2007-01-13","2012-01-13","Per=Y","Days=T","Dir=V")</f>
        <v>0</v>
      </c>
      <c r="Q2">
        <f>BDH("RDDYQ US Equity","BS_SHAREHOLDER_EQY_ENDING_PERIOD","2007-01-13","2012-01-13","Per=Y","Days=T","Dir=V")</f>
        <v>0</v>
      </c>
      <c r="S2">
        <f>BDH("RDDYQ US Equity","BS_ACCT_NOTE_RCV","2007-01-13","2012-01-13","Per=Y","Days=T","Dir=V")</f>
        <v>0</v>
      </c>
      <c r="U2">
        <f>BDH("RDDYQ US Equity","BS_INVENTORIES","2007-01-13","2012-01-13","Per=Y","Days=T","Dir=V")</f>
        <v>0</v>
      </c>
      <c r="W2">
        <f>BDH("RDDYQ US Equity","WORKING_CAPITAL","2007-01-13","2012-01-13","Per=Y","Days=T","Dir=V")</f>
        <v>0</v>
      </c>
      <c r="Y2">
        <f>BDH("RDDYQ US Equity","SALES_REV_TURN","2007-01-13","2012-01-13","Per=Y","Days=T","Dir=V")</f>
        <v>0</v>
      </c>
      <c r="AA2">
        <f>BDH("RDDYQ US Equity","EBIT","2007-01-13","2012-01-13","Per=Y","Days=T","Dir=V")</f>
        <v>0</v>
      </c>
      <c r="AC2">
        <f>BDH("RDDYQ US Equity","EBITDA","2007-01-13","2012-01-13","Per=Y","Days=T","Dir=V")</f>
        <v>0</v>
      </c>
      <c r="AE2">
        <f>BDH("RDDYQ US Equity","NET_INCOME","2007-01-13","2012-01-13","Per=Y","Days=T","Dir=V")</f>
        <v>0</v>
      </c>
      <c r="AG2">
        <f>BDH("RDDYQ US Equity","IS_INT_EXPENSE","2007-01-13","2012-01-13","Per=Y","Days=T","Dir=V")</f>
        <v>0</v>
      </c>
      <c r="AI2">
        <f>BDH("RDDYQ US Equity","IS_DEPR_EXP","2007-01-13","2012-01-13","Per=Y","Days=T","Dir=V")</f>
        <v>0</v>
      </c>
      <c r="AK2">
        <f>BDH("RDDYQ US Equity","CF_CASH_FROM_OPER","2007-01-13","2012-01-13","Per=Y","Days=T","Dir=V")</f>
        <v>0</v>
      </c>
      <c r="AM2">
        <f>BDH("RDDYQ US Equity","CAPITAL_EXPEND","2007-01-13","2012-01-13","Per=Y","Days=T","Dir=V")</f>
        <v>0</v>
      </c>
      <c r="AO2">
        <f>BDH("RDDYQ US Equity","CF_FREE_CASH_FLOW","2007-01-13","2012-01-13","Per=Y","Days=T","Dir=V")</f>
        <v>0</v>
      </c>
      <c r="AQ2">
        <f>BDH("RDDYQ US Equity","PX_LAST","2007-01-13","2012-01-13","Per=M","Days=T","Dir=V")</f>
        <v>0</v>
      </c>
      <c r="AS2">
        <f>BDH("RDDYQ US Equity","CUR_MKT_CAP","2007-01-13","2012-01-13","Per=M","Days=T","Dir=V")</f>
        <v>0</v>
      </c>
      <c r="AU2">
        <f>BDH("RDDYQ US Equity","EQY_SH_OUT","2007-01-13","2012-01-13","Per=M","Days=T","Dir=V")</f>
        <v>0</v>
      </c>
      <c r="AW2">
        <f>BDH("RDDYQ US Equity","PX_VOLUME","2007-01-13","2012-01-13","Per=M","Days=T","Dir=V")</f>
        <v>0</v>
      </c>
      <c r="AY2">
        <f>BDH("RDDYQ US Equity","TURNOVER","2007-01-13","2012-01-13","Per=M","Days=T","Dir=V")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BDH("FBBT US Equity","BS_TOT_ASSET","2007-04-18","2012-04-18","Per=Y","Days=T","Dir=V")</f>
        <v>0</v>
      </c>
      <c r="C2">
        <f>BDH("FBBT US Equity","BS_TOT_LIAB2","2007-04-18","2012-04-18","Per=Y","Days=T","Dir=V")</f>
        <v>0</v>
      </c>
      <c r="E2">
        <f>BDH("FBBT US Equity","SHORT_AND_LONG_TERM_DEBT","2007-04-18","2012-04-18","Per=Y","Days=T","Dir=V")</f>
        <v>0</v>
      </c>
      <c r="G2">
        <f>BDH("FBBT US Equity","BS_ST_BORROW","2007-04-18","2012-04-18","Per=Y","Days=T","Dir=V")</f>
        <v>0</v>
      </c>
      <c r="I2">
        <f>BDH("FBBT US Equity","BS_LT_BORROW","2007-04-18","2012-04-18","Per=Y","Days=T","Dir=V")</f>
        <v>0</v>
      </c>
      <c r="K2">
        <f>BDH("FBBT US Equity","BS_CASH_NEAR_CASH_ITEM","2007-04-18","2012-04-18","Per=Y","Days=T","Dir=V")</f>
        <v>0</v>
      </c>
      <c r="M2">
        <f>BDH("FBBT US Equity","BS_CUR_ASSET_REPORT","2007-04-18","2012-04-18","Per=Y","Days=T","Dir=V")</f>
        <v>0</v>
      </c>
      <c r="O2">
        <f>BDH("FBBT US Equity","BS_CUR_LIAB","2007-04-18","2012-04-18","Per=Y","Days=T","Dir=V")</f>
        <v>0</v>
      </c>
      <c r="Q2">
        <f>BDH("FBBT US Equity","BS_SHAREHOLDER_EQY_ENDING_PERIOD","2007-04-18","2012-04-18","Per=Y","Days=T","Dir=V")</f>
        <v>0</v>
      </c>
      <c r="S2">
        <f>BDH("FBBT US Equity","BS_ACCT_NOTE_RCV","2007-04-18","2012-04-18","Per=Y","Days=T","Dir=V")</f>
        <v>0</v>
      </c>
      <c r="U2">
        <f>BDH("FBBT US Equity","BS_INVENTORIES","2007-04-18","2012-04-18","Per=Y","Days=T","Dir=V")</f>
        <v>0</v>
      </c>
      <c r="W2">
        <f>BDH("FBBT US Equity","WORKING_CAPITAL","2007-04-18","2012-04-18","Per=Y","Days=T","Dir=V")</f>
        <v>0</v>
      </c>
      <c r="Y2">
        <f>BDH("FBBT US Equity","SALES_REV_TURN","2007-04-18","2012-04-18","Per=Y","Days=T","Dir=V")</f>
        <v>0</v>
      </c>
      <c r="AA2">
        <f>BDH("FBBT US Equity","EBIT","2007-04-18","2012-04-18","Per=Y","Days=T","Dir=V")</f>
        <v>0</v>
      </c>
      <c r="AC2">
        <f>BDH("FBBT US Equity","EBITDA","2007-04-18","2012-04-18","Per=Y","Days=T","Dir=V")</f>
        <v>0</v>
      </c>
      <c r="AE2">
        <f>BDH("FBBT US Equity","NET_INCOME","2007-04-18","2012-04-18","Per=Y","Days=T","Dir=V")</f>
        <v>0</v>
      </c>
      <c r="AG2">
        <f>BDH("FBBT US Equity","IS_INT_EXPENSE","2007-04-18","2012-04-18","Per=Y","Days=T","Dir=V")</f>
        <v>0</v>
      </c>
      <c r="AI2">
        <f>BDH("FBBT US Equity","IS_DEPR_EXP","2007-04-18","2012-04-18","Per=Y","Days=T","Dir=V")</f>
        <v>0</v>
      </c>
      <c r="AK2">
        <f>BDH("FBBT US Equity","CF_CASH_FROM_OPER","2007-04-18","2012-04-18","Per=Y","Days=T","Dir=V")</f>
        <v>0</v>
      </c>
      <c r="AM2">
        <f>BDH("FBBT US Equity","CAPITAL_EXPEND","2007-04-18","2012-04-18","Per=Y","Days=T","Dir=V")</f>
        <v>0</v>
      </c>
      <c r="AO2">
        <f>BDH("FBBT US Equity","CF_FREE_CASH_FLOW","2007-04-18","2012-04-18","Per=Y","Days=T","Dir=V")</f>
        <v>0</v>
      </c>
      <c r="AQ2">
        <f>BDH("FBBT US Equity","PX_LAST","2007-04-18","2012-04-18","Per=M","Days=T","Dir=V")</f>
        <v>0</v>
      </c>
      <c r="AS2">
        <f>BDH("FBBT US Equity","CUR_MKT_CAP","2007-04-18","2012-04-18","Per=M","Days=T","Dir=V")</f>
        <v>0</v>
      </c>
      <c r="AU2">
        <f>BDH("FBBT US Equity","EQY_SH_OUT","2007-04-18","2012-04-18","Per=M","Days=T","Dir=V")</f>
        <v>0</v>
      </c>
      <c r="AW2">
        <f>BDH("FBBT US Equity","PX_VOLUME","2007-04-18","2012-04-18","Per=M","Days=T","Dir=V")</f>
        <v>0</v>
      </c>
      <c r="AY2">
        <f>BDH("FBBT US Equity","TURNOVER","2007-04-18","2012-04-18","Per=M","Days=T","Dir=V")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BDH("ATPAQ US Equity","BS_TOT_ASSET","2007-05-19","2012-05-19","Per=Y","Days=T","Dir=V")</f>
        <v>0</v>
      </c>
      <c r="C2">
        <f>BDH("ATPAQ US Equity","BS_TOT_LIAB2","2007-05-19","2012-05-19","Per=Y","Days=T","Dir=V")</f>
        <v>0</v>
      </c>
      <c r="E2">
        <f>BDH("ATPAQ US Equity","SHORT_AND_LONG_TERM_DEBT","2007-05-19","2012-05-19","Per=Y","Days=T","Dir=V")</f>
        <v>0</v>
      </c>
      <c r="G2">
        <f>BDH("ATPAQ US Equity","BS_ST_BORROW","2007-05-19","2012-05-19","Per=Y","Days=T","Dir=V")</f>
        <v>0</v>
      </c>
      <c r="I2">
        <f>BDH("ATPAQ US Equity","BS_LT_BORROW","2007-05-19","2012-05-19","Per=Y","Days=T","Dir=V")</f>
        <v>0</v>
      </c>
      <c r="K2">
        <f>BDH("ATPAQ US Equity","BS_CASH_NEAR_CASH_ITEM","2007-05-19","2012-05-19","Per=Y","Days=T","Dir=V")</f>
        <v>0</v>
      </c>
      <c r="M2">
        <f>BDH("ATPAQ US Equity","BS_CUR_ASSET_REPORT","2007-05-19","2012-05-19","Per=Y","Days=T","Dir=V")</f>
        <v>0</v>
      </c>
      <c r="O2">
        <f>BDH("ATPAQ US Equity","BS_CUR_LIAB","2007-05-19","2012-05-19","Per=Y","Days=T","Dir=V")</f>
        <v>0</v>
      </c>
      <c r="Q2">
        <f>BDH("ATPAQ US Equity","BS_SHAREHOLDER_EQY_ENDING_PERIOD","2007-05-19","2012-05-19","Per=Y","Days=T","Dir=V")</f>
        <v>0</v>
      </c>
      <c r="S2">
        <f>BDH("ATPAQ US Equity","BS_ACCT_NOTE_RCV","2007-05-19","2012-05-19","Per=Y","Days=T","Dir=V")</f>
        <v>0</v>
      </c>
      <c r="U2">
        <f>BDH("ATPAQ US Equity","BS_INVENTORIES","2007-05-19","2012-05-19","Per=Y","Days=T","Dir=V")</f>
        <v>0</v>
      </c>
      <c r="W2">
        <f>BDH("ATPAQ US Equity","WORKING_CAPITAL","2007-05-19","2012-05-19","Per=Y","Days=T","Dir=V")</f>
        <v>0</v>
      </c>
      <c r="Y2">
        <f>BDH("ATPAQ US Equity","SALES_REV_TURN","2007-05-19","2012-05-19","Per=Y","Days=T","Dir=V")</f>
        <v>0</v>
      </c>
      <c r="AA2">
        <f>BDH("ATPAQ US Equity","EBIT","2007-05-19","2012-05-19","Per=Y","Days=T","Dir=V")</f>
        <v>0</v>
      </c>
      <c r="AC2">
        <f>BDH("ATPAQ US Equity","EBITDA","2007-05-19","2012-05-19","Per=Y","Days=T","Dir=V")</f>
        <v>0</v>
      </c>
      <c r="AE2">
        <f>BDH("ATPAQ US Equity","NET_INCOME","2007-05-19","2012-05-19","Per=Y","Days=T","Dir=V")</f>
        <v>0</v>
      </c>
      <c r="AG2">
        <f>BDH("ATPAQ US Equity","IS_INT_EXPENSE","2007-05-19","2012-05-19","Per=Y","Days=T","Dir=V")</f>
        <v>0</v>
      </c>
      <c r="AI2">
        <f>BDH("ATPAQ US Equity","IS_DEPR_EXP","2007-05-19","2012-05-19","Per=Y","Days=T","Dir=V")</f>
        <v>0</v>
      </c>
      <c r="AK2">
        <f>BDH("ATPAQ US Equity","CF_CASH_FROM_OPER","2007-05-19","2012-05-19","Per=Y","Days=T","Dir=V")</f>
        <v>0</v>
      </c>
      <c r="AM2">
        <f>BDH("ATPAQ US Equity","CAPITAL_EXPEND","2007-05-19","2012-05-19","Per=Y","Days=T","Dir=V")</f>
        <v>0</v>
      </c>
      <c r="AO2">
        <f>BDH("ATPAQ US Equity","CF_FREE_CASH_FLOW","2007-05-19","2012-05-19","Per=Y","Days=T","Dir=V")</f>
        <v>0</v>
      </c>
      <c r="AQ2">
        <f>BDH("ATPAQ US Equity","PX_LAST","2007-05-19","2012-05-19","Per=M","Days=T","Dir=V")</f>
        <v>0</v>
      </c>
      <c r="AS2">
        <f>BDH("ATPAQ US Equity","CUR_MKT_CAP","2007-05-19","2012-05-19","Per=M","Days=T","Dir=V")</f>
        <v>0</v>
      </c>
      <c r="AU2">
        <f>BDH("ATPAQ US Equity","EQY_SH_OUT","2007-05-19","2012-05-19","Per=M","Days=T","Dir=V")</f>
        <v>0</v>
      </c>
      <c r="AW2">
        <f>BDH("ATPAQ US Equity","PX_VOLUME","2007-05-19","2012-05-19","Per=M","Days=T","Dir=V")</f>
        <v>0</v>
      </c>
      <c r="AY2">
        <f>BDH("ATPAQ US Equity","TURNOVER","2007-05-19","2012-05-19","Per=M","Days=T","Dir=V")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BDH("OSGIQ US Equity","BS_TOT_ASSET","2007-08-16","2012-08-16","Per=Y","Days=T","Dir=V")</f>
        <v>0</v>
      </c>
      <c r="C2">
        <f>BDH("OSGIQ US Equity","BS_TOT_LIAB2","2007-08-16","2012-08-16","Per=Y","Days=T","Dir=V")</f>
        <v>0</v>
      </c>
      <c r="E2">
        <f>BDH("OSGIQ US Equity","SHORT_AND_LONG_TERM_DEBT","2007-08-16","2012-08-16","Per=Y","Days=T","Dir=V")</f>
        <v>0</v>
      </c>
      <c r="G2">
        <f>BDH("OSGIQ US Equity","BS_ST_BORROW","2007-08-16","2012-08-16","Per=Y","Days=T","Dir=V")</f>
        <v>0</v>
      </c>
      <c r="I2">
        <f>BDH("OSGIQ US Equity","BS_LT_BORROW","2007-08-16","2012-08-16","Per=Y","Days=T","Dir=V")</f>
        <v>0</v>
      </c>
      <c r="K2">
        <f>BDH("OSGIQ US Equity","BS_CASH_NEAR_CASH_ITEM","2007-08-16","2012-08-16","Per=Y","Days=T","Dir=V")</f>
        <v>0</v>
      </c>
      <c r="M2">
        <f>BDH("OSGIQ US Equity","BS_CUR_ASSET_REPORT","2007-08-16","2012-08-16","Per=Y","Days=T","Dir=V")</f>
        <v>0</v>
      </c>
      <c r="O2">
        <f>BDH("OSGIQ US Equity","BS_CUR_LIAB","2007-08-16","2012-08-16","Per=Y","Days=T","Dir=V")</f>
        <v>0</v>
      </c>
      <c r="Q2">
        <f>BDH("OSGIQ US Equity","BS_SHAREHOLDER_EQY_ENDING_PERIOD","2007-08-16","2012-08-16","Per=Y","Days=T","Dir=V")</f>
        <v>0</v>
      </c>
      <c r="S2">
        <f>BDH("OSGIQ US Equity","BS_ACCT_NOTE_RCV","2007-08-16","2012-08-16","Per=Y","Days=T","Dir=V")</f>
        <v>0</v>
      </c>
      <c r="U2">
        <f>BDH("OSGIQ US Equity","BS_INVENTORIES","2007-08-16","2012-08-16","Per=Y","Days=T","Dir=V")</f>
        <v>0</v>
      </c>
      <c r="W2">
        <f>BDH("OSGIQ US Equity","WORKING_CAPITAL","2007-08-16","2012-08-16","Per=Y","Days=T","Dir=V")</f>
        <v>0</v>
      </c>
      <c r="Y2">
        <f>BDH("OSGIQ US Equity","SALES_REV_TURN","2007-08-16","2012-08-16","Per=Y","Days=T","Dir=V")</f>
        <v>0</v>
      </c>
      <c r="AA2">
        <f>BDH("OSGIQ US Equity","EBIT","2007-08-16","2012-08-16","Per=Y","Days=T","Dir=V")</f>
        <v>0</v>
      </c>
      <c r="AC2">
        <f>BDH("OSGIQ US Equity","EBITDA","2007-08-16","2012-08-16","Per=Y","Days=T","Dir=V")</f>
        <v>0</v>
      </c>
      <c r="AE2">
        <f>BDH("OSGIQ US Equity","NET_INCOME","2007-08-16","2012-08-16","Per=Y","Days=T","Dir=V")</f>
        <v>0</v>
      </c>
      <c r="AG2">
        <f>BDH("OSGIQ US Equity","IS_INT_EXPENSE","2007-08-16","2012-08-16","Per=Y","Days=T","Dir=V")</f>
        <v>0</v>
      </c>
      <c r="AI2">
        <f>BDH("OSGIQ US Equity","IS_DEPR_EXP","2007-08-16","2012-08-16","Per=Y","Days=T","Dir=V")</f>
        <v>0</v>
      </c>
      <c r="AK2">
        <f>BDH("OSGIQ US Equity","CF_CASH_FROM_OPER","2007-08-16","2012-08-16","Per=Y","Days=T","Dir=V")</f>
        <v>0</v>
      </c>
      <c r="AM2">
        <f>BDH("OSGIQ US Equity","CAPITAL_EXPEND","2007-08-16","2012-08-16","Per=Y","Days=T","Dir=V")</f>
        <v>0</v>
      </c>
      <c r="AO2">
        <f>BDH("OSGIQ US Equity","CF_FREE_CASH_FLOW","2007-08-16","2012-08-16","Per=Y","Days=T","Dir=V")</f>
        <v>0</v>
      </c>
      <c r="AQ2">
        <f>BDH("OSGIQ US Equity","PX_LAST","2007-08-16","2012-08-16","Per=M","Days=T","Dir=V")</f>
        <v>0</v>
      </c>
      <c r="AS2">
        <f>BDH("OSGIQ US Equity","CUR_MKT_CAP","2007-08-16","2012-08-16","Per=M","Days=T","Dir=V")</f>
        <v>0</v>
      </c>
      <c r="AU2">
        <f>BDH("OSGIQ US Equity","EQY_SH_OUT","2007-08-16","2012-08-16","Per=M","Days=T","Dir=V")</f>
        <v>0</v>
      </c>
      <c r="AW2">
        <f>BDH("OSGIQ US Equity","PX_VOLUME","2007-08-16","2012-08-16","Per=M","Days=T","Dir=V")</f>
        <v>0</v>
      </c>
      <c r="AY2">
        <f>BDH("OSGIQ US Equity","TURNOVER","2007-08-16","2012-08-16","Per=M","Days=T","Dir=V")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BDH("SCHSQ US Equity","BS_TOT_ASSET","2007-10-30","2012-10-30","Per=Y","Days=T","Dir=V")</f>
        <v>0</v>
      </c>
      <c r="C2">
        <f>BDH("SCHSQ US Equity","BS_TOT_LIAB2","2007-10-30","2012-10-30","Per=Y","Days=T","Dir=V")</f>
        <v>0</v>
      </c>
      <c r="E2">
        <f>BDH("SCHSQ US Equity","SHORT_AND_LONG_TERM_DEBT","2007-10-30","2012-10-30","Per=Y","Days=T","Dir=V")</f>
        <v>0</v>
      </c>
      <c r="G2">
        <f>BDH("SCHSQ US Equity","BS_ST_BORROW","2007-10-30","2012-10-30","Per=Y","Days=T","Dir=V")</f>
        <v>0</v>
      </c>
      <c r="I2">
        <f>BDH("SCHSQ US Equity","BS_LT_BORROW","2007-10-30","2012-10-30","Per=Y","Days=T","Dir=V")</f>
        <v>0</v>
      </c>
      <c r="K2">
        <f>BDH("SCHSQ US Equity","BS_CASH_NEAR_CASH_ITEM","2007-10-30","2012-10-30","Per=Y","Days=T","Dir=V")</f>
        <v>0</v>
      </c>
      <c r="M2">
        <f>BDH("SCHSQ US Equity","BS_CUR_ASSET_REPORT","2007-10-30","2012-10-30","Per=Y","Days=T","Dir=V")</f>
        <v>0</v>
      </c>
      <c r="O2">
        <f>BDH("SCHSQ US Equity","BS_CUR_LIAB","2007-10-30","2012-10-30","Per=Y","Days=T","Dir=V")</f>
        <v>0</v>
      </c>
      <c r="Q2">
        <f>BDH("SCHSQ US Equity","BS_SHAREHOLDER_EQY_ENDING_PERIOD","2007-10-30","2012-10-30","Per=Y","Days=T","Dir=V")</f>
        <v>0</v>
      </c>
      <c r="S2">
        <f>BDH("SCHSQ US Equity","BS_ACCT_NOTE_RCV","2007-10-30","2012-10-30","Per=Y","Days=T","Dir=V")</f>
        <v>0</v>
      </c>
      <c r="U2">
        <f>BDH("SCHSQ US Equity","BS_INVENTORIES","2007-10-30","2012-10-30","Per=Y","Days=T","Dir=V")</f>
        <v>0</v>
      </c>
      <c r="W2">
        <f>BDH("SCHSQ US Equity","WORKING_CAPITAL","2007-10-30","2012-10-30","Per=Y","Days=T","Dir=V")</f>
        <v>0</v>
      </c>
      <c r="Y2">
        <f>BDH("SCHSQ US Equity","SALES_REV_TURN","2007-10-30","2012-10-30","Per=Y","Days=T","Dir=V")</f>
        <v>0</v>
      </c>
      <c r="AA2">
        <f>BDH("SCHSQ US Equity","EBIT","2007-10-30","2012-10-30","Per=Y","Days=T","Dir=V")</f>
        <v>0</v>
      </c>
      <c r="AC2">
        <f>BDH("SCHSQ US Equity","EBITDA","2007-10-30","2012-10-30","Per=Y","Days=T","Dir=V")</f>
        <v>0</v>
      </c>
      <c r="AE2">
        <f>BDH("SCHSQ US Equity","NET_INCOME","2007-10-30","2012-10-30","Per=Y","Days=T","Dir=V")</f>
        <v>0</v>
      </c>
      <c r="AG2">
        <f>BDH("SCHSQ US Equity","IS_INT_EXPENSE","2007-10-30","2012-10-30","Per=Y","Days=T","Dir=V")</f>
        <v>0</v>
      </c>
      <c r="AI2">
        <f>BDH("SCHSQ US Equity","IS_DEPR_EXP","2007-10-30","2012-10-30","Per=Y","Days=T","Dir=V")</f>
        <v>0</v>
      </c>
      <c r="AK2">
        <f>BDH("SCHSQ US Equity","CF_CASH_FROM_OPER","2007-10-30","2012-10-30","Per=Y","Days=T","Dir=V")</f>
        <v>0</v>
      </c>
      <c r="AM2">
        <f>BDH("SCHSQ US Equity","CAPITAL_EXPEND","2007-10-30","2012-10-30","Per=Y","Days=T","Dir=V")</f>
        <v>0</v>
      </c>
      <c r="AO2">
        <f>BDH("SCHSQ US Equity","CF_FREE_CASH_FLOW","2007-10-30","2012-10-30","Per=Y","Days=T","Dir=V")</f>
        <v>0</v>
      </c>
      <c r="AQ2">
        <f>BDH("SCHSQ US Equity","PX_LAST","2007-10-30","2012-10-30","Per=M","Days=T","Dir=V")</f>
        <v>0</v>
      </c>
      <c r="AS2">
        <f>BDH("SCHSQ US Equity","CUR_MKT_CAP","2007-10-30","2012-10-30","Per=M","Days=T","Dir=V")</f>
        <v>0</v>
      </c>
      <c r="AU2">
        <f>BDH("SCHSQ US Equity","EQY_SH_OUT","2007-10-30","2012-10-30","Per=M","Days=T","Dir=V")</f>
        <v>0</v>
      </c>
      <c r="AW2">
        <f>BDH("SCHSQ US Equity","PX_VOLUME","2007-10-30","2012-10-30","Per=M","Days=T","Dir=V")</f>
        <v>0</v>
      </c>
      <c r="AY2">
        <f>BDH("SCHSQ US Equity","TURNOVER","2007-10-30","2012-10-30","Per=M","Days=T","Dir=V")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BDH("PWAVQ US Equity","BS_TOT_ASSET","2007-10-30","2012-10-30","Per=Y","Days=T","Dir=V")</f>
        <v>0</v>
      </c>
      <c r="C2">
        <f>BDH("PWAVQ US Equity","BS_TOT_LIAB2","2007-10-30","2012-10-30","Per=Y","Days=T","Dir=V")</f>
        <v>0</v>
      </c>
      <c r="E2">
        <f>BDH("PWAVQ US Equity","SHORT_AND_LONG_TERM_DEBT","2007-10-30","2012-10-30","Per=Y","Days=T","Dir=V")</f>
        <v>0</v>
      </c>
      <c r="G2">
        <f>BDH("PWAVQ US Equity","BS_ST_BORROW","2007-10-30","2012-10-30","Per=Y","Days=T","Dir=V")</f>
        <v>0</v>
      </c>
      <c r="I2">
        <f>BDH("PWAVQ US Equity","BS_LT_BORROW","2007-10-30","2012-10-30","Per=Y","Days=T","Dir=V")</f>
        <v>0</v>
      </c>
      <c r="K2">
        <f>BDH("PWAVQ US Equity","BS_CASH_NEAR_CASH_ITEM","2007-10-30","2012-10-30","Per=Y","Days=T","Dir=V")</f>
        <v>0</v>
      </c>
      <c r="M2">
        <f>BDH("PWAVQ US Equity","BS_CUR_ASSET_REPORT","2007-10-30","2012-10-30","Per=Y","Days=T","Dir=V")</f>
        <v>0</v>
      </c>
      <c r="O2">
        <f>BDH("PWAVQ US Equity","BS_CUR_LIAB","2007-10-30","2012-10-30","Per=Y","Days=T","Dir=V")</f>
        <v>0</v>
      </c>
      <c r="Q2">
        <f>BDH("PWAVQ US Equity","BS_SHAREHOLDER_EQY_ENDING_PERIOD","2007-10-30","2012-10-30","Per=Y","Days=T","Dir=V")</f>
        <v>0</v>
      </c>
      <c r="S2">
        <f>BDH("PWAVQ US Equity","BS_ACCT_NOTE_RCV","2007-10-30","2012-10-30","Per=Y","Days=T","Dir=V")</f>
        <v>0</v>
      </c>
      <c r="U2">
        <f>BDH("PWAVQ US Equity","BS_INVENTORIES","2007-10-30","2012-10-30","Per=Y","Days=T","Dir=V")</f>
        <v>0</v>
      </c>
      <c r="W2">
        <f>BDH("PWAVQ US Equity","WORKING_CAPITAL","2007-10-30","2012-10-30","Per=Y","Days=T","Dir=V")</f>
        <v>0</v>
      </c>
      <c r="Y2">
        <f>BDH("PWAVQ US Equity","SALES_REV_TURN","2007-10-30","2012-10-30","Per=Y","Days=T","Dir=V")</f>
        <v>0</v>
      </c>
      <c r="AA2">
        <f>BDH("PWAVQ US Equity","EBIT","2007-10-30","2012-10-30","Per=Y","Days=T","Dir=V")</f>
        <v>0</v>
      </c>
      <c r="AC2">
        <f>BDH("PWAVQ US Equity","EBITDA","2007-10-30","2012-10-30","Per=Y","Days=T","Dir=V")</f>
        <v>0</v>
      </c>
      <c r="AE2">
        <f>BDH("PWAVQ US Equity","NET_INCOME","2007-10-30","2012-10-30","Per=Y","Days=T","Dir=V")</f>
        <v>0</v>
      </c>
      <c r="AG2">
        <f>BDH("PWAVQ US Equity","IS_INT_EXPENSE","2007-10-30","2012-10-30","Per=Y","Days=T","Dir=V")</f>
        <v>0</v>
      </c>
      <c r="AI2">
        <f>BDH("PWAVQ US Equity","IS_DEPR_EXP","2007-10-30","2012-10-30","Per=Y","Days=T","Dir=V")</f>
        <v>0</v>
      </c>
      <c r="AK2">
        <f>BDH("PWAVQ US Equity","CF_CASH_FROM_OPER","2007-10-30","2012-10-30","Per=Y","Days=T","Dir=V")</f>
        <v>0</v>
      </c>
      <c r="AM2">
        <f>BDH("PWAVQ US Equity","CAPITAL_EXPEND","2007-10-30","2012-10-30","Per=Y","Days=T","Dir=V")</f>
        <v>0</v>
      </c>
      <c r="AO2">
        <f>BDH("PWAVQ US Equity","CF_FREE_CASH_FLOW","2007-10-30","2012-10-30","Per=Y","Days=T","Dir=V")</f>
        <v>0</v>
      </c>
      <c r="AQ2">
        <f>BDH("PWAVQ US Equity","PX_LAST","2007-10-30","2012-10-30","Per=M","Days=T","Dir=V")</f>
        <v>0</v>
      </c>
      <c r="AS2">
        <f>BDH("PWAVQ US Equity","CUR_MKT_CAP","2007-10-30","2012-10-30","Per=M","Days=T","Dir=V")</f>
        <v>0</v>
      </c>
      <c r="AU2">
        <f>BDH("PWAVQ US Equity","EQY_SH_OUT","2007-10-30","2012-10-30","Per=M","Days=T","Dir=V")</f>
        <v>0</v>
      </c>
      <c r="AW2">
        <f>BDH("PWAVQ US Equity","PX_VOLUME","2007-10-30","2012-10-30","Per=M","Days=T","Dir=V")</f>
        <v>0</v>
      </c>
      <c r="AY2">
        <f>BDH("PWAVQ US Equity","TURNOVER","2007-10-30","2012-10-30","Per=M","Days=T","Dir=V")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BDH("ROHIQ US Equity","BS_TOT_ASSET","2008-01-08","2013-01-08","Per=Y","Days=T","Dir=V")</f>
        <v>0</v>
      </c>
      <c r="C2">
        <f>BDH("ROHIQ US Equity","BS_TOT_LIAB2","2008-01-08","2013-01-08","Per=Y","Days=T","Dir=V")</f>
        <v>0</v>
      </c>
      <c r="E2">
        <f>BDH("ROHIQ US Equity","SHORT_AND_LONG_TERM_DEBT","2008-01-08","2013-01-08","Per=Y","Days=T","Dir=V")</f>
        <v>0</v>
      </c>
      <c r="G2">
        <f>BDH("ROHIQ US Equity","BS_ST_BORROW","2008-01-08","2013-01-08","Per=Y","Days=T","Dir=V")</f>
        <v>0</v>
      </c>
      <c r="I2">
        <f>BDH("ROHIQ US Equity","BS_LT_BORROW","2008-01-08","2013-01-08","Per=Y","Days=T","Dir=V")</f>
        <v>0</v>
      </c>
      <c r="K2">
        <f>BDH("ROHIQ US Equity","BS_CASH_NEAR_CASH_ITEM","2008-01-08","2013-01-08","Per=Y","Days=T","Dir=V")</f>
        <v>0</v>
      </c>
      <c r="M2">
        <f>BDH("ROHIQ US Equity","BS_CUR_ASSET_REPORT","2008-01-08","2013-01-08","Per=Y","Days=T","Dir=V")</f>
        <v>0</v>
      </c>
      <c r="O2">
        <f>BDH("ROHIQ US Equity","BS_CUR_LIAB","2008-01-08","2013-01-08","Per=Y","Days=T","Dir=V")</f>
        <v>0</v>
      </c>
      <c r="Q2">
        <f>BDH("ROHIQ US Equity","BS_SHAREHOLDER_EQY_ENDING_PERIOD","2008-01-08","2013-01-08","Per=Y","Days=T","Dir=V")</f>
        <v>0</v>
      </c>
      <c r="S2">
        <f>BDH("ROHIQ US Equity","BS_ACCT_NOTE_RCV","2008-01-08","2013-01-08","Per=Y","Days=T","Dir=V")</f>
        <v>0</v>
      </c>
      <c r="U2">
        <f>BDH("ROHIQ US Equity","BS_INVENTORIES","2008-01-08","2013-01-08","Per=Y","Days=T","Dir=V")</f>
        <v>0</v>
      </c>
      <c r="W2">
        <f>BDH("ROHIQ US Equity","WORKING_CAPITAL","2008-01-08","2013-01-08","Per=Y","Days=T","Dir=V")</f>
        <v>0</v>
      </c>
      <c r="Y2">
        <f>BDH("ROHIQ US Equity","SALES_REV_TURN","2008-01-08","2013-01-08","Per=Y","Days=T","Dir=V")</f>
        <v>0</v>
      </c>
      <c r="AA2">
        <f>BDH("ROHIQ US Equity","EBIT","2008-01-08","2013-01-08","Per=Y","Days=T","Dir=V")</f>
        <v>0</v>
      </c>
      <c r="AC2">
        <f>BDH("ROHIQ US Equity","EBITDA","2008-01-08","2013-01-08","Per=Y","Days=T","Dir=V")</f>
        <v>0</v>
      </c>
      <c r="AE2">
        <f>BDH("ROHIQ US Equity","NET_INCOME","2008-01-08","2013-01-08","Per=Y","Days=T","Dir=V")</f>
        <v>0</v>
      </c>
      <c r="AG2">
        <f>BDH("ROHIQ US Equity","IS_INT_EXPENSE","2008-01-08","2013-01-08","Per=Y","Days=T","Dir=V")</f>
        <v>0</v>
      </c>
      <c r="AI2">
        <f>BDH("ROHIQ US Equity","IS_DEPR_EXP","2008-01-08","2013-01-08","Per=Y","Days=T","Dir=V")</f>
        <v>0</v>
      </c>
      <c r="AK2">
        <f>BDH("ROHIQ US Equity","CF_CASH_FROM_OPER","2008-01-08","2013-01-08","Per=Y","Days=T","Dir=V")</f>
        <v>0</v>
      </c>
      <c r="AM2">
        <f>BDH("ROHIQ US Equity","CAPITAL_EXPEND","2008-01-08","2013-01-08","Per=Y","Days=T","Dir=V")</f>
        <v>0</v>
      </c>
      <c r="AO2">
        <f>BDH("ROHIQ US Equity","CF_FREE_CASH_FLOW","2008-01-08","2013-01-08","Per=Y","Days=T","Dir=V")</f>
        <v>0</v>
      </c>
      <c r="AQ2">
        <f>BDH("ROHIQ US Equity","PX_LAST","2008-01-08","2013-01-08","Per=M","Days=T","Dir=V")</f>
        <v>0</v>
      </c>
      <c r="AS2">
        <f>BDH("ROHIQ US Equity","CUR_MKT_CAP","2008-01-08","2013-01-08","Per=M","Days=T","Dir=V")</f>
        <v>0</v>
      </c>
      <c r="AU2">
        <f>BDH("ROHIQ US Equity","EQY_SH_OUT","2008-01-08","2013-01-08","Per=M","Days=T","Dir=V")</f>
        <v>0</v>
      </c>
      <c r="AW2">
        <f>BDH("ROHIQ US Equity","PX_VOLUME","2008-01-08","2013-01-08","Per=M","Days=T","Dir=V")</f>
        <v>0</v>
      </c>
      <c r="AY2">
        <f>BDH("ROHIQ US Equity","TURNOVER","2008-01-08","2013-01-08","Per=M","Days=T","Dir=V")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BDH("HOKUQ US Equity","BS_TOT_ASSET","2008-04-03","2013-04-03","Per=Y","Days=T","Dir=V")</f>
        <v>0</v>
      </c>
      <c r="C2">
        <f>BDH("HOKUQ US Equity","BS_TOT_LIAB2","2008-04-03","2013-04-03","Per=Y","Days=T","Dir=V")</f>
        <v>0</v>
      </c>
      <c r="E2">
        <f>BDH("HOKUQ US Equity","SHORT_AND_LONG_TERM_DEBT","2008-04-03","2013-04-03","Per=Y","Days=T","Dir=V")</f>
        <v>0</v>
      </c>
      <c r="G2">
        <f>BDH("HOKUQ US Equity","BS_ST_BORROW","2008-04-03","2013-04-03","Per=Y","Days=T","Dir=V")</f>
        <v>0</v>
      </c>
      <c r="I2">
        <f>BDH("HOKUQ US Equity","BS_LT_BORROW","2008-04-03","2013-04-03","Per=Y","Days=T","Dir=V")</f>
        <v>0</v>
      </c>
      <c r="K2">
        <f>BDH("HOKUQ US Equity","BS_CASH_NEAR_CASH_ITEM","2008-04-03","2013-04-03","Per=Y","Days=T","Dir=V")</f>
        <v>0</v>
      </c>
      <c r="M2">
        <f>BDH("HOKUQ US Equity","BS_CUR_ASSET_REPORT","2008-04-03","2013-04-03","Per=Y","Days=T","Dir=V")</f>
        <v>0</v>
      </c>
      <c r="O2">
        <f>BDH("HOKUQ US Equity","BS_CUR_LIAB","2008-04-03","2013-04-03","Per=Y","Days=T","Dir=V")</f>
        <v>0</v>
      </c>
      <c r="Q2">
        <f>BDH("HOKUQ US Equity","BS_SHAREHOLDER_EQY_ENDING_PERIOD","2008-04-03","2013-04-03","Per=Y","Days=T","Dir=V")</f>
        <v>0</v>
      </c>
      <c r="S2">
        <f>BDH("HOKUQ US Equity","BS_ACCT_NOTE_RCV","2008-04-03","2013-04-03","Per=Y","Days=T","Dir=V")</f>
        <v>0</v>
      </c>
      <c r="U2">
        <f>BDH("HOKUQ US Equity","BS_INVENTORIES","2008-04-03","2013-04-03","Per=Y","Days=T","Dir=V")</f>
        <v>0</v>
      </c>
      <c r="W2">
        <f>BDH("HOKUQ US Equity","WORKING_CAPITAL","2008-04-03","2013-04-03","Per=Y","Days=T","Dir=V")</f>
        <v>0</v>
      </c>
      <c r="Y2">
        <f>BDH("HOKUQ US Equity","SALES_REV_TURN","2008-04-03","2013-04-03","Per=Y","Days=T","Dir=V")</f>
        <v>0</v>
      </c>
      <c r="AA2">
        <f>BDH("HOKUQ US Equity","EBIT","2008-04-03","2013-04-03","Per=Y","Days=T","Dir=V")</f>
        <v>0</v>
      </c>
      <c r="AC2">
        <f>BDH("HOKUQ US Equity","EBITDA","2008-04-03","2013-04-03","Per=Y","Days=T","Dir=V")</f>
        <v>0</v>
      </c>
      <c r="AE2">
        <f>BDH("HOKUQ US Equity","NET_INCOME","2008-04-03","2013-04-03","Per=Y","Days=T","Dir=V")</f>
        <v>0</v>
      </c>
      <c r="AG2">
        <f>BDH("HOKUQ US Equity","IS_INT_EXPENSE","2008-04-03","2013-04-03","Per=Y","Days=T","Dir=V")</f>
        <v>0</v>
      </c>
      <c r="AI2">
        <f>BDH("HOKUQ US Equity","IS_DEPR_EXP","2008-04-03","2013-04-03","Per=Y","Days=T","Dir=V")</f>
        <v>0</v>
      </c>
      <c r="AK2">
        <f>BDH("HOKUQ US Equity","CF_CASH_FROM_OPER","2008-04-03","2013-04-03","Per=Y","Days=T","Dir=V")</f>
        <v>0</v>
      </c>
      <c r="AM2">
        <f>BDH("HOKUQ US Equity","CAPITAL_EXPEND","2008-04-03","2013-04-03","Per=Y","Days=T","Dir=V")</f>
        <v>0</v>
      </c>
      <c r="AO2">
        <f>BDH("HOKUQ US Equity","CF_FREE_CASH_FLOW","2008-04-03","2013-04-03","Per=Y","Days=T","Dir=V")</f>
        <v>0</v>
      </c>
      <c r="AQ2">
        <f>BDH("HOKUQ US Equity","PX_LAST","2008-04-03","2013-04-03","Per=M","Days=T","Dir=V")</f>
        <v>0</v>
      </c>
      <c r="AS2">
        <f>BDH("HOKUQ US Equity","CUR_MKT_CAP","2008-04-03","2013-04-03","Per=M","Days=T","Dir=V")</f>
        <v>0</v>
      </c>
      <c r="AU2">
        <f>BDH("HOKUQ US Equity","EQY_SH_OUT","2008-04-03","2013-04-03","Per=M","Days=T","Dir=V")</f>
        <v>0</v>
      </c>
      <c r="AW2">
        <f>BDH("HOKUQ US Equity","PX_VOLUME","2008-04-03","2013-04-03","Per=M","Days=T","Dir=V")</f>
        <v>0</v>
      </c>
      <c r="AY2">
        <f>BDH("HOKUQ US Equity","TURNOVER","2008-04-03","2013-04-03","Per=M","Days=T","Dir=V")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BDH("FFNTQ US Equity","BS_TOT_ASSET","2008-06-19","2013-06-19","Per=Y","Days=T","Dir=V")</f>
        <v>0</v>
      </c>
      <c r="C2">
        <f>BDH("FFNTQ US Equity","BS_TOT_LIAB2","2008-06-19","2013-06-19","Per=Y","Days=T","Dir=V")</f>
        <v>0</v>
      </c>
      <c r="E2">
        <f>BDH("FFNTQ US Equity","SHORT_AND_LONG_TERM_DEBT","2008-06-19","2013-06-19","Per=Y","Days=T","Dir=V")</f>
        <v>0</v>
      </c>
      <c r="G2">
        <f>BDH("FFNTQ US Equity","BS_ST_BORROW","2008-06-19","2013-06-19","Per=Y","Days=T","Dir=V")</f>
        <v>0</v>
      </c>
      <c r="I2">
        <f>BDH("FFNTQ US Equity","BS_LT_BORROW","2008-06-19","2013-06-19","Per=Y","Days=T","Dir=V")</f>
        <v>0</v>
      </c>
      <c r="K2">
        <f>BDH("FFNTQ US Equity","BS_CASH_NEAR_CASH_ITEM","2008-06-19","2013-06-19","Per=Y","Days=T","Dir=V")</f>
        <v>0</v>
      </c>
      <c r="M2">
        <f>BDH("FFNTQ US Equity","BS_CUR_ASSET_REPORT","2008-06-19","2013-06-19","Per=Y","Days=T","Dir=V")</f>
        <v>0</v>
      </c>
      <c r="O2">
        <f>BDH("FFNTQ US Equity","BS_CUR_LIAB","2008-06-19","2013-06-19","Per=Y","Days=T","Dir=V")</f>
        <v>0</v>
      </c>
      <c r="Q2">
        <f>BDH("FFNTQ US Equity","BS_SHAREHOLDER_EQY_ENDING_PERIOD","2008-06-19","2013-06-19","Per=Y","Days=T","Dir=V")</f>
        <v>0</v>
      </c>
      <c r="S2">
        <f>BDH("FFNTQ US Equity","BS_ACCT_NOTE_RCV","2008-06-19","2013-06-19","Per=Y","Days=T","Dir=V")</f>
        <v>0</v>
      </c>
      <c r="U2">
        <f>BDH("FFNTQ US Equity","BS_INVENTORIES","2008-06-19","2013-06-19","Per=Y","Days=T","Dir=V")</f>
        <v>0</v>
      </c>
      <c r="W2">
        <f>BDH("FFNTQ US Equity","WORKING_CAPITAL","2008-06-19","2013-06-19","Per=Y","Days=T","Dir=V")</f>
        <v>0</v>
      </c>
      <c r="Y2">
        <f>BDH("FFNTQ US Equity","SALES_REV_TURN","2008-06-19","2013-06-19","Per=Y","Days=T","Dir=V")</f>
        <v>0</v>
      </c>
      <c r="AA2">
        <f>BDH("FFNTQ US Equity","EBIT","2008-06-19","2013-06-19","Per=Y","Days=T","Dir=V")</f>
        <v>0</v>
      </c>
      <c r="AC2">
        <f>BDH("FFNTQ US Equity","EBITDA","2008-06-19","2013-06-19","Per=Y","Days=T","Dir=V")</f>
        <v>0</v>
      </c>
      <c r="AE2">
        <f>BDH("FFNTQ US Equity","NET_INCOME","2008-06-19","2013-06-19","Per=Y","Days=T","Dir=V")</f>
        <v>0</v>
      </c>
      <c r="AG2">
        <f>BDH("FFNTQ US Equity","IS_INT_EXPENSE","2008-06-19","2013-06-19","Per=Y","Days=T","Dir=V")</f>
        <v>0</v>
      </c>
      <c r="AI2">
        <f>BDH("FFNTQ US Equity","IS_DEPR_EXP","2008-06-19","2013-06-19","Per=Y","Days=T","Dir=V")</f>
        <v>0</v>
      </c>
      <c r="AK2">
        <f>BDH("FFNTQ US Equity","CF_CASH_FROM_OPER","2008-06-19","2013-06-19","Per=Y","Days=T","Dir=V")</f>
        <v>0</v>
      </c>
      <c r="AM2">
        <f>BDH("FFNTQ US Equity","CAPITAL_EXPEND","2008-06-19","2013-06-19","Per=Y","Days=T","Dir=V")</f>
        <v>0</v>
      </c>
      <c r="AO2">
        <f>BDH("FFNTQ US Equity","CF_FREE_CASH_FLOW","2008-06-19","2013-06-19","Per=Y","Days=T","Dir=V")</f>
        <v>0</v>
      </c>
      <c r="AQ2">
        <f>BDH("FFNTQ US Equity","PX_LAST","2008-06-19","2013-06-19","Per=M","Days=T","Dir=V")</f>
        <v>0</v>
      </c>
      <c r="AS2">
        <f>BDH("FFNTQ US Equity","CUR_MKT_CAP","2008-06-19","2013-06-19","Per=M","Days=T","Dir=V")</f>
        <v>0</v>
      </c>
      <c r="AU2">
        <f>BDH("FFNTQ US Equity","EQY_SH_OUT","2008-06-19","2013-06-19","Per=M","Days=T","Dir=V")</f>
        <v>0</v>
      </c>
      <c r="AW2">
        <f>BDH("FFNTQ US Equity","PX_VOLUME","2008-06-19","2013-06-19","Per=M","Days=T","Dir=V")</f>
        <v>0</v>
      </c>
      <c r="AY2">
        <f>BDH("FFNTQ US Equity","TURNOVER","2008-06-19","2013-06-19","Per=M","Days=T","Dir=V")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BDH("1917175D US Equity","BS_TOT_ASSET","2008-06-29","2013-06-29","Per=Y","Days=T","Dir=V")</f>
        <v>0</v>
      </c>
      <c r="C2">
        <f>BDH("1917175D US Equity","BS_TOT_LIAB2","2008-06-29","2013-06-29","Per=Y","Days=T","Dir=V")</f>
        <v>0</v>
      </c>
      <c r="E2">
        <f>BDH("1917175D US Equity","SHORT_AND_LONG_TERM_DEBT","2008-06-29","2013-06-29","Per=Y","Days=T","Dir=V")</f>
        <v>0</v>
      </c>
      <c r="G2">
        <f>BDH("1917175D US Equity","BS_ST_BORROW","2008-06-29","2013-06-29","Per=Y","Days=T","Dir=V")</f>
        <v>0</v>
      </c>
      <c r="I2">
        <f>BDH("1917175D US Equity","BS_LT_BORROW","2008-06-29","2013-06-29","Per=Y","Days=T","Dir=V")</f>
        <v>0</v>
      </c>
      <c r="K2">
        <f>BDH("1917175D US Equity","BS_CASH_NEAR_CASH_ITEM","2008-06-29","2013-06-29","Per=Y","Days=T","Dir=V")</f>
        <v>0</v>
      </c>
      <c r="M2">
        <f>BDH("1917175D US Equity","BS_CUR_ASSET_REPORT","2008-06-29","2013-06-29","Per=Y","Days=T","Dir=V")</f>
        <v>0</v>
      </c>
      <c r="O2">
        <f>BDH("1917175D US Equity","BS_CUR_LIAB","2008-06-29","2013-06-29","Per=Y","Days=T","Dir=V")</f>
        <v>0</v>
      </c>
      <c r="Q2">
        <f>BDH("1917175D US Equity","BS_SHAREHOLDER_EQY_ENDING_PERIOD","2008-06-29","2013-06-29","Per=Y","Days=T","Dir=V")</f>
        <v>0</v>
      </c>
      <c r="S2">
        <f>BDH("1917175D US Equity","BS_ACCT_NOTE_RCV","2008-06-29","2013-06-29","Per=Y","Days=T","Dir=V")</f>
        <v>0</v>
      </c>
      <c r="U2">
        <f>BDH("1917175D US Equity","BS_INVENTORIES","2008-06-29","2013-06-29","Per=Y","Days=T","Dir=V")</f>
        <v>0</v>
      </c>
      <c r="W2">
        <f>BDH("1917175D US Equity","WORKING_CAPITAL","2008-06-29","2013-06-29","Per=Y","Days=T","Dir=V")</f>
        <v>0</v>
      </c>
      <c r="Y2">
        <f>BDH("1917175D US Equity","SALES_REV_TURN","2008-06-29","2013-06-29","Per=Y","Days=T","Dir=V")</f>
        <v>0</v>
      </c>
      <c r="AA2">
        <f>BDH("1917175D US Equity","EBIT","2008-06-29","2013-06-29","Per=Y","Days=T","Dir=V")</f>
        <v>0</v>
      </c>
      <c r="AC2">
        <f>BDH("1917175D US Equity","EBITDA","2008-06-29","2013-06-29","Per=Y","Days=T","Dir=V")</f>
        <v>0</v>
      </c>
      <c r="AE2">
        <f>BDH("1917175D US Equity","NET_INCOME","2008-06-29","2013-06-29","Per=Y","Days=T","Dir=V")</f>
        <v>0</v>
      </c>
      <c r="AG2">
        <f>BDH("1917175D US Equity","IS_INT_EXPENSE","2008-06-29","2013-06-29","Per=Y","Days=T","Dir=V")</f>
        <v>0</v>
      </c>
      <c r="AI2">
        <f>BDH("1917175D US Equity","IS_DEPR_EXP","2008-06-29","2013-06-29","Per=Y","Days=T","Dir=V")</f>
        <v>0</v>
      </c>
      <c r="AK2">
        <f>BDH("1917175D US Equity","CF_CASH_FROM_OPER","2008-06-29","2013-06-29","Per=Y","Days=T","Dir=V")</f>
        <v>0</v>
      </c>
      <c r="AM2">
        <f>BDH("1917175D US Equity","CAPITAL_EXPEND","2008-06-29","2013-06-29","Per=Y","Days=T","Dir=V")</f>
        <v>0</v>
      </c>
      <c r="AO2">
        <f>BDH("1917175D US Equity","CF_FREE_CASH_FLOW","2008-06-29","2013-06-29","Per=Y","Days=T","Dir=V")</f>
        <v>0</v>
      </c>
      <c r="AQ2">
        <f>BDH("1917175D US Equity","PX_LAST","2008-06-29","2013-06-29","Per=M","Days=T","Dir=V")</f>
        <v>0</v>
      </c>
      <c r="AS2">
        <f>BDH("1917175D US Equity","CUR_MKT_CAP","2008-06-29","2013-06-29","Per=M","Days=T","Dir=V")</f>
        <v>0</v>
      </c>
      <c r="AU2">
        <f>BDH("1917175D US Equity","EQY_SH_OUT","2008-06-29","2013-06-29","Per=M","Days=T","Dir=V")</f>
        <v>0</v>
      </c>
      <c r="AW2">
        <f>BDH("1917175D US Equity","PX_VOLUME","2008-06-29","2013-06-29","Per=M","Days=T","Dir=V")</f>
        <v>0</v>
      </c>
      <c r="AY2">
        <f>BDH("1917175D US Equity","TURNOVER","2008-06-29","2013-06-29","Per=M","Days=T","Dir=V")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BDH("DOLNQ US Equity","BS_TOT_ASSET","2008-12-23","2013-12-23","Per=Y","Days=T","Dir=V")</f>
        <v>0</v>
      </c>
      <c r="C2">
        <f>BDH("DOLNQ US Equity","BS_TOT_LIAB2","2008-12-23","2013-12-23","Per=Y","Days=T","Dir=V")</f>
        <v>0</v>
      </c>
      <c r="E2">
        <f>BDH("DOLNQ US Equity","SHORT_AND_LONG_TERM_DEBT","2008-12-23","2013-12-23","Per=Y","Days=T","Dir=V")</f>
        <v>0</v>
      </c>
      <c r="G2">
        <f>BDH("DOLNQ US Equity","BS_ST_BORROW","2008-12-23","2013-12-23","Per=Y","Days=T","Dir=V")</f>
        <v>0</v>
      </c>
      <c r="I2">
        <f>BDH("DOLNQ US Equity","BS_LT_BORROW","2008-12-23","2013-12-23","Per=Y","Days=T","Dir=V")</f>
        <v>0</v>
      </c>
      <c r="K2">
        <f>BDH("DOLNQ US Equity","BS_CASH_NEAR_CASH_ITEM","2008-12-23","2013-12-23","Per=Y","Days=T","Dir=V")</f>
        <v>0</v>
      </c>
      <c r="M2">
        <f>BDH("DOLNQ US Equity","BS_CUR_ASSET_REPORT","2008-12-23","2013-12-23","Per=Y","Days=T","Dir=V")</f>
        <v>0</v>
      </c>
      <c r="O2">
        <f>BDH("DOLNQ US Equity","BS_CUR_LIAB","2008-12-23","2013-12-23","Per=Y","Days=T","Dir=V")</f>
        <v>0</v>
      </c>
      <c r="Q2">
        <f>BDH("DOLNQ US Equity","BS_SHAREHOLDER_EQY_ENDING_PERIOD","2008-12-23","2013-12-23","Per=Y","Days=T","Dir=V")</f>
        <v>0</v>
      </c>
      <c r="S2">
        <f>BDH("DOLNQ US Equity","BS_ACCT_NOTE_RCV","2008-12-23","2013-12-23","Per=Y","Days=T","Dir=V")</f>
        <v>0</v>
      </c>
      <c r="U2">
        <f>BDH("DOLNQ US Equity","BS_INVENTORIES","2008-12-23","2013-12-23","Per=Y","Days=T","Dir=V")</f>
        <v>0</v>
      </c>
      <c r="W2">
        <f>BDH("DOLNQ US Equity","WORKING_CAPITAL","2008-12-23","2013-12-23","Per=Y","Days=T","Dir=V")</f>
        <v>0</v>
      </c>
      <c r="Y2">
        <f>BDH("DOLNQ US Equity","SALES_REV_TURN","2008-12-23","2013-12-23","Per=Y","Days=T","Dir=V")</f>
        <v>0</v>
      </c>
      <c r="AA2">
        <f>BDH("DOLNQ US Equity","EBIT","2008-12-23","2013-12-23","Per=Y","Days=T","Dir=V")</f>
        <v>0</v>
      </c>
      <c r="AC2">
        <f>BDH("DOLNQ US Equity","EBITDA","2008-12-23","2013-12-23","Per=Y","Days=T","Dir=V")</f>
        <v>0</v>
      </c>
      <c r="AE2">
        <f>BDH("DOLNQ US Equity","NET_INCOME","2008-12-23","2013-12-23","Per=Y","Days=T","Dir=V")</f>
        <v>0</v>
      </c>
      <c r="AG2">
        <f>BDH("DOLNQ US Equity","IS_INT_EXPENSE","2008-12-23","2013-12-23","Per=Y","Days=T","Dir=V")</f>
        <v>0</v>
      </c>
      <c r="AI2">
        <f>BDH("DOLNQ US Equity","IS_DEPR_EXP","2008-12-23","2013-12-23","Per=Y","Days=T","Dir=V")</f>
        <v>0</v>
      </c>
      <c r="AK2">
        <f>BDH("DOLNQ US Equity","CF_CASH_FROM_OPER","2008-12-23","2013-12-23","Per=Y","Days=T","Dir=V")</f>
        <v>0</v>
      </c>
      <c r="AM2">
        <f>BDH("DOLNQ US Equity","CAPITAL_EXPEND","2008-12-23","2013-12-23","Per=Y","Days=T","Dir=V")</f>
        <v>0</v>
      </c>
      <c r="AO2">
        <f>BDH("DOLNQ US Equity","CF_FREE_CASH_FLOW","2008-12-23","2013-12-23","Per=Y","Days=T","Dir=V")</f>
        <v>0</v>
      </c>
      <c r="AQ2">
        <f>BDH("DOLNQ US Equity","PX_LAST","2008-12-23","2013-12-23","Per=M","Days=T","Dir=V")</f>
        <v>0</v>
      </c>
      <c r="AS2">
        <f>BDH("DOLNQ US Equity","CUR_MKT_CAP","2008-12-23","2013-12-23","Per=M","Days=T","Dir=V")</f>
        <v>0</v>
      </c>
      <c r="AU2">
        <f>BDH("DOLNQ US Equity","EQY_SH_OUT","2008-12-23","2013-12-23","Per=M","Days=T","Dir=V")</f>
        <v>0</v>
      </c>
      <c r="AW2">
        <f>BDH("DOLNQ US Equity","PX_VOLUME","2008-12-23","2013-12-23","Per=M","Days=T","Dir=V")</f>
        <v>0</v>
      </c>
      <c r="AY2">
        <f>BDH("DOLNQ US Equity","TURNOVER","2008-12-23","2013-12-23","Per=M","Days=T","Dir=V")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BDH("CWTRQ US Equity","BS_TOT_ASSET","2009-01-11","2014-01-11","Per=Y","Days=T","Dir=V")</f>
        <v>0</v>
      </c>
      <c r="C2">
        <f>BDH("CWTRQ US Equity","BS_TOT_LIAB2","2009-01-11","2014-01-11","Per=Y","Days=T","Dir=V")</f>
        <v>0</v>
      </c>
      <c r="E2">
        <f>BDH("CWTRQ US Equity","SHORT_AND_LONG_TERM_DEBT","2009-01-11","2014-01-11","Per=Y","Days=T","Dir=V")</f>
        <v>0</v>
      </c>
      <c r="G2">
        <f>BDH("CWTRQ US Equity","BS_ST_BORROW","2009-01-11","2014-01-11","Per=Y","Days=T","Dir=V")</f>
        <v>0</v>
      </c>
      <c r="I2">
        <f>BDH("CWTRQ US Equity","BS_LT_BORROW","2009-01-11","2014-01-11","Per=Y","Days=T","Dir=V")</f>
        <v>0</v>
      </c>
      <c r="K2">
        <f>BDH("CWTRQ US Equity","BS_CASH_NEAR_CASH_ITEM","2009-01-11","2014-01-11","Per=Y","Days=T","Dir=V")</f>
        <v>0</v>
      </c>
      <c r="M2">
        <f>BDH("CWTRQ US Equity","BS_CUR_ASSET_REPORT","2009-01-11","2014-01-11","Per=Y","Days=T","Dir=V")</f>
        <v>0</v>
      </c>
      <c r="O2">
        <f>BDH("CWTRQ US Equity","BS_CUR_LIAB","2009-01-11","2014-01-11","Per=Y","Days=T","Dir=V")</f>
        <v>0</v>
      </c>
      <c r="Q2">
        <f>BDH("CWTRQ US Equity","BS_SHAREHOLDER_EQY_ENDING_PERIOD","2009-01-11","2014-01-11","Per=Y","Days=T","Dir=V")</f>
        <v>0</v>
      </c>
      <c r="S2">
        <f>BDH("CWTRQ US Equity","BS_ACCT_NOTE_RCV","2009-01-11","2014-01-11","Per=Y","Days=T","Dir=V")</f>
        <v>0</v>
      </c>
      <c r="U2">
        <f>BDH("CWTRQ US Equity","BS_INVENTORIES","2009-01-11","2014-01-11","Per=Y","Days=T","Dir=V")</f>
        <v>0</v>
      </c>
      <c r="W2">
        <f>BDH("CWTRQ US Equity","WORKING_CAPITAL","2009-01-11","2014-01-11","Per=Y","Days=T","Dir=V")</f>
        <v>0</v>
      </c>
      <c r="Y2">
        <f>BDH("CWTRQ US Equity","SALES_REV_TURN","2009-01-11","2014-01-11","Per=Y","Days=T","Dir=V")</f>
        <v>0</v>
      </c>
      <c r="AA2">
        <f>BDH("CWTRQ US Equity","EBIT","2009-01-11","2014-01-11","Per=Y","Days=T","Dir=V")</f>
        <v>0</v>
      </c>
      <c r="AC2">
        <f>BDH("CWTRQ US Equity","EBITDA","2009-01-11","2014-01-11","Per=Y","Days=T","Dir=V")</f>
        <v>0</v>
      </c>
      <c r="AE2">
        <f>BDH("CWTRQ US Equity","NET_INCOME","2009-01-11","2014-01-11","Per=Y","Days=T","Dir=V")</f>
        <v>0</v>
      </c>
      <c r="AG2">
        <f>BDH("CWTRQ US Equity","IS_INT_EXPENSE","2009-01-11","2014-01-11","Per=Y","Days=T","Dir=V")</f>
        <v>0</v>
      </c>
      <c r="AI2">
        <f>BDH("CWTRQ US Equity","IS_DEPR_EXP","2009-01-11","2014-01-11","Per=Y","Days=T","Dir=V")</f>
        <v>0</v>
      </c>
      <c r="AK2">
        <f>BDH("CWTRQ US Equity","CF_CASH_FROM_OPER","2009-01-11","2014-01-11","Per=Y","Days=T","Dir=V")</f>
        <v>0</v>
      </c>
      <c r="AM2">
        <f>BDH("CWTRQ US Equity","CAPITAL_EXPEND","2009-01-11","2014-01-11","Per=Y","Days=T","Dir=V")</f>
        <v>0</v>
      </c>
      <c r="AO2">
        <f>BDH("CWTRQ US Equity","CF_FREE_CASH_FLOW","2009-01-11","2014-01-11","Per=Y","Days=T","Dir=V")</f>
        <v>0</v>
      </c>
      <c r="AQ2">
        <f>BDH("CWTRQ US Equity","PX_LAST","2009-01-11","2014-01-11","Per=M","Days=T","Dir=V")</f>
        <v>0</v>
      </c>
      <c r="AS2">
        <f>BDH("CWTRQ US Equity","CUR_MKT_CAP","2009-01-11","2014-01-11","Per=M","Days=T","Dir=V")</f>
        <v>0</v>
      </c>
      <c r="AU2">
        <f>BDH("CWTRQ US Equity","EQY_SH_OUT","2009-01-11","2014-01-11","Per=M","Days=T","Dir=V")</f>
        <v>0</v>
      </c>
      <c r="AW2">
        <f>BDH("CWTRQ US Equity","PX_VOLUME","2009-01-11","2014-01-11","Per=M","Days=T","Dir=V")</f>
        <v>0</v>
      </c>
      <c r="AY2">
        <f>BDH("CWTRQ US Equity","TURNOVER","2009-01-11","2014-01-11","Per=M","Days=T","Dir=V")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BDH("RSHCQ US Equity","BS_TOT_ASSET","2009-11-07","2014-11-07","Per=Y","Days=T","Dir=V")</f>
        <v>0</v>
      </c>
      <c r="C2">
        <f>BDH("RSHCQ US Equity","BS_TOT_LIAB2","2009-11-07","2014-11-07","Per=Y","Days=T","Dir=V")</f>
        <v>0</v>
      </c>
      <c r="E2">
        <f>BDH("RSHCQ US Equity","SHORT_AND_LONG_TERM_DEBT","2009-11-07","2014-11-07","Per=Y","Days=T","Dir=V")</f>
        <v>0</v>
      </c>
      <c r="G2">
        <f>BDH("RSHCQ US Equity","BS_ST_BORROW","2009-11-07","2014-11-07","Per=Y","Days=T","Dir=V")</f>
        <v>0</v>
      </c>
      <c r="I2">
        <f>BDH("RSHCQ US Equity","BS_LT_BORROW","2009-11-07","2014-11-07","Per=Y","Days=T","Dir=V")</f>
        <v>0</v>
      </c>
      <c r="K2">
        <f>BDH("RSHCQ US Equity","BS_CASH_NEAR_CASH_ITEM","2009-11-07","2014-11-07","Per=Y","Days=T","Dir=V")</f>
        <v>0</v>
      </c>
      <c r="M2">
        <f>BDH("RSHCQ US Equity","BS_CUR_ASSET_REPORT","2009-11-07","2014-11-07","Per=Y","Days=T","Dir=V")</f>
        <v>0</v>
      </c>
      <c r="O2">
        <f>BDH("RSHCQ US Equity","BS_CUR_LIAB","2009-11-07","2014-11-07","Per=Y","Days=T","Dir=V")</f>
        <v>0</v>
      </c>
      <c r="Q2">
        <f>BDH("RSHCQ US Equity","BS_SHAREHOLDER_EQY_ENDING_PERIOD","2009-11-07","2014-11-07","Per=Y","Days=T","Dir=V")</f>
        <v>0</v>
      </c>
      <c r="S2">
        <f>BDH("RSHCQ US Equity","BS_ACCT_NOTE_RCV","2009-11-07","2014-11-07","Per=Y","Days=T","Dir=V")</f>
        <v>0</v>
      </c>
      <c r="U2">
        <f>BDH("RSHCQ US Equity","BS_INVENTORIES","2009-11-07","2014-11-07","Per=Y","Days=T","Dir=V")</f>
        <v>0</v>
      </c>
      <c r="W2">
        <f>BDH("RSHCQ US Equity","WORKING_CAPITAL","2009-11-07","2014-11-07","Per=Y","Days=T","Dir=V")</f>
        <v>0</v>
      </c>
      <c r="Y2">
        <f>BDH("RSHCQ US Equity","SALES_REV_TURN","2009-11-07","2014-11-07","Per=Y","Days=T","Dir=V")</f>
        <v>0</v>
      </c>
      <c r="AA2">
        <f>BDH("RSHCQ US Equity","EBIT","2009-11-07","2014-11-07","Per=Y","Days=T","Dir=V")</f>
        <v>0</v>
      </c>
      <c r="AC2">
        <f>BDH("RSHCQ US Equity","EBITDA","2009-11-07","2014-11-07","Per=Y","Days=T","Dir=V")</f>
        <v>0</v>
      </c>
      <c r="AE2">
        <f>BDH("RSHCQ US Equity","NET_INCOME","2009-11-07","2014-11-07","Per=Y","Days=T","Dir=V")</f>
        <v>0</v>
      </c>
      <c r="AG2">
        <f>BDH("RSHCQ US Equity","IS_INT_EXPENSE","2009-11-07","2014-11-07","Per=Y","Days=T","Dir=V")</f>
        <v>0</v>
      </c>
      <c r="AI2">
        <f>BDH("RSHCQ US Equity","IS_DEPR_EXP","2009-11-07","2014-11-07","Per=Y","Days=T","Dir=V")</f>
        <v>0</v>
      </c>
      <c r="AK2">
        <f>BDH("RSHCQ US Equity","CF_CASH_FROM_OPER","2009-11-07","2014-11-07","Per=Y","Days=T","Dir=V")</f>
        <v>0</v>
      </c>
      <c r="AM2">
        <f>BDH("RSHCQ US Equity","CAPITAL_EXPEND","2009-11-07","2014-11-07","Per=Y","Days=T","Dir=V")</f>
        <v>0</v>
      </c>
      <c r="AO2">
        <f>BDH("RSHCQ US Equity","CF_FREE_CASH_FLOW","2009-11-07","2014-11-07","Per=Y","Days=T","Dir=V")</f>
        <v>0</v>
      </c>
      <c r="AQ2">
        <f>BDH("RSHCQ US Equity","PX_LAST","2009-11-07","2014-11-07","Per=M","Days=T","Dir=V")</f>
        <v>0</v>
      </c>
      <c r="AS2">
        <f>BDH("RSHCQ US Equity","CUR_MKT_CAP","2009-11-07","2014-11-07","Per=M","Days=T","Dir=V")</f>
        <v>0</v>
      </c>
      <c r="AU2">
        <f>BDH("RSHCQ US Equity","EQY_SH_OUT","2009-11-07","2014-11-07","Per=M","Days=T","Dir=V")</f>
        <v>0</v>
      </c>
      <c r="AW2">
        <f>BDH("RSHCQ US Equity","PX_VOLUME","2009-11-07","2014-11-07","Per=M","Days=T","Dir=V")</f>
        <v>0</v>
      </c>
      <c r="AY2">
        <f>BDH("RSHCQ US Equity","TURNOVER","2009-11-07","2014-11-07","Per=M","Days=T","Dir=V")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BDH("CDVIQ US Equity","BS_TOT_ASSET","2009-12-03","2014-12-03","Per=Y","Days=T","Dir=V")</f>
        <v>0</v>
      </c>
      <c r="C2">
        <f>BDH("CDVIQ US Equity","BS_TOT_LIAB2","2009-12-03","2014-12-03","Per=Y","Days=T","Dir=V")</f>
        <v>0</v>
      </c>
      <c r="E2">
        <f>BDH("CDVIQ US Equity","SHORT_AND_LONG_TERM_DEBT","2009-12-03","2014-12-03","Per=Y","Days=T","Dir=V")</f>
        <v>0</v>
      </c>
      <c r="G2">
        <f>BDH("CDVIQ US Equity","BS_ST_BORROW","2009-12-03","2014-12-03","Per=Y","Days=T","Dir=V")</f>
        <v>0</v>
      </c>
      <c r="I2">
        <f>BDH("CDVIQ US Equity","BS_LT_BORROW","2009-12-03","2014-12-03","Per=Y","Days=T","Dir=V")</f>
        <v>0</v>
      </c>
      <c r="K2">
        <f>BDH("CDVIQ US Equity","BS_CASH_NEAR_CASH_ITEM","2009-12-03","2014-12-03","Per=Y","Days=T","Dir=V")</f>
        <v>0</v>
      </c>
      <c r="M2">
        <f>BDH("CDVIQ US Equity","BS_CUR_ASSET_REPORT","2009-12-03","2014-12-03","Per=Y","Days=T","Dir=V")</f>
        <v>0</v>
      </c>
      <c r="O2">
        <f>BDH("CDVIQ US Equity","BS_CUR_LIAB","2009-12-03","2014-12-03","Per=Y","Days=T","Dir=V")</f>
        <v>0</v>
      </c>
      <c r="Q2">
        <f>BDH("CDVIQ US Equity","BS_SHAREHOLDER_EQY_ENDING_PERIOD","2009-12-03","2014-12-03","Per=Y","Days=T","Dir=V")</f>
        <v>0</v>
      </c>
      <c r="S2">
        <f>BDH("CDVIQ US Equity","BS_ACCT_NOTE_RCV","2009-12-03","2014-12-03","Per=Y","Days=T","Dir=V")</f>
        <v>0</v>
      </c>
      <c r="U2">
        <f>BDH("CDVIQ US Equity","BS_INVENTORIES","2009-12-03","2014-12-03","Per=Y","Days=T","Dir=V")</f>
        <v>0</v>
      </c>
      <c r="W2">
        <f>BDH("CDVIQ US Equity","WORKING_CAPITAL","2009-12-03","2014-12-03","Per=Y","Days=T","Dir=V")</f>
        <v>0</v>
      </c>
      <c r="Y2">
        <f>BDH("CDVIQ US Equity","SALES_REV_TURN","2009-12-03","2014-12-03","Per=Y","Days=T","Dir=V")</f>
        <v>0</v>
      </c>
      <c r="AA2">
        <f>BDH("CDVIQ US Equity","EBIT","2009-12-03","2014-12-03","Per=Y","Days=T","Dir=V")</f>
        <v>0</v>
      </c>
      <c r="AC2">
        <f>BDH("CDVIQ US Equity","EBITDA","2009-12-03","2014-12-03","Per=Y","Days=T","Dir=V")</f>
        <v>0</v>
      </c>
      <c r="AE2">
        <f>BDH("CDVIQ US Equity","NET_INCOME","2009-12-03","2014-12-03","Per=Y","Days=T","Dir=V")</f>
        <v>0</v>
      </c>
      <c r="AG2">
        <f>BDH("CDVIQ US Equity","IS_INT_EXPENSE","2009-12-03","2014-12-03","Per=Y","Days=T","Dir=V")</f>
        <v>0</v>
      </c>
      <c r="AI2">
        <f>BDH("CDVIQ US Equity","IS_DEPR_EXP","2009-12-03","2014-12-03","Per=Y","Days=T","Dir=V")</f>
        <v>0</v>
      </c>
      <c r="AK2">
        <f>BDH("CDVIQ US Equity","CF_CASH_FROM_OPER","2009-12-03","2014-12-03","Per=Y","Days=T","Dir=V")</f>
        <v>0</v>
      </c>
      <c r="AM2">
        <f>BDH("CDVIQ US Equity","CAPITAL_EXPEND","2009-12-03","2014-12-03","Per=Y","Days=T","Dir=V")</f>
        <v>0</v>
      </c>
      <c r="AO2">
        <f>BDH("CDVIQ US Equity","CF_FREE_CASH_FLOW","2009-12-03","2014-12-03","Per=Y","Days=T","Dir=V")</f>
        <v>0</v>
      </c>
      <c r="AQ2">
        <f>BDH("CDVIQ US Equity","PX_LAST","2009-12-03","2014-12-03","Per=M","Days=T","Dir=V")</f>
        <v>0</v>
      </c>
      <c r="AS2">
        <f>BDH("CDVIQ US Equity","CUR_MKT_CAP","2009-12-03","2014-12-03","Per=M","Days=T","Dir=V")</f>
        <v>0</v>
      </c>
      <c r="AU2">
        <f>BDH("CDVIQ US Equity","EQY_SH_OUT","2009-12-03","2014-12-03","Per=M","Days=T","Dir=V")</f>
        <v>0</v>
      </c>
      <c r="AW2">
        <f>BDH("CDVIQ US Equity","PX_VOLUME","2009-12-03","2014-12-03","Per=M","Days=T","Dir=V")</f>
        <v>0</v>
      </c>
      <c r="AY2">
        <f>BDH("CDVIQ US Equity","TURNOVER","2009-12-03","2014-12-03","Per=M","Days=T","Dir=V")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BDH("SRCTQ US Equity","BS_TOT_ASSET","2009-12-12","2014-12-12","Per=Y","Days=T","Dir=V")</f>
        <v>0</v>
      </c>
      <c r="C2">
        <f>BDH("SRCTQ US Equity","BS_TOT_LIAB2","2009-12-12","2014-12-12","Per=Y","Days=T","Dir=V")</f>
        <v>0</v>
      </c>
      <c r="E2">
        <f>BDH("SRCTQ US Equity","SHORT_AND_LONG_TERM_DEBT","2009-12-12","2014-12-12","Per=Y","Days=T","Dir=V")</f>
        <v>0</v>
      </c>
      <c r="G2">
        <f>BDH("SRCTQ US Equity","BS_ST_BORROW","2009-12-12","2014-12-12","Per=Y","Days=T","Dir=V")</f>
        <v>0</v>
      </c>
      <c r="I2">
        <f>BDH("SRCTQ US Equity","BS_LT_BORROW","2009-12-12","2014-12-12","Per=Y","Days=T","Dir=V")</f>
        <v>0</v>
      </c>
      <c r="K2">
        <f>BDH("SRCTQ US Equity","BS_CASH_NEAR_CASH_ITEM","2009-12-12","2014-12-12","Per=Y","Days=T","Dir=V")</f>
        <v>0</v>
      </c>
      <c r="M2">
        <f>BDH("SRCTQ US Equity","BS_CUR_ASSET_REPORT","2009-12-12","2014-12-12","Per=Y","Days=T","Dir=V")</f>
        <v>0</v>
      </c>
      <c r="O2">
        <f>BDH("SRCTQ US Equity","BS_CUR_LIAB","2009-12-12","2014-12-12","Per=Y","Days=T","Dir=V")</f>
        <v>0</v>
      </c>
      <c r="Q2">
        <f>BDH("SRCTQ US Equity","BS_SHAREHOLDER_EQY_ENDING_PERIOD","2009-12-12","2014-12-12","Per=Y","Days=T","Dir=V")</f>
        <v>0</v>
      </c>
      <c r="S2">
        <f>BDH("SRCTQ US Equity","BS_ACCT_NOTE_RCV","2009-12-12","2014-12-12","Per=Y","Days=T","Dir=V")</f>
        <v>0</v>
      </c>
      <c r="U2">
        <f>BDH("SRCTQ US Equity","BS_INVENTORIES","2009-12-12","2014-12-12","Per=Y","Days=T","Dir=V")</f>
        <v>0</v>
      </c>
      <c r="W2">
        <f>BDH("SRCTQ US Equity","WORKING_CAPITAL","2009-12-12","2014-12-12","Per=Y","Days=T","Dir=V")</f>
        <v>0</v>
      </c>
      <c r="Y2">
        <f>BDH("SRCTQ US Equity","SALES_REV_TURN","2009-12-12","2014-12-12","Per=Y","Days=T","Dir=V")</f>
        <v>0</v>
      </c>
      <c r="AA2">
        <f>BDH("SRCTQ US Equity","EBIT","2009-12-12","2014-12-12","Per=Y","Days=T","Dir=V")</f>
        <v>0</v>
      </c>
      <c r="AC2">
        <f>BDH("SRCTQ US Equity","EBITDA","2009-12-12","2014-12-12","Per=Y","Days=T","Dir=V")</f>
        <v>0</v>
      </c>
      <c r="AE2">
        <f>BDH("SRCTQ US Equity","NET_INCOME","2009-12-12","2014-12-12","Per=Y","Days=T","Dir=V")</f>
        <v>0</v>
      </c>
      <c r="AG2">
        <f>BDH("SRCTQ US Equity","IS_INT_EXPENSE","2009-12-12","2014-12-12","Per=Y","Days=T","Dir=V")</f>
        <v>0</v>
      </c>
      <c r="AI2">
        <f>BDH("SRCTQ US Equity","IS_DEPR_EXP","2009-12-12","2014-12-12","Per=Y","Days=T","Dir=V")</f>
        <v>0</v>
      </c>
      <c r="AK2">
        <f>BDH("SRCTQ US Equity","CF_CASH_FROM_OPER","2009-12-12","2014-12-12","Per=Y","Days=T","Dir=V")</f>
        <v>0</v>
      </c>
      <c r="AM2">
        <f>BDH("SRCTQ US Equity","CAPITAL_EXPEND","2009-12-12","2014-12-12","Per=Y","Days=T","Dir=V")</f>
        <v>0</v>
      </c>
      <c r="AO2">
        <f>BDH("SRCTQ US Equity","CF_FREE_CASH_FLOW","2009-12-12","2014-12-12","Per=Y","Days=T","Dir=V")</f>
        <v>0</v>
      </c>
      <c r="AQ2">
        <f>BDH("SRCTQ US Equity","PX_LAST","2009-12-12","2014-12-12","Per=M","Days=T","Dir=V")</f>
        <v>0</v>
      </c>
      <c r="AS2">
        <f>BDH("SRCTQ US Equity","CUR_MKT_CAP","2009-12-12","2014-12-12","Per=M","Days=T","Dir=V")</f>
        <v>0</v>
      </c>
      <c r="AU2">
        <f>BDH("SRCTQ US Equity","EQY_SH_OUT","2009-12-12","2014-12-12","Per=M","Days=T","Dir=V")</f>
        <v>0</v>
      </c>
      <c r="AW2">
        <f>BDH("SRCTQ US Equity","PX_VOLUME","2009-12-12","2014-12-12","Per=M","Days=T","Dir=V")</f>
        <v>0</v>
      </c>
      <c r="AY2">
        <f>BDH("SRCTQ US Equity","TURNOVER","2009-12-12","2014-12-12","Per=M","Days=T","Dir=V")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BDH("KWKAQ US Equity","BS_TOT_ASSET","2009-12-17","2014-12-17","Per=Y","Days=T","Dir=V")</f>
        <v>0</v>
      </c>
      <c r="C2">
        <f>BDH("KWKAQ US Equity","BS_TOT_LIAB2","2009-12-17","2014-12-17","Per=Y","Days=T","Dir=V")</f>
        <v>0</v>
      </c>
      <c r="E2">
        <f>BDH("KWKAQ US Equity","SHORT_AND_LONG_TERM_DEBT","2009-12-17","2014-12-17","Per=Y","Days=T","Dir=V")</f>
        <v>0</v>
      </c>
      <c r="G2">
        <f>BDH("KWKAQ US Equity","BS_ST_BORROW","2009-12-17","2014-12-17","Per=Y","Days=T","Dir=V")</f>
        <v>0</v>
      </c>
      <c r="I2">
        <f>BDH("KWKAQ US Equity","BS_LT_BORROW","2009-12-17","2014-12-17","Per=Y","Days=T","Dir=V")</f>
        <v>0</v>
      </c>
      <c r="K2">
        <f>BDH("KWKAQ US Equity","BS_CASH_NEAR_CASH_ITEM","2009-12-17","2014-12-17","Per=Y","Days=T","Dir=V")</f>
        <v>0</v>
      </c>
      <c r="M2">
        <f>BDH("KWKAQ US Equity","BS_CUR_ASSET_REPORT","2009-12-17","2014-12-17","Per=Y","Days=T","Dir=V")</f>
        <v>0</v>
      </c>
      <c r="O2">
        <f>BDH("KWKAQ US Equity","BS_CUR_LIAB","2009-12-17","2014-12-17","Per=Y","Days=T","Dir=V")</f>
        <v>0</v>
      </c>
      <c r="Q2">
        <f>BDH("KWKAQ US Equity","BS_SHAREHOLDER_EQY_ENDING_PERIOD","2009-12-17","2014-12-17","Per=Y","Days=T","Dir=V")</f>
        <v>0</v>
      </c>
      <c r="S2">
        <f>BDH("KWKAQ US Equity","BS_ACCT_NOTE_RCV","2009-12-17","2014-12-17","Per=Y","Days=T","Dir=V")</f>
        <v>0</v>
      </c>
      <c r="U2">
        <f>BDH("KWKAQ US Equity","BS_INVENTORIES","2009-12-17","2014-12-17","Per=Y","Days=T","Dir=V")</f>
        <v>0</v>
      </c>
      <c r="W2">
        <f>BDH("KWKAQ US Equity","WORKING_CAPITAL","2009-12-17","2014-12-17","Per=Y","Days=T","Dir=V")</f>
        <v>0</v>
      </c>
      <c r="Y2">
        <f>BDH("KWKAQ US Equity","SALES_REV_TURN","2009-12-17","2014-12-17","Per=Y","Days=T","Dir=V")</f>
        <v>0</v>
      </c>
      <c r="AA2">
        <f>BDH("KWKAQ US Equity","EBIT","2009-12-17","2014-12-17","Per=Y","Days=T","Dir=V")</f>
        <v>0</v>
      </c>
      <c r="AC2">
        <f>BDH("KWKAQ US Equity","EBITDA","2009-12-17","2014-12-17","Per=Y","Days=T","Dir=V")</f>
        <v>0</v>
      </c>
      <c r="AE2">
        <f>BDH("KWKAQ US Equity","NET_INCOME","2009-12-17","2014-12-17","Per=Y","Days=T","Dir=V")</f>
        <v>0</v>
      </c>
      <c r="AG2">
        <f>BDH("KWKAQ US Equity","IS_INT_EXPENSE","2009-12-17","2014-12-17","Per=Y","Days=T","Dir=V")</f>
        <v>0</v>
      </c>
      <c r="AI2">
        <f>BDH("KWKAQ US Equity","IS_DEPR_EXP","2009-12-17","2014-12-17","Per=Y","Days=T","Dir=V")</f>
        <v>0</v>
      </c>
      <c r="AK2">
        <f>BDH("KWKAQ US Equity","CF_CASH_FROM_OPER","2009-12-17","2014-12-17","Per=Y","Days=T","Dir=V")</f>
        <v>0</v>
      </c>
      <c r="AM2">
        <f>BDH("KWKAQ US Equity","CAPITAL_EXPEND","2009-12-17","2014-12-17","Per=Y","Days=T","Dir=V")</f>
        <v>0</v>
      </c>
      <c r="AO2">
        <f>BDH("KWKAQ US Equity","CF_FREE_CASH_FLOW","2009-12-17","2014-12-17","Per=Y","Days=T","Dir=V")</f>
        <v>0</v>
      </c>
      <c r="AQ2">
        <f>BDH("KWKAQ US Equity","PX_LAST","2009-12-17","2014-12-17","Per=M","Days=T","Dir=V")</f>
        <v>0</v>
      </c>
      <c r="AS2">
        <f>BDH("KWKAQ US Equity","CUR_MKT_CAP","2009-12-17","2014-12-17","Per=M","Days=T","Dir=V")</f>
        <v>0</v>
      </c>
      <c r="AU2">
        <f>BDH("KWKAQ US Equity","EQY_SH_OUT","2009-12-17","2014-12-17","Per=M","Days=T","Dir=V")</f>
        <v>0</v>
      </c>
      <c r="AW2">
        <f>BDH("KWKAQ US Equity","PX_VOLUME","2009-12-17","2014-12-17","Per=M","Days=T","Dir=V")</f>
        <v>0</v>
      </c>
      <c r="AY2">
        <f>BDH("KWKAQ US Equity","TURNOVER","2009-12-17","2014-12-17","Per=M","Days=T","Dir=V")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BDH("COCOQ US Equity","BS_TOT_ASSET","2010-02-03","2015-02-03","Per=Y","Days=T","Dir=V")</f>
        <v>0</v>
      </c>
      <c r="C2">
        <f>BDH("COCOQ US Equity","BS_TOT_LIAB2","2010-02-03","2015-02-03","Per=Y","Days=T","Dir=V")</f>
        <v>0</v>
      </c>
      <c r="E2">
        <f>BDH("COCOQ US Equity","SHORT_AND_LONG_TERM_DEBT","2010-02-03","2015-02-03","Per=Y","Days=T","Dir=V")</f>
        <v>0</v>
      </c>
      <c r="G2">
        <f>BDH("COCOQ US Equity","BS_ST_BORROW","2010-02-03","2015-02-03","Per=Y","Days=T","Dir=V")</f>
        <v>0</v>
      </c>
      <c r="I2">
        <f>BDH("COCOQ US Equity","BS_LT_BORROW","2010-02-03","2015-02-03","Per=Y","Days=T","Dir=V")</f>
        <v>0</v>
      </c>
      <c r="K2">
        <f>BDH("COCOQ US Equity","BS_CASH_NEAR_CASH_ITEM","2010-02-03","2015-02-03","Per=Y","Days=T","Dir=V")</f>
        <v>0</v>
      </c>
      <c r="M2">
        <f>BDH("COCOQ US Equity","BS_CUR_ASSET_REPORT","2010-02-03","2015-02-03","Per=Y","Days=T","Dir=V")</f>
        <v>0</v>
      </c>
      <c r="O2">
        <f>BDH("COCOQ US Equity","BS_CUR_LIAB","2010-02-03","2015-02-03","Per=Y","Days=T","Dir=V")</f>
        <v>0</v>
      </c>
      <c r="Q2">
        <f>BDH("COCOQ US Equity","BS_SHAREHOLDER_EQY_ENDING_PERIOD","2010-02-03","2015-02-03","Per=Y","Days=T","Dir=V")</f>
        <v>0</v>
      </c>
      <c r="S2">
        <f>BDH("COCOQ US Equity","BS_ACCT_NOTE_RCV","2010-02-03","2015-02-03","Per=Y","Days=T","Dir=V")</f>
        <v>0</v>
      </c>
      <c r="U2">
        <f>BDH("COCOQ US Equity","BS_INVENTORIES","2010-02-03","2015-02-03","Per=Y","Days=T","Dir=V")</f>
        <v>0</v>
      </c>
      <c r="W2">
        <f>BDH("COCOQ US Equity","WORKING_CAPITAL","2010-02-03","2015-02-03","Per=Y","Days=T","Dir=V")</f>
        <v>0</v>
      </c>
      <c r="Y2">
        <f>BDH("COCOQ US Equity","SALES_REV_TURN","2010-02-03","2015-02-03","Per=Y","Days=T","Dir=V")</f>
        <v>0</v>
      </c>
      <c r="AA2">
        <f>BDH("COCOQ US Equity","EBIT","2010-02-03","2015-02-03","Per=Y","Days=T","Dir=V")</f>
        <v>0</v>
      </c>
      <c r="AC2">
        <f>BDH("COCOQ US Equity","EBITDA","2010-02-03","2015-02-03","Per=Y","Days=T","Dir=V")</f>
        <v>0</v>
      </c>
      <c r="AE2">
        <f>BDH("COCOQ US Equity","NET_INCOME","2010-02-03","2015-02-03","Per=Y","Days=T","Dir=V")</f>
        <v>0</v>
      </c>
      <c r="AG2">
        <f>BDH("COCOQ US Equity","IS_INT_EXPENSE","2010-02-03","2015-02-03","Per=Y","Days=T","Dir=V")</f>
        <v>0</v>
      </c>
      <c r="AI2">
        <f>BDH("COCOQ US Equity","IS_DEPR_EXP","2010-02-03","2015-02-03","Per=Y","Days=T","Dir=V")</f>
        <v>0</v>
      </c>
      <c r="AK2">
        <f>BDH("COCOQ US Equity","CF_CASH_FROM_OPER","2010-02-03","2015-02-03","Per=Y","Days=T","Dir=V")</f>
        <v>0</v>
      </c>
      <c r="AM2">
        <f>BDH("COCOQ US Equity","CAPITAL_EXPEND","2010-02-03","2015-02-03","Per=Y","Days=T","Dir=V")</f>
        <v>0</v>
      </c>
      <c r="AO2">
        <f>BDH("COCOQ US Equity","CF_FREE_CASH_FLOW","2010-02-03","2015-02-03","Per=Y","Days=T","Dir=V")</f>
        <v>0</v>
      </c>
      <c r="AQ2">
        <f>BDH("COCOQ US Equity","PX_LAST","2010-02-03","2015-02-03","Per=M","Days=T","Dir=V")</f>
        <v>0</v>
      </c>
      <c r="AS2">
        <f>BDH("COCOQ US Equity","CUR_MKT_CAP","2010-02-03","2015-02-03","Per=M","Days=T","Dir=V")</f>
        <v>0</v>
      </c>
      <c r="AU2">
        <f>BDH("COCOQ US Equity","EQY_SH_OUT","2010-02-03","2015-02-03","Per=M","Days=T","Dir=V")</f>
        <v>0</v>
      </c>
      <c r="AW2">
        <f>BDH("COCOQ US Equity","PX_VOLUME","2010-02-03","2015-02-03","Per=M","Days=T","Dir=V")</f>
        <v>0</v>
      </c>
      <c r="AY2">
        <f>BDH("COCOQ US Equity","TURNOVER","2010-02-03","2015-02-03","Per=M","Days=T","Dir=V")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BDH("MCPIQ US Equity","BS_TOT_ASSET","2010-03-27","2015-03-27","Per=Y","Days=T","Dir=V")</f>
        <v>0</v>
      </c>
      <c r="C2">
        <f>BDH("MCPIQ US Equity","BS_TOT_LIAB2","2010-03-27","2015-03-27","Per=Y","Days=T","Dir=V")</f>
        <v>0</v>
      </c>
      <c r="E2">
        <f>BDH("MCPIQ US Equity","SHORT_AND_LONG_TERM_DEBT","2010-03-27","2015-03-27","Per=Y","Days=T","Dir=V")</f>
        <v>0</v>
      </c>
      <c r="G2">
        <f>BDH("MCPIQ US Equity","BS_ST_BORROW","2010-03-27","2015-03-27","Per=Y","Days=T","Dir=V")</f>
        <v>0</v>
      </c>
      <c r="I2">
        <f>BDH("MCPIQ US Equity","BS_LT_BORROW","2010-03-27","2015-03-27","Per=Y","Days=T","Dir=V")</f>
        <v>0</v>
      </c>
      <c r="K2">
        <f>BDH("MCPIQ US Equity","BS_CASH_NEAR_CASH_ITEM","2010-03-27","2015-03-27","Per=Y","Days=T","Dir=V")</f>
        <v>0</v>
      </c>
      <c r="M2">
        <f>BDH("MCPIQ US Equity","BS_CUR_ASSET_REPORT","2010-03-27","2015-03-27","Per=Y","Days=T","Dir=V")</f>
        <v>0</v>
      </c>
      <c r="O2">
        <f>BDH("MCPIQ US Equity","BS_CUR_LIAB","2010-03-27","2015-03-27","Per=Y","Days=T","Dir=V")</f>
        <v>0</v>
      </c>
      <c r="Q2">
        <f>BDH("MCPIQ US Equity","BS_SHAREHOLDER_EQY_ENDING_PERIOD","2010-03-27","2015-03-27","Per=Y","Days=T","Dir=V")</f>
        <v>0</v>
      </c>
      <c r="S2">
        <f>BDH("MCPIQ US Equity","BS_ACCT_NOTE_RCV","2010-03-27","2015-03-27","Per=Y","Days=T","Dir=V")</f>
        <v>0</v>
      </c>
      <c r="U2">
        <f>BDH("MCPIQ US Equity","BS_INVENTORIES","2010-03-27","2015-03-27","Per=Y","Days=T","Dir=V")</f>
        <v>0</v>
      </c>
      <c r="W2">
        <f>BDH("MCPIQ US Equity","WORKING_CAPITAL","2010-03-27","2015-03-27","Per=Y","Days=T","Dir=V")</f>
        <v>0</v>
      </c>
      <c r="Y2">
        <f>BDH("MCPIQ US Equity","SALES_REV_TURN","2010-03-27","2015-03-27","Per=Y","Days=T","Dir=V")</f>
        <v>0</v>
      </c>
      <c r="AA2">
        <f>BDH("MCPIQ US Equity","EBIT","2010-03-27","2015-03-27","Per=Y","Days=T","Dir=V")</f>
        <v>0</v>
      </c>
      <c r="AC2">
        <f>BDH("MCPIQ US Equity","EBITDA","2010-03-27","2015-03-27","Per=Y","Days=T","Dir=V")</f>
        <v>0</v>
      </c>
      <c r="AE2">
        <f>BDH("MCPIQ US Equity","NET_INCOME","2010-03-27","2015-03-27","Per=Y","Days=T","Dir=V")</f>
        <v>0</v>
      </c>
      <c r="AG2">
        <f>BDH("MCPIQ US Equity","IS_INT_EXPENSE","2010-03-27","2015-03-27","Per=Y","Days=T","Dir=V")</f>
        <v>0</v>
      </c>
      <c r="AI2">
        <f>BDH("MCPIQ US Equity","IS_DEPR_EXP","2010-03-27","2015-03-27","Per=Y","Days=T","Dir=V")</f>
        <v>0</v>
      </c>
      <c r="AK2">
        <f>BDH("MCPIQ US Equity","CF_CASH_FROM_OPER","2010-03-27","2015-03-27","Per=Y","Days=T","Dir=V")</f>
        <v>0</v>
      </c>
      <c r="AM2">
        <f>BDH("MCPIQ US Equity","CAPITAL_EXPEND","2010-03-27","2015-03-27","Per=Y","Days=T","Dir=V")</f>
        <v>0</v>
      </c>
      <c r="AO2">
        <f>BDH("MCPIQ US Equity","CF_FREE_CASH_FLOW","2010-03-27","2015-03-27","Per=Y","Days=T","Dir=V")</f>
        <v>0</v>
      </c>
      <c r="AQ2">
        <f>BDH("MCPIQ US Equity","PX_LAST","2010-03-27","2015-03-27","Per=M","Days=T","Dir=V")</f>
        <v>0</v>
      </c>
      <c r="AS2">
        <f>BDH("MCPIQ US Equity","CUR_MKT_CAP","2010-03-27","2015-03-27","Per=M","Days=T","Dir=V")</f>
        <v>0</v>
      </c>
      <c r="AU2">
        <f>BDH("MCPIQ US Equity","EQY_SH_OUT","2010-03-27","2015-03-27","Per=M","Days=T","Dir=V")</f>
        <v>0</v>
      </c>
      <c r="AW2">
        <f>BDH("MCPIQ US Equity","PX_VOLUME","2010-03-27","2015-03-27","Per=M","Days=T","Dir=V")</f>
        <v>0</v>
      </c>
      <c r="AY2">
        <f>BDH("MCPIQ US Equity","TURNOVER","2010-03-27","2015-03-27","Per=M","Days=T","Dir=V")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BDH("WLTGQ US Equity","BS_TOT_ASSET","2010-04-16","2015-04-16","Per=Y","Days=T","Dir=V")</f>
        <v>0</v>
      </c>
      <c r="C2">
        <f>BDH("WLTGQ US Equity","BS_TOT_LIAB2","2010-04-16","2015-04-16","Per=Y","Days=T","Dir=V")</f>
        <v>0</v>
      </c>
      <c r="E2">
        <f>BDH("WLTGQ US Equity","SHORT_AND_LONG_TERM_DEBT","2010-04-16","2015-04-16","Per=Y","Days=T","Dir=V")</f>
        <v>0</v>
      </c>
      <c r="G2">
        <f>BDH("WLTGQ US Equity","BS_ST_BORROW","2010-04-16","2015-04-16","Per=Y","Days=T","Dir=V")</f>
        <v>0</v>
      </c>
      <c r="I2">
        <f>BDH("WLTGQ US Equity","BS_LT_BORROW","2010-04-16","2015-04-16","Per=Y","Days=T","Dir=V")</f>
        <v>0</v>
      </c>
      <c r="K2">
        <f>BDH("WLTGQ US Equity","BS_CASH_NEAR_CASH_ITEM","2010-04-16","2015-04-16","Per=Y","Days=T","Dir=V")</f>
        <v>0</v>
      </c>
      <c r="M2">
        <f>BDH("WLTGQ US Equity","BS_CUR_ASSET_REPORT","2010-04-16","2015-04-16","Per=Y","Days=T","Dir=V")</f>
        <v>0</v>
      </c>
      <c r="O2">
        <f>BDH("WLTGQ US Equity","BS_CUR_LIAB","2010-04-16","2015-04-16","Per=Y","Days=T","Dir=V")</f>
        <v>0</v>
      </c>
      <c r="Q2">
        <f>BDH("WLTGQ US Equity","BS_SHAREHOLDER_EQY_ENDING_PERIOD","2010-04-16","2015-04-16","Per=Y","Days=T","Dir=V")</f>
        <v>0</v>
      </c>
      <c r="S2">
        <f>BDH("WLTGQ US Equity","BS_ACCT_NOTE_RCV","2010-04-16","2015-04-16","Per=Y","Days=T","Dir=V")</f>
        <v>0</v>
      </c>
      <c r="U2">
        <f>BDH("WLTGQ US Equity","BS_INVENTORIES","2010-04-16","2015-04-16","Per=Y","Days=T","Dir=V")</f>
        <v>0</v>
      </c>
      <c r="W2">
        <f>BDH("WLTGQ US Equity","WORKING_CAPITAL","2010-04-16","2015-04-16","Per=Y","Days=T","Dir=V")</f>
        <v>0</v>
      </c>
      <c r="Y2">
        <f>BDH("WLTGQ US Equity","SALES_REV_TURN","2010-04-16","2015-04-16","Per=Y","Days=T","Dir=V")</f>
        <v>0</v>
      </c>
      <c r="AA2">
        <f>BDH("WLTGQ US Equity","EBIT","2010-04-16","2015-04-16","Per=Y","Days=T","Dir=V")</f>
        <v>0</v>
      </c>
      <c r="AC2">
        <f>BDH("WLTGQ US Equity","EBITDA","2010-04-16","2015-04-16","Per=Y","Days=T","Dir=V")</f>
        <v>0</v>
      </c>
      <c r="AE2">
        <f>BDH("WLTGQ US Equity","NET_INCOME","2010-04-16","2015-04-16","Per=Y","Days=T","Dir=V")</f>
        <v>0</v>
      </c>
      <c r="AG2">
        <f>BDH("WLTGQ US Equity","IS_INT_EXPENSE","2010-04-16","2015-04-16","Per=Y","Days=T","Dir=V")</f>
        <v>0</v>
      </c>
      <c r="AI2">
        <f>BDH("WLTGQ US Equity","IS_DEPR_EXP","2010-04-16","2015-04-16","Per=Y","Days=T","Dir=V")</f>
        <v>0</v>
      </c>
      <c r="AK2">
        <f>BDH("WLTGQ US Equity","CF_CASH_FROM_OPER","2010-04-16","2015-04-16","Per=Y","Days=T","Dir=V")</f>
        <v>0</v>
      </c>
      <c r="AM2">
        <f>BDH("WLTGQ US Equity","CAPITAL_EXPEND","2010-04-16","2015-04-16","Per=Y","Days=T","Dir=V")</f>
        <v>0</v>
      </c>
      <c r="AO2">
        <f>BDH("WLTGQ US Equity","CF_FREE_CASH_FLOW","2010-04-16","2015-04-16","Per=Y","Days=T","Dir=V")</f>
        <v>0</v>
      </c>
      <c r="AQ2">
        <f>BDH("WLTGQ US Equity","PX_LAST","2010-04-16","2015-04-16","Per=M","Days=T","Dir=V")</f>
        <v>0</v>
      </c>
      <c r="AS2">
        <f>BDH("WLTGQ US Equity","CUR_MKT_CAP","2010-04-16","2015-04-16","Per=M","Days=T","Dir=V")</f>
        <v>0</v>
      </c>
      <c r="AU2">
        <f>BDH("WLTGQ US Equity","EQY_SH_OUT","2010-04-16","2015-04-16","Per=M","Days=T","Dir=V")</f>
        <v>0</v>
      </c>
      <c r="AW2">
        <f>BDH("WLTGQ US Equity","PX_VOLUME","2010-04-16","2015-04-16","Per=M","Days=T","Dir=V")</f>
        <v>0</v>
      </c>
      <c r="AY2">
        <f>BDH("WLTGQ US Equity","TURNOVER","2010-04-16","2015-04-16","Per=M","Days=T","Dir=V")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BDH("SOGCQ US Equity","BS_TOT_ASSET","2010-04-16","2015-04-16","Per=Y","Days=T","Dir=V")</f>
        <v>0</v>
      </c>
      <c r="C2">
        <f>BDH("SOGCQ US Equity","BS_TOT_LIAB2","2010-04-16","2015-04-16","Per=Y","Days=T","Dir=V")</f>
        <v>0</v>
      </c>
      <c r="E2">
        <f>BDH("SOGCQ US Equity","SHORT_AND_LONG_TERM_DEBT","2010-04-16","2015-04-16","Per=Y","Days=T","Dir=V")</f>
        <v>0</v>
      </c>
      <c r="G2">
        <f>BDH("SOGCQ US Equity","BS_ST_BORROW","2010-04-16","2015-04-16","Per=Y","Days=T","Dir=V")</f>
        <v>0</v>
      </c>
      <c r="I2">
        <f>BDH("SOGCQ US Equity","BS_LT_BORROW","2010-04-16","2015-04-16","Per=Y","Days=T","Dir=V")</f>
        <v>0</v>
      </c>
      <c r="K2">
        <f>BDH("SOGCQ US Equity","BS_CASH_NEAR_CASH_ITEM","2010-04-16","2015-04-16","Per=Y","Days=T","Dir=V")</f>
        <v>0</v>
      </c>
      <c r="M2">
        <f>BDH("SOGCQ US Equity","BS_CUR_ASSET_REPORT","2010-04-16","2015-04-16","Per=Y","Days=T","Dir=V")</f>
        <v>0</v>
      </c>
      <c r="O2">
        <f>BDH("SOGCQ US Equity","BS_CUR_LIAB","2010-04-16","2015-04-16","Per=Y","Days=T","Dir=V")</f>
        <v>0</v>
      </c>
      <c r="Q2">
        <f>BDH("SOGCQ US Equity","BS_SHAREHOLDER_EQY_ENDING_PERIOD","2010-04-16","2015-04-16","Per=Y","Days=T","Dir=V")</f>
        <v>0</v>
      </c>
      <c r="S2">
        <f>BDH("SOGCQ US Equity","BS_ACCT_NOTE_RCV","2010-04-16","2015-04-16","Per=Y","Days=T","Dir=V")</f>
        <v>0</v>
      </c>
      <c r="U2">
        <f>BDH("SOGCQ US Equity","BS_INVENTORIES","2010-04-16","2015-04-16","Per=Y","Days=T","Dir=V")</f>
        <v>0</v>
      </c>
      <c r="W2">
        <f>BDH("SOGCQ US Equity","WORKING_CAPITAL","2010-04-16","2015-04-16","Per=Y","Days=T","Dir=V")</f>
        <v>0</v>
      </c>
      <c r="Y2">
        <f>BDH("SOGCQ US Equity","SALES_REV_TURN","2010-04-16","2015-04-16","Per=Y","Days=T","Dir=V")</f>
        <v>0</v>
      </c>
      <c r="AA2">
        <f>BDH("SOGCQ US Equity","EBIT","2010-04-16","2015-04-16","Per=Y","Days=T","Dir=V")</f>
        <v>0</v>
      </c>
      <c r="AC2">
        <f>BDH("SOGCQ US Equity","EBITDA","2010-04-16","2015-04-16","Per=Y","Days=T","Dir=V")</f>
        <v>0</v>
      </c>
      <c r="AE2">
        <f>BDH("SOGCQ US Equity","NET_INCOME","2010-04-16","2015-04-16","Per=Y","Days=T","Dir=V")</f>
        <v>0</v>
      </c>
      <c r="AG2">
        <f>BDH("SOGCQ US Equity","IS_INT_EXPENSE","2010-04-16","2015-04-16","Per=Y","Days=T","Dir=V")</f>
        <v>0</v>
      </c>
      <c r="AI2">
        <f>BDH("SOGCQ US Equity","IS_DEPR_EXP","2010-04-16","2015-04-16","Per=Y","Days=T","Dir=V")</f>
        <v>0</v>
      </c>
      <c r="AK2">
        <f>BDH("SOGCQ US Equity","CF_CASH_FROM_OPER","2010-04-16","2015-04-16","Per=Y","Days=T","Dir=V")</f>
        <v>0</v>
      </c>
      <c r="AM2">
        <f>BDH("SOGCQ US Equity","CAPITAL_EXPEND","2010-04-16","2015-04-16","Per=Y","Days=T","Dir=V")</f>
        <v>0</v>
      </c>
      <c r="AO2">
        <f>BDH("SOGCQ US Equity","CF_FREE_CASH_FLOW","2010-04-16","2015-04-16","Per=Y","Days=T","Dir=V")</f>
        <v>0</v>
      </c>
      <c r="AQ2">
        <f>BDH("SOGCQ US Equity","PX_LAST","2010-04-16","2015-04-16","Per=M","Days=T","Dir=V")</f>
        <v>0</v>
      </c>
      <c r="AS2">
        <f>BDH("SOGCQ US Equity","CUR_MKT_CAP","2010-04-16","2015-04-16","Per=M","Days=T","Dir=V")</f>
        <v>0</v>
      </c>
      <c r="AU2">
        <f>BDH("SOGCQ US Equity","EQY_SH_OUT","2010-04-16","2015-04-16","Per=M","Days=T","Dir=V")</f>
        <v>0</v>
      </c>
      <c r="AW2">
        <f>BDH("SOGCQ US Equity","PX_VOLUME","2010-04-16","2015-04-16","Per=M","Days=T","Dir=V")</f>
        <v>0</v>
      </c>
      <c r="AY2">
        <f>BDH("SOGCQ US Equity","TURNOVER","2010-04-16","2015-04-16","Per=M","Days=T","Dir=V")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BDH("ANRZQ US Equity","BS_TOT_ASSET","2010-05-05","2015-05-05","Per=Y","Days=T","Dir=V")</f>
        <v>0</v>
      </c>
      <c r="C2">
        <f>BDH("ANRZQ US Equity","BS_TOT_LIAB2","2010-05-05","2015-05-05","Per=Y","Days=T","Dir=V")</f>
        <v>0</v>
      </c>
      <c r="E2">
        <f>BDH("ANRZQ US Equity","SHORT_AND_LONG_TERM_DEBT","2010-05-05","2015-05-05","Per=Y","Days=T","Dir=V")</f>
        <v>0</v>
      </c>
      <c r="G2">
        <f>BDH("ANRZQ US Equity","BS_ST_BORROW","2010-05-05","2015-05-05","Per=Y","Days=T","Dir=V")</f>
        <v>0</v>
      </c>
      <c r="I2">
        <f>BDH("ANRZQ US Equity","BS_LT_BORROW","2010-05-05","2015-05-05","Per=Y","Days=T","Dir=V")</f>
        <v>0</v>
      </c>
      <c r="K2">
        <f>BDH("ANRZQ US Equity","BS_CASH_NEAR_CASH_ITEM","2010-05-05","2015-05-05","Per=Y","Days=T","Dir=V")</f>
        <v>0</v>
      </c>
      <c r="M2">
        <f>BDH("ANRZQ US Equity","BS_CUR_ASSET_REPORT","2010-05-05","2015-05-05","Per=Y","Days=T","Dir=V")</f>
        <v>0</v>
      </c>
      <c r="O2">
        <f>BDH("ANRZQ US Equity","BS_CUR_LIAB","2010-05-05","2015-05-05","Per=Y","Days=T","Dir=V")</f>
        <v>0</v>
      </c>
      <c r="Q2">
        <f>BDH("ANRZQ US Equity","BS_SHAREHOLDER_EQY_ENDING_PERIOD","2010-05-05","2015-05-05","Per=Y","Days=T","Dir=V")</f>
        <v>0</v>
      </c>
      <c r="S2">
        <f>BDH("ANRZQ US Equity","BS_ACCT_NOTE_RCV","2010-05-05","2015-05-05","Per=Y","Days=T","Dir=V")</f>
        <v>0</v>
      </c>
      <c r="U2">
        <f>BDH("ANRZQ US Equity","BS_INVENTORIES","2010-05-05","2015-05-05","Per=Y","Days=T","Dir=V")</f>
        <v>0</v>
      </c>
      <c r="W2">
        <f>BDH("ANRZQ US Equity","WORKING_CAPITAL","2010-05-05","2015-05-05","Per=Y","Days=T","Dir=V")</f>
        <v>0</v>
      </c>
      <c r="Y2">
        <f>BDH("ANRZQ US Equity","SALES_REV_TURN","2010-05-05","2015-05-05","Per=Y","Days=T","Dir=V")</f>
        <v>0</v>
      </c>
      <c r="AA2">
        <f>BDH("ANRZQ US Equity","EBIT","2010-05-05","2015-05-05","Per=Y","Days=T","Dir=V")</f>
        <v>0</v>
      </c>
      <c r="AC2">
        <f>BDH("ANRZQ US Equity","EBITDA","2010-05-05","2015-05-05","Per=Y","Days=T","Dir=V")</f>
        <v>0</v>
      </c>
      <c r="AE2">
        <f>BDH("ANRZQ US Equity","NET_INCOME","2010-05-05","2015-05-05","Per=Y","Days=T","Dir=V")</f>
        <v>0</v>
      </c>
      <c r="AG2">
        <f>BDH("ANRZQ US Equity","IS_INT_EXPENSE","2010-05-05","2015-05-05","Per=Y","Days=T","Dir=V")</f>
        <v>0</v>
      </c>
      <c r="AI2">
        <f>BDH("ANRZQ US Equity","IS_DEPR_EXP","2010-05-05","2015-05-05","Per=Y","Days=T","Dir=V")</f>
        <v>0</v>
      </c>
      <c r="AK2">
        <f>BDH("ANRZQ US Equity","CF_CASH_FROM_OPER","2010-05-05","2015-05-05","Per=Y","Days=T","Dir=V")</f>
        <v>0</v>
      </c>
      <c r="AM2">
        <f>BDH("ANRZQ US Equity","CAPITAL_EXPEND","2010-05-05","2015-05-05","Per=Y","Days=T","Dir=V")</f>
        <v>0</v>
      </c>
      <c r="AO2">
        <f>BDH("ANRZQ US Equity","CF_FREE_CASH_FLOW","2010-05-05","2015-05-05","Per=Y","Days=T","Dir=V")</f>
        <v>0</v>
      </c>
      <c r="AQ2">
        <f>BDH("ANRZQ US Equity","PX_LAST","2010-05-05","2015-05-05","Per=M","Days=T","Dir=V")</f>
        <v>0</v>
      </c>
      <c r="AS2">
        <f>BDH("ANRZQ US Equity","CUR_MKT_CAP","2010-05-05","2015-05-05","Per=M","Days=T","Dir=V")</f>
        <v>0</v>
      </c>
      <c r="AU2">
        <f>BDH("ANRZQ US Equity","EQY_SH_OUT","2010-05-05","2015-05-05","Per=M","Days=T","Dir=V")</f>
        <v>0</v>
      </c>
      <c r="AW2">
        <f>BDH("ANRZQ US Equity","PX_VOLUME","2010-05-05","2015-05-05","Per=M","Days=T","Dir=V")</f>
        <v>0</v>
      </c>
      <c r="AY2">
        <f>BDH("ANRZQ US Equity","TURNOVER","2010-05-05","2015-05-05","Per=M","Days=T","Dir=V")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BDH("HEROQ US Equity","BS_TOT_ASSET","2010-05-15","2015-05-15","Per=Y","Days=T","Dir=V")</f>
        <v>0</v>
      </c>
      <c r="C2">
        <f>BDH("HEROQ US Equity","BS_TOT_LIAB2","2010-05-15","2015-05-15","Per=Y","Days=T","Dir=V")</f>
        <v>0</v>
      </c>
      <c r="E2">
        <f>BDH("HEROQ US Equity","SHORT_AND_LONG_TERM_DEBT","2010-05-15","2015-05-15","Per=Y","Days=T","Dir=V")</f>
        <v>0</v>
      </c>
      <c r="G2">
        <f>BDH("HEROQ US Equity","BS_ST_BORROW","2010-05-15","2015-05-15","Per=Y","Days=T","Dir=V")</f>
        <v>0</v>
      </c>
      <c r="I2">
        <f>BDH("HEROQ US Equity","BS_LT_BORROW","2010-05-15","2015-05-15","Per=Y","Days=T","Dir=V")</f>
        <v>0</v>
      </c>
      <c r="K2">
        <f>BDH("HEROQ US Equity","BS_CASH_NEAR_CASH_ITEM","2010-05-15","2015-05-15","Per=Y","Days=T","Dir=V")</f>
        <v>0</v>
      </c>
      <c r="M2">
        <f>BDH("HEROQ US Equity","BS_CUR_ASSET_REPORT","2010-05-15","2015-05-15","Per=Y","Days=T","Dir=V")</f>
        <v>0</v>
      </c>
      <c r="O2">
        <f>BDH("HEROQ US Equity","BS_CUR_LIAB","2010-05-15","2015-05-15","Per=Y","Days=T","Dir=V")</f>
        <v>0</v>
      </c>
      <c r="Q2">
        <f>BDH("HEROQ US Equity","BS_SHAREHOLDER_EQY_ENDING_PERIOD","2010-05-15","2015-05-15","Per=Y","Days=T","Dir=V")</f>
        <v>0</v>
      </c>
      <c r="S2">
        <f>BDH("HEROQ US Equity","BS_ACCT_NOTE_RCV","2010-05-15","2015-05-15","Per=Y","Days=T","Dir=V")</f>
        <v>0</v>
      </c>
      <c r="U2">
        <f>BDH("HEROQ US Equity","BS_INVENTORIES","2010-05-15","2015-05-15","Per=Y","Days=T","Dir=V")</f>
        <v>0</v>
      </c>
      <c r="W2">
        <f>BDH("HEROQ US Equity","WORKING_CAPITAL","2010-05-15","2015-05-15","Per=Y","Days=T","Dir=V")</f>
        <v>0</v>
      </c>
      <c r="Y2">
        <f>BDH("HEROQ US Equity","SALES_REV_TURN","2010-05-15","2015-05-15","Per=Y","Days=T","Dir=V")</f>
        <v>0</v>
      </c>
      <c r="AA2">
        <f>BDH("HEROQ US Equity","EBIT","2010-05-15","2015-05-15","Per=Y","Days=T","Dir=V")</f>
        <v>0</v>
      </c>
      <c r="AC2">
        <f>BDH("HEROQ US Equity","EBITDA","2010-05-15","2015-05-15","Per=Y","Days=T","Dir=V")</f>
        <v>0</v>
      </c>
      <c r="AE2">
        <f>BDH("HEROQ US Equity","NET_INCOME","2010-05-15","2015-05-15","Per=Y","Days=T","Dir=V")</f>
        <v>0</v>
      </c>
      <c r="AG2">
        <f>BDH("HEROQ US Equity","IS_INT_EXPENSE","2010-05-15","2015-05-15","Per=Y","Days=T","Dir=V")</f>
        <v>0</v>
      </c>
      <c r="AI2">
        <f>BDH("HEROQ US Equity","IS_DEPR_EXP","2010-05-15","2015-05-15","Per=Y","Days=T","Dir=V")</f>
        <v>0</v>
      </c>
      <c r="AK2">
        <f>BDH("HEROQ US Equity","CF_CASH_FROM_OPER","2010-05-15","2015-05-15","Per=Y","Days=T","Dir=V")</f>
        <v>0</v>
      </c>
      <c r="AM2">
        <f>BDH("HEROQ US Equity","CAPITAL_EXPEND","2010-05-15","2015-05-15","Per=Y","Days=T","Dir=V")</f>
        <v>0</v>
      </c>
      <c r="AO2">
        <f>BDH("HEROQ US Equity","CF_FREE_CASH_FLOW","2010-05-15","2015-05-15","Per=Y","Days=T","Dir=V")</f>
        <v>0</v>
      </c>
      <c r="AQ2">
        <f>BDH("HEROQ US Equity","PX_LAST","2010-05-15","2015-05-15","Per=M","Days=T","Dir=V")</f>
        <v>0</v>
      </c>
      <c r="AS2">
        <f>BDH("HEROQ US Equity","CUR_MKT_CAP","2010-05-15","2015-05-15","Per=M","Days=T","Dir=V")</f>
        <v>0</v>
      </c>
      <c r="AU2">
        <f>BDH("HEROQ US Equity","EQY_SH_OUT","2010-05-15","2015-05-15","Per=M","Days=T","Dir=V")</f>
        <v>0</v>
      </c>
      <c r="AW2">
        <f>BDH("HEROQ US Equity","PX_VOLUME","2010-05-15","2015-05-15","Per=M","Days=T","Dir=V")</f>
        <v>0</v>
      </c>
      <c r="AY2">
        <f>BDH("HEROQ US Equity","TURNOVER","2010-05-15","2015-05-15","Per=M","Days=T","Dir=V")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BDH("ARCH US Equity","BS_TOT_ASSET","2010-10-13","2015-10-13","Per=Y","Days=T","Dir=V")</f>
        <v>0</v>
      </c>
      <c r="C2">
        <f>BDH("ARCH US Equity","BS_TOT_LIAB2","2010-10-13","2015-10-13","Per=Y","Days=T","Dir=V")</f>
        <v>0</v>
      </c>
      <c r="E2">
        <f>BDH("ARCH US Equity","SHORT_AND_LONG_TERM_DEBT","2010-10-13","2015-10-13","Per=Y","Days=T","Dir=V")</f>
        <v>0</v>
      </c>
      <c r="G2">
        <f>BDH("ARCH US Equity","BS_ST_BORROW","2010-10-13","2015-10-13","Per=Y","Days=T","Dir=V")</f>
        <v>0</v>
      </c>
      <c r="I2">
        <f>BDH("ARCH US Equity","BS_LT_BORROW","2010-10-13","2015-10-13","Per=Y","Days=T","Dir=V")</f>
        <v>0</v>
      </c>
      <c r="K2">
        <f>BDH("ARCH US Equity","BS_CASH_NEAR_CASH_ITEM","2010-10-13","2015-10-13","Per=Y","Days=T","Dir=V")</f>
        <v>0</v>
      </c>
      <c r="M2">
        <f>BDH("ARCH US Equity","BS_CUR_ASSET_REPORT","2010-10-13","2015-10-13","Per=Y","Days=T","Dir=V")</f>
        <v>0</v>
      </c>
      <c r="O2">
        <f>BDH("ARCH US Equity","BS_CUR_LIAB","2010-10-13","2015-10-13","Per=Y","Days=T","Dir=V")</f>
        <v>0</v>
      </c>
      <c r="Q2">
        <f>BDH("ARCH US Equity","BS_SHAREHOLDER_EQY_ENDING_PERIOD","2010-10-13","2015-10-13","Per=Y","Days=T","Dir=V")</f>
        <v>0</v>
      </c>
      <c r="S2">
        <f>BDH("ARCH US Equity","BS_ACCT_NOTE_RCV","2010-10-13","2015-10-13","Per=Y","Days=T","Dir=V")</f>
        <v>0</v>
      </c>
      <c r="U2">
        <f>BDH("ARCH US Equity","BS_INVENTORIES","2010-10-13","2015-10-13","Per=Y","Days=T","Dir=V")</f>
        <v>0</v>
      </c>
      <c r="W2">
        <f>BDH("ARCH US Equity","WORKING_CAPITAL","2010-10-13","2015-10-13","Per=Y","Days=T","Dir=V")</f>
        <v>0</v>
      </c>
      <c r="Y2">
        <f>BDH("ARCH US Equity","SALES_REV_TURN","2010-10-13","2015-10-13","Per=Y","Days=T","Dir=V")</f>
        <v>0</v>
      </c>
      <c r="AA2">
        <f>BDH("ARCH US Equity","EBIT","2010-10-13","2015-10-13","Per=Y","Days=T","Dir=V")</f>
        <v>0</v>
      </c>
      <c r="AC2">
        <f>BDH("ARCH US Equity","EBITDA","2010-10-13","2015-10-13","Per=Y","Days=T","Dir=V")</f>
        <v>0</v>
      </c>
      <c r="AE2">
        <f>BDH("ARCH US Equity","NET_INCOME","2010-10-13","2015-10-13","Per=Y","Days=T","Dir=V")</f>
        <v>0</v>
      </c>
      <c r="AG2">
        <f>BDH("ARCH US Equity","IS_INT_EXPENSE","2010-10-13","2015-10-13","Per=Y","Days=T","Dir=V")</f>
        <v>0</v>
      </c>
      <c r="AI2">
        <f>BDH("ARCH US Equity","IS_DEPR_EXP","2010-10-13","2015-10-13","Per=Y","Days=T","Dir=V")</f>
        <v>0</v>
      </c>
      <c r="AK2">
        <f>BDH("ARCH US Equity","CF_CASH_FROM_OPER","2010-10-13","2015-10-13","Per=Y","Days=T","Dir=V")</f>
        <v>0</v>
      </c>
      <c r="AM2">
        <f>BDH("ARCH US Equity","CAPITAL_EXPEND","2010-10-13","2015-10-13","Per=Y","Days=T","Dir=V")</f>
        <v>0</v>
      </c>
      <c r="AO2">
        <f>BDH("ARCH US Equity","CF_FREE_CASH_FLOW","2010-10-13","2015-10-13","Per=Y","Days=T","Dir=V")</f>
        <v>0</v>
      </c>
      <c r="AQ2">
        <f>BDH("ARCH US Equity","PX_LAST","2010-10-13","2015-10-13","Per=M","Days=T","Dir=V")</f>
        <v>0</v>
      </c>
      <c r="AS2">
        <f>BDH("ARCH US Equity","CUR_MKT_CAP","2010-10-13","2015-10-13","Per=M","Days=T","Dir=V")</f>
        <v>0</v>
      </c>
      <c r="AU2">
        <f>BDH("ARCH US Equity","EQY_SH_OUT","2010-10-13","2015-10-13","Per=M","Days=T","Dir=V")</f>
        <v>0</v>
      </c>
      <c r="AW2">
        <f>BDH("ARCH US Equity","PX_VOLUME","2010-10-13","2015-10-13","Per=M","Days=T","Dir=V")</f>
        <v>0</v>
      </c>
      <c r="AY2">
        <f>BDH("ARCH US Equity","TURNOVER","2010-10-13","2015-10-13","Per=M","Days=T","Dir=V")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BDH("NORNQ US Equity","BS_TOT_ASSET","2010-11-10","2015-11-10","Per=Y","Days=T","Dir=V")</f>
        <v>0</v>
      </c>
      <c r="C2">
        <f>BDH("NORNQ US Equity","BS_TOT_LIAB2","2010-11-10","2015-11-10","Per=Y","Days=T","Dir=V")</f>
        <v>0</v>
      </c>
      <c r="E2">
        <f>BDH("NORNQ US Equity","SHORT_AND_LONG_TERM_DEBT","2010-11-10","2015-11-10","Per=Y","Days=T","Dir=V")</f>
        <v>0</v>
      </c>
      <c r="G2">
        <f>BDH("NORNQ US Equity","BS_ST_BORROW","2010-11-10","2015-11-10","Per=Y","Days=T","Dir=V")</f>
        <v>0</v>
      </c>
      <c r="I2">
        <f>BDH("NORNQ US Equity","BS_LT_BORROW","2010-11-10","2015-11-10","Per=Y","Days=T","Dir=V")</f>
        <v>0</v>
      </c>
      <c r="K2">
        <f>BDH("NORNQ US Equity","BS_CASH_NEAR_CASH_ITEM","2010-11-10","2015-11-10","Per=Y","Days=T","Dir=V")</f>
        <v>0</v>
      </c>
      <c r="M2">
        <f>BDH("NORNQ US Equity","BS_CUR_ASSET_REPORT","2010-11-10","2015-11-10","Per=Y","Days=T","Dir=V")</f>
        <v>0</v>
      </c>
      <c r="O2">
        <f>BDH("NORNQ US Equity","BS_CUR_LIAB","2010-11-10","2015-11-10","Per=Y","Days=T","Dir=V")</f>
        <v>0</v>
      </c>
      <c r="Q2">
        <f>BDH("NORNQ US Equity","BS_SHAREHOLDER_EQY_ENDING_PERIOD","2010-11-10","2015-11-10","Per=Y","Days=T","Dir=V")</f>
        <v>0</v>
      </c>
      <c r="S2">
        <f>BDH("NORNQ US Equity","BS_ACCT_NOTE_RCV","2010-11-10","2015-11-10","Per=Y","Days=T","Dir=V")</f>
        <v>0</v>
      </c>
      <c r="U2">
        <f>BDH("NORNQ US Equity","BS_INVENTORIES","2010-11-10","2015-11-10","Per=Y","Days=T","Dir=V")</f>
        <v>0</v>
      </c>
      <c r="W2">
        <f>BDH("NORNQ US Equity","WORKING_CAPITAL","2010-11-10","2015-11-10","Per=Y","Days=T","Dir=V")</f>
        <v>0</v>
      </c>
      <c r="Y2">
        <f>BDH("NORNQ US Equity","SALES_REV_TURN","2010-11-10","2015-11-10","Per=Y","Days=T","Dir=V")</f>
        <v>0</v>
      </c>
      <c r="AA2">
        <f>BDH("NORNQ US Equity","EBIT","2010-11-10","2015-11-10","Per=Y","Days=T","Dir=V")</f>
        <v>0</v>
      </c>
      <c r="AC2">
        <f>BDH("NORNQ US Equity","EBITDA","2010-11-10","2015-11-10","Per=Y","Days=T","Dir=V")</f>
        <v>0</v>
      </c>
      <c r="AE2">
        <f>BDH("NORNQ US Equity","NET_INCOME","2010-11-10","2015-11-10","Per=Y","Days=T","Dir=V")</f>
        <v>0</v>
      </c>
      <c r="AG2">
        <f>BDH("NORNQ US Equity","IS_INT_EXPENSE","2010-11-10","2015-11-10","Per=Y","Days=T","Dir=V")</f>
        <v>0</v>
      </c>
      <c r="AI2">
        <f>BDH("NORNQ US Equity","IS_DEPR_EXP","2010-11-10","2015-11-10","Per=Y","Days=T","Dir=V")</f>
        <v>0</v>
      </c>
      <c r="AK2">
        <f>BDH("NORNQ US Equity","CF_CASH_FROM_OPER","2010-11-10","2015-11-10","Per=Y","Days=T","Dir=V")</f>
        <v>0</v>
      </c>
      <c r="AM2">
        <f>BDH("NORNQ US Equity","CAPITAL_EXPEND","2010-11-10","2015-11-10","Per=Y","Days=T","Dir=V")</f>
        <v>0</v>
      </c>
      <c r="AO2">
        <f>BDH("NORNQ US Equity","CF_FREE_CASH_FLOW","2010-11-10","2015-11-10","Per=Y","Days=T","Dir=V")</f>
        <v>0</v>
      </c>
      <c r="AQ2">
        <f>BDH("NORNQ US Equity","PX_LAST","2010-11-10","2015-11-10","Per=M","Days=T","Dir=V")</f>
        <v>0</v>
      </c>
      <c r="AS2">
        <f>BDH("NORNQ US Equity","CUR_MKT_CAP","2010-11-10","2015-11-10","Per=M","Days=T","Dir=V")</f>
        <v>0</v>
      </c>
      <c r="AU2">
        <f>BDH("NORNQ US Equity","EQY_SH_OUT","2010-11-10","2015-11-10","Per=M","Days=T","Dir=V")</f>
        <v>0</v>
      </c>
      <c r="AW2">
        <f>BDH("NORNQ US Equity","PX_VOLUME","2010-11-10","2015-11-10","Per=M","Days=T","Dir=V")</f>
        <v>0</v>
      </c>
      <c r="AY2">
        <f>BDH("NORNQ US Equity","TURNOVER","2010-11-10","2015-11-10","Per=M","Days=T","Dir=V")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BDH("RJETQ US Equity","BS_TOT_ASSET","2010-11-27","2015-11-27","Per=Y","Days=T","Dir=V")</f>
        <v>0</v>
      </c>
      <c r="C2">
        <f>BDH("RJETQ US Equity","BS_TOT_LIAB2","2010-11-27","2015-11-27","Per=Y","Days=T","Dir=V")</f>
        <v>0</v>
      </c>
      <c r="E2">
        <f>BDH("RJETQ US Equity","SHORT_AND_LONG_TERM_DEBT","2010-11-27","2015-11-27","Per=Y","Days=T","Dir=V")</f>
        <v>0</v>
      </c>
      <c r="G2">
        <f>BDH("RJETQ US Equity","BS_ST_BORROW","2010-11-27","2015-11-27","Per=Y","Days=T","Dir=V")</f>
        <v>0</v>
      </c>
      <c r="I2">
        <f>BDH("RJETQ US Equity","BS_LT_BORROW","2010-11-27","2015-11-27","Per=Y","Days=T","Dir=V")</f>
        <v>0</v>
      </c>
      <c r="K2">
        <f>BDH("RJETQ US Equity","BS_CASH_NEAR_CASH_ITEM","2010-11-27","2015-11-27","Per=Y","Days=T","Dir=V")</f>
        <v>0</v>
      </c>
      <c r="M2">
        <f>BDH("RJETQ US Equity","BS_CUR_ASSET_REPORT","2010-11-27","2015-11-27","Per=Y","Days=T","Dir=V")</f>
        <v>0</v>
      </c>
      <c r="O2">
        <f>BDH("RJETQ US Equity","BS_CUR_LIAB","2010-11-27","2015-11-27","Per=Y","Days=T","Dir=V")</f>
        <v>0</v>
      </c>
      <c r="Q2">
        <f>BDH("RJETQ US Equity","BS_SHAREHOLDER_EQY_ENDING_PERIOD","2010-11-27","2015-11-27","Per=Y","Days=T","Dir=V")</f>
        <v>0</v>
      </c>
      <c r="S2">
        <f>BDH("RJETQ US Equity","BS_ACCT_NOTE_RCV","2010-11-27","2015-11-27","Per=Y","Days=T","Dir=V")</f>
        <v>0</v>
      </c>
      <c r="U2">
        <f>BDH("RJETQ US Equity","BS_INVENTORIES","2010-11-27","2015-11-27","Per=Y","Days=T","Dir=V")</f>
        <v>0</v>
      </c>
      <c r="W2">
        <f>BDH("RJETQ US Equity","WORKING_CAPITAL","2010-11-27","2015-11-27","Per=Y","Days=T","Dir=V")</f>
        <v>0</v>
      </c>
      <c r="Y2">
        <f>BDH("RJETQ US Equity","SALES_REV_TURN","2010-11-27","2015-11-27","Per=Y","Days=T","Dir=V")</f>
        <v>0</v>
      </c>
      <c r="AA2">
        <f>BDH("RJETQ US Equity","EBIT","2010-11-27","2015-11-27","Per=Y","Days=T","Dir=V")</f>
        <v>0</v>
      </c>
      <c r="AC2">
        <f>BDH("RJETQ US Equity","EBITDA","2010-11-27","2015-11-27","Per=Y","Days=T","Dir=V")</f>
        <v>0</v>
      </c>
      <c r="AE2">
        <f>BDH("RJETQ US Equity","NET_INCOME","2010-11-27","2015-11-27","Per=Y","Days=T","Dir=V")</f>
        <v>0</v>
      </c>
      <c r="AG2">
        <f>BDH("RJETQ US Equity","IS_INT_EXPENSE","2010-11-27","2015-11-27","Per=Y","Days=T","Dir=V")</f>
        <v>0</v>
      </c>
      <c r="AI2">
        <f>BDH("RJETQ US Equity","IS_DEPR_EXP","2010-11-27","2015-11-27","Per=Y","Days=T","Dir=V")</f>
        <v>0</v>
      </c>
      <c r="AK2">
        <f>BDH("RJETQ US Equity","CF_CASH_FROM_OPER","2010-11-27","2015-11-27","Per=Y","Days=T","Dir=V")</f>
        <v>0</v>
      </c>
      <c r="AM2">
        <f>BDH("RJETQ US Equity","CAPITAL_EXPEND","2010-11-27","2015-11-27","Per=Y","Days=T","Dir=V")</f>
        <v>0</v>
      </c>
      <c r="AO2">
        <f>BDH("RJETQ US Equity","CF_FREE_CASH_FLOW","2010-11-27","2015-11-27","Per=Y","Days=T","Dir=V")</f>
        <v>0</v>
      </c>
      <c r="AQ2">
        <f>BDH("RJETQ US Equity","PX_LAST","2010-11-27","2015-11-27","Per=M","Days=T","Dir=V")</f>
        <v>0</v>
      </c>
      <c r="AS2">
        <f>BDH("RJETQ US Equity","CUR_MKT_CAP","2010-11-27","2015-11-27","Per=M","Days=T","Dir=V")</f>
        <v>0</v>
      </c>
      <c r="AU2">
        <f>BDH("RJETQ US Equity","EQY_SH_OUT","2010-11-27","2015-11-27","Per=M","Days=T","Dir=V")</f>
        <v>0</v>
      </c>
      <c r="AW2">
        <f>BDH("RJETQ US Equity","PX_VOLUME","2010-11-27","2015-11-27","Per=M","Days=T","Dir=V")</f>
        <v>0</v>
      </c>
      <c r="AY2">
        <f>BDH("RJETQ US Equity","TURNOVER","2010-11-27","2015-11-27","Per=M","Days=T","Dir=V")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BDH("SUNEQ US Equity","BS_TOT_ASSET","2011-01-22","2016-01-22","Per=Y","Days=T","Dir=V")</f>
        <v>0</v>
      </c>
      <c r="C2">
        <f>BDH("SUNEQ US Equity","BS_TOT_LIAB2","2011-01-22","2016-01-22","Per=Y","Days=T","Dir=V")</f>
        <v>0</v>
      </c>
      <c r="E2">
        <f>BDH("SUNEQ US Equity","SHORT_AND_LONG_TERM_DEBT","2011-01-22","2016-01-22","Per=Y","Days=T","Dir=V")</f>
        <v>0</v>
      </c>
      <c r="G2">
        <f>BDH("SUNEQ US Equity","BS_ST_BORROW","2011-01-22","2016-01-22","Per=Y","Days=T","Dir=V")</f>
        <v>0</v>
      </c>
      <c r="I2">
        <f>BDH("SUNEQ US Equity","BS_LT_BORROW","2011-01-22","2016-01-22","Per=Y","Days=T","Dir=V")</f>
        <v>0</v>
      </c>
      <c r="K2">
        <f>BDH("SUNEQ US Equity","BS_CASH_NEAR_CASH_ITEM","2011-01-22","2016-01-22","Per=Y","Days=T","Dir=V")</f>
        <v>0</v>
      </c>
      <c r="M2">
        <f>BDH("SUNEQ US Equity","BS_CUR_ASSET_REPORT","2011-01-22","2016-01-22","Per=Y","Days=T","Dir=V")</f>
        <v>0</v>
      </c>
      <c r="O2">
        <f>BDH("SUNEQ US Equity","BS_CUR_LIAB","2011-01-22","2016-01-22","Per=Y","Days=T","Dir=V")</f>
        <v>0</v>
      </c>
      <c r="Q2">
        <f>BDH("SUNEQ US Equity","BS_SHAREHOLDER_EQY_ENDING_PERIOD","2011-01-22","2016-01-22","Per=Y","Days=T","Dir=V")</f>
        <v>0</v>
      </c>
      <c r="S2">
        <f>BDH("SUNEQ US Equity","BS_ACCT_NOTE_RCV","2011-01-22","2016-01-22","Per=Y","Days=T","Dir=V")</f>
        <v>0</v>
      </c>
      <c r="U2">
        <f>BDH("SUNEQ US Equity","BS_INVENTORIES","2011-01-22","2016-01-22","Per=Y","Days=T","Dir=V")</f>
        <v>0</v>
      </c>
      <c r="W2">
        <f>BDH("SUNEQ US Equity","WORKING_CAPITAL","2011-01-22","2016-01-22","Per=Y","Days=T","Dir=V")</f>
        <v>0</v>
      </c>
      <c r="Y2">
        <f>BDH("SUNEQ US Equity","SALES_REV_TURN","2011-01-22","2016-01-22","Per=Y","Days=T","Dir=V")</f>
        <v>0</v>
      </c>
      <c r="AA2">
        <f>BDH("SUNEQ US Equity","EBIT","2011-01-22","2016-01-22","Per=Y","Days=T","Dir=V")</f>
        <v>0</v>
      </c>
      <c r="AC2">
        <f>BDH("SUNEQ US Equity","EBITDA","2011-01-22","2016-01-22","Per=Y","Days=T","Dir=V")</f>
        <v>0</v>
      </c>
      <c r="AE2">
        <f>BDH("SUNEQ US Equity","NET_INCOME","2011-01-22","2016-01-22","Per=Y","Days=T","Dir=V")</f>
        <v>0</v>
      </c>
      <c r="AG2">
        <f>BDH("SUNEQ US Equity","IS_INT_EXPENSE","2011-01-22","2016-01-22","Per=Y","Days=T","Dir=V")</f>
        <v>0</v>
      </c>
      <c r="AI2">
        <f>BDH("SUNEQ US Equity","IS_DEPR_EXP","2011-01-22","2016-01-22","Per=Y","Days=T","Dir=V")</f>
        <v>0</v>
      </c>
      <c r="AK2">
        <f>BDH("SUNEQ US Equity","CF_CASH_FROM_OPER","2011-01-22","2016-01-22","Per=Y","Days=T","Dir=V")</f>
        <v>0</v>
      </c>
      <c r="AM2">
        <f>BDH("SUNEQ US Equity","CAPITAL_EXPEND","2011-01-22","2016-01-22","Per=Y","Days=T","Dir=V")</f>
        <v>0</v>
      </c>
      <c r="AO2">
        <f>BDH("SUNEQ US Equity","CF_FREE_CASH_FLOW","2011-01-22","2016-01-22","Per=Y","Days=T","Dir=V")</f>
        <v>0</v>
      </c>
      <c r="AQ2">
        <f>BDH("SUNEQ US Equity","PX_LAST","2011-01-22","2016-01-22","Per=M","Days=T","Dir=V")</f>
        <v>0</v>
      </c>
      <c r="AS2">
        <f>BDH("SUNEQ US Equity","CUR_MKT_CAP","2011-01-22","2016-01-22","Per=M","Days=T","Dir=V")</f>
        <v>0</v>
      </c>
      <c r="AU2">
        <f>BDH("SUNEQ US Equity","EQY_SH_OUT","2011-01-22","2016-01-22","Per=M","Days=T","Dir=V")</f>
        <v>0</v>
      </c>
      <c r="AW2">
        <f>BDH("SUNEQ US Equity","PX_VOLUME","2011-01-22","2016-01-22","Per=M","Days=T","Dir=V")</f>
        <v>0</v>
      </c>
      <c r="AY2">
        <f>BDH("SUNEQ US Equity","TURNOVER","2011-01-22","2016-01-22","Per=M","Days=T","Dir=V")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BDH("UPLCQ US Equity","BS_TOT_ASSET","2011-01-30","2016-01-30","Per=Y","Days=T","Dir=V")</f>
        <v>0</v>
      </c>
      <c r="C2">
        <f>BDH("UPLCQ US Equity","BS_TOT_LIAB2","2011-01-30","2016-01-30","Per=Y","Days=T","Dir=V")</f>
        <v>0</v>
      </c>
      <c r="E2">
        <f>BDH("UPLCQ US Equity","SHORT_AND_LONG_TERM_DEBT","2011-01-30","2016-01-30","Per=Y","Days=T","Dir=V")</f>
        <v>0</v>
      </c>
      <c r="G2">
        <f>BDH("UPLCQ US Equity","BS_ST_BORROW","2011-01-30","2016-01-30","Per=Y","Days=T","Dir=V")</f>
        <v>0</v>
      </c>
      <c r="I2">
        <f>BDH("UPLCQ US Equity","BS_LT_BORROW","2011-01-30","2016-01-30","Per=Y","Days=T","Dir=V")</f>
        <v>0</v>
      </c>
      <c r="K2">
        <f>BDH("UPLCQ US Equity","BS_CASH_NEAR_CASH_ITEM","2011-01-30","2016-01-30","Per=Y","Days=T","Dir=V")</f>
        <v>0</v>
      </c>
      <c r="M2">
        <f>BDH("UPLCQ US Equity","BS_CUR_ASSET_REPORT","2011-01-30","2016-01-30","Per=Y","Days=T","Dir=V")</f>
        <v>0</v>
      </c>
      <c r="O2">
        <f>BDH("UPLCQ US Equity","BS_CUR_LIAB","2011-01-30","2016-01-30","Per=Y","Days=T","Dir=V")</f>
        <v>0</v>
      </c>
      <c r="Q2">
        <f>BDH("UPLCQ US Equity","BS_SHAREHOLDER_EQY_ENDING_PERIOD","2011-01-30","2016-01-30","Per=Y","Days=T","Dir=V")</f>
        <v>0</v>
      </c>
      <c r="S2">
        <f>BDH("UPLCQ US Equity","BS_ACCT_NOTE_RCV","2011-01-30","2016-01-30","Per=Y","Days=T","Dir=V")</f>
        <v>0</v>
      </c>
      <c r="U2">
        <f>BDH("UPLCQ US Equity","BS_INVENTORIES","2011-01-30","2016-01-30","Per=Y","Days=T","Dir=V")</f>
        <v>0</v>
      </c>
      <c r="W2">
        <f>BDH("UPLCQ US Equity","WORKING_CAPITAL","2011-01-30","2016-01-30","Per=Y","Days=T","Dir=V")</f>
        <v>0</v>
      </c>
      <c r="Y2">
        <f>BDH("UPLCQ US Equity","SALES_REV_TURN","2011-01-30","2016-01-30","Per=Y","Days=T","Dir=V")</f>
        <v>0</v>
      </c>
      <c r="AA2">
        <f>BDH("UPLCQ US Equity","EBIT","2011-01-30","2016-01-30","Per=Y","Days=T","Dir=V")</f>
        <v>0</v>
      </c>
      <c r="AC2">
        <f>BDH("UPLCQ US Equity","EBITDA","2011-01-30","2016-01-30","Per=Y","Days=T","Dir=V")</f>
        <v>0</v>
      </c>
      <c r="AE2">
        <f>BDH("UPLCQ US Equity","NET_INCOME","2011-01-30","2016-01-30","Per=Y","Days=T","Dir=V")</f>
        <v>0</v>
      </c>
      <c r="AG2">
        <f>BDH("UPLCQ US Equity","IS_INT_EXPENSE","2011-01-30","2016-01-30","Per=Y","Days=T","Dir=V")</f>
        <v>0</v>
      </c>
      <c r="AI2">
        <f>BDH("UPLCQ US Equity","IS_DEPR_EXP","2011-01-30","2016-01-30","Per=Y","Days=T","Dir=V")</f>
        <v>0</v>
      </c>
      <c r="AK2">
        <f>BDH("UPLCQ US Equity","CF_CASH_FROM_OPER","2011-01-30","2016-01-30","Per=Y","Days=T","Dir=V")</f>
        <v>0</v>
      </c>
      <c r="AM2">
        <f>BDH("UPLCQ US Equity","CAPITAL_EXPEND","2011-01-30","2016-01-30","Per=Y","Days=T","Dir=V")</f>
        <v>0</v>
      </c>
      <c r="AO2">
        <f>BDH("UPLCQ US Equity","CF_FREE_CASH_FLOW","2011-01-30","2016-01-30","Per=Y","Days=T","Dir=V")</f>
        <v>0</v>
      </c>
      <c r="AQ2">
        <f>BDH("UPLCQ US Equity","PX_LAST","2011-01-30","2016-01-30","Per=M","Days=T","Dir=V")</f>
        <v>0</v>
      </c>
      <c r="AS2">
        <f>BDH("UPLCQ US Equity","CUR_MKT_CAP","2011-01-30","2016-01-30","Per=M","Days=T","Dir=V")</f>
        <v>0</v>
      </c>
      <c r="AU2">
        <f>BDH("UPLCQ US Equity","EQY_SH_OUT","2011-01-30","2016-01-30","Per=M","Days=T","Dir=V")</f>
        <v>0</v>
      </c>
      <c r="AW2">
        <f>BDH("UPLCQ US Equity","PX_VOLUME","2011-01-30","2016-01-30","Per=M","Days=T","Dir=V")</f>
        <v>0</v>
      </c>
      <c r="AY2">
        <f>BDH("UPLCQ US Equity","TURNOVER","2011-01-30","2016-01-30","Per=M","Days=T","Dir=V")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BDH("FWMHQ US Equity","BS_TOT_ASSET","2011-02-02","2016-02-02","Per=Y","Days=T","Dir=V")</f>
        <v>0</v>
      </c>
      <c r="C2">
        <f>BDH("FWMHQ US Equity","BS_TOT_LIAB2","2011-02-02","2016-02-02","Per=Y","Days=T","Dir=V")</f>
        <v>0</v>
      </c>
      <c r="E2">
        <f>BDH("FWMHQ US Equity","SHORT_AND_LONG_TERM_DEBT","2011-02-02","2016-02-02","Per=Y","Days=T","Dir=V")</f>
        <v>0</v>
      </c>
      <c r="G2">
        <f>BDH("FWMHQ US Equity","BS_ST_BORROW","2011-02-02","2016-02-02","Per=Y","Days=T","Dir=V")</f>
        <v>0</v>
      </c>
      <c r="I2">
        <f>BDH("FWMHQ US Equity","BS_LT_BORROW","2011-02-02","2016-02-02","Per=Y","Days=T","Dir=V")</f>
        <v>0</v>
      </c>
      <c r="K2">
        <f>BDH("FWMHQ US Equity","BS_CASH_NEAR_CASH_ITEM","2011-02-02","2016-02-02","Per=Y","Days=T","Dir=V")</f>
        <v>0</v>
      </c>
      <c r="M2">
        <f>BDH("FWMHQ US Equity","BS_CUR_ASSET_REPORT","2011-02-02","2016-02-02","Per=Y","Days=T","Dir=V")</f>
        <v>0</v>
      </c>
      <c r="O2">
        <f>BDH("FWMHQ US Equity","BS_CUR_LIAB","2011-02-02","2016-02-02","Per=Y","Days=T","Dir=V")</f>
        <v>0</v>
      </c>
      <c r="Q2">
        <f>BDH("FWMHQ US Equity","BS_SHAREHOLDER_EQY_ENDING_PERIOD","2011-02-02","2016-02-02","Per=Y","Days=T","Dir=V")</f>
        <v>0</v>
      </c>
      <c r="S2">
        <f>BDH("FWMHQ US Equity","BS_ACCT_NOTE_RCV","2011-02-02","2016-02-02","Per=Y","Days=T","Dir=V")</f>
        <v>0</v>
      </c>
      <c r="U2">
        <f>BDH("FWMHQ US Equity","BS_INVENTORIES","2011-02-02","2016-02-02","Per=Y","Days=T","Dir=V")</f>
        <v>0</v>
      </c>
      <c r="W2">
        <f>BDH("FWMHQ US Equity","WORKING_CAPITAL","2011-02-02","2016-02-02","Per=Y","Days=T","Dir=V")</f>
        <v>0</v>
      </c>
      <c r="Y2">
        <f>BDH("FWMHQ US Equity","SALES_REV_TURN","2011-02-02","2016-02-02","Per=Y","Days=T","Dir=V")</f>
        <v>0</v>
      </c>
      <c r="AA2">
        <f>BDH("FWMHQ US Equity","EBIT","2011-02-02","2016-02-02","Per=Y","Days=T","Dir=V")</f>
        <v>0</v>
      </c>
      <c r="AC2">
        <f>BDH("FWMHQ US Equity","EBITDA","2011-02-02","2016-02-02","Per=Y","Days=T","Dir=V")</f>
        <v>0</v>
      </c>
      <c r="AE2">
        <f>BDH("FWMHQ US Equity","NET_INCOME","2011-02-02","2016-02-02","Per=Y","Days=T","Dir=V")</f>
        <v>0</v>
      </c>
      <c r="AG2">
        <f>BDH("FWMHQ US Equity","IS_INT_EXPENSE","2011-02-02","2016-02-02","Per=Y","Days=T","Dir=V")</f>
        <v>0</v>
      </c>
      <c r="AI2">
        <f>BDH("FWMHQ US Equity","IS_DEPR_EXP","2011-02-02","2016-02-02","Per=Y","Days=T","Dir=V")</f>
        <v>0</v>
      </c>
      <c r="AK2">
        <f>BDH("FWMHQ US Equity","CF_CASH_FROM_OPER","2011-02-02","2016-02-02","Per=Y","Days=T","Dir=V")</f>
        <v>0</v>
      </c>
      <c r="AM2">
        <f>BDH("FWMHQ US Equity","CAPITAL_EXPEND","2011-02-02","2016-02-02","Per=Y","Days=T","Dir=V")</f>
        <v>0</v>
      </c>
      <c r="AO2">
        <f>BDH("FWMHQ US Equity","CF_FREE_CASH_FLOW","2011-02-02","2016-02-02","Per=Y","Days=T","Dir=V")</f>
        <v>0</v>
      </c>
      <c r="AQ2">
        <f>BDH("FWMHQ US Equity","PX_LAST","2011-02-02","2016-02-02","Per=M","Days=T","Dir=V")</f>
        <v>0</v>
      </c>
      <c r="AS2">
        <f>BDH("FWMHQ US Equity","CUR_MKT_CAP","2011-02-02","2016-02-02","Per=M","Days=T","Dir=V")</f>
        <v>0</v>
      </c>
      <c r="AU2">
        <f>BDH("FWMHQ US Equity","EQY_SH_OUT","2011-02-02","2016-02-02","Per=M","Days=T","Dir=V")</f>
        <v>0</v>
      </c>
      <c r="AW2">
        <f>BDH("FWMHQ US Equity","PX_VOLUME","2011-02-02","2016-02-02","Per=M","Days=T","Dir=V")</f>
        <v>0</v>
      </c>
      <c r="AY2">
        <f>BDH("FWMHQ US Equity","TURNOVER","2011-02-02","2016-02-02","Per=M","Days=T","Dir=V")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BDH("AROPQ US Equity","BS_TOT_ASSET","2011-02-04","2016-02-04","Per=Y","Days=T","Dir=V")</f>
        <v>0</v>
      </c>
      <c r="C2">
        <f>BDH("AROPQ US Equity","BS_TOT_LIAB2","2011-02-04","2016-02-04","Per=Y","Days=T","Dir=V")</f>
        <v>0</v>
      </c>
      <c r="E2">
        <f>BDH("AROPQ US Equity","SHORT_AND_LONG_TERM_DEBT","2011-02-04","2016-02-04","Per=Y","Days=T","Dir=V")</f>
        <v>0</v>
      </c>
      <c r="G2">
        <f>BDH("AROPQ US Equity","BS_ST_BORROW","2011-02-04","2016-02-04","Per=Y","Days=T","Dir=V")</f>
        <v>0</v>
      </c>
      <c r="I2">
        <f>BDH("AROPQ US Equity","BS_LT_BORROW","2011-02-04","2016-02-04","Per=Y","Days=T","Dir=V")</f>
        <v>0</v>
      </c>
      <c r="K2">
        <f>BDH("AROPQ US Equity","BS_CASH_NEAR_CASH_ITEM","2011-02-04","2016-02-04","Per=Y","Days=T","Dir=V")</f>
        <v>0</v>
      </c>
      <c r="M2">
        <f>BDH("AROPQ US Equity","BS_CUR_ASSET_REPORT","2011-02-04","2016-02-04","Per=Y","Days=T","Dir=V")</f>
        <v>0</v>
      </c>
      <c r="O2">
        <f>BDH("AROPQ US Equity","BS_CUR_LIAB","2011-02-04","2016-02-04","Per=Y","Days=T","Dir=V")</f>
        <v>0</v>
      </c>
      <c r="Q2">
        <f>BDH("AROPQ US Equity","BS_SHAREHOLDER_EQY_ENDING_PERIOD","2011-02-04","2016-02-04","Per=Y","Days=T","Dir=V")</f>
        <v>0</v>
      </c>
      <c r="S2">
        <f>BDH("AROPQ US Equity","BS_ACCT_NOTE_RCV","2011-02-04","2016-02-04","Per=Y","Days=T","Dir=V")</f>
        <v>0</v>
      </c>
      <c r="U2">
        <f>BDH("AROPQ US Equity","BS_INVENTORIES","2011-02-04","2016-02-04","Per=Y","Days=T","Dir=V")</f>
        <v>0</v>
      </c>
      <c r="W2">
        <f>BDH("AROPQ US Equity","WORKING_CAPITAL","2011-02-04","2016-02-04","Per=Y","Days=T","Dir=V")</f>
        <v>0</v>
      </c>
      <c r="Y2">
        <f>BDH("AROPQ US Equity","SALES_REV_TURN","2011-02-04","2016-02-04","Per=Y","Days=T","Dir=V")</f>
        <v>0</v>
      </c>
      <c r="AA2">
        <f>BDH("AROPQ US Equity","EBIT","2011-02-04","2016-02-04","Per=Y","Days=T","Dir=V")</f>
        <v>0</v>
      </c>
      <c r="AC2">
        <f>BDH("AROPQ US Equity","EBITDA","2011-02-04","2016-02-04","Per=Y","Days=T","Dir=V")</f>
        <v>0</v>
      </c>
      <c r="AE2">
        <f>BDH("AROPQ US Equity","NET_INCOME","2011-02-04","2016-02-04","Per=Y","Days=T","Dir=V")</f>
        <v>0</v>
      </c>
      <c r="AG2">
        <f>BDH("AROPQ US Equity","IS_INT_EXPENSE","2011-02-04","2016-02-04","Per=Y","Days=T","Dir=V")</f>
        <v>0</v>
      </c>
      <c r="AI2">
        <f>BDH("AROPQ US Equity","IS_DEPR_EXP","2011-02-04","2016-02-04","Per=Y","Days=T","Dir=V")</f>
        <v>0</v>
      </c>
      <c r="AK2">
        <f>BDH("AROPQ US Equity","CF_CASH_FROM_OPER","2011-02-04","2016-02-04","Per=Y","Days=T","Dir=V")</f>
        <v>0</v>
      </c>
      <c r="AM2">
        <f>BDH("AROPQ US Equity","CAPITAL_EXPEND","2011-02-04","2016-02-04","Per=Y","Days=T","Dir=V")</f>
        <v>0</v>
      </c>
      <c r="AO2">
        <f>BDH("AROPQ US Equity","CF_FREE_CASH_FLOW","2011-02-04","2016-02-04","Per=Y","Days=T","Dir=V")</f>
        <v>0</v>
      </c>
      <c r="AQ2">
        <f>BDH("AROPQ US Equity","PX_LAST","2011-02-04","2016-02-04","Per=M","Days=T","Dir=V")</f>
        <v>0</v>
      </c>
      <c r="AS2">
        <f>BDH("AROPQ US Equity","CUR_MKT_CAP","2011-02-04","2016-02-04","Per=M","Days=T","Dir=V")</f>
        <v>0</v>
      </c>
      <c r="AU2">
        <f>BDH("AROPQ US Equity","EQY_SH_OUT","2011-02-04","2016-02-04","Per=M","Days=T","Dir=V")</f>
        <v>0</v>
      </c>
      <c r="AW2">
        <f>BDH("AROPQ US Equity","PX_VOLUME","2011-02-04","2016-02-04","Per=M","Days=T","Dir=V")</f>
        <v>0</v>
      </c>
      <c r="AY2">
        <f>BDH("AROPQ US Equity","TURNOVER","2011-02-04","2016-02-04","Per=M","Days=T","Dir=V")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BDH("BBEPQ US Equity","BS_TOT_ASSET","2011-02-15","2016-02-15","Per=Y","Days=T","Dir=V")</f>
        <v>0</v>
      </c>
      <c r="C2">
        <f>BDH("BBEPQ US Equity","BS_TOT_LIAB2","2011-02-15","2016-02-15","Per=Y","Days=T","Dir=V")</f>
        <v>0</v>
      </c>
      <c r="E2">
        <f>BDH("BBEPQ US Equity","SHORT_AND_LONG_TERM_DEBT","2011-02-15","2016-02-15","Per=Y","Days=T","Dir=V")</f>
        <v>0</v>
      </c>
      <c r="G2">
        <f>BDH("BBEPQ US Equity","BS_ST_BORROW","2011-02-15","2016-02-15","Per=Y","Days=T","Dir=V")</f>
        <v>0</v>
      </c>
      <c r="I2">
        <f>BDH("BBEPQ US Equity","BS_LT_BORROW","2011-02-15","2016-02-15","Per=Y","Days=T","Dir=V")</f>
        <v>0</v>
      </c>
      <c r="K2">
        <f>BDH("BBEPQ US Equity","BS_CASH_NEAR_CASH_ITEM","2011-02-15","2016-02-15","Per=Y","Days=T","Dir=V")</f>
        <v>0</v>
      </c>
      <c r="M2">
        <f>BDH("BBEPQ US Equity","BS_CUR_ASSET_REPORT","2011-02-15","2016-02-15","Per=Y","Days=T","Dir=V")</f>
        <v>0</v>
      </c>
      <c r="O2">
        <f>BDH("BBEPQ US Equity","BS_CUR_LIAB","2011-02-15","2016-02-15","Per=Y","Days=T","Dir=V")</f>
        <v>0</v>
      </c>
      <c r="Q2">
        <f>BDH("BBEPQ US Equity","BS_SHAREHOLDER_EQY_ENDING_PERIOD","2011-02-15","2016-02-15","Per=Y","Days=T","Dir=V")</f>
        <v>0</v>
      </c>
      <c r="S2">
        <f>BDH("BBEPQ US Equity","BS_ACCT_NOTE_RCV","2011-02-15","2016-02-15","Per=Y","Days=T","Dir=V")</f>
        <v>0</v>
      </c>
      <c r="U2">
        <f>BDH("BBEPQ US Equity","BS_INVENTORIES","2011-02-15","2016-02-15","Per=Y","Days=T","Dir=V")</f>
        <v>0</v>
      </c>
      <c r="W2">
        <f>BDH("BBEPQ US Equity","WORKING_CAPITAL","2011-02-15","2016-02-15","Per=Y","Days=T","Dir=V")</f>
        <v>0</v>
      </c>
      <c r="Y2">
        <f>BDH("BBEPQ US Equity","SALES_REV_TURN","2011-02-15","2016-02-15","Per=Y","Days=T","Dir=V")</f>
        <v>0</v>
      </c>
      <c r="AA2">
        <f>BDH("BBEPQ US Equity","EBIT","2011-02-15","2016-02-15","Per=Y","Days=T","Dir=V")</f>
        <v>0</v>
      </c>
      <c r="AC2">
        <f>BDH("BBEPQ US Equity","EBITDA","2011-02-15","2016-02-15","Per=Y","Days=T","Dir=V")</f>
        <v>0</v>
      </c>
      <c r="AE2">
        <f>BDH("BBEPQ US Equity","NET_INCOME","2011-02-15","2016-02-15","Per=Y","Days=T","Dir=V")</f>
        <v>0</v>
      </c>
      <c r="AG2">
        <f>BDH("BBEPQ US Equity","IS_INT_EXPENSE","2011-02-15","2016-02-15","Per=Y","Days=T","Dir=V")</f>
        <v>0</v>
      </c>
      <c r="AI2">
        <f>BDH("BBEPQ US Equity","IS_DEPR_EXP","2011-02-15","2016-02-15","Per=Y","Days=T","Dir=V")</f>
        <v>0</v>
      </c>
      <c r="AK2">
        <f>BDH("BBEPQ US Equity","CF_CASH_FROM_OPER","2011-02-15","2016-02-15","Per=Y","Days=T","Dir=V")</f>
        <v>0</v>
      </c>
      <c r="AM2">
        <f>BDH("BBEPQ US Equity","CAPITAL_EXPEND","2011-02-15","2016-02-15","Per=Y","Days=T","Dir=V")</f>
        <v>0</v>
      </c>
      <c r="AO2">
        <f>BDH("BBEPQ US Equity","CF_FREE_CASH_FLOW","2011-02-15","2016-02-15","Per=Y","Days=T","Dir=V")</f>
        <v>0</v>
      </c>
      <c r="AQ2">
        <f>BDH("BBEPQ US Equity","PX_LAST","2011-02-15","2016-02-15","Per=M","Days=T","Dir=V")</f>
        <v>0</v>
      </c>
      <c r="AS2">
        <f>BDH("BBEPQ US Equity","CUR_MKT_CAP","2011-02-15","2016-02-15","Per=M","Days=T","Dir=V")</f>
        <v>0</v>
      </c>
      <c r="AU2">
        <f>BDH("BBEPQ US Equity","EQY_SH_OUT","2011-02-15","2016-02-15","Per=M","Days=T","Dir=V")</f>
        <v>0</v>
      </c>
      <c r="AW2">
        <f>BDH("BBEPQ US Equity","PX_VOLUME","2011-02-15","2016-02-15","Per=M","Days=T","Dir=V")</f>
        <v>0</v>
      </c>
      <c r="AY2">
        <f>BDH("BBEPQ US Equity","TURNOVER","2011-02-15","2016-02-15","Per=M","Days=T","Dir=V")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BDH("SD US Equity","BS_TOT_ASSET","2011-02-16","2016-02-16","Per=Y","Days=T","Dir=V")</f>
        <v>0</v>
      </c>
      <c r="C2">
        <f>BDH("SD US Equity","BS_TOT_LIAB2","2011-02-16","2016-02-16","Per=Y","Days=T","Dir=V")</f>
        <v>0</v>
      </c>
      <c r="E2">
        <f>BDH("SD US Equity","SHORT_AND_LONG_TERM_DEBT","2011-02-16","2016-02-16","Per=Y","Days=T","Dir=V")</f>
        <v>0</v>
      </c>
      <c r="G2">
        <f>BDH("SD US Equity","BS_ST_BORROW","2011-02-16","2016-02-16","Per=Y","Days=T","Dir=V")</f>
        <v>0</v>
      </c>
      <c r="I2">
        <f>BDH("SD US Equity","BS_LT_BORROW","2011-02-16","2016-02-16","Per=Y","Days=T","Dir=V")</f>
        <v>0</v>
      </c>
      <c r="K2">
        <f>BDH("SD US Equity","BS_CASH_NEAR_CASH_ITEM","2011-02-16","2016-02-16","Per=Y","Days=T","Dir=V")</f>
        <v>0</v>
      </c>
      <c r="M2">
        <f>BDH("SD US Equity","BS_CUR_ASSET_REPORT","2011-02-16","2016-02-16","Per=Y","Days=T","Dir=V")</f>
        <v>0</v>
      </c>
      <c r="O2">
        <f>BDH("SD US Equity","BS_CUR_LIAB","2011-02-16","2016-02-16","Per=Y","Days=T","Dir=V")</f>
        <v>0</v>
      </c>
      <c r="Q2">
        <f>BDH("SD US Equity","BS_SHAREHOLDER_EQY_ENDING_PERIOD","2011-02-16","2016-02-16","Per=Y","Days=T","Dir=V")</f>
        <v>0</v>
      </c>
      <c r="S2">
        <f>BDH("SD US Equity","BS_ACCT_NOTE_RCV","2011-02-16","2016-02-16","Per=Y","Days=T","Dir=V")</f>
        <v>0</v>
      </c>
      <c r="U2">
        <f>BDH("SD US Equity","BS_INVENTORIES","2011-02-16","2016-02-16","Per=Y","Days=T","Dir=V")</f>
        <v>0</v>
      </c>
      <c r="W2">
        <f>BDH("SD US Equity","WORKING_CAPITAL","2011-02-16","2016-02-16","Per=Y","Days=T","Dir=V")</f>
        <v>0</v>
      </c>
      <c r="Y2">
        <f>BDH("SD US Equity","SALES_REV_TURN","2011-02-16","2016-02-16","Per=Y","Days=T","Dir=V")</f>
        <v>0</v>
      </c>
      <c r="AA2">
        <f>BDH("SD US Equity","EBIT","2011-02-16","2016-02-16","Per=Y","Days=T","Dir=V")</f>
        <v>0</v>
      </c>
      <c r="AC2">
        <f>BDH("SD US Equity","EBITDA","2011-02-16","2016-02-16","Per=Y","Days=T","Dir=V")</f>
        <v>0</v>
      </c>
      <c r="AE2">
        <f>BDH("SD US Equity","NET_INCOME","2011-02-16","2016-02-16","Per=Y","Days=T","Dir=V")</f>
        <v>0</v>
      </c>
      <c r="AG2">
        <f>BDH("SD US Equity","IS_INT_EXPENSE","2011-02-16","2016-02-16","Per=Y","Days=T","Dir=V")</f>
        <v>0</v>
      </c>
      <c r="AI2">
        <f>BDH("SD US Equity","IS_DEPR_EXP","2011-02-16","2016-02-16","Per=Y","Days=T","Dir=V")</f>
        <v>0</v>
      </c>
      <c r="AK2">
        <f>BDH("SD US Equity","CF_CASH_FROM_OPER","2011-02-16","2016-02-16","Per=Y","Days=T","Dir=V")</f>
        <v>0</v>
      </c>
      <c r="AM2">
        <f>BDH("SD US Equity","CAPITAL_EXPEND","2011-02-16","2016-02-16","Per=Y","Days=T","Dir=V")</f>
        <v>0</v>
      </c>
      <c r="AO2">
        <f>BDH("SD US Equity","CF_FREE_CASH_FLOW","2011-02-16","2016-02-16","Per=Y","Days=T","Dir=V")</f>
        <v>0</v>
      </c>
      <c r="AQ2">
        <f>BDH("SD US Equity","PX_LAST","2011-02-16","2016-02-16","Per=M","Days=T","Dir=V")</f>
        <v>0</v>
      </c>
      <c r="AS2">
        <f>BDH("SD US Equity","CUR_MKT_CAP","2011-02-16","2016-02-16","Per=M","Days=T","Dir=V")</f>
        <v>0</v>
      </c>
      <c r="AU2">
        <f>BDH("SD US Equity","EQY_SH_OUT","2011-02-16","2016-02-16","Per=M","Days=T","Dir=V")</f>
        <v>0</v>
      </c>
      <c r="AW2">
        <f>BDH("SD US Equity","PX_VOLUME","2011-02-16","2016-02-16","Per=M","Days=T","Dir=V")</f>
        <v>0</v>
      </c>
      <c r="AY2">
        <f>BDH("SD US Equity","TURNOVER","2011-02-16","2016-02-16","Per=M","Days=T","Dir=V")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BDH("SSEIQ US Equity","BS_TOT_ASSET","2011-03-09","2016-03-09","Per=Y","Days=T","Dir=V")</f>
        <v>0</v>
      </c>
      <c r="C2">
        <f>BDH("SSEIQ US Equity","BS_TOT_LIAB2","2011-03-09","2016-03-09","Per=Y","Days=T","Dir=V")</f>
        <v>0</v>
      </c>
      <c r="E2">
        <f>BDH("SSEIQ US Equity","SHORT_AND_LONG_TERM_DEBT","2011-03-09","2016-03-09","Per=Y","Days=T","Dir=V")</f>
        <v>0</v>
      </c>
      <c r="G2">
        <f>BDH("SSEIQ US Equity","BS_ST_BORROW","2011-03-09","2016-03-09","Per=Y","Days=T","Dir=V")</f>
        <v>0</v>
      </c>
      <c r="I2">
        <f>BDH("SSEIQ US Equity","BS_LT_BORROW","2011-03-09","2016-03-09","Per=Y","Days=T","Dir=V")</f>
        <v>0</v>
      </c>
      <c r="K2">
        <f>BDH("SSEIQ US Equity","BS_CASH_NEAR_CASH_ITEM","2011-03-09","2016-03-09","Per=Y","Days=T","Dir=V")</f>
        <v>0</v>
      </c>
      <c r="M2">
        <f>BDH("SSEIQ US Equity","BS_CUR_ASSET_REPORT","2011-03-09","2016-03-09","Per=Y","Days=T","Dir=V")</f>
        <v>0</v>
      </c>
      <c r="O2">
        <f>BDH("SSEIQ US Equity","BS_CUR_LIAB","2011-03-09","2016-03-09","Per=Y","Days=T","Dir=V")</f>
        <v>0</v>
      </c>
      <c r="Q2">
        <f>BDH("SSEIQ US Equity","BS_SHAREHOLDER_EQY_ENDING_PERIOD","2011-03-09","2016-03-09","Per=Y","Days=T","Dir=V")</f>
        <v>0</v>
      </c>
      <c r="S2">
        <f>BDH("SSEIQ US Equity","BS_ACCT_NOTE_RCV","2011-03-09","2016-03-09","Per=Y","Days=T","Dir=V")</f>
        <v>0</v>
      </c>
      <c r="U2">
        <f>BDH("SSEIQ US Equity","BS_INVENTORIES","2011-03-09","2016-03-09","Per=Y","Days=T","Dir=V")</f>
        <v>0</v>
      </c>
      <c r="W2">
        <f>BDH("SSEIQ US Equity","WORKING_CAPITAL","2011-03-09","2016-03-09","Per=Y","Days=T","Dir=V")</f>
        <v>0</v>
      </c>
      <c r="Y2">
        <f>BDH("SSEIQ US Equity","SALES_REV_TURN","2011-03-09","2016-03-09","Per=Y","Days=T","Dir=V")</f>
        <v>0</v>
      </c>
      <c r="AA2">
        <f>BDH("SSEIQ US Equity","EBIT","2011-03-09","2016-03-09","Per=Y","Days=T","Dir=V")</f>
        <v>0</v>
      </c>
      <c r="AC2">
        <f>BDH("SSEIQ US Equity","EBITDA","2011-03-09","2016-03-09","Per=Y","Days=T","Dir=V")</f>
        <v>0</v>
      </c>
      <c r="AE2">
        <f>BDH("SSEIQ US Equity","NET_INCOME","2011-03-09","2016-03-09","Per=Y","Days=T","Dir=V")</f>
        <v>0</v>
      </c>
      <c r="AG2">
        <f>BDH("SSEIQ US Equity","IS_INT_EXPENSE","2011-03-09","2016-03-09","Per=Y","Days=T","Dir=V")</f>
        <v>0</v>
      </c>
      <c r="AI2">
        <f>BDH("SSEIQ US Equity","IS_DEPR_EXP","2011-03-09","2016-03-09","Per=Y","Days=T","Dir=V")</f>
        <v>0</v>
      </c>
      <c r="AK2">
        <f>BDH("SSEIQ US Equity","CF_CASH_FROM_OPER","2011-03-09","2016-03-09","Per=Y","Days=T","Dir=V")</f>
        <v>0</v>
      </c>
      <c r="AM2">
        <f>BDH("SSEIQ US Equity","CAPITAL_EXPEND","2011-03-09","2016-03-09","Per=Y","Days=T","Dir=V")</f>
        <v>0</v>
      </c>
      <c r="AO2">
        <f>BDH("SSEIQ US Equity","CF_FREE_CASH_FLOW","2011-03-09","2016-03-09","Per=Y","Days=T","Dir=V")</f>
        <v>0</v>
      </c>
      <c r="AQ2">
        <f>BDH("SSEIQ US Equity","PX_LAST","2011-03-09","2016-03-09","Per=M","Days=T","Dir=V")</f>
        <v>0</v>
      </c>
      <c r="AS2">
        <f>BDH("SSEIQ US Equity","CUR_MKT_CAP","2011-03-09","2016-03-09","Per=M","Days=T","Dir=V")</f>
        <v>0</v>
      </c>
      <c r="AU2">
        <f>BDH("SSEIQ US Equity","EQY_SH_OUT","2011-03-09","2016-03-09","Per=M","Days=T","Dir=V")</f>
        <v>0</v>
      </c>
      <c r="AW2">
        <f>BDH("SSEIQ US Equity","PX_VOLUME","2011-03-09","2016-03-09","Per=M","Days=T","Dir=V")</f>
        <v>0</v>
      </c>
      <c r="AY2">
        <f>BDH("SSEIQ US Equity","TURNOVER","2011-03-09","2016-03-09","Per=M","Days=T","Dir=V")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BDH("HKRSQ US Equity","BS_TOT_ASSET","2011-04-28","2016-04-28","Per=Y","Days=T","Dir=V")</f>
        <v>0</v>
      </c>
      <c r="C2">
        <f>BDH("HKRSQ US Equity","BS_TOT_LIAB2","2011-04-28","2016-04-28","Per=Y","Days=T","Dir=V")</f>
        <v>0</v>
      </c>
      <c r="E2">
        <f>BDH("HKRSQ US Equity","SHORT_AND_LONG_TERM_DEBT","2011-04-28","2016-04-28","Per=Y","Days=T","Dir=V")</f>
        <v>0</v>
      </c>
      <c r="G2">
        <f>BDH("HKRSQ US Equity","BS_ST_BORROW","2011-04-28","2016-04-28","Per=Y","Days=T","Dir=V")</f>
        <v>0</v>
      </c>
      <c r="I2">
        <f>BDH("HKRSQ US Equity","BS_LT_BORROW","2011-04-28","2016-04-28","Per=Y","Days=T","Dir=V")</f>
        <v>0</v>
      </c>
      <c r="K2">
        <f>BDH("HKRSQ US Equity","BS_CASH_NEAR_CASH_ITEM","2011-04-28","2016-04-28","Per=Y","Days=T","Dir=V")</f>
        <v>0</v>
      </c>
      <c r="M2">
        <f>BDH("HKRSQ US Equity","BS_CUR_ASSET_REPORT","2011-04-28","2016-04-28","Per=Y","Days=T","Dir=V")</f>
        <v>0</v>
      </c>
      <c r="O2">
        <f>BDH("HKRSQ US Equity","BS_CUR_LIAB","2011-04-28","2016-04-28","Per=Y","Days=T","Dir=V")</f>
        <v>0</v>
      </c>
      <c r="Q2">
        <f>BDH("HKRSQ US Equity","BS_SHAREHOLDER_EQY_ENDING_PERIOD","2011-04-28","2016-04-28","Per=Y","Days=T","Dir=V")</f>
        <v>0</v>
      </c>
      <c r="S2">
        <f>BDH("HKRSQ US Equity","BS_ACCT_NOTE_RCV","2011-04-28","2016-04-28","Per=Y","Days=T","Dir=V")</f>
        <v>0</v>
      </c>
      <c r="U2">
        <f>BDH("HKRSQ US Equity","BS_INVENTORIES","2011-04-28","2016-04-28","Per=Y","Days=T","Dir=V")</f>
        <v>0</v>
      </c>
      <c r="W2">
        <f>BDH("HKRSQ US Equity","WORKING_CAPITAL","2011-04-28","2016-04-28","Per=Y","Days=T","Dir=V")</f>
        <v>0</v>
      </c>
      <c r="Y2">
        <f>BDH("HKRSQ US Equity","SALES_REV_TURN","2011-04-28","2016-04-28","Per=Y","Days=T","Dir=V")</f>
        <v>0</v>
      </c>
      <c r="AA2">
        <f>BDH("HKRSQ US Equity","EBIT","2011-04-28","2016-04-28","Per=Y","Days=T","Dir=V")</f>
        <v>0</v>
      </c>
      <c r="AC2">
        <f>BDH("HKRSQ US Equity","EBITDA","2011-04-28","2016-04-28","Per=Y","Days=T","Dir=V")</f>
        <v>0</v>
      </c>
      <c r="AE2">
        <f>BDH("HKRSQ US Equity","NET_INCOME","2011-04-28","2016-04-28","Per=Y","Days=T","Dir=V")</f>
        <v>0</v>
      </c>
      <c r="AG2">
        <f>BDH("HKRSQ US Equity","IS_INT_EXPENSE","2011-04-28","2016-04-28","Per=Y","Days=T","Dir=V")</f>
        <v>0</v>
      </c>
      <c r="AI2">
        <f>BDH("HKRSQ US Equity","IS_DEPR_EXP","2011-04-28","2016-04-28","Per=Y","Days=T","Dir=V")</f>
        <v>0</v>
      </c>
      <c r="AK2">
        <f>BDH("HKRSQ US Equity","CF_CASH_FROM_OPER","2011-04-28","2016-04-28","Per=Y","Days=T","Dir=V")</f>
        <v>0</v>
      </c>
      <c r="AM2">
        <f>BDH("HKRSQ US Equity","CAPITAL_EXPEND","2011-04-28","2016-04-28","Per=Y","Days=T","Dir=V")</f>
        <v>0</v>
      </c>
      <c r="AO2">
        <f>BDH("HKRSQ US Equity","CF_FREE_CASH_FLOW","2011-04-28","2016-04-28","Per=Y","Days=T","Dir=V")</f>
        <v>0</v>
      </c>
      <c r="AQ2">
        <f>BDH("HKRSQ US Equity","PX_LAST","2011-04-28","2016-04-28","Per=M","Days=T","Dir=V")</f>
        <v>0</v>
      </c>
      <c r="AS2">
        <f>BDH("HKRSQ US Equity","CUR_MKT_CAP","2011-04-28","2016-04-28","Per=M","Days=T","Dir=V")</f>
        <v>0</v>
      </c>
      <c r="AU2">
        <f>BDH("HKRSQ US Equity","EQY_SH_OUT","2011-04-28","2016-04-28","Per=M","Days=T","Dir=V")</f>
        <v>0</v>
      </c>
      <c r="AW2">
        <f>BDH("HKRSQ US Equity","PX_VOLUME","2011-04-28","2016-04-28","Per=M","Days=T","Dir=V")</f>
        <v>0</v>
      </c>
      <c r="AY2">
        <f>BDH("HKRSQ US Equity","TURNOVER","2011-04-28","2016-04-28","Per=M","Days=T","Dir=V")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BDH("ISHCQ US Equity","BS_TOT_ASSET","2011-05-03","2016-05-03","Per=Y","Days=T","Dir=V")</f>
        <v>0</v>
      </c>
      <c r="C2">
        <f>BDH("ISHCQ US Equity","BS_TOT_LIAB2","2011-05-03","2016-05-03","Per=Y","Days=T","Dir=V")</f>
        <v>0</v>
      </c>
      <c r="E2">
        <f>BDH("ISHCQ US Equity","SHORT_AND_LONG_TERM_DEBT","2011-05-03","2016-05-03","Per=Y","Days=T","Dir=V")</f>
        <v>0</v>
      </c>
      <c r="G2">
        <f>BDH("ISHCQ US Equity","BS_ST_BORROW","2011-05-03","2016-05-03","Per=Y","Days=T","Dir=V")</f>
        <v>0</v>
      </c>
      <c r="I2">
        <f>BDH("ISHCQ US Equity","BS_LT_BORROW","2011-05-03","2016-05-03","Per=Y","Days=T","Dir=V")</f>
        <v>0</v>
      </c>
      <c r="K2">
        <f>BDH("ISHCQ US Equity","BS_CASH_NEAR_CASH_ITEM","2011-05-03","2016-05-03","Per=Y","Days=T","Dir=V")</f>
        <v>0</v>
      </c>
      <c r="M2">
        <f>BDH("ISHCQ US Equity","BS_CUR_ASSET_REPORT","2011-05-03","2016-05-03","Per=Y","Days=T","Dir=V")</f>
        <v>0</v>
      </c>
      <c r="O2">
        <f>BDH("ISHCQ US Equity","BS_CUR_LIAB","2011-05-03","2016-05-03","Per=Y","Days=T","Dir=V")</f>
        <v>0</v>
      </c>
      <c r="Q2">
        <f>BDH("ISHCQ US Equity","BS_SHAREHOLDER_EQY_ENDING_PERIOD","2011-05-03","2016-05-03","Per=Y","Days=T","Dir=V")</f>
        <v>0</v>
      </c>
      <c r="S2">
        <f>BDH("ISHCQ US Equity","BS_ACCT_NOTE_RCV","2011-05-03","2016-05-03","Per=Y","Days=T","Dir=V")</f>
        <v>0</v>
      </c>
      <c r="U2">
        <f>BDH("ISHCQ US Equity","BS_INVENTORIES","2011-05-03","2016-05-03","Per=Y","Days=T","Dir=V")</f>
        <v>0</v>
      </c>
      <c r="W2">
        <f>BDH("ISHCQ US Equity","WORKING_CAPITAL","2011-05-03","2016-05-03","Per=Y","Days=T","Dir=V")</f>
        <v>0</v>
      </c>
      <c r="Y2">
        <f>BDH("ISHCQ US Equity","SALES_REV_TURN","2011-05-03","2016-05-03","Per=Y","Days=T","Dir=V")</f>
        <v>0</v>
      </c>
      <c r="AA2">
        <f>BDH("ISHCQ US Equity","EBIT","2011-05-03","2016-05-03","Per=Y","Days=T","Dir=V")</f>
        <v>0</v>
      </c>
      <c r="AC2">
        <f>BDH("ISHCQ US Equity","EBITDA","2011-05-03","2016-05-03","Per=Y","Days=T","Dir=V")</f>
        <v>0</v>
      </c>
      <c r="AE2">
        <f>BDH("ISHCQ US Equity","NET_INCOME","2011-05-03","2016-05-03","Per=Y","Days=T","Dir=V")</f>
        <v>0</v>
      </c>
      <c r="AG2">
        <f>BDH("ISHCQ US Equity","IS_INT_EXPENSE","2011-05-03","2016-05-03","Per=Y","Days=T","Dir=V")</f>
        <v>0</v>
      </c>
      <c r="AI2">
        <f>BDH("ISHCQ US Equity","IS_DEPR_EXP","2011-05-03","2016-05-03","Per=Y","Days=T","Dir=V")</f>
        <v>0</v>
      </c>
      <c r="AK2">
        <f>BDH("ISHCQ US Equity","CF_CASH_FROM_OPER","2011-05-03","2016-05-03","Per=Y","Days=T","Dir=V")</f>
        <v>0</v>
      </c>
      <c r="AM2">
        <f>BDH("ISHCQ US Equity","CAPITAL_EXPEND","2011-05-03","2016-05-03","Per=Y","Days=T","Dir=V")</f>
        <v>0</v>
      </c>
      <c r="AO2">
        <f>BDH("ISHCQ US Equity","CF_FREE_CASH_FLOW","2011-05-03","2016-05-03","Per=Y","Days=T","Dir=V")</f>
        <v>0</v>
      </c>
      <c r="AQ2">
        <f>BDH("ISHCQ US Equity","PX_LAST","2011-05-03","2016-05-03","Per=M","Days=T","Dir=V")</f>
        <v>0</v>
      </c>
      <c r="AS2">
        <f>BDH("ISHCQ US Equity","CUR_MKT_CAP","2011-05-03","2016-05-03","Per=M","Days=T","Dir=V")</f>
        <v>0</v>
      </c>
      <c r="AU2">
        <f>BDH("ISHCQ US Equity","EQY_SH_OUT","2011-05-03","2016-05-03","Per=M","Days=T","Dir=V")</f>
        <v>0</v>
      </c>
      <c r="AW2">
        <f>BDH("ISHCQ US Equity","PX_VOLUME","2011-05-03","2016-05-03","Per=M","Days=T","Dir=V")</f>
        <v>0</v>
      </c>
      <c r="AY2">
        <f>BDH("ISHCQ US Equity","TURNOVER","2011-05-03","2016-05-03","Per=M","Days=T","Dir=V")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BDH("ESINQ US Equity","BS_TOT_ASSET","2011-06-18","2016-06-18","Per=Y","Days=T","Dir=V")</f>
        <v>0</v>
      </c>
      <c r="C2">
        <f>BDH("ESINQ US Equity","BS_TOT_LIAB2","2011-06-18","2016-06-18","Per=Y","Days=T","Dir=V")</f>
        <v>0</v>
      </c>
      <c r="E2">
        <f>BDH("ESINQ US Equity","SHORT_AND_LONG_TERM_DEBT","2011-06-18","2016-06-18","Per=Y","Days=T","Dir=V")</f>
        <v>0</v>
      </c>
      <c r="G2">
        <f>BDH("ESINQ US Equity","BS_ST_BORROW","2011-06-18","2016-06-18","Per=Y","Days=T","Dir=V")</f>
        <v>0</v>
      </c>
      <c r="I2">
        <f>BDH("ESINQ US Equity","BS_LT_BORROW","2011-06-18","2016-06-18","Per=Y","Days=T","Dir=V")</f>
        <v>0</v>
      </c>
      <c r="K2">
        <f>BDH("ESINQ US Equity","BS_CASH_NEAR_CASH_ITEM","2011-06-18","2016-06-18","Per=Y","Days=T","Dir=V")</f>
        <v>0</v>
      </c>
      <c r="M2">
        <f>BDH("ESINQ US Equity","BS_CUR_ASSET_REPORT","2011-06-18","2016-06-18","Per=Y","Days=T","Dir=V")</f>
        <v>0</v>
      </c>
      <c r="O2">
        <f>BDH("ESINQ US Equity","BS_CUR_LIAB","2011-06-18","2016-06-18","Per=Y","Days=T","Dir=V")</f>
        <v>0</v>
      </c>
      <c r="Q2">
        <f>BDH("ESINQ US Equity","BS_SHAREHOLDER_EQY_ENDING_PERIOD","2011-06-18","2016-06-18","Per=Y","Days=T","Dir=V")</f>
        <v>0</v>
      </c>
      <c r="S2">
        <f>BDH("ESINQ US Equity","BS_ACCT_NOTE_RCV","2011-06-18","2016-06-18","Per=Y","Days=T","Dir=V")</f>
        <v>0</v>
      </c>
      <c r="U2">
        <f>BDH("ESINQ US Equity","BS_INVENTORIES","2011-06-18","2016-06-18","Per=Y","Days=T","Dir=V")</f>
        <v>0</v>
      </c>
      <c r="W2">
        <f>BDH("ESINQ US Equity","WORKING_CAPITAL","2011-06-18","2016-06-18","Per=Y","Days=T","Dir=V")</f>
        <v>0</v>
      </c>
      <c r="Y2">
        <f>BDH("ESINQ US Equity","SALES_REV_TURN","2011-06-18","2016-06-18","Per=Y","Days=T","Dir=V")</f>
        <v>0</v>
      </c>
      <c r="AA2">
        <f>BDH("ESINQ US Equity","EBIT","2011-06-18","2016-06-18","Per=Y","Days=T","Dir=V")</f>
        <v>0</v>
      </c>
      <c r="AC2">
        <f>BDH("ESINQ US Equity","EBITDA","2011-06-18","2016-06-18","Per=Y","Days=T","Dir=V")</f>
        <v>0</v>
      </c>
      <c r="AE2">
        <f>BDH("ESINQ US Equity","NET_INCOME","2011-06-18","2016-06-18","Per=Y","Days=T","Dir=V")</f>
        <v>0</v>
      </c>
      <c r="AG2">
        <f>BDH("ESINQ US Equity","IS_INT_EXPENSE","2011-06-18","2016-06-18","Per=Y","Days=T","Dir=V")</f>
        <v>0</v>
      </c>
      <c r="AI2">
        <f>BDH("ESINQ US Equity","IS_DEPR_EXP","2011-06-18","2016-06-18","Per=Y","Days=T","Dir=V")</f>
        <v>0</v>
      </c>
      <c r="AK2">
        <f>BDH("ESINQ US Equity","CF_CASH_FROM_OPER","2011-06-18","2016-06-18","Per=Y","Days=T","Dir=V")</f>
        <v>0</v>
      </c>
      <c r="AM2">
        <f>BDH("ESINQ US Equity","CAPITAL_EXPEND","2011-06-18","2016-06-18","Per=Y","Days=T","Dir=V")</f>
        <v>0</v>
      </c>
      <c r="AO2">
        <f>BDH("ESINQ US Equity","CF_FREE_CASH_FLOW","2011-06-18","2016-06-18","Per=Y","Days=T","Dir=V")</f>
        <v>0</v>
      </c>
      <c r="AQ2">
        <f>BDH("ESINQ US Equity","PX_LAST","2011-06-18","2016-06-18","Per=M","Days=T","Dir=V")</f>
        <v>0</v>
      </c>
      <c r="AS2">
        <f>BDH("ESINQ US Equity","CUR_MKT_CAP","2011-06-18","2016-06-18","Per=M","Days=T","Dir=V")</f>
        <v>0</v>
      </c>
      <c r="AU2">
        <f>BDH("ESINQ US Equity","EQY_SH_OUT","2011-06-18","2016-06-18","Per=M","Days=T","Dir=V")</f>
        <v>0</v>
      </c>
      <c r="AW2">
        <f>BDH("ESINQ US Equity","PX_VOLUME","2011-06-18","2016-06-18","Per=M","Days=T","Dir=V")</f>
        <v>0</v>
      </c>
      <c r="AY2">
        <f>BDH("ESINQ US Equity","TURNOVER","2011-06-18","2016-06-18","Per=M","Days=T","Dir=V")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BDH("BASXQ US Equity","BS_TOT_ASSET","2011-07-27","2016-07-27","Per=Y","Days=T","Dir=V")</f>
        <v>0</v>
      </c>
      <c r="C2">
        <f>BDH("BASXQ US Equity","BS_TOT_LIAB2","2011-07-27","2016-07-27","Per=Y","Days=T","Dir=V")</f>
        <v>0</v>
      </c>
      <c r="E2">
        <f>BDH("BASXQ US Equity","SHORT_AND_LONG_TERM_DEBT","2011-07-27","2016-07-27","Per=Y","Days=T","Dir=V")</f>
        <v>0</v>
      </c>
      <c r="G2">
        <f>BDH("BASXQ US Equity","BS_ST_BORROW","2011-07-27","2016-07-27","Per=Y","Days=T","Dir=V")</f>
        <v>0</v>
      </c>
      <c r="I2">
        <f>BDH("BASXQ US Equity","BS_LT_BORROW","2011-07-27","2016-07-27","Per=Y","Days=T","Dir=V")</f>
        <v>0</v>
      </c>
      <c r="K2">
        <f>BDH("BASXQ US Equity","BS_CASH_NEAR_CASH_ITEM","2011-07-27","2016-07-27","Per=Y","Days=T","Dir=V")</f>
        <v>0</v>
      </c>
      <c r="M2">
        <f>BDH("BASXQ US Equity","BS_CUR_ASSET_REPORT","2011-07-27","2016-07-27","Per=Y","Days=T","Dir=V")</f>
        <v>0</v>
      </c>
      <c r="O2">
        <f>BDH("BASXQ US Equity","BS_CUR_LIAB","2011-07-27","2016-07-27","Per=Y","Days=T","Dir=V")</f>
        <v>0</v>
      </c>
      <c r="Q2">
        <f>BDH("BASXQ US Equity","BS_SHAREHOLDER_EQY_ENDING_PERIOD","2011-07-27","2016-07-27","Per=Y","Days=T","Dir=V")</f>
        <v>0</v>
      </c>
      <c r="S2">
        <f>BDH("BASXQ US Equity","BS_ACCT_NOTE_RCV","2011-07-27","2016-07-27","Per=Y","Days=T","Dir=V")</f>
        <v>0</v>
      </c>
      <c r="U2">
        <f>BDH("BASXQ US Equity","BS_INVENTORIES","2011-07-27","2016-07-27","Per=Y","Days=T","Dir=V")</f>
        <v>0</v>
      </c>
      <c r="W2">
        <f>BDH("BASXQ US Equity","WORKING_CAPITAL","2011-07-27","2016-07-27","Per=Y","Days=T","Dir=V")</f>
        <v>0</v>
      </c>
      <c r="Y2">
        <f>BDH("BASXQ US Equity","SALES_REV_TURN","2011-07-27","2016-07-27","Per=Y","Days=T","Dir=V")</f>
        <v>0</v>
      </c>
      <c r="AA2">
        <f>BDH("BASXQ US Equity","EBIT","2011-07-27","2016-07-27","Per=Y","Days=T","Dir=V")</f>
        <v>0</v>
      </c>
      <c r="AC2">
        <f>BDH("BASXQ US Equity","EBITDA","2011-07-27","2016-07-27","Per=Y","Days=T","Dir=V")</f>
        <v>0</v>
      </c>
      <c r="AE2">
        <f>BDH("BASXQ US Equity","NET_INCOME","2011-07-27","2016-07-27","Per=Y","Days=T","Dir=V")</f>
        <v>0</v>
      </c>
      <c r="AG2">
        <f>BDH("BASXQ US Equity","IS_INT_EXPENSE","2011-07-27","2016-07-27","Per=Y","Days=T","Dir=V")</f>
        <v>0</v>
      </c>
      <c r="AI2">
        <f>BDH("BASXQ US Equity","IS_DEPR_EXP","2011-07-27","2016-07-27","Per=Y","Days=T","Dir=V")</f>
        <v>0</v>
      </c>
      <c r="AK2">
        <f>BDH("BASXQ US Equity","CF_CASH_FROM_OPER","2011-07-27","2016-07-27","Per=Y","Days=T","Dir=V")</f>
        <v>0</v>
      </c>
      <c r="AM2">
        <f>BDH("BASXQ US Equity","CAPITAL_EXPEND","2011-07-27","2016-07-27","Per=Y","Days=T","Dir=V")</f>
        <v>0</v>
      </c>
      <c r="AO2">
        <f>BDH("BASXQ US Equity","CF_FREE_CASH_FLOW","2011-07-27","2016-07-27","Per=Y","Days=T","Dir=V")</f>
        <v>0</v>
      </c>
      <c r="AQ2">
        <f>BDH("BASXQ US Equity","PX_LAST","2011-07-27","2016-07-27","Per=M","Days=T","Dir=V")</f>
        <v>0</v>
      </c>
      <c r="AS2">
        <f>BDH("BASXQ US Equity","CUR_MKT_CAP","2011-07-27","2016-07-27","Per=M","Days=T","Dir=V")</f>
        <v>0</v>
      </c>
      <c r="AU2">
        <f>BDH("BASXQ US Equity","EQY_SH_OUT","2011-07-27","2016-07-27","Per=M","Days=T","Dir=V")</f>
        <v>0</v>
      </c>
      <c r="AW2">
        <f>BDH("BASXQ US Equity","PX_VOLUME","2011-07-27","2016-07-27","Per=M","Days=T","Dir=V")</f>
        <v>0</v>
      </c>
      <c r="AY2">
        <f>BDH("BASXQ US Equity","TURNOVER","2011-07-27","2016-07-27","Per=M","Days=T","Dir=V")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BDH("0618563D US Equity","BS_TOT_ASSET","2011-10-18","2016-10-18","Per=Y","Days=T","Dir=V")</f>
        <v>0</v>
      </c>
      <c r="C2">
        <f>BDH("0618563D US Equity","BS_TOT_LIAB2","2011-10-18","2016-10-18","Per=Y","Days=T","Dir=V")</f>
        <v>0</v>
      </c>
      <c r="E2">
        <f>BDH("0618563D US Equity","SHORT_AND_LONG_TERM_DEBT","2011-10-18","2016-10-18","Per=Y","Days=T","Dir=V")</f>
        <v>0</v>
      </c>
      <c r="G2">
        <f>BDH("0618563D US Equity","BS_ST_BORROW","2011-10-18","2016-10-18","Per=Y","Days=T","Dir=V")</f>
        <v>0</v>
      </c>
      <c r="I2">
        <f>BDH("0618563D US Equity","BS_LT_BORROW","2011-10-18","2016-10-18","Per=Y","Days=T","Dir=V")</f>
        <v>0</v>
      </c>
      <c r="K2">
        <f>BDH("0618563D US Equity","BS_CASH_NEAR_CASH_ITEM","2011-10-18","2016-10-18","Per=Y","Days=T","Dir=V")</f>
        <v>0</v>
      </c>
      <c r="M2">
        <f>BDH("0618563D US Equity","BS_CUR_ASSET_REPORT","2011-10-18","2016-10-18","Per=Y","Days=T","Dir=V")</f>
        <v>0</v>
      </c>
      <c r="O2">
        <f>BDH("0618563D US Equity","BS_CUR_LIAB","2011-10-18","2016-10-18","Per=Y","Days=T","Dir=V")</f>
        <v>0</v>
      </c>
      <c r="Q2">
        <f>BDH("0618563D US Equity","BS_SHAREHOLDER_EQY_ENDING_PERIOD","2011-10-18","2016-10-18","Per=Y","Days=T","Dir=V")</f>
        <v>0</v>
      </c>
      <c r="S2">
        <f>BDH("0618563D US Equity","BS_ACCT_NOTE_RCV","2011-10-18","2016-10-18","Per=Y","Days=T","Dir=V")</f>
        <v>0</v>
      </c>
      <c r="U2">
        <f>BDH("0618563D US Equity","BS_INVENTORIES","2011-10-18","2016-10-18","Per=Y","Days=T","Dir=V")</f>
        <v>0</v>
      </c>
      <c r="W2">
        <f>BDH("0618563D US Equity","WORKING_CAPITAL","2011-10-18","2016-10-18","Per=Y","Days=T","Dir=V")</f>
        <v>0</v>
      </c>
      <c r="Y2">
        <f>BDH("0618563D US Equity","SALES_REV_TURN","2011-10-18","2016-10-18","Per=Y","Days=T","Dir=V")</f>
        <v>0</v>
      </c>
      <c r="AA2">
        <f>BDH("0618563D US Equity","EBIT","2011-10-18","2016-10-18","Per=Y","Days=T","Dir=V")</f>
        <v>0</v>
      </c>
      <c r="AC2">
        <f>BDH("0618563D US Equity","EBITDA","2011-10-18","2016-10-18","Per=Y","Days=T","Dir=V")</f>
        <v>0</v>
      </c>
      <c r="AE2">
        <f>BDH("0618563D US Equity","NET_INCOME","2011-10-18","2016-10-18","Per=Y","Days=T","Dir=V")</f>
        <v>0</v>
      </c>
      <c r="AG2">
        <f>BDH("0618563D US Equity","IS_INT_EXPENSE","2011-10-18","2016-10-18","Per=Y","Days=T","Dir=V")</f>
        <v>0</v>
      </c>
      <c r="AI2">
        <f>BDH("0618563D US Equity","IS_DEPR_EXP","2011-10-18","2016-10-18","Per=Y","Days=T","Dir=V")</f>
        <v>0</v>
      </c>
      <c r="AK2">
        <f>BDH("0618563D US Equity","CF_CASH_FROM_OPER","2011-10-18","2016-10-18","Per=Y","Days=T","Dir=V")</f>
        <v>0</v>
      </c>
      <c r="AM2">
        <f>BDH("0618563D US Equity","CAPITAL_EXPEND","2011-10-18","2016-10-18","Per=Y","Days=T","Dir=V")</f>
        <v>0</v>
      </c>
      <c r="AO2">
        <f>BDH("0618563D US Equity","CF_FREE_CASH_FLOW","2011-10-18","2016-10-18","Per=Y","Days=T","Dir=V")</f>
        <v>0</v>
      </c>
      <c r="AQ2">
        <f>BDH("0618563D US Equity","PX_LAST","2011-10-18","2016-10-18","Per=M","Days=T","Dir=V")</f>
        <v>0</v>
      </c>
      <c r="AS2">
        <f>BDH("0618563D US Equity","CUR_MKT_CAP","2011-10-18","2016-10-18","Per=M","Days=T","Dir=V")</f>
        <v>0</v>
      </c>
      <c r="AU2">
        <f>BDH("0618563D US Equity","EQY_SH_OUT","2011-10-18","2016-10-18","Per=M","Days=T","Dir=V")</f>
        <v>0</v>
      </c>
      <c r="AW2">
        <f>BDH("0618563D US Equity","PX_VOLUME","2011-10-18","2016-10-18","Per=M","Days=T","Dir=V")</f>
        <v>0</v>
      </c>
      <c r="AY2">
        <f>BDH("0618563D US Equity","TURNOVER","2011-10-18","2016-10-18","Per=M","Days=T","Dir=V")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BDH("0862978D US Equity","BS_TOT_ASSET","2011-11-01","2016-11-01","Per=Y","Days=T","Dir=V")</f>
        <v>0</v>
      </c>
      <c r="C2">
        <f>BDH("0862978D US Equity","BS_TOT_LIAB2","2011-11-01","2016-11-01","Per=Y","Days=T","Dir=V")</f>
        <v>0</v>
      </c>
      <c r="E2">
        <f>BDH("0862978D US Equity","SHORT_AND_LONG_TERM_DEBT","2011-11-01","2016-11-01","Per=Y","Days=T","Dir=V")</f>
        <v>0</v>
      </c>
      <c r="G2">
        <f>BDH("0862978D US Equity","BS_ST_BORROW","2011-11-01","2016-11-01","Per=Y","Days=T","Dir=V")</f>
        <v>0</v>
      </c>
      <c r="I2">
        <f>BDH("0862978D US Equity","BS_LT_BORROW","2011-11-01","2016-11-01","Per=Y","Days=T","Dir=V")</f>
        <v>0</v>
      </c>
      <c r="K2">
        <f>BDH("0862978D US Equity","BS_CASH_NEAR_CASH_ITEM","2011-11-01","2016-11-01","Per=Y","Days=T","Dir=V")</f>
        <v>0</v>
      </c>
      <c r="M2">
        <f>BDH("0862978D US Equity","BS_CUR_ASSET_REPORT","2011-11-01","2016-11-01","Per=Y","Days=T","Dir=V")</f>
        <v>0</v>
      </c>
      <c r="O2">
        <f>BDH("0862978D US Equity","BS_CUR_LIAB","2011-11-01","2016-11-01","Per=Y","Days=T","Dir=V")</f>
        <v>0</v>
      </c>
      <c r="Q2">
        <f>BDH("0862978D US Equity","BS_SHAREHOLDER_EQY_ENDING_PERIOD","2011-11-01","2016-11-01","Per=Y","Days=T","Dir=V")</f>
        <v>0</v>
      </c>
      <c r="S2">
        <f>BDH("0862978D US Equity","BS_ACCT_NOTE_RCV","2011-11-01","2016-11-01","Per=Y","Days=T","Dir=V")</f>
        <v>0</v>
      </c>
      <c r="U2">
        <f>BDH("0862978D US Equity","BS_INVENTORIES","2011-11-01","2016-11-01","Per=Y","Days=T","Dir=V")</f>
        <v>0</v>
      </c>
      <c r="W2">
        <f>BDH("0862978D US Equity","WORKING_CAPITAL","2011-11-01","2016-11-01","Per=Y","Days=T","Dir=V")</f>
        <v>0</v>
      </c>
      <c r="Y2">
        <f>BDH("0862978D US Equity","SALES_REV_TURN","2011-11-01","2016-11-01","Per=Y","Days=T","Dir=V")</f>
        <v>0</v>
      </c>
      <c r="AA2">
        <f>BDH("0862978D US Equity","EBIT","2011-11-01","2016-11-01","Per=Y","Days=T","Dir=V")</f>
        <v>0</v>
      </c>
      <c r="AC2">
        <f>BDH("0862978D US Equity","EBITDA","2011-11-01","2016-11-01","Per=Y","Days=T","Dir=V")</f>
        <v>0</v>
      </c>
      <c r="AE2">
        <f>BDH("0862978D US Equity","NET_INCOME","2011-11-01","2016-11-01","Per=Y","Days=T","Dir=V")</f>
        <v>0</v>
      </c>
      <c r="AG2">
        <f>BDH("0862978D US Equity","IS_INT_EXPENSE","2011-11-01","2016-11-01","Per=Y","Days=T","Dir=V")</f>
        <v>0</v>
      </c>
      <c r="AI2">
        <f>BDH("0862978D US Equity","IS_DEPR_EXP","2011-11-01","2016-11-01","Per=Y","Days=T","Dir=V")</f>
        <v>0</v>
      </c>
      <c r="AK2">
        <f>BDH("0862978D US Equity","CF_CASH_FROM_OPER","2011-11-01","2016-11-01","Per=Y","Days=T","Dir=V")</f>
        <v>0</v>
      </c>
      <c r="AM2">
        <f>BDH("0862978D US Equity","CAPITAL_EXPEND","2011-11-01","2016-11-01","Per=Y","Days=T","Dir=V")</f>
        <v>0</v>
      </c>
      <c r="AO2">
        <f>BDH("0862978D US Equity","CF_FREE_CASH_FLOW","2011-11-01","2016-11-01","Per=Y","Days=T","Dir=V")</f>
        <v>0</v>
      </c>
      <c r="AQ2">
        <f>BDH("0862978D US Equity","PX_LAST","2011-11-01","2016-11-01","Per=M","Days=T","Dir=V")</f>
        <v>0</v>
      </c>
      <c r="AS2">
        <f>BDH("0862978D US Equity","CUR_MKT_CAP","2011-11-01","2016-11-01","Per=M","Days=T","Dir=V")</f>
        <v>0</v>
      </c>
      <c r="AU2">
        <f>BDH("0862978D US Equity","EQY_SH_OUT","2011-11-01","2016-11-01","Per=M","Days=T","Dir=V")</f>
        <v>0</v>
      </c>
      <c r="AW2">
        <f>BDH("0862978D US Equity","PX_VOLUME","2011-11-01","2016-11-01","Per=M","Days=T","Dir=V")</f>
        <v>0</v>
      </c>
      <c r="AY2">
        <f>BDH("0862978D US Equity","TURNOVER","2011-11-01","2016-11-01","Per=M","Days=T","Dir=V")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BDH("NES US Equity","BS_TOT_ASSET","2012-01-31","2017-01-31","Per=Y","Days=T","Dir=V")</f>
        <v>0</v>
      </c>
      <c r="C2">
        <f>BDH("NES US Equity","BS_TOT_LIAB2","2012-01-31","2017-01-31","Per=Y","Days=T","Dir=V")</f>
        <v>0</v>
      </c>
      <c r="E2">
        <f>BDH("NES US Equity","SHORT_AND_LONG_TERM_DEBT","2012-01-31","2017-01-31","Per=Y","Days=T","Dir=V")</f>
        <v>0</v>
      </c>
      <c r="G2">
        <f>BDH("NES US Equity","BS_ST_BORROW","2012-01-31","2017-01-31","Per=Y","Days=T","Dir=V")</f>
        <v>0</v>
      </c>
      <c r="I2">
        <f>BDH("NES US Equity","BS_LT_BORROW","2012-01-31","2017-01-31","Per=Y","Days=T","Dir=V")</f>
        <v>0</v>
      </c>
      <c r="K2">
        <f>BDH("NES US Equity","BS_CASH_NEAR_CASH_ITEM","2012-01-31","2017-01-31","Per=Y","Days=T","Dir=V")</f>
        <v>0</v>
      </c>
      <c r="M2">
        <f>BDH("NES US Equity","BS_CUR_ASSET_REPORT","2012-01-31","2017-01-31","Per=Y","Days=T","Dir=V")</f>
        <v>0</v>
      </c>
      <c r="O2">
        <f>BDH("NES US Equity","BS_CUR_LIAB","2012-01-31","2017-01-31","Per=Y","Days=T","Dir=V")</f>
        <v>0</v>
      </c>
      <c r="Q2">
        <f>BDH("NES US Equity","BS_SHAREHOLDER_EQY_ENDING_PERIOD","2012-01-31","2017-01-31","Per=Y","Days=T","Dir=V")</f>
        <v>0</v>
      </c>
      <c r="S2">
        <f>BDH("NES US Equity","BS_ACCT_NOTE_RCV","2012-01-31","2017-01-31","Per=Y","Days=T","Dir=V")</f>
        <v>0</v>
      </c>
      <c r="U2">
        <f>BDH("NES US Equity","BS_INVENTORIES","2012-01-31","2017-01-31","Per=Y","Days=T","Dir=V")</f>
        <v>0</v>
      </c>
      <c r="W2">
        <f>BDH("NES US Equity","WORKING_CAPITAL","2012-01-31","2017-01-31","Per=Y","Days=T","Dir=V")</f>
        <v>0</v>
      </c>
      <c r="Y2">
        <f>BDH("NES US Equity","SALES_REV_TURN","2012-01-31","2017-01-31","Per=Y","Days=T","Dir=V")</f>
        <v>0</v>
      </c>
      <c r="AA2">
        <f>BDH("NES US Equity","EBIT","2012-01-31","2017-01-31","Per=Y","Days=T","Dir=V")</f>
        <v>0</v>
      </c>
      <c r="AC2">
        <f>BDH("NES US Equity","EBITDA","2012-01-31","2017-01-31","Per=Y","Days=T","Dir=V")</f>
        <v>0</v>
      </c>
      <c r="AE2">
        <f>BDH("NES US Equity","NET_INCOME","2012-01-31","2017-01-31","Per=Y","Days=T","Dir=V")</f>
        <v>0</v>
      </c>
      <c r="AG2">
        <f>BDH("NES US Equity","IS_INT_EXPENSE","2012-01-31","2017-01-31","Per=Y","Days=T","Dir=V")</f>
        <v>0</v>
      </c>
      <c r="AI2">
        <f>BDH("NES US Equity","IS_DEPR_EXP","2012-01-31","2017-01-31","Per=Y","Days=T","Dir=V")</f>
        <v>0</v>
      </c>
      <c r="AK2">
        <f>BDH("NES US Equity","CF_CASH_FROM_OPER","2012-01-31","2017-01-31","Per=Y","Days=T","Dir=V")</f>
        <v>0</v>
      </c>
      <c r="AM2">
        <f>BDH("NES US Equity","CAPITAL_EXPEND","2012-01-31","2017-01-31","Per=Y","Days=T","Dir=V")</f>
        <v>0</v>
      </c>
      <c r="AO2">
        <f>BDH("NES US Equity","CF_FREE_CASH_FLOW","2012-01-31","2017-01-31","Per=Y","Days=T","Dir=V")</f>
        <v>0</v>
      </c>
      <c r="AQ2">
        <f>BDH("NES US Equity","PX_LAST","2012-01-31","2017-01-31","Per=M","Days=T","Dir=V")</f>
        <v>0</v>
      </c>
      <c r="AS2">
        <f>BDH("NES US Equity","CUR_MKT_CAP","2012-01-31","2017-01-31","Per=M","Days=T","Dir=V")</f>
        <v>0</v>
      </c>
      <c r="AU2">
        <f>BDH("NES US Equity","EQY_SH_OUT","2012-01-31","2017-01-31","Per=M","Days=T","Dir=V")</f>
        <v>0</v>
      </c>
      <c r="AW2">
        <f>BDH("NES US Equity","PX_VOLUME","2012-01-31","2017-01-31","Per=M","Days=T","Dir=V")</f>
        <v>0</v>
      </c>
      <c r="AY2">
        <f>BDH("NES US Equity","TURNOVER","2012-01-31","2017-01-31","Per=M","Days=T","Dir=V")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BDH("GLF US Equity","BS_TOT_ASSET","2012-02-16","2017-02-16","Per=Y","Days=T","Dir=V")</f>
        <v>0</v>
      </c>
      <c r="C2">
        <f>BDH("GLF US Equity","BS_TOT_LIAB2","2012-02-16","2017-02-16","Per=Y","Days=T","Dir=V")</f>
        <v>0</v>
      </c>
      <c r="E2">
        <f>BDH("GLF US Equity","SHORT_AND_LONG_TERM_DEBT","2012-02-16","2017-02-16","Per=Y","Days=T","Dir=V")</f>
        <v>0</v>
      </c>
      <c r="G2">
        <f>BDH("GLF US Equity","BS_ST_BORROW","2012-02-16","2017-02-16","Per=Y","Days=T","Dir=V")</f>
        <v>0</v>
      </c>
      <c r="I2">
        <f>BDH("GLF US Equity","BS_LT_BORROW","2012-02-16","2017-02-16","Per=Y","Days=T","Dir=V")</f>
        <v>0</v>
      </c>
      <c r="K2">
        <f>BDH("GLF US Equity","BS_CASH_NEAR_CASH_ITEM","2012-02-16","2017-02-16","Per=Y","Days=T","Dir=V")</f>
        <v>0</v>
      </c>
      <c r="M2">
        <f>BDH("GLF US Equity","BS_CUR_ASSET_REPORT","2012-02-16","2017-02-16","Per=Y","Days=T","Dir=V")</f>
        <v>0</v>
      </c>
      <c r="O2">
        <f>BDH("GLF US Equity","BS_CUR_LIAB","2012-02-16","2017-02-16","Per=Y","Days=T","Dir=V")</f>
        <v>0</v>
      </c>
      <c r="Q2">
        <f>BDH("GLF US Equity","BS_SHAREHOLDER_EQY_ENDING_PERIOD","2012-02-16","2017-02-16","Per=Y","Days=T","Dir=V")</f>
        <v>0</v>
      </c>
      <c r="S2">
        <f>BDH("GLF US Equity","BS_ACCT_NOTE_RCV","2012-02-16","2017-02-16","Per=Y","Days=T","Dir=V")</f>
        <v>0</v>
      </c>
      <c r="U2">
        <f>BDH("GLF US Equity","BS_INVENTORIES","2012-02-16","2017-02-16","Per=Y","Days=T","Dir=V")</f>
        <v>0</v>
      </c>
      <c r="W2">
        <f>BDH("GLF US Equity","WORKING_CAPITAL","2012-02-16","2017-02-16","Per=Y","Days=T","Dir=V")</f>
        <v>0</v>
      </c>
      <c r="Y2">
        <f>BDH("GLF US Equity","SALES_REV_TURN","2012-02-16","2017-02-16","Per=Y","Days=T","Dir=V")</f>
        <v>0</v>
      </c>
      <c r="AA2">
        <f>BDH("GLF US Equity","EBIT","2012-02-16","2017-02-16","Per=Y","Days=T","Dir=V")</f>
        <v>0</v>
      </c>
      <c r="AC2">
        <f>BDH("GLF US Equity","EBITDA","2012-02-16","2017-02-16","Per=Y","Days=T","Dir=V")</f>
        <v>0</v>
      </c>
      <c r="AE2">
        <f>BDH("GLF US Equity","NET_INCOME","2012-02-16","2017-02-16","Per=Y","Days=T","Dir=V")</f>
        <v>0</v>
      </c>
      <c r="AG2">
        <f>BDH("GLF US Equity","IS_INT_EXPENSE","2012-02-16","2017-02-16","Per=Y","Days=T","Dir=V")</f>
        <v>0</v>
      </c>
      <c r="AI2">
        <f>BDH("GLF US Equity","IS_DEPR_EXP","2012-02-16","2017-02-16","Per=Y","Days=T","Dir=V")</f>
        <v>0</v>
      </c>
      <c r="AK2">
        <f>BDH("GLF US Equity","CF_CASH_FROM_OPER","2012-02-16","2017-02-16","Per=Y","Days=T","Dir=V")</f>
        <v>0</v>
      </c>
      <c r="AM2">
        <f>BDH("GLF US Equity","CAPITAL_EXPEND","2012-02-16","2017-02-16","Per=Y","Days=T","Dir=V")</f>
        <v>0</v>
      </c>
      <c r="AO2">
        <f>BDH("GLF US Equity","CF_FREE_CASH_FLOW","2012-02-16","2017-02-16","Per=Y","Days=T","Dir=V")</f>
        <v>0</v>
      </c>
      <c r="AQ2">
        <f>BDH("GLF US Equity","PX_LAST","2012-02-16","2017-02-16","Per=M","Days=T","Dir=V")</f>
        <v>0</v>
      </c>
      <c r="AS2">
        <f>BDH("GLF US Equity","CUR_MKT_CAP","2012-02-16","2017-02-16","Per=M","Days=T","Dir=V")</f>
        <v>0</v>
      </c>
      <c r="AU2">
        <f>BDH("GLF US Equity","EQY_SH_OUT","2012-02-16","2017-02-16","Per=M","Days=T","Dir=V")</f>
        <v>0</v>
      </c>
      <c r="AW2">
        <f>BDH("GLF US Equity","PX_VOLUME","2012-02-16","2017-02-16","Per=M","Days=T","Dir=V")</f>
        <v>0</v>
      </c>
      <c r="AY2">
        <f>BDH("GLF US Equity","TURNOVER","2012-02-16","2017-02-16","Per=M","Days=T","Dir=V")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BDH("PERFQ US Equity","BS_TOT_ASSET","2012-05-28","2017-05-28","Per=Y","Days=T","Dir=V")</f>
        <v>0</v>
      </c>
      <c r="C2">
        <f>BDH("PERFQ US Equity","BS_TOT_LIAB2","2012-05-28","2017-05-28","Per=Y","Days=T","Dir=V")</f>
        <v>0</v>
      </c>
      <c r="E2">
        <f>BDH("PERFQ US Equity","SHORT_AND_LONG_TERM_DEBT","2012-05-28","2017-05-28","Per=Y","Days=T","Dir=V")</f>
        <v>0</v>
      </c>
      <c r="G2">
        <f>BDH("PERFQ US Equity","BS_ST_BORROW","2012-05-28","2017-05-28","Per=Y","Days=T","Dir=V")</f>
        <v>0</v>
      </c>
      <c r="I2">
        <f>BDH("PERFQ US Equity","BS_LT_BORROW","2012-05-28","2017-05-28","Per=Y","Days=T","Dir=V")</f>
        <v>0</v>
      </c>
      <c r="K2">
        <f>BDH("PERFQ US Equity","BS_CASH_NEAR_CASH_ITEM","2012-05-28","2017-05-28","Per=Y","Days=T","Dir=V")</f>
        <v>0</v>
      </c>
      <c r="M2">
        <f>BDH("PERFQ US Equity","BS_CUR_ASSET_REPORT","2012-05-28","2017-05-28","Per=Y","Days=T","Dir=V")</f>
        <v>0</v>
      </c>
      <c r="O2">
        <f>BDH("PERFQ US Equity","BS_CUR_LIAB","2012-05-28","2017-05-28","Per=Y","Days=T","Dir=V")</f>
        <v>0</v>
      </c>
      <c r="Q2">
        <f>BDH("PERFQ US Equity","BS_SHAREHOLDER_EQY_ENDING_PERIOD","2012-05-28","2017-05-28","Per=Y","Days=T","Dir=V")</f>
        <v>0</v>
      </c>
      <c r="S2">
        <f>BDH("PERFQ US Equity","BS_ACCT_NOTE_RCV","2012-05-28","2017-05-28","Per=Y","Days=T","Dir=V")</f>
        <v>0</v>
      </c>
      <c r="U2">
        <f>BDH("PERFQ US Equity","BS_INVENTORIES","2012-05-28","2017-05-28","Per=Y","Days=T","Dir=V")</f>
        <v>0</v>
      </c>
      <c r="W2">
        <f>BDH("PERFQ US Equity","WORKING_CAPITAL","2012-05-28","2017-05-28","Per=Y","Days=T","Dir=V")</f>
        <v>0</v>
      </c>
      <c r="Y2">
        <f>BDH("PERFQ US Equity","SALES_REV_TURN","2012-05-28","2017-05-28","Per=Y","Days=T","Dir=V")</f>
        <v>0</v>
      </c>
      <c r="AA2">
        <f>BDH("PERFQ US Equity","EBIT","2012-05-28","2017-05-28","Per=Y","Days=T","Dir=V")</f>
        <v>0</v>
      </c>
      <c r="AC2">
        <f>BDH("PERFQ US Equity","EBITDA","2012-05-28","2017-05-28","Per=Y","Days=T","Dir=V")</f>
        <v>0</v>
      </c>
      <c r="AE2">
        <f>BDH("PERFQ US Equity","NET_INCOME","2012-05-28","2017-05-28","Per=Y","Days=T","Dir=V")</f>
        <v>0</v>
      </c>
      <c r="AG2">
        <f>BDH("PERFQ US Equity","IS_INT_EXPENSE","2012-05-28","2017-05-28","Per=Y","Days=T","Dir=V")</f>
        <v>0</v>
      </c>
      <c r="AI2">
        <f>BDH("PERFQ US Equity","IS_DEPR_EXP","2012-05-28","2017-05-28","Per=Y","Days=T","Dir=V")</f>
        <v>0</v>
      </c>
      <c r="AK2">
        <f>BDH("PERFQ US Equity","CF_CASH_FROM_OPER","2012-05-28","2017-05-28","Per=Y","Days=T","Dir=V")</f>
        <v>0</v>
      </c>
      <c r="AM2">
        <f>BDH("PERFQ US Equity","CAPITAL_EXPEND","2012-05-28","2017-05-28","Per=Y","Days=T","Dir=V")</f>
        <v>0</v>
      </c>
      <c r="AO2">
        <f>BDH("PERFQ US Equity","CF_FREE_CASH_FLOW","2012-05-28","2017-05-28","Per=Y","Days=T","Dir=V")</f>
        <v>0</v>
      </c>
      <c r="AQ2">
        <f>BDH("PERFQ US Equity","PX_LAST","2012-05-28","2017-05-28","Per=M","Days=T","Dir=V")</f>
        <v>0</v>
      </c>
      <c r="AS2">
        <f>BDH("PERFQ US Equity","CUR_MKT_CAP","2012-05-28","2017-05-28","Per=M","Days=T","Dir=V")</f>
        <v>0</v>
      </c>
      <c r="AU2">
        <f>BDH("PERFQ US Equity","EQY_SH_OUT","2012-05-28","2017-05-28","Per=M","Days=T","Dir=V")</f>
        <v>0</v>
      </c>
      <c r="AW2">
        <f>BDH("PERFQ US Equity","PX_VOLUME","2012-05-28","2017-05-28","Per=M","Days=T","Dir=V")</f>
        <v>0</v>
      </c>
      <c r="AY2">
        <f>BDH("PERFQ US Equity","TURNOVER","2012-05-28","2017-05-28","Per=M","Days=T","Dir=V")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BDH("CMLSQ US Equity","BS_TOT_ASSET","2012-08-31","2017-08-31","Per=Y","Days=T","Dir=V")</f>
        <v>0</v>
      </c>
      <c r="C2">
        <f>BDH("CMLSQ US Equity","BS_TOT_LIAB2","2012-08-31","2017-08-31","Per=Y","Days=T","Dir=V")</f>
        <v>0</v>
      </c>
      <c r="E2">
        <f>BDH("CMLSQ US Equity","SHORT_AND_LONG_TERM_DEBT","2012-08-31","2017-08-31","Per=Y","Days=T","Dir=V")</f>
        <v>0</v>
      </c>
      <c r="G2">
        <f>BDH("CMLSQ US Equity","BS_ST_BORROW","2012-08-31","2017-08-31","Per=Y","Days=T","Dir=V")</f>
        <v>0</v>
      </c>
      <c r="I2">
        <f>BDH("CMLSQ US Equity","BS_LT_BORROW","2012-08-31","2017-08-31","Per=Y","Days=T","Dir=V")</f>
        <v>0</v>
      </c>
      <c r="K2">
        <f>BDH("CMLSQ US Equity","BS_CASH_NEAR_CASH_ITEM","2012-08-31","2017-08-31","Per=Y","Days=T","Dir=V")</f>
        <v>0</v>
      </c>
      <c r="M2">
        <f>BDH("CMLSQ US Equity","BS_CUR_ASSET_REPORT","2012-08-31","2017-08-31","Per=Y","Days=T","Dir=V")</f>
        <v>0</v>
      </c>
      <c r="O2">
        <f>BDH("CMLSQ US Equity","BS_CUR_LIAB","2012-08-31","2017-08-31","Per=Y","Days=T","Dir=V")</f>
        <v>0</v>
      </c>
      <c r="Q2">
        <f>BDH("CMLSQ US Equity","BS_SHAREHOLDER_EQY_ENDING_PERIOD","2012-08-31","2017-08-31","Per=Y","Days=T","Dir=V")</f>
        <v>0</v>
      </c>
      <c r="S2">
        <f>BDH("CMLSQ US Equity","BS_ACCT_NOTE_RCV","2012-08-31","2017-08-31","Per=Y","Days=T","Dir=V")</f>
        <v>0</v>
      </c>
      <c r="U2">
        <f>BDH("CMLSQ US Equity","BS_INVENTORIES","2012-08-31","2017-08-31","Per=Y","Days=T","Dir=V")</f>
        <v>0</v>
      </c>
      <c r="W2">
        <f>BDH("CMLSQ US Equity","WORKING_CAPITAL","2012-08-31","2017-08-31","Per=Y","Days=T","Dir=V")</f>
        <v>0</v>
      </c>
      <c r="Y2">
        <f>BDH("CMLSQ US Equity","SALES_REV_TURN","2012-08-31","2017-08-31","Per=Y","Days=T","Dir=V")</f>
        <v>0</v>
      </c>
      <c r="AA2">
        <f>BDH("CMLSQ US Equity","EBIT","2012-08-31","2017-08-31","Per=Y","Days=T","Dir=V")</f>
        <v>0</v>
      </c>
      <c r="AC2">
        <f>BDH("CMLSQ US Equity","EBITDA","2012-08-31","2017-08-31","Per=Y","Days=T","Dir=V")</f>
        <v>0</v>
      </c>
      <c r="AE2">
        <f>BDH("CMLSQ US Equity","NET_INCOME","2012-08-31","2017-08-31","Per=Y","Days=T","Dir=V")</f>
        <v>0</v>
      </c>
      <c r="AG2">
        <f>BDH("CMLSQ US Equity","IS_INT_EXPENSE","2012-08-31","2017-08-31","Per=Y","Days=T","Dir=V")</f>
        <v>0</v>
      </c>
      <c r="AI2">
        <f>BDH("CMLSQ US Equity","IS_DEPR_EXP","2012-08-31","2017-08-31","Per=Y","Days=T","Dir=V")</f>
        <v>0</v>
      </c>
      <c r="AK2">
        <f>BDH("CMLSQ US Equity","CF_CASH_FROM_OPER","2012-08-31","2017-08-31","Per=Y","Days=T","Dir=V")</f>
        <v>0</v>
      </c>
      <c r="AM2">
        <f>BDH("CMLSQ US Equity","CAPITAL_EXPEND","2012-08-31","2017-08-31","Per=Y","Days=T","Dir=V")</f>
        <v>0</v>
      </c>
      <c r="AO2">
        <f>BDH("CMLSQ US Equity","CF_FREE_CASH_FLOW","2012-08-31","2017-08-31","Per=Y","Days=T","Dir=V")</f>
        <v>0</v>
      </c>
      <c r="AQ2">
        <f>BDH("CMLSQ US Equity","PX_LAST","2012-08-31","2017-08-31","Per=M","Days=T","Dir=V")</f>
        <v>0</v>
      </c>
      <c r="AS2">
        <f>BDH("CMLSQ US Equity","CUR_MKT_CAP","2012-08-31","2017-08-31","Per=M","Days=T","Dir=V")</f>
        <v>0</v>
      </c>
      <c r="AU2">
        <f>BDH("CMLSQ US Equity","EQY_SH_OUT","2012-08-31","2017-08-31","Per=M","Days=T","Dir=V")</f>
        <v>0</v>
      </c>
      <c r="AW2">
        <f>BDH("CMLSQ US Equity","PX_VOLUME","2012-08-31","2017-08-31","Per=M","Days=T","Dir=V")</f>
        <v>0</v>
      </c>
      <c r="AY2">
        <f>BDH("CMLSQ US Equity","TURNOVER","2012-08-31","2017-08-31","Per=M","Days=T","Dir=V")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BDH("CIEIQ US Equity","BS_TOT_ASSET","2012-09-15","2017-09-15","Per=Y","Days=T","Dir=V")</f>
        <v>0</v>
      </c>
      <c r="C2">
        <f>BDH("CIEIQ US Equity","BS_TOT_LIAB2","2012-09-15","2017-09-15","Per=Y","Days=T","Dir=V")</f>
        <v>0</v>
      </c>
      <c r="E2">
        <f>BDH("CIEIQ US Equity","SHORT_AND_LONG_TERM_DEBT","2012-09-15","2017-09-15","Per=Y","Days=T","Dir=V")</f>
        <v>0</v>
      </c>
      <c r="G2">
        <f>BDH("CIEIQ US Equity","BS_ST_BORROW","2012-09-15","2017-09-15","Per=Y","Days=T","Dir=V")</f>
        <v>0</v>
      </c>
      <c r="I2">
        <f>BDH("CIEIQ US Equity","BS_LT_BORROW","2012-09-15","2017-09-15","Per=Y","Days=T","Dir=V")</f>
        <v>0</v>
      </c>
      <c r="K2">
        <f>BDH("CIEIQ US Equity","BS_CASH_NEAR_CASH_ITEM","2012-09-15","2017-09-15","Per=Y","Days=T","Dir=V")</f>
        <v>0</v>
      </c>
      <c r="M2">
        <f>BDH("CIEIQ US Equity","BS_CUR_ASSET_REPORT","2012-09-15","2017-09-15","Per=Y","Days=T","Dir=V")</f>
        <v>0</v>
      </c>
      <c r="O2">
        <f>BDH("CIEIQ US Equity","BS_CUR_LIAB","2012-09-15","2017-09-15","Per=Y","Days=T","Dir=V")</f>
        <v>0</v>
      </c>
      <c r="Q2">
        <f>BDH("CIEIQ US Equity","BS_SHAREHOLDER_EQY_ENDING_PERIOD","2012-09-15","2017-09-15","Per=Y","Days=T","Dir=V")</f>
        <v>0</v>
      </c>
      <c r="S2">
        <f>BDH("CIEIQ US Equity","BS_ACCT_NOTE_RCV","2012-09-15","2017-09-15","Per=Y","Days=T","Dir=V")</f>
        <v>0</v>
      </c>
      <c r="U2">
        <f>BDH("CIEIQ US Equity","BS_INVENTORIES","2012-09-15","2017-09-15","Per=Y","Days=T","Dir=V")</f>
        <v>0</v>
      </c>
      <c r="W2">
        <f>BDH("CIEIQ US Equity","WORKING_CAPITAL","2012-09-15","2017-09-15","Per=Y","Days=T","Dir=V")</f>
        <v>0</v>
      </c>
      <c r="Y2">
        <f>BDH("CIEIQ US Equity","SALES_REV_TURN","2012-09-15","2017-09-15","Per=Y","Days=T","Dir=V")</f>
        <v>0</v>
      </c>
      <c r="AA2">
        <f>BDH("CIEIQ US Equity","EBIT","2012-09-15","2017-09-15","Per=Y","Days=T","Dir=V")</f>
        <v>0</v>
      </c>
      <c r="AC2">
        <f>BDH("CIEIQ US Equity","EBITDA","2012-09-15","2017-09-15","Per=Y","Days=T","Dir=V")</f>
        <v>0</v>
      </c>
      <c r="AE2">
        <f>BDH("CIEIQ US Equity","NET_INCOME","2012-09-15","2017-09-15","Per=Y","Days=T","Dir=V")</f>
        <v>0</v>
      </c>
      <c r="AG2">
        <f>BDH("CIEIQ US Equity","IS_INT_EXPENSE","2012-09-15","2017-09-15","Per=Y","Days=T","Dir=V")</f>
        <v>0</v>
      </c>
      <c r="AI2">
        <f>BDH("CIEIQ US Equity","IS_DEPR_EXP","2012-09-15","2017-09-15","Per=Y","Days=T","Dir=V")</f>
        <v>0</v>
      </c>
      <c r="AK2">
        <f>BDH("CIEIQ US Equity","CF_CASH_FROM_OPER","2012-09-15","2017-09-15","Per=Y","Days=T","Dir=V")</f>
        <v>0</v>
      </c>
      <c r="AM2">
        <f>BDH("CIEIQ US Equity","CAPITAL_EXPEND","2012-09-15","2017-09-15","Per=Y","Days=T","Dir=V")</f>
        <v>0</v>
      </c>
      <c r="AO2">
        <f>BDH("CIEIQ US Equity","CF_FREE_CASH_FLOW","2012-09-15","2017-09-15","Per=Y","Days=T","Dir=V")</f>
        <v>0</v>
      </c>
      <c r="AQ2">
        <f>BDH("CIEIQ US Equity","PX_LAST","2012-09-15","2017-09-15","Per=M","Days=T","Dir=V")</f>
        <v>0</v>
      </c>
      <c r="AS2">
        <f>BDH("CIEIQ US Equity","CUR_MKT_CAP","2012-09-15","2017-09-15","Per=M","Days=T","Dir=V")</f>
        <v>0</v>
      </c>
      <c r="AU2">
        <f>BDH("CIEIQ US Equity","EQY_SH_OUT","2012-09-15","2017-09-15","Per=M","Days=T","Dir=V")</f>
        <v>0</v>
      </c>
      <c r="AW2">
        <f>BDH("CIEIQ US Equity","PX_VOLUME","2012-09-15","2017-09-15","Per=M","Days=T","Dir=V")</f>
        <v>0</v>
      </c>
      <c r="AY2">
        <f>BDH("CIEIQ US Equity","TURNOVER","2012-09-15","2017-09-15","Per=M","Days=T","Dir=V")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BDH("RTKHQ US Equity","BS_TOT_ASSET","2012-09-20","2017-09-20","Per=Y","Days=T","Dir=V")</f>
        <v>0</v>
      </c>
      <c r="C2">
        <f>BDH("RTKHQ US Equity","BS_TOT_LIAB2","2012-09-20","2017-09-20","Per=Y","Days=T","Dir=V")</f>
        <v>0</v>
      </c>
      <c r="E2">
        <f>BDH("RTKHQ US Equity","SHORT_AND_LONG_TERM_DEBT","2012-09-20","2017-09-20","Per=Y","Days=T","Dir=V")</f>
        <v>0</v>
      </c>
      <c r="G2">
        <f>BDH("RTKHQ US Equity","BS_ST_BORROW","2012-09-20","2017-09-20","Per=Y","Days=T","Dir=V")</f>
        <v>0</v>
      </c>
      <c r="I2">
        <f>BDH("RTKHQ US Equity","BS_LT_BORROW","2012-09-20","2017-09-20","Per=Y","Days=T","Dir=V")</f>
        <v>0</v>
      </c>
      <c r="K2">
        <f>BDH("RTKHQ US Equity","BS_CASH_NEAR_CASH_ITEM","2012-09-20","2017-09-20","Per=Y","Days=T","Dir=V")</f>
        <v>0</v>
      </c>
      <c r="M2">
        <f>BDH("RTKHQ US Equity","BS_CUR_ASSET_REPORT","2012-09-20","2017-09-20","Per=Y","Days=T","Dir=V")</f>
        <v>0</v>
      </c>
      <c r="O2">
        <f>BDH("RTKHQ US Equity","BS_CUR_LIAB","2012-09-20","2017-09-20","Per=Y","Days=T","Dir=V")</f>
        <v>0</v>
      </c>
      <c r="Q2">
        <f>BDH("RTKHQ US Equity","BS_SHAREHOLDER_EQY_ENDING_PERIOD","2012-09-20","2017-09-20","Per=Y","Days=T","Dir=V")</f>
        <v>0</v>
      </c>
      <c r="S2">
        <f>BDH("RTKHQ US Equity","BS_ACCT_NOTE_RCV","2012-09-20","2017-09-20","Per=Y","Days=T","Dir=V")</f>
        <v>0</v>
      </c>
      <c r="U2">
        <f>BDH("RTKHQ US Equity","BS_INVENTORIES","2012-09-20","2017-09-20","Per=Y","Days=T","Dir=V")</f>
        <v>0</v>
      </c>
      <c r="W2">
        <f>BDH("RTKHQ US Equity","WORKING_CAPITAL","2012-09-20","2017-09-20","Per=Y","Days=T","Dir=V")</f>
        <v>0</v>
      </c>
      <c r="Y2">
        <f>BDH("RTKHQ US Equity","SALES_REV_TURN","2012-09-20","2017-09-20","Per=Y","Days=T","Dir=V")</f>
        <v>0</v>
      </c>
      <c r="AA2">
        <f>BDH("RTKHQ US Equity","EBIT","2012-09-20","2017-09-20","Per=Y","Days=T","Dir=V")</f>
        <v>0</v>
      </c>
      <c r="AC2">
        <f>BDH("RTKHQ US Equity","EBITDA","2012-09-20","2017-09-20","Per=Y","Days=T","Dir=V")</f>
        <v>0</v>
      </c>
      <c r="AE2">
        <f>BDH("RTKHQ US Equity","NET_INCOME","2012-09-20","2017-09-20","Per=Y","Days=T","Dir=V")</f>
        <v>0</v>
      </c>
      <c r="AG2">
        <f>BDH("RTKHQ US Equity","IS_INT_EXPENSE","2012-09-20","2017-09-20","Per=Y","Days=T","Dir=V")</f>
        <v>0</v>
      </c>
      <c r="AI2">
        <f>BDH("RTKHQ US Equity","IS_DEPR_EXP","2012-09-20","2017-09-20","Per=Y","Days=T","Dir=V")</f>
        <v>0</v>
      </c>
      <c r="AK2">
        <f>BDH("RTKHQ US Equity","CF_CASH_FROM_OPER","2012-09-20","2017-09-20","Per=Y","Days=T","Dir=V")</f>
        <v>0</v>
      </c>
      <c r="AM2">
        <f>BDH("RTKHQ US Equity","CAPITAL_EXPEND","2012-09-20","2017-09-20","Per=Y","Days=T","Dir=V")</f>
        <v>0</v>
      </c>
      <c r="AO2">
        <f>BDH("RTKHQ US Equity","CF_FREE_CASH_FLOW","2012-09-20","2017-09-20","Per=Y","Days=T","Dir=V")</f>
        <v>0</v>
      </c>
      <c r="AQ2">
        <f>BDH("RTKHQ US Equity","PX_LAST","2012-09-20","2017-09-20","Per=M","Days=T","Dir=V")</f>
        <v>0</v>
      </c>
      <c r="AS2">
        <f>BDH("RTKHQ US Equity","CUR_MKT_CAP","2012-09-20","2017-09-20","Per=M","Days=T","Dir=V")</f>
        <v>0</v>
      </c>
      <c r="AU2">
        <f>BDH("RTKHQ US Equity","EQY_SH_OUT","2012-09-20","2017-09-20","Per=M","Days=T","Dir=V")</f>
        <v>0</v>
      </c>
      <c r="AW2">
        <f>BDH("RTKHQ US Equity","PX_VOLUME","2012-09-20","2017-09-20","Per=M","Days=T","Dir=V")</f>
        <v>0</v>
      </c>
      <c r="AY2">
        <f>BDH("RTKHQ US Equity","TURNOVER","2012-09-20","2017-09-20","Per=M","Days=T","Dir=V")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BDH("XCOOQ US Equity","BS_TOT_ASSET","2012-10-17","2017-10-17","Per=Y","Days=T","Dir=V")</f>
        <v>0</v>
      </c>
      <c r="C2">
        <f>BDH("XCOOQ US Equity","BS_TOT_LIAB2","2012-10-17","2017-10-17","Per=Y","Days=T","Dir=V")</f>
        <v>0</v>
      </c>
      <c r="E2">
        <f>BDH("XCOOQ US Equity","SHORT_AND_LONG_TERM_DEBT","2012-10-17","2017-10-17","Per=Y","Days=T","Dir=V")</f>
        <v>0</v>
      </c>
      <c r="G2">
        <f>BDH("XCOOQ US Equity","BS_ST_BORROW","2012-10-17","2017-10-17","Per=Y","Days=T","Dir=V")</f>
        <v>0</v>
      </c>
      <c r="I2">
        <f>BDH("XCOOQ US Equity","BS_LT_BORROW","2012-10-17","2017-10-17","Per=Y","Days=T","Dir=V")</f>
        <v>0</v>
      </c>
      <c r="K2">
        <f>BDH("XCOOQ US Equity","BS_CASH_NEAR_CASH_ITEM","2012-10-17","2017-10-17","Per=Y","Days=T","Dir=V")</f>
        <v>0</v>
      </c>
      <c r="M2">
        <f>BDH("XCOOQ US Equity","BS_CUR_ASSET_REPORT","2012-10-17","2017-10-17","Per=Y","Days=T","Dir=V")</f>
        <v>0</v>
      </c>
      <c r="O2">
        <f>BDH("XCOOQ US Equity","BS_CUR_LIAB","2012-10-17","2017-10-17","Per=Y","Days=T","Dir=V")</f>
        <v>0</v>
      </c>
      <c r="Q2">
        <f>BDH("XCOOQ US Equity","BS_SHAREHOLDER_EQY_ENDING_PERIOD","2012-10-17","2017-10-17","Per=Y","Days=T","Dir=V")</f>
        <v>0</v>
      </c>
      <c r="S2">
        <f>BDH("XCOOQ US Equity","BS_ACCT_NOTE_RCV","2012-10-17","2017-10-17","Per=Y","Days=T","Dir=V")</f>
        <v>0</v>
      </c>
      <c r="U2">
        <f>BDH("XCOOQ US Equity","BS_INVENTORIES","2012-10-17","2017-10-17","Per=Y","Days=T","Dir=V")</f>
        <v>0</v>
      </c>
      <c r="W2">
        <f>BDH("XCOOQ US Equity","WORKING_CAPITAL","2012-10-17","2017-10-17","Per=Y","Days=T","Dir=V")</f>
        <v>0</v>
      </c>
      <c r="Y2">
        <f>BDH("XCOOQ US Equity","SALES_REV_TURN","2012-10-17","2017-10-17","Per=Y","Days=T","Dir=V")</f>
        <v>0</v>
      </c>
      <c r="AA2">
        <f>BDH("XCOOQ US Equity","EBIT","2012-10-17","2017-10-17","Per=Y","Days=T","Dir=V")</f>
        <v>0</v>
      </c>
      <c r="AC2">
        <f>BDH("XCOOQ US Equity","EBITDA","2012-10-17","2017-10-17","Per=Y","Days=T","Dir=V")</f>
        <v>0</v>
      </c>
      <c r="AE2">
        <f>BDH("XCOOQ US Equity","NET_INCOME","2012-10-17","2017-10-17","Per=Y","Days=T","Dir=V")</f>
        <v>0</v>
      </c>
      <c r="AG2">
        <f>BDH("XCOOQ US Equity","IS_INT_EXPENSE","2012-10-17","2017-10-17","Per=Y","Days=T","Dir=V")</f>
        <v>0</v>
      </c>
      <c r="AI2">
        <f>BDH("XCOOQ US Equity","IS_DEPR_EXP","2012-10-17","2017-10-17","Per=Y","Days=T","Dir=V")</f>
        <v>0</v>
      </c>
      <c r="AK2">
        <f>BDH("XCOOQ US Equity","CF_CASH_FROM_OPER","2012-10-17","2017-10-17","Per=Y","Days=T","Dir=V")</f>
        <v>0</v>
      </c>
      <c r="AM2">
        <f>BDH("XCOOQ US Equity","CAPITAL_EXPEND","2012-10-17","2017-10-17","Per=Y","Days=T","Dir=V")</f>
        <v>0</v>
      </c>
      <c r="AO2">
        <f>BDH("XCOOQ US Equity","CF_FREE_CASH_FLOW","2012-10-17","2017-10-17","Per=Y","Days=T","Dir=V")</f>
        <v>0</v>
      </c>
      <c r="AQ2">
        <f>BDH("XCOOQ US Equity","PX_LAST","2012-10-17","2017-10-17","Per=M","Days=T","Dir=V")</f>
        <v>0</v>
      </c>
      <c r="AS2">
        <f>BDH("XCOOQ US Equity","CUR_MKT_CAP","2012-10-17","2017-10-17","Per=M","Days=T","Dir=V")</f>
        <v>0</v>
      </c>
      <c r="AU2">
        <f>BDH("XCOOQ US Equity","EQY_SH_OUT","2012-10-17","2017-10-17","Per=M","Days=T","Dir=V")</f>
        <v>0</v>
      </c>
      <c r="AW2">
        <f>BDH("XCOOQ US Equity","PX_VOLUME","2012-10-17","2017-10-17","Per=M","Days=T","Dir=V")</f>
        <v>0</v>
      </c>
      <c r="AY2">
        <f>BDH("XCOOQ US Equity","TURNOVER","2012-10-17","2017-10-17","Per=M","Days=T","Dir=V")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BDH("CVOVQ US Equity","BS_TOT_ASSET","2012-11-04","2017-11-04","Per=Y","Days=T","Dir=V")</f>
        <v>0</v>
      </c>
      <c r="C2">
        <f>BDH("CVOVQ US Equity","BS_TOT_LIAB2","2012-11-04","2017-11-04","Per=Y","Days=T","Dir=V")</f>
        <v>0</v>
      </c>
      <c r="E2">
        <f>BDH("CVOVQ US Equity","SHORT_AND_LONG_TERM_DEBT","2012-11-04","2017-11-04","Per=Y","Days=T","Dir=V")</f>
        <v>0</v>
      </c>
      <c r="G2">
        <f>BDH("CVOVQ US Equity","BS_ST_BORROW","2012-11-04","2017-11-04","Per=Y","Days=T","Dir=V")</f>
        <v>0</v>
      </c>
      <c r="I2">
        <f>BDH("CVOVQ US Equity","BS_LT_BORROW","2012-11-04","2017-11-04","Per=Y","Days=T","Dir=V")</f>
        <v>0</v>
      </c>
      <c r="K2">
        <f>BDH("CVOVQ US Equity","BS_CASH_NEAR_CASH_ITEM","2012-11-04","2017-11-04","Per=Y","Days=T","Dir=V")</f>
        <v>0</v>
      </c>
      <c r="M2">
        <f>BDH("CVOVQ US Equity","BS_CUR_ASSET_REPORT","2012-11-04","2017-11-04","Per=Y","Days=T","Dir=V")</f>
        <v>0</v>
      </c>
      <c r="O2">
        <f>BDH("CVOVQ US Equity","BS_CUR_LIAB","2012-11-04","2017-11-04","Per=Y","Days=T","Dir=V")</f>
        <v>0</v>
      </c>
      <c r="Q2">
        <f>BDH("CVOVQ US Equity","BS_SHAREHOLDER_EQY_ENDING_PERIOD","2012-11-04","2017-11-04","Per=Y","Days=T","Dir=V")</f>
        <v>0</v>
      </c>
      <c r="S2">
        <f>BDH("CVOVQ US Equity","BS_ACCT_NOTE_RCV","2012-11-04","2017-11-04","Per=Y","Days=T","Dir=V")</f>
        <v>0</v>
      </c>
      <c r="U2">
        <f>BDH("CVOVQ US Equity","BS_INVENTORIES","2012-11-04","2017-11-04","Per=Y","Days=T","Dir=V")</f>
        <v>0</v>
      </c>
      <c r="W2">
        <f>BDH("CVOVQ US Equity","WORKING_CAPITAL","2012-11-04","2017-11-04","Per=Y","Days=T","Dir=V")</f>
        <v>0</v>
      </c>
      <c r="Y2">
        <f>BDH("CVOVQ US Equity","SALES_REV_TURN","2012-11-04","2017-11-04","Per=Y","Days=T","Dir=V")</f>
        <v>0</v>
      </c>
      <c r="AA2">
        <f>BDH("CVOVQ US Equity","EBIT","2012-11-04","2017-11-04","Per=Y","Days=T","Dir=V")</f>
        <v>0</v>
      </c>
      <c r="AC2">
        <f>BDH("CVOVQ US Equity","EBITDA","2012-11-04","2017-11-04","Per=Y","Days=T","Dir=V")</f>
        <v>0</v>
      </c>
      <c r="AE2">
        <f>BDH("CVOVQ US Equity","NET_INCOME","2012-11-04","2017-11-04","Per=Y","Days=T","Dir=V")</f>
        <v>0</v>
      </c>
      <c r="AG2">
        <f>BDH("CVOVQ US Equity","IS_INT_EXPENSE","2012-11-04","2017-11-04","Per=Y","Days=T","Dir=V")</f>
        <v>0</v>
      </c>
      <c r="AI2">
        <f>BDH("CVOVQ US Equity","IS_DEPR_EXP","2012-11-04","2017-11-04","Per=Y","Days=T","Dir=V")</f>
        <v>0</v>
      </c>
      <c r="AK2">
        <f>BDH("CVOVQ US Equity","CF_CASH_FROM_OPER","2012-11-04","2017-11-04","Per=Y","Days=T","Dir=V")</f>
        <v>0</v>
      </c>
      <c r="AM2">
        <f>BDH("CVOVQ US Equity","CAPITAL_EXPEND","2012-11-04","2017-11-04","Per=Y","Days=T","Dir=V")</f>
        <v>0</v>
      </c>
      <c r="AO2">
        <f>BDH("CVOVQ US Equity","CF_FREE_CASH_FLOW","2012-11-04","2017-11-04","Per=Y","Days=T","Dir=V")</f>
        <v>0</v>
      </c>
      <c r="AQ2">
        <f>BDH("CVOVQ US Equity","PX_LAST","2012-11-04","2017-11-04","Per=M","Days=T","Dir=V")</f>
        <v>0</v>
      </c>
      <c r="AS2">
        <f>BDH("CVOVQ US Equity","CUR_MKT_CAP","2012-11-04","2017-11-04","Per=M","Days=T","Dir=V")</f>
        <v>0</v>
      </c>
      <c r="AU2">
        <f>BDH("CVOVQ US Equity","EQY_SH_OUT","2012-11-04","2017-11-04","Per=M","Days=T","Dir=V")</f>
        <v>0</v>
      </c>
      <c r="AW2">
        <f>BDH("CVOVQ US Equity","PX_VOLUME","2012-11-04","2017-11-04","Per=M","Days=T","Dir=V")</f>
        <v>0</v>
      </c>
      <c r="AY2">
        <f>BDH("CVOVQ US Equity","TURNOVER","2012-11-04","2017-11-04","Per=M","Days=T","Dir=V")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BDH("OREXQ US Equity","BS_TOT_ASSET","2012-12-12","2017-12-12","Per=Y","Days=T","Dir=V")</f>
        <v>0</v>
      </c>
      <c r="C2">
        <f>BDH("OREXQ US Equity","BS_TOT_LIAB2","2012-12-12","2017-12-12","Per=Y","Days=T","Dir=V")</f>
        <v>0</v>
      </c>
      <c r="E2">
        <f>BDH("OREXQ US Equity","SHORT_AND_LONG_TERM_DEBT","2012-12-12","2017-12-12","Per=Y","Days=T","Dir=V")</f>
        <v>0</v>
      </c>
      <c r="G2">
        <f>BDH("OREXQ US Equity","BS_ST_BORROW","2012-12-12","2017-12-12","Per=Y","Days=T","Dir=V")</f>
        <v>0</v>
      </c>
      <c r="I2">
        <f>BDH("OREXQ US Equity","BS_LT_BORROW","2012-12-12","2017-12-12","Per=Y","Days=T","Dir=V")</f>
        <v>0</v>
      </c>
      <c r="K2">
        <f>BDH("OREXQ US Equity","BS_CASH_NEAR_CASH_ITEM","2012-12-12","2017-12-12","Per=Y","Days=T","Dir=V")</f>
        <v>0</v>
      </c>
      <c r="M2">
        <f>BDH("OREXQ US Equity","BS_CUR_ASSET_REPORT","2012-12-12","2017-12-12","Per=Y","Days=T","Dir=V")</f>
        <v>0</v>
      </c>
      <c r="O2">
        <f>BDH("OREXQ US Equity","BS_CUR_LIAB","2012-12-12","2017-12-12","Per=Y","Days=T","Dir=V")</f>
        <v>0</v>
      </c>
      <c r="Q2">
        <f>BDH("OREXQ US Equity","BS_SHAREHOLDER_EQY_ENDING_PERIOD","2012-12-12","2017-12-12","Per=Y","Days=T","Dir=V")</f>
        <v>0</v>
      </c>
      <c r="S2">
        <f>BDH("OREXQ US Equity","BS_ACCT_NOTE_RCV","2012-12-12","2017-12-12","Per=Y","Days=T","Dir=V")</f>
        <v>0</v>
      </c>
      <c r="U2">
        <f>BDH("OREXQ US Equity","BS_INVENTORIES","2012-12-12","2017-12-12","Per=Y","Days=T","Dir=V")</f>
        <v>0</v>
      </c>
      <c r="W2">
        <f>BDH("OREXQ US Equity","WORKING_CAPITAL","2012-12-12","2017-12-12","Per=Y","Days=T","Dir=V")</f>
        <v>0</v>
      </c>
      <c r="Y2">
        <f>BDH("OREXQ US Equity","SALES_REV_TURN","2012-12-12","2017-12-12","Per=Y","Days=T","Dir=V")</f>
        <v>0</v>
      </c>
      <c r="AA2">
        <f>BDH("OREXQ US Equity","EBIT","2012-12-12","2017-12-12","Per=Y","Days=T","Dir=V")</f>
        <v>0</v>
      </c>
      <c r="AC2">
        <f>BDH("OREXQ US Equity","EBITDA","2012-12-12","2017-12-12","Per=Y","Days=T","Dir=V")</f>
        <v>0</v>
      </c>
      <c r="AE2">
        <f>BDH("OREXQ US Equity","NET_INCOME","2012-12-12","2017-12-12","Per=Y","Days=T","Dir=V")</f>
        <v>0</v>
      </c>
      <c r="AG2">
        <f>BDH("OREXQ US Equity","IS_INT_EXPENSE","2012-12-12","2017-12-12","Per=Y","Days=T","Dir=V")</f>
        <v>0</v>
      </c>
      <c r="AI2">
        <f>BDH("OREXQ US Equity","IS_DEPR_EXP","2012-12-12","2017-12-12","Per=Y","Days=T","Dir=V")</f>
        <v>0</v>
      </c>
      <c r="AK2">
        <f>BDH("OREXQ US Equity","CF_CASH_FROM_OPER","2012-12-12","2017-12-12","Per=Y","Days=T","Dir=V")</f>
        <v>0</v>
      </c>
      <c r="AM2">
        <f>BDH("OREXQ US Equity","CAPITAL_EXPEND","2012-12-12","2017-12-12","Per=Y","Days=T","Dir=V")</f>
        <v>0</v>
      </c>
      <c r="AO2">
        <f>BDH("OREXQ US Equity","CF_FREE_CASH_FLOW","2012-12-12","2017-12-12","Per=Y","Days=T","Dir=V")</f>
        <v>0</v>
      </c>
      <c r="AQ2">
        <f>BDH("OREXQ US Equity","PX_LAST","2012-12-12","2017-12-12","Per=M","Days=T","Dir=V")</f>
        <v>0</v>
      </c>
      <c r="AS2">
        <f>BDH("OREXQ US Equity","CUR_MKT_CAP","2012-12-12","2017-12-12","Per=M","Days=T","Dir=V")</f>
        <v>0</v>
      </c>
      <c r="AU2">
        <f>BDH("OREXQ US Equity","EQY_SH_OUT","2012-12-12","2017-12-12","Per=M","Days=T","Dir=V")</f>
        <v>0</v>
      </c>
      <c r="AW2">
        <f>BDH("OREXQ US Equity","PX_VOLUME","2012-12-12","2017-12-12","Per=M","Days=T","Dir=V")</f>
        <v>0</v>
      </c>
      <c r="AY2">
        <f>BDH("OREXQ US Equity","TURNOVER","2012-12-12","2017-12-12","Per=M","Days=T","Dir=V")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BDH("REXXQ US Equity","BS_TOT_ASSET","2013-02-17","2018-02-17","Per=Y","Days=T","Dir=V")</f>
        <v>0</v>
      </c>
      <c r="C2">
        <f>BDH("REXXQ US Equity","BS_TOT_LIAB2","2013-02-17","2018-02-17","Per=Y","Days=T","Dir=V")</f>
        <v>0</v>
      </c>
      <c r="E2">
        <f>BDH("REXXQ US Equity","SHORT_AND_LONG_TERM_DEBT","2013-02-17","2018-02-17","Per=Y","Days=T","Dir=V")</f>
        <v>0</v>
      </c>
      <c r="G2">
        <f>BDH("REXXQ US Equity","BS_ST_BORROW","2013-02-17","2018-02-17","Per=Y","Days=T","Dir=V")</f>
        <v>0</v>
      </c>
      <c r="I2">
        <f>BDH("REXXQ US Equity","BS_LT_BORROW","2013-02-17","2018-02-17","Per=Y","Days=T","Dir=V")</f>
        <v>0</v>
      </c>
      <c r="K2">
        <f>BDH("REXXQ US Equity","BS_CASH_NEAR_CASH_ITEM","2013-02-17","2018-02-17","Per=Y","Days=T","Dir=V")</f>
        <v>0</v>
      </c>
      <c r="M2">
        <f>BDH("REXXQ US Equity","BS_CUR_ASSET_REPORT","2013-02-17","2018-02-17","Per=Y","Days=T","Dir=V")</f>
        <v>0</v>
      </c>
      <c r="O2">
        <f>BDH("REXXQ US Equity","BS_CUR_LIAB","2013-02-17","2018-02-17","Per=Y","Days=T","Dir=V")</f>
        <v>0</v>
      </c>
      <c r="Q2">
        <f>BDH("REXXQ US Equity","BS_SHAREHOLDER_EQY_ENDING_PERIOD","2013-02-17","2018-02-17","Per=Y","Days=T","Dir=V")</f>
        <v>0</v>
      </c>
      <c r="S2">
        <f>BDH("REXXQ US Equity","BS_ACCT_NOTE_RCV","2013-02-17","2018-02-17","Per=Y","Days=T","Dir=V")</f>
        <v>0</v>
      </c>
      <c r="U2">
        <f>BDH("REXXQ US Equity","BS_INVENTORIES","2013-02-17","2018-02-17","Per=Y","Days=T","Dir=V")</f>
        <v>0</v>
      </c>
      <c r="W2">
        <f>BDH("REXXQ US Equity","WORKING_CAPITAL","2013-02-17","2018-02-17","Per=Y","Days=T","Dir=V")</f>
        <v>0</v>
      </c>
      <c r="Y2">
        <f>BDH("REXXQ US Equity","SALES_REV_TURN","2013-02-17","2018-02-17","Per=Y","Days=T","Dir=V")</f>
        <v>0</v>
      </c>
      <c r="AA2">
        <f>BDH("REXXQ US Equity","EBIT","2013-02-17","2018-02-17","Per=Y","Days=T","Dir=V")</f>
        <v>0</v>
      </c>
      <c r="AC2">
        <f>BDH("REXXQ US Equity","EBITDA","2013-02-17","2018-02-17","Per=Y","Days=T","Dir=V")</f>
        <v>0</v>
      </c>
      <c r="AE2">
        <f>BDH("REXXQ US Equity","NET_INCOME","2013-02-17","2018-02-17","Per=Y","Days=T","Dir=V")</f>
        <v>0</v>
      </c>
      <c r="AG2">
        <f>BDH("REXXQ US Equity","IS_INT_EXPENSE","2013-02-17","2018-02-17","Per=Y","Days=T","Dir=V")</f>
        <v>0</v>
      </c>
      <c r="AI2">
        <f>BDH("REXXQ US Equity","IS_DEPR_EXP","2013-02-17","2018-02-17","Per=Y","Days=T","Dir=V")</f>
        <v>0</v>
      </c>
      <c r="AK2">
        <f>BDH("REXXQ US Equity","CF_CASH_FROM_OPER","2013-02-17","2018-02-17","Per=Y","Days=T","Dir=V")</f>
        <v>0</v>
      </c>
      <c r="AM2">
        <f>BDH("REXXQ US Equity","CAPITAL_EXPEND","2013-02-17","2018-02-17","Per=Y","Days=T","Dir=V")</f>
        <v>0</v>
      </c>
      <c r="AO2">
        <f>BDH("REXXQ US Equity","CF_FREE_CASH_FLOW","2013-02-17","2018-02-17","Per=Y","Days=T","Dir=V")</f>
        <v>0</v>
      </c>
      <c r="AQ2">
        <f>BDH("REXXQ US Equity","PX_LAST","2013-02-17","2018-02-17","Per=M","Days=T","Dir=V")</f>
        <v>0</v>
      </c>
      <c r="AS2">
        <f>BDH("REXXQ US Equity","CUR_MKT_CAP","2013-02-17","2018-02-17","Per=M","Days=T","Dir=V")</f>
        <v>0</v>
      </c>
      <c r="AU2">
        <f>BDH("REXXQ US Equity","EQY_SH_OUT","2013-02-17","2018-02-17","Per=M","Days=T","Dir=V")</f>
        <v>0</v>
      </c>
      <c r="AW2">
        <f>BDH("REXXQ US Equity","PX_VOLUME","2013-02-17","2018-02-17","Per=M","Days=T","Dir=V")</f>
        <v>0</v>
      </c>
      <c r="AY2">
        <f>BDH("REXXQ US Equity","TURNOVER","2013-02-17","2018-02-17","Per=M","Days=T","Dir=V")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BDH("SHLDQ US Equity","BS_TOT_ASSET","2013-07-17","2018-07-17","Per=Y","Days=T","Dir=V")</f>
        <v>0</v>
      </c>
      <c r="C2">
        <f>BDH("SHLDQ US Equity","BS_TOT_LIAB2","2013-07-17","2018-07-17","Per=Y","Days=T","Dir=V")</f>
        <v>0</v>
      </c>
      <c r="E2">
        <f>BDH("SHLDQ US Equity","SHORT_AND_LONG_TERM_DEBT","2013-07-17","2018-07-17","Per=Y","Days=T","Dir=V")</f>
        <v>0</v>
      </c>
      <c r="G2">
        <f>BDH("SHLDQ US Equity","BS_ST_BORROW","2013-07-17","2018-07-17","Per=Y","Days=T","Dir=V")</f>
        <v>0</v>
      </c>
      <c r="I2">
        <f>BDH("SHLDQ US Equity","BS_LT_BORROW","2013-07-17","2018-07-17","Per=Y","Days=T","Dir=V")</f>
        <v>0</v>
      </c>
      <c r="K2">
        <f>BDH("SHLDQ US Equity","BS_CASH_NEAR_CASH_ITEM","2013-07-17","2018-07-17","Per=Y","Days=T","Dir=V")</f>
        <v>0</v>
      </c>
      <c r="M2">
        <f>BDH("SHLDQ US Equity","BS_CUR_ASSET_REPORT","2013-07-17","2018-07-17","Per=Y","Days=T","Dir=V")</f>
        <v>0</v>
      </c>
      <c r="O2">
        <f>BDH("SHLDQ US Equity","BS_CUR_LIAB","2013-07-17","2018-07-17","Per=Y","Days=T","Dir=V")</f>
        <v>0</v>
      </c>
      <c r="Q2">
        <f>BDH("SHLDQ US Equity","BS_SHAREHOLDER_EQY_ENDING_PERIOD","2013-07-17","2018-07-17","Per=Y","Days=T","Dir=V")</f>
        <v>0</v>
      </c>
      <c r="S2">
        <f>BDH("SHLDQ US Equity","BS_ACCT_NOTE_RCV","2013-07-17","2018-07-17","Per=Y","Days=T","Dir=V")</f>
        <v>0</v>
      </c>
      <c r="U2">
        <f>BDH("SHLDQ US Equity","BS_INVENTORIES","2013-07-17","2018-07-17","Per=Y","Days=T","Dir=V")</f>
        <v>0</v>
      </c>
      <c r="W2">
        <f>BDH("SHLDQ US Equity","WORKING_CAPITAL","2013-07-17","2018-07-17","Per=Y","Days=T","Dir=V")</f>
        <v>0</v>
      </c>
      <c r="Y2">
        <f>BDH("SHLDQ US Equity","SALES_REV_TURN","2013-07-17","2018-07-17","Per=Y","Days=T","Dir=V")</f>
        <v>0</v>
      </c>
      <c r="AA2">
        <f>BDH("SHLDQ US Equity","EBIT","2013-07-17","2018-07-17","Per=Y","Days=T","Dir=V")</f>
        <v>0</v>
      </c>
      <c r="AC2">
        <f>BDH("SHLDQ US Equity","EBITDA","2013-07-17","2018-07-17","Per=Y","Days=T","Dir=V")</f>
        <v>0</v>
      </c>
      <c r="AE2">
        <f>BDH("SHLDQ US Equity","NET_INCOME","2013-07-17","2018-07-17","Per=Y","Days=T","Dir=V")</f>
        <v>0</v>
      </c>
      <c r="AG2">
        <f>BDH("SHLDQ US Equity","IS_INT_EXPENSE","2013-07-17","2018-07-17","Per=Y","Days=T","Dir=V")</f>
        <v>0</v>
      </c>
      <c r="AI2">
        <f>BDH("SHLDQ US Equity","IS_DEPR_EXP","2013-07-17","2018-07-17","Per=Y","Days=T","Dir=V")</f>
        <v>0</v>
      </c>
      <c r="AK2">
        <f>BDH("SHLDQ US Equity","CF_CASH_FROM_OPER","2013-07-17","2018-07-17","Per=Y","Days=T","Dir=V")</f>
        <v>0</v>
      </c>
      <c r="AM2">
        <f>BDH("SHLDQ US Equity","CAPITAL_EXPEND","2013-07-17","2018-07-17","Per=Y","Days=T","Dir=V")</f>
        <v>0</v>
      </c>
      <c r="AO2">
        <f>BDH("SHLDQ US Equity","CF_FREE_CASH_FLOW","2013-07-17","2018-07-17","Per=Y","Days=T","Dir=V")</f>
        <v>0</v>
      </c>
      <c r="AQ2">
        <f>BDH("SHLDQ US Equity","PX_LAST","2013-07-17","2018-07-17","Per=M","Days=T","Dir=V")</f>
        <v>0</v>
      </c>
      <c r="AS2">
        <f>BDH("SHLDQ US Equity","CUR_MKT_CAP","2013-07-17","2018-07-17","Per=M","Days=T","Dir=V")</f>
        <v>0</v>
      </c>
      <c r="AU2">
        <f>BDH("SHLDQ US Equity","EQY_SH_OUT","2013-07-17","2018-07-17","Per=M","Days=T","Dir=V")</f>
        <v>0</v>
      </c>
      <c r="AW2">
        <f>BDH("SHLDQ US Equity","PX_VOLUME","2013-07-17","2018-07-17","Per=M","Days=T","Dir=V")</f>
        <v>0</v>
      </c>
      <c r="AY2">
        <f>BDH("SHLDQ US Equity","TURNOVER","2013-07-17","2018-07-17","Per=M","Days=T","Dir=V")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BDH("GSTCQ US Equity","BS_TOT_ASSET","2013-08-02","2018-08-02","Per=Y","Days=T","Dir=V")</f>
        <v>0</v>
      </c>
      <c r="C2">
        <f>BDH("GSTCQ US Equity","BS_TOT_LIAB2","2013-08-02","2018-08-02","Per=Y","Days=T","Dir=V")</f>
        <v>0</v>
      </c>
      <c r="E2">
        <f>BDH("GSTCQ US Equity","SHORT_AND_LONG_TERM_DEBT","2013-08-02","2018-08-02","Per=Y","Days=T","Dir=V")</f>
        <v>0</v>
      </c>
      <c r="G2">
        <f>BDH("GSTCQ US Equity","BS_ST_BORROW","2013-08-02","2018-08-02","Per=Y","Days=T","Dir=V")</f>
        <v>0</v>
      </c>
      <c r="I2">
        <f>BDH("GSTCQ US Equity","BS_LT_BORROW","2013-08-02","2018-08-02","Per=Y","Days=T","Dir=V")</f>
        <v>0</v>
      </c>
      <c r="K2">
        <f>BDH("GSTCQ US Equity","BS_CASH_NEAR_CASH_ITEM","2013-08-02","2018-08-02","Per=Y","Days=T","Dir=V")</f>
        <v>0</v>
      </c>
      <c r="M2">
        <f>BDH("GSTCQ US Equity","BS_CUR_ASSET_REPORT","2013-08-02","2018-08-02","Per=Y","Days=T","Dir=V")</f>
        <v>0</v>
      </c>
      <c r="O2">
        <f>BDH("GSTCQ US Equity","BS_CUR_LIAB","2013-08-02","2018-08-02","Per=Y","Days=T","Dir=V")</f>
        <v>0</v>
      </c>
      <c r="Q2">
        <f>BDH("GSTCQ US Equity","BS_SHAREHOLDER_EQY_ENDING_PERIOD","2013-08-02","2018-08-02","Per=Y","Days=T","Dir=V")</f>
        <v>0</v>
      </c>
      <c r="S2">
        <f>BDH("GSTCQ US Equity","BS_ACCT_NOTE_RCV","2013-08-02","2018-08-02","Per=Y","Days=T","Dir=V")</f>
        <v>0</v>
      </c>
      <c r="U2">
        <f>BDH("GSTCQ US Equity","BS_INVENTORIES","2013-08-02","2018-08-02","Per=Y","Days=T","Dir=V")</f>
        <v>0</v>
      </c>
      <c r="W2">
        <f>BDH("GSTCQ US Equity","WORKING_CAPITAL","2013-08-02","2018-08-02","Per=Y","Days=T","Dir=V")</f>
        <v>0</v>
      </c>
      <c r="Y2">
        <f>BDH("GSTCQ US Equity","SALES_REV_TURN","2013-08-02","2018-08-02","Per=Y","Days=T","Dir=V")</f>
        <v>0</v>
      </c>
      <c r="AA2">
        <f>BDH("GSTCQ US Equity","EBIT","2013-08-02","2018-08-02","Per=Y","Days=T","Dir=V")</f>
        <v>0</v>
      </c>
      <c r="AC2">
        <f>BDH("GSTCQ US Equity","EBITDA","2013-08-02","2018-08-02","Per=Y","Days=T","Dir=V")</f>
        <v>0</v>
      </c>
      <c r="AE2">
        <f>BDH("GSTCQ US Equity","NET_INCOME","2013-08-02","2018-08-02","Per=Y","Days=T","Dir=V")</f>
        <v>0</v>
      </c>
      <c r="AG2">
        <f>BDH("GSTCQ US Equity","IS_INT_EXPENSE","2013-08-02","2018-08-02","Per=Y","Days=T","Dir=V")</f>
        <v>0</v>
      </c>
      <c r="AI2">
        <f>BDH("GSTCQ US Equity","IS_DEPR_EXP","2013-08-02","2018-08-02","Per=Y","Days=T","Dir=V")</f>
        <v>0</v>
      </c>
      <c r="AK2">
        <f>BDH("GSTCQ US Equity","CF_CASH_FROM_OPER","2013-08-02","2018-08-02","Per=Y","Days=T","Dir=V")</f>
        <v>0</v>
      </c>
      <c r="AM2">
        <f>BDH("GSTCQ US Equity","CAPITAL_EXPEND","2013-08-02","2018-08-02","Per=Y","Days=T","Dir=V")</f>
        <v>0</v>
      </c>
      <c r="AO2">
        <f>BDH("GSTCQ US Equity","CF_FREE_CASH_FLOW","2013-08-02","2018-08-02","Per=Y","Days=T","Dir=V")</f>
        <v>0</v>
      </c>
      <c r="AQ2">
        <f>BDH("GSTCQ US Equity","PX_LAST","2013-08-02","2018-08-02","Per=M","Days=T","Dir=V")</f>
        <v>0</v>
      </c>
      <c r="AS2">
        <f>BDH("GSTCQ US Equity","CUR_MKT_CAP","2013-08-02","2018-08-02","Per=M","Days=T","Dir=V")</f>
        <v>0</v>
      </c>
      <c r="AU2">
        <f>BDH("GSTCQ US Equity","EQY_SH_OUT","2013-08-02","2018-08-02","Per=M","Days=T","Dir=V")</f>
        <v>0</v>
      </c>
      <c r="AW2">
        <f>BDH("GSTCQ US Equity","PX_VOLUME","2013-08-02","2018-08-02","Per=M","Days=T","Dir=V")</f>
        <v>0</v>
      </c>
      <c r="AY2">
        <f>BDH("GSTCQ US Equity","TURNOVER","2013-08-02","2018-08-02","Per=M","Days=T","Dir=V")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BDH("PKDC US Equity","BS_TOT_ASSET","2013-09-13","2018-09-13","Per=Y","Days=T","Dir=V")</f>
        <v>0</v>
      </c>
      <c r="C2">
        <f>BDH("PKDC US Equity","BS_TOT_LIAB2","2013-09-13","2018-09-13","Per=Y","Days=T","Dir=V")</f>
        <v>0</v>
      </c>
      <c r="E2">
        <f>BDH("PKDC US Equity","SHORT_AND_LONG_TERM_DEBT","2013-09-13","2018-09-13","Per=Y","Days=T","Dir=V")</f>
        <v>0</v>
      </c>
      <c r="G2">
        <f>BDH("PKDC US Equity","BS_ST_BORROW","2013-09-13","2018-09-13","Per=Y","Days=T","Dir=V")</f>
        <v>0</v>
      </c>
      <c r="I2">
        <f>BDH("PKDC US Equity","BS_LT_BORROW","2013-09-13","2018-09-13","Per=Y","Days=T","Dir=V")</f>
        <v>0</v>
      </c>
      <c r="K2">
        <f>BDH("PKDC US Equity","BS_CASH_NEAR_CASH_ITEM","2013-09-13","2018-09-13","Per=Y","Days=T","Dir=V")</f>
        <v>0</v>
      </c>
      <c r="M2">
        <f>BDH("PKDC US Equity","BS_CUR_ASSET_REPORT","2013-09-13","2018-09-13","Per=Y","Days=T","Dir=V")</f>
        <v>0</v>
      </c>
      <c r="O2">
        <f>BDH("PKDC US Equity","BS_CUR_LIAB","2013-09-13","2018-09-13","Per=Y","Days=T","Dir=V")</f>
        <v>0</v>
      </c>
      <c r="Q2">
        <f>BDH("PKDC US Equity","BS_SHAREHOLDER_EQY_ENDING_PERIOD","2013-09-13","2018-09-13","Per=Y","Days=T","Dir=V")</f>
        <v>0</v>
      </c>
      <c r="S2">
        <f>BDH("PKDC US Equity","BS_ACCT_NOTE_RCV","2013-09-13","2018-09-13","Per=Y","Days=T","Dir=V")</f>
        <v>0</v>
      </c>
      <c r="U2">
        <f>BDH("PKDC US Equity","BS_INVENTORIES","2013-09-13","2018-09-13","Per=Y","Days=T","Dir=V")</f>
        <v>0</v>
      </c>
      <c r="W2">
        <f>BDH("PKDC US Equity","WORKING_CAPITAL","2013-09-13","2018-09-13","Per=Y","Days=T","Dir=V")</f>
        <v>0</v>
      </c>
      <c r="Y2">
        <f>BDH("PKDC US Equity","SALES_REV_TURN","2013-09-13","2018-09-13","Per=Y","Days=T","Dir=V")</f>
        <v>0</v>
      </c>
      <c r="AA2">
        <f>BDH("PKDC US Equity","EBIT","2013-09-13","2018-09-13","Per=Y","Days=T","Dir=V")</f>
        <v>0</v>
      </c>
      <c r="AC2">
        <f>BDH("PKDC US Equity","EBITDA","2013-09-13","2018-09-13","Per=Y","Days=T","Dir=V")</f>
        <v>0</v>
      </c>
      <c r="AE2">
        <f>BDH("PKDC US Equity","NET_INCOME","2013-09-13","2018-09-13","Per=Y","Days=T","Dir=V")</f>
        <v>0</v>
      </c>
      <c r="AG2">
        <f>BDH("PKDC US Equity","IS_INT_EXPENSE","2013-09-13","2018-09-13","Per=Y","Days=T","Dir=V")</f>
        <v>0</v>
      </c>
      <c r="AI2">
        <f>BDH("PKDC US Equity","IS_DEPR_EXP","2013-09-13","2018-09-13","Per=Y","Days=T","Dir=V")</f>
        <v>0</v>
      </c>
      <c r="AK2">
        <f>BDH("PKDC US Equity","CF_CASH_FROM_OPER","2013-09-13","2018-09-13","Per=Y","Days=T","Dir=V")</f>
        <v>0</v>
      </c>
      <c r="AM2">
        <f>BDH("PKDC US Equity","CAPITAL_EXPEND","2013-09-13","2018-09-13","Per=Y","Days=T","Dir=V")</f>
        <v>0</v>
      </c>
      <c r="AO2">
        <f>BDH("PKDC US Equity","CF_FREE_CASH_FLOW","2013-09-13","2018-09-13","Per=Y","Days=T","Dir=V")</f>
        <v>0</v>
      </c>
      <c r="AQ2">
        <f>BDH("PKDC US Equity","PX_LAST","2013-09-13","2018-09-13","Per=M","Days=T","Dir=V")</f>
        <v>0</v>
      </c>
      <c r="AS2">
        <f>BDH("PKDC US Equity","CUR_MKT_CAP","2013-09-13","2018-09-13","Per=M","Days=T","Dir=V")</f>
        <v>0</v>
      </c>
      <c r="AU2">
        <f>BDH("PKDC US Equity","EQY_SH_OUT","2013-09-13","2018-09-13","Per=M","Days=T","Dir=V")</f>
        <v>0</v>
      </c>
      <c r="AW2">
        <f>BDH("PKDC US Equity","PX_VOLUME","2013-09-13","2018-09-13","Per=M","Days=T","Dir=V")</f>
        <v>0</v>
      </c>
      <c r="AY2">
        <f>BDH("PKDC US Equity","TURNOVER","2013-09-13","2018-09-13","Per=M","Days=T","Dir=V")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BDH("WINMQ US Equity","BS_TOT_ASSET","2013-11-27","2018-11-27","Per=Y","Days=T","Dir=V")</f>
        <v>0</v>
      </c>
      <c r="C2">
        <f>BDH("WINMQ US Equity","BS_TOT_LIAB2","2013-11-27","2018-11-27","Per=Y","Days=T","Dir=V")</f>
        <v>0</v>
      </c>
      <c r="E2">
        <f>BDH("WINMQ US Equity","SHORT_AND_LONG_TERM_DEBT","2013-11-27","2018-11-27","Per=Y","Days=T","Dir=V")</f>
        <v>0</v>
      </c>
      <c r="G2">
        <f>BDH("WINMQ US Equity","BS_ST_BORROW","2013-11-27","2018-11-27","Per=Y","Days=T","Dir=V")</f>
        <v>0</v>
      </c>
      <c r="I2">
        <f>BDH("WINMQ US Equity","BS_LT_BORROW","2013-11-27","2018-11-27","Per=Y","Days=T","Dir=V")</f>
        <v>0</v>
      </c>
      <c r="K2">
        <f>BDH("WINMQ US Equity","BS_CASH_NEAR_CASH_ITEM","2013-11-27","2018-11-27","Per=Y","Days=T","Dir=V")</f>
        <v>0</v>
      </c>
      <c r="M2">
        <f>BDH("WINMQ US Equity","BS_CUR_ASSET_REPORT","2013-11-27","2018-11-27","Per=Y","Days=T","Dir=V")</f>
        <v>0</v>
      </c>
      <c r="O2">
        <f>BDH("WINMQ US Equity","BS_CUR_LIAB","2013-11-27","2018-11-27","Per=Y","Days=T","Dir=V")</f>
        <v>0</v>
      </c>
      <c r="Q2">
        <f>BDH("WINMQ US Equity","BS_SHAREHOLDER_EQY_ENDING_PERIOD","2013-11-27","2018-11-27","Per=Y","Days=T","Dir=V")</f>
        <v>0</v>
      </c>
      <c r="S2">
        <f>BDH("WINMQ US Equity","BS_ACCT_NOTE_RCV","2013-11-27","2018-11-27","Per=Y","Days=T","Dir=V")</f>
        <v>0</v>
      </c>
      <c r="U2">
        <f>BDH("WINMQ US Equity","BS_INVENTORIES","2013-11-27","2018-11-27","Per=Y","Days=T","Dir=V")</f>
        <v>0</v>
      </c>
      <c r="W2">
        <f>BDH("WINMQ US Equity","WORKING_CAPITAL","2013-11-27","2018-11-27","Per=Y","Days=T","Dir=V")</f>
        <v>0</v>
      </c>
      <c r="Y2">
        <f>BDH("WINMQ US Equity","SALES_REV_TURN","2013-11-27","2018-11-27","Per=Y","Days=T","Dir=V")</f>
        <v>0</v>
      </c>
      <c r="AA2">
        <f>BDH("WINMQ US Equity","EBIT","2013-11-27","2018-11-27","Per=Y","Days=T","Dir=V")</f>
        <v>0</v>
      </c>
      <c r="AC2">
        <f>BDH("WINMQ US Equity","EBITDA","2013-11-27","2018-11-27","Per=Y","Days=T","Dir=V")</f>
        <v>0</v>
      </c>
      <c r="AE2">
        <f>BDH("WINMQ US Equity","NET_INCOME","2013-11-27","2018-11-27","Per=Y","Days=T","Dir=V")</f>
        <v>0</v>
      </c>
      <c r="AG2">
        <f>BDH("WINMQ US Equity","IS_INT_EXPENSE","2013-11-27","2018-11-27","Per=Y","Days=T","Dir=V")</f>
        <v>0</v>
      </c>
      <c r="AI2">
        <f>BDH("WINMQ US Equity","IS_DEPR_EXP","2013-11-27","2018-11-27","Per=Y","Days=T","Dir=V")</f>
        <v>0</v>
      </c>
      <c r="AK2">
        <f>BDH("WINMQ US Equity","CF_CASH_FROM_OPER","2013-11-27","2018-11-27","Per=Y","Days=T","Dir=V")</f>
        <v>0</v>
      </c>
      <c r="AM2">
        <f>BDH("WINMQ US Equity","CAPITAL_EXPEND","2013-11-27","2018-11-27","Per=Y","Days=T","Dir=V")</f>
        <v>0</v>
      </c>
      <c r="AO2">
        <f>BDH("WINMQ US Equity","CF_FREE_CASH_FLOW","2013-11-27","2018-11-27","Per=Y","Days=T","Dir=V")</f>
        <v>0</v>
      </c>
      <c r="AQ2">
        <f>BDH("WINMQ US Equity","PX_LAST","2013-11-27","2018-11-27","Per=M","Days=T","Dir=V")</f>
        <v>0</v>
      </c>
      <c r="AS2">
        <f>BDH("WINMQ US Equity","CUR_MKT_CAP","2013-11-27","2018-11-27","Per=M","Days=T","Dir=V")</f>
        <v>0</v>
      </c>
      <c r="AU2">
        <f>BDH("WINMQ US Equity","EQY_SH_OUT","2013-11-27","2018-11-27","Per=M","Days=T","Dir=V")</f>
        <v>0</v>
      </c>
      <c r="AW2">
        <f>BDH("WINMQ US Equity","PX_VOLUME","2013-11-27","2018-11-27","Per=M","Days=T","Dir=V")</f>
        <v>0</v>
      </c>
      <c r="AY2">
        <f>BDH("WINMQ US Equity","TURNOVER","2013-11-27","2018-11-27","Per=M","Days=T","Dir=V")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BDH("PHIIQ US Equity","BS_TOT_ASSET","2013-12-14","2018-12-14","Per=Y","Days=T","Dir=V")</f>
        <v>0</v>
      </c>
      <c r="C2">
        <f>BDH("PHIIQ US Equity","BS_TOT_LIAB2","2013-12-14","2018-12-14","Per=Y","Days=T","Dir=V")</f>
        <v>0</v>
      </c>
      <c r="E2">
        <f>BDH("PHIIQ US Equity","SHORT_AND_LONG_TERM_DEBT","2013-12-14","2018-12-14","Per=Y","Days=T","Dir=V")</f>
        <v>0</v>
      </c>
      <c r="G2">
        <f>BDH("PHIIQ US Equity","BS_ST_BORROW","2013-12-14","2018-12-14","Per=Y","Days=T","Dir=V")</f>
        <v>0</v>
      </c>
      <c r="I2">
        <f>BDH("PHIIQ US Equity","BS_LT_BORROW","2013-12-14","2018-12-14","Per=Y","Days=T","Dir=V")</f>
        <v>0</v>
      </c>
      <c r="K2">
        <f>BDH("PHIIQ US Equity","BS_CASH_NEAR_CASH_ITEM","2013-12-14","2018-12-14","Per=Y","Days=T","Dir=V")</f>
        <v>0</v>
      </c>
      <c r="M2">
        <f>BDH("PHIIQ US Equity","BS_CUR_ASSET_REPORT","2013-12-14","2018-12-14","Per=Y","Days=T","Dir=V")</f>
        <v>0</v>
      </c>
      <c r="O2">
        <f>BDH("PHIIQ US Equity","BS_CUR_LIAB","2013-12-14","2018-12-14","Per=Y","Days=T","Dir=V")</f>
        <v>0</v>
      </c>
      <c r="Q2">
        <f>BDH("PHIIQ US Equity","BS_SHAREHOLDER_EQY_ENDING_PERIOD","2013-12-14","2018-12-14","Per=Y","Days=T","Dir=V")</f>
        <v>0</v>
      </c>
      <c r="S2">
        <f>BDH("PHIIQ US Equity","BS_ACCT_NOTE_RCV","2013-12-14","2018-12-14","Per=Y","Days=T","Dir=V")</f>
        <v>0</v>
      </c>
      <c r="U2">
        <f>BDH("PHIIQ US Equity","BS_INVENTORIES","2013-12-14","2018-12-14","Per=Y","Days=T","Dir=V")</f>
        <v>0</v>
      </c>
      <c r="W2">
        <f>BDH("PHIIQ US Equity","WORKING_CAPITAL","2013-12-14","2018-12-14","Per=Y","Days=T","Dir=V")</f>
        <v>0</v>
      </c>
      <c r="Y2">
        <f>BDH("PHIIQ US Equity","SALES_REV_TURN","2013-12-14","2018-12-14","Per=Y","Days=T","Dir=V")</f>
        <v>0</v>
      </c>
      <c r="AA2">
        <f>BDH("PHIIQ US Equity","EBIT","2013-12-14","2018-12-14","Per=Y","Days=T","Dir=V")</f>
        <v>0</v>
      </c>
      <c r="AC2">
        <f>BDH("PHIIQ US Equity","EBITDA","2013-12-14","2018-12-14","Per=Y","Days=T","Dir=V")</f>
        <v>0</v>
      </c>
      <c r="AE2">
        <f>BDH("PHIIQ US Equity","NET_INCOME","2013-12-14","2018-12-14","Per=Y","Days=T","Dir=V")</f>
        <v>0</v>
      </c>
      <c r="AG2">
        <f>BDH("PHIIQ US Equity","IS_INT_EXPENSE","2013-12-14","2018-12-14","Per=Y","Days=T","Dir=V")</f>
        <v>0</v>
      </c>
      <c r="AI2">
        <f>BDH("PHIIQ US Equity","IS_DEPR_EXP","2013-12-14","2018-12-14","Per=Y","Days=T","Dir=V")</f>
        <v>0</v>
      </c>
      <c r="AK2">
        <f>BDH("PHIIQ US Equity","CF_CASH_FROM_OPER","2013-12-14","2018-12-14","Per=Y","Days=T","Dir=V")</f>
        <v>0</v>
      </c>
      <c r="AM2">
        <f>BDH("PHIIQ US Equity","CAPITAL_EXPEND","2013-12-14","2018-12-14","Per=Y","Days=T","Dir=V")</f>
        <v>0</v>
      </c>
      <c r="AO2">
        <f>BDH("PHIIQ US Equity","CF_FREE_CASH_FLOW","2013-12-14","2018-12-14","Per=Y","Days=T","Dir=V")</f>
        <v>0</v>
      </c>
      <c r="AQ2">
        <f>BDH("PHIIQ US Equity","PX_LAST","2013-12-14","2018-12-14","Per=M","Days=T","Dir=V")</f>
        <v>0</v>
      </c>
      <c r="AS2">
        <f>BDH("PHIIQ US Equity","CUR_MKT_CAP","2013-12-14","2018-12-14","Per=M","Days=T","Dir=V")</f>
        <v>0</v>
      </c>
      <c r="AU2">
        <f>BDH("PHIIQ US Equity","EQY_SH_OUT","2013-12-14","2018-12-14","Per=M","Days=T","Dir=V")</f>
        <v>0</v>
      </c>
      <c r="AW2">
        <f>BDH("PHIIQ US Equity","PX_VOLUME","2013-12-14","2018-12-14","Per=M","Days=T","Dir=V")</f>
        <v>0</v>
      </c>
      <c r="AY2">
        <f>BDH("PHIIQ US Equity","TURNOVER","2013-12-14","2018-12-14","Per=M","Days=T","Dir=V")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BDH("TISUQ US Equity","BS_TOT_ASSET","2014-01-01","2019-01-01","Per=Y","Days=T","Dir=V")</f>
        <v>0</v>
      </c>
      <c r="C2">
        <f>BDH("TISUQ US Equity","BS_TOT_LIAB2","2014-01-01","2019-01-01","Per=Y","Days=T","Dir=V")</f>
        <v>0</v>
      </c>
      <c r="E2">
        <f>BDH("TISUQ US Equity","SHORT_AND_LONG_TERM_DEBT","2014-01-01","2019-01-01","Per=Y","Days=T","Dir=V")</f>
        <v>0</v>
      </c>
      <c r="G2">
        <f>BDH("TISUQ US Equity","BS_ST_BORROW","2014-01-01","2019-01-01","Per=Y","Days=T","Dir=V")</f>
        <v>0</v>
      </c>
      <c r="I2">
        <f>BDH("TISUQ US Equity","BS_LT_BORROW","2014-01-01","2019-01-01","Per=Y","Days=T","Dir=V")</f>
        <v>0</v>
      </c>
      <c r="K2">
        <f>BDH("TISUQ US Equity","BS_CASH_NEAR_CASH_ITEM","2014-01-01","2019-01-01","Per=Y","Days=T","Dir=V")</f>
        <v>0</v>
      </c>
      <c r="M2">
        <f>BDH("TISUQ US Equity","BS_CUR_ASSET_REPORT","2014-01-01","2019-01-01","Per=Y","Days=T","Dir=V")</f>
        <v>0</v>
      </c>
      <c r="O2">
        <f>BDH("TISUQ US Equity","BS_CUR_LIAB","2014-01-01","2019-01-01","Per=Y","Days=T","Dir=V")</f>
        <v>0</v>
      </c>
      <c r="Q2">
        <f>BDH("TISUQ US Equity","BS_SHAREHOLDER_EQY_ENDING_PERIOD","2014-01-01","2019-01-01","Per=Y","Days=T","Dir=V")</f>
        <v>0</v>
      </c>
      <c r="S2">
        <f>BDH("TISUQ US Equity","BS_ACCT_NOTE_RCV","2014-01-01","2019-01-01","Per=Y","Days=T","Dir=V")</f>
        <v>0</v>
      </c>
      <c r="U2">
        <f>BDH("TISUQ US Equity","BS_INVENTORIES","2014-01-01","2019-01-01","Per=Y","Days=T","Dir=V")</f>
        <v>0</v>
      </c>
      <c r="W2">
        <f>BDH("TISUQ US Equity","WORKING_CAPITAL","2014-01-01","2019-01-01","Per=Y","Days=T","Dir=V")</f>
        <v>0</v>
      </c>
      <c r="Y2">
        <f>BDH("TISUQ US Equity","SALES_REV_TURN","2014-01-01","2019-01-01","Per=Y","Days=T","Dir=V")</f>
        <v>0</v>
      </c>
      <c r="AA2">
        <f>BDH("TISUQ US Equity","EBIT","2014-01-01","2019-01-01","Per=Y","Days=T","Dir=V")</f>
        <v>0</v>
      </c>
      <c r="AC2">
        <f>BDH("TISUQ US Equity","EBITDA","2014-01-01","2019-01-01","Per=Y","Days=T","Dir=V")</f>
        <v>0</v>
      </c>
      <c r="AE2">
        <f>BDH("TISUQ US Equity","NET_INCOME","2014-01-01","2019-01-01","Per=Y","Days=T","Dir=V")</f>
        <v>0</v>
      </c>
      <c r="AG2">
        <f>BDH("TISUQ US Equity","IS_INT_EXPENSE","2014-01-01","2019-01-01","Per=Y","Days=T","Dir=V")</f>
        <v>0</v>
      </c>
      <c r="AI2">
        <f>BDH("TISUQ US Equity","IS_DEPR_EXP","2014-01-01","2019-01-01","Per=Y","Days=T","Dir=V")</f>
        <v>0</v>
      </c>
      <c r="AK2">
        <f>BDH("TISUQ US Equity","CF_CASH_FROM_OPER","2014-01-01","2019-01-01","Per=Y","Days=T","Dir=V")</f>
        <v>0</v>
      </c>
      <c r="AM2">
        <f>BDH("TISUQ US Equity","CAPITAL_EXPEND","2014-01-01","2019-01-01","Per=Y","Days=T","Dir=V")</f>
        <v>0</v>
      </c>
      <c r="AO2">
        <f>BDH("TISUQ US Equity","CF_FREE_CASH_FLOW","2014-01-01","2019-01-01","Per=Y","Days=T","Dir=V")</f>
        <v>0</v>
      </c>
      <c r="AQ2">
        <f>BDH("TISUQ US Equity","PX_LAST","2014-01-01","2019-01-01","Per=M","Days=T","Dir=V")</f>
        <v>0</v>
      </c>
      <c r="AS2">
        <f>BDH("TISUQ US Equity","CUR_MKT_CAP","2014-01-01","2019-01-01","Per=M","Days=T","Dir=V")</f>
        <v>0</v>
      </c>
      <c r="AU2">
        <f>BDH("TISUQ US Equity","EQY_SH_OUT","2014-01-01","2019-01-01","Per=M","Days=T","Dir=V")</f>
        <v>0</v>
      </c>
      <c r="AW2">
        <f>BDH("TISUQ US Equity","PX_VOLUME","2014-01-01","2019-01-01","Per=M","Days=T","Dir=V")</f>
        <v>0</v>
      </c>
      <c r="AY2">
        <f>BDH("TISUQ US Equity","TURNOVER","2014-01-01","2019-01-01","Per=M","Days=T","Dir=V")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BDH("JONEQ US Equity","BS_TOT_ASSET","2014-01-14","2019-01-14","Per=Y","Days=T","Dir=V")</f>
        <v>0</v>
      </c>
      <c r="C2">
        <f>BDH("JONEQ US Equity","BS_TOT_LIAB2","2014-01-14","2019-01-14","Per=Y","Days=T","Dir=V")</f>
        <v>0</v>
      </c>
      <c r="E2">
        <f>BDH("JONEQ US Equity","SHORT_AND_LONG_TERM_DEBT","2014-01-14","2019-01-14","Per=Y","Days=T","Dir=V")</f>
        <v>0</v>
      </c>
      <c r="G2">
        <f>BDH("JONEQ US Equity","BS_ST_BORROW","2014-01-14","2019-01-14","Per=Y","Days=T","Dir=V")</f>
        <v>0</v>
      </c>
      <c r="I2">
        <f>BDH("JONEQ US Equity","BS_LT_BORROW","2014-01-14","2019-01-14","Per=Y","Days=T","Dir=V")</f>
        <v>0</v>
      </c>
      <c r="K2">
        <f>BDH("JONEQ US Equity","BS_CASH_NEAR_CASH_ITEM","2014-01-14","2019-01-14","Per=Y","Days=T","Dir=V")</f>
        <v>0</v>
      </c>
      <c r="M2">
        <f>BDH("JONEQ US Equity","BS_CUR_ASSET_REPORT","2014-01-14","2019-01-14","Per=Y","Days=T","Dir=V")</f>
        <v>0</v>
      </c>
      <c r="O2">
        <f>BDH("JONEQ US Equity","BS_CUR_LIAB","2014-01-14","2019-01-14","Per=Y","Days=T","Dir=V")</f>
        <v>0</v>
      </c>
      <c r="Q2">
        <f>BDH("JONEQ US Equity","BS_SHAREHOLDER_EQY_ENDING_PERIOD","2014-01-14","2019-01-14","Per=Y","Days=T","Dir=V")</f>
        <v>0</v>
      </c>
      <c r="S2">
        <f>BDH("JONEQ US Equity","BS_ACCT_NOTE_RCV","2014-01-14","2019-01-14","Per=Y","Days=T","Dir=V")</f>
        <v>0</v>
      </c>
      <c r="U2">
        <f>BDH("JONEQ US Equity","BS_INVENTORIES","2014-01-14","2019-01-14","Per=Y","Days=T","Dir=V")</f>
        <v>0</v>
      </c>
      <c r="W2">
        <f>BDH("JONEQ US Equity","WORKING_CAPITAL","2014-01-14","2019-01-14","Per=Y","Days=T","Dir=V")</f>
        <v>0</v>
      </c>
      <c r="Y2">
        <f>BDH("JONEQ US Equity","SALES_REV_TURN","2014-01-14","2019-01-14","Per=Y","Days=T","Dir=V")</f>
        <v>0</v>
      </c>
      <c r="AA2">
        <f>BDH("JONEQ US Equity","EBIT","2014-01-14","2019-01-14","Per=Y","Days=T","Dir=V")</f>
        <v>0</v>
      </c>
      <c r="AC2">
        <f>BDH("JONEQ US Equity","EBITDA","2014-01-14","2019-01-14","Per=Y","Days=T","Dir=V")</f>
        <v>0</v>
      </c>
      <c r="AE2">
        <f>BDH("JONEQ US Equity","NET_INCOME","2014-01-14","2019-01-14","Per=Y","Days=T","Dir=V")</f>
        <v>0</v>
      </c>
      <c r="AG2">
        <f>BDH("JONEQ US Equity","IS_INT_EXPENSE","2014-01-14","2019-01-14","Per=Y","Days=T","Dir=V")</f>
        <v>0</v>
      </c>
      <c r="AI2">
        <f>BDH("JONEQ US Equity","IS_DEPR_EXP","2014-01-14","2019-01-14","Per=Y","Days=T","Dir=V")</f>
        <v>0</v>
      </c>
      <c r="AK2">
        <f>BDH("JONEQ US Equity","CF_CASH_FROM_OPER","2014-01-14","2019-01-14","Per=Y","Days=T","Dir=V")</f>
        <v>0</v>
      </c>
      <c r="AM2">
        <f>BDH("JONEQ US Equity","CAPITAL_EXPEND","2014-01-14","2019-01-14","Per=Y","Days=T","Dir=V")</f>
        <v>0</v>
      </c>
      <c r="AO2">
        <f>BDH("JONEQ US Equity","CF_FREE_CASH_FLOW","2014-01-14","2019-01-14","Per=Y","Days=T","Dir=V")</f>
        <v>0</v>
      </c>
      <c r="AQ2">
        <f>BDH("JONEQ US Equity","PX_LAST","2014-01-14","2019-01-14","Per=M","Days=T","Dir=V")</f>
        <v>0</v>
      </c>
      <c r="AS2">
        <f>BDH("JONEQ US Equity","CUR_MKT_CAP","2014-01-14","2019-01-14","Per=M","Days=T","Dir=V")</f>
        <v>0</v>
      </c>
      <c r="AU2">
        <f>BDH("JONEQ US Equity","EQY_SH_OUT","2014-01-14","2019-01-14","Per=M","Days=T","Dir=V")</f>
        <v>0</v>
      </c>
      <c r="AW2">
        <f>BDH("JONEQ US Equity","PX_VOLUME","2014-01-14","2019-01-14","Per=M","Days=T","Dir=V")</f>
        <v>0</v>
      </c>
      <c r="AY2">
        <f>BDH("JONEQ US Equity","TURNOVER","2014-01-14","2019-01-14","Per=M","Days=T","Dir=V")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BDH("CLDPQ US Equity","BS_TOT_ASSET","2014-02-09","2019-02-09","Per=Y","Days=T","Dir=V")</f>
        <v>0</v>
      </c>
      <c r="C2">
        <f>BDH("CLDPQ US Equity","BS_TOT_LIAB2","2014-02-09","2019-02-09","Per=Y","Days=T","Dir=V")</f>
        <v>0</v>
      </c>
      <c r="E2">
        <f>BDH("CLDPQ US Equity","SHORT_AND_LONG_TERM_DEBT","2014-02-09","2019-02-09","Per=Y","Days=T","Dir=V")</f>
        <v>0</v>
      </c>
      <c r="G2">
        <f>BDH("CLDPQ US Equity","BS_ST_BORROW","2014-02-09","2019-02-09","Per=Y","Days=T","Dir=V")</f>
        <v>0</v>
      </c>
      <c r="I2">
        <f>BDH("CLDPQ US Equity","BS_LT_BORROW","2014-02-09","2019-02-09","Per=Y","Days=T","Dir=V")</f>
        <v>0</v>
      </c>
      <c r="K2">
        <f>BDH("CLDPQ US Equity","BS_CASH_NEAR_CASH_ITEM","2014-02-09","2019-02-09","Per=Y","Days=T","Dir=V")</f>
        <v>0</v>
      </c>
      <c r="M2">
        <f>BDH("CLDPQ US Equity","BS_CUR_ASSET_REPORT","2014-02-09","2019-02-09","Per=Y","Days=T","Dir=V")</f>
        <v>0</v>
      </c>
      <c r="O2">
        <f>BDH("CLDPQ US Equity","BS_CUR_LIAB","2014-02-09","2019-02-09","Per=Y","Days=T","Dir=V")</f>
        <v>0</v>
      </c>
      <c r="Q2">
        <f>BDH("CLDPQ US Equity","BS_SHAREHOLDER_EQY_ENDING_PERIOD","2014-02-09","2019-02-09","Per=Y","Days=T","Dir=V")</f>
        <v>0</v>
      </c>
      <c r="S2">
        <f>BDH("CLDPQ US Equity","BS_ACCT_NOTE_RCV","2014-02-09","2019-02-09","Per=Y","Days=T","Dir=V")</f>
        <v>0</v>
      </c>
      <c r="U2">
        <f>BDH("CLDPQ US Equity","BS_INVENTORIES","2014-02-09","2019-02-09","Per=Y","Days=T","Dir=V")</f>
        <v>0</v>
      </c>
      <c r="W2">
        <f>BDH("CLDPQ US Equity","WORKING_CAPITAL","2014-02-09","2019-02-09","Per=Y","Days=T","Dir=V")</f>
        <v>0</v>
      </c>
      <c r="Y2">
        <f>BDH("CLDPQ US Equity","SALES_REV_TURN","2014-02-09","2019-02-09","Per=Y","Days=T","Dir=V")</f>
        <v>0</v>
      </c>
      <c r="AA2">
        <f>BDH("CLDPQ US Equity","EBIT","2014-02-09","2019-02-09","Per=Y","Days=T","Dir=V")</f>
        <v>0</v>
      </c>
      <c r="AC2">
        <f>BDH("CLDPQ US Equity","EBITDA","2014-02-09","2019-02-09","Per=Y","Days=T","Dir=V")</f>
        <v>0</v>
      </c>
      <c r="AE2">
        <f>BDH("CLDPQ US Equity","NET_INCOME","2014-02-09","2019-02-09","Per=Y","Days=T","Dir=V")</f>
        <v>0</v>
      </c>
      <c r="AG2">
        <f>BDH("CLDPQ US Equity","IS_INT_EXPENSE","2014-02-09","2019-02-09","Per=Y","Days=T","Dir=V")</f>
        <v>0</v>
      </c>
      <c r="AI2">
        <f>BDH("CLDPQ US Equity","IS_DEPR_EXP","2014-02-09","2019-02-09","Per=Y","Days=T","Dir=V")</f>
        <v>0</v>
      </c>
      <c r="AK2">
        <f>BDH("CLDPQ US Equity","CF_CASH_FROM_OPER","2014-02-09","2019-02-09","Per=Y","Days=T","Dir=V")</f>
        <v>0</v>
      </c>
      <c r="AM2">
        <f>BDH("CLDPQ US Equity","CAPITAL_EXPEND","2014-02-09","2019-02-09","Per=Y","Days=T","Dir=V")</f>
        <v>0</v>
      </c>
      <c r="AO2">
        <f>BDH("CLDPQ US Equity","CF_FREE_CASH_FLOW","2014-02-09","2019-02-09","Per=Y","Days=T","Dir=V")</f>
        <v>0</v>
      </c>
      <c r="AQ2">
        <f>BDH("CLDPQ US Equity","PX_LAST","2014-02-09","2019-02-09","Per=M","Days=T","Dir=V")</f>
        <v>0</v>
      </c>
      <c r="AS2">
        <f>BDH("CLDPQ US Equity","CUR_MKT_CAP","2014-02-09","2019-02-09","Per=M","Days=T","Dir=V")</f>
        <v>0</v>
      </c>
      <c r="AU2">
        <f>BDH("CLDPQ US Equity","EQY_SH_OUT","2014-02-09","2019-02-09","Per=M","Days=T","Dir=V")</f>
        <v>0</v>
      </c>
      <c r="AW2">
        <f>BDH("CLDPQ US Equity","PX_VOLUME","2014-02-09","2019-02-09","Per=M","Days=T","Dir=V")</f>
        <v>0</v>
      </c>
      <c r="AY2">
        <f>BDH("CLDPQ US Equity","TURNOVER","2014-02-09","2019-02-09","Per=M","Days=T","Dir=V")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BDH("BRSWQ US Equity","BS_TOT_ASSET","2014-02-10","2019-02-10","Per=Y","Days=T","Dir=V")</f>
        <v>0</v>
      </c>
      <c r="C2">
        <f>BDH("BRSWQ US Equity","BS_TOT_LIAB2","2014-02-10","2019-02-10","Per=Y","Days=T","Dir=V")</f>
        <v>0</v>
      </c>
      <c r="E2">
        <f>BDH("BRSWQ US Equity","SHORT_AND_LONG_TERM_DEBT","2014-02-10","2019-02-10","Per=Y","Days=T","Dir=V")</f>
        <v>0</v>
      </c>
      <c r="G2">
        <f>BDH("BRSWQ US Equity","BS_ST_BORROW","2014-02-10","2019-02-10","Per=Y","Days=T","Dir=V")</f>
        <v>0</v>
      </c>
      <c r="I2">
        <f>BDH("BRSWQ US Equity","BS_LT_BORROW","2014-02-10","2019-02-10","Per=Y","Days=T","Dir=V")</f>
        <v>0</v>
      </c>
      <c r="K2">
        <f>BDH("BRSWQ US Equity","BS_CASH_NEAR_CASH_ITEM","2014-02-10","2019-02-10","Per=Y","Days=T","Dir=V")</f>
        <v>0</v>
      </c>
      <c r="M2">
        <f>BDH("BRSWQ US Equity","BS_CUR_ASSET_REPORT","2014-02-10","2019-02-10","Per=Y","Days=T","Dir=V")</f>
        <v>0</v>
      </c>
      <c r="O2">
        <f>BDH("BRSWQ US Equity","BS_CUR_LIAB","2014-02-10","2019-02-10","Per=Y","Days=T","Dir=V")</f>
        <v>0</v>
      </c>
      <c r="Q2">
        <f>BDH("BRSWQ US Equity","BS_SHAREHOLDER_EQY_ENDING_PERIOD","2014-02-10","2019-02-10","Per=Y","Days=T","Dir=V")</f>
        <v>0</v>
      </c>
      <c r="S2">
        <f>BDH("BRSWQ US Equity","BS_ACCT_NOTE_RCV","2014-02-10","2019-02-10","Per=Y","Days=T","Dir=V")</f>
        <v>0</v>
      </c>
      <c r="U2">
        <f>BDH("BRSWQ US Equity","BS_INVENTORIES","2014-02-10","2019-02-10","Per=Y","Days=T","Dir=V")</f>
        <v>0</v>
      </c>
      <c r="W2">
        <f>BDH("BRSWQ US Equity","WORKING_CAPITAL","2014-02-10","2019-02-10","Per=Y","Days=T","Dir=V")</f>
        <v>0</v>
      </c>
      <c r="Y2">
        <f>BDH("BRSWQ US Equity","SALES_REV_TURN","2014-02-10","2019-02-10","Per=Y","Days=T","Dir=V")</f>
        <v>0</v>
      </c>
      <c r="AA2">
        <f>BDH("BRSWQ US Equity","EBIT","2014-02-10","2019-02-10","Per=Y","Days=T","Dir=V")</f>
        <v>0</v>
      </c>
      <c r="AC2">
        <f>BDH("BRSWQ US Equity","EBITDA","2014-02-10","2019-02-10","Per=Y","Days=T","Dir=V")</f>
        <v>0</v>
      </c>
      <c r="AE2">
        <f>BDH("BRSWQ US Equity","NET_INCOME","2014-02-10","2019-02-10","Per=Y","Days=T","Dir=V")</f>
        <v>0</v>
      </c>
      <c r="AG2">
        <f>BDH("BRSWQ US Equity","IS_INT_EXPENSE","2014-02-10","2019-02-10","Per=Y","Days=T","Dir=V")</f>
        <v>0</v>
      </c>
      <c r="AI2">
        <f>BDH("BRSWQ US Equity","IS_DEPR_EXP","2014-02-10","2019-02-10","Per=Y","Days=T","Dir=V")</f>
        <v>0</v>
      </c>
      <c r="AK2">
        <f>BDH("BRSWQ US Equity","CF_CASH_FROM_OPER","2014-02-10","2019-02-10","Per=Y","Days=T","Dir=V")</f>
        <v>0</v>
      </c>
      <c r="AM2">
        <f>BDH("BRSWQ US Equity","CAPITAL_EXPEND","2014-02-10","2019-02-10","Per=Y","Days=T","Dir=V")</f>
        <v>0</v>
      </c>
      <c r="AO2">
        <f>BDH("BRSWQ US Equity","CF_FREE_CASH_FLOW","2014-02-10","2019-02-10","Per=Y","Days=T","Dir=V")</f>
        <v>0</v>
      </c>
      <c r="AQ2">
        <f>BDH("BRSWQ US Equity","PX_LAST","2014-02-10","2019-02-10","Per=M","Days=T","Dir=V")</f>
        <v>0</v>
      </c>
      <c r="AS2">
        <f>BDH("BRSWQ US Equity","CUR_MKT_CAP","2014-02-10","2019-02-10","Per=M","Days=T","Dir=V")</f>
        <v>0</v>
      </c>
      <c r="AU2">
        <f>BDH("BRSWQ US Equity","EQY_SH_OUT","2014-02-10","2019-02-10","Per=M","Days=T","Dir=V")</f>
        <v>0</v>
      </c>
      <c r="AW2">
        <f>BDH("BRSWQ US Equity","PX_VOLUME","2014-02-10","2019-02-10","Per=M","Days=T","Dir=V")</f>
        <v>0</v>
      </c>
      <c r="AY2">
        <f>BDH("BRSWQ US Equity","TURNOVER","2014-02-10","2019-02-10","Per=M","Days=T","Dir=V")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BDH("LGCYQ US Equity","BS_TOT_ASSET","2014-03-20","2019-03-20","Per=Y","Days=T","Dir=V")</f>
        <v>0</v>
      </c>
      <c r="C2">
        <f>BDH("LGCYQ US Equity","BS_TOT_LIAB2","2014-03-20","2019-03-20","Per=Y","Days=T","Dir=V")</f>
        <v>0</v>
      </c>
      <c r="E2">
        <f>BDH("LGCYQ US Equity","SHORT_AND_LONG_TERM_DEBT","2014-03-20","2019-03-20","Per=Y","Days=T","Dir=V")</f>
        <v>0</v>
      </c>
      <c r="G2">
        <f>BDH("LGCYQ US Equity","BS_ST_BORROW","2014-03-20","2019-03-20","Per=Y","Days=T","Dir=V")</f>
        <v>0</v>
      </c>
      <c r="I2">
        <f>BDH("LGCYQ US Equity","BS_LT_BORROW","2014-03-20","2019-03-20","Per=Y","Days=T","Dir=V")</f>
        <v>0</v>
      </c>
      <c r="K2">
        <f>BDH("LGCYQ US Equity","BS_CASH_NEAR_CASH_ITEM","2014-03-20","2019-03-20","Per=Y","Days=T","Dir=V")</f>
        <v>0</v>
      </c>
      <c r="M2">
        <f>BDH("LGCYQ US Equity","BS_CUR_ASSET_REPORT","2014-03-20","2019-03-20","Per=Y","Days=T","Dir=V")</f>
        <v>0</v>
      </c>
      <c r="O2">
        <f>BDH("LGCYQ US Equity","BS_CUR_LIAB","2014-03-20","2019-03-20","Per=Y","Days=T","Dir=V")</f>
        <v>0</v>
      </c>
      <c r="Q2">
        <f>BDH("LGCYQ US Equity","BS_SHAREHOLDER_EQY_ENDING_PERIOD","2014-03-20","2019-03-20","Per=Y","Days=T","Dir=V")</f>
        <v>0</v>
      </c>
      <c r="S2">
        <f>BDH("LGCYQ US Equity","BS_ACCT_NOTE_RCV","2014-03-20","2019-03-20","Per=Y","Days=T","Dir=V")</f>
        <v>0</v>
      </c>
      <c r="U2">
        <f>BDH("LGCYQ US Equity","BS_INVENTORIES","2014-03-20","2019-03-20","Per=Y","Days=T","Dir=V")</f>
        <v>0</v>
      </c>
      <c r="W2">
        <f>BDH("LGCYQ US Equity","WORKING_CAPITAL","2014-03-20","2019-03-20","Per=Y","Days=T","Dir=V")</f>
        <v>0</v>
      </c>
      <c r="Y2">
        <f>BDH("LGCYQ US Equity","SALES_REV_TURN","2014-03-20","2019-03-20","Per=Y","Days=T","Dir=V")</f>
        <v>0</v>
      </c>
      <c r="AA2">
        <f>BDH("LGCYQ US Equity","EBIT","2014-03-20","2019-03-20","Per=Y","Days=T","Dir=V")</f>
        <v>0</v>
      </c>
      <c r="AC2">
        <f>BDH("LGCYQ US Equity","EBITDA","2014-03-20","2019-03-20","Per=Y","Days=T","Dir=V")</f>
        <v>0</v>
      </c>
      <c r="AE2">
        <f>BDH("LGCYQ US Equity","NET_INCOME","2014-03-20","2019-03-20","Per=Y","Days=T","Dir=V")</f>
        <v>0</v>
      </c>
      <c r="AG2">
        <f>BDH("LGCYQ US Equity","IS_INT_EXPENSE","2014-03-20","2019-03-20","Per=Y","Days=T","Dir=V")</f>
        <v>0</v>
      </c>
      <c r="AI2">
        <f>BDH("LGCYQ US Equity","IS_DEPR_EXP","2014-03-20","2019-03-20","Per=Y","Days=T","Dir=V")</f>
        <v>0</v>
      </c>
      <c r="AK2">
        <f>BDH("LGCYQ US Equity","CF_CASH_FROM_OPER","2014-03-20","2019-03-20","Per=Y","Days=T","Dir=V")</f>
        <v>0</v>
      </c>
      <c r="AM2">
        <f>BDH("LGCYQ US Equity","CAPITAL_EXPEND","2014-03-20","2019-03-20","Per=Y","Days=T","Dir=V")</f>
        <v>0</v>
      </c>
      <c r="AO2">
        <f>BDH("LGCYQ US Equity","CF_FREE_CASH_FLOW","2014-03-20","2019-03-20","Per=Y","Days=T","Dir=V")</f>
        <v>0</v>
      </c>
      <c r="AQ2">
        <f>BDH("LGCYQ US Equity","PX_LAST","2014-03-20","2019-03-20","Per=M","Days=T","Dir=V")</f>
        <v>0</v>
      </c>
      <c r="AS2">
        <f>BDH("LGCYQ US Equity","CUR_MKT_CAP","2014-03-20","2019-03-20","Per=M","Days=T","Dir=V")</f>
        <v>0</v>
      </c>
      <c r="AU2">
        <f>BDH("LGCYQ US Equity","EQY_SH_OUT","2014-03-20","2019-03-20","Per=M","Days=T","Dir=V")</f>
        <v>0</v>
      </c>
      <c r="AW2">
        <f>BDH("LGCYQ US Equity","PX_VOLUME","2014-03-20","2019-03-20","Per=M","Days=T","Dir=V")</f>
        <v>0</v>
      </c>
      <c r="AY2">
        <f>BDH("LGCYQ US Equity","TURNOVER","2014-03-20","2019-03-20","Per=M","Days=T","Dir=V")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BDH("SNECQ US Equity","BS_TOT_ASSET","2014-05-13","2019-05-13","Per=Y","Days=T","Dir=V")</f>
        <v>0</v>
      </c>
      <c r="C2">
        <f>BDH("SNECQ US Equity","BS_TOT_LIAB2","2014-05-13","2019-05-13","Per=Y","Days=T","Dir=V")</f>
        <v>0</v>
      </c>
      <c r="E2">
        <f>BDH("SNECQ US Equity","SHORT_AND_LONG_TERM_DEBT","2014-05-13","2019-05-13","Per=Y","Days=T","Dir=V")</f>
        <v>0</v>
      </c>
      <c r="G2">
        <f>BDH("SNECQ US Equity","BS_ST_BORROW","2014-05-13","2019-05-13","Per=Y","Days=T","Dir=V")</f>
        <v>0</v>
      </c>
      <c r="I2">
        <f>BDH("SNECQ US Equity","BS_LT_BORROW","2014-05-13","2019-05-13","Per=Y","Days=T","Dir=V")</f>
        <v>0</v>
      </c>
      <c r="K2">
        <f>BDH("SNECQ US Equity","BS_CASH_NEAR_CASH_ITEM","2014-05-13","2019-05-13","Per=Y","Days=T","Dir=V")</f>
        <v>0</v>
      </c>
      <c r="M2">
        <f>BDH("SNECQ US Equity","BS_CUR_ASSET_REPORT","2014-05-13","2019-05-13","Per=Y","Days=T","Dir=V")</f>
        <v>0</v>
      </c>
      <c r="O2">
        <f>BDH("SNECQ US Equity","BS_CUR_LIAB","2014-05-13","2019-05-13","Per=Y","Days=T","Dir=V")</f>
        <v>0</v>
      </c>
      <c r="Q2">
        <f>BDH("SNECQ US Equity","BS_SHAREHOLDER_EQY_ENDING_PERIOD","2014-05-13","2019-05-13","Per=Y","Days=T","Dir=V")</f>
        <v>0</v>
      </c>
      <c r="S2">
        <f>BDH("SNECQ US Equity","BS_ACCT_NOTE_RCV","2014-05-13","2019-05-13","Per=Y","Days=T","Dir=V")</f>
        <v>0</v>
      </c>
      <c r="U2">
        <f>BDH("SNECQ US Equity","BS_INVENTORIES","2014-05-13","2019-05-13","Per=Y","Days=T","Dir=V")</f>
        <v>0</v>
      </c>
      <c r="W2">
        <f>BDH("SNECQ US Equity","WORKING_CAPITAL","2014-05-13","2019-05-13","Per=Y","Days=T","Dir=V")</f>
        <v>0</v>
      </c>
      <c r="Y2">
        <f>BDH("SNECQ US Equity","SALES_REV_TURN","2014-05-13","2019-05-13","Per=Y","Days=T","Dir=V")</f>
        <v>0</v>
      </c>
      <c r="AA2">
        <f>BDH("SNECQ US Equity","EBIT","2014-05-13","2019-05-13","Per=Y","Days=T","Dir=V")</f>
        <v>0</v>
      </c>
      <c r="AC2">
        <f>BDH("SNECQ US Equity","EBITDA","2014-05-13","2019-05-13","Per=Y","Days=T","Dir=V")</f>
        <v>0</v>
      </c>
      <c r="AE2">
        <f>BDH("SNECQ US Equity","NET_INCOME","2014-05-13","2019-05-13","Per=Y","Days=T","Dir=V")</f>
        <v>0</v>
      </c>
      <c r="AG2">
        <f>BDH("SNECQ US Equity","IS_INT_EXPENSE","2014-05-13","2019-05-13","Per=Y","Days=T","Dir=V")</f>
        <v>0</v>
      </c>
      <c r="AI2">
        <f>BDH("SNECQ US Equity","IS_DEPR_EXP","2014-05-13","2019-05-13","Per=Y","Days=T","Dir=V")</f>
        <v>0</v>
      </c>
      <c r="AK2">
        <f>BDH("SNECQ US Equity","CF_CASH_FROM_OPER","2014-05-13","2019-05-13","Per=Y","Days=T","Dir=V")</f>
        <v>0</v>
      </c>
      <c r="AM2">
        <f>BDH("SNECQ US Equity","CAPITAL_EXPEND","2014-05-13","2019-05-13","Per=Y","Days=T","Dir=V")</f>
        <v>0</v>
      </c>
      <c r="AO2">
        <f>BDH("SNECQ US Equity","CF_FREE_CASH_FLOW","2014-05-13","2019-05-13","Per=Y","Days=T","Dir=V")</f>
        <v>0</v>
      </c>
      <c r="AQ2">
        <f>BDH("SNECQ US Equity","PX_LAST","2014-05-13","2019-05-13","Per=M","Days=T","Dir=V")</f>
        <v>0</v>
      </c>
      <c r="AS2">
        <f>BDH("SNECQ US Equity","CUR_MKT_CAP","2014-05-13","2019-05-13","Per=M","Days=T","Dir=V")</f>
        <v>0</v>
      </c>
      <c r="AU2">
        <f>BDH("SNECQ US Equity","EQY_SH_OUT","2014-05-13","2019-05-13","Per=M","Days=T","Dir=V")</f>
        <v>0</v>
      </c>
      <c r="AW2">
        <f>BDH("SNECQ US Equity","PX_VOLUME","2014-05-13","2019-05-13","Per=M","Days=T","Dir=V")</f>
        <v>0</v>
      </c>
      <c r="AY2">
        <f>BDH("SNECQ US Equity","TURNOVER","2014-05-13","2019-05-13","Per=M","Days=T","Dir=V")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BDH("EPEGQ US Equity","BS_TOT_ASSET","2014-07-05","2019-07-05","Per=Y","Days=T","Dir=V")</f>
        <v>0</v>
      </c>
      <c r="C2">
        <f>BDH("EPEGQ US Equity","BS_TOT_LIAB2","2014-07-05","2019-07-05","Per=Y","Days=T","Dir=V")</f>
        <v>0</v>
      </c>
      <c r="E2">
        <f>BDH("EPEGQ US Equity","SHORT_AND_LONG_TERM_DEBT","2014-07-05","2019-07-05","Per=Y","Days=T","Dir=V")</f>
        <v>0</v>
      </c>
      <c r="G2">
        <f>BDH("EPEGQ US Equity","BS_ST_BORROW","2014-07-05","2019-07-05","Per=Y","Days=T","Dir=V")</f>
        <v>0</v>
      </c>
      <c r="I2">
        <f>BDH("EPEGQ US Equity","BS_LT_BORROW","2014-07-05","2019-07-05","Per=Y","Days=T","Dir=V")</f>
        <v>0</v>
      </c>
      <c r="K2">
        <f>BDH("EPEGQ US Equity","BS_CASH_NEAR_CASH_ITEM","2014-07-05","2019-07-05","Per=Y","Days=T","Dir=V")</f>
        <v>0</v>
      </c>
      <c r="M2">
        <f>BDH("EPEGQ US Equity","BS_CUR_ASSET_REPORT","2014-07-05","2019-07-05","Per=Y","Days=T","Dir=V")</f>
        <v>0</v>
      </c>
      <c r="O2">
        <f>BDH("EPEGQ US Equity","BS_CUR_LIAB","2014-07-05","2019-07-05","Per=Y","Days=T","Dir=V")</f>
        <v>0</v>
      </c>
      <c r="Q2">
        <f>BDH("EPEGQ US Equity","BS_SHAREHOLDER_EQY_ENDING_PERIOD","2014-07-05","2019-07-05","Per=Y","Days=T","Dir=V")</f>
        <v>0</v>
      </c>
      <c r="S2">
        <f>BDH("EPEGQ US Equity","BS_ACCT_NOTE_RCV","2014-07-05","2019-07-05","Per=Y","Days=T","Dir=V")</f>
        <v>0</v>
      </c>
      <c r="U2">
        <f>BDH("EPEGQ US Equity","BS_INVENTORIES","2014-07-05","2019-07-05","Per=Y","Days=T","Dir=V")</f>
        <v>0</v>
      </c>
      <c r="W2">
        <f>BDH("EPEGQ US Equity","WORKING_CAPITAL","2014-07-05","2019-07-05","Per=Y","Days=T","Dir=V")</f>
        <v>0</v>
      </c>
      <c r="Y2">
        <f>BDH("EPEGQ US Equity","SALES_REV_TURN","2014-07-05","2019-07-05","Per=Y","Days=T","Dir=V")</f>
        <v>0</v>
      </c>
      <c r="AA2">
        <f>BDH("EPEGQ US Equity","EBIT","2014-07-05","2019-07-05","Per=Y","Days=T","Dir=V")</f>
        <v>0</v>
      </c>
      <c r="AC2">
        <f>BDH("EPEGQ US Equity","EBITDA","2014-07-05","2019-07-05","Per=Y","Days=T","Dir=V")</f>
        <v>0</v>
      </c>
      <c r="AE2">
        <f>BDH("EPEGQ US Equity","NET_INCOME","2014-07-05","2019-07-05","Per=Y","Days=T","Dir=V")</f>
        <v>0</v>
      </c>
      <c r="AG2">
        <f>BDH("EPEGQ US Equity","IS_INT_EXPENSE","2014-07-05","2019-07-05","Per=Y","Days=T","Dir=V")</f>
        <v>0</v>
      </c>
      <c r="AI2">
        <f>BDH("EPEGQ US Equity","IS_DEPR_EXP","2014-07-05","2019-07-05","Per=Y","Days=T","Dir=V")</f>
        <v>0</v>
      </c>
      <c r="AK2">
        <f>BDH("EPEGQ US Equity","CF_CASH_FROM_OPER","2014-07-05","2019-07-05","Per=Y","Days=T","Dir=V")</f>
        <v>0</v>
      </c>
      <c r="AM2">
        <f>BDH("EPEGQ US Equity","CAPITAL_EXPEND","2014-07-05","2019-07-05","Per=Y","Days=T","Dir=V")</f>
        <v>0</v>
      </c>
      <c r="AO2">
        <f>BDH("EPEGQ US Equity","CF_FREE_CASH_FLOW","2014-07-05","2019-07-05","Per=Y","Days=T","Dir=V")</f>
        <v>0</v>
      </c>
      <c r="AQ2">
        <f>BDH("EPEGQ US Equity","PX_LAST","2014-07-05","2019-07-05","Per=M","Days=T","Dir=V")</f>
        <v>0</v>
      </c>
      <c r="AS2">
        <f>BDH("EPEGQ US Equity","CUR_MKT_CAP","2014-07-05","2019-07-05","Per=M","Days=T","Dir=V")</f>
        <v>0</v>
      </c>
      <c r="AU2">
        <f>BDH("EPEGQ US Equity","EQY_SH_OUT","2014-07-05","2019-07-05","Per=M","Days=T","Dir=V")</f>
        <v>0</v>
      </c>
      <c r="AW2">
        <f>BDH("EPEGQ US Equity","PX_VOLUME","2014-07-05","2019-07-05","Per=M","Days=T","Dir=V")</f>
        <v>0</v>
      </c>
      <c r="AY2">
        <f>BDH("EPEGQ US Equity","TURNOVER","2014-07-05","2019-07-05","Per=M","Days=T","Dir=V")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BDH("NRTSF US Equity","BS_TOT_ASSET","2014-07-23","2019-07-23","Per=Y","Days=T","Dir=V")</f>
        <v>0</v>
      </c>
      <c r="C2">
        <f>BDH("NRTSF US Equity","BS_TOT_LIAB2","2014-07-23","2019-07-23","Per=Y","Days=T","Dir=V")</f>
        <v>0</v>
      </c>
      <c r="E2">
        <f>BDH("NRTSF US Equity","SHORT_AND_LONG_TERM_DEBT","2014-07-23","2019-07-23","Per=Y","Days=T","Dir=V")</f>
        <v>0</v>
      </c>
      <c r="G2">
        <f>BDH("NRTSF US Equity","BS_ST_BORROW","2014-07-23","2019-07-23","Per=Y","Days=T","Dir=V")</f>
        <v>0</v>
      </c>
      <c r="I2">
        <f>BDH("NRTSF US Equity","BS_LT_BORROW","2014-07-23","2019-07-23","Per=Y","Days=T","Dir=V")</f>
        <v>0</v>
      </c>
      <c r="K2">
        <f>BDH("NRTSF US Equity","BS_CASH_NEAR_CASH_ITEM","2014-07-23","2019-07-23","Per=Y","Days=T","Dir=V")</f>
        <v>0</v>
      </c>
      <c r="M2">
        <f>BDH("NRTSF US Equity","BS_CUR_ASSET_REPORT","2014-07-23","2019-07-23","Per=Y","Days=T","Dir=V")</f>
        <v>0</v>
      </c>
      <c r="O2">
        <f>BDH("NRTSF US Equity","BS_CUR_LIAB","2014-07-23","2019-07-23","Per=Y","Days=T","Dir=V")</f>
        <v>0</v>
      </c>
      <c r="Q2">
        <f>BDH("NRTSF US Equity","BS_SHAREHOLDER_EQY_ENDING_PERIOD","2014-07-23","2019-07-23","Per=Y","Days=T","Dir=V")</f>
        <v>0</v>
      </c>
      <c r="S2">
        <f>BDH("NRTSF US Equity","BS_ACCT_NOTE_RCV","2014-07-23","2019-07-23","Per=Y","Days=T","Dir=V")</f>
        <v>0</v>
      </c>
      <c r="U2">
        <f>BDH("NRTSF US Equity","BS_INVENTORIES","2014-07-23","2019-07-23","Per=Y","Days=T","Dir=V")</f>
        <v>0</v>
      </c>
      <c r="W2">
        <f>BDH("NRTSF US Equity","WORKING_CAPITAL","2014-07-23","2019-07-23","Per=Y","Days=T","Dir=V")</f>
        <v>0</v>
      </c>
      <c r="Y2">
        <f>BDH("NRTSF US Equity","SALES_REV_TURN","2014-07-23","2019-07-23","Per=Y","Days=T","Dir=V")</f>
        <v>0</v>
      </c>
      <c r="AA2">
        <f>BDH("NRTSF US Equity","EBIT","2014-07-23","2019-07-23","Per=Y","Days=T","Dir=V")</f>
        <v>0</v>
      </c>
      <c r="AC2">
        <f>BDH("NRTSF US Equity","EBITDA","2014-07-23","2019-07-23","Per=Y","Days=T","Dir=V")</f>
        <v>0</v>
      </c>
      <c r="AE2">
        <f>BDH("NRTSF US Equity","NET_INCOME","2014-07-23","2019-07-23","Per=Y","Days=T","Dir=V")</f>
        <v>0</v>
      </c>
      <c r="AG2">
        <f>BDH("NRTSF US Equity","IS_INT_EXPENSE","2014-07-23","2019-07-23","Per=Y","Days=T","Dir=V")</f>
        <v>0</v>
      </c>
      <c r="AI2">
        <f>BDH("NRTSF US Equity","IS_DEPR_EXP","2014-07-23","2019-07-23","Per=Y","Days=T","Dir=V")</f>
        <v>0</v>
      </c>
      <c r="AK2">
        <f>BDH("NRTSF US Equity","CF_CASH_FROM_OPER","2014-07-23","2019-07-23","Per=Y","Days=T","Dir=V")</f>
        <v>0</v>
      </c>
      <c r="AM2">
        <f>BDH("NRTSF US Equity","CAPITAL_EXPEND","2014-07-23","2019-07-23","Per=Y","Days=T","Dir=V")</f>
        <v>0</v>
      </c>
      <c r="AO2">
        <f>BDH("NRTSF US Equity","CF_FREE_CASH_FLOW","2014-07-23","2019-07-23","Per=Y","Days=T","Dir=V")</f>
        <v>0</v>
      </c>
      <c r="AQ2">
        <f>BDH("NRTSF US Equity","PX_LAST","2014-07-23","2019-07-23","Per=M","Days=T","Dir=V")</f>
        <v>0</v>
      </c>
      <c r="AS2">
        <f>BDH("NRTSF US Equity","CUR_MKT_CAP","2014-07-23","2019-07-23","Per=M","Days=T","Dir=V")</f>
        <v>0</v>
      </c>
      <c r="AU2">
        <f>BDH("NRTSF US Equity","EQY_SH_OUT","2014-07-23","2019-07-23","Per=M","Days=T","Dir=V")</f>
        <v>0</v>
      </c>
      <c r="AW2">
        <f>BDH("NRTSF US Equity","PX_VOLUME","2014-07-23","2019-07-23","Per=M","Days=T","Dir=V")</f>
        <v>0</v>
      </c>
      <c r="AY2">
        <f>BDH("NRTSF US Equity","TURNOVER","2014-07-23","2019-07-23","Per=M","Days=T","Dir=V")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BDH("AREXQ US Equity","BS_TOT_ASSET","2014-08-20","2019-08-20","Per=Y","Days=T","Dir=V")</f>
        <v>0</v>
      </c>
      <c r="C2">
        <f>BDH("AREXQ US Equity","BS_TOT_LIAB2","2014-08-20","2019-08-20","Per=Y","Days=T","Dir=V")</f>
        <v>0</v>
      </c>
      <c r="E2">
        <f>BDH("AREXQ US Equity","SHORT_AND_LONG_TERM_DEBT","2014-08-20","2019-08-20","Per=Y","Days=T","Dir=V")</f>
        <v>0</v>
      </c>
      <c r="G2">
        <f>BDH("AREXQ US Equity","BS_ST_BORROW","2014-08-20","2019-08-20","Per=Y","Days=T","Dir=V")</f>
        <v>0</v>
      </c>
      <c r="I2">
        <f>BDH("AREXQ US Equity","BS_LT_BORROW","2014-08-20","2019-08-20","Per=Y","Days=T","Dir=V")</f>
        <v>0</v>
      </c>
      <c r="K2">
        <f>BDH("AREXQ US Equity","BS_CASH_NEAR_CASH_ITEM","2014-08-20","2019-08-20","Per=Y","Days=T","Dir=V")</f>
        <v>0</v>
      </c>
      <c r="M2">
        <f>BDH("AREXQ US Equity","BS_CUR_ASSET_REPORT","2014-08-20","2019-08-20","Per=Y","Days=T","Dir=V")</f>
        <v>0</v>
      </c>
      <c r="O2">
        <f>BDH("AREXQ US Equity","BS_CUR_LIAB","2014-08-20","2019-08-20","Per=Y","Days=T","Dir=V")</f>
        <v>0</v>
      </c>
      <c r="Q2">
        <f>BDH("AREXQ US Equity","BS_SHAREHOLDER_EQY_ENDING_PERIOD","2014-08-20","2019-08-20","Per=Y","Days=T","Dir=V")</f>
        <v>0</v>
      </c>
      <c r="S2">
        <f>BDH("AREXQ US Equity","BS_ACCT_NOTE_RCV","2014-08-20","2019-08-20","Per=Y","Days=T","Dir=V")</f>
        <v>0</v>
      </c>
      <c r="U2">
        <f>BDH("AREXQ US Equity","BS_INVENTORIES","2014-08-20","2019-08-20","Per=Y","Days=T","Dir=V")</f>
        <v>0</v>
      </c>
      <c r="W2">
        <f>BDH("AREXQ US Equity","WORKING_CAPITAL","2014-08-20","2019-08-20","Per=Y","Days=T","Dir=V")</f>
        <v>0</v>
      </c>
      <c r="Y2">
        <f>BDH("AREXQ US Equity","SALES_REV_TURN","2014-08-20","2019-08-20","Per=Y","Days=T","Dir=V")</f>
        <v>0</v>
      </c>
      <c r="AA2">
        <f>BDH("AREXQ US Equity","EBIT","2014-08-20","2019-08-20","Per=Y","Days=T","Dir=V")</f>
        <v>0</v>
      </c>
      <c r="AC2">
        <f>BDH("AREXQ US Equity","EBITDA","2014-08-20","2019-08-20","Per=Y","Days=T","Dir=V")</f>
        <v>0</v>
      </c>
      <c r="AE2">
        <f>BDH("AREXQ US Equity","NET_INCOME","2014-08-20","2019-08-20","Per=Y","Days=T","Dir=V")</f>
        <v>0</v>
      </c>
      <c r="AG2">
        <f>BDH("AREXQ US Equity","IS_INT_EXPENSE","2014-08-20","2019-08-20","Per=Y","Days=T","Dir=V")</f>
        <v>0</v>
      </c>
      <c r="AI2">
        <f>BDH("AREXQ US Equity","IS_DEPR_EXP","2014-08-20","2019-08-20","Per=Y","Days=T","Dir=V")</f>
        <v>0</v>
      </c>
      <c r="AK2">
        <f>BDH("AREXQ US Equity","CF_CASH_FROM_OPER","2014-08-20","2019-08-20","Per=Y","Days=T","Dir=V")</f>
        <v>0</v>
      </c>
      <c r="AM2">
        <f>BDH("AREXQ US Equity","CAPITAL_EXPEND","2014-08-20","2019-08-20","Per=Y","Days=T","Dir=V")</f>
        <v>0</v>
      </c>
      <c r="AO2">
        <f>BDH("AREXQ US Equity","CF_FREE_CASH_FLOW","2014-08-20","2019-08-20","Per=Y","Days=T","Dir=V")</f>
        <v>0</v>
      </c>
      <c r="AQ2">
        <f>BDH("AREXQ US Equity","PX_LAST","2014-08-20","2019-08-20","Per=M","Days=T","Dir=V")</f>
        <v>0</v>
      </c>
      <c r="AS2">
        <f>BDH("AREXQ US Equity","CUR_MKT_CAP","2014-08-20","2019-08-20","Per=M","Days=T","Dir=V")</f>
        <v>0</v>
      </c>
      <c r="AU2">
        <f>BDH("AREXQ US Equity","EQY_SH_OUT","2014-08-20","2019-08-20","Per=M","Days=T","Dir=V")</f>
        <v>0</v>
      </c>
      <c r="AW2">
        <f>BDH("AREXQ US Equity","PX_VOLUME","2014-08-20","2019-08-20","Per=M","Days=T","Dir=V")</f>
        <v>0</v>
      </c>
      <c r="AY2">
        <f>BDH("AREXQ US Equity","TURNOVER","2014-08-20","2019-08-20","Per=M","Days=T","Dir=V")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BDH("MDRIQ US Equity","BS_TOT_ASSET","2014-10-23","2019-10-23","Per=Y","Days=T","Dir=V")</f>
        <v>0</v>
      </c>
      <c r="C2">
        <f>BDH("MDRIQ US Equity","BS_TOT_LIAB2","2014-10-23","2019-10-23","Per=Y","Days=T","Dir=V")</f>
        <v>0</v>
      </c>
      <c r="E2">
        <f>BDH("MDRIQ US Equity","SHORT_AND_LONG_TERM_DEBT","2014-10-23","2019-10-23","Per=Y","Days=T","Dir=V")</f>
        <v>0</v>
      </c>
      <c r="G2">
        <f>BDH("MDRIQ US Equity","BS_ST_BORROW","2014-10-23","2019-10-23","Per=Y","Days=T","Dir=V")</f>
        <v>0</v>
      </c>
      <c r="I2">
        <f>BDH("MDRIQ US Equity","BS_LT_BORROW","2014-10-23","2019-10-23","Per=Y","Days=T","Dir=V")</f>
        <v>0</v>
      </c>
      <c r="K2">
        <f>BDH("MDRIQ US Equity","BS_CASH_NEAR_CASH_ITEM","2014-10-23","2019-10-23","Per=Y","Days=T","Dir=V")</f>
        <v>0</v>
      </c>
      <c r="M2">
        <f>BDH("MDRIQ US Equity","BS_CUR_ASSET_REPORT","2014-10-23","2019-10-23","Per=Y","Days=T","Dir=V")</f>
        <v>0</v>
      </c>
      <c r="O2">
        <f>BDH("MDRIQ US Equity","BS_CUR_LIAB","2014-10-23","2019-10-23","Per=Y","Days=T","Dir=V")</f>
        <v>0</v>
      </c>
      <c r="Q2">
        <f>BDH("MDRIQ US Equity","BS_SHAREHOLDER_EQY_ENDING_PERIOD","2014-10-23","2019-10-23","Per=Y","Days=T","Dir=V")</f>
        <v>0</v>
      </c>
      <c r="S2">
        <f>BDH("MDRIQ US Equity","BS_ACCT_NOTE_RCV","2014-10-23","2019-10-23","Per=Y","Days=T","Dir=V")</f>
        <v>0</v>
      </c>
      <c r="U2">
        <f>BDH("MDRIQ US Equity","BS_INVENTORIES","2014-10-23","2019-10-23","Per=Y","Days=T","Dir=V")</f>
        <v>0</v>
      </c>
      <c r="W2">
        <f>BDH("MDRIQ US Equity","WORKING_CAPITAL","2014-10-23","2019-10-23","Per=Y","Days=T","Dir=V")</f>
        <v>0</v>
      </c>
      <c r="Y2">
        <f>BDH("MDRIQ US Equity","SALES_REV_TURN","2014-10-23","2019-10-23","Per=Y","Days=T","Dir=V")</f>
        <v>0</v>
      </c>
      <c r="AA2">
        <f>BDH("MDRIQ US Equity","EBIT","2014-10-23","2019-10-23","Per=Y","Days=T","Dir=V")</f>
        <v>0</v>
      </c>
      <c r="AC2">
        <f>BDH("MDRIQ US Equity","EBITDA","2014-10-23","2019-10-23","Per=Y","Days=T","Dir=V")</f>
        <v>0</v>
      </c>
      <c r="AE2">
        <f>BDH("MDRIQ US Equity","NET_INCOME","2014-10-23","2019-10-23","Per=Y","Days=T","Dir=V")</f>
        <v>0</v>
      </c>
      <c r="AG2">
        <f>BDH("MDRIQ US Equity","IS_INT_EXPENSE","2014-10-23","2019-10-23","Per=Y","Days=T","Dir=V")</f>
        <v>0</v>
      </c>
      <c r="AI2">
        <f>BDH("MDRIQ US Equity","IS_DEPR_EXP","2014-10-23","2019-10-23","Per=Y","Days=T","Dir=V")</f>
        <v>0</v>
      </c>
      <c r="AK2">
        <f>BDH("MDRIQ US Equity","CF_CASH_FROM_OPER","2014-10-23","2019-10-23","Per=Y","Days=T","Dir=V")</f>
        <v>0</v>
      </c>
      <c r="AM2">
        <f>BDH("MDRIQ US Equity","CAPITAL_EXPEND","2014-10-23","2019-10-23","Per=Y","Days=T","Dir=V")</f>
        <v>0</v>
      </c>
      <c r="AO2">
        <f>BDH("MDRIQ US Equity","CF_FREE_CASH_FLOW","2014-10-23","2019-10-23","Per=Y","Days=T","Dir=V")</f>
        <v>0</v>
      </c>
      <c r="AQ2">
        <f>BDH("MDRIQ US Equity","PX_LAST","2014-10-23","2019-10-23","Per=M","Days=T","Dir=V")</f>
        <v>0</v>
      </c>
      <c r="AS2">
        <f>BDH("MDRIQ US Equity","CUR_MKT_CAP","2014-10-23","2019-10-23","Per=M","Days=T","Dir=V")</f>
        <v>0</v>
      </c>
      <c r="AU2">
        <f>BDH("MDRIQ US Equity","EQY_SH_OUT","2014-10-23","2019-10-23","Per=M","Days=T","Dir=V")</f>
        <v>0</v>
      </c>
      <c r="AW2">
        <f>BDH("MDRIQ US Equity","PX_VOLUME","2014-10-23","2019-10-23","Per=M","Days=T","Dir=V")</f>
        <v>0</v>
      </c>
      <c r="AY2">
        <f>BDH("MDRIQ US Equity","TURNOVER","2014-10-23","2019-10-23","Per=M","Days=T","Dir=V")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BDH("PIRRQ US Equity","BS_TOT_ASSET","2014-11-19","2019-11-19","Per=Y","Days=T","Dir=V")</f>
        <v>0</v>
      </c>
      <c r="C2">
        <f>BDH("PIRRQ US Equity","BS_TOT_LIAB2","2014-11-19","2019-11-19","Per=Y","Days=T","Dir=V")</f>
        <v>0</v>
      </c>
      <c r="E2">
        <f>BDH("PIRRQ US Equity","SHORT_AND_LONG_TERM_DEBT","2014-11-19","2019-11-19","Per=Y","Days=T","Dir=V")</f>
        <v>0</v>
      </c>
      <c r="G2">
        <f>BDH("PIRRQ US Equity","BS_ST_BORROW","2014-11-19","2019-11-19","Per=Y","Days=T","Dir=V")</f>
        <v>0</v>
      </c>
      <c r="I2">
        <f>BDH("PIRRQ US Equity","BS_LT_BORROW","2014-11-19","2019-11-19","Per=Y","Days=T","Dir=V")</f>
        <v>0</v>
      </c>
      <c r="K2">
        <f>BDH("PIRRQ US Equity","BS_CASH_NEAR_CASH_ITEM","2014-11-19","2019-11-19","Per=Y","Days=T","Dir=V")</f>
        <v>0</v>
      </c>
      <c r="M2">
        <f>BDH("PIRRQ US Equity","BS_CUR_ASSET_REPORT","2014-11-19","2019-11-19","Per=Y","Days=T","Dir=V")</f>
        <v>0</v>
      </c>
      <c r="O2">
        <f>BDH("PIRRQ US Equity","BS_CUR_LIAB","2014-11-19","2019-11-19","Per=Y","Days=T","Dir=V")</f>
        <v>0</v>
      </c>
      <c r="Q2">
        <f>BDH("PIRRQ US Equity","BS_SHAREHOLDER_EQY_ENDING_PERIOD","2014-11-19","2019-11-19","Per=Y","Days=T","Dir=V")</f>
        <v>0</v>
      </c>
      <c r="S2">
        <f>BDH("PIRRQ US Equity","BS_ACCT_NOTE_RCV","2014-11-19","2019-11-19","Per=Y","Days=T","Dir=V")</f>
        <v>0</v>
      </c>
      <c r="U2">
        <f>BDH("PIRRQ US Equity","BS_INVENTORIES","2014-11-19","2019-11-19","Per=Y","Days=T","Dir=V")</f>
        <v>0</v>
      </c>
      <c r="W2">
        <f>BDH("PIRRQ US Equity","WORKING_CAPITAL","2014-11-19","2019-11-19","Per=Y","Days=T","Dir=V")</f>
        <v>0</v>
      </c>
      <c r="Y2">
        <f>BDH("PIRRQ US Equity","SALES_REV_TURN","2014-11-19","2019-11-19","Per=Y","Days=T","Dir=V")</f>
        <v>0</v>
      </c>
      <c r="AA2">
        <f>BDH("PIRRQ US Equity","EBIT","2014-11-19","2019-11-19","Per=Y","Days=T","Dir=V")</f>
        <v>0</v>
      </c>
      <c r="AC2">
        <f>BDH("PIRRQ US Equity","EBITDA","2014-11-19","2019-11-19","Per=Y","Days=T","Dir=V")</f>
        <v>0</v>
      </c>
      <c r="AE2">
        <f>BDH("PIRRQ US Equity","NET_INCOME","2014-11-19","2019-11-19","Per=Y","Days=T","Dir=V")</f>
        <v>0</v>
      </c>
      <c r="AG2">
        <f>BDH("PIRRQ US Equity","IS_INT_EXPENSE","2014-11-19","2019-11-19","Per=Y","Days=T","Dir=V")</f>
        <v>0</v>
      </c>
      <c r="AI2">
        <f>BDH("PIRRQ US Equity","IS_DEPR_EXP","2014-11-19","2019-11-19","Per=Y","Days=T","Dir=V")</f>
        <v>0</v>
      </c>
      <c r="AK2">
        <f>BDH("PIRRQ US Equity","CF_CASH_FROM_OPER","2014-11-19","2019-11-19","Per=Y","Days=T","Dir=V")</f>
        <v>0</v>
      </c>
      <c r="AM2">
        <f>BDH("PIRRQ US Equity","CAPITAL_EXPEND","2014-11-19","2019-11-19","Per=Y","Days=T","Dir=V")</f>
        <v>0</v>
      </c>
      <c r="AO2">
        <f>BDH("PIRRQ US Equity","CF_FREE_CASH_FLOW","2014-11-19","2019-11-19","Per=Y","Days=T","Dir=V")</f>
        <v>0</v>
      </c>
      <c r="AQ2">
        <f>BDH("PIRRQ US Equity","PX_LAST","2014-11-19","2019-11-19","Per=M","Days=T","Dir=V")</f>
        <v>0</v>
      </c>
      <c r="AS2">
        <f>BDH("PIRRQ US Equity","CUR_MKT_CAP","2014-11-19","2019-11-19","Per=M","Days=T","Dir=V")</f>
        <v>0</v>
      </c>
      <c r="AU2">
        <f>BDH("PIRRQ US Equity","EQY_SH_OUT","2014-11-19","2019-11-19","Per=M","Days=T","Dir=V")</f>
        <v>0</v>
      </c>
      <c r="AW2">
        <f>BDH("PIRRQ US Equity","PX_VOLUME","2014-11-19","2019-11-19","Per=M","Days=T","Dir=V")</f>
        <v>0</v>
      </c>
      <c r="AY2">
        <f>BDH("PIRRQ US Equity","TURNOVER","2014-11-19","2019-11-19","Per=M","Days=T","Dir=V")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BDH("FELPQ US Equity","BS_TOT_ASSET","2014-12-11","2019-12-11","Per=Y","Days=T","Dir=V")</f>
        <v>0</v>
      </c>
      <c r="C2">
        <f>BDH("FELPQ US Equity","BS_TOT_LIAB2","2014-12-11","2019-12-11","Per=Y","Days=T","Dir=V")</f>
        <v>0</v>
      </c>
      <c r="E2">
        <f>BDH("FELPQ US Equity","SHORT_AND_LONG_TERM_DEBT","2014-12-11","2019-12-11","Per=Y","Days=T","Dir=V")</f>
        <v>0</v>
      </c>
      <c r="G2">
        <f>BDH("FELPQ US Equity","BS_ST_BORROW","2014-12-11","2019-12-11","Per=Y","Days=T","Dir=V")</f>
        <v>0</v>
      </c>
      <c r="I2">
        <f>BDH("FELPQ US Equity","BS_LT_BORROW","2014-12-11","2019-12-11","Per=Y","Days=T","Dir=V")</f>
        <v>0</v>
      </c>
      <c r="K2">
        <f>BDH("FELPQ US Equity","BS_CASH_NEAR_CASH_ITEM","2014-12-11","2019-12-11","Per=Y","Days=T","Dir=V")</f>
        <v>0</v>
      </c>
      <c r="M2">
        <f>BDH("FELPQ US Equity","BS_CUR_ASSET_REPORT","2014-12-11","2019-12-11","Per=Y","Days=T","Dir=V")</f>
        <v>0</v>
      </c>
      <c r="O2">
        <f>BDH("FELPQ US Equity","BS_CUR_LIAB","2014-12-11","2019-12-11","Per=Y","Days=T","Dir=V")</f>
        <v>0</v>
      </c>
      <c r="Q2">
        <f>BDH("FELPQ US Equity","BS_SHAREHOLDER_EQY_ENDING_PERIOD","2014-12-11","2019-12-11","Per=Y","Days=T","Dir=V")</f>
        <v>0</v>
      </c>
      <c r="S2">
        <f>BDH("FELPQ US Equity","BS_ACCT_NOTE_RCV","2014-12-11","2019-12-11","Per=Y","Days=T","Dir=V")</f>
        <v>0</v>
      </c>
      <c r="U2">
        <f>BDH("FELPQ US Equity","BS_INVENTORIES","2014-12-11","2019-12-11","Per=Y","Days=T","Dir=V")</f>
        <v>0</v>
      </c>
      <c r="W2">
        <f>BDH("FELPQ US Equity","WORKING_CAPITAL","2014-12-11","2019-12-11","Per=Y","Days=T","Dir=V")</f>
        <v>0</v>
      </c>
      <c r="Y2">
        <f>BDH("FELPQ US Equity","SALES_REV_TURN","2014-12-11","2019-12-11","Per=Y","Days=T","Dir=V")</f>
        <v>0</v>
      </c>
      <c r="AA2">
        <f>BDH("FELPQ US Equity","EBIT","2014-12-11","2019-12-11","Per=Y","Days=T","Dir=V")</f>
        <v>0</v>
      </c>
      <c r="AC2">
        <f>BDH("FELPQ US Equity","EBITDA","2014-12-11","2019-12-11","Per=Y","Days=T","Dir=V")</f>
        <v>0</v>
      </c>
      <c r="AE2">
        <f>BDH("FELPQ US Equity","NET_INCOME","2014-12-11","2019-12-11","Per=Y","Days=T","Dir=V")</f>
        <v>0</v>
      </c>
      <c r="AG2">
        <f>BDH("FELPQ US Equity","IS_INT_EXPENSE","2014-12-11","2019-12-11","Per=Y","Days=T","Dir=V")</f>
        <v>0</v>
      </c>
      <c r="AI2">
        <f>BDH("FELPQ US Equity","IS_DEPR_EXP","2014-12-11","2019-12-11","Per=Y","Days=T","Dir=V")</f>
        <v>0</v>
      </c>
      <c r="AK2">
        <f>BDH("FELPQ US Equity","CF_CASH_FROM_OPER","2014-12-11","2019-12-11","Per=Y","Days=T","Dir=V")</f>
        <v>0</v>
      </c>
      <c r="AM2">
        <f>BDH("FELPQ US Equity","CAPITAL_EXPEND","2014-12-11","2019-12-11","Per=Y","Days=T","Dir=V")</f>
        <v>0</v>
      </c>
      <c r="AO2">
        <f>BDH("FELPQ US Equity","CF_FREE_CASH_FLOW","2014-12-11","2019-12-11","Per=Y","Days=T","Dir=V")</f>
        <v>0</v>
      </c>
      <c r="AQ2">
        <f>BDH("FELPQ US Equity","PX_LAST","2014-12-11","2019-12-11","Per=M","Days=T","Dir=V")</f>
        <v>0</v>
      </c>
      <c r="AS2">
        <f>BDH("FELPQ US Equity","CUR_MKT_CAP","2014-12-11","2019-12-11","Per=M","Days=T","Dir=V")</f>
        <v>0</v>
      </c>
      <c r="AU2">
        <f>BDH("FELPQ US Equity","EQY_SH_OUT","2014-12-11","2019-12-11","Per=M","Days=T","Dir=V")</f>
        <v>0</v>
      </c>
      <c r="AW2">
        <f>BDH("FELPQ US Equity","PX_VOLUME","2014-12-11","2019-12-11","Per=M","Days=T","Dir=V")</f>
        <v>0</v>
      </c>
      <c r="AY2">
        <f>BDH("FELPQ US Equity","TURNOVER","2014-12-11","2019-12-11","Per=M","Days=T","Dir=V")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BDH("QHCCQ US Equity","BS_TOT_ASSET","2015-01-08","2020-01-08","Per=Y","Days=T","Dir=V")</f>
        <v>0</v>
      </c>
      <c r="C2">
        <f>BDH("QHCCQ US Equity","BS_TOT_LIAB2","2015-01-08","2020-01-08","Per=Y","Days=T","Dir=V")</f>
        <v>0</v>
      </c>
      <c r="E2">
        <f>BDH("QHCCQ US Equity","SHORT_AND_LONG_TERM_DEBT","2015-01-08","2020-01-08","Per=Y","Days=T","Dir=V")</f>
        <v>0</v>
      </c>
      <c r="G2">
        <f>BDH("QHCCQ US Equity","BS_ST_BORROW","2015-01-08","2020-01-08","Per=Y","Days=T","Dir=V")</f>
        <v>0</v>
      </c>
      <c r="I2">
        <f>BDH("QHCCQ US Equity","BS_LT_BORROW","2015-01-08","2020-01-08","Per=Y","Days=T","Dir=V")</f>
        <v>0</v>
      </c>
      <c r="K2">
        <f>BDH("QHCCQ US Equity","BS_CASH_NEAR_CASH_ITEM","2015-01-08","2020-01-08","Per=Y","Days=T","Dir=V")</f>
        <v>0</v>
      </c>
      <c r="M2">
        <f>BDH("QHCCQ US Equity","BS_CUR_ASSET_REPORT","2015-01-08","2020-01-08","Per=Y","Days=T","Dir=V")</f>
        <v>0</v>
      </c>
      <c r="O2">
        <f>BDH("QHCCQ US Equity","BS_CUR_LIAB","2015-01-08","2020-01-08","Per=Y","Days=T","Dir=V")</f>
        <v>0</v>
      </c>
      <c r="Q2">
        <f>BDH("QHCCQ US Equity","BS_SHAREHOLDER_EQY_ENDING_PERIOD","2015-01-08","2020-01-08","Per=Y","Days=T","Dir=V")</f>
        <v>0</v>
      </c>
      <c r="S2">
        <f>BDH("QHCCQ US Equity","BS_ACCT_NOTE_RCV","2015-01-08","2020-01-08","Per=Y","Days=T","Dir=V")</f>
        <v>0</v>
      </c>
      <c r="U2">
        <f>BDH("QHCCQ US Equity","BS_INVENTORIES","2015-01-08","2020-01-08","Per=Y","Days=T","Dir=V")</f>
        <v>0</v>
      </c>
      <c r="W2">
        <f>BDH("QHCCQ US Equity","WORKING_CAPITAL","2015-01-08","2020-01-08","Per=Y","Days=T","Dir=V")</f>
        <v>0</v>
      </c>
      <c r="Y2">
        <f>BDH("QHCCQ US Equity","SALES_REV_TURN","2015-01-08","2020-01-08","Per=Y","Days=T","Dir=V")</f>
        <v>0</v>
      </c>
      <c r="AA2">
        <f>BDH("QHCCQ US Equity","EBIT","2015-01-08","2020-01-08","Per=Y","Days=T","Dir=V")</f>
        <v>0</v>
      </c>
      <c r="AC2">
        <f>BDH("QHCCQ US Equity","EBITDA","2015-01-08","2020-01-08","Per=Y","Days=T","Dir=V")</f>
        <v>0</v>
      </c>
      <c r="AE2">
        <f>BDH("QHCCQ US Equity","NET_INCOME","2015-01-08","2020-01-08","Per=Y","Days=T","Dir=V")</f>
        <v>0</v>
      </c>
      <c r="AG2">
        <f>BDH("QHCCQ US Equity","IS_INT_EXPENSE","2015-01-08","2020-01-08","Per=Y","Days=T","Dir=V")</f>
        <v>0</v>
      </c>
      <c r="AI2">
        <f>BDH("QHCCQ US Equity","IS_DEPR_EXP","2015-01-08","2020-01-08","Per=Y","Days=T","Dir=V")</f>
        <v>0</v>
      </c>
      <c r="AK2">
        <f>BDH("QHCCQ US Equity","CF_CASH_FROM_OPER","2015-01-08","2020-01-08","Per=Y","Days=T","Dir=V")</f>
        <v>0</v>
      </c>
      <c r="AM2">
        <f>BDH("QHCCQ US Equity","CAPITAL_EXPEND","2015-01-08","2020-01-08","Per=Y","Days=T","Dir=V")</f>
        <v>0</v>
      </c>
      <c r="AO2">
        <f>BDH("QHCCQ US Equity","CF_FREE_CASH_FLOW","2015-01-08","2020-01-08","Per=Y","Days=T","Dir=V")</f>
        <v>0</v>
      </c>
      <c r="AQ2">
        <f>BDH("QHCCQ US Equity","PX_LAST","2015-01-08","2020-01-08","Per=M","Days=T","Dir=V")</f>
        <v>0</v>
      </c>
      <c r="AS2">
        <f>BDH("QHCCQ US Equity","CUR_MKT_CAP","2015-01-08","2020-01-08","Per=M","Days=T","Dir=V")</f>
        <v>0</v>
      </c>
      <c r="AU2">
        <f>BDH("QHCCQ US Equity","EQY_SH_OUT","2015-01-08","2020-01-08","Per=M","Days=T","Dir=V")</f>
        <v>0</v>
      </c>
      <c r="AW2">
        <f>BDH("QHCCQ US Equity","PX_VOLUME","2015-01-08","2020-01-08","Per=M","Days=T","Dir=V")</f>
        <v>0</v>
      </c>
      <c r="AY2">
        <f>BDH("QHCCQ US Equity","TURNOVER","2015-01-08","2020-01-08","Per=M","Days=T","Dir=V")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BDH("CTRCQ US Equity","BS_TOT_ASSET","2015-02-18","2020-02-18","Per=Y","Days=T","Dir=V")</f>
        <v>0</v>
      </c>
      <c r="C2">
        <f>BDH("CTRCQ US Equity","BS_TOT_LIAB2","2015-02-18","2020-02-18","Per=Y","Days=T","Dir=V")</f>
        <v>0</v>
      </c>
      <c r="E2">
        <f>BDH("CTRCQ US Equity","SHORT_AND_LONG_TERM_DEBT","2015-02-18","2020-02-18","Per=Y","Days=T","Dir=V")</f>
        <v>0</v>
      </c>
      <c r="G2">
        <f>BDH("CTRCQ US Equity","BS_ST_BORROW","2015-02-18","2020-02-18","Per=Y","Days=T","Dir=V")</f>
        <v>0</v>
      </c>
      <c r="I2">
        <f>BDH("CTRCQ US Equity","BS_LT_BORROW","2015-02-18","2020-02-18","Per=Y","Days=T","Dir=V")</f>
        <v>0</v>
      </c>
      <c r="K2">
        <f>BDH("CTRCQ US Equity","BS_CASH_NEAR_CASH_ITEM","2015-02-18","2020-02-18","Per=Y","Days=T","Dir=V")</f>
        <v>0</v>
      </c>
      <c r="M2">
        <f>BDH("CTRCQ US Equity","BS_CUR_ASSET_REPORT","2015-02-18","2020-02-18","Per=Y","Days=T","Dir=V")</f>
        <v>0</v>
      </c>
      <c r="O2">
        <f>BDH("CTRCQ US Equity","BS_CUR_LIAB","2015-02-18","2020-02-18","Per=Y","Days=T","Dir=V")</f>
        <v>0</v>
      </c>
      <c r="Q2">
        <f>BDH("CTRCQ US Equity","BS_SHAREHOLDER_EQY_ENDING_PERIOD","2015-02-18","2020-02-18","Per=Y","Days=T","Dir=V")</f>
        <v>0</v>
      </c>
      <c r="S2">
        <f>BDH("CTRCQ US Equity","BS_ACCT_NOTE_RCV","2015-02-18","2020-02-18","Per=Y","Days=T","Dir=V")</f>
        <v>0</v>
      </c>
      <c r="U2">
        <f>BDH("CTRCQ US Equity","BS_INVENTORIES","2015-02-18","2020-02-18","Per=Y","Days=T","Dir=V")</f>
        <v>0</v>
      </c>
      <c r="W2">
        <f>BDH("CTRCQ US Equity","WORKING_CAPITAL","2015-02-18","2020-02-18","Per=Y","Days=T","Dir=V")</f>
        <v>0</v>
      </c>
      <c r="Y2">
        <f>BDH("CTRCQ US Equity","SALES_REV_TURN","2015-02-18","2020-02-18","Per=Y","Days=T","Dir=V")</f>
        <v>0</v>
      </c>
      <c r="AA2">
        <f>BDH("CTRCQ US Equity","EBIT","2015-02-18","2020-02-18","Per=Y","Days=T","Dir=V")</f>
        <v>0</v>
      </c>
      <c r="AC2">
        <f>BDH("CTRCQ US Equity","EBITDA","2015-02-18","2020-02-18","Per=Y","Days=T","Dir=V")</f>
        <v>0</v>
      </c>
      <c r="AE2">
        <f>BDH("CTRCQ US Equity","NET_INCOME","2015-02-18","2020-02-18","Per=Y","Days=T","Dir=V")</f>
        <v>0</v>
      </c>
      <c r="AG2">
        <f>BDH("CTRCQ US Equity","IS_INT_EXPENSE","2015-02-18","2020-02-18","Per=Y","Days=T","Dir=V")</f>
        <v>0</v>
      </c>
      <c r="AI2">
        <f>BDH("CTRCQ US Equity","IS_DEPR_EXP","2015-02-18","2020-02-18","Per=Y","Days=T","Dir=V")</f>
        <v>0</v>
      </c>
      <c r="AK2">
        <f>BDH("CTRCQ US Equity","CF_CASH_FROM_OPER","2015-02-18","2020-02-18","Per=Y","Days=T","Dir=V")</f>
        <v>0</v>
      </c>
      <c r="AM2">
        <f>BDH("CTRCQ US Equity","CAPITAL_EXPEND","2015-02-18","2020-02-18","Per=Y","Days=T","Dir=V")</f>
        <v>0</v>
      </c>
      <c r="AO2">
        <f>BDH("CTRCQ US Equity","CF_FREE_CASH_FLOW","2015-02-18","2020-02-18","Per=Y","Days=T","Dir=V")</f>
        <v>0</v>
      </c>
      <c r="AQ2">
        <f>BDH("CTRCQ US Equity","PX_LAST","2015-02-18","2020-02-18","Per=M","Days=T","Dir=V")</f>
        <v>0</v>
      </c>
      <c r="AS2">
        <f>BDH("CTRCQ US Equity","CUR_MKT_CAP","2015-02-18","2020-02-18","Per=M","Days=T","Dir=V")</f>
        <v>0</v>
      </c>
      <c r="AU2">
        <f>BDH("CTRCQ US Equity","EQY_SH_OUT","2015-02-18","2020-02-18","Per=M","Days=T","Dir=V")</f>
        <v>0</v>
      </c>
      <c r="AW2">
        <f>BDH("CTRCQ US Equity","PX_VOLUME","2015-02-18","2020-02-18","Per=M","Days=T","Dir=V")</f>
        <v>0</v>
      </c>
      <c r="AY2">
        <f>BDH("CTRCQ US Equity","TURNOVER","2015-02-18","2020-02-18","Per=M","Days=T","Dir=V")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BDH("HOS US Equity","BS_TOT_ASSET","2015-02-19","2020-02-19","Per=Y","Days=T","Dir=V")</f>
        <v>0</v>
      </c>
      <c r="C2">
        <f>BDH("HOS US Equity","BS_TOT_LIAB2","2015-02-19","2020-02-19","Per=Y","Days=T","Dir=V")</f>
        <v>0</v>
      </c>
      <c r="E2">
        <f>BDH("HOS US Equity","SHORT_AND_LONG_TERM_DEBT","2015-02-19","2020-02-19","Per=Y","Days=T","Dir=V")</f>
        <v>0</v>
      </c>
      <c r="G2">
        <f>BDH("HOS US Equity","BS_ST_BORROW","2015-02-19","2020-02-19","Per=Y","Days=T","Dir=V")</f>
        <v>0</v>
      </c>
      <c r="I2">
        <f>BDH("HOS US Equity","BS_LT_BORROW","2015-02-19","2020-02-19","Per=Y","Days=T","Dir=V")</f>
        <v>0</v>
      </c>
      <c r="K2">
        <f>BDH("HOS US Equity","BS_CASH_NEAR_CASH_ITEM","2015-02-19","2020-02-19","Per=Y","Days=T","Dir=V")</f>
        <v>0</v>
      </c>
      <c r="M2">
        <f>BDH("HOS US Equity","BS_CUR_ASSET_REPORT","2015-02-19","2020-02-19","Per=Y","Days=T","Dir=V")</f>
        <v>0</v>
      </c>
      <c r="O2">
        <f>BDH("HOS US Equity","BS_CUR_LIAB","2015-02-19","2020-02-19","Per=Y","Days=T","Dir=V")</f>
        <v>0</v>
      </c>
      <c r="Q2">
        <f>BDH("HOS US Equity","BS_SHAREHOLDER_EQY_ENDING_PERIOD","2015-02-19","2020-02-19","Per=Y","Days=T","Dir=V")</f>
        <v>0</v>
      </c>
      <c r="S2">
        <f>BDH("HOS US Equity","BS_ACCT_NOTE_RCV","2015-02-19","2020-02-19","Per=Y","Days=T","Dir=V")</f>
        <v>0</v>
      </c>
      <c r="U2">
        <f>BDH("HOS US Equity","BS_INVENTORIES","2015-02-19","2020-02-19","Per=Y","Days=T","Dir=V")</f>
        <v>0</v>
      </c>
      <c r="W2">
        <f>BDH("HOS US Equity","WORKING_CAPITAL","2015-02-19","2020-02-19","Per=Y","Days=T","Dir=V")</f>
        <v>0</v>
      </c>
      <c r="Y2">
        <f>BDH("HOS US Equity","SALES_REV_TURN","2015-02-19","2020-02-19","Per=Y","Days=T","Dir=V")</f>
        <v>0</v>
      </c>
      <c r="AA2">
        <f>BDH("HOS US Equity","EBIT","2015-02-19","2020-02-19","Per=Y","Days=T","Dir=V")</f>
        <v>0</v>
      </c>
      <c r="AC2">
        <f>BDH("HOS US Equity","EBITDA","2015-02-19","2020-02-19","Per=Y","Days=T","Dir=V")</f>
        <v>0</v>
      </c>
      <c r="AE2">
        <f>BDH("HOS US Equity","NET_INCOME","2015-02-19","2020-02-19","Per=Y","Days=T","Dir=V")</f>
        <v>0</v>
      </c>
      <c r="AG2">
        <f>BDH("HOS US Equity","IS_INT_EXPENSE","2015-02-19","2020-02-19","Per=Y","Days=T","Dir=V")</f>
        <v>0</v>
      </c>
      <c r="AI2">
        <f>BDH("HOS US Equity","IS_DEPR_EXP","2015-02-19","2020-02-19","Per=Y","Days=T","Dir=V")</f>
        <v>0</v>
      </c>
      <c r="AK2">
        <f>BDH("HOS US Equity","CF_CASH_FROM_OPER","2015-02-19","2020-02-19","Per=Y","Days=T","Dir=V")</f>
        <v>0</v>
      </c>
      <c r="AM2">
        <f>BDH("HOS US Equity","CAPITAL_EXPEND","2015-02-19","2020-02-19","Per=Y","Days=T","Dir=V")</f>
        <v>0</v>
      </c>
      <c r="AO2">
        <f>BDH("HOS US Equity","CF_FREE_CASH_FLOW","2015-02-19","2020-02-19","Per=Y","Days=T","Dir=V")</f>
        <v>0</v>
      </c>
      <c r="AQ2">
        <f>BDH("HOS US Equity","PX_LAST","2015-02-19","2020-02-19","Per=M","Days=T","Dir=V")</f>
        <v>0</v>
      </c>
      <c r="AS2">
        <f>BDH("HOS US Equity","CUR_MKT_CAP","2015-02-19","2020-02-19","Per=M","Days=T","Dir=V")</f>
        <v>0</v>
      </c>
      <c r="AU2">
        <f>BDH("HOS US Equity","EQY_SH_OUT","2015-02-19","2020-02-19","Per=M","Days=T","Dir=V")</f>
        <v>0</v>
      </c>
      <c r="AW2">
        <f>BDH("HOS US Equity","PX_VOLUME","2015-02-19","2020-02-19","Per=M","Days=T","Dir=V")</f>
        <v>0</v>
      </c>
      <c r="AY2">
        <f>BDH("HOS US Equity","TURNOVER","2015-02-19","2020-02-19","Per=M","Days=T","Dir=V")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BDH("AKRXQ US Equity","BS_TOT_ASSET","2015-02-20","2020-02-20","Per=Y","Days=T","Dir=V")</f>
        <v>0</v>
      </c>
      <c r="C2">
        <f>BDH("AKRXQ US Equity","BS_TOT_LIAB2","2015-02-20","2020-02-20","Per=Y","Days=T","Dir=V")</f>
        <v>0</v>
      </c>
      <c r="E2">
        <f>BDH("AKRXQ US Equity","SHORT_AND_LONG_TERM_DEBT","2015-02-20","2020-02-20","Per=Y","Days=T","Dir=V")</f>
        <v>0</v>
      </c>
      <c r="G2">
        <f>BDH("AKRXQ US Equity","BS_ST_BORROW","2015-02-20","2020-02-20","Per=Y","Days=T","Dir=V")</f>
        <v>0</v>
      </c>
      <c r="I2">
        <f>BDH("AKRXQ US Equity","BS_LT_BORROW","2015-02-20","2020-02-20","Per=Y","Days=T","Dir=V")</f>
        <v>0</v>
      </c>
      <c r="K2">
        <f>BDH("AKRXQ US Equity","BS_CASH_NEAR_CASH_ITEM","2015-02-20","2020-02-20","Per=Y","Days=T","Dir=V")</f>
        <v>0</v>
      </c>
      <c r="M2">
        <f>BDH("AKRXQ US Equity","BS_CUR_ASSET_REPORT","2015-02-20","2020-02-20","Per=Y","Days=T","Dir=V")</f>
        <v>0</v>
      </c>
      <c r="O2">
        <f>BDH("AKRXQ US Equity","BS_CUR_LIAB","2015-02-20","2020-02-20","Per=Y","Days=T","Dir=V")</f>
        <v>0</v>
      </c>
      <c r="Q2">
        <f>BDH("AKRXQ US Equity","BS_SHAREHOLDER_EQY_ENDING_PERIOD","2015-02-20","2020-02-20","Per=Y","Days=T","Dir=V")</f>
        <v>0</v>
      </c>
      <c r="S2">
        <f>BDH("AKRXQ US Equity","BS_ACCT_NOTE_RCV","2015-02-20","2020-02-20","Per=Y","Days=T","Dir=V")</f>
        <v>0</v>
      </c>
      <c r="U2">
        <f>BDH("AKRXQ US Equity","BS_INVENTORIES","2015-02-20","2020-02-20","Per=Y","Days=T","Dir=V")</f>
        <v>0</v>
      </c>
      <c r="W2">
        <f>BDH("AKRXQ US Equity","WORKING_CAPITAL","2015-02-20","2020-02-20","Per=Y","Days=T","Dir=V")</f>
        <v>0</v>
      </c>
      <c r="Y2">
        <f>BDH("AKRXQ US Equity","SALES_REV_TURN","2015-02-20","2020-02-20","Per=Y","Days=T","Dir=V")</f>
        <v>0</v>
      </c>
      <c r="AA2">
        <f>BDH("AKRXQ US Equity","EBIT","2015-02-20","2020-02-20","Per=Y","Days=T","Dir=V")</f>
        <v>0</v>
      </c>
      <c r="AC2">
        <f>BDH("AKRXQ US Equity","EBITDA","2015-02-20","2020-02-20","Per=Y","Days=T","Dir=V")</f>
        <v>0</v>
      </c>
      <c r="AE2">
        <f>BDH("AKRXQ US Equity","NET_INCOME","2015-02-20","2020-02-20","Per=Y","Days=T","Dir=V")</f>
        <v>0</v>
      </c>
      <c r="AG2">
        <f>BDH("AKRXQ US Equity","IS_INT_EXPENSE","2015-02-20","2020-02-20","Per=Y","Days=T","Dir=V")</f>
        <v>0</v>
      </c>
      <c r="AI2">
        <f>BDH("AKRXQ US Equity","IS_DEPR_EXP","2015-02-20","2020-02-20","Per=Y","Days=T","Dir=V")</f>
        <v>0</v>
      </c>
      <c r="AK2">
        <f>BDH("AKRXQ US Equity","CF_CASH_FROM_OPER","2015-02-20","2020-02-20","Per=Y","Days=T","Dir=V")</f>
        <v>0</v>
      </c>
      <c r="AM2">
        <f>BDH("AKRXQ US Equity","CAPITAL_EXPEND","2015-02-20","2020-02-20","Per=Y","Days=T","Dir=V")</f>
        <v>0</v>
      </c>
      <c r="AO2">
        <f>BDH("AKRXQ US Equity","CF_FREE_CASH_FLOW","2015-02-20","2020-02-20","Per=Y","Days=T","Dir=V")</f>
        <v>0</v>
      </c>
      <c r="AQ2">
        <f>BDH("AKRXQ US Equity","PX_LAST","2015-02-20","2020-02-20","Per=M","Days=T","Dir=V")</f>
        <v>0</v>
      </c>
      <c r="AS2">
        <f>BDH("AKRXQ US Equity","CUR_MKT_CAP","2015-02-20","2020-02-20","Per=M","Days=T","Dir=V")</f>
        <v>0</v>
      </c>
      <c r="AU2">
        <f>BDH("AKRXQ US Equity","EQY_SH_OUT","2015-02-20","2020-02-20","Per=M","Days=T","Dir=V")</f>
        <v>0</v>
      </c>
      <c r="AW2">
        <f>BDH("AKRXQ US Equity","PX_VOLUME","2015-02-20","2020-02-20","Per=M","Days=T","Dir=V")</f>
        <v>0</v>
      </c>
      <c r="AY2">
        <f>BDH("AKRXQ US Equity","TURNOVER","2015-02-20","2020-02-20","Per=M","Days=T","Dir=V")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BDH("TUEMQ US Equity","BS_TOT_ASSET","2015-02-27","2020-02-27","Per=Y","Days=T","Dir=V")</f>
        <v>0</v>
      </c>
      <c r="C2">
        <f>BDH("TUEMQ US Equity","BS_TOT_LIAB2","2015-02-27","2020-02-27","Per=Y","Days=T","Dir=V")</f>
        <v>0</v>
      </c>
      <c r="E2">
        <f>BDH("TUEMQ US Equity","SHORT_AND_LONG_TERM_DEBT","2015-02-27","2020-02-27","Per=Y","Days=T","Dir=V")</f>
        <v>0</v>
      </c>
      <c r="G2">
        <f>BDH("TUEMQ US Equity","BS_ST_BORROW","2015-02-27","2020-02-27","Per=Y","Days=T","Dir=V")</f>
        <v>0</v>
      </c>
      <c r="I2">
        <f>BDH("TUEMQ US Equity","BS_LT_BORROW","2015-02-27","2020-02-27","Per=Y","Days=T","Dir=V")</f>
        <v>0</v>
      </c>
      <c r="K2">
        <f>BDH("TUEMQ US Equity","BS_CASH_NEAR_CASH_ITEM","2015-02-27","2020-02-27","Per=Y","Days=T","Dir=V")</f>
        <v>0</v>
      </c>
      <c r="M2">
        <f>BDH("TUEMQ US Equity","BS_CUR_ASSET_REPORT","2015-02-27","2020-02-27","Per=Y","Days=T","Dir=V")</f>
        <v>0</v>
      </c>
      <c r="O2">
        <f>BDH("TUEMQ US Equity","BS_CUR_LIAB","2015-02-27","2020-02-27","Per=Y","Days=T","Dir=V")</f>
        <v>0</v>
      </c>
      <c r="Q2">
        <f>BDH("TUEMQ US Equity","BS_SHAREHOLDER_EQY_ENDING_PERIOD","2015-02-27","2020-02-27","Per=Y","Days=T","Dir=V")</f>
        <v>0</v>
      </c>
      <c r="S2">
        <f>BDH("TUEMQ US Equity","BS_ACCT_NOTE_RCV","2015-02-27","2020-02-27","Per=Y","Days=T","Dir=V")</f>
        <v>0</v>
      </c>
      <c r="U2">
        <f>BDH("TUEMQ US Equity","BS_INVENTORIES","2015-02-27","2020-02-27","Per=Y","Days=T","Dir=V")</f>
        <v>0</v>
      </c>
      <c r="W2">
        <f>BDH("TUEMQ US Equity","WORKING_CAPITAL","2015-02-27","2020-02-27","Per=Y","Days=T","Dir=V")</f>
        <v>0</v>
      </c>
      <c r="Y2">
        <f>BDH("TUEMQ US Equity","SALES_REV_TURN","2015-02-27","2020-02-27","Per=Y","Days=T","Dir=V")</f>
        <v>0</v>
      </c>
      <c r="AA2">
        <f>BDH("TUEMQ US Equity","EBIT","2015-02-27","2020-02-27","Per=Y","Days=T","Dir=V")</f>
        <v>0</v>
      </c>
      <c r="AC2">
        <f>BDH("TUEMQ US Equity","EBITDA","2015-02-27","2020-02-27","Per=Y","Days=T","Dir=V")</f>
        <v>0</v>
      </c>
      <c r="AE2">
        <f>BDH("TUEMQ US Equity","NET_INCOME","2015-02-27","2020-02-27","Per=Y","Days=T","Dir=V")</f>
        <v>0</v>
      </c>
      <c r="AG2">
        <f>BDH("TUEMQ US Equity","IS_INT_EXPENSE","2015-02-27","2020-02-27","Per=Y","Days=T","Dir=V")</f>
        <v>0</v>
      </c>
      <c r="AI2">
        <f>BDH("TUEMQ US Equity","IS_DEPR_EXP","2015-02-27","2020-02-27","Per=Y","Days=T","Dir=V")</f>
        <v>0</v>
      </c>
      <c r="AK2">
        <f>BDH("TUEMQ US Equity","CF_CASH_FROM_OPER","2015-02-27","2020-02-27","Per=Y","Days=T","Dir=V")</f>
        <v>0</v>
      </c>
      <c r="AM2">
        <f>BDH("TUEMQ US Equity","CAPITAL_EXPEND","2015-02-27","2020-02-27","Per=Y","Days=T","Dir=V")</f>
        <v>0</v>
      </c>
      <c r="AO2">
        <f>BDH("TUEMQ US Equity","CF_FREE_CASH_FLOW","2015-02-27","2020-02-27","Per=Y","Days=T","Dir=V")</f>
        <v>0</v>
      </c>
      <c r="AQ2">
        <f>BDH("TUEMQ US Equity","PX_LAST","2015-02-27","2020-02-27","Per=M","Days=T","Dir=V")</f>
        <v>0</v>
      </c>
      <c r="AS2">
        <f>BDH("TUEMQ US Equity","CUR_MKT_CAP","2015-02-27","2020-02-27","Per=M","Days=T","Dir=V")</f>
        <v>0</v>
      </c>
      <c r="AU2">
        <f>BDH("TUEMQ US Equity","EQY_SH_OUT","2015-02-27","2020-02-27","Per=M","Days=T","Dir=V")</f>
        <v>0</v>
      </c>
      <c r="AW2">
        <f>BDH("TUEMQ US Equity","PX_VOLUME","2015-02-27","2020-02-27","Per=M","Days=T","Dir=V")</f>
        <v>0</v>
      </c>
      <c r="AY2">
        <f>BDH("TUEMQ US Equity","TURNOVER","2015-02-27","2020-02-27","Per=M","Days=T","Dir=V")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BDH("LBYYQ US Equity","BS_TOT_ASSET","2015-03-03","2020-03-03","Per=Y","Days=T","Dir=V")</f>
        <v>0</v>
      </c>
      <c r="C2">
        <f>BDH("LBYYQ US Equity","BS_TOT_LIAB2","2015-03-03","2020-03-03","Per=Y","Days=T","Dir=V")</f>
        <v>0</v>
      </c>
      <c r="E2">
        <f>BDH("LBYYQ US Equity","SHORT_AND_LONG_TERM_DEBT","2015-03-03","2020-03-03","Per=Y","Days=T","Dir=V")</f>
        <v>0</v>
      </c>
      <c r="G2">
        <f>BDH("LBYYQ US Equity","BS_ST_BORROW","2015-03-03","2020-03-03","Per=Y","Days=T","Dir=V")</f>
        <v>0</v>
      </c>
      <c r="I2">
        <f>BDH("LBYYQ US Equity","BS_LT_BORROW","2015-03-03","2020-03-03","Per=Y","Days=T","Dir=V")</f>
        <v>0</v>
      </c>
      <c r="K2">
        <f>BDH("LBYYQ US Equity","BS_CASH_NEAR_CASH_ITEM","2015-03-03","2020-03-03","Per=Y","Days=T","Dir=V")</f>
        <v>0</v>
      </c>
      <c r="M2">
        <f>BDH("LBYYQ US Equity","BS_CUR_ASSET_REPORT","2015-03-03","2020-03-03","Per=Y","Days=T","Dir=V")</f>
        <v>0</v>
      </c>
      <c r="O2">
        <f>BDH("LBYYQ US Equity","BS_CUR_LIAB","2015-03-03","2020-03-03","Per=Y","Days=T","Dir=V")</f>
        <v>0</v>
      </c>
      <c r="Q2">
        <f>BDH("LBYYQ US Equity","BS_SHAREHOLDER_EQY_ENDING_PERIOD","2015-03-03","2020-03-03","Per=Y","Days=T","Dir=V")</f>
        <v>0</v>
      </c>
      <c r="S2">
        <f>BDH("LBYYQ US Equity","BS_ACCT_NOTE_RCV","2015-03-03","2020-03-03","Per=Y","Days=T","Dir=V")</f>
        <v>0</v>
      </c>
      <c r="U2">
        <f>BDH("LBYYQ US Equity","BS_INVENTORIES","2015-03-03","2020-03-03","Per=Y","Days=T","Dir=V")</f>
        <v>0</v>
      </c>
      <c r="W2">
        <f>BDH("LBYYQ US Equity","WORKING_CAPITAL","2015-03-03","2020-03-03","Per=Y","Days=T","Dir=V")</f>
        <v>0</v>
      </c>
      <c r="Y2">
        <f>BDH("LBYYQ US Equity","SALES_REV_TURN","2015-03-03","2020-03-03","Per=Y","Days=T","Dir=V")</f>
        <v>0</v>
      </c>
      <c r="AA2">
        <f>BDH("LBYYQ US Equity","EBIT","2015-03-03","2020-03-03","Per=Y","Days=T","Dir=V")</f>
        <v>0</v>
      </c>
      <c r="AC2">
        <f>BDH("LBYYQ US Equity","EBITDA","2015-03-03","2020-03-03","Per=Y","Days=T","Dir=V")</f>
        <v>0</v>
      </c>
      <c r="AE2">
        <f>BDH("LBYYQ US Equity","NET_INCOME","2015-03-03","2020-03-03","Per=Y","Days=T","Dir=V")</f>
        <v>0</v>
      </c>
      <c r="AG2">
        <f>BDH("LBYYQ US Equity","IS_INT_EXPENSE","2015-03-03","2020-03-03","Per=Y","Days=T","Dir=V")</f>
        <v>0</v>
      </c>
      <c r="AI2">
        <f>BDH("LBYYQ US Equity","IS_DEPR_EXP","2015-03-03","2020-03-03","Per=Y","Days=T","Dir=V")</f>
        <v>0</v>
      </c>
      <c r="AK2">
        <f>BDH("LBYYQ US Equity","CF_CASH_FROM_OPER","2015-03-03","2020-03-03","Per=Y","Days=T","Dir=V")</f>
        <v>0</v>
      </c>
      <c r="AM2">
        <f>BDH("LBYYQ US Equity","CAPITAL_EXPEND","2015-03-03","2020-03-03","Per=Y","Days=T","Dir=V")</f>
        <v>0</v>
      </c>
      <c r="AO2">
        <f>BDH("LBYYQ US Equity","CF_FREE_CASH_FLOW","2015-03-03","2020-03-03","Per=Y","Days=T","Dir=V")</f>
        <v>0</v>
      </c>
      <c r="AQ2">
        <f>BDH("LBYYQ US Equity","PX_LAST","2015-03-03","2020-03-03","Per=M","Days=T","Dir=V")</f>
        <v>0</v>
      </c>
      <c r="AS2">
        <f>BDH("LBYYQ US Equity","CUR_MKT_CAP","2015-03-03","2020-03-03","Per=M","Days=T","Dir=V")</f>
        <v>0</v>
      </c>
      <c r="AU2">
        <f>BDH("LBYYQ US Equity","EQY_SH_OUT","2015-03-03","2020-03-03","Per=M","Days=T","Dir=V")</f>
        <v>0</v>
      </c>
      <c r="AW2">
        <f>BDH("LBYYQ US Equity","PX_VOLUME","2015-03-03","2020-03-03","Per=M","Days=T","Dir=V")</f>
        <v>0</v>
      </c>
      <c r="AY2">
        <f>BDH("LBYYQ US Equity","TURNOVER","2015-03-03","2020-03-03","Per=M","Days=T","Dir=V")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BDH("PYXSQ US Equity","BS_TOT_ASSET","2015-03-17","2020-03-17","Per=Y","Days=T","Dir=V")</f>
        <v>0</v>
      </c>
      <c r="C2">
        <f>BDH("PYXSQ US Equity","BS_TOT_LIAB2","2015-03-17","2020-03-17","Per=Y","Days=T","Dir=V")</f>
        <v>0</v>
      </c>
      <c r="E2">
        <f>BDH("PYXSQ US Equity","SHORT_AND_LONG_TERM_DEBT","2015-03-17","2020-03-17","Per=Y","Days=T","Dir=V")</f>
        <v>0</v>
      </c>
      <c r="G2">
        <f>BDH("PYXSQ US Equity","BS_ST_BORROW","2015-03-17","2020-03-17","Per=Y","Days=T","Dir=V")</f>
        <v>0</v>
      </c>
      <c r="I2">
        <f>BDH("PYXSQ US Equity","BS_LT_BORROW","2015-03-17","2020-03-17","Per=Y","Days=T","Dir=V")</f>
        <v>0</v>
      </c>
      <c r="K2">
        <f>BDH("PYXSQ US Equity","BS_CASH_NEAR_CASH_ITEM","2015-03-17","2020-03-17","Per=Y","Days=T","Dir=V")</f>
        <v>0</v>
      </c>
      <c r="M2">
        <f>BDH("PYXSQ US Equity","BS_CUR_ASSET_REPORT","2015-03-17","2020-03-17","Per=Y","Days=T","Dir=V")</f>
        <v>0</v>
      </c>
      <c r="O2">
        <f>BDH("PYXSQ US Equity","BS_CUR_LIAB","2015-03-17","2020-03-17","Per=Y","Days=T","Dir=V")</f>
        <v>0</v>
      </c>
      <c r="Q2">
        <f>BDH("PYXSQ US Equity","BS_SHAREHOLDER_EQY_ENDING_PERIOD","2015-03-17","2020-03-17","Per=Y","Days=T","Dir=V")</f>
        <v>0</v>
      </c>
      <c r="S2">
        <f>BDH("PYXSQ US Equity","BS_ACCT_NOTE_RCV","2015-03-17","2020-03-17","Per=Y","Days=T","Dir=V")</f>
        <v>0</v>
      </c>
      <c r="U2">
        <f>BDH("PYXSQ US Equity","BS_INVENTORIES","2015-03-17","2020-03-17","Per=Y","Days=T","Dir=V")</f>
        <v>0</v>
      </c>
      <c r="W2">
        <f>BDH("PYXSQ US Equity","WORKING_CAPITAL","2015-03-17","2020-03-17","Per=Y","Days=T","Dir=V")</f>
        <v>0</v>
      </c>
      <c r="Y2">
        <f>BDH("PYXSQ US Equity","SALES_REV_TURN","2015-03-17","2020-03-17","Per=Y","Days=T","Dir=V")</f>
        <v>0</v>
      </c>
      <c r="AA2">
        <f>BDH("PYXSQ US Equity","EBIT","2015-03-17","2020-03-17","Per=Y","Days=T","Dir=V")</f>
        <v>0</v>
      </c>
      <c r="AC2">
        <f>BDH("PYXSQ US Equity","EBITDA","2015-03-17","2020-03-17","Per=Y","Days=T","Dir=V")</f>
        <v>0</v>
      </c>
      <c r="AE2">
        <f>BDH("PYXSQ US Equity","NET_INCOME","2015-03-17","2020-03-17","Per=Y","Days=T","Dir=V")</f>
        <v>0</v>
      </c>
      <c r="AG2">
        <f>BDH("PYXSQ US Equity","IS_INT_EXPENSE","2015-03-17","2020-03-17","Per=Y","Days=T","Dir=V")</f>
        <v>0</v>
      </c>
      <c r="AI2">
        <f>BDH("PYXSQ US Equity","IS_DEPR_EXP","2015-03-17","2020-03-17","Per=Y","Days=T","Dir=V")</f>
        <v>0</v>
      </c>
      <c r="AK2">
        <f>BDH("PYXSQ US Equity","CF_CASH_FROM_OPER","2015-03-17","2020-03-17","Per=Y","Days=T","Dir=V")</f>
        <v>0</v>
      </c>
      <c r="AM2">
        <f>BDH("PYXSQ US Equity","CAPITAL_EXPEND","2015-03-17","2020-03-17","Per=Y","Days=T","Dir=V")</f>
        <v>0</v>
      </c>
      <c r="AO2">
        <f>BDH("PYXSQ US Equity","CF_FREE_CASH_FLOW","2015-03-17","2020-03-17","Per=Y","Days=T","Dir=V")</f>
        <v>0</v>
      </c>
      <c r="AQ2">
        <f>BDH("PYXSQ US Equity","PX_LAST","2015-03-17","2020-03-17","Per=M","Days=T","Dir=V")</f>
        <v>0</v>
      </c>
      <c r="AS2">
        <f>BDH("PYXSQ US Equity","CUR_MKT_CAP","2015-03-17","2020-03-17","Per=M","Days=T","Dir=V")</f>
        <v>0</v>
      </c>
      <c r="AU2">
        <f>BDH("PYXSQ US Equity","EQY_SH_OUT","2015-03-17","2020-03-17","Per=M","Days=T","Dir=V")</f>
        <v>0</v>
      </c>
      <c r="AW2">
        <f>BDH("PYXSQ US Equity","PX_VOLUME","2015-03-17","2020-03-17","Per=M","Days=T","Dir=V")</f>
        <v>0</v>
      </c>
      <c r="AY2">
        <f>BDH("PYXSQ US Equity","TURNOVER","2015-03-17","2020-03-17","Per=M","Days=T","Dir=V")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BDH("AACH US Equity","BS_TOT_ASSET","2015-03-22","2020-03-22","Per=Y","Days=T","Dir=V")</f>
        <v>0</v>
      </c>
      <c r="C2">
        <f>BDH("AACH US Equity","BS_TOT_LIAB2","2015-03-22","2020-03-22","Per=Y","Days=T","Dir=V")</f>
        <v>0</v>
      </c>
      <c r="E2">
        <f>BDH("AACH US Equity","SHORT_AND_LONG_TERM_DEBT","2015-03-22","2020-03-22","Per=Y","Days=T","Dir=V")</f>
        <v>0</v>
      </c>
      <c r="G2">
        <f>BDH("AACH US Equity","BS_ST_BORROW","2015-03-22","2020-03-22","Per=Y","Days=T","Dir=V")</f>
        <v>0</v>
      </c>
      <c r="I2">
        <f>BDH("AACH US Equity","BS_LT_BORROW","2015-03-22","2020-03-22","Per=Y","Days=T","Dir=V")</f>
        <v>0</v>
      </c>
      <c r="K2">
        <f>BDH("AACH US Equity","BS_CASH_NEAR_CASH_ITEM","2015-03-22","2020-03-22","Per=Y","Days=T","Dir=V")</f>
        <v>0</v>
      </c>
      <c r="M2">
        <f>BDH("AACH US Equity","BS_CUR_ASSET_REPORT","2015-03-22","2020-03-22","Per=Y","Days=T","Dir=V")</f>
        <v>0</v>
      </c>
      <c r="O2">
        <f>BDH("AACH US Equity","BS_CUR_LIAB","2015-03-22","2020-03-22","Per=Y","Days=T","Dir=V")</f>
        <v>0</v>
      </c>
      <c r="Q2">
        <f>BDH("AACH US Equity","BS_SHAREHOLDER_EQY_ENDING_PERIOD","2015-03-22","2020-03-22","Per=Y","Days=T","Dir=V")</f>
        <v>0</v>
      </c>
      <c r="S2">
        <f>BDH("AACH US Equity","BS_ACCT_NOTE_RCV","2015-03-22","2020-03-22","Per=Y","Days=T","Dir=V")</f>
        <v>0</v>
      </c>
      <c r="U2">
        <f>BDH("AACH US Equity","BS_INVENTORIES","2015-03-22","2020-03-22","Per=Y","Days=T","Dir=V")</f>
        <v>0</v>
      </c>
      <c r="W2">
        <f>BDH("AACH US Equity","WORKING_CAPITAL","2015-03-22","2020-03-22","Per=Y","Days=T","Dir=V")</f>
        <v>0</v>
      </c>
      <c r="Y2">
        <f>BDH("AACH US Equity","SALES_REV_TURN","2015-03-22","2020-03-22","Per=Y","Days=T","Dir=V")</f>
        <v>0</v>
      </c>
      <c r="AA2">
        <f>BDH("AACH US Equity","EBIT","2015-03-22","2020-03-22","Per=Y","Days=T","Dir=V")</f>
        <v>0</v>
      </c>
      <c r="AC2">
        <f>BDH("AACH US Equity","EBITDA","2015-03-22","2020-03-22","Per=Y","Days=T","Dir=V")</f>
        <v>0</v>
      </c>
      <c r="AE2">
        <f>BDH("AACH US Equity","NET_INCOME","2015-03-22","2020-03-22","Per=Y","Days=T","Dir=V")</f>
        <v>0</v>
      </c>
      <c r="AG2">
        <f>BDH("AACH US Equity","IS_INT_EXPENSE","2015-03-22","2020-03-22","Per=Y","Days=T","Dir=V")</f>
        <v>0</v>
      </c>
      <c r="AI2">
        <f>BDH("AACH US Equity","IS_DEPR_EXP","2015-03-22","2020-03-22","Per=Y","Days=T","Dir=V")</f>
        <v>0</v>
      </c>
      <c r="AK2">
        <f>BDH("AACH US Equity","CF_CASH_FROM_OPER","2015-03-22","2020-03-22","Per=Y","Days=T","Dir=V")</f>
        <v>0</v>
      </c>
      <c r="AM2">
        <f>BDH("AACH US Equity","CAPITAL_EXPEND","2015-03-22","2020-03-22","Per=Y","Days=T","Dir=V")</f>
        <v>0</v>
      </c>
      <c r="AO2">
        <f>BDH("AACH US Equity","CF_FREE_CASH_FLOW","2015-03-22","2020-03-22","Per=Y","Days=T","Dir=V")</f>
        <v>0</v>
      </c>
      <c r="AQ2">
        <f>BDH("AACH US Equity","PX_LAST","2015-03-22","2020-03-22","Per=M","Days=T","Dir=V")</f>
        <v>0</v>
      </c>
      <c r="AS2">
        <f>BDH("AACH US Equity","CUR_MKT_CAP","2015-03-22","2020-03-22","Per=M","Days=T","Dir=V")</f>
        <v>0</v>
      </c>
      <c r="AU2">
        <f>BDH("AACH US Equity","EQY_SH_OUT","2015-03-22","2020-03-22","Per=M","Days=T","Dir=V")</f>
        <v>0</v>
      </c>
      <c r="AW2">
        <f>BDH("AACH US Equity","PX_VOLUME","2015-03-22","2020-03-22","Per=M","Days=T","Dir=V")</f>
        <v>0</v>
      </c>
      <c r="AY2">
        <f>BDH("AACH US Equity","TURNOVER","2015-03-22","2020-03-22","Per=M","Days=T","Dir=V")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BDH("GNCIQ US Equity","BS_TOT_ASSET","2015-03-25","2020-03-25","Per=Y","Days=T","Dir=V")</f>
        <v>0</v>
      </c>
      <c r="C2">
        <f>BDH("GNCIQ US Equity","BS_TOT_LIAB2","2015-03-25","2020-03-25","Per=Y","Days=T","Dir=V")</f>
        <v>0</v>
      </c>
      <c r="E2">
        <f>BDH("GNCIQ US Equity","SHORT_AND_LONG_TERM_DEBT","2015-03-25","2020-03-25","Per=Y","Days=T","Dir=V")</f>
        <v>0</v>
      </c>
      <c r="G2">
        <f>BDH("GNCIQ US Equity","BS_ST_BORROW","2015-03-25","2020-03-25","Per=Y","Days=T","Dir=V")</f>
        <v>0</v>
      </c>
      <c r="I2">
        <f>BDH("GNCIQ US Equity","BS_LT_BORROW","2015-03-25","2020-03-25","Per=Y","Days=T","Dir=V")</f>
        <v>0</v>
      </c>
      <c r="K2">
        <f>BDH("GNCIQ US Equity","BS_CASH_NEAR_CASH_ITEM","2015-03-25","2020-03-25","Per=Y","Days=T","Dir=V")</f>
        <v>0</v>
      </c>
      <c r="M2">
        <f>BDH("GNCIQ US Equity","BS_CUR_ASSET_REPORT","2015-03-25","2020-03-25","Per=Y","Days=T","Dir=V")</f>
        <v>0</v>
      </c>
      <c r="O2">
        <f>BDH("GNCIQ US Equity","BS_CUR_LIAB","2015-03-25","2020-03-25","Per=Y","Days=T","Dir=V")</f>
        <v>0</v>
      </c>
      <c r="Q2">
        <f>BDH("GNCIQ US Equity","BS_SHAREHOLDER_EQY_ENDING_PERIOD","2015-03-25","2020-03-25","Per=Y","Days=T","Dir=V")</f>
        <v>0</v>
      </c>
      <c r="S2">
        <f>BDH("GNCIQ US Equity","BS_ACCT_NOTE_RCV","2015-03-25","2020-03-25","Per=Y","Days=T","Dir=V")</f>
        <v>0</v>
      </c>
      <c r="U2">
        <f>BDH("GNCIQ US Equity","BS_INVENTORIES","2015-03-25","2020-03-25","Per=Y","Days=T","Dir=V")</f>
        <v>0</v>
      </c>
      <c r="W2">
        <f>BDH("GNCIQ US Equity","WORKING_CAPITAL","2015-03-25","2020-03-25","Per=Y","Days=T","Dir=V")</f>
        <v>0</v>
      </c>
      <c r="Y2">
        <f>BDH("GNCIQ US Equity","SALES_REV_TURN","2015-03-25","2020-03-25","Per=Y","Days=T","Dir=V")</f>
        <v>0</v>
      </c>
      <c r="AA2">
        <f>BDH("GNCIQ US Equity","EBIT","2015-03-25","2020-03-25","Per=Y","Days=T","Dir=V")</f>
        <v>0</v>
      </c>
      <c r="AC2">
        <f>BDH("GNCIQ US Equity","EBITDA","2015-03-25","2020-03-25","Per=Y","Days=T","Dir=V")</f>
        <v>0</v>
      </c>
      <c r="AE2">
        <f>BDH("GNCIQ US Equity","NET_INCOME","2015-03-25","2020-03-25","Per=Y","Days=T","Dir=V")</f>
        <v>0</v>
      </c>
      <c r="AG2">
        <f>BDH("GNCIQ US Equity","IS_INT_EXPENSE","2015-03-25","2020-03-25","Per=Y","Days=T","Dir=V")</f>
        <v>0</v>
      </c>
      <c r="AI2">
        <f>BDH("GNCIQ US Equity","IS_DEPR_EXP","2015-03-25","2020-03-25","Per=Y","Days=T","Dir=V")</f>
        <v>0</v>
      </c>
      <c r="AK2">
        <f>BDH("GNCIQ US Equity","CF_CASH_FROM_OPER","2015-03-25","2020-03-25","Per=Y","Days=T","Dir=V")</f>
        <v>0</v>
      </c>
      <c r="AM2">
        <f>BDH("GNCIQ US Equity","CAPITAL_EXPEND","2015-03-25","2020-03-25","Per=Y","Days=T","Dir=V")</f>
        <v>0</v>
      </c>
      <c r="AO2">
        <f>BDH("GNCIQ US Equity","CF_FREE_CASH_FLOW","2015-03-25","2020-03-25","Per=Y","Days=T","Dir=V")</f>
        <v>0</v>
      </c>
      <c r="AQ2">
        <f>BDH("GNCIQ US Equity","PX_LAST","2015-03-25","2020-03-25","Per=M","Days=T","Dir=V")</f>
        <v>0</v>
      </c>
      <c r="AS2">
        <f>BDH("GNCIQ US Equity","CUR_MKT_CAP","2015-03-25","2020-03-25","Per=M","Days=T","Dir=V")</f>
        <v>0</v>
      </c>
      <c r="AU2">
        <f>BDH("GNCIQ US Equity","EQY_SH_OUT","2015-03-25","2020-03-25","Per=M","Days=T","Dir=V")</f>
        <v>0</v>
      </c>
      <c r="AW2">
        <f>BDH("GNCIQ US Equity","PX_VOLUME","2015-03-25","2020-03-25","Per=M","Days=T","Dir=V")</f>
        <v>0</v>
      </c>
      <c r="AY2">
        <f>BDH("GNCIQ US Equity","TURNOVER","2015-03-25","2020-03-25","Per=M","Days=T","Dir=V")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BDH("JASNQ US Equity","BS_TOT_ASSET","2015-03-26","2020-03-26","Per=Y","Days=T","Dir=V")</f>
        <v>0</v>
      </c>
      <c r="C2">
        <f>BDH("JASNQ US Equity","BS_TOT_LIAB2","2015-03-26","2020-03-26","Per=Y","Days=T","Dir=V")</f>
        <v>0</v>
      </c>
      <c r="E2">
        <f>BDH("JASNQ US Equity","SHORT_AND_LONG_TERM_DEBT","2015-03-26","2020-03-26","Per=Y","Days=T","Dir=V")</f>
        <v>0</v>
      </c>
      <c r="G2">
        <f>BDH("JASNQ US Equity","BS_ST_BORROW","2015-03-26","2020-03-26","Per=Y","Days=T","Dir=V")</f>
        <v>0</v>
      </c>
      <c r="I2">
        <f>BDH("JASNQ US Equity","BS_LT_BORROW","2015-03-26","2020-03-26","Per=Y","Days=T","Dir=V")</f>
        <v>0</v>
      </c>
      <c r="K2">
        <f>BDH("JASNQ US Equity","BS_CASH_NEAR_CASH_ITEM","2015-03-26","2020-03-26","Per=Y","Days=T","Dir=V")</f>
        <v>0</v>
      </c>
      <c r="M2">
        <f>BDH("JASNQ US Equity","BS_CUR_ASSET_REPORT","2015-03-26","2020-03-26","Per=Y","Days=T","Dir=V")</f>
        <v>0</v>
      </c>
      <c r="O2">
        <f>BDH("JASNQ US Equity","BS_CUR_LIAB","2015-03-26","2020-03-26","Per=Y","Days=T","Dir=V")</f>
        <v>0</v>
      </c>
      <c r="Q2">
        <f>BDH("JASNQ US Equity","BS_SHAREHOLDER_EQY_ENDING_PERIOD","2015-03-26","2020-03-26","Per=Y","Days=T","Dir=V")</f>
        <v>0</v>
      </c>
      <c r="S2">
        <f>BDH("JASNQ US Equity","BS_ACCT_NOTE_RCV","2015-03-26","2020-03-26","Per=Y","Days=T","Dir=V")</f>
        <v>0</v>
      </c>
      <c r="U2">
        <f>BDH("JASNQ US Equity","BS_INVENTORIES","2015-03-26","2020-03-26","Per=Y","Days=T","Dir=V")</f>
        <v>0</v>
      </c>
      <c r="W2">
        <f>BDH("JASNQ US Equity","WORKING_CAPITAL","2015-03-26","2020-03-26","Per=Y","Days=T","Dir=V")</f>
        <v>0</v>
      </c>
      <c r="Y2">
        <f>BDH("JASNQ US Equity","SALES_REV_TURN","2015-03-26","2020-03-26","Per=Y","Days=T","Dir=V")</f>
        <v>0</v>
      </c>
      <c r="AA2">
        <f>BDH("JASNQ US Equity","EBIT","2015-03-26","2020-03-26","Per=Y","Days=T","Dir=V")</f>
        <v>0</v>
      </c>
      <c r="AC2">
        <f>BDH("JASNQ US Equity","EBITDA","2015-03-26","2020-03-26","Per=Y","Days=T","Dir=V")</f>
        <v>0</v>
      </c>
      <c r="AE2">
        <f>BDH("JASNQ US Equity","NET_INCOME","2015-03-26","2020-03-26","Per=Y","Days=T","Dir=V")</f>
        <v>0</v>
      </c>
      <c r="AG2">
        <f>BDH("JASNQ US Equity","IS_INT_EXPENSE","2015-03-26","2020-03-26","Per=Y","Days=T","Dir=V")</f>
        <v>0</v>
      </c>
      <c r="AI2">
        <f>BDH("JASNQ US Equity","IS_DEPR_EXP","2015-03-26","2020-03-26","Per=Y","Days=T","Dir=V")</f>
        <v>0</v>
      </c>
      <c r="AK2">
        <f>BDH("JASNQ US Equity","CF_CASH_FROM_OPER","2015-03-26","2020-03-26","Per=Y","Days=T","Dir=V")</f>
        <v>0</v>
      </c>
      <c r="AM2">
        <f>BDH("JASNQ US Equity","CAPITAL_EXPEND","2015-03-26","2020-03-26","Per=Y","Days=T","Dir=V")</f>
        <v>0</v>
      </c>
      <c r="AO2">
        <f>BDH("JASNQ US Equity","CF_FREE_CASH_FLOW","2015-03-26","2020-03-26","Per=Y","Days=T","Dir=V")</f>
        <v>0</v>
      </c>
      <c r="AQ2">
        <f>BDH("JASNQ US Equity","PX_LAST","2015-03-26","2020-03-26","Per=M","Days=T","Dir=V")</f>
        <v>0</v>
      </c>
      <c r="AS2">
        <f>BDH("JASNQ US Equity","CUR_MKT_CAP","2015-03-26","2020-03-26","Per=M","Days=T","Dir=V")</f>
        <v>0</v>
      </c>
      <c r="AU2">
        <f>BDH("JASNQ US Equity","EQY_SH_OUT","2015-03-26","2020-03-26","Per=M","Days=T","Dir=V")</f>
        <v>0</v>
      </c>
      <c r="AW2">
        <f>BDH("JASNQ US Equity","PX_VOLUME","2015-03-26","2020-03-26","Per=M","Days=T","Dir=V")</f>
        <v>0</v>
      </c>
      <c r="AY2">
        <f>BDH("JASNQ US Equity","TURNOVER","2015-03-26","2020-03-26","Per=M","Days=T","Dir=V")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BDH("CVIAQ US Equity","BS_TOT_ASSET","2015-03-31","2020-03-31","Per=Y","Days=T","Dir=V")</f>
        <v>0</v>
      </c>
      <c r="C2">
        <f>BDH("CVIAQ US Equity","BS_TOT_LIAB2","2015-03-31","2020-03-31","Per=Y","Days=T","Dir=V")</f>
        <v>0</v>
      </c>
      <c r="E2">
        <f>BDH("CVIAQ US Equity","SHORT_AND_LONG_TERM_DEBT","2015-03-31","2020-03-31","Per=Y","Days=T","Dir=V")</f>
        <v>0</v>
      </c>
      <c r="G2">
        <f>BDH("CVIAQ US Equity","BS_ST_BORROW","2015-03-31","2020-03-31","Per=Y","Days=T","Dir=V")</f>
        <v>0</v>
      </c>
      <c r="I2">
        <f>BDH("CVIAQ US Equity","BS_LT_BORROW","2015-03-31","2020-03-31","Per=Y","Days=T","Dir=V")</f>
        <v>0</v>
      </c>
      <c r="K2">
        <f>BDH("CVIAQ US Equity","BS_CASH_NEAR_CASH_ITEM","2015-03-31","2020-03-31","Per=Y","Days=T","Dir=V")</f>
        <v>0</v>
      </c>
      <c r="M2">
        <f>BDH("CVIAQ US Equity","BS_CUR_ASSET_REPORT","2015-03-31","2020-03-31","Per=Y","Days=T","Dir=V")</f>
        <v>0</v>
      </c>
      <c r="O2">
        <f>BDH("CVIAQ US Equity","BS_CUR_LIAB","2015-03-31","2020-03-31","Per=Y","Days=T","Dir=V")</f>
        <v>0</v>
      </c>
      <c r="Q2">
        <f>BDH("CVIAQ US Equity","BS_SHAREHOLDER_EQY_ENDING_PERIOD","2015-03-31","2020-03-31","Per=Y","Days=T","Dir=V")</f>
        <v>0</v>
      </c>
      <c r="S2">
        <f>BDH("CVIAQ US Equity","BS_ACCT_NOTE_RCV","2015-03-31","2020-03-31","Per=Y","Days=T","Dir=V")</f>
        <v>0</v>
      </c>
      <c r="U2">
        <f>BDH("CVIAQ US Equity","BS_INVENTORIES","2015-03-31","2020-03-31","Per=Y","Days=T","Dir=V")</f>
        <v>0</v>
      </c>
      <c r="W2">
        <f>BDH("CVIAQ US Equity","WORKING_CAPITAL","2015-03-31","2020-03-31","Per=Y","Days=T","Dir=V")</f>
        <v>0</v>
      </c>
      <c r="Y2">
        <f>BDH("CVIAQ US Equity","SALES_REV_TURN","2015-03-31","2020-03-31","Per=Y","Days=T","Dir=V")</f>
        <v>0</v>
      </c>
      <c r="AA2">
        <f>BDH("CVIAQ US Equity","EBIT","2015-03-31","2020-03-31","Per=Y","Days=T","Dir=V")</f>
        <v>0</v>
      </c>
      <c r="AC2">
        <f>BDH("CVIAQ US Equity","EBITDA","2015-03-31","2020-03-31","Per=Y","Days=T","Dir=V")</f>
        <v>0</v>
      </c>
      <c r="AE2">
        <f>BDH("CVIAQ US Equity","NET_INCOME","2015-03-31","2020-03-31","Per=Y","Days=T","Dir=V")</f>
        <v>0</v>
      </c>
      <c r="AG2">
        <f>BDH("CVIAQ US Equity","IS_INT_EXPENSE","2015-03-31","2020-03-31","Per=Y","Days=T","Dir=V")</f>
        <v>0</v>
      </c>
      <c r="AI2">
        <f>BDH("CVIAQ US Equity","IS_DEPR_EXP","2015-03-31","2020-03-31","Per=Y","Days=T","Dir=V")</f>
        <v>0</v>
      </c>
      <c r="AK2">
        <f>BDH("CVIAQ US Equity","CF_CASH_FROM_OPER","2015-03-31","2020-03-31","Per=Y","Days=T","Dir=V")</f>
        <v>0</v>
      </c>
      <c r="AM2">
        <f>BDH("CVIAQ US Equity","CAPITAL_EXPEND","2015-03-31","2020-03-31","Per=Y","Days=T","Dir=V")</f>
        <v>0</v>
      </c>
      <c r="AO2">
        <f>BDH("CVIAQ US Equity","CF_FREE_CASH_FLOW","2015-03-31","2020-03-31","Per=Y","Days=T","Dir=V")</f>
        <v>0</v>
      </c>
      <c r="AQ2">
        <f>BDH("CVIAQ US Equity","PX_LAST","2015-03-31","2020-03-31","Per=M","Days=T","Dir=V")</f>
        <v>0</v>
      </c>
      <c r="AS2">
        <f>BDH("CVIAQ US Equity","CUR_MKT_CAP","2015-03-31","2020-03-31","Per=M","Days=T","Dir=V")</f>
        <v>0</v>
      </c>
      <c r="AU2">
        <f>BDH("CVIAQ US Equity","EQY_SH_OUT","2015-03-31","2020-03-31","Per=M","Days=T","Dir=V")</f>
        <v>0</v>
      </c>
      <c r="AW2">
        <f>BDH("CVIAQ US Equity","PX_VOLUME","2015-03-31","2020-03-31","Per=M","Days=T","Dir=V")</f>
        <v>0</v>
      </c>
      <c r="AY2">
        <f>BDH("CVIAQ US Equity","TURNOVER","2015-03-31","2020-03-31","Per=M","Days=T","Dir=V")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BDH("HCRSQ US Equity","BS_TOT_ASSET","2015-04-13","2020-04-13","Per=Y","Days=T","Dir=V")</f>
        <v>0</v>
      </c>
      <c r="C2">
        <f>BDH("HCRSQ US Equity","BS_TOT_LIAB2","2015-04-13","2020-04-13","Per=Y","Days=T","Dir=V")</f>
        <v>0</v>
      </c>
      <c r="E2">
        <f>BDH("HCRSQ US Equity","SHORT_AND_LONG_TERM_DEBT","2015-04-13","2020-04-13","Per=Y","Days=T","Dir=V")</f>
        <v>0</v>
      </c>
      <c r="G2">
        <f>BDH("HCRSQ US Equity","BS_ST_BORROW","2015-04-13","2020-04-13","Per=Y","Days=T","Dir=V")</f>
        <v>0</v>
      </c>
      <c r="I2">
        <f>BDH("HCRSQ US Equity","BS_LT_BORROW","2015-04-13","2020-04-13","Per=Y","Days=T","Dir=V")</f>
        <v>0</v>
      </c>
      <c r="K2">
        <f>BDH("HCRSQ US Equity","BS_CASH_NEAR_CASH_ITEM","2015-04-13","2020-04-13","Per=Y","Days=T","Dir=V")</f>
        <v>0</v>
      </c>
      <c r="M2">
        <f>BDH("HCRSQ US Equity","BS_CUR_ASSET_REPORT","2015-04-13","2020-04-13","Per=Y","Days=T","Dir=V")</f>
        <v>0</v>
      </c>
      <c r="O2">
        <f>BDH("HCRSQ US Equity","BS_CUR_LIAB","2015-04-13","2020-04-13","Per=Y","Days=T","Dir=V")</f>
        <v>0</v>
      </c>
      <c r="Q2">
        <f>BDH("HCRSQ US Equity","BS_SHAREHOLDER_EQY_ENDING_PERIOD","2015-04-13","2020-04-13","Per=Y","Days=T","Dir=V")</f>
        <v>0</v>
      </c>
      <c r="S2">
        <f>BDH("HCRSQ US Equity","BS_ACCT_NOTE_RCV","2015-04-13","2020-04-13","Per=Y","Days=T","Dir=V")</f>
        <v>0</v>
      </c>
      <c r="U2">
        <f>BDH("HCRSQ US Equity","BS_INVENTORIES","2015-04-13","2020-04-13","Per=Y","Days=T","Dir=V")</f>
        <v>0</v>
      </c>
      <c r="W2">
        <f>BDH("HCRSQ US Equity","WORKING_CAPITAL","2015-04-13","2020-04-13","Per=Y","Days=T","Dir=V")</f>
        <v>0</v>
      </c>
      <c r="Y2">
        <f>BDH("HCRSQ US Equity","SALES_REV_TURN","2015-04-13","2020-04-13","Per=Y","Days=T","Dir=V")</f>
        <v>0</v>
      </c>
      <c r="AA2">
        <f>BDH("HCRSQ US Equity","EBIT","2015-04-13","2020-04-13","Per=Y","Days=T","Dir=V")</f>
        <v>0</v>
      </c>
      <c r="AC2">
        <f>BDH("HCRSQ US Equity","EBITDA","2015-04-13","2020-04-13","Per=Y","Days=T","Dir=V")</f>
        <v>0</v>
      </c>
      <c r="AE2">
        <f>BDH("HCRSQ US Equity","NET_INCOME","2015-04-13","2020-04-13","Per=Y","Days=T","Dir=V")</f>
        <v>0</v>
      </c>
      <c r="AG2">
        <f>BDH("HCRSQ US Equity","IS_INT_EXPENSE","2015-04-13","2020-04-13","Per=Y","Days=T","Dir=V")</f>
        <v>0</v>
      </c>
      <c r="AI2">
        <f>BDH("HCRSQ US Equity","IS_DEPR_EXP","2015-04-13","2020-04-13","Per=Y","Days=T","Dir=V")</f>
        <v>0</v>
      </c>
      <c r="AK2">
        <f>BDH("HCRSQ US Equity","CF_CASH_FROM_OPER","2015-04-13","2020-04-13","Per=Y","Days=T","Dir=V")</f>
        <v>0</v>
      </c>
      <c r="AM2">
        <f>BDH("HCRSQ US Equity","CAPITAL_EXPEND","2015-04-13","2020-04-13","Per=Y","Days=T","Dir=V")</f>
        <v>0</v>
      </c>
      <c r="AO2">
        <f>BDH("HCRSQ US Equity","CF_FREE_CASH_FLOW","2015-04-13","2020-04-13","Per=Y","Days=T","Dir=V")</f>
        <v>0</v>
      </c>
      <c r="AQ2">
        <f>BDH("HCRSQ US Equity","PX_LAST","2015-04-13","2020-04-13","Per=M","Days=T","Dir=V")</f>
        <v>0</v>
      </c>
      <c r="AS2">
        <f>BDH("HCRSQ US Equity","CUR_MKT_CAP","2015-04-13","2020-04-13","Per=M","Days=T","Dir=V")</f>
        <v>0</v>
      </c>
      <c r="AU2">
        <f>BDH("HCRSQ US Equity","EQY_SH_OUT","2015-04-13","2020-04-13","Per=M","Days=T","Dir=V")</f>
        <v>0</v>
      </c>
      <c r="AW2">
        <f>BDH("HCRSQ US Equity","PX_VOLUME","2015-04-13","2020-04-13","Per=M","Days=T","Dir=V")</f>
        <v>0</v>
      </c>
      <c r="AY2">
        <f>BDH("HCRSQ US Equity","TURNOVER","2015-04-13","2020-04-13","Per=M","Days=T","Dir=V")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BDH("CRC US Equity","BS_TOT_ASSET","2015-04-16","2020-04-16","Per=Y","Days=T","Dir=V")</f>
        <v>0</v>
      </c>
      <c r="C2">
        <f>BDH("CRC US Equity","BS_TOT_LIAB2","2015-04-16","2020-04-16","Per=Y","Days=T","Dir=V")</f>
        <v>0</v>
      </c>
      <c r="E2">
        <f>BDH("CRC US Equity","SHORT_AND_LONG_TERM_DEBT","2015-04-16","2020-04-16","Per=Y","Days=T","Dir=V")</f>
        <v>0</v>
      </c>
      <c r="G2">
        <f>BDH("CRC US Equity","BS_ST_BORROW","2015-04-16","2020-04-16","Per=Y","Days=T","Dir=V")</f>
        <v>0</v>
      </c>
      <c r="I2">
        <f>BDH("CRC US Equity","BS_LT_BORROW","2015-04-16","2020-04-16","Per=Y","Days=T","Dir=V")</f>
        <v>0</v>
      </c>
      <c r="K2">
        <f>BDH("CRC US Equity","BS_CASH_NEAR_CASH_ITEM","2015-04-16","2020-04-16","Per=Y","Days=T","Dir=V")</f>
        <v>0</v>
      </c>
      <c r="M2">
        <f>BDH("CRC US Equity","BS_CUR_ASSET_REPORT","2015-04-16","2020-04-16","Per=Y","Days=T","Dir=V")</f>
        <v>0</v>
      </c>
      <c r="O2">
        <f>BDH("CRC US Equity","BS_CUR_LIAB","2015-04-16","2020-04-16","Per=Y","Days=T","Dir=V")</f>
        <v>0</v>
      </c>
      <c r="Q2">
        <f>BDH("CRC US Equity","BS_SHAREHOLDER_EQY_ENDING_PERIOD","2015-04-16","2020-04-16","Per=Y","Days=T","Dir=V")</f>
        <v>0</v>
      </c>
      <c r="S2">
        <f>BDH("CRC US Equity","BS_ACCT_NOTE_RCV","2015-04-16","2020-04-16","Per=Y","Days=T","Dir=V")</f>
        <v>0</v>
      </c>
      <c r="U2">
        <f>BDH("CRC US Equity","BS_INVENTORIES","2015-04-16","2020-04-16","Per=Y","Days=T","Dir=V")</f>
        <v>0</v>
      </c>
      <c r="W2">
        <f>BDH("CRC US Equity","WORKING_CAPITAL","2015-04-16","2020-04-16","Per=Y","Days=T","Dir=V")</f>
        <v>0</v>
      </c>
      <c r="Y2">
        <f>BDH("CRC US Equity","SALES_REV_TURN","2015-04-16","2020-04-16","Per=Y","Days=T","Dir=V")</f>
        <v>0</v>
      </c>
      <c r="AA2">
        <f>BDH("CRC US Equity","EBIT","2015-04-16","2020-04-16","Per=Y","Days=T","Dir=V")</f>
        <v>0</v>
      </c>
      <c r="AC2">
        <f>BDH("CRC US Equity","EBITDA","2015-04-16","2020-04-16","Per=Y","Days=T","Dir=V")</f>
        <v>0</v>
      </c>
      <c r="AE2">
        <f>BDH("CRC US Equity","NET_INCOME","2015-04-16","2020-04-16","Per=Y","Days=T","Dir=V")</f>
        <v>0</v>
      </c>
      <c r="AG2">
        <f>BDH("CRC US Equity","IS_INT_EXPENSE","2015-04-16","2020-04-16","Per=Y","Days=T","Dir=V")</f>
        <v>0</v>
      </c>
      <c r="AI2">
        <f>BDH("CRC US Equity","IS_DEPR_EXP","2015-04-16","2020-04-16","Per=Y","Days=T","Dir=V")</f>
        <v>0</v>
      </c>
      <c r="AK2">
        <f>BDH("CRC US Equity","CF_CASH_FROM_OPER","2015-04-16","2020-04-16","Per=Y","Days=T","Dir=V")</f>
        <v>0</v>
      </c>
      <c r="AM2">
        <f>BDH("CRC US Equity","CAPITAL_EXPEND","2015-04-16","2020-04-16","Per=Y","Days=T","Dir=V")</f>
        <v>0</v>
      </c>
      <c r="AO2">
        <f>BDH("CRC US Equity","CF_FREE_CASH_FLOW","2015-04-16","2020-04-16","Per=Y","Days=T","Dir=V")</f>
        <v>0</v>
      </c>
      <c r="AQ2">
        <f>BDH("CRC US Equity","PX_LAST","2015-04-16","2020-04-16","Per=M","Days=T","Dir=V")</f>
        <v>0</v>
      </c>
      <c r="AS2">
        <f>BDH("CRC US Equity","CUR_MKT_CAP","2015-04-16","2020-04-16","Per=M","Days=T","Dir=V")</f>
        <v>0</v>
      </c>
      <c r="AU2">
        <f>BDH("CRC US Equity","EQY_SH_OUT","2015-04-16","2020-04-16","Per=M","Days=T","Dir=V")</f>
        <v>0</v>
      </c>
      <c r="AW2">
        <f>BDH("CRC US Equity","PX_VOLUME","2015-04-16","2020-04-16","Per=M","Days=T","Dir=V")</f>
        <v>0</v>
      </c>
      <c r="AY2">
        <f>BDH("CRC US Equity","TURNOVER","2015-04-16","2020-04-16","Per=M","Days=T","Dir=V")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BDH("ROSUQ US Equity","BS_TOT_ASSET","2015-04-27","2020-04-27","Per=Y","Days=T","Dir=V")</f>
        <v>0</v>
      </c>
      <c r="C2">
        <f>BDH("ROSUQ US Equity","BS_TOT_LIAB2","2015-04-27","2020-04-27","Per=Y","Days=T","Dir=V")</f>
        <v>0</v>
      </c>
      <c r="E2">
        <f>BDH("ROSUQ US Equity","SHORT_AND_LONG_TERM_DEBT","2015-04-27","2020-04-27","Per=Y","Days=T","Dir=V")</f>
        <v>0</v>
      </c>
      <c r="G2">
        <f>BDH("ROSUQ US Equity","BS_ST_BORROW","2015-04-27","2020-04-27","Per=Y","Days=T","Dir=V")</f>
        <v>0</v>
      </c>
      <c r="I2">
        <f>BDH("ROSUQ US Equity","BS_LT_BORROW","2015-04-27","2020-04-27","Per=Y","Days=T","Dir=V")</f>
        <v>0</v>
      </c>
      <c r="K2">
        <f>BDH("ROSUQ US Equity","BS_CASH_NEAR_CASH_ITEM","2015-04-27","2020-04-27","Per=Y","Days=T","Dir=V")</f>
        <v>0</v>
      </c>
      <c r="M2">
        <f>BDH("ROSUQ US Equity","BS_CUR_ASSET_REPORT","2015-04-27","2020-04-27","Per=Y","Days=T","Dir=V")</f>
        <v>0</v>
      </c>
      <c r="O2">
        <f>BDH("ROSUQ US Equity","BS_CUR_LIAB","2015-04-27","2020-04-27","Per=Y","Days=T","Dir=V")</f>
        <v>0</v>
      </c>
      <c r="Q2">
        <f>BDH("ROSUQ US Equity","BS_SHAREHOLDER_EQY_ENDING_PERIOD","2015-04-27","2020-04-27","Per=Y","Days=T","Dir=V")</f>
        <v>0</v>
      </c>
      <c r="S2">
        <f>BDH("ROSUQ US Equity","BS_ACCT_NOTE_RCV","2015-04-27","2020-04-27","Per=Y","Days=T","Dir=V")</f>
        <v>0</v>
      </c>
      <c r="U2">
        <f>BDH("ROSUQ US Equity","BS_INVENTORIES","2015-04-27","2020-04-27","Per=Y","Days=T","Dir=V")</f>
        <v>0</v>
      </c>
      <c r="W2">
        <f>BDH("ROSUQ US Equity","WORKING_CAPITAL","2015-04-27","2020-04-27","Per=Y","Days=T","Dir=V")</f>
        <v>0</v>
      </c>
      <c r="Y2">
        <f>BDH("ROSUQ US Equity","SALES_REV_TURN","2015-04-27","2020-04-27","Per=Y","Days=T","Dir=V")</f>
        <v>0</v>
      </c>
      <c r="AA2">
        <f>BDH("ROSUQ US Equity","EBIT","2015-04-27","2020-04-27","Per=Y","Days=T","Dir=V")</f>
        <v>0</v>
      </c>
      <c r="AC2">
        <f>BDH("ROSUQ US Equity","EBITDA","2015-04-27","2020-04-27","Per=Y","Days=T","Dir=V")</f>
        <v>0</v>
      </c>
      <c r="AE2">
        <f>BDH("ROSUQ US Equity","NET_INCOME","2015-04-27","2020-04-27","Per=Y","Days=T","Dir=V")</f>
        <v>0</v>
      </c>
      <c r="AG2">
        <f>BDH("ROSUQ US Equity","IS_INT_EXPENSE","2015-04-27","2020-04-27","Per=Y","Days=T","Dir=V")</f>
        <v>0</v>
      </c>
      <c r="AI2">
        <f>BDH("ROSUQ US Equity","IS_DEPR_EXP","2015-04-27","2020-04-27","Per=Y","Days=T","Dir=V")</f>
        <v>0</v>
      </c>
      <c r="AK2">
        <f>BDH("ROSUQ US Equity","CF_CASH_FROM_OPER","2015-04-27","2020-04-27","Per=Y","Days=T","Dir=V")</f>
        <v>0</v>
      </c>
      <c r="AM2">
        <f>BDH("ROSUQ US Equity","CAPITAL_EXPEND","2015-04-27","2020-04-27","Per=Y","Days=T","Dir=V")</f>
        <v>0</v>
      </c>
      <c r="AO2">
        <f>BDH("ROSUQ US Equity","CF_FREE_CASH_FLOW","2015-04-27","2020-04-27","Per=Y","Days=T","Dir=V")</f>
        <v>0</v>
      </c>
      <c r="AQ2">
        <f>BDH("ROSUQ US Equity","PX_LAST","2015-04-27","2020-04-27","Per=M","Days=T","Dir=V")</f>
        <v>0</v>
      </c>
      <c r="AS2">
        <f>BDH("ROSUQ US Equity","CUR_MKT_CAP","2015-04-27","2020-04-27","Per=M","Days=T","Dir=V")</f>
        <v>0</v>
      </c>
      <c r="AU2">
        <f>BDH("ROSUQ US Equity","EQY_SH_OUT","2015-04-27","2020-04-27","Per=M","Days=T","Dir=V")</f>
        <v>0</v>
      </c>
      <c r="AW2">
        <f>BDH("ROSUQ US Equity","PX_VOLUME","2015-04-27","2020-04-27","Per=M","Days=T","Dir=V")</f>
        <v>0</v>
      </c>
      <c r="AY2">
        <f>BDH("ROSUQ US Equity","TURNOVER","2015-04-27","2020-04-27","Per=M","Days=T","Dir=V")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BDH("TLRDQ US Equity","BS_TOT_ASSET","2015-05-04","2020-05-04","Per=Y","Days=T","Dir=V")</f>
        <v>0</v>
      </c>
      <c r="C2">
        <f>BDH("TLRDQ US Equity","BS_TOT_LIAB2","2015-05-04","2020-05-04","Per=Y","Days=T","Dir=V")</f>
        <v>0</v>
      </c>
      <c r="E2">
        <f>BDH("TLRDQ US Equity","SHORT_AND_LONG_TERM_DEBT","2015-05-04","2020-05-04","Per=Y","Days=T","Dir=V")</f>
        <v>0</v>
      </c>
      <c r="G2">
        <f>BDH("TLRDQ US Equity","BS_ST_BORROW","2015-05-04","2020-05-04","Per=Y","Days=T","Dir=V")</f>
        <v>0</v>
      </c>
      <c r="I2">
        <f>BDH("TLRDQ US Equity","BS_LT_BORROW","2015-05-04","2020-05-04","Per=Y","Days=T","Dir=V")</f>
        <v>0</v>
      </c>
      <c r="K2">
        <f>BDH("TLRDQ US Equity","BS_CASH_NEAR_CASH_ITEM","2015-05-04","2020-05-04","Per=Y","Days=T","Dir=V")</f>
        <v>0</v>
      </c>
      <c r="M2">
        <f>BDH("TLRDQ US Equity","BS_CUR_ASSET_REPORT","2015-05-04","2020-05-04","Per=Y","Days=T","Dir=V")</f>
        <v>0</v>
      </c>
      <c r="O2">
        <f>BDH("TLRDQ US Equity","BS_CUR_LIAB","2015-05-04","2020-05-04","Per=Y","Days=T","Dir=V")</f>
        <v>0</v>
      </c>
      <c r="Q2">
        <f>BDH("TLRDQ US Equity","BS_SHAREHOLDER_EQY_ENDING_PERIOD","2015-05-04","2020-05-04","Per=Y","Days=T","Dir=V")</f>
        <v>0</v>
      </c>
      <c r="S2">
        <f>BDH("TLRDQ US Equity","BS_ACCT_NOTE_RCV","2015-05-04","2020-05-04","Per=Y","Days=T","Dir=V")</f>
        <v>0</v>
      </c>
      <c r="U2">
        <f>BDH("TLRDQ US Equity","BS_INVENTORIES","2015-05-04","2020-05-04","Per=Y","Days=T","Dir=V")</f>
        <v>0</v>
      </c>
      <c r="W2">
        <f>BDH("TLRDQ US Equity","WORKING_CAPITAL","2015-05-04","2020-05-04","Per=Y","Days=T","Dir=V")</f>
        <v>0</v>
      </c>
      <c r="Y2">
        <f>BDH("TLRDQ US Equity","SALES_REV_TURN","2015-05-04","2020-05-04","Per=Y","Days=T","Dir=V")</f>
        <v>0</v>
      </c>
      <c r="AA2">
        <f>BDH("TLRDQ US Equity","EBIT","2015-05-04","2020-05-04","Per=Y","Days=T","Dir=V")</f>
        <v>0</v>
      </c>
      <c r="AC2">
        <f>BDH("TLRDQ US Equity","EBITDA","2015-05-04","2020-05-04","Per=Y","Days=T","Dir=V")</f>
        <v>0</v>
      </c>
      <c r="AE2">
        <f>BDH("TLRDQ US Equity","NET_INCOME","2015-05-04","2020-05-04","Per=Y","Days=T","Dir=V")</f>
        <v>0</v>
      </c>
      <c r="AG2">
        <f>BDH("TLRDQ US Equity","IS_INT_EXPENSE","2015-05-04","2020-05-04","Per=Y","Days=T","Dir=V")</f>
        <v>0</v>
      </c>
      <c r="AI2">
        <f>BDH("TLRDQ US Equity","IS_DEPR_EXP","2015-05-04","2020-05-04","Per=Y","Days=T","Dir=V")</f>
        <v>0</v>
      </c>
      <c r="AK2">
        <f>BDH("TLRDQ US Equity","CF_CASH_FROM_OPER","2015-05-04","2020-05-04","Per=Y","Days=T","Dir=V")</f>
        <v>0</v>
      </c>
      <c r="AM2">
        <f>BDH("TLRDQ US Equity","CAPITAL_EXPEND","2015-05-04","2020-05-04","Per=Y","Days=T","Dir=V")</f>
        <v>0</v>
      </c>
      <c r="AO2">
        <f>BDH("TLRDQ US Equity","CF_FREE_CASH_FLOW","2015-05-04","2020-05-04","Per=Y","Days=T","Dir=V")</f>
        <v>0</v>
      </c>
      <c r="AQ2">
        <f>BDH("TLRDQ US Equity","PX_LAST","2015-05-04","2020-05-04","Per=M","Days=T","Dir=V")</f>
        <v>0</v>
      </c>
      <c r="AS2">
        <f>BDH("TLRDQ US Equity","CUR_MKT_CAP","2015-05-04","2020-05-04","Per=M","Days=T","Dir=V")</f>
        <v>0</v>
      </c>
      <c r="AU2">
        <f>BDH("TLRDQ US Equity","EQY_SH_OUT","2015-05-04","2020-05-04","Per=M","Days=T","Dir=V")</f>
        <v>0</v>
      </c>
      <c r="AW2">
        <f>BDH("TLRDQ US Equity","PX_VOLUME","2015-05-04","2020-05-04","Per=M","Days=T","Dir=V")</f>
        <v>0</v>
      </c>
      <c r="AY2">
        <f>BDH("TLRDQ US Equity","TURNOVER","2015-05-04","2020-05-04","Per=M","Days=T","Dir=V")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BDH("1478868D US Equity","BS_TOT_ASSET","2015-07-02","2020-07-02","Per=Y","Days=T","Dir=V")</f>
        <v>0</v>
      </c>
      <c r="C2">
        <f>BDH("1478868D US Equity","BS_TOT_LIAB2","2015-07-02","2020-07-02","Per=Y","Days=T","Dir=V")</f>
        <v>0</v>
      </c>
      <c r="E2">
        <f>BDH("1478868D US Equity","SHORT_AND_LONG_TERM_DEBT","2015-07-02","2020-07-02","Per=Y","Days=T","Dir=V")</f>
        <v>0</v>
      </c>
      <c r="G2">
        <f>BDH("1478868D US Equity","BS_ST_BORROW","2015-07-02","2020-07-02","Per=Y","Days=T","Dir=V")</f>
        <v>0</v>
      </c>
      <c r="I2">
        <f>BDH("1478868D US Equity","BS_LT_BORROW","2015-07-02","2020-07-02","Per=Y","Days=T","Dir=V")</f>
        <v>0</v>
      </c>
      <c r="K2">
        <f>BDH("1478868D US Equity","BS_CASH_NEAR_CASH_ITEM","2015-07-02","2020-07-02","Per=Y","Days=T","Dir=V")</f>
        <v>0</v>
      </c>
      <c r="M2">
        <f>BDH("1478868D US Equity","BS_CUR_ASSET_REPORT","2015-07-02","2020-07-02","Per=Y","Days=T","Dir=V")</f>
        <v>0</v>
      </c>
      <c r="O2">
        <f>BDH("1478868D US Equity","BS_CUR_LIAB","2015-07-02","2020-07-02","Per=Y","Days=T","Dir=V")</f>
        <v>0</v>
      </c>
      <c r="Q2">
        <f>BDH("1478868D US Equity","BS_SHAREHOLDER_EQY_ENDING_PERIOD","2015-07-02","2020-07-02","Per=Y","Days=T","Dir=V")</f>
        <v>0</v>
      </c>
      <c r="S2">
        <f>BDH("1478868D US Equity","BS_ACCT_NOTE_RCV","2015-07-02","2020-07-02","Per=Y","Days=T","Dir=V")</f>
        <v>0</v>
      </c>
      <c r="U2">
        <f>BDH("1478868D US Equity","BS_INVENTORIES","2015-07-02","2020-07-02","Per=Y","Days=T","Dir=V")</f>
        <v>0</v>
      </c>
      <c r="W2">
        <f>BDH("1478868D US Equity","WORKING_CAPITAL","2015-07-02","2020-07-02","Per=Y","Days=T","Dir=V")</f>
        <v>0</v>
      </c>
      <c r="Y2">
        <f>BDH("1478868D US Equity","SALES_REV_TURN","2015-07-02","2020-07-02","Per=Y","Days=T","Dir=V")</f>
        <v>0</v>
      </c>
      <c r="AA2">
        <f>BDH("1478868D US Equity","EBIT","2015-07-02","2020-07-02","Per=Y","Days=T","Dir=V")</f>
        <v>0</v>
      </c>
      <c r="AC2">
        <f>BDH("1478868D US Equity","EBITDA","2015-07-02","2020-07-02","Per=Y","Days=T","Dir=V")</f>
        <v>0</v>
      </c>
      <c r="AE2">
        <f>BDH("1478868D US Equity","NET_INCOME","2015-07-02","2020-07-02","Per=Y","Days=T","Dir=V")</f>
        <v>0</v>
      </c>
      <c r="AG2">
        <f>BDH("1478868D US Equity","IS_INT_EXPENSE","2015-07-02","2020-07-02","Per=Y","Days=T","Dir=V")</f>
        <v>0</v>
      </c>
      <c r="AI2">
        <f>BDH("1478868D US Equity","IS_DEPR_EXP","2015-07-02","2020-07-02","Per=Y","Days=T","Dir=V")</f>
        <v>0</v>
      </c>
      <c r="AK2">
        <f>BDH("1478868D US Equity","CF_CASH_FROM_OPER","2015-07-02","2020-07-02","Per=Y","Days=T","Dir=V")</f>
        <v>0</v>
      </c>
      <c r="AM2">
        <f>BDH("1478868D US Equity","CAPITAL_EXPEND","2015-07-02","2020-07-02","Per=Y","Days=T","Dir=V")</f>
        <v>0</v>
      </c>
      <c r="AO2">
        <f>BDH("1478868D US Equity","CF_FREE_CASH_FLOW","2015-07-02","2020-07-02","Per=Y","Days=T","Dir=V")</f>
        <v>0</v>
      </c>
      <c r="AQ2">
        <f>BDH("1478868D US Equity","PX_LAST","2015-07-02","2020-07-02","Per=M","Days=T","Dir=V")</f>
        <v>0</v>
      </c>
      <c r="AS2">
        <f>BDH("1478868D US Equity","CUR_MKT_CAP","2015-07-02","2020-07-02","Per=M","Days=T","Dir=V")</f>
        <v>0</v>
      </c>
      <c r="AU2">
        <f>BDH("1478868D US Equity","EQY_SH_OUT","2015-07-02","2020-07-02","Per=M","Days=T","Dir=V")</f>
        <v>0</v>
      </c>
      <c r="AW2">
        <f>BDH("1478868D US Equity","PX_VOLUME","2015-07-02","2020-07-02","Per=M","Days=T","Dir=V")</f>
        <v>0</v>
      </c>
      <c r="AY2">
        <f>BDH("1478868D US Equity","TURNOVER","2015-07-02","2020-07-02","Per=M","Days=T","Dir=V")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BDH("SQBGQ US Equity","BS_TOT_ASSET","2016-06-02","2021-06-02","Per=Y","Days=T","Dir=V")</f>
        <v>0</v>
      </c>
      <c r="C2">
        <f>BDH("SQBGQ US Equity","BS_TOT_LIAB2","2016-06-02","2021-06-02","Per=Y","Days=T","Dir=V")</f>
        <v>0</v>
      </c>
      <c r="E2">
        <f>BDH("SQBGQ US Equity","SHORT_AND_LONG_TERM_DEBT","2016-06-02","2021-06-02","Per=Y","Days=T","Dir=V")</f>
        <v>0</v>
      </c>
      <c r="G2">
        <f>BDH("SQBGQ US Equity","BS_ST_BORROW","2016-06-02","2021-06-02","Per=Y","Days=T","Dir=V")</f>
        <v>0</v>
      </c>
      <c r="I2">
        <f>BDH("SQBGQ US Equity","BS_LT_BORROW","2016-06-02","2021-06-02","Per=Y","Days=T","Dir=V")</f>
        <v>0</v>
      </c>
      <c r="K2">
        <f>BDH("SQBGQ US Equity","BS_CASH_NEAR_CASH_ITEM","2016-06-02","2021-06-02","Per=Y","Days=T","Dir=V")</f>
        <v>0</v>
      </c>
      <c r="M2">
        <f>BDH("SQBGQ US Equity","BS_CUR_ASSET_REPORT","2016-06-02","2021-06-02","Per=Y","Days=T","Dir=V")</f>
        <v>0</v>
      </c>
      <c r="O2">
        <f>BDH("SQBGQ US Equity","BS_CUR_LIAB","2016-06-02","2021-06-02","Per=Y","Days=T","Dir=V")</f>
        <v>0</v>
      </c>
      <c r="Q2">
        <f>BDH("SQBGQ US Equity","BS_SHAREHOLDER_EQY_ENDING_PERIOD","2016-06-02","2021-06-02","Per=Y","Days=T","Dir=V")</f>
        <v>0</v>
      </c>
      <c r="S2">
        <f>BDH("SQBGQ US Equity","BS_ACCT_NOTE_RCV","2016-06-02","2021-06-02","Per=Y","Days=T","Dir=V")</f>
        <v>0</v>
      </c>
      <c r="U2">
        <f>BDH("SQBGQ US Equity","BS_INVENTORIES","2016-06-02","2021-06-02","Per=Y","Days=T","Dir=V")</f>
        <v>0</v>
      </c>
      <c r="W2">
        <f>BDH("SQBGQ US Equity","WORKING_CAPITAL","2016-06-02","2021-06-02","Per=Y","Days=T","Dir=V")</f>
        <v>0</v>
      </c>
      <c r="Y2">
        <f>BDH("SQBGQ US Equity","SALES_REV_TURN","2016-06-02","2021-06-02","Per=Y","Days=T","Dir=V")</f>
        <v>0</v>
      </c>
      <c r="AA2">
        <f>BDH("SQBGQ US Equity","EBIT","2016-06-02","2021-06-02","Per=Y","Days=T","Dir=V")</f>
        <v>0</v>
      </c>
      <c r="AC2">
        <f>BDH("SQBGQ US Equity","EBITDA","2016-06-02","2021-06-02","Per=Y","Days=T","Dir=V")</f>
        <v>0</v>
      </c>
      <c r="AE2">
        <f>BDH("SQBGQ US Equity","NET_INCOME","2016-06-02","2021-06-02","Per=Y","Days=T","Dir=V")</f>
        <v>0</v>
      </c>
      <c r="AG2">
        <f>BDH("SQBGQ US Equity","IS_INT_EXPENSE","2016-06-02","2021-06-02","Per=Y","Days=T","Dir=V")</f>
        <v>0</v>
      </c>
      <c r="AI2">
        <f>BDH("SQBGQ US Equity","IS_DEPR_EXP","2016-06-02","2021-06-02","Per=Y","Days=T","Dir=V")</f>
        <v>0</v>
      </c>
      <c r="AK2">
        <f>BDH("SQBGQ US Equity","CF_CASH_FROM_OPER","2016-06-02","2021-06-02","Per=Y","Days=T","Dir=V")</f>
        <v>0</v>
      </c>
      <c r="AM2">
        <f>BDH("SQBGQ US Equity","CAPITAL_EXPEND","2016-06-02","2021-06-02","Per=Y","Days=T","Dir=V")</f>
        <v>0</v>
      </c>
      <c r="AO2">
        <f>BDH("SQBGQ US Equity","CF_FREE_CASH_FLOW","2016-06-02","2021-06-02","Per=Y","Days=T","Dir=V")</f>
        <v>0</v>
      </c>
      <c r="AQ2">
        <f>BDH("SQBGQ US Equity","PX_LAST","2016-06-02","2021-06-02","Per=M","Days=T","Dir=V")</f>
        <v>0</v>
      </c>
      <c r="AS2">
        <f>BDH("SQBGQ US Equity","CUR_MKT_CAP","2016-06-02","2021-06-02","Per=M","Days=T","Dir=V")</f>
        <v>0</v>
      </c>
      <c r="AU2">
        <f>BDH("SQBGQ US Equity","EQY_SH_OUT","2016-06-02","2021-06-02","Per=M","Days=T","Dir=V")</f>
        <v>0</v>
      </c>
      <c r="AW2">
        <f>BDH("SQBGQ US Equity","PX_VOLUME","2016-06-02","2021-06-02","Per=M","Days=T","Dir=V")</f>
        <v>0</v>
      </c>
      <c r="AY2">
        <f>BDH("SQBGQ US Equity","TURNOVER","2016-06-02","2021-06-02","Per=M","Days=T","Dir=V")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BDH("CLVSQ US Equity","BS_TOT_ASSET","2017-09-12","2022-09-12","Per=Y","Days=T","Dir=V")</f>
        <v>0</v>
      </c>
      <c r="C2">
        <f>BDH("CLVSQ US Equity","BS_TOT_LIAB2","2017-09-12","2022-09-12","Per=Y","Days=T","Dir=V")</f>
        <v>0</v>
      </c>
      <c r="E2">
        <f>BDH("CLVSQ US Equity","SHORT_AND_LONG_TERM_DEBT","2017-09-12","2022-09-12","Per=Y","Days=T","Dir=V")</f>
        <v>0</v>
      </c>
      <c r="G2">
        <f>BDH("CLVSQ US Equity","BS_ST_BORROW","2017-09-12","2022-09-12","Per=Y","Days=T","Dir=V")</f>
        <v>0</v>
      </c>
      <c r="I2">
        <f>BDH("CLVSQ US Equity","BS_LT_BORROW","2017-09-12","2022-09-12","Per=Y","Days=T","Dir=V")</f>
        <v>0</v>
      </c>
      <c r="K2">
        <f>BDH("CLVSQ US Equity","BS_CASH_NEAR_CASH_ITEM","2017-09-12","2022-09-12","Per=Y","Days=T","Dir=V")</f>
        <v>0</v>
      </c>
      <c r="M2">
        <f>BDH("CLVSQ US Equity","BS_CUR_ASSET_REPORT","2017-09-12","2022-09-12","Per=Y","Days=T","Dir=V")</f>
        <v>0</v>
      </c>
      <c r="O2">
        <f>BDH("CLVSQ US Equity","BS_CUR_LIAB","2017-09-12","2022-09-12","Per=Y","Days=T","Dir=V")</f>
        <v>0</v>
      </c>
      <c r="Q2">
        <f>BDH("CLVSQ US Equity","BS_SHAREHOLDER_EQY_ENDING_PERIOD","2017-09-12","2022-09-12","Per=Y","Days=T","Dir=V")</f>
        <v>0</v>
      </c>
      <c r="S2">
        <f>BDH("CLVSQ US Equity","BS_ACCT_NOTE_RCV","2017-09-12","2022-09-12","Per=Y","Days=T","Dir=V")</f>
        <v>0</v>
      </c>
      <c r="U2">
        <f>BDH("CLVSQ US Equity","BS_INVENTORIES","2017-09-12","2022-09-12","Per=Y","Days=T","Dir=V")</f>
        <v>0</v>
      </c>
      <c r="W2">
        <f>BDH("CLVSQ US Equity","WORKING_CAPITAL","2017-09-12","2022-09-12","Per=Y","Days=T","Dir=V")</f>
        <v>0</v>
      </c>
      <c r="Y2">
        <f>BDH("CLVSQ US Equity","SALES_REV_TURN","2017-09-12","2022-09-12","Per=Y","Days=T","Dir=V")</f>
        <v>0</v>
      </c>
      <c r="AA2">
        <f>BDH("CLVSQ US Equity","EBIT","2017-09-12","2022-09-12","Per=Y","Days=T","Dir=V")</f>
        <v>0</v>
      </c>
      <c r="AC2">
        <f>BDH("CLVSQ US Equity","EBITDA","2017-09-12","2022-09-12","Per=Y","Days=T","Dir=V")</f>
        <v>0</v>
      </c>
      <c r="AE2">
        <f>BDH("CLVSQ US Equity","NET_INCOME","2017-09-12","2022-09-12","Per=Y","Days=T","Dir=V")</f>
        <v>0</v>
      </c>
      <c r="AG2">
        <f>BDH("CLVSQ US Equity","IS_INT_EXPENSE","2017-09-12","2022-09-12","Per=Y","Days=T","Dir=V")</f>
        <v>0</v>
      </c>
      <c r="AI2">
        <f>BDH("CLVSQ US Equity","IS_DEPR_EXP","2017-09-12","2022-09-12","Per=Y","Days=T","Dir=V")</f>
        <v>0</v>
      </c>
      <c r="AK2">
        <f>BDH("CLVSQ US Equity","CF_CASH_FROM_OPER","2017-09-12","2022-09-12","Per=Y","Days=T","Dir=V")</f>
        <v>0</v>
      </c>
      <c r="AM2">
        <f>BDH("CLVSQ US Equity","CAPITAL_EXPEND","2017-09-12","2022-09-12","Per=Y","Days=T","Dir=V")</f>
        <v>0</v>
      </c>
      <c r="AO2">
        <f>BDH("CLVSQ US Equity","CF_FREE_CASH_FLOW","2017-09-12","2022-09-12","Per=Y","Days=T","Dir=V")</f>
        <v>0</v>
      </c>
      <c r="AQ2">
        <f>BDH("CLVSQ US Equity","PX_LAST","2017-09-12","2022-09-12","Per=M","Days=T","Dir=V")</f>
        <v>0</v>
      </c>
      <c r="AS2">
        <f>BDH("CLVSQ US Equity","CUR_MKT_CAP","2017-09-12","2022-09-12","Per=M","Days=T","Dir=V")</f>
        <v>0</v>
      </c>
      <c r="AU2">
        <f>BDH("CLVSQ US Equity","EQY_SH_OUT","2017-09-12","2022-09-12","Per=M","Days=T","Dir=V")</f>
        <v>0</v>
      </c>
      <c r="AW2">
        <f>BDH("CLVSQ US Equity","PX_VOLUME","2017-09-12","2022-09-12","Per=M","Days=T","Dir=V")</f>
        <v>0</v>
      </c>
      <c r="AY2">
        <f>BDH("CLVSQ US Equity","TURNOVER","2017-09-12","2022-09-12","Per=M","Days=T","Dir=V")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BDH("TWOUQ US Equity","BS_TOT_ASSET","2019-05-08","2024-05-08","Per=Y","Days=T","Dir=V")</f>
        <v>0</v>
      </c>
      <c r="C2">
        <f>BDH("TWOUQ US Equity","BS_TOT_LIAB2","2019-05-08","2024-05-08","Per=Y","Days=T","Dir=V")</f>
        <v>0</v>
      </c>
      <c r="E2">
        <f>BDH("TWOUQ US Equity","SHORT_AND_LONG_TERM_DEBT","2019-05-08","2024-05-08","Per=Y","Days=T","Dir=V")</f>
        <v>0</v>
      </c>
      <c r="G2">
        <f>BDH("TWOUQ US Equity","BS_ST_BORROW","2019-05-08","2024-05-08","Per=Y","Days=T","Dir=V")</f>
        <v>0</v>
      </c>
      <c r="I2">
        <f>BDH("TWOUQ US Equity","BS_LT_BORROW","2019-05-08","2024-05-08","Per=Y","Days=T","Dir=V")</f>
        <v>0</v>
      </c>
      <c r="K2">
        <f>BDH("TWOUQ US Equity","BS_CASH_NEAR_CASH_ITEM","2019-05-08","2024-05-08","Per=Y","Days=T","Dir=V")</f>
        <v>0</v>
      </c>
      <c r="M2">
        <f>BDH("TWOUQ US Equity","BS_CUR_ASSET_REPORT","2019-05-08","2024-05-08","Per=Y","Days=T","Dir=V")</f>
        <v>0</v>
      </c>
      <c r="O2">
        <f>BDH("TWOUQ US Equity","BS_CUR_LIAB","2019-05-08","2024-05-08","Per=Y","Days=T","Dir=V")</f>
        <v>0</v>
      </c>
      <c r="Q2">
        <f>BDH("TWOUQ US Equity","BS_SHAREHOLDER_EQY_ENDING_PERIOD","2019-05-08","2024-05-08","Per=Y","Days=T","Dir=V")</f>
        <v>0</v>
      </c>
      <c r="S2">
        <f>BDH("TWOUQ US Equity","BS_ACCT_NOTE_RCV","2019-05-08","2024-05-08","Per=Y","Days=T","Dir=V")</f>
        <v>0</v>
      </c>
      <c r="U2">
        <f>BDH("TWOUQ US Equity","BS_INVENTORIES","2019-05-08","2024-05-08","Per=Y","Days=T","Dir=V")</f>
        <v>0</v>
      </c>
      <c r="W2">
        <f>BDH("TWOUQ US Equity","WORKING_CAPITAL","2019-05-08","2024-05-08","Per=Y","Days=T","Dir=V")</f>
        <v>0</v>
      </c>
      <c r="Y2">
        <f>BDH("TWOUQ US Equity","SALES_REV_TURN","2019-05-08","2024-05-08","Per=Y","Days=T","Dir=V")</f>
        <v>0</v>
      </c>
      <c r="AA2">
        <f>BDH("TWOUQ US Equity","EBIT","2019-05-08","2024-05-08","Per=Y","Days=T","Dir=V")</f>
        <v>0</v>
      </c>
      <c r="AC2">
        <f>BDH("TWOUQ US Equity","EBITDA","2019-05-08","2024-05-08","Per=Y","Days=T","Dir=V")</f>
        <v>0</v>
      </c>
      <c r="AE2">
        <f>BDH("TWOUQ US Equity","NET_INCOME","2019-05-08","2024-05-08","Per=Y","Days=T","Dir=V")</f>
        <v>0</v>
      </c>
      <c r="AG2">
        <f>BDH("TWOUQ US Equity","IS_INT_EXPENSE","2019-05-08","2024-05-08","Per=Y","Days=T","Dir=V")</f>
        <v>0</v>
      </c>
      <c r="AI2">
        <f>BDH("TWOUQ US Equity","IS_DEPR_EXP","2019-05-08","2024-05-08","Per=Y","Days=T","Dir=V")</f>
        <v>0</v>
      </c>
      <c r="AK2">
        <f>BDH("TWOUQ US Equity","CF_CASH_FROM_OPER","2019-05-08","2024-05-08","Per=Y","Days=T","Dir=V")</f>
        <v>0</v>
      </c>
      <c r="AM2">
        <f>BDH("TWOUQ US Equity","CAPITAL_EXPEND","2019-05-08","2024-05-08","Per=Y","Days=T","Dir=V")</f>
        <v>0</v>
      </c>
      <c r="AO2">
        <f>BDH("TWOUQ US Equity","CF_FREE_CASH_FLOW","2019-05-08","2024-05-08","Per=Y","Days=T","Dir=V")</f>
        <v>0</v>
      </c>
      <c r="AQ2">
        <f>BDH("TWOUQ US Equity","PX_LAST","2019-05-08","2024-05-08","Per=M","Days=T","Dir=V")</f>
        <v>0</v>
      </c>
      <c r="AS2">
        <f>BDH("TWOUQ US Equity","CUR_MKT_CAP","2019-05-08","2024-05-08","Per=M","Days=T","Dir=V")</f>
        <v>0</v>
      </c>
      <c r="AU2">
        <f>BDH("TWOUQ US Equity","EQY_SH_OUT","2019-05-08","2024-05-08","Per=M","Days=T","Dir=V")</f>
        <v>0</v>
      </c>
      <c r="AW2">
        <f>BDH("TWOUQ US Equity","PX_VOLUME","2019-05-08","2024-05-08","Per=M","Days=T","Dir=V")</f>
        <v>0</v>
      </c>
      <c r="AY2">
        <f>BDH("TWOUQ US Equity","TURNOVER","2019-05-08","2024-05-08","Per=M","Days=T","Dir=V")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BDH("VBIVQ US Equity","BS_TOT_ASSET","2019-05-09","2024-05-09","Per=Y","Days=T","Dir=V")</f>
        <v>0</v>
      </c>
      <c r="C2">
        <f>BDH("VBIVQ US Equity","BS_TOT_LIAB2","2019-05-09","2024-05-09","Per=Y","Days=T","Dir=V")</f>
        <v>0</v>
      </c>
      <c r="E2">
        <f>BDH("VBIVQ US Equity","SHORT_AND_LONG_TERM_DEBT","2019-05-09","2024-05-09","Per=Y","Days=T","Dir=V")</f>
        <v>0</v>
      </c>
      <c r="G2">
        <f>BDH("VBIVQ US Equity","BS_ST_BORROW","2019-05-09","2024-05-09","Per=Y","Days=T","Dir=V")</f>
        <v>0</v>
      </c>
      <c r="I2">
        <f>BDH("VBIVQ US Equity","BS_LT_BORROW","2019-05-09","2024-05-09","Per=Y","Days=T","Dir=V")</f>
        <v>0</v>
      </c>
      <c r="K2">
        <f>BDH("VBIVQ US Equity","BS_CASH_NEAR_CASH_ITEM","2019-05-09","2024-05-09","Per=Y","Days=T","Dir=V")</f>
        <v>0</v>
      </c>
      <c r="M2">
        <f>BDH("VBIVQ US Equity","BS_CUR_ASSET_REPORT","2019-05-09","2024-05-09","Per=Y","Days=T","Dir=V")</f>
        <v>0</v>
      </c>
      <c r="O2">
        <f>BDH("VBIVQ US Equity","BS_CUR_LIAB","2019-05-09","2024-05-09","Per=Y","Days=T","Dir=V")</f>
        <v>0</v>
      </c>
      <c r="Q2">
        <f>BDH("VBIVQ US Equity","BS_SHAREHOLDER_EQY_ENDING_PERIOD","2019-05-09","2024-05-09","Per=Y","Days=T","Dir=V")</f>
        <v>0</v>
      </c>
      <c r="S2">
        <f>BDH("VBIVQ US Equity","BS_ACCT_NOTE_RCV","2019-05-09","2024-05-09","Per=Y","Days=T","Dir=V")</f>
        <v>0</v>
      </c>
      <c r="U2">
        <f>BDH("VBIVQ US Equity","BS_INVENTORIES","2019-05-09","2024-05-09","Per=Y","Days=T","Dir=V")</f>
        <v>0</v>
      </c>
      <c r="W2">
        <f>BDH("VBIVQ US Equity","WORKING_CAPITAL","2019-05-09","2024-05-09","Per=Y","Days=T","Dir=V")</f>
        <v>0</v>
      </c>
      <c r="Y2">
        <f>BDH("VBIVQ US Equity","SALES_REV_TURN","2019-05-09","2024-05-09","Per=Y","Days=T","Dir=V")</f>
        <v>0</v>
      </c>
      <c r="AA2">
        <f>BDH("VBIVQ US Equity","EBIT","2019-05-09","2024-05-09","Per=Y","Days=T","Dir=V")</f>
        <v>0</v>
      </c>
      <c r="AC2">
        <f>BDH("VBIVQ US Equity","EBITDA","2019-05-09","2024-05-09","Per=Y","Days=T","Dir=V")</f>
        <v>0</v>
      </c>
      <c r="AE2">
        <f>BDH("VBIVQ US Equity","NET_INCOME","2019-05-09","2024-05-09","Per=Y","Days=T","Dir=V")</f>
        <v>0</v>
      </c>
      <c r="AG2">
        <f>BDH("VBIVQ US Equity","IS_INT_EXPENSE","2019-05-09","2024-05-09","Per=Y","Days=T","Dir=V")</f>
        <v>0</v>
      </c>
      <c r="AI2">
        <f>BDH("VBIVQ US Equity","IS_DEPR_EXP","2019-05-09","2024-05-09","Per=Y","Days=T","Dir=V")</f>
        <v>0</v>
      </c>
      <c r="AK2">
        <f>BDH("VBIVQ US Equity","CF_CASH_FROM_OPER","2019-05-09","2024-05-09","Per=Y","Days=T","Dir=V")</f>
        <v>0</v>
      </c>
      <c r="AM2">
        <f>BDH("VBIVQ US Equity","CAPITAL_EXPEND","2019-05-09","2024-05-09","Per=Y","Days=T","Dir=V")</f>
        <v>0</v>
      </c>
      <c r="AO2">
        <f>BDH("VBIVQ US Equity","CF_FREE_CASH_FLOW","2019-05-09","2024-05-09","Per=Y","Days=T","Dir=V")</f>
        <v>0</v>
      </c>
      <c r="AQ2">
        <f>BDH("VBIVQ US Equity","PX_LAST","2019-05-09","2024-05-09","Per=M","Days=T","Dir=V")</f>
        <v>0</v>
      </c>
      <c r="AS2">
        <f>BDH("VBIVQ US Equity","CUR_MKT_CAP","2019-05-09","2024-05-09","Per=M","Days=T","Dir=V")</f>
        <v>0</v>
      </c>
      <c r="AU2">
        <f>BDH("VBIVQ US Equity","EQY_SH_OUT","2019-05-09","2024-05-09","Per=M","Days=T","Dir=V")</f>
        <v>0</v>
      </c>
      <c r="AW2">
        <f>BDH("VBIVQ US Equity","PX_VOLUME","2019-05-09","2024-05-09","Per=M","Days=T","Dir=V")</f>
        <v>0</v>
      </c>
      <c r="AY2">
        <f>BDH("VBIVQ US Equity","TURNOVER","2019-05-09","2024-05-09","Per=M","Days=T","Dir=V")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BDH("LLFLQ US Equity","BS_TOT_ASSET","2019-05-11","2024-05-11","Per=Y","Days=T","Dir=V")</f>
        <v>0</v>
      </c>
      <c r="C2">
        <f>BDH("LLFLQ US Equity","BS_TOT_LIAB2","2019-05-11","2024-05-11","Per=Y","Days=T","Dir=V")</f>
        <v>0</v>
      </c>
      <c r="E2">
        <f>BDH("LLFLQ US Equity","SHORT_AND_LONG_TERM_DEBT","2019-05-11","2024-05-11","Per=Y","Days=T","Dir=V")</f>
        <v>0</v>
      </c>
      <c r="G2">
        <f>BDH("LLFLQ US Equity","BS_ST_BORROW","2019-05-11","2024-05-11","Per=Y","Days=T","Dir=V")</f>
        <v>0</v>
      </c>
      <c r="I2">
        <f>BDH("LLFLQ US Equity","BS_LT_BORROW","2019-05-11","2024-05-11","Per=Y","Days=T","Dir=V")</f>
        <v>0</v>
      </c>
      <c r="K2">
        <f>BDH("LLFLQ US Equity","BS_CASH_NEAR_CASH_ITEM","2019-05-11","2024-05-11","Per=Y","Days=T","Dir=V")</f>
        <v>0</v>
      </c>
      <c r="M2">
        <f>BDH("LLFLQ US Equity","BS_CUR_ASSET_REPORT","2019-05-11","2024-05-11","Per=Y","Days=T","Dir=V")</f>
        <v>0</v>
      </c>
      <c r="O2">
        <f>BDH("LLFLQ US Equity","BS_CUR_LIAB","2019-05-11","2024-05-11","Per=Y","Days=T","Dir=V")</f>
        <v>0</v>
      </c>
      <c r="Q2">
        <f>BDH("LLFLQ US Equity","BS_SHAREHOLDER_EQY_ENDING_PERIOD","2019-05-11","2024-05-11","Per=Y","Days=T","Dir=V")</f>
        <v>0</v>
      </c>
      <c r="S2">
        <f>BDH("LLFLQ US Equity","BS_ACCT_NOTE_RCV","2019-05-11","2024-05-11","Per=Y","Days=T","Dir=V")</f>
        <v>0</v>
      </c>
      <c r="U2">
        <f>BDH("LLFLQ US Equity","BS_INVENTORIES","2019-05-11","2024-05-11","Per=Y","Days=T","Dir=V")</f>
        <v>0</v>
      </c>
      <c r="W2">
        <f>BDH("LLFLQ US Equity","WORKING_CAPITAL","2019-05-11","2024-05-11","Per=Y","Days=T","Dir=V")</f>
        <v>0</v>
      </c>
      <c r="Y2">
        <f>BDH("LLFLQ US Equity","SALES_REV_TURN","2019-05-11","2024-05-11","Per=Y","Days=T","Dir=V")</f>
        <v>0</v>
      </c>
      <c r="AA2">
        <f>BDH("LLFLQ US Equity","EBIT","2019-05-11","2024-05-11","Per=Y","Days=T","Dir=V")</f>
        <v>0</v>
      </c>
      <c r="AC2">
        <f>BDH("LLFLQ US Equity","EBITDA","2019-05-11","2024-05-11","Per=Y","Days=T","Dir=V")</f>
        <v>0</v>
      </c>
      <c r="AE2">
        <f>BDH("LLFLQ US Equity","NET_INCOME","2019-05-11","2024-05-11","Per=Y","Days=T","Dir=V")</f>
        <v>0</v>
      </c>
      <c r="AG2">
        <f>BDH("LLFLQ US Equity","IS_INT_EXPENSE","2019-05-11","2024-05-11","Per=Y","Days=T","Dir=V")</f>
        <v>0</v>
      </c>
      <c r="AI2">
        <f>BDH("LLFLQ US Equity","IS_DEPR_EXP","2019-05-11","2024-05-11","Per=Y","Days=T","Dir=V")</f>
        <v>0</v>
      </c>
      <c r="AK2">
        <f>BDH("LLFLQ US Equity","CF_CASH_FROM_OPER","2019-05-11","2024-05-11","Per=Y","Days=T","Dir=V")</f>
        <v>0</v>
      </c>
      <c r="AM2">
        <f>BDH("LLFLQ US Equity","CAPITAL_EXPEND","2019-05-11","2024-05-11","Per=Y","Days=T","Dir=V")</f>
        <v>0</v>
      </c>
      <c r="AO2">
        <f>BDH("LLFLQ US Equity","CF_FREE_CASH_FLOW","2019-05-11","2024-05-11","Per=Y","Days=T","Dir=V")</f>
        <v>0</v>
      </c>
      <c r="AQ2">
        <f>BDH("LLFLQ US Equity","PX_LAST","2019-05-11","2024-05-11","Per=M","Days=T","Dir=V")</f>
        <v>0</v>
      </c>
      <c r="AS2">
        <f>BDH("LLFLQ US Equity","CUR_MKT_CAP","2019-05-11","2024-05-11","Per=M","Days=T","Dir=V")</f>
        <v>0</v>
      </c>
      <c r="AU2">
        <f>BDH("LLFLQ US Equity","EQY_SH_OUT","2019-05-11","2024-05-11","Per=M","Days=T","Dir=V")</f>
        <v>0</v>
      </c>
      <c r="AW2">
        <f>BDH("LLFLQ US Equity","PX_VOLUME","2019-05-11","2024-05-11","Per=M","Days=T","Dir=V")</f>
        <v>0</v>
      </c>
      <c r="AY2">
        <f>BDH("LLFLQ US Equity","TURNOVER","2019-05-11","2024-05-11","Per=M","Days=T","Dir=V")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BDH("SPWRQ US Equity","BS_TOT_ASSET","2019-05-17","2024-05-17","Per=Y","Days=T","Dir=V")</f>
        <v>0</v>
      </c>
      <c r="C2">
        <f>BDH("SPWRQ US Equity","BS_TOT_LIAB2","2019-05-17","2024-05-17","Per=Y","Days=T","Dir=V")</f>
        <v>0</v>
      </c>
      <c r="E2">
        <f>BDH("SPWRQ US Equity","SHORT_AND_LONG_TERM_DEBT","2019-05-17","2024-05-17","Per=Y","Days=T","Dir=V")</f>
        <v>0</v>
      </c>
      <c r="G2">
        <f>BDH("SPWRQ US Equity","BS_ST_BORROW","2019-05-17","2024-05-17","Per=Y","Days=T","Dir=V")</f>
        <v>0</v>
      </c>
      <c r="I2">
        <f>BDH("SPWRQ US Equity","BS_LT_BORROW","2019-05-17","2024-05-17","Per=Y","Days=T","Dir=V")</f>
        <v>0</v>
      </c>
      <c r="K2">
        <f>BDH("SPWRQ US Equity","BS_CASH_NEAR_CASH_ITEM","2019-05-17","2024-05-17","Per=Y","Days=T","Dir=V")</f>
        <v>0</v>
      </c>
      <c r="M2">
        <f>BDH("SPWRQ US Equity","BS_CUR_ASSET_REPORT","2019-05-17","2024-05-17","Per=Y","Days=T","Dir=V")</f>
        <v>0</v>
      </c>
      <c r="O2">
        <f>BDH("SPWRQ US Equity","BS_CUR_LIAB","2019-05-17","2024-05-17","Per=Y","Days=T","Dir=V")</f>
        <v>0</v>
      </c>
      <c r="Q2">
        <f>BDH("SPWRQ US Equity","BS_SHAREHOLDER_EQY_ENDING_PERIOD","2019-05-17","2024-05-17","Per=Y","Days=T","Dir=V")</f>
        <v>0</v>
      </c>
      <c r="S2">
        <f>BDH("SPWRQ US Equity","BS_ACCT_NOTE_RCV","2019-05-17","2024-05-17","Per=Y","Days=T","Dir=V")</f>
        <v>0</v>
      </c>
      <c r="U2">
        <f>BDH("SPWRQ US Equity","BS_INVENTORIES","2019-05-17","2024-05-17","Per=Y","Days=T","Dir=V")</f>
        <v>0</v>
      </c>
      <c r="W2">
        <f>BDH("SPWRQ US Equity","WORKING_CAPITAL","2019-05-17","2024-05-17","Per=Y","Days=T","Dir=V")</f>
        <v>0</v>
      </c>
      <c r="Y2">
        <f>BDH("SPWRQ US Equity","SALES_REV_TURN","2019-05-17","2024-05-17","Per=Y","Days=T","Dir=V")</f>
        <v>0</v>
      </c>
      <c r="AA2">
        <f>BDH("SPWRQ US Equity","EBIT","2019-05-17","2024-05-17","Per=Y","Days=T","Dir=V")</f>
        <v>0</v>
      </c>
      <c r="AC2">
        <f>BDH("SPWRQ US Equity","EBITDA","2019-05-17","2024-05-17","Per=Y","Days=T","Dir=V")</f>
        <v>0</v>
      </c>
      <c r="AE2">
        <f>BDH("SPWRQ US Equity","NET_INCOME","2019-05-17","2024-05-17","Per=Y","Days=T","Dir=V")</f>
        <v>0</v>
      </c>
      <c r="AG2">
        <f>BDH("SPWRQ US Equity","IS_INT_EXPENSE","2019-05-17","2024-05-17","Per=Y","Days=T","Dir=V")</f>
        <v>0</v>
      </c>
      <c r="AI2">
        <f>BDH("SPWRQ US Equity","IS_DEPR_EXP","2019-05-17","2024-05-17","Per=Y","Days=T","Dir=V")</f>
        <v>0</v>
      </c>
      <c r="AK2">
        <f>BDH("SPWRQ US Equity","CF_CASH_FROM_OPER","2019-05-17","2024-05-17","Per=Y","Days=T","Dir=V")</f>
        <v>0</v>
      </c>
      <c r="AM2">
        <f>BDH("SPWRQ US Equity","CAPITAL_EXPEND","2019-05-17","2024-05-17","Per=Y","Days=T","Dir=V")</f>
        <v>0</v>
      </c>
      <c r="AO2">
        <f>BDH("SPWRQ US Equity","CF_FREE_CASH_FLOW","2019-05-17","2024-05-17","Per=Y","Days=T","Dir=V")</f>
        <v>0</v>
      </c>
      <c r="AQ2">
        <f>BDH("SPWRQ US Equity","PX_LAST","2019-05-17","2024-05-17","Per=M","Days=T","Dir=V")</f>
        <v>0</v>
      </c>
      <c r="AS2">
        <f>BDH("SPWRQ US Equity","CUR_MKT_CAP","2019-05-17","2024-05-17","Per=M","Days=T","Dir=V")</f>
        <v>0</v>
      </c>
      <c r="AU2">
        <f>BDH("SPWRQ US Equity","EQY_SH_OUT","2019-05-17","2024-05-17","Per=M","Days=T","Dir=V")</f>
        <v>0</v>
      </c>
      <c r="AW2">
        <f>BDH("SPWRQ US Equity","PX_VOLUME","2019-05-17","2024-05-17","Per=M","Days=T","Dir=V")</f>
        <v>0</v>
      </c>
      <c r="AY2">
        <f>BDH("SPWRQ US Equity","TURNOVER","2019-05-17","2024-05-17","Per=M","Days=T","Dir=V")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BDH("MMATQ US Equity","BS_TOT_ASSET","2019-05-22","2024-05-22","Per=Y","Days=T","Dir=V")</f>
        <v>0</v>
      </c>
      <c r="C2">
        <f>BDH("MMATQ US Equity","BS_TOT_LIAB2","2019-05-22","2024-05-22","Per=Y","Days=T","Dir=V")</f>
        <v>0</v>
      </c>
      <c r="E2">
        <f>BDH("MMATQ US Equity","SHORT_AND_LONG_TERM_DEBT","2019-05-22","2024-05-22","Per=Y","Days=T","Dir=V")</f>
        <v>0</v>
      </c>
      <c r="G2">
        <f>BDH("MMATQ US Equity","BS_ST_BORROW","2019-05-22","2024-05-22","Per=Y","Days=T","Dir=V")</f>
        <v>0</v>
      </c>
      <c r="I2">
        <f>BDH("MMATQ US Equity","BS_LT_BORROW","2019-05-22","2024-05-22","Per=Y","Days=T","Dir=V")</f>
        <v>0</v>
      </c>
      <c r="K2">
        <f>BDH("MMATQ US Equity","BS_CASH_NEAR_CASH_ITEM","2019-05-22","2024-05-22","Per=Y","Days=T","Dir=V")</f>
        <v>0</v>
      </c>
      <c r="M2">
        <f>BDH("MMATQ US Equity","BS_CUR_ASSET_REPORT","2019-05-22","2024-05-22","Per=Y","Days=T","Dir=V")</f>
        <v>0</v>
      </c>
      <c r="O2">
        <f>BDH("MMATQ US Equity","BS_CUR_LIAB","2019-05-22","2024-05-22","Per=Y","Days=T","Dir=V")</f>
        <v>0</v>
      </c>
      <c r="Q2">
        <f>BDH("MMATQ US Equity","BS_SHAREHOLDER_EQY_ENDING_PERIOD","2019-05-22","2024-05-22","Per=Y","Days=T","Dir=V")</f>
        <v>0</v>
      </c>
      <c r="S2">
        <f>BDH("MMATQ US Equity","BS_ACCT_NOTE_RCV","2019-05-22","2024-05-22","Per=Y","Days=T","Dir=V")</f>
        <v>0</v>
      </c>
      <c r="U2">
        <f>BDH("MMATQ US Equity","BS_INVENTORIES","2019-05-22","2024-05-22","Per=Y","Days=T","Dir=V")</f>
        <v>0</v>
      </c>
      <c r="W2">
        <f>BDH("MMATQ US Equity","WORKING_CAPITAL","2019-05-22","2024-05-22","Per=Y","Days=T","Dir=V")</f>
        <v>0</v>
      </c>
      <c r="Y2">
        <f>BDH("MMATQ US Equity","SALES_REV_TURN","2019-05-22","2024-05-22","Per=Y","Days=T","Dir=V")</f>
        <v>0</v>
      </c>
      <c r="AA2">
        <f>BDH("MMATQ US Equity","EBIT","2019-05-22","2024-05-22","Per=Y","Days=T","Dir=V")</f>
        <v>0</v>
      </c>
      <c r="AC2">
        <f>BDH("MMATQ US Equity","EBITDA","2019-05-22","2024-05-22","Per=Y","Days=T","Dir=V")</f>
        <v>0</v>
      </c>
      <c r="AE2">
        <f>BDH("MMATQ US Equity","NET_INCOME","2019-05-22","2024-05-22","Per=Y","Days=T","Dir=V")</f>
        <v>0</v>
      </c>
      <c r="AG2">
        <f>BDH("MMATQ US Equity","IS_INT_EXPENSE","2019-05-22","2024-05-22","Per=Y","Days=T","Dir=V")</f>
        <v>0</v>
      </c>
      <c r="AI2">
        <f>BDH("MMATQ US Equity","IS_DEPR_EXP","2019-05-22","2024-05-22","Per=Y","Days=T","Dir=V")</f>
        <v>0</v>
      </c>
      <c r="AK2">
        <f>BDH("MMATQ US Equity","CF_CASH_FROM_OPER","2019-05-22","2024-05-22","Per=Y","Days=T","Dir=V")</f>
        <v>0</v>
      </c>
      <c r="AM2">
        <f>BDH("MMATQ US Equity","CAPITAL_EXPEND","2019-05-22","2024-05-22","Per=Y","Days=T","Dir=V")</f>
        <v>0</v>
      </c>
      <c r="AO2">
        <f>BDH("MMATQ US Equity","CF_FREE_CASH_FLOW","2019-05-22","2024-05-22","Per=Y","Days=T","Dir=V")</f>
        <v>0</v>
      </c>
      <c r="AQ2">
        <f>BDH("MMATQ US Equity","PX_LAST","2019-05-22","2024-05-22","Per=M","Days=T","Dir=V")</f>
        <v>0</v>
      </c>
      <c r="AS2">
        <f>BDH("MMATQ US Equity","CUR_MKT_CAP","2019-05-22","2024-05-22","Per=M","Days=T","Dir=V")</f>
        <v>0</v>
      </c>
      <c r="AU2">
        <f>BDH("MMATQ US Equity","EQY_SH_OUT","2019-05-22","2024-05-22","Per=M","Days=T","Dir=V")</f>
        <v>0</v>
      </c>
      <c r="AW2">
        <f>BDH("MMATQ US Equity","PX_VOLUME","2019-05-22","2024-05-22","Per=M","Days=T","Dir=V")</f>
        <v>0</v>
      </c>
      <c r="AY2">
        <f>BDH("MMATQ US Equity","TURNOVER","2019-05-22","2024-05-22","Per=M","Days=T","Dir=V")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BDH("BIGGQ US Equity","BS_TOT_ASSET","2019-06-11","2024-06-11","Per=Y","Days=T","Dir=V")</f>
        <v>0</v>
      </c>
      <c r="C2">
        <f>BDH("BIGGQ US Equity","BS_TOT_LIAB2","2019-06-11","2024-06-11","Per=Y","Days=T","Dir=V")</f>
        <v>0</v>
      </c>
      <c r="E2">
        <f>BDH("BIGGQ US Equity","SHORT_AND_LONG_TERM_DEBT","2019-06-11","2024-06-11","Per=Y","Days=T","Dir=V")</f>
        <v>0</v>
      </c>
      <c r="G2">
        <f>BDH("BIGGQ US Equity","BS_ST_BORROW","2019-06-11","2024-06-11","Per=Y","Days=T","Dir=V")</f>
        <v>0</v>
      </c>
      <c r="I2">
        <f>BDH("BIGGQ US Equity","BS_LT_BORROW","2019-06-11","2024-06-11","Per=Y","Days=T","Dir=V")</f>
        <v>0</v>
      </c>
      <c r="K2">
        <f>BDH("BIGGQ US Equity","BS_CASH_NEAR_CASH_ITEM","2019-06-11","2024-06-11","Per=Y","Days=T","Dir=V")</f>
        <v>0</v>
      </c>
      <c r="M2">
        <f>BDH("BIGGQ US Equity","BS_CUR_ASSET_REPORT","2019-06-11","2024-06-11","Per=Y","Days=T","Dir=V")</f>
        <v>0</v>
      </c>
      <c r="O2">
        <f>BDH("BIGGQ US Equity","BS_CUR_LIAB","2019-06-11","2024-06-11","Per=Y","Days=T","Dir=V")</f>
        <v>0</v>
      </c>
      <c r="Q2">
        <f>BDH("BIGGQ US Equity","BS_SHAREHOLDER_EQY_ENDING_PERIOD","2019-06-11","2024-06-11","Per=Y","Days=T","Dir=V")</f>
        <v>0</v>
      </c>
      <c r="S2">
        <f>BDH("BIGGQ US Equity","BS_ACCT_NOTE_RCV","2019-06-11","2024-06-11","Per=Y","Days=T","Dir=V")</f>
        <v>0</v>
      </c>
      <c r="U2">
        <f>BDH("BIGGQ US Equity","BS_INVENTORIES","2019-06-11","2024-06-11","Per=Y","Days=T","Dir=V")</f>
        <v>0</v>
      </c>
      <c r="W2">
        <f>BDH("BIGGQ US Equity","WORKING_CAPITAL","2019-06-11","2024-06-11","Per=Y","Days=T","Dir=V")</f>
        <v>0</v>
      </c>
      <c r="Y2">
        <f>BDH("BIGGQ US Equity","SALES_REV_TURN","2019-06-11","2024-06-11","Per=Y","Days=T","Dir=V")</f>
        <v>0</v>
      </c>
      <c r="AA2">
        <f>BDH("BIGGQ US Equity","EBIT","2019-06-11","2024-06-11","Per=Y","Days=T","Dir=V")</f>
        <v>0</v>
      </c>
      <c r="AC2">
        <f>BDH("BIGGQ US Equity","EBITDA","2019-06-11","2024-06-11","Per=Y","Days=T","Dir=V")</f>
        <v>0</v>
      </c>
      <c r="AE2">
        <f>BDH("BIGGQ US Equity","NET_INCOME","2019-06-11","2024-06-11","Per=Y","Days=T","Dir=V")</f>
        <v>0</v>
      </c>
      <c r="AG2">
        <f>BDH("BIGGQ US Equity","IS_INT_EXPENSE","2019-06-11","2024-06-11","Per=Y","Days=T","Dir=V")</f>
        <v>0</v>
      </c>
      <c r="AI2">
        <f>BDH("BIGGQ US Equity","IS_DEPR_EXP","2019-06-11","2024-06-11","Per=Y","Days=T","Dir=V")</f>
        <v>0</v>
      </c>
      <c r="AK2">
        <f>BDH("BIGGQ US Equity","CF_CASH_FROM_OPER","2019-06-11","2024-06-11","Per=Y","Days=T","Dir=V")</f>
        <v>0</v>
      </c>
      <c r="AM2">
        <f>BDH("BIGGQ US Equity","CAPITAL_EXPEND","2019-06-11","2024-06-11","Per=Y","Days=T","Dir=V")</f>
        <v>0</v>
      </c>
      <c r="AO2">
        <f>BDH("BIGGQ US Equity","CF_FREE_CASH_FLOW","2019-06-11","2024-06-11","Per=Y","Days=T","Dir=V")</f>
        <v>0</v>
      </c>
      <c r="AQ2">
        <f>BDH("BIGGQ US Equity","PX_LAST","2019-06-11","2024-06-11","Per=M","Days=T","Dir=V")</f>
        <v>0</v>
      </c>
      <c r="AS2">
        <f>BDH("BIGGQ US Equity","CUR_MKT_CAP","2019-06-11","2024-06-11","Per=M","Days=T","Dir=V")</f>
        <v>0</v>
      </c>
      <c r="AU2">
        <f>BDH("BIGGQ US Equity","EQY_SH_OUT","2019-06-11","2024-06-11","Per=M","Days=T","Dir=V")</f>
        <v>0</v>
      </c>
      <c r="AW2">
        <f>BDH("BIGGQ US Equity","PX_VOLUME","2019-06-11","2024-06-11","Per=M","Days=T","Dir=V")</f>
        <v>0</v>
      </c>
      <c r="AY2">
        <f>BDH("BIGGQ US Equity","TURNOVER","2019-06-11","2024-06-11","Per=M","Days=T","Dir=V")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BDH("TUPBQ US Equity","BS_TOT_ASSET","2019-06-19","2024-06-19","Per=Y","Days=T","Dir=V")</f>
        <v>0</v>
      </c>
      <c r="C2">
        <f>BDH("TUPBQ US Equity","BS_TOT_LIAB2","2019-06-19","2024-06-19","Per=Y","Days=T","Dir=V")</f>
        <v>0</v>
      </c>
      <c r="E2">
        <f>BDH("TUPBQ US Equity","SHORT_AND_LONG_TERM_DEBT","2019-06-19","2024-06-19","Per=Y","Days=T","Dir=V")</f>
        <v>0</v>
      </c>
      <c r="G2">
        <f>BDH("TUPBQ US Equity","BS_ST_BORROW","2019-06-19","2024-06-19","Per=Y","Days=T","Dir=V")</f>
        <v>0</v>
      </c>
      <c r="I2">
        <f>BDH("TUPBQ US Equity","BS_LT_BORROW","2019-06-19","2024-06-19","Per=Y","Days=T","Dir=V")</f>
        <v>0</v>
      </c>
      <c r="K2">
        <f>BDH("TUPBQ US Equity","BS_CASH_NEAR_CASH_ITEM","2019-06-19","2024-06-19","Per=Y","Days=T","Dir=V")</f>
        <v>0</v>
      </c>
      <c r="M2">
        <f>BDH("TUPBQ US Equity","BS_CUR_ASSET_REPORT","2019-06-19","2024-06-19","Per=Y","Days=T","Dir=V")</f>
        <v>0</v>
      </c>
      <c r="O2">
        <f>BDH("TUPBQ US Equity","BS_CUR_LIAB","2019-06-19","2024-06-19","Per=Y","Days=T","Dir=V")</f>
        <v>0</v>
      </c>
      <c r="Q2">
        <f>BDH("TUPBQ US Equity","BS_SHAREHOLDER_EQY_ENDING_PERIOD","2019-06-19","2024-06-19","Per=Y","Days=T","Dir=V")</f>
        <v>0</v>
      </c>
      <c r="S2">
        <f>BDH("TUPBQ US Equity","BS_ACCT_NOTE_RCV","2019-06-19","2024-06-19","Per=Y","Days=T","Dir=V")</f>
        <v>0</v>
      </c>
      <c r="U2">
        <f>BDH("TUPBQ US Equity","BS_INVENTORIES","2019-06-19","2024-06-19","Per=Y","Days=T","Dir=V")</f>
        <v>0</v>
      </c>
      <c r="W2">
        <f>BDH("TUPBQ US Equity","WORKING_CAPITAL","2019-06-19","2024-06-19","Per=Y","Days=T","Dir=V")</f>
        <v>0</v>
      </c>
      <c r="Y2">
        <f>BDH("TUPBQ US Equity","SALES_REV_TURN","2019-06-19","2024-06-19","Per=Y","Days=T","Dir=V")</f>
        <v>0</v>
      </c>
      <c r="AA2">
        <f>BDH("TUPBQ US Equity","EBIT","2019-06-19","2024-06-19","Per=Y","Days=T","Dir=V")</f>
        <v>0</v>
      </c>
      <c r="AC2">
        <f>BDH("TUPBQ US Equity","EBITDA","2019-06-19","2024-06-19","Per=Y","Days=T","Dir=V")</f>
        <v>0</v>
      </c>
      <c r="AE2">
        <f>BDH("TUPBQ US Equity","NET_INCOME","2019-06-19","2024-06-19","Per=Y","Days=T","Dir=V")</f>
        <v>0</v>
      </c>
      <c r="AG2">
        <f>BDH("TUPBQ US Equity","IS_INT_EXPENSE","2019-06-19","2024-06-19","Per=Y","Days=T","Dir=V")</f>
        <v>0</v>
      </c>
      <c r="AI2">
        <f>BDH("TUPBQ US Equity","IS_DEPR_EXP","2019-06-19","2024-06-19","Per=Y","Days=T","Dir=V")</f>
        <v>0</v>
      </c>
      <c r="AK2">
        <f>BDH("TUPBQ US Equity","CF_CASH_FROM_OPER","2019-06-19","2024-06-19","Per=Y","Days=T","Dir=V")</f>
        <v>0</v>
      </c>
      <c r="AM2">
        <f>BDH("TUPBQ US Equity","CAPITAL_EXPEND","2019-06-19","2024-06-19","Per=Y","Days=T","Dir=V")</f>
        <v>0</v>
      </c>
      <c r="AO2">
        <f>BDH("TUPBQ US Equity","CF_FREE_CASH_FLOW","2019-06-19","2024-06-19","Per=Y","Days=T","Dir=V")</f>
        <v>0</v>
      </c>
      <c r="AQ2">
        <f>BDH("TUPBQ US Equity","PX_LAST","2019-06-19","2024-06-19","Per=M","Days=T","Dir=V")</f>
        <v>0</v>
      </c>
      <c r="AS2">
        <f>BDH("TUPBQ US Equity","CUR_MKT_CAP","2019-06-19","2024-06-19","Per=M","Days=T","Dir=V")</f>
        <v>0</v>
      </c>
      <c r="AU2">
        <f>BDH("TUPBQ US Equity","EQY_SH_OUT","2019-06-19","2024-06-19","Per=M","Days=T","Dir=V")</f>
        <v>0</v>
      </c>
      <c r="AW2">
        <f>BDH("TUPBQ US Equity","PX_VOLUME","2019-06-19","2024-06-19","Per=M","Days=T","Dir=V")</f>
        <v>0</v>
      </c>
      <c r="AY2">
        <f>BDH("TUPBQ US Equity","TURNOVER","2019-06-19","2024-06-19","Per=M","Days=T","Dir=V")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BDH("EGIOQ US Equity","BS_TOT_ASSET","2019-06-19","2024-06-19","Per=Y","Days=T","Dir=V")</f>
        <v>0</v>
      </c>
      <c r="C2">
        <f>BDH("EGIOQ US Equity","BS_TOT_LIAB2","2019-06-19","2024-06-19","Per=Y","Days=T","Dir=V")</f>
        <v>0</v>
      </c>
      <c r="E2">
        <f>BDH("EGIOQ US Equity","SHORT_AND_LONG_TERM_DEBT","2019-06-19","2024-06-19","Per=Y","Days=T","Dir=V")</f>
        <v>0</v>
      </c>
      <c r="G2">
        <f>BDH("EGIOQ US Equity","BS_ST_BORROW","2019-06-19","2024-06-19","Per=Y","Days=T","Dir=V")</f>
        <v>0</v>
      </c>
      <c r="I2">
        <f>BDH("EGIOQ US Equity","BS_LT_BORROW","2019-06-19","2024-06-19","Per=Y","Days=T","Dir=V")</f>
        <v>0</v>
      </c>
      <c r="K2">
        <f>BDH("EGIOQ US Equity","BS_CASH_NEAR_CASH_ITEM","2019-06-19","2024-06-19","Per=Y","Days=T","Dir=V")</f>
        <v>0</v>
      </c>
      <c r="M2">
        <f>BDH("EGIOQ US Equity","BS_CUR_ASSET_REPORT","2019-06-19","2024-06-19","Per=Y","Days=T","Dir=V")</f>
        <v>0</v>
      </c>
      <c r="O2">
        <f>BDH("EGIOQ US Equity","BS_CUR_LIAB","2019-06-19","2024-06-19","Per=Y","Days=T","Dir=V")</f>
        <v>0</v>
      </c>
      <c r="Q2">
        <f>BDH("EGIOQ US Equity","BS_SHAREHOLDER_EQY_ENDING_PERIOD","2019-06-19","2024-06-19","Per=Y","Days=T","Dir=V")</f>
        <v>0</v>
      </c>
      <c r="S2">
        <f>BDH("EGIOQ US Equity","BS_ACCT_NOTE_RCV","2019-06-19","2024-06-19","Per=Y","Days=T","Dir=V")</f>
        <v>0</v>
      </c>
      <c r="U2">
        <f>BDH("EGIOQ US Equity","BS_INVENTORIES","2019-06-19","2024-06-19","Per=Y","Days=T","Dir=V")</f>
        <v>0</v>
      </c>
      <c r="W2">
        <f>BDH("EGIOQ US Equity","WORKING_CAPITAL","2019-06-19","2024-06-19","Per=Y","Days=T","Dir=V")</f>
        <v>0</v>
      </c>
      <c r="Y2">
        <f>BDH("EGIOQ US Equity","SALES_REV_TURN","2019-06-19","2024-06-19","Per=Y","Days=T","Dir=V")</f>
        <v>0</v>
      </c>
      <c r="AA2">
        <f>BDH("EGIOQ US Equity","EBIT","2019-06-19","2024-06-19","Per=Y","Days=T","Dir=V")</f>
        <v>0</v>
      </c>
      <c r="AC2">
        <f>BDH("EGIOQ US Equity","EBITDA","2019-06-19","2024-06-19","Per=Y","Days=T","Dir=V")</f>
        <v>0</v>
      </c>
      <c r="AE2">
        <f>BDH("EGIOQ US Equity","NET_INCOME","2019-06-19","2024-06-19","Per=Y","Days=T","Dir=V")</f>
        <v>0</v>
      </c>
      <c r="AG2">
        <f>BDH("EGIOQ US Equity","IS_INT_EXPENSE","2019-06-19","2024-06-19","Per=Y","Days=T","Dir=V")</f>
        <v>0</v>
      </c>
      <c r="AI2">
        <f>BDH("EGIOQ US Equity","IS_DEPR_EXP","2019-06-19","2024-06-19","Per=Y","Days=T","Dir=V")</f>
        <v>0</v>
      </c>
      <c r="AK2">
        <f>BDH("EGIOQ US Equity","CF_CASH_FROM_OPER","2019-06-19","2024-06-19","Per=Y","Days=T","Dir=V")</f>
        <v>0</v>
      </c>
      <c r="AM2">
        <f>BDH("EGIOQ US Equity","CAPITAL_EXPEND","2019-06-19","2024-06-19","Per=Y","Days=T","Dir=V")</f>
        <v>0</v>
      </c>
      <c r="AO2">
        <f>BDH("EGIOQ US Equity","CF_FREE_CASH_FLOW","2019-06-19","2024-06-19","Per=Y","Days=T","Dir=V")</f>
        <v>0</v>
      </c>
      <c r="AQ2">
        <f>BDH("EGIOQ US Equity","PX_LAST","2019-06-19","2024-06-19","Per=M","Days=T","Dir=V")</f>
        <v>0</v>
      </c>
      <c r="AS2">
        <f>BDH("EGIOQ US Equity","CUR_MKT_CAP","2019-06-19","2024-06-19","Per=M","Days=T","Dir=V")</f>
        <v>0</v>
      </c>
      <c r="AU2">
        <f>BDH("EGIOQ US Equity","EQY_SH_OUT","2019-06-19","2024-06-19","Per=M","Days=T","Dir=V")</f>
        <v>0</v>
      </c>
      <c r="AW2">
        <f>BDH("EGIOQ US Equity","PX_VOLUME","2019-06-19","2024-06-19","Per=M","Days=T","Dir=V")</f>
        <v>0</v>
      </c>
      <c r="AY2">
        <f>BDH("EGIOQ US Equity","TURNOVER","2019-06-19","2024-06-19","Per=M","Days=T","Dir=V")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BDH("BGXXQ US Equity","BS_TOT_ASSET","2019-06-20","2024-06-20","Per=Y","Days=T","Dir=V")</f>
        <v>0</v>
      </c>
      <c r="C2">
        <f>BDH("BGXXQ US Equity","BS_TOT_LIAB2","2019-06-20","2024-06-20","Per=Y","Days=T","Dir=V")</f>
        <v>0</v>
      </c>
      <c r="E2">
        <f>BDH("BGXXQ US Equity","SHORT_AND_LONG_TERM_DEBT","2019-06-20","2024-06-20","Per=Y","Days=T","Dir=V")</f>
        <v>0</v>
      </c>
      <c r="G2">
        <f>BDH("BGXXQ US Equity","BS_ST_BORROW","2019-06-20","2024-06-20","Per=Y","Days=T","Dir=V")</f>
        <v>0</v>
      </c>
      <c r="I2">
        <f>BDH("BGXXQ US Equity","BS_LT_BORROW","2019-06-20","2024-06-20","Per=Y","Days=T","Dir=V")</f>
        <v>0</v>
      </c>
      <c r="K2">
        <f>BDH("BGXXQ US Equity","BS_CASH_NEAR_CASH_ITEM","2019-06-20","2024-06-20","Per=Y","Days=T","Dir=V")</f>
        <v>0</v>
      </c>
      <c r="M2">
        <f>BDH("BGXXQ US Equity","BS_CUR_ASSET_REPORT","2019-06-20","2024-06-20","Per=Y","Days=T","Dir=V")</f>
        <v>0</v>
      </c>
      <c r="O2">
        <f>BDH("BGXXQ US Equity","BS_CUR_LIAB","2019-06-20","2024-06-20","Per=Y","Days=T","Dir=V")</f>
        <v>0</v>
      </c>
      <c r="Q2">
        <f>BDH("BGXXQ US Equity","BS_SHAREHOLDER_EQY_ENDING_PERIOD","2019-06-20","2024-06-20","Per=Y","Days=T","Dir=V")</f>
        <v>0</v>
      </c>
      <c r="S2">
        <f>BDH("BGXXQ US Equity","BS_ACCT_NOTE_RCV","2019-06-20","2024-06-20","Per=Y","Days=T","Dir=V")</f>
        <v>0</v>
      </c>
      <c r="U2">
        <f>BDH("BGXXQ US Equity","BS_INVENTORIES","2019-06-20","2024-06-20","Per=Y","Days=T","Dir=V")</f>
        <v>0</v>
      </c>
      <c r="W2">
        <f>BDH("BGXXQ US Equity","WORKING_CAPITAL","2019-06-20","2024-06-20","Per=Y","Days=T","Dir=V")</f>
        <v>0</v>
      </c>
      <c r="Y2">
        <f>BDH("BGXXQ US Equity","SALES_REV_TURN","2019-06-20","2024-06-20","Per=Y","Days=T","Dir=V")</f>
        <v>0</v>
      </c>
      <c r="AA2">
        <f>BDH("BGXXQ US Equity","EBIT","2019-06-20","2024-06-20","Per=Y","Days=T","Dir=V")</f>
        <v>0</v>
      </c>
      <c r="AC2">
        <f>BDH("BGXXQ US Equity","EBITDA","2019-06-20","2024-06-20","Per=Y","Days=T","Dir=V")</f>
        <v>0</v>
      </c>
      <c r="AE2">
        <f>BDH("BGXXQ US Equity","NET_INCOME","2019-06-20","2024-06-20","Per=Y","Days=T","Dir=V")</f>
        <v>0</v>
      </c>
      <c r="AG2">
        <f>BDH("BGXXQ US Equity","IS_INT_EXPENSE","2019-06-20","2024-06-20","Per=Y","Days=T","Dir=V")</f>
        <v>0</v>
      </c>
      <c r="AI2">
        <f>BDH("BGXXQ US Equity","IS_DEPR_EXP","2019-06-20","2024-06-20","Per=Y","Days=T","Dir=V")</f>
        <v>0</v>
      </c>
      <c r="AK2">
        <f>BDH("BGXXQ US Equity","CF_CASH_FROM_OPER","2019-06-20","2024-06-20","Per=Y","Days=T","Dir=V")</f>
        <v>0</v>
      </c>
      <c r="AM2">
        <f>BDH("BGXXQ US Equity","CAPITAL_EXPEND","2019-06-20","2024-06-20","Per=Y","Days=T","Dir=V")</f>
        <v>0</v>
      </c>
      <c r="AO2">
        <f>BDH("BGXXQ US Equity","CF_FREE_CASH_FLOW","2019-06-20","2024-06-20","Per=Y","Days=T","Dir=V")</f>
        <v>0</v>
      </c>
      <c r="AQ2">
        <f>BDH("BGXXQ US Equity","PX_LAST","2019-06-20","2024-06-20","Per=M","Days=T","Dir=V")</f>
        <v>0</v>
      </c>
      <c r="AS2">
        <f>BDH("BGXXQ US Equity","CUR_MKT_CAP","2019-06-20","2024-06-20","Per=M","Days=T","Dir=V")</f>
        <v>0</v>
      </c>
      <c r="AU2">
        <f>BDH("BGXXQ US Equity","EQY_SH_OUT","2019-06-20","2024-06-20","Per=M","Days=T","Dir=V")</f>
        <v>0</v>
      </c>
      <c r="AW2">
        <f>BDH("BGXXQ US Equity","PX_VOLUME","2019-06-20","2024-06-20","Per=M","Days=T","Dir=V")</f>
        <v>0</v>
      </c>
      <c r="AY2">
        <f>BDH("BGXXQ US Equity","TURNOVER","2019-06-20","2024-06-20","Per=M","Days=T","Dir=V")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BDH("SMFL US Equity","BS_TOT_ASSET","2019-06-20","2024-06-20","Per=Y","Days=T","Dir=V")</f>
        <v>0</v>
      </c>
      <c r="C2">
        <f>BDH("SMFL US Equity","BS_TOT_LIAB2","2019-06-20","2024-06-20","Per=Y","Days=T","Dir=V")</f>
        <v>0</v>
      </c>
      <c r="E2">
        <f>BDH("SMFL US Equity","SHORT_AND_LONG_TERM_DEBT","2019-06-20","2024-06-20","Per=Y","Days=T","Dir=V")</f>
        <v>0</v>
      </c>
      <c r="G2">
        <f>BDH("SMFL US Equity","BS_ST_BORROW","2019-06-20","2024-06-20","Per=Y","Days=T","Dir=V")</f>
        <v>0</v>
      </c>
      <c r="I2">
        <f>BDH("SMFL US Equity","BS_LT_BORROW","2019-06-20","2024-06-20","Per=Y","Days=T","Dir=V")</f>
        <v>0</v>
      </c>
      <c r="K2">
        <f>BDH("SMFL US Equity","BS_CASH_NEAR_CASH_ITEM","2019-06-20","2024-06-20","Per=Y","Days=T","Dir=V")</f>
        <v>0</v>
      </c>
      <c r="M2">
        <f>BDH("SMFL US Equity","BS_CUR_ASSET_REPORT","2019-06-20","2024-06-20","Per=Y","Days=T","Dir=V")</f>
        <v>0</v>
      </c>
      <c r="O2">
        <f>BDH("SMFL US Equity","BS_CUR_LIAB","2019-06-20","2024-06-20","Per=Y","Days=T","Dir=V")</f>
        <v>0</v>
      </c>
      <c r="Q2">
        <f>BDH("SMFL US Equity","BS_SHAREHOLDER_EQY_ENDING_PERIOD","2019-06-20","2024-06-20","Per=Y","Days=T","Dir=V")</f>
        <v>0</v>
      </c>
      <c r="S2">
        <f>BDH("SMFL US Equity","BS_ACCT_NOTE_RCV","2019-06-20","2024-06-20","Per=Y","Days=T","Dir=V")</f>
        <v>0</v>
      </c>
      <c r="U2">
        <f>BDH("SMFL US Equity","BS_INVENTORIES","2019-06-20","2024-06-20","Per=Y","Days=T","Dir=V")</f>
        <v>0</v>
      </c>
      <c r="W2">
        <f>BDH("SMFL US Equity","WORKING_CAPITAL","2019-06-20","2024-06-20","Per=Y","Days=T","Dir=V")</f>
        <v>0</v>
      </c>
      <c r="Y2">
        <f>BDH("SMFL US Equity","SALES_REV_TURN","2019-06-20","2024-06-20","Per=Y","Days=T","Dir=V")</f>
        <v>0</v>
      </c>
      <c r="AA2">
        <f>BDH("SMFL US Equity","EBIT","2019-06-20","2024-06-20","Per=Y","Days=T","Dir=V")</f>
        <v>0</v>
      </c>
      <c r="AC2">
        <f>BDH("SMFL US Equity","EBITDA","2019-06-20","2024-06-20","Per=Y","Days=T","Dir=V")</f>
        <v>0</v>
      </c>
      <c r="AE2">
        <f>BDH("SMFL US Equity","NET_INCOME","2019-06-20","2024-06-20","Per=Y","Days=T","Dir=V")</f>
        <v>0</v>
      </c>
      <c r="AG2">
        <f>BDH("SMFL US Equity","IS_INT_EXPENSE","2019-06-20","2024-06-20","Per=Y","Days=T","Dir=V")</f>
        <v>0</v>
      </c>
      <c r="AI2">
        <f>BDH("SMFL US Equity","IS_DEPR_EXP","2019-06-20","2024-06-20","Per=Y","Days=T","Dir=V")</f>
        <v>0</v>
      </c>
      <c r="AK2">
        <f>BDH("SMFL US Equity","CF_CASH_FROM_OPER","2019-06-20","2024-06-20","Per=Y","Days=T","Dir=V")</f>
        <v>0</v>
      </c>
      <c r="AM2">
        <f>BDH("SMFL US Equity","CAPITAL_EXPEND","2019-06-20","2024-06-20","Per=Y","Days=T","Dir=V")</f>
        <v>0</v>
      </c>
      <c r="AO2">
        <f>BDH("SMFL US Equity","CF_FREE_CASH_FLOW","2019-06-20","2024-06-20","Per=Y","Days=T","Dir=V")</f>
        <v>0</v>
      </c>
      <c r="AQ2">
        <f>BDH("SMFL US Equity","PX_LAST","2019-06-20","2024-06-20","Per=M","Days=T","Dir=V")</f>
        <v>0</v>
      </c>
      <c r="AS2">
        <f>BDH("SMFL US Equity","CUR_MKT_CAP","2019-06-20","2024-06-20","Per=M","Days=T","Dir=V")</f>
        <v>0</v>
      </c>
      <c r="AU2">
        <f>BDH("SMFL US Equity","EQY_SH_OUT","2019-06-20","2024-06-20","Per=M","Days=T","Dir=V")</f>
        <v>0</v>
      </c>
      <c r="AW2">
        <f>BDH("SMFL US Equity","PX_VOLUME","2019-06-20","2024-06-20","Per=M","Days=T","Dir=V")</f>
        <v>0</v>
      </c>
      <c r="AY2">
        <f>BDH("SMFL US Equity","TURNOVER","2019-06-20","2024-06-20","Per=M","Days=T","Dir=V")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BDH("BFICQ US Equity","BS_TOT_ASSET","2019-06-22","2024-06-22","Per=Y","Days=T","Dir=V")</f>
        <v>0</v>
      </c>
      <c r="C2">
        <f>BDH("BFICQ US Equity","BS_TOT_LIAB2","2019-06-22","2024-06-22","Per=Y","Days=T","Dir=V")</f>
        <v>0</v>
      </c>
      <c r="E2">
        <f>BDH("BFICQ US Equity","SHORT_AND_LONG_TERM_DEBT","2019-06-22","2024-06-22","Per=Y","Days=T","Dir=V")</f>
        <v>0</v>
      </c>
      <c r="G2">
        <f>BDH("BFICQ US Equity","BS_ST_BORROW","2019-06-22","2024-06-22","Per=Y","Days=T","Dir=V")</f>
        <v>0</v>
      </c>
      <c r="I2">
        <f>BDH("BFICQ US Equity","BS_LT_BORROW","2019-06-22","2024-06-22","Per=Y","Days=T","Dir=V")</f>
        <v>0</v>
      </c>
      <c r="K2">
        <f>BDH("BFICQ US Equity","BS_CASH_NEAR_CASH_ITEM","2019-06-22","2024-06-22","Per=Y","Days=T","Dir=V")</f>
        <v>0</v>
      </c>
      <c r="M2">
        <f>BDH("BFICQ US Equity","BS_CUR_ASSET_REPORT","2019-06-22","2024-06-22","Per=Y","Days=T","Dir=V")</f>
        <v>0</v>
      </c>
      <c r="O2">
        <f>BDH("BFICQ US Equity","BS_CUR_LIAB","2019-06-22","2024-06-22","Per=Y","Days=T","Dir=V")</f>
        <v>0</v>
      </c>
      <c r="Q2">
        <f>BDH("BFICQ US Equity","BS_SHAREHOLDER_EQY_ENDING_PERIOD","2019-06-22","2024-06-22","Per=Y","Days=T","Dir=V")</f>
        <v>0</v>
      </c>
      <c r="S2">
        <f>BDH("BFICQ US Equity","BS_ACCT_NOTE_RCV","2019-06-22","2024-06-22","Per=Y","Days=T","Dir=V")</f>
        <v>0</v>
      </c>
      <c r="U2">
        <f>BDH("BFICQ US Equity","BS_INVENTORIES","2019-06-22","2024-06-22","Per=Y","Days=T","Dir=V")</f>
        <v>0</v>
      </c>
      <c r="W2">
        <f>BDH("BFICQ US Equity","WORKING_CAPITAL","2019-06-22","2024-06-22","Per=Y","Days=T","Dir=V")</f>
        <v>0</v>
      </c>
      <c r="Y2">
        <f>BDH("BFICQ US Equity","SALES_REV_TURN","2019-06-22","2024-06-22","Per=Y","Days=T","Dir=V")</f>
        <v>0</v>
      </c>
      <c r="AA2">
        <f>BDH("BFICQ US Equity","EBIT","2019-06-22","2024-06-22","Per=Y","Days=T","Dir=V")</f>
        <v>0</v>
      </c>
      <c r="AC2">
        <f>BDH("BFICQ US Equity","EBITDA","2019-06-22","2024-06-22","Per=Y","Days=T","Dir=V")</f>
        <v>0</v>
      </c>
      <c r="AE2">
        <f>BDH("BFICQ US Equity","NET_INCOME","2019-06-22","2024-06-22","Per=Y","Days=T","Dir=V")</f>
        <v>0</v>
      </c>
      <c r="AG2">
        <f>BDH("BFICQ US Equity","IS_INT_EXPENSE","2019-06-22","2024-06-22","Per=Y","Days=T","Dir=V")</f>
        <v>0</v>
      </c>
      <c r="AI2">
        <f>BDH("BFICQ US Equity","IS_DEPR_EXP","2019-06-22","2024-06-22","Per=Y","Days=T","Dir=V")</f>
        <v>0</v>
      </c>
      <c r="AK2">
        <f>BDH("BFICQ US Equity","CF_CASH_FROM_OPER","2019-06-22","2024-06-22","Per=Y","Days=T","Dir=V")</f>
        <v>0</v>
      </c>
      <c r="AM2">
        <f>BDH("BFICQ US Equity","CAPITAL_EXPEND","2019-06-22","2024-06-22","Per=Y","Days=T","Dir=V")</f>
        <v>0</v>
      </c>
      <c r="AO2">
        <f>BDH("BFICQ US Equity","CF_FREE_CASH_FLOW","2019-06-22","2024-06-22","Per=Y","Days=T","Dir=V")</f>
        <v>0</v>
      </c>
      <c r="AQ2">
        <f>BDH("BFICQ US Equity","PX_LAST","2019-06-22","2024-06-22","Per=M","Days=T","Dir=V")</f>
        <v>0</v>
      </c>
      <c r="AS2">
        <f>BDH("BFICQ US Equity","CUR_MKT_CAP","2019-06-22","2024-06-22","Per=M","Days=T","Dir=V")</f>
        <v>0</v>
      </c>
      <c r="AU2">
        <f>BDH("BFICQ US Equity","EQY_SH_OUT","2019-06-22","2024-06-22","Per=M","Days=T","Dir=V")</f>
        <v>0</v>
      </c>
      <c r="AW2">
        <f>BDH("BFICQ US Equity","PX_VOLUME","2019-06-22","2024-06-22","Per=M","Days=T","Dir=V")</f>
        <v>0</v>
      </c>
      <c r="AY2">
        <f>BDH("BFICQ US Equity","TURNOVER","2019-06-22","2024-06-22","Per=M","Days=T","Dir=V")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BDH("EVVAQ US Equity","BS_TOT_ASSET","2019-07-05","2024-07-05","Per=Y","Days=T","Dir=V")</f>
        <v>0</v>
      </c>
      <c r="C2">
        <f>BDH("EVVAQ US Equity","BS_TOT_LIAB2","2019-07-05","2024-07-05","Per=Y","Days=T","Dir=V")</f>
        <v>0</v>
      </c>
      <c r="E2">
        <f>BDH("EVVAQ US Equity","SHORT_AND_LONG_TERM_DEBT","2019-07-05","2024-07-05","Per=Y","Days=T","Dir=V")</f>
        <v>0</v>
      </c>
      <c r="G2">
        <f>BDH("EVVAQ US Equity","BS_ST_BORROW","2019-07-05","2024-07-05","Per=Y","Days=T","Dir=V")</f>
        <v>0</v>
      </c>
      <c r="I2">
        <f>BDH("EVVAQ US Equity","BS_LT_BORROW","2019-07-05","2024-07-05","Per=Y","Days=T","Dir=V")</f>
        <v>0</v>
      </c>
      <c r="K2">
        <f>BDH("EVVAQ US Equity","BS_CASH_NEAR_CASH_ITEM","2019-07-05","2024-07-05","Per=Y","Days=T","Dir=V")</f>
        <v>0</v>
      </c>
      <c r="M2">
        <f>BDH("EVVAQ US Equity","BS_CUR_ASSET_REPORT","2019-07-05","2024-07-05","Per=Y","Days=T","Dir=V")</f>
        <v>0</v>
      </c>
      <c r="O2">
        <f>BDH("EVVAQ US Equity","BS_CUR_LIAB","2019-07-05","2024-07-05","Per=Y","Days=T","Dir=V")</f>
        <v>0</v>
      </c>
      <c r="Q2">
        <f>BDH("EVVAQ US Equity","BS_SHAREHOLDER_EQY_ENDING_PERIOD","2019-07-05","2024-07-05","Per=Y","Days=T","Dir=V")</f>
        <v>0</v>
      </c>
      <c r="S2">
        <f>BDH("EVVAQ US Equity","BS_ACCT_NOTE_RCV","2019-07-05","2024-07-05","Per=Y","Days=T","Dir=V")</f>
        <v>0</v>
      </c>
      <c r="U2">
        <f>BDH("EVVAQ US Equity","BS_INVENTORIES","2019-07-05","2024-07-05","Per=Y","Days=T","Dir=V")</f>
        <v>0</v>
      </c>
      <c r="W2">
        <f>BDH("EVVAQ US Equity","WORKING_CAPITAL","2019-07-05","2024-07-05","Per=Y","Days=T","Dir=V")</f>
        <v>0</v>
      </c>
      <c r="Y2">
        <f>BDH("EVVAQ US Equity","SALES_REV_TURN","2019-07-05","2024-07-05","Per=Y","Days=T","Dir=V")</f>
        <v>0</v>
      </c>
      <c r="AA2">
        <f>BDH("EVVAQ US Equity","EBIT","2019-07-05","2024-07-05","Per=Y","Days=T","Dir=V")</f>
        <v>0</v>
      </c>
      <c r="AC2">
        <f>BDH("EVVAQ US Equity","EBITDA","2019-07-05","2024-07-05","Per=Y","Days=T","Dir=V")</f>
        <v>0</v>
      </c>
      <c r="AE2">
        <f>BDH("EVVAQ US Equity","NET_INCOME","2019-07-05","2024-07-05","Per=Y","Days=T","Dir=V")</f>
        <v>0</v>
      </c>
      <c r="AG2">
        <f>BDH("EVVAQ US Equity","IS_INT_EXPENSE","2019-07-05","2024-07-05","Per=Y","Days=T","Dir=V")</f>
        <v>0</v>
      </c>
      <c r="AI2">
        <f>BDH("EVVAQ US Equity","IS_DEPR_EXP","2019-07-05","2024-07-05","Per=Y","Days=T","Dir=V")</f>
        <v>0</v>
      </c>
      <c r="AK2">
        <f>BDH("EVVAQ US Equity","CF_CASH_FROM_OPER","2019-07-05","2024-07-05","Per=Y","Days=T","Dir=V")</f>
        <v>0</v>
      </c>
      <c r="AM2">
        <f>BDH("EVVAQ US Equity","CAPITAL_EXPEND","2019-07-05","2024-07-05","Per=Y","Days=T","Dir=V")</f>
        <v>0</v>
      </c>
      <c r="AO2">
        <f>BDH("EVVAQ US Equity","CF_FREE_CASH_FLOW","2019-07-05","2024-07-05","Per=Y","Days=T","Dir=V")</f>
        <v>0</v>
      </c>
      <c r="AQ2">
        <f>BDH("EVVAQ US Equity","PX_LAST","2019-07-05","2024-07-05","Per=M","Days=T","Dir=V")</f>
        <v>0</v>
      </c>
      <c r="AS2">
        <f>BDH("EVVAQ US Equity","CUR_MKT_CAP","2019-07-05","2024-07-05","Per=M","Days=T","Dir=V")</f>
        <v>0</v>
      </c>
      <c r="AU2">
        <f>BDH("EVVAQ US Equity","EQY_SH_OUT","2019-07-05","2024-07-05","Per=M","Days=T","Dir=V")</f>
        <v>0</v>
      </c>
      <c r="AW2">
        <f>BDH("EVVAQ US Equity","PX_VOLUME","2019-07-05","2024-07-05","Per=M","Days=T","Dir=V")</f>
        <v>0</v>
      </c>
      <c r="AY2">
        <f>BDH("EVVAQ US Equity","TURNOVER","2019-07-05","2024-07-05","Per=M","Days=T","Dir=V")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BDH("VTNRQ US Equity","BS_TOT_ASSET","2019-07-09","2024-07-09","Per=Y","Days=T","Dir=V")</f>
        <v>0</v>
      </c>
      <c r="C2">
        <f>BDH("VTNRQ US Equity","BS_TOT_LIAB2","2019-07-09","2024-07-09","Per=Y","Days=T","Dir=V")</f>
        <v>0</v>
      </c>
      <c r="E2">
        <f>BDH("VTNRQ US Equity","SHORT_AND_LONG_TERM_DEBT","2019-07-09","2024-07-09","Per=Y","Days=T","Dir=V")</f>
        <v>0</v>
      </c>
      <c r="G2">
        <f>BDH("VTNRQ US Equity","BS_ST_BORROW","2019-07-09","2024-07-09","Per=Y","Days=T","Dir=V")</f>
        <v>0</v>
      </c>
      <c r="I2">
        <f>BDH("VTNRQ US Equity","BS_LT_BORROW","2019-07-09","2024-07-09","Per=Y","Days=T","Dir=V")</f>
        <v>0</v>
      </c>
      <c r="K2">
        <f>BDH("VTNRQ US Equity","BS_CASH_NEAR_CASH_ITEM","2019-07-09","2024-07-09","Per=Y","Days=T","Dir=V")</f>
        <v>0</v>
      </c>
      <c r="M2">
        <f>BDH("VTNRQ US Equity","BS_CUR_ASSET_REPORT","2019-07-09","2024-07-09","Per=Y","Days=T","Dir=V")</f>
        <v>0</v>
      </c>
      <c r="O2">
        <f>BDH("VTNRQ US Equity","BS_CUR_LIAB","2019-07-09","2024-07-09","Per=Y","Days=T","Dir=V")</f>
        <v>0</v>
      </c>
      <c r="Q2">
        <f>BDH("VTNRQ US Equity","BS_SHAREHOLDER_EQY_ENDING_PERIOD","2019-07-09","2024-07-09","Per=Y","Days=T","Dir=V")</f>
        <v>0</v>
      </c>
      <c r="S2">
        <f>BDH("VTNRQ US Equity","BS_ACCT_NOTE_RCV","2019-07-09","2024-07-09","Per=Y","Days=T","Dir=V")</f>
        <v>0</v>
      </c>
      <c r="U2">
        <f>BDH("VTNRQ US Equity","BS_INVENTORIES","2019-07-09","2024-07-09","Per=Y","Days=T","Dir=V")</f>
        <v>0</v>
      </c>
      <c r="W2">
        <f>BDH("VTNRQ US Equity","WORKING_CAPITAL","2019-07-09","2024-07-09","Per=Y","Days=T","Dir=V")</f>
        <v>0</v>
      </c>
      <c r="Y2">
        <f>BDH("VTNRQ US Equity","SALES_REV_TURN","2019-07-09","2024-07-09","Per=Y","Days=T","Dir=V")</f>
        <v>0</v>
      </c>
      <c r="AA2">
        <f>BDH("VTNRQ US Equity","EBIT","2019-07-09","2024-07-09","Per=Y","Days=T","Dir=V")</f>
        <v>0</v>
      </c>
      <c r="AC2">
        <f>BDH("VTNRQ US Equity","EBITDA","2019-07-09","2024-07-09","Per=Y","Days=T","Dir=V")</f>
        <v>0</v>
      </c>
      <c r="AE2">
        <f>BDH("VTNRQ US Equity","NET_INCOME","2019-07-09","2024-07-09","Per=Y","Days=T","Dir=V")</f>
        <v>0</v>
      </c>
      <c r="AG2">
        <f>BDH("VTNRQ US Equity","IS_INT_EXPENSE","2019-07-09","2024-07-09","Per=Y","Days=T","Dir=V")</f>
        <v>0</v>
      </c>
      <c r="AI2">
        <f>BDH("VTNRQ US Equity","IS_DEPR_EXP","2019-07-09","2024-07-09","Per=Y","Days=T","Dir=V")</f>
        <v>0</v>
      </c>
      <c r="AK2">
        <f>BDH("VTNRQ US Equity","CF_CASH_FROM_OPER","2019-07-09","2024-07-09","Per=Y","Days=T","Dir=V")</f>
        <v>0</v>
      </c>
      <c r="AM2">
        <f>BDH("VTNRQ US Equity","CAPITAL_EXPEND","2019-07-09","2024-07-09","Per=Y","Days=T","Dir=V")</f>
        <v>0</v>
      </c>
      <c r="AO2">
        <f>BDH("VTNRQ US Equity","CF_FREE_CASH_FLOW","2019-07-09","2024-07-09","Per=Y","Days=T","Dir=V")</f>
        <v>0</v>
      </c>
      <c r="AQ2">
        <f>BDH("VTNRQ US Equity","PX_LAST","2019-07-09","2024-07-09","Per=M","Days=T","Dir=V")</f>
        <v>0</v>
      </c>
      <c r="AS2">
        <f>BDH("VTNRQ US Equity","CUR_MKT_CAP","2019-07-09","2024-07-09","Per=M","Days=T","Dir=V")</f>
        <v>0</v>
      </c>
      <c r="AU2">
        <f>BDH("VTNRQ US Equity","EQY_SH_OUT","2019-07-09","2024-07-09","Per=M","Days=T","Dir=V")</f>
        <v>0</v>
      </c>
      <c r="AW2">
        <f>BDH("VTNRQ US Equity","PX_VOLUME","2019-07-09","2024-07-09","Per=M","Days=T","Dir=V")</f>
        <v>0</v>
      </c>
      <c r="AY2">
        <f>BDH("VTNRQ US Equity","TURNOVER","2019-07-09","2024-07-09","Per=M","Days=T","Dir=V")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BDH("GRTSQ US Equity","BS_TOT_ASSET","2019-07-23","2024-07-23","Per=Y","Days=T","Dir=V")</f>
        <v>0</v>
      </c>
      <c r="C2">
        <f>BDH("GRTSQ US Equity","BS_TOT_LIAB2","2019-07-23","2024-07-23","Per=Y","Days=T","Dir=V")</f>
        <v>0</v>
      </c>
      <c r="E2">
        <f>BDH("GRTSQ US Equity","SHORT_AND_LONG_TERM_DEBT","2019-07-23","2024-07-23","Per=Y","Days=T","Dir=V")</f>
        <v>0</v>
      </c>
      <c r="G2">
        <f>BDH("GRTSQ US Equity","BS_ST_BORROW","2019-07-23","2024-07-23","Per=Y","Days=T","Dir=V")</f>
        <v>0</v>
      </c>
      <c r="I2">
        <f>BDH("GRTSQ US Equity","BS_LT_BORROW","2019-07-23","2024-07-23","Per=Y","Days=T","Dir=V")</f>
        <v>0</v>
      </c>
      <c r="K2">
        <f>BDH("GRTSQ US Equity","BS_CASH_NEAR_CASH_ITEM","2019-07-23","2024-07-23","Per=Y","Days=T","Dir=V")</f>
        <v>0</v>
      </c>
      <c r="M2">
        <f>BDH("GRTSQ US Equity","BS_CUR_ASSET_REPORT","2019-07-23","2024-07-23","Per=Y","Days=T","Dir=V")</f>
        <v>0</v>
      </c>
      <c r="O2">
        <f>BDH("GRTSQ US Equity","BS_CUR_LIAB","2019-07-23","2024-07-23","Per=Y","Days=T","Dir=V")</f>
        <v>0</v>
      </c>
      <c r="Q2">
        <f>BDH("GRTSQ US Equity","BS_SHAREHOLDER_EQY_ENDING_PERIOD","2019-07-23","2024-07-23","Per=Y","Days=T","Dir=V")</f>
        <v>0</v>
      </c>
      <c r="S2">
        <f>BDH("GRTSQ US Equity","BS_ACCT_NOTE_RCV","2019-07-23","2024-07-23","Per=Y","Days=T","Dir=V")</f>
        <v>0</v>
      </c>
      <c r="U2">
        <f>BDH("GRTSQ US Equity","BS_INVENTORIES","2019-07-23","2024-07-23","Per=Y","Days=T","Dir=V")</f>
        <v>0</v>
      </c>
      <c r="W2">
        <f>BDH("GRTSQ US Equity","WORKING_CAPITAL","2019-07-23","2024-07-23","Per=Y","Days=T","Dir=V")</f>
        <v>0</v>
      </c>
      <c r="Y2">
        <f>BDH("GRTSQ US Equity","SALES_REV_TURN","2019-07-23","2024-07-23","Per=Y","Days=T","Dir=V")</f>
        <v>0</v>
      </c>
      <c r="AA2">
        <f>BDH("GRTSQ US Equity","EBIT","2019-07-23","2024-07-23","Per=Y","Days=T","Dir=V")</f>
        <v>0</v>
      </c>
      <c r="AC2">
        <f>BDH("GRTSQ US Equity","EBITDA","2019-07-23","2024-07-23","Per=Y","Days=T","Dir=V")</f>
        <v>0</v>
      </c>
      <c r="AE2">
        <f>BDH("GRTSQ US Equity","NET_INCOME","2019-07-23","2024-07-23","Per=Y","Days=T","Dir=V")</f>
        <v>0</v>
      </c>
      <c r="AG2">
        <f>BDH("GRTSQ US Equity","IS_INT_EXPENSE","2019-07-23","2024-07-23","Per=Y","Days=T","Dir=V")</f>
        <v>0</v>
      </c>
      <c r="AI2">
        <f>BDH("GRTSQ US Equity","IS_DEPR_EXP","2019-07-23","2024-07-23","Per=Y","Days=T","Dir=V")</f>
        <v>0</v>
      </c>
      <c r="AK2">
        <f>BDH("GRTSQ US Equity","CF_CASH_FROM_OPER","2019-07-23","2024-07-23","Per=Y","Days=T","Dir=V")</f>
        <v>0</v>
      </c>
      <c r="AM2">
        <f>BDH("GRTSQ US Equity","CAPITAL_EXPEND","2019-07-23","2024-07-23","Per=Y","Days=T","Dir=V")</f>
        <v>0</v>
      </c>
      <c r="AO2">
        <f>BDH("GRTSQ US Equity","CF_FREE_CASH_FLOW","2019-07-23","2024-07-23","Per=Y","Days=T","Dir=V")</f>
        <v>0</v>
      </c>
      <c r="AQ2">
        <f>BDH("GRTSQ US Equity","PX_LAST","2019-07-23","2024-07-23","Per=M","Days=T","Dir=V")</f>
        <v>0</v>
      </c>
      <c r="AS2">
        <f>BDH("GRTSQ US Equity","CUR_MKT_CAP","2019-07-23","2024-07-23","Per=M","Days=T","Dir=V")</f>
        <v>0</v>
      </c>
      <c r="AU2">
        <f>BDH("GRTSQ US Equity","EQY_SH_OUT","2019-07-23","2024-07-23","Per=M","Days=T","Dir=V")</f>
        <v>0</v>
      </c>
      <c r="AW2">
        <f>BDH("GRTSQ US Equity","PX_VOLUME","2019-07-23","2024-07-23","Per=M","Days=T","Dir=V")</f>
        <v>0</v>
      </c>
      <c r="AY2">
        <f>BDH("GRTSQ US Equity","TURNOVER","2019-07-23","2024-07-23","Per=M","Days=T","Dir=V")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BDH("VEVMQ US Equity","BS_TOT_ASSET","2019-08-01","2024-08-01","Per=Y","Days=T","Dir=V")</f>
        <v>0</v>
      </c>
      <c r="C2">
        <f>BDH("VEVMQ US Equity","BS_TOT_LIAB2","2019-08-01","2024-08-01","Per=Y","Days=T","Dir=V")</f>
        <v>0</v>
      </c>
      <c r="E2">
        <f>BDH("VEVMQ US Equity","SHORT_AND_LONG_TERM_DEBT","2019-08-01","2024-08-01","Per=Y","Days=T","Dir=V")</f>
        <v>0</v>
      </c>
      <c r="G2">
        <f>BDH("VEVMQ US Equity","BS_ST_BORROW","2019-08-01","2024-08-01","Per=Y","Days=T","Dir=V")</f>
        <v>0</v>
      </c>
      <c r="I2">
        <f>BDH("VEVMQ US Equity","BS_LT_BORROW","2019-08-01","2024-08-01","Per=Y","Days=T","Dir=V")</f>
        <v>0</v>
      </c>
      <c r="K2">
        <f>BDH("VEVMQ US Equity","BS_CASH_NEAR_CASH_ITEM","2019-08-01","2024-08-01","Per=Y","Days=T","Dir=V")</f>
        <v>0</v>
      </c>
      <c r="M2">
        <f>BDH("VEVMQ US Equity","BS_CUR_ASSET_REPORT","2019-08-01","2024-08-01","Per=Y","Days=T","Dir=V")</f>
        <v>0</v>
      </c>
      <c r="O2">
        <f>BDH("VEVMQ US Equity","BS_CUR_LIAB","2019-08-01","2024-08-01","Per=Y","Days=T","Dir=V")</f>
        <v>0</v>
      </c>
      <c r="Q2">
        <f>BDH("VEVMQ US Equity","BS_SHAREHOLDER_EQY_ENDING_PERIOD","2019-08-01","2024-08-01","Per=Y","Days=T","Dir=V")</f>
        <v>0</v>
      </c>
      <c r="S2">
        <f>BDH("VEVMQ US Equity","BS_ACCT_NOTE_RCV","2019-08-01","2024-08-01","Per=Y","Days=T","Dir=V")</f>
        <v>0</v>
      </c>
      <c r="U2">
        <f>BDH("VEVMQ US Equity","BS_INVENTORIES","2019-08-01","2024-08-01","Per=Y","Days=T","Dir=V")</f>
        <v>0</v>
      </c>
      <c r="W2">
        <f>BDH("VEVMQ US Equity","WORKING_CAPITAL","2019-08-01","2024-08-01","Per=Y","Days=T","Dir=V")</f>
        <v>0</v>
      </c>
      <c r="Y2">
        <f>BDH("VEVMQ US Equity","SALES_REV_TURN","2019-08-01","2024-08-01","Per=Y","Days=T","Dir=V")</f>
        <v>0</v>
      </c>
      <c r="AA2">
        <f>BDH("VEVMQ US Equity","EBIT","2019-08-01","2024-08-01","Per=Y","Days=T","Dir=V")</f>
        <v>0</v>
      </c>
      <c r="AC2">
        <f>BDH("VEVMQ US Equity","EBITDA","2019-08-01","2024-08-01","Per=Y","Days=T","Dir=V")</f>
        <v>0</v>
      </c>
      <c r="AE2">
        <f>BDH("VEVMQ US Equity","NET_INCOME","2019-08-01","2024-08-01","Per=Y","Days=T","Dir=V")</f>
        <v>0</v>
      </c>
      <c r="AG2">
        <f>BDH("VEVMQ US Equity","IS_INT_EXPENSE","2019-08-01","2024-08-01","Per=Y","Days=T","Dir=V")</f>
        <v>0</v>
      </c>
      <c r="AI2">
        <f>BDH("VEVMQ US Equity","IS_DEPR_EXP","2019-08-01","2024-08-01","Per=Y","Days=T","Dir=V")</f>
        <v>0</v>
      </c>
      <c r="AK2">
        <f>BDH("VEVMQ US Equity","CF_CASH_FROM_OPER","2019-08-01","2024-08-01","Per=Y","Days=T","Dir=V")</f>
        <v>0</v>
      </c>
      <c r="AM2">
        <f>BDH("VEVMQ US Equity","CAPITAL_EXPEND","2019-08-01","2024-08-01","Per=Y","Days=T","Dir=V")</f>
        <v>0</v>
      </c>
      <c r="AO2">
        <f>BDH("VEVMQ US Equity","CF_FREE_CASH_FLOW","2019-08-01","2024-08-01","Per=Y","Days=T","Dir=V")</f>
        <v>0</v>
      </c>
      <c r="AQ2">
        <f>BDH("VEVMQ US Equity","PX_LAST","2019-08-01","2024-08-01","Per=M","Days=T","Dir=V")</f>
        <v>0</v>
      </c>
      <c r="AS2">
        <f>BDH("VEVMQ US Equity","CUR_MKT_CAP","2019-08-01","2024-08-01","Per=M","Days=T","Dir=V")</f>
        <v>0</v>
      </c>
      <c r="AU2">
        <f>BDH("VEVMQ US Equity","EQY_SH_OUT","2019-08-01","2024-08-01","Per=M","Days=T","Dir=V")</f>
        <v>0</v>
      </c>
      <c r="AW2">
        <f>BDH("VEVMQ US Equity","PX_VOLUME","2019-08-01","2024-08-01","Per=M","Days=T","Dir=V")</f>
        <v>0</v>
      </c>
      <c r="AY2">
        <f>BDH("VEVMQ US Equity","TURNOVER","2019-08-01","2024-08-01","Per=M","Days=T","Dir=V")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BDH("SAVEQ US Equity","BS_TOT_ASSET","2019-08-20","2024-08-20","Per=Y","Days=T","Dir=V")</f>
        <v>0</v>
      </c>
      <c r="C2">
        <f>BDH("SAVEQ US Equity","BS_TOT_LIAB2","2019-08-20","2024-08-20","Per=Y","Days=T","Dir=V")</f>
        <v>0</v>
      </c>
      <c r="E2">
        <f>BDH("SAVEQ US Equity","SHORT_AND_LONG_TERM_DEBT","2019-08-20","2024-08-20","Per=Y","Days=T","Dir=V")</f>
        <v>0</v>
      </c>
      <c r="G2">
        <f>BDH("SAVEQ US Equity","BS_ST_BORROW","2019-08-20","2024-08-20","Per=Y","Days=T","Dir=V")</f>
        <v>0</v>
      </c>
      <c r="I2">
        <f>BDH("SAVEQ US Equity","BS_LT_BORROW","2019-08-20","2024-08-20","Per=Y","Days=T","Dir=V")</f>
        <v>0</v>
      </c>
      <c r="K2">
        <f>BDH("SAVEQ US Equity","BS_CASH_NEAR_CASH_ITEM","2019-08-20","2024-08-20","Per=Y","Days=T","Dir=V")</f>
        <v>0</v>
      </c>
      <c r="M2">
        <f>BDH("SAVEQ US Equity","BS_CUR_ASSET_REPORT","2019-08-20","2024-08-20","Per=Y","Days=T","Dir=V")</f>
        <v>0</v>
      </c>
      <c r="O2">
        <f>BDH("SAVEQ US Equity","BS_CUR_LIAB","2019-08-20","2024-08-20","Per=Y","Days=T","Dir=V")</f>
        <v>0</v>
      </c>
      <c r="Q2">
        <f>BDH("SAVEQ US Equity","BS_SHAREHOLDER_EQY_ENDING_PERIOD","2019-08-20","2024-08-20","Per=Y","Days=T","Dir=V")</f>
        <v>0</v>
      </c>
      <c r="S2">
        <f>BDH("SAVEQ US Equity","BS_ACCT_NOTE_RCV","2019-08-20","2024-08-20","Per=Y","Days=T","Dir=V")</f>
        <v>0</v>
      </c>
      <c r="U2">
        <f>BDH("SAVEQ US Equity","BS_INVENTORIES","2019-08-20","2024-08-20","Per=Y","Days=T","Dir=V")</f>
        <v>0</v>
      </c>
      <c r="W2">
        <f>BDH("SAVEQ US Equity","WORKING_CAPITAL","2019-08-20","2024-08-20","Per=Y","Days=T","Dir=V")</f>
        <v>0</v>
      </c>
      <c r="Y2">
        <f>BDH("SAVEQ US Equity","SALES_REV_TURN","2019-08-20","2024-08-20","Per=Y","Days=T","Dir=V")</f>
        <v>0</v>
      </c>
      <c r="AA2">
        <f>BDH("SAVEQ US Equity","EBIT","2019-08-20","2024-08-20","Per=Y","Days=T","Dir=V")</f>
        <v>0</v>
      </c>
      <c r="AC2">
        <f>BDH("SAVEQ US Equity","EBITDA","2019-08-20","2024-08-20","Per=Y","Days=T","Dir=V")</f>
        <v>0</v>
      </c>
      <c r="AE2">
        <f>BDH("SAVEQ US Equity","NET_INCOME","2019-08-20","2024-08-20","Per=Y","Days=T","Dir=V")</f>
        <v>0</v>
      </c>
      <c r="AG2">
        <f>BDH("SAVEQ US Equity","IS_INT_EXPENSE","2019-08-20","2024-08-20","Per=Y","Days=T","Dir=V")</f>
        <v>0</v>
      </c>
      <c r="AI2">
        <f>BDH("SAVEQ US Equity","IS_DEPR_EXP","2019-08-20","2024-08-20","Per=Y","Days=T","Dir=V")</f>
        <v>0</v>
      </c>
      <c r="AK2">
        <f>BDH("SAVEQ US Equity","CF_CASH_FROM_OPER","2019-08-20","2024-08-20","Per=Y","Days=T","Dir=V")</f>
        <v>0</v>
      </c>
      <c r="AM2">
        <f>BDH("SAVEQ US Equity","CAPITAL_EXPEND","2019-08-20","2024-08-20","Per=Y","Days=T","Dir=V")</f>
        <v>0</v>
      </c>
      <c r="AO2">
        <f>BDH("SAVEQ US Equity","CF_FREE_CASH_FLOW","2019-08-20","2024-08-20","Per=Y","Days=T","Dir=V")</f>
        <v>0</v>
      </c>
      <c r="AQ2">
        <f>BDH("SAVEQ US Equity","PX_LAST","2019-08-20","2024-08-20","Per=M","Days=T","Dir=V")</f>
        <v>0</v>
      </c>
      <c r="AS2">
        <f>BDH("SAVEQ US Equity","CUR_MKT_CAP","2019-08-20","2024-08-20","Per=M","Days=T","Dir=V")</f>
        <v>0</v>
      </c>
      <c r="AU2">
        <f>BDH("SAVEQ US Equity","EQY_SH_OUT","2019-08-20","2024-08-20","Per=M","Days=T","Dir=V")</f>
        <v>0</v>
      </c>
      <c r="AW2">
        <f>BDH("SAVEQ US Equity","PX_VOLUME","2019-08-20","2024-08-20","Per=M","Days=T","Dir=V")</f>
        <v>0</v>
      </c>
      <c r="AY2">
        <f>BDH("SAVEQ US Equity","TURNOVER","2019-08-20","2024-08-20","Per=M","Days=T","Dir=V")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BDH("VINO US Equity","BS_TOT_ASSET","2019-08-23","2024-08-23","Per=Y","Days=T","Dir=V")</f>
        <v>0</v>
      </c>
      <c r="C2">
        <f>BDH("VINO US Equity","BS_TOT_LIAB2","2019-08-23","2024-08-23","Per=Y","Days=T","Dir=V")</f>
        <v>0</v>
      </c>
      <c r="E2">
        <f>BDH("VINO US Equity","SHORT_AND_LONG_TERM_DEBT","2019-08-23","2024-08-23","Per=Y","Days=T","Dir=V")</f>
        <v>0</v>
      </c>
      <c r="G2">
        <f>BDH("VINO US Equity","BS_ST_BORROW","2019-08-23","2024-08-23","Per=Y","Days=T","Dir=V")</f>
        <v>0</v>
      </c>
      <c r="I2">
        <f>BDH("VINO US Equity","BS_LT_BORROW","2019-08-23","2024-08-23","Per=Y","Days=T","Dir=V")</f>
        <v>0</v>
      </c>
      <c r="K2">
        <f>BDH("VINO US Equity","BS_CASH_NEAR_CASH_ITEM","2019-08-23","2024-08-23","Per=Y","Days=T","Dir=V")</f>
        <v>0</v>
      </c>
      <c r="M2">
        <f>BDH("VINO US Equity","BS_CUR_ASSET_REPORT","2019-08-23","2024-08-23","Per=Y","Days=T","Dir=V")</f>
        <v>0</v>
      </c>
      <c r="O2">
        <f>BDH("VINO US Equity","BS_CUR_LIAB","2019-08-23","2024-08-23","Per=Y","Days=T","Dir=V")</f>
        <v>0</v>
      </c>
      <c r="Q2">
        <f>BDH("VINO US Equity","BS_SHAREHOLDER_EQY_ENDING_PERIOD","2019-08-23","2024-08-23","Per=Y","Days=T","Dir=V")</f>
        <v>0</v>
      </c>
      <c r="S2">
        <f>BDH("VINO US Equity","BS_ACCT_NOTE_RCV","2019-08-23","2024-08-23","Per=Y","Days=T","Dir=V")</f>
        <v>0</v>
      </c>
      <c r="U2">
        <f>BDH("VINO US Equity","BS_INVENTORIES","2019-08-23","2024-08-23","Per=Y","Days=T","Dir=V")</f>
        <v>0</v>
      </c>
      <c r="W2">
        <f>BDH("VINO US Equity","WORKING_CAPITAL","2019-08-23","2024-08-23","Per=Y","Days=T","Dir=V")</f>
        <v>0</v>
      </c>
      <c r="Y2">
        <f>BDH("VINO US Equity","SALES_REV_TURN","2019-08-23","2024-08-23","Per=Y","Days=T","Dir=V")</f>
        <v>0</v>
      </c>
      <c r="AA2">
        <f>BDH("VINO US Equity","EBIT","2019-08-23","2024-08-23","Per=Y","Days=T","Dir=V")</f>
        <v>0</v>
      </c>
      <c r="AC2">
        <f>BDH("VINO US Equity","EBITDA","2019-08-23","2024-08-23","Per=Y","Days=T","Dir=V")</f>
        <v>0</v>
      </c>
      <c r="AE2">
        <f>BDH("VINO US Equity","NET_INCOME","2019-08-23","2024-08-23","Per=Y","Days=T","Dir=V")</f>
        <v>0</v>
      </c>
      <c r="AG2">
        <f>BDH("VINO US Equity","IS_INT_EXPENSE","2019-08-23","2024-08-23","Per=Y","Days=T","Dir=V")</f>
        <v>0</v>
      </c>
      <c r="AI2">
        <f>BDH("VINO US Equity","IS_DEPR_EXP","2019-08-23","2024-08-23","Per=Y","Days=T","Dir=V")</f>
        <v>0</v>
      </c>
      <c r="AK2">
        <f>BDH("VINO US Equity","CF_CASH_FROM_OPER","2019-08-23","2024-08-23","Per=Y","Days=T","Dir=V")</f>
        <v>0</v>
      </c>
      <c r="AM2">
        <f>BDH("VINO US Equity","CAPITAL_EXPEND","2019-08-23","2024-08-23","Per=Y","Days=T","Dir=V")</f>
        <v>0</v>
      </c>
      <c r="AO2">
        <f>BDH("VINO US Equity","CF_FREE_CASH_FLOW","2019-08-23","2024-08-23","Per=Y","Days=T","Dir=V")</f>
        <v>0</v>
      </c>
      <c r="AQ2">
        <f>BDH("VINO US Equity","PX_LAST","2019-08-23","2024-08-23","Per=M","Days=T","Dir=V")</f>
        <v>0</v>
      </c>
      <c r="AS2">
        <f>BDH("VINO US Equity","CUR_MKT_CAP","2019-08-23","2024-08-23","Per=M","Days=T","Dir=V")</f>
        <v>0</v>
      </c>
      <c r="AU2">
        <f>BDH("VINO US Equity","EQY_SH_OUT","2019-08-23","2024-08-23","Per=M","Days=T","Dir=V")</f>
        <v>0</v>
      </c>
      <c r="AW2">
        <f>BDH("VINO US Equity","PX_VOLUME","2019-08-23","2024-08-23","Per=M","Days=T","Dir=V")</f>
        <v>0</v>
      </c>
      <c r="AY2">
        <f>BDH("VINO US Equity","TURNOVER","2019-08-23","2024-08-23","Per=M","Days=T","Dir=V")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BDH("CMAXQ US Equity","BS_TOT_ASSET","2019-08-29","2024-08-29","Per=Y","Days=T","Dir=V")</f>
        <v>0</v>
      </c>
      <c r="C2">
        <f>BDH("CMAXQ US Equity","BS_TOT_LIAB2","2019-08-29","2024-08-29","Per=Y","Days=T","Dir=V")</f>
        <v>0</v>
      </c>
      <c r="E2">
        <f>BDH("CMAXQ US Equity","SHORT_AND_LONG_TERM_DEBT","2019-08-29","2024-08-29","Per=Y","Days=T","Dir=V")</f>
        <v>0</v>
      </c>
      <c r="G2">
        <f>BDH("CMAXQ US Equity","BS_ST_BORROW","2019-08-29","2024-08-29","Per=Y","Days=T","Dir=V")</f>
        <v>0</v>
      </c>
      <c r="I2">
        <f>BDH("CMAXQ US Equity","BS_LT_BORROW","2019-08-29","2024-08-29","Per=Y","Days=T","Dir=V")</f>
        <v>0</v>
      </c>
      <c r="K2">
        <f>BDH("CMAXQ US Equity","BS_CASH_NEAR_CASH_ITEM","2019-08-29","2024-08-29","Per=Y","Days=T","Dir=V")</f>
        <v>0</v>
      </c>
      <c r="M2">
        <f>BDH("CMAXQ US Equity","BS_CUR_ASSET_REPORT","2019-08-29","2024-08-29","Per=Y","Days=T","Dir=V")</f>
        <v>0</v>
      </c>
      <c r="O2">
        <f>BDH("CMAXQ US Equity","BS_CUR_LIAB","2019-08-29","2024-08-29","Per=Y","Days=T","Dir=V")</f>
        <v>0</v>
      </c>
      <c r="Q2">
        <f>BDH("CMAXQ US Equity","BS_SHAREHOLDER_EQY_ENDING_PERIOD","2019-08-29","2024-08-29","Per=Y","Days=T","Dir=V")</f>
        <v>0</v>
      </c>
      <c r="S2">
        <f>BDH("CMAXQ US Equity","BS_ACCT_NOTE_RCV","2019-08-29","2024-08-29","Per=Y","Days=T","Dir=V")</f>
        <v>0</v>
      </c>
      <c r="U2">
        <f>BDH("CMAXQ US Equity","BS_INVENTORIES","2019-08-29","2024-08-29","Per=Y","Days=T","Dir=V")</f>
        <v>0</v>
      </c>
      <c r="W2">
        <f>BDH("CMAXQ US Equity","WORKING_CAPITAL","2019-08-29","2024-08-29","Per=Y","Days=T","Dir=V")</f>
        <v>0</v>
      </c>
      <c r="Y2">
        <f>BDH("CMAXQ US Equity","SALES_REV_TURN","2019-08-29","2024-08-29","Per=Y","Days=T","Dir=V")</f>
        <v>0</v>
      </c>
      <c r="AA2">
        <f>BDH("CMAXQ US Equity","EBIT","2019-08-29","2024-08-29","Per=Y","Days=T","Dir=V")</f>
        <v>0</v>
      </c>
      <c r="AC2">
        <f>BDH("CMAXQ US Equity","EBITDA","2019-08-29","2024-08-29","Per=Y","Days=T","Dir=V")</f>
        <v>0</v>
      </c>
      <c r="AE2">
        <f>BDH("CMAXQ US Equity","NET_INCOME","2019-08-29","2024-08-29","Per=Y","Days=T","Dir=V")</f>
        <v>0</v>
      </c>
      <c r="AG2">
        <f>BDH("CMAXQ US Equity","IS_INT_EXPENSE","2019-08-29","2024-08-29","Per=Y","Days=T","Dir=V")</f>
        <v>0</v>
      </c>
      <c r="AI2">
        <f>BDH("CMAXQ US Equity","IS_DEPR_EXP","2019-08-29","2024-08-29","Per=Y","Days=T","Dir=V")</f>
        <v>0</v>
      </c>
      <c r="AK2">
        <f>BDH("CMAXQ US Equity","CF_CASH_FROM_OPER","2019-08-29","2024-08-29","Per=Y","Days=T","Dir=V")</f>
        <v>0</v>
      </c>
      <c r="AM2">
        <f>BDH("CMAXQ US Equity","CAPITAL_EXPEND","2019-08-29","2024-08-29","Per=Y","Days=T","Dir=V")</f>
        <v>0</v>
      </c>
      <c r="AO2">
        <f>BDH("CMAXQ US Equity","CF_FREE_CASH_FLOW","2019-08-29","2024-08-29","Per=Y","Days=T","Dir=V")</f>
        <v>0</v>
      </c>
      <c r="AQ2">
        <f>BDH("CMAXQ US Equity","PX_LAST","2019-08-29","2024-08-29","Per=M","Days=T","Dir=V")</f>
        <v>0</v>
      </c>
      <c r="AS2">
        <f>BDH("CMAXQ US Equity","CUR_MKT_CAP","2019-08-29","2024-08-29","Per=M","Days=T","Dir=V")</f>
        <v>0</v>
      </c>
      <c r="AU2">
        <f>BDH("CMAXQ US Equity","EQY_SH_OUT","2019-08-29","2024-08-29","Per=M","Days=T","Dir=V")</f>
        <v>0</v>
      </c>
      <c r="AW2">
        <f>BDH("CMAXQ US Equity","PX_VOLUME","2019-08-29","2024-08-29","Per=M","Days=T","Dir=V")</f>
        <v>0</v>
      </c>
      <c r="AY2">
        <f>BDH("CMAXQ US Equity","TURNOVER","2019-08-29","2024-08-29","Per=M","Days=T","Dir=V")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BDH("ENGCQ US Equity","BS_TOT_ASSET","2019-09-06","2024-09-06","Per=Y","Days=T","Dir=V")</f>
        <v>0</v>
      </c>
      <c r="C2">
        <f>BDH("ENGCQ US Equity","BS_TOT_LIAB2","2019-09-06","2024-09-06","Per=Y","Days=T","Dir=V")</f>
        <v>0</v>
      </c>
      <c r="E2">
        <f>BDH("ENGCQ US Equity","SHORT_AND_LONG_TERM_DEBT","2019-09-06","2024-09-06","Per=Y","Days=T","Dir=V")</f>
        <v>0</v>
      </c>
      <c r="G2">
        <f>BDH("ENGCQ US Equity","BS_ST_BORROW","2019-09-06","2024-09-06","Per=Y","Days=T","Dir=V")</f>
        <v>0</v>
      </c>
      <c r="I2">
        <f>BDH("ENGCQ US Equity","BS_LT_BORROW","2019-09-06","2024-09-06","Per=Y","Days=T","Dir=V")</f>
        <v>0</v>
      </c>
      <c r="K2">
        <f>BDH("ENGCQ US Equity","BS_CASH_NEAR_CASH_ITEM","2019-09-06","2024-09-06","Per=Y","Days=T","Dir=V")</f>
        <v>0</v>
      </c>
      <c r="M2">
        <f>BDH("ENGCQ US Equity","BS_CUR_ASSET_REPORT","2019-09-06","2024-09-06","Per=Y","Days=T","Dir=V")</f>
        <v>0</v>
      </c>
      <c r="O2">
        <f>BDH("ENGCQ US Equity","BS_CUR_LIAB","2019-09-06","2024-09-06","Per=Y","Days=T","Dir=V")</f>
        <v>0</v>
      </c>
      <c r="Q2">
        <f>BDH("ENGCQ US Equity","BS_SHAREHOLDER_EQY_ENDING_PERIOD","2019-09-06","2024-09-06","Per=Y","Days=T","Dir=V")</f>
        <v>0</v>
      </c>
      <c r="S2">
        <f>BDH("ENGCQ US Equity","BS_ACCT_NOTE_RCV","2019-09-06","2024-09-06","Per=Y","Days=T","Dir=V")</f>
        <v>0</v>
      </c>
      <c r="U2">
        <f>BDH("ENGCQ US Equity","BS_INVENTORIES","2019-09-06","2024-09-06","Per=Y","Days=T","Dir=V")</f>
        <v>0</v>
      </c>
      <c r="W2">
        <f>BDH("ENGCQ US Equity","WORKING_CAPITAL","2019-09-06","2024-09-06","Per=Y","Days=T","Dir=V")</f>
        <v>0</v>
      </c>
      <c r="Y2">
        <f>BDH("ENGCQ US Equity","SALES_REV_TURN","2019-09-06","2024-09-06","Per=Y","Days=T","Dir=V")</f>
        <v>0</v>
      </c>
      <c r="AA2">
        <f>BDH("ENGCQ US Equity","EBIT","2019-09-06","2024-09-06","Per=Y","Days=T","Dir=V")</f>
        <v>0</v>
      </c>
      <c r="AC2">
        <f>BDH("ENGCQ US Equity","EBITDA","2019-09-06","2024-09-06","Per=Y","Days=T","Dir=V")</f>
        <v>0</v>
      </c>
      <c r="AE2">
        <f>BDH("ENGCQ US Equity","NET_INCOME","2019-09-06","2024-09-06","Per=Y","Days=T","Dir=V")</f>
        <v>0</v>
      </c>
      <c r="AG2">
        <f>BDH("ENGCQ US Equity","IS_INT_EXPENSE","2019-09-06","2024-09-06","Per=Y","Days=T","Dir=V")</f>
        <v>0</v>
      </c>
      <c r="AI2">
        <f>BDH("ENGCQ US Equity","IS_DEPR_EXP","2019-09-06","2024-09-06","Per=Y","Days=T","Dir=V")</f>
        <v>0</v>
      </c>
      <c r="AK2">
        <f>BDH("ENGCQ US Equity","CF_CASH_FROM_OPER","2019-09-06","2024-09-06","Per=Y","Days=T","Dir=V")</f>
        <v>0</v>
      </c>
      <c r="AM2">
        <f>BDH("ENGCQ US Equity","CAPITAL_EXPEND","2019-09-06","2024-09-06","Per=Y","Days=T","Dir=V")</f>
        <v>0</v>
      </c>
      <c r="AO2">
        <f>BDH("ENGCQ US Equity","CF_FREE_CASH_FLOW","2019-09-06","2024-09-06","Per=Y","Days=T","Dir=V")</f>
        <v>0</v>
      </c>
      <c r="AQ2">
        <f>BDH("ENGCQ US Equity","PX_LAST","2019-09-06","2024-09-06","Per=M","Days=T","Dir=V")</f>
        <v>0</v>
      </c>
      <c r="AS2">
        <f>BDH("ENGCQ US Equity","CUR_MKT_CAP","2019-09-06","2024-09-06","Per=M","Days=T","Dir=V")</f>
        <v>0</v>
      </c>
      <c r="AU2">
        <f>BDH("ENGCQ US Equity","EQY_SH_OUT","2019-09-06","2024-09-06","Per=M","Days=T","Dir=V")</f>
        <v>0</v>
      </c>
      <c r="AW2">
        <f>BDH("ENGCQ US Equity","PX_VOLUME","2019-09-06","2024-09-06","Per=M","Days=T","Dir=V")</f>
        <v>0</v>
      </c>
      <c r="AY2">
        <f>BDH("ENGCQ US Equity","TURNOVER","2019-09-06","2024-09-06","Per=M","Days=T","Dir=V")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BDH("MOND US Equity","BS_TOT_ASSET","2019-09-06","2024-09-06","Per=Y","Days=T","Dir=V")</f>
        <v>0</v>
      </c>
      <c r="C2">
        <f>BDH("MOND US Equity","BS_TOT_LIAB2","2019-09-06","2024-09-06","Per=Y","Days=T","Dir=V")</f>
        <v>0</v>
      </c>
      <c r="E2">
        <f>BDH("MOND US Equity","SHORT_AND_LONG_TERM_DEBT","2019-09-06","2024-09-06","Per=Y","Days=T","Dir=V")</f>
        <v>0</v>
      </c>
      <c r="G2">
        <f>BDH("MOND US Equity","BS_ST_BORROW","2019-09-06","2024-09-06","Per=Y","Days=T","Dir=V")</f>
        <v>0</v>
      </c>
      <c r="I2">
        <f>BDH("MOND US Equity","BS_LT_BORROW","2019-09-06","2024-09-06","Per=Y","Days=T","Dir=V")</f>
        <v>0</v>
      </c>
      <c r="K2">
        <f>BDH("MOND US Equity","BS_CASH_NEAR_CASH_ITEM","2019-09-06","2024-09-06","Per=Y","Days=T","Dir=V")</f>
        <v>0</v>
      </c>
      <c r="M2">
        <f>BDH("MOND US Equity","BS_CUR_ASSET_REPORT","2019-09-06","2024-09-06","Per=Y","Days=T","Dir=V")</f>
        <v>0</v>
      </c>
      <c r="O2">
        <f>BDH("MOND US Equity","BS_CUR_LIAB","2019-09-06","2024-09-06","Per=Y","Days=T","Dir=V")</f>
        <v>0</v>
      </c>
      <c r="Q2">
        <f>BDH("MOND US Equity","BS_SHAREHOLDER_EQY_ENDING_PERIOD","2019-09-06","2024-09-06","Per=Y","Days=T","Dir=V")</f>
        <v>0</v>
      </c>
      <c r="S2">
        <f>BDH("MOND US Equity","BS_ACCT_NOTE_RCV","2019-09-06","2024-09-06","Per=Y","Days=T","Dir=V")</f>
        <v>0</v>
      </c>
      <c r="U2">
        <f>BDH("MOND US Equity","BS_INVENTORIES","2019-09-06","2024-09-06","Per=Y","Days=T","Dir=V")</f>
        <v>0</v>
      </c>
      <c r="W2">
        <f>BDH("MOND US Equity","WORKING_CAPITAL","2019-09-06","2024-09-06","Per=Y","Days=T","Dir=V")</f>
        <v>0</v>
      </c>
      <c r="Y2">
        <f>BDH("MOND US Equity","SALES_REV_TURN","2019-09-06","2024-09-06","Per=Y","Days=T","Dir=V")</f>
        <v>0</v>
      </c>
      <c r="AA2">
        <f>BDH("MOND US Equity","EBIT","2019-09-06","2024-09-06","Per=Y","Days=T","Dir=V")</f>
        <v>0</v>
      </c>
      <c r="AC2">
        <f>BDH("MOND US Equity","EBITDA","2019-09-06","2024-09-06","Per=Y","Days=T","Dir=V")</f>
        <v>0</v>
      </c>
      <c r="AE2">
        <f>BDH("MOND US Equity","NET_INCOME","2019-09-06","2024-09-06","Per=Y","Days=T","Dir=V")</f>
        <v>0</v>
      </c>
      <c r="AG2">
        <f>BDH("MOND US Equity","IS_INT_EXPENSE","2019-09-06","2024-09-06","Per=Y","Days=T","Dir=V")</f>
        <v>0</v>
      </c>
      <c r="AI2">
        <f>BDH("MOND US Equity","IS_DEPR_EXP","2019-09-06","2024-09-06","Per=Y","Days=T","Dir=V")</f>
        <v>0</v>
      </c>
      <c r="AK2">
        <f>BDH("MOND US Equity","CF_CASH_FROM_OPER","2019-09-06","2024-09-06","Per=Y","Days=T","Dir=V")</f>
        <v>0</v>
      </c>
      <c r="AM2">
        <f>BDH("MOND US Equity","CAPITAL_EXPEND","2019-09-06","2024-09-06","Per=Y","Days=T","Dir=V")</f>
        <v>0</v>
      </c>
      <c r="AO2">
        <f>BDH("MOND US Equity","CF_FREE_CASH_FLOW","2019-09-06","2024-09-06","Per=Y","Days=T","Dir=V")</f>
        <v>0</v>
      </c>
      <c r="AQ2">
        <f>BDH("MOND US Equity","PX_LAST","2019-09-06","2024-09-06","Per=M","Days=T","Dir=V")</f>
        <v>0</v>
      </c>
      <c r="AS2">
        <f>BDH("MOND US Equity","CUR_MKT_CAP","2019-09-06","2024-09-06","Per=M","Days=T","Dir=V")</f>
        <v>0</v>
      </c>
      <c r="AU2">
        <f>BDH("MOND US Equity","EQY_SH_OUT","2019-09-06","2024-09-06","Per=M","Days=T","Dir=V")</f>
        <v>0</v>
      </c>
      <c r="AW2">
        <f>BDH("MOND US Equity","PX_VOLUME","2019-09-06","2024-09-06","Per=M","Days=T","Dir=V")</f>
        <v>0</v>
      </c>
      <c r="AY2">
        <f>BDH("MOND US Equity","TURNOVER","2019-09-06","2024-09-06","Per=M","Days=T","Dir=V")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BDH("TCSGQ US Equity","BS_TOT_ASSET","2019-09-10","2024-09-10","Per=Y","Days=T","Dir=V")</f>
        <v>0</v>
      </c>
      <c r="C2">
        <f>BDH("TCSGQ US Equity","BS_TOT_LIAB2","2019-09-10","2024-09-10","Per=Y","Days=T","Dir=V")</f>
        <v>0</v>
      </c>
      <c r="E2">
        <f>BDH("TCSGQ US Equity","SHORT_AND_LONG_TERM_DEBT","2019-09-10","2024-09-10","Per=Y","Days=T","Dir=V")</f>
        <v>0</v>
      </c>
      <c r="G2">
        <f>BDH("TCSGQ US Equity","BS_ST_BORROW","2019-09-10","2024-09-10","Per=Y","Days=T","Dir=V")</f>
        <v>0</v>
      </c>
      <c r="I2">
        <f>BDH("TCSGQ US Equity","BS_LT_BORROW","2019-09-10","2024-09-10","Per=Y","Days=T","Dir=V")</f>
        <v>0</v>
      </c>
      <c r="K2">
        <f>BDH("TCSGQ US Equity","BS_CASH_NEAR_CASH_ITEM","2019-09-10","2024-09-10","Per=Y","Days=T","Dir=V")</f>
        <v>0</v>
      </c>
      <c r="M2">
        <f>BDH("TCSGQ US Equity","BS_CUR_ASSET_REPORT","2019-09-10","2024-09-10","Per=Y","Days=T","Dir=V")</f>
        <v>0</v>
      </c>
      <c r="O2">
        <f>BDH("TCSGQ US Equity","BS_CUR_LIAB","2019-09-10","2024-09-10","Per=Y","Days=T","Dir=V")</f>
        <v>0</v>
      </c>
      <c r="Q2">
        <f>BDH("TCSGQ US Equity","BS_SHAREHOLDER_EQY_ENDING_PERIOD","2019-09-10","2024-09-10","Per=Y","Days=T","Dir=V")</f>
        <v>0</v>
      </c>
      <c r="S2">
        <f>BDH("TCSGQ US Equity","BS_ACCT_NOTE_RCV","2019-09-10","2024-09-10","Per=Y","Days=T","Dir=V")</f>
        <v>0</v>
      </c>
      <c r="U2">
        <f>BDH("TCSGQ US Equity","BS_INVENTORIES","2019-09-10","2024-09-10","Per=Y","Days=T","Dir=V")</f>
        <v>0</v>
      </c>
      <c r="W2">
        <f>BDH("TCSGQ US Equity","WORKING_CAPITAL","2019-09-10","2024-09-10","Per=Y","Days=T","Dir=V")</f>
        <v>0</v>
      </c>
      <c r="Y2">
        <f>BDH("TCSGQ US Equity","SALES_REV_TURN","2019-09-10","2024-09-10","Per=Y","Days=T","Dir=V")</f>
        <v>0</v>
      </c>
      <c r="AA2">
        <f>BDH("TCSGQ US Equity","EBIT","2019-09-10","2024-09-10","Per=Y","Days=T","Dir=V")</f>
        <v>0</v>
      </c>
      <c r="AC2">
        <f>BDH("TCSGQ US Equity","EBITDA","2019-09-10","2024-09-10","Per=Y","Days=T","Dir=V")</f>
        <v>0</v>
      </c>
      <c r="AE2">
        <f>BDH("TCSGQ US Equity","NET_INCOME","2019-09-10","2024-09-10","Per=Y","Days=T","Dir=V")</f>
        <v>0</v>
      </c>
      <c r="AG2">
        <f>BDH("TCSGQ US Equity","IS_INT_EXPENSE","2019-09-10","2024-09-10","Per=Y","Days=T","Dir=V")</f>
        <v>0</v>
      </c>
      <c r="AI2">
        <f>BDH("TCSGQ US Equity","IS_DEPR_EXP","2019-09-10","2024-09-10","Per=Y","Days=T","Dir=V")</f>
        <v>0</v>
      </c>
      <c r="AK2">
        <f>BDH("TCSGQ US Equity","CF_CASH_FROM_OPER","2019-09-10","2024-09-10","Per=Y","Days=T","Dir=V")</f>
        <v>0</v>
      </c>
      <c r="AM2">
        <f>BDH("TCSGQ US Equity","CAPITAL_EXPEND","2019-09-10","2024-09-10","Per=Y","Days=T","Dir=V")</f>
        <v>0</v>
      </c>
      <c r="AO2">
        <f>BDH("TCSGQ US Equity","CF_FREE_CASH_FLOW","2019-09-10","2024-09-10","Per=Y","Days=T","Dir=V")</f>
        <v>0</v>
      </c>
      <c r="AQ2">
        <f>BDH("TCSGQ US Equity","PX_LAST","2019-09-10","2024-09-10","Per=M","Days=T","Dir=V")</f>
        <v>0</v>
      </c>
      <c r="AS2">
        <f>BDH("TCSGQ US Equity","CUR_MKT_CAP","2019-09-10","2024-09-10","Per=M","Days=T","Dir=V")</f>
        <v>0</v>
      </c>
      <c r="AU2">
        <f>BDH("TCSGQ US Equity","EQY_SH_OUT","2019-09-10","2024-09-10","Per=M","Days=T","Dir=V")</f>
        <v>0</v>
      </c>
      <c r="AW2">
        <f>BDH("TCSGQ US Equity","PX_VOLUME","2019-09-10","2024-09-10","Per=M","Days=T","Dir=V")</f>
        <v>0</v>
      </c>
      <c r="AY2">
        <f>BDH("TCSGQ US Equity","TURNOVER","2019-09-10","2024-09-10","Per=M","Days=T","Dir=V")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BDH("TFFP US Equity","BS_TOT_ASSET","2019-09-13","2024-09-13","Per=Y","Days=T","Dir=V")</f>
        <v>0</v>
      </c>
      <c r="C2">
        <f>BDH("TFFP US Equity","BS_TOT_LIAB2","2019-09-13","2024-09-13","Per=Y","Days=T","Dir=V")</f>
        <v>0</v>
      </c>
      <c r="E2">
        <f>BDH("TFFP US Equity","SHORT_AND_LONG_TERM_DEBT","2019-09-13","2024-09-13","Per=Y","Days=T","Dir=V")</f>
        <v>0</v>
      </c>
      <c r="G2">
        <f>BDH("TFFP US Equity","BS_ST_BORROW","2019-09-13","2024-09-13","Per=Y","Days=T","Dir=V")</f>
        <v>0</v>
      </c>
      <c r="I2">
        <f>BDH("TFFP US Equity","BS_LT_BORROW","2019-09-13","2024-09-13","Per=Y","Days=T","Dir=V")</f>
        <v>0</v>
      </c>
      <c r="K2">
        <f>BDH("TFFP US Equity","BS_CASH_NEAR_CASH_ITEM","2019-09-13","2024-09-13","Per=Y","Days=T","Dir=V")</f>
        <v>0</v>
      </c>
      <c r="M2">
        <f>BDH("TFFP US Equity","BS_CUR_ASSET_REPORT","2019-09-13","2024-09-13","Per=Y","Days=T","Dir=V")</f>
        <v>0</v>
      </c>
      <c r="O2">
        <f>BDH("TFFP US Equity","BS_CUR_LIAB","2019-09-13","2024-09-13","Per=Y","Days=T","Dir=V")</f>
        <v>0</v>
      </c>
      <c r="Q2">
        <f>BDH("TFFP US Equity","BS_SHAREHOLDER_EQY_ENDING_PERIOD","2019-09-13","2024-09-13","Per=Y","Days=T","Dir=V")</f>
        <v>0</v>
      </c>
      <c r="S2">
        <f>BDH("TFFP US Equity","BS_ACCT_NOTE_RCV","2019-09-13","2024-09-13","Per=Y","Days=T","Dir=V")</f>
        <v>0</v>
      </c>
      <c r="U2">
        <f>BDH("TFFP US Equity","BS_INVENTORIES","2019-09-13","2024-09-13","Per=Y","Days=T","Dir=V")</f>
        <v>0</v>
      </c>
      <c r="W2">
        <f>BDH("TFFP US Equity","WORKING_CAPITAL","2019-09-13","2024-09-13","Per=Y","Days=T","Dir=V")</f>
        <v>0</v>
      </c>
      <c r="Y2">
        <f>BDH("TFFP US Equity","SALES_REV_TURN","2019-09-13","2024-09-13","Per=Y","Days=T","Dir=V")</f>
        <v>0</v>
      </c>
      <c r="AA2">
        <f>BDH("TFFP US Equity","EBIT","2019-09-13","2024-09-13","Per=Y","Days=T","Dir=V")</f>
        <v>0</v>
      </c>
      <c r="AC2">
        <f>BDH("TFFP US Equity","EBITDA","2019-09-13","2024-09-13","Per=Y","Days=T","Dir=V")</f>
        <v>0</v>
      </c>
      <c r="AE2">
        <f>BDH("TFFP US Equity","NET_INCOME","2019-09-13","2024-09-13","Per=Y","Days=T","Dir=V")</f>
        <v>0</v>
      </c>
      <c r="AG2">
        <f>BDH("TFFP US Equity","IS_INT_EXPENSE","2019-09-13","2024-09-13","Per=Y","Days=T","Dir=V")</f>
        <v>0</v>
      </c>
      <c r="AI2">
        <f>BDH("TFFP US Equity","IS_DEPR_EXP","2019-09-13","2024-09-13","Per=Y","Days=T","Dir=V")</f>
        <v>0</v>
      </c>
      <c r="AK2">
        <f>BDH("TFFP US Equity","CF_CASH_FROM_OPER","2019-09-13","2024-09-13","Per=Y","Days=T","Dir=V")</f>
        <v>0</v>
      </c>
      <c r="AM2">
        <f>BDH("TFFP US Equity","CAPITAL_EXPEND","2019-09-13","2024-09-13","Per=Y","Days=T","Dir=V")</f>
        <v>0</v>
      </c>
      <c r="AO2">
        <f>BDH("TFFP US Equity","CF_FREE_CASH_FLOW","2019-09-13","2024-09-13","Per=Y","Days=T","Dir=V")</f>
        <v>0</v>
      </c>
      <c r="AQ2">
        <f>BDH("TFFP US Equity","PX_LAST","2019-09-13","2024-09-13","Per=M","Days=T","Dir=V")</f>
        <v>0</v>
      </c>
      <c r="AS2">
        <f>BDH("TFFP US Equity","CUR_MKT_CAP","2019-09-13","2024-09-13","Per=M","Days=T","Dir=V")</f>
        <v>0</v>
      </c>
      <c r="AU2">
        <f>BDH("TFFP US Equity","EQY_SH_OUT","2019-09-13","2024-09-13","Per=M","Days=T","Dir=V")</f>
        <v>0</v>
      </c>
      <c r="AW2">
        <f>BDH("TFFP US Equity","PX_VOLUME","2019-09-13","2024-09-13","Per=M","Days=T","Dir=V")</f>
        <v>0</v>
      </c>
      <c r="AY2">
        <f>BDH("TFFP US Equity","TURNOVER","2019-09-13","2024-09-13","Per=M","Days=T","Dir=V")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BDH("AKTSQ US Equity","BS_TOT_ASSET","2019-09-18","2024-09-18","Per=Y","Days=T","Dir=V")</f>
        <v>0</v>
      </c>
      <c r="C2">
        <f>BDH("AKTSQ US Equity","BS_TOT_LIAB2","2019-09-18","2024-09-18","Per=Y","Days=T","Dir=V")</f>
        <v>0</v>
      </c>
      <c r="E2">
        <f>BDH("AKTSQ US Equity","SHORT_AND_LONG_TERM_DEBT","2019-09-18","2024-09-18","Per=Y","Days=T","Dir=V")</f>
        <v>0</v>
      </c>
      <c r="G2">
        <f>BDH("AKTSQ US Equity","BS_ST_BORROW","2019-09-18","2024-09-18","Per=Y","Days=T","Dir=V")</f>
        <v>0</v>
      </c>
      <c r="I2">
        <f>BDH("AKTSQ US Equity","BS_LT_BORROW","2019-09-18","2024-09-18","Per=Y","Days=T","Dir=V")</f>
        <v>0</v>
      </c>
      <c r="K2">
        <f>BDH("AKTSQ US Equity","BS_CASH_NEAR_CASH_ITEM","2019-09-18","2024-09-18","Per=Y","Days=T","Dir=V")</f>
        <v>0</v>
      </c>
      <c r="M2">
        <f>BDH("AKTSQ US Equity","BS_CUR_ASSET_REPORT","2019-09-18","2024-09-18","Per=Y","Days=T","Dir=V")</f>
        <v>0</v>
      </c>
      <c r="O2">
        <f>BDH("AKTSQ US Equity","BS_CUR_LIAB","2019-09-18","2024-09-18","Per=Y","Days=T","Dir=V")</f>
        <v>0</v>
      </c>
      <c r="Q2">
        <f>BDH("AKTSQ US Equity","BS_SHAREHOLDER_EQY_ENDING_PERIOD","2019-09-18","2024-09-18","Per=Y","Days=T","Dir=V")</f>
        <v>0</v>
      </c>
      <c r="S2">
        <f>BDH("AKTSQ US Equity","BS_ACCT_NOTE_RCV","2019-09-18","2024-09-18","Per=Y","Days=T","Dir=V")</f>
        <v>0</v>
      </c>
      <c r="U2">
        <f>BDH("AKTSQ US Equity","BS_INVENTORIES","2019-09-18","2024-09-18","Per=Y","Days=T","Dir=V")</f>
        <v>0</v>
      </c>
      <c r="W2">
        <f>BDH("AKTSQ US Equity","WORKING_CAPITAL","2019-09-18","2024-09-18","Per=Y","Days=T","Dir=V")</f>
        <v>0</v>
      </c>
      <c r="Y2">
        <f>BDH("AKTSQ US Equity","SALES_REV_TURN","2019-09-18","2024-09-18","Per=Y","Days=T","Dir=V")</f>
        <v>0</v>
      </c>
      <c r="AA2">
        <f>BDH("AKTSQ US Equity","EBIT","2019-09-18","2024-09-18","Per=Y","Days=T","Dir=V")</f>
        <v>0</v>
      </c>
      <c r="AC2">
        <f>BDH("AKTSQ US Equity","EBITDA","2019-09-18","2024-09-18","Per=Y","Days=T","Dir=V")</f>
        <v>0</v>
      </c>
      <c r="AE2">
        <f>BDH("AKTSQ US Equity","NET_INCOME","2019-09-18","2024-09-18","Per=Y","Days=T","Dir=V")</f>
        <v>0</v>
      </c>
      <c r="AG2">
        <f>BDH("AKTSQ US Equity","IS_INT_EXPENSE","2019-09-18","2024-09-18","Per=Y","Days=T","Dir=V")</f>
        <v>0</v>
      </c>
      <c r="AI2">
        <f>BDH("AKTSQ US Equity","IS_DEPR_EXP","2019-09-18","2024-09-18","Per=Y","Days=T","Dir=V")</f>
        <v>0</v>
      </c>
      <c r="AK2">
        <f>BDH("AKTSQ US Equity","CF_CASH_FROM_OPER","2019-09-18","2024-09-18","Per=Y","Days=T","Dir=V")</f>
        <v>0</v>
      </c>
      <c r="AM2">
        <f>BDH("AKTSQ US Equity","CAPITAL_EXPEND","2019-09-18","2024-09-18","Per=Y","Days=T","Dir=V")</f>
        <v>0</v>
      </c>
      <c r="AO2">
        <f>BDH("AKTSQ US Equity","CF_FREE_CASH_FLOW","2019-09-18","2024-09-18","Per=Y","Days=T","Dir=V")</f>
        <v>0</v>
      </c>
      <c r="AQ2">
        <f>BDH("AKTSQ US Equity","PX_LAST","2019-09-18","2024-09-18","Per=M","Days=T","Dir=V")</f>
        <v>0</v>
      </c>
      <c r="AS2">
        <f>BDH("AKTSQ US Equity","CUR_MKT_CAP","2019-09-18","2024-09-18","Per=M","Days=T","Dir=V")</f>
        <v>0</v>
      </c>
      <c r="AU2">
        <f>BDH("AKTSQ US Equity","EQY_SH_OUT","2019-09-18","2024-09-18","Per=M","Days=T","Dir=V")</f>
        <v>0</v>
      </c>
      <c r="AW2">
        <f>BDH("AKTSQ US Equity","PX_VOLUME","2019-09-18","2024-09-18","Per=M","Days=T","Dir=V")</f>
        <v>0</v>
      </c>
      <c r="AY2">
        <f>BDH("AKTSQ US Equity","TURNOVER","2019-09-18","2024-09-18","Per=M","Days=T","Dir=V")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BDH("LEVGQ US Equity","BS_TOT_ASSET","2019-09-18","2024-09-18","Per=Y","Days=T","Dir=V")</f>
        <v>0</v>
      </c>
      <c r="C2">
        <f>BDH("LEVGQ US Equity","BS_TOT_LIAB2","2019-09-18","2024-09-18","Per=Y","Days=T","Dir=V")</f>
        <v>0</v>
      </c>
      <c r="E2">
        <f>BDH("LEVGQ US Equity","SHORT_AND_LONG_TERM_DEBT","2019-09-18","2024-09-18","Per=Y","Days=T","Dir=V")</f>
        <v>0</v>
      </c>
      <c r="G2">
        <f>BDH("LEVGQ US Equity","BS_ST_BORROW","2019-09-18","2024-09-18","Per=Y","Days=T","Dir=V")</f>
        <v>0</v>
      </c>
      <c r="I2">
        <f>BDH("LEVGQ US Equity","BS_LT_BORROW","2019-09-18","2024-09-18","Per=Y","Days=T","Dir=V")</f>
        <v>0</v>
      </c>
      <c r="K2">
        <f>BDH("LEVGQ US Equity","BS_CASH_NEAR_CASH_ITEM","2019-09-18","2024-09-18","Per=Y","Days=T","Dir=V")</f>
        <v>0</v>
      </c>
      <c r="M2">
        <f>BDH("LEVGQ US Equity","BS_CUR_ASSET_REPORT","2019-09-18","2024-09-18","Per=Y","Days=T","Dir=V")</f>
        <v>0</v>
      </c>
      <c r="O2">
        <f>BDH("LEVGQ US Equity","BS_CUR_LIAB","2019-09-18","2024-09-18","Per=Y","Days=T","Dir=V")</f>
        <v>0</v>
      </c>
      <c r="Q2">
        <f>BDH("LEVGQ US Equity","BS_SHAREHOLDER_EQY_ENDING_PERIOD","2019-09-18","2024-09-18","Per=Y","Days=T","Dir=V")</f>
        <v>0</v>
      </c>
      <c r="S2">
        <f>BDH("LEVGQ US Equity","BS_ACCT_NOTE_RCV","2019-09-18","2024-09-18","Per=Y","Days=T","Dir=V")</f>
        <v>0</v>
      </c>
      <c r="U2">
        <f>BDH("LEVGQ US Equity","BS_INVENTORIES","2019-09-18","2024-09-18","Per=Y","Days=T","Dir=V")</f>
        <v>0</v>
      </c>
      <c r="W2">
        <f>BDH("LEVGQ US Equity","WORKING_CAPITAL","2019-09-18","2024-09-18","Per=Y","Days=T","Dir=V")</f>
        <v>0</v>
      </c>
      <c r="Y2">
        <f>BDH("LEVGQ US Equity","SALES_REV_TURN","2019-09-18","2024-09-18","Per=Y","Days=T","Dir=V")</f>
        <v>0</v>
      </c>
      <c r="AA2">
        <f>BDH("LEVGQ US Equity","EBIT","2019-09-18","2024-09-18","Per=Y","Days=T","Dir=V")</f>
        <v>0</v>
      </c>
      <c r="AC2">
        <f>BDH("LEVGQ US Equity","EBITDA","2019-09-18","2024-09-18","Per=Y","Days=T","Dir=V")</f>
        <v>0</v>
      </c>
      <c r="AE2">
        <f>BDH("LEVGQ US Equity","NET_INCOME","2019-09-18","2024-09-18","Per=Y","Days=T","Dir=V")</f>
        <v>0</v>
      </c>
      <c r="AG2">
        <f>BDH("LEVGQ US Equity","IS_INT_EXPENSE","2019-09-18","2024-09-18","Per=Y","Days=T","Dir=V")</f>
        <v>0</v>
      </c>
      <c r="AI2">
        <f>BDH("LEVGQ US Equity","IS_DEPR_EXP","2019-09-18","2024-09-18","Per=Y","Days=T","Dir=V")</f>
        <v>0</v>
      </c>
      <c r="AK2">
        <f>BDH("LEVGQ US Equity","CF_CASH_FROM_OPER","2019-09-18","2024-09-18","Per=Y","Days=T","Dir=V")</f>
        <v>0</v>
      </c>
      <c r="AM2">
        <f>BDH("LEVGQ US Equity","CAPITAL_EXPEND","2019-09-18","2024-09-18","Per=Y","Days=T","Dir=V")</f>
        <v>0</v>
      </c>
      <c r="AO2">
        <f>BDH("LEVGQ US Equity","CF_FREE_CASH_FLOW","2019-09-18","2024-09-18","Per=Y","Days=T","Dir=V")</f>
        <v>0</v>
      </c>
      <c r="AQ2">
        <f>BDH("LEVGQ US Equity","PX_LAST","2019-09-18","2024-09-18","Per=M","Days=T","Dir=V")</f>
        <v>0</v>
      </c>
      <c r="AS2">
        <f>BDH("LEVGQ US Equity","CUR_MKT_CAP","2019-09-18","2024-09-18","Per=M","Days=T","Dir=V")</f>
        <v>0</v>
      </c>
      <c r="AU2">
        <f>BDH("LEVGQ US Equity","EQY_SH_OUT","2019-09-18","2024-09-18","Per=M","Days=T","Dir=V")</f>
        <v>0</v>
      </c>
      <c r="AW2">
        <f>BDH("LEVGQ US Equity","PX_VOLUME","2019-09-18","2024-09-18","Per=M","Days=T","Dir=V")</f>
        <v>0</v>
      </c>
      <c r="AY2">
        <f>BDH("LEVGQ US Equity","TURNOVER","2019-09-18","2024-09-18","Per=M","Days=T","Dir=V")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BDH("BSFC US Equity","BS_TOT_ASSET","2019-09-20","2024-09-20","Per=Y","Days=T","Dir=V")</f>
        <v>0</v>
      </c>
      <c r="C2">
        <f>BDH("BSFC US Equity","BS_TOT_LIAB2","2019-09-20","2024-09-20","Per=Y","Days=T","Dir=V")</f>
        <v>0</v>
      </c>
      <c r="E2">
        <f>BDH("BSFC US Equity","SHORT_AND_LONG_TERM_DEBT","2019-09-20","2024-09-20","Per=Y","Days=T","Dir=V")</f>
        <v>0</v>
      </c>
      <c r="G2">
        <f>BDH("BSFC US Equity","BS_ST_BORROW","2019-09-20","2024-09-20","Per=Y","Days=T","Dir=V")</f>
        <v>0</v>
      </c>
      <c r="I2">
        <f>BDH("BSFC US Equity","BS_LT_BORROW","2019-09-20","2024-09-20","Per=Y","Days=T","Dir=V")</f>
        <v>0</v>
      </c>
      <c r="K2">
        <f>BDH("BSFC US Equity","BS_CASH_NEAR_CASH_ITEM","2019-09-20","2024-09-20","Per=Y","Days=T","Dir=V")</f>
        <v>0</v>
      </c>
      <c r="M2">
        <f>BDH("BSFC US Equity","BS_CUR_ASSET_REPORT","2019-09-20","2024-09-20","Per=Y","Days=T","Dir=V")</f>
        <v>0</v>
      </c>
      <c r="O2">
        <f>BDH("BSFC US Equity","BS_CUR_LIAB","2019-09-20","2024-09-20","Per=Y","Days=T","Dir=V")</f>
        <v>0</v>
      </c>
      <c r="Q2">
        <f>BDH("BSFC US Equity","BS_SHAREHOLDER_EQY_ENDING_PERIOD","2019-09-20","2024-09-20","Per=Y","Days=T","Dir=V")</f>
        <v>0</v>
      </c>
      <c r="S2">
        <f>BDH("BSFC US Equity","BS_ACCT_NOTE_RCV","2019-09-20","2024-09-20","Per=Y","Days=T","Dir=V")</f>
        <v>0</v>
      </c>
      <c r="U2">
        <f>BDH("BSFC US Equity","BS_INVENTORIES","2019-09-20","2024-09-20","Per=Y","Days=T","Dir=V")</f>
        <v>0</v>
      </c>
      <c r="W2">
        <f>BDH("BSFC US Equity","WORKING_CAPITAL","2019-09-20","2024-09-20","Per=Y","Days=T","Dir=V")</f>
        <v>0</v>
      </c>
      <c r="Y2">
        <f>BDH("BSFC US Equity","SALES_REV_TURN","2019-09-20","2024-09-20","Per=Y","Days=T","Dir=V")</f>
        <v>0</v>
      </c>
      <c r="AA2">
        <f>BDH("BSFC US Equity","EBIT","2019-09-20","2024-09-20","Per=Y","Days=T","Dir=V")</f>
        <v>0</v>
      </c>
      <c r="AC2">
        <f>BDH("BSFC US Equity","EBITDA","2019-09-20","2024-09-20","Per=Y","Days=T","Dir=V")</f>
        <v>0</v>
      </c>
      <c r="AE2">
        <f>BDH("BSFC US Equity","NET_INCOME","2019-09-20","2024-09-20","Per=Y","Days=T","Dir=V")</f>
        <v>0</v>
      </c>
      <c r="AG2">
        <f>BDH("BSFC US Equity","IS_INT_EXPENSE","2019-09-20","2024-09-20","Per=Y","Days=T","Dir=V")</f>
        <v>0</v>
      </c>
      <c r="AI2">
        <f>BDH("BSFC US Equity","IS_DEPR_EXP","2019-09-20","2024-09-20","Per=Y","Days=T","Dir=V")</f>
        <v>0</v>
      </c>
      <c r="AK2">
        <f>BDH("BSFC US Equity","CF_CASH_FROM_OPER","2019-09-20","2024-09-20","Per=Y","Days=T","Dir=V")</f>
        <v>0</v>
      </c>
      <c r="AM2">
        <f>BDH("BSFC US Equity","CAPITAL_EXPEND","2019-09-20","2024-09-20","Per=Y","Days=T","Dir=V")</f>
        <v>0</v>
      </c>
      <c r="AO2">
        <f>BDH("BSFC US Equity","CF_FREE_CASH_FLOW","2019-09-20","2024-09-20","Per=Y","Days=T","Dir=V")</f>
        <v>0</v>
      </c>
      <c r="AQ2">
        <f>BDH("BSFC US Equity","PX_LAST","2019-09-20","2024-09-20","Per=M","Days=T","Dir=V")</f>
        <v>0</v>
      </c>
      <c r="AS2">
        <f>BDH("BSFC US Equity","CUR_MKT_CAP","2019-09-20","2024-09-20","Per=M","Days=T","Dir=V")</f>
        <v>0</v>
      </c>
      <c r="AU2">
        <f>BDH("BSFC US Equity","EQY_SH_OUT","2019-09-20","2024-09-20","Per=M","Days=T","Dir=V")</f>
        <v>0</v>
      </c>
      <c r="AW2">
        <f>BDH("BSFC US Equity","PX_VOLUME","2019-09-20","2024-09-20","Per=M","Days=T","Dir=V")</f>
        <v>0</v>
      </c>
      <c r="AY2">
        <f>BDH("BSFC US Equity","TURNOVER","2019-09-20","2024-09-20","Per=M","Days=T","Dir=V")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BDH("MTEMQ US Equity","BS_TOT_ASSET","2019-09-25","2024-09-25","Per=Y","Days=T","Dir=V")</f>
        <v>0</v>
      </c>
      <c r="C2">
        <f>BDH("MTEMQ US Equity","BS_TOT_LIAB2","2019-09-25","2024-09-25","Per=Y","Days=T","Dir=V")</f>
        <v>0</v>
      </c>
      <c r="E2">
        <f>BDH("MTEMQ US Equity","SHORT_AND_LONG_TERM_DEBT","2019-09-25","2024-09-25","Per=Y","Days=T","Dir=V")</f>
        <v>0</v>
      </c>
      <c r="G2">
        <f>BDH("MTEMQ US Equity","BS_ST_BORROW","2019-09-25","2024-09-25","Per=Y","Days=T","Dir=V")</f>
        <v>0</v>
      </c>
      <c r="I2">
        <f>BDH("MTEMQ US Equity","BS_LT_BORROW","2019-09-25","2024-09-25","Per=Y","Days=T","Dir=V")</f>
        <v>0</v>
      </c>
      <c r="K2">
        <f>BDH("MTEMQ US Equity","BS_CASH_NEAR_CASH_ITEM","2019-09-25","2024-09-25","Per=Y","Days=T","Dir=V")</f>
        <v>0</v>
      </c>
      <c r="M2">
        <f>BDH("MTEMQ US Equity","BS_CUR_ASSET_REPORT","2019-09-25","2024-09-25","Per=Y","Days=T","Dir=V")</f>
        <v>0</v>
      </c>
      <c r="O2">
        <f>BDH("MTEMQ US Equity","BS_CUR_LIAB","2019-09-25","2024-09-25","Per=Y","Days=T","Dir=V")</f>
        <v>0</v>
      </c>
      <c r="Q2">
        <f>BDH("MTEMQ US Equity","BS_SHAREHOLDER_EQY_ENDING_PERIOD","2019-09-25","2024-09-25","Per=Y","Days=T","Dir=V")</f>
        <v>0</v>
      </c>
      <c r="S2">
        <f>BDH("MTEMQ US Equity","BS_ACCT_NOTE_RCV","2019-09-25","2024-09-25","Per=Y","Days=T","Dir=V")</f>
        <v>0</v>
      </c>
      <c r="U2">
        <f>BDH("MTEMQ US Equity","BS_INVENTORIES","2019-09-25","2024-09-25","Per=Y","Days=T","Dir=V")</f>
        <v>0</v>
      </c>
      <c r="W2">
        <f>BDH("MTEMQ US Equity","WORKING_CAPITAL","2019-09-25","2024-09-25","Per=Y","Days=T","Dir=V")</f>
        <v>0</v>
      </c>
      <c r="Y2">
        <f>BDH("MTEMQ US Equity","SALES_REV_TURN","2019-09-25","2024-09-25","Per=Y","Days=T","Dir=V")</f>
        <v>0</v>
      </c>
      <c r="AA2">
        <f>BDH("MTEMQ US Equity","EBIT","2019-09-25","2024-09-25","Per=Y","Days=T","Dir=V")</f>
        <v>0</v>
      </c>
      <c r="AC2">
        <f>BDH("MTEMQ US Equity","EBITDA","2019-09-25","2024-09-25","Per=Y","Days=T","Dir=V")</f>
        <v>0</v>
      </c>
      <c r="AE2">
        <f>BDH("MTEMQ US Equity","NET_INCOME","2019-09-25","2024-09-25","Per=Y","Days=T","Dir=V")</f>
        <v>0</v>
      </c>
      <c r="AG2">
        <f>BDH("MTEMQ US Equity","IS_INT_EXPENSE","2019-09-25","2024-09-25","Per=Y","Days=T","Dir=V")</f>
        <v>0</v>
      </c>
      <c r="AI2">
        <f>BDH("MTEMQ US Equity","IS_DEPR_EXP","2019-09-25","2024-09-25","Per=Y","Days=T","Dir=V")</f>
        <v>0</v>
      </c>
      <c r="AK2">
        <f>BDH("MTEMQ US Equity","CF_CASH_FROM_OPER","2019-09-25","2024-09-25","Per=Y","Days=T","Dir=V")</f>
        <v>0</v>
      </c>
      <c r="AM2">
        <f>BDH("MTEMQ US Equity","CAPITAL_EXPEND","2019-09-25","2024-09-25","Per=Y","Days=T","Dir=V")</f>
        <v>0</v>
      </c>
      <c r="AO2">
        <f>BDH("MTEMQ US Equity","CF_FREE_CASH_FLOW","2019-09-25","2024-09-25","Per=Y","Days=T","Dir=V")</f>
        <v>0</v>
      </c>
      <c r="AQ2">
        <f>BDH("MTEMQ US Equity","PX_LAST","2019-09-25","2024-09-25","Per=M","Days=T","Dir=V")</f>
        <v>0</v>
      </c>
      <c r="AS2">
        <f>BDH("MTEMQ US Equity","CUR_MKT_CAP","2019-09-25","2024-09-25","Per=M","Days=T","Dir=V")</f>
        <v>0</v>
      </c>
      <c r="AU2">
        <f>BDH("MTEMQ US Equity","EQY_SH_OUT","2019-09-25","2024-09-25","Per=M","Days=T","Dir=V")</f>
        <v>0</v>
      </c>
      <c r="AW2">
        <f>BDH("MTEMQ US Equity","PX_VOLUME","2019-09-25","2024-09-25","Per=M","Days=T","Dir=V")</f>
        <v>0</v>
      </c>
      <c r="AY2">
        <f>BDH("MTEMQ US Equity","TURNOVER","2019-09-25","2024-09-25","Per=M","Days=T","Dir=V")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BDH("DNMRQ US Equity","BS_TOT_ASSET","2019-10-01","2024-10-01","Per=Y","Days=T","Dir=V")</f>
        <v>0</v>
      </c>
      <c r="C2">
        <f>BDH("DNMRQ US Equity","BS_TOT_LIAB2","2019-10-01","2024-10-01","Per=Y","Days=T","Dir=V")</f>
        <v>0</v>
      </c>
      <c r="E2">
        <f>BDH("DNMRQ US Equity","SHORT_AND_LONG_TERM_DEBT","2019-10-01","2024-10-01","Per=Y","Days=T","Dir=V")</f>
        <v>0</v>
      </c>
      <c r="G2">
        <f>BDH("DNMRQ US Equity","BS_ST_BORROW","2019-10-01","2024-10-01","Per=Y","Days=T","Dir=V")</f>
        <v>0</v>
      </c>
      <c r="I2">
        <f>BDH("DNMRQ US Equity","BS_LT_BORROW","2019-10-01","2024-10-01","Per=Y","Days=T","Dir=V")</f>
        <v>0</v>
      </c>
      <c r="K2">
        <f>BDH("DNMRQ US Equity","BS_CASH_NEAR_CASH_ITEM","2019-10-01","2024-10-01","Per=Y","Days=T","Dir=V")</f>
        <v>0</v>
      </c>
      <c r="M2">
        <f>BDH("DNMRQ US Equity","BS_CUR_ASSET_REPORT","2019-10-01","2024-10-01","Per=Y","Days=T","Dir=V")</f>
        <v>0</v>
      </c>
      <c r="O2">
        <f>BDH("DNMRQ US Equity","BS_CUR_LIAB","2019-10-01","2024-10-01","Per=Y","Days=T","Dir=V")</f>
        <v>0</v>
      </c>
      <c r="Q2">
        <f>BDH("DNMRQ US Equity","BS_SHAREHOLDER_EQY_ENDING_PERIOD","2019-10-01","2024-10-01","Per=Y","Days=T","Dir=V")</f>
        <v>0</v>
      </c>
      <c r="S2">
        <f>BDH("DNMRQ US Equity","BS_ACCT_NOTE_RCV","2019-10-01","2024-10-01","Per=Y","Days=T","Dir=V")</f>
        <v>0</v>
      </c>
      <c r="U2">
        <f>BDH("DNMRQ US Equity","BS_INVENTORIES","2019-10-01","2024-10-01","Per=Y","Days=T","Dir=V")</f>
        <v>0</v>
      </c>
      <c r="W2">
        <f>BDH("DNMRQ US Equity","WORKING_CAPITAL","2019-10-01","2024-10-01","Per=Y","Days=T","Dir=V")</f>
        <v>0</v>
      </c>
      <c r="Y2">
        <f>BDH("DNMRQ US Equity","SALES_REV_TURN","2019-10-01","2024-10-01","Per=Y","Days=T","Dir=V")</f>
        <v>0</v>
      </c>
      <c r="AA2">
        <f>BDH("DNMRQ US Equity","EBIT","2019-10-01","2024-10-01","Per=Y","Days=T","Dir=V")</f>
        <v>0</v>
      </c>
      <c r="AC2">
        <f>BDH("DNMRQ US Equity","EBITDA","2019-10-01","2024-10-01","Per=Y","Days=T","Dir=V")</f>
        <v>0</v>
      </c>
      <c r="AE2">
        <f>BDH("DNMRQ US Equity","NET_INCOME","2019-10-01","2024-10-01","Per=Y","Days=T","Dir=V")</f>
        <v>0</v>
      </c>
      <c r="AG2">
        <f>BDH("DNMRQ US Equity","IS_INT_EXPENSE","2019-10-01","2024-10-01","Per=Y","Days=T","Dir=V")</f>
        <v>0</v>
      </c>
      <c r="AI2">
        <f>BDH("DNMRQ US Equity","IS_DEPR_EXP","2019-10-01","2024-10-01","Per=Y","Days=T","Dir=V")</f>
        <v>0</v>
      </c>
      <c r="AK2">
        <f>BDH("DNMRQ US Equity","CF_CASH_FROM_OPER","2019-10-01","2024-10-01","Per=Y","Days=T","Dir=V")</f>
        <v>0</v>
      </c>
      <c r="AM2">
        <f>BDH("DNMRQ US Equity","CAPITAL_EXPEND","2019-10-01","2024-10-01","Per=Y","Days=T","Dir=V")</f>
        <v>0</v>
      </c>
      <c r="AO2">
        <f>BDH("DNMRQ US Equity","CF_FREE_CASH_FLOW","2019-10-01","2024-10-01","Per=Y","Days=T","Dir=V")</f>
        <v>0</v>
      </c>
      <c r="AQ2">
        <f>BDH("DNMRQ US Equity","PX_LAST","2019-10-01","2024-10-01","Per=M","Days=T","Dir=V")</f>
        <v>0</v>
      </c>
      <c r="AS2">
        <f>BDH("DNMRQ US Equity","CUR_MKT_CAP","2019-10-01","2024-10-01","Per=M","Days=T","Dir=V")</f>
        <v>0</v>
      </c>
      <c r="AU2">
        <f>BDH("DNMRQ US Equity","EQY_SH_OUT","2019-10-01","2024-10-01","Per=M","Days=T","Dir=V")</f>
        <v>0</v>
      </c>
      <c r="AW2">
        <f>BDH("DNMRQ US Equity","PX_VOLUME","2019-10-01","2024-10-01","Per=M","Days=T","Dir=V")</f>
        <v>0</v>
      </c>
      <c r="AY2">
        <f>BDH("DNMRQ US Equity","TURNOVER","2019-10-01","2024-10-01","Per=M","Days=T","Dir=V")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BDH("AILEQ US Equity","BS_TOT_ASSET","2019-10-02","2024-10-02","Per=Y","Days=T","Dir=V")</f>
        <v>0</v>
      </c>
      <c r="C2">
        <f>BDH("AILEQ US Equity","BS_TOT_LIAB2","2019-10-02","2024-10-02","Per=Y","Days=T","Dir=V")</f>
        <v>0</v>
      </c>
      <c r="E2">
        <f>BDH("AILEQ US Equity","SHORT_AND_LONG_TERM_DEBT","2019-10-02","2024-10-02","Per=Y","Days=T","Dir=V")</f>
        <v>0</v>
      </c>
      <c r="G2">
        <f>BDH("AILEQ US Equity","BS_ST_BORROW","2019-10-02","2024-10-02","Per=Y","Days=T","Dir=V")</f>
        <v>0</v>
      </c>
      <c r="I2">
        <f>BDH("AILEQ US Equity","BS_LT_BORROW","2019-10-02","2024-10-02","Per=Y","Days=T","Dir=V")</f>
        <v>0</v>
      </c>
      <c r="K2">
        <f>BDH("AILEQ US Equity","BS_CASH_NEAR_CASH_ITEM","2019-10-02","2024-10-02","Per=Y","Days=T","Dir=V")</f>
        <v>0</v>
      </c>
      <c r="M2">
        <f>BDH("AILEQ US Equity","BS_CUR_ASSET_REPORT","2019-10-02","2024-10-02","Per=Y","Days=T","Dir=V")</f>
        <v>0</v>
      </c>
      <c r="O2">
        <f>BDH("AILEQ US Equity","BS_CUR_LIAB","2019-10-02","2024-10-02","Per=Y","Days=T","Dir=V")</f>
        <v>0</v>
      </c>
      <c r="Q2">
        <f>BDH("AILEQ US Equity","BS_SHAREHOLDER_EQY_ENDING_PERIOD","2019-10-02","2024-10-02","Per=Y","Days=T","Dir=V")</f>
        <v>0</v>
      </c>
      <c r="S2">
        <f>BDH("AILEQ US Equity","BS_ACCT_NOTE_RCV","2019-10-02","2024-10-02","Per=Y","Days=T","Dir=V")</f>
        <v>0</v>
      </c>
      <c r="U2">
        <f>BDH("AILEQ US Equity","BS_INVENTORIES","2019-10-02","2024-10-02","Per=Y","Days=T","Dir=V")</f>
        <v>0</v>
      </c>
      <c r="W2">
        <f>BDH("AILEQ US Equity","WORKING_CAPITAL","2019-10-02","2024-10-02","Per=Y","Days=T","Dir=V")</f>
        <v>0</v>
      </c>
      <c r="Y2">
        <f>BDH("AILEQ US Equity","SALES_REV_TURN","2019-10-02","2024-10-02","Per=Y","Days=T","Dir=V")</f>
        <v>0</v>
      </c>
      <c r="AA2">
        <f>BDH("AILEQ US Equity","EBIT","2019-10-02","2024-10-02","Per=Y","Days=T","Dir=V")</f>
        <v>0</v>
      </c>
      <c r="AC2">
        <f>BDH("AILEQ US Equity","EBITDA","2019-10-02","2024-10-02","Per=Y","Days=T","Dir=V")</f>
        <v>0</v>
      </c>
      <c r="AE2">
        <f>BDH("AILEQ US Equity","NET_INCOME","2019-10-02","2024-10-02","Per=Y","Days=T","Dir=V")</f>
        <v>0</v>
      </c>
      <c r="AG2">
        <f>BDH("AILEQ US Equity","IS_INT_EXPENSE","2019-10-02","2024-10-02","Per=Y","Days=T","Dir=V")</f>
        <v>0</v>
      </c>
      <c r="AI2">
        <f>BDH("AILEQ US Equity","IS_DEPR_EXP","2019-10-02","2024-10-02","Per=Y","Days=T","Dir=V")</f>
        <v>0</v>
      </c>
      <c r="AK2">
        <f>BDH("AILEQ US Equity","CF_CASH_FROM_OPER","2019-10-02","2024-10-02","Per=Y","Days=T","Dir=V")</f>
        <v>0</v>
      </c>
      <c r="AM2">
        <f>BDH("AILEQ US Equity","CAPITAL_EXPEND","2019-10-02","2024-10-02","Per=Y","Days=T","Dir=V")</f>
        <v>0</v>
      </c>
      <c r="AO2">
        <f>BDH("AILEQ US Equity","CF_FREE_CASH_FLOW","2019-10-02","2024-10-02","Per=Y","Days=T","Dir=V")</f>
        <v>0</v>
      </c>
      <c r="AQ2">
        <f>BDH("AILEQ US Equity","PX_LAST","2019-10-02","2024-10-02","Per=M","Days=T","Dir=V")</f>
        <v>0</v>
      </c>
      <c r="AS2">
        <f>BDH("AILEQ US Equity","CUR_MKT_CAP","2019-10-02","2024-10-02","Per=M","Days=T","Dir=V")</f>
        <v>0</v>
      </c>
      <c r="AU2">
        <f>BDH("AILEQ US Equity","EQY_SH_OUT","2019-10-02","2024-10-02","Per=M","Days=T","Dir=V")</f>
        <v>0</v>
      </c>
      <c r="AW2">
        <f>BDH("AILEQ US Equity","PX_VOLUME","2019-10-02","2024-10-02","Per=M","Days=T","Dir=V")</f>
        <v>0</v>
      </c>
      <c r="AY2">
        <f>BDH("AILEQ US Equity","TURNOVER","2019-10-02","2024-10-02","Per=M","Days=T","Dir=V")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BDH("GOEVQ US Equity","BS_TOT_ASSET","2019-10-30","2024-10-30","Per=Y","Days=T","Dir=V")</f>
        <v>0</v>
      </c>
      <c r="C2">
        <f>BDH("GOEVQ US Equity","BS_TOT_LIAB2","2019-10-30","2024-10-30","Per=Y","Days=T","Dir=V")</f>
        <v>0</v>
      </c>
      <c r="E2">
        <f>BDH("GOEVQ US Equity","SHORT_AND_LONG_TERM_DEBT","2019-10-30","2024-10-30","Per=Y","Days=T","Dir=V")</f>
        <v>0</v>
      </c>
      <c r="G2">
        <f>BDH("GOEVQ US Equity","BS_ST_BORROW","2019-10-30","2024-10-30","Per=Y","Days=T","Dir=V")</f>
        <v>0</v>
      </c>
      <c r="I2">
        <f>BDH("GOEVQ US Equity","BS_LT_BORROW","2019-10-30","2024-10-30","Per=Y","Days=T","Dir=V")</f>
        <v>0</v>
      </c>
      <c r="K2">
        <f>BDH("GOEVQ US Equity","BS_CASH_NEAR_CASH_ITEM","2019-10-30","2024-10-30","Per=Y","Days=T","Dir=V")</f>
        <v>0</v>
      </c>
      <c r="M2">
        <f>BDH("GOEVQ US Equity","BS_CUR_ASSET_REPORT","2019-10-30","2024-10-30","Per=Y","Days=T","Dir=V")</f>
        <v>0</v>
      </c>
      <c r="O2">
        <f>BDH("GOEVQ US Equity","BS_CUR_LIAB","2019-10-30","2024-10-30","Per=Y","Days=T","Dir=V")</f>
        <v>0</v>
      </c>
      <c r="Q2">
        <f>BDH("GOEVQ US Equity","BS_SHAREHOLDER_EQY_ENDING_PERIOD","2019-10-30","2024-10-30","Per=Y","Days=T","Dir=V")</f>
        <v>0</v>
      </c>
      <c r="S2">
        <f>BDH("GOEVQ US Equity","BS_ACCT_NOTE_RCV","2019-10-30","2024-10-30","Per=Y","Days=T","Dir=V")</f>
        <v>0</v>
      </c>
      <c r="U2">
        <f>BDH("GOEVQ US Equity","BS_INVENTORIES","2019-10-30","2024-10-30","Per=Y","Days=T","Dir=V")</f>
        <v>0</v>
      </c>
      <c r="W2">
        <f>BDH("GOEVQ US Equity","WORKING_CAPITAL","2019-10-30","2024-10-30","Per=Y","Days=T","Dir=V")</f>
        <v>0</v>
      </c>
      <c r="Y2">
        <f>BDH("GOEVQ US Equity","SALES_REV_TURN","2019-10-30","2024-10-30","Per=Y","Days=T","Dir=V")</f>
        <v>0</v>
      </c>
      <c r="AA2">
        <f>BDH("GOEVQ US Equity","EBIT","2019-10-30","2024-10-30","Per=Y","Days=T","Dir=V")</f>
        <v>0</v>
      </c>
      <c r="AC2">
        <f>BDH("GOEVQ US Equity","EBITDA","2019-10-30","2024-10-30","Per=Y","Days=T","Dir=V")</f>
        <v>0</v>
      </c>
      <c r="AE2">
        <f>BDH("GOEVQ US Equity","NET_INCOME","2019-10-30","2024-10-30","Per=Y","Days=T","Dir=V")</f>
        <v>0</v>
      </c>
      <c r="AG2">
        <f>BDH("GOEVQ US Equity","IS_INT_EXPENSE","2019-10-30","2024-10-30","Per=Y","Days=T","Dir=V")</f>
        <v>0</v>
      </c>
      <c r="AI2">
        <f>BDH("GOEVQ US Equity","IS_DEPR_EXP","2019-10-30","2024-10-30","Per=Y","Days=T","Dir=V")</f>
        <v>0</v>
      </c>
      <c r="AK2">
        <f>BDH("GOEVQ US Equity","CF_CASH_FROM_OPER","2019-10-30","2024-10-30","Per=Y","Days=T","Dir=V")</f>
        <v>0</v>
      </c>
      <c r="AM2">
        <f>BDH("GOEVQ US Equity","CAPITAL_EXPEND","2019-10-30","2024-10-30","Per=Y","Days=T","Dir=V")</f>
        <v>0</v>
      </c>
      <c r="AO2">
        <f>BDH("GOEVQ US Equity","CF_FREE_CASH_FLOW","2019-10-30","2024-10-30","Per=Y","Days=T","Dir=V")</f>
        <v>0</v>
      </c>
      <c r="AQ2">
        <f>BDH("GOEVQ US Equity","PX_LAST","2019-10-30","2024-10-30","Per=M","Days=T","Dir=V")</f>
        <v>0</v>
      </c>
      <c r="AS2">
        <f>BDH("GOEVQ US Equity","CUR_MKT_CAP","2019-10-30","2024-10-30","Per=M","Days=T","Dir=V")</f>
        <v>0</v>
      </c>
      <c r="AU2">
        <f>BDH("GOEVQ US Equity","EQY_SH_OUT","2019-10-30","2024-10-30","Per=M","Days=T","Dir=V")</f>
        <v>0</v>
      </c>
      <c r="AW2">
        <f>BDH("GOEVQ US Equity","PX_VOLUME","2019-10-30","2024-10-30","Per=M","Days=T","Dir=V")</f>
        <v>0</v>
      </c>
      <c r="AY2">
        <f>BDH("GOEVQ US Equity","TURNOVER","2019-10-30","2024-10-30","Per=M","Days=T","Dir=V")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BDH("1837938D US Equity","BS_TOT_ASSET","2019-11-01","2024-11-01","Per=Y","Days=T","Dir=V")</f>
        <v>0</v>
      </c>
      <c r="C2">
        <f>BDH("1837938D US Equity","BS_TOT_LIAB2","2019-11-01","2024-11-01","Per=Y","Days=T","Dir=V")</f>
        <v>0</v>
      </c>
      <c r="E2">
        <f>BDH("1837938D US Equity","SHORT_AND_LONG_TERM_DEBT","2019-11-01","2024-11-01","Per=Y","Days=T","Dir=V")</f>
        <v>0</v>
      </c>
      <c r="G2">
        <f>BDH("1837938D US Equity","BS_ST_BORROW","2019-11-01","2024-11-01","Per=Y","Days=T","Dir=V")</f>
        <v>0</v>
      </c>
      <c r="I2">
        <f>BDH("1837938D US Equity","BS_LT_BORROW","2019-11-01","2024-11-01","Per=Y","Days=T","Dir=V")</f>
        <v>0</v>
      </c>
      <c r="K2">
        <f>BDH("1837938D US Equity","BS_CASH_NEAR_CASH_ITEM","2019-11-01","2024-11-01","Per=Y","Days=T","Dir=V")</f>
        <v>0</v>
      </c>
      <c r="M2">
        <f>BDH("1837938D US Equity","BS_CUR_ASSET_REPORT","2019-11-01","2024-11-01","Per=Y","Days=T","Dir=V")</f>
        <v>0</v>
      </c>
      <c r="O2">
        <f>BDH("1837938D US Equity","BS_CUR_LIAB","2019-11-01","2024-11-01","Per=Y","Days=T","Dir=V")</f>
        <v>0</v>
      </c>
      <c r="Q2">
        <f>BDH("1837938D US Equity","BS_SHAREHOLDER_EQY_ENDING_PERIOD","2019-11-01","2024-11-01","Per=Y","Days=T","Dir=V")</f>
        <v>0</v>
      </c>
      <c r="S2">
        <f>BDH("1837938D US Equity","BS_ACCT_NOTE_RCV","2019-11-01","2024-11-01","Per=Y","Days=T","Dir=V")</f>
        <v>0</v>
      </c>
      <c r="U2">
        <f>BDH("1837938D US Equity","BS_INVENTORIES","2019-11-01","2024-11-01","Per=Y","Days=T","Dir=V")</f>
        <v>0</v>
      </c>
      <c r="W2">
        <f>BDH("1837938D US Equity","WORKING_CAPITAL","2019-11-01","2024-11-01","Per=Y","Days=T","Dir=V")</f>
        <v>0</v>
      </c>
      <c r="Y2">
        <f>BDH("1837938D US Equity","SALES_REV_TURN","2019-11-01","2024-11-01","Per=Y","Days=T","Dir=V")</f>
        <v>0</v>
      </c>
      <c r="AA2">
        <f>BDH("1837938D US Equity","EBIT","2019-11-01","2024-11-01","Per=Y","Days=T","Dir=V")</f>
        <v>0</v>
      </c>
      <c r="AC2">
        <f>BDH("1837938D US Equity","EBITDA","2019-11-01","2024-11-01","Per=Y","Days=T","Dir=V")</f>
        <v>0</v>
      </c>
      <c r="AE2">
        <f>BDH("1837938D US Equity","NET_INCOME","2019-11-01","2024-11-01","Per=Y","Days=T","Dir=V")</f>
        <v>0</v>
      </c>
      <c r="AG2">
        <f>BDH("1837938D US Equity","IS_INT_EXPENSE","2019-11-01","2024-11-01","Per=Y","Days=T","Dir=V")</f>
        <v>0</v>
      </c>
      <c r="AI2">
        <f>BDH("1837938D US Equity","IS_DEPR_EXP","2019-11-01","2024-11-01","Per=Y","Days=T","Dir=V")</f>
        <v>0</v>
      </c>
      <c r="AK2">
        <f>BDH("1837938D US Equity","CF_CASH_FROM_OPER","2019-11-01","2024-11-01","Per=Y","Days=T","Dir=V")</f>
        <v>0</v>
      </c>
      <c r="AM2">
        <f>BDH("1837938D US Equity","CAPITAL_EXPEND","2019-11-01","2024-11-01","Per=Y","Days=T","Dir=V")</f>
        <v>0</v>
      </c>
      <c r="AO2">
        <f>BDH("1837938D US Equity","CF_FREE_CASH_FLOW","2019-11-01","2024-11-01","Per=Y","Days=T","Dir=V")</f>
        <v>0</v>
      </c>
      <c r="AQ2">
        <f>BDH("1837938D US Equity","PX_LAST","2019-11-01","2024-11-01","Per=M","Days=T","Dir=V")</f>
        <v>0</v>
      </c>
      <c r="AS2">
        <f>BDH("1837938D US Equity","CUR_MKT_CAP","2019-11-01","2024-11-01","Per=M","Days=T","Dir=V")</f>
        <v>0</v>
      </c>
      <c r="AU2">
        <f>BDH("1837938D US Equity","EQY_SH_OUT","2019-11-01","2024-11-01","Per=M","Days=T","Dir=V")</f>
        <v>0</v>
      </c>
      <c r="AW2">
        <f>BDH("1837938D US Equity","PX_VOLUME","2019-11-01","2024-11-01","Per=M","Days=T","Dir=V")</f>
        <v>0</v>
      </c>
      <c r="AY2">
        <f>BDH("1837938D US Equity","TURNOVER","2019-11-01","2024-11-01","Per=M","Days=T","Dir=V")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BDH("AVGR US Equity","BS_TOT_ASSET","2019-11-16","2024-11-16","Per=Y","Days=T","Dir=V")</f>
        <v>0</v>
      </c>
      <c r="C2">
        <f>BDH("AVGR US Equity","BS_TOT_LIAB2","2019-11-16","2024-11-16","Per=Y","Days=T","Dir=V")</f>
        <v>0</v>
      </c>
      <c r="E2">
        <f>BDH("AVGR US Equity","SHORT_AND_LONG_TERM_DEBT","2019-11-16","2024-11-16","Per=Y","Days=T","Dir=V")</f>
        <v>0</v>
      </c>
      <c r="G2">
        <f>BDH("AVGR US Equity","BS_ST_BORROW","2019-11-16","2024-11-16","Per=Y","Days=T","Dir=V")</f>
        <v>0</v>
      </c>
      <c r="I2">
        <f>BDH("AVGR US Equity","BS_LT_BORROW","2019-11-16","2024-11-16","Per=Y","Days=T","Dir=V")</f>
        <v>0</v>
      </c>
      <c r="K2">
        <f>BDH("AVGR US Equity","BS_CASH_NEAR_CASH_ITEM","2019-11-16","2024-11-16","Per=Y","Days=T","Dir=V")</f>
        <v>0</v>
      </c>
      <c r="M2">
        <f>BDH("AVGR US Equity","BS_CUR_ASSET_REPORT","2019-11-16","2024-11-16","Per=Y","Days=T","Dir=V")</f>
        <v>0</v>
      </c>
      <c r="O2">
        <f>BDH("AVGR US Equity","BS_CUR_LIAB","2019-11-16","2024-11-16","Per=Y","Days=T","Dir=V")</f>
        <v>0</v>
      </c>
      <c r="Q2">
        <f>BDH("AVGR US Equity","BS_SHAREHOLDER_EQY_ENDING_PERIOD","2019-11-16","2024-11-16","Per=Y","Days=T","Dir=V")</f>
        <v>0</v>
      </c>
      <c r="S2">
        <f>BDH("AVGR US Equity","BS_ACCT_NOTE_RCV","2019-11-16","2024-11-16","Per=Y","Days=T","Dir=V")</f>
        <v>0</v>
      </c>
      <c r="U2">
        <f>BDH("AVGR US Equity","BS_INVENTORIES","2019-11-16","2024-11-16","Per=Y","Days=T","Dir=V")</f>
        <v>0</v>
      </c>
      <c r="W2">
        <f>BDH("AVGR US Equity","WORKING_CAPITAL","2019-11-16","2024-11-16","Per=Y","Days=T","Dir=V")</f>
        <v>0</v>
      </c>
      <c r="Y2">
        <f>BDH("AVGR US Equity","SALES_REV_TURN","2019-11-16","2024-11-16","Per=Y","Days=T","Dir=V")</f>
        <v>0</v>
      </c>
      <c r="AA2">
        <f>BDH("AVGR US Equity","EBIT","2019-11-16","2024-11-16","Per=Y","Days=T","Dir=V")</f>
        <v>0</v>
      </c>
      <c r="AC2">
        <f>BDH("AVGR US Equity","EBITDA","2019-11-16","2024-11-16","Per=Y","Days=T","Dir=V")</f>
        <v>0</v>
      </c>
      <c r="AE2">
        <f>BDH("AVGR US Equity","NET_INCOME","2019-11-16","2024-11-16","Per=Y","Days=T","Dir=V")</f>
        <v>0</v>
      </c>
      <c r="AG2">
        <f>BDH("AVGR US Equity","IS_INT_EXPENSE","2019-11-16","2024-11-16","Per=Y","Days=T","Dir=V")</f>
        <v>0</v>
      </c>
      <c r="AI2">
        <f>BDH("AVGR US Equity","IS_DEPR_EXP","2019-11-16","2024-11-16","Per=Y","Days=T","Dir=V")</f>
        <v>0</v>
      </c>
      <c r="AK2">
        <f>BDH("AVGR US Equity","CF_CASH_FROM_OPER","2019-11-16","2024-11-16","Per=Y","Days=T","Dir=V")</f>
        <v>0</v>
      </c>
      <c r="AM2">
        <f>BDH("AVGR US Equity","CAPITAL_EXPEND","2019-11-16","2024-11-16","Per=Y","Days=T","Dir=V")</f>
        <v>0</v>
      </c>
      <c r="AO2">
        <f>BDH("AVGR US Equity","CF_FREE_CASH_FLOW","2019-11-16","2024-11-16","Per=Y","Days=T","Dir=V")</f>
        <v>0</v>
      </c>
      <c r="AQ2">
        <f>BDH("AVGR US Equity","PX_LAST","2019-11-16","2024-11-16","Per=M","Days=T","Dir=V")</f>
        <v>0</v>
      </c>
      <c r="AS2">
        <f>BDH("AVGR US Equity","CUR_MKT_CAP","2019-11-16","2024-11-16","Per=M","Days=T","Dir=V")</f>
        <v>0</v>
      </c>
      <c r="AU2">
        <f>BDH("AVGR US Equity","EQY_SH_OUT","2019-11-16","2024-11-16","Per=M","Days=T","Dir=V")</f>
        <v>0</v>
      </c>
      <c r="AW2">
        <f>BDH("AVGR US Equity","PX_VOLUME","2019-11-16","2024-11-16","Per=M","Days=T","Dir=V")</f>
        <v>0</v>
      </c>
      <c r="AY2">
        <f>BDH("AVGR US Equity","TURNOVER","2019-11-16","2024-11-16","Per=M","Days=T","Dir=V")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BDH("BPTH US Equity","BS_TOT_ASSET","2019-11-20","2024-11-20","Per=Y","Days=T","Dir=V")</f>
        <v>0</v>
      </c>
      <c r="C2">
        <f>BDH("BPTH US Equity","BS_TOT_LIAB2","2019-11-20","2024-11-20","Per=Y","Days=T","Dir=V")</f>
        <v>0</v>
      </c>
      <c r="E2">
        <f>BDH("BPTH US Equity","SHORT_AND_LONG_TERM_DEBT","2019-11-20","2024-11-20","Per=Y","Days=T","Dir=V")</f>
        <v>0</v>
      </c>
      <c r="G2">
        <f>BDH("BPTH US Equity","BS_ST_BORROW","2019-11-20","2024-11-20","Per=Y","Days=T","Dir=V")</f>
        <v>0</v>
      </c>
      <c r="I2">
        <f>BDH("BPTH US Equity","BS_LT_BORROW","2019-11-20","2024-11-20","Per=Y","Days=T","Dir=V")</f>
        <v>0</v>
      </c>
      <c r="K2">
        <f>BDH("BPTH US Equity","BS_CASH_NEAR_CASH_ITEM","2019-11-20","2024-11-20","Per=Y","Days=T","Dir=V")</f>
        <v>0</v>
      </c>
      <c r="M2">
        <f>BDH("BPTH US Equity","BS_CUR_ASSET_REPORT","2019-11-20","2024-11-20","Per=Y","Days=T","Dir=V")</f>
        <v>0</v>
      </c>
      <c r="O2">
        <f>BDH("BPTH US Equity","BS_CUR_LIAB","2019-11-20","2024-11-20","Per=Y","Days=T","Dir=V")</f>
        <v>0</v>
      </c>
      <c r="Q2">
        <f>BDH("BPTH US Equity","BS_SHAREHOLDER_EQY_ENDING_PERIOD","2019-11-20","2024-11-20","Per=Y","Days=T","Dir=V")</f>
        <v>0</v>
      </c>
      <c r="S2">
        <f>BDH("BPTH US Equity","BS_ACCT_NOTE_RCV","2019-11-20","2024-11-20","Per=Y","Days=T","Dir=V")</f>
        <v>0</v>
      </c>
      <c r="U2">
        <f>BDH("BPTH US Equity","BS_INVENTORIES","2019-11-20","2024-11-20","Per=Y","Days=T","Dir=V")</f>
        <v>0</v>
      </c>
      <c r="W2">
        <f>BDH("BPTH US Equity","WORKING_CAPITAL","2019-11-20","2024-11-20","Per=Y","Days=T","Dir=V")</f>
        <v>0</v>
      </c>
      <c r="Y2">
        <f>BDH("BPTH US Equity","SALES_REV_TURN","2019-11-20","2024-11-20","Per=Y","Days=T","Dir=V")</f>
        <v>0</v>
      </c>
      <c r="AA2">
        <f>BDH("BPTH US Equity","EBIT","2019-11-20","2024-11-20","Per=Y","Days=T","Dir=V")</f>
        <v>0</v>
      </c>
      <c r="AC2">
        <f>BDH("BPTH US Equity","EBITDA","2019-11-20","2024-11-20","Per=Y","Days=T","Dir=V")</f>
        <v>0</v>
      </c>
      <c r="AE2">
        <f>BDH("BPTH US Equity","NET_INCOME","2019-11-20","2024-11-20","Per=Y","Days=T","Dir=V")</f>
        <v>0</v>
      </c>
      <c r="AG2">
        <f>BDH("BPTH US Equity","IS_INT_EXPENSE","2019-11-20","2024-11-20","Per=Y","Days=T","Dir=V")</f>
        <v>0</v>
      </c>
      <c r="AI2">
        <f>BDH("BPTH US Equity","IS_DEPR_EXP","2019-11-20","2024-11-20","Per=Y","Days=T","Dir=V")</f>
        <v>0</v>
      </c>
      <c r="AK2">
        <f>BDH("BPTH US Equity","CF_CASH_FROM_OPER","2019-11-20","2024-11-20","Per=Y","Days=T","Dir=V")</f>
        <v>0</v>
      </c>
      <c r="AM2">
        <f>BDH("BPTH US Equity","CAPITAL_EXPEND","2019-11-20","2024-11-20","Per=Y","Days=T","Dir=V")</f>
        <v>0</v>
      </c>
      <c r="AO2">
        <f>BDH("BPTH US Equity","CF_FREE_CASH_FLOW","2019-11-20","2024-11-20","Per=Y","Days=T","Dir=V")</f>
        <v>0</v>
      </c>
      <c r="AQ2">
        <f>BDH("BPTH US Equity","PX_LAST","2019-11-20","2024-11-20","Per=M","Days=T","Dir=V")</f>
        <v>0</v>
      </c>
      <c r="AS2">
        <f>BDH("BPTH US Equity","CUR_MKT_CAP","2019-11-20","2024-11-20","Per=M","Days=T","Dir=V")</f>
        <v>0</v>
      </c>
      <c r="AU2">
        <f>BDH("BPTH US Equity","EQY_SH_OUT","2019-11-20","2024-11-20","Per=M","Days=T","Dir=V")</f>
        <v>0</v>
      </c>
      <c r="AW2">
        <f>BDH("BPTH US Equity","PX_VOLUME","2019-11-20","2024-11-20","Per=M","Days=T","Dir=V")</f>
        <v>0</v>
      </c>
      <c r="AY2">
        <f>BDH("BPTH US Equity","TURNOVER","2019-11-20","2024-11-20","Per=M","Days=T","Dir=V")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BDH("OMGAQ US Equity","BS_TOT_ASSET","2019-11-26","2024-11-26","Per=Y","Days=T","Dir=V")</f>
        <v>0</v>
      </c>
      <c r="C2">
        <f>BDH("OMGAQ US Equity","BS_TOT_LIAB2","2019-11-26","2024-11-26","Per=Y","Days=T","Dir=V")</f>
        <v>0</v>
      </c>
      <c r="E2">
        <f>BDH("OMGAQ US Equity","SHORT_AND_LONG_TERM_DEBT","2019-11-26","2024-11-26","Per=Y","Days=T","Dir=V")</f>
        <v>0</v>
      </c>
      <c r="G2">
        <f>BDH("OMGAQ US Equity","BS_ST_BORROW","2019-11-26","2024-11-26","Per=Y","Days=T","Dir=V")</f>
        <v>0</v>
      </c>
      <c r="I2">
        <f>BDH("OMGAQ US Equity","BS_LT_BORROW","2019-11-26","2024-11-26","Per=Y","Days=T","Dir=V")</f>
        <v>0</v>
      </c>
      <c r="K2">
        <f>BDH("OMGAQ US Equity","BS_CASH_NEAR_CASH_ITEM","2019-11-26","2024-11-26","Per=Y","Days=T","Dir=V")</f>
        <v>0</v>
      </c>
      <c r="M2">
        <f>BDH("OMGAQ US Equity","BS_CUR_ASSET_REPORT","2019-11-26","2024-11-26","Per=Y","Days=T","Dir=V")</f>
        <v>0</v>
      </c>
      <c r="O2">
        <f>BDH("OMGAQ US Equity","BS_CUR_LIAB","2019-11-26","2024-11-26","Per=Y","Days=T","Dir=V")</f>
        <v>0</v>
      </c>
      <c r="Q2">
        <f>BDH("OMGAQ US Equity","BS_SHAREHOLDER_EQY_ENDING_PERIOD","2019-11-26","2024-11-26","Per=Y","Days=T","Dir=V")</f>
        <v>0</v>
      </c>
      <c r="S2">
        <f>BDH("OMGAQ US Equity","BS_ACCT_NOTE_RCV","2019-11-26","2024-11-26","Per=Y","Days=T","Dir=V")</f>
        <v>0</v>
      </c>
      <c r="U2">
        <f>BDH("OMGAQ US Equity","BS_INVENTORIES","2019-11-26","2024-11-26","Per=Y","Days=T","Dir=V")</f>
        <v>0</v>
      </c>
      <c r="W2">
        <f>BDH("OMGAQ US Equity","WORKING_CAPITAL","2019-11-26","2024-11-26","Per=Y","Days=T","Dir=V")</f>
        <v>0</v>
      </c>
      <c r="Y2">
        <f>BDH("OMGAQ US Equity","SALES_REV_TURN","2019-11-26","2024-11-26","Per=Y","Days=T","Dir=V")</f>
        <v>0</v>
      </c>
      <c r="AA2">
        <f>BDH("OMGAQ US Equity","EBIT","2019-11-26","2024-11-26","Per=Y","Days=T","Dir=V")</f>
        <v>0</v>
      </c>
      <c r="AC2">
        <f>BDH("OMGAQ US Equity","EBITDA","2019-11-26","2024-11-26","Per=Y","Days=T","Dir=V")</f>
        <v>0</v>
      </c>
      <c r="AE2">
        <f>BDH("OMGAQ US Equity","NET_INCOME","2019-11-26","2024-11-26","Per=Y","Days=T","Dir=V")</f>
        <v>0</v>
      </c>
      <c r="AG2">
        <f>BDH("OMGAQ US Equity","IS_INT_EXPENSE","2019-11-26","2024-11-26","Per=Y","Days=T","Dir=V")</f>
        <v>0</v>
      </c>
      <c r="AI2">
        <f>BDH("OMGAQ US Equity","IS_DEPR_EXP","2019-11-26","2024-11-26","Per=Y","Days=T","Dir=V")</f>
        <v>0</v>
      </c>
      <c r="AK2">
        <f>BDH("OMGAQ US Equity","CF_CASH_FROM_OPER","2019-11-26","2024-11-26","Per=Y","Days=T","Dir=V")</f>
        <v>0</v>
      </c>
      <c r="AM2">
        <f>BDH("OMGAQ US Equity","CAPITAL_EXPEND","2019-11-26","2024-11-26","Per=Y","Days=T","Dir=V")</f>
        <v>0</v>
      </c>
      <c r="AO2">
        <f>BDH("OMGAQ US Equity","CF_FREE_CASH_FLOW","2019-11-26","2024-11-26","Per=Y","Days=T","Dir=V")</f>
        <v>0</v>
      </c>
      <c r="AQ2">
        <f>BDH("OMGAQ US Equity","PX_LAST","2019-11-26","2024-11-26","Per=M","Days=T","Dir=V")</f>
        <v>0</v>
      </c>
      <c r="AS2">
        <f>BDH("OMGAQ US Equity","CUR_MKT_CAP","2019-11-26","2024-11-26","Per=M","Days=T","Dir=V")</f>
        <v>0</v>
      </c>
      <c r="AU2">
        <f>BDH("OMGAQ US Equity","EQY_SH_OUT","2019-11-26","2024-11-26","Per=M","Days=T","Dir=V")</f>
        <v>0</v>
      </c>
      <c r="AW2">
        <f>BDH("OMGAQ US Equity","PX_VOLUME","2019-11-26","2024-11-26","Per=M","Days=T","Dir=V")</f>
        <v>0</v>
      </c>
      <c r="AY2">
        <f>BDH("OMGAQ US Equity","TURNOVER","2019-11-26","2024-11-26","Per=M","Days=T","Dir=V")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BDH("NKLAQ US Equity","BS_TOT_ASSET","2019-11-27","2024-11-27","Per=Y","Days=T","Dir=V")</f>
        <v>0</v>
      </c>
      <c r="C2">
        <f>BDH("NKLAQ US Equity","BS_TOT_LIAB2","2019-11-27","2024-11-27","Per=Y","Days=T","Dir=V")</f>
        <v>0</v>
      </c>
      <c r="E2">
        <f>BDH("NKLAQ US Equity","SHORT_AND_LONG_TERM_DEBT","2019-11-27","2024-11-27","Per=Y","Days=T","Dir=V")</f>
        <v>0</v>
      </c>
      <c r="G2">
        <f>BDH("NKLAQ US Equity","BS_ST_BORROW","2019-11-27","2024-11-27","Per=Y","Days=T","Dir=V")</f>
        <v>0</v>
      </c>
      <c r="I2">
        <f>BDH("NKLAQ US Equity","BS_LT_BORROW","2019-11-27","2024-11-27","Per=Y","Days=T","Dir=V")</f>
        <v>0</v>
      </c>
      <c r="K2">
        <f>BDH("NKLAQ US Equity","BS_CASH_NEAR_CASH_ITEM","2019-11-27","2024-11-27","Per=Y","Days=T","Dir=V")</f>
        <v>0</v>
      </c>
      <c r="M2">
        <f>BDH("NKLAQ US Equity","BS_CUR_ASSET_REPORT","2019-11-27","2024-11-27","Per=Y","Days=T","Dir=V")</f>
        <v>0</v>
      </c>
      <c r="O2">
        <f>BDH("NKLAQ US Equity","BS_CUR_LIAB","2019-11-27","2024-11-27","Per=Y","Days=T","Dir=V")</f>
        <v>0</v>
      </c>
      <c r="Q2">
        <f>BDH("NKLAQ US Equity","BS_SHAREHOLDER_EQY_ENDING_PERIOD","2019-11-27","2024-11-27","Per=Y","Days=T","Dir=V")</f>
        <v>0</v>
      </c>
      <c r="S2">
        <f>BDH("NKLAQ US Equity","BS_ACCT_NOTE_RCV","2019-11-27","2024-11-27","Per=Y","Days=T","Dir=V")</f>
        <v>0</v>
      </c>
      <c r="U2">
        <f>BDH("NKLAQ US Equity","BS_INVENTORIES","2019-11-27","2024-11-27","Per=Y","Days=T","Dir=V")</f>
        <v>0</v>
      </c>
      <c r="W2">
        <f>BDH("NKLAQ US Equity","WORKING_CAPITAL","2019-11-27","2024-11-27","Per=Y","Days=T","Dir=V")</f>
        <v>0</v>
      </c>
      <c r="Y2">
        <f>BDH("NKLAQ US Equity","SALES_REV_TURN","2019-11-27","2024-11-27","Per=Y","Days=T","Dir=V")</f>
        <v>0</v>
      </c>
      <c r="AA2">
        <f>BDH("NKLAQ US Equity","EBIT","2019-11-27","2024-11-27","Per=Y","Days=T","Dir=V")</f>
        <v>0</v>
      </c>
      <c r="AC2">
        <f>BDH("NKLAQ US Equity","EBITDA","2019-11-27","2024-11-27","Per=Y","Days=T","Dir=V")</f>
        <v>0</v>
      </c>
      <c r="AE2">
        <f>BDH("NKLAQ US Equity","NET_INCOME","2019-11-27","2024-11-27","Per=Y","Days=T","Dir=V")</f>
        <v>0</v>
      </c>
      <c r="AG2">
        <f>BDH("NKLAQ US Equity","IS_INT_EXPENSE","2019-11-27","2024-11-27","Per=Y","Days=T","Dir=V")</f>
        <v>0</v>
      </c>
      <c r="AI2">
        <f>BDH("NKLAQ US Equity","IS_DEPR_EXP","2019-11-27","2024-11-27","Per=Y","Days=T","Dir=V")</f>
        <v>0</v>
      </c>
      <c r="AK2">
        <f>BDH("NKLAQ US Equity","CF_CASH_FROM_OPER","2019-11-27","2024-11-27","Per=Y","Days=T","Dir=V")</f>
        <v>0</v>
      </c>
      <c r="AM2">
        <f>BDH("NKLAQ US Equity","CAPITAL_EXPEND","2019-11-27","2024-11-27","Per=Y","Days=T","Dir=V")</f>
        <v>0</v>
      </c>
      <c r="AO2">
        <f>BDH("NKLAQ US Equity","CF_FREE_CASH_FLOW","2019-11-27","2024-11-27","Per=Y","Days=T","Dir=V")</f>
        <v>0</v>
      </c>
      <c r="AQ2">
        <f>BDH("NKLAQ US Equity","PX_LAST","2019-11-27","2024-11-27","Per=M","Days=T","Dir=V")</f>
        <v>0</v>
      </c>
      <c r="AS2">
        <f>BDH("NKLAQ US Equity","CUR_MKT_CAP","2019-11-27","2024-11-27","Per=M","Days=T","Dir=V")</f>
        <v>0</v>
      </c>
      <c r="AU2">
        <f>BDH("NKLAQ US Equity","EQY_SH_OUT","2019-11-27","2024-11-27","Per=M","Days=T","Dir=V")</f>
        <v>0</v>
      </c>
      <c r="AW2">
        <f>BDH("NKLAQ US Equity","PX_VOLUME","2019-11-27","2024-11-27","Per=M","Days=T","Dir=V")</f>
        <v>0</v>
      </c>
      <c r="AY2">
        <f>BDH("NKLAQ US Equity","TURNOVER","2019-11-27","2024-11-27","Per=M","Days=T","Dir=V")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BDH("CRKN US Equity","BS_TOT_ASSET","2019-12-04","2024-12-04","Per=Y","Days=T","Dir=V")</f>
        <v>0</v>
      </c>
      <c r="C2">
        <f>BDH("CRKN US Equity","BS_TOT_LIAB2","2019-12-04","2024-12-04","Per=Y","Days=T","Dir=V")</f>
        <v>0</v>
      </c>
      <c r="E2">
        <f>BDH("CRKN US Equity","SHORT_AND_LONG_TERM_DEBT","2019-12-04","2024-12-04","Per=Y","Days=T","Dir=V")</f>
        <v>0</v>
      </c>
      <c r="G2">
        <f>BDH("CRKN US Equity","BS_ST_BORROW","2019-12-04","2024-12-04","Per=Y","Days=T","Dir=V")</f>
        <v>0</v>
      </c>
      <c r="I2">
        <f>BDH("CRKN US Equity","BS_LT_BORROW","2019-12-04","2024-12-04","Per=Y","Days=T","Dir=V")</f>
        <v>0</v>
      </c>
      <c r="K2">
        <f>BDH("CRKN US Equity","BS_CASH_NEAR_CASH_ITEM","2019-12-04","2024-12-04","Per=Y","Days=T","Dir=V")</f>
        <v>0</v>
      </c>
      <c r="M2">
        <f>BDH("CRKN US Equity","BS_CUR_ASSET_REPORT","2019-12-04","2024-12-04","Per=Y","Days=T","Dir=V")</f>
        <v>0</v>
      </c>
      <c r="O2">
        <f>BDH("CRKN US Equity","BS_CUR_LIAB","2019-12-04","2024-12-04","Per=Y","Days=T","Dir=V")</f>
        <v>0</v>
      </c>
      <c r="Q2">
        <f>BDH("CRKN US Equity","BS_SHAREHOLDER_EQY_ENDING_PERIOD","2019-12-04","2024-12-04","Per=Y","Days=T","Dir=V")</f>
        <v>0</v>
      </c>
      <c r="S2">
        <f>BDH("CRKN US Equity","BS_ACCT_NOTE_RCV","2019-12-04","2024-12-04","Per=Y","Days=T","Dir=V")</f>
        <v>0</v>
      </c>
      <c r="U2">
        <f>BDH("CRKN US Equity","BS_INVENTORIES","2019-12-04","2024-12-04","Per=Y","Days=T","Dir=V")</f>
        <v>0</v>
      </c>
      <c r="W2">
        <f>BDH("CRKN US Equity","WORKING_CAPITAL","2019-12-04","2024-12-04","Per=Y","Days=T","Dir=V")</f>
        <v>0</v>
      </c>
      <c r="Y2">
        <f>BDH("CRKN US Equity","SALES_REV_TURN","2019-12-04","2024-12-04","Per=Y","Days=T","Dir=V")</f>
        <v>0</v>
      </c>
      <c r="AA2">
        <f>BDH("CRKN US Equity","EBIT","2019-12-04","2024-12-04","Per=Y","Days=T","Dir=V")</f>
        <v>0</v>
      </c>
      <c r="AC2">
        <f>BDH("CRKN US Equity","EBITDA","2019-12-04","2024-12-04","Per=Y","Days=T","Dir=V")</f>
        <v>0</v>
      </c>
      <c r="AE2">
        <f>BDH("CRKN US Equity","NET_INCOME","2019-12-04","2024-12-04","Per=Y","Days=T","Dir=V")</f>
        <v>0</v>
      </c>
      <c r="AG2">
        <f>BDH("CRKN US Equity","IS_INT_EXPENSE","2019-12-04","2024-12-04","Per=Y","Days=T","Dir=V")</f>
        <v>0</v>
      </c>
      <c r="AI2">
        <f>BDH("CRKN US Equity","IS_DEPR_EXP","2019-12-04","2024-12-04","Per=Y","Days=T","Dir=V")</f>
        <v>0</v>
      </c>
      <c r="AK2">
        <f>BDH("CRKN US Equity","CF_CASH_FROM_OPER","2019-12-04","2024-12-04","Per=Y","Days=T","Dir=V")</f>
        <v>0</v>
      </c>
      <c r="AM2">
        <f>BDH("CRKN US Equity","CAPITAL_EXPEND","2019-12-04","2024-12-04","Per=Y","Days=T","Dir=V")</f>
        <v>0</v>
      </c>
      <c r="AO2">
        <f>BDH("CRKN US Equity","CF_FREE_CASH_FLOW","2019-12-04","2024-12-04","Per=Y","Days=T","Dir=V")</f>
        <v>0</v>
      </c>
      <c r="AQ2">
        <f>BDH("CRKN US Equity","PX_LAST","2019-12-04","2024-12-04","Per=M","Days=T","Dir=V")</f>
        <v>0</v>
      </c>
      <c r="AS2">
        <f>BDH("CRKN US Equity","CUR_MKT_CAP","2019-12-04","2024-12-04","Per=M","Days=T","Dir=V")</f>
        <v>0</v>
      </c>
      <c r="AU2">
        <f>BDH("CRKN US Equity","EQY_SH_OUT","2019-12-04","2024-12-04","Per=M","Days=T","Dir=V")</f>
        <v>0</v>
      </c>
      <c r="AW2">
        <f>BDH("CRKN US Equity","PX_VOLUME","2019-12-04","2024-12-04","Per=M","Days=T","Dir=V")</f>
        <v>0</v>
      </c>
      <c r="AY2">
        <f>BDH("CRKN US Equity","TURNOVER","2019-12-04","2024-12-04","Per=M","Days=T","Dir=V")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BDH("CUTRQ US Equity","BS_TOT_ASSET","2019-12-12","2024-12-12","Per=Y","Days=T","Dir=V")</f>
        <v>0</v>
      </c>
      <c r="C2">
        <f>BDH("CUTRQ US Equity","BS_TOT_LIAB2","2019-12-12","2024-12-12","Per=Y","Days=T","Dir=V")</f>
        <v>0</v>
      </c>
      <c r="E2">
        <f>BDH("CUTRQ US Equity","SHORT_AND_LONG_TERM_DEBT","2019-12-12","2024-12-12","Per=Y","Days=T","Dir=V")</f>
        <v>0</v>
      </c>
      <c r="G2">
        <f>BDH("CUTRQ US Equity","BS_ST_BORROW","2019-12-12","2024-12-12","Per=Y","Days=T","Dir=V")</f>
        <v>0</v>
      </c>
      <c r="I2">
        <f>BDH("CUTRQ US Equity","BS_LT_BORROW","2019-12-12","2024-12-12","Per=Y","Days=T","Dir=V")</f>
        <v>0</v>
      </c>
      <c r="K2">
        <f>BDH("CUTRQ US Equity","BS_CASH_NEAR_CASH_ITEM","2019-12-12","2024-12-12","Per=Y","Days=T","Dir=V")</f>
        <v>0</v>
      </c>
      <c r="M2">
        <f>BDH("CUTRQ US Equity","BS_CUR_ASSET_REPORT","2019-12-12","2024-12-12","Per=Y","Days=T","Dir=V")</f>
        <v>0</v>
      </c>
      <c r="O2">
        <f>BDH("CUTRQ US Equity","BS_CUR_LIAB","2019-12-12","2024-12-12","Per=Y","Days=T","Dir=V")</f>
        <v>0</v>
      </c>
      <c r="Q2">
        <f>BDH("CUTRQ US Equity","BS_SHAREHOLDER_EQY_ENDING_PERIOD","2019-12-12","2024-12-12","Per=Y","Days=T","Dir=V")</f>
        <v>0</v>
      </c>
      <c r="S2">
        <f>BDH("CUTRQ US Equity","BS_ACCT_NOTE_RCV","2019-12-12","2024-12-12","Per=Y","Days=T","Dir=V")</f>
        <v>0</v>
      </c>
      <c r="U2">
        <f>BDH("CUTRQ US Equity","BS_INVENTORIES","2019-12-12","2024-12-12","Per=Y","Days=T","Dir=V")</f>
        <v>0</v>
      </c>
      <c r="W2">
        <f>BDH("CUTRQ US Equity","WORKING_CAPITAL","2019-12-12","2024-12-12","Per=Y","Days=T","Dir=V")</f>
        <v>0</v>
      </c>
      <c r="Y2">
        <f>BDH("CUTRQ US Equity","SALES_REV_TURN","2019-12-12","2024-12-12","Per=Y","Days=T","Dir=V")</f>
        <v>0</v>
      </c>
      <c r="AA2">
        <f>BDH("CUTRQ US Equity","EBIT","2019-12-12","2024-12-12","Per=Y","Days=T","Dir=V")</f>
        <v>0</v>
      </c>
      <c r="AC2">
        <f>BDH("CUTRQ US Equity","EBITDA","2019-12-12","2024-12-12","Per=Y","Days=T","Dir=V")</f>
        <v>0</v>
      </c>
      <c r="AE2">
        <f>BDH("CUTRQ US Equity","NET_INCOME","2019-12-12","2024-12-12","Per=Y","Days=T","Dir=V")</f>
        <v>0</v>
      </c>
      <c r="AG2">
        <f>BDH("CUTRQ US Equity","IS_INT_EXPENSE","2019-12-12","2024-12-12","Per=Y","Days=T","Dir=V")</f>
        <v>0</v>
      </c>
      <c r="AI2">
        <f>BDH("CUTRQ US Equity","IS_DEPR_EXP","2019-12-12","2024-12-12","Per=Y","Days=T","Dir=V")</f>
        <v>0</v>
      </c>
      <c r="AK2">
        <f>BDH("CUTRQ US Equity","CF_CASH_FROM_OPER","2019-12-12","2024-12-12","Per=Y","Days=T","Dir=V")</f>
        <v>0</v>
      </c>
      <c r="AM2">
        <f>BDH("CUTRQ US Equity","CAPITAL_EXPEND","2019-12-12","2024-12-12","Per=Y","Days=T","Dir=V")</f>
        <v>0</v>
      </c>
      <c r="AO2">
        <f>BDH("CUTRQ US Equity","CF_FREE_CASH_FLOW","2019-12-12","2024-12-12","Per=Y","Days=T","Dir=V")</f>
        <v>0</v>
      </c>
      <c r="AQ2">
        <f>BDH("CUTRQ US Equity","PX_LAST","2019-12-12","2024-12-12","Per=M","Days=T","Dir=V")</f>
        <v>0</v>
      </c>
      <c r="AS2">
        <f>BDH("CUTRQ US Equity","CUR_MKT_CAP","2019-12-12","2024-12-12","Per=M","Days=T","Dir=V")</f>
        <v>0</v>
      </c>
      <c r="AU2">
        <f>BDH("CUTRQ US Equity","EQY_SH_OUT","2019-12-12","2024-12-12","Per=M","Days=T","Dir=V")</f>
        <v>0</v>
      </c>
      <c r="AW2">
        <f>BDH("CUTRQ US Equity","PX_VOLUME","2019-12-12","2024-12-12","Per=M","Days=T","Dir=V")</f>
        <v>0</v>
      </c>
      <c r="AY2">
        <f>BDH("CUTRQ US Equity","TURNOVER","2019-12-12","2024-12-12","Per=M","Days=T","Dir=V")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BDH("ATXI US Equity","BS_TOT_ASSET","2019-12-18","2024-12-18","Per=Y","Days=T","Dir=V")</f>
        <v>0</v>
      </c>
      <c r="C2">
        <f>BDH("ATXI US Equity","BS_TOT_LIAB2","2019-12-18","2024-12-18","Per=Y","Days=T","Dir=V")</f>
        <v>0</v>
      </c>
      <c r="E2">
        <f>BDH("ATXI US Equity","SHORT_AND_LONG_TERM_DEBT","2019-12-18","2024-12-18","Per=Y","Days=T","Dir=V")</f>
        <v>0</v>
      </c>
      <c r="G2">
        <f>BDH("ATXI US Equity","BS_ST_BORROW","2019-12-18","2024-12-18","Per=Y","Days=T","Dir=V")</f>
        <v>0</v>
      </c>
      <c r="I2">
        <f>BDH("ATXI US Equity","BS_LT_BORROW","2019-12-18","2024-12-18","Per=Y","Days=T","Dir=V")</f>
        <v>0</v>
      </c>
      <c r="K2">
        <f>BDH("ATXI US Equity","BS_CASH_NEAR_CASH_ITEM","2019-12-18","2024-12-18","Per=Y","Days=T","Dir=V")</f>
        <v>0</v>
      </c>
      <c r="M2">
        <f>BDH("ATXI US Equity","BS_CUR_ASSET_REPORT","2019-12-18","2024-12-18","Per=Y","Days=T","Dir=V")</f>
        <v>0</v>
      </c>
      <c r="O2">
        <f>BDH("ATXI US Equity","BS_CUR_LIAB","2019-12-18","2024-12-18","Per=Y","Days=T","Dir=V")</f>
        <v>0</v>
      </c>
      <c r="Q2">
        <f>BDH("ATXI US Equity","BS_SHAREHOLDER_EQY_ENDING_PERIOD","2019-12-18","2024-12-18","Per=Y","Days=T","Dir=V")</f>
        <v>0</v>
      </c>
      <c r="S2">
        <f>BDH("ATXI US Equity","BS_ACCT_NOTE_RCV","2019-12-18","2024-12-18","Per=Y","Days=T","Dir=V")</f>
        <v>0</v>
      </c>
      <c r="U2">
        <f>BDH("ATXI US Equity","BS_INVENTORIES","2019-12-18","2024-12-18","Per=Y","Days=T","Dir=V")</f>
        <v>0</v>
      </c>
      <c r="W2">
        <f>BDH("ATXI US Equity","WORKING_CAPITAL","2019-12-18","2024-12-18","Per=Y","Days=T","Dir=V")</f>
        <v>0</v>
      </c>
      <c r="Y2">
        <f>BDH("ATXI US Equity","SALES_REV_TURN","2019-12-18","2024-12-18","Per=Y","Days=T","Dir=V")</f>
        <v>0</v>
      </c>
      <c r="AA2">
        <f>BDH("ATXI US Equity","EBIT","2019-12-18","2024-12-18","Per=Y","Days=T","Dir=V")</f>
        <v>0</v>
      </c>
      <c r="AC2">
        <f>BDH("ATXI US Equity","EBITDA","2019-12-18","2024-12-18","Per=Y","Days=T","Dir=V")</f>
        <v>0</v>
      </c>
      <c r="AE2">
        <f>BDH("ATXI US Equity","NET_INCOME","2019-12-18","2024-12-18","Per=Y","Days=T","Dir=V")</f>
        <v>0</v>
      </c>
      <c r="AG2">
        <f>BDH("ATXI US Equity","IS_INT_EXPENSE","2019-12-18","2024-12-18","Per=Y","Days=T","Dir=V")</f>
        <v>0</v>
      </c>
      <c r="AI2">
        <f>BDH("ATXI US Equity","IS_DEPR_EXP","2019-12-18","2024-12-18","Per=Y","Days=T","Dir=V")</f>
        <v>0</v>
      </c>
      <c r="AK2">
        <f>BDH("ATXI US Equity","CF_CASH_FROM_OPER","2019-12-18","2024-12-18","Per=Y","Days=T","Dir=V")</f>
        <v>0</v>
      </c>
      <c r="AM2">
        <f>BDH("ATXI US Equity","CAPITAL_EXPEND","2019-12-18","2024-12-18","Per=Y","Days=T","Dir=V")</f>
        <v>0</v>
      </c>
      <c r="AO2">
        <f>BDH("ATXI US Equity","CF_FREE_CASH_FLOW","2019-12-18","2024-12-18","Per=Y","Days=T","Dir=V")</f>
        <v>0</v>
      </c>
      <c r="AQ2">
        <f>BDH("ATXI US Equity","PX_LAST","2019-12-18","2024-12-18","Per=M","Days=T","Dir=V")</f>
        <v>0</v>
      </c>
      <c r="AS2">
        <f>BDH("ATXI US Equity","CUR_MKT_CAP","2019-12-18","2024-12-18","Per=M","Days=T","Dir=V")</f>
        <v>0</v>
      </c>
      <c r="AU2">
        <f>BDH("ATXI US Equity","EQY_SH_OUT","2019-12-18","2024-12-18","Per=M","Days=T","Dir=V")</f>
        <v>0</v>
      </c>
      <c r="AW2">
        <f>BDH("ATXI US Equity","PX_VOLUME","2019-12-18","2024-12-18","Per=M","Days=T","Dir=V")</f>
        <v>0</v>
      </c>
      <c r="AY2">
        <f>BDH("ATXI US Equity","TURNOVER","2019-12-18","2024-12-18","Per=M","Days=T","Dir=V")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BDH("BACK US Equity","BS_TOT_ASSET","2019-12-25","2024-12-25","Per=Y","Days=T","Dir=V")</f>
        <v>0</v>
      </c>
      <c r="C2">
        <f>BDH("BACK US Equity","BS_TOT_LIAB2","2019-12-25","2024-12-25","Per=Y","Days=T","Dir=V")</f>
        <v>0</v>
      </c>
      <c r="E2">
        <f>BDH("BACK US Equity","SHORT_AND_LONG_TERM_DEBT","2019-12-25","2024-12-25","Per=Y","Days=T","Dir=V")</f>
        <v>0</v>
      </c>
      <c r="G2">
        <f>BDH("BACK US Equity","BS_ST_BORROW","2019-12-25","2024-12-25","Per=Y","Days=T","Dir=V")</f>
        <v>0</v>
      </c>
      <c r="I2">
        <f>BDH("BACK US Equity","BS_LT_BORROW","2019-12-25","2024-12-25","Per=Y","Days=T","Dir=V")</f>
        <v>0</v>
      </c>
      <c r="K2">
        <f>BDH("BACK US Equity","BS_CASH_NEAR_CASH_ITEM","2019-12-25","2024-12-25","Per=Y","Days=T","Dir=V")</f>
        <v>0</v>
      </c>
      <c r="M2">
        <f>BDH("BACK US Equity","BS_CUR_ASSET_REPORT","2019-12-25","2024-12-25","Per=Y","Days=T","Dir=V")</f>
        <v>0</v>
      </c>
      <c r="O2">
        <f>BDH("BACK US Equity","BS_CUR_LIAB","2019-12-25","2024-12-25","Per=Y","Days=T","Dir=V")</f>
        <v>0</v>
      </c>
      <c r="Q2">
        <f>BDH("BACK US Equity","BS_SHAREHOLDER_EQY_ENDING_PERIOD","2019-12-25","2024-12-25","Per=Y","Days=T","Dir=V")</f>
        <v>0</v>
      </c>
      <c r="S2">
        <f>BDH("BACK US Equity","BS_ACCT_NOTE_RCV","2019-12-25","2024-12-25","Per=Y","Days=T","Dir=V")</f>
        <v>0</v>
      </c>
      <c r="U2">
        <f>BDH("BACK US Equity","BS_INVENTORIES","2019-12-25","2024-12-25","Per=Y","Days=T","Dir=V")</f>
        <v>0</v>
      </c>
      <c r="W2">
        <f>BDH("BACK US Equity","WORKING_CAPITAL","2019-12-25","2024-12-25","Per=Y","Days=T","Dir=V")</f>
        <v>0</v>
      </c>
      <c r="Y2">
        <f>BDH("BACK US Equity","SALES_REV_TURN","2019-12-25","2024-12-25","Per=Y","Days=T","Dir=V")</f>
        <v>0</v>
      </c>
      <c r="AA2">
        <f>BDH("BACK US Equity","EBIT","2019-12-25","2024-12-25","Per=Y","Days=T","Dir=V")</f>
        <v>0</v>
      </c>
      <c r="AC2">
        <f>BDH("BACK US Equity","EBITDA","2019-12-25","2024-12-25","Per=Y","Days=T","Dir=V")</f>
        <v>0</v>
      </c>
      <c r="AE2">
        <f>BDH("BACK US Equity","NET_INCOME","2019-12-25","2024-12-25","Per=Y","Days=T","Dir=V")</f>
        <v>0</v>
      </c>
      <c r="AG2">
        <f>BDH("BACK US Equity","IS_INT_EXPENSE","2019-12-25","2024-12-25","Per=Y","Days=T","Dir=V")</f>
        <v>0</v>
      </c>
      <c r="AI2">
        <f>BDH("BACK US Equity","IS_DEPR_EXP","2019-12-25","2024-12-25","Per=Y","Days=T","Dir=V")</f>
        <v>0</v>
      </c>
      <c r="AK2">
        <f>BDH("BACK US Equity","CF_CASH_FROM_OPER","2019-12-25","2024-12-25","Per=Y","Days=T","Dir=V")</f>
        <v>0</v>
      </c>
      <c r="AM2">
        <f>BDH("BACK US Equity","CAPITAL_EXPEND","2019-12-25","2024-12-25","Per=Y","Days=T","Dir=V")</f>
        <v>0</v>
      </c>
      <c r="AO2">
        <f>BDH("BACK US Equity","CF_FREE_CASH_FLOW","2019-12-25","2024-12-25","Per=Y","Days=T","Dir=V")</f>
        <v>0</v>
      </c>
      <c r="AQ2">
        <f>BDH("BACK US Equity","PX_LAST","2019-12-25","2024-12-25","Per=M","Days=T","Dir=V")</f>
        <v>0</v>
      </c>
      <c r="AS2">
        <f>BDH("BACK US Equity","CUR_MKT_CAP","2019-12-25","2024-12-25","Per=M","Days=T","Dir=V")</f>
        <v>0</v>
      </c>
      <c r="AU2">
        <f>BDH("BACK US Equity","EQY_SH_OUT","2019-12-25","2024-12-25","Per=M","Days=T","Dir=V")</f>
        <v>0</v>
      </c>
      <c r="AW2">
        <f>BDH("BACK US Equity","PX_VOLUME","2019-12-25","2024-12-25","Per=M","Days=T","Dir=V")</f>
        <v>0</v>
      </c>
      <c r="AY2">
        <f>BDH("BACK US Equity","TURNOVER","2019-12-25","2024-12-25","Per=M","Days=T","Dir=V")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BDH("BHILQ US Equity","BS_TOT_ASSET","2019-12-26","2024-12-26","Per=Y","Days=T","Dir=V")</f>
        <v>0</v>
      </c>
      <c r="C2">
        <f>BDH("BHILQ US Equity","BS_TOT_LIAB2","2019-12-26","2024-12-26","Per=Y","Days=T","Dir=V")</f>
        <v>0</v>
      </c>
      <c r="E2">
        <f>BDH("BHILQ US Equity","SHORT_AND_LONG_TERM_DEBT","2019-12-26","2024-12-26","Per=Y","Days=T","Dir=V")</f>
        <v>0</v>
      </c>
      <c r="G2">
        <f>BDH("BHILQ US Equity","BS_ST_BORROW","2019-12-26","2024-12-26","Per=Y","Days=T","Dir=V")</f>
        <v>0</v>
      </c>
      <c r="I2">
        <f>BDH("BHILQ US Equity","BS_LT_BORROW","2019-12-26","2024-12-26","Per=Y","Days=T","Dir=V")</f>
        <v>0</v>
      </c>
      <c r="K2">
        <f>BDH("BHILQ US Equity","BS_CASH_NEAR_CASH_ITEM","2019-12-26","2024-12-26","Per=Y","Days=T","Dir=V")</f>
        <v>0</v>
      </c>
      <c r="M2">
        <f>BDH("BHILQ US Equity","BS_CUR_ASSET_REPORT","2019-12-26","2024-12-26","Per=Y","Days=T","Dir=V")</f>
        <v>0</v>
      </c>
      <c r="O2">
        <f>BDH("BHILQ US Equity","BS_CUR_LIAB","2019-12-26","2024-12-26","Per=Y","Days=T","Dir=V")</f>
        <v>0</v>
      </c>
      <c r="Q2">
        <f>BDH("BHILQ US Equity","BS_SHAREHOLDER_EQY_ENDING_PERIOD","2019-12-26","2024-12-26","Per=Y","Days=T","Dir=V")</f>
        <v>0</v>
      </c>
      <c r="S2">
        <f>BDH("BHILQ US Equity","BS_ACCT_NOTE_RCV","2019-12-26","2024-12-26","Per=Y","Days=T","Dir=V")</f>
        <v>0</v>
      </c>
      <c r="U2">
        <f>BDH("BHILQ US Equity","BS_INVENTORIES","2019-12-26","2024-12-26","Per=Y","Days=T","Dir=V")</f>
        <v>0</v>
      </c>
      <c r="W2">
        <f>BDH("BHILQ US Equity","WORKING_CAPITAL","2019-12-26","2024-12-26","Per=Y","Days=T","Dir=V")</f>
        <v>0</v>
      </c>
      <c r="Y2">
        <f>BDH("BHILQ US Equity","SALES_REV_TURN","2019-12-26","2024-12-26","Per=Y","Days=T","Dir=V")</f>
        <v>0</v>
      </c>
      <c r="AA2">
        <f>BDH("BHILQ US Equity","EBIT","2019-12-26","2024-12-26","Per=Y","Days=T","Dir=V")</f>
        <v>0</v>
      </c>
      <c r="AC2">
        <f>BDH("BHILQ US Equity","EBITDA","2019-12-26","2024-12-26","Per=Y","Days=T","Dir=V")</f>
        <v>0</v>
      </c>
      <c r="AE2">
        <f>BDH("BHILQ US Equity","NET_INCOME","2019-12-26","2024-12-26","Per=Y","Days=T","Dir=V")</f>
        <v>0</v>
      </c>
      <c r="AG2">
        <f>BDH("BHILQ US Equity","IS_INT_EXPENSE","2019-12-26","2024-12-26","Per=Y","Days=T","Dir=V")</f>
        <v>0</v>
      </c>
      <c r="AI2">
        <f>BDH("BHILQ US Equity","IS_DEPR_EXP","2019-12-26","2024-12-26","Per=Y","Days=T","Dir=V")</f>
        <v>0</v>
      </c>
      <c r="AK2">
        <f>BDH("BHILQ US Equity","CF_CASH_FROM_OPER","2019-12-26","2024-12-26","Per=Y","Days=T","Dir=V")</f>
        <v>0</v>
      </c>
      <c r="AM2">
        <f>BDH("BHILQ US Equity","CAPITAL_EXPEND","2019-12-26","2024-12-26","Per=Y","Days=T","Dir=V")</f>
        <v>0</v>
      </c>
      <c r="AO2">
        <f>BDH("BHILQ US Equity","CF_FREE_CASH_FLOW","2019-12-26","2024-12-26","Per=Y","Days=T","Dir=V")</f>
        <v>0</v>
      </c>
      <c r="AQ2">
        <f>BDH("BHILQ US Equity","PX_LAST","2019-12-26","2024-12-26","Per=M","Days=T","Dir=V")</f>
        <v>0</v>
      </c>
      <c r="AS2">
        <f>BDH("BHILQ US Equity","CUR_MKT_CAP","2019-12-26","2024-12-26","Per=M","Days=T","Dir=V")</f>
        <v>0</v>
      </c>
      <c r="AU2">
        <f>BDH("BHILQ US Equity","EQY_SH_OUT","2019-12-26","2024-12-26","Per=M","Days=T","Dir=V")</f>
        <v>0</v>
      </c>
      <c r="AW2">
        <f>BDH("BHILQ US Equity","PX_VOLUME","2019-12-26","2024-12-26","Per=M","Days=T","Dir=V")</f>
        <v>0</v>
      </c>
      <c r="AY2">
        <f>BDH("BHILQ US Equity","TURNOVER","2019-12-26","2024-12-26","Per=M","Days=T","Dir=V")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BDH("LKCOF US Equity","BS_TOT_ASSET","2019-12-28","2024-12-28","Per=Y","Days=T","Dir=V")</f>
        <v>0</v>
      </c>
      <c r="C2">
        <f>BDH("LKCOF US Equity","BS_TOT_LIAB2","2019-12-28","2024-12-28","Per=Y","Days=T","Dir=V")</f>
        <v>0</v>
      </c>
      <c r="E2">
        <f>BDH("LKCOF US Equity","SHORT_AND_LONG_TERM_DEBT","2019-12-28","2024-12-28","Per=Y","Days=T","Dir=V")</f>
        <v>0</v>
      </c>
      <c r="G2">
        <f>BDH("LKCOF US Equity","BS_ST_BORROW","2019-12-28","2024-12-28","Per=Y","Days=T","Dir=V")</f>
        <v>0</v>
      </c>
      <c r="I2">
        <f>BDH("LKCOF US Equity","BS_LT_BORROW","2019-12-28","2024-12-28","Per=Y","Days=T","Dir=V")</f>
        <v>0</v>
      </c>
      <c r="K2">
        <f>BDH("LKCOF US Equity","BS_CASH_NEAR_CASH_ITEM","2019-12-28","2024-12-28","Per=Y","Days=T","Dir=V")</f>
        <v>0</v>
      </c>
      <c r="M2">
        <f>BDH("LKCOF US Equity","BS_CUR_ASSET_REPORT","2019-12-28","2024-12-28","Per=Y","Days=T","Dir=V")</f>
        <v>0</v>
      </c>
      <c r="O2">
        <f>BDH("LKCOF US Equity","BS_CUR_LIAB","2019-12-28","2024-12-28","Per=Y","Days=T","Dir=V")</f>
        <v>0</v>
      </c>
      <c r="Q2">
        <f>BDH("LKCOF US Equity","BS_SHAREHOLDER_EQY_ENDING_PERIOD","2019-12-28","2024-12-28","Per=Y","Days=T","Dir=V")</f>
        <v>0</v>
      </c>
      <c r="S2">
        <f>BDH("LKCOF US Equity","BS_ACCT_NOTE_RCV","2019-12-28","2024-12-28","Per=Y","Days=T","Dir=V")</f>
        <v>0</v>
      </c>
      <c r="U2">
        <f>BDH("LKCOF US Equity","BS_INVENTORIES","2019-12-28","2024-12-28","Per=Y","Days=T","Dir=V")</f>
        <v>0</v>
      </c>
      <c r="W2">
        <f>BDH("LKCOF US Equity","WORKING_CAPITAL","2019-12-28","2024-12-28","Per=Y","Days=T","Dir=V")</f>
        <v>0</v>
      </c>
      <c r="Y2">
        <f>BDH("LKCOF US Equity","SALES_REV_TURN","2019-12-28","2024-12-28","Per=Y","Days=T","Dir=V")</f>
        <v>0</v>
      </c>
      <c r="AA2">
        <f>BDH("LKCOF US Equity","EBIT","2019-12-28","2024-12-28","Per=Y","Days=T","Dir=V")</f>
        <v>0</v>
      </c>
      <c r="AC2">
        <f>BDH("LKCOF US Equity","EBITDA","2019-12-28","2024-12-28","Per=Y","Days=T","Dir=V")</f>
        <v>0</v>
      </c>
      <c r="AE2">
        <f>BDH("LKCOF US Equity","NET_INCOME","2019-12-28","2024-12-28","Per=Y","Days=T","Dir=V")</f>
        <v>0</v>
      </c>
      <c r="AG2">
        <f>BDH("LKCOF US Equity","IS_INT_EXPENSE","2019-12-28","2024-12-28","Per=Y","Days=T","Dir=V")</f>
        <v>0</v>
      </c>
      <c r="AI2">
        <f>BDH("LKCOF US Equity","IS_DEPR_EXP","2019-12-28","2024-12-28","Per=Y","Days=T","Dir=V")</f>
        <v>0</v>
      </c>
      <c r="AK2">
        <f>BDH("LKCOF US Equity","CF_CASH_FROM_OPER","2019-12-28","2024-12-28","Per=Y","Days=T","Dir=V")</f>
        <v>0</v>
      </c>
      <c r="AM2">
        <f>BDH("LKCOF US Equity","CAPITAL_EXPEND","2019-12-28","2024-12-28","Per=Y","Days=T","Dir=V")</f>
        <v>0</v>
      </c>
      <c r="AO2">
        <f>BDH("LKCOF US Equity","CF_FREE_CASH_FLOW","2019-12-28","2024-12-28","Per=Y","Days=T","Dir=V")</f>
        <v>0</v>
      </c>
      <c r="AQ2">
        <f>BDH("LKCOF US Equity","PX_LAST","2019-12-28","2024-12-28","Per=M","Days=T","Dir=V")</f>
        <v>0</v>
      </c>
      <c r="AS2">
        <f>BDH("LKCOF US Equity","CUR_MKT_CAP","2019-12-28","2024-12-28","Per=M","Days=T","Dir=V")</f>
        <v>0</v>
      </c>
      <c r="AU2">
        <f>BDH("LKCOF US Equity","EQY_SH_OUT","2019-12-28","2024-12-28","Per=M","Days=T","Dir=V")</f>
        <v>0</v>
      </c>
      <c r="AW2">
        <f>BDH("LKCOF US Equity","PX_VOLUME","2019-12-28","2024-12-28","Per=M","Days=T","Dir=V")</f>
        <v>0</v>
      </c>
      <c r="AY2">
        <f>BDH("LKCOF US Equity","TURNOVER","2019-12-28","2024-12-28","Per=M","Days=T","Dir=V")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BDH("VRPX US Equity","BS_TOT_ASSET","2020-01-04","2025-01-04","Per=Y","Days=T","Dir=V")</f>
        <v>0</v>
      </c>
      <c r="C2">
        <f>BDH("VRPX US Equity","BS_TOT_LIAB2","2020-01-04","2025-01-04","Per=Y","Days=T","Dir=V")</f>
        <v>0</v>
      </c>
      <c r="E2">
        <f>BDH("VRPX US Equity","SHORT_AND_LONG_TERM_DEBT","2020-01-04","2025-01-04","Per=Y","Days=T","Dir=V")</f>
        <v>0</v>
      </c>
      <c r="G2">
        <f>BDH("VRPX US Equity","BS_ST_BORROW","2020-01-04","2025-01-04","Per=Y","Days=T","Dir=V")</f>
        <v>0</v>
      </c>
      <c r="I2">
        <f>BDH("VRPX US Equity","BS_LT_BORROW","2020-01-04","2025-01-04","Per=Y","Days=T","Dir=V")</f>
        <v>0</v>
      </c>
      <c r="K2">
        <f>BDH("VRPX US Equity","BS_CASH_NEAR_CASH_ITEM","2020-01-04","2025-01-04","Per=Y","Days=T","Dir=V")</f>
        <v>0</v>
      </c>
      <c r="M2">
        <f>BDH("VRPX US Equity","BS_CUR_ASSET_REPORT","2020-01-04","2025-01-04","Per=Y","Days=T","Dir=V")</f>
        <v>0</v>
      </c>
      <c r="O2">
        <f>BDH("VRPX US Equity","BS_CUR_LIAB","2020-01-04","2025-01-04","Per=Y","Days=T","Dir=V")</f>
        <v>0</v>
      </c>
      <c r="Q2">
        <f>BDH("VRPX US Equity","BS_SHAREHOLDER_EQY_ENDING_PERIOD","2020-01-04","2025-01-04","Per=Y","Days=T","Dir=V")</f>
        <v>0</v>
      </c>
      <c r="S2">
        <f>BDH("VRPX US Equity","BS_ACCT_NOTE_RCV","2020-01-04","2025-01-04","Per=Y","Days=T","Dir=V")</f>
        <v>0</v>
      </c>
      <c r="U2">
        <f>BDH("VRPX US Equity","BS_INVENTORIES","2020-01-04","2025-01-04","Per=Y","Days=T","Dir=V")</f>
        <v>0</v>
      </c>
      <c r="W2">
        <f>BDH("VRPX US Equity","WORKING_CAPITAL","2020-01-04","2025-01-04","Per=Y","Days=T","Dir=V")</f>
        <v>0</v>
      </c>
      <c r="Y2">
        <f>BDH("VRPX US Equity","SALES_REV_TURN","2020-01-04","2025-01-04","Per=Y","Days=T","Dir=V")</f>
        <v>0</v>
      </c>
      <c r="AA2">
        <f>BDH("VRPX US Equity","EBIT","2020-01-04","2025-01-04","Per=Y","Days=T","Dir=V")</f>
        <v>0</v>
      </c>
      <c r="AC2">
        <f>BDH("VRPX US Equity","EBITDA","2020-01-04","2025-01-04","Per=Y","Days=T","Dir=V")</f>
        <v>0</v>
      </c>
      <c r="AE2">
        <f>BDH("VRPX US Equity","NET_INCOME","2020-01-04","2025-01-04","Per=Y","Days=T","Dir=V")</f>
        <v>0</v>
      </c>
      <c r="AG2">
        <f>BDH("VRPX US Equity","IS_INT_EXPENSE","2020-01-04","2025-01-04","Per=Y","Days=T","Dir=V")</f>
        <v>0</v>
      </c>
      <c r="AI2">
        <f>BDH("VRPX US Equity","IS_DEPR_EXP","2020-01-04","2025-01-04","Per=Y","Days=T","Dir=V")</f>
        <v>0</v>
      </c>
      <c r="AK2">
        <f>BDH("VRPX US Equity","CF_CASH_FROM_OPER","2020-01-04","2025-01-04","Per=Y","Days=T","Dir=V")</f>
        <v>0</v>
      </c>
      <c r="AM2">
        <f>BDH("VRPX US Equity","CAPITAL_EXPEND","2020-01-04","2025-01-04","Per=Y","Days=T","Dir=V")</f>
        <v>0</v>
      </c>
      <c r="AO2">
        <f>BDH("VRPX US Equity","CF_FREE_CASH_FLOW","2020-01-04","2025-01-04","Per=Y","Days=T","Dir=V")</f>
        <v>0</v>
      </c>
      <c r="AQ2">
        <f>BDH("VRPX US Equity","PX_LAST","2020-01-04","2025-01-04","Per=M","Days=T","Dir=V")</f>
        <v>0</v>
      </c>
      <c r="AS2">
        <f>BDH("VRPX US Equity","CUR_MKT_CAP","2020-01-04","2025-01-04","Per=M","Days=T","Dir=V")</f>
        <v>0</v>
      </c>
      <c r="AU2">
        <f>BDH("VRPX US Equity","EQY_SH_OUT","2020-01-04","2025-01-04","Per=M","Days=T","Dir=V")</f>
        <v>0</v>
      </c>
      <c r="AW2">
        <f>BDH("VRPX US Equity","PX_VOLUME","2020-01-04","2025-01-04","Per=M","Days=T","Dir=V")</f>
        <v>0</v>
      </c>
      <c r="AY2">
        <f>BDH("VRPX US Equity","TURNOVER","2020-01-04","2025-01-04","Per=M","Days=T","Dir=V")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BDH("SCPX US Equity","BS_TOT_ASSET","2020-01-21","2025-01-21","Per=Y","Days=T","Dir=V")</f>
        <v>0</v>
      </c>
      <c r="C2">
        <f>BDH("SCPX US Equity","BS_TOT_LIAB2","2020-01-21","2025-01-21","Per=Y","Days=T","Dir=V")</f>
        <v>0</v>
      </c>
      <c r="E2">
        <f>BDH("SCPX US Equity","SHORT_AND_LONG_TERM_DEBT","2020-01-21","2025-01-21","Per=Y","Days=T","Dir=V")</f>
        <v>0</v>
      </c>
      <c r="G2">
        <f>BDH("SCPX US Equity","BS_ST_BORROW","2020-01-21","2025-01-21","Per=Y","Days=T","Dir=V")</f>
        <v>0</v>
      </c>
      <c r="I2">
        <f>BDH("SCPX US Equity","BS_LT_BORROW","2020-01-21","2025-01-21","Per=Y","Days=T","Dir=V")</f>
        <v>0</v>
      </c>
      <c r="K2">
        <f>BDH("SCPX US Equity","BS_CASH_NEAR_CASH_ITEM","2020-01-21","2025-01-21","Per=Y","Days=T","Dir=V")</f>
        <v>0</v>
      </c>
      <c r="M2">
        <f>BDH("SCPX US Equity","BS_CUR_ASSET_REPORT","2020-01-21","2025-01-21","Per=Y","Days=T","Dir=V")</f>
        <v>0</v>
      </c>
      <c r="O2">
        <f>BDH("SCPX US Equity","BS_CUR_LIAB","2020-01-21","2025-01-21","Per=Y","Days=T","Dir=V")</f>
        <v>0</v>
      </c>
      <c r="Q2">
        <f>BDH("SCPX US Equity","BS_SHAREHOLDER_EQY_ENDING_PERIOD","2020-01-21","2025-01-21","Per=Y","Days=T","Dir=V")</f>
        <v>0</v>
      </c>
      <c r="S2">
        <f>BDH("SCPX US Equity","BS_ACCT_NOTE_RCV","2020-01-21","2025-01-21","Per=Y","Days=T","Dir=V")</f>
        <v>0</v>
      </c>
      <c r="U2">
        <f>BDH("SCPX US Equity","BS_INVENTORIES","2020-01-21","2025-01-21","Per=Y","Days=T","Dir=V")</f>
        <v>0</v>
      </c>
      <c r="W2">
        <f>BDH("SCPX US Equity","WORKING_CAPITAL","2020-01-21","2025-01-21","Per=Y","Days=T","Dir=V")</f>
        <v>0</v>
      </c>
      <c r="Y2">
        <f>BDH("SCPX US Equity","SALES_REV_TURN","2020-01-21","2025-01-21","Per=Y","Days=T","Dir=V")</f>
        <v>0</v>
      </c>
      <c r="AA2">
        <f>BDH("SCPX US Equity","EBIT","2020-01-21","2025-01-21","Per=Y","Days=T","Dir=V")</f>
        <v>0</v>
      </c>
      <c r="AC2">
        <f>BDH("SCPX US Equity","EBITDA","2020-01-21","2025-01-21","Per=Y","Days=T","Dir=V")</f>
        <v>0</v>
      </c>
      <c r="AE2">
        <f>BDH("SCPX US Equity","NET_INCOME","2020-01-21","2025-01-21","Per=Y","Days=T","Dir=V")</f>
        <v>0</v>
      </c>
      <c r="AG2">
        <f>BDH("SCPX US Equity","IS_INT_EXPENSE","2020-01-21","2025-01-21","Per=Y","Days=T","Dir=V")</f>
        <v>0</v>
      </c>
      <c r="AI2">
        <f>BDH("SCPX US Equity","IS_DEPR_EXP","2020-01-21","2025-01-21","Per=Y","Days=T","Dir=V")</f>
        <v>0</v>
      </c>
      <c r="AK2">
        <f>BDH("SCPX US Equity","CF_CASH_FROM_OPER","2020-01-21","2025-01-21","Per=Y","Days=T","Dir=V")</f>
        <v>0</v>
      </c>
      <c r="AM2">
        <f>BDH("SCPX US Equity","CAPITAL_EXPEND","2020-01-21","2025-01-21","Per=Y","Days=T","Dir=V")</f>
        <v>0</v>
      </c>
      <c r="AO2">
        <f>BDH("SCPX US Equity","CF_FREE_CASH_FLOW","2020-01-21","2025-01-21","Per=Y","Days=T","Dir=V")</f>
        <v>0</v>
      </c>
      <c r="AQ2">
        <f>BDH("SCPX US Equity","PX_LAST","2020-01-21","2025-01-21","Per=M","Days=T","Dir=V")</f>
        <v>0</v>
      </c>
      <c r="AS2">
        <f>BDH("SCPX US Equity","CUR_MKT_CAP","2020-01-21","2025-01-21","Per=M","Days=T","Dir=V")</f>
        <v>0</v>
      </c>
      <c r="AU2">
        <f>BDH("SCPX US Equity","EQY_SH_OUT","2020-01-21","2025-01-21","Per=M","Days=T","Dir=V")</f>
        <v>0</v>
      </c>
      <c r="AW2">
        <f>BDH("SCPX US Equity","PX_VOLUME","2020-01-21","2025-01-21","Per=M","Days=T","Dir=V")</f>
        <v>0</v>
      </c>
      <c r="AY2">
        <f>BDH("SCPX US Equity","TURNOVER","2020-01-21","2025-01-21","Per=M","Days=T","Dir=V")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BDH("AIEV US Equity","BS_TOT_ASSET","2020-01-21","2025-01-21","Per=Y","Days=T","Dir=V")</f>
        <v>0</v>
      </c>
      <c r="C2">
        <f>BDH("AIEV US Equity","BS_TOT_LIAB2","2020-01-21","2025-01-21","Per=Y","Days=T","Dir=V")</f>
        <v>0</v>
      </c>
      <c r="E2">
        <f>BDH("AIEV US Equity","SHORT_AND_LONG_TERM_DEBT","2020-01-21","2025-01-21","Per=Y","Days=T","Dir=V")</f>
        <v>0</v>
      </c>
      <c r="G2">
        <f>BDH("AIEV US Equity","BS_ST_BORROW","2020-01-21","2025-01-21","Per=Y","Days=T","Dir=V")</f>
        <v>0</v>
      </c>
      <c r="I2">
        <f>BDH("AIEV US Equity","BS_LT_BORROW","2020-01-21","2025-01-21","Per=Y","Days=T","Dir=V")</f>
        <v>0</v>
      </c>
      <c r="K2">
        <f>BDH("AIEV US Equity","BS_CASH_NEAR_CASH_ITEM","2020-01-21","2025-01-21","Per=Y","Days=T","Dir=V")</f>
        <v>0</v>
      </c>
      <c r="M2">
        <f>BDH("AIEV US Equity","BS_CUR_ASSET_REPORT","2020-01-21","2025-01-21","Per=Y","Days=T","Dir=V")</f>
        <v>0</v>
      </c>
      <c r="O2">
        <f>BDH("AIEV US Equity","BS_CUR_LIAB","2020-01-21","2025-01-21","Per=Y","Days=T","Dir=V")</f>
        <v>0</v>
      </c>
      <c r="Q2">
        <f>BDH("AIEV US Equity","BS_SHAREHOLDER_EQY_ENDING_PERIOD","2020-01-21","2025-01-21","Per=Y","Days=T","Dir=V")</f>
        <v>0</v>
      </c>
      <c r="S2">
        <f>BDH("AIEV US Equity","BS_ACCT_NOTE_RCV","2020-01-21","2025-01-21","Per=Y","Days=T","Dir=V")</f>
        <v>0</v>
      </c>
      <c r="U2">
        <f>BDH("AIEV US Equity","BS_INVENTORIES","2020-01-21","2025-01-21","Per=Y","Days=T","Dir=V")</f>
        <v>0</v>
      </c>
      <c r="W2">
        <f>BDH("AIEV US Equity","WORKING_CAPITAL","2020-01-21","2025-01-21","Per=Y","Days=T","Dir=V")</f>
        <v>0</v>
      </c>
      <c r="Y2">
        <f>BDH("AIEV US Equity","SALES_REV_TURN","2020-01-21","2025-01-21","Per=Y","Days=T","Dir=V")</f>
        <v>0</v>
      </c>
      <c r="AA2">
        <f>BDH("AIEV US Equity","EBIT","2020-01-21","2025-01-21","Per=Y","Days=T","Dir=V")</f>
        <v>0</v>
      </c>
      <c r="AC2">
        <f>BDH("AIEV US Equity","EBITDA","2020-01-21","2025-01-21","Per=Y","Days=T","Dir=V")</f>
        <v>0</v>
      </c>
      <c r="AE2">
        <f>BDH("AIEV US Equity","NET_INCOME","2020-01-21","2025-01-21","Per=Y","Days=T","Dir=V")</f>
        <v>0</v>
      </c>
      <c r="AG2">
        <f>BDH("AIEV US Equity","IS_INT_EXPENSE","2020-01-21","2025-01-21","Per=Y","Days=T","Dir=V")</f>
        <v>0</v>
      </c>
      <c r="AI2">
        <f>BDH("AIEV US Equity","IS_DEPR_EXP","2020-01-21","2025-01-21","Per=Y","Days=T","Dir=V")</f>
        <v>0</v>
      </c>
      <c r="AK2">
        <f>BDH("AIEV US Equity","CF_CASH_FROM_OPER","2020-01-21","2025-01-21","Per=Y","Days=T","Dir=V")</f>
        <v>0</v>
      </c>
      <c r="AM2">
        <f>BDH("AIEV US Equity","CAPITAL_EXPEND","2020-01-21","2025-01-21","Per=Y","Days=T","Dir=V")</f>
        <v>0</v>
      </c>
      <c r="AO2">
        <f>BDH("AIEV US Equity","CF_FREE_CASH_FLOW","2020-01-21","2025-01-21","Per=Y","Days=T","Dir=V")</f>
        <v>0</v>
      </c>
      <c r="AQ2">
        <f>BDH("AIEV US Equity","PX_LAST","2020-01-21","2025-01-21","Per=M","Days=T","Dir=V")</f>
        <v>0</v>
      </c>
      <c r="AS2">
        <f>BDH("AIEV US Equity","CUR_MKT_CAP","2020-01-21","2025-01-21","Per=M","Days=T","Dir=V")</f>
        <v>0</v>
      </c>
      <c r="AU2">
        <f>BDH("AIEV US Equity","EQY_SH_OUT","2020-01-21","2025-01-21","Per=M","Days=T","Dir=V")</f>
        <v>0</v>
      </c>
      <c r="AW2">
        <f>BDH("AIEV US Equity","PX_VOLUME","2020-01-21","2025-01-21","Per=M","Days=T","Dir=V")</f>
        <v>0</v>
      </c>
      <c r="AY2">
        <f>BDH("AIEV US Equity","TURNOVER","2020-01-21","2025-01-21","Per=M","Days=T","Dir=V")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BDH("VINC US Equity","BS_TOT_ASSET","2020-01-22","2025-01-22","Per=Y","Days=T","Dir=V")</f>
        <v>0</v>
      </c>
      <c r="C2">
        <f>BDH("VINC US Equity","BS_TOT_LIAB2","2020-01-22","2025-01-22","Per=Y","Days=T","Dir=V")</f>
        <v>0</v>
      </c>
      <c r="E2">
        <f>BDH("VINC US Equity","SHORT_AND_LONG_TERM_DEBT","2020-01-22","2025-01-22","Per=Y","Days=T","Dir=V")</f>
        <v>0</v>
      </c>
      <c r="G2">
        <f>BDH("VINC US Equity","BS_ST_BORROW","2020-01-22","2025-01-22","Per=Y","Days=T","Dir=V")</f>
        <v>0</v>
      </c>
      <c r="I2">
        <f>BDH("VINC US Equity","BS_LT_BORROW","2020-01-22","2025-01-22","Per=Y","Days=T","Dir=V")</f>
        <v>0</v>
      </c>
      <c r="K2">
        <f>BDH("VINC US Equity","BS_CASH_NEAR_CASH_ITEM","2020-01-22","2025-01-22","Per=Y","Days=T","Dir=V")</f>
        <v>0</v>
      </c>
      <c r="M2">
        <f>BDH("VINC US Equity","BS_CUR_ASSET_REPORT","2020-01-22","2025-01-22","Per=Y","Days=T","Dir=V")</f>
        <v>0</v>
      </c>
      <c r="O2">
        <f>BDH("VINC US Equity","BS_CUR_LIAB","2020-01-22","2025-01-22","Per=Y","Days=T","Dir=V")</f>
        <v>0</v>
      </c>
      <c r="Q2">
        <f>BDH("VINC US Equity","BS_SHAREHOLDER_EQY_ENDING_PERIOD","2020-01-22","2025-01-22","Per=Y","Days=T","Dir=V")</f>
        <v>0</v>
      </c>
      <c r="S2">
        <f>BDH("VINC US Equity","BS_ACCT_NOTE_RCV","2020-01-22","2025-01-22","Per=Y","Days=T","Dir=V")</f>
        <v>0</v>
      </c>
      <c r="U2">
        <f>BDH("VINC US Equity","BS_INVENTORIES","2020-01-22","2025-01-22","Per=Y","Days=T","Dir=V")</f>
        <v>0</v>
      </c>
      <c r="W2">
        <f>BDH("VINC US Equity","WORKING_CAPITAL","2020-01-22","2025-01-22","Per=Y","Days=T","Dir=V")</f>
        <v>0</v>
      </c>
      <c r="Y2">
        <f>BDH("VINC US Equity","SALES_REV_TURN","2020-01-22","2025-01-22","Per=Y","Days=T","Dir=V")</f>
        <v>0</v>
      </c>
      <c r="AA2">
        <f>BDH("VINC US Equity","EBIT","2020-01-22","2025-01-22","Per=Y","Days=T","Dir=V")</f>
        <v>0</v>
      </c>
      <c r="AC2">
        <f>BDH("VINC US Equity","EBITDA","2020-01-22","2025-01-22","Per=Y","Days=T","Dir=V")</f>
        <v>0</v>
      </c>
      <c r="AE2">
        <f>BDH("VINC US Equity","NET_INCOME","2020-01-22","2025-01-22","Per=Y","Days=T","Dir=V")</f>
        <v>0</v>
      </c>
      <c r="AG2">
        <f>BDH("VINC US Equity","IS_INT_EXPENSE","2020-01-22","2025-01-22","Per=Y","Days=T","Dir=V")</f>
        <v>0</v>
      </c>
      <c r="AI2">
        <f>BDH("VINC US Equity","IS_DEPR_EXP","2020-01-22","2025-01-22","Per=Y","Days=T","Dir=V")</f>
        <v>0</v>
      </c>
      <c r="AK2">
        <f>BDH("VINC US Equity","CF_CASH_FROM_OPER","2020-01-22","2025-01-22","Per=Y","Days=T","Dir=V")</f>
        <v>0</v>
      </c>
      <c r="AM2">
        <f>BDH("VINC US Equity","CAPITAL_EXPEND","2020-01-22","2025-01-22","Per=Y","Days=T","Dir=V")</f>
        <v>0</v>
      </c>
      <c r="AO2">
        <f>BDH("VINC US Equity","CF_FREE_CASH_FLOW","2020-01-22","2025-01-22","Per=Y","Days=T","Dir=V")</f>
        <v>0</v>
      </c>
      <c r="AQ2">
        <f>BDH("VINC US Equity","PX_LAST","2020-01-22","2025-01-22","Per=M","Days=T","Dir=V")</f>
        <v>0</v>
      </c>
      <c r="AS2">
        <f>BDH("VINC US Equity","CUR_MKT_CAP","2020-01-22","2025-01-22","Per=M","Days=T","Dir=V")</f>
        <v>0</v>
      </c>
      <c r="AU2">
        <f>BDH("VINC US Equity","EQY_SH_OUT","2020-01-22","2025-01-22","Per=M","Days=T","Dir=V")</f>
        <v>0</v>
      </c>
      <c r="AW2">
        <f>BDH("VINC US Equity","PX_VOLUME","2020-01-22","2025-01-22","Per=M","Days=T","Dir=V")</f>
        <v>0</v>
      </c>
      <c r="AY2">
        <f>BDH("VINC US Equity","TURNOVER","2020-01-22","2025-01-22","Per=M","Days=T","Dir=V")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BDH("AXDXQ US Equity","BS_TOT_ASSET","2020-02-13","2025-02-13","Per=Y","Days=T","Dir=V")</f>
        <v>0</v>
      </c>
      <c r="C2">
        <f>BDH("AXDXQ US Equity","BS_TOT_LIAB2","2020-02-13","2025-02-13","Per=Y","Days=T","Dir=V")</f>
        <v>0</v>
      </c>
      <c r="E2">
        <f>BDH("AXDXQ US Equity","SHORT_AND_LONG_TERM_DEBT","2020-02-13","2025-02-13","Per=Y","Days=T","Dir=V")</f>
        <v>0</v>
      </c>
      <c r="G2">
        <f>BDH("AXDXQ US Equity","BS_ST_BORROW","2020-02-13","2025-02-13","Per=Y","Days=T","Dir=V")</f>
        <v>0</v>
      </c>
      <c r="I2">
        <f>BDH("AXDXQ US Equity","BS_LT_BORROW","2020-02-13","2025-02-13","Per=Y","Days=T","Dir=V")</f>
        <v>0</v>
      </c>
      <c r="K2">
        <f>BDH("AXDXQ US Equity","BS_CASH_NEAR_CASH_ITEM","2020-02-13","2025-02-13","Per=Y","Days=T","Dir=V")</f>
        <v>0</v>
      </c>
      <c r="M2">
        <f>BDH("AXDXQ US Equity","BS_CUR_ASSET_REPORT","2020-02-13","2025-02-13","Per=Y","Days=T","Dir=V")</f>
        <v>0</v>
      </c>
      <c r="O2">
        <f>BDH("AXDXQ US Equity","BS_CUR_LIAB","2020-02-13","2025-02-13","Per=Y","Days=T","Dir=V")</f>
        <v>0</v>
      </c>
      <c r="Q2">
        <f>BDH("AXDXQ US Equity","BS_SHAREHOLDER_EQY_ENDING_PERIOD","2020-02-13","2025-02-13","Per=Y","Days=T","Dir=V")</f>
        <v>0</v>
      </c>
      <c r="S2">
        <f>BDH("AXDXQ US Equity","BS_ACCT_NOTE_RCV","2020-02-13","2025-02-13","Per=Y","Days=T","Dir=V")</f>
        <v>0</v>
      </c>
      <c r="U2">
        <f>BDH("AXDXQ US Equity","BS_INVENTORIES","2020-02-13","2025-02-13","Per=Y","Days=T","Dir=V")</f>
        <v>0</v>
      </c>
      <c r="W2">
        <f>BDH("AXDXQ US Equity","WORKING_CAPITAL","2020-02-13","2025-02-13","Per=Y","Days=T","Dir=V")</f>
        <v>0</v>
      </c>
      <c r="Y2">
        <f>BDH("AXDXQ US Equity","SALES_REV_TURN","2020-02-13","2025-02-13","Per=Y","Days=T","Dir=V")</f>
        <v>0</v>
      </c>
      <c r="AA2">
        <f>BDH("AXDXQ US Equity","EBIT","2020-02-13","2025-02-13","Per=Y","Days=T","Dir=V")</f>
        <v>0</v>
      </c>
      <c r="AC2">
        <f>BDH("AXDXQ US Equity","EBITDA","2020-02-13","2025-02-13","Per=Y","Days=T","Dir=V")</f>
        <v>0</v>
      </c>
      <c r="AE2">
        <f>BDH("AXDXQ US Equity","NET_INCOME","2020-02-13","2025-02-13","Per=Y","Days=T","Dir=V")</f>
        <v>0</v>
      </c>
      <c r="AG2">
        <f>BDH("AXDXQ US Equity","IS_INT_EXPENSE","2020-02-13","2025-02-13","Per=Y","Days=T","Dir=V")</f>
        <v>0</v>
      </c>
      <c r="AI2">
        <f>BDH("AXDXQ US Equity","IS_DEPR_EXP","2020-02-13","2025-02-13","Per=Y","Days=T","Dir=V")</f>
        <v>0</v>
      </c>
      <c r="AK2">
        <f>BDH("AXDXQ US Equity","CF_CASH_FROM_OPER","2020-02-13","2025-02-13","Per=Y","Days=T","Dir=V")</f>
        <v>0</v>
      </c>
      <c r="AM2">
        <f>BDH("AXDXQ US Equity","CAPITAL_EXPEND","2020-02-13","2025-02-13","Per=Y","Days=T","Dir=V")</f>
        <v>0</v>
      </c>
      <c r="AO2">
        <f>BDH("AXDXQ US Equity","CF_FREE_CASH_FLOW","2020-02-13","2025-02-13","Per=Y","Days=T","Dir=V")</f>
        <v>0</v>
      </c>
      <c r="AQ2">
        <f>BDH("AXDXQ US Equity","PX_LAST","2020-02-13","2025-02-13","Per=M","Days=T","Dir=V")</f>
        <v>0</v>
      </c>
      <c r="AS2">
        <f>BDH("AXDXQ US Equity","CUR_MKT_CAP","2020-02-13","2025-02-13","Per=M","Days=T","Dir=V")</f>
        <v>0</v>
      </c>
      <c r="AU2">
        <f>BDH("AXDXQ US Equity","EQY_SH_OUT","2020-02-13","2025-02-13","Per=M","Days=T","Dir=V")</f>
        <v>0</v>
      </c>
      <c r="AW2">
        <f>BDH("AXDXQ US Equity","PX_VOLUME","2020-02-13","2025-02-13","Per=M","Days=T","Dir=V")</f>
        <v>0</v>
      </c>
      <c r="AY2">
        <f>BDH("AXDXQ US Equity","TURNOVER","2020-02-13","2025-02-13","Per=M","Days=T","Dir=V")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BDH("ICCT US Equity","BS_TOT_ASSET","2020-02-20","2025-02-20","Per=Y","Days=T","Dir=V")</f>
        <v>0</v>
      </c>
      <c r="C2">
        <f>BDH("ICCT US Equity","BS_TOT_LIAB2","2020-02-20","2025-02-20","Per=Y","Days=T","Dir=V")</f>
        <v>0</v>
      </c>
      <c r="E2">
        <f>BDH("ICCT US Equity","SHORT_AND_LONG_TERM_DEBT","2020-02-20","2025-02-20","Per=Y","Days=T","Dir=V")</f>
        <v>0</v>
      </c>
      <c r="G2">
        <f>BDH("ICCT US Equity","BS_ST_BORROW","2020-02-20","2025-02-20","Per=Y","Days=T","Dir=V")</f>
        <v>0</v>
      </c>
      <c r="I2">
        <f>BDH("ICCT US Equity","BS_LT_BORROW","2020-02-20","2025-02-20","Per=Y","Days=T","Dir=V")</f>
        <v>0</v>
      </c>
      <c r="K2">
        <f>BDH("ICCT US Equity","BS_CASH_NEAR_CASH_ITEM","2020-02-20","2025-02-20","Per=Y","Days=T","Dir=V")</f>
        <v>0</v>
      </c>
      <c r="M2">
        <f>BDH("ICCT US Equity","BS_CUR_ASSET_REPORT","2020-02-20","2025-02-20","Per=Y","Days=T","Dir=V")</f>
        <v>0</v>
      </c>
      <c r="O2">
        <f>BDH("ICCT US Equity","BS_CUR_LIAB","2020-02-20","2025-02-20","Per=Y","Days=T","Dir=V")</f>
        <v>0</v>
      </c>
      <c r="Q2">
        <f>BDH("ICCT US Equity","BS_SHAREHOLDER_EQY_ENDING_PERIOD","2020-02-20","2025-02-20","Per=Y","Days=T","Dir=V")</f>
        <v>0</v>
      </c>
      <c r="S2">
        <f>BDH("ICCT US Equity","BS_ACCT_NOTE_RCV","2020-02-20","2025-02-20","Per=Y","Days=T","Dir=V")</f>
        <v>0</v>
      </c>
      <c r="U2">
        <f>BDH("ICCT US Equity","BS_INVENTORIES","2020-02-20","2025-02-20","Per=Y","Days=T","Dir=V")</f>
        <v>0</v>
      </c>
      <c r="W2">
        <f>BDH("ICCT US Equity","WORKING_CAPITAL","2020-02-20","2025-02-20","Per=Y","Days=T","Dir=V")</f>
        <v>0</v>
      </c>
      <c r="Y2">
        <f>BDH("ICCT US Equity","SALES_REV_TURN","2020-02-20","2025-02-20","Per=Y","Days=T","Dir=V")</f>
        <v>0</v>
      </c>
      <c r="AA2">
        <f>BDH("ICCT US Equity","EBIT","2020-02-20","2025-02-20","Per=Y","Days=T","Dir=V")</f>
        <v>0</v>
      </c>
      <c r="AC2">
        <f>BDH("ICCT US Equity","EBITDA","2020-02-20","2025-02-20","Per=Y","Days=T","Dir=V")</f>
        <v>0</v>
      </c>
      <c r="AE2">
        <f>BDH("ICCT US Equity","NET_INCOME","2020-02-20","2025-02-20","Per=Y","Days=T","Dir=V")</f>
        <v>0</v>
      </c>
      <c r="AG2">
        <f>BDH("ICCT US Equity","IS_INT_EXPENSE","2020-02-20","2025-02-20","Per=Y","Days=T","Dir=V")</f>
        <v>0</v>
      </c>
      <c r="AI2">
        <f>BDH("ICCT US Equity","IS_DEPR_EXP","2020-02-20","2025-02-20","Per=Y","Days=T","Dir=V")</f>
        <v>0</v>
      </c>
      <c r="AK2">
        <f>BDH("ICCT US Equity","CF_CASH_FROM_OPER","2020-02-20","2025-02-20","Per=Y","Days=T","Dir=V")</f>
        <v>0</v>
      </c>
      <c r="AM2">
        <f>BDH("ICCT US Equity","CAPITAL_EXPEND","2020-02-20","2025-02-20","Per=Y","Days=T","Dir=V")</f>
        <v>0</v>
      </c>
      <c r="AO2">
        <f>BDH("ICCT US Equity","CF_FREE_CASH_FLOW","2020-02-20","2025-02-20","Per=Y","Days=T","Dir=V")</f>
        <v>0</v>
      </c>
      <c r="AQ2">
        <f>BDH("ICCT US Equity","PX_LAST","2020-02-20","2025-02-20","Per=M","Days=T","Dir=V")</f>
        <v>0</v>
      </c>
      <c r="AS2">
        <f>BDH("ICCT US Equity","CUR_MKT_CAP","2020-02-20","2025-02-20","Per=M","Days=T","Dir=V")</f>
        <v>0</v>
      </c>
      <c r="AU2">
        <f>BDH("ICCT US Equity","EQY_SH_OUT","2020-02-20","2025-02-20","Per=M","Days=T","Dir=V")</f>
        <v>0</v>
      </c>
      <c r="AW2">
        <f>BDH("ICCT US Equity","PX_VOLUME","2020-02-20","2025-02-20","Per=M","Days=T","Dir=V")</f>
        <v>0</v>
      </c>
      <c r="AY2">
        <f>BDH("ICCT US Equity","TURNOVER","2020-02-20","2025-02-20","Per=M","Days=T","Dir=V")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BDH("NOVAQ US Equity","BS_TOT_ASSET","2020-03-12","2025-03-12","Per=Y","Days=T","Dir=V")</f>
        <v>0</v>
      </c>
      <c r="C2">
        <f>BDH("NOVAQ US Equity","BS_TOT_LIAB2","2020-03-12","2025-03-12","Per=Y","Days=T","Dir=V")</f>
        <v>0</v>
      </c>
      <c r="E2">
        <f>BDH("NOVAQ US Equity","SHORT_AND_LONG_TERM_DEBT","2020-03-12","2025-03-12","Per=Y","Days=T","Dir=V")</f>
        <v>0</v>
      </c>
      <c r="G2">
        <f>BDH("NOVAQ US Equity","BS_ST_BORROW","2020-03-12","2025-03-12","Per=Y","Days=T","Dir=V")</f>
        <v>0</v>
      </c>
      <c r="I2">
        <f>BDH("NOVAQ US Equity","BS_LT_BORROW","2020-03-12","2025-03-12","Per=Y","Days=T","Dir=V")</f>
        <v>0</v>
      </c>
      <c r="K2">
        <f>BDH("NOVAQ US Equity","BS_CASH_NEAR_CASH_ITEM","2020-03-12","2025-03-12","Per=Y","Days=T","Dir=V")</f>
        <v>0</v>
      </c>
      <c r="M2">
        <f>BDH("NOVAQ US Equity","BS_CUR_ASSET_REPORT","2020-03-12","2025-03-12","Per=Y","Days=T","Dir=V")</f>
        <v>0</v>
      </c>
      <c r="O2">
        <f>BDH("NOVAQ US Equity","BS_CUR_LIAB","2020-03-12","2025-03-12","Per=Y","Days=T","Dir=V")</f>
        <v>0</v>
      </c>
      <c r="Q2">
        <f>BDH("NOVAQ US Equity","BS_SHAREHOLDER_EQY_ENDING_PERIOD","2020-03-12","2025-03-12","Per=Y","Days=T","Dir=V")</f>
        <v>0</v>
      </c>
      <c r="S2">
        <f>BDH("NOVAQ US Equity","BS_ACCT_NOTE_RCV","2020-03-12","2025-03-12","Per=Y","Days=T","Dir=V")</f>
        <v>0</v>
      </c>
      <c r="U2">
        <f>BDH("NOVAQ US Equity","BS_INVENTORIES","2020-03-12","2025-03-12","Per=Y","Days=T","Dir=V")</f>
        <v>0</v>
      </c>
      <c r="W2">
        <f>BDH("NOVAQ US Equity","WORKING_CAPITAL","2020-03-12","2025-03-12","Per=Y","Days=T","Dir=V")</f>
        <v>0</v>
      </c>
      <c r="Y2">
        <f>BDH("NOVAQ US Equity","SALES_REV_TURN","2020-03-12","2025-03-12","Per=Y","Days=T","Dir=V")</f>
        <v>0</v>
      </c>
      <c r="AA2">
        <f>BDH("NOVAQ US Equity","EBIT","2020-03-12","2025-03-12","Per=Y","Days=T","Dir=V")</f>
        <v>0</v>
      </c>
      <c r="AC2">
        <f>BDH("NOVAQ US Equity","EBITDA","2020-03-12","2025-03-12","Per=Y","Days=T","Dir=V")</f>
        <v>0</v>
      </c>
      <c r="AE2">
        <f>BDH("NOVAQ US Equity","NET_INCOME","2020-03-12","2025-03-12","Per=Y","Days=T","Dir=V")</f>
        <v>0</v>
      </c>
      <c r="AG2">
        <f>BDH("NOVAQ US Equity","IS_INT_EXPENSE","2020-03-12","2025-03-12","Per=Y","Days=T","Dir=V")</f>
        <v>0</v>
      </c>
      <c r="AI2">
        <f>BDH("NOVAQ US Equity","IS_DEPR_EXP","2020-03-12","2025-03-12","Per=Y","Days=T","Dir=V")</f>
        <v>0</v>
      </c>
      <c r="AK2">
        <f>BDH("NOVAQ US Equity","CF_CASH_FROM_OPER","2020-03-12","2025-03-12","Per=Y","Days=T","Dir=V")</f>
        <v>0</v>
      </c>
      <c r="AM2">
        <f>BDH("NOVAQ US Equity","CAPITAL_EXPEND","2020-03-12","2025-03-12","Per=Y","Days=T","Dir=V")</f>
        <v>0</v>
      </c>
      <c r="AO2">
        <f>BDH("NOVAQ US Equity","CF_FREE_CASH_FLOW","2020-03-12","2025-03-12","Per=Y","Days=T","Dir=V")</f>
        <v>0</v>
      </c>
      <c r="AQ2">
        <f>BDH("NOVAQ US Equity","PX_LAST","2020-03-12","2025-03-12","Per=M","Days=T","Dir=V")</f>
        <v>0</v>
      </c>
      <c r="AS2">
        <f>BDH("NOVAQ US Equity","CUR_MKT_CAP","2020-03-12","2025-03-12","Per=M","Days=T","Dir=V")</f>
        <v>0</v>
      </c>
      <c r="AU2">
        <f>BDH("NOVAQ US Equity","EQY_SH_OUT","2020-03-12","2025-03-12","Per=M","Days=T","Dir=V")</f>
        <v>0</v>
      </c>
      <c r="AW2">
        <f>BDH("NOVAQ US Equity","PX_VOLUME","2020-03-12","2025-03-12","Per=M","Days=T","Dir=V")</f>
        <v>0</v>
      </c>
      <c r="AY2">
        <f>BDH("NOVAQ US Equity","TURNOVER","2020-03-12","2025-03-12","Per=M","Days=T","Dir=V")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BDH("FMTOF US Equity","BS_TOT_ASSET","2020-03-22","2025-03-22","Per=Y","Days=T","Dir=V")</f>
        <v>0</v>
      </c>
      <c r="C2">
        <f>BDH("FMTOF US Equity","BS_TOT_LIAB2","2020-03-22","2025-03-22","Per=Y","Days=T","Dir=V")</f>
        <v>0</v>
      </c>
      <c r="E2">
        <f>BDH("FMTOF US Equity","SHORT_AND_LONG_TERM_DEBT","2020-03-22","2025-03-22","Per=Y","Days=T","Dir=V")</f>
        <v>0</v>
      </c>
      <c r="G2">
        <f>BDH("FMTOF US Equity","BS_ST_BORROW","2020-03-22","2025-03-22","Per=Y","Days=T","Dir=V")</f>
        <v>0</v>
      </c>
      <c r="I2">
        <f>BDH("FMTOF US Equity","BS_LT_BORROW","2020-03-22","2025-03-22","Per=Y","Days=T","Dir=V")</f>
        <v>0</v>
      </c>
      <c r="K2">
        <f>BDH("FMTOF US Equity","BS_CASH_NEAR_CASH_ITEM","2020-03-22","2025-03-22","Per=Y","Days=T","Dir=V")</f>
        <v>0</v>
      </c>
      <c r="M2">
        <f>BDH("FMTOF US Equity","BS_CUR_ASSET_REPORT","2020-03-22","2025-03-22","Per=Y","Days=T","Dir=V")</f>
        <v>0</v>
      </c>
      <c r="O2">
        <f>BDH("FMTOF US Equity","BS_CUR_LIAB","2020-03-22","2025-03-22","Per=Y","Days=T","Dir=V")</f>
        <v>0</v>
      </c>
      <c r="Q2">
        <f>BDH("FMTOF US Equity","BS_SHAREHOLDER_EQY_ENDING_PERIOD","2020-03-22","2025-03-22","Per=Y","Days=T","Dir=V")</f>
        <v>0</v>
      </c>
      <c r="S2">
        <f>BDH("FMTOF US Equity","BS_ACCT_NOTE_RCV","2020-03-22","2025-03-22","Per=Y","Days=T","Dir=V")</f>
        <v>0</v>
      </c>
      <c r="U2">
        <f>BDH("FMTOF US Equity","BS_INVENTORIES","2020-03-22","2025-03-22","Per=Y","Days=T","Dir=V")</f>
        <v>0</v>
      </c>
      <c r="W2">
        <f>BDH("FMTOF US Equity","WORKING_CAPITAL","2020-03-22","2025-03-22","Per=Y","Days=T","Dir=V")</f>
        <v>0</v>
      </c>
      <c r="Y2">
        <f>BDH("FMTOF US Equity","SALES_REV_TURN","2020-03-22","2025-03-22","Per=Y","Days=T","Dir=V")</f>
        <v>0</v>
      </c>
      <c r="AA2">
        <f>BDH("FMTOF US Equity","EBIT","2020-03-22","2025-03-22","Per=Y","Days=T","Dir=V")</f>
        <v>0</v>
      </c>
      <c r="AC2">
        <f>BDH("FMTOF US Equity","EBITDA","2020-03-22","2025-03-22","Per=Y","Days=T","Dir=V")</f>
        <v>0</v>
      </c>
      <c r="AE2">
        <f>BDH("FMTOF US Equity","NET_INCOME","2020-03-22","2025-03-22","Per=Y","Days=T","Dir=V")</f>
        <v>0</v>
      </c>
      <c r="AG2">
        <f>BDH("FMTOF US Equity","IS_INT_EXPENSE","2020-03-22","2025-03-22","Per=Y","Days=T","Dir=V")</f>
        <v>0</v>
      </c>
      <c r="AI2">
        <f>BDH("FMTOF US Equity","IS_DEPR_EXP","2020-03-22","2025-03-22","Per=Y","Days=T","Dir=V")</f>
        <v>0</v>
      </c>
      <c r="AK2">
        <f>BDH("FMTOF US Equity","CF_CASH_FROM_OPER","2020-03-22","2025-03-22","Per=Y","Days=T","Dir=V")</f>
        <v>0</v>
      </c>
      <c r="AM2">
        <f>BDH("FMTOF US Equity","CAPITAL_EXPEND","2020-03-22","2025-03-22","Per=Y","Days=T","Dir=V")</f>
        <v>0</v>
      </c>
      <c r="AO2">
        <f>BDH("FMTOF US Equity","CF_FREE_CASH_FLOW","2020-03-22","2025-03-22","Per=Y","Days=T","Dir=V")</f>
        <v>0</v>
      </c>
      <c r="AQ2">
        <f>BDH("FMTOF US Equity","PX_LAST","2020-03-22","2025-03-22","Per=M","Days=T","Dir=V")</f>
        <v>0</v>
      </c>
      <c r="AS2">
        <f>BDH("FMTOF US Equity","CUR_MKT_CAP","2020-03-22","2025-03-22","Per=M","Days=T","Dir=V")</f>
        <v>0</v>
      </c>
      <c r="AU2">
        <f>BDH("FMTOF US Equity","EQY_SH_OUT","2020-03-22","2025-03-22","Per=M","Days=T","Dir=V")</f>
        <v>0</v>
      </c>
      <c r="AW2">
        <f>BDH("FMTOF US Equity","PX_VOLUME","2020-03-22","2025-03-22","Per=M","Days=T","Dir=V")</f>
        <v>0</v>
      </c>
      <c r="AY2">
        <f>BDH("FMTOF US Equity","TURNOVER","2020-03-22","2025-03-22","Per=M","Days=T","Dir=V")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BDH("MRINQ US Equity","BS_TOT_ASSET","2020-03-27","2025-03-27","Per=Y","Days=T","Dir=V")</f>
        <v>0</v>
      </c>
      <c r="C2">
        <f>BDH("MRINQ US Equity","BS_TOT_LIAB2","2020-03-27","2025-03-27","Per=Y","Days=T","Dir=V")</f>
        <v>0</v>
      </c>
      <c r="E2">
        <f>BDH("MRINQ US Equity","SHORT_AND_LONG_TERM_DEBT","2020-03-27","2025-03-27","Per=Y","Days=T","Dir=V")</f>
        <v>0</v>
      </c>
      <c r="G2">
        <f>BDH("MRINQ US Equity","BS_ST_BORROW","2020-03-27","2025-03-27","Per=Y","Days=T","Dir=V")</f>
        <v>0</v>
      </c>
      <c r="I2">
        <f>BDH("MRINQ US Equity","BS_LT_BORROW","2020-03-27","2025-03-27","Per=Y","Days=T","Dir=V")</f>
        <v>0</v>
      </c>
      <c r="K2">
        <f>BDH("MRINQ US Equity","BS_CASH_NEAR_CASH_ITEM","2020-03-27","2025-03-27","Per=Y","Days=T","Dir=V")</f>
        <v>0</v>
      </c>
      <c r="M2">
        <f>BDH("MRINQ US Equity","BS_CUR_ASSET_REPORT","2020-03-27","2025-03-27","Per=Y","Days=T","Dir=V")</f>
        <v>0</v>
      </c>
      <c r="O2">
        <f>BDH("MRINQ US Equity","BS_CUR_LIAB","2020-03-27","2025-03-27","Per=Y","Days=T","Dir=V")</f>
        <v>0</v>
      </c>
      <c r="Q2">
        <f>BDH("MRINQ US Equity","BS_SHAREHOLDER_EQY_ENDING_PERIOD","2020-03-27","2025-03-27","Per=Y","Days=T","Dir=V")</f>
        <v>0</v>
      </c>
      <c r="S2">
        <f>BDH("MRINQ US Equity","BS_ACCT_NOTE_RCV","2020-03-27","2025-03-27","Per=Y","Days=T","Dir=V")</f>
        <v>0</v>
      </c>
      <c r="U2">
        <f>BDH("MRINQ US Equity","BS_INVENTORIES","2020-03-27","2025-03-27","Per=Y","Days=T","Dir=V")</f>
        <v>0</v>
      </c>
      <c r="W2">
        <f>BDH("MRINQ US Equity","WORKING_CAPITAL","2020-03-27","2025-03-27","Per=Y","Days=T","Dir=V")</f>
        <v>0</v>
      </c>
      <c r="Y2">
        <f>BDH("MRINQ US Equity","SALES_REV_TURN","2020-03-27","2025-03-27","Per=Y","Days=T","Dir=V")</f>
        <v>0</v>
      </c>
      <c r="AA2">
        <f>BDH("MRINQ US Equity","EBIT","2020-03-27","2025-03-27","Per=Y","Days=T","Dir=V")</f>
        <v>0</v>
      </c>
      <c r="AC2">
        <f>BDH("MRINQ US Equity","EBITDA","2020-03-27","2025-03-27","Per=Y","Days=T","Dir=V")</f>
        <v>0</v>
      </c>
      <c r="AE2">
        <f>BDH("MRINQ US Equity","NET_INCOME","2020-03-27","2025-03-27","Per=Y","Days=T","Dir=V")</f>
        <v>0</v>
      </c>
      <c r="AG2">
        <f>BDH("MRINQ US Equity","IS_INT_EXPENSE","2020-03-27","2025-03-27","Per=Y","Days=T","Dir=V")</f>
        <v>0</v>
      </c>
      <c r="AI2">
        <f>BDH("MRINQ US Equity","IS_DEPR_EXP","2020-03-27","2025-03-27","Per=Y","Days=T","Dir=V")</f>
        <v>0</v>
      </c>
      <c r="AK2">
        <f>BDH("MRINQ US Equity","CF_CASH_FROM_OPER","2020-03-27","2025-03-27","Per=Y","Days=T","Dir=V")</f>
        <v>0</v>
      </c>
      <c r="AM2">
        <f>BDH("MRINQ US Equity","CAPITAL_EXPEND","2020-03-27","2025-03-27","Per=Y","Days=T","Dir=V")</f>
        <v>0</v>
      </c>
      <c r="AO2">
        <f>BDH("MRINQ US Equity","CF_FREE_CASH_FLOW","2020-03-27","2025-03-27","Per=Y","Days=T","Dir=V")</f>
        <v>0</v>
      </c>
      <c r="AQ2">
        <f>BDH("MRINQ US Equity","PX_LAST","2020-03-27","2025-03-27","Per=M","Days=T","Dir=V")</f>
        <v>0</v>
      </c>
      <c r="AS2">
        <f>BDH("MRINQ US Equity","CUR_MKT_CAP","2020-03-27","2025-03-27","Per=M","Days=T","Dir=V")</f>
        <v>0</v>
      </c>
      <c r="AU2">
        <f>BDH("MRINQ US Equity","EQY_SH_OUT","2020-03-27","2025-03-27","Per=M","Days=T","Dir=V")</f>
        <v>0</v>
      </c>
      <c r="AW2">
        <f>BDH("MRINQ US Equity","PX_VOLUME","2020-03-27","2025-03-27","Per=M","Days=T","Dir=V")</f>
        <v>0</v>
      </c>
      <c r="AY2">
        <f>BDH("MRINQ US Equity","TURNOVER","2020-03-27","2025-03-27","Per=M","Days=T","Dir=V")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BDH("PETXQ US Equity","BS_TOT_ASSET","2020-04-30","2025-04-30","Per=Y","Days=T","Dir=V")</f>
        <v>0</v>
      </c>
      <c r="C2">
        <f>BDH("PETXQ US Equity","BS_TOT_LIAB2","2020-04-30","2025-04-30","Per=Y","Days=T","Dir=V")</f>
        <v>0</v>
      </c>
      <c r="E2">
        <f>BDH("PETXQ US Equity","SHORT_AND_LONG_TERM_DEBT","2020-04-30","2025-04-30","Per=Y","Days=T","Dir=V")</f>
        <v>0</v>
      </c>
      <c r="G2">
        <f>BDH("PETXQ US Equity","BS_ST_BORROW","2020-04-30","2025-04-30","Per=Y","Days=T","Dir=V")</f>
        <v>0</v>
      </c>
      <c r="I2">
        <f>BDH("PETXQ US Equity","BS_LT_BORROW","2020-04-30","2025-04-30","Per=Y","Days=T","Dir=V")</f>
        <v>0</v>
      </c>
      <c r="K2">
        <f>BDH("PETXQ US Equity","BS_CASH_NEAR_CASH_ITEM","2020-04-30","2025-04-30","Per=Y","Days=T","Dir=V")</f>
        <v>0</v>
      </c>
      <c r="M2">
        <f>BDH("PETXQ US Equity","BS_CUR_ASSET_REPORT","2020-04-30","2025-04-30","Per=Y","Days=T","Dir=V")</f>
        <v>0</v>
      </c>
      <c r="O2">
        <f>BDH("PETXQ US Equity","BS_CUR_LIAB","2020-04-30","2025-04-30","Per=Y","Days=T","Dir=V")</f>
        <v>0</v>
      </c>
      <c r="Q2">
        <f>BDH("PETXQ US Equity","BS_SHAREHOLDER_EQY_ENDING_PERIOD","2020-04-30","2025-04-30","Per=Y","Days=T","Dir=V")</f>
        <v>0</v>
      </c>
      <c r="S2">
        <f>BDH("PETXQ US Equity","BS_ACCT_NOTE_RCV","2020-04-30","2025-04-30","Per=Y","Days=T","Dir=V")</f>
        <v>0</v>
      </c>
      <c r="U2">
        <f>BDH("PETXQ US Equity","BS_INVENTORIES","2020-04-30","2025-04-30","Per=Y","Days=T","Dir=V")</f>
        <v>0</v>
      </c>
      <c r="W2">
        <f>BDH("PETXQ US Equity","WORKING_CAPITAL","2020-04-30","2025-04-30","Per=Y","Days=T","Dir=V")</f>
        <v>0</v>
      </c>
      <c r="Y2">
        <f>BDH("PETXQ US Equity","SALES_REV_TURN","2020-04-30","2025-04-30","Per=Y","Days=T","Dir=V")</f>
        <v>0</v>
      </c>
      <c r="AA2">
        <f>BDH("PETXQ US Equity","EBIT","2020-04-30","2025-04-30","Per=Y","Days=T","Dir=V")</f>
        <v>0</v>
      </c>
      <c r="AC2">
        <f>BDH("PETXQ US Equity","EBITDA","2020-04-30","2025-04-30","Per=Y","Days=T","Dir=V")</f>
        <v>0</v>
      </c>
      <c r="AE2">
        <f>BDH("PETXQ US Equity","NET_INCOME","2020-04-30","2025-04-30","Per=Y","Days=T","Dir=V")</f>
        <v>0</v>
      </c>
      <c r="AG2">
        <f>BDH("PETXQ US Equity","IS_INT_EXPENSE","2020-04-30","2025-04-30","Per=Y","Days=T","Dir=V")</f>
        <v>0</v>
      </c>
      <c r="AI2">
        <f>BDH("PETXQ US Equity","IS_DEPR_EXP","2020-04-30","2025-04-30","Per=Y","Days=T","Dir=V")</f>
        <v>0</v>
      </c>
      <c r="AK2">
        <f>BDH("PETXQ US Equity","CF_CASH_FROM_OPER","2020-04-30","2025-04-30","Per=Y","Days=T","Dir=V")</f>
        <v>0</v>
      </c>
      <c r="AM2">
        <f>BDH("PETXQ US Equity","CAPITAL_EXPEND","2020-04-30","2025-04-30","Per=Y","Days=T","Dir=V")</f>
        <v>0</v>
      </c>
      <c r="AO2">
        <f>BDH("PETXQ US Equity","CF_FREE_CASH_FLOW","2020-04-30","2025-04-30","Per=Y","Days=T","Dir=V")</f>
        <v>0</v>
      </c>
      <c r="AQ2">
        <f>BDH("PETXQ US Equity","PX_LAST","2020-04-30","2025-04-30","Per=M","Days=T","Dir=V")</f>
        <v>0</v>
      </c>
      <c r="AS2">
        <f>BDH("PETXQ US Equity","CUR_MKT_CAP","2020-04-30","2025-04-30","Per=M","Days=T","Dir=V")</f>
        <v>0</v>
      </c>
      <c r="AU2">
        <f>BDH("PETXQ US Equity","EQY_SH_OUT","2020-04-30","2025-04-30","Per=M","Days=T","Dir=V")</f>
        <v>0</v>
      </c>
      <c r="AW2">
        <f>BDH("PETXQ US Equity","PX_VOLUME","2020-04-30","2025-04-30","Per=M","Days=T","Dir=V")</f>
        <v>0</v>
      </c>
      <c r="AY2">
        <f>BDH("PETXQ US Equity","TURNOVER","2020-04-30","2025-04-30","Per=M","Days=T","Dir=V")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BDH("SANW US Equity","BS_TOT_ASSET","2020-05-07","2025-05-07","Per=Y","Days=T","Dir=V")</f>
        <v>0</v>
      </c>
      <c r="C2">
        <f>BDH("SANW US Equity","BS_TOT_LIAB2","2020-05-07","2025-05-07","Per=Y","Days=T","Dir=V")</f>
        <v>0</v>
      </c>
      <c r="E2">
        <f>BDH("SANW US Equity","SHORT_AND_LONG_TERM_DEBT","2020-05-07","2025-05-07","Per=Y","Days=T","Dir=V")</f>
        <v>0</v>
      </c>
      <c r="G2">
        <f>BDH("SANW US Equity","BS_ST_BORROW","2020-05-07","2025-05-07","Per=Y","Days=T","Dir=V")</f>
        <v>0</v>
      </c>
      <c r="I2">
        <f>BDH("SANW US Equity","BS_LT_BORROW","2020-05-07","2025-05-07","Per=Y","Days=T","Dir=V")</f>
        <v>0</v>
      </c>
      <c r="K2">
        <f>BDH("SANW US Equity","BS_CASH_NEAR_CASH_ITEM","2020-05-07","2025-05-07","Per=Y","Days=T","Dir=V")</f>
        <v>0</v>
      </c>
      <c r="M2">
        <f>BDH("SANW US Equity","BS_CUR_ASSET_REPORT","2020-05-07","2025-05-07","Per=Y","Days=T","Dir=V")</f>
        <v>0</v>
      </c>
      <c r="O2">
        <f>BDH("SANW US Equity","BS_CUR_LIAB","2020-05-07","2025-05-07","Per=Y","Days=T","Dir=V")</f>
        <v>0</v>
      </c>
      <c r="Q2">
        <f>BDH("SANW US Equity","BS_SHAREHOLDER_EQY_ENDING_PERIOD","2020-05-07","2025-05-07","Per=Y","Days=T","Dir=V")</f>
        <v>0</v>
      </c>
      <c r="S2">
        <f>BDH("SANW US Equity","BS_ACCT_NOTE_RCV","2020-05-07","2025-05-07","Per=Y","Days=T","Dir=V")</f>
        <v>0</v>
      </c>
      <c r="U2">
        <f>BDH("SANW US Equity","BS_INVENTORIES","2020-05-07","2025-05-07","Per=Y","Days=T","Dir=V")</f>
        <v>0</v>
      </c>
      <c r="W2">
        <f>BDH("SANW US Equity","WORKING_CAPITAL","2020-05-07","2025-05-07","Per=Y","Days=T","Dir=V")</f>
        <v>0</v>
      </c>
      <c r="Y2">
        <f>BDH("SANW US Equity","SALES_REV_TURN","2020-05-07","2025-05-07","Per=Y","Days=T","Dir=V")</f>
        <v>0</v>
      </c>
      <c r="AA2">
        <f>BDH("SANW US Equity","EBIT","2020-05-07","2025-05-07","Per=Y","Days=T","Dir=V")</f>
        <v>0</v>
      </c>
      <c r="AC2">
        <f>BDH("SANW US Equity","EBITDA","2020-05-07","2025-05-07","Per=Y","Days=T","Dir=V")</f>
        <v>0</v>
      </c>
      <c r="AE2">
        <f>BDH("SANW US Equity","NET_INCOME","2020-05-07","2025-05-07","Per=Y","Days=T","Dir=V")</f>
        <v>0</v>
      </c>
      <c r="AG2">
        <f>BDH("SANW US Equity","IS_INT_EXPENSE","2020-05-07","2025-05-07","Per=Y","Days=T","Dir=V")</f>
        <v>0</v>
      </c>
      <c r="AI2">
        <f>BDH("SANW US Equity","IS_DEPR_EXP","2020-05-07","2025-05-07","Per=Y","Days=T","Dir=V")</f>
        <v>0</v>
      </c>
      <c r="AK2">
        <f>BDH("SANW US Equity","CF_CASH_FROM_OPER","2020-05-07","2025-05-07","Per=Y","Days=T","Dir=V")</f>
        <v>0</v>
      </c>
      <c r="AM2">
        <f>BDH("SANW US Equity","CAPITAL_EXPEND","2020-05-07","2025-05-07","Per=Y","Days=T","Dir=V")</f>
        <v>0</v>
      </c>
      <c r="AO2">
        <f>BDH("SANW US Equity","CF_FREE_CASH_FLOW","2020-05-07","2025-05-07","Per=Y","Days=T","Dir=V")</f>
        <v>0</v>
      </c>
      <c r="AQ2">
        <f>BDH("SANW US Equity","PX_LAST","2020-05-07","2025-05-07","Per=M","Days=T","Dir=V")</f>
        <v>0</v>
      </c>
      <c r="AS2">
        <f>BDH("SANW US Equity","CUR_MKT_CAP","2020-05-07","2025-05-07","Per=M","Days=T","Dir=V")</f>
        <v>0</v>
      </c>
      <c r="AU2">
        <f>BDH("SANW US Equity","EQY_SH_OUT","2020-05-07","2025-05-07","Per=M","Days=T","Dir=V")</f>
        <v>0</v>
      </c>
      <c r="AW2">
        <f>BDH("SANW US Equity","PX_VOLUME","2020-05-07","2025-05-07","Per=M","Days=T","Dir=V")</f>
        <v>0</v>
      </c>
      <c r="AY2">
        <f>BDH("SANW US Equity","TURNOVER","2020-05-07","2025-05-07","Per=M","Days=T","Dir=V")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BDH("2617273D US Equity","BS_TOT_ASSET","2020-05-07","2025-05-07","Per=Y","Days=T","Dir=V")</f>
        <v>0</v>
      </c>
      <c r="C2">
        <f>BDH("2617273D US Equity","BS_TOT_LIAB2","2020-05-07","2025-05-07","Per=Y","Days=T","Dir=V")</f>
        <v>0</v>
      </c>
      <c r="E2">
        <f>BDH("2617273D US Equity","SHORT_AND_LONG_TERM_DEBT","2020-05-07","2025-05-07","Per=Y","Days=T","Dir=V")</f>
        <v>0</v>
      </c>
      <c r="G2">
        <f>BDH("2617273D US Equity","BS_ST_BORROW","2020-05-07","2025-05-07","Per=Y","Days=T","Dir=V")</f>
        <v>0</v>
      </c>
      <c r="I2">
        <f>BDH("2617273D US Equity","BS_LT_BORROW","2020-05-07","2025-05-07","Per=Y","Days=T","Dir=V")</f>
        <v>0</v>
      </c>
      <c r="K2">
        <f>BDH("2617273D US Equity","BS_CASH_NEAR_CASH_ITEM","2020-05-07","2025-05-07","Per=Y","Days=T","Dir=V")</f>
        <v>0</v>
      </c>
      <c r="M2">
        <f>BDH("2617273D US Equity","BS_CUR_ASSET_REPORT","2020-05-07","2025-05-07","Per=Y","Days=T","Dir=V")</f>
        <v>0</v>
      </c>
      <c r="O2">
        <f>BDH("2617273D US Equity","BS_CUR_LIAB","2020-05-07","2025-05-07","Per=Y","Days=T","Dir=V")</f>
        <v>0</v>
      </c>
      <c r="Q2">
        <f>BDH("2617273D US Equity","BS_SHAREHOLDER_EQY_ENDING_PERIOD","2020-05-07","2025-05-07","Per=Y","Days=T","Dir=V")</f>
        <v>0</v>
      </c>
      <c r="S2">
        <f>BDH("2617273D US Equity","BS_ACCT_NOTE_RCV","2020-05-07","2025-05-07","Per=Y","Days=T","Dir=V")</f>
        <v>0</v>
      </c>
      <c r="U2">
        <f>BDH("2617273D US Equity","BS_INVENTORIES","2020-05-07","2025-05-07","Per=Y","Days=T","Dir=V")</f>
        <v>0</v>
      </c>
      <c r="W2">
        <f>BDH("2617273D US Equity","WORKING_CAPITAL","2020-05-07","2025-05-07","Per=Y","Days=T","Dir=V")</f>
        <v>0</v>
      </c>
      <c r="Y2">
        <f>BDH("2617273D US Equity","SALES_REV_TURN","2020-05-07","2025-05-07","Per=Y","Days=T","Dir=V")</f>
        <v>0</v>
      </c>
      <c r="AA2">
        <f>BDH("2617273D US Equity","EBIT","2020-05-07","2025-05-07","Per=Y","Days=T","Dir=V")</f>
        <v>0</v>
      </c>
      <c r="AC2">
        <f>BDH("2617273D US Equity","EBITDA","2020-05-07","2025-05-07","Per=Y","Days=T","Dir=V")</f>
        <v>0</v>
      </c>
      <c r="AE2">
        <f>BDH("2617273D US Equity","NET_INCOME","2020-05-07","2025-05-07","Per=Y","Days=T","Dir=V")</f>
        <v>0</v>
      </c>
      <c r="AG2">
        <f>BDH("2617273D US Equity","IS_INT_EXPENSE","2020-05-07","2025-05-07","Per=Y","Days=T","Dir=V")</f>
        <v>0</v>
      </c>
      <c r="AI2">
        <f>BDH("2617273D US Equity","IS_DEPR_EXP","2020-05-07","2025-05-07","Per=Y","Days=T","Dir=V")</f>
        <v>0</v>
      </c>
      <c r="AK2">
        <f>BDH("2617273D US Equity","CF_CASH_FROM_OPER","2020-05-07","2025-05-07","Per=Y","Days=T","Dir=V")</f>
        <v>0</v>
      </c>
      <c r="AM2">
        <f>BDH("2617273D US Equity","CAPITAL_EXPEND","2020-05-07","2025-05-07","Per=Y","Days=T","Dir=V")</f>
        <v>0</v>
      </c>
      <c r="AO2">
        <f>BDH("2617273D US Equity","CF_FREE_CASH_FLOW","2020-05-07","2025-05-07","Per=Y","Days=T","Dir=V")</f>
        <v>0</v>
      </c>
      <c r="AQ2">
        <f>BDH("2617273D US Equity","PX_LAST","2020-05-07","2025-05-07","Per=M","Days=T","Dir=V")</f>
        <v>0</v>
      </c>
      <c r="AS2">
        <f>BDH("2617273D US Equity","CUR_MKT_CAP","2020-05-07","2025-05-07","Per=M","Days=T","Dir=V")</f>
        <v>0</v>
      </c>
      <c r="AU2">
        <f>BDH("2617273D US Equity","EQY_SH_OUT","2020-05-07","2025-05-07","Per=M","Days=T","Dir=V")</f>
        <v>0</v>
      </c>
      <c r="AW2">
        <f>BDH("2617273D US Equity","PX_VOLUME","2020-05-07","2025-05-07","Per=M","Days=T","Dir=V")</f>
        <v>0</v>
      </c>
      <c r="AY2">
        <f>BDH("2617273D US Equity","TURNOVER","2020-05-07","2025-05-07","Per=M","Days=T","Dir=V")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BDH("HOOK US Equity","BS_TOT_ASSET","2020-05-10","2025-05-10","Per=Y","Days=T","Dir=V")</f>
        <v>0</v>
      </c>
      <c r="C2">
        <f>BDH("HOOK US Equity","BS_TOT_LIAB2","2020-05-10","2025-05-10","Per=Y","Days=T","Dir=V")</f>
        <v>0</v>
      </c>
      <c r="E2">
        <f>BDH("HOOK US Equity","SHORT_AND_LONG_TERM_DEBT","2020-05-10","2025-05-10","Per=Y","Days=T","Dir=V")</f>
        <v>0</v>
      </c>
      <c r="G2">
        <f>BDH("HOOK US Equity","BS_ST_BORROW","2020-05-10","2025-05-10","Per=Y","Days=T","Dir=V")</f>
        <v>0</v>
      </c>
      <c r="I2">
        <f>BDH("HOOK US Equity","BS_LT_BORROW","2020-05-10","2025-05-10","Per=Y","Days=T","Dir=V")</f>
        <v>0</v>
      </c>
      <c r="K2">
        <f>BDH("HOOK US Equity","BS_CASH_NEAR_CASH_ITEM","2020-05-10","2025-05-10","Per=Y","Days=T","Dir=V")</f>
        <v>0</v>
      </c>
      <c r="M2">
        <f>BDH("HOOK US Equity","BS_CUR_ASSET_REPORT","2020-05-10","2025-05-10","Per=Y","Days=T","Dir=V")</f>
        <v>0</v>
      </c>
      <c r="O2">
        <f>BDH("HOOK US Equity","BS_CUR_LIAB","2020-05-10","2025-05-10","Per=Y","Days=T","Dir=V")</f>
        <v>0</v>
      </c>
      <c r="Q2">
        <f>BDH("HOOK US Equity","BS_SHAREHOLDER_EQY_ENDING_PERIOD","2020-05-10","2025-05-10","Per=Y","Days=T","Dir=V")</f>
        <v>0</v>
      </c>
      <c r="S2">
        <f>BDH("HOOK US Equity","BS_ACCT_NOTE_RCV","2020-05-10","2025-05-10","Per=Y","Days=T","Dir=V")</f>
        <v>0</v>
      </c>
      <c r="U2">
        <f>BDH("HOOK US Equity","BS_INVENTORIES","2020-05-10","2025-05-10","Per=Y","Days=T","Dir=V")</f>
        <v>0</v>
      </c>
      <c r="W2">
        <f>BDH("HOOK US Equity","WORKING_CAPITAL","2020-05-10","2025-05-10","Per=Y","Days=T","Dir=V")</f>
        <v>0</v>
      </c>
      <c r="Y2">
        <f>BDH("HOOK US Equity","SALES_REV_TURN","2020-05-10","2025-05-10","Per=Y","Days=T","Dir=V")</f>
        <v>0</v>
      </c>
      <c r="AA2">
        <f>BDH("HOOK US Equity","EBIT","2020-05-10","2025-05-10","Per=Y","Days=T","Dir=V")</f>
        <v>0</v>
      </c>
      <c r="AC2">
        <f>BDH("HOOK US Equity","EBITDA","2020-05-10","2025-05-10","Per=Y","Days=T","Dir=V")</f>
        <v>0</v>
      </c>
      <c r="AE2">
        <f>BDH("HOOK US Equity","NET_INCOME","2020-05-10","2025-05-10","Per=Y","Days=T","Dir=V")</f>
        <v>0</v>
      </c>
      <c r="AG2">
        <f>BDH("HOOK US Equity","IS_INT_EXPENSE","2020-05-10","2025-05-10","Per=Y","Days=T","Dir=V")</f>
        <v>0</v>
      </c>
      <c r="AI2">
        <f>BDH("HOOK US Equity","IS_DEPR_EXP","2020-05-10","2025-05-10","Per=Y","Days=T","Dir=V")</f>
        <v>0</v>
      </c>
      <c r="AK2">
        <f>BDH("HOOK US Equity","CF_CASH_FROM_OPER","2020-05-10","2025-05-10","Per=Y","Days=T","Dir=V")</f>
        <v>0</v>
      </c>
      <c r="AM2">
        <f>BDH("HOOK US Equity","CAPITAL_EXPEND","2020-05-10","2025-05-10","Per=Y","Days=T","Dir=V")</f>
        <v>0</v>
      </c>
      <c r="AO2">
        <f>BDH("HOOK US Equity","CF_FREE_CASH_FLOW","2020-05-10","2025-05-10","Per=Y","Days=T","Dir=V")</f>
        <v>0</v>
      </c>
      <c r="AQ2">
        <f>BDH("HOOK US Equity","PX_LAST","2020-05-10","2025-05-10","Per=M","Days=T","Dir=V")</f>
        <v>0</v>
      </c>
      <c r="AS2">
        <f>BDH("HOOK US Equity","CUR_MKT_CAP","2020-05-10","2025-05-10","Per=M","Days=T","Dir=V")</f>
        <v>0</v>
      </c>
      <c r="AU2">
        <f>BDH("HOOK US Equity","EQY_SH_OUT","2020-05-10","2025-05-10","Per=M","Days=T","Dir=V")</f>
        <v>0</v>
      </c>
      <c r="AW2">
        <f>BDH("HOOK US Equity","PX_VOLUME","2020-05-10","2025-05-10","Per=M","Days=T","Dir=V")</f>
        <v>0</v>
      </c>
      <c r="AY2">
        <f>BDH("HOOK US Equity","TURNOVER","2020-05-10","2025-05-10","Per=M","Days=T","Dir=V")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BDH("FOXO US Equity","BS_TOT_ASSET","2020-05-14","2025-05-14","Per=Y","Days=T","Dir=V")</f>
        <v>0</v>
      </c>
      <c r="C2">
        <f>BDH("FOXO US Equity","BS_TOT_LIAB2","2020-05-14","2025-05-14","Per=Y","Days=T","Dir=V")</f>
        <v>0</v>
      </c>
      <c r="E2">
        <f>BDH("FOXO US Equity","SHORT_AND_LONG_TERM_DEBT","2020-05-14","2025-05-14","Per=Y","Days=T","Dir=V")</f>
        <v>0</v>
      </c>
      <c r="G2">
        <f>BDH("FOXO US Equity","BS_ST_BORROW","2020-05-14","2025-05-14","Per=Y","Days=T","Dir=V")</f>
        <v>0</v>
      </c>
      <c r="I2">
        <f>BDH("FOXO US Equity","BS_LT_BORROW","2020-05-14","2025-05-14","Per=Y","Days=T","Dir=V")</f>
        <v>0</v>
      </c>
      <c r="K2">
        <f>BDH("FOXO US Equity","BS_CASH_NEAR_CASH_ITEM","2020-05-14","2025-05-14","Per=Y","Days=T","Dir=V")</f>
        <v>0</v>
      </c>
      <c r="M2">
        <f>BDH("FOXO US Equity","BS_CUR_ASSET_REPORT","2020-05-14","2025-05-14","Per=Y","Days=T","Dir=V")</f>
        <v>0</v>
      </c>
      <c r="O2">
        <f>BDH("FOXO US Equity","BS_CUR_LIAB","2020-05-14","2025-05-14","Per=Y","Days=T","Dir=V")</f>
        <v>0</v>
      </c>
      <c r="Q2">
        <f>BDH("FOXO US Equity","BS_SHAREHOLDER_EQY_ENDING_PERIOD","2020-05-14","2025-05-14","Per=Y","Days=T","Dir=V")</f>
        <v>0</v>
      </c>
      <c r="S2">
        <f>BDH("FOXO US Equity","BS_ACCT_NOTE_RCV","2020-05-14","2025-05-14","Per=Y","Days=T","Dir=V")</f>
        <v>0</v>
      </c>
      <c r="U2">
        <f>BDH("FOXO US Equity","BS_INVENTORIES","2020-05-14","2025-05-14","Per=Y","Days=T","Dir=V")</f>
        <v>0</v>
      </c>
      <c r="W2">
        <f>BDH("FOXO US Equity","WORKING_CAPITAL","2020-05-14","2025-05-14","Per=Y","Days=T","Dir=V")</f>
        <v>0</v>
      </c>
      <c r="Y2">
        <f>BDH("FOXO US Equity","SALES_REV_TURN","2020-05-14","2025-05-14","Per=Y","Days=T","Dir=V")</f>
        <v>0</v>
      </c>
      <c r="AA2">
        <f>BDH("FOXO US Equity","EBIT","2020-05-14","2025-05-14","Per=Y","Days=T","Dir=V")</f>
        <v>0</v>
      </c>
      <c r="AC2">
        <f>BDH("FOXO US Equity","EBITDA","2020-05-14","2025-05-14","Per=Y","Days=T","Dir=V")</f>
        <v>0</v>
      </c>
      <c r="AE2">
        <f>BDH("FOXO US Equity","NET_INCOME","2020-05-14","2025-05-14","Per=Y","Days=T","Dir=V")</f>
        <v>0</v>
      </c>
      <c r="AG2">
        <f>BDH("FOXO US Equity","IS_INT_EXPENSE","2020-05-14","2025-05-14","Per=Y","Days=T","Dir=V")</f>
        <v>0</v>
      </c>
      <c r="AI2">
        <f>BDH("FOXO US Equity","IS_DEPR_EXP","2020-05-14","2025-05-14","Per=Y","Days=T","Dir=V")</f>
        <v>0</v>
      </c>
      <c r="AK2">
        <f>BDH("FOXO US Equity","CF_CASH_FROM_OPER","2020-05-14","2025-05-14","Per=Y","Days=T","Dir=V")</f>
        <v>0</v>
      </c>
      <c r="AM2">
        <f>BDH("FOXO US Equity","CAPITAL_EXPEND","2020-05-14","2025-05-14","Per=Y","Days=T","Dir=V")</f>
        <v>0</v>
      </c>
      <c r="AO2">
        <f>BDH("FOXO US Equity","CF_FREE_CASH_FLOW","2020-05-14","2025-05-14","Per=Y","Days=T","Dir=V")</f>
        <v>0</v>
      </c>
      <c r="AQ2">
        <f>BDH("FOXO US Equity","PX_LAST","2020-05-14","2025-05-14","Per=M","Days=T","Dir=V")</f>
        <v>0</v>
      </c>
      <c r="AS2">
        <f>BDH("FOXO US Equity","CUR_MKT_CAP","2020-05-14","2025-05-14","Per=M","Days=T","Dir=V")</f>
        <v>0</v>
      </c>
      <c r="AU2">
        <f>BDH("FOXO US Equity","EQY_SH_OUT","2020-05-14","2025-05-14","Per=M","Days=T","Dir=V")</f>
        <v>0</v>
      </c>
      <c r="AW2">
        <f>BDH("FOXO US Equity","PX_VOLUME","2020-05-14","2025-05-14","Per=M","Days=T","Dir=V")</f>
        <v>0</v>
      </c>
      <c r="AY2">
        <f>BDH("FOXO US Equity","TURNOVER","2020-05-14","2025-05-14","Per=M","Days=T","Dir=V")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BDH("OTRKQ US Equity","BS_TOT_ASSET","2020-05-17","2025-05-17","Per=Y","Days=T","Dir=V")</f>
        <v>0</v>
      </c>
      <c r="C2">
        <f>BDH("OTRKQ US Equity","BS_TOT_LIAB2","2020-05-17","2025-05-17","Per=Y","Days=T","Dir=V")</f>
        <v>0</v>
      </c>
      <c r="E2">
        <f>BDH("OTRKQ US Equity","SHORT_AND_LONG_TERM_DEBT","2020-05-17","2025-05-17","Per=Y","Days=T","Dir=V")</f>
        <v>0</v>
      </c>
      <c r="G2">
        <f>BDH("OTRKQ US Equity","BS_ST_BORROW","2020-05-17","2025-05-17","Per=Y","Days=T","Dir=V")</f>
        <v>0</v>
      </c>
      <c r="I2">
        <f>BDH("OTRKQ US Equity","BS_LT_BORROW","2020-05-17","2025-05-17","Per=Y","Days=T","Dir=V")</f>
        <v>0</v>
      </c>
      <c r="K2">
        <f>BDH("OTRKQ US Equity","BS_CASH_NEAR_CASH_ITEM","2020-05-17","2025-05-17","Per=Y","Days=T","Dir=V")</f>
        <v>0</v>
      </c>
      <c r="M2">
        <f>BDH("OTRKQ US Equity","BS_CUR_ASSET_REPORT","2020-05-17","2025-05-17","Per=Y","Days=T","Dir=V")</f>
        <v>0</v>
      </c>
      <c r="O2">
        <f>BDH("OTRKQ US Equity","BS_CUR_LIAB","2020-05-17","2025-05-17","Per=Y","Days=T","Dir=V")</f>
        <v>0</v>
      </c>
      <c r="Q2">
        <f>BDH("OTRKQ US Equity","BS_SHAREHOLDER_EQY_ENDING_PERIOD","2020-05-17","2025-05-17","Per=Y","Days=T","Dir=V")</f>
        <v>0</v>
      </c>
      <c r="S2">
        <f>BDH("OTRKQ US Equity","BS_ACCT_NOTE_RCV","2020-05-17","2025-05-17","Per=Y","Days=T","Dir=V")</f>
        <v>0</v>
      </c>
      <c r="U2">
        <f>BDH("OTRKQ US Equity","BS_INVENTORIES","2020-05-17","2025-05-17","Per=Y","Days=T","Dir=V")</f>
        <v>0</v>
      </c>
      <c r="W2">
        <f>BDH("OTRKQ US Equity","WORKING_CAPITAL","2020-05-17","2025-05-17","Per=Y","Days=T","Dir=V")</f>
        <v>0</v>
      </c>
      <c r="Y2">
        <f>BDH("OTRKQ US Equity","SALES_REV_TURN","2020-05-17","2025-05-17","Per=Y","Days=T","Dir=V")</f>
        <v>0</v>
      </c>
      <c r="AA2">
        <f>BDH("OTRKQ US Equity","EBIT","2020-05-17","2025-05-17","Per=Y","Days=T","Dir=V")</f>
        <v>0</v>
      </c>
      <c r="AC2">
        <f>BDH("OTRKQ US Equity","EBITDA","2020-05-17","2025-05-17","Per=Y","Days=T","Dir=V")</f>
        <v>0</v>
      </c>
      <c r="AE2">
        <f>BDH("OTRKQ US Equity","NET_INCOME","2020-05-17","2025-05-17","Per=Y","Days=T","Dir=V")</f>
        <v>0</v>
      </c>
      <c r="AG2">
        <f>BDH("OTRKQ US Equity","IS_INT_EXPENSE","2020-05-17","2025-05-17","Per=Y","Days=T","Dir=V")</f>
        <v>0</v>
      </c>
      <c r="AI2">
        <f>BDH("OTRKQ US Equity","IS_DEPR_EXP","2020-05-17","2025-05-17","Per=Y","Days=T","Dir=V")</f>
        <v>0</v>
      </c>
      <c r="AK2">
        <f>BDH("OTRKQ US Equity","CF_CASH_FROM_OPER","2020-05-17","2025-05-17","Per=Y","Days=T","Dir=V")</f>
        <v>0</v>
      </c>
      <c r="AM2">
        <f>BDH("OTRKQ US Equity","CAPITAL_EXPEND","2020-05-17","2025-05-17","Per=Y","Days=T","Dir=V")</f>
        <v>0</v>
      </c>
      <c r="AO2">
        <f>BDH("OTRKQ US Equity","CF_FREE_CASH_FLOW","2020-05-17","2025-05-17","Per=Y","Days=T","Dir=V")</f>
        <v>0</v>
      </c>
      <c r="AQ2">
        <f>BDH("OTRKQ US Equity","PX_LAST","2020-05-17","2025-05-17","Per=M","Days=T","Dir=V")</f>
        <v>0</v>
      </c>
      <c r="AS2">
        <f>BDH("OTRKQ US Equity","CUR_MKT_CAP","2020-05-17","2025-05-17","Per=M","Days=T","Dir=V")</f>
        <v>0</v>
      </c>
      <c r="AU2">
        <f>BDH("OTRKQ US Equity","EQY_SH_OUT","2020-05-17","2025-05-17","Per=M","Days=T","Dir=V")</f>
        <v>0</v>
      </c>
      <c r="AW2">
        <f>BDH("OTRKQ US Equity","PX_VOLUME","2020-05-17","2025-05-17","Per=M","Days=T","Dir=V")</f>
        <v>0</v>
      </c>
      <c r="AY2">
        <f>BDH("OTRKQ US Equity","TURNOVER","2020-05-17","2025-05-17","Per=M","Days=T","Dir=V")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BDH("TPICQ US Equity","BS_TOT_ASSET","2020-05-20","2025-05-20","Per=Y","Days=T","Dir=V")</f>
        <v>0</v>
      </c>
      <c r="C2">
        <f>BDH("TPICQ US Equity","BS_TOT_LIAB2","2020-05-20","2025-05-20","Per=Y","Days=T","Dir=V")</f>
        <v>0</v>
      </c>
      <c r="E2">
        <f>BDH("TPICQ US Equity","SHORT_AND_LONG_TERM_DEBT","2020-05-20","2025-05-20","Per=Y","Days=T","Dir=V")</f>
        <v>0</v>
      </c>
      <c r="G2">
        <f>BDH("TPICQ US Equity","BS_ST_BORROW","2020-05-20","2025-05-20","Per=Y","Days=T","Dir=V")</f>
        <v>0</v>
      </c>
      <c r="I2">
        <f>BDH("TPICQ US Equity","BS_LT_BORROW","2020-05-20","2025-05-20","Per=Y","Days=T","Dir=V")</f>
        <v>0</v>
      </c>
      <c r="K2">
        <f>BDH("TPICQ US Equity","BS_CASH_NEAR_CASH_ITEM","2020-05-20","2025-05-20","Per=Y","Days=T","Dir=V")</f>
        <v>0</v>
      </c>
      <c r="M2">
        <f>BDH("TPICQ US Equity","BS_CUR_ASSET_REPORT","2020-05-20","2025-05-20","Per=Y","Days=T","Dir=V")</f>
        <v>0</v>
      </c>
      <c r="O2">
        <f>BDH("TPICQ US Equity","BS_CUR_LIAB","2020-05-20","2025-05-20","Per=Y","Days=T","Dir=V")</f>
        <v>0</v>
      </c>
      <c r="Q2">
        <f>BDH("TPICQ US Equity","BS_SHAREHOLDER_EQY_ENDING_PERIOD","2020-05-20","2025-05-20","Per=Y","Days=T","Dir=V")</f>
        <v>0</v>
      </c>
      <c r="S2">
        <f>BDH("TPICQ US Equity","BS_ACCT_NOTE_RCV","2020-05-20","2025-05-20","Per=Y","Days=T","Dir=V")</f>
        <v>0</v>
      </c>
      <c r="U2">
        <f>BDH("TPICQ US Equity","BS_INVENTORIES","2020-05-20","2025-05-20","Per=Y","Days=T","Dir=V")</f>
        <v>0</v>
      </c>
      <c r="W2">
        <f>BDH("TPICQ US Equity","WORKING_CAPITAL","2020-05-20","2025-05-20","Per=Y","Days=T","Dir=V")</f>
        <v>0</v>
      </c>
      <c r="Y2">
        <f>BDH("TPICQ US Equity","SALES_REV_TURN","2020-05-20","2025-05-20","Per=Y","Days=T","Dir=V")</f>
        <v>0</v>
      </c>
      <c r="AA2">
        <f>BDH("TPICQ US Equity","EBIT","2020-05-20","2025-05-20","Per=Y","Days=T","Dir=V")</f>
        <v>0</v>
      </c>
      <c r="AC2">
        <f>BDH("TPICQ US Equity","EBITDA","2020-05-20","2025-05-20","Per=Y","Days=T","Dir=V")</f>
        <v>0</v>
      </c>
      <c r="AE2">
        <f>BDH("TPICQ US Equity","NET_INCOME","2020-05-20","2025-05-20","Per=Y","Days=T","Dir=V")</f>
        <v>0</v>
      </c>
      <c r="AG2">
        <f>BDH("TPICQ US Equity","IS_INT_EXPENSE","2020-05-20","2025-05-20","Per=Y","Days=T","Dir=V")</f>
        <v>0</v>
      </c>
      <c r="AI2">
        <f>BDH("TPICQ US Equity","IS_DEPR_EXP","2020-05-20","2025-05-20","Per=Y","Days=T","Dir=V")</f>
        <v>0</v>
      </c>
      <c r="AK2">
        <f>BDH("TPICQ US Equity","CF_CASH_FROM_OPER","2020-05-20","2025-05-20","Per=Y","Days=T","Dir=V")</f>
        <v>0</v>
      </c>
      <c r="AM2">
        <f>BDH("TPICQ US Equity","CAPITAL_EXPEND","2020-05-20","2025-05-20","Per=Y","Days=T","Dir=V")</f>
        <v>0</v>
      </c>
      <c r="AO2">
        <f>BDH("TPICQ US Equity","CF_FREE_CASH_FLOW","2020-05-20","2025-05-20","Per=Y","Days=T","Dir=V")</f>
        <v>0</v>
      </c>
      <c r="AQ2">
        <f>BDH("TPICQ US Equity","PX_LAST","2020-05-20","2025-05-20","Per=M","Days=T","Dir=V")</f>
        <v>0</v>
      </c>
      <c r="AS2">
        <f>BDH("TPICQ US Equity","CUR_MKT_CAP","2020-05-20","2025-05-20","Per=M","Days=T","Dir=V")</f>
        <v>0</v>
      </c>
      <c r="AU2">
        <f>BDH("TPICQ US Equity","EQY_SH_OUT","2020-05-20","2025-05-20","Per=M","Days=T","Dir=V")</f>
        <v>0</v>
      </c>
      <c r="AW2">
        <f>BDH("TPICQ US Equity","PX_VOLUME","2020-05-20","2025-05-20","Per=M","Days=T","Dir=V")</f>
        <v>0</v>
      </c>
      <c r="AY2">
        <f>BDH("TPICQ US Equity","TURNOVER","2020-05-20","2025-05-20","Per=M","Days=T","Dir=V")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BDH("MODVQ US Equity","BS_TOT_ASSET","2020-05-30","2025-05-30","Per=Y","Days=T","Dir=V")</f>
        <v>0</v>
      </c>
      <c r="C2">
        <f>BDH("MODVQ US Equity","BS_TOT_LIAB2","2020-05-30","2025-05-30","Per=Y","Days=T","Dir=V")</f>
        <v>0</v>
      </c>
      <c r="E2">
        <f>BDH("MODVQ US Equity","SHORT_AND_LONG_TERM_DEBT","2020-05-30","2025-05-30","Per=Y","Days=T","Dir=V")</f>
        <v>0</v>
      </c>
      <c r="G2">
        <f>BDH("MODVQ US Equity","BS_ST_BORROW","2020-05-30","2025-05-30","Per=Y","Days=T","Dir=V")</f>
        <v>0</v>
      </c>
      <c r="I2">
        <f>BDH("MODVQ US Equity","BS_LT_BORROW","2020-05-30","2025-05-30","Per=Y","Days=T","Dir=V")</f>
        <v>0</v>
      </c>
      <c r="K2">
        <f>BDH("MODVQ US Equity","BS_CASH_NEAR_CASH_ITEM","2020-05-30","2025-05-30","Per=Y","Days=T","Dir=V")</f>
        <v>0</v>
      </c>
      <c r="M2">
        <f>BDH("MODVQ US Equity","BS_CUR_ASSET_REPORT","2020-05-30","2025-05-30","Per=Y","Days=T","Dir=V")</f>
        <v>0</v>
      </c>
      <c r="O2">
        <f>BDH("MODVQ US Equity","BS_CUR_LIAB","2020-05-30","2025-05-30","Per=Y","Days=T","Dir=V")</f>
        <v>0</v>
      </c>
      <c r="Q2">
        <f>BDH("MODVQ US Equity","BS_SHAREHOLDER_EQY_ENDING_PERIOD","2020-05-30","2025-05-30","Per=Y","Days=T","Dir=V")</f>
        <v>0</v>
      </c>
      <c r="S2">
        <f>BDH("MODVQ US Equity","BS_ACCT_NOTE_RCV","2020-05-30","2025-05-30","Per=Y","Days=T","Dir=V")</f>
        <v>0</v>
      </c>
      <c r="U2">
        <f>BDH("MODVQ US Equity","BS_INVENTORIES","2020-05-30","2025-05-30","Per=Y","Days=T","Dir=V")</f>
        <v>0</v>
      </c>
      <c r="W2">
        <f>BDH("MODVQ US Equity","WORKING_CAPITAL","2020-05-30","2025-05-30","Per=Y","Days=T","Dir=V")</f>
        <v>0</v>
      </c>
      <c r="Y2">
        <f>BDH("MODVQ US Equity","SALES_REV_TURN","2020-05-30","2025-05-30","Per=Y","Days=T","Dir=V")</f>
        <v>0</v>
      </c>
      <c r="AA2">
        <f>BDH("MODVQ US Equity","EBIT","2020-05-30","2025-05-30","Per=Y","Days=T","Dir=V")</f>
        <v>0</v>
      </c>
      <c r="AC2">
        <f>BDH("MODVQ US Equity","EBITDA","2020-05-30","2025-05-30","Per=Y","Days=T","Dir=V")</f>
        <v>0</v>
      </c>
      <c r="AE2">
        <f>BDH("MODVQ US Equity","NET_INCOME","2020-05-30","2025-05-30","Per=Y","Days=T","Dir=V")</f>
        <v>0</v>
      </c>
      <c r="AG2">
        <f>BDH("MODVQ US Equity","IS_INT_EXPENSE","2020-05-30","2025-05-30","Per=Y","Days=T","Dir=V")</f>
        <v>0</v>
      </c>
      <c r="AI2">
        <f>BDH("MODVQ US Equity","IS_DEPR_EXP","2020-05-30","2025-05-30","Per=Y","Days=T","Dir=V")</f>
        <v>0</v>
      </c>
      <c r="AK2">
        <f>BDH("MODVQ US Equity","CF_CASH_FROM_OPER","2020-05-30","2025-05-30","Per=Y","Days=T","Dir=V")</f>
        <v>0</v>
      </c>
      <c r="AM2">
        <f>BDH("MODVQ US Equity","CAPITAL_EXPEND","2020-05-30","2025-05-30","Per=Y","Days=T","Dir=V")</f>
        <v>0</v>
      </c>
      <c r="AO2">
        <f>BDH("MODVQ US Equity","CF_FREE_CASH_FLOW","2020-05-30","2025-05-30","Per=Y","Days=T","Dir=V")</f>
        <v>0</v>
      </c>
      <c r="AQ2">
        <f>BDH("MODVQ US Equity","PX_LAST","2020-05-30","2025-05-30","Per=M","Days=T","Dir=V")</f>
        <v>0</v>
      </c>
      <c r="AS2">
        <f>BDH("MODVQ US Equity","CUR_MKT_CAP","2020-05-30","2025-05-30","Per=M","Days=T","Dir=V")</f>
        <v>0</v>
      </c>
      <c r="AU2">
        <f>BDH("MODVQ US Equity","EQY_SH_OUT","2020-05-30","2025-05-30","Per=M","Days=T","Dir=V")</f>
        <v>0</v>
      </c>
      <c r="AW2">
        <f>BDH("MODVQ US Equity","PX_VOLUME","2020-05-30","2025-05-30","Per=M","Days=T","Dir=V")</f>
        <v>0</v>
      </c>
      <c r="AY2">
        <f>BDH("MODVQ US Equity","TURNOVER","2020-05-30","2025-05-30","Per=M","Days=T","Dir=V")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BDH("FLYYQ US Equity","BS_TOT_ASSET","2020-06-05","2025-06-05","Per=Y","Days=T","Dir=V")</f>
        <v>0</v>
      </c>
      <c r="C2">
        <f>BDH("FLYYQ US Equity","BS_TOT_LIAB2","2020-06-05","2025-06-05","Per=Y","Days=T","Dir=V")</f>
        <v>0</v>
      </c>
      <c r="E2">
        <f>BDH("FLYYQ US Equity","SHORT_AND_LONG_TERM_DEBT","2020-06-05","2025-06-05","Per=Y","Days=T","Dir=V")</f>
        <v>0</v>
      </c>
      <c r="G2">
        <f>BDH("FLYYQ US Equity","BS_ST_BORROW","2020-06-05","2025-06-05","Per=Y","Days=T","Dir=V")</f>
        <v>0</v>
      </c>
      <c r="I2">
        <f>BDH("FLYYQ US Equity","BS_LT_BORROW","2020-06-05","2025-06-05","Per=Y","Days=T","Dir=V")</f>
        <v>0</v>
      </c>
      <c r="K2">
        <f>BDH("FLYYQ US Equity","BS_CASH_NEAR_CASH_ITEM","2020-06-05","2025-06-05","Per=Y","Days=T","Dir=V")</f>
        <v>0</v>
      </c>
      <c r="M2">
        <f>BDH("FLYYQ US Equity","BS_CUR_ASSET_REPORT","2020-06-05","2025-06-05","Per=Y","Days=T","Dir=V")</f>
        <v>0</v>
      </c>
      <c r="O2">
        <f>BDH("FLYYQ US Equity","BS_CUR_LIAB","2020-06-05","2025-06-05","Per=Y","Days=T","Dir=V")</f>
        <v>0</v>
      </c>
      <c r="Q2">
        <f>BDH("FLYYQ US Equity","BS_SHAREHOLDER_EQY_ENDING_PERIOD","2020-06-05","2025-06-05","Per=Y","Days=T","Dir=V")</f>
        <v>0</v>
      </c>
      <c r="S2">
        <f>BDH("FLYYQ US Equity","BS_ACCT_NOTE_RCV","2020-06-05","2025-06-05","Per=Y","Days=T","Dir=V")</f>
        <v>0</v>
      </c>
      <c r="U2">
        <f>BDH("FLYYQ US Equity","BS_INVENTORIES","2020-06-05","2025-06-05","Per=Y","Days=T","Dir=V")</f>
        <v>0</v>
      </c>
      <c r="W2">
        <f>BDH("FLYYQ US Equity","WORKING_CAPITAL","2020-06-05","2025-06-05","Per=Y","Days=T","Dir=V")</f>
        <v>0</v>
      </c>
      <c r="Y2">
        <f>BDH("FLYYQ US Equity","SALES_REV_TURN","2020-06-05","2025-06-05","Per=Y","Days=T","Dir=V")</f>
        <v>0</v>
      </c>
      <c r="AA2">
        <f>BDH("FLYYQ US Equity","EBIT","2020-06-05","2025-06-05","Per=Y","Days=T","Dir=V")</f>
        <v>0</v>
      </c>
      <c r="AC2">
        <f>BDH("FLYYQ US Equity","EBITDA","2020-06-05","2025-06-05","Per=Y","Days=T","Dir=V")</f>
        <v>0</v>
      </c>
      <c r="AE2">
        <f>BDH("FLYYQ US Equity","NET_INCOME","2020-06-05","2025-06-05","Per=Y","Days=T","Dir=V")</f>
        <v>0</v>
      </c>
      <c r="AG2">
        <f>BDH("FLYYQ US Equity","IS_INT_EXPENSE","2020-06-05","2025-06-05","Per=Y","Days=T","Dir=V")</f>
        <v>0</v>
      </c>
      <c r="AI2">
        <f>BDH("FLYYQ US Equity","IS_DEPR_EXP","2020-06-05","2025-06-05","Per=Y","Days=T","Dir=V")</f>
        <v>0</v>
      </c>
      <c r="AK2">
        <f>BDH("FLYYQ US Equity","CF_CASH_FROM_OPER","2020-06-05","2025-06-05","Per=Y","Days=T","Dir=V")</f>
        <v>0</v>
      </c>
      <c r="AM2">
        <f>BDH("FLYYQ US Equity","CAPITAL_EXPEND","2020-06-05","2025-06-05","Per=Y","Days=T","Dir=V")</f>
        <v>0</v>
      </c>
      <c r="AO2">
        <f>BDH("FLYYQ US Equity","CF_FREE_CASH_FLOW","2020-06-05","2025-06-05","Per=Y","Days=T","Dir=V")</f>
        <v>0</v>
      </c>
      <c r="AQ2">
        <f>BDH("FLYYQ US Equity","PX_LAST","2020-06-05","2025-06-05","Per=M","Days=T","Dir=V")</f>
        <v>0</v>
      </c>
      <c r="AS2">
        <f>BDH("FLYYQ US Equity","CUR_MKT_CAP","2020-06-05","2025-06-05","Per=M","Days=T","Dir=V")</f>
        <v>0</v>
      </c>
      <c r="AU2">
        <f>BDH("FLYYQ US Equity","EQY_SH_OUT","2020-06-05","2025-06-05","Per=M","Days=T","Dir=V")</f>
        <v>0</v>
      </c>
      <c r="AW2">
        <f>BDH("FLYYQ US Equity","PX_VOLUME","2020-06-05","2025-06-05","Per=M","Days=T","Dir=V")</f>
        <v>0</v>
      </c>
      <c r="AY2">
        <f>BDH("FLYYQ US Equity","TURNOVER","2020-06-05","2025-06-05","Per=M","Days=T","Dir=V")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BDH("FPAYQ US Equity","BS_TOT_ASSET","2020-07-26","2025-07-26","Per=Y","Days=T","Dir=V")</f>
        <v>0</v>
      </c>
      <c r="C2">
        <f>BDH("FPAYQ US Equity","BS_TOT_LIAB2","2020-07-26","2025-07-26","Per=Y","Days=T","Dir=V")</f>
        <v>0</v>
      </c>
      <c r="E2">
        <f>BDH("FPAYQ US Equity","SHORT_AND_LONG_TERM_DEBT","2020-07-26","2025-07-26","Per=Y","Days=T","Dir=V")</f>
        <v>0</v>
      </c>
      <c r="G2">
        <f>BDH("FPAYQ US Equity","BS_ST_BORROW","2020-07-26","2025-07-26","Per=Y","Days=T","Dir=V")</f>
        <v>0</v>
      </c>
      <c r="I2">
        <f>BDH("FPAYQ US Equity","BS_LT_BORROW","2020-07-26","2025-07-26","Per=Y","Days=T","Dir=V")</f>
        <v>0</v>
      </c>
      <c r="K2">
        <f>BDH("FPAYQ US Equity","BS_CASH_NEAR_CASH_ITEM","2020-07-26","2025-07-26","Per=Y","Days=T","Dir=V")</f>
        <v>0</v>
      </c>
      <c r="M2">
        <f>BDH("FPAYQ US Equity","BS_CUR_ASSET_REPORT","2020-07-26","2025-07-26","Per=Y","Days=T","Dir=V")</f>
        <v>0</v>
      </c>
      <c r="O2">
        <f>BDH("FPAYQ US Equity","BS_CUR_LIAB","2020-07-26","2025-07-26","Per=Y","Days=T","Dir=V")</f>
        <v>0</v>
      </c>
      <c r="Q2">
        <f>BDH("FPAYQ US Equity","BS_SHAREHOLDER_EQY_ENDING_PERIOD","2020-07-26","2025-07-26","Per=Y","Days=T","Dir=V")</f>
        <v>0</v>
      </c>
      <c r="S2">
        <f>BDH("FPAYQ US Equity","BS_ACCT_NOTE_RCV","2020-07-26","2025-07-26","Per=Y","Days=T","Dir=V")</f>
        <v>0</v>
      </c>
      <c r="U2">
        <f>BDH("FPAYQ US Equity","BS_INVENTORIES","2020-07-26","2025-07-26","Per=Y","Days=T","Dir=V")</f>
        <v>0</v>
      </c>
      <c r="W2">
        <f>BDH("FPAYQ US Equity","WORKING_CAPITAL","2020-07-26","2025-07-26","Per=Y","Days=T","Dir=V")</f>
        <v>0</v>
      </c>
      <c r="Y2">
        <f>BDH("FPAYQ US Equity","SALES_REV_TURN","2020-07-26","2025-07-26","Per=Y","Days=T","Dir=V")</f>
        <v>0</v>
      </c>
      <c r="AA2">
        <f>BDH("FPAYQ US Equity","EBIT","2020-07-26","2025-07-26","Per=Y","Days=T","Dir=V")</f>
        <v>0</v>
      </c>
      <c r="AC2">
        <f>BDH("FPAYQ US Equity","EBITDA","2020-07-26","2025-07-26","Per=Y","Days=T","Dir=V")</f>
        <v>0</v>
      </c>
      <c r="AE2">
        <f>BDH("FPAYQ US Equity","NET_INCOME","2020-07-26","2025-07-26","Per=Y","Days=T","Dir=V")</f>
        <v>0</v>
      </c>
      <c r="AG2">
        <f>BDH("FPAYQ US Equity","IS_INT_EXPENSE","2020-07-26","2025-07-26","Per=Y","Days=T","Dir=V")</f>
        <v>0</v>
      </c>
      <c r="AI2">
        <f>BDH("FPAYQ US Equity","IS_DEPR_EXP","2020-07-26","2025-07-26","Per=Y","Days=T","Dir=V")</f>
        <v>0</v>
      </c>
      <c r="AK2">
        <f>BDH("FPAYQ US Equity","CF_CASH_FROM_OPER","2020-07-26","2025-07-26","Per=Y","Days=T","Dir=V")</f>
        <v>0</v>
      </c>
      <c r="AM2">
        <f>BDH("FPAYQ US Equity","CAPITAL_EXPEND","2020-07-26","2025-07-26","Per=Y","Days=T","Dir=V")</f>
        <v>0</v>
      </c>
      <c r="AO2">
        <f>BDH("FPAYQ US Equity","CF_FREE_CASH_FLOW","2020-07-26","2025-07-26","Per=Y","Days=T","Dir=V")</f>
        <v>0</v>
      </c>
      <c r="AQ2">
        <f>BDH("FPAYQ US Equity","PX_LAST","2020-07-26","2025-07-26","Per=M","Days=T","Dir=V")</f>
        <v>0</v>
      </c>
      <c r="AS2">
        <f>BDH("FPAYQ US Equity","CUR_MKT_CAP","2020-07-26","2025-07-26","Per=M","Days=T","Dir=V")</f>
        <v>0</v>
      </c>
      <c r="AU2">
        <f>BDH("FPAYQ US Equity","EQY_SH_OUT","2020-07-26","2025-07-26","Per=M","Days=T","Dir=V")</f>
        <v>0</v>
      </c>
      <c r="AW2">
        <f>BDH("FPAYQ US Equity","PX_VOLUME","2020-07-26","2025-07-26","Per=M","Days=T","Dir=V")</f>
        <v>0</v>
      </c>
      <c r="AY2">
        <f>BDH("FPAYQ US Equity","TURNOVER","2020-07-26","2025-07-26","Per=M","Days=T","Dir=V")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BDH("AMBIQ US Equity","BS_TOT_ASSET","2020-07-30","2025-07-30","Per=Y","Days=T","Dir=V")</f>
        <v>0</v>
      </c>
      <c r="C2">
        <f>BDH("AMBIQ US Equity","BS_TOT_LIAB2","2020-07-30","2025-07-30","Per=Y","Days=T","Dir=V")</f>
        <v>0</v>
      </c>
      <c r="E2">
        <f>BDH("AMBIQ US Equity","SHORT_AND_LONG_TERM_DEBT","2020-07-30","2025-07-30","Per=Y","Days=T","Dir=V")</f>
        <v>0</v>
      </c>
      <c r="G2">
        <f>BDH("AMBIQ US Equity","BS_ST_BORROW","2020-07-30","2025-07-30","Per=Y","Days=T","Dir=V")</f>
        <v>0</v>
      </c>
      <c r="I2">
        <f>BDH("AMBIQ US Equity","BS_LT_BORROW","2020-07-30","2025-07-30","Per=Y","Days=T","Dir=V")</f>
        <v>0</v>
      </c>
      <c r="K2">
        <f>BDH("AMBIQ US Equity","BS_CASH_NEAR_CASH_ITEM","2020-07-30","2025-07-30","Per=Y","Days=T","Dir=V")</f>
        <v>0</v>
      </c>
      <c r="M2">
        <f>BDH("AMBIQ US Equity","BS_CUR_ASSET_REPORT","2020-07-30","2025-07-30","Per=Y","Days=T","Dir=V")</f>
        <v>0</v>
      </c>
      <c r="O2">
        <f>BDH("AMBIQ US Equity","BS_CUR_LIAB","2020-07-30","2025-07-30","Per=Y","Days=T","Dir=V")</f>
        <v>0</v>
      </c>
      <c r="Q2">
        <f>BDH("AMBIQ US Equity","BS_SHAREHOLDER_EQY_ENDING_PERIOD","2020-07-30","2025-07-30","Per=Y","Days=T","Dir=V")</f>
        <v>0</v>
      </c>
      <c r="S2">
        <f>BDH("AMBIQ US Equity","BS_ACCT_NOTE_RCV","2020-07-30","2025-07-30","Per=Y","Days=T","Dir=V")</f>
        <v>0</v>
      </c>
      <c r="U2">
        <f>BDH("AMBIQ US Equity","BS_INVENTORIES","2020-07-30","2025-07-30","Per=Y","Days=T","Dir=V")</f>
        <v>0</v>
      </c>
      <c r="W2">
        <f>BDH("AMBIQ US Equity","WORKING_CAPITAL","2020-07-30","2025-07-30","Per=Y","Days=T","Dir=V")</f>
        <v>0</v>
      </c>
      <c r="Y2">
        <f>BDH("AMBIQ US Equity","SALES_REV_TURN","2020-07-30","2025-07-30","Per=Y","Days=T","Dir=V")</f>
        <v>0</v>
      </c>
      <c r="AA2">
        <f>BDH("AMBIQ US Equity","EBIT","2020-07-30","2025-07-30","Per=Y","Days=T","Dir=V")</f>
        <v>0</v>
      </c>
      <c r="AC2">
        <f>BDH("AMBIQ US Equity","EBITDA","2020-07-30","2025-07-30","Per=Y","Days=T","Dir=V")</f>
        <v>0</v>
      </c>
      <c r="AE2">
        <f>BDH("AMBIQ US Equity","NET_INCOME","2020-07-30","2025-07-30","Per=Y","Days=T","Dir=V")</f>
        <v>0</v>
      </c>
      <c r="AG2">
        <f>BDH("AMBIQ US Equity","IS_INT_EXPENSE","2020-07-30","2025-07-30","Per=Y","Days=T","Dir=V")</f>
        <v>0</v>
      </c>
      <c r="AI2">
        <f>BDH("AMBIQ US Equity","IS_DEPR_EXP","2020-07-30","2025-07-30","Per=Y","Days=T","Dir=V")</f>
        <v>0</v>
      </c>
      <c r="AK2">
        <f>BDH("AMBIQ US Equity","CF_CASH_FROM_OPER","2020-07-30","2025-07-30","Per=Y","Days=T","Dir=V")</f>
        <v>0</v>
      </c>
      <c r="AM2">
        <f>BDH("AMBIQ US Equity","CAPITAL_EXPEND","2020-07-30","2025-07-30","Per=Y","Days=T","Dir=V")</f>
        <v>0</v>
      </c>
      <c r="AO2">
        <f>BDH("AMBIQ US Equity","CF_FREE_CASH_FLOW","2020-07-30","2025-07-30","Per=Y","Days=T","Dir=V")</f>
        <v>0</v>
      </c>
      <c r="AQ2">
        <f>BDH("AMBIQ US Equity","PX_LAST","2020-07-30","2025-07-30","Per=M","Days=T","Dir=V")</f>
        <v>0</v>
      </c>
      <c r="AS2">
        <f>BDH("AMBIQ US Equity","CUR_MKT_CAP","2020-07-30","2025-07-30","Per=M","Days=T","Dir=V")</f>
        <v>0</v>
      </c>
      <c r="AU2">
        <f>BDH("AMBIQ US Equity","EQY_SH_OUT","2020-07-30","2025-07-30","Per=M","Days=T","Dir=V")</f>
        <v>0</v>
      </c>
      <c r="AW2">
        <f>BDH("AMBIQ US Equity","PX_VOLUME","2020-07-30","2025-07-30","Per=M","Days=T","Dir=V")</f>
        <v>0</v>
      </c>
      <c r="AY2">
        <f>BDH("AMBIQ US Equity","TURNOVER","2020-07-30","2025-07-30","Per=M","Days=T","Dir=V")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BDH("SONDQ US Equity","BS_TOT_ASSET","2020-08-23","2025-08-23","Per=Y","Days=T","Dir=V")</f>
        <v>0</v>
      </c>
      <c r="C2">
        <f>BDH("SONDQ US Equity","BS_TOT_LIAB2","2020-08-23","2025-08-23","Per=Y","Days=T","Dir=V")</f>
        <v>0</v>
      </c>
      <c r="E2">
        <f>BDH("SONDQ US Equity","SHORT_AND_LONG_TERM_DEBT","2020-08-23","2025-08-23","Per=Y","Days=T","Dir=V")</f>
        <v>0</v>
      </c>
      <c r="G2">
        <f>BDH("SONDQ US Equity","BS_ST_BORROW","2020-08-23","2025-08-23","Per=Y","Days=T","Dir=V")</f>
        <v>0</v>
      </c>
      <c r="I2">
        <f>BDH("SONDQ US Equity","BS_LT_BORROW","2020-08-23","2025-08-23","Per=Y","Days=T","Dir=V")</f>
        <v>0</v>
      </c>
      <c r="K2">
        <f>BDH("SONDQ US Equity","BS_CASH_NEAR_CASH_ITEM","2020-08-23","2025-08-23","Per=Y","Days=T","Dir=V")</f>
        <v>0</v>
      </c>
      <c r="M2">
        <f>BDH("SONDQ US Equity","BS_CUR_ASSET_REPORT","2020-08-23","2025-08-23","Per=Y","Days=T","Dir=V")</f>
        <v>0</v>
      </c>
      <c r="O2">
        <f>BDH("SONDQ US Equity","BS_CUR_LIAB","2020-08-23","2025-08-23","Per=Y","Days=T","Dir=V")</f>
        <v>0</v>
      </c>
      <c r="Q2">
        <f>BDH("SONDQ US Equity","BS_SHAREHOLDER_EQY_ENDING_PERIOD","2020-08-23","2025-08-23","Per=Y","Days=T","Dir=V")</f>
        <v>0</v>
      </c>
      <c r="S2">
        <f>BDH("SONDQ US Equity","BS_ACCT_NOTE_RCV","2020-08-23","2025-08-23","Per=Y","Days=T","Dir=V")</f>
        <v>0</v>
      </c>
      <c r="U2">
        <f>BDH("SONDQ US Equity","BS_INVENTORIES","2020-08-23","2025-08-23","Per=Y","Days=T","Dir=V")</f>
        <v>0</v>
      </c>
      <c r="W2">
        <f>BDH("SONDQ US Equity","WORKING_CAPITAL","2020-08-23","2025-08-23","Per=Y","Days=T","Dir=V")</f>
        <v>0</v>
      </c>
      <c r="Y2">
        <f>BDH("SONDQ US Equity","SALES_REV_TURN","2020-08-23","2025-08-23","Per=Y","Days=T","Dir=V")</f>
        <v>0</v>
      </c>
      <c r="AA2">
        <f>BDH("SONDQ US Equity","EBIT","2020-08-23","2025-08-23","Per=Y","Days=T","Dir=V")</f>
        <v>0</v>
      </c>
      <c r="AC2">
        <f>BDH("SONDQ US Equity","EBITDA","2020-08-23","2025-08-23","Per=Y","Days=T","Dir=V")</f>
        <v>0</v>
      </c>
      <c r="AE2">
        <f>BDH("SONDQ US Equity","NET_INCOME","2020-08-23","2025-08-23","Per=Y","Days=T","Dir=V")</f>
        <v>0</v>
      </c>
      <c r="AG2">
        <f>BDH("SONDQ US Equity","IS_INT_EXPENSE","2020-08-23","2025-08-23","Per=Y","Days=T","Dir=V")</f>
        <v>0</v>
      </c>
      <c r="AI2">
        <f>BDH("SONDQ US Equity","IS_DEPR_EXP","2020-08-23","2025-08-23","Per=Y","Days=T","Dir=V")</f>
        <v>0</v>
      </c>
      <c r="AK2">
        <f>BDH("SONDQ US Equity","CF_CASH_FROM_OPER","2020-08-23","2025-08-23","Per=Y","Days=T","Dir=V")</f>
        <v>0</v>
      </c>
      <c r="AM2">
        <f>BDH("SONDQ US Equity","CAPITAL_EXPEND","2020-08-23","2025-08-23","Per=Y","Days=T","Dir=V")</f>
        <v>0</v>
      </c>
      <c r="AO2">
        <f>BDH("SONDQ US Equity","CF_FREE_CASH_FLOW","2020-08-23","2025-08-23","Per=Y","Days=T","Dir=V")</f>
        <v>0</v>
      </c>
      <c r="AQ2">
        <f>BDH("SONDQ US Equity","PX_LAST","2020-08-23","2025-08-23","Per=M","Days=T","Dir=V")</f>
        <v>0</v>
      </c>
      <c r="AS2">
        <f>BDH("SONDQ US Equity","CUR_MKT_CAP","2020-08-23","2025-08-23","Per=M","Days=T","Dir=V")</f>
        <v>0</v>
      </c>
      <c r="AU2">
        <f>BDH("SONDQ US Equity","EQY_SH_OUT","2020-08-23","2025-08-23","Per=M","Days=T","Dir=V")</f>
        <v>0</v>
      </c>
      <c r="AW2">
        <f>BDH("SONDQ US Equity","PX_VOLUME","2020-08-23","2025-08-23","Per=M","Days=T","Dir=V")</f>
        <v>0</v>
      </c>
      <c r="AY2">
        <f>BDH("SONDQ US Equity","TURNOVER","2020-08-23","2025-08-23","Per=M","Days=T","Dir=V")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BDH("NETC US Equity","BS_TOT_ASSET","2020-08-27","2025-08-27","Per=Y","Days=T","Dir=V")</f>
        <v>0</v>
      </c>
      <c r="C2">
        <f>BDH("NETC US Equity","BS_TOT_LIAB2","2020-08-27","2025-08-27","Per=Y","Days=T","Dir=V")</f>
        <v>0</v>
      </c>
      <c r="E2">
        <f>BDH("NETC US Equity","SHORT_AND_LONG_TERM_DEBT","2020-08-27","2025-08-27","Per=Y","Days=T","Dir=V")</f>
        <v>0</v>
      </c>
      <c r="G2">
        <f>BDH("NETC US Equity","BS_ST_BORROW","2020-08-27","2025-08-27","Per=Y","Days=T","Dir=V")</f>
        <v>0</v>
      </c>
      <c r="I2">
        <f>BDH("NETC US Equity","BS_LT_BORROW","2020-08-27","2025-08-27","Per=Y","Days=T","Dir=V")</f>
        <v>0</v>
      </c>
      <c r="K2">
        <f>BDH("NETC US Equity","BS_CASH_NEAR_CASH_ITEM","2020-08-27","2025-08-27","Per=Y","Days=T","Dir=V")</f>
        <v>0</v>
      </c>
      <c r="M2">
        <f>BDH("NETC US Equity","BS_CUR_ASSET_REPORT","2020-08-27","2025-08-27","Per=Y","Days=T","Dir=V")</f>
        <v>0</v>
      </c>
      <c r="O2">
        <f>BDH("NETC US Equity","BS_CUR_LIAB","2020-08-27","2025-08-27","Per=Y","Days=T","Dir=V")</f>
        <v>0</v>
      </c>
      <c r="Q2">
        <f>BDH("NETC US Equity","BS_SHAREHOLDER_EQY_ENDING_PERIOD","2020-08-27","2025-08-27","Per=Y","Days=T","Dir=V")</f>
        <v>0</v>
      </c>
      <c r="S2">
        <f>BDH("NETC US Equity","BS_ACCT_NOTE_RCV","2020-08-27","2025-08-27","Per=Y","Days=T","Dir=V")</f>
        <v>0</v>
      </c>
      <c r="U2">
        <f>BDH("NETC US Equity","BS_INVENTORIES","2020-08-27","2025-08-27","Per=Y","Days=T","Dir=V")</f>
        <v>0</v>
      </c>
      <c r="W2">
        <f>BDH("NETC US Equity","WORKING_CAPITAL","2020-08-27","2025-08-27","Per=Y","Days=T","Dir=V")</f>
        <v>0</v>
      </c>
      <c r="Y2">
        <f>BDH("NETC US Equity","SALES_REV_TURN","2020-08-27","2025-08-27","Per=Y","Days=T","Dir=V")</f>
        <v>0</v>
      </c>
      <c r="AA2">
        <f>BDH("NETC US Equity","EBIT","2020-08-27","2025-08-27","Per=Y","Days=T","Dir=V")</f>
        <v>0</v>
      </c>
      <c r="AC2">
        <f>BDH("NETC US Equity","EBITDA","2020-08-27","2025-08-27","Per=Y","Days=T","Dir=V")</f>
        <v>0</v>
      </c>
      <c r="AE2">
        <f>BDH("NETC US Equity","NET_INCOME","2020-08-27","2025-08-27","Per=Y","Days=T","Dir=V")</f>
        <v>0</v>
      </c>
      <c r="AG2">
        <f>BDH("NETC US Equity","IS_INT_EXPENSE","2020-08-27","2025-08-27","Per=Y","Days=T","Dir=V")</f>
        <v>0</v>
      </c>
      <c r="AI2">
        <f>BDH("NETC US Equity","IS_DEPR_EXP","2020-08-27","2025-08-27","Per=Y","Days=T","Dir=V")</f>
        <v>0</v>
      </c>
      <c r="AK2">
        <f>BDH("NETC US Equity","CF_CASH_FROM_OPER","2020-08-27","2025-08-27","Per=Y","Days=T","Dir=V")</f>
        <v>0</v>
      </c>
      <c r="AM2">
        <f>BDH("NETC US Equity","CAPITAL_EXPEND","2020-08-27","2025-08-27","Per=Y","Days=T","Dir=V")</f>
        <v>0</v>
      </c>
      <c r="AO2">
        <f>BDH("NETC US Equity","CF_FREE_CASH_FLOW","2020-08-27","2025-08-27","Per=Y","Days=T","Dir=V")</f>
        <v>0</v>
      </c>
      <c r="AQ2">
        <f>BDH("NETC US Equity","PX_LAST","2020-08-27","2025-08-27","Per=M","Days=T","Dir=V")</f>
        <v>0</v>
      </c>
      <c r="AS2">
        <f>BDH("NETC US Equity","CUR_MKT_CAP","2020-08-27","2025-08-27","Per=M","Days=T","Dir=V")</f>
        <v>0</v>
      </c>
      <c r="AU2">
        <f>BDH("NETC US Equity","EQY_SH_OUT","2020-08-27","2025-08-27","Per=M","Days=T","Dir=V")</f>
        <v>0</v>
      </c>
      <c r="AW2">
        <f>BDH("NETC US Equity","PX_VOLUME","2020-08-27","2025-08-27","Per=M","Days=T","Dir=V")</f>
        <v>0</v>
      </c>
      <c r="AY2">
        <f>BDH("NETC US Equity","TURNOVER","2020-08-27","2025-08-27","Per=M","Days=T","Dir=V")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BDH("GORV US Equity","BS_TOT_ASSET","2020-08-28","2025-08-28","Per=Y","Days=T","Dir=V")</f>
        <v>0</v>
      </c>
      <c r="C2">
        <f>BDH("GORV US Equity","BS_TOT_LIAB2","2020-08-28","2025-08-28","Per=Y","Days=T","Dir=V")</f>
        <v>0</v>
      </c>
      <c r="E2">
        <f>BDH("GORV US Equity","SHORT_AND_LONG_TERM_DEBT","2020-08-28","2025-08-28","Per=Y","Days=T","Dir=V")</f>
        <v>0</v>
      </c>
      <c r="G2">
        <f>BDH("GORV US Equity","BS_ST_BORROW","2020-08-28","2025-08-28","Per=Y","Days=T","Dir=V")</f>
        <v>0</v>
      </c>
      <c r="I2">
        <f>BDH("GORV US Equity","BS_LT_BORROW","2020-08-28","2025-08-28","Per=Y","Days=T","Dir=V")</f>
        <v>0</v>
      </c>
      <c r="K2">
        <f>BDH("GORV US Equity","BS_CASH_NEAR_CASH_ITEM","2020-08-28","2025-08-28","Per=Y","Days=T","Dir=V")</f>
        <v>0</v>
      </c>
      <c r="M2">
        <f>BDH("GORV US Equity","BS_CUR_ASSET_REPORT","2020-08-28","2025-08-28","Per=Y","Days=T","Dir=V")</f>
        <v>0</v>
      </c>
      <c r="O2">
        <f>BDH("GORV US Equity","BS_CUR_LIAB","2020-08-28","2025-08-28","Per=Y","Days=T","Dir=V")</f>
        <v>0</v>
      </c>
      <c r="Q2">
        <f>BDH("GORV US Equity","BS_SHAREHOLDER_EQY_ENDING_PERIOD","2020-08-28","2025-08-28","Per=Y","Days=T","Dir=V")</f>
        <v>0</v>
      </c>
      <c r="S2">
        <f>BDH("GORV US Equity","BS_ACCT_NOTE_RCV","2020-08-28","2025-08-28","Per=Y","Days=T","Dir=V")</f>
        <v>0</v>
      </c>
      <c r="U2">
        <f>BDH("GORV US Equity","BS_INVENTORIES","2020-08-28","2025-08-28","Per=Y","Days=T","Dir=V")</f>
        <v>0</v>
      </c>
      <c r="W2">
        <f>BDH("GORV US Equity","WORKING_CAPITAL","2020-08-28","2025-08-28","Per=Y","Days=T","Dir=V")</f>
        <v>0</v>
      </c>
      <c r="Y2">
        <f>BDH("GORV US Equity","SALES_REV_TURN","2020-08-28","2025-08-28","Per=Y","Days=T","Dir=V")</f>
        <v>0</v>
      </c>
      <c r="AA2">
        <f>BDH("GORV US Equity","EBIT","2020-08-28","2025-08-28","Per=Y","Days=T","Dir=V")</f>
        <v>0</v>
      </c>
      <c r="AC2">
        <f>BDH("GORV US Equity","EBITDA","2020-08-28","2025-08-28","Per=Y","Days=T","Dir=V")</f>
        <v>0</v>
      </c>
      <c r="AE2">
        <f>BDH("GORV US Equity","NET_INCOME","2020-08-28","2025-08-28","Per=Y","Days=T","Dir=V")</f>
        <v>0</v>
      </c>
      <c r="AG2">
        <f>BDH("GORV US Equity","IS_INT_EXPENSE","2020-08-28","2025-08-28","Per=Y","Days=T","Dir=V")</f>
        <v>0</v>
      </c>
      <c r="AI2">
        <f>BDH("GORV US Equity","IS_DEPR_EXP","2020-08-28","2025-08-28","Per=Y","Days=T","Dir=V")</f>
        <v>0</v>
      </c>
      <c r="AK2">
        <f>BDH("GORV US Equity","CF_CASH_FROM_OPER","2020-08-28","2025-08-28","Per=Y","Days=T","Dir=V")</f>
        <v>0</v>
      </c>
      <c r="AM2">
        <f>BDH("GORV US Equity","CAPITAL_EXPEND","2020-08-28","2025-08-28","Per=Y","Days=T","Dir=V")</f>
        <v>0</v>
      </c>
      <c r="AO2">
        <f>BDH("GORV US Equity","CF_FREE_CASH_FLOW","2020-08-28","2025-08-28","Per=Y","Days=T","Dir=V")</f>
        <v>0</v>
      </c>
      <c r="AQ2">
        <f>BDH("GORV US Equity","PX_LAST","2020-08-28","2025-08-28","Per=M","Days=T","Dir=V")</f>
        <v>0</v>
      </c>
      <c r="AS2">
        <f>BDH("GORV US Equity","CUR_MKT_CAP","2020-08-28","2025-08-28","Per=M","Days=T","Dir=V")</f>
        <v>0</v>
      </c>
      <c r="AU2">
        <f>BDH("GORV US Equity","EQY_SH_OUT","2020-08-28","2025-08-28","Per=M","Days=T","Dir=V")</f>
        <v>0</v>
      </c>
      <c r="AW2">
        <f>BDH("GORV US Equity","PX_VOLUME","2020-08-28","2025-08-28","Per=M","Days=T","Dir=V")</f>
        <v>0</v>
      </c>
      <c r="AY2">
        <f>BDH("GORV US Equity","TURNOVER","2020-08-28","2025-08-28","Per=M","Days=T","Dir=V")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BDH("CLSDQ US Equity","BS_TOT_ASSET","2020-08-30","2025-08-30","Per=Y","Days=T","Dir=V")</f>
        <v>0</v>
      </c>
      <c r="C2">
        <f>BDH("CLSDQ US Equity","BS_TOT_LIAB2","2020-08-30","2025-08-30","Per=Y","Days=T","Dir=V")</f>
        <v>0</v>
      </c>
      <c r="E2">
        <f>BDH("CLSDQ US Equity","SHORT_AND_LONG_TERM_DEBT","2020-08-30","2025-08-30","Per=Y","Days=T","Dir=V")</f>
        <v>0</v>
      </c>
      <c r="G2">
        <f>BDH("CLSDQ US Equity","BS_ST_BORROW","2020-08-30","2025-08-30","Per=Y","Days=T","Dir=V")</f>
        <v>0</v>
      </c>
      <c r="I2">
        <f>BDH("CLSDQ US Equity","BS_LT_BORROW","2020-08-30","2025-08-30","Per=Y","Days=T","Dir=V")</f>
        <v>0</v>
      </c>
      <c r="K2">
        <f>BDH("CLSDQ US Equity","BS_CASH_NEAR_CASH_ITEM","2020-08-30","2025-08-30","Per=Y","Days=T","Dir=V")</f>
        <v>0</v>
      </c>
      <c r="M2">
        <f>BDH("CLSDQ US Equity","BS_CUR_ASSET_REPORT","2020-08-30","2025-08-30","Per=Y","Days=T","Dir=V")</f>
        <v>0</v>
      </c>
      <c r="O2">
        <f>BDH("CLSDQ US Equity","BS_CUR_LIAB","2020-08-30","2025-08-30","Per=Y","Days=T","Dir=V")</f>
        <v>0</v>
      </c>
      <c r="Q2">
        <f>BDH("CLSDQ US Equity","BS_SHAREHOLDER_EQY_ENDING_PERIOD","2020-08-30","2025-08-30","Per=Y","Days=T","Dir=V")</f>
        <v>0</v>
      </c>
      <c r="S2">
        <f>BDH("CLSDQ US Equity","BS_ACCT_NOTE_RCV","2020-08-30","2025-08-30","Per=Y","Days=T","Dir=V")</f>
        <v>0</v>
      </c>
      <c r="U2">
        <f>BDH("CLSDQ US Equity","BS_INVENTORIES","2020-08-30","2025-08-30","Per=Y","Days=T","Dir=V")</f>
        <v>0</v>
      </c>
      <c r="W2">
        <f>BDH("CLSDQ US Equity","WORKING_CAPITAL","2020-08-30","2025-08-30","Per=Y","Days=T","Dir=V")</f>
        <v>0</v>
      </c>
      <c r="Y2">
        <f>BDH("CLSDQ US Equity","SALES_REV_TURN","2020-08-30","2025-08-30","Per=Y","Days=T","Dir=V")</f>
        <v>0</v>
      </c>
      <c r="AA2">
        <f>BDH("CLSDQ US Equity","EBIT","2020-08-30","2025-08-30","Per=Y","Days=T","Dir=V")</f>
        <v>0</v>
      </c>
      <c r="AC2">
        <f>BDH("CLSDQ US Equity","EBITDA","2020-08-30","2025-08-30","Per=Y","Days=T","Dir=V")</f>
        <v>0</v>
      </c>
      <c r="AE2">
        <f>BDH("CLSDQ US Equity","NET_INCOME","2020-08-30","2025-08-30","Per=Y","Days=T","Dir=V")</f>
        <v>0</v>
      </c>
      <c r="AG2">
        <f>BDH("CLSDQ US Equity","IS_INT_EXPENSE","2020-08-30","2025-08-30","Per=Y","Days=T","Dir=V")</f>
        <v>0</v>
      </c>
      <c r="AI2">
        <f>BDH("CLSDQ US Equity","IS_DEPR_EXP","2020-08-30","2025-08-30","Per=Y","Days=T","Dir=V")</f>
        <v>0</v>
      </c>
      <c r="AK2">
        <f>BDH("CLSDQ US Equity","CF_CASH_FROM_OPER","2020-08-30","2025-08-30","Per=Y","Days=T","Dir=V")</f>
        <v>0</v>
      </c>
      <c r="AM2">
        <f>BDH("CLSDQ US Equity","CAPITAL_EXPEND","2020-08-30","2025-08-30","Per=Y","Days=T","Dir=V")</f>
        <v>0</v>
      </c>
      <c r="AO2">
        <f>BDH("CLSDQ US Equity","CF_FREE_CASH_FLOW","2020-08-30","2025-08-30","Per=Y","Days=T","Dir=V")</f>
        <v>0</v>
      </c>
      <c r="AQ2">
        <f>BDH("CLSDQ US Equity","PX_LAST","2020-08-30","2025-08-30","Per=M","Days=T","Dir=V")</f>
        <v>0</v>
      </c>
      <c r="AS2">
        <f>BDH("CLSDQ US Equity","CUR_MKT_CAP","2020-08-30","2025-08-30","Per=M","Days=T","Dir=V")</f>
        <v>0</v>
      </c>
      <c r="AU2">
        <f>BDH("CLSDQ US Equity","EQY_SH_OUT","2020-08-30","2025-08-30","Per=M","Days=T","Dir=V")</f>
        <v>0</v>
      </c>
      <c r="AW2">
        <f>BDH("CLSDQ US Equity","PX_VOLUME","2020-08-30","2025-08-30","Per=M","Days=T","Dir=V")</f>
        <v>0</v>
      </c>
      <c r="AY2">
        <f>BDH("CLSDQ US Equity","TURNOVER","2020-08-30","2025-08-30","Per=M","Days=T","Dir=V")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BDH("BLMZF US Equity","BS_TOT_ASSET","2020-09-13","2025-09-13","Per=Y","Days=T","Dir=V")</f>
        <v>0</v>
      </c>
      <c r="C2">
        <f>BDH("BLMZF US Equity","BS_TOT_LIAB2","2020-09-13","2025-09-13","Per=Y","Days=T","Dir=V")</f>
        <v>0</v>
      </c>
      <c r="E2">
        <f>BDH("BLMZF US Equity","SHORT_AND_LONG_TERM_DEBT","2020-09-13","2025-09-13","Per=Y","Days=T","Dir=V")</f>
        <v>0</v>
      </c>
      <c r="G2">
        <f>BDH("BLMZF US Equity","BS_ST_BORROW","2020-09-13","2025-09-13","Per=Y","Days=T","Dir=V")</f>
        <v>0</v>
      </c>
      <c r="I2">
        <f>BDH("BLMZF US Equity","BS_LT_BORROW","2020-09-13","2025-09-13","Per=Y","Days=T","Dir=V")</f>
        <v>0</v>
      </c>
      <c r="K2">
        <f>BDH("BLMZF US Equity","BS_CASH_NEAR_CASH_ITEM","2020-09-13","2025-09-13","Per=Y","Days=T","Dir=V")</f>
        <v>0</v>
      </c>
      <c r="M2">
        <f>BDH("BLMZF US Equity","BS_CUR_ASSET_REPORT","2020-09-13","2025-09-13","Per=Y","Days=T","Dir=V")</f>
        <v>0</v>
      </c>
      <c r="O2">
        <f>BDH("BLMZF US Equity","BS_CUR_LIAB","2020-09-13","2025-09-13","Per=Y","Days=T","Dir=V")</f>
        <v>0</v>
      </c>
      <c r="Q2">
        <f>BDH("BLMZF US Equity","BS_SHAREHOLDER_EQY_ENDING_PERIOD","2020-09-13","2025-09-13","Per=Y","Days=T","Dir=V")</f>
        <v>0</v>
      </c>
      <c r="S2">
        <f>BDH("BLMZF US Equity","BS_ACCT_NOTE_RCV","2020-09-13","2025-09-13","Per=Y","Days=T","Dir=V")</f>
        <v>0</v>
      </c>
      <c r="U2">
        <f>BDH("BLMZF US Equity","BS_INVENTORIES","2020-09-13","2025-09-13","Per=Y","Days=T","Dir=V")</f>
        <v>0</v>
      </c>
      <c r="W2">
        <f>BDH("BLMZF US Equity","WORKING_CAPITAL","2020-09-13","2025-09-13","Per=Y","Days=T","Dir=V")</f>
        <v>0</v>
      </c>
      <c r="Y2">
        <f>BDH("BLMZF US Equity","SALES_REV_TURN","2020-09-13","2025-09-13","Per=Y","Days=T","Dir=V")</f>
        <v>0</v>
      </c>
      <c r="AA2">
        <f>BDH("BLMZF US Equity","EBIT","2020-09-13","2025-09-13","Per=Y","Days=T","Dir=V")</f>
        <v>0</v>
      </c>
      <c r="AC2">
        <f>BDH("BLMZF US Equity","EBITDA","2020-09-13","2025-09-13","Per=Y","Days=T","Dir=V")</f>
        <v>0</v>
      </c>
      <c r="AE2">
        <f>BDH("BLMZF US Equity","NET_INCOME","2020-09-13","2025-09-13","Per=Y","Days=T","Dir=V")</f>
        <v>0</v>
      </c>
      <c r="AG2">
        <f>BDH("BLMZF US Equity","IS_INT_EXPENSE","2020-09-13","2025-09-13","Per=Y","Days=T","Dir=V")</f>
        <v>0</v>
      </c>
      <c r="AI2">
        <f>BDH("BLMZF US Equity","IS_DEPR_EXP","2020-09-13","2025-09-13","Per=Y","Days=T","Dir=V")</f>
        <v>0</v>
      </c>
      <c r="AK2">
        <f>BDH("BLMZF US Equity","CF_CASH_FROM_OPER","2020-09-13","2025-09-13","Per=Y","Days=T","Dir=V")</f>
        <v>0</v>
      </c>
      <c r="AM2">
        <f>BDH("BLMZF US Equity","CAPITAL_EXPEND","2020-09-13","2025-09-13","Per=Y","Days=T","Dir=V")</f>
        <v>0</v>
      </c>
      <c r="AO2">
        <f>BDH("BLMZF US Equity","CF_FREE_CASH_FLOW","2020-09-13","2025-09-13","Per=Y","Days=T","Dir=V")</f>
        <v>0</v>
      </c>
      <c r="AQ2">
        <f>BDH("BLMZF US Equity","PX_LAST","2020-09-13","2025-09-13","Per=M","Days=T","Dir=V")</f>
        <v>0</v>
      </c>
      <c r="AS2">
        <f>BDH("BLMZF US Equity","CUR_MKT_CAP","2020-09-13","2025-09-13","Per=M","Days=T","Dir=V")</f>
        <v>0</v>
      </c>
      <c r="AU2">
        <f>BDH("BLMZF US Equity","EQY_SH_OUT","2020-09-13","2025-09-13","Per=M","Days=T","Dir=V")</f>
        <v>0</v>
      </c>
      <c r="AW2">
        <f>BDH("BLMZF US Equity","PX_VOLUME","2020-09-13","2025-09-13","Per=M","Days=T","Dir=V")</f>
        <v>0</v>
      </c>
      <c r="AY2">
        <f>BDH("BLMZF US Equity","TURNOVER","2020-09-13","2025-09-13","Per=M","Days=T","Dir=V")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</row>
    <row r="2" spans="1:52">
      <c r="A2">
        <f>BDH("IRBTQ US Equity","BS_TOT_ASSET","2020-09-20","2025-09-20","Per=Y","Days=T","Dir=V")</f>
        <v>0</v>
      </c>
      <c r="C2">
        <f>BDH("IRBTQ US Equity","BS_TOT_LIAB2","2020-09-20","2025-09-20","Per=Y","Days=T","Dir=V")</f>
        <v>0</v>
      </c>
      <c r="E2">
        <f>BDH("IRBTQ US Equity","SHORT_AND_LONG_TERM_DEBT","2020-09-20","2025-09-20","Per=Y","Days=T","Dir=V")</f>
        <v>0</v>
      </c>
      <c r="G2">
        <f>BDH("IRBTQ US Equity","BS_ST_BORROW","2020-09-20","2025-09-20","Per=Y","Days=T","Dir=V")</f>
        <v>0</v>
      </c>
      <c r="I2">
        <f>BDH("IRBTQ US Equity","BS_LT_BORROW","2020-09-20","2025-09-20","Per=Y","Days=T","Dir=V")</f>
        <v>0</v>
      </c>
      <c r="K2">
        <f>BDH("IRBTQ US Equity","BS_CASH_NEAR_CASH_ITEM","2020-09-20","2025-09-20","Per=Y","Days=T","Dir=V")</f>
        <v>0</v>
      </c>
      <c r="M2">
        <f>BDH("IRBTQ US Equity","BS_CUR_ASSET_REPORT","2020-09-20","2025-09-20","Per=Y","Days=T","Dir=V")</f>
        <v>0</v>
      </c>
      <c r="O2">
        <f>BDH("IRBTQ US Equity","BS_CUR_LIAB","2020-09-20","2025-09-20","Per=Y","Days=T","Dir=V")</f>
        <v>0</v>
      </c>
      <c r="Q2">
        <f>BDH("IRBTQ US Equity","BS_SHAREHOLDER_EQY_ENDING_PERIOD","2020-09-20","2025-09-20","Per=Y","Days=T","Dir=V")</f>
        <v>0</v>
      </c>
      <c r="S2">
        <f>BDH("IRBTQ US Equity","BS_ACCT_NOTE_RCV","2020-09-20","2025-09-20","Per=Y","Days=T","Dir=V")</f>
        <v>0</v>
      </c>
      <c r="U2">
        <f>BDH("IRBTQ US Equity","BS_INVENTORIES","2020-09-20","2025-09-20","Per=Y","Days=T","Dir=V")</f>
        <v>0</v>
      </c>
      <c r="W2">
        <f>BDH("IRBTQ US Equity","WORKING_CAPITAL","2020-09-20","2025-09-20","Per=Y","Days=T","Dir=V")</f>
        <v>0</v>
      </c>
      <c r="Y2">
        <f>BDH("IRBTQ US Equity","SALES_REV_TURN","2020-09-20","2025-09-20","Per=Y","Days=T","Dir=V")</f>
        <v>0</v>
      </c>
      <c r="AA2">
        <f>BDH("IRBTQ US Equity","EBIT","2020-09-20","2025-09-20","Per=Y","Days=T","Dir=V")</f>
        <v>0</v>
      </c>
      <c r="AC2">
        <f>BDH("IRBTQ US Equity","EBITDA","2020-09-20","2025-09-20","Per=Y","Days=T","Dir=V")</f>
        <v>0</v>
      </c>
      <c r="AE2">
        <f>BDH("IRBTQ US Equity","NET_INCOME","2020-09-20","2025-09-20","Per=Y","Days=T","Dir=V")</f>
        <v>0</v>
      </c>
      <c r="AG2">
        <f>BDH("IRBTQ US Equity","IS_INT_EXPENSE","2020-09-20","2025-09-20","Per=Y","Days=T","Dir=V")</f>
        <v>0</v>
      </c>
      <c r="AI2">
        <f>BDH("IRBTQ US Equity","IS_DEPR_EXP","2020-09-20","2025-09-20","Per=Y","Days=T","Dir=V")</f>
        <v>0</v>
      </c>
      <c r="AK2">
        <f>BDH("IRBTQ US Equity","CF_CASH_FROM_OPER","2020-09-20","2025-09-20","Per=Y","Days=T","Dir=V")</f>
        <v>0</v>
      </c>
      <c r="AM2">
        <f>BDH("IRBTQ US Equity","CAPITAL_EXPEND","2020-09-20","2025-09-20","Per=Y","Days=T","Dir=V")</f>
        <v>0</v>
      </c>
      <c r="AO2">
        <f>BDH("IRBTQ US Equity","CF_FREE_CASH_FLOW","2020-09-20","2025-09-20","Per=Y","Days=T","Dir=V")</f>
        <v>0</v>
      </c>
      <c r="AQ2">
        <f>BDH("IRBTQ US Equity","PX_LAST","2020-09-20","2025-09-20","Per=M","Days=T","Dir=V")</f>
        <v>0</v>
      </c>
      <c r="AS2">
        <f>BDH("IRBTQ US Equity","CUR_MKT_CAP","2020-09-20","2025-09-20","Per=M","Days=T","Dir=V")</f>
        <v>0</v>
      </c>
      <c r="AU2">
        <f>BDH("IRBTQ US Equity","EQY_SH_OUT","2020-09-20","2025-09-20","Per=M","Days=T","Dir=V")</f>
        <v>0</v>
      </c>
      <c r="AW2">
        <f>BDH("IRBTQ US Equity","PX_VOLUME","2020-09-20","2025-09-20","Per=M","Days=T","Dir=V")</f>
        <v>0</v>
      </c>
      <c r="AY2">
        <f>BDH("IRBTQ US Equity","TURNOVER","2020-09-20","2025-09-20","Per=M","Days=T","Dir=V")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SA_222_Sun Television and Appli</vt:lpstr>
      <vt:lpstr>SA_187_Boston Chicken, Inc.</vt:lpstr>
      <vt:lpstr>SA_135_JumboSports, Inc.</vt:lpstr>
      <vt:lpstr>SA_4_Salant Corp. (1998)</vt:lpstr>
      <vt:lpstr>SA_26_Wireless One, Inc.</vt:lpstr>
      <vt:lpstr>SA_172_Penn Traffic Co (1999)</vt:lpstr>
      <vt:lpstr>SA_80_Service Merchandise Compa</vt:lpstr>
      <vt:lpstr>SA_134_Costilla Energy, Inc.</vt:lpstr>
      <vt:lpstr>SA_52_Trism, Inc.</vt:lpstr>
      <vt:lpstr>SA_145_Just For Feet, Inc.</vt:lpstr>
      <vt:lpstr>SA_75_Tultex Corporation</vt:lpstr>
      <vt:lpstr>SA_234_American Banknote Corpor</vt:lpstr>
      <vt:lpstr>SA_59_Mariner Post-Acute Networ</vt:lpstr>
      <vt:lpstr>SA_263_Kitty Hawk, Inc.</vt:lpstr>
      <vt:lpstr>SA_130_System Software Associat</vt:lpstr>
      <vt:lpstr>SA_9_Coram Healthcare Corp.</vt:lpstr>
      <vt:lpstr>SA_51_Owens Corning</vt:lpstr>
      <vt:lpstr>SA_215_CareMatrix Corp.</vt:lpstr>
      <vt:lpstr>SA_173_ICG Communications, Inc.</vt:lpstr>
      <vt:lpstr>SA_280_Northwestern Steel &amp; Wir</vt:lpstr>
      <vt:lpstr>SA_90_Pacific Gateway Exchange,</vt:lpstr>
      <vt:lpstr>SA_143_PSINet Inc.</vt:lpstr>
      <vt:lpstr>SA_162_Federal-Mogul Corporatio</vt:lpstr>
      <vt:lpstr>SA_176_ANC Rental Corp.</vt:lpstr>
      <vt:lpstr>SA_220_Classic Communications, </vt:lpstr>
      <vt:lpstr>SA_238_Burlington Industries, I</vt:lpstr>
      <vt:lpstr>SA_10_Valley Media Inc.</vt:lpstr>
      <vt:lpstr>SA_290_Hayes Lemmerz Internatio</vt:lpstr>
      <vt:lpstr>SA_84_Startec Global Communicat</vt:lpstr>
      <vt:lpstr>SA_160_IT Group, Inc.</vt:lpstr>
      <vt:lpstr>SA_99_Verado Holdings, Inc.</vt:lpstr>
      <vt:lpstr>SA_77_Kellstrom Industries, Inc</vt:lpstr>
      <vt:lpstr>SA_240_National Steel Corp.</vt:lpstr>
      <vt:lpstr>SA_3_U.S. Aggregates, Inc.</vt:lpstr>
      <vt:lpstr>SA_219_Anchor Glass Container C</vt:lpstr>
      <vt:lpstr>SA_118_Metromedia Fiber Network</vt:lpstr>
      <vt:lpstr>SA_308_Pentacon Inc.</vt:lpstr>
      <vt:lpstr>SA_131_Birmingham Steel Corp.</vt:lpstr>
      <vt:lpstr>SA_36_NewPower Holdings, Inc.</vt:lpstr>
      <vt:lpstr>SA_253_US Airways Group, Inc. (</vt:lpstr>
      <vt:lpstr>SA_223_Consolidated Freightways</vt:lpstr>
      <vt:lpstr>SA_45_Genuity Inc.</vt:lpstr>
      <vt:lpstr>SA_58_Seven Seas Petroleum, Inc</vt:lpstr>
      <vt:lpstr>SA_271_Spiegel Inc.</vt:lpstr>
      <vt:lpstr>SA_22_SONICblue, Inc.</vt:lpstr>
      <vt:lpstr>SA_166_Fleming Companies, Inc.</vt:lpstr>
      <vt:lpstr>SA_235_Acterna Corp.</vt:lpstr>
      <vt:lpstr>SA_178_DaisyTek International C</vt:lpstr>
      <vt:lpstr>SA_277_Mississippi Chemical Cor</vt:lpstr>
      <vt:lpstr>SA_140_Read-Rite Corp.</vt:lpstr>
      <vt:lpstr>SA_105_National Equipment Servi</vt:lpstr>
      <vt:lpstr>SA_203_Crown Pacific Partners L</vt:lpstr>
      <vt:lpstr>SA_117_DDI Corp.</vt:lpstr>
      <vt:lpstr>SA_68_NorthWestern Corporation</vt:lpstr>
      <vt:lpstr>SA_251_Cone Mills Corp</vt:lpstr>
      <vt:lpstr>SA_47_Rouge Industries, Inc.</vt:lpstr>
      <vt:lpstr>SA_136_Atlas Air Worldwide Hold</vt:lpstr>
      <vt:lpstr>SA_0_Avado Brands Inc.</vt:lpstr>
      <vt:lpstr>SA_268_RCN Corporation</vt:lpstr>
      <vt:lpstr>SA_13_Choice One Communications</vt:lpstr>
      <vt:lpstr>SA_70_Huffy Corp.</vt:lpstr>
      <vt:lpstr>SA_165_ATA Holdings Corp.</vt:lpstr>
      <vt:lpstr>SA_287_Amcast Industrial Corpor</vt:lpstr>
      <vt:lpstr>SA_206_Trico Marine Services, I</vt:lpstr>
      <vt:lpstr>SA_207_Falcon Products, Inc.</vt:lpstr>
      <vt:lpstr>SA_182_Tower Automotive, Inc.</vt:lpstr>
      <vt:lpstr>SA_53_Winn-Dixie Stores, Inc.</vt:lpstr>
      <vt:lpstr>SA_158_WHX Corporation</vt:lpstr>
      <vt:lpstr>SA_88_Collins &amp; Aikman Corporat</vt:lpstr>
      <vt:lpstr>SA_120_Allied Holdings, Inc.</vt:lpstr>
      <vt:lpstr>SA_267_Delta Air Lines, Inc.</vt:lpstr>
      <vt:lpstr>SA_5_Northwest Airlines Corpora</vt:lpstr>
      <vt:lpstr>SA_79_FLYi, Inc.</vt:lpstr>
      <vt:lpstr>SA_190_Global Power Equipment G</vt:lpstr>
      <vt:lpstr>SA_71_Granite Broadcasting Corp</vt:lpstr>
      <vt:lpstr>SA_49_Hancock Fabrics, Inc.</vt:lpstr>
      <vt:lpstr>SA_93_Pope &amp; Talbot, Inc.</vt:lpstr>
      <vt:lpstr>SA_39_TOUSA, Inc.</vt:lpstr>
      <vt:lpstr>SA_153_MPC Corporation</vt:lpstr>
      <vt:lpstr>SA_211_BearingPoint, Inc.</vt:lpstr>
      <vt:lpstr>SA_27_Journal Register Company</vt:lpstr>
      <vt:lpstr>SA_171_Chemtura Corporation</vt:lpstr>
      <vt:lpstr>SA_243_Charter Communications, </vt:lpstr>
      <vt:lpstr>SA_309_Idearc Inc.</vt:lpstr>
      <vt:lpstr>SA_115_Dayton Superior Corporat</vt:lpstr>
      <vt:lpstr>SA_7_Asyst Technologies, Inc.</vt:lpstr>
      <vt:lpstr>SA_129_Visteon Corporation</vt:lpstr>
      <vt:lpstr>SA_202_R.H. Donnelley Corporati</vt:lpstr>
      <vt:lpstr>SA_102_Lear Corporation</vt:lpstr>
      <vt:lpstr>SA_78_Barzel Industries Inc.</vt:lpstr>
      <vt:lpstr>SA_248_Edge Petroleum Corporati</vt:lpstr>
      <vt:lpstr>SA_164_Champion Enterprises, In</vt:lpstr>
      <vt:lpstr>SA_106_Neff Corp.</vt:lpstr>
      <vt:lpstr>SA_40_Blockbuster Inc.</vt:lpstr>
      <vt:lpstr>SA_57_Seahawk Drilling, Inc.</vt:lpstr>
      <vt:lpstr>SA_209_Jackson Hewitt Tax Servi</vt:lpstr>
      <vt:lpstr>SA_266_ShengdaTech, Inc.</vt:lpstr>
      <vt:lpstr>SA_307_Syms Corp.</vt:lpstr>
      <vt:lpstr>SA_186_Dynegy Holdings, LLC</vt:lpstr>
      <vt:lpstr>SA_274_Trident Microsystems, In</vt:lpstr>
      <vt:lpstr>SA_64_Energy Conversion Devices</vt:lpstr>
      <vt:lpstr>SA_113_Reddy Ice Holdings, Inc.</vt:lpstr>
      <vt:lpstr>SA_34_FiberTower Corporation</vt:lpstr>
      <vt:lpstr>SA_29_ATP Oil &amp; Gas Corporation</vt:lpstr>
      <vt:lpstr>SA_65_Overseas Shipholding Grou</vt:lpstr>
      <vt:lpstr>SA_72_School Specialty, Inc.</vt:lpstr>
      <vt:lpstr>SA_74_Powerwave Technologies, I</vt:lpstr>
      <vt:lpstr>SA_18_Rotech Healthcare Inc.</vt:lpstr>
      <vt:lpstr>SA_265_Hoku Corporation</vt:lpstr>
      <vt:lpstr>SA_205_FriendFinder Networks In</vt:lpstr>
      <vt:lpstr>SA_161_GateHouse Media, Inc.</vt:lpstr>
      <vt:lpstr>SA_41_Dolan Company</vt:lpstr>
      <vt:lpstr>SA_137_Coldwater Creek Inc.</vt:lpstr>
      <vt:lpstr>SA_76_RadioShack Corporation</vt:lpstr>
      <vt:lpstr>SA_191_Cal Dive International, </vt:lpstr>
      <vt:lpstr>SA_149_Standard Register Compan</vt:lpstr>
      <vt:lpstr>SA_6_Quicksilver Resources Inc.</vt:lpstr>
      <vt:lpstr>SA_189_Corinthian Colleges, Inc</vt:lpstr>
      <vt:lpstr>SA_272_Molycorp, Inc.</vt:lpstr>
      <vt:lpstr>SA_44_Walter Energy, Inc.</vt:lpstr>
      <vt:lpstr>SA_82_Sabine Oil &amp; Gas Corporat</vt:lpstr>
      <vt:lpstr>SA_221_Alpha Natural Resources,</vt:lpstr>
      <vt:lpstr>SA_154_Hercules Offshore, Inc.</vt:lpstr>
      <vt:lpstr>SA_33_Arch Coal, Inc.</vt:lpstr>
      <vt:lpstr>SA_276_Noranda Aluminum Holding</vt:lpstr>
      <vt:lpstr>SA_174_Republic Airways Holding</vt:lpstr>
      <vt:lpstr>SA_55_SunEdison, Inc.</vt:lpstr>
      <vt:lpstr>SA_116_Ultra Petroleum Corp. (2</vt:lpstr>
      <vt:lpstr>SA_180_Fairway Group Holdings C</vt:lpstr>
      <vt:lpstr>SA_224_Aeropostale, Inc.</vt:lpstr>
      <vt:lpstr>SA_256_Breitburn Energy Partner</vt:lpstr>
      <vt:lpstr>SA_282_SandRidge Energy, Inc.</vt:lpstr>
      <vt:lpstr>SA_109_Seventy Seven Energy Inc</vt:lpstr>
      <vt:lpstr>SA_192_Halcon Resources Corpora</vt:lpstr>
      <vt:lpstr>SA_304_International Shipholdin</vt:lpstr>
      <vt:lpstr>SA_81_ITT Educational Services,</vt:lpstr>
      <vt:lpstr>SA_14_Basic Energy Services, In</vt:lpstr>
      <vt:lpstr>SA_257_Memorial Production Part</vt:lpstr>
      <vt:lpstr>SA_83_Azure Midstream Partners,</vt:lpstr>
      <vt:lpstr>SA_15_Nuverra Environmental Sol</vt:lpstr>
      <vt:lpstr>SA_159_GulfMark Offshore, Inc.</vt:lpstr>
      <vt:lpstr>SA_236_Perfumania Holdings, Inc</vt:lpstr>
      <vt:lpstr>SA_35_Cumulus Media Inc.</vt:lpstr>
      <vt:lpstr>SA_292_Cobalt International Ene</vt:lpstr>
      <vt:lpstr>SA_62_Rentech, Inc.</vt:lpstr>
      <vt:lpstr>SA_232_EXCO Resources, Inc.</vt:lpstr>
      <vt:lpstr>SA_151_Cenveo, Inc.</vt:lpstr>
      <vt:lpstr>SA_250_Orexigen Therapeutics, I</vt:lpstr>
      <vt:lpstr>SA_46_Rex Energy Corporation</vt:lpstr>
      <vt:lpstr>SA_288_Sears Holdings Corporati</vt:lpstr>
      <vt:lpstr>SA_112_Gastar Exploration Inc.</vt:lpstr>
      <vt:lpstr>SA_199_Parker Drilling Company</vt:lpstr>
      <vt:lpstr>SA_289_Windstream Holdings, Inc</vt:lpstr>
      <vt:lpstr>SA_69_PHI, Inc.</vt:lpstr>
      <vt:lpstr>SA_194_Orchids Paper Products C</vt:lpstr>
      <vt:lpstr>SA_227_Jones Energy, Inc.</vt:lpstr>
      <vt:lpstr>SA_50_Cloud Peak Energy Inc.</vt:lpstr>
      <vt:lpstr>SA_193_Bristow Group Inc.</vt:lpstr>
      <vt:lpstr>SA_218_Legacy Reserves Inc.</vt:lpstr>
      <vt:lpstr>SA_241_Sanchez Energy Corporati</vt:lpstr>
      <vt:lpstr>SA_104_EP Energy Corporation (E</vt:lpstr>
      <vt:lpstr>SA_270_Nobilis Health Corp.</vt:lpstr>
      <vt:lpstr>SA_2_Approach Resources Inc.</vt:lpstr>
      <vt:lpstr>SA_119_McDermott International,</vt:lpstr>
      <vt:lpstr>SA_252_Pier 1 Imports, Inc.</vt:lpstr>
      <vt:lpstr>SA_214_Foresight Energy LP</vt:lpstr>
      <vt:lpstr>SA_262_Quorum Health Corporatio</vt:lpstr>
      <vt:lpstr>SA_198_Centric Brands Inc.</vt:lpstr>
      <vt:lpstr>SA_56_Hornbeck Offshore Service</vt:lpstr>
      <vt:lpstr>SA_144_Akorn, Inc.</vt:lpstr>
      <vt:lpstr>SA_298_Tuesday Morning Corporat</vt:lpstr>
      <vt:lpstr>SA_31_Libbey Inc.</vt:lpstr>
      <vt:lpstr>SA_188_Pyxus International, Inc</vt:lpstr>
      <vt:lpstr>SA_231_AAC Holdings, Inc.</vt:lpstr>
      <vt:lpstr>SA_8_GNC Holdings, Inc.</vt:lpstr>
      <vt:lpstr>SA_286_Jason Industries, Inc.</vt:lpstr>
      <vt:lpstr>SA_100_Covia Holdings Corporati</vt:lpstr>
      <vt:lpstr>SA_95_Hi-Crush Inc.</vt:lpstr>
      <vt:lpstr>SA_244_California Resources Cor</vt:lpstr>
      <vt:lpstr>SA_38_Rosehill Resources Inc.</vt:lpstr>
      <vt:lpstr>SA_226_Tailored Brands, Inc.</vt:lpstr>
      <vt:lpstr>SA_111_Lonestar Resources US In</vt:lpstr>
      <vt:lpstr>SA_54_Sequential Brands Group, </vt:lpstr>
      <vt:lpstr>SA_11_Clovis Oncology, Inc.</vt:lpstr>
      <vt:lpstr>SA_184_2u Inc</vt:lpstr>
      <vt:lpstr>SA_156_Vbi Vaccines Inc</vt:lpstr>
      <vt:lpstr>SA_294_Ll Flooring Holdings Inc</vt:lpstr>
      <vt:lpstr>SA_303_Sunpower Corp</vt:lpstr>
      <vt:lpstr>SA_275_Meta Materials Inc</vt:lpstr>
      <vt:lpstr>SA_200_Big Lots Inc</vt:lpstr>
      <vt:lpstr>SA_21_Tupperware Brands Corp</vt:lpstr>
      <vt:lpstr>SA_24_Edgio Inc</vt:lpstr>
      <vt:lpstr>SA_48_Bright Green Corp</vt:lpstr>
      <vt:lpstr>SA_60_Smart For Life Inc</vt:lpstr>
      <vt:lpstr>SA_230_Burgerfi International I</vt:lpstr>
      <vt:lpstr>SA_73_Enviva Inc</vt:lpstr>
      <vt:lpstr>SA_42_Vertex Energy Inc</vt:lpstr>
      <vt:lpstr>SA_30_Gritstone Bio Inc</vt:lpstr>
      <vt:lpstr>SA_208_Vicinity Motor Corp</vt:lpstr>
      <vt:lpstr>SA_132_Spirit Airlines Inc</vt:lpstr>
      <vt:lpstr>SA_242_Gaucho Group Holdings In</vt:lpstr>
      <vt:lpstr>SA_133_Caremax Inc</vt:lpstr>
      <vt:lpstr>SA_110_Englobal Corp</vt:lpstr>
      <vt:lpstr>SA_157_Mondee Holdings Inc</vt:lpstr>
      <vt:lpstr>SA_181_Container Store Group In</vt:lpstr>
      <vt:lpstr>SA_67_Tff Pharmaceuticals Inc</vt:lpstr>
      <vt:lpstr>SA_177_Akoustis Technologies In</vt:lpstr>
      <vt:lpstr>SA_281_Lion Electric Co.</vt:lpstr>
      <vt:lpstr>SA_213_Blue Star Foods Corp</vt:lpstr>
      <vt:lpstr>SA_259_Molecular Templates Inc</vt:lpstr>
      <vt:lpstr>SA_258_Danimer Scientific Inc</vt:lpstr>
      <vt:lpstr>SA_175_Ilearningengines Inc</vt:lpstr>
      <vt:lpstr>SA_124_Canoo Inc</vt:lpstr>
      <vt:lpstr>SA_233_Hyzon Motors Inc</vt:lpstr>
      <vt:lpstr>SA_260_Avinger Inc</vt:lpstr>
      <vt:lpstr>SA_261_Bio-path Holdings Inc</vt:lpstr>
      <vt:lpstr>SA_170_Omega Therapeutics Inc</vt:lpstr>
      <vt:lpstr>SA_204_Nikola Corp</vt:lpstr>
      <vt:lpstr>SA_66_Crown Electrokinetics Cor</vt:lpstr>
      <vt:lpstr>SA_169_Cutera Inc</vt:lpstr>
      <vt:lpstr>SA_279_Avenue Therapeutics Inc</vt:lpstr>
      <vt:lpstr>SA_228_Imac Holdings Inc</vt:lpstr>
      <vt:lpstr>SA_284_Benson Hill Inc</vt:lpstr>
      <vt:lpstr>SA_43_Luokung Technology Corp</vt:lpstr>
      <vt:lpstr>SA_141_Virpax Pharmaceuticals I</vt:lpstr>
      <vt:lpstr>SA_196_Scorpius Holdings Inc</vt:lpstr>
      <vt:lpstr>SA_291_Thunder Power Holdings I</vt:lpstr>
      <vt:lpstr>SA_273_Vincerx Pharma Inc</vt:lpstr>
      <vt:lpstr>SA_197_Accelerate Diagnostics I</vt:lpstr>
      <vt:lpstr>SA_217_Icoreconnect Inc</vt:lpstr>
      <vt:lpstr>SA_103_Sunnova Energy Internati</vt:lpstr>
      <vt:lpstr>SA_278_Femto Technologies Inc</vt:lpstr>
      <vt:lpstr>SA_195_Marin Software Inc</vt:lpstr>
      <vt:lpstr>SA_216_Wag! Group Co.</vt:lpstr>
      <vt:lpstr>SA_246_S&amp;w Seed Co.</vt:lpstr>
      <vt:lpstr>SA_28_Third Harmonic Bio Inc</vt:lpstr>
      <vt:lpstr>SA_152_Hookipa Pharma Inc</vt:lpstr>
      <vt:lpstr>SA_254_Foxo Technologies Inc</vt:lpstr>
      <vt:lpstr>SA_168_Ontrak Inc</vt:lpstr>
      <vt:lpstr>SA_23_Tpi Composites Inc</vt:lpstr>
      <vt:lpstr>SA_61_Modivcare Inc</vt:lpstr>
      <vt:lpstr>SA_12_Spirit Aviation Holdings </vt:lpstr>
      <vt:lpstr>SA_85_Flexshopper Inc</vt:lpstr>
      <vt:lpstr>SA_91_Ambipar Emergency Respons</vt:lpstr>
      <vt:lpstr>SA_128_Sonder Holdings Inc</vt:lpstr>
      <vt:lpstr>SA_107_Nabors Energy Transition</vt:lpstr>
      <vt:lpstr>SA_19_Lazydays Holdings Inc</vt:lpstr>
      <vt:lpstr>SA_138_Clearside Biomedical Inc</vt:lpstr>
      <vt:lpstr>SA_210_Harrison Global Holdings</vt:lpstr>
      <vt:lpstr>SA_249_Irobot Corp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2026-10-04T16:23:21Z</dcterms:created>
  <dcterms:modified xsi:type="dcterms:W3CDTF">2026-10-04T16:23:21Z</dcterms:modified>
</cp:coreProperties>
</file>