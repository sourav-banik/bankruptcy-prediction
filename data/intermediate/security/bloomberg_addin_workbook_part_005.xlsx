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242_Gaucho Group Holdings In" sheetId="2" r:id="rId2"/>
    <sheet name="SA_133_Caremax Inc" sheetId="3" r:id="rId3"/>
    <sheet name="SA_110_Englobal Corp" sheetId="4" r:id="rId4"/>
    <sheet name="SA_157_Mondee Holdings Inc" sheetId="5" r:id="rId5"/>
    <sheet name="SA_181_Container Store Group In" sheetId="6" r:id="rId6"/>
    <sheet name="SA_67_Tff Pharmaceuticals Inc" sheetId="7" r:id="rId7"/>
    <sheet name="SA_177_Akoustis Technologies In" sheetId="8" r:id="rId8"/>
    <sheet name="SA_281_Lion Electric Co." sheetId="9" r:id="rId9"/>
    <sheet name="SA_213_Blue Star Foods Corp" sheetId="10" r:id="rId10"/>
    <sheet name="SA_259_Molecular Templates Inc" sheetId="11" r:id="rId11"/>
    <sheet name="SA_258_Danimer Scientific Inc" sheetId="12" r:id="rId12"/>
    <sheet name="SA_175_Ilearningengines Inc" sheetId="13" r:id="rId13"/>
    <sheet name="SA_124_Canoo Inc" sheetId="14" r:id="rId14"/>
    <sheet name="SA_233_Hyzon Motors Inc" sheetId="15" r:id="rId15"/>
    <sheet name="SA_260_Avinger Inc" sheetId="16" r:id="rId16"/>
    <sheet name="SA_261_Bio-path Holdings Inc" sheetId="17" r:id="rId17"/>
    <sheet name="SA_170_Omega Therapeutics Inc" sheetId="18" r:id="rId18"/>
    <sheet name="SA_204_Nikola Corp" sheetId="19" r:id="rId19"/>
    <sheet name="SA_66_Crown Electrokinetics Cor" sheetId="20" r:id="rId20"/>
    <sheet name="SA_169_Cutera Inc" sheetId="21" r:id="rId21"/>
    <sheet name="SA_279_Avenue Therapeutics Inc" sheetId="22" r:id="rId22"/>
    <sheet name="SA_228_Imac Holdings Inc" sheetId="23" r:id="rId23"/>
    <sheet name="SA_284_Benson Hill Inc" sheetId="24" r:id="rId24"/>
    <sheet name="SA_43_Luokung Technology Corp" sheetId="25" r:id="rId25"/>
    <sheet name="SA_141_Virpax Pharmaceuticals I" sheetId="26" r:id="rId26"/>
    <sheet name="SA_196_Scorpius Holdings Inc" sheetId="27" r:id="rId27"/>
    <sheet name="SA_291_Thunder Power Holdings I" sheetId="28" r:id="rId28"/>
    <sheet name="SA_273_Vincerx Pharma Inc" sheetId="29" r:id="rId29"/>
    <sheet name="SA_197_Accelerate Diagnostics I" sheetId="30" r:id="rId30"/>
    <sheet name="SA_217_Icoreconnect Inc" sheetId="31" r:id="rId31"/>
    <sheet name="SA_103_Sunnova Energy Internati" sheetId="32" r:id="rId32"/>
    <sheet name="SA_278_Femto Technologies Inc" sheetId="33" r:id="rId33"/>
    <sheet name="SA_195_Marin Software Inc" sheetId="34" r:id="rId34"/>
    <sheet name="SA_216_Wag! Group Co." sheetId="35" r:id="rId35"/>
    <sheet name="SA_246_S&amp;w Seed Co." sheetId="36" r:id="rId36"/>
    <sheet name="SA_28_Third Harmonic Bio Inc" sheetId="37" r:id="rId37"/>
    <sheet name="SA_152_Hookipa Pharma Inc" sheetId="38" r:id="rId38"/>
    <sheet name="SA_254_Foxo Technologies Inc" sheetId="39" r:id="rId39"/>
    <sheet name="SA_168_Ontrak Inc" sheetId="40" r:id="rId40"/>
    <sheet name="SA_23_Tpi Composites Inc" sheetId="41" r:id="rId41"/>
    <sheet name="SA_61_Modivcare Inc" sheetId="42" r:id="rId42"/>
    <sheet name="SA_12_Spirit Aviation Holdings " sheetId="43" r:id="rId43"/>
    <sheet name="SA_85_Flexshopper Inc" sheetId="44" r:id="rId44"/>
    <sheet name="SA_91_Ambipar Emergency Respons" sheetId="45" r:id="rId45"/>
    <sheet name="SA_128_Sonder Holdings Inc" sheetId="46" r:id="rId46"/>
    <sheet name="SA_107_Nabors Energy Transition" sheetId="47" r:id="rId47"/>
    <sheet name="SA_19_Lazydays Holdings Inc" sheetId="48" r:id="rId48"/>
    <sheet name="SA_138_Clearside Biomedical Inc" sheetId="49" r:id="rId49"/>
    <sheet name="SA_210_Harrison Global Holdings" sheetId="50" r:id="rId50"/>
    <sheet name="SA_249_Irobot Corp" sheetId="51" r:id="rId51"/>
  </sheets>
  <calcPr calcId="124519" fullCalcOnLoad="1"/>
</workbook>
</file>

<file path=xl/sharedStrings.xml><?xml version="1.0" encoding="utf-8"?>
<sst xmlns="http://schemas.openxmlformats.org/spreadsheetml/2006/main" count="3361" uniqueCount="402">
  <si>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</si>
  <si>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</si>
  <si>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</si>
  <si>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</si>
  <si>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</si>
  <si>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</si>
  <si>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</si>
  <si>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</si>
  <si>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</si>
  <si>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</si>
  <si>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</si>
  <si>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SA_242</t>
  </si>
  <si>
    <t>bankrupt</t>
  </si>
  <si>
    <t>2024-11-21</t>
  </si>
  <si>
    <t>VINOQ</t>
  </si>
  <si>
    <t>Gaucho Group Holdings Inc</t>
  </si>
  <si>
    <t/>
  </si>
  <si>
    <t>VINO US Equity</t>
  </si>
  <si>
    <t>2024-08-23</t>
  </si>
  <si>
    <t>2019-08-23</t>
  </si>
  <si>
    <t>SA_133</t>
  </si>
  <si>
    <t>2024-11-27</t>
  </si>
  <si>
    <t>CMAXQ</t>
  </si>
  <si>
    <t>Caremax Inc</t>
  </si>
  <si>
    <t>CMAXQ US Equity</t>
  </si>
  <si>
    <t>2024-08-29</t>
  </si>
  <si>
    <t>2019-08-29</t>
  </si>
  <si>
    <t>SA_110</t>
  </si>
  <si>
    <t>2024-12-05</t>
  </si>
  <si>
    <t>ENGC</t>
  </si>
  <si>
    <t>Englobal Corp</t>
  </si>
  <si>
    <t>ENGCQ US Equity</t>
  </si>
  <si>
    <t>2024-09-06</t>
  </si>
  <si>
    <t>2019-09-06</t>
  </si>
  <si>
    <t>SA_157</t>
  </si>
  <si>
    <t>MONDQ</t>
  </si>
  <si>
    <t>Mondee Holdings Inc</t>
  </si>
  <si>
    <t>MOND US Equity</t>
  </si>
  <si>
    <t>SA_181</t>
  </si>
  <si>
    <t>2024-12-09</t>
  </si>
  <si>
    <t>TCSGQ</t>
  </si>
  <si>
    <t>Container Store Group Inc</t>
  </si>
  <si>
    <t>TCSGQ US Equity</t>
  </si>
  <si>
    <t>2024-09-10</t>
  </si>
  <si>
    <t>2019-09-10</t>
  </si>
  <si>
    <t>SA_67</t>
  </si>
  <si>
    <t>2024-12-12</t>
  </si>
  <si>
    <t>TFFP</t>
  </si>
  <si>
    <t>Tff Pharmaceuticals Inc</t>
  </si>
  <si>
    <t>TFFP US Equity</t>
  </si>
  <si>
    <t>2024-09-13</t>
  </si>
  <si>
    <t>2019-09-13</t>
  </si>
  <si>
    <t>SA_177</t>
  </si>
  <si>
    <t>2024-12-17</t>
  </si>
  <si>
    <t>AKTSQ</t>
  </si>
  <si>
    <t>Akoustis Technologies Inc</t>
  </si>
  <si>
    <t>AKTSQ US Equity</t>
  </si>
  <si>
    <t>2024-09-18</t>
  </si>
  <si>
    <t>2019-09-18</t>
  </si>
  <si>
    <t>SA_281</t>
  </si>
  <si>
    <t>LEVGQ</t>
  </si>
  <si>
    <t>Lion Electric Co.</t>
  </si>
  <si>
    <t>LEVGQ US Equity</t>
  </si>
  <si>
    <t>SA_213</t>
  </si>
  <si>
    <t>2024-12-19</t>
  </si>
  <si>
    <t>BSFC</t>
  </si>
  <si>
    <t>Blue Star Foods Corp</t>
  </si>
  <si>
    <t>BSFC US Equity</t>
  </si>
  <si>
    <t>2024-09-20</t>
  </si>
  <si>
    <t>2019-09-20</t>
  </si>
  <si>
    <t>SA_259</t>
  </si>
  <si>
    <t>2024-12-24</t>
  </si>
  <si>
    <t>MTEM</t>
  </si>
  <si>
    <t>Molecular Templates Inc</t>
  </si>
  <si>
    <t>MTEMQ US Equity</t>
  </si>
  <si>
    <t>2024-09-25</t>
  </si>
  <si>
    <t>2019-09-25</t>
  </si>
  <si>
    <t>SA_258</t>
  </si>
  <si>
    <t>2024-12-30</t>
  </si>
  <si>
    <t>DNMRQ</t>
  </si>
  <si>
    <t>Danimer Scientific Inc</t>
  </si>
  <si>
    <t>DNMRQ US Equity</t>
  </si>
  <si>
    <t>2024-10-01</t>
  </si>
  <si>
    <t>2019-10-01</t>
  </si>
  <si>
    <t>SA_175</t>
  </si>
  <si>
    <t>2024-12-31</t>
  </si>
  <si>
    <t>AILEQ</t>
  </si>
  <si>
    <t>Ilearningengines Inc</t>
  </si>
  <si>
    <t>AILEQ US Equity</t>
  </si>
  <si>
    <t>2024-10-02</t>
  </si>
  <si>
    <t>2019-10-02</t>
  </si>
  <si>
    <t>SA_124</t>
  </si>
  <si>
    <t>2025-01-28</t>
  </si>
  <si>
    <t>GOEVQ</t>
  </si>
  <si>
    <t>Canoo Inc</t>
  </si>
  <si>
    <t>GOEVQ US Equity</t>
  </si>
  <si>
    <t>2024-10-30</t>
  </si>
  <si>
    <t>2019-10-30</t>
  </si>
  <si>
    <t>SA_233</t>
  </si>
  <si>
    <t>2025-01-30</t>
  </si>
  <si>
    <t>HYZN</t>
  </si>
  <si>
    <t>Hyzon Motors Inc</t>
  </si>
  <si>
    <t>1837938D US Equity</t>
  </si>
  <si>
    <t>2024-11-01</t>
  </si>
  <si>
    <t>2019-11-01</t>
  </si>
  <si>
    <t>SA_260</t>
  </si>
  <si>
    <t>2025-02-14</t>
  </si>
  <si>
    <t>AVGR</t>
  </si>
  <si>
    <t>Avinger Inc</t>
  </si>
  <si>
    <t>AVGR US Equity</t>
  </si>
  <si>
    <t>2024-11-16</t>
  </si>
  <si>
    <t>2019-11-16</t>
  </si>
  <si>
    <t>SA_261</t>
  </si>
  <si>
    <t>2025-02-18</t>
  </si>
  <si>
    <t>BPTH</t>
  </si>
  <si>
    <t>Bio-path Holdings Inc</t>
  </si>
  <si>
    <t>BPTH US Equity</t>
  </si>
  <si>
    <t>2024-11-20</t>
  </si>
  <si>
    <t>2019-11-20</t>
  </si>
  <si>
    <t>SA_170</t>
  </si>
  <si>
    <t>2025-02-24</t>
  </si>
  <si>
    <t>OMGAQ</t>
  </si>
  <si>
    <t>Omega Therapeutics Inc</t>
  </si>
  <si>
    <t>OMGAQ US Equity</t>
  </si>
  <si>
    <t>2024-11-26</t>
  </si>
  <si>
    <t>2019-11-26</t>
  </si>
  <si>
    <t>SA_204</t>
  </si>
  <si>
    <t>2025-02-25</t>
  </si>
  <si>
    <t>NKLAQ</t>
  </si>
  <si>
    <t>Nikola Corp</t>
  </si>
  <si>
    <t>NKLAQ US Equity</t>
  </si>
  <si>
    <t>2019-11-27</t>
  </si>
  <si>
    <t>SA_66</t>
  </si>
  <si>
    <t>2025-03-04</t>
  </si>
  <si>
    <t>CRKN</t>
  </si>
  <si>
    <t>Crown Electrokinetics Corp</t>
  </si>
  <si>
    <t>CRKN US Equity</t>
  </si>
  <si>
    <t>2024-12-04</t>
  </si>
  <si>
    <t>2019-12-04</t>
  </si>
  <si>
    <t>SA_169</t>
  </si>
  <si>
    <t>2025-03-12</t>
  </si>
  <si>
    <t>CUTRQ</t>
  </si>
  <si>
    <t>Cutera Inc</t>
  </si>
  <si>
    <t>CUTRQ US Equity</t>
  </si>
  <si>
    <t>2019-12-12</t>
  </si>
  <si>
    <t>SA_279</t>
  </si>
  <si>
    <t>2025-03-18</t>
  </si>
  <si>
    <t>ATXI</t>
  </si>
  <si>
    <t>Avenue Therapeutics Inc</t>
  </si>
  <si>
    <t>ATXI US Equity</t>
  </si>
  <si>
    <t>2024-12-18</t>
  </si>
  <si>
    <t>2019-12-18</t>
  </si>
  <si>
    <t>SA_228</t>
  </si>
  <si>
    <t>2025-03-25</t>
  </si>
  <si>
    <t>BACK</t>
  </si>
  <si>
    <t>Imac Holdings Inc</t>
  </si>
  <si>
    <t>BACK US Equity</t>
  </si>
  <si>
    <t>2024-12-25</t>
  </si>
  <si>
    <t>2019-12-25</t>
  </si>
  <si>
    <t>SA_284</t>
  </si>
  <si>
    <t>2025-03-26</t>
  </si>
  <si>
    <t>BHILQ</t>
  </si>
  <si>
    <t>Benson Hill Inc</t>
  </si>
  <si>
    <t>BHILQ US Equity</t>
  </si>
  <si>
    <t>2024-12-26</t>
  </si>
  <si>
    <t>2019-12-26</t>
  </si>
  <si>
    <t>SA_43</t>
  </si>
  <si>
    <t>2025-03-28</t>
  </si>
  <si>
    <t>LKCOF</t>
  </si>
  <si>
    <t>Luokung Technology Corp</t>
  </si>
  <si>
    <t>LKCOF US Equity</t>
  </si>
  <si>
    <t>2024-12-28</t>
  </si>
  <si>
    <t>2019-12-28</t>
  </si>
  <si>
    <t>SA_141</t>
  </si>
  <si>
    <t>2025-04-04</t>
  </si>
  <si>
    <t>VRPX</t>
  </si>
  <si>
    <t>Virpax Pharmaceuticals Inc</t>
  </si>
  <si>
    <t>VRPX US Equity</t>
  </si>
  <si>
    <t>2025-01-04</t>
  </si>
  <si>
    <t>2020-01-04</t>
  </si>
  <si>
    <t>SA_196</t>
  </si>
  <si>
    <t>2025-04-21</t>
  </si>
  <si>
    <t>SCPX</t>
  </si>
  <si>
    <t>Scorpius Holdings Inc</t>
  </si>
  <si>
    <t>SCPX US Equity</t>
  </si>
  <si>
    <t>2025-01-21</t>
  </si>
  <si>
    <t>2020-01-21</t>
  </si>
  <si>
    <t>SA_291</t>
  </si>
  <si>
    <t>AIEV</t>
  </si>
  <si>
    <t>Thunder Power Holdings Inc</t>
  </si>
  <si>
    <t>AIEV US Equity</t>
  </si>
  <si>
    <t>SA_273</t>
  </si>
  <si>
    <t>2025-04-22</t>
  </si>
  <si>
    <t>VINC</t>
  </si>
  <si>
    <t>Vincerx Pharma Inc</t>
  </si>
  <si>
    <t>VINC US Equity</t>
  </si>
  <si>
    <t>2025-01-22</t>
  </si>
  <si>
    <t>2020-01-22</t>
  </si>
  <si>
    <t>SA_197</t>
  </si>
  <si>
    <t>2025-05-14</t>
  </si>
  <si>
    <t>AXDXQ</t>
  </si>
  <si>
    <t>Accelerate Diagnostics Inc</t>
  </si>
  <si>
    <t>AXDXQ US Equity</t>
  </si>
  <si>
    <t>2025-02-13</t>
  </si>
  <si>
    <t>2020-02-13</t>
  </si>
  <si>
    <t>SA_217</t>
  </si>
  <si>
    <t>2025-05-21</t>
  </si>
  <si>
    <t>ICCT</t>
  </si>
  <si>
    <t>Icoreconnect Inc</t>
  </si>
  <si>
    <t>ICCT US Equity</t>
  </si>
  <si>
    <t>2025-02-20</t>
  </si>
  <si>
    <t>2020-02-20</t>
  </si>
  <si>
    <t>SA_103</t>
  </si>
  <si>
    <t>2025-06-10</t>
  </si>
  <si>
    <t>NOVA</t>
  </si>
  <si>
    <t>Sunnova Energy International Inc</t>
  </si>
  <si>
    <t>NOVAQ US Equity</t>
  </si>
  <si>
    <t>2020-03-12</t>
  </si>
  <si>
    <t>SA_278</t>
  </si>
  <si>
    <t>2025-06-20</t>
  </si>
  <si>
    <t>FMTOF</t>
  </si>
  <si>
    <t>Femto Technologies Inc</t>
  </si>
  <si>
    <t>FMTOF US Equity</t>
  </si>
  <si>
    <t>2025-03-22</t>
  </si>
  <si>
    <t>2020-03-22</t>
  </si>
  <si>
    <t>SA_195</t>
  </si>
  <si>
    <t>2025-06-25</t>
  </si>
  <si>
    <t>MRINQ</t>
  </si>
  <si>
    <t>Marin Software Inc</t>
  </si>
  <si>
    <t>MRINQ US Equity</t>
  </si>
  <si>
    <t>2025-03-27</t>
  </si>
  <si>
    <t>2020-03-27</t>
  </si>
  <si>
    <t>SA_216</t>
  </si>
  <si>
    <t>2025-07-29</t>
  </si>
  <si>
    <t>PETXQ</t>
  </si>
  <si>
    <t>Wag! Group Co.</t>
  </si>
  <si>
    <t>PETXQ US Equity</t>
  </si>
  <si>
    <t>2025-04-30</t>
  </si>
  <si>
    <t>2020-04-30</t>
  </si>
  <si>
    <t>SA_246</t>
  </si>
  <si>
    <t>2025-08-05</t>
  </si>
  <si>
    <t>SANW</t>
  </si>
  <si>
    <t>S&amp;w Seed Co.</t>
  </si>
  <si>
    <t>SANW US Equity</t>
  </si>
  <si>
    <t>2025-05-07</t>
  </si>
  <si>
    <t>2020-05-07</t>
  </si>
  <si>
    <t>SA_28</t>
  </si>
  <si>
    <t>THRD</t>
  </si>
  <si>
    <t>Third Harmonic Bio Inc</t>
  </si>
  <si>
    <t>2617273D US Equity</t>
  </si>
  <si>
    <t>SA_152</t>
  </si>
  <si>
    <t>2025-08-08</t>
  </si>
  <si>
    <t>HOOK</t>
  </si>
  <si>
    <t>Hookipa Pharma Inc</t>
  </si>
  <si>
    <t>HOOK US Equity</t>
  </si>
  <si>
    <t>2025-05-10</t>
  </si>
  <si>
    <t>2020-05-10</t>
  </si>
  <si>
    <t>SA_254</t>
  </si>
  <si>
    <t>2025-08-12</t>
  </si>
  <si>
    <t>FOXO</t>
  </si>
  <si>
    <t>Foxo Technologies Inc</t>
  </si>
  <si>
    <t>FOXO US Equity</t>
  </si>
  <si>
    <t>2020-05-14</t>
  </si>
  <si>
    <t>SA_168</t>
  </si>
  <si>
    <t>2025-08-15</t>
  </si>
  <si>
    <t>OTRKQ</t>
  </si>
  <si>
    <t>Ontrak Inc</t>
  </si>
  <si>
    <t>OTRKQ US Equity</t>
  </si>
  <si>
    <t>2025-05-17</t>
  </si>
  <si>
    <t>2020-05-17</t>
  </si>
  <si>
    <t>SA_23</t>
  </si>
  <si>
    <t>2025-08-18</t>
  </si>
  <si>
    <t>TPIC</t>
  </si>
  <si>
    <t>Tpi Composites Inc</t>
  </si>
  <si>
    <t>TPICQ US Equity</t>
  </si>
  <si>
    <t>2025-05-20</t>
  </si>
  <si>
    <t>2020-05-20</t>
  </si>
  <si>
    <t>SA_61</t>
  </si>
  <si>
    <t>2025-08-28</t>
  </si>
  <si>
    <t>MODVQ</t>
  </si>
  <si>
    <t>Modivcare Inc</t>
  </si>
  <si>
    <t>MODVQ US Equity</t>
  </si>
  <si>
    <t>2025-05-30</t>
  </si>
  <si>
    <t>2020-05-30</t>
  </si>
  <si>
    <t>SA_12</t>
  </si>
  <si>
    <t>2025-09-03</t>
  </si>
  <si>
    <t>FLYYQ</t>
  </si>
  <si>
    <t>Spirit Aviation Holdings Inc</t>
  </si>
  <si>
    <t>FLYYQ US Equity</t>
  </si>
  <si>
    <t>2025-06-05</t>
  </si>
  <si>
    <t>2020-06-05</t>
  </si>
  <si>
    <t>SA_85</t>
  </si>
  <si>
    <t>2025-10-24</t>
  </si>
  <si>
    <t>FPAYQ</t>
  </si>
  <si>
    <t>Flexshopper Inc</t>
  </si>
  <si>
    <t>FPAYQ US Equity</t>
  </si>
  <si>
    <t>2025-07-26</t>
  </si>
  <si>
    <t>2020-07-26</t>
  </si>
  <si>
    <t>SA_91</t>
  </si>
  <si>
    <t>2025-10-28</t>
  </si>
  <si>
    <t>AMBIQ</t>
  </si>
  <si>
    <t>Ambipar Emergency Response</t>
  </si>
  <si>
    <t>AMBIQ US Equity</t>
  </si>
  <si>
    <t>2025-07-30</t>
  </si>
  <si>
    <t>2020-07-30</t>
  </si>
  <si>
    <t>SA_128</t>
  </si>
  <si>
    <t>2025-11-21</t>
  </si>
  <si>
    <t>SONDQ</t>
  </si>
  <si>
    <t>Sonder Holdings Inc</t>
  </si>
  <si>
    <t>SONDQ US Equity</t>
  </si>
  <si>
    <t>2025-08-23</t>
  </si>
  <si>
    <t>2020-08-23</t>
  </si>
  <si>
    <t>SA_107</t>
  </si>
  <si>
    <t>2025-11-25</t>
  </si>
  <si>
    <t>NETD</t>
  </si>
  <si>
    <t>Nabors Energy Transition Corp Ii</t>
  </si>
  <si>
    <t>NETC US Equity</t>
  </si>
  <si>
    <t>2025-08-27</t>
  </si>
  <si>
    <t>2020-08-27</t>
  </si>
  <si>
    <t>SA_19</t>
  </si>
  <si>
    <t>2025-11-26</t>
  </si>
  <si>
    <t>GORV</t>
  </si>
  <si>
    <t>Lazydays Holdings Inc</t>
  </si>
  <si>
    <t>GORV US Equity</t>
  </si>
  <si>
    <t>2020-08-28</t>
  </si>
  <si>
    <t>SA_138</t>
  </si>
  <si>
    <t>2025-11-28</t>
  </si>
  <si>
    <t>CLSDQ</t>
  </si>
  <si>
    <t>Clearside Biomedical Inc</t>
  </si>
  <si>
    <t>CLSDQ US Equity</t>
  </si>
  <si>
    <t>2025-08-30</t>
  </si>
  <si>
    <t>2020-08-30</t>
  </si>
  <si>
    <t>SA_210</t>
  </si>
  <si>
    <t>2025-12-12</t>
  </si>
  <si>
    <t>BLMZF</t>
  </si>
  <si>
    <t>Harrison Global Holdings Inc</t>
  </si>
  <si>
    <t>BLMZF US Equity</t>
  </si>
  <si>
    <t>2025-09-13</t>
  </si>
  <si>
    <t>2020-09-13</t>
  </si>
  <si>
    <t>SA_249</t>
  </si>
  <si>
    <t>2025-12-19</t>
  </si>
  <si>
    <t>IRBTQ</t>
  </si>
  <si>
    <t>Irobot Corp</t>
  </si>
  <si>
    <t>IRBTQ US Equity</t>
  </si>
  <si>
    <t>2025-09-20</t>
  </si>
  <si>
    <t>2020-09-20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</si>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</sst>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16</v>
      </c>
      <c r="H2" t="s">
        <v>17</v>
      </c>
      <c r="I2" t="s">
        <v>18</v>
      </c>
      <c r="J2" t="s">
        <v>19</v>
      </c>
      <c r="K2" t="s">
        <v>18</v>
      </c>
    </row>
    <row r="3" spans="1:11">
      <c r="A3" t="s">
        <v>20</v>
      </c>
      <c r="B3" t="s">
        <v>12</v>
      </c>
      <c r="C3" t="s">
        <v>21</v>
      </c>
      <c r="D3" t="s">
        <v>22</v>
      </c>
      <c r="E3" t="s">
        <v>23</v>
      </c>
      <c r="F3" t="s">
        <v>16</v>
      </c>
      <c r="G3" t="s">
        <v>16</v>
      </c>
      <c r="H3" t="s">
        <v>24</v>
      </c>
      <c r="I3" t="s">
        <v>25</v>
      </c>
      <c r="J3" t="s">
        <v>26</v>
      </c>
      <c r="K3" t="s">
        <v>25</v>
      </c>
    </row>
    <row r="4" spans="1:11">
      <c r="A4" t="s">
        <v>27</v>
      </c>
      <c r="B4" t="s">
        <v>12</v>
      </c>
      <c r="C4" t="s">
        <v>28</v>
      </c>
      <c r="D4" t="s">
        <v>29</v>
      </c>
      <c r="E4" t="s">
        <v>30</v>
      </c>
      <c r="F4" t="s">
        <v>16</v>
      </c>
      <c r="G4" t="s">
        <v>16</v>
      </c>
      <c r="H4" t="s">
        <v>31</v>
      </c>
      <c r="I4" t="s">
        <v>32</v>
      </c>
      <c r="J4" t="s">
        <v>33</v>
      </c>
      <c r="K4" t="s">
        <v>32</v>
      </c>
    </row>
    <row r="5" spans="1:11">
      <c r="A5" t="s">
        <v>34</v>
      </c>
      <c r="B5" t="s">
        <v>12</v>
      </c>
      <c r="C5" t="s">
        <v>28</v>
      </c>
      <c r="D5" t="s">
        <v>35</v>
      </c>
      <c r="E5" t="s">
        <v>36</v>
      </c>
      <c r="F5" t="s">
        <v>16</v>
      </c>
      <c r="G5" t="s">
        <v>16</v>
      </c>
      <c r="H5" t="s">
        <v>37</v>
      </c>
      <c r="I5" t="s">
        <v>32</v>
      </c>
      <c r="J5" t="s">
        <v>33</v>
      </c>
      <c r="K5" t="s">
        <v>32</v>
      </c>
    </row>
    <row r="6" spans="1:11">
      <c r="A6" t="s">
        <v>38</v>
      </c>
      <c r="B6" t="s">
        <v>12</v>
      </c>
      <c r="C6" t="s">
        <v>39</v>
      </c>
      <c r="D6" t="s">
        <v>40</v>
      </c>
      <c r="E6" t="s">
        <v>41</v>
      </c>
      <c r="F6" t="s">
        <v>16</v>
      </c>
      <c r="G6" t="s">
        <v>16</v>
      </c>
      <c r="H6" t="s">
        <v>42</v>
      </c>
      <c r="I6" t="s">
        <v>43</v>
      </c>
      <c r="J6" t="s">
        <v>44</v>
      </c>
      <c r="K6" t="s">
        <v>43</v>
      </c>
    </row>
    <row r="7" spans="1:11">
      <c r="A7" t="s">
        <v>45</v>
      </c>
      <c r="B7" t="s">
        <v>12</v>
      </c>
      <c r="C7" t="s">
        <v>46</v>
      </c>
      <c r="D7" t="s">
        <v>47</v>
      </c>
      <c r="E7" t="s">
        <v>48</v>
      </c>
      <c r="F7" t="s">
        <v>16</v>
      </c>
      <c r="G7" t="s">
        <v>16</v>
      </c>
      <c r="H7" t="s">
        <v>49</v>
      </c>
      <c r="I7" t="s">
        <v>50</v>
      </c>
      <c r="J7" t="s">
        <v>51</v>
      </c>
      <c r="K7" t="s">
        <v>50</v>
      </c>
    </row>
    <row r="8" spans="1:11">
      <c r="A8" t="s">
        <v>52</v>
      </c>
      <c r="B8" t="s">
        <v>12</v>
      </c>
      <c r="C8" t="s">
        <v>53</v>
      </c>
      <c r="D8" t="s">
        <v>54</v>
      </c>
      <c r="E8" t="s">
        <v>55</v>
      </c>
      <c r="F8" t="s">
        <v>16</v>
      </c>
      <c r="G8" t="s">
        <v>16</v>
      </c>
      <c r="H8" t="s">
        <v>56</v>
      </c>
      <c r="I8" t="s">
        <v>57</v>
      </c>
      <c r="J8" t="s">
        <v>58</v>
      </c>
      <c r="K8" t="s">
        <v>57</v>
      </c>
    </row>
    <row r="9" spans="1:11">
      <c r="A9" t="s">
        <v>59</v>
      </c>
      <c r="B9" t="s">
        <v>12</v>
      </c>
      <c r="C9" t="s">
        <v>53</v>
      </c>
      <c r="D9" t="s">
        <v>60</v>
      </c>
      <c r="E9" t="s">
        <v>61</v>
      </c>
      <c r="F9" t="s">
        <v>16</v>
      </c>
      <c r="G9" t="s">
        <v>16</v>
      </c>
      <c r="H9" t="s">
        <v>62</v>
      </c>
      <c r="I9" t="s">
        <v>57</v>
      </c>
      <c r="J9" t="s">
        <v>58</v>
      </c>
      <c r="K9" t="s">
        <v>57</v>
      </c>
    </row>
    <row r="10" spans="1:11">
      <c r="A10" t="s">
        <v>63</v>
      </c>
      <c r="B10" t="s">
        <v>12</v>
      </c>
      <c r="C10" t="s">
        <v>64</v>
      </c>
      <c r="D10" t="s">
        <v>65</v>
      </c>
      <c r="E10" t="s">
        <v>66</v>
      </c>
      <c r="F10" t="s">
        <v>16</v>
      </c>
      <c r="G10" t="s">
        <v>16</v>
      </c>
      <c r="H10" t="s">
        <v>67</v>
      </c>
      <c r="I10" t="s">
        <v>68</v>
      </c>
      <c r="J10" t="s">
        <v>69</v>
      </c>
      <c r="K10" t="s">
        <v>68</v>
      </c>
    </row>
    <row r="11" spans="1:11">
      <c r="A11" t="s">
        <v>70</v>
      </c>
      <c r="B11" t="s">
        <v>12</v>
      </c>
      <c r="C11" t="s">
        <v>71</v>
      </c>
      <c r="D11" t="s">
        <v>72</v>
      </c>
      <c r="E11" t="s">
        <v>73</v>
      </c>
      <c r="F11" t="s">
        <v>16</v>
      </c>
      <c r="G11" t="s">
        <v>16</v>
      </c>
      <c r="H11" t="s">
        <v>74</v>
      </c>
      <c r="I11" t="s">
        <v>75</v>
      </c>
      <c r="J11" t="s">
        <v>76</v>
      </c>
      <c r="K11" t="s">
        <v>75</v>
      </c>
    </row>
    <row r="12" spans="1:11">
      <c r="A12" t="s">
        <v>77</v>
      </c>
      <c r="B12" t="s">
        <v>12</v>
      </c>
      <c r="C12" t="s">
        <v>78</v>
      </c>
      <c r="D12" t="s">
        <v>79</v>
      </c>
      <c r="E12" t="s">
        <v>80</v>
      </c>
      <c r="F12" t="s">
        <v>16</v>
      </c>
      <c r="G12" t="s">
        <v>16</v>
      </c>
      <c r="H12" t="s">
        <v>81</v>
      </c>
      <c r="I12" t="s">
        <v>82</v>
      </c>
      <c r="J12" t="s">
        <v>83</v>
      </c>
      <c r="K12" t="s">
        <v>82</v>
      </c>
    </row>
    <row r="13" spans="1:11">
      <c r="A13" t="s">
        <v>84</v>
      </c>
      <c r="B13" t="s">
        <v>12</v>
      </c>
      <c r="C13" t="s">
        <v>85</v>
      </c>
      <c r="D13" t="s">
        <v>86</v>
      </c>
      <c r="E13" t="s">
        <v>87</v>
      </c>
      <c r="F13" t="s">
        <v>16</v>
      </c>
      <c r="G13" t="s">
        <v>16</v>
      </c>
      <c r="H13" t="s">
        <v>88</v>
      </c>
      <c r="I13" t="s">
        <v>89</v>
      </c>
      <c r="J13" t="s">
        <v>90</v>
      </c>
      <c r="K13" t="s">
        <v>89</v>
      </c>
    </row>
    <row r="14" spans="1:11">
      <c r="A14" t="s">
        <v>91</v>
      </c>
      <c r="B14" t="s">
        <v>12</v>
      </c>
      <c r="C14" t="s">
        <v>92</v>
      </c>
      <c r="D14" t="s">
        <v>93</v>
      </c>
      <c r="E14" t="s">
        <v>94</v>
      </c>
      <c r="F14" t="s">
        <v>16</v>
      </c>
      <c r="G14" t="s">
        <v>16</v>
      </c>
      <c r="H14" t="s">
        <v>95</v>
      </c>
      <c r="I14" t="s">
        <v>96</v>
      </c>
      <c r="J14" t="s">
        <v>97</v>
      </c>
      <c r="K14" t="s">
        <v>96</v>
      </c>
    </row>
    <row r="15" spans="1:11">
      <c r="A15" t="s">
        <v>98</v>
      </c>
      <c r="B15" t="s">
        <v>12</v>
      </c>
      <c r="C15" t="s">
        <v>99</v>
      </c>
      <c r="D15" t="s">
        <v>100</v>
      </c>
      <c r="E15" t="s">
        <v>101</v>
      </c>
      <c r="F15" t="s">
        <v>16</v>
      </c>
      <c r="G15" t="s">
        <v>16</v>
      </c>
      <c r="H15" t="s">
        <v>102</v>
      </c>
      <c r="I15" t="s">
        <v>103</v>
      </c>
      <c r="J15" t="s">
        <v>104</v>
      </c>
      <c r="K15" t="s">
        <v>103</v>
      </c>
    </row>
    <row r="16" spans="1:11">
      <c r="A16" t="s">
        <v>105</v>
      </c>
      <c r="B16" t="s">
        <v>12</v>
      </c>
      <c r="C16" t="s">
        <v>106</v>
      </c>
      <c r="D16" t="s">
        <v>107</v>
      </c>
      <c r="E16" t="s">
        <v>108</v>
      </c>
      <c r="F16" t="s">
        <v>16</v>
      </c>
      <c r="G16" t="s">
        <v>16</v>
      </c>
      <c r="H16" t="s">
        <v>109</v>
      </c>
      <c r="I16" t="s">
        <v>110</v>
      </c>
      <c r="J16" t="s">
        <v>111</v>
      </c>
      <c r="K16" t="s">
        <v>110</v>
      </c>
    </row>
    <row r="17" spans="1:11">
      <c r="A17" t="s">
        <v>112</v>
      </c>
      <c r="B17" t="s">
        <v>12</v>
      </c>
      <c r="C17" t="s">
        <v>113</v>
      </c>
      <c r="D17" t="s">
        <v>114</v>
      </c>
      <c r="E17" t="s">
        <v>115</v>
      </c>
      <c r="F17" t="s">
        <v>16</v>
      </c>
      <c r="G17" t="s">
        <v>16</v>
      </c>
      <c r="H17" t="s">
        <v>116</v>
      </c>
      <c r="I17" t="s">
        <v>117</v>
      </c>
      <c r="J17" t="s">
        <v>118</v>
      </c>
      <c r="K17" t="s">
        <v>117</v>
      </c>
    </row>
    <row r="18" spans="1:11">
      <c r="A18" t="s">
        <v>119</v>
      </c>
      <c r="B18" t="s">
        <v>12</v>
      </c>
      <c r="C18" t="s">
        <v>120</v>
      </c>
      <c r="D18" t="s">
        <v>121</v>
      </c>
      <c r="E18" t="s">
        <v>122</v>
      </c>
      <c r="F18" t="s">
        <v>16</v>
      </c>
      <c r="G18" t="s">
        <v>16</v>
      </c>
      <c r="H18" t="s">
        <v>123</v>
      </c>
      <c r="I18" t="s">
        <v>124</v>
      </c>
      <c r="J18" t="s">
        <v>125</v>
      </c>
      <c r="K18" t="s">
        <v>124</v>
      </c>
    </row>
    <row r="19" spans="1:11">
      <c r="A19" t="s">
        <v>126</v>
      </c>
      <c r="B19" t="s">
        <v>12</v>
      </c>
      <c r="C19" t="s">
        <v>127</v>
      </c>
      <c r="D19" t="s">
        <v>128</v>
      </c>
      <c r="E19" t="s">
        <v>129</v>
      </c>
      <c r="F19" t="s">
        <v>16</v>
      </c>
      <c r="G19" t="s">
        <v>16</v>
      </c>
      <c r="H19" t="s">
        <v>130</v>
      </c>
      <c r="I19" t="s">
        <v>21</v>
      </c>
      <c r="J19" t="s">
        <v>131</v>
      </c>
      <c r="K19" t="s">
        <v>21</v>
      </c>
    </row>
    <row r="20" spans="1:11">
      <c r="A20" t="s">
        <v>132</v>
      </c>
      <c r="B20" t="s">
        <v>12</v>
      </c>
      <c r="C20" t="s">
        <v>133</v>
      </c>
      <c r="D20" t="s">
        <v>134</v>
      </c>
      <c r="E20" t="s">
        <v>135</v>
      </c>
      <c r="F20" t="s">
        <v>16</v>
      </c>
      <c r="G20" t="s">
        <v>16</v>
      </c>
      <c r="H20" t="s">
        <v>136</v>
      </c>
      <c r="I20" t="s">
        <v>137</v>
      </c>
      <c r="J20" t="s">
        <v>138</v>
      </c>
      <c r="K20" t="s">
        <v>137</v>
      </c>
    </row>
    <row r="21" spans="1:11">
      <c r="A21" t="s">
        <v>139</v>
      </c>
      <c r="B21" t="s">
        <v>12</v>
      </c>
      <c r="C21" t="s">
        <v>140</v>
      </c>
      <c r="D21" t="s">
        <v>141</v>
      </c>
      <c r="E21" t="s">
        <v>142</v>
      </c>
      <c r="F21" t="s">
        <v>16</v>
      </c>
      <c r="G21" t="s">
        <v>16</v>
      </c>
      <c r="H21" t="s">
        <v>143</v>
      </c>
      <c r="I21" t="s">
        <v>46</v>
      </c>
      <c r="J21" t="s">
        <v>144</v>
      </c>
      <c r="K21" t="s">
        <v>46</v>
      </c>
    </row>
    <row r="22" spans="1:11">
      <c r="A22" t="s">
        <v>145</v>
      </c>
      <c r="B22" t="s">
        <v>12</v>
      </c>
      <c r="C22" t="s">
        <v>146</v>
      </c>
      <c r="D22" t="s">
        <v>147</v>
      </c>
      <c r="E22" t="s">
        <v>148</v>
      </c>
      <c r="F22" t="s">
        <v>16</v>
      </c>
      <c r="G22" t="s">
        <v>16</v>
      </c>
      <c r="H22" t="s">
        <v>149</v>
      </c>
      <c r="I22" t="s">
        <v>150</v>
      </c>
      <c r="J22" t="s">
        <v>151</v>
      </c>
      <c r="K22" t="s">
        <v>150</v>
      </c>
    </row>
    <row r="23" spans="1:11">
      <c r="A23" t="s">
        <v>152</v>
      </c>
      <c r="B23" t="s">
        <v>12</v>
      </c>
      <c r="C23" t="s">
        <v>153</v>
      </c>
      <c r="D23" t="s">
        <v>154</v>
      </c>
      <c r="E23" t="s">
        <v>155</v>
      </c>
      <c r="F23" t="s">
        <v>16</v>
      </c>
      <c r="G23" t="s">
        <v>16</v>
      </c>
      <c r="H23" t="s">
        <v>156</v>
      </c>
      <c r="I23" t="s">
        <v>157</v>
      </c>
      <c r="J23" t="s">
        <v>158</v>
      </c>
      <c r="K23" t="s">
        <v>157</v>
      </c>
    </row>
    <row r="24" spans="1:11">
      <c r="A24" t="s">
        <v>159</v>
      </c>
      <c r="B24" t="s">
        <v>12</v>
      </c>
      <c r="C24" t="s">
        <v>160</v>
      </c>
      <c r="D24" t="s">
        <v>161</v>
      </c>
      <c r="E24" t="s">
        <v>162</v>
      </c>
      <c r="F24" t="s">
        <v>16</v>
      </c>
      <c r="G24" t="s">
        <v>16</v>
      </c>
      <c r="H24" t="s">
        <v>163</v>
      </c>
      <c r="I24" t="s">
        <v>164</v>
      </c>
      <c r="J24" t="s">
        <v>165</v>
      </c>
      <c r="K24" t="s">
        <v>164</v>
      </c>
    </row>
    <row r="25" spans="1:11">
      <c r="A25" t="s">
        <v>166</v>
      </c>
      <c r="B25" t="s">
        <v>12</v>
      </c>
      <c r="C25" t="s">
        <v>167</v>
      </c>
      <c r="D25" t="s">
        <v>168</v>
      </c>
      <c r="E25" t="s">
        <v>169</v>
      </c>
      <c r="F25" t="s">
        <v>16</v>
      </c>
      <c r="G25" t="s">
        <v>16</v>
      </c>
      <c r="H25" t="s">
        <v>170</v>
      </c>
      <c r="I25" t="s">
        <v>171</v>
      </c>
      <c r="J25" t="s">
        <v>172</v>
      </c>
      <c r="K25" t="s">
        <v>171</v>
      </c>
    </row>
    <row r="26" spans="1:11">
      <c r="A26" t="s">
        <v>173</v>
      </c>
      <c r="B26" t="s">
        <v>12</v>
      </c>
      <c r="C26" t="s">
        <v>174</v>
      </c>
      <c r="D26" t="s">
        <v>175</v>
      </c>
      <c r="E26" t="s">
        <v>176</v>
      </c>
      <c r="F26" t="s">
        <v>16</v>
      </c>
      <c r="G26" t="s">
        <v>16</v>
      </c>
      <c r="H26" t="s">
        <v>177</v>
      </c>
      <c r="I26" t="s">
        <v>178</v>
      </c>
      <c r="J26" t="s">
        <v>179</v>
      </c>
      <c r="K26" t="s">
        <v>178</v>
      </c>
    </row>
    <row r="27" spans="1:11">
      <c r="A27" t="s">
        <v>180</v>
      </c>
      <c r="B27" t="s">
        <v>12</v>
      </c>
      <c r="C27" t="s">
        <v>181</v>
      </c>
      <c r="D27" t="s">
        <v>182</v>
      </c>
      <c r="E27" t="s">
        <v>183</v>
      </c>
      <c r="F27" t="s">
        <v>16</v>
      </c>
      <c r="G27" t="s">
        <v>16</v>
      </c>
      <c r="H27" t="s">
        <v>184</v>
      </c>
      <c r="I27" t="s">
        <v>185</v>
      </c>
      <c r="J27" t="s">
        <v>186</v>
      </c>
      <c r="K27" t="s">
        <v>185</v>
      </c>
    </row>
    <row r="28" spans="1:11">
      <c r="A28" t="s">
        <v>187</v>
      </c>
      <c r="B28" t="s">
        <v>12</v>
      </c>
      <c r="C28" t="s">
        <v>181</v>
      </c>
      <c r="D28" t="s">
        <v>188</v>
      </c>
      <c r="E28" t="s">
        <v>189</v>
      </c>
      <c r="F28" t="s">
        <v>16</v>
      </c>
      <c r="G28" t="s">
        <v>16</v>
      </c>
      <c r="H28" t="s">
        <v>190</v>
      </c>
      <c r="I28" t="s">
        <v>185</v>
      </c>
      <c r="J28" t="s">
        <v>186</v>
      </c>
      <c r="K28" t="s">
        <v>185</v>
      </c>
    </row>
    <row r="29" spans="1:11">
      <c r="A29" t="s">
        <v>191</v>
      </c>
      <c r="B29" t="s">
        <v>12</v>
      </c>
      <c r="C29" t="s">
        <v>192</v>
      </c>
      <c r="D29" t="s">
        <v>193</v>
      </c>
      <c r="E29" t="s">
        <v>194</v>
      </c>
      <c r="F29" t="s">
        <v>16</v>
      </c>
      <c r="G29" t="s">
        <v>16</v>
      </c>
      <c r="H29" t="s">
        <v>195</v>
      </c>
      <c r="I29" t="s">
        <v>196</v>
      </c>
      <c r="J29" t="s">
        <v>197</v>
      </c>
      <c r="K29" t="s">
        <v>196</v>
      </c>
    </row>
    <row r="30" spans="1:11">
      <c r="A30" t="s">
        <v>198</v>
      </c>
      <c r="B30" t="s">
        <v>12</v>
      </c>
      <c r="C30" t="s">
        <v>199</v>
      </c>
      <c r="D30" t="s">
        <v>200</v>
      </c>
      <c r="E30" t="s">
        <v>201</v>
      </c>
      <c r="F30" t="s">
        <v>16</v>
      </c>
      <c r="G30" t="s">
        <v>16</v>
      </c>
      <c r="H30" t="s">
        <v>202</v>
      </c>
      <c r="I30" t="s">
        <v>203</v>
      </c>
      <c r="J30" t="s">
        <v>204</v>
      </c>
      <c r="K30" t="s">
        <v>203</v>
      </c>
    </row>
    <row r="31" spans="1:11">
      <c r="A31" t="s">
        <v>205</v>
      </c>
      <c r="B31" t="s">
        <v>12</v>
      </c>
      <c r="C31" t="s">
        <v>206</v>
      </c>
      <c r="D31" t="s">
        <v>207</v>
      </c>
      <c r="E31" t="s">
        <v>208</v>
      </c>
      <c r="F31" t="s">
        <v>16</v>
      </c>
      <c r="G31" t="s">
        <v>16</v>
      </c>
      <c r="H31" t="s">
        <v>209</v>
      </c>
      <c r="I31" t="s">
        <v>210</v>
      </c>
      <c r="J31" t="s">
        <v>211</v>
      </c>
      <c r="K31" t="s">
        <v>210</v>
      </c>
    </row>
    <row r="32" spans="1:11">
      <c r="A32" t="s">
        <v>212</v>
      </c>
      <c r="B32" t="s">
        <v>12</v>
      </c>
      <c r="C32" t="s">
        <v>213</v>
      </c>
      <c r="D32" t="s">
        <v>214</v>
      </c>
      <c r="E32" t="s">
        <v>215</v>
      </c>
      <c r="F32" t="s">
        <v>16</v>
      </c>
      <c r="G32" t="s">
        <v>16</v>
      </c>
      <c r="H32" t="s">
        <v>216</v>
      </c>
      <c r="I32" t="s">
        <v>140</v>
      </c>
      <c r="J32" t="s">
        <v>217</v>
      </c>
      <c r="K32" t="s">
        <v>140</v>
      </c>
    </row>
    <row r="33" spans="1:11">
      <c r="A33" t="s">
        <v>218</v>
      </c>
      <c r="B33" t="s">
        <v>12</v>
      </c>
      <c r="C33" t="s">
        <v>219</v>
      </c>
      <c r="D33" t="s">
        <v>220</v>
      </c>
      <c r="E33" t="s">
        <v>221</v>
      </c>
      <c r="F33" t="s">
        <v>16</v>
      </c>
      <c r="G33" t="s">
        <v>16</v>
      </c>
      <c r="H33" t="s">
        <v>222</v>
      </c>
      <c r="I33" t="s">
        <v>223</v>
      </c>
      <c r="J33" t="s">
        <v>224</v>
      </c>
      <c r="K33" t="s">
        <v>223</v>
      </c>
    </row>
    <row r="34" spans="1:11">
      <c r="A34" t="s">
        <v>225</v>
      </c>
      <c r="B34" t="s">
        <v>12</v>
      </c>
      <c r="C34" t="s">
        <v>226</v>
      </c>
      <c r="D34" t="s">
        <v>227</v>
      </c>
      <c r="E34" t="s">
        <v>228</v>
      </c>
      <c r="F34" t="s">
        <v>16</v>
      </c>
      <c r="G34" t="s">
        <v>16</v>
      </c>
      <c r="H34" t="s">
        <v>229</v>
      </c>
      <c r="I34" t="s">
        <v>230</v>
      </c>
      <c r="J34" t="s">
        <v>231</v>
      </c>
      <c r="K34" t="s">
        <v>230</v>
      </c>
    </row>
    <row r="35" spans="1:11">
      <c r="A35" t="s">
        <v>232</v>
      </c>
      <c r="B35" t="s">
        <v>12</v>
      </c>
      <c r="C35" t="s">
        <v>233</v>
      </c>
      <c r="D35" t="s">
        <v>234</v>
      </c>
      <c r="E35" t="s">
        <v>235</v>
      </c>
      <c r="F35" t="s">
        <v>16</v>
      </c>
      <c r="G35" t="s">
        <v>16</v>
      </c>
      <c r="H35" t="s">
        <v>236</v>
      </c>
      <c r="I35" t="s">
        <v>237</v>
      </c>
      <c r="J35" t="s">
        <v>238</v>
      </c>
      <c r="K35" t="s">
        <v>237</v>
      </c>
    </row>
    <row r="36" spans="1:11">
      <c r="A36" t="s">
        <v>239</v>
      </c>
      <c r="B36" t="s">
        <v>12</v>
      </c>
      <c r="C36" t="s">
        <v>240</v>
      </c>
      <c r="D36" t="s">
        <v>241</v>
      </c>
      <c r="E36" t="s">
        <v>242</v>
      </c>
      <c r="F36" t="s">
        <v>16</v>
      </c>
      <c r="G36" t="s">
        <v>16</v>
      </c>
      <c r="H36" t="s">
        <v>243</v>
      </c>
      <c r="I36" t="s">
        <v>244</v>
      </c>
      <c r="J36" t="s">
        <v>245</v>
      </c>
      <c r="K36" t="s">
        <v>244</v>
      </c>
    </row>
    <row r="37" spans="1:11">
      <c r="A37" t="s">
        <v>246</v>
      </c>
      <c r="B37" t="s">
        <v>12</v>
      </c>
      <c r="C37" t="s">
        <v>240</v>
      </c>
      <c r="D37" t="s">
        <v>247</v>
      </c>
      <c r="E37" t="s">
        <v>248</v>
      </c>
      <c r="F37" t="s">
        <v>16</v>
      </c>
      <c r="G37" t="s">
        <v>16</v>
      </c>
      <c r="H37" t="s">
        <v>249</v>
      </c>
      <c r="I37" t="s">
        <v>244</v>
      </c>
      <c r="J37" t="s">
        <v>245</v>
      </c>
      <c r="K37" t="s">
        <v>244</v>
      </c>
    </row>
    <row r="38" spans="1:11">
      <c r="A38" t="s">
        <v>250</v>
      </c>
      <c r="B38" t="s">
        <v>12</v>
      </c>
      <c r="C38" t="s">
        <v>251</v>
      </c>
      <c r="D38" t="s">
        <v>252</v>
      </c>
      <c r="E38" t="s">
        <v>253</v>
      </c>
      <c r="F38" t="s">
        <v>16</v>
      </c>
      <c r="G38" t="s">
        <v>16</v>
      </c>
      <c r="H38" t="s">
        <v>254</v>
      </c>
      <c r="I38" t="s">
        <v>255</v>
      </c>
      <c r="J38" t="s">
        <v>256</v>
      </c>
      <c r="K38" t="s">
        <v>255</v>
      </c>
    </row>
    <row r="39" spans="1:11">
      <c r="A39" t="s">
        <v>257</v>
      </c>
      <c r="B39" t="s">
        <v>12</v>
      </c>
      <c r="C39" t="s">
        <v>258</v>
      </c>
      <c r="D39" t="s">
        <v>259</v>
      </c>
      <c r="E39" t="s">
        <v>260</v>
      </c>
      <c r="F39" t="s">
        <v>16</v>
      </c>
      <c r="G39" t="s">
        <v>16</v>
      </c>
      <c r="H39" t="s">
        <v>261</v>
      </c>
      <c r="I39" t="s">
        <v>199</v>
      </c>
      <c r="J39" t="s">
        <v>262</v>
      </c>
      <c r="K39" t="s">
        <v>199</v>
      </c>
    </row>
    <row r="40" spans="1:11">
      <c r="A40" t="s">
        <v>263</v>
      </c>
      <c r="B40" t="s">
        <v>12</v>
      </c>
      <c r="C40" t="s">
        <v>264</v>
      </c>
      <c r="D40" t="s">
        <v>265</v>
      </c>
      <c r="E40" t="s">
        <v>266</v>
      </c>
      <c r="F40" t="s">
        <v>16</v>
      </c>
      <c r="G40" t="s">
        <v>16</v>
      </c>
      <c r="H40" t="s">
        <v>267</v>
      </c>
      <c r="I40" t="s">
        <v>268</v>
      </c>
      <c r="J40" t="s">
        <v>269</v>
      </c>
      <c r="K40" t="s">
        <v>268</v>
      </c>
    </row>
    <row r="41" spans="1:11">
      <c r="A41" t="s">
        <v>270</v>
      </c>
      <c r="B41" t="s">
        <v>12</v>
      </c>
      <c r="C41" t="s">
        <v>271</v>
      </c>
      <c r="D41" t="s">
        <v>272</v>
      </c>
      <c r="E41" t="s">
        <v>273</v>
      </c>
      <c r="F41" t="s">
        <v>16</v>
      </c>
      <c r="G41" t="s">
        <v>16</v>
      </c>
      <c r="H41" t="s">
        <v>274</v>
      </c>
      <c r="I41" t="s">
        <v>275</v>
      </c>
      <c r="J41" t="s">
        <v>276</v>
      </c>
      <c r="K41" t="s">
        <v>275</v>
      </c>
    </row>
    <row r="42" spans="1:11">
      <c r="A42" t="s">
        <v>277</v>
      </c>
      <c r="B42" t="s">
        <v>12</v>
      </c>
      <c r="C42" t="s">
        <v>278</v>
      </c>
      <c r="D42" t="s">
        <v>279</v>
      </c>
      <c r="E42" t="s">
        <v>280</v>
      </c>
      <c r="F42" t="s">
        <v>16</v>
      </c>
      <c r="G42" t="s">
        <v>16</v>
      </c>
      <c r="H42" t="s">
        <v>281</v>
      </c>
      <c r="I42" t="s">
        <v>282</v>
      </c>
      <c r="J42" t="s">
        <v>283</v>
      </c>
      <c r="K42" t="s">
        <v>282</v>
      </c>
    </row>
    <row r="43" spans="1:11">
      <c r="A43" t="s">
        <v>284</v>
      </c>
      <c r="B43" t="s">
        <v>12</v>
      </c>
      <c r="C43" t="s">
        <v>285</v>
      </c>
      <c r="D43" t="s">
        <v>286</v>
      </c>
      <c r="E43" t="s">
        <v>287</v>
      </c>
      <c r="F43" t="s">
        <v>16</v>
      </c>
      <c r="G43" t="s">
        <v>16</v>
      </c>
      <c r="H43" t="s">
        <v>288</v>
      </c>
      <c r="I43" t="s">
        <v>289</v>
      </c>
      <c r="J43" t="s">
        <v>290</v>
      </c>
      <c r="K43" t="s">
        <v>289</v>
      </c>
    </row>
    <row r="44" spans="1:11">
      <c r="A44" t="s">
        <v>291</v>
      </c>
      <c r="B44" t="s">
        <v>12</v>
      </c>
      <c r="C44" t="s">
        <v>292</v>
      </c>
      <c r="D44" t="s">
        <v>293</v>
      </c>
      <c r="E44" t="s">
        <v>294</v>
      </c>
      <c r="F44" t="s">
        <v>16</v>
      </c>
      <c r="G44" t="s">
        <v>16</v>
      </c>
      <c r="H44" t="s">
        <v>295</v>
      </c>
      <c r="I44" t="s">
        <v>296</v>
      </c>
      <c r="J44" t="s">
        <v>297</v>
      </c>
      <c r="K44" t="s">
        <v>296</v>
      </c>
    </row>
    <row r="45" spans="1:11">
      <c r="A45" t="s">
        <v>298</v>
      </c>
      <c r="B45" t="s">
        <v>12</v>
      </c>
      <c r="C45" t="s">
        <v>299</v>
      </c>
      <c r="D45" t="s">
        <v>300</v>
      </c>
      <c r="E45" t="s">
        <v>301</v>
      </c>
      <c r="F45" t="s">
        <v>16</v>
      </c>
      <c r="G45" t="s">
        <v>16</v>
      </c>
      <c r="H45" t="s">
        <v>302</v>
      </c>
      <c r="I45" t="s">
        <v>303</v>
      </c>
      <c r="J45" t="s">
        <v>304</v>
      </c>
      <c r="K45" t="s">
        <v>303</v>
      </c>
    </row>
    <row r="46" spans="1:11">
      <c r="A46" t="s">
        <v>305</v>
      </c>
      <c r="B46" t="s">
        <v>12</v>
      </c>
      <c r="C46" t="s">
        <v>306</v>
      </c>
      <c r="D46" t="s">
        <v>307</v>
      </c>
      <c r="E46" t="s">
        <v>308</v>
      </c>
      <c r="F46" t="s">
        <v>16</v>
      </c>
      <c r="G46" t="s">
        <v>16</v>
      </c>
      <c r="H46" t="s">
        <v>309</v>
      </c>
      <c r="I46" t="s">
        <v>310</v>
      </c>
      <c r="J46" t="s">
        <v>311</v>
      </c>
      <c r="K46" t="s">
        <v>310</v>
      </c>
    </row>
    <row r="47" spans="1:11">
      <c r="A47" t="s">
        <v>312</v>
      </c>
      <c r="B47" t="s">
        <v>12</v>
      </c>
      <c r="C47" t="s">
        <v>313</v>
      </c>
      <c r="D47" t="s">
        <v>314</v>
      </c>
      <c r="E47" t="s">
        <v>315</v>
      </c>
      <c r="F47" t="s">
        <v>16</v>
      </c>
      <c r="G47" t="s">
        <v>16</v>
      </c>
      <c r="H47" t="s">
        <v>316</v>
      </c>
      <c r="I47" t="s">
        <v>317</v>
      </c>
      <c r="J47" t="s">
        <v>318</v>
      </c>
      <c r="K47" t="s">
        <v>317</v>
      </c>
    </row>
    <row r="48" spans="1:11">
      <c r="A48" t="s">
        <v>319</v>
      </c>
      <c r="B48" t="s">
        <v>12</v>
      </c>
      <c r="C48" t="s">
        <v>320</v>
      </c>
      <c r="D48" t="s">
        <v>321</v>
      </c>
      <c r="E48" t="s">
        <v>322</v>
      </c>
      <c r="F48" t="s">
        <v>16</v>
      </c>
      <c r="G48" t="s">
        <v>16</v>
      </c>
      <c r="H48" t="s">
        <v>323</v>
      </c>
      <c r="I48" t="s">
        <v>278</v>
      </c>
      <c r="J48" t="s">
        <v>324</v>
      </c>
      <c r="K48" t="s">
        <v>278</v>
      </c>
    </row>
    <row r="49" spans="1:11">
      <c r="A49" t="s">
        <v>325</v>
      </c>
      <c r="B49" t="s">
        <v>12</v>
      </c>
      <c r="C49" t="s">
        <v>326</v>
      </c>
      <c r="D49" t="s">
        <v>327</v>
      </c>
      <c r="E49" t="s">
        <v>328</v>
      </c>
      <c r="F49" t="s">
        <v>16</v>
      </c>
      <c r="G49" t="s">
        <v>16</v>
      </c>
      <c r="H49" t="s">
        <v>329</v>
      </c>
      <c r="I49" t="s">
        <v>330</v>
      </c>
      <c r="J49" t="s">
        <v>331</v>
      </c>
      <c r="K49" t="s">
        <v>330</v>
      </c>
    </row>
    <row r="50" spans="1:11">
      <c r="A50" t="s">
        <v>332</v>
      </c>
      <c r="B50" t="s">
        <v>12</v>
      </c>
      <c r="C50" t="s">
        <v>333</v>
      </c>
      <c r="D50" t="s">
        <v>334</v>
      </c>
      <c r="E50" t="s">
        <v>335</v>
      </c>
      <c r="F50" t="s">
        <v>16</v>
      </c>
      <c r="G50" t="s">
        <v>16</v>
      </c>
      <c r="H50" t="s">
        <v>336</v>
      </c>
      <c r="I50" t="s">
        <v>337</v>
      </c>
      <c r="J50" t="s">
        <v>338</v>
      </c>
      <c r="K50" t="s">
        <v>337</v>
      </c>
    </row>
    <row r="51" spans="1:11">
      <c r="A51" t="s">
        <v>339</v>
      </c>
      <c r="B51" t="s">
        <v>12</v>
      </c>
      <c r="C51" t="s">
        <v>340</v>
      </c>
      <c r="D51" t="s">
        <v>341</v>
      </c>
      <c r="E51" t="s">
        <v>342</v>
      </c>
      <c r="F51" t="s">
        <v>16</v>
      </c>
      <c r="G51" t="s">
        <v>16</v>
      </c>
      <c r="H51" t="s">
        <v>343</v>
      </c>
      <c r="I51" t="s">
        <v>344</v>
      </c>
      <c r="J51" t="s">
        <v>345</v>
      </c>
      <c r="K51" t="s">
        <v>344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BDH("VINO US Equity","BS_TOT_ASSET","2019-08-23","2024-08-23","Per=Y","Days=T","Dir=V")</f>
        <v>0</v>
      </c>
      <c r="C2">
        <f>BDH("VINO US Equity","BS_TOT_LIAB2","2019-08-23","2024-08-23","Per=Y","Days=T","Dir=V")</f>
        <v>0</v>
      </c>
      <c r="E2">
        <f>BDH("VINO US Equity","SHORT_AND_LONG_TERM_DEBT","2019-08-23","2024-08-23","Per=Y","Days=T","Dir=V")</f>
        <v>0</v>
      </c>
      <c r="G2">
        <f>BDH("VINO US Equity","BS_ST_BORROW","2019-08-23","2024-08-23","Per=Y","Days=T","Dir=V")</f>
        <v>0</v>
      </c>
      <c r="I2">
        <f>BDH("VINO US Equity","BS_LT_BORROW","2019-08-23","2024-08-23","Per=Y","Days=T","Dir=V")</f>
        <v>0</v>
      </c>
      <c r="K2">
        <f>BDH("VINO US Equity","BS_CASH_NEAR_CASH_ITEM","2019-08-23","2024-08-23","Per=Y","Days=T","Dir=V")</f>
        <v>0</v>
      </c>
      <c r="M2">
        <f>BDH("VINO US Equity","BS_CUR_ASSET_REPORT","2019-08-23","2024-08-23","Per=Y","Days=T","Dir=V")</f>
        <v>0</v>
      </c>
      <c r="O2">
        <f>BDH("VINO US Equity","BS_CUR_LIAB","2019-08-23","2024-08-23","Per=Y","Days=T","Dir=V")</f>
        <v>0</v>
      </c>
      <c r="Q2">
        <f>BDH("VINO US Equity","BS_SHAREHOLDER_EQY_ENDING_PERIOD","2019-08-23","2024-08-23","Per=Y","Days=T","Dir=V")</f>
        <v>0</v>
      </c>
      <c r="S2">
        <f>BDH("VINO US Equity","BS_ACCT_NOTE_RCV","2019-08-23","2024-08-23","Per=Y","Days=T","Dir=V")</f>
        <v>0</v>
      </c>
      <c r="U2">
        <f>BDH("VINO US Equity","BS_INVENTORIES","2019-08-23","2024-08-23","Per=Y","Days=T","Dir=V")</f>
        <v>0</v>
      </c>
      <c r="W2">
        <f>BDH("VINO US Equity","WORKING_CAPITAL","2019-08-23","2024-08-23","Per=Y","Days=T","Dir=V")</f>
        <v>0</v>
      </c>
      <c r="Y2">
        <f>BDH("VINO US Equity","SALES_REV_TURN","2019-08-23","2024-08-23","Per=Y","Days=T","Dir=V")</f>
        <v>0</v>
      </c>
      <c r="AA2">
        <f>BDH("VINO US Equity","EBIT","2019-08-23","2024-08-23","Per=Y","Days=T","Dir=V")</f>
        <v>0</v>
      </c>
      <c r="AC2">
        <f>BDH("VINO US Equity","EBITDA","2019-08-23","2024-08-23","Per=Y","Days=T","Dir=V")</f>
        <v>0</v>
      </c>
      <c r="AE2">
        <f>BDH("VINO US Equity","NET_INCOME","2019-08-23","2024-08-23","Per=Y","Days=T","Dir=V")</f>
        <v>0</v>
      </c>
      <c r="AG2">
        <f>BDH("VINO US Equity","IS_INT_EXPENSE","2019-08-23","2024-08-23","Per=Y","Days=T","Dir=V")</f>
        <v>0</v>
      </c>
      <c r="AI2">
        <f>BDH("VINO US Equity","IS_DEPR_EXP","2019-08-23","2024-08-23","Per=Y","Days=T","Dir=V")</f>
        <v>0</v>
      </c>
      <c r="AK2">
        <f>BDH("VINO US Equity","CF_CASH_FROM_OPER","2019-08-23","2024-08-23","Per=Y","Days=T","Dir=V")</f>
        <v>0</v>
      </c>
      <c r="AM2">
        <f>BDH("VINO US Equity","CAPITAL_EXPEND","2019-08-23","2024-08-23","Per=Y","Days=T","Dir=V")</f>
        <v>0</v>
      </c>
      <c r="AO2">
        <f>BDH("VINO US Equity","CF_FREE_CASH_FLOW","2019-08-23","2024-08-23","Per=Y","Days=T","Dir=V")</f>
        <v>0</v>
      </c>
      <c r="AQ2">
        <f>BDH("VINO US Equity","PX_LAST","2019-08-23","2024-08-23","Per=M","Days=T","Dir=V")</f>
        <v>0</v>
      </c>
      <c r="AS2">
        <f>BDH("VINO US Equity","CUR_MKT_CAP","2019-08-23","2024-08-23","Per=M","Days=T","Dir=V")</f>
        <v>0</v>
      </c>
      <c r="AU2">
        <f>BDH("VINO US Equity","EQY_SH_OUT","2019-08-23","2024-08-23","Per=M","Days=T","Dir=V")</f>
        <v>0</v>
      </c>
      <c r="AW2">
        <f>BDH("VINO US Equity","BETA_RAW_OVERRIABLE","2019-08-23","2024-08-23","Per=M","Days=T","Dir=V")</f>
        <v>0</v>
      </c>
      <c r="AY2">
        <f>BDH("VINO US Equity","PX_VOLUME","2019-08-23","2024-08-23","Per=M","Days=T","Dir=V")</f>
        <v>0</v>
      </c>
      <c r="BA2">
        <f>BDH("VINO US Equity","TURNOVER","2019-08-23","2024-08-23","Per=M","Days=T","Dir=V")</f>
        <v>0</v>
      </c>
      <c r="BC2">
        <f>BDH("VINO US Equity","SPREAD_BA_CR","2019-08-23","2024-08-23","Per=M","Days=T","Dir=V")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BDH("CMAXQ US Equity","BS_TOT_ASSET","2019-08-29","2024-08-29","Per=Y","Days=T","Dir=V")</f>
        <v>0</v>
      </c>
      <c r="C2">
        <f>BDH("CMAXQ US Equity","BS_TOT_LIAB2","2019-08-29","2024-08-29","Per=Y","Days=T","Dir=V")</f>
        <v>0</v>
      </c>
      <c r="E2">
        <f>BDH("CMAXQ US Equity","SHORT_AND_LONG_TERM_DEBT","2019-08-29","2024-08-29","Per=Y","Days=T","Dir=V")</f>
        <v>0</v>
      </c>
      <c r="G2">
        <f>BDH("CMAXQ US Equity","BS_ST_BORROW","2019-08-29","2024-08-29","Per=Y","Days=T","Dir=V")</f>
        <v>0</v>
      </c>
      <c r="I2">
        <f>BDH("CMAXQ US Equity","BS_LT_BORROW","2019-08-29","2024-08-29","Per=Y","Days=T","Dir=V")</f>
        <v>0</v>
      </c>
      <c r="K2">
        <f>BDH("CMAXQ US Equity","BS_CASH_NEAR_CASH_ITEM","2019-08-29","2024-08-29","Per=Y","Days=T","Dir=V")</f>
        <v>0</v>
      </c>
      <c r="M2">
        <f>BDH("CMAXQ US Equity","BS_CUR_ASSET_REPORT","2019-08-29","2024-08-29","Per=Y","Days=T","Dir=V")</f>
        <v>0</v>
      </c>
      <c r="O2">
        <f>BDH("CMAXQ US Equity","BS_CUR_LIAB","2019-08-29","2024-08-29","Per=Y","Days=T","Dir=V")</f>
        <v>0</v>
      </c>
      <c r="Q2">
        <f>BDH("CMAXQ US Equity","BS_SHAREHOLDER_EQY_ENDING_PERIOD","2019-08-29","2024-08-29","Per=Y","Days=T","Dir=V")</f>
        <v>0</v>
      </c>
      <c r="S2">
        <f>BDH("CMAXQ US Equity","BS_ACCT_NOTE_RCV","2019-08-29","2024-08-29","Per=Y","Days=T","Dir=V")</f>
        <v>0</v>
      </c>
      <c r="U2">
        <f>BDH("CMAXQ US Equity","BS_INVENTORIES","2019-08-29","2024-08-29","Per=Y","Days=T","Dir=V")</f>
        <v>0</v>
      </c>
      <c r="W2">
        <f>BDH("CMAXQ US Equity","WORKING_CAPITAL","2019-08-29","2024-08-29","Per=Y","Days=T","Dir=V")</f>
        <v>0</v>
      </c>
      <c r="Y2">
        <f>BDH("CMAXQ US Equity","SALES_REV_TURN","2019-08-29","2024-08-29","Per=Y","Days=T","Dir=V")</f>
        <v>0</v>
      </c>
      <c r="AA2">
        <f>BDH("CMAXQ US Equity","EBIT","2019-08-29","2024-08-29","Per=Y","Days=T","Dir=V")</f>
        <v>0</v>
      </c>
      <c r="AC2">
        <f>BDH("CMAXQ US Equity","EBITDA","2019-08-29","2024-08-29","Per=Y","Days=T","Dir=V")</f>
        <v>0</v>
      </c>
      <c r="AE2">
        <f>BDH("CMAXQ US Equity","NET_INCOME","2019-08-29","2024-08-29","Per=Y","Days=T","Dir=V")</f>
        <v>0</v>
      </c>
      <c r="AG2">
        <f>BDH("CMAXQ US Equity","IS_INT_EXPENSE","2019-08-29","2024-08-29","Per=Y","Days=T","Dir=V")</f>
        <v>0</v>
      </c>
      <c r="AI2">
        <f>BDH("CMAXQ US Equity","IS_DEPR_EXP","2019-08-29","2024-08-29","Per=Y","Days=T","Dir=V")</f>
        <v>0</v>
      </c>
      <c r="AK2">
        <f>BDH("CMAXQ US Equity","CF_CASH_FROM_OPER","2019-08-29","2024-08-29","Per=Y","Days=T","Dir=V")</f>
        <v>0</v>
      </c>
      <c r="AM2">
        <f>BDH("CMAXQ US Equity","CAPITAL_EXPEND","2019-08-29","2024-08-29","Per=Y","Days=T","Dir=V")</f>
        <v>0</v>
      </c>
      <c r="AO2">
        <f>BDH("CMAXQ US Equity","CF_FREE_CASH_FLOW","2019-08-29","2024-08-29","Per=Y","Days=T","Dir=V")</f>
        <v>0</v>
      </c>
      <c r="AQ2">
        <f>BDH("CMAXQ US Equity","PX_LAST","2019-08-29","2024-08-29","Per=M","Days=T","Dir=V")</f>
        <v>0</v>
      </c>
      <c r="AS2">
        <f>BDH("CMAXQ US Equity","CUR_MKT_CAP","2019-08-29","2024-08-29","Per=M","Days=T","Dir=V")</f>
        <v>0</v>
      </c>
      <c r="AU2">
        <f>BDH("CMAXQ US Equity","EQY_SH_OUT","2019-08-29","2024-08-29","Per=M","Days=T","Dir=V")</f>
        <v>0</v>
      </c>
      <c r="AW2">
        <f>BDH("CMAXQ US Equity","BETA_RAW_OVERRIABLE","2019-08-29","2024-08-29","Per=M","Days=T","Dir=V")</f>
        <v>0</v>
      </c>
      <c r="AY2">
        <f>BDH("CMAXQ US Equity","PX_VOLUME","2019-08-29","2024-08-29","Per=M","Days=T","Dir=V")</f>
        <v>0</v>
      </c>
      <c r="BA2">
        <f>BDH("CMAXQ US Equity","TURNOVER","2019-08-29","2024-08-29","Per=M","Days=T","Dir=V")</f>
        <v>0</v>
      </c>
      <c r="BC2">
        <f>BDH("CMAXQ US Equity","SPREAD_BA_CR","2019-08-29","2024-08-29","Per=M","Days=T","Dir=V")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BDH("ENGCQ US Equity","BS_TOT_ASSET","2019-09-06","2024-09-06","Per=Y","Days=T","Dir=V")</f>
        <v>0</v>
      </c>
      <c r="C2">
        <f>BDH("ENGCQ US Equity","BS_TOT_LIAB2","2019-09-06","2024-09-06","Per=Y","Days=T","Dir=V")</f>
        <v>0</v>
      </c>
      <c r="E2">
        <f>BDH("ENGCQ US Equity","SHORT_AND_LONG_TERM_DEBT","2019-09-06","2024-09-06","Per=Y","Days=T","Dir=V")</f>
        <v>0</v>
      </c>
      <c r="G2">
        <f>BDH("ENGCQ US Equity","BS_ST_BORROW","2019-09-06","2024-09-06","Per=Y","Days=T","Dir=V")</f>
        <v>0</v>
      </c>
      <c r="I2">
        <f>BDH("ENGCQ US Equity","BS_LT_BORROW","2019-09-06","2024-09-06","Per=Y","Days=T","Dir=V")</f>
        <v>0</v>
      </c>
      <c r="K2">
        <f>BDH("ENGCQ US Equity","BS_CASH_NEAR_CASH_ITEM","2019-09-06","2024-09-06","Per=Y","Days=T","Dir=V")</f>
        <v>0</v>
      </c>
      <c r="M2">
        <f>BDH("ENGCQ US Equity","BS_CUR_ASSET_REPORT","2019-09-06","2024-09-06","Per=Y","Days=T","Dir=V")</f>
        <v>0</v>
      </c>
      <c r="O2">
        <f>BDH("ENGCQ US Equity","BS_CUR_LIAB","2019-09-06","2024-09-06","Per=Y","Days=T","Dir=V")</f>
        <v>0</v>
      </c>
      <c r="Q2">
        <f>BDH("ENGCQ US Equity","BS_SHAREHOLDER_EQY_ENDING_PERIOD","2019-09-06","2024-09-06","Per=Y","Days=T","Dir=V")</f>
        <v>0</v>
      </c>
      <c r="S2">
        <f>BDH("ENGCQ US Equity","BS_ACCT_NOTE_RCV","2019-09-06","2024-09-06","Per=Y","Days=T","Dir=V")</f>
        <v>0</v>
      </c>
      <c r="U2">
        <f>BDH("ENGCQ US Equity","BS_INVENTORIES","2019-09-06","2024-09-06","Per=Y","Days=T","Dir=V")</f>
        <v>0</v>
      </c>
      <c r="W2">
        <f>BDH("ENGCQ US Equity","WORKING_CAPITAL","2019-09-06","2024-09-06","Per=Y","Days=T","Dir=V")</f>
        <v>0</v>
      </c>
      <c r="Y2">
        <f>BDH("ENGCQ US Equity","SALES_REV_TURN","2019-09-06","2024-09-06","Per=Y","Days=T","Dir=V")</f>
        <v>0</v>
      </c>
      <c r="AA2">
        <f>BDH("ENGCQ US Equity","EBIT","2019-09-06","2024-09-06","Per=Y","Days=T","Dir=V")</f>
        <v>0</v>
      </c>
      <c r="AC2">
        <f>BDH("ENGCQ US Equity","EBITDA","2019-09-06","2024-09-06","Per=Y","Days=T","Dir=V")</f>
        <v>0</v>
      </c>
      <c r="AE2">
        <f>BDH("ENGCQ US Equity","NET_INCOME","2019-09-06","2024-09-06","Per=Y","Days=T","Dir=V")</f>
        <v>0</v>
      </c>
      <c r="AG2">
        <f>BDH("ENGCQ US Equity","IS_INT_EXPENSE","2019-09-06","2024-09-06","Per=Y","Days=T","Dir=V")</f>
        <v>0</v>
      </c>
      <c r="AI2">
        <f>BDH("ENGCQ US Equity","IS_DEPR_EXP","2019-09-06","2024-09-06","Per=Y","Days=T","Dir=V")</f>
        <v>0</v>
      </c>
      <c r="AK2">
        <f>BDH("ENGCQ US Equity","CF_CASH_FROM_OPER","2019-09-06","2024-09-06","Per=Y","Days=T","Dir=V")</f>
        <v>0</v>
      </c>
      <c r="AM2">
        <f>BDH("ENGCQ US Equity","CAPITAL_EXPEND","2019-09-06","2024-09-06","Per=Y","Days=T","Dir=V")</f>
        <v>0</v>
      </c>
      <c r="AO2">
        <f>BDH("ENGCQ US Equity","CF_FREE_CASH_FLOW","2019-09-06","2024-09-06","Per=Y","Days=T","Dir=V")</f>
        <v>0</v>
      </c>
      <c r="AQ2">
        <f>BDH("ENGCQ US Equity","PX_LAST","2019-09-06","2024-09-06","Per=M","Days=T","Dir=V")</f>
        <v>0</v>
      </c>
      <c r="AS2">
        <f>BDH("ENGCQ US Equity","CUR_MKT_CAP","2019-09-06","2024-09-06","Per=M","Days=T","Dir=V")</f>
        <v>0</v>
      </c>
      <c r="AU2">
        <f>BDH("ENGCQ US Equity","EQY_SH_OUT","2019-09-06","2024-09-06","Per=M","Days=T","Dir=V")</f>
        <v>0</v>
      </c>
      <c r="AW2">
        <f>BDH("ENGCQ US Equity","BETA_RAW_OVERRIABLE","2019-09-06","2024-09-06","Per=M","Days=T","Dir=V")</f>
        <v>0</v>
      </c>
      <c r="AY2">
        <f>BDH("ENGCQ US Equity","PX_VOLUME","2019-09-06","2024-09-06","Per=M","Days=T","Dir=V")</f>
        <v>0</v>
      </c>
      <c r="BA2">
        <f>BDH("ENGCQ US Equity","TURNOVER","2019-09-06","2024-09-06","Per=M","Days=T","Dir=V")</f>
        <v>0</v>
      </c>
      <c r="BC2">
        <f>BDH("ENGCQ US Equity","SPREAD_BA_CR","2019-09-06","2024-09-06","Per=M","Days=T","Dir=V")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BDH("MOND US Equity","BS_TOT_ASSET","2019-09-06","2024-09-06","Per=Y","Days=T","Dir=V")</f>
        <v>0</v>
      </c>
      <c r="C2">
        <f>BDH("MOND US Equity","BS_TOT_LIAB2","2019-09-06","2024-09-06","Per=Y","Days=T","Dir=V")</f>
        <v>0</v>
      </c>
      <c r="E2">
        <f>BDH("MOND US Equity","SHORT_AND_LONG_TERM_DEBT","2019-09-06","2024-09-06","Per=Y","Days=T","Dir=V")</f>
        <v>0</v>
      </c>
      <c r="G2">
        <f>BDH("MOND US Equity","BS_ST_BORROW","2019-09-06","2024-09-06","Per=Y","Days=T","Dir=V")</f>
        <v>0</v>
      </c>
      <c r="I2">
        <f>BDH("MOND US Equity","BS_LT_BORROW","2019-09-06","2024-09-06","Per=Y","Days=T","Dir=V")</f>
        <v>0</v>
      </c>
      <c r="K2">
        <f>BDH("MOND US Equity","BS_CASH_NEAR_CASH_ITEM","2019-09-06","2024-09-06","Per=Y","Days=T","Dir=V")</f>
        <v>0</v>
      </c>
      <c r="M2">
        <f>BDH("MOND US Equity","BS_CUR_ASSET_REPORT","2019-09-06","2024-09-06","Per=Y","Days=T","Dir=V")</f>
        <v>0</v>
      </c>
      <c r="O2">
        <f>BDH("MOND US Equity","BS_CUR_LIAB","2019-09-06","2024-09-06","Per=Y","Days=T","Dir=V")</f>
        <v>0</v>
      </c>
      <c r="Q2">
        <f>BDH("MOND US Equity","BS_SHAREHOLDER_EQY_ENDING_PERIOD","2019-09-06","2024-09-06","Per=Y","Days=T","Dir=V")</f>
        <v>0</v>
      </c>
      <c r="S2">
        <f>BDH("MOND US Equity","BS_ACCT_NOTE_RCV","2019-09-06","2024-09-06","Per=Y","Days=T","Dir=V")</f>
        <v>0</v>
      </c>
      <c r="U2">
        <f>BDH("MOND US Equity","BS_INVENTORIES","2019-09-06","2024-09-06","Per=Y","Days=T","Dir=V")</f>
        <v>0</v>
      </c>
      <c r="W2">
        <f>BDH("MOND US Equity","WORKING_CAPITAL","2019-09-06","2024-09-06","Per=Y","Days=T","Dir=V")</f>
        <v>0</v>
      </c>
      <c r="Y2">
        <f>BDH("MOND US Equity","SALES_REV_TURN","2019-09-06","2024-09-06","Per=Y","Days=T","Dir=V")</f>
        <v>0</v>
      </c>
      <c r="AA2">
        <f>BDH("MOND US Equity","EBIT","2019-09-06","2024-09-06","Per=Y","Days=T","Dir=V")</f>
        <v>0</v>
      </c>
      <c r="AC2">
        <f>BDH("MOND US Equity","EBITDA","2019-09-06","2024-09-06","Per=Y","Days=T","Dir=V")</f>
        <v>0</v>
      </c>
      <c r="AE2">
        <f>BDH("MOND US Equity","NET_INCOME","2019-09-06","2024-09-06","Per=Y","Days=T","Dir=V")</f>
        <v>0</v>
      </c>
      <c r="AG2">
        <f>BDH("MOND US Equity","IS_INT_EXPENSE","2019-09-06","2024-09-06","Per=Y","Days=T","Dir=V")</f>
        <v>0</v>
      </c>
      <c r="AI2">
        <f>BDH("MOND US Equity","IS_DEPR_EXP","2019-09-06","2024-09-06","Per=Y","Days=T","Dir=V")</f>
        <v>0</v>
      </c>
      <c r="AK2">
        <f>BDH("MOND US Equity","CF_CASH_FROM_OPER","2019-09-06","2024-09-06","Per=Y","Days=T","Dir=V")</f>
        <v>0</v>
      </c>
      <c r="AM2">
        <f>BDH("MOND US Equity","CAPITAL_EXPEND","2019-09-06","2024-09-06","Per=Y","Days=T","Dir=V")</f>
        <v>0</v>
      </c>
      <c r="AO2">
        <f>BDH("MOND US Equity","CF_FREE_CASH_FLOW","2019-09-06","2024-09-06","Per=Y","Days=T","Dir=V")</f>
        <v>0</v>
      </c>
      <c r="AQ2">
        <f>BDH("MOND US Equity","PX_LAST","2019-09-06","2024-09-06","Per=M","Days=T","Dir=V")</f>
        <v>0</v>
      </c>
      <c r="AS2">
        <f>BDH("MOND US Equity","CUR_MKT_CAP","2019-09-06","2024-09-06","Per=M","Days=T","Dir=V")</f>
        <v>0</v>
      </c>
      <c r="AU2">
        <f>BDH("MOND US Equity","EQY_SH_OUT","2019-09-06","2024-09-06","Per=M","Days=T","Dir=V")</f>
        <v>0</v>
      </c>
      <c r="AW2">
        <f>BDH("MOND US Equity","BETA_RAW_OVERRIABLE","2019-09-06","2024-09-06","Per=M","Days=T","Dir=V")</f>
        <v>0</v>
      </c>
      <c r="AY2">
        <f>BDH("MOND US Equity","PX_VOLUME","2019-09-06","2024-09-06","Per=M","Days=T","Dir=V")</f>
        <v>0</v>
      </c>
      <c r="BA2">
        <f>BDH("MOND US Equity","TURNOVER","2019-09-06","2024-09-06","Per=M","Days=T","Dir=V")</f>
        <v>0</v>
      </c>
      <c r="BC2">
        <f>BDH("MOND US Equity","SPREAD_BA_CR","2019-09-06","2024-09-06","Per=M","Days=T","Dir=V")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BDH("TCSGQ US Equity","BS_TOT_ASSET","2019-09-10","2024-09-10","Per=Y","Days=T","Dir=V")</f>
        <v>0</v>
      </c>
      <c r="C2">
        <f>BDH("TCSGQ US Equity","BS_TOT_LIAB2","2019-09-10","2024-09-10","Per=Y","Days=T","Dir=V")</f>
        <v>0</v>
      </c>
      <c r="E2">
        <f>BDH("TCSGQ US Equity","SHORT_AND_LONG_TERM_DEBT","2019-09-10","2024-09-10","Per=Y","Days=T","Dir=V")</f>
        <v>0</v>
      </c>
      <c r="G2">
        <f>BDH("TCSGQ US Equity","BS_ST_BORROW","2019-09-10","2024-09-10","Per=Y","Days=T","Dir=V")</f>
        <v>0</v>
      </c>
      <c r="I2">
        <f>BDH("TCSGQ US Equity","BS_LT_BORROW","2019-09-10","2024-09-10","Per=Y","Days=T","Dir=V")</f>
        <v>0</v>
      </c>
      <c r="K2">
        <f>BDH("TCSGQ US Equity","BS_CASH_NEAR_CASH_ITEM","2019-09-10","2024-09-10","Per=Y","Days=T","Dir=V")</f>
        <v>0</v>
      </c>
      <c r="M2">
        <f>BDH("TCSGQ US Equity","BS_CUR_ASSET_REPORT","2019-09-10","2024-09-10","Per=Y","Days=T","Dir=V")</f>
        <v>0</v>
      </c>
      <c r="O2">
        <f>BDH("TCSGQ US Equity","BS_CUR_LIAB","2019-09-10","2024-09-10","Per=Y","Days=T","Dir=V")</f>
        <v>0</v>
      </c>
      <c r="Q2">
        <f>BDH("TCSGQ US Equity","BS_SHAREHOLDER_EQY_ENDING_PERIOD","2019-09-10","2024-09-10","Per=Y","Days=T","Dir=V")</f>
        <v>0</v>
      </c>
      <c r="S2">
        <f>BDH("TCSGQ US Equity","BS_ACCT_NOTE_RCV","2019-09-10","2024-09-10","Per=Y","Days=T","Dir=V")</f>
        <v>0</v>
      </c>
      <c r="U2">
        <f>BDH("TCSGQ US Equity","BS_INVENTORIES","2019-09-10","2024-09-10","Per=Y","Days=T","Dir=V")</f>
        <v>0</v>
      </c>
      <c r="W2">
        <f>BDH("TCSGQ US Equity","WORKING_CAPITAL","2019-09-10","2024-09-10","Per=Y","Days=T","Dir=V")</f>
        <v>0</v>
      </c>
      <c r="Y2">
        <f>BDH("TCSGQ US Equity","SALES_REV_TURN","2019-09-10","2024-09-10","Per=Y","Days=T","Dir=V")</f>
        <v>0</v>
      </c>
      <c r="AA2">
        <f>BDH("TCSGQ US Equity","EBIT","2019-09-10","2024-09-10","Per=Y","Days=T","Dir=V")</f>
        <v>0</v>
      </c>
      <c r="AC2">
        <f>BDH("TCSGQ US Equity","EBITDA","2019-09-10","2024-09-10","Per=Y","Days=T","Dir=V")</f>
        <v>0</v>
      </c>
      <c r="AE2">
        <f>BDH("TCSGQ US Equity","NET_INCOME","2019-09-10","2024-09-10","Per=Y","Days=T","Dir=V")</f>
        <v>0</v>
      </c>
      <c r="AG2">
        <f>BDH("TCSGQ US Equity","IS_INT_EXPENSE","2019-09-10","2024-09-10","Per=Y","Days=T","Dir=V")</f>
        <v>0</v>
      </c>
      <c r="AI2">
        <f>BDH("TCSGQ US Equity","IS_DEPR_EXP","2019-09-10","2024-09-10","Per=Y","Days=T","Dir=V")</f>
        <v>0</v>
      </c>
      <c r="AK2">
        <f>BDH("TCSGQ US Equity","CF_CASH_FROM_OPER","2019-09-10","2024-09-10","Per=Y","Days=T","Dir=V")</f>
        <v>0</v>
      </c>
      <c r="AM2">
        <f>BDH("TCSGQ US Equity","CAPITAL_EXPEND","2019-09-10","2024-09-10","Per=Y","Days=T","Dir=V")</f>
        <v>0</v>
      </c>
      <c r="AO2">
        <f>BDH("TCSGQ US Equity","CF_FREE_CASH_FLOW","2019-09-10","2024-09-10","Per=Y","Days=T","Dir=V")</f>
        <v>0</v>
      </c>
      <c r="AQ2">
        <f>BDH("TCSGQ US Equity","PX_LAST","2019-09-10","2024-09-10","Per=M","Days=T","Dir=V")</f>
        <v>0</v>
      </c>
      <c r="AS2">
        <f>BDH("TCSGQ US Equity","CUR_MKT_CAP","2019-09-10","2024-09-10","Per=M","Days=T","Dir=V")</f>
        <v>0</v>
      </c>
      <c r="AU2">
        <f>BDH("TCSGQ US Equity","EQY_SH_OUT","2019-09-10","2024-09-10","Per=M","Days=T","Dir=V")</f>
        <v>0</v>
      </c>
      <c r="AW2">
        <f>BDH("TCSGQ US Equity","BETA_RAW_OVERRIABLE","2019-09-10","2024-09-10","Per=M","Days=T","Dir=V")</f>
        <v>0</v>
      </c>
      <c r="AY2">
        <f>BDH("TCSGQ US Equity","PX_VOLUME","2019-09-10","2024-09-10","Per=M","Days=T","Dir=V")</f>
        <v>0</v>
      </c>
      <c r="BA2">
        <f>BDH("TCSGQ US Equity","TURNOVER","2019-09-10","2024-09-10","Per=M","Days=T","Dir=V")</f>
        <v>0</v>
      </c>
      <c r="BC2">
        <f>BDH("TCSGQ US Equity","SPREAD_BA_CR","2019-09-10","2024-09-10","Per=M","Days=T","Dir=V")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BDH("TFFP US Equity","BS_TOT_ASSET","2019-09-13","2024-09-13","Per=Y","Days=T","Dir=V")</f>
        <v>0</v>
      </c>
      <c r="C2">
        <f>BDH("TFFP US Equity","BS_TOT_LIAB2","2019-09-13","2024-09-13","Per=Y","Days=T","Dir=V")</f>
        <v>0</v>
      </c>
      <c r="E2">
        <f>BDH("TFFP US Equity","SHORT_AND_LONG_TERM_DEBT","2019-09-13","2024-09-13","Per=Y","Days=T","Dir=V")</f>
        <v>0</v>
      </c>
      <c r="G2">
        <f>BDH("TFFP US Equity","BS_ST_BORROW","2019-09-13","2024-09-13","Per=Y","Days=T","Dir=V")</f>
        <v>0</v>
      </c>
      <c r="I2">
        <f>BDH("TFFP US Equity","BS_LT_BORROW","2019-09-13","2024-09-13","Per=Y","Days=T","Dir=V")</f>
        <v>0</v>
      </c>
      <c r="K2">
        <f>BDH("TFFP US Equity","BS_CASH_NEAR_CASH_ITEM","2019-09-13","2024-09-13","Per=Y","Days=T","Dir=V")</f>
        <v>0</v>
      </c>
      <c r="M2">
        <f>BDH("TFFP US Equity","BS_CUR_ASSET_REPORT","2019-09-13","2024-09-13","Per=Y","Days=T","Dir=V")</f>
        <v>0</v>
      </c>
      <c r="O2">
        <f>BDH("TFFP US Equity","BS_CUR_LIAB","2019-09-13","2024-09-13","Per=Y","Days=T","Dir=V")</f>
        <v>0</v>
      </c>
      <c r="Q2">
        <f>BDH("TFFP US Equity","BS_SHAREHOLDER_EQY_ENDING_PERIOD","2019-09-13","2024-09-13","Per=Y","Days=T","Dir=V")</f>
        <v>0</v>
      </c>
      <c r="S2">
        <f>BDH("TFFP US Equity","BS_ACCT_NOTE_RCV","2019-09-13","2024-09-13","Per=Y","Days=T","Dir=V")</f>
        <v>0</v>
      </c>
      <c r="U2">
        <f>BDH("TFFP US Equity","BS_INVENTORIES","2019-09-13","2024-09-13","Per=Y","Days=T","Dir=V")</f>
        <v>0</v>
      </c>
      <c r="W2">
        <f>BDH("TFFP US Equity","WORKING_CAPITAL","2019-09-13","2024-09-13","Per=Y","Days=T","Dir=V")</f>
        <v>0</v>
      </c>
      <c r="Y2">
        <f>BDH("TFFP US Equity","SALES_REV_TURN","2019-09-13","2024-09-13","Per=Y","Days=T","Dir=V")</f>
        <v>0</v>
      </c>
      <c r="AA2">
        <f>BDH("TFFP US Equity","EBIT","2019-09-13","2024-09-13","Per=Y","Days=T","Dir=V")</f>
        <v>0</v>
      </c>
      <c r="AC2">
        <f>BDH("TFFP US Equity","EBITDA","2019-09-13","2024-09-13","Per=Y","Days=T","Dir=V")</f>
        <v>0</v>
      </c>
      <c r="AE2">
        <f>BDH("TFFP US Equity","NET_INCOME","2019-09-13","2024-09-13","Per=Y","Days=T","Dir=V")</f>
        <v>0</v>
      </c>
      <c r="AG2">
        <f>BDH("TFFP US Equity","IS_INT_EXPENSE","2019-09-13","2024-09-13","Per=Y","Days=T","Dir=V")</f>
        <v>0</v>
      </c>
      <c r="AI2">
        <f>BDH("TFFP US Equity","IS_DEPR_EXP","2019-09-13","2024-09-13","Per=Y","Days=T","Dir=V")</f>
        <v>0</v>
      </c>
      <c r="AK2">
        <f>BDH("TFFP US Equity","CF_CASH_FROM_OPER","2019-09-13","2024-09-13","Per=Y","Days=T","Dir=V")</f>
        <v>0</v>
      </c>
      <c r="AM2">
        <f>BDH("TFFP US Equity","CAPITAL_EXPEND","2019-09-13","2024-09-13","Per=Y","Days=T","Dir=V")</f>
        <v>0</v>
      </c>
      <c r="AO2">
        <f>BDH("TFFP US Equity","CF_FREE_CASH_FLOW","2019-09-13","2024-09-13","Per=Y","Days=T","Dir=V")</f>
        <v>0</v>
      </c>
      <c r="AQ2">
        <f>BDH("TFFP US Equity","PX_LAST","2019-09-13","2024-09-13","Per=M","Days=T","Dir=V")</f>
        <v>0</v>
      </c>
      <c r="AS2">
        <f>BDH("TFFP US Equity","CUR_MKT_CAP","2019-09-13","2024-09-13","Per=M","Days=T","Dir=V")</f>
        <v>0</v>
      </c>
      <c r="AU2">
        <f>BDH("TFFP US Equity","EQY_SH_OUT","2019-09-13","2024-09-13","Per=M","Days=T","Dir=V")</f>
        <v>0</v>
      </c>
      <c r="AW2">
        <f>BDH("TFFP US Equity","BETA_RAW_OVERRIABLE","2019-09-13","2024-09-13","Per=M","Days=T","Dir=V")</f>
        <v>0</v>
      </c>
      <c r="AY2">
        <f>BDH("TFFP US Equity","PX_VOLUME","2019-09-13","2024-09-13","Per=M","Days=T","Dir=V")</f>
        <v>0</v>
      </c>
      <c r="BA2">
        <f>BDH("TFFP US Equity","TURNOVER","2019-09-13","2024-09-13","Per=M","Days=T","Dir=V")</f>
        <v>0</v>
      </c>
      <c r="BC2">
        <f>BDH("TFFP US Equity","SPREAD_BA_CR","2019-09-13","2024-09-13","Per=M","Days=T","Dir=V")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BDH("AKTSQ US Equity","BS_TOT_ASSET","2019-09-18","2024-09-18","Per=Y","Days=T","Dir=V")</f>
        <v>0</v>
      </c>
      <c r="C2">
        <f>BDH("AKTSQ US Equity","BS_TOT_LIAB2","2019-09-18","2024-09-18","Per=Y","Days=T","Dir=V")</f>
        <v>0</v>
      </c>
      <c r="E2">
        <f>BDH("AKTSQ US Equity","SHORT_AND_LONG_TERM_DEBT","2019-09-18","2024-09-18","Per=Y","Days=T","Dir=V")</f>
        <v>0</v>
      </c>
      <c r="G2">
        <f>BDH("AKTSQ US Equity","BS_ST_BORROW","2019-09-18","2024-09-18","Per=Y","Days=T","Dir=V")</f>
        <v>0</v>
      </c>
      <c r="I2">
        <f>BDH("AKTSQ US Equity","BS_LT_BORROW","2019-09-18","2024-09-18","Per=Y","Days=T","Dir=V")</f>
        <v>0</v>
      </c>
      <c r="K2">
        <f>BDH("AKTSQ US Equity","BS_CASH_NEAR_CASH_ITEM","2019-09-18","2024-09-18","Per=Y","Days=T","Dir=V")</f>
        <v>0</v>
      </c>
      <c r="M2">
        <f>BDH("AKTSQ US Equity","BS_CUR_ASSET_REPORT","2019-09-18","2024-09-18","Per=Y","Days=T","Dir=V")</f>
        <v>0</v>
      </c>
      <c r="O2">
        <f>BDH("AKTSQ US Equity","BS_CUR_LIAB","2019-09-18","2024-09-18","Per=Y","Days=T","Dir=V")</f>
        <v>0</v>
      </c>
      <c r="Q2">
        <f>BDH("AKTSQ US Equity","BS_SHAREHOLDER_EQY_ENDING_PERIOD","2019-09-18","2024-09-18","Per=Y","Days=T","Dir=V")</f>
        <v>0</v>
      </c>
      <c r="S2">
        <f>BDH("AKTSQ US Equity","BS_ACCT_NOTE_RCV","2019-09-18","2024-09-18","Per=Y","Days=T","Dir=V")</f>
        <v>0</v>
      </c>
      <c r="U2">
        <f>BDH("AKTSQ US Equity","BS_INVENTORIES","2019-09-18","2024-09-18","Per=Y","Days=T","Dir=V")</f>
        <v>0</v>
      </c>
      <c r="W2">
        <f>BDH("AKTSQ US Equity","WORKING_CAPITAL","2019-09-18","2024-09-18","Per=Y","Days=T","Dir=V")</f>
        <v>0</v>
      </c>
      <c r="Y2">
        <f>BDH("AKTSQ US Equity","SALES_REV_TURN","2019-09-18","2024-09-18","Per=Y","Days=T","Dir=V")</f>
        <v>0</v>
      </c>
      <c r="AA2">
        <f>BDH("AKTSQ US Equity","EBIT","2019-09-18","2024-09-18","Per=Y","Days=T","Dir=V")</f>
        <v>0</v>
      </c>
      <c r="AC2">
        <f>BDH("AKTSQ US Equity","EBITDA","2019-09-18","2024-09-18","Per=Y","Days=T","Dir=V")</f>
        <v>0</v>
      </c>
      <c r="AE2">
        <f>BDH("AKTSQ US Equity","NET_INCOME","2019-09-18","2024-09-18","Per=Y","Days=T","Dir=V")</f>
        <v>0</v>
      </c>
      <c r="AG2">
        <f>BDH("AKTSQ US Equity","IS_INT_EXPENSE","2019-09-18","2024-09-18","Per=Y","Days=T","Dir=V")</f>
        <v>0</v>
      </c>
      <c r="AI2">
        <f>BDH("AKTSQ US Equity","IS_DEPR_EXP","2019-09-18","2024-09-18","Per=Y","Days=T","Dir=V")</f>
        <v>0</v>
      </c>
      <c r="AK2">
        <f>BDH("AKTSQ US Equity","CF_CASH_FROM_OPER","2019-09-18","2024-09-18","Per=Y","Days=T","Dir=V")</f>
        <v>0</v>
      </c>
      <c r="AM2">
        <f>BDH("AKTSQ US Equity","CAPITAL_EXPEND","2019-09-18","2024-09-18","Per=Y","Days=T","Dir=V")</f>
        <v>0</v>
      </c>
      <c r="AO2">
        <f>BDH("AKTSQ US Equity","CF_FREE_CASH_FLOW","2019-09-18","2024-09-18","Per=Y","Days=T","Dir=V")</f>
        <v>0</v>
      </c>
      <c r="AQ2">
        <f>BDH("AKTSQ US Equity","PX_LAST","2019-09-18","2024-09-18","Per=M","Days=T","Dir=V")</f>
        <v>0</v>
      </c>
      <c r="AS2">
        <f>BDH("AKTSQ US Equity","CUR_MKT_CAP","2019-09-18","2024-09-18","Per=M","Days=T","Dir=V")</f>
        <v>0</v>
      </c>
      <c r="AU2">
        <f>BDH("AKTSQ US Equity","EQY_SH_OUT","2019-09-18","2024-09-18","Per=M","Days=T","Dir=V")</f>
        <v>0</v>
      </c>
      <c r="AW2">
        <f>BDH("AKTSQ US Equity","BETA_RAW_OVERRIABLE","2019-09-18","2024-09-18","Per=M","Days=T","Dir=V")</f>
        <v>0</v>
      </c>
      <c r="AY2">
        <f>BDH("AKTSQ US Equity","PX_VOLUME","2019-09-18","2024-09-18","Per=M","Days=T","Dir=V")</f>
        <v>0</v>
      </c>
      <c r="BA2">
        <f>BDH("AKTSQ US Equity","TURNOVER","2019-09-18","2024-09-18","Per=M","Days=T","Dir=V")</f>
        <v>0</v>
      </c>
      <c r="BC2">
        <f>BDH("AKTSQ US Equity","SPREAD_BA_CR","2019-09-18","2024-09-18","Per=M","Days=T","Dir=V")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BDH("LEVGQ US Equity","BS_TOT_ASSET","2019-09-18","2024-09-18","Per=Y","Days=T","Dir=V")</f>
        <v>0</v>
      </c>
      <c r="C2">
        <f>BDH("LEVGQ US Equity","BS_TOT_LIAB2","2019-09-18","2024-09-18","Per=Y","Days=T","Dir=V")</f>
        <v>0</v>
      </c>
      <c r="E2">
        <f>BDH("LEVGQ US Equity","SHORT_AND_LONG_TERM_DEBT","2019-09-18","2024-09-18","Per=Y","Days=T","Dir=V")</f>
        <v>0</v>
      </c>
      <c r="G2">
        <f>BDH("LEVGQ US Equity","BS_ST_BORROW","2019-09-18","2024-09-18","Per=Y","Days=T","Dir=V")</f>
        <v>0</v>
      </c>
      <c r="I2">
        <f>BDH("LEVGQ US Equity","BS_LT_BORROW","2019-09-18","2024-09-18","Per=Y","Days=T","Dir=V")</f>
        <v>0</v>
      </c>
      <c r="K2">
        <f>BDH("LEVGQ US Equity","BS_CASH_NEAR_CASH_ITEM","2019-09-18","2024-09-18","Per=Y","Days=T","Dir=V")</f>
        <v>0</v>
      </c>
      <c r="M2">
        <f>BDH("LEVGQ US Equity","BS_CUR_ASSET_REPORT","2019-09-18","2024-09-18","Per=Y","Days=T","Dir=V")</f>
        <v>0</v>
      </c>
      <c r="O2">
        <f>BDH("LEVGQ US Equity","BS_CUR_LIAB","2019-09-18","2024-09-18","Per=Y","Days=T","Dir=V")</f>
        <v>0</v>
      </c>
      <c r="Q2">
        <f>BDH("LEVGQ US Equity","BS_SHAREHOLDER_EQY_ENDING_PERIOD","2019-09-18","2024-09-18","Per=Y","Days=T","Dir=V")</f>
        <v>0</v>
      </c>
      <c r="S2">
        <f>BDH("LEVGQ US Equity","BS_ACCT_NOTE_RCV","2019-09-18","2024-09-18","Per=Y","Days=T","Dir=V")</f>
        <v>0</v>
      </c>
      <c r="U2">
        <f>BDH("LEVGQ US Equity","BS_INVENTORIES","2019-09-18","2024-09-18","Per=Y","Days=T","Dir=V")</f>
        <v>0</v>
      </c>
      <c r="W2">
        <f>BDH("LEVGQ US Equity","WORKING_CAPITAL","2019-09-18","2024-09-18","Per=Y","Days=T","Dir=V")</f>
        <v>0</v>
      </c>
      <c r="Y2">
        <f>BDH("LEVGQ US Equity","SALES_REV_TURN","2019-09-18","2024-09-18","Per=Y","Days=T","Dir=V")</f>
        <v>0</v>
      </c>
      <c r="AA2">
        <f>BDH("LEVGQ US Equity","EBIT","2019-09-18","2024-09-18","Per=Y","Days=T","Dir=V")</f>
        <v>0</v>
      </c>
      <c r="AC2">
        <f>BDH("LEVGQ US Equity","EBITDA","2019-09-18","2024-09-18","Per=Y","Days=T","Dir=V")</f>
        <v>0</v>
      </c>
      <c r="AE2">
        <f>BDH("LEVGQ US Equity","NET_INCOME","2019-09-18","2024-09-18","Per=Y","Days=T","Dir=V")</f>
        <v>0</v>
      </c>
      <c r="AG2">
        <f>BDH("LEVGQ US Equity","IS_INT_EXPENSE","2019-09-18","2024-09-18","Per=Y","Days=T","Dir=V")</f>
        <v>0</v>
      </c>
      <c r="AI2">
        <f>BDH("LEVGQ US Equity","IS_DEPR_EXP","2019-09-18","2024-09-18","Per=Y","Days=T","Dir=V")</f>
        <v>0</v>
      </c>
      <c r="AK2">
        <f>BDH("LEVGQ US Equity","CF_CASH_FROM_OPER","2019-09-18","2024-09-18","Per=Y","Days=T","Dir=V")</f>
        <v>0</v>
      </c>
      <c r="AM2">
        <f>BDH("LEVGQ US Equity","CAPITAL_EXPEND","2019-09-18","2024-09-18","Per=Y","Days=T","Dir=V")</f>
        <v>0</v>
      </c>
      <c r="AO2">
        <f>BDH("LEVGQ US Equity","CF_FREE_CASH_FLOW","2019-09-18","2024-09-18","Per=Y","Days=T","Dir=V")</f>
        <v>0</v>
      </c>
      <c r="AQ2">
        <f>BDH("LEVGQ US Equity","PX_LAST","2019-09-18","2024-09-18","Per=M","Days=T","Dir=V")</f>
        <v>0</v>
      </c>
      <c r="AS2">
        <f>BDH("LEVGQ US Equity","CUR_MKT_CAP","2019-09-18","2024-09-18","Per=M","Days=T","Dir=V")</f>
        <v>0</v>
      </c>
      <c r="AU2">
        <f>BDH("LEVGQ US Equity","EQY_SH_OUT","2019-09-18","2024-09-18","Per=M","Days=T","Dir=V")</f>
        <v>0</v>
      </c>
      <c r="AW2">
        <f>BDH("LEVGQ US Equity","BETA_RAW_OVERRIABLE","2019-09-18","2024-09-18","Per=M","Days=T","Dir=V")</f>
        <v>0</v>
      </c>
      <c r="AY2">
        <f>BDH("LEVGQ US Equity","PX_VOLUME","2019-09-18","2024-09-18","Per=M","Days=T","Dir=V")</f>
        <v>0</v>
      </c>
      <c r="BA2">
        <f>BDH("LEVGQ US Equity","TURNOVER","2019-09-18","2024-09-18","Per=M","Days=T","Dir=V")</f>
        <v>0</v>
      </c>
      <c r="BC2">
        <f>BDH("LEVGQ US Equity","SPREAD_BA_CR","2019-09-18","2024-09-18","Per=M","Days=T","Dir=V")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BDH("BSFC US Equity","BS_TOT_ASSET","2019-09-20","2024-09-20","Per=Y","Days=T","Dir=V")</f>
        <v>0</v>
      </c>
      <c r="C2">
        <f>BDH("BSFC US Equity","BS_TOT_LIAB2","2019-09-20","2024-09-20","Per=Y","Days=T","Dir=V")</f>
        <v>0</v>
      </c>
      <c r="E2">
        <f>BDH("BSFC US Equity","SHORT_AND_LONG_TERM_DEBT","2019-09-20","2024-09-20","Per=Y","Days=T","Dir=V")</f>
        <v>0</v>
      </c>
      <c r="G2">
        <f>BDH("BSFC US Equity","BS_ST_BORROW","2019-09-20","2024-09-20","Per=Y","Days=T","Dir=V")</f>
        <v>0</v>
      </c>
      <c r="I2">
        <f>BDH("BSFC US Equity","BS_LT_BORROW","2019-09-20","2024-09-20","Per=Y","Days=T","Dir=V")</f>
        <v>0</v>
      </c>
      <c r="K2">
        <f>BDH("BSFC US Equity","BS_CASH_NEAR_CASH_ITEM","2019-09-20","2024-09-20","Per=Y","Days=T","Dir=V")</f>
        <v>0</v>
      </c>
      <c r="M2">
        <f>BDH("BSFC US Equity","BS_CUR_ASSET_REPORT","2019-09-20","2024-09-20","Per=Y","Days=T","Dir=V")</f>
        <v>0</v>
      </c>
      <c r="O2">
        <f>BDH("BSFC US Equity","BS_CUR_LIAB","2019-09-20","2024-09-20","Per=Y","Days=T","Dir=V")</f>
        <v>0</v>
      </c>
      <c r="Q2">
        <f>BDH("BSFC US Equity","BS_SHAREHOLDER_EQY_ENDING_PERIOD","2019-09-20","2024-09-20","Per=Y","Days=T","Dir=V")</f>
        <v>0</v>
      </c>
      <c r="S2">
        <f>BDH("BSFC US Equity","BS_ACCT_NOTE_RCV","2019-09-20","2024-09-20","Per=Y","Days=T","Dir=V")</f>
        <v>0</v>
      </c>
      <c r="U2">
        <f>BDH("BSFC US Equity","BS_INVENTORIES","2019-09-20","2024-09-20","Per=Y","Days=T","Dir=V")</f>
        <v>0</v>
      </c>
      <c r="W2">
        <f>BDH("BSFC US Equity","WORKING_CAPITAL","2019-09-20","2024-09-20","Per=Y","Days=T","Dir=V")</f>
        <v>0</v>
      </c>
      <c r="Y2">
        <f>BDH("BSFC US Equity","SALES_REV_TURN","2019-09-20","2024-09-20","Per=Y","Days=T","Dir=V")</f>
        <v>0</v>
      </c>
      <c r="AA2">
        <f>BDH("BSFC US Equity","EBIT","2019-09-20","2024-09-20","Per=Y","Days=T","Dir=V")</f>
        <v>0</v>
      </c>
      <c r="AC2">
        <f>BDH("BSFC US Equity","EBITDA","2019-09-20","2024-09-20","Per=Y","Days=T","Dir=V")</f>
        <v>0</v>
      </c>
      <c r="AE2">
        <f>BDH("BSFC US Equity","NET_INCOME","2019-09-20","2024-09-20","Per=Y","Days=T","Dir=V")</f>
        <v>0</v>
      </c>
      <c r="AG2">
        <f>BDH("BSFC US Equity","IS_INT_EXPENSE","2019-09-20","2024-09-20","Per=Y","Days=T","Dir=V")</f>
        <v>0</v>
      </c>
      <c r="AI2">
        <f>BDH("BSFC US Equity","IS_DEPR_EXP","2019-09-20","2024-09-20","Per=Y","Days=T","Dir=V")</f>
        <v>0</v>
      </c>
      <c r="AK2">
        <f>BDH("BSFC US Equity","CF_CASH_FROM_OPER","2019-09-20","2024-09-20","Per=Y","Days=T","Dir=V")</f>
        <v>0</v>
      </c>
      <c r="AM2">
        <f>BDH("BSFC US Equity","CAPITAL_EXPEND","2019-09-20","2024-09-20","Per=Y","Days=T","Dir=V")</f>
        <v>0</v>
      </c>
      <c r="AO2">
        <f>BDH("BSFC US Equity","CF_FREE_CASH_FLOW","2019-09-20","2024-09-20","Per=Y","Days=T","Dir=V")</f>
        <v>0</v>
      </c>
      <c r="AQ2">
        <f>BDH("BSFC US Equity","PX_LAST","2019-09-20","2024-09-20","Per=M","Days=T","Dir=V")</f>
        <v>0</v>
      </c>
      <c r="AS2">
        <f>BDH("BSFC US Equity","CUR_MKT_CAP","2019-09-20","2024-09-20","Per=M","Days=T","Dir=V")</f>
        <v>0</v>
      </c>
      <c r="AU2">
        <f>BDH("BSFC US Equity","EQY_SH_OUT","2019-09-20","2024-09-20","Per=M","Days=T","Dir=V")</f>
        <v>0</v>
      </c>
      <c r="AW2">
        <f>BDH("BSFC US Equity","BETA_RAW_OVERRIABLE","2019-09-20","2024-09-20","Per=M","Days=T","Dir=V")</f>
        <v>0</v>
      </c>
      <c r="AY2">
        <f>BDH("BSFC US Equity","PX_VOLUME","2019-09-20","2024-09-20","Per=M","Days=T","Dir=V")</f>
        <v>0</v>
      </c>
      <c r="BA2">
        <f>BDH("BSFC US Equity","TURNOVER","2019-09-20","2024-09-20","Per=M","Days=T","Dir=V")</f>
        <v>0</v>
      </c>
      <c r="BC2">
        <f>BDH("BSFC US Equity","SPREAD_BA_CR","2019-09-20","2024-09-20","Per=M","Days=T","Dir=V")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BDH("MTEMQ US Equity","BS_TOT_ASSET","2019-09-25","2024-09-25","Per=Y","Days=T","Dir=V")</f>
        <v>0</v>
      </c>
      <c r="C2">
        <f>BDH("MTEMQ US Equity","BS_TOT_LIAB2","2019-09-25","2024-09-25","Per=Y","Days=T","Dir=V")</f>
        <v>0</v>
      </c>
      <c r="E2">
        <f>BDH("MTEMQ US Equity","SHORT_AND_LONG_TERM_DEBT","2019-09-25","2024-09-25","Per=Y","Days=T","Dir=V")</f>
        <v>0</v>
      </c>
      <c r="G2">
        <f>BDH("MTEMQ US Equity","BS_ST_BORROW","2019-09-25","2024-09-25","Per=Y","Days=T","Dir=V")</f>
        <v>0</v>
      </c>
      <c r="I2">
        <f>BDH("MTEMQ US Equity","BS_LT_BORROW","2019-09-25","2024-09-25","Per=Y","Days=T","Dir=V")</f>
        <v>0</v>
      </c>
      <c r="K2">
        <f>BDH("MTEMQ US Equity","BS_CASH_NEAR_CASH_ITEM","2019-09-25","2024-09-25","Per=Y","Days=T","Dir=V")</f>
        <v>0</v>
      </c>
      <c r="M2">
        <f>BDH("MTEMQ US Equity","BS_CUR_ASSET_REPORT","2019-09-25","2024-09-25","Per=Y","Days=T","Dir=V")</f>
        <v>0</v>
      </c>
      <c r="O2">
        <f>BDH("MTEMQ US Equity","BS_CUR_LIAB","2019-09-25","2024-09-25","Per=Y","Days=T","Dir=V")</f>
        <v>0</v>
      </c>
      <c r="Q2">
        <f>BDH("MTEMQ US Equity","BS_SHAREHOLDER_EQY_ENDING_PERIOD","2019-09-25","2024-09-25","Per=Y","Days=T","Dir=V")</f>
        <v>0</v>
      </c>
      <c r="S2">
        <f>BDH("MTEMQ US Equity","BS_ACCT_NOTE_RCV","2019-09-25","2024-09-25","Per=Y","Days=T","Dir=V")</f>
        <v>0</v>
      </c>
      <c r="U2">
        <f>BDH("MTEMQ US Equity","BS_INVENTORIES","2019-09-25","2024-09-25","Per=Y","Days=T","Dir=V")</f>
        <v>0</v>
      </c>
      <c r="W2">
        <f>BDH("MTEMQ US Equity","WORKING_CAPITAL","2019-09-25","2024-09-25","Per=Y","Days=T","Dir=V")</f>
        <v>0</v>
      </c>
      <c r="Y2">
        <f>BDH("MTEMQ US Equity","SALES_REV_TURN","2019-09-25","2024-09-25","Per=Y","Days=T","Dir=V")</f>
        <v>0</v>
      </c>
      <c r="AA2">
        <f>BDH("MTEMQ US Equity","EBIT","2019-09-25","2024-09-25","Per=Y","Days=T","Dir=V")</f>
        <v>0</v>
      </c>
      <c r="AC2">
        <f>BDH("MTEMQ US Equity","EBITDA","2019-09-25","2024-09-25","Per=Y","Days=T","Dir=V")</f>
        <v>0</v>
      </c>
      <c r="AE2">
        <f>BDH("MTEMQ US Equity","NET_INCOME","2019-09-25","2024-09-25","Per=Y","Days=T","Dir=V")</f>
        <v>0</v>
      </c>
      <c r="AG2">
        <f>BDH("MTEMQ US Equity","IS_INT_EXPENSE","2019-09-25","2024-09-25","Per=Y","Days=T","Dir=V")</f>
        <v>0</v>
      </c>
      <c r="AI2">
        <f>BDH("MTEMQ US Equity","IS_DEPR_EXP","2019-09-25","2024-09-25","Per=Y","Days=T","Dir=V")</f>
        <v>0</v>
      </c>
      <c r="AK2">
        <f>BDH("MTEMQ US Equity","CF_CASH_FROM_OPER","2019-09-25","2024-09-25","Per=Y","Days=T","Dir=V")</f>
        <v>0</v>
      </c>
      <c r="AM2">
        <f>BDH("MTEMQ US Equity","CAPITAL_EXPEND","2019-09-25","2024-09-25","Per=Y","Days=T","Dir=V")</f>
        <v>0</v>
      </c>
      <c r="AO2">
        <f>BDH("MTEMQ US Equity","CF_FREE_CASH_FLOW","2019-09-25","2024-09-25","Per=Y","Days=T","Dir=V")</f>
        <v>0</v>
      </c>
      <c r="AQ2">
        <f>BDH("MTEMQ US Equity","PX_LAST","2019-09-25","2024-09-25","Per=M","Days=T","Dir=V")</f>
        <v>0</v>
      </c>
      <c r="AS2">
        <f>BDH("MTEMQ US Equity","CUR_MKT_CAP","2019-09-25","2024-09-25","Per=M","Days=T","Dir=V")</f>
        <v>0</v>
      </c>
      <c r="AU2">
        <f>BDH("MTEMQ US Equity","EQY_SH_OUT","2019-09-25","2024-09-25","Per=M","Days=T","Dir=V")</f>
        <v>0</v>
      </c>
      <c r="AW2">
        <f>BDH("MTEMQ US Equity","BETA_RAW_OVERRIABLE","2019-09-25","2024-09-25","Per=M","Days=T","Dir=V")</f>
        <v>0</v>
      </c>
      <c r="AY2">
        <f>BDH("MTEMQ US Equity","PX_VOLUME","2019-09-25","2024-09-25","Per=M","Days=T","Dir=V")</f>
        <v>0</v>
      </c>
      <c r="BA2">
        <f>BDH("MTEMQ US Equity","TURNOVER","2019-09-25","2024-09-25","Per=M","Days=T","Dir=V")</f>
        <v>0</v>
      </c>
      <c r="BC2">
        <f>BDH("MTEMQ US Equity","SPREAD_BA_CR","2019-09-25","2024-09-25","Per=M","Days=T","Dir=V")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BDH("DNMRQ US Equity","BS_TOT_ASSET","2019-10-01","2024-10-01","Per=Y","Days=T","Dir=V")</f>
        <v>0</v>
      </c>
      <c r="C2">
        <f>BDH("DNMRQ US Equity","BS_TOT_LIAB2","2019-10-01","2024-10-01","Per=Y","Days=T","Dir=V")</f>
        <v>0</v>
      </c>
      <c r="E2">
        <f>BDH("DNMRQ US Equity","SHORT_AND_LONG_TERM_DEBT","2019-10-01","2024-10-01","Per=Y","Days=T","Dir=V")</f>
        <v>0</v>
      </c>
      <c r="G2">
        <f>BDH("DNMRQ US Equity","BS_ST_BORROW","2019-10-01","2024-10-01","Per=Y","Days=T","Dir=V")</f>
        <v>0</v>
      </c>
      <c r="I2">
        <f>BDH("DNMRQ US Equity","BS_LT_BORROW","2019-10-01","2024-10-01","Per=Y","Days=T","Dir=V")</f>
        <v>0</v>
      </c>
      <c r="K2">
        <f>BDH("DNMRQ US Equity","BS_CASH_NEAR_CASH_ITEM","2019-10-01","2024-10-01","Per=Y","Days=T","Dir=V")</f>
        <v>0</v>
      </c>
      <c r="M2">
        <f>BDH("DNMRQ US Equity","BS_CUR_ASSET_REPORT","2019-10-01","2024-10-01","Per=Y","Days=T","Dir=V")</f>
        <v>0</v>
      </c>
      <c r="O2">
        <f>BDH("DNMRQ US Equity","BS_CUR_LIAB","2019-10-01","2024-10-01","Per=Y","Days=T","Dir=V")</f>
        <v>0</v>
      </c>
      <c r="Q2">
        <f>BDH("DNMRQ US Equity","BS_SHAREHOLDER_EQY_ENDING_PERIOD","2019-10-01","2024-10-01","Per=Y","Days=T","Dir=V")</f>
        <v>0</v>
      </c>
      <c r="S2">
        <f>BDH("DNMRQ US Equity","BS_ACCT_NOTE_RCV","2019-10-01","2024-10-01","Per=Y","Days=T","Dir=V")</f>
        <v>0</v>
      </c>
      <c r="U2">
        <f>BDH("DNMRQ US Equity","BS_INVENTORIES","2019-10-01","2024-10-01","Per=Y","Days=T","Dir=V")</f>
        <v>0</v>
      </c>
      <c r="W2">
        <f>BDH("DNMRQ US Equity","WORKING_CAPITAL","2019-10-01","2024-10-01","Per=Y","Days=T","Dir=V")</f>
        <v>0</v>
      </c>
      <c r="Y2">
        <f>BDH("DNMRQ US Equity","SALES_REV_TURN","2019-10-01","2024-10-01","Per=Y","Days=T","Dir=V")</f>
        <v>0</v>
      </c>
      <c r="AA2">
        <f>BDH("DNMRQ US Equity","EBIT","2019-10-01","2024-10-01","Per=Y","Days=T","Dir=V")</f>
        <v>0</v>
      </c>
      <c r="AC2">
        <f>BDH("DNMRQ US Equity","EBITDA","2019-10-01","2024-10-01","Per=Y","Days=T","Dir=V")</f>
        <v>0</v>
      </c>
      <c r="AE2">
        <f>BDH("DNMRQ US Equity","NET_INCOME","2019-10-01","2024-10-01","Per=Y","Days=T","Dir=V")</f>
        <v>0</v>
      </c>
      <c r="AG2">
        <f>BDH("DNMRQ US Equity","IS_INT_EXPENSE","2019-10-01","2024-10-01","Per=Y","Days=T","Dir=V")</f>
        <v>0</v>
      </c>
      <c r="AI2">
        <f>BDH("DNMRQ US Equity","IS_DEPR_EXP","2019-10-01","2024-10-01","Per=Y","Days=T","Dir=V")</f>
        <v>0</v>
      </c>
      <c r="AK2">
        <f>BDH("DNMRQ US Equity","CF_CASH_FROM_OPER","2019-10-01","2024-10-01","Per=Y","Days=T","Dir=V")</f>
        <v>0</v>
      </c>
      <c r="AM2">
        <f>BDH("DNMRQ US Equity","CAPITAL_EXPEND","2019-10-01","2024-10-01","Per=Y","Days=T","Dir=V")</f>
        <v>0</v>
      </c>
      <c r="AO2">
        <f>BDH("DNMRQ US Equity","CF_FREE_CASH_FLOW","2019-10-01","2024-10-01","Per=Y","Days=T","Dir=V")</f>
        <v>0</v>
      </c>
      <c r="AQ2">
        <f>BDH("DNMRQ US Equity","PX_LAST","2019-10-01","2024-10-01","Per=M","Days=T","Dir=V")</f>
        <v>0</v>
      </c>
      <c r="AS2">
        <f>BDH("DNMRQ US Equity","CUR_MKT_CAP","2019-10-01","2024-10-01","Per=M","Days=T","Dir=V")</f>
        <v>0</v>
      </c>
      <c r="AU2">
        <f>BDH("DNMRQ US Equity","EQY_SH_OUT","2019-10-01","2024-10-01","Per=M","Days=T","Dir=V")</f>
        <v>0</v>
      </c>
      <c r="AW2">
        <f>BDH("DNMRQ US Equity","BETA_RAW_OVERRIABLE","2019-10-01","2024-10-01","Per=M","Days=T","Dir=V")</f>
        <v>0</v>
      </c>
      <c r="AY2">
        <f>BDH("DNMRQ US Equity","PX_VOLUME","2019-10-01","2024-10-01","Per=M","Days=T","Dir=V")</f>
        <v>0</v>
      </c>
      <c r="BA2">
        <f>BDH("DNMRQ US Equity","TURNOVER","2019-10-01","2024-10-01","Per=M","Days=T","Dir=V")</f>
        <v>0</v>
      </c>
      <c r="BC2">
        <f>BDH("DNMRQ US Equity","SPREAD_BA_CR","2019-10-01","2024-10-01","Per=M","Days=T","Dir=V")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BDH("AILEQ US Equity","BS_TOT_ASSET","2019-10-02","2024-10-02","Per=Y","Days=T","Dir=V")</f>
        <v>0</v>
      </c>
      <c r="C2">
        <f>BDH("AILEQ US Equity","BS_TOT_LIAB2","2019-10-02","2024-10-02","Per=Y","Days=T","Dir=V")</f>
        <v>0</v>
      </c>
      <c r="E2">
        <f>BDH("AILEQ US Equity","SHORT_AND_LONG_TERM_DEBT","2019-10-02","2024-10-02","Per=Y","Days=T","Dir=V")</f>
        <v>0</v>
      </c>
      <c r="G2">
        <f>BDH("AILEQ US Equity","BS_ST_BORROW","2019-10-02","2024-10-02","Per=Y","Days=T","Dir=V")</f>
        <v>0</v>
      </c>
      <c r="I2">
        <f>BDH("AILEQ US Equity","BS_LT_BORROW","2019-10-02","2024-10-02","Per=Y","Days=T","Dir=V")</f>
        <v>0</v>
      </c>
      <c r="K2">
        <f>BDH("AILEQ US Equity","BS_CASH_NEAR_CASH_ITEM","2019-10-02","2024-10-02","Per=Y","Days=T","Dir=V")</f>
        <v>0</v>
      </c>
      <c r="M2">
        <f>BDH("AILEQ US Equity","BS_CUR_ASSET_REPORT","2019-10-02","2024-10-02","Per=Y","Days=T","Dir=V")</f>
        <v>0</v>
      </c>
      <c r="O2">
        <f>BDH("AILEQ US Equity","BS_CUR_LIAB","2019-10-02","2024-10-02","Per=Y","Days=T","Dir=V")</f>
        <v>0</v>
      </c>
      <c r="Q2">
        <f>BDH("AILEQ US Equity","BS_SHAREHOLDER_EQY_ENDING_PERIOD","2019-10-02","2024-10-02","Per=Y","Days=T","Dir=V")</f>
        <v>0</v>
      </c>
      <c r="S2">
        <f>BDH("AILEQ US Equity","BS_ACCT_NOTE_RCV","2019-10-02","2024-10-02","Per=Y","Days=T","Dir=V")</f>
        <v>0</v>
      </c>
      <c r="U2">
        <f>BDH("AILEQ US Equity","BS_INVENTORIES","2019-10-02","2024-10-02","Per=Y","Days=T","Dir=V")</f>
        <v>0</v>
      </c>
      <c r="W2">
        <f>BDH("AILEQ US Equity","WORKING_CAPITAL","2019-10-02","2024-10-02","Per=Y","Days=T","Dir=V")</f>
        <v>0</v>
      </c>
      <c r="Y2">
        <f>BDH("AILEQ US Equity","SALES_REV_TURN","2019-10-02","2024-10-02","Per=Y","Days=T","Dir=V")</f>
        <v>0</v>
      </c>
      <c r="AA2">
        <f>BDH("AILEQ US Equity","EBIT","2019-10-02","2024-10-02","Per=Y","Days=T","Dir=V")</f>
        <v>0</v>
      </c>
      <c r="AC2">
        <f>BDH("AILEQ US Equity","EBITDA","2019-10-02","2024-10-02","Per=Y","Days=T","Dir=V")</f>
        <v>0</v>
      </c>
      <c r="AE2">
        <f>BDH("AILEQ US Equity","NET_INCOME","2019-10-02","2024-10-02","Per=Y","Days=T","Dir=V")</f>
        <v>0</v>
      </c>
      <c r="AG2">
        <f>BDH("AILEQ US Equity","IS_INT_EXPENSE","2019-10-02","2024-10-02","Per=Y","Days=T","Dir=V")</f>
        <v>0</v>
      </c>
      <c r="AI2">
        <f>BDH("AILEQ US Equity","IS_DEPR_EXP","2019-10-02","2024-10-02","Per=Y","Days=T","Dir=V")</f>
        <v>0</v>
      </c>
      <c r="AK2">
        <f>BDH("AILEQ US Equity","CF_CASH_FROM_OPER","2019-10-02","2024-10-02","Per=Y","Days=T","Dir=V")</f>
        <v>0</v>
      </c>
      <c r="AM2">
        <f>BDH("AILEQ US Equity","CAPITAL_EXPEND","2019-10-02","2024-10-02","Per=Y","Days=T","Dir=V")</f>
        <v>0</v>
      </c>
      <c r="AO2">
        <f>BDH("AILEQ US Equity","CF_FREE_CASH_FLOW","2019-10-02","2024-10-02","Per=Y","Days=T","Dir=V")</f>
        <v>0</v>
      </c>
      <c r="AQ2">
        <f>BDH("AILEQ US Equity","PX_LAST","2019-10-02","2024-10-02","Per=M","Days=T","Dir=V")</f>
        <v>0</v>
      </c>
      <c r="AS2">
        <f>BDH("AILEQ US Equity","CUR_MKT_CAP","2019-10-02","2024-10-02","Per=M","Days=T","Dir=V")</f>
        <v>0</v>
      </c>
      <c r="AU2">
        <f>BDH("AILEQ US Equity","EQY_SH_OUT","2019-10-02","2024-10-02","Per=M","Days=T","Dir=V")</f>
        <v>0</v>
      </c>
      <c r="AW2">
        <f>BDH("AILEQ US Equity","BETA_RAW_OVERRIABLE","2019-10-02","2024-10-02","Per=M","Days=T","Dir=V")</f>
        <v>0</v>
      </c>
      <c r="AY2">
        <f>BDH("AILEQ US Equity","PX_VOLUME","2019-10-02","2024-10-02","Per=M","Days=T","Dir=V")</f>
        <v>0</v>
      </c>
      <c r="BA2">
        <f>BDH("AILEQ US Equity","TURNOVER","2019-10-02","2024-10-02","Per=M","Days=T","Dir=V")</f>
        <v>0</v>
      </c>
      <c r="BC2">
        <f>BDH("AILEQ US Equity","SPREAD_BA_CR","2019-10-02","2024-10-02","Per=M","Days=T","Dir=V")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BDH("GOEVQ US Equity","BS_TOT_ASSET","2019-10-30","2024-10-30","Per=Y","Days=T","Dir=V")</f>
        <v>0</v>
      </c>
      <c r="C2">
        <f>BDH("GOEVQ US Equity","BS_TOT_LIAB2","2019-10-30","2024-10-30","Per=Y","Days=T","Dir=V")</f>
        <v>0</v>
      </c>
      <c r="E2">
        <f>BDH("GOEVQ US Equity","SHORT_AND_LONG_TERM_DEBT","2019-10-30","2024-10-30","Per=Y","Days=T","Dir=V")</f>
        <v>0</v>
      </c>
      <c r="G2">
        <f>BDH("GOEVQ US Equity","BS_ST_BORROW","2019-10-30","2024-10-30","Per=Y","Days=T","Dir=V")</f>
        <v>0</v>
      </c>
      <c r="I2">
        <f>BDH("GOEVQ US Equity","BS_LT_BORROW","2019-10-30","2024-10-30","Per=Y","Days=T","Dir=V")</f>
        <v>0</v>
      </c>
      <c r="K2">
        <f>BDH("GOEVQ US Equity","BS_CASH_NEAR_CASH_ITEM","2019-10-30","2024-10-30","Per=Y","Days=T","Dir=V")</f>
        <v>0</v>
      </c>
      <c r="M2">
        <f>BDH("GOEVQ US Equity","BS_CUR_ASSET_REPORT","2019-10-30","2024-10-30","Per=Y","Days=T","Dir=V")</f>
        <v>0</v>
      </c>
      <c r="O2">
        <f>BDH("GOEVQ US Equity","BS_CUR_LIAB","2019-10-30","2024-10-30","Per=Y","Days=T","Dir=V")</f>
        <v>0</v>
      </c>
      <c r="Q2">
        <f>BDH("GOEVQ US Equity","BS_SHAREHOLDER_EQY_ENDING_PERIOD","2019-10-30","2024-10-30","Per=Y","Days=T","Dir=V")</f>
        <v>0</v>
      </c>
      <c r="S2">
        <f>BDH("GOEVQ US Equity","BS_ACCT_NOTE_RCV","2019-10-30","2024-10-30","Per=Y","Days=T","Dir=V")</f>
        <v>0</v>
      </c>
      <c r="U2">
        <f>BDH("GOEVQ US Equity","BS_INVENTORIES","2019-10-30","2024-10-30","Per=Y","Days=T","Dir=V")</f>
        <v>0</v>
      </c>
      <c r="W2">
        <f>BDH("GOEVQ US Equity","WORKING_CAPITAL","2019-10-30","2024-10-30","Per=Y","Days=T","Dir=V")</f>
        <v>0</v>
      </c>
      <c r="Y2">
        <f>BDH("GOEVQ US Equity","SALES_REV_TURN","2019-10-30","2024-10-30","Per=Y","Days=T","Dir=V")</f>
        <v>0</v>
      </c>
      <c r="AA2">
        <f>BDH("GOEVQ US Equity","EBIT","2019-10-30","2024-10-30","Per=Y","Days=T","Dir=V")</f>
        <v>0</v>
      </c>
      <c r="AC2">
        <f>BDH("GOEVQ US Equity","EBITDA","2019-10-30","2024-10-30","Per=Y","Days=T","Dir=V")</f>
        <v>0</v>
      </c>
      <c r="AE2">
        <f>BDH("GOEVQ US Equity","NET_INCOME","2019-10-30","2024-10-30","Per=Y","Days=T","Dir=V")</f>
        <v>0</v>
      </c>
      <c r="AG2">
        <f>BDH("GOEVQ US Equity","IS_INT_EXPENSE","2019-10-30","2024-10-30","Per=Y","Days=T","Dir=V")</f>
        <v>0</v>
      </c>
      <c r="AI2">
        <f>BDH("GOEVQ US Equity","IS_DEPR_EXP","2019-10-30","2024-10-30","Per=Y","Days=T","Dir=V")</f>
        <v>0</v>
      </c>
      <c r="AK2">
        <f>BDH("GOEVQ US Equity","CF_CASH_FROM_OPER","2019-10-30","2024-10-30","Per=Y","Days=T","Dir=V")</f>
        <v>0</v>
      </c>
      <c r="AM2">
        <f>BDH("GOEVQ US Equity","CAPITAL_EXPEND","2019-10-30","2024-10-30","Per=Y","Days=T","Dir=V")</f>
        <v>0</v>
      </c>
      <c r="AO2">
        <f>BDH("GOEVQ US Equity","CF_FREE_CASH_FLOW","2019-10-30","2024-10-30","Per=Y","Days=T","Dir=V")</f>
        <v>0</v>
      </c>
      <c r="AQ2">
        <f>BDH("GOEVQ US Equity","PX_LAST","2019-10-30","2024-10-30","Per=M","Days=T","Dir=V")</f>
        <v>0</v>
      </c>
      <c r="AS2">
        <f>BDH("GOEVQ US Equity","CUR_MKT_CAP","2019-10-30","2024-10-30","Per=M","Days=T","Dir=V")</f>
        <v>0</v>
      </c>
      <c r="AU2">
        <f>BDH("GOEVQ US Equity","EQY_SH_OUT","2019-10-30","2024-10-30","Per=M","Days=T","Dir=V")</f>
        <v>0</v>
      </c>
      <c r="AW2">
        <f>BDH("GOEVQ US Equity","BETA_RAW_OVERRIABLE","2019-10-30","2024-10-30","Per=M","Days=T","Dir=V")</f>
        <v>0</v>
      </c>
      <c r="AY2">
        <f>BDH("GOEVQ US Equity","PX_VOLUME","2019-10-30","2024-10-30","Per=M","Days=T","Dir=V")</f>
        <v>0</v>
      </c>
      <c r="BA2">
        <f>BDH("GOEVQ US Equity","TURNOVER","2019-10-30","2024-10-30","Per=M","Days=T","Dir=V")</f>
        <v>0</v>
      </c>
      <c r="BC2">
        <f>BDH("GOEVQ US Equity","SPREAD_BA_CR","2019-10-30","2024-10-30","Per=M","Days=T","Dir=V")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BDH("1837938D US Equity","BS_TOT_ASSET","2019-11-01","2024-11-01","Per=Y","Days=T","Dir=V")</f>
        <v>0</v>
      </c>
      <c r="C2">
        <f>BDH("1837938D US Equity","BS_TOT_LIAB2","2019-11-01","2024-11-01","Per=Y","Days=T","Dir=V")</f>
        <v>0</v>
      </c>
      <c r="E2">
        <f>BDH("1837938D US Equity","SHORT_AND_LONG_TERM_DEBT","2019-11-01","2024-11-01","Per=Y","Days=T","Dir=V")</f>
        <v>0</v>
      </c>
      <c r="G2">
        <f>BDH("1837938D US Equity","BS_ST_BORROW","2019-11-01","2024-11-01","Per=Y","Days=T","Dir=V")</f>
        <v>0</v>
      </c>
      <c r="I2">
        <f>BDH("1837938D US Equity","BS_LT_BORROW","2019-11-01","2024-11-01","Per=Y","Days=T","Dir=V")</f>
        <v>0</v>
      </c>
      <c r="K2">
        <f>BDH("1837938D US Equity","BS_CASH_NEAR_CASH_ITEM","2019-11-01","2024-11-01","Per=Y","Days=T","Dir=V")</f>
        <v>0</v>
      </c>
      <c r="M2">
        <f>BDH("1837938D US Equity","BS_CUR_ASSET_REPORT","2019-11-01","2024-11-01","Per=Y","Days=T","Dir=V")</f>
        <v>0</v>
      </c>
      <c r="O2">
        <f>BDH("1837938D US Equity","BS_CUR_LIAB","2019-11-01","2024-11-01","Per=Y","Days=T","Dir=V")</f>
        <v>0</v>
      </c>
      <c r="Q2">
        <f>BDH("1837938D US Equity","BS_SHAREHOLDER_EQY_ENDING_PERIOD","2019-11-01","2024-11-01","Per=Y","Days=T","Dir=V")</f>
        <v>0</v>
      </c>
      <c r="S2">
        <f>BDH("1837938D US Equity","BS_ACCT_NOTE_RCV","2019-11-01","2024-11-01","Per=Y","Days=T","Dir=V")</f>
        <v>0</v>
      </c>
      <c r="U2">
        <f>BDH("1837938D US Equity","BS_INVENTORIES","2019-11-01","2024-11-01","Per=Y","Days=T","Dir=V")</f>
        <v>0</v>
      </c>
      <c r="W2">
        <f>BDH("1837938D US Equity","WORKING_CAPITAL","2019-11-01","2024-11-01","Per=Y","Days=T","Dir=V")</f>
        <v>0</v>
      </c>
      <c r="Y2">
        <f>BDH("1837938D US Equity","SALES_REV_TURN","2019-11-01","2024-11-01","Per=Y","Days=T","Dir=V")</f>
        <v>0</v>
      </c>
      <c r="AA2">
        <f>BDH("1837938D US Equity","EBIT","2019-11-01","2024-11-01","Per=Y","Days=T","Dir=V")</f>
        <v>0</v>
      </c>
      <c r="AC2">
        <f>BDH("1837938D US Equity","EBITDA","2019-11-01","2024-11-01","Per=Y","Days=T","Dir=V")</f>
        <v>0</v>
      </c>
      <c r="AE2">
        <f>BDH("1837938D US Equity","NET_INCOME","2019-11-01","2024-11-01","Per=Y","Days=T","Dir=V")</f>
        <v>0</v>
      </c>
      <c r="AG2">
        <f>BDH("1837938D US Equity","IS_INT_EXPENSE","2019-11-01","2024-11-01","Per=Y","Days=T","Dir=V")</f>
        <v>0</v>
      </c>
      <c r="AI2">
        <f>BDH("1837938D US Equity","IS_DEPR_EXP","2019-11-01","2024-11-01","Per=Y","Days=T","Dir=V")</f>
        <v>0</v>
      </c>
      <c r="AK2">
        <f>BDH("1837938D US Equity","CF_CASH_FROM_OPER","2019-11-01","2024-11-01","Per=Y","Days=T","Dir=V")</f>
        <v>0</v>
      </c>
      <c r="AM2">
        <f>BDH("1837938D US Equity","CAPITAL_EXPEND","2019-11-01","2024-11-01","Per=Y","Days=T","Dir=V")</f>
        <v>0</v>
      </c>
      <c r="AO2">
        <f>BDH("1837938D US Equity","CF_FREE_CASH_FLOW","2019-11-01","2024-11-01","Per=Y","Days=T","Dir=V")</f>
        <v>0</v>
      </c>
      <c r="AQ2">
        <f>BDH("1837938D US Equity","PX_LAST","2019-11-01","2024-11-01","Per=M","Days=T","Dir=V")</f>
        <v>0</v>
      </c>
      <c r="AS2">
        <f>BDH("1837938D US Equity","CUR_MKT_CAP","2019-11-01","2024-11-01","Per=M","Days=T","Dir=V")</f>
        <v>0</v>
      </c>
      <c r="AU2">
        <f>BDH("1837938D US Equity","EQY_SH_OUT","2019-11-01","2024-11-01","Per=M","Days=T","Dir=V")</f>
        <v>0</v>
      </c>
      <c r="AW2">
        <f>BDH("1837938D US Equity","BETA_RAW_OVERRIABLE","2019-11-01","2024-11-01","Per=M","Days=T","Dir=V")</f>
        <v>0</v>
      </c>
      <c r="AY2">
        <f>BDH("1837938D US Equity","PX_VOLUME","2019-11-01","2024-11-01","Per=M","Days=T","Dir=V")</f>
        <v>0</v>
      </c>
      <c r="BA2">
        <f>BDH("1837938D US Equity","TURNOVER","2019-11-01","2024-11-01","Per=M","Days=T","Dir=V")</f>
        <v>0</v>
      </c>
      <c r="BC2">
        <f>BDH("1837938D US Equity","SPREAD_BA_CR","2019-11-01","2024-11-01","Per=M","Days=T","Dir=V")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BDH("AVGR US Equity","BS_TOT_ASSET","2019-11-16","2024-11-16","Per=Y","Days=T","Dir=V")</f>
        <v>0</v>
      </c>
      <c r="C2">
        <f>BDH("AVGR US Equity","BS_TOT_LIAB2","2019-11-16","2024-11-16","Per=Y","Days=T","Dir=V")</f>
        <v>0</v>
      </c>
      <c r="E2">
        <f>BDH("AVGR US Equity","SHORT_AND_LONG_TERM_DEBT","2019-11-16","2024-11-16","Per=Y","Days=T","Dir=V")</f>
        <v>0</v>
      </c>
      <c r="G2">
        <f>BDH("AVGR US Equity","BS_ST_BORROW","2019-11-16","2024-11-16","Per=Y","Days=T","Dir=V")</f>
        <v>0</v>
      </c>
      <c r="I2">
        <f>BDH("AVGR US Equity","BS_LT_BORROW","2019-11-16","2024-11-16","Per=Y","Days=T","Dir=V")</f>
        <v>0</v>
      </c>
      <c r="K2">
        <f>BDH("AVGR US Equity","BS_CASH_NEAR_CASH_ITEM","2019-11-16","2024-11-16","Per=Y","Days=T","Dir=V")</f>
        <v>0</v>
      </c>
      <c r="M2">
        <f>BDH("AVGR US Equity","BS_CUR_ASSET_REPORT","2019-11-16","2024-11-16","Per=Y","Days=T","Dir=V")</f>
        <v>0</v>
      </c>
      <c r="O2">
        <f>BDH("AVGR US Equity","BS_CUR_LIAB","2019-11-16","2024-11-16","Per=Y","Days=T","Dir=V")</f>
        <v>0</v>
      </c>
      <c r="Q2">
        <f>BDH("AVGR US Equity","BS_SHAREHOLDER_EQY_ENDING_PERIOD","2019-11-16","2024-11-16","Per=Y","Days=T","Dir=V")</f>
        <v>0</v>
      </c>
      <c r="S2">
        <f>BDH("AVGR US Equity","BS_ACCT_NOTE_RCV","2019-11-16","2024-11-16","Per=Y","Days=T","Dir=V")</f>
        <v>0</v>
      </c>
      <c r="U2">
        <f>BDH("AVGR US Equity","BS_INVENTORIES","2019-11-16","2024-11-16","Per=Y","Days=T","Dir=V")</f>
        <v>0</v>
      </c>
      <c r="W2">
        <f>BDH("AVGR US Equity","WORKING_CAPITAL","2019-11-16","2024-11-16","Per=Y","Days=T","Dir=V")</f>
        <v>0</v>
      </c>
      <c r="Y2">
        <f>BDH("AVGR US Equity","SALES_REV_TURN","2019-11-16","2024-11-16","Per=Y","Days=T","Dir=V")</f>
        <v>0</v>
      </c>
      <c r="AA2">
        <f>BDH("AVGR US Equity","EBIT","2019-11-16","2024-11-16","Per=Y","Days=T","Dir=V")</f>
        <v>0</v>
      </c>
      <c r="AC2">
        <f>BDH("AVGR US Equity","EBITDA","2019-11-16","2024-11-16","Per=Y","Days=T","Dir=V")</f>
        <v>0</v>
      </c>
      <c r="AE2">
        <f>BDH("AVGR US Equity","NET_INCOME","2019-11-16","2024-11-16","Per=Y","Days=T","Dir=V")</f>
        <v>0</v>
      </c>
      <c r="AG2">
        <f>BDH("AVGR US Equity","IS_INT_EXPENSE","2019-11-16","2024-11-16","Per=Y","Days=T","Dir=V")</f>
        <v>0</v>
      </c>
      <c r="AI2">
        <f>BDH("AVGR US Equity","IS_DEPR_EXP","2019-11-16","2024-11-16","Per=Y","Days=T","Dir=V")</f>
        <v>0</v>
      </c>
      <c r="AK2">
        <f>BDH("AVGR US Equity","CF_CASH_FROM_OPER","2019-11-16","2024-11-16","Per=Y","Days=T","Dir=V")</f>
        <v>0</v>
      </c>
      <c r="AM2">
        <f>BDH("AVGR US Equity","CAPITAL_EXPEND","2019-11-16","2024-11-16","Per=Y","Days=T","Dir=V")</f>
        <v>0</v>
      </c>
      <c r="AO2">
        <f>BDH("AVGR US Equity","CF_FREE_CASH_FLOW","2019-11-16","2024-11-16","Per=Y","Days=T","Dir=V")</f>
        <v>0</v>
      </c>
      <c r="AQ2">
        <f>BDH("AVGR US Equity","PX_LAST","2019-11-16","2024-11-16","Per=M","Days=T","Dir=V")</f>
        <v>0</v>
      </c>
      <c r="AS2">
        <f>BDH("AVGR US Equity","CUR_MKT_CAP","2019-11-16","2024-11-16","Per=M","Days=T","Dir=V")</f>
        <v>0</v>
      </c>
      <c r="AU2">
        <f>BDH("AVGR US Equity","EQY_SH_OUT","2019-11-16","2024-11-16","Per=M","Days=T","Dir=V")</f>
        <v>0</v>
      </c>
      <c r="AW2">
        <f>BDH("AVGR US Equity","BETA_RAW_OVERRIABLE","2019-11-16","2024-11-16","Per=M","Days=T","Dir=V")</f>
        <v>0</v>
      </c>
      <c r="AY2">
        <f>BDH("AVGR US Equity","PX_VOLUME","2019-11-16","2024-11-16","Per=M","Days=T","Dir=V")</f>
        <v>0</v>
      </c>
      <c r="BA2">
        <f>BDH("AVGR US Equity","TURNOVER","2019-11-16","2024-11-16","Per=M","Days=T","Dir=V")</f>
        <v>0</v>
      </c>
      <c r="BC2">
        <f>BDH("AVGR US Equity","SPREAD_BA_CR","2019-11-16","2024-11-16","Per=M","Days=T","Dir=V")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BDH("BPTH US Equity","BS_TOT_ASSET","2019-11-20","2024-11-20","Per=Y","Days=T","Dir=V")</f>
        <v>0</v>
      </c>
      <c r="C2">
        <f>BDH("BPTH US Equity","BS_TOT_LIAB2","2019-11-20","2024-11-20","Per=Y","Days=T","Dir=V")</f>
        <v>0</v>
      </c>
      <c r="E2">
        <f>BDH("BPTH US Equity","SHORT_AND_LONG_TERM_DEBT","2019-11-20","2024-11-20","Per=Y","Days=T","Dir=V")</f>
        <v>0</v>
      </c>
      <c r="G2">
        <f>BDH("BPTH US Equity","BS_ST_BORROW","2019-11-20","2024-11-20","Per=Y","Days=T","Dir=V")</f>
        <v>0</v>
      </c>
      <c r="I2">
        <f>BDH("BPTH US Equity","BS_LT_BORROW","2019-11-20","2024-11-20","Per=Y","Days=T","Dir=V")</f>
        <v>0</v>
      </c>
      <c r="K2">
        <f>BDH("BPTH US Equity","BS_CASH_NEAR_CASH_ITEM","2019-11-20","2024-11-20","Per=Y","Days=T","Dir=V")</f>
        <v>0</v>
      </c>
      <c r="M2">
        <f>BDH("BPTH US Equity","BS_CUR_ASSET_REPORT","2019-11-20","2024-11-20","Per=Y","Days=T","Dir=V")</f>
        <v>0</v>
      </c>
      <c r="O2">
        <f>BDH("BPTH US Equity","BS_CUR_LIAB","2019-11-20","2024-11-20","Per=Y","Days=T","Dir=V")</f>
        <v>0</v>
      </c>
      <c r="Q2">
        <f>BDH("BPTH US Equity","BS_SHAREHOLDER_EQY_ENDING_PERIOD","2019-11-20","2024-11-20","Per=Y","Days=T","Dir=V")</f>
        <v>0</v>
      </c>
      <c r="S2">
        <f>BDH("BPTH US Equity","BS_ACCT_NOTE_RCV","2019-11-20","2024-11-20","Per=Y","Days=T","Dir=V")</f>
        <v>0</v>
      </c>
      <c r="U2">
        <f>BDH("BPTH US Equity","BS_INVENTORIES","2019-11-20","2024-11-20","Per=Y","Days=T","Dir=V")</f>
        <v>0</v>
      </c>
      <c r="W2">
        <f>BDH("BPTH US Equity","WORKING_CAPITAL","2019-11-20","2024-11-20","Per=Y","Days=T","Dir=V")</f>
        <v>0</v>
      </c>
      <c r="Y2">
        <f>BDH("BPTH US Equity","SALES_REV_TURN","2019-11-20","2024-11-20","Per=Y","Days=T","Dir=V")</f>
        <v>0</v>
      </c>
      <c r="AA2">
        <f>BDH("BPTH US Equity","EBIT","2019-11-20","2024-11-20","Per=Y","Days=T","Dir=V")</f>
        <v>0</v>
      </c>
      <c r="AC2">
        <f>BDH("BPTH US Equity","EBITDA","2019-11-20","2024-11-20","Per=Y","Days=T","Dir=V")</f>
        <v>0</v>
      </c>
      <c r="AE2">
        <f>BDH("BPTH US Equity","NET_INCOME","2019-11-20","2024-11-20","Per=Y","Days=T","Dir=V")</f>
        <v>0</v>
      </c>
      <c r="AG2">
        <f>BDH("BPTH US Equity","IS_INT_EXPENSE","2019-11-20","2024-11-20","Per=Y","Days=T","Dir=V")</f>
        <v>0</v>
      </c>
      <c r="AI2">
        <f>BDH("BPTH US Equity","IS_DEPR_EXP","2019-11-20","2024-11-20","Per=Y","Days=T","Dir=V")</f>
        <v>0</v>
      </c>
      <c r="AK2">
        <f>BDH("BPTH US Equity","CF_CASH_FROM_OPER","2019-11-20","2024-11-20","Per=Y","Days=T","Dir=V")</f>
        <v>0</v>
      </c>
      <c r="AM2">
        <f>BDH("BPTH US Equity","CAPITAL_EXPEND","2019-11-20","2024-11-20","Per=Y","Days=T","Dir=V")</f>
        <v>0</v>
      </c>
      <c r="AO2">
        <f>BDH("BPTH US Equity","CF_FREE_CASH_FLOW","2019-11-20","2024-11-20","Per=Y","Days=T","Dir=V")</f>
        <v>0</v>
      </c>
      <c r="AQ2">
        <f>BDH("BPTH US Equity","PX_LAST","2019-11-20","2024-11-20","Per=M","Days=T","Dir=V")</f>
        <v>0</v>
      </c>
      <c r="AS2">
        <f>BDH("BPTH US Equity","CUR_MKT_CAP","2019-11-20","2024-11-20","Per=M","Days=T","Dir=V")</f>
        <v>0</v>
      </c>
      <c r="AU2">
        <f>BDH("BPTH US Equity","EQY_SH_OUT","2019-11-20","2024-11-20","Per=M","Days=T","Dir=V")</f>
        <v>0</v>
      </c>
      <c r="AW2">
        <f>BDH("BPTH US Equity","BETA_RAW_OVERRIABLE","2019-11-20","2024-11-20","Per=M","Days=T","Dir=V")</f>
        <v>0</v>
      </c>
      <c r="AY2">
        <f>BDH("BPTH US Equity","PX_VOLUME","2019-11-20","2024-11-20","Per=M","Days=T","Dir=V")</f>
        <v>0</v>
      </c>
      <c r="BA2">
        <f>BDH("BPTH US Equity","TURNOVER","2019-11-20","2024-11-20","Per=M","Days=T","Dir=V")</f>
        <v>0</v>
      </c>
      <c r="BC2">
        <f>BDH("BPTH US Equity","SPREAD_BA_CR","2019-11-20","2024-11-20","Per=M","Days=T","Dir=V")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BDH("OMGAQ US Equity","BS_TOT_ASSET","2019-11-26","2024-11-26","Per=Y","Days=T","Dir=V")</f>
        <v>0</v>
      </c>
      <c r="C2">
        <f>BDH("OMGAQ US Equity","BS_TOT_LIAB2","2019-11-26","2024-11-26","Per=Y","Days=T","Dir=V")</f>
        <v>0</v>
      </c>
      <c r="E2">
        <f>BDH("OMGAQ US Equity","SHORT_AND_LONG_TERM_DEBT","2019-11-26","2024-11-26","Per=Y","Days=T","Dir=V")</f>
        <v>0</v>
      </c>
      <c r="G2">
        <f>BDH("OMGAQ US Equity","BS_ST_BORROW","2019-11-26","2024-11-26","Per=Y","Days=T","Dir=V")</f>
        <v>0</v>
      </c>
      <c r="I2">
        <f>BDH("OMGAQ US Equity","BS_LT_BORROW","2019-11-26","2024-11-26","Per=Y","Days=T","Dir=V")</f>
        <v>0</v>
      </c>
      <c r="K2">
        <f>BDH("OMGAQ US Equity","BS_CASH_NEAR_CASH_ITEM","2019-11-26","2024-11-26","Per=Y","Days=T","Dir=V")</f>
        <v>0</v>
      </c>
      <c r="M2">
        <f>BDH("OMGAQ US Equity","BS_CUR_ASSET_REPORT","2019-11-26","2024-11-26","Per=Y","Days=T","Dir=V")</f>
        <v>0</v>
      </c>
      <c r="O2">
        <f>BDH("OMGAQ US Equity","BS_CUR_LIAB","2019-11-26","2024-11-26","Per=Y","Days=T","Dir=V")</f>
        <v>0</v>
      </c>
      <c r="Q2">
        <f>BDH("OMGAQ US Equity","BS_SHAREHOLDER_EQY_ENDING_PERIOD","2019-11-26","2024-11-26","Per=Y","Days=T","Dir=V")</f>
        <v>0</v>
      </c>
      <c r="S2">
        <f>BDH("OMGAQ US Equity","BS_ACCT_NOTE_RCV","2019-11-26","2024-11-26","Per=Y","Days=T","Dir=V")</f>
        <v>0</v>
      </c>
      <c r="U2">
        <f>BDH("OMGAQ US Equity","BS_INVENTORIES","2019-11-26","2024-11-26","Per=Y","Days=T","Dir=V")</f>
        <v>0</v>
      </c>
      <c r="W2">
        <f>BDH("OMGAQ US Equity","WORKING_CAPITAL","2019-11-26","2024-11-26","Per=Y","Days=T","Dir=V")</f>
        <v>0</v>
      </c>
      <c r="Y2">
        <f>BDH("OMGAQ US Equity","SALES_REV_TURN","2019-11-26","2024-11-26","Per=Y","Days=T","Dir=V")</f>
        <v>0</v>
      </c>
      <c r="AA2">
        <f>BDH("OMGAQ US Equity","EBIT","2019-11-26","2024-11-26","Per=Y","Days=T","Dir=V")</f>
        <v>0</v>
      </c>
      <c r="AC2">
        <f>BDH("OMGAQ US Equity","EBITDA","2019-11-26","2024-11-26","Per=Y","Days=T","Dir=V")</f>
        <v>0</v>
      </c>
      <c r="AE2">
        <f>BDH("OMGAQ US Equity","NET_INCOME","2019-11-26","2024-11-26","Per=Y","Days=T","Dir=V")</f>
        <v>0</v>
      </c>
      <c r="AG2">
        <f>BDH("OMGAQ US Equity","IS_INT_EXPENSE","2019-11-26","2024-11-26","Per=Y","Days=T","Dir=V")</f>
        <v>0</v>
      </c>
      <c r="AI2">
        <f>BDH("OMGAQ US Equity","IS_DEPR_EXP","2019-11-26","2024-11-26","Per=Y","Days=T","Dir=V")</f>
        <v>0</v>
      </c>
      <c r="AK2">
        <f>BDH("OMGAQ US Equity","CF_CASH_FROM_OPER","2019-11-26","2024-11-26","Per=Y","Days=T","Dir=V")</f>
        <v>0</v>
      </c>
      <c r="AM2">
        <f>BDH("OMGAQ US Equity","CAPITAL_EXPEND","2019-11-26","2024-11-26","Per=Y","Days=T","Dir=V")</f>
        <v>0</v>
      </c>
      <c r="AO2">
        <f>BDH("OMGAQ US Equity","CF_FREE_CASH_FLOW","2019-11-26","2024-11-26","Per=Y","Days=T","Dir=V")</f>
        <v>0</v>
      </c>
      <c r="AQ2">
        <f>BDH("OMGAQ US Equity","PX_LAST","2019-11-26","2024-11-26","Per=M","Days=T","Dir=V")</f>
        <v>0</v>
      </c>
      <c r="AS2">
        <f>BDH("OMGAQ US Equity","CUR_MKT_CAP","2019-11-26","2024-11-26","Per=M","Days=T","Dir=V")</f>
        <v>0</v>
      </c>
      <c r="AU2">
        <f>BDH("OMGAQ US Equity","EQY_SH_OUT","2019-11-26","2024-11-26","Per=M","Days=T","Dir=V")</f>
        <v>0</v>
      </c>
      <c r="AW2">
        <f>BDH("OMGAQ US Equity","BETA_RAW_OVERRIABLE","2019-11-26","2024-11-26","Per=M","Days=T","Dir=V")</f>
        <v>0</v>
      </c>
      <c r="AY2">
        <f>BDH("OMGAQ US Equity","PX_VOLUME","2019-11-26","2024-11-26","Per=M","Days=T","Dir=V")</f>
        <v>0</v>
      </c>
      <c r="BA2">
        <f>BDH("OMGAQ US Equity","TURNOVER","2019-11-26","2024-11-26","Per=M","Days=T","Dir=V")</f>
        <v>0</v>
      </c>
      <c r="BC2">
        <f>BDH("OMGAQ US Equity","SPREAD_BA_CR","2019-11-26","2024-11-26","Per=M","Days=T","Dir=V")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BDH("NKLAQ US Equity","BS_TOT_ASSET","2019-11-27","2024-11-27","Per=Y","Days=T","Dir=V")</f>
        <v>0</v>
      </c>
      <c r="C2">
        <f>BDH("NKLAQ US Equity","BS_TOT_LIAB2","2019-11-27","2024-11-27","Per=Y","Days=T","Dir=V")</f>
        <v>0</v>
      </c>
      <c r="E2">
        <f>BDH("NKLAQ US Equity","SHORT_AND_LONG_TERM_DEBT","2019-11-27","2024-11-27","Per=Y","Days=T","Dir=V")</f>
        <v>0</v>
      </c>
      <c r="G2">
        <f>BDH("NKLAQ US Equity","BS_ST_BORROW","2019-11-27","2024-11-27","Per=Y","Days=T","Dir=V")</f>
        <v>0</v>
      </c>
      <c r="I2">
        <f>BDH("NKLAQ US Equity","BS_LT_BORROW","2019-11-27","2024-11-27","Per=Y","Days=T","Dir=V")</f>
        <v>0</v>
      </c>
      <c r="K2">
        <f>BDH("NKLAQ US Equity","BS_CASH_NEAR_CASH_ITEM","2019-11-27","2024-11-27","Per=Y","Days=T","Dir=V")</f>
        <v>0</v>
      </c>
      <c r="M2">
        <f>BDH("NKLAQ US Equity","BS_CUR_ASSET_REPORT","2019-11-27","2024-11-27","Per=Y","Days=T","Dir=V")</f>
        <v>0</v>
      </c>
      <c r="O2">
        <f>BDH("NKLAQ US Equity","BS_CUR_LIAB","2019-11-27","2024-11-27","Per=Y","Days=T","Dir=V")</f>
        <v>0</v>
      </c>
      <c r="Q2">
        <f>BDH("NKLAQ US Equity","BS_SHAREHOLDER_EQY_ENDING_PERIOD","2019-11-27","2024-11-27","Per=Y","Days=T","Dir=V")</f>
        <v>0</v>
      </c>
      <c r="S2">
        <f>BDH("NKLAQ US Equity","BS_ACCT_NOTE_RCV","2019-11-27","2024-11-27","Per=Y","Days=T","Dir=V")</f>
        <v>0</v>
      </c>
      <c r="U2">
        <f>BDH("NKLAQ US Equity","BS_INVENTORIES","2019-11-27","2024-11-27","Per=Y","Days=T","Dir=V")</f>
        <v>0</v>
      </c>
      <c r="W2">
        <f>BDH("NKLAQ US Equity","WORKING_CAPITAL","2019-11-27","2024-11-27","Per=Y","Days=T","Dir=V")</f>
        <v>0</v>
      </c>
      <c r="Y2">
        <f>BDH("NKLAQ US Equity","SALES_REV_TURN","2019-11-27","2024-11-27","Per=Y","Days=T","Dir=V")</f>
        <v>0</v>
      </c>
      <c r="AA2">
        <f>BDH("NKLAQ US Equity","EBIT","2019-11-27","2024-11-27","Per=Y","Days=T","Dir=V")</f>
        <v>0</v>
      </c>
      <c r="AC2">
        <f>BDH("NKLAQ US Equity","EBITDA","2019-11-27","2024-11-27","Per=Y","Days=T","Dir=V")</f>
        <v>0</v>
      </c>
      <c r="AE2">
        <f>BDH("NKLAQ US Equity","NET_INCOME","2019-11-27","2024-11-27","Per=Y","Days=T","Dir=V")</f>
        <v>0</v>
      </c>
      <c r="AG2">
        <f>BDH("NKLAQ US Equity","IS_INT_EXPENSE","2019-11-27","2024-11-27","Per=Y","Days=T","Dir=V")</f>
        <v>0</v>
      </c>
      <c r="AI2">
        <f>BDH("NKLAQ US Equity","IS_DEPR_EXP","2019-11-27","2024-11-27","Per=Y","Days=T","Dir=V")</f>
        <v>0</v>
      </c>
      <c r="AK2">
        <f>BDH("NKLAQ US Equity","CF_CASH_FROM_OPER","2019-11-27","2024-11-27","Per=Y","Days=T","Dir=V")</f>
        <v>0</v>
      </c>
      <c r="AM2">
        <f>BDH("NKLAQ US Equity","CAPITAL_EXPEND","2019-11-27","2024-11-27","Per=Y","Days=T","Dir=V")</f>
        <v>0</v>
      </c>
      <c r="AO2">
        <f>BDH("NKLAQ US Equity","CF_FREE_CASH_FLOW","2019-11-27","2024-11-27","Per=Y","Days=T","Dir=V")</f>
        <v>0</v>
      </c>
      <c r="AQ2">
        <f>BDH("NKLAQ US Equity","PX_LAST","2019-11-27","2024-11-27","Per=M","Days=T","Dir=V")</f>
        <v>0</v>
      </c>
      <c r="AS2">
        <f>BDH("NKLAQ US Equity","CUR_MKT_CAP","2019-11-27","2024-11-27","Per=M","Days=T","Dir=V")</f>
        <v>0</v>
      </c>
      <c r="AU2">
        <f>BDH("NKLAQ US Equity","EQY_SH_OUT","2019-11-27","2024-11-27","Per=M","Days=T","Dir=V")</f>
        <v>0</v>
      </c>
      <c r="AW2">
        <f>BDH("NKLAQ US Equity","BETA_RAW_OVERRIABLE","2019-11-27","2024-11-27","Per=M","Days=T","Dir=V")</f>
        <v>0</v>
      </c>
      <c r="AY2">
        <f>BDH("NKLAQ US Equity","PX_VOLUME","2019-11-27","2024-11-27","Per=M","Days=T","Dir=V")</f>
        <v>0</v>
      </c>
      <c r="BA2">
        <f>BDH("NKLAQ US Equity","TURNOVER","2019-11-27","2024-11-27","Per=M","Days=T","Dir=V")</f>
        <v>0</v>
      </c>
      <c r="BC2">
        <f>BDH("NKLAQ US Equity","SPREAD_BA_CR","2019-11-27","2024-11-27","Per=M","Days=T","Dir=V")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BDH("CRKN US Equity","BS_TOT_ASSET","2019-12-04","2024-12-04","Per=Y","Days=T","Dir=V")</f>
        <v>0</v>
      </c>
      <c r="C2">
        <f>BDH("CRKN US Equity","BS_TOT_LIAB2","2019-12-04","2024-12-04","Per=Y","Days=T","Dir=V")</f>
        <v>0</v>
      </c>
      <c r="E2">
        <f>BDH("CRKN US Equity","SHORT_AND_LONG_TERM_DEBT","2019-12-04","2024-12-04","Per=Y","Days=T","Dir=V")</f>
        <v>0</v>
      </c>
      <c r="G2">
        <f>BDH("CRKN US Equity","BS_ST_BORROW","2019-12-04","2024-12-04","Per=Y","Days=T","Dir=V")</f>
        <v>0</v>
      </c>
      <c r="I2">
        <f>BDH("CRKN US Equity","BS_LT_BORROW","2019-12-04","2024-12-04","Per=Y","Days=T","Dir=V")</f>
        <v>0</v>
      </c>
      <c r="K2">
        <f>BDH("CRKN US Equity","BS_CASH_NEAR_CASH_ITEM","2019-12-04","2024-12-04","Per=Y","Days=T","Dir=V")</f>
        <v>0</v>
      </c>
      <c r="M2">
        <f>BDH("CRKN US Equity","BS_CUR_ASSET_REPORT","2019-12-04","2024-12-04","Per=Y","Days=T","Dir=V")</f>
        <v>0</v>
      </c>
      <c r="O2">
        <f>BDH("CRKN US Equity","BS_CUR_LIAB","2019-12-04","2024-12-04","Per=Y","Days=T","Dir=V")</f>
        <v>0</v>
      </c>
      <c r="Q2">
        <f>BDH("CRKN US Equity","BS_SHAREHOLDER_EQY_ENDING_PERIOD","2019-12-04","2024-12-04","Per=Y","Days=T","Dir=V")</f>
        <v>0</v>
      </c>
      <c r="S2">
        <f>BDH("CRKN US Equity","BS_ACCT_NOTE_RCV","2019-12-04","2024-12-04","Per=Y","Days=T","Dir=V")</f>
        <v>0</v>
      </c>
      <c r="U2">
        <f>BDH("CRKN US Equity","BS_INVENTORIES","2019-12-04","2024-12-04","Per=Y","Days=T","Dir=V")</f>
        <v>0</v>
      </c>
      <c r="W2">
        <f>BDH("CRKN US Equity","WORKING_CAPITAL","2019-12-04","2024-12-04","Per=Y","Days=T","Dir=V")</f>
        <v>0</v>
      </c>
      <c r="Y2">
        <f>BDH("CRKN US Equity","SALES_REV_TURN","2019-12-04","2024-12-04","Per=Y","Days=T","Dir=V")</f>
        <v>0</v>
      </c>
      <c r="AA2">
        <f>BDH("CRKN US Equity","EBIT","2019-12-04","2024-12-04","Per=Y","Days=T","Dir=V")</f>
        <v>0</v>
      </c>
      <c r="AC2">
        <f>BDH("CRKN US Equity","EBITDA","2019-12-04","2024-12-04","Per=Y","Days=T","Dir=V")</f>
        <v>0</v>
      </c>
      <c r="AE2">
        <f>BDH("CRKN US Equity","NET_INCOME","2019-12-04","2024-12-04","Per=Y","Days=T","Dir=V")</f>
        <v>0</v>
      </c>
      <c r="AG2">
        <f>BDH("CRKN US Equity","IS_INT_EXPENSE","2019-12-04","2024-12-04","Per=Y","Days=T","Dir=V")</f>
        <v>0</v>
      </c>
      <c r="AI2">
        <f>BDH("CRKN US Equity","IS_DEPR_EXP","2019-12-04","2024-12-04","Per=Y","Days=T","Dir=V")</f>
        <v>0</v>
      </c>
      <c r="AK2">
        <f>BDH("CRKN US Equity","CF_CASH_FROM_OPER","2019-12-04","2024-12-04","Per=Y","Days=T","Dir=V")</f>
        <v>0</v>
      </c>
      <c r="AM2">
        <f>BDH("CRKN US Equity","CAPITAL_EXPEND","2019-12-04","2024-12-04","Per=Y","Days=T","Dir=V")</f>
        <v>0</v>
      </c>
      <c r="AO2">
        <f>BDH("CRKN US Equity","CF_FREE_CASH_FLOW","2019-12-04","2024-12-04","Per=Y","Days=T","Dir=V")</f>
        <v>0</v>
      </c>
      <c r="AQ2">
        <f>BDH("CRKN US Equity","PX_LAST","2019-12-04","2024-12-04","Per=M","Days=T","Dir=V")</f>
        <v>0</v>
      </c>
      <c r="AS2">
        <f>BDH("CRKN US Equity","CUR_MKT_CAP","2019-12-04","2024-12-04","Per=M","Days=T","Dir=V")</f>
        <v>0</v>
      </c>
      <c r="AU2">
        <f>BDH("CRKN US Equity","EQY_SH_OUT","2019-12-04","2024-12-04","Per=M","Days=T","Dir=V")</f>
        <v>0</v>
      </c>
      <c r="AW2">
        <f>BDH("CRKN US Equity","BETA_RAW_OVERRIABLE","2019-12-04","2024-12-04","Per=M","Days=T","Dir=V")</f>
        <v>0</v>
      </c>
      <c r="AY2">
        <f>BDH("CRKN US Equity","PX_VOLUME","2019-12-04","2024-12-04","Per=M","Days=T","Dir=V")</f>
        <v>0</v>
      </c>
      <c r="BA2">
        <f>BDH("CRKN US Equity","TURNOVER","2019-12-04","2024-12-04","Per=M","Days=T","Dir=V")</f>
        <v>0</v>
      </c>
      <c r="BC2">
        <f>BDH("CRKN US Equity","SPREAD_BA_CR","2019-12-04","2024-12-04","Per=M","Days=T","Dir=V")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BDH("CUTRQ US Equity","BS_TOT_ASSET","2019-12-12","2024-12-12","Per=Y","Days=T","Dir=V")</f>
        <v>0</v>
      </c>
      <c r="C2">
        <f>BDH("CUTRQ US Equity","BS_TOT_LIAB2","2019-12-12","2024-12-12","Per=Y","Days=T","Dir=V")</f>
        <v>0</v>
      </c>
      <c r="E2">
        <f>BDH("CUTRQ US Equity","SHORT_AND_LONG_TERM_DEBT","2019-12-12","2024-12-12","Per=Y","Days=T","Dir=V")</f>
        <v>0</v>
      </c>
      <c r="G2">
        <f>BDH("CUTRQ US Equity","BS_ST_BORROW","2019-12-12","2024-12-12","Per=Y","Days=T","Dir=V")</f>
        <v>0</v>
      </c>
      <c r="I2">
        <f>BDH("CUTRQ US Equity","BS_LT_BORROW","2019-12-12","2024-12-12","Per=Y","Days=T","Dir=V")</f>
        <v>0</v>
      </c>
      <c r="K2">
        <f>BDH("CUTRQ US Equity","BS_CASH_NEAR_CASH_ITEM","2019-12-12","2024-12-12","Per=Y","Days=T","Dir=V")</f>
        <v>0</v>
      </c>
      <c r="M2">
        <f>BDH("CUTRQ US Equity","BS_CUR_ASSET_REPORT","2019-12-12","2024-12-12","Per=Y","Days=T","Dir=V")</f>
        <v>0</v>
      </c>
      <c r="O2">
        <f>BDH("CUTRQ US Equity","BS_CUR_LIAB","2019-12-12","2024-12-12","Per=Y","Days=T","Dir=V")</f>
        <v>0</v>
      </c>
      <c r="Q2">
        <f>BDH("CUTRQ US Equity","BS_SHAREHOLDER_EQY_ENDING_PERIOD","2019-12-12","2024-12-12","Per=Y","Days=T","Dir=V")</f>
        <v>0</v>
      </c>
      <c r="S2">
        <f>BDH("CUTRQ US Equity","BS_ACCT_NOTE_RCV","2019-12-12","2024-12-12","Per=Y","Days=T","Dir=V")</f>
        <v>0</v>
      </c>
      <c r="U2">
        <f>BDH("CUTRQ US Equity","BS_INVENTORIES","2019-12-12","2024-12-12","Per=Y","Days=T","Dir=V")</f>
        <v>0</v>
      </c>
      <c r="W2">
        <f>BDH("CUTRQ US Equity","WORKING_CAPITAL","2019-12-12","2024-12-12","Per=Y","Days=T","Dir=V")</f>
        <v>0</v>
      </c>
      <c r="Y2">
        <f>BDH("CUTRQ US Equity","SALES_REV_TURN","2019-12-12","2024-12-12","Per=Y","Days=T","Dir=V")</f>
        <v>0</v>
      </c>
      <c r="AA2">
        <f>BDH("CUTRQ US Equity","EBIT","2019-12-12","2024-12-12","Per=Y","Days=T","Dir=V")</f>
        <v>0</v>
      </c>
      <c r="AC2">
        <f>BDH("CUTRQ US Equity","EBITDA","2019-12-12","2024-12-12","Per=Y","Days=T","Dir=V")</f>
        <v>0</v>
      </c>
      <c r="AE2">
        <f>BDH("CUTRQ US Equity","NET_INCOME","2019-12-12","2024-12-12","Per=Y","Days=T","Dir=V")</f>
        <v>0</v>
      </c>
      <c r="AG2">
        <f>BDH("CUTRQ US Equity","IS_INT_EXPENSE","2019-12-12","2024-12-12","Per=Y","Days=T","Dir=V")</f>
        <v>0</v>
      </c>
      <c r="AI2">
        <f>BDH("CUTRQ US Equity","IS_DEPR_EXP","2019-12-12","2024-12-12","Per=Y","Days=T","Dir=V")</f>
        <v>0</v>
      </c>
      <c r="AK2">
        <f>BDH("CUTRQ US Equity","CF_CASH_FROM_OPER","2019-12-12","2024-12-12","Per=Y","Days=T","Dir=V")</f>
        <v>0</v>
      </c>
      <c r="AM2">
        <f>BDH("CUTRQ US Equity","CAPITAL_EXPEND","2019-12-12","2024-12-12","Per=Y","Days=T","Dir=V")</f>
        <v>0</v>
      </c>
      <c r="AO2">
        <f>BDH("CUTRQ US Equity","CF_FREE_CASH_FLOW","2019-12-12","2024-12-12","Per=Y","Days=T","Dir=V")</f>
        <v>0</v>
      </c>
      <c r="AQ2">
        <f>BDH("CUTRQ US Equity","PX_LAST","2019-12-12","2024-12-12","Per=M","Days=T","Dir=V")</f>
        <v>0</v>
      </c>
      <c r="AS2">
        <f>BDH("CUTRQ US Equity","CUR_MKT_CAP","2019-12-12","2024-12-12","Per=M","Days=T","Dir=V")</f>
        <v>0</v>
      </c>
      <c r="AU2">
        <f>BDH("CUTRQ US Equity","EQY_SH_OUT","2019-12-12","2024-12-12","Per=M","Days=T","Dir=V")</f>
        <v>0</v>
      </c>
      <c r="AW2">
        <f>BDH("CUTRQ US Equity","BETA_RAW_OVERRIABLE","2019-12-12","2024-12-12","Per=M","Days=T","Dir=V")</f>
        <v>0</v>
      </c>
      <c r="AY2">
        <f>BDH("CUTRQ US Equity","PX_VOLUME","2019-12-12","2024-12-12","Per=M","Days=T","Dir=V")</f>
        <v>0</v>
      </c>
      <c r="BA2">
        <f>BDH("CUTRQ US Equity","TURNOVER","2019-12-12","2024-12-12","Per=M","Days=T","Dir=V")</f>
        <v>0</v>
      </c>
      <c r="BC2">
        <f>BDH("CUTRQ US Equity","SPREAD_BA_CR","2019-12-12","2024-12-12","Per=M","Days=T","Dir=V")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BDH("ATXI US Equity","BS_TOT_ASSET","2019-12-18","2024-12-18","Per=Y","Days=T","Dir=V")</f>
        <v>0</v>
      </c>
      <c r="C2">
        <f>BDH("ATXI US Equity","BS_TOT_LIAB2","2019-12-18","2024-12-18","Per=Y","Days=T","Dir=V")</f>
        <v>0</v>
      </c>
      <c r="E2">
        <f>BDH("ATXI US Equity","SHORT_AND_LONG_TERM_DEBT","2019-12-18","2024-12-18","Per=Y","Days=T","Dir=V")</f>
        <v>0</v>
      </c>
      <c r="G2">
        <f>BDH("ATXI US Equity","BS_ST_BORROW","2019-12-18","2024-12-18","Per=Y","Days=T","Dir=V")</f>
        <v>0</v>
      </c>
      <c r="I2">
        <f>BDH("ATXI US Equity","BS_LT_BORROW","2019-12-18","2024-12-18","Per=Y","Days=T","Dir=V")</f>
        <v>0</v>
      </c>
      <c r="K2">
        <f>BDH("ATXI US Equity","BS_CASH_NEAR_CASH_ITEM","2019-12-18","2024-12-18","Per=Y","Days=T","Dir=V")</f>
        <v>0</v>
      </c>
      <c r="M2">
        <f>BDH("ATXI US Equity","BS_CUR_ASSET_REPORT","2019-12-18","2024-12-18","Per=Y","Days=T","Dir=V")</f>
        <v>0</v>
      </c>
      <c r="O2">
        <f>BDH("ATXI US Equity","BS_CUR_LIAB","2019-12-18","2024-12-18","Per=Y","Days=T","Dir=V")</f>
        <v>0</v>
      </c>
      <c r="Q2">
        <f>BDH("ATXI US Equity","BS_SHAREHOLDER_EQY_ENDING_PERIOD","2019-12-18","2024-12-18","Per=Y","Days=T","Dir=V")</f>
        <v>0</v>
      </c>
      <c r="S2">
        <f>BDH("ATXI US Equity","BS_ACCT_NOTE_RCV","2019-12-18","2024-12-18","Per=Y","Days=T","Dir=V")</f>
        <v>0</v>
      </c>
      <c r="U2">
        <f>BDH("ATXI US Equity","BS_INVENTORIES","2019-12-18","2024-12-18","Per=Y","Days=T","Dir=V")</f>
        <v>0</v>
      </c>
      <c r="W2">
        <f>BDH("ATXI US Equity","WORKING_CAPITAL","2019-12-18","2024-12-18","Per=Y","Days=T","Dir=V")</f>
        <v>0</v>
      </c>
      <c r="Y2">
        <f>BDH("ATXI US Equity","SALES_REV_TURN","2019-12-18","2024-12-18","Per=Y","Days=T","Dir=V")</f>
        <v>0</v>
      </c>
      <c r="AA2">
        <f>BDH("ATXI US Equity","EBIT","2019-12-18","2024-12-18","Per=Y","Days=T","Dir=V")</f>
        <v>0</v>
      </c>
      <c r="AC2">
        <f>BDH("ATXI US Equity","EBITDA","2019-12-18","2024-12-18","Per=Y","Days=T","Dir=V")</f>
        <v>0</v>
      </c>
      <c r="AE2">
        <f>BDH("ATXI US Equity","NET_INCOME","2019-12-18","2024-12-18","Per=Y","Days=T","Dir=V")</f>
        <v>0</v>
      </c>
      <c r="AG2">
        <f>BDH("ATXI US Equity","IS_INT_EXPENSE","2019-12-18","2024-12-18","Per=Y","Days=T","Dir=V")</f>
        <v>0</v>
      </c>
      <c r="AI2">
        <f>BDH("ATXI US Equity","IS_DEPR_EXP","2019-12-18","2024-12-18","Per=Y","Days=T","Dir=V")</f>
        <v>0</v>
      </c>
      <c r="AK2">
        <f>BDH("ATXI US Equity","CF_CASH_FROM_OPER","2019-12-18","2024-12-18","Per=Y","Days=T","Dir=V")</f>
        <v>0</v>
      </c>
      <c r="AM2">
        <f>BDH("ATXI US Equity","CAPITAL_EXPEND","2019-12-18","2024-12-18","Per=Y","Days=T","Dir=V")</f>
        <v>0</v>
      </c>
      <c r="AO2">
        <f>BDH("ATXI US Equity","CF_FREE_CASH_FLOW","2019-12-18","2024-12-18","Per=Y","Days=T","Dir=V")</f>
        <v>0</v>
      </c>
      <c r="AQ2">
        <f>BDH("ATXI US Equity","PX_LAST","2019-12-18","2024-12-18","Per=M","Days=T","Dir=V")</f>
        <v>0</v>
      </c>
      <c r="AS2">
        <f>BDH("ATXI US Equity","CUR_MKT_CAP","2019-12-18","2024-12-18","Per=M","Days=T","Dir=V")</f>
        <v>0</v>
      </c>
      <c r="AU2">
        <f>BDH("ATXI US Equity","EQY_SH_OUT","2019-12-18","2024-12-18","Per=M","Days=T","Dir=V")</f>
        <v>0</v>
      </c>
      <c r="AW2">
        <f>BDH("ATXI US Equity","BETA_RAW_OVERRIABLE","2019-12-18","2024-12-18","Per=M","Days=T","Dir=V")</f>
        <v>0</v>
      </c>
      <c r="AY2">
        <f>BDH("ATXI US Equity","PX_VOLUME","2019-12-18","2024-12-18","Per=M","Days=T","Dir=V")</f>
        <v>0</v>
      </c>
      <c r="BA2">
        <f>BDH("ATXI US Equity","TURNOVER","2019-12-18","2024-12-18","Per=M","Days=T","Dir=V")</f>
        <v>0</v>
      </c>
      <c r="BC2">
        <f>BDH("ATXI US Equity","SPREAD_BA_CR","2019-12-18","2024-12-18","Per=M","Days=T","Dir=V")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BDH("BACK US Equity","BS_TOT_ASSET","2019-12-25","2024-12-25","Per=Y","Days=T","Dir=V")</f>
        <v>0</v>
      </c>
      <c r="C2">
        <f>BDH("BACK US Equity","BS_TOT_LIAB2","2019-12-25","2024-12-25","Per=Y","Days=T","Dir=V")</f>
        <v>0</v>
      </c>
      <c r="E2">
        <f>BDH("BACK US Equity","SHORT_AND_LONG_TERM_DEBT","2019-12-25","2024-12-25","Per=Y","Days=T","Dir=V")</f>
        <v>0</v>
      </c>
      <c r="G2">
        <f>BDH("BACK US Equity","BS_ST_BORROW","2019-12-25","2024-12-25","Per=Y","Days=T","Dir=V")</f>
        <v>0</v>
      </c>
      <c r="I2">
        <f>BDH("BACK US Equity","BS_LT_BORROW","2019-12-25","2024-12-25","Per=Y","Days=T","Dir=V")</f>
        <v>0</v>
      </c>
      <c r="K2">
        <f>BDH("BACK US Equity","BS_CASH_NEAR_CASH_ITEM","2019-12-25","2024-12-25","Per=Y","Days=T","Dir=V")</f>
        <v>0</v>
      </c>
      <c r="M2">
        <f>BDH("BACK US Equity","BS_CUR_ASSET_REPORT","2019-12-25","2024-12-25","Per=Y","Days=T","Dir=V")</f>
        <v>0</v>
      </c>
      <c r="O2">
        <f>BDH("BACK US Equity","BS_CUR_LIAB","2019-12-25","2024-12-25","Per=Y","Days=T","Dir=V")</f>
        <v>0</v>
      </c>
      <c r="Q2">
        <f>BDH("BACK US Equity","BS_SHAREHOLDER_EQY_ENDING_PERIOD","2019-12-25","2024-12-25","Per=Y","Days=T","Dir=V")</f>
        <v>0</v>
      </c>
      <c r="S2">
        <f>BDH("BACK US Equity","BS_ACCT_NOTE_RCV","2019-12-25","2024-12-25","Per=Y","Days=T","Dir=V")</f>
        <v>0</v>
      </c>
      <c r="U2">
        <f>BDH("BACK US Equity","BS_INVENTORIES","2019-12-25","2024-12-25","Per=Y","Days=T","Dir=V")</f>
        <v>0</v>
      </c>
      <c r="W2">
        <f>BDH("BACK US Equity","WORKING_CAPITAL","2019-12-25","2024-12-25","Per=Y","Days=T","Dir=V")</f>
        <v>0</v>
      </c>
      <c r="Y2">
        <f>BDH("BACK US Equity","SALES_REV_TURN","2019-12-25","2024-12-25","Per=Y","Days=T","Dir=V")</f>
        <v>0</v>
      </c>
      <c r="AA2">
        <f>BDH("BACK US Equity","EBIT","2019-12-25","2024-12-25","Per=Y","Days=T","Dir=V")</f>
        <v>0</v>
      </c>
      <c r="AC2">
        <f>BDH("BACK US Equity","EBITDA","2019-12-25","2024-12-25","Per=Y","Days=T","Dir=V")</f>
        <v>0</v>
      </c>
      <c r="AE2">
        <f>BDH("BACK US Equity","NET_INCOME","2019-12-25","2024-12-25","Per=Y","Days=T","Dir=V")</f>
        <v>0</v>
      </c>
      <c r="AG2">
        <f>BDH("BACK US Equity","IS_INT_EXPENSE","2019-12-25","2024-12-25","Per=Y","Days=T","Dir=V")</f>
        <v>0</v>
      </c>
      <c r="AI2">
        <f>BDH("BACK US Equity","IS_DEPR_EXP","2019-12-25","2024-12-25","Per=Y","Days=T","Dir=V")</f>
        <v>0</v>
      </c>
      <c r="AK2">
        <f>BDH("BACK US Equity","CF_CASH_FROM_OPER","2019-12-25","2024-12-25","Per=Y","Days=T","Dir=V")</f>
        <v>0</v>
      </c>
      <c r="AM2">
        <f>BDH("BACK US Equity","CAPITAL_EXPEND","2019-12-25","2024-12-25","Per=Y","Days=T","Dir=V")</f>
        <v>0</v>
      </c>
      <c r="AO2">
        <f>BDH("BACK US Equity","CF_FREE_CASH_FLOW","2019-12-25","2024-12-25","Per=Y","Days=T","Dir=V")</f>
        <v>0</v>
      </c>
      <c r="AQ2">
        <f>BDH("BACK US Equity","PX_LAST","2019-12-25","2024-12-25","Per=M","Days=T","Dir=V")</f>
        <v>0</v>
      </c>
      <c r="AS2">
        <f>BDH("BACK US Equity","CUR_MKT_CAP","2019-12-25","2024-12-25","Per=M","Days=T","Dir=V")</f>
        <v>0</v>
      </c>
      <c r="AU2">
        <f>BDH("BACK US Equity","EQY_SH_OUT","2019-12-25","2024-12-25","Per=M","Days=T","Dir=V")</f>
        <v>0</v>
      </c>
      <c r="AW2">
        <f>BDH("BACK US Equity","BETA_RAW_OVERRIABLE","2019-12-25","2024-12-25","Per=M","Days=T","Dir=V")</f>
        <v>0</v>
      </c>
      <c r="AY2">
        <f>BDH("BACK US Equity","PX_VOLUME","2019-12-25","2024-12-25","Per=M","Days=T","Dir=V")</f>
        <v>0</v>
      </c>
      <c r="BA2">
        <f>BDH("BACK US Equity","TURNOVER","2019-12-25","2024-12-25","Per=M","Days=T","Dir=V")</f>
        <v>0</v>
      </c>
      <c r="BC2">
        <f>BDH("BACK US Equity","SPREAD_BA_CR","2019-12-25","2024-12-25","Per=M","Days=T","Dir=V")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BDH("BHILQ US Equity","BS_TOT_ASSET","2019-12-26","2024-12-26","Per=Y","Days=T","Dir=V")</f>
        <v>0</v>
      </c>
      <c r="C2">
        <f>BDH("BHILQ US Equity","BS_TOT_LIAB2","2019-12-26","2024-12-26","Per=Y","Days=T","Dir=V")</f>
        <v>0</v>
      </c>
      <c r="E2">
        <f>BDH("BHILQ US Equity","SHORT_AND_LONG_TERM_DEBT","2019-12-26","2024-12-26","Per=Y","Days=T","Dir=V")</f>
        <v>0</v>
      </c>
      <c r="G2">
        <f>BDH("BHILQ US Equity","BS_ST_BORROW","2019-12-26","2024-12-26","Per=Y","Days=T","Dir=V")</f>
        <v>0</v>
      </c>
      <c r="I2">
        <f>BDH("BHILQ US Equity","BS_LT_BORROW","2019-12-26","2024-12-26","Per=Y","Days=T","Dir=V")</f>
        <v>0</v>
      </c>
      <c r="K2">
        <f>BDH("BHILQ US Equity","BS_CASH_NEAR_CASH_ITEM","2019-12-26","2024-12-26","Per=Y","Days=T","Dir=V")</f>
        <v>0</v>
      </c>
      <c r="M2">
        <f>BDH("BHILQ US Equity","BS_CUR_ASSET_REPORT","2019-12-26","2024-12-26","Per=Y","Days=T","Dir=V")</f>
        <v>0</v>
      </c>
      <c r="O2">
        <f>BDH("BHILQ US Equity","BS_CUR_LIAB","2019-12-26","2024-12-26","Per=Y","Days=T","Dir=V")</f>
        <v>0</v>
      </c>
      <c r="Q2">
        <f>BDH("BHILQ US Equity","BS_SHAREHOLDER_EQY_ENDING_PERIOD","2019-12-26","2024-12-26","Per=Y","Days=T","Dir=V")</f>
        <v>0</v>
      </c>
      <c r="S2">
        <f>BDH("BHILQ US Equity","BS_ACCT_NOTE_RCV","2019-12-26","2024-12-26","Per=Y","Days=T","Dir=V")</f>
        <v>0</v>
      </c>
      <c r="U2">
        <f>BDH("BHILQ US Equity","BS_INVENTORIES","2019-12-26","2024-12-26","Per=Y","Days=T","Dir=V")</f>
        <v>0</v>
      </c>
      <c r="W2">
        <f>BDH("BHILQ US Equity","WORKING_CAPITAL","2019-12-26","2024-12-26","Per=Y","Days=T","Dir=V")</f>
        <v>0</v>
      </c>
      <c r="Y2">
        <f>BDH("BHILQ US Equity","SALES_REV_TURN","2019-12-26","2024-12-26","Per=Y","Days=T","Dir=V")</f>
        <v>0</v>
      </c>
      <c r="AA2">
        <f>BDH("BHILQ US Equity","EBIT","2019-12-26","2024-12-26","Per=Y","Days=T","Dir=V")</f>
        <v>0</v>
      </c>
      <c r="AC2">
        <f>BDH("BHILQ US Equity","EBITDA","2019-12-26","2024-12-26","Per=Y","Days=T","Dir=V")</f>
        <v>0</v>
      </c>
      <c r="AE2">
        <f>BDH("BHILQ US Equity","NET_INCOME","2019-12-26","2024-12-26","Per=Y","Days=T","Dir=V")</f>
        <v>0</v>
      </c>
      <c r="AG2">
        <f>BDH("BHILQ US Equity","IS_INT_EXPENSE","2019-12-26","2024-12-26","Per=Y","Days=T","Dir=V")</f>
        <v>0</v>
      </c>
      <c r="AI2">
        <f>BDH("BHILQ US Equity","IS_DEPR_EXP","2019-12-26","2024-12-26","Per=Y","Days=T","Dir=V")</f>
        <v>0</v>
      </c>
      <c r="AK2">
        <f>BDH("BHILQ US Equity","CF_CASH_FROM_OPER","2019-12-26","2024-12-26","Per=Y","Days=T","Dir=V")</f>
        <v>0</v>
      </c>
      <c r="AM2">
        <f>BDH("BHILQ US Equity","CAPITAL_EXPEND","2019-12-26","2024-12-26","Per=Y","Days=T","Dir=V")</f>
        <v>0</v>
      </c>
      <c r="AO2">
        <f>BDH("BHILQ US Equity","CF_FREE_CASH_FLOW","2019-12-26","2024-12-26","Per=Y","Days=T","Dir=V")</f>
        <v>0</v>
      </c>
      <c r="AQ2">
        <f>BDH("BHILQ US Equity","PX_LAST","2019-12-26","2024-12-26","Per=M","Days=T","Dir=V")</f>
        <v>0</v>
      </c>
      <c r="AS2">
        <f>BDH("BHILQ US Equity","CUR_MKT_CAP","2019-12-26","2024-12-26","Per=M","Days=T","Dir=V")</f>
        <v>0</v>
      </c>
      <c r="AU2">
        <f>BDH("BHILQ US Equity","EQY_SH_OUT","2019-12-26","2024-12-26","Per=M","Days=T","Dir=V")</f>
        <v>0</v>
      </c>
      <c r="AW2">
        <f>BDH("BHILQ US Equity","BETA_RAW_OVERRIABLE","2019-12-26","2024-12-26","Per=M","Days=T","Dir=V")</f>
        <v>0</v>
      </c>
      <c r="AY2">
        <f>BDH("BHILQ US Equity","PX_VOLUME","2019-12-26","2024-12-26","Per=M","Days=T","Dir=V")</f>
        <v>0</v>
      </c>
      <c r="BA2">
        <f>BDH("BHILQ US Equity","TURNOVER","2019-12-26","2024-12-26","Per=M","Days=T","Dir=V")</f>
        <v>0</v>
      </c>
      <c r="BC2">
        <f>BDH("BHILQ US Equity","SPREAD_BA_CR","2019-12-26","2024-12-26","Per=M","Days=T","Dir=V")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BDH("LKCOF US Equity","BS_TOT_ASSET","2019-12-28","2024-12-28","Per=Y","Days=T","Dir=V")</f>
        <v>0</v>
      </c>
      <c r="C2">
        <f>BDH("LKCOF US Equity","BS_TOT_LIAB2","2019-12-28","2024-12-28","Per=Y","Days=T","Dir=V")</f>
        <v>0</v>
      </c>
      <c r="E2">
        <f>BDH("LKCOF US Equity","SHORT_AND_LONG_TERM_DEBT","2019-12-28","2024-12-28","Per=Y","Days=T","Dir=V")</f>
        <v>0</v>
      </c>
      <c r="G2">
        <f>BDH("LKCOF US Equity","BS_ST_BORROW","2019-12-28","2024-12-28","Per=Y","Days=T","Dir=V")</f>
        <v>0</v>
      </c>
      <c r="I2">
        <f>BDH("LKCOF US Equity","BS_LT_BORROW","2019-12-28","2024-12-28","Per=Y","Days=T","Dir=V")</f>
        <v>0</v>
      </c>
      <c r="K2">
        <f>BDH("LKCOF US Equity","BS_CASH_NEAR_CASH_ITEM","2019-12-28","2024-12-28","Per=Y","Days=T","Dir=V")</f>
        <v>0</v>
      </c>
      <c r="M2">
        <f>BDH("LKCOF US Equity","BS_CUR_ASSET_REPORT","2019-12-28","2024-12-28","Per=Y","Days=T","Dir=V")</f>
        <v>0</v>
      </c>
      <c r="O2">
        <f>BDH("LKCOF US Equity","BS_CUR_LIAB","2019-12-28","2024-12-28","Per=Y","Days=T","Dir=V")</f>
        <v>0</v>
      </c>
      <c r="Q2">
        <f>BDH("LKCOF US Equity","BS_SHAREHOLDER_EQY_ENDING_PERIOD","2019-12-28","2024-12-28","Per=Y","Days=T","Dir=V")</f>
        <v>0</v>
      </c>
      <c r="S2">
        <f>BDH("LKCOF US Equity","BS_ACCT_NOTE_RCV","2019-12-28","2024-12-28","Per=Y","Days=T","Dir=V")</f>
        <v>0</v>
      </c>
      <c r="U2">
        <f>BDH("LKCOF US Equity","BS_INVENTORIES","2019-12-28","2024-12-28","Per=Y","Days=T","Dir=V")</f>
        <v>0</v>
      </c>
      <c r="W2">
        <f>BDH("LKCOF US Equity","WORKING_CAPITAL","2019-12-28","2024-12-28","Per=Y","Days=T","Dir=V")</f>
        <v>0</v>
      </c>
      <c r="Y2">
        <f>BDH("LKCOF US Equity","SALES_REV_TURN","2019-12-28","2024-12-28","Per=Y","Days=T","Dir=V")</f>
        <v>0</v>
      </c>
      <c r="AA2">
        <f>BDH("LKCOF US Equity","EBIT","2019-12-28","2024-12-28","Per=Y","Days=T","Dir=V")</f>
        <v>0</v>
      </c>
      <c r="AC2">
        <f>BDH("LKCOF US Equity","EBITDA","2019-12-28","2024-12-28","Per=Y","Days=T","Dir=V")</f>
        <v>0</v>
      </c>
      <c r="AE2">
        <f>BDH("LKCOF US Equity","NET_INCOME","2019-12-28","2024-12-28","Per=Y","Days=T","Dir=V")</f>
        <v>0</v>
      </c>
      <c r="AG2">
        <f>BDH("LKCOF US Equity","IS_INT_EXPENSE","2019-12-28","2024-12-28","Per=Y","Days=T","Dir=V")</f>
        <v>0</v>
      </c>
      <c r="AI2">
        <f>BDH("LKCOF US Equity","IS_DEPR_EXP","2019-12-28","2024-12-28","Per=Y","Days=T","Dir=V")</f>
        <v>0</v>
      </c>
      <c r="AK2">
        <f>BDH("LKCOF US Equity","CF_CASH_FROM_OPER","2019-12-28","2024-12-28","Per=Y","Days=T","Dir=V")</f>
        <v>0</v>
      </c>
      <c r="AM2">
        <f>BDH("LKCOF US Equity","CAPITAL_EXPEND","2019-12-28","2024-12-28","Per=Y","Days=T","Dir=V")</f>
        <v>0</v>
      </c>
      <c r="AO2">
        <f>BDH("LKCOF US Equity","CF_FREE_CASH_FLOW","2019-12-28","2024-12-28","Per=Y","Days=T","Dir=V")</f>
        <v>0</v>
      </c>
      <c r="AQ2">
        <f>BDH("LKCOF US Equity","PX_LAST","2019-12-28","2024-12-28","Per=M","Days=T","Dir=V")</f>
        <v>0</v>
      </c>
      <c r="AS2">
        <f>BDH("LKCOF US Equity","CUR_MKT_CAP","2019-12-28","2024-12-28","Per=M","Days=T","Dir=V")</f>
        <v>0</v>
      </c>
      <c r="AU2">
        <f>BDH("LKCOF US Equity","EQY_SH_OUT","2019-12-28","2024-12-28","Per=M","Days=T","Dir=V")</f>
        <v>0</v>
      </c>
      <c r="AW2">
        <f>BDH("LKCOF US Equity","BETA_RAW_OVERRIABLE","2019-12-28","2024-12-28","Per=M","Days=T","Dir=V")</f>
        <v>0</v>
      </c>
      <c r="AY2">
        <f>BDH("LKCOF US Equity","PX_VOLUME","2019-12-28","2024-12-28","Per=M","Days=T","Dir=V")</f>
        <v>0</v>
      </c>
      <c r="BA2">
        <f>BDH("LKCOF US Equity","TURNOVER","2019-12-28","2024-12-28","Per=M","Days=T","Dir=V")</f>
        <v>0</v>
      </c>
      <c r="BC2">
        <f>BDH("LKCOF US Equity","SPREAD_BA_CR","2019-12-28","2024-12-28","Per=M","Days=T","Dir=V")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BDH("VRPX US Equity","BS_TOT_ASSET","2020-01-04","2025-01-04","Per=Y","Days=T","Dir=V")</f>
        <v>0</v>
      </c>
      <c r="C2">
        <f>BDH("VRPX US Equity","BS_TOT_LIAB2","2020-01-04","2025-01-04","Per=Y","Days=T","Dir=V")</f>
        <v>0</v>
      </c>
      <c r="E2">
        <f>BDH("VRPX US Equity","SHORT_AND_LONG_TERM_DEBT","2020-01-04","2025-01-04","Per=Y","Days=T","Dir=V")</f>
        <v>0</v>
      </c>
      <c r="G2">
        <f>BDH("VRPX US Equity","BS_ST_BORROW","2020-01-04","2025-01-04","Per=Y","Days=T","Dir=V")</f>
        <v>0</v>
      </c>
      <c r="I2">
        <f>BDH("VRPX US Equity","BS_LT_BORROW","2020-01-04","2025-01-04","Per=Y","Days=T","Dir=V")</f>
        <v>0</v>
      </c>
      <c r="K2">
        <f>BDH("VRPX US Equity","BS_CASH_NEAR_CASH_ITEM","2020-01-04","2025-01-04","Per=Y","Days=T","Dir=V")</f>
        <v>0</v>
      </c>
      <c r="M2">
        <f>BDH("VRPX US Equity","BS_CUR_ASSET_REPORT","2020-01-04","2025-01-04","Per=Y","Days=T","Dir=V")</f>
        <v>0</v>
      </c>
      <c r="O2">
        <f>BDH("VRPX US Equity","BS_CUR_LIAB","2020-01-04","2025-01-04","Per=Y","Days=T","Dir=V")</f>
        <v>0</v>
      </c>
      <c r="Q2">
        <f>BDH("VRPX US Equity","BS_SHAREHOLDER_EQY_ENDING_PERIOD","2020-01-04","2025-01-04","Per=Y","Days=T","Dir=V")</f>
        <v>0</v>
      </c>
      <c r="S2">
        <f>BDH("VRPX US Equity","BS_ACCT_NOTE_RCV","2020-01-04","2025-01-04","Per=Y","Days=T","Dir=V")</f>
        <v>0</v>
      </c>
      <c r="U2">
        <f>BDH("VRPX US Equity","BS_INVENTORIES","2020-01-04","2025-01-04","Per=Y","Days=T","Dir=V")</f>
        <v>0</v>
      </c>
      <c r="W2">
        <f>BDH("VRPX US Equity","WORKING_CAPITAL","2020-01-04","2025-01-04","Per=Y","Days=T","Dir=V")</f>
        <v>0</v>
      </c>
      <c r="Y2">
        <f>BDH("VRPX US Equity","SALES_REV_TURN","2020-01-04","2025-01-04","Per=Y","Days=T","Dir=V")</f>
        <v>0</v>
      </c>
      <c r="AA2">
        <f>BDH("VRPX US Equity","EBIT","2020-01-04","2025-01-04","Per=Y","Days=T","Dir=V")</f>
        <v>0</v>
      </c>
      <c r="AC2">
        <f>BDH("VRPX US Equity","EBITDA","2020-01-04","2025-01-04","Per=Y","Days=T","Dir=V")</f>
        <v>0</v>
      </c>
      <c r="AE2">
        <f>BDH("VRPX US Equity","NET_INCOME","2020-01-04","2025-01-04","Per=Y","Days=T","Dir=V")</f>
        <v>0</v>
      </c>
      <c r="AG2">
        <f>BDH("VRPX US Equity","IS_INT_EXPENSE","2020-01-04","2025-01-04","Per=Y","Days=T","Dir=V")</f>
        <v>0</v>
      </c>
      <c r="AI2">
        <f>BDH("VRPX US Equity","IS_DEPR_EXP","2020-01-04","2025-01-04","Per=Y","Days=T","Dir=V")</f>
        <v>0</v>
      </c>
      <c r="AK2">
        <f>BDH("VRPX US Equity","CF_CASH_FROM_OPER","2020-01-04","2025-01-04","Per=Y","Days=T","Dir=V")</f>
        <v>0</v>
      </c>
      <c r="AM2">
        <f>BDH("VRPX US Equity","CAPITAL_EXPEND","2020-01-04","2025-01-04","Per=Y","Days=T","Dir=V")</f>
        <v>0</v>
      </c>
      <c r="AO2">
        <f>BDH("VRPX US Equity","CF_FREE_CASH_FLOW","2020-01-04","2025-01-04","Per=Y","Days=T","Dir=V")</f>
        <v>0</v>
      </c>
      <c r="AQ2">
        <f>BDH("VRPX US Equity","PX_LAST","2020-01-04","2025-01-04","Per=M","Days=T","Dir=V")</f>
        <v>0</v>
      </c>
      <c r="AS2">
        <f>BDH("VRPX US Equity","CUR_MKT_CAP","2020-01-04","2025-01-04","Per=M","Days=T","Dir=V")</f>
        <v>0</v>
      </c>
      <c r="AU2">
        <f>BDH("VRPX US Equity","EQY_SH_OUT","2020-01-04","2025-01-04","Per=M","Days=T","Dir=V")</f>
        <v>0</v>
      </c>
      <c r="AW2">
        <f>BDH("VRPX US Equity","BETA_RAW_OVERRIABLE","2020-01-04","2025-01-04","Per=M","Days=T","Dir=V")</f>
        <v>0</v>
      </c>
      <c r="AY2">
        <f>BDH("VRPX US Equity","PX_VOLUME","2020-01-04","2025-01-04","Per=M","Days=T","Dir=V")</f>
        <v>0</v>
      </c>
      <c r="BA2">
        <f>BDH("VRPX US Equity","TURNOVER","2020-01-04","2025-01-04","Per=M","Days=T","Dir=V")</f>
        <v>0</v>
      </c>
      <c r="BC2">
        <f>BDH("VRPX US Equity","SPREAD_BA_CR","2020-01-04","2025-01-04","Per=M","Days=T","Dir=V")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BDH("SCPX US Equity","BS_TOT_ASSET","2020-01-21","2025-01-21","Per=Y","Days=T","Dir=V")</f>
        <v>0</v>
      </c>
      <c r="C2">
        <f>BDH("SCPX US Equity","BS_TOT_LIAB2","2020-01-21","2025-01-21","Per=Y","Days=T","Dir=V")</f>
        <v>0</v>
      </c>
      <c r="E2">
        <f>BDH("SCPX US Equity","SHORT_AND_LONG_TERM_DEBT","2020-01-21","2025-01-21","Per=Y","Days=T","Dir=V")</f>
        <v>0</v>
      </c>
      <c r="G2">
        <f>BDH("SCPX US Equity","BS_ST_BORROW","2020-01-21","2025-01-21","Per=Y","Days=T","Dir=V")</f>
        <v>0</v>
      </c>
      <c r="I2">
        <f>BDH("SCPX US Equity","BS_LT_BORROW","2020-01-21","2025-01-21","Per=Y","Days=T","Dir=V")</f>
        <v>0</v>
      </c>
      <c r="K2">
        <f>BDH("SCPX US Equity","BS_CASH_NEAR_CASH_ITEM","2020-01-21","2025-01-21","Per=Y","Days=T","Dir=V")</f>
        <v>0</v>
      </c>
      <c r="M2">
        <f>BDH("SCPX US Equity","BS_CUR_ASSET_REPORT","2020-01-21","2025-01-21","Per=Y","Days=T","Dir=V")</f>
        <v>0</v>
      </c>
      <c r="O2">
        <f>BDH("SCPX US Equity","BS_CUR_LIAB","2020-01-21","2025-01-21","Per=Y","Days=T","Dir=V")</f>
        <v>0</v>
      </c>
      <c r="Q2">
        <f>BDH("SCPX US Equity","BS_SHAREHOLDER_EQY_ENDING_PERIOD","2020-01-21","2025-01-21","Per=Y","Days=T","Dir=V")</f>
        <v>0</v>
      </c>
      <c r="S2">
        <f>BDH("SCPX US Equity","BS_ACCT_NOTE_RCV","2020-01-21","2025-01-21","Per=Y","Days=T","Dir=V")</f>
        <v>0</v>
      </c>
      <c r="U2">
        <f>BDH("SCPX US Equity","BS_INVENTORIES","2020-01-21","2025-01-21","Per=Y","Days=T","Dir=V")</f>
        <v>0</v>
      </c>
      <c r="W2">
        <f>BDH("SCPX US Equity","WORKING_CAPITAL","2020-01-21","2025-01-21","Per=Y","Days=T","Dir=V")</f>
        <v>0</v>
      </c>
      <c r="Y2">
        <f>BDH("SCPX US Equity","SALES_REV_TURN","2020-01-21","2025-01-21","Per=Y","Days=T","Dir=V")</f>
        <v>0</v>
      </c>
      <c r="AA2">
        <f>BDH("SCPX US Equity","EBIT","2020-01-21","2025-01-21","Per=Y","Days=T","Dir=V")</f>
        <v>0</v>
      </c>
      <c r="AC2">
        <f>BDH("SCPX US Equity","EBITDA","2020-01-21","2025-01-21","Per=Y","Days=T","Dir=V")</f>
        <v>0</v>
      </c>
      <c r="AE2">
        <f>BDH("SCPX US Equity","NET_INCOME","2020-01-21","2025-01-21","Per=Y","Days=T","Dir=V")</f>
        <v>0</v>
      </c>
      <c r="AG2">
        <f>BDH("SCPX US Equity","IS_INT_EXPENSE","2020-01-21","2025-01-21","Per=Y","Days=T","Dir=V")</f>
        <v>0</v>
      </c>
      <c r="AI2">
        <f>BDH("SCPX US Equity","IS_DEPR_EXP","2020-01-21","2025-01-21","Per=Y","Days=T","Dir=V")</f>
        <v>0</v>
      </c>
      <c r="AK2">
        <f>BDH("SCPX US Equity","CF_CASH_FROM_OPER","2020-01-21","2025-01-21","Per=Y","Days=T","Dir=V")</f>
        <v>0</v>
      </c>
      <c r="AM2">
        <f>BDH("SCPX US Equity","CAPITAL_EXPEND","2020-01-21","2025-01-21","Per=Y","Days=T","Dir=V")</f>
        <v>0</v>
      </c>
      <c r="AO2">
        <f>BDH("SCPX US Equity","CF_FREE_CASH_FLOW","2020-01-21","2025-01-21","Per=Y","Days=T","Dir=V")</f>
        <v>0</v>
      </c>
      <c r="AQ2">
        <f>BDH("SCPX US Equity","PX_LAST","2020-01-21","2025-01-21","Per=M","Days=T","Dir=V")</f>
        <v>0</v>
      </c>
      <c r="AS2">
        <f>BDH("SCPX US Equity","CUR_MKT_CAP","2020-01-21","2025-01-21","Per=M","Days=T","Dir=V")</f>
        <v>0</v>
      </c>
      <c r="AU2">
        <f>BDH("SCPX US Equity","EQY_SH_OUT","2020-01-21","2025-01-21","Per=M","Days=T","Dir=V")</f>
        <v>0</v>
      </c>
      <c r="AW2">
        <f>BDH("SCPX US Equity","BETA_RAW_OVERRIABLE","2020-01-21","2025-01-21","Per=M","Days=T","Dir=V")</f>
        <v>0</v>
      </c>
      <c r="AY2">
        <f>BDH("SCPX US Equity","PX_VOLUME","2020-01-21","2025-01-21","Per=M","Days=T","Dir=V")</f>
        <v>0</v>
      </c>
      <c r="BA2">
        <f>BDH("SCPX US Equity","TURNOVER","2020-01-21","2025-01-21","Per=M","Days=T","Dir=V")</f>
        <v>0</v>
      </c>
      <c r="BC2">
        <f>BDH("SCPX US Equity","SPREAD_BA_CR","2020-01-21","2025-01-21","Per=M","Days=T","Dir=V")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BDH("AIEV US Equity","BS_TOT_ASSET","2020-01-21","2025-01-21","Per=Y","Days=T","Dir=V")</f>
        <v>0</v>
      </c>
      <c r="C2">
        <f>BDH("AIEV US Equity","BS_TOT_LIAB2","2020-01-21","2025-01-21","Per=Y","Days=T","Dir=V")</f>
        <v>0</v>
      </c>
      <c r="E2">
        <f>BDH("AIEV US Equity","SHORT_AND_LONG_TERM_DEBT","2020-01-21","2025-01-21","Per=Y","Days=T","Dir=V")</f>
        <v>0</v>
      </c>
      <c r="G2">
        <f>BDH("AIEV US Equity","BS_ST_BORROW","2020-01-21","2025-01-21","Per=Y","Days=T","Dir=V")</f>
        <v>0</v>
      </c>
      <c r="I2">
        <f>BDH("AIEV US Equity","BS_LT_BORROW","2020-01-21","2025-01-21","Per=Y","Days=T","Dir=V")</f>
        <v>0</v>
      </c>
      <c r="K2">
        <f>BDH("AIEV US Equity","BS_CASH_NEAR_CASH_ITEM","2020-01-21","2025-01-21","Per=Y","Days=T","Dir=V")</f>
        <v>0</v>
      </c>
      <c r="M2">
        <f>BDH("AIEV US Equity","BS_CUR_ASSET_REPORT","2020-01-21","2025-01-21","Per=Y","Days=T","Dir=V")</f>
        <v>0</v>
      </c>
      <c r="O2">
        <f>BDH("AIEV US Equity","BS_CUR_LIAB","2020-01-21","2025-01-21","Per=Y","Days=T","Dir=V")</f>
        <v>0</v>
      </c>
      <c r="Q2">
        <f>BDH("AIEV US Equity","BS_SHAREHOLDER_EQY_ENDING_PERIOD","2020-01-21","2025-01-21","Per=Y","Days=T","Dir=V")</f>
        <v>0</v>
      </c>
      <c r="S2">
        <f>BDH("AIEV US Equity","BS_ACCT_NOTE_RCV","2020-01-21","2025-01-21","Per=Y","Days=T","Dir=V")</f>
        <v>0</v>
      </c>
      <c r="U2">
        <f>BDH("AIEV US Equity","BS_INVENTORIES","2020-01-21","2025-01-21","Per=Y","Days=T","Dir=V")</f>
        <v>0</v>
      </c>
      <c r="W2">
        <f>BDH("AIEV US Equity","WORKING_CAPITAL","2020-01-21","2025-01-21","Per=Y","Days=T","Dir=V")</f>
        <v>0</v>
      </c>
      <c r="Y2">
        <f>BDH("AIEV US Equity","SALES_REV_TURN","2020-01-21","2025-01-21","Per=Y","Days=T","Dir=V")</f>
        <v>0</v>
      </c>
      <c r="AA2">
        <f>BDH("AIEV US Equity","EBIT","2020-01-21","2025-01-21","Per=Y","Days=T","Dir=V")</f>
        <v>0</v>
      </c>
      <c r="AC2">
        <f>BDH("AIEV US Equity","EBITDA","2020-01-21","2025-01-21","Per=Y","Days=T","Dir=V")</f>
        <v>0</v>
      </c>
      <c r="AE2">
        <f>BDH("AIEV US Equity","NET_INCOME","2020-01-21","2025-01-21","Per=Y","Days=T","Dir=V")</f>
        <v>0</v>
      </c>
      <c r="AG2">
        <f>BDH("AIEV US Equity","IS_INT_EXPENSE","2020-01-21","2025-01-21","Per=Y","Days=T","Dir=V")</f>
        <v>0</v>
      </c>
      <c r="AI2">
        <f>BDH("AIEV US Equity","IS_DEPR_EXP","2020-01-21","2025-01-21","Per=Y","Days=T","Dir=V")</f>
        <v>0</v>
      </c>
      <c r="AK2">
        <f>BDH("AIEV US Equity","CF_CASH_FROM_OPER","2020-01-21","2025-01-21","Per=Y","Days=T","Dir=V")</f>
        <v>0</v>
      </c>
      <c r="AM2">
        <f>BDH("AIEV US Equity","CAPITAL_EXPEND","2020-01-21","2025-01-21","Per=Y","Days=T","Dir=V")</f>
        <v>0</v>
      </c>
      <c r="AO2">
        <f>BDH("AIEV US Equity","CF_FREE_CASH_FLOW","2020-01-21","2025-01-21","Per=Y","Days=T","Dir=V")</f>
        <v>0</v>
      </c>
      <c r="AQ2">
        <f>BDH("AIEV US Equity","PX_LAST","2020-01-21","2025-01-21","Per=M","Days=T","Dir=V")</f>
        <v>0</v>
      </c>
      <c r="AS2">
        <f>BDH("AIEV US Equity","CUR_MKT_CAP","2020-01-21","2025-01-21","Per=M","Days=T","Dir=V")</f>
        <v>0</v>
      </c>
      <c r="AU2">
        <f>BDH("AIEV US Equity","EQY_SH_OUT","2020-01-21","2025-01-21","Per=M","Days=T","Dir=V")</f>
        <v>0</v>
      </c>
      <c r="AW2">
        <f>BDH("AIEV US Equity","BETA_RAW_OVERRIABLE","2020-01-21","2025-01-21","Per=M","Days=T","Dir=V")</f>
        <v>0</v>
      </c>
      <c r="AY2">
        <f>BDH("AIEV US Equity","PX_VOLUME","2020-01-21","2025-01-21","Per=M","Days=T","Dir=V")</f>
        <v>0</v>
      </c>
      <c r="BA2">
        <f>BDH("AIEV US Equity","TURNOVER","2020-01-21","2025-01-21","Per=M","Days=T","Dir=V")</f>
        <v>0</v>
      </c>
      <c r="BC2">
        <f>BDH("AIEV US Equity","SPREAD_BA_CR","2020-01-21","2025-01-21","Per=M","Days=T","Dir=V")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BDH("VINC US Equity","BS_TOT_ASSET","2020-01-22","2025-01-22","Per=Y","Days=T","Dir=V")</f>
        <v>0</v>
      </c>
      <c r="C2">
        <f>BDH("VINC US Equity","BS_TOT_LIAB2","2020-01-22","2025-01-22","Per=Y","Days=T","Dir=V")</f>
        <v>0</v>
      </c>
      <c r="E2">
        <f>BDH("VINC US Equity","SHORT_AND_LONG_TERM_DEBT","2020-01-22","2025-01-22","Per=Y","Days=T","Dir=V")</f>
        <v>0</v>
      </c>
      <c r="G2">
        <f>BDH("VINC US Equity","BS_ST_BORROW","2020-01-22","2025-01-22","Per=Y","Days=T","Dir=V")</f>
        <v>0</v>
      </c>
      <c r="I2">
        <f>BDH("VINC US Equity","BS_LT_BORROW","2020-01-22","2025-01-22","Per=Y","Days=T","Dir=V")</f>
        <v>0</v>
      </c>
      <c r="K2">
        <f>BDH("VINC US Equity","BS_CASH_NEAR_CASH_ITEM","2020-01-22","2025-01-22","Per=Y","Days=T","Dir=V")</f>
        <v>0</v>
      </c>
      <c r="M2">
        <f>BDH("VINC US Equity","BS_CUR_ASSET_REPORT","2020-01-22","2025-01-22","Per=Y","Days=T","Dir=V")</f>
        <v>0</v>
      </c>
      <c r="O2">
        <f>BDH("VINC US Equity","BS_CUR_LIAB","2020-01-22","2025-01-22","Per=Y","Days=T","Dir=V")</f>
        <v>0</v>
      </c>
      <c r="Q2">
        <f>BDH("VINC US Equity","BS_SHAREHOLDER_EQY_ENDING_PERIOD","2020-01-22","2025-01-22","Per=Y","Days=T","Dir=V")</f>
        <v>0</v>
      </c>
      <c r="S2">
        <f>BDH("VINC US Equity","BS_ACCT_NOTE_RCV","2020-01-22","2025-01-22","Per=Y","Days=T","Dir=V")</f>
        <v>0</v>
      </c>
      <c r="U2">
        <f>BDH("VINC US Equity","BS_INVENTORIES","2020-01-22","2025-01-22","Per=Y","Days=T","Dir=V")</f>
        <v>0</v>
      </c>
      <c r="W2">
        <f>BDH("VINC US Equity","WORKING_CAPITAL","2020-01-22","2025-01-22","Per=Y","Days=T","Dir=V")</f>
        <v>0</v>
      </c>
      <c r="Y2">
        <f>BDH("VINC US Equity","SALES_REV_TURN","2020-01-22","2025-01-22","Per=Y","Days=T","Dir=V")</f>
        <v>0</v>
      </c>
      <c r="AA2">
        <f>BDH("VINC US Equity","EBIT","2020-01-22","2025-01-22","Per=Y","Days=T","Dir=V")</f>
        <v>0</v>
      </c>
      <c r="AC2">
        <f>BDH("VINC US Equity","EBITDA","2020-01-22","2025-01-22","Per=Y","Days=T","Dir=V")</f>
        <v>0</v>
      </c>
      <c r="AE2">
        <f>BDH("VINC US Equity","NET_INCOME","2020-01-22","2025-01-22","Per=Y","Days=T","Dir=V")</f>
        <v>0</v>
      </c>
      <c r="AG2">
        <f>BDH("VINC US Equity","IS_INT_EXPENSE","2020-01-22","2025-01-22","Per=Y","Days=T","Dir=V")</f>
        <v>0</v>
      </c>
      <c r="AI2">
        <f>BDH("VINC US Equity","IS_DEPR_EXP","2020-01-22","2025-01-22","Per=Y","Days=T","Dir=V")</f>
        <v>0</v>
      </c>
      <c r="AK2">
        <f>BDH("VINC US Equity","CF_CASH_FROM_OPER","2020-01-22","2025-01-22","Per=Y","Days=T","Dir=V")</f>
        <v>0</v>
      </c>
      <c r="AM2">
        <f>BDH("VINC US Equity","CAPITAL_EXPEND","2020-01-22","2025-01-22","Per=Y","Days=T","Dir=V")</f>
        <v>0</v>
      </c>
      <c r="AO2">
        <f>BDH("VINC US Equity","CF_FREE_CASH_FLOW","2020-01-22","2025-01-22","Per=Y","Days=T","Dir=V")</f>
        <v>0</v>
      </c>
      <c r="AQ2">
        <f>BDH("VINC US Equity","PX_LAST","2020-01-22","2025-01-22","Per=M","Days=T","Dir=V")</f>
        <v>0</v>
      </c>
      <c r="AS2">
        <f>BDH("VINC US Equity","CUR_MKT_CAP","2020-01-22","2025-01-22","Per=M","Days=T","Dir=V")</f>
        <v>0</v>
      </c>
      <c r="AU2">
        <f>BDH("VINC US Equity","EQY_SH_OUT","2020-01-22","2025-01-22","Per=M","Days=T","Dir=V")</f>
        <v>0</v>
      </c>
      <c r="AW2">
        <f>BDH("VINC US Equity","BETA_RAW_OVERRIABLE","2020-01-22","2025-01-22","Per=M","Days=T","Dir=V")</f>
        <v>0</v>
      </c>
      <c r="AY2">
        <f>BDH("VINC US Equity","PX_VOLUME","2020-01-22","2025-01-22","Per=M","Days=T","Dir=V")</f>
        <v>0</v>
      </c>
      <c r="BA2">
        <f>BDH("VINC US Equity","TURNOVER","2020-01-22","2025-01-22","Per=M","Days=T","Dir=V")</f>
        <v>0</v>
      </c>
      <c r="BC2">
        <f>BDH("VINC US Equity","SPREAD_BA_CR","2020-01-22","2025-01-22","Per=M","Days=T","Dir=V")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BDH("AXDXQ US Equity","BS_TOT_ASSET","2020-02-13","2025-02-13","Per=Y","Days=T","Dir=V")</f>
        <v>0</v>
      </c>
      <c r="C2">
        <f>BDH("AXDXQ US Equity","BS_TOT_LIAB2","2020-02-13","2025-02-13","Per=Y","Days=T","Dir=V")</f>
        <v>0</v>
      </c>
      <c r="E2">
        <f>BDH("AXDXQ US Equity","SHORT_AND_LONG_TERM_DEBT","2020-02-13","2025-02-13","Per=Y","Days=T","Dir=V")</f>
        <v>0</v>
      </c>
      <c r="G2">
        <f>BDH("AXDXQ US Equity","BS_ST_BORROW","2020-02-13","2025-02-13","Per=Y","Days=T","Dir=V")</f>
        <v>0</v>
      </c>
      <c r="I2">
        <f>BDH("AXDXQ US Equity","BS_LT_BORROW","2020-02-13","2025-02-13","Per=Y","Days=T","Dir=V")</f>
        <v>0</v>
      </c>
      <c r="K2">
        <f>BDH("AXDXQ US Equity","BS_CASH_NEAR_CASH_ITEM","2020-02-13","2025-02-13","Per=Y","Days=T","Dir=V")</f>
        <v>0</v>
      </c>
      <c r="M2">
        <f>BDH("AXDXQ US Equity","BS_CUR_ASSET_REPORT","2020-02-13","2025-02-13","Per=Y","Days=T","Dir=V")</f>
        <v>0</v>
      </c>
      <c r="O2">
        <f>BDH("AXDXQ US Equity","BS_CUR_LIAB","2020-02-13","2025-02-13","Per=Y","Days=T","Dir=V")</f>
        <v>0</v>
      </c>
      <c r="Q2">
        <f>BDH("AXDXQ US Equity","BS_SHAREHOLDER_EQY_ENDING_PERIOD","2020-02-13","2025-02-13","Per=Y","Days=T","Dir=V")</f>
        <v>0</v>
      </c>
      <c r="S2">
        <f>BDH("AXDXQ US Equity","BS_ACCT_NOTE_RCV","2020-02-13","2025-02-13","Per=Y","Days=T","Dir=V")</f>
        <v>0</v>
      </c>
      <c r="U2">
        <f>BDH("AXDXQ US Equity","BS_INVENTORIES","2020-02-13","2025-02-13","Per=Y","Days=T","Dir=V")</f>
        <v>0</v>
      </c>
      <c r="W2">
        <f>BDH("AXDXQ US Equity","WORKING_CAPITAL","2020-02-13","2025-02-13","Per=Y","Days=T","Dir=V")</f>
        <v>0</v>
      </c>
      <c r="Y2">
        <f>BDH("AXDXQ US Equity","SALES_REV_TURN","2020-02-13","2025-02-13","Per=Y","Days=T","Dir=V")</f>
        <v>0</v>
      </c>
      <c r="AA2">
        <f>BDH("AXDXQ US Equity","EBIT","2020-02-13","2025-02-13","Per=Y","Days=T","Dir=V")</f>
        <v>0</v>
      </c>
      <c r="AC2">
        <f>BDH("AXDXQ US Equity","EBITDA","2020-02-13","2025-02-13","Per=Y","Days=T","Dir=V")</f>
        <v>0</v>
      </c>
      <c r="AE2">
        <f>BDH("AXDXQ US Equity","NET_INCOME","2020-02-13","2025-02-13","Per=Y","Days=T","Dir=V")</f>
        <v>0</v>
      </c>
      <c r="AG2">
        <f>BDH("AXDXQ US Equity","IS_INT_EXPENSE","2020-02-13","2025-02-13","Per=Y","Days=T","Dir=V")</f>
        <v>0</v>
      </c>
      <c r="AI2">
        <f>BDH("AXDXQ US Equity","IS_DEPR_EXP","2020-02-13","2025-02-13","Per=Y","Days=T","Dir=V")</f>
        <v>0</v>
      </c>
      <c r="AK2">
        <f>BDH("AXDXQ US Equity","CF_CASH_FROM_OPER","2020-02-13","2025-02-13","Per=Y","Days=T","Dir=V")</f>
        <v>0</v>
      </c>
      <c r="AM2">
        <f>BDH("AXDXQ US Equity","CAPITAL_EXPEND","2020-02-13","2025-02-13","Per=Y","Days=T","Dir=V")</f>
        <v>0</v>
      </c>
      <c r="AO2">
        <f>BDH("AXDXQ US Equity","CF_FREE_CASH_FLOW","2020-02-13","2025-02-13","Per=Y","Days=T","Dir=V")</f>
        <v>0</v>
      </c>
      <c r="AQ2">
        <f>BDH("AXDXQ US Equity","PX_LAST","2020-02-13","2025-02-13","Per=M","Days=T","Dir=V")</f>
        <v>0</v>
      </c>
      <c r="AS2">
        <f>BDH("AXDXQ US Equity","CUR_MKT_CAP","2020-02-13","2025-02-13","Per=M","Days=T","Dir=V")</f>
        <v>0</v>
      </c>
      <c r="AU2">
        <f>BDH("AXDXQ US Equity","EQY_SH_OUT","2020-02-13","2025-02-13","Per=M","Days=T","Dir=V")</f>
        <v>0</v>
      </c>
      <c r="AW2">
        <f>BDH("AXDXQ US Equity","BETA_RAW_OVERRIABLE","2020-02-13","2025-02-13","Per=M","Days=T","Dir=V")</f>
        <v>0</v>
      </c>
      <c r="AY2">
        <f>BDH("AXDXQ US Equity","PX_VOLUME","2020-02-13","2025-02-13","Per=M","Days=T","Dir=V")</f>
        <v>0</v>
      </c>
      <c r="BA2">
        <f>BDH("AXDXQ US Equity","TURNOVER","2020-02-13","2025-02-13","Per=M","Days=T","Dir=V")</f>
        <v>0</v>
      </c>
      <c r="BC2">
        <f>BDH("AXDXQ US Equity","SPREAD_BA_CR","2020-02-13","2025-02-13","Per=M","Days=T","Dir=V")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BDH("ICCT US Equity","BS_TOT_ASSET","2020-02-20","2025-02-20","Per=Y","Days=T","Dir=V")</f>
        <v>0</v>
      </c>
      <c r="C2">
        <f>BDH("ICCT US Equity","BS_TOT_LIAB2","2020-02-20","2025-02-20","Per=Y","Days=T","Dir=V")</f>
        <v>0</v>
      </c>
      <c r="E2">
        <f>BDH("ICCT US Equity","SHORT_AND_LONG_TERM_DEBT","2020-02-20","2025-02-20","Per=Y","Days=T","Dir=V")</f>
        <v>0</v>
      </c>
      <c r="G2">
        <f>BDH("ICCT US Equity","BS_ST_BORROW","2020-02-20","2025-02-20","Per=Y","Days=T","Dir=V")</f>
        <v>0</v>
      </c>
      <c r="I2">
        <f>BDH("ICCT US Equity","BS_LT_BORROW","2020-02-20","2025-02-20","Per=Y","Days=T","Dir=V")</f>
        <v>0</v>
      </c>
      <c r="K2">
        <f>BDH("ICCT US Equity","BS_CASH_NEAR_CASH_ITEM","2020-02-20","2025-02-20","Per=Y","Days=T","Dir=V")</f>
        <v>0</v>
      </c>
      <c r="M2">
        <f>BDH("ICCT US Equity","BS_CUR_ASSET_REPORT","2020-02-20","2025-02-20","Per=Y","Days=T","Dir=V")</f>
        <v>0</v>
      </c>
      <c r="O2">
        <f>BDH("ICCT US Equity","BS_CUR_LIAB","2020-02-20","2025-02-20","Per=Y","Days=T","Dir=V")</f>
        <v>0</v>
      </c>
      <c r="Q2">
        <f>BDH("ICCT US Equity","BS_SHAREHOLDER_EQY_ENDING_PERIOD","2020-02-20","2025-02-20","Per=Y","Days=T","Dir=V")</f>
        <v>0</v>
      </c>
      <c r="S2">
        <f>BDH("ICCT US Equity","BS_ACCT_NOTE_RCV","2020-02-20","2025-02-20","Per=Y","Days=T","Dir=V")</f>
        <v>0</v>
      </c>
      <c r="U2">
        <f>BDH("ICCT US Equity","BS_INVENTORIES","2020-02-20","2025-02-20","Per=Y","Days=T","Dir=V")</f>
        <v>0</v>
      </c>
      <c r="W2">
        <f>BDH("ICCT US Equity","WORKING_CAPITAL","2020-02-20","2025-02-20","Per=Y","Days=T","Dir=V")</f>
        <v>0</v>
      </c>
      <c r="Y2">
        <f>BDH("ICCT US Equity","SALES_REV_TURN","2020-02-20","2025-02-20","Per=Y","Days=T","Dir=V")</f>
        <v>0</v>
      </c>
      <c r="AA2">
        <f>BDH("ICCT US Equity","EBIT","2020-02-20","2025-02-20","Per=Y","Days=T","Dir=V")</f>
        <v>0</v>
      </c>
      <c r="AC2">
        <f>BDH("ICCT US Equity","EBITDA","2020-02-20","2025-02-20","Per=Y","Days=T","Dir=V")</f>
        <v>0</v>
      </c>
      <c r="AE2">
        <f>BDH("ICCT US Equity","NET_INCOME","2020-02-20","2025-02-20","Per=Y","Days=T","Dir=V")</f>
        <v>0</v>
      </c>
      <c r="AG2">
        <f>BDH("ICCT US Equity","IS_INT_EXPENSE","2020-02-20","2025-02-20","Per=Y","Days=T","Dir=V")</f>
        <v>0</v>
      </c>
      <c r="AI2">
        <f>BDH("ICCT US Equity","IS_DEPR_EXP","2020-02-20","2025-02-20","Per=Y","Days=T","Dir=V")</f>
        <v>0</v>
      </c>
      <c r="AK2">
        <f>BDH("ICCT US Equity","CF_CASH_FROM_OPER","2020-02-20","2025-02-20","Per=Y","Days=T","Dir=V")</f>
        <v>0</v>
      </c>
      <c r="AM2">
        <f>BDH("ICCT US Equity","CAPITAL_EXPEND","2020-02-20","2025-02-20","Per=Y","Days=T","Dir=V")</f>
        <v>0</v>
      </c>
      <c r="AO2">
        <f>BDH("ICCT US Equity","CF_FREE_CASH_FLOW","2020-02-20","2025-02-20","Per=Y","Days=T","Dir=V")</f>
        <v>0</v>
      </c>
      <c r="AQ2">
        <f>BDH("ICCT US Equity","PX_LAST","2020-02-20","2025-02-20","Per=M","Days=T","Dir=V")</f>
        <v>0</v>
      </c>
      <c r="AS2">
        <f>BDH("ICCT US Equity","CUR_MKT_CAP","2020-02-20","2025-02-20","Per=M","Days=T","Dir=V")</f>
        <v>0</v>
      </c>
      <c r="AU2">
        <f>BDH("ICCT US Equity","EQY_SH_OUT","2020-02-20","2025-02-20","Per=M","Days=T","Dir=V")</f>
        <v>0</v>
      </c>
      <c r="AW2">
        <f>BDH("ICCT US Equity","BETA_RAW_OVERRIABLE","2020-02-20","2025-02-20","Per=M","Days=T","Dir=V")</f>
        <v>0</v>
      </c>
      <c r="AY2">
        <f>BDH("ICCT US Equity","PX_VOLUME","2020-02-20","2025-02-20","Per=M","Days=T","Dir=V")</f>
        <v>0</v>
      </c>
      <c r="BA2">
        <f>BDH("ICCT US Equity","TURNOVER","2020-02-20","2025-02-20","Per=M","Days=T","Dir=V")</f>
        <v>0</v>
      </c>
      <c r="BC2">
        <f>BDH("ICCT US Equity","SPREAD_BA_CR","2020-02-20","2025-02-20","Per=M","Days=T","Dir=V")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BDH("NOVAQ US Equity","BS_TOT_ASSET","2020-03-12","2025-03-12","Per=Y","Days=T","Dir=V")</f>
        <v>0</v>
      </c>
      <c r="C2">
        <f>BDH("NOVAQ US Equity","BS_TOT_LIAB2","2020-03-12","2025-03-12","Per=Y","Days=T","Dir=V")</f>
        <v>0</v>
      </c>
      <c r="E2">
        <f>BDH("NOVAQ US Equity","SHORT_AND_LONG_TERM_DEBT","2020-03-12","2025-03-12","Per=Y","Days=T","Dir=V")</f>
        <v>0</v>
      </c>
      <c r="G2">
        <f>BDH("NOVAQ US Equity","BS_ST_BORROW","2020-03-12","2025-03-12","Per=Y","Days=T","Dir=V")</f>
        <v>0</v>
      </c>
      <c r="I2">
        <f>BDH("NOVAQ US Equity","BS_LT_BORROW","2020-03-12","2025-03-12","Per=Y","Days=T","Dir=V")</f>
        <v>0</v>
      </c>
      <c r="K2">
        <f>BDH("NOVAQ US Equity","BS_CASH_NEAR_CASH_ITEM","2020-03-12","2025-03-12","Per=Y","Days=T","Dir=V")</f>
        <v>0</v>
      </c>
      <c r="M2">
        <f>BDH("NOVAQ US Equity","BS_CUR_ASSET_REPORT","2020-03-12","2025-03-12","Per=Y","Days=T","Dir=V")</f>
        <v>0</v>
      </c>
      <c r="O2">
        <f>BDH("NOVAQ US Equity","BS_CUR_LIAB","2020-03-12","2025-03-12","Per=Y","Days=T","Dir=V")</f>
        <v>0</v>
      </c>
      <c r="Q2">
        <f>BDH("NOVAQ US Equity","BS_SHAREHOLDER_EQY_ENDING_PERIOD","2020-03-12","2025-03-12","Per=Y","Days=T","Dir=V")</f>
        <v>0</v>
      </c>
      <c r="S2">
        <f>BDH("NOVAQ US Equity","BS_ACCT_NOTE_RCV","2020-03-12","2025-03-12","Per=Y","Days=T","Dir=V")</f>
        <v>0</v>
      </c>
      <c r="U2">
        <f>BDH("NOVAQ US Equity","BS_INVENTORIES","2020-03-12","2025-03-12","Per=Y","Days=T","Dir=V")</f>
        <v>0</v>
      </c>
      <c r="W2">
        <f>BDH("NOVAQ US Equity","WORKING_CAPITAL","2020-03-12","2025-03-12","Per=Y","Days=T","Dir=V")</f>
        <v>0</v>
      </c>
      <c r="Y2">
        <f>BDH("NOVAQ US Equity","SALES_REV_TURN","2020-03-12","2025-03-12","Per=Y","Days=T","Dir=V")</f>
        <v>0</v>
      </c>
      <c r="AA2">
        <f>BDH("NOVAQ US Equity","EBIT","2020-03-12","2025-03-12","Per=Y","Days=T","Dir=V")</f>
        <v>0</v>
      </c>
      <c r="AC2">
        <f>BDH("NOVAQ US Equity","EBITDA","2020-03-12","2025-03-12","Per=Y","Days=T","Dir=V")</f>
        <v>0</v>
      </c>
      <c r="AE2">
        <f>BDH("NOVAQ US Equity","NET_INCOME","2020-03-12","2025-03-12","Per=Y","Days=T","Dir=V")</f>
        <v>0</v>
      </c>
      <c r="AG2">
        <f>BDH("NOVAQ US Equity","IS_INT_EXPENSE","2020-03-12","2025-03-12","Per=Y","Days=T","Dir=V")</f>
        <v>0</v>
      </c>
      <c r="AI2">
        <f>BDH("NOVAQ US Equity","IS_DEPR_EXP","2020-03-12","2025-03-12","Per=Y","Days=T","Dir=V")</f>
        <v>0</v>
      </c>
      <c r="AK2">
        <f>BDH("NOVAQ US Equity","CF_CASH_FROM_OPER","2020-03-12","2025-03-12","Per=Y","Days=T","Dir=V")</f>
        <v>0</v>
      </c>
      <c r="AM2">
        <f>BDH("NOVAQ US Equity","CAPITAL_EXPEND","2020-03-12","2025-03-12","Per=Y","Days=T","Dir=V")</f>
        <v>0</v>
      </c>
      <c r="AO2">
        <f>BDH("NOVAQ US Equity","CF_FREE_CASH_FLOW","2020-03-12","2025-03-12","Per=Y","Days=T","Dir=V")</f>
        <v>0</v>
      </c>
      <c r="AQ2">
        <f>BDH("NOVAQ US Equity","PX_LAST","2020-03-12","2025-03-12","Per=M","Days=T","Dir=V")</f>
        <v>0</v>
      </c>
      <c r="AS2">
        <f>BDH("NOVAQ US Equity","CUR_MKT_CAP","2020-03-12","2025-03-12","Per=M","Days=T","Dir=V")</f>
        <v>0</v>
      </c>
      <c r="AU2">
        <f>BDH("NOVAQ US Equity","EQY_SH_OUT","2020-03-12","2025-03-12","Per=M","Days=T","Dir=V")</f>
        <v>0</v>
      </c>
      <c r="AW2">
        <f>BDH("NOVAQ US Equity","BETA_RAW_OVERRIABLE","2020-03-12","2025-03-12","Per=M","Days=T","Dir=V")</f>
        <v>0</v>
      </c>
      <c r="AY2">
        <f>BDH("NOVAQ US Equity","PX_VOLUME","2020-03-12","2025-03-12","Per=M","Days=T","Dir=V")</f>
        <v>0</v>
      </c>
      <c r="BA2">
        <f>BDH("NOVAQ US Equity","TURNOVER","2020-03-12","2025-03-12","Per=M","Days=T","Dir=V")</f>
        <v>0</v>
      </c>
      <c r="BC2">
        <f>BDH("NOVAQ US Equity","SPREAD_BA_CR","2020-03-12","2025-03-12","Per=M","Days=T","Dir=V")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BDH("FMTOF US Equity","BS_TOT_ASSET","2020-03-22","2025-03-22","Per=Y","Days=T","Dir=V")</f>
        <v>0</v>
      </c>
      <c r="C2">
        <f>BDH("FMTOF US Equity","BS_TOT_LIAB2","2020-03-22","2025-03-22","Per=Y","Days=T","Dir=V")</f>
        <v>0</v>
      </c>
      <c r="E2">
        <f>BDH("FMTOF US Equity","SHORT_AND_LONG_TERM_DEBT","2020-03-22","2025-03-22","Per=Y","Days=T","Dir=V")</f>
        <v>0</v>
      </c>
      <c r="G2">
        <f>BDH("FMTOF US Equity","BS_ST_BORROW","2020-03-22","2025-03-22","Per=Y","Days=T","Dir=V")</f>
        <v>0</v>
      </c>
      <c r="I2">
        <f>BDH("FMTOF US Equity","BS_LT_BORROW","2020-03-22","2025-03-22","Per=Y","Days=T","Dir=V")</f>
        <v>0</v>
      </c>
      <c r="K2">
        <f>BDH("FMTOF US Equity","BS_CASH_NEAR_CASH_ITEM","2020-03-22","2025-03-22","Per=Y","Days=T","Dir=V")</f>
        <v>0</v>
      </c>
      <c r="M2">
        <f>BDH("FMTOF US Equity","BS_CUR_ASSET_REPORT","2020-03-22","2025-03-22","Per=Y","Days=T","Dir=V")</f>
        <v>0</v>
      </c>
      <c r="O2">
        <f>BDH("FMTOF US Equity","BS_CUR_LIAB","2020-03-22","2025-03-22","Per=Y","Days=T","Dir=V")</f>
        <v>0</v>
      </c>
      <c r="Q2">
        <f>BDH("FMTOF US Equity","BS_SHAREHOLDER_EQY_ENDING_PERIOD","2020-03-22","2025-03-22","Per=Y","Days=T","Dir=V")</f>
        <v>0</v>
      </c>
      <c r="S2">
        <f>BDH("FMTOF US Equity","BS_ACCT_NOTE_RCV","2020-03-22","2025-03-22","Per=Y","Days=T","Dir=V")</f>
        <v>0</v>
      </c>
      <c r="U2">
        <f>BDH("FMTOF US Equity","BS_INVENTORIES","2020-03-22","2025-03-22","Per=Y","Days=T","Dir=V")</f>
        <v>0</v>
      </c>
      <c r="W2">
        <f>BDH("FMTOF US Equity","WORKING_CAPITAL","2020-03-22","2025-03-22","Per=Y","Days=T","Dir=V")</f>
        <v>0</v>
      </c>
      <c r="Y2">
        <f>BDH("FMTOF US Equity","SALES_REV_TURN","2020-03-22","2025-03-22","Per=Y","Days=T","Dir=V")</f>
        <v>0</v>
      </c>
      <c r="AA2">
        <f>BDH("FMTOF US Equity","EBIT","2020-03-22","2025-03-22","Per=Y","Days=T","Dir=V")</f>
        <v>0</v>
      </c>
      <c r="AC2">
        <f>BDH("FMTOF US Equity","EBITDA","2020-03-22","2025-03-22","Per=Y","Days=T","Dir=V")</f>
        <v>0</v>
      </c>
      <c r="AE2">
        <f>BDH("FMTOF US Equity","NET_INCOME","2020-03-22","2025-03-22","Per=Y","Days=T","Dir=V")</f>
        <v>0</v>
      </c>
      <c r="AG2">
        <f>BDH("FMTOF US Equity","IS_INT_EXPENSE","2020-03-22","2025-03-22","Per=Y","Days=T","Dir=V")</f>
        <v>0</v>
      </c>
      <c r="AI2">
        <f>BDH("FMTOF US Equity","IS_DEPR_EXP","2020-03-22","2025-03-22","Per=Y","Days=T","Dir=V")</f>
        <v>0</v>
      </c>
      <c r="AK2">
        <f>BDH("FMTOF US Equity","CF_CASH_FROM_OPER","2020-03-22","2025-03-22","Per=Y","Days=T","Dir=V")</f>
        <v>0</v>
      </c>
      <c r="AM2">
        <f>BDH("FMTOF US Equity","CAPITAL_EXPEND","2020-03-22","2025-03-22","Per=Y","Days=T","Dir=V")</f>
        <v>0</v>
      </c>
      <c r="AO2">
        <f>BDH("FMTOF US Equity","CF_FREE_CASH_FLOW","2020-03-22","2025-03-22","Per=Y","Days=T","Dir=V")</f>
        <v>0</v>
      </c>
      <c r="AQ2">
        <f>BDH("FMTOF US Equity","PX_LAST","2020-03-22","2025-03-22","Per=M","Days=T","Dir=V")</f>
        <v>0</v>
      </c>
      <c r="AS2">
        <f>BDH("FMTOF US Equity","CUR_MKT_CAP","2020-03-22","2025-03-22","Per=M","Days=T","Dir=V")</f>
        <v>0</v>
      </c>
      <c r="AU2">
        <f>BDH("FMTOF US Equity","EQY_SH_OUT","2020-03-22","2025-03-22","Per=M","Days=T","Dir=V")</f>
        <v>0</v>
      </c>
      <c r="AW2">
        <f>BDH("FMTOF US Equity","BETA_RAW_OVERRIABLE","2020-03-22","2025-03-22","Per=M","Days=T","Dir=V")</f>
        <v>0</v>
      </c>
      <c r="AY2">
        <f>BDH("FMTOF US Equity","PX_VOLUME","2020-03-22","2025-03-22","Per=M","Days=T","Dir=V")</f>
        <v>0</v>
      </c>
      <c r="BA2">
        <f>BDH("FMTOF US Equity","TURNOVER","2020-03-22","2025-03-22","Per=M","Days=T","Dir=V")</f>
        <v>0</v>
      </c>
      <c r="BC2">
        <f>BDH("FMTOF US Equity","SPREAD_BA_CR","2020-03-22","2025-03-22","Per=M","Days=T","Dir=V")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BDH("MRINQ US Equity","BS_TOT_ASSET","2020-03-27","2025-03-27","Per=Y","Days=T","Dir=V")</f>
        <v>0</v>
      </c>
      <c r="C2">
        <f>BDH("MRINQ US Equity","BS_TOT_LIAB2","2020-03-27","2025-03-27","Per=Y","Days=T","Dir=V")</f>
        <v>0</v>
      </c>
      <c r="E2">
        <f>BDH("MRINQ US Equity","SHORT_AND_LONG_TERM_DEBT","2020-03-27","2025-03-27","Per=Y","Days=T","Dir=V")</f>
        <v>0</v>
      </c>
      <c r="G2">
        <f>BDH("MRINQ US Equity","BS_ST_BORROW","2020-03-27","2025-03-27","Per=Y","Days=T","Dir=V")</f>
        <v>0</v>
      </c>
      <c r="I2">
        <f>BDH("MRINQ US Equity","BS_LT_BORROW","2020-03-27","2025-03-27","Per=Y","Days=T","Dir=V")</f>
        <v>0</v>
      </c>
      <c r="K2">
        <f>BDH("MRINQ US Equity","BS_CASH_NEAR_CASH_ITEM","2020-03-27","2025-03-27","Per=Y","Days=T","Dir=V")</f>
        <v>0</v>
      </c>
      <c r="M2">
        <f>BDH("MRINQ US Equity","BS_CUR_ASSET_REPORT","2020-03-27","2025-03-27","Per=Y","Days=T","Dir=V")</f>
        <v>0</v>
      </c>
      <c r="O2">
        <f>BDH("MRINQ US Equity","BS_CUR_LIAB","2020-03-27","2025-03-27","Per=Y","Days=T","Dir=V")</f>
        <v>0</v>
      </c>
      <c r="Q2">
        <f>BDH("MRINQ US Equity","BS_SHAREHOLDER_EQY_ENDING_PERIOD","2020-03-27","2025-03-27","Per=Y","Days=T","Dir=V")</f>
        <v>0</v>
      </c>
      <c r="S2">
        <f>BDH("MRINQ US Equity","BS_ACCT_NOTE_RCV","2020-03-27","2025-03-27","Per=Y","Days=T","Dir=V")</f>
        <v>0</v>
      </c>
      <c r="U2">
        <f>BDH("MRINQ US Equity","BS_INVENTORIES","2020-03-27","2025-03-27","Per=Y","Days=T","Dir=V")</f>
        <v>0</v>
      </c>
      <c r="W2">
        <f>BDH("MRINQ US Equity","WORKING_CAPITAL","2020-03-27","2025-03-27","Per=Y","Days=T","Dir=V")</f>
        <v>0</v>
      </c>
      <c r="Y2">
        <f>BDH("MRINQ US Equity","SALES_REV_TURN","2020-03-27","2025-03-27","Per=Y","Days=T","Dir=V")</f>
        <v>0</v>
      </c>
      <c r="AA2">
        <f>BDH("MRINQ US Equity","EBIT","2020-03-27","2025-03-27","Per=Y","Days=T","Dir=V")</f>
        <v>0</v>
      </c>
      <c r="AC2">
        <f>BDH("MRINQ US Equity","EBITDA","2020-03-27","2025-03-27","Per=Y","Days=T","Dir=V")</f>
        <v>0</v>
      </c>
      <c r="AE2">
        <f>BDH("MRINQ US Equity","NET_INCOME","2020-03-27","2025-03-27","Per=Y","Days=T","Dir=V")</f>
        <v>0</v>
      </c>
      <c r="AG2">
        <f>BDH("MRINQ US Equity","IS_INT_EXPENSE","2020-03-27","2025-03-27","Per=Y","Days=T","Dir=V")</f>
        <v>0</v>
      </c>
      <c r="AI2">
        <f>BDH("MRINQ US Equity","IS_DEPR_EXP","2020-03-27","2025-03-27","Per=Y","Days=T","Dir=V")</f>
        <v>0</v>
      </c>
      <c r="AK2">
        <f>BDH("MRINQ US Equity","CF_CASH_FROM_OPER","2020-03-27","2025-03-27","Per=Y","Days=T","Dir=V")</f>
        <v>0</v>
      </c>
      <c r="AM2">
        <f>BDH("MRINQ US Equity","CAPITAL_EXPEND","2020-03-27","2025-03-27","Per=Y","Days=T","Dir=V")</f>
        <v>0</v>
      </c>
      <c r="AO2">
        <f>BDH("MRINQ US Equity","CF_FREE_CASH_FLOW","2020-03-27","2025-03-27","Per=Y","Days=T","Dir=V")</f>
        <v>0</v>
      </c>
      <c r="AQ2">
        <f>BDH("MRINQ US Equity","PX_LAST","2020-03-27","2025-03-27","Per=M","Days=T","Dir=V")</f>
        <v>0</v>
      </c>
      <c r="AS2">
        <f>BDH("MRINQ US Equity","CUR_MKT_CAP","2020-03-27","2025-03-27","Per=M","Days=T","Dir=V")</f>
        <v>0</v>
      </c>
      <c r="AU2">
        <f>BDH("MRINQ US Equity","EQY_SH_OUT","2020-03-27","2025-03-27","Per=M","Days=T","Dir=V")</f>
        <v>0</v>
      </c>
      <c r="AW2">
        <f>BDH("MRINQ US Equity","BETA_RAW_OVERRIABLE","2020-03-27","2025-03-27","Per=M","Days=T","Dir=V")</f>
        <v>0</v>
      </c>
      <c r="AY2">
        <f>BDH("MRINQ US Equity","PX_VOLUME","2020-03-27","2025-03-27","Per=M","Days=T","Dir=V")</f>
        <v>0</v>
      </c>
      <c r="BA2">
        <f>BDH("MRINQ US Equity","TURNOVER","2020-03-27","2025-03-27","Per=M","Days=T","Dir=V")</f>
        <v>0</v>
      </c>
      <c r="BC2">
        <f>BDH("MRINQ US Equity","SPREAD_BA_CR","2020-03-27","2025-03-27","Per=M","Days=T","Dir=V")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BDH("PETXQ US Equity","BS_TOT_ASSET","2020-04-30","2025-04-30","Per=Y","Days=T","Dir=V")</f>
        <v>0</v>
      </c>
      <c r="C2">
        <f>BDH("PETXQ US Equity","BS_TOT_LIAB2","2020-04-30","2025-04-30","Per=Y","Days=T","Dir=V")</f>
        <v>0</v>
      </c>
      <c r="E2">
        <f>BDH("PETXQ US Equity","SHORT_AND_LONG_TERM_DEBT","2020-04-30","2025-04-30","Per=Y","Days=T","Dir=V")</f>
        <v>0</v>
      </c>
      <c r="G2">
        <f>BDH("PETXQ US Equity","BS_ST_BORROW","2020-04-30","2025-04-30","Per=Y","Days=T","Dir=V")</f>
        <v>0</v>
      </c>
      <c r="I2">
        <f>BDH("PETXQ US Equity","BS_LT_BORROW","2020-04-30","2025-04-30","Per=Y","Days=T","Dir=V")</f>
        <v>0</v>
      </c>
      <c r="K2">
        <f>BDH("PETXQ US Equity","BS_CASH_NEAR_CASH_ITEM","2020-04-30","2025-04-30","Per=Y","Days=T","Dir=V")</f>
        <v>0</v>
      </c>
      <c r="M2">
        <f>BDH("PETXQ US Equity","BS_CUR_ASSET_REPORT","2020-04-30","2025-04-30","Per=Y","Days=T","Dir=V")</f>
        <v>0</v>
      </c>
      <c r="O2">
        <f>BDH("PETXQ US Equity","BS_CUR_LIAB","2020-04-30","2025-04-30","Per=Y","Days=T","Dir=V")</f>
        <v>0</v>
      </c>
      <c r="Q2">
        <f>BDH("PETXQ US Equity","BS_SHAREHOLDER_EQY_ENDING_PERIOD","2020-04-30","2025-04-30","Per=Y","Days=T","Dir=V")</f>
        <v>0</v>
      </c>
      <c r="S2">
        <f>BDH("PETXQ US Equity","BS_ACCT_NOTE_RCV","2020-04-30","2025-04-30","Per=Y","Days=T","Dir=V")</f>
        <v>0</v>
      </c>
      <c r="U2">
        <f>BDH("PETXQ US Equity","BS_INVENTORIES","2020-04-30","2025-04-30","Per=Y","Days=T","Dir=V")</f>
        <v>0</v>
      </c>
      <c r="W2">
        <f>BDH("PETXQ US Equity","WORKING_CAPITAL","2020-04-30","2025-04-30","Per=Y","Days=T","Dir=V")</f>
        <v>0</v>
      </c>
      <c r="Y2">
        <f>BDH("PETXQ US Equity","SALES_REV_TURN","2020-04-30","2025-04-30","Per=Y","Days=T","Dir=V")</f>
        <v>0</v>
      </c>
      <c r="AA2">
        <f>BDH("PETXQ US Equity","EBIT","2020-04-30","2025-04-30","Per=Y","Days=T","Dir=V")</f>
        <v>0</v>
      </c>
      <c r="AC2">
        <f>BDH("PETXQ US Equity","EBITDA","2020-04-30","2025-04-30","Per=Y","Days=T","Dir=V")</f>
        <v>0</v>
      </c>
      <c r="AE2">
        <f>BDH("PETXQ US Equity","NET_INCOME","2020-04-30","2025-04-30","Per=Y","Days=T","Dir=V")</f>
        <v>0</v>
      </c>
      <c r="AG2">
        <f>BDH("PETXQ US Equity","IS_INT_EXPENSE","2020-04-30","2025-04-30","Per=Y","Days=T","Dir=V")</f>
        <v>0</v>
      </c>
      <c r="AI2">
        <f>BDH("PETXQ US Equity","IS_DEPR_EXP","2020-04-30","2025-04-30","Per=Y","Days=T","Dir=V")</f>
        <v>0</v>
      </c>
      <c r="AK2">
        <f>BDH("PETXQ US Equity","CF_CASH_FROM_OPER","2020-04-30","2025-04-30","Per=Y","Days=T","Dir=V")</f>
        <v>0</v>
      </c>
      <c r="AM2">
        <f>BDH("PETXQ US Equity","CAPITAL_EXPEND","2020-04-30","2025-04-30","Per=Y","Days=T","Dir=V")</f>
        <v>0</v>
      </c>
      <c r="AO2">
        <f>BDH("PETXQ US Equity","CF_FREE_CASH_FLOW","2020-04-30","2025-04-30","Per=Y","Days=T","Dir=V")</f>
        <v>0</v>
      </c>
      <c r="AQ2">
        <f>BDH("PETXQ US Equity","PX_LAST","2020-04-30","2025-04-30","Per=M","Days=T","Dir=V")</f>
        <v>0</v>
      </c>
      <c r="AS2">
        <f>BDH("PETXQ US Equity","CUR_MKT_CAP","2020-04-30","2025-04-30","Per=M","Days=T","Dir=V")</f>
        <v>0</v>
      </c>
      <c r="AU2">
        <f>BDH("PETXQ US Equity","EQY_SH_OUT","2020-04-30","2025-04-30","Per=M","Days=T","Dir=V")</f>
        <v>0</v>
      </c>
      <c r="AW2">
        <f>BDH("PETXQ US Equity","BETA_RAW_OVERRIABLE","2020-04-30","2025-04-30","Per=M","Days=T","Dir=V")</f>
        <v>0</v>
      </c>
      <c r="AY2">
        <f>BDH("PETXQ US Equity","PX_VOLUME","2020-04-30","2025-04-30","Per=M","Days=T","Dir=V")</f>
        <v>0</v>
      </c>
      <c r="BA2">
        <f>BDH("PETXQ US Equity","TURNOVER","2020-04-30","2025-04-30","Per=M","Days=T","Dir=V")</f>
        <v>0</v>
      </c>
      <c r="BC2">
        <f>BDH("PETXQ US Equity","SPREAD_BA_CR","2020-04-30","2025-04-30","Per=M","Days=T","Dir=V")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BDH("SANW US Equity","BS_TOT_ASSET","2020-05-07","2025-05-07","Per=Y","Days=T","Dir=V")</f>
        <v>0</v>
      </c>
      <c r="C2">
        <f>BDH("SANW US Equity","BS_TOT_LIAB2","2020-05-07","2025-05-07","Per=Y","Days=T","Dir=V")</f>
        <v>0</v>
      </c>
      <c r="E2">
        <f>BDH("SANW US Equity","SHORT_AND_LONG_TERM_DEBT","2020-05-07","2025-05-07","Per=Y","Days=T","Dir=V")</f>
        <v>0</v>
      </c>
      <c r="G2">
        <f>BDH("SANW US Equity","BS_ST_BORROW","2020-05-07","2025-05-07","Per=Y","Days=T","Dir=V")</f>
        <v>0</v>
      </c>
      <c r="I2">
        <f>BDH("SANW US Equity","BS_LT_BORROW","2020-05-07","2025-05-07","Per=Y","Days=T","Dir=V")</f>
        <v>0</v>
      </c>
      <c r="K2">
        <f>BDH("SANW US Equity","BS_CASH_NEAR_CASH_ITEM","2020-05-07","2025-05-07","Per=Y","Days=T","Dir=V")</f>
        <v>0</v>
      </c>
      <c r="M2">
        <f>BDH("SANW US Equity","BS_CUR_ASSET_REPORT","2020-05-07","2025-05-07","Per=Y","Days=T","Dir=V")</f>
        <v>0</v>
      </c>
      <c r="O2">
        <f>BDH("SANW US Equity","BS_CUR_LIAB","2020-05-07","2025-05-07","Per=Y","Days=T","Dir=V")</f>
        <v>0</v>
      </c>
      <c r="Q2">
        <f>BDH("SANW US Equity","BS_SHAREHOLDER_EQY_ENDING_PERIOD","2020-05-07","2025-05-07","Per=Y","Days=T","Dir=V")</f>
        <v>0</v>
      </c>
      <c r="S2">
        <f>BDH("SANW US Equity","BS_ACCT_NOTE_RCV","2020-05-07","2025-05-07","Per=Y","Days=T","Dir=V")</f>
        <v>0</v>
      </c>
      <c r="U2">
        <f>BDH("SANW US Equity","BS_INVENTORIES","2020-05-07","2025-05-07","Per=Y","Days=T","Dir=V")</f>
        <v>0</v>
      </c>
      <c r="W2">
        <f>BDH("SANW US Equity","WORKING_CAPITAL","2020-05-07","2025-05-07","Per=Y","Days=T","Dir=V")</f>
        <v>0</v>
      </c>
      <c r="Y2">
        <f>BDH("SANW US Equity","SALES_REV_TURN","2020-05-07","2025-05-07","Per=Y","Days=T","Dir=V")</f>
        <v>0</v>
      </c>
      <c r="AA2">
        <f>BDH("SANW US Equity","EBIT","2020-05-07","2025-05-07","Per=Y","Days=T","Dir=V")</f>
        <v>0</v>
      </c>
      <c r="AC2">
        <f>BDH("SANW US Equity","EBITDA","2020-05-07","2025-05-07","Per=Y","Days=T","Dir=V")</f>
        <v>0</v>
      </c>
      <c r="AE2">
        <f>BDH("SANW US Equity","NET_INCOME","2020-05-07","2025-05-07","Per=Y","Days=T","Dir=V")</f>
        <v>0</v>
      </c>
      <c r="AG2">
        <f>BDH("SANW US Equity","IS_INT_EXPENSE","2020-05-07","2025-05-07","Per=Y","Days=T","Dir=V")</f>
        <v>0</v>
      </c>
      <c r="AI2">
        <f>BDH("SANW US Equity","IS_DEPR_EXP","2020-05-07","2025-05-07","Per=Y","Days=T","Dir=V")</f>
        <v>0</v>
      </c>
      <c r="AK2">
        <f>BDH("SANW US Equity","CF_CASH_FROM_OPER","2020-05-07","2025-05-07","Per=Y","Days=T","Dir=V")</f>
        <v>0</v>
      </c>
      <c r="AM2">
        <f>BDH("SANW US Equity","CAPITAL_EXPEND","2020-05-07","2025-05-07","Per=Y","Days=T","Dir=V")</f>
        <v>0</v>
      </c>
      <c r="AO2">
        <f>BDH("SANW US Equity","CF_FREE_CASH_FLOW","2020-05-07","2025-05-07","Per=Y","Days=T","Dir=V")</f>
        <v>0</v>
      </c>
      <c r="AQ2">
        <f>BDH("SANW US Equity","PX_LAST","2020-05-07","2025-05-07","Per=M","Days=T","Dir=V")</f>
        <v>0</v>
      </c>
      <c r="AS2">
        <f>BDH("SANW US Equity","CUR_MKT_CAP","2020-05-07","2025-05-07","Per=M","Days=T","Dir=V")</f>
        <v>0</v>
      </c>
      <c r="AU2">
        <f>BDH("SANW US Equity","EQY_SH_OUT","2020-05-07","2025-05-07","Per=M","Days=T","Dir=V")</f>
        <v>0</v>
      </c>
      <c r="AW2">
        <f>BDH("SANW US Equity","BETA_RAW_OVERRIABLE","2020-05-07","2025-05-07","Per=M","Days=T","Dir=V")</f>
        <v>0</v>
      </c>
      <c r="AY2">
        <f>BDH("SANW US Equity","PX_VOLUME","2020-05-07","2025-05-07","Per=M","Days=T","Dir=V")</f>
        <v>0</v>
      </c>
      <c r="BA2">
        <f>BDH("SANW US Equity","TURNOVER","2020-05-07","2025-05-07","Per=M","Days=T","Dir=V")</f>
        <v>0</v>
      </c>
      <c r="BC2">
        <f>BDH("SANW US Equity","SPREAD_BA_CR","2020-05-07","2025-05-07","Per=M","Days=T","Dir=V")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BDH("2617273D US Equity","BS_TOT_ASSET","2020-05-07","2025-05-07","Per=Y","Days=T","Dir=V")</f>
        <v>0</v>
      </c>
      <c r="C2">
        <f>BDH("2617273D US Equity","BS_TOT_LIAB2","2020-05-07","2025-05-07","Per=Y","Days=T","Dir=V")</f>
        <v>0</v>
      </c>
      <c r="E2">
        <f>BDH("2617273D US Equity","SHORT_AND_LONG_TERM_DEBT","2020-05-07","2025-05-07","Per=Y","Days=T","Dir=V")</f>
        <v>0</v>
      </c>
      <c r="G2">
        <f>BDH("2617273D US Equity","BS_ST_BORROW","2020-05-07","2025-05-07","Per=Y","Days=T","Dir=V")</f>
        <v>0</v>
      </c>
      <c r="I2">
        <f>BDH("2617273D US Equity","BS_LT_BORROW","2020-05-07","2025-05-07","Per=Y","Days=T","Dir=V")</f>
        <v>0</v>
      </c>
      <c r="K2">
        <f>BDH("2617273D US Equity","BS_CASH_NEAR_CASH_ITEM","2020-05-07","2025-05-07","Per=Y","Days=T","Dir=V")</f>
        <v>0</v>
      </c>
      <c r="M2">
        <f>BDH("2617273D US Equity","BS_CUR_ASSET_REPORT","2020-05-07","2025-05-07","Per=Y","Days=T","Dir=V")</f>
        <v>0</v>
      </c>
      <c r="O2">
        <f>BDH("2617273D US Equity","BS_CUR_LIAB","2020-05-07","2025-05-07","Per=Y","Days=T","Dir=V")</f>
        <v>0</v>
      </c>
      <c r="Q2">
        <f>BDH("2617273D US Equity","BS_SHAREHOLDER_EQY_ENDING_PERIOD","2020-05-07","2025-05-07","Per=Y","Days=T","Dir=V")</f>
        <v>0</v>
      </c>
      <c r="S2">
        <f>BDH("2617273D US Equity","BS_ACCT_NOTE_RCV","2020-05-07","2025-05-07","Per=Y","Days=T","Dir=V")</f>
        <v>0</v>
      </c>
      <c r="U2">
        <f>BDH("2617273D US Equity","BS_INVENTORIES","2020-05-07","2025-05-07","Per=Y","Days=T","Dir=V")</f>
        <v>0</v>
      </c>
      <c r="W2">
        <f>BDH("2617273D US Equity","WORKING_CAPITAL","2020-05-07","2025-05-07","Per=Y","Days=T","Dir=V")</f>
        <v>0</v>
      </c>
      <c r="Y2">
        <f>BDH("2617273D US Equity","SALES_REV_TURN","2020-05-07","2025-05-07","Per=Y","Days=T","Dir=V")</f>
        <v>0</v>
      </c>
      <c r="AA2">
        <f>BDH("2617273D US Equity","EBIT","2020-05-07","2025-05-07","Per=Y","Days=T","Dir=V")</f>
        <v>0</v>
      </c>
      <c r="AC2">
        <f>BDH("2617273D US Equity","EBITDA","2020-05-07","2025-05-07","Per=Y","Days=T","Dir=V")</f>
        <v>0</v>
      </c>
      <c r="AE2">
        <f>BDH("2617273D US Equity","NET_INCOME","2020-05-07","2025-05-07","Per=Y","Days=T","Dir=V")</f>
        <v>0</v>
      </c>
      <c r="AG2">
        <f>BDH("2617273D US Equity","IS_INT_EXPENSE","2020-05-07","2025-05-07","Per=Y","Days=T","Dir=V")</f>
        <v>0</v>
      </c>
      <c r="AI2">
        <f>BDH("2617273D US Equity","IS_DEPR_EXP","2020-05-07","2025-05-07","Per=Y","Days=T","Dir=V")</f>
        <v>0</v>
      </c>
      <c r="AK2">
        <f>BDH("2617273D US Equity","CF_CASH_FROM_OPER","2020-05-07","2025-05-07","Per=Y","Days=T","Dir=V")</f>
        <v>0</v>
      </c>
      <c r="AM2">
        <f>BDH("2617273D US Equity","CAPITAL_EXPEND","2020-05-07","2025-05-07","Per=Y","Days=T","Dir=V")</f>
        <v>0</v>
      </c>
      <c r="AO2">
        <f>BDH("2617273D US Equity","CF_FREE_CASH_FLOW","2020-05-07","2025-05-07","Per=Y","Days=T","Dir=V")</f>
        <v>0</v>
      </c>
      <c r="AQ2">
        <f>BDH("2617273D US Equity","PX_LAST","2020-05-07","2025-05-07","Per=M","Days=T","Dir=V")</f>
        <v>0</v>
      </c>
      <c r="AS2">
        <f>BDH("2617273D US Equity","CUR_MKT_CAP","2020-05-07","2025-05-07","Per=M","Days=T","Dir=V")</f>
        <v>0</v>
      </c>
      <c r="AU2">
        <f>BDH("2617273D US Equity","EQY_SH_OUT","2020-05-07","2025-05-07","Per=M","Days=T","Dir=V")</f>
        <v>0</v>
      </c>
      <c r="AW2">
        <f>BDH("2617273D US Equity","BETA_RAW_OVERRIABLE","2020-05-07","2025-05-07","Per=M","Days=T","Dir=V")</f>
        <v>0</v>
      </c>
      <c r="AY2">
        <f>BDH("2617273D US Equity","PX_VOLUME","2020-05-07","2025-05-07","Per=M","Days=T","Dir=V")</f>
        <v>0</v>
      </c>
      <c r="BA2">
        <f>BDH("2617273D US Equity","TURNOVER","2020-05-07","2025-05-07","Per=M","Days=T","Dir=V")</f>
        <v>0</v>
      </c>
      <c r="BC2">
        <f>BDH("2617273D US Equity","SPREAD_BA_CR","2020-05-07","2025-05-07","Per=M","Days=T","Dir=V")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BDH("HOOK US Equity","BS_TOT_ASSET","2020-05-10","2025-05-10","Per=Y","Days=T","Dir=V")</f>
        <v>0</v>
      </c>
      <c r="C2">
        <f>BDH("HOOK US Equity","BS_TOT_LIAB2","2020-05-10","2025-05-10","Per=Y","Days=T","Dir=V")</f>
        <v>0</v>
      </c>
      <c r="E2">
        <f>BDH("HOOK US Equity","SHORT_AND_LONG_TERM_DEBT","2020-05-10","2025-05-10","Per=Y","Days=T","Dir=V")</f>
        <v>0</v>
      </c>
      <c r="G2">
        <f>BDH("HOOK US Equity","BS_ST_BORROW","2020-05-10","2025-05-10","Per=Y","Days=T","Dir=V")</f>
        <v>0</v>
      </c>
      <c r="I2">
        <f>BDH("HOOK US Equity","BS_LT_BORROW","2020-05-10","2025-05-10","Per=Y","Days=T","Dir=V")</f>
        <v>0</v>
      </c>
      <c r="K2">
        <f>BDH("HOOK US Equity","BS_CASH_NEAR_CASH_ITEM","2020-05-10","2025-05-10","Per=Y","Days=T","Dir=V")</f>
        <v>0</v>
      </c>
      <c r="M2">
        <f>BDH("HOOK US Equity","BS_CUR_ASSET_REPORT","2020-05-10","2025-05-10","Per=Y","Days=T","Dir=V")</f>
        <v>0</v>
      </c>
      <c r="O2">
        <f>BDH("HOOK US Equity","BS_CUR_LIAB","2020-05-10","2025-05-10","Per=Y","Days=T","Dir=V")</f>
        <v>0</v>
      </c>
      <c r="Q2">
        <f>BDH("HOOK US Equity","BS_SHAREHOLDER_EQY_ENDING_PERIOD","2020-05-10","2025-05-10","Per=Y","Days=T","Dir=V")</f>
        <v>0</v>
      </c>
      <c r="S2">
        <f>BDH("HOOK US Equity","BS_ACCT_NOTE_RCV","2020-05-10","2025-05-10","Per=Y","Days=T","Dir=V")</f>
        <v>0</v>
      </c>
      <c r="U2">
        <f>BDH("HOOK US Equity","BS_INVENTORIES","2020-05-10","2025-05-10","Per=Y","Days=T","Dir=V")</f>
        <v>0</v>
      </c>
      <c r="W2">
        <f>BDH("HOOK US Equity","WORKING_CAPITAL","2020-05-10","2025-05-10","Per=Y","Days=T","Dir=V")</f>
        <v>0</v>
      </c>
      <c r="Y2">
        <f>BDH("HOOK US Equity","SALES_REV_TURN","2020-05-10","2025-05-10","Per=Y","Days=T","Dir=V")</f>
        <v>0</v>
      </c>
      <c r="AA2">
        <f>BDH("HOOK US Equity","EBIT","2020-05-10","2025-05-10","Per=Y","Days=T","Dir=V")</f>
        <v>0</v>
      </c>
      <c r="AC2">
        <f>BDH("HOOK US Equity","EBITDA","2020-05-10","2025-05-10","Per=Y","Days=T","Dir=V")</f>
        <v>0</v>
      </c>
      <c r="AE2">
        <f>BDH("HOOK US Equity","NET_INCOME","2020-05-10","2025-05-10","Per=Y","Days=T","Dir=V")</f>
        <v>0</v>
      </c>
      <c r="AG2">
        <f>BDH("HOOK US Equity","IS_INT_EXPENSE","2020-05-10","2025-05-10","Per=Y","Days=T","Dir=V")</f>
        <v>0</v>
      </c>
      <c r="AI2">
        <f>BDH("HOOK US Equity","IS_DEPR_EXP","2020-05-10","2025-05-10","Per=Y","Days=T","Dir=V")</f>
        <v>0</v>
      </c>
      <c r="AK2">
        <f>BDH("HOOK US Equity","CF_CASH_FROM_OPER","2020-05-10","2025-05-10","Per=Y","Days=T","Dir=V")</f>
        <v>0</v>
      </c>
      <c r="AM2">
        <f>BDH("HOOK US Equity","CAPITAL_EXPEND","2020-05-10","2025-05-10","Per=Y","Days=T","Dir=V")</f>
        <v>0</v>
      </c>
      <c r="AO2">
        <f>BDH("HOOK US Equity","CF_FREE_CASH_FLOW","2020-05-10","2025-05-10","Per=Y","Days=T","Dir=V")</f>
        <v>0</v>
      </c>
      <c r="AQ2">
        <f>BDH("HOOK US Equity","PX_LAST","2020-05-10","2025-05-10","Per=M","Days=T","Dir=V")</f>
        <v>0</v>
      </c>
      <c r="AS2">
        <f>BDH("HOOK US Equity","CUR_MKT_CAP","2020-05-10","2025-05-10","Per=M","Days=T","Dir=V")</f>
        <v>0</v>
      </c>
      <c r="AU2">
        <f>BDH("HOOK US Equity","EQY_SH_OUT","2020-05-10","2025-05-10","Per=M","Days=T","Dir=V")</f>
        <v>0</v>
      </c>
      <c r="AW2">
        <f>BDH("HOOK US Equity","BETA_RAW_OVERRIABLE","2020-05-10","2025-05-10","Per=M","Days=T","Dir=V")</f>
        <v>0</v>
      </c>
      <c r="AY2">
        <f>BDH("HOOK US Equity","PX_VOLUME","2020-05-10","2025-05-10","Per=M","Days=T","Dir=V")</f>
        <v>0</v>
      </c>
      <c r="BA2">
        <f>BDH("HOOK US Equity","TURNOVER","2020-05-10","2025-05-10","Per=M","Days=T","Dir=V")</f>
        <v>0</v>
      </c>
      <c r="BC2">
        <f>BDH("HOOK US Equity","SPREAD_BA_CR","2020-05-10","2025-05-10","Per=M","Days=T","Dir=V")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BDH("FOXO US Equity","BS_TOT_ASSET","2020-05-14","2025-05-14","Per=Y","Days=T","Dir=V")</f>
        <v>0</v>
      </c>
      <c r="C2">
        <f>BDH("FOXO US Equity","BS_TOT_LIAB2","2020-05-14","2025-05-14","Per=Y","Days=T","Dir=V")</f>
        <v>0</v>
      </c>
      <c r="E2">
        <f>BDH("FOXO US Equity","SHORT_AND_LONG_TERM_DEBT","2020-05-14","2025-05-14","Per=Y","Days=T","Dir=V")</f>
        <v>0</v>
      </c>
      <c r="G2">
        <f>BDH("FOXO US Equity","BS_ST_BORROW","2020-05-14","2025-05-14","Per=Y","Days=T","Dir=V")</f>
        <v>0</v>
      </c>
      <c r="I2">
        <f>BDH("FOXO US Equity","BS_LT_BORROW","2020-05-14","2025-05-14","Per=Y","Days=T","Dir=V")</f>
        <v>0</v>
      </c>
      <c r="K2">
        <f>BDH("FOXO US Equity","BS_CASH_NEAR_CASH_ITEM","2020-05-14","2025-05-14","Per=Y","Days=T","Dir=V")</f>
        <v>0</v>
      </c>
      <c r="M2">
        <f>BDH("FOXO US Equity","BS_CUR_ASSET_REPORT","2020-05-14","2025-05-14","Per=Y","Days=T","Dir=V")</f>
        <v>0</v>
      </c>
      <c r="O2">
        <f>BDH("FOXO US Equity","BS_CUR_LIAB","2020-05-14","2025-05-14","Per=Y","Days=T","Dir=V")</f>
        <v>0</v>
      </c>
      <c r="Q2">
        <f>BDH("FOXO US Equity","BS_SHAREHOLDER_EQY_ENDING_PERIOD","2020-05-14","2025-05-14","Per=Y","Days=T","Dir=V")</f>
        <v>0</v>
      </c>
      <c r="S2">
        <f>BDH("FOXO US Equity","BS_ACCT_NOTE_RCV","2020-05-14","2025-05-14","Per=Y","Days=T","Dir=V")</f>
        <v>0</v>
      </c>
      <c r="U2">
        <f>BDH("FOXO US Equity","BS_INVENTORIES","2020-05-14","2025-05-14","Per=Y","Days=T","Dir=V")</f>
        <v>0</v>
      </c>
      <c r="W2">
        <f>BDH("FOXO US Equity","WORKING_CAPITAL","2020-05-14","2025-05-14","Per=Y","Days=T","Dir=V")</f>
        <v>0</v>
      </c>
      <c r="Y2">
        <f>BDH("FOXO US Equity","SALES_REV_TURN","2020-05-14","2025-05-14","Per=Y","Days=T","Dir=V")</f>
        <v>0</v>
      </c>
      <c r="AA2">
        <f>BDH("FOXO US Equity","EBIT","2020-05-14","2025-05-14","Per=Y","Days=T","Dir=V")</f>
        <v>0</v>
      </c>
      <c r="AC2">
        <f>BDH("FOXO US Equity","EBITDA","2020-05-14","2025-05-14","Per=Y","Days=T","Dir=V")</f>
        <v>0</v>
      </c>
      <c r="AE2">
        <f>BDH("FOXO US Equity","NET_INCOME","2020-05-14","2025-05-14","Per=Y","Days=T","Dir=V")</f>
        <v>0</v>
      </c>
      <c r="AG2">
        <f>BDH("FOXO US Equity","IS_INT_EXPENSE","2020-05-14","2025-05-14","Per=Y","Days=T","Dir=V")</f>
        <v>0</v>
      </c>
      <c r="AI2">
        <f>BDH("FOXO US Equity","IS_DEPR_EXP","2020-05-14","2025-05-14","Per=Y","Days=T","Dir=V")</f>
        <v>0</v>
      </c>
      <c r="AK2">
        <f>BDH("FOXO US Equity","CF_CASH_FROM_OPER","2020-05-14","2025-05-14","Per=Y","Days=T","Dir=V")</f>
        <v>0</v>
      </c>
      <c r="AM2">
        <f>BDH("FOXO US Equity","CAPITAL_EXPEND","2020-05-14","2025-05-14","Per=Y","Days=T","Dir=V")</f>
        <v>0</v>
      </c>
      <c r="AO2">
        <f>BDH("FOXO US Equity","CF_FREE_CASH_FLOW","2020-05-14","2025-05-14","Per=Y","Days=T","Dir=V")</f>
        <v>0</v>
      </c>
      <c r="AQ2">
        <f>BDH("FOXO US Equity","PX_LAST","2020-05-14","2025-05-14","Per=M","Days=T","Dir=V")</f>
        <v>0</v>
      </c>
      <c r="AS2">
        <f>BDH("FOXO US Equity","CUR_MKT_CAP","2020-05-14","2025-05-14","Per=M","Days=T","Dir=V")</f>
        <v>0</v>
      </c>
      <c r="AU2">
        <f>BDH("FOXO US Equity","EQY_SH_OUT","2020-05-14","2025-05-14","Per=M","Days=T","Dir=V")</f>
        <v>0</v>
      </c>
      <c r="AW2">
        <f>BDH("FOXO US Equity","BETA_RAW_OVERRIABLE","2020-05-14","2025-05-14","Per=M","Days=T","Dir=V")</f>
        <v>0</v>
      </c>
      <c r="AY2">
        <f>BDH("FOXO US Equity","PX_VOLUME","2020-05-14","2025-05-14","Per=M","Days=T","Dir=V")</f>
        <v>0</v>
      </c>
      <c r="BA2">
        <f>BDH("FOXO US Equity","TURNOVER","2020-05-14","2025-05-14","Per=M","Days=T","Dir=V")</f>
        <v>0</v>
      </c>
      <c r="BC2">
        <f>BDH("FOXO US Equity","SPREAD_BA_CR","2020-05-14","2025-05-14","Per=M","Days=T","Dir=V")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BDH("OTRKQ US Equity","BS_TOT_ASSET","2020-05-17","2025-05-17","Per=Y","Days=T","Dir=V")</f>
        <v>0</v>
      </c>
      <c r="C2">
        <f>BDH("OTRKQ US Equity","BS_TOT_LIAB2","2020-05-17","2025-05-17","Per=Y","Days=T","Dir=V")</f>
        <v>0</v>
      </c>
      <c r="E2">
        <f>BDH("OTRKQ US Equity","SHORT_AND_LONG_TERM_DEBT","2020-05-17","2025-05-17","Per=Y","Days=T","Dir=V")</f>
        <v>0</v>
      </c>
      <c r="G2">
        <f>BDH("OTRKQ US Equity","BS_ST_BORROW","2020-05-17","2025-05-17","Per=Y","Days=T","Dir=V")</f>
        <v>0</v>
      </c>
      <c r="I2">
        <f>BDH("OTRKQ US Equity","BS_LT_BORROW","2020-05-17","2025-05-17","Per=Y","Days=T","Dir=V")</f>
        <v>0</v>
      </c>
      <c r="K2">
        <f>BDH("OTRKQ US Equity","BS_CASH_NEAR_CASH_ITEM","2020-05-17","2025-05-17","Per=Y","Days=T","Dir=V")</f>
        <v>0</v>
      </c>
      <c r="M2">
        <f>BDH("OTRKQ US Equity","BS_CUR_ASSET_REPORT","2020-05-17","2025-05-17","Per=Y","Days=T","Dir=V")</f>
        <v>0</v>
      </c>
      <c r="O2">
        <f>BDH("OTRKQ US Equity","BS_CUR_LIAB","2020-05-17","2025-05-17","Per=Y","Days=T","Dir=V")</f>
        <v>0</v>
      </c>
      <c r="Q2">
        <f>BDH("OTRKQ US Equity","BS_SHAREHOLDER_EQY_ENDING_PERIOD","2020-05-17","2025-05-17","Per=Y","Days=T","Dir=V")</f>
        <v>0</v>
      </c>
      <c r="S2">
        <f>BDH("OTRKQ US Equity","BS_ACCT_NOTE_RCV","2020-05-17","2025-05-17","Per=Y","Days=T","Dir=V")</f>
        <v>0</v>
      </c>
      <c r="U2">
        <f>BDH("OTRKQ US Equity","BS_INVENTORIES","2020-05-17","2025-05-17","Per=Y","Days=T","Dir=V")</f>
        <v>0</v>
      </c>
      <c r="W2">
        <f>BDH("OTRKQ US Equity","WORKING_CAPITAL","2020-05-17","2025-05-17","Per=Y","Days=T","Dir=V")</f>
        <v>0</v>
      </c>
      <c r="Y2">
        <f>BDH("OTRKQ US Equity","SALES_REV_TURN","2020-05-17","2025-05-17","Per=Y","Days=T","Dir=V")</f>
        <v>0</v>
      </c>
      <c r="AA2">
        <f>BDH("OTRKQ US Equity","EBIT","2020-05-17","2025-05-17","Per=Y","Days=T","Dir=V")</f>
        <v>0</v>
      </c>
      <c r="AC2">
        <f>BDH("OTRKQ US Equity","EBITDA","2020-05-17","2025-05-17","Per=Y","Days=T","Dir=V")</f>
        <v>0</v>
      </c>
      <c r="AE2">
        <f>BDH("OTRKQ US Equity","NET_INCOME","2020-05-17","2025-05-17","Per=Y","Days=T","Dir=V")</f>
        <v>0</v>
      </c>
      <c r="AG2">
        <f>BDH("OTRKQ US Equity","IS_INT_EXPENSE","2020-05-17","2025-05-17","Per=Y","Days=T","Dir=V")</f>
        <v>0</v>
      </c>
      <c r="AI2">
        <f>BDH("OTRKQ US Equity","IS_DEPR_EXP","2020-05-17","2025-05-17","Per=Y","Days=T","Dir=V")</f>
        <v>0</v>
      </c>
      <c r="AK2">
        <f>BDH("OTRKQ US Equity","CF_CASH_FROM_OPER","2020-05-17","2025-05-17","Per=Y","Days=T","Dir=V")</f>
        <v>0</v>
      </c>
      <c r="AM2">
        <f>BDH("OTRKQ US Equity","CAPITAL_EXPEND","2020-05-17","2025-05-17","Per=Y","Days=T","Dir=V")</f>
        <v>0</v>
      </c>
      <c r="AO2">
        <f>BDH("OTRKQ US Equity","CF_FREE_CASH_FLOW","2020-05-17","2025-05-17","Per=Y","Days=T","Dir=V")</f>
        <v>0</v>
      </c>
      <c r="AQ2">
        <f>BDH("OTRKQ US Equity","PX_LAST","2020-05-17","2025-05-17","Per=M","Days=T","Dir=V")</f>
        <v>0</v>
      </c>
      <c r="AS2">
        <f>BDH("OTRKQ US Equity","CUR_MKT_CAP","2020-05-17","2025-05-17","Per=M","Days=T","Dir=V")</f>
        <v>0</v>
      </c>
      <c r="AU2">
        <f>BDH("OTRKQ US Equity","EQY_SH_OUT","2020-05-17","2025-05-17","Per=M","Days=T","Dir=V")</f>
        <v>0</v>
      </c>
      <c r="AW2">
        <f>BDH("OTRKQ US Equity","BETA_RAW_OVERRIABLE","2020-05-17","2025-05-17","Per=M","Days=T","Dir=V")</f>
        <v>0</v>
      </c>
      <c r="AY2">
        <f>BDH("OTRKQ US Equity","PX_VOLUME","2020-05-17","2025-05-17","Per=M","Days=T","Dir=V")</f>
        <v>0</v>
      </c>
      <c r="BA2">
        <f>BDH("OTRKQ US Equity","TURNOVER","2020-05-17","2025-05-17","Per=M","Days=T","Dir=V")</f>
        <v>0</v>
      </c>
      <c r="BC2">
        <f>BDH("OTRKQ US Equity","SPREAD_BA_CR","2020-05-17","2025-05-17","Per=M","Days=T","Dir=V")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BDH("TPICQ US Equity","BS_TOT_ASSET","2020-05-20","2025-05-20","Per=Y","Days=T","Dir=V")</f>
        <v>0</v>
      </c>
      <c r="C2">
        <f>BDH("TPICQ US Equity","BS_TOT_LIAB2","2020-05-20","2025-05-20","Per=Y","Days=T","Dir=V")</f>
        <v>0</v>
      </c>
      <c r="E2">
        <f>BDH("TPICQ US Equity","SHORT_AND_LONG_TERM_DEBT","2020-05-20","2025-05-20","Per=Y","Days=T","Dir=V")</f>
        <v>0</v>
      </c>
      <c r="G2">
        <f>BDH("TPICQ US Equity","BS_ST_BORROW","2020-05-20","2025-05-20","Per=Y","Days=T","Dir=V")</f>
        <v>0</v>
      </c>
      <c r="I2">
        <f>BDH("TPICQ US Equity","BS_LT_BORROW","2020-05-20","2025-05-20","Per=Y","Days=T","Dir=V")</f>
        <v>0</v>
      </c>
      <c r="K2">
        <f>BDH("TPICQ US Equity","BS_CASH_NEAR_CASH_ITEM","2020-05-20","2025-05-20","Per=Y","Days=T","Dir=V")</f>
        <v>0</v>
      </c>
      <c r="M2">
        <f>BDH("TPICQ US Equity","BS_CUR_ASSET_REPORT","2020-05-20","2025-05-20","Per=Y","Days=T","Dir=V")</f>
        <v>0</v>
      </c>
      <c r="O2">
        <f>BDH("TPICQ US Equity","BS_CUR_LIAB","2020-05-20","2025-05-20","Per=Y","Days=T","Dir=V")</f>
        <v>0</v>
      </c>
      <c r="Q2">
        <f>BDH("TPICQ US Equity","BS_SHAREHOLDER_EQY_ENDING_PERIOD","2020-05-20","2025-05-20","Per=Y","Days=T","Dir=V")</f>
        <v>0</v>
      </c>
      <c r="S2">
        <f>BDH("TPICQ US Equity","BS_ACCT_NOTE_RCV","2020-05-20","2025-05-20","Per=Y","Days=T","Dir=V")</f>
        <v>0</v>
      </c>
      <c r="U2">
        <f>BDH("TPICQ US Equity","BS_INVENTORIES","2020-05-20","2025-05-20","Per=Y","Days=T","Dir=V")</f>
        <v>0</v>
      </c>
      <c r="W2">
        <f>BDH("TPICQ US Equity","WORKING_CAPITAL","2020-05-20","2025-05-20","Per=Y","Days=T","Dir=V")</f>
        <v>0</v>
      </c>
      <c r="Y2">
        <f>BDH("TPICQ US Equity","SALES_REV_TURN","2020-05-20","2025-05-20","Per=Y","Days=T","Dir=V")</f>
        <v>0</v>
      </c>
      <c r="AA2">
        <f>BDH("TPICQ US Equity","EBIT","2020-05-20","2025-05-20","Per=Y","Days=T","Dir=V")</f>
        <v>0</v>
      </c>
      <c r="AC2">
        <f>BDH("TPICQ US Equity","EBITDA","2020-05-20","2025-05-20","Per=Y","Days=T","Dir=V")</f>
        <v>0</v>
      </c>
      <c r="AE2">
        <f>BDH("TPICQ US Equity","NET_INCOME","2020-05-20","2025-05-20","Per=Y","Days=T","Dir=V")</f>
        <v>0</v>
      </c>
      <c r="AG2">
        <f>BDH("TPICQ US Equity","IS_INT_EXPENSE","2020-05-20","2025-05-20","Per=Y","Days=T","Dir=V")</f>
        <v>0</v>
      </c>
      <c r="AI2">
        <f>BDH("TPICQ US Equity","IS_DEPR_EXP","2020-05-20","2025-05-20","Per=Y","Days=T","Dir=V")</f>
        <v>0</v>
      </c>
      <c r="AK2">
        <f>BDH("TPICQ US Equity","CF_CASH_FROM_OPER","2020-05-20","2025-05-20","Per=Y","Days=T","Dir=V")</f>
        <v>0</v>
      </c>
      <c r="AM2">
        <f>BDH("TPICQ US Equity","CAPITAL_EXPEND","2020-05-20","2025-05-20","Per=Y","Days=T","Dir=V")</f>
        <v>0</v>
      </c>
      <c r="AO2">
        <f>BDH("TPICQ US Equity","CF_FREE_CASH_FLOW","2020-05-20","2025-05-20","Per=Y","Days=T","Dir=V")</f>
        <v>0</v>
      </c>
      <c r="AQ2">
        <f>BDH("TPICQ US Equity","PX_LAST","2020-05-20","2025-05-20","Per=M","Days=T","Dir=V")</f>
        <v>0</v>
      </c>
      <c r="AS2">
        <f>BDH("TPICQ US Equity","CUR_MKT_CAP","2020-05-20","2025-05-20","Per=M","Days=T","Dir=V")</f>
        <v>0</v>
      </c>
      <c r="AU2">
        <f>BDH("TPICQ US Equity","EQY_SH_OUT","2020-05-20","2025-05-20","Per=M","Days=T","Dir=V")</f>
        <v>0</v>
      </c>
      <c r="AW2">
        <f>BDH("TPICQ US Equity","BETA_RAW_OVERRIABLE","2020-05-20","2025-05-20","Per=M","Days=T","Dir=V")</f>
        <v>0</v>
      </c>
      <c r="AY2">
        <f>BDH("TPICQ US Equity","PX_VOLUME","2020-05-20","2025-05-20","Per=M","Days=T","Dir=V")</f>
        <v>0</v>
      </c>
      <c r="BA2">
        <f>BDH("TPICQ US Equity","TURNOVER","2020-05-20","2025-05-20","Per=M","Days=T","Dir=V")</f>
        <v>0</v>
      </c>
      <c r="BC2">
        <f>BDH("TPICQ US Equity","SPREAD_BA_CR","2020-05-20","2025-05-20","Per=M","Days=T","Dir=V")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BDH("MODVQ US Equity","BS_TOT_ASSET","2020-05-30","2025-05-30","Per=Y","Days=T","Dir=V")</f>
        <v>0</v>
      </c>
      <c r="C2">
        <f>BDH("MODVQ US Equity","BS_TOT_LIAB2","2020-05-30","2025-05-30","Per=Y","Days=T","Dir=V")</f>
        <v>0</v>
      </c>
      <c r="E2">
        <f>BDH("MODVQ US Equity","SHORT_AND_LONG_TERM_DEBT","2020-05-30","2025-05-30","Per=Y","Days=T","Dir=V")</f>
        <v>0</v>
      </c>
      <c r="G2">
        <f>BDH("MODVQ US Equity","BS_ST_BORROW","2020-05-30","2025-05-30","Per=Y","Days=T","Dir=V")</f>
        <v>0</v>
      </c>
      <c r="I2">
        <f>BDH("MODVQ US Equity","BS_LT_BORROW","2020-05-30","2025-05-30","Per=Y","Days=T","Dir=V")</f>
        <v>0</v>
      </c>
      <c r="K2">
        <f>BDH("MODVQ US Equity","BS_CASH_NEAR_CASH_ITEM","2020-05-30","2025-05-30","Per=Y","Days=T","Dir=V")</f>
        <v>0</v>
      </c>
      <c r="M2">
        <f>BDH("MODVQ US Equity","BS_CUR_ASSET_REPORT","2020-05-30","2025-05-30","Per=Y","Days=T","Dir=V")</f>
        <v>0</v>
      </c>
      <c r="O2">
        <f>BDH("MODVQ US Equity","BS_CUR_LIAB","2020-05-30","2025-05-30","Per=Y","Days=T","Dir=V")</f>
        <v>0</v>
      </c>
      <c r="Q2">
        <f>BDH("MODVQ US Equity","BS_SHAREHOLDER_EQY_ENDING_PERIOD","2020-05-30","2025-05-30","Per=Y","Days=T","Dir=V")</f>
        <v>0</v>
      </c>
      <c r="S2">
        <f>BDH("MODVQ US Equity","BS_ACCT_NOTE_RCV","2020-05-30","2025-05-30","Per=Y","Days=T","Dir=V")</f>
        <v>0</v>
      </c>
      <c r="U2">
        <f>BDH("MODVQ US Equity","BS_INVENTORIES","2020-05-30","2025-05-30","Per=Y","Days=T","Dir=V")</f>
        <v>0</v>
      </c>
      <c r="W2">
        <f>BDH("MODVQ US Equity","WORKING_CAPITAL","2020-05-30","2025-05-30","Per=Y","Days=T","Dir=V")</f>
        <v>0</v>
      </c>
      <c r="Y2">
        <f>BDH("MODVQ US Equity","SALES_REV_TURN","2020-05-30","2025-05-30","Per=Y","Days=T","Dir=V")</f>
        <v>0</v>
      </c>
      <c r="AA2">
        <f>BDH("MODVQ US Equity","EBIT","2020-05-30","2025-05-30","Per=Y","Days=T","Dir=V")</f>
        <v>0</v>
      </c>
      <c r="AC2">
        <f>BDH("MODVQ US Equity","EBITDA","2020-05-30","2025-05-30","Per=Y","Days=T","Dir=V")</f>
        <v>0</v>
      </c>
      <c r="AE2">
        <f>BDH("MODVQ US Equity","NET_INCOME","2020-05-30","2025-05-30","Per=Y","Days=T","Dir=V")</f>
        <v>0</v>
      </c>
      <c r="AG2">
        <f>BDH("MODVQ US Equity","IS_INT_EXPENSE","2020-05-30","2025-05-30","Per=Y","Days=T","Dir=V")</f>
        <v>0</v>
      </c>
      <c r="AI2">
        <f>BDH("MODVQ US Equity","IS_DEPR_EXP","2020-05-30","2025-05-30","Per=Y","Days=T","Dir=V")</f>
        <v>0</v>
      </c>
      <c r="AK2">
        <f>BDH("MODVQ US Equity","CF_CASH_FROM_OPER","2020-05-30","2025-05-30","Per=Y","Days=T","Dir=V")</f>
        <v>0</v>
      </c>
      <c r="AM2">
        <f>BDH("MODVQ US Equity","CAPITAL_EXPEND","2020-05-30","2025-05-30","Per=Y","Days=T","Dir=V")</f>
        <v>0</v>
      </c>
      <c r="AO2">
        <f>BDH("MODVQ US Equity","CF_FREE_CASH_FLOW","2020-05-30","2025-05-30","Per=Y","Days=T","Dir=V")</f>
        <v>0</v>
      </c>
      <c r="AQ2">
        <f>BDH("MODVQ US Equity","PX_LAST","2020-05-30","2025-05-30","Per=M","Days=T","Dir=V")</f>
        <v>0</v>
      </c>
      <c r="AS2">
        <f>BDH("MODVQ US Equity","CUR_MKT_CAP","2020-05-30","2025-05-30","Per=M","Days=T","Dir=V")</f>
        <v>0</v>
      </c>
      <c r="AU2">
        <f>BDH("MODVQ US Equity","EQY_SH_OUT","2020-05-30","2025-05-30","Per=M","Days=T","Dir=V")</f>
        <v>0</v>
      </c>
      <c r="AW2">
        <f>BDH("MODVQ US Equity","BETA_RAW_OVERRIABLE","2020-05-30","2025-05-30","Per=M","Days=T","Dir=V")</f>
        <v>0</v>
      </c>
      <c r="AY2">
        <f>BDH("MODVQ US Equity","PX_VOLUME","2020-05-30","2025-05-30","Per=M","Days=T","Dir=V")</f>
        <v>0</v>
      </c>
      <c r="BA2">
        <f>BDH("MODVQ US Equity","TURNOVER","2020-05-30","2025-05-30","Per=M","Days=T","Dir=V")</f>
        <v>0</v>
      </c>
      <c r="BC2">
        <f>BDH("MODVQ US Equity","SPREAD_BA_CR","2020-05-30","2025-05-30","Per=M","Days=T","Dir=V")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BDH("FLYYQ US Equity","BS_TOT_ASSET","2020-06-05","2025-06-05","Per=Y","Days=T","Dir=V")</f>
        <v>0</v>
      </c>
      <c r="C2">
        <f>BDH("FLYYQ US Equity","BS_TOT_LIAB2","2020-06-05","2025-06-05","Per=Y","Days=T","Dir=V")</f>
        <v>0</v>
      </c>
      <c r="E2">
        <f>BDH("FLYYQ US Equity","SHORT_AND_LONG_TERM_DEBT","2020-06-05","2025-06-05","Per=Y","Days=T","Dir=V")</f>
        <v>0</v>
      </c>
      <c r="G2">
        <f>BDH("FLYYQ US Equity","BS_ST_BORROW","2020-06-05","2025-06-05","Per=Y","Days=T","Dir=V")</f>
        <v>0</v>
      </c>
      <c r="I2">
        <f>BDH("FLYYQ US Equity","BS_LT_BORROW","2020-06-05","2025-06-05","Per=Y","Days=T","Dir=V")</f>
        <v>0</v>
      </c>
      <c r="K2">
        <f>BDH("FLYYQ US Equity","BS_CASH_NEAR_CASH_ITEM","2020-06-05","2025-06-05","Per=Y","Days=T","Dir=V")</f>
        <v>0</v>
      </c>
      <c r="M2">
        <f>BDH("FLYYQ US Equity","BS_CUR_ASSET_REPORT","2020-06-05","2025-06-05","Per=Y","Days=T","Dir=V")</f>
        <v>0</v>
      </c>
      <c r="O2">
        <f>BDH("FLYYQ US Equity","BS_CUR_LIAB","2020-06-05","2025-06-05","Per=Y","Days=T","Dir=V")</f>
        <v>0</v>
      </c>
      <c r="Q2">
        <f>BDH("FLYYQ US Equity","BS_SHAREHOLDER_EQY_ENDING_PERIOD","2020-06-05","2025-06-05","Per=Y","Days=T","Dir=V")</f>
        <v>0</v>
      </c>
      <c r="S2">
        <f>BDH("FLYYQ US Equity","BS_ACCT_NOTE_RCV","2020-06-05","2025-06-05","Per=Y","Days=T","Dir=V")</f>
        <v>0</v>
      </c>
      <c r="U2">
        <f>BDH("FLYYQ US Equity","BS_INVENTORIES","2020-06-05","2025-06-05","Per=Y","Days=T","Dir=V")</f>
        <v>0</v>
      </c>
      <c r="W2">
        <f>BDH("FLYYQ US Equity","WORKING_CAPITAL","2020-06-05","2025-06-05","Per=Y","Days=T","Dir=V")</f>
        <v>0</v>
      </c>
      <c r="Y2">
        <f>BDH("FLYYQ US Equity","SALES_REV_TURN","2020-06-05","2025-06-05","Per=Y","Days=T","Dir=V")</f>
        <v>0</v>
      </c>
      <c r="AA2">
        <f>BDH("FLYYQ US Equity","EBIT","2020-06-05","2025-06-05","Per=Y","Days=T","Dir=V")</f>
        <v>0</v>
      </c>
      <c r="AC2">
        <f>BDH("FLYYQ US Equity","EBITDA","2020-06-05","2025-06-05","Per=Y","Days=T","Dir=V")</f>
        <v>0</v>
      </c>
      <c r="AE2">
        <f>BDH("FLYYQ US Equity","NET_INCOME","2020-06-05","2025-06-05","Per=Y","Days=T","Dir=V")</f>
        <v>0</v>
      </c>
      <c r="AG2">
        <f>BDH("FLYYQ US Equity","IS_INT_EXPENSE","2020-06-05","2025-06-05","Per=Y","Days=T","Dir=V")</f>
        <v>0</v>
      </c>
      <c r="AI2">
        <f>BDH("FLYYQ US Equity","IS_DEPR_EXP","2020-06-05","2025-06-05","Per=Y","Days=T","Dir=V")</f>
        <v>0</v>
      </c>
      <c r="AK2">
        <f>BDH("FLYYQ US Equity","CF_CASH_FROM_OPER","2020-06-05","2025-06-05","Per=Y","Days=T","Dir=V")</f>
        <v>0</v>
      </c>
      <c r="AM2">
        <f>BDH("FLYYQ US Equity","CAPITAL_EXPEND","2020-06-05","2025-06-05","Per=Y","Days=T","Dir=V")</f>
        <v>0</v>
      </c>
      <c r="AO2">
        <f>BDH("FLYYQ US Equity","CF_FREE_CASH_FLOW","2020-06-05","2025-06-05","Per=Y","Days=T","Dir=V")</f>
        <v>0</v>
      </c>
      <c r="AQ2">
        <f>BDH("FLYYQ US Equity","PX_LAST","2020-06-05","2025-06-05","Per=M","Days=T","Dir=V")</f>
        <v>0</v>
      </c>
      <c r="AS2">
        <f>BDH("FLYYQ US Equity","CUR_MKT_CAP","2020-06-05","2025-06-05","Per=M","Days=T","Dir=V")</f>
        <v>0</v>
      </c>
      <c r="AU2">
        <f>BDH("FLYYQ US Equity","EQY_SH_OUT","2020-06-05","2025-06-05","Per=M","Days=T","Dir=V")</f>
        <v>0</v>
      </c>
      <c r="AW2">
        <f>BDH("FLYYQ US Equity","BETA_RAW_OVERRIABLE","2020-06-05","2025-06-05","Per=M","Days=T","Dir=V")</f>
        <v>0</v>
      </c>
      <c r="AY2">
        <f>BDH("FLYYQ US Equity","PX_VOLUME","2020-06-05","2025-06-05","Per=M","Days=T","Dir=V")</f>
        <v>0</v>
      </c>
      <c r="BA2">
        <f>BDH("FLYYQ US Equity","TURNOVER","2020-06-05","2025-06-05","Per=M","Days=T","Dir=V")</f>
        <v>0</v>
      </c>
      <c r="BC2">
        <f>BDH("FLYYQ US Equity","SPREAD_BA_CR","2020-06-05","2025-06-05","Per=M","Days=T","Dir=V")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BDH("FPAYQ US Equity","BS_TOT_ASSET","2020-07-26","2025-07-26","Per=Y","Days=T","Dir=V")</f>
        <v>0</v>
      </c>
      <c r="C2">
        <f>BDH("FPAYQ US Equity","BS_TOT_LIAB2","2020-07-26","2025-07-26","Per=Y","Days=T","Dir=V")</f>
        <v>0</v>
      </c>
      <c r="E2">
        <f>BDH("FPAYQ US Equity","SHORT_AND_LONG_TERM_DEBT","2020-07-26","2025-07-26","Per=Y","Days=T","Dir=V")</f>
        <v>0</v>
      </c>
      <c r="G2">
        <f>BDH("FPAYQ US Equity","BS_ST_BORROW","2020-07-26","2025-07-26","Per=Y","Days=T","Dir=V")</f>
        <v>0</v>
      </c>
      <c r="I2">
        <f>BDH("FPAYQ US Equity","BS_LT_BORROW","2020-07-26","2025-07-26","Per=Y","Days=T","Dir=V")</f>
        <v>0</v>
      </c>
      <c r="K2">
        <f>BDH("FPAYQ US Equity","BS_CASH_NEAR_CASH_ITEM","2020-07-26","2025-07-26","Per=Y","Days=T","Dir=V")</f>
        <v>0</v>
      </c>
      <c r="M2">
        <f>BDH("FPAYQ US Equity","BS_CUR_ASSET_REPORT","2020-07-26","2025-07-26","Per=Y","Days=T","Dir=V")</f>
        <v>0</v>
      </c>
      <c r="O2">
        <f>BDH("FPAYQ US Equity","BS_CUR_LIAB","2020-07-26","2025-07-26","Per=Y","Days=T","Dir=V")</f>
        <v>0</v>
      </c>
      <c r="Q2">
        <f>BDH("FPAYQ US Equity","BS_SHAREHOLDER_EQY_ENDING_PERIOD","2020-07-26","2025-07-26","Per=Y","Days=T","Dir=V")</f>
        <v>0</v>
      </c>
      <c r="S2">
        <f>BDH("FPAYQ US Equity","BS_ACCT_NOTE_RCV","2020-07-26","2025-07-26","Per=Y","Days=T","Dir=V")</f>
        <v>0</v>
      </c>
      <c r="U2">
        <f>BDH("FPAYQ US Equity","BS_INVENTORIES","2020-07-26","2025-07-26","Per=Y","Days=T","Dir=V")</f>
        <v>0</v>
      </c>
      <c r="W2">
        <f>BDH("FPAYQ US Equity","WORKING_CAPITAL","2020-07-26","2025-07-26","Per=Y","Days=T","Dir=V")</f>
        <v>0</v>
      </c>
      <c r="Y2">
        <f>BDH("FPAYQ US Equity","SALES_REV_TURN","2020-07-26","2025-07-26","Per=Y","Days=T","Dir=V")</f>
        <v>0</v>
      </c>
      <c r="AA2">
        <f>BDH("FPAYQ US Equity","EBIT","2020-07-26","2025-07-26","Per=Y","Days=T","Dir=V")</f>
        <v>0</v>
      </c>
      <c r="AC2">
        <f>BDH("FPAYQ US Equity","EBITDA","2020-07-26","2025-07-26","Per=Y","Days=T","Dir=V")</f>
        <v>0</v>
      </c>
      <c r="AE2">
        <f>BDH("FPAYQ US Equity","NET_INCOME","2020-07-26","2025-07-26","Per=Y","Days=T","Dir=V")</f>
        <v>0</v>
      </c>
      <c r="AG2">
        <f>BDH("FPAYQ US Equity","IS_INT_EXPENSE","2020-07-26","2025-07-26","Per=Y","Days=T","Dir=V")</f>
        <v>0</v>
      </c>
      <c r="AI2">
        <f>BDH("FPAYQ US Equity","IS_DEPR_EXP","2020-07-26","2025-07-26","Per=Y","Days=T","Dir=V")</f>
        <v>0</v>
      </c>
      <c r="AK2">
        <f>BDH("FPAYQ US Equity","CF_CASH_FROM_OPER","2020-07-26","2025-07-26","Per=Y","Days=T","Dir=V")</f>
        <v>0</v>
      </c>
      <c r="AM2">
        <f>BDH("FPAYQ US Equity","CAPITAL_EXPEND","2020-07-26","2025-07-26","Per=Y","Days=T","Dir=V")</f>
        <v>0</v>
      </c>
      <c r="AO2">
        <f>BDH("FPAYQ US Equity","CF_FREE_CASH_FLOW","2020-07-26","2025-07-26","Per=Y","Days=T","Dir=V")</f>
        <v>0</v>
      </c>
      <c r="AQ2">
        <f>BDH("FPAYQ US Equity","PX_LAST","2020-07-26","2025-07-26","Per=M","Days=T","Dir=V")</f>
        <v>0</v>
      </c>
      <c r="AS2">
        <f>BDH("FPAYQ US Equity","CUR_MKT_CAP","2020-07-26","2025-07-26","Per=M","Days=T","Dir=V")</f>
        <v>0</v>
      </c>
      <c r="AU2">
        <f>BDH("FPAYQ US Equity","EQY_SH_OUT","2020-07-26","2025-07-26","Per=M","Days=T","Dir=V")</f>
        <v>0</v>
      </c>
      <c r="AW2">
        <f>BDH("FPAYQ US Equity","BETA_RAW_OVERRIABLE","2020-07-26","2025-07-26","Per=M","Days=T","Dir=V")</f>
        <v>0</v>
      </c>
      <c r="AY2">
        <f>BDH("FPAYQ US Equity","PX_VOLUME","2020-07-26","2025-07-26","Per=M","Days=T","Dir=V")</f>
        <v>0</v>
      </c>
      <c r="BA2">
        <f>BDH("FPAYQ US Equity","TURNOVER","2020-07-26","2025-07-26","Per=M","Days=T","Dir=V")</f>
        <v>0</v>
      </c>
      <c r="BC2">
        <f>BDH("FPAYQ US Equity","SPREAD_BA_CR","2020-07-26","2025-07-26","Per=M","Days=T","Dir=V")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BDH("AMBIQ US Equity","BS_TOT_ASSET","2020-07-30","2025-07-30","Per=Y","Days=T","Dir=V")</f>
        <v>0</v>
      </c>
      <c r="C2">
        <f>BDH("AMBIQ US Equity","BS_TOT_LIAB2","2020-07-30","2025-07-30","Per=Y","Days=T","Dir=V")</f>
        <v>0</v>
      </c>
      <c r="E2">
        <f>BDH("AMBIQ US Equity","SHORT_AND_LONG_TERM_DEBT","2020-07-30","2025-07-30","Per=Y","Days=T","Dir=V")</f>
        <v>0</v>
      </c>
      <c r="G2">
        <f>BDH("AMBIQ US Equity","BS_ST_BORROW","2020-07-30","2025-07-30","Per=Y","Days=T","Dir=V")</f>
        <v>0</v>
      </c>
      <c r="I2">
        <f>BDH("AMBIQ US Equity","BS_LT_BORROW","2020-07-30","2025-07-30","Per=Y","Days=T","Dir=V")</f>
        <v>0</v>
      </c>
      <c r="K2">
        <f>BDH("AMBIQ US Equity","BS_CASH_NEAR_CASH_ITEM","2020-07-30","2025-07-30","Per=Y","Days=T","Dir=V")</f>
        <v>0</v>
      </c>
      <c r="M2">
        <f>BDH("AMBIQ US Equity","BS_CUR_ASSET_REPORT","2020-07-30","2025-07-30","Per=Y","Days=T","Dir=V")</f>
        <v>0</v>
      </c>
      <c r="O2">
        <f>BDH("AMBIQ US Equity","BS_CUR_LIAB","2020-07-30","2025-07-30","Per=Y","Days=T","Dir=V")</f>
        <v>0</v>
      </c>
      <c r="Q2">
        <f>BDH("AMBIQ US Equity","BS_SHAREHOLDER_EQY_ENDING_PERIOD","2020-07-30","2025-07-30","Per=Y","Days=T","Dir=V")</f>
        <v>0</v>
      </c>
      <c r="S2">
        <f>BDH("AMBIQ US Equity","BS_ACCT_NOTE_RCV","2020-07-30","2025-07-30","Per=Y","Days=T","Dir=V")</f>
        <v>0</v>
      </c>
      <c r="U2">
        <f>BDH("AMBIQ US Equity","BS_INVENTORIES","2020-07-30","2025-07-30","Per=Y","Days=T","Dir=V")</f>
        <v>0</v>
      </c>
      <c r="W2">
        <f>BDH("AMBIQ US Equity","WORKING_CAPITAL","2020-07-30","2025-07-30","Per=Y","Days=T","Dir=V")</f>
        <v>0</v>
      </c>
      <c r="Y2">
        <f>BDH("AMBIQ US Equity","SALES_REV_TURN","2020-07-30","2025-07-30","Per=Y","Days=T","Dir=V")</f>
        <v>0</v>
      </c>
      <c r="AA2">
        <f>BDH("AMBIQ US Equity","EBIT","2020-07-30","2025-07-30","Per=Y","Days=T","Dir=V")</f>
        <v>0</v>
      </c>
      <c r="AC2">
        <f>BDH("AMBIQ US Equity","EBITDA","2020-07-30","2025-07-30","Per=Y","Days=T","Dir=V")</f>
        <v>0</v>
      </c>
      <c r="AE2">
        <f>BDH("AMBIQ US Equity","NET_INCOME","2020-07-30","2025-07-30","Per=Y","Days=T","Dir=V")</f>
        <v>0</v>
      </c>
      <c r="AG2">
        <f>BDH("AMBIQ US Equity","IS_INT_EXPENSE","2020-07-30","2025-07-30","Per=Y","Days=T","Dir=V")</f>
        <v>0</v>
      </c>
      <c r="AI2">
        <f>BDH("AMBIQ US Equity","IS_DEPR_EXP","2020-07-30","2025-07-30","Per=Y","Days=T","Dir=V")</f>
        <v>0</v>
      </c>
      <c r="AK2">
        <f>BDH("AMBIQ US Equity","CF_CASH_FROM_OPER","2020-07-30","2025-07-30","Per=Y","Days=T","Dir=V")</f>
        <v>0</v>
      </c>
      <c r="AM2">
        <f>BDH("AMBIQ US Equity","CAPITAL_EXPEND","2020-07-30","2025-07-30","Per=Y","Days=T","Dir=V")</f>
        <v>0</v>
      </c>
      <c r="AO2">
        <f>BDH("AMBIQ US Equity","CF_FREE_CASH_FLOW","2020-07-30","2025-07-30","Per=Y","Days=T","Dir=V")</f>
        <v>0</v>
      </c>
      <c r="AQ2">
        <f>BDH("AMBIQ US Equity","PX_LAST","2020-07-30","2025-07-30","Per=M","Days=T","Dir=V")</f>
        <v>0</v>
      </c>
      <c r="AS2">
        <f>BDH("AMBIQ US Equity","CUR_MKT_CAP","2020-07-30","2025-07-30","Per=M","Days=T","Dir=V")</f>
        <v>0</v>
      </c>
      <c r="AU2">
        <f>BDH("AMBIQ US Equity","EQY_SH_OUT","2020-07-30","2025-07-30","Per=M","Days=T","Dir=V")</f>
        <v>0</v>
      </c>
      <c r="AW2">
        <f>BDH("AMBIQ US Equity","BETA_RAW_OVERRIABLE","2020-07-30","2025-07-30","Per=M","Days=T","Dir=V")</f>
        <v>0</v>
      </c>
      <c r="AY2">
        <f>BDH("AMBIQ US Equity","PX_VOLUME","2020-07-30","2025-07-30","Per=M","Days=T","Dir=V")</f>
        <v>0</v>
      </c>
      <c r="BA2">
        <f>BDH("AMBIQ US Equity","TURNOVER","2020-07-30","2025-07-30","Per=M","Days=T","Dir=V")</f>
        <v>0</v>
      </c>
      <c r="BC2">
        <f>BDH("AMBIQ US Equity","SPREAD_BA_CR","2020-07-30","2025-07-30","Per=M","Days=T","Dir=V")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BDH("SONDQ US Equity","BS_TOT_ASSET","2020-08-23","2025-08-23","Per=Y","Days=T","Dir=V")</f>
        <v>0</v>
      </c>
      <c r="C2">
        <f>BDH("SONDQ US Equity","BS_TOT_LIAB2","2020-08-23","2025-08-23","Per=Y","Days=T","Dir=V")</f>
        <v>0</v>
      </c>
      <c r="E2">
        <f>BDH("SONDQ US Equity","SHORT_AND_LONG_TERM_DEBT","2020-08-23","2025-08-23","Per=Y","Days=T","Dir=V")</f>
        <v>0</v>
      </c>
      <c r="G2">
        <f>BDH("SONDQ US Equity","BS_ST_BORROW","2020-08-23","2025-08-23","Per=Y","Days=T","Dir=V")</f>
        <v>0</v>
      </c>
      <c r="I2">
        <f>BDH("SONDQ US Equity","BS_LT_BORROW","2020-08-23","2025-08-23","Per=Y","Days=T","Dir=V")</f>
        <v>0</v>
      </c>
      <c r="K2">
        <f>BDH("SONDQ US Equity","BS_CASH_NEAR_CASH_ITEM","2020-08-23","2025-08-23","Per=Y","Days=T","Dir=V")</f>
        <v>0</v>
      </c>
      <c r="M2">
        <f>BDH("SONDQ US Equity","BS_CUR_ASSET_REPORT","2020-08-23","2025-08-23","Per=Y","Days=T","Dir=V")</f>
        <v>0</v>
      </c>
      <c r="O2">
        <f>BDH("SONDQ US Equity","BS_CUR_LIAB","2020-08-23","2025-08-23","Per=Y","Days=T","Dir=V")</f>
        <v>0</v>
      </c>
      <c r="Q2">
        <f>BDH("SONDQ US Equity","BS_SHAREHOLDER_EQY_ENDING_PERIOD","2020-08-23","2025-08-23","Per=Y","Days=T","Dir=V")</f>
        <v>0</v>
      </c>
      <c r="S2">
        <f>BDH("SONDQ US Equity","BS_ACCT_NOTE_RCV","2020-08-23","2025-08-23","Per=Y","Days=T","Dir=V")</f>
        <v>0</v>
      </c>
      <c r="U2">
        <f>BDH("SONDQ US Equity","BS_INVENTORIES","2020-08-23","2025-08-23","Per=Y","Days=T","Dir=V")</f>
        <v>0</v>
      </c>
      <c r="W2">
        <f>BDH("SONDQ US Equity","WORKING_CAPITAL","2020-08-23","2025-08-23","Per=Y","Days=T","Dir=V")</f>
        <v>0</v>
      </c>
      <c r="Y2">
        <f>BDH("SONDQ US Equity","SALES_REV_TURN","2020-08-23","2025-08-23","Per=Y","Days=T","Dir=V")</f>
        <v>0</v>
      </c>
      <c r="AA2">
        <f>BDH("SONDQ US Equity","EBIT","2020-08-23","2025-08-23","Per=Y","Days=T","Dir=V")</f>
        <v>0</v>
      </c>
      <c r="AC2">
        <f>BDH("SONDQ US Equity","EBITDA","2020-08-23","2025-08-23","Per=Y","Days=T","Dir=V")</f>
        <v>0</v>
      </c>
      <c r="AE2">
        <f>BDH("SONDQ US Equity","NET_INCOME","2020-08-23","2025-08-23","Per=Y","Days=T","Dir=V")</f>
        <v>0</v>
      </c>
      <c r="AG2">
        <f>BDH("SONDQ US Equity","IS_INT_EXPENSE","2020-08-23","2025-08-23","Per=Y","Days=T","Dir=V")</f>
        <v>0</v>
      </c>
      <c r="AI2">
        <f>BDH("SONDQ US Equity","IS_DEPR_EXP","2020-08-23","2025-08-23","Per=Y","Days=T","Dir=V")</f>
        <v>0</v>
      </c>
      <c r="AK2">
        <f>BDH("SONDQ US Equity","CF_CASH_FROM_OPER","2020-08-23","2025-08-23","Per=Y","Days=T","Dir=V")</f>
        <v>0</v>
      </c>
      <c r="AM2">
        <f>BDH("SONDQ US Equity","CAPITAL_EXPEND","2020-08-23","2025-08-23","Per=Y","Days=T","Dir=V")</f>
        <v>0</v>
      </c>
      <c r="AO2">
        <f>BDH("SONDQ US Equity","CF_FREE_CASH_FLOW","2020-08-23","2025-08-23","Per=Y","Days=T","Dir=V")</f>
        <v>0</v>
      </c>
      <c r="AQ2">
        <f>BDH("SONDQ US Equity","PX_LAST","2020-08-23","2025-08-23","Per=M","Days=T","Dir=V")</f>
        <v>0</v>
      </c>
      <c r="AS2">
        <f>BDH("SONDQ US Equity","CUR_MKT_CAP","2020-08-23","2025-08-23","Per=M","Days=T","Dir=V")</f>
        <v>0</v>
      </c>
      <c r="AU2">
        <f>BDH("SONDQ US Equity","EQY_SH_OUT","2020-08-23","2025-08-23","Per=M","Days=T","Dir=V")</f>
        <v>0</v>
      </c>
      <c r="AW2">
        <f>BDH("SONDQ US Equity","BETA_RAW_OVERRIABLE","2020-08-23","2025-08-23","Per=M","Days=T","Dir=V")</f>
        <v>0</v>
      </c>
      <c r="AY2">
        <f>BDH("SONDQ US Equity","PX_VOLUME","2020-08-23","2025-08-23","Per=M","Days=T","Dir=V")</f>
        <v>0</v>
      </c>
      <c r="BA2">
        <f>BDH("SONDQ US Equity","TURNOVER","2020-08-23","2025-08-23","Per=M","Days=T","Dir=V")</f>
        <v>0</v>
      </c>
      <c r="BC2">
        <f>BDH("SONDQ US Equity","SPREAD_BA_CR","2020-08-23","2025-08-23","Per=M","Days=T","Dir=V")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BDH("NETC US Equity","BS_TOT_ASSET","2020-08-27","2025-08-27","Per=Y","Days=T","Dir=V")</f>
        <v>0</v>
      </c>
      <c r="C2">
        <f>BDH("NETC US Equity","BS_TOT_LIAB2","2020-08-27","2025-08-27","Per=Y","Days=T","Dir=V")</f>
        <v>0</v>
      </c>
      <c r="E2">
        <f>BDH("NETC US Equity","SHORT_AND_LONG_TERM_DEBT","2020-08-27","2025-08-27","Per=Y","Days=T","Dir=V")</f>
        <v>0</v>
      </c>
      <c r="G2">
        <f>BDH("NETC US Equity","BS_ST_BORROW","2020-08-27","2025-08-27","Per=Y","Days=T","Dir=V")</f>
        <v>0</v>
      </c>
      <c r="I2">
        <f>BDH("NETC US Equity","BS_LT_BORROW","2020-08-27","2025-08-27","Per=Y","Days=T","Dir=V")</f>
        <v>0</v>
      </c>
      <c r="K2">
        <f>BDH("NETC US Equity","BS_CASH_NEAR_CASH_ITEM","2020-08-27","2025-08-27","Per=Y","Days=T","Dir=V")</f>
        <v>0</v>
      </c>
      <c r="M2">
        <f>BDH("NETC US Equity","BS_CUR_ASSET_REPORT","2020-08-27","2025-08-27","Per=Y","Days=T","Dir=V")</f>
        <v>0</v>
      </c>
      <c r="O2">
        <f>BDH("NETC US Equity","BS_CUR_LIAB","2020-08-27","2025-08-27","Per=Y","Days=T","Dir=V")</f>
        <v>0</v>
      </c>
      <c r="Q2">
        <f>BDH("NETC US Equity","BS_SHAREHOLDER_EQY_ENDING_PERIOD","2020-08-27","2025-08-27","Per=Y","Days=T","Dir=V")</f>
        <v>0</v>
      </c>
      <c r="S2">
        <f>BDH("NETC US Equity","BS_ACCT_NOTE_RCV","2020-08-27","2025-08-27","Per=Y","Days=T","Dir=V")</f>
        <v>0</v>
      </c>
      <c r="U2">
        <f>BDH("NETC US Equity","BS_INVENTORIES","2020-08-27","2025-08-27","Per=Y","Days=T","Dir=V")</f>
        <v>0</v>
      </c>
      <c r="W2">
        <f>BDH("NETC US Equity","WORKING_CAPITAL","2020-08-27","2025-08-27","Per=Y","Days=T","Dir=V")</f>
        <v>0</v>
      </c>
      <c r="Y2">
        <f>BDH("NETC US Equity","SALES_REV_TURN","2020-08-27","2025-08-27","Per=Y","Days=T","Dir=V")</f>
        <v>0</v>
      </c>
      <c r="AA2">
        <f>BDH("NETC US Equity","EBIT","2020-08-27","2025-08-27","Per=Y","Days=T","Dir=V")</f>
        <v>0</v>
      </c>
      <c r="AC2">
        <f>BDH("NETC US Equity","EBITDA","2020-08-27","2025-08-27","Per=Y","Days=T","Dir=V")</f>
        <v>0</v>
      </c>
      <c r="AE2">
        <f>BDH("NETC US Equity","NET_INCOME","2020-08-27","2025-08-27","Per=Y","Days=T","Dir=V")</f>
        <v>0</v>
      </c>
      <c r="AG2">
        <f>BDH("NETC US Equity","IS_INT_EXPENSE","2020-08-27","2025-08-27","Per=Y","Days=T","Dir=V")</f>
        <v>0</v>
      </c>
      <c r="AI2">
        <f>BDH("NETC US Equity","IS_DEPR_EXP","2020-08-27","2025-08-27","Per=Y","Days=T","Dir=V")</f>
        <v>0</v>
      </c>
      <c r="AK2">
        <f>BDH("NETC US Equity","CF_CASH_FROM_OPER","2020-08-27","2025-08-27","Per=Y","Days=T","Dir=V")</f>
        <v>0</v>
      </c>
      <c r="AM2">
        <f>BDH("NETC US Equity","CAPITAL_EXPEND","2020-08-27","2025-08-27","Per=Y","Days=T","Dir=V")</f>
        <v>0</v>
      </c>
      <c r="AO2">
        <f>BDH("NETC US Equity","CF_FREE_CASH_FLOW","2020-08-27","2025-08-27","Per=Y","Days=T","Dir=V")</f>
        <v>0</v>
      </c>
      <c r="AQ2">
        <f>BDH("NETC US Equity","PX_LAST","2020-08-27","2025-08-27","Per=M","Days=T","Dir=V")</f>
        <v>0</v>
      </c>
      <c r="AS2">
        <f>BDH("NETC US Equity","CUR_MKT_CAP","2020-08-27","2025-08-27","Per=M","Days=T","Dir=V")</f>
        <v>0</v>
      </c>
      <c r="AU2">
        <f>BDH("NETC US Equity","EQY_SH_OUT","2020-08-27","2025-08-27","Per=M","Days=T","Dir=V")</f>
        <v>0</v>
      </c>
      <c r="AW2">
        <f>BDH("NETC US Equity","BETA_RAW_OVERRIABLE","2020-08-27","2025-08-27","Per=M","Days=T","Dir=V")</f>
        <v>0</v>
      </c>
      <c r="AY2">
        <f>BDH("NETC US Equity","PX_VOLUME","2020-08-27","2025-08-27","Per=M","Days=T","Dir=V")</f>
        <v>0</v>
      </c>
      <c r="BA2">
        <f>BDH("NETC US Equity","TURNOVER","2020-08-27","2025-08-27","Per=M","Days=T","Dir=V")</f>
        <v>0</v>
      </c>
      <c r="BC2">
        <f>BDH("NETC US Equity","SPREAD_BA_CR","2020-08-27","2025-08-27","Per=M","Days=T","Dir=V")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BDH("GORV US Equity","BS_TOT_ASSET","2020-08-28","2025-08-28","Per=Y","Days=T","Dir=V")</f>
        <v>0</v>
      </c>
      <c r="C2">
        <f>BDH("GORV US Equity","BS_TOT_LIAB2","2020-08-28","2025-08-28","Per=Y","Days=T","Dir=V")</f>
        <v>0</v>
      </c>
      <c r="E2">
        <f>BDH("GORV US Equity","SHORT_AND_LONG_TERM_DEBT","2020-08-28","2025-08-28","Per=Y","Days=T","Dir=V")</f>
        <v>0</v>
      </c>
      <c r="G2">
        <f>BDH("GORV US Equity","BS_ST_BORROW","2020-08-28","2025-08-28","Per=Y","Days=T","Dir=V")</f>
        <v>0</v>
      </c>
      <c r="I2">
        <f>BDH("GORV US Equity","BS_LT_BORROW","2020-08-28","2025-08-28","Per=Y","Days=T","Dir=V")</f>
        <v>0</v>
      </c>
      <c r="K2">
        <f>BDH("GORV US Equity","BS_CASH_NEAR_CASH_ITEM","2020-08-28","2025-08-28","Per=Y","Days=T","Dir=V")</f>
        <v>0</v>
      </c>
      <c r="M2">
        <f>BDH("GORV US Equity","BS_CUR_ASSET_REPORT","2020-08-28","2025-08-28","Per=Y","Days=T","Dir=V")</f>
        <v>0</v>
      </c>
      <c r="O2">
        <f>BDH("GORV US Equity","BS_CUR_LIAB","2020-08-28","2025-08-28","Per=Y","Days=T","Dir=V")</f>
        <v>0</v>
      </c>
      <c r="Q2">
        <f>BDH("GORV US Equity","BS_SHAREHOLDER_EQY_ENDING_PERIOD","2020-08-28","2025-08-28","Per=Y","Days=T","Dir=V")</f>
        <v>0</v>
      </c>
      <c r="S2">
        <f>BDH("GORV US Equity","BS_ACCT_NOTE_RCV","2020-08-28","2025-08-28","Per=Y","Days=T","Dir=V")</f>
        <v>0</v>
      </c>
      <c r="U2">
        <f>BDH("GORV US Equity","BS_INVENTORIES","2020-08-28","2025-08-28","Per=Y","Days=T","Dir=V")</f>
        <v>0</v>
      </c>
      <c r="W2">
        <f>BDH("GORV US Equity","WORKING_CAPITAL","2020-08-28","2025-08-28","Per=Y","Days=T","Dir=V")</f>
        <v>0</v>
      </c>
      <c r="Y2">
        <f>BDH("GORV US Equity","SALES_REV_TURN","2020-08-28","2025-08-28","Per=Y","Days=T","Dir=V")</f>
        <v>0</v>
      </c>
      <c r="AA2">
        <f>BDH("GORV US Equity","EBIT","2020-08-28","2025-08-28","Per=Y","Days=T","Dir=V")</f>
        <v>0</v>
      </c>
      <c r="AC2">
        <f>BDH("GORV US Equity","EBITDA","2020-08-28","2025-08-28","Per=Y","Days=T","Dir=V")</f>
        <v>0</v>
      </c>
      <c r="AE2">
        <f>BDH("GORV US Equity","NET_INCOME","2020-08-28","2025-08-28","Per=Y","Days=T","Dir=V")</f>
        <v>0</v>
      </c>
      <c r="AG2">
        <f>BDH("GORV US Equity","IS_INT_EXPENSE","2020-08-28","2025-08-28","Per=Y","Days=T","Dir=V")</f>
        <v>0</v>
      </c>
      <c r="AI2">
        <f>BDH("GORV US Equity","IS_DEPR_EXP","2020-08-28","2025-08-28","Per=Y","Days=T","Dir=V")</f>
        <v>0</v>
      </c>
      <c r="AK2">
        <f>BDH("GORV US Equity","CF_CASH_FROM_OPER","2020-08-28","2025-08-28","Per=Y","Days=T","Dir=V")</f>
        <v>0</v>
      </c>
      <c r="AM2">
        <f>BDH("GORV US Equity","CAPITAL_EXPEND","2020-08-28","2025-08-28","Per=Y","Days=T","Dir=V")</f>
        <v>0</v>
      </c>
      <c r="AO2">
        <f>BDH("GORV US Equity","CF_FREE_CASH_FLOW","2020-08-28","2025-08-28","Per=Y","Days=T","Dir=V")</f>
        <v>0</v>
      </c>
      <c r="AQ2">
        <f>BDH("GORV US Equity","PX_LAST","2020-08-28","2025-08-28","Per=M","Days=T","Dir=V")</f>
        <v>0</v>
      </c>
      <c r="AS2">
        <f>BDH("GORV US Equity","CUR_MKT_CAP","2020-08-28","2025-08-28","Per=M","Days=T","Dir=V")</f>
        <v>0</v>
      </c>
      <c r="AU2">
        <f>BDH("GORV US Equity","EQY_SH_OUT","2020-08-28","2025-08-28","Per=M","Days=T","Dir=V")</f>
        <v>0</v>
      </c>
      <c r="AW2">
        <f>BDH("GORV US Equity","BETA_RAW_OVERRIABLE","2020-08-28","2025-08-28","Per=M","Days=T","Dir=V")</f>
        <v>0</v>
      </c>
      <c r="AY2">
        <f>BDH("GORV US Equity","PX_VOLUME","2020-08-28","2025-08-28","Per=M","Days=T","Dir=V")</f>
        <v>0</v>
      </c>
      <c r="BA2">
        <f>BDH("GORV US Equity","TURNOVER","2020-08-28","2025-08-28","Per=M","Days=T","Dir=V")</f>
        <v>0</v>
      </c>
      <c r="BC2">
        <f>BDH("GORV US Equity","SPREAD_BA_CR","2020-08-28","2025-08-28","Per=M","Days=T","Dir=V")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BDH("CLSDQ US Equity","BS_TOT_ASSET","2020-08-30","2025-08-30","Per=Y","Days=T","Dir=V")</f>
        <v>0</v>
      </c>
      <c r="C2">
        <f>BDH("CLSDQ US Equity","BS_TOT_LIAB2","2020-08-30","2025-08-30","Per=Y","Days=T","Dir=V")</f>
        <v>0</v>
      </c>
      <c r="E2">
        <f>BDH("CLSDQ US Equity","SHORT_AND_LONG_TERM_DEBT","2020-08-30","2025-08-30","Per=Y","Days=T","Dir=V")</f>
        <v>0</v>
      </c>
      <c r="G2">
        <f>BDH("CLSDQ US Equity","BS_ST_BORROW","2020-08-30","2025-08-30","Per=Y","Days=T","Dir=V")</f>
        <v>0</v>
      </c>
      <c r="I2">
        <f>BDH("CLSDQ US Equity","BS_LT_BORROW","2020-08-30","2025-08-30","Per=Y","Days=T","Dir=V")</f>
        <v>0</v>
      </c>
      <c r="K2">
        <f>BDH("CLSDQ US Equity","BS_CASH_NEAR_CASH_ITEM","2020-08-30","2025-08-30","Per=Y","Days=T","Dir=V")</f>
        <v>0</v>
      </c>
      <c r="M2">
        <f>BDH("CLSDQ US Equity","BS_CUR_ASSET_REPORT","2020-08-30","2025-08-30","Per=Y","Days=T","Dir=V")</f>
        <v>0</v>
      </c>
      <c r="O2">
        <f>BDH("CLSDQ US Equity","BS_CUR_LIAB","2020-08-30","2025-08-30","Per=Y","Days=T","Dir=V")</f>
        <v>0</v>
      </c>
      <c r="Q2">
        <f>BDH("CLSDQ US Equity","BS_SHAREHOLDER_EQY_ENDING_PERIOD","2020-08-30","2025-08-30","Per=Y","Days=T","Dir=V")</f>
        <v>0</v>
      </c>
      <c r="S2">
        <f>BDH("CLSDQ US Equity","BS_ACCT_NOTE_RCV","2020-08-30","2025-08-30","Per=Y","Days=T","Dir=V")</f>
        <v>0</v>
      </c>
      <c r="U2">
        <f>BDH("CLSDQ US Equity","BS_INVENTORIES","2020-08-30","2025-08-30","Per=Y","Days=T","Dir=V")</f>
        <v>0</v>
      </c>
      <c r="W2">
        <f>BDH("CLSDQ US Equity","WORKING_CAPITAL","2020-08-30","2025-08-30","Per=Y","Days=T","Dir=V")</f>
        <v>0</v>
      </c>
      <c r="Y2">
        <f>BDH("CLSDQ US Equity","SALES_REV_TURN","2020-08-30","2025-08-30","Per=Y","Days=T","Dir=V")</f>
        <v>0</v>
      </c>
      <c r="AA2">
        <f>BDH("CLSDQ US Equity","EBIT","2020-08-30","2025-08-30","Per=Y","Days=T","Dir=V")</f>
        <v>0</v>
      </c>
      <c r="AC2">
        <f>BDH("CLSDQ US Equity","EBITDA","2020-08-30","2025-08-30","Per=Y","Days=T","Dir=V")</f>
        <v>0</v>
      </c>
      <c r="AE2">
        <f>BDH("CLSDQ US Equity","NET_INCOME","2020-08-30","2025-08-30","Per=Y","Days=T","Dir=V")</f>
        <v>0</v>
      </c>
      <c r="AG2">
        <f>BDH("CLSDQ US Equity","IS_INT_EXPENSE","2020-08-30","2025-08-30","Per=Y","Days=T","Dir=V")</f>
        <v>0</v>
      </c>
      <c r="AI2">
        <f>BDH("CLSDQ US Equity","IS_DEPR_EXP","2020-08-30","2025-08-30","Per=Y","Days=T","Dir=V")</f>
        <v>0</v>
      </c>
      <c r="AK2">
        <f>BDH("CLSDQ US Equity","CF_CASH_FROM_OPER","2020-08-30","2025-08-30","Per=Y","Days=T","Dir=V")</f>
        <v>0</v>
      </c>
      <c r="AM2">
        <f>BDH("CLSDQ US Equity","CAPITAL_EXPEND","2020-08-30","2025-08-30","Per=Y","Days=T","Dir=V")</f>
        <v>0</v>
      </c>
      <c r="AO2">
        <f>BDH("CLSDQ US Equity","CF_FREE_CASH_FLOW","2020-08-30","2025-08-30","Per=Y","Days=T","Dir=V")</f>
        <v>0</v>
      </c>
      <c r="AQ2">
        <f>BDH("CLSDQ US Equity","PX_LAST","2020-08-30","2025-08-30","Per=M","Days=T","Dir=V")</f>
        <v>0</v>
      </c>
      <c r="AS2">
        <f>BDH("CLSDQ US Equity","CUR_MKT_CAP","2020-08-30","2025-08-30","Per=M","Days=T","Dir=V")</f>
        <v>0</v>
      </c>
      <c r="AU2">
        <f>BDH("CLSDQ US Equity","EQY_SH_OUT","2020-08-30","2025-08-30","Per=M","Days=T","Dir=V")</f>
        <v>0</v>
      </c>
      <c r="AW2">
        <f>BDH("CLSDQ US Equity","BETA_RAW_OVERRIABLE","2020-08-30","2025-08-30","Per=M","Days=T","Dir=V")</f>
        <v>0</v>
      </c>
      <c r="AY2">
        <f>BDH("CLSDQ US Equity","PX_VOLUME","2020-08-30","2025-08-30","Per=M","Days=T","Dir=V")</f>
        <v>0</v>
      </c>
      <c r="BA2">
        <f>BDH("CLSDQ US Equity","TURNOVER","2020-08-30","2025-08-30","Per=M","Days=T","Dir=V")</f>
        <v>0</v>
      </c>
      <c r="BC2">
        <f>BDH("CLSDQ US Equity","SPREAD_BA_CR","2020-08-30","2025-08-30","Per=M","Days=T","Dir=V")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BDH("BLMZF US Equity","BS_TOT_ASSET","2020-09-13","2025-09-13","Per=Y","Days=T","Dir=V")</f>
        <v>0</v>
      </c>
      <c r="C2">
        <f>BDH("BLMZF US Equity","BS_TOT_LIAB2","2020-09-13","2025-09-13","Per=Y","Days=T","Dir=V")</f>
        <v>0</v>
      </c>
      <c r="E2">
        <f>BDH("BLMZF US Equity","SHORT_AND_LONG_TERM_DEBT","2020-09-13","2025-09-13","Per=Y","Days=T","Dir=V")</f>
        <v>0</v>
      </c>
      <c r="G2">
        <f>BDH("BLMZF US Equity","BS_ST_BORROW","2020-09-13","2025-09-13","Per=Y","Days=T","Dir=V")</f>
        <v>0</v>
      </c>
      <c r="I2">
        <f>BDH("BLMZF US Equity","BS_LT_BORROW","2020-09-13","2025-09-13","Per=Y","Days=T","Dir=V")</f>
        <v>0</v>
      </c>
      <c r="K2">
        <f>BDH("BLMZF US Equity","BS_CASH_NEAR_CASH_ITEM","2020-09-13","2025-09-13","Per=Y","Days=T","Dir=V")</f>
        <v>0</v>
      </c>
      <c r="M2">
        <f>BDH("BLMZF US Equity","BS_CUR_ASSET_REPORT","2020-09-13","2025-09-13","Per=Y","Days=T","Dir=V")</f>
        <v>0</v>
      </c>
      <c r="O2">
        <f>BDH("BLMZF US Equity","BS_CUR_LIAB","2020-09-13","2025-09-13","Per=Y","Days=T","Dir=V")</f>
        <v>0</v>
      </c>
      <c r="Q2">
        <f>BDH("BLMZF US Equity","BS_SHAREHOLDER_EQY_ENDING_PERIOD","2020-09-13","2025-09-13","Per=Y","Days=T","Dir=V")</f>
        <v>0</v>
      </c>
      <c r="S2">
        <f>BDH("BLMZF US Equity","BS_ACCT_NOTE_RCV","2020-09-13","2025-09-13","Per=Y","Days=T","Dir=V")</f>
        <v>0</v>
      </c>
      <c r="U2">
        <f>BDH("BLMZF US Equity","BS_INVENTORIES","2020-09-13","2025-09-13","Per=Y","Days=T","Dir=V")</f>
        <v>0</v>
      </c>
      <c r="W2">
        <f>BDH("BLMZF US Equity","WORKING_CAPITAL","2020-09-13","2025-09-13","Per=Y","Days=T","Dir=V")</f>
        <v>0</v>
      </c>
      <c r="Y2">
        <f>BDH("BLMZF US Equity","SALES_REV_TURN","2020-09-13","2025-09-13","Per=Y","Days=T","Dir=V")</f>
        <v>0</v>
      </c>
      <c r="AA2">
        <f>BDH("BLMZF US Equity","EBIT","2020-09-13","2025-09-13","Per=Y","Days=T","Dir=V")</f>
        <v>0</v>
      </c>
      <c r="AC2">
        <f>BDH("BLMZF US Equity","EBITDA","2020-09-13","2025-09-13","Per=Y","Days=T","Dir=V")</f>
        <v>0</v>
      </c>
      <c r="AE2">
        <f>BDH("BLMZF US Equity","NET_INCOME","2020-09-13","2025-09-13","Per=Y","Days=T","Dir=V")</f>
        <v>0</v>
      </c>
      <c r="AG2">
        <f>BDH("BLMZF US Equity","IS_INT_EXPENSE","2020-09-13","2025-09-13","Per=Y","Days=T","Dir=V")</f>
        <v>0</v>
      </c>
      <c r="AI2">
        <f>BDH("BLMZF US Equity","IS_DEPR_EXP","2020-09-13","2025-09-13","Per=Y","Days=T","Dir=V")</f>
        <v>0</v>
      </c>
      <c r="AK2">
        <f>BDH("BLMZF US Equity","CF_CASH_FROM_OPER","2020-09-13","2025-09-13","Per=Y","Days=T","Dir=V")</f>
        <v>0</v>
      </c>
      <c r="AM2">
        <f>BDH("BLMZF US Equity","CAPITAL_EXPEND","2020-09-13","2025-09-13","Per=Y","Days=T","Dir=V")</f>
        <v>0</v>
      </c>
      <c r="AO2">
        <f>BDH("BLMZF US Equity","CF_FREE_CASH_FLOW","2020-09-13","2025-09-13","Per=Y","Days=T","Dir=V")</f>
        <v>0</v>
      </c>
      <c r="AQ2">
        <f>BDH("BLMZF US Equity","PX_LAST","2020-09-13","2025-09-13","Per=M","Days=T","Dir=V")</f>
        <v>0</v>
      </c>
      <c r="AS2">
        <f>BDH("BLMZF US Equity","CUR_MKT_CAP","2020-09-13","2025-09-13","Per=M","Days=T","Dir=V")</f>
        <v>0</v>
      </c>
      <c r="AU2">
        <f>BDH("BLMZF US Equity","EQY_SH_OUT","2020-09-13","2025-09-13","Per=M","Days=T","Dir=V")</f>
        <v>0</v>
      </c>
      <c r="AW2">
        <f>BDH("BLMZF US Equity","BETA_RAW_OVERRIABLE","2020-09-13","2025-09-13","Per=M","Days=T","Dir=V")</f>
        <v>0</v>
      </c>
      <c r="AY2">
        <f>BDH("BLMZF US Equity","PX_VOLUME","2020-09-13","2025-09-13","Per=M","Days=T","Dir=V")</f>
        <v>0</v>
      </c>
      <c r="BA2">
        <f>BDH("BLMZF US Equity","TURNOVER","2020-09-13","2025-09-13","Per=M","Days=T","Dir=V")</f>
        <v>0</v>
      </c>
      <c r="BC2">
        <f>BDH("BLMZF US Equity","SPREAD_BA_CR","2020-09-13","2025-09-13","Per=M","Days=T","Dir=V")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346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  <c r="AX1" t="s">
        <v>395</v>
      </c>
      <c r="AY1" t="s">
        <v>396</v>
      </c>
      <c r="AZ1" t="s">
        <v>397</v>
      </c>
      <c r="BA1" t="s">
        <v>398</v>
      </c>
      <c r="BB1" t="s">
        <v>399</v>
      </c>
      <c r="BC1" t="s">
        <v>400</v>
      </c>
      <c r="BD1" t="s">
        <v>401</v>
      </c>
    </row>
    <row r="2" spans="1:56">
      <c r="A2">
        <f>BDH("IRBTQ US Equity","BS_TOT_ASSET","2020-09-20","2025-09-20","Per=Y","Days=T","Dir=V")</f>
        <v>0</v>
      </c>
      <c r="C2">
        <f>BDH("IRBTQ US Equity","BS_TOT_LIAB2","2020-09-20","2025-09-20","Per=Y","Days=T","Dir=V")</f>
        <v>0</v>
      </c>
      <c r="E2">
        <f>BDH("IRBTQ US Equity","SHORT_AND_LONG_TERM_DEBT","2020-09-20","2025-09-20","Per=Y","Days=T","Dir=V")</f>
        <v>0</v>
      </c>
      <c r="G2">
        <f>BDH("IRBTQ US Equity","BS_ST_BORROW","2020-09-20","2025-09-20","Per=Y","Days=T","Dir=V")</f>
        <v>0</v>
      </c>
      <c r="I2">
        <f>BDH("IRBTQ US Equity","BS_LT_BORROW","2020-09-20","2025-09-20","Per=Y","Days=T","Dir=V")</f>
        <v>0</v>
      </c>
      <c r="K2">
        <f>BDH("IRBTQ US Equity","BS_CASH_NEAR_CASH_ITEM","2020-09-20","2025-09-20","Per=Y","Days=T","Dir=V")</f>
        <v>0</v>
      </c>
      <c r="M2">
        <f>BDH("IRBTQ US Equity","BS_CUR_ASSET_REPORT","2020-09-20","2025-09-20","Per=Y","Days=T","Dir=V")</f>
        <v>0</v>
      </c>
      <c r="O2">
        <f>BDH("IRBTQ US Equity","BS_CUR_LIAB","2020-09-20","2025-09-20","Per=Y","Days=T","Dir=V")</f>
        <v>0</v>
      </c>
      <c r="Q2">
        <f>BDH("IRBTQ US Equity","BS_SHAREHOLDER_EQY_ENDING_PERIOD","2020-09-20","2025-09-20","Per=Y","Days=T","Dir=V")</f>
        <v>0</v>
      </c>
      <c r="S2">
        <f>BDH("IRBTQ US Equity","BS_ACCT_NOTE_RCV","2020-09-20","2025-09-20","Per=Y","Days=T","Dir=V")</f>
        <v>0</v>
      </c>
      <c r="U2">
        <f>BDH("IRBTQ US Equity","BS_INVENTORIES","2020-09-20","2025-09-20","Per=Y","Days=T","Dir=V")</f>
        <v>0</v>
      </c>
      <c r="W2">
        <f>BDH("IRBTQ US Equity","WORKING_CAPITAL","2020-09-20","2025-09-20","Per=Y","Days=T","Dir=V")</f>
        <v>0</v>
      </c>
      <c r="Y2">
        <f>BDH("IRBTQ US Equity","SALES_REV_TURN","2020-09-20","2025-09-20","Per=Y","Days=T","Dir=V")</f>
        <v>0</v>
      </c>
      <c r="AA2">
        <f>BDH("IRBTQ US Equity","EBIT","2020-09-20","2025-09-20","Per=Y","Days=T","Dir=V")</f>
        <v>0</v>
      </c>
      <c r="AC2">
        <f>BDH("IRBTQ US Equity","EBITDA","2020-09-20","2025-09-20","Per=Y","Days=T","Dir=V")</f>
        <v>0</v>
      </c>
      <c r="AE2">
        <f>BDH("IRBTQ US Equity","NET_INCOME","2020-09-20","2025-09-20","Per=Y","Days=T","Dir=V")</f>
        <v>0</v>
      </c>
      <c r="AG2">
        <f>BDH("IRBTQ US Equity","IS_INT_EXPENSE","2020-09-20","2025-09-20","Per=Y","Days=T","Dir=V")</f>
        <v>0</v>
      </c>
      <c r="AI2">
        <f>BDH("IRBTQ US Equity","IS_DEPR_EXP","2020-09-20","2025-09-20","Per=Y","Days=T","Dir=V")</f>
        <v>0</v>
      </c>
      <c r="AK2">
        <f>BDH("IRBTQ US Equity","CF_CASH_FROM_OPER","2020-09-20","2025-09-20","Per=Y","Days=T","Dir=V")</f>
        <v>0</v>
      </c>
      <c r="AM2">
        <f>BDH("IRBTQ US Equity","CAPITAL_EXPEND","2020-09-20","2025-09-20","Per=Y","Days=T","Dir=V")</f>
        <v>0</v>
      </c>
      <c r="AO2">
        <f>BDH("IRBTQ US Equity","CF_FREE_CASH_FLOW","2020-09-20","2025-09-20","Per=Y","Days=T","Dir=V")</f>
        <v>0</v>
      </c>
      <c r="AQ2">
        <f>BDH("IRBTQ US Equity","PX_LAST","2020-09-20","2025-09-20","Per=M","Days=T","Dir=V")</f>
        <v>0</v>
      </c>
      <c r="AS2">
        <f>BDH("IRBTQ US Equity","CUR_MKT_CAP","2020-09-20","2025-09-20","Per=M","Days=T","Dir=V")</f>
        <v>0</v>
      </c>
      <c r="AU2">
        <f>BDH("IRBTQ US Equity","EQY_SH_OUT","2020-09-20","2025-09-20","Per=M","Days=T","Dir=V")</f>
        <v>0</v>
      </c>
      <c r="AW2">
        <f>BDH("IRBTQ US Equity","BETA_RAW_OVERRIABLE","2020-09-20","2025-09-20","Per=M","Days=T","Dir=V")</f>
        <v>0</v>
      </c>
      <c r="AY2">
        <f>BDH("IRBTQ US Equity","PX_VOLUME","2020-09-20","2025-09-20","Per=M","Days=T","Dir=V")</f>
        <v>0</v>
      </c>
      <c r="BA2">
        <f>BDH("IRBTQ US Equity","TURNOVER","2020-09-20","2025-09-20","Per=M","Days=T","Dir=V")</f>
        <v>0</v>
      </c>
      <c r="BC2">
        <f>BDH("IRBTQ US Equity","SPREAD_BA_CR","2020-09-20","2025-09-20","Per=M","Days=T","Dir=V")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SA_242_Gaucho Group Holdings In</vt:lpstr>
      <vt:lpstr>SA_133_Caremax Inc</vt:lpstr>
      <vt:lpstr>SA_110_Englobal Corp</vt:lpstr>
      <vt:lpstr>SA_157_Mondee Holdings Inc</vt:lpstr>
      <vt:lpstr>SA_181_Container Store Group In</vt:lpstr>
      <vt:lpstr>SA_67_Tff Pharmaceuticals Inc</vt:lpstr>
      <vt:lpstr>SA_177_Akoustis Technologies In</vt:lpstr>
      <vt:lpstr>SA_281_Lion Electric Co.</vt:lpstr>
      <vt:lpstr>SA_213_Blue Star Foods Corp</vt:lpstr>
      <vt:lpstr>SA_259_Molecular Templates Inc</vt:lpstr>
      <vt:lpstr>SA_258_Danimer Scientific Inc</vt:lpstr>
      <vt:lpstr>SA_175_Ilearningengines Inc</vt:lpstr>
      <vt:lpstr>SA_124_Canoo Inc</vt:lpstr>
      <vt:lpstr>SA_233_Hyzon Motors Inc</vt:lpstr>
      <vt:lpstr>SA_260_Avinger Inc</vt:lpstr>
      <vt:lpstr>SA_261_Bio-path Holdings Inc</vt:lpstr>
      <vt:lpstr>SA_170_Omega Therapeutics Inc</vt:lpstr>
      <vt:lpstr>SA_204_Nikola Corp</vt:lpstr>
      <vt:lpstr>SA_66_Crown Electrokinetics Cor</vt:lpstr>
      <vt:lpstr>SA_169_Cutera Inc</vt:lpstr>
      <vt:lpstr>SA_279_Avenue Therapeutics Inc</vt:lpstr>
      <vt:lpstr>SA_228_Imac Holdings Inc</vt:lpstr>
      <vt:lpstr>SA_284_Benson Hill Inc</vt:lpstr>
      <vt:lpstr>SA_43_Luokung Technology Corp</vt:lpstr>
      <vt:lpstr>SA_141_Virpax Pharmaceuticals I</vt:lpstr>
      <vt:lpstr>SA_196_Scorpius Holdings Inc</vt:lpstr>
      <vt:lpstr>SA_291_Thunder Power Holdings I</vt:lpstr>
      <vt:lpstr>SA_273_Vincerx Pharma Inc</vt:lpstr>
      <vt:lpstr>SA_197_Accelerate Diagnostics I</vt:lpstr>
      <vt:lpstr>SA_217_Icoreconnect Inc</vt:lpstr>
      <vt:lpstr>SA_103_Sunnova Energy Internati</vt:lpstr>
      <vt:lpstr>SA_278_Femto Technologies Inc</vt:lpstr>
      <vt:lpstr>SA_195_Marin Software Inc</vt:lpstr>
      <vt:lpstr>SA_216_Wag! Group Co.</vt:lpstr>
      <vt:lpstr>SA_246_S&amp;w Seed Co.</vt:lpstr>
      <vt:lpstr>SA_28_Third Harmonic Bio Inc</vt:lpstr>
      <vt:lpstr>SA_152_Hookipa Pharma Inc</vt:lpstr>
      <vt:lpstr>SA_254_Foxo Technologies Inc</vt:lpstr>
      <vt:lpstr>SA_168_Ontrak Inc</vt:lpstr>
      <vt:lpstr>SA_23_Tpi Composites Inc</vt:lpstr>
      <vt:lpstr>SA_61_Modivcare Inc</vt:lpstr>
      <vt:lpstr>SA_12_Spirit Aviation Holdings </vt:lpstr>
      <vt:lpstr>SA_85_Flexshopper Inc</vt:lpstr>
      <vt:lpstr>SA_91_Ambipar Emergency Respons</vt:lpstr>
      <vt:lpstr>SA_128_Sonder Holdings Inc</vt:lpstr>
      <vt:lpstr>SA_107_Nabors Energy Transition</vt:lpstr>
      <vt:lpstr>SA_19_Lazydays Holdings Inc</vt:lpstr>
      <vt:lpstr>SA_138_Clearside Biomedical Inc</vt:lpstr>
      <vt:lpstr>SA_210_Harrison Global Holdings</vt:lpstr>
      <vt:lpstr>SA_249_Irobot Corp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2026-09-30T16:51:34Z</dcterms:created>
  <dcterms:modified xsi:type="dcterms:W3CDTF">2026-09-30T16:51:34Z</dcterms:modified>
</cp:coreProperties>
</file>