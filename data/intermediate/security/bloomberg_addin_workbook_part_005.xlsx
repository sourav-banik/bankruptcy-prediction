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731_Curanex Pharmaceuticals " sheetId="2" r:id="rId2"/>
    <sheet name="NB_732_CapsoVision Inc. Common " sheetId="3" r:id="rId3"/>
    <sheet name="NB_733_Cavco Industries Inc. Co" sheetId="4" r:id="rId4"/>
    <sheet name="NB_734_Commercial Vehicle Group" sheetId="5" r:id="rId5"/>
    <sheet name="NB_735_CVR Energy Inc. Common S" sheetId="6" r:id="rId6"/>
    <sheet name="NB_736_Cadrenal Therapeutics In" sheetId="7" r:id="rId7"/>
    <sheet name="NB_737_Covenant Logistics Group" sheetId="8" r:id="rId8"/>
    <sheet name="NB_738_Commvault Systems Inc. C" sheetId="9" r:id="rId9"/>
    <sheet name="NB_739_Cel-Sci Corporation Comm" sheetId="10" r:id="rId10"/>
    <sheet name="NB_740_Carvana Co. Class A Comm" sheetId="11" r:id="rId11"/>
    <sheet name="NB_741_Chicago Rivet &amp; Machine " sheetId="12" r:id="rId12"/>
    <sheet name="NB_742_CVRx Inc. Common Stock" sheetId="13" r:id="rId13"/>
    <sheet name="NB_743_CVS Health Corporation C" sheetId="14" r:id="rId14"/>
    <sheet name="NB_744_CPI Aerostructures Inc. " sheetId="15" r:id="rId15"/>
    <sheet name="NB_745_CVD Equipment Corporatio" sheetId="16" r:id="rId16"/>
    <sheet name="NB_746_Chevron Corporation Comm" sheetId="17" r:id="rId17"/>
    <sheet name="NB_747_Curtiss-Wright Corporati" sheetId="18" r:id="rId18"/>
    <sheet name="NB_748_Clearway Energy Inc. Cla" sheetId="19" r:id="rId19"/>
    <sheet name="NB_749_Camping World Holdings I" sheetId="20" r:id="rId20"/>
    <sheet name="NB_750_Casella Waste Systems In" sheetId="21" r:id="rId21"/>
    <sheet name="NB_751_California Water Service" sheetId="22" r:id="rId22"/>
    <sheet name="NB_752_CXApp Inc. Class A Commo" sheetId="23" r:id="rId23"/>
    <sheet name="NB_753_CXApp Inc. Warrant" sheetId="24" r:id="rId24"/>
    <sheet name="NB_754_Crexendo Inc. Common Sto" sheetId="25" r:id="rId25"/>
    <sheet name="NB_755_Sprinklr Inc. Class A Co" sheetId="26" r:id="rId26"/>
    <sheet name="NB_756_Crane NXT Co. Common Sto" sheetId="27" r:id="rId27"/>
    <sheet name="NB_757_Cycurion Inc. Common Sto" sheetId="28" r:id="rId28"/>
    <sheet name="NB_758_Cycurion Inc. Warrant" sheetId="29" r:id="rId29"/>
    <sheet name="NB_759_Community Health Systems" sheetId="30" r:id="rId30"/>
    <sheet name="NB_760_Cyngn Inc. Common Stock" sheetId="31" r:id="rId31"/>
    <sheet name="NB_761_Cypherpunk Technologies " sheetId="32" r:id="rId32"/>
    <sheet name="NB_762_CryoPort Inc. Common Sto" sheetId="33" r:id="rId33"/>
    <sheet name="NB_763_Cytokinetics Incorporate" sheetId="34" r:id="rId34"/>
    <sheet name="NB_764_Caesars Entertainment In" sheetId="35" r:id="rId35"/>
    <sheet name="NB_765_Dominion Energy Inc. Com" sheetId="36" r:id="rId36"/>
    <sheet name="NB_766_CID HoldCo Inc. Common S" sheetId="37" r:id="rId37"/>
    <sheet name="NB_767_CID HoldCo Inc. Warrants" sheetId="38" r:id="rId38"/>
    <sheet name="NB_768_Data IO Corporation Comm" sheetId="39" r:id="rId39"/>
    <sheet name="NB_769_Daktronics Inc. Common S" sheetId="40" r:id="rId40"/>
    <sheet name="NB_770_Delta Air Lines Inc. Com" sheetId="41" r:id="rId41"/>
    <sheet name="NB_771_Dana Incorporated Common" sheetId="42" r:id="rId42"/>
    <sheet name="NB_772_Darling Ingredients Inc." sheetId="43" r:id="rId43"/>
    <sheet name="NB_773_Dare Bioscience Inc. Com" sheetId="44" r:id="rId44"/>
    <sheet name="NB_774_DoorDash Inc. Class A Co" sheetId="45" r:id="rId45"/>
    <sheet name="NB_775_Digital Brands Group Inc" sheetId="46" r:id="rId46"/>
    <sheet name="NB_776_Designer Brands Inc. Cla" sheetId="47" r:id="rId47"/>
    <sheet name="NB_777_Dropbox Inc. Class A Com" sheetId="48" r:id="rId48"/>
    <sheet name="NB_778_Dakota Gold Corp. Common" sheetId="49" r:id="rId49"/>
    <sheet name="NB_779_DocGo Inc. Common Stock" sheetId="50" r:id="rId50"/>
    <sheet name="NB_780_Dauch Corporation Common" sheetId="51" r:id="rId51"/>
    <sheet name="NB_781_Donaldson Company Inc. C" sheetId="52" r:id="rId52"/>
    <sheet name="NB_782_Ducommun Incorporated Co" sheetId="53" r:id="rId53"/>
    <sheet name="NB_783_Decoy Therapeutics Inc. " sheetId="54" r:id="rId54"/>
    <sheet name="NB_784_Delcath Systems Inc. Com" sheetId="55" r:id="rId55"/>
    <sheet name="NB_785_DuPont de Nemours Inc. C" sheetId="56" r:id="rId56"/>
    <sheet name="NB_786_3D Systems Corporation C" sheetId="57" r:id="rId57"/>
    <sheet name="NB_787_Datadog Inc. Class A Com" sheetId="58" r:id="rId58"/>
    <sheet name="NB_788_Dillard's Inc. Common St" sheetId="59" r:id="rId59"/>
    <sheet name="NB_789_Dillard's Capital Trust " sheetId="60" r:id="rId60"/>
    <sheet name="NB_790_Deere &amp; Company Common S" sheetId="61" r:id="rId61"/>
    <sheet name="NB_791_Deckers Outdoor Corporat" sheetId="62" r:id="rId62"/>
    <sheet name="NB_792_Dell Technologies Inc. C" sheetId="63" r:id="rId63"/>
    <sheet name="NB_793_Journey Medical Corporat" sheetId="64" r:id="rId64"/>
    <sheet name="NB_794_Liberty Defense Holdings" sheetId="65" r:id="rId65"/>
    <sheet name="NB_795_Dream Finders Homes Inc." sheetId="66" r:id="rId66"/>
    <sheet name="NB_796_Donnelley Financial Solu" sheetId="67" r:id="rId67"/>
    <sheet name="NB_797_T3 Defense Inc. Common S" sheetId="68" r:id="rId68"/>
    <sheet name="NB_798_T3 Defense Inc. Warrants" sheetId="69" r:id="rId69"/>
    <sheet name="NB_799_Definium Therapeutics In" sheetId="70" r:id="rId70"/>
    <sheet name="NB_800_Dollar General Corporati" sheetId="71" r:id="rId71"/>
    <sheet name="NB_801_Digi International Inc. " sheetId="72" r:id="rId72"/>
    <sheet name="NB_802_Quest Diagnostics Incorp" sheetId="73" r:id="rId73"/>
    <sheet name="NB_803_Definitive Healthcare Co" sheetId="74" r:id="rId74"/>
    <sheet name="NB_804_D.R. Horton Inc. Common " sheetId="75" r:id="rId75"/>
    <sheet name="NB_805_Danaher Corporation Comm" sheetId="76" r:id="rId76"/>
    <sheet name="NB_806_DHI Group Inc. Common St" sheetId="77" r:id="rId77"/>
    <sheet name="NB_807_1stdibs.com Inc. Common " sheetId="78" r:id="rId78"/>
    <sheet name="NB_808_Dine Brands Global Inc. " sheetId="79" r:id="rId79"/>
    <sheet name="NB_809_HF Sinclair Corporation " sheetId="80" r:id="rId80"/>
    <sheet name="NB_810_Diodes Incorporated Comm" sheetId="81" r:id="rId81"/>
    <sheet name="NB_811_Walt Disney Company (The" sheetId="82" r:id="rId82"/>
    <sheet name="NB_812_AMCON Distributing Compa" sheetId="83" r:id="rId83"/>
    <sheet name="NB_813_Daily Journal Corp. (S.C" sheetId="84" r:id="rId84"/>
    <sheet name="NB_814_Trump Media &amp; Technology" sheetId="85" r:id="rId85"/>
    <sheet name="NB_815_Trump Media &amp; Technology" sheetId="86" r:id="rId86"/>
    <sheet name="NB_816_Delek US Holdings Inc. C" sheetId="87" r:id="rId87"/>
    <sheet name="NB_817_Delek Logistics Partners" sheetId="88" r:id="rId88"/>
    <sheet name="NB_818_DraftKings Inc. Class A " sheetId="89" r:id="rId89"/>
    <sheet name="NB_819_Dick's Sporting Goods In" sheetId="90" r:id="rId90"/>
    <sheet name="NB_820_DLH Holdings Corp." sheetId="91" r:id="rId91"/>
    <sheet name="NB_821_Dolphin Entertainment In" sheetId="92" r:id="rId92"/>
    <sheet name="NB_822_Duluth Holdings Inc. Cla" sheetId="93" r:id="rId93"/>
    <sheet name="NB_823_Dollar Tree Inc. Common " sheetId="94" r:id="rId94"/>
    <sheet name="NB_824_Deluxe Corporation Commo" sheetId="95" r:id="rId95"/>
    <sheet name="NB_825_DiaMedica Therapeutics I" sheetId="96" r:id="rId96"/>
    <sheet name="NB_826_Dorchester Minerals L.P." sheetId="97" r:id="rId97"/>
    <sheet name="NB_827_Digimarc Corporation Com" sheetId="98" r:id="rId98"/>
    <sheet name="NB_828_Ginkgo Bioworks Holdings" sheetId="99" r:id="rId99"/>
    <sheet name="NB_829_Denali Therapeutics Inc." sheetId="100" r:id="rId100"/>
    <sheet name="NB_830_DNOW Inc. Common Stock" sheetId="101" r:id="rId101"/>
    <sheet name="NB_831_Dianthus Therapeutics In" sheetId="102" r:id="rId102"/>
    <sheet name="NB_832_Krispy Kreme Inc. Common" sheetId="103" r:id="rId103"/>
    <sheet name="NB_833_DigitalOcean Holdings In" sheetId="104" r:id="rId104"/>
    <sheet name="NB_834_Doximity Inc. Class A Co" sheetId="105" r:id="rId105"/>
    <sheet name="NB_835_DocuSign Inc. Common Sto" sheetId="106" r:id="rId106"/>
    <sheet name="NB_836_Dorman Products Inc. Com" sheetId="107" r:id="rId107"/>
    <sheet name="NB_837_Dover Corporation Common" sheetId="108" r:id="rId108"/>
    <sheet name="NB_838_Dow Inc. Common Stock" sheetId="109" r:id="rId109"/>
    <sheet name="NB_839_Domino's Pizza Inc Commo" sheetId="110" r:id="rId110"/>
    <sheet name="NB_840_Direct Digital Holdings " sheetId="111" r:id="rId111"/>
    <sheet name="NB_841_Darden Restaurants Inc. " sheetId="112" r:id="rId112"/>
    <sheet name="NB_842_Dermata Therapeutics Inc" sheetId="113" r:id="rId113"/>
    <sheet name="NB_843_Driven Brands Holdings I" sheetId="114" r:id="rId114"/>
    <sheet name="NB_844_Design Therapeutics Inc." sheetId="115" r:id="rId115"/>
    <sheet name="NB_845_Distribution Solutions G" sheetId="116" r:id="rId116"/>
    <sheet name="NB_846_Viant Technology Inc. Cl" sheetId="117" r:id="rId117"/>
    <sheet name="NB_847_DSS Inc. Common Stock" sheetId="118" r:id="rId118"/>
    <sheet name="NB_848_Dynatrace Inc. Common St" sheetId="119" r:id="rId119"/>
    <sheet name="NB_849_DTE Energy Company 2020 " sheetId="120" r:id="rId120"/>
    <sheet name="NB_850_Datacentrex Inc. Common " sheetId="121" r:id="rId121"/>
    <sheet name="NB_851_DTE Energy Company Commo" sheetId="122" r:id="rId122"/>
    <sheet name="NB_852_DTE Energy Company 2021 " sheetId="123" r:id="rId123"/>
    <sheet name="NB_853_Drilling Tools Internati" sheetId="124" r:id="rId124"/>
    <sheet name="NB_854_Precision BioSciences In" sheetId="125" r:id="rId125"/>
    <sheet name="NB_855_DTE Energy Company 2025 " sheetId="126" r:id="rId126"/>
    <sheet name="NB_856_DT Midstream Inc. Common" sheetId="127" r:id="rId127"/>
    <sheet name="NB_857_Data Storage Corporation" sheetId="128" r:id="rId128"/>
    <sheet name="NB_858_DTE Energy Company 2017 " sheetId="129" r:id="rId129"/>
    <sheet name="NB_859_Duke Energy Corporation " sheetId="130" r:id="rId130"/>
    <sheet name="NB_860_Duke Energy Corporation " sheetId="131" r:id="rId131"/>
    <sheet name="NB_861_Duke Energy Corporation " sheetId="132" r:id="rId132"/>
    <sheet name="NB_862_Duolingo Inc. Class A Co" sheetId="133" r:id="rId133"/>
    <sheet name="NB_863_Duos Technologies Group " sheetId="134" r:id="rId134"/>
    <sheet name="NB_864_DoubleVerify Holdings In" sheetId="135" r:id="rId135"/>
    <sheet name="NB_865_DaVita Inc. Common Stock" sheetId="136" r:id="rId136"/>
    <sheet name="NB_866_Datavault AI Inc. Common" sheetId="137" r:id="rId137"/>
    <sheet name="NB_867_Devon Energy Corporation" sheetId="138" r:id="rId138"/>
    <sheet name="NB_868_Dawson Geophysical Compa" sheetId="139" r:id="rId139"/>
    <sheet name="NB_869_Dogwood Therapeutics Inc" sheetId="140" r:id="rId140"/>
    <sheet name="NB_870_DXC Technology Company C" sheetId="141" r:id="rId141"/>
    <sheet name="NB_871_DexCom Inc. Common Stock" sheetId="142" r:id="rId142"/>
    <sheet name="NB_872_Destination XL Group Inc" sheetId="143" r:id="rId143"/>
    <sheet name="NB_873_DXP Enterprises Inc. Com" sheetId="144" r:id="rId144"/>
    <sheet name="NB_874_Daxor Corporation Common" sheetId="145" r:id="rId145"/>
    <sheet name="NB_875_Dycom Industries Inc. Co" sheetId="146" r:id="rId146"/>
    <sheet name="NB_876_Dyadic International Inc" sheetId="147" r:id="rId147"/>
    <sheet name="NB_877_Dyne Therapeutics Inc. C" sheetId="148" r:id="rId148"/>
    <sheet name="NB_878_GrafTech International L" sheetId="149" r:id="rId149"/>
    <sheet name="NB_879_Entergy Arkansas LLC Fir" sheetId="150" r:id="rId150"/>
    <sheet name="NB_880_Brinker International In" sheetId="151" r:id="rId151"/>
    <sheet name="NB_881_eBay Inc. Common Stock" sheetId="152" r:id="rId152"/>
    <sheet name="NB_882_Ennis Inc. Common Stock" sheetId="153" r:id="rId153"/>
    <sheet name="NB_883_Emergent BioSolutions In" sheetId="154" r:id="rId154"/>
    <sheet name="NB_884_Everus Construction Grou" sheetId="155" r:id="rId155"/>
    <sheet name="NB_885_EchoStar  Corporation Co" sheetId="156" r:id="rId156"/>
    <sheet name="NB_886_Ecolab Inc. Common Stock" sheetId="157" r:id="rId157"/>
    <sheet name="NB_887_electroCore Inc. Common " sheetId="158" r:id="rId158"/>
    <sheet name="NB_888_Ecovyst Inc. Common Stoc" sheetId="159" r:id="rId159"/>
    <sheet name="NB_889_Consolidated Edison Inc." sheetId="160" r:id="rId160"/>
    <sheet name="NB_890_Edible Garden AG Incorpo" sheetId="161" r:id="rId161"/>
    <sheet name="NB_891_Editas Medicine Inc. Com" sheetId="162" r:id="rId162"/>
    <sheet name="NB_892_Edesa Biotech Inc. Commo" sheetId="163" r:id="rId163"/>
    <sheet name="NB_893_Educational Development " sheetId="164" r:id="rId164"/>
    <sheet name="NB_894_Excelerate Energy Inc. C" sheetId="165" r:id="rId165"/>
    <sheet name="NB_895_Energy Focus Inc. Common" sheetId="166" r:id="rId166"/>
    <sheet name="NB_896_Everforth Inc. Common St" sheetId="167" r:id="rId167"/>
    <sheet name="NB_897_eGain Corporation Common" sheetId="168" r:id="rId168"/>
    <sheet name="NB_898_8x8 Inc Common Stock" sheetId="169" r:id="rId169"/>
    <sheet name="NB_899_VAALCO Energy Inc.  Comm" sheetId="170" r:id="rId170"/>
    <sheet name="NB_900_Encompass Health Corpora" sheetId="171" r:id="rId171"/>
    <sheet name="NB_901_Eikon Therapeutics Inc. " sheetId="172" r:id="rId172"/>
    <sheet name="NB_902_Edison International Com" sheetId="173" r:id="rId173"/>
    <sheet name="NB_903_Estee Lauder Companies I" sheetId="174" r:id="rId174"/>
    <sheet name="NB_904_Envela Corporation Commo" sheetId="175" r:id="rId175"/>
    <sheet name="NB_905_PMGC Holdings Inc. Commo" sheetId="176" r:id="rId176"/>
    <sheet name="NB_906_Elanco Animal Health Inc" sheetId="177" r:id="rId177"/>
    <sheet name="NB_907_Entergy Louisiana Inc. C" sheetId="178" r:id="rId178"/>
    <sheet name="NB_908_Eledon Pharmaceuticals I" sheetId="179" r:id="rId179"/>
    <sheet name="NB_909_e.l.f. Beauty Inc. Commo" sheetId="180" r:id="rId180"/>
    <sheet name="NB_910_Electromed Inc. Common S" sheetId="181" r:id="rId181"/>
    <sheet name="NB_911_The Elmet Group Co. Comm" sheetId="182" r:id="rId182"/>
    <sheet name="NB_912_Eloxx Pharmaceuticals In" sheetId="183" r:id="rId183"/>
    <sheet name="NB_913_Elicio Therapeutics Inc." sheetId="184" r:id="rId184"/>
    <sheet name="NB_914_Elutia Inc. Class A Comm" sheetId="185" r:id="rId185"/>
    <sheet name="NB_915_Elevance Health Inc. Com" sheetId="186" r:id="rId186"/>
    <sheet name="NB_916_Enliven Therapeutics Inc" sheetId="187" r:id="rId187"/>
    <sheet name="NB_917_Elauwit Connection Inc. " sheetId="188" r:id="rId188"/>
    <sheet name="NB_918_Embecta Corp. Common Sto" sheetId="189" r:id="rId189"/>
    <sheet name="NB_919_EMCOR Group Inc. Common " sheetId="190" r:id="rId190"/>
    <sheet name="NB_920_Emmis Acquisition Corp. " sheetId="191" r:id="rId191"/>
    <sheet name="NB_921_Eastern Company (The) Co" sheetId="192" r:id="rId192"/>
    <sheet name="NB_922_Eastman Chemical Company" sheetId="193" r:id="rId193"/>
    <sheet name="NB_923_Entergy Mississippi LLC " sheetId="194" r:id="rId194"/>
    <sheet name="NB_924_Empery Digital Inc. Comm" sheetId="195" r:id="rId195"/>
    <sheet name="NB_925_Emerson Electric Company" sheetId="196" r:id="rId196"/>
    <sheet name="NB_926_Entergy New Orleans LLC " sheetId="197" r:id="rId197"/>
    <sheet name="NB_927_Enovis Corporation Commo" sheetId="198" r:id="rId198"/>
    <sheet name="NB_928_Enphase Energy Inc. Comm" sheetId="199" r:id="rId199"/>
    <sheet name="NB_929_Ensysce Biosciences Inc." sheetId="200" r:id="rId200"/>
    <sheet name="NB_930_The Ensign Group Inc. Co" sheetId="201" r:id="rId201"/>
    <sheet name="NB_931_Enanta Pharmaceuticals I" sheetId="202" r:id="rId202"/>
    <sheet name="NB_932_Entegris Inc. Common Sto" sheetId="203" r:id="rId203"/>
    <sheet name="NB_933_Enveric Biosciences Inc." sheetId="204" r:id="rId204"/>
    <sheet name="NB_934_EOG Resources Inc. Commo" sheetId="205" r:id="rId205"/>
    <sheet name="NB_935_Evolus Inc. Common Stock" sheetId="206" r:id="rId206"/>
    <sheet name="NB_936_Empire Petroleum Corpora" sheetId="207" r:id="rId207"/>
    <sheet name="NB_937_Enerpac Tool Group Corp." sheetId="208" r:id="rId208"/>
    <sheet name="NB_938_EPAM Systems Inc. Common" sheetId="209" r:id="rId209"/>
    <sheet name="NB_939_Edgewell Personal Care C" sheetId="210" r:id="rId210"/>
    <sheet name="NB_940_Enterprise Products Part" sheetId="211" r:id="rId211"/>
    <sheet name="NB_941_Evolution Petroleum Corp" sheetId="212" r:id="rId212"/>
    <sheet name="NB_942_Epsilon Energy Ltd. Comm" sheetId="213" r:id="rId213"/>
    <sheet name="NB_943_Equillium Inc. Common St" sheetId="214" r:id="rId214"/>
    <sheet name="NB_944_EquipmentShare.com Inc C" sheetId="215" r:id="rId215"/>
    <sheet name="NB_945_EQT Corporation Common S" sheetId="216" r:id="rId216"/>
    <sheet name="NB_946_Erasca Inc. Common Stock" sheetId="217" r:id="rId217"/>
    <sheet name="NB_947_Energy Recovery Inc. Com" sheetId="218" r:id="rId218"/>
    <sheet name="NB_948_Ernexa Therapeutics Inc." sheetId="219" r:id="rId219"/>
    <sheet name="NB_949_Ernexa Therapeutics Inc." sheetId="220" r:id="rId220"/>
    <sheet name="NB_950_Eversource Energy (DBA) " sheetId="221" r:id="rId221"/>
    <sheet name="NB_951_ESAB Corporation Common " sheetId="222" r:id="rId222"/>
    <sheet name="NB_952_Escalade Incorporated Co" sheetId="223" r:id="rId223"/>
    <sheet name="NB_953_ESCO Technologies Inc. C" sheetId="224" r:id="rId224"/>
    <sheet name="NB_954_Element Solutions Inc. C" sheetId="225" r:id="rId225"/>
    <sheet name="NB_955_Estrella Immunopharma In" sheetId="226" r:id="rId226"/>
    <sheet name="NB_956_Energy Services of Ameri" sheetId="227" r:id="rId227"/>
    <sheet name="NB_957_Espey Mfg. &amp; Electronics" sheetId="228" r:id="rId228"/>
    <sheet name="NB_958_Elastic N.V. Ordinary Sh" sheetId="229" r:id="rId229"/>
    <sheet name="NB_959_EnerSyn Global Inc. Comm" sheetId="230" r:id="rId230"/>
    <sheet name="NB_960_Energy Transfer LP Commo" sheetId="231" r:id="rId231"/>
    <sheet name="NB_961_Ethan Allen Interiors In" sheetId="232" r:id="rId232"/>
    <sheet name="NB_962_Eton Pharmaceuticals Inc" sheetId="233" r:id="rId233"/>
    <sheet name="NB_963_Entergy Corporation Comm" sheetId="234" r:id="rId234"/>
    <sheet name="NB_964_Electra Therapeutics Inc" sheetId="235" r:id="rId235"/>
    <sheet name="NB_965_Elite Express Holding In" sheetId="236" r:id="rId236"/>
    <sheet name="NB_966_Etsy Inc. Common Stock" sheetId="237" r:id="rId237"/>
    <sheet name="NB_967_enCore Energy Corp. Comm" sheetId="238" r:id="rId238"/>
    <sheet name="NB_968_Entravision Communicatio" sheetId="239" r:id="rId239"/>
    <sheet name="NB_969_EverCommerce Inc. Common" sheetId="240" r:id="rId240"/>
    <sheet name="NB_970_EverQuote Inc. Class A C" sheetId="241" r:id="rId241"/>
    <sheet name="NB_971_Eve Holding Inc. Common " sheetId="242" r:id="rId242"/>
    <sheet name="NB_972_EVgo Inc. Class A Common" sheetId="243" r:id="rId243"/>
    <sheet name="NB_973_Evolent Health Inc Class" sheetId="244" r:id="rId244"/>
    <sheet name="NB_974_EVI Industries Inc.  Com" sheetId="245" r:id="rId245"/>
    <sheet name="NB_975_Evolv Technologies Holdi" sheetId="246" r:id="rId246"/>
    <sheet name="NB_976_Evommune Inc. Common Sto" sheetId="247" r:id="rId247"/>
    <sheet name="NB_977_Evergy Inc. Common Stock" sheetId="248" r:id="rId248"/>
    <sheet name="NB_978_Edwards Lifesciences Cor" sheetId="249" r:id="rId249"/>
    <sheet name="NB_979_Edgewise Therapeutics In" sheetId="250" r:id="rId250"/>
    <sheet name="NB_980_Exelon Corporation Commo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<sst xmlns="http://schemas.openxmlformats.org/spreadsheetml/2006/main" count="15763" uniqueCount="1155">
  <si>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</si>
  <si>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</si>
  <si>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</si>
  <si>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</si>
  <si>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</si>
  <si>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</si>
  <si>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</si>
  <si>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</si>
  <si>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</si>
  <si>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</si>
  <si>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</si>
  <si>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</si>
  <si>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</si>
  <si>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NB_731</t>
  </si>
  <si>
    <t>nonbankrupt</t>
  </si>
  <si>
    <t/>
  </si>
  <si>
    <t>CURX</t>
  </si>
  <si>
    <t>Curanex Pharmaceuticals Inc Common Stock</t>
  </si>
  <si>
    <t>Health Care</t>
  </si>
  <si>
    <t>Biotechnology: Pharmaceutical Preparations</t>
  </si>
  <si>
    <t>CURX US Equity</t>
  </si>
  <si>
    <t>1993-06-18</t>
  </si>
  <si>
    <t>2026-05-02</t>
  </si>
  <si>
    <t>NB_732</t>
  </si>
  <si>
    <t>CV</t>
  </si>
  <si>
    <t>CapsoVision Inc. Common Stock</t>
  </si>
  <si>
    <t>Biotechnology: Electromedical &amp; Electrotherapeutic Apparatus</t>
  </si>
  <si>
    <t>CV US Equity</t>
  </si>
  <si>
    <t>NB_733</t>
  </si>
  <si>
    <t>CVCO</t>
  </si>
  <si>
    <t>Cavco Industries Inc. Common Stock When Issued</t>
  </si>
  <si>
    <t>Consumer Discretionary</t>
  </si>
  <si>
    <t>Homebuilding</t>
  </si>
  <si>
    <t>CVCO US Equity</t>
  </si>
  <si>
    <t>NB_734</t>
  </si>
  <si>
    <t>CVGI</t>
  </si>
  <si>
    <t>Commercial Vehicle Group Inc. Common Stock</t>
  </si>
  <si>
    <t>Auto Parts:O.E.M.</t>
  </si>
  <si>
    <t>CVGI US Equity</t>
  </si>
  <si>
    <t>NB_735</t>
  </si>
  <si>
    <t>CVI</t>
  </si>
  <si>
    <t>CVR Energy Inc. Common Stock</t>
  </si>
  <si>
    <t>Energy</t>
  </si>
  <si>
    <t>Integrated oil Companies</t>
  </si>
  <si>
    <t>CVI US Equity</t>
  </si>
  <si>
    <t>NB_736</t>
  </si>
  <si>
    <t>CVKD</t>
  </si>
  <si>
    <t>Cadrenal Therapeutics Inc. Common Stock</t>
  </si>
  <si>
    <t>CVKD US Equity</t>
  </si>
  <si>
    <t>NB_737</t>
  </si>
  <si>
    <t>CVLG</t>
  </si>
  <si>
    <t>Covenant Logistics Group Inc. Class A Common Stock</t>
  </si>
  <si>
    <t>Industrials</t>
  </si>
  <si>
    <t>Trucking Freight/Courier Services</t>
  </si>
  <si>
    <t>CVLG US Equity</t>
  </si>
  <si>
    <t>NB_738</t>
  </si>
  <si>
    <t>CVLT</t>
  </si>
  <si>
    <t>Commvault Systems Inc. Common Stock</t>
  </si>
  <si>
    <t>Technology</t>
  </si>
  <si>
    <t>Computer Software: Prepackaged Software</t>
  </si>
  <si>
    <t>CVLT US Equity</t>
  </si>
  <si>
    <t>NB_739</t>
  </si>
  <si>
    <t>CVM</t>
  </si>
  <si>
    <t>Cel-Sci Corporation Common Stock</t>
  </si>
  <si>
    <t>Biotechnology: Biological Products (No Diagnostic Substances)</t>
  </si>
  <si>
    <t>CVM US Equity</t>
  </si>
  <si>
    <t>NB_740</t>
  </si>
  <si>
    <t>CVNA</t>
  </si>
  <si>
    <t>Carvana Co. Class A Common Stock</t>
  </si>
  <si>
    <t>Retail-Auto Dealers and Gas Stations</t>
  </si>
  <si>
    <t>CVNA US Equity</t>
  </si>
  <si>
    <t>NB_741</t>
  </si>
  <si>
    <t>CVR</t>
  </si>
  <si>
    <t>Chicago Rivet &amp; Machine Co. Common Stock</t>
  </si>
  <si>
    <t>Industrial Machinery/Components</t>
  </si>
  <si>
    <t>CVR US Equity</t>
  </si>
  <si>
    <t>NB_742</t>
  </si>
  <si>
    <t>CVRX</t>
  </si>
  <si>
    <t>CVRx Inc. Common Stock</t>
  </si>
  <si>
    <t>Medical/Dental Instruments</t>
  </si>
  <si>
    <t>CVRX US Equity</t>
  </si>
  <si>
    <t>NB_743</t>
  </si>
  <si>
    <t>CVS</t>
  </si>
  <si>
    <t>CVS Health Corporation Common Stock</t>
  </si>
  <si>
    <t>Consumer Staples</t>
  </si>
  <si>
    <t>Retail-Drug Stores and Proprietary Stores</t>
  </si>
  <si>
    <t>CVS US Equity</t>
  </si>
  <si>
    <t>NB_744</t>
  </si>
  <si>
    <t>CVU</t>
  </si>
  <si>
    <t>CPI Aerostructures Inc. Common Stock</t>
  </si>
  <si>
    <t>Military/Government/Technical</t>
  </si>
  <si>
    <t>CVU US Equity</t>
  </si>
  <si>
    <t>NB_745</t>
  </si>
  <si>
    <t>CVV</t>
  </si>
  <si>
    <t>CVD Equipment Corporation Common Stock</t>
  </si>
  <si>
    <t>CVV US Equity</t>
  </si>
  <si>
    <t>NB_746</t>
  </si>
  <si>
    <t>CVX</t>
  </si>
  <si>
    <t>Chevron Corporation Common Stock</t>
  </si>
  <si>
    <t>CVX US Equity</t>
  </si>
  <si>
    <t>NB_747</t>
  </si>
  <si>
    <t>CW</t>
  </si>
  <si>
    <t>Curtiss-Wright Corporation Common Stock</t>
  </si>
  <si>
    <t>CW US Equity</t>
  </si>
  <si>
    <t>NB_748</t>
  </si>
  <si>
    <t>CWEN</t>
  </si>
  <si>
    <t>Clearway Energy Inc. Class C Common Stock</t>
  </si>
  <si>
    <t>Utilities</t>
  </si>
  <si>
    <t>Electric Utilities: Central</t>
  </si>
  <si>
    <t>CWEN US Equity</t>
  </si>
  <si>
    <t>NB_749</t>
  </si>
  <si>
    <t>CWH</t>
  </si>
  <si>
    <t>Camping World Holdings Inc. Class A Common Stock</t>
  </si>
  <si>
    <t>CWH US Equity</t>
  </si>
  <si>
    <t>NB_750</t>
  </si>
  <si>
    <t>CWST</t>
  </si>
  <si>
    <t>Casella Waste Systems Inc. Class A Common Stock</t>
  </si>
  <si>
    <t>Environmental Services</t>
  </si>
  <si>
    <t>CWST US Equity</t>
  </si>
  <si>
    <t>NB_751</t>
  </si>
  <si>
    <t>CWT</t>
  </si>
  <si>
    <t>California Water Service Group Common Stock</t>
  </si>
  <si>
    <t>Water Supply</t>
  </si>
  <si>
    <t>CWT US Equity</t>
  </si>
  <si>
    <t>NB_752</t>
  </si>
  <si>
    <t>CXAI</t>
  </si>
  <si>
    <t>CXApp Inc. Class A Common Stock</t>
  </si>
  <si>
    <t>EDP Services</t>
  </si>
  <si>
    <t>CXAI US Equity</t>
  </si>
  <si>
    <t>NB_753</t>
  </si>
  <si>
    <t>CXAIW</t>
  </si>
  <si>
    <t>CXApp Inc. Warrant</t>
  </si>
  <si>
    <t>CXAIW US Equity</t>
  </si>
  <si>
    <t>NB_754</t>
  </si>
  <si>
    <t>CXDO</t>
  </si>
  <si>
    <t>Crexendo Inc. Common Stock</t>
  </si>
  <si>
    <t>Telecommunications</t>
  </si>
  <si>
    <t>Telecommunications Equipment</t>
  </si>
  <si>
    <t>CXDO US Equity</t>
  </si>
  <si>
    <t>NB_755</t>
  </si>
  <si>
    <t>CXM</t>
  </si>
  <si>
    <t>Sprinklr Inc. Class A Common Stock</t>
  </si>
  <si>
    <t>CXM US Equity</t>
  </si>
  <si>
    <t>NB_756</t>
  </si>
  <si>
    <t>CXT</t>
  </si>
  <si>
    <t>Crane NXT Co. Common Stock</t>
  </si>
  <si>
    <t>Metal Fabrications</t>
  </si>
  <si>
    <t>CXT US Equity</t>
  </si>
  <si>
    <t>NB_757</t>
  </si>
  <si>
    <t>CYCU</t>
  </si>
  <si>
    <t>Cycurion Inc. Common Stock</t>
  </si>
  <si>
    <t>CYCU US Equity</t>
  </si>
  <si>
    <t>NB_758</t>
  </si>
  <si>
    <t>CYCUW</t>
  </si>
  <si>
    <t>Cycurion Inc. Warrant</t>
  </si>
  <si>
    <t>CYCUW US Equity</t>
  </si>
  <si>
    <t>NB_759</t>
  </si>
  <si>
    <t>CYH</t>
  </si>
  <si>
    <t>Community Health Systems Inc. Common Stock</t>
  </si>
  <si>
    <t>Hospital/Nursing Management</t>
  </si>
  <si>
    <t>CYH US Equity</t>
  </si>
  <si>
    <t>NB_760</t>
  </si>
  <si>
    <t>CYN</t>
  </si>
  <si>
    <t>Cyngn Inc. Common Stock</t>
  </si>
  <si>
    <t>CYN US Equity</t>
  </si>
  <si>
    <t>NB_761</t>
  </si>
  <si>
    <t>CYPH</t>
  </si>
  <si>
    <t>Cypherpunk Technologies Inc. Common Stock</t>
  </si>
  <si>
    <t>CYPH US Equity</t>
  </si>
  <si>
    <t>NB_762</t>
  </si>
  <si>
    <t>CYRX</t>
  </si>
  <si>
    <t>CryoPort Inc. Common Stock</t>
  </si>
  <si>
    <t>CYRX US Equity</t>
  </si>
  <si>
    <t>NB_763</t>
  </si>
  <si>
    <t>CYTK</t>
  </si>
  <si>
    <t>Cytokinetics Incorporated Common Stock</t>
  </si>
  <si>
    <t>CYTK US Equity</t>
  </si>
  <si>
    <t>NB_764</t>
  </si>
  <si>
    <t>CZR</t>
  </si>
  <si>
    <t>Caesars Entertainment Inc. Common Stock</t>
  </si>
  <si>
    <t>Hotels/Resorts</t>
  </si>
  <si>
    <t>CZR US Equity</t>
  </si>
  <si>
    <t>NB_765</t>
  </si>
  <si>
    <t>D</t>
  </si>
  <si>
    <t>Dominion Energy Inc. Common Stock</t>
  </si>
  <si>
    <t>D US Equity</t>
  </si>
  <si>
    <t>NB_766</t>
  </si>
  <si>
    <t>DAIC</t>
  </si>
  <si>
    <t>CID HoldCo Inc. Common Stock</t>
  </si>
  <si>
    <t>DAIC US Equity</t>
  </si>
  <si>
    <t>NB_767</t>
  </si>
  <si>
    <t>DAICW</t>
  </si>
  <si>
    <t>CID HoldCo Inc. Warrants</t>
  </si>
  <si>
    <t>DAICW US Equity</t>
  </si>
  <si>
    <t>NB_768</t>
  </si>
  <si>
    <t>DAIO</t>
  </si>
  <si>
    <t>Data I/O Corporation Common Stock</t>
  </si>
  <si>
    <t>Electrical Products</t>
  </si>
  <si>
    <t>DAIO US Equity</t>
  </si>
  <si>
    <t>NB_769</t>
  </si>
  <si>
    <t>DAKT</t>
  </si>
  <si>
    <t>Daktronics Inc. Common Stock</t>
  </si>
  <si>
    <t>Miscellaneous manufacturing industries</t>
  </si>
  <si>
    <t>DAKT US Equity</t>
  </si>
  <si>
    <t>NB_770</t>
  </si>
  <si>
    <t>DAL</t>
  </si>
  <si>
    <t>Delta Air Lines Inc. Common Stock</t>
  </si>
  <si>
    <t>Air Freight/Delivery Services</t>
  </si>
  <si>
    <t>DAL US Equity</t>
  </si>
  <si>
    <t>NB_771</t>
  </si>
  <si>
    <t>DAN</t>
  </si>
  <si>
    <t>Dana Incorporated Common Stock</t>
  </si>
  <si>
    <t>DAN US Equity</t>
  </si>
  <si>
    <t>NB_772</t>
  </si>
  <si>
    <t>DAR</t>
  </si>
  <si>
    <t>Darling Ingredients Inc. Common Stock</t>
  </si>
  <si>
    <t>Packaged Foods</t>
  </si>
  <si>
    <t>DAR US Equity</t>
  </si>
  <si>
    <t>NB_773</t>
  </si>
  <si>
    <t>DARE</t>
  </si>
  <si>
    <t>Dare Bioscience Inc. Common Stock</t>
  </si>
  <si>
    <t>DARE US Equity</t>
  </si>
  <si>
    <t>NB_774</t>
  </si>
  <si>
    <t>DASH</t>
  </si>
  <si>
    <t>DoorDash Inc. Class A Common Stock</t>
  </si>
  <si>
    <t>Business Services</t>
  </si>
  <si>
    <t>DASH US Equity</t>
  </si>
  <si>
    <t>NB_775</t>
  </si>
  <si>
    <t>DBGI</t>
  </si>
  <si>
    <t>Digital Brands Group Inc. Common Stock</t>
  </si>
  <si>
    <t>Clothing/Shoe/Accessory Stores</t>
  </si>
  <si>
    <t>DBGI US Equity</t>
  </si>
  <si>
    <t>NB_776</t>
  </si>
  <si>
    <t>DBI</t>
  </si>
  <si>
    <t>Designer Brands Inc. Class A Common Stock</t>
  </si>
  <si>
    <t>DBI US Equity</t>
  </si>
  <si>
    <t>NB_777</t>
  </si>
  <si>
    <t>DBX</t>
  </si>
  <si>
    <t>Dropbox Inc. Class A Common Stock</t>
  </si>
  <si>
    <t>DBX US Equity</t>
  </si>
  <si>
    <t>NB_778</t>
  </si>
  <si>
    <t>DC</t>
  </si>
  <si>
    <t>Dakota Gold Corp. Common Stock</t>
  </si>
  <si>
    <t>Basic Materials</t>
  </si>
  <si>
    <t>Metal Mining</t>
  </si>
  <si>
    <t>DC US Equity</t>
  </si>
  <si>
    <t>NB_779</t>
  </si>
  <si>
    <t>DCGO</t>
  </si>
  <si>
    <t>DocGo Inc. Common Stock</t>
  </si>
  <si>
    <t>Medical/Nursing Services</t>
  </si>
  <si>
    <t>DCGO US Equity</t>
  </si>
  <si>
    <t>NB_780</t>
  </si>
  <si>
    <t>DCH</t>
  </si>
  <si>
    <t>Dauch Corporation Common Stock</t>
  </si>
  <si>
    <t>DCH US Equity</t>
  </si>
  <si>
    <t>NB_781</t>
  </si>
  <si>
    <t>DCI</t>
  </si>
  <si>
    <t>Donaldson Company Inc. Common Stock</t>
  </si>
  <si>
    <t>Pollution Control Equipment</t>
  </si>
  <si>
    <t>DCI US Equity</t>
  </si>
  <si>
    <t>NB_782</t>
  </si>
  <si>
    <t>DCO</t>
  </si>
  <si>
    <t>Ducommun Incorporated Common Stock</t>
  </si>
  <si>
    <t>DCO US Equity</t>
  </si>
  <si>
    <t>NB_783</t>
  </si>
  <si>
    <t>DCOY</t>
  </si>
  <si>
    <t>Decoy Therapeutics Inc. Common Stock</t>
  </si>
  <si>
    <t>DCOY US Equity</t>
  </si>
  <si>
    <t>NB_784</t>
  </si>
  <si>
    <t>DCTH</t>
  </si>
  <si>
    <t>Delcath Systems Inc. Common Stock</t>
  </si>
  <si>
    <t>DCTH US Equity</t>
  </si>
  <si>
    <t>NB_785</t>
  </si>
  <si>
    <t>DD</t>
  </si>
  <si>
    <t>DuPont de Nemours Inc. Common Stock</t>
  </si>
  <si>
    <t>Major Chemicals</t>
  </si>
  <si>
    <t>DD US Equity</t>
  </si>
  <si>
    <t>NB_786</t>
  </si>
  <si>
    <t>DDD</t>
  </si>
  <si>
    <t>3D Systems Corporation Common Stock</t>
  </si>
  <si>
    <t>DDD US Equity</t>
  </si>
  <si>
    <t>NB_787</t>
  </si>
  <si>
    <t>DDOG</t>
  </si>
  <si>
    <t>Datadog Inc. Class A Common Stock</t>
  </si>
  <si>
    <t>DDOG US Equity</t>
  </si>
  <si>
    <t>NB_788</t>
  </si>
  <si>
    <t>DDS</t>
  </si>
  <si>
    <t>Dillard's Inc. Common Stock</t>
  </si>
  <si>
    <t>Department/Specialty Retail Stores</t>
  </si>
  <si>
    <t>DDS US Equity</t>
  </si>
  <si>
    <t>NB_789</t>
  </si>
  <si>
    <t>DDT</t>
  </si>
  <si>
    <t>Dillard's Capital Trust I</t>
  </si>
  <si>
    <t>DDT US Equity</t>
  </si>
  <si>
    <t>NB_790</t>
  </si>
  <si>
    <t>DE</t>
  </si>
  <si>
    <t>Deere &amp; Company Common Stock</t>
  </si>
  <si>
    <t>DE US Equity</t>
  </si>
  <si>
    <t>NB_791</t>
  </si>
  <si>
    <t>DECK</t>
  </si>
  <si>
    <t>Deckers Outdoor Corporation Common Stock</t>
  </si>
  <si>
    <t>Shoe Manufacturing</t>
  </si>
  <si>
    <t>DECK US Equity</t>
  </si>
  <si>
    <t>NB_792</t>
  </si>
  <si>
    <t>DELL</t>
  </si>
  <si>
    <t>Dell Technologies Inc. Class C Common Stock</t>
  </si>
  <si>
    <t>Computer Manufacturing</t>
  </si>
  <si>
    <t>DELL US Equity</t>
  </si>
  <si>
    <t>NB_793</t>
  </si>
  <si>
    <t>DERM</t>
  </si>
  <si>
    <t>Journey Medical Corporation Common Stock</t>
  </si>
  <si>
    <t>DERM US Equity</t>
  </si>
  <si>
    <t>NB_794</t>
  </si>
  <si>
    <t>DETX</t>
  </si>
  <si>
    <t>Liberty Defense Holdings Ltd. Common Shares</t>
  </si>
  <si>
    <t>DETX US Equity</t>
  </si>
  <si>
    <t>NB_795</t>
  </si>
  <si>
    <t>DFH</t>
  </si>
  <si>
    <t>Dream Finders Homes Inc. Class A Common Stock</t>
  </si>
  <si>
    <t>DFH US Equity</t>
  </si>
  <si>
    <t>NB_796</t>
  </si>
  <si>
    <t>DFIN</t>
  </si>
  <si>
    <t>Donnelley Financial Solutions Inc. Common Stock</t>
  </si>
  <si>
    <t>Other Consumer Services</t>
  </si>
  <si>
    <t>DFIN US Equity</t>
  </si>
  <si>
    <t>NB_797</t>
  </si>
  <si>
    <t>DFNS</t>
  </si>
  <si>
    <t>T3 Defense Inc. Common Stock</t>
  </si>
  <si>
    <t>Professional Services</t>
  </si>
  <si>
    <t>DFNS US Equity</t>
  </si>
  <si>
    <t>NB_798</t>
  </si>
  <si>
    <t>DFNSW</t>
  </si>
  <si>
    <t>T3 Defense Inc. Warrants</t>
  </si>
  <si>
    <t>DFNSW US Equity</t>
  </si>
  <si>
    <t>NB_799</t>
  </si>
  <si>
    <t>DFTX</t>
  </si>
  <si>
    <t>Definium Therapeutics Inc. Common Shares</t>
  </si>
  <si>
    <t>Medicinal Chemicals and Botanical Products</t>
  </si>
  <si>
    <t>DFTX US Equity</t>
  </si>
  <si>
    <t>NB_800</t>
  </si>
  <si>
    <t>DG</t>
  </si>
  <si>
    <t>Dollar General Corporation Common Stock</t>
  </si>
  <si>
    <t>DG US Equity</t>
  </si>
  <si>
    <t>NB_801</t>
  </si>
  <si>
    <t>DGII</t>
  </si>
  <si>
    <t>Digi International Inc. Common Stock</t>
  </si>
  <si>
    <t>Computer Communications Equipment</t>
  </si>
  <si>
    <t>DGII US Equity</t>
  </si>
  <si>
    <t>NB_802</t>
  </si>
  <si>
    <t>DGX</t>
  </si>
  <si>
    <t>Quest Diagnostics Incorporated Common Stock</t>
  </si>
  <si>
    <t>Medical Specialities</t>
  </si>
  <si>
    <t>DGX US Equity</t>
  </si>
  <si>
    <t>NB_803</t>
  </si>
  <si>
    <t>DH</t>
  </si>
  <si>
    <t>Definitive Healthcare Corp. Class A Common Stock</t>
  </si>
  <si>
    <t>DH US Equity</t>
  </si>
  <si>
    <t>NB_804</t>
  </si>
  <si>
    <t>DHI</t>
  </si>
  <si>
    <t>D.R. Horton Inc. Common Stock</t>
  </si>
  <si>
    <t>DHI US Equity</t>
  </si>
  <si>
    <t>NB_805</t>
  </si>
  <si>
    <t>DHR</t>
  </si>
  <si>
    <t>Danaher Corporation Common Stock</t>
  </si>
  <si>
    <t>DHR US Equity</t>
  </si>
  <si>
    <t>NB_806</t>
  </si>
  <si>
    <t>DHX</t>
  </si>
  <si>
    <t>DHI Group Inc. Common Stock</t>
  </si>
  <si>
    <t>DHX US Equity</t>
  </si>
  <si>
    <t>NB_807</t>
  </si>
  <si>
    <t>DIBS</t>
  </si>
  <si>
    <t>1stdibs.com Inc. Common Stock</t>
  </si>
  <si>
    <t>Catalog/Specialty Distribution</t>
  </si>
  <si>
    <t>DIBS US Equity</t>
  </si>
  <si>
    <t>NB_808</t>
  </si>
  <si>
    <t>DIN</t>
  </si>
  <si>
    <t>Dine Brands Global Inc. Common Stock</t>
  </si>
  <si>
    <t>Restaurants</t>
  </si>
  <si>
    <t>DIN US Equity</t>
  </si>
  <si>
    <t>NB_809</t>
  </si>
  <si>
    <t>DINO</t>
  </si>
  <si>
    <t>HF Sinclair Corporation Common Stock</t>
  </si>
  <si>
    <t>Natural Gas Distribution</t>
  </si>
  <si>
    <t>DINO US Equity</t>
  </si>
  <si>
    <t>NB_810</t>
  </si>
  <si>
    <t>DIOD</t>
  </si>
  <si>
    <t>Diodes Incorporated Common Stock</t>
  </si>
  <si>
    <t>Semiconductors</t>
  </si>
  <si>
    <t>DIOD US Equity</t>
  </si>
  <si>
    <t>NB_811</t>
  </si>
  <si>
    <t>DIS</t>
  </si>
  <si>
    <t>Walt Disney Company (The) Common Stock</t>
  </si>
  <si>
    <t>Services-Misc. Amusement &amp; Recreation</t>
  </si>
  <si>
    <t>DIS US Equity</t>
  </si>
  <si>
    <t>NB_812</t>
  </si>
  <si>
    <t>DIT</t>
  </si>
  <si>
    <t>AMCON Distributing Company Common Stock</t>
  </si>
  <si>
    <t>Food Distributors</t>
  </si>
  <si>
    <t>DIT US Equity</t>
  </si>
  <si>
    <t>NB_813</t>
  </si>
  <si>
    <t>DJCO</t>
  </si>
  <si>
    <t>Daily Journal Corp. (S.C.) Common Stock</t>
  </si>
  <si>
    <t>Newspapers/Magazines</t>
  </si>
  <si>
    <t>DJCO US Equity</t>
  </si>
  <si>
    <t>NB_814</t>
  </si>
  <si>
    <t>DJT</t>
  </si>
  <si>
    <t>Trump Media &amp; Technology Group Corp. Common Stock</t>
  </si>
  <si>
    <t>Computer Software: Programming Data Processing</t>
  </si>
  <si>
    <t>DJT US Equity</t>
  </si>
  <si>
    <t>NB_815</t>
  </si>
  <si>
    <t>DJTWW</t>
  </si>
  <si>
    <t>Trump Media &amp; Technology Group Corp. Warrants</t>
  </si>
  <si>
    <t>DJTWW US Equity</t>
  </si>
  <si>
    <t>NB_816</t>
  </si>
  <si>
    <t>DK</t>
  </si>
  <si>
    <t>Delek US Holdings Inc. Common Stock</t>
  </si>
  <si>
    <t>DK US Equity</t>
  </si>
  <si>
    <t>NB_817</t>
  </si>
  <si>
    <t>DKL</t>
  </si>
  <si>
    <t>Delek Logistics Partners L.P. Common Units representing Limited Partner Interests</t>
  </si>
  <si>
    <t>DKL US Equity</t>
  </si>
  <si>
    <t>NB_818</t>
  </si>
  <si>
    <t>DKNG</t>
  </si>
  <si>
    <t>DraftKings Inc. Class A Common Stock</t>
  </si>
  <si>
    <t>DKNG US Equity</t>
  </si>
  <si>
    <t>NB_819</t>
  </si>
  <si>
    <t>DKS</t>
  </si>
  <si>
    <t>Dick's Sporting Goods Inc Common Stock</t>
  </si>
  <si>
    <t>Other Specialty Stores</t>
  </si>
  <si>
    <t>DKS US Equity</t>
  </si>
  <si>
    <t>NB_820</t>
  </si>
  <si>
    <t>DLHC</t>
  </si>
  <si>
    <t>DLH Holdings Corp.</t>
  </si>
  <si>
    <t>DLHC US Equity</t>
  </si>
  <si>
    <t>NB_821</t>
  </si>
  <si>
    <t>DLPN</t>
  </si>
  <si>
    <t>Dolphin Entertainment Inc. Common Stock</t>
  </si>
  <si>
    <t>DLPN US Equity</t>
  </si>
  <si>
    <t>NB_822</t>
  </si>
  <si>
    <t>DLTH</t>
  </si>
  <si>
    <t>Duluth Holdings Inc. Class B Common Stock</t>
  </si>
  <si>
    <t>DLTH US Equity</t>
  </si>
  <si>
    <t>NB_823</t>
  </si>
  <si>
    <t>DLTR</t>
  </si>
  <si>
    <t>Dollar Tree Inc. Common Stock</t>
  </si>
  <si>
    <t>DLTR US Equity</t>
  </si>
  <si>
    <t>NB_824</t>
  </si>
  <si>
    <t>DLX</t>
  </si>
  <si>
    <t>Deluxe Corporation Common Stock</t>
  </si>
  <si>
    <t>Publishing</t>
  </si>
  <si>
    <t>DLX US Equity</t>
  </si>
  <si>
    <t>NB_825</t>
  </si>
  <si>
    <t>DMAC</t>
  </si>
  <si>
    <t>DiaMedica Therapeutics Inc. Common Stock</t>
  </si>
  <si>
    <t>DMAC US Equity</t>
  </si>
  <si>
    <t>NB_826</t>
  </si>
  <si>
    <t>DMLP</t>
  </si>
  <si>
    <t>Dorchester Minerals L.P. Common Units Representing Limited Partnership Interests</t>
  </si>
  <si>
    <t>Oil &amp; Gas Production</t>
  </si>
  <si>
    <t>DMLP US Equity</t>
  </si>
  <si>
    <t>NB_827</t>
  </si>
  <si>
    <t>DMRC</t>
  </si>
  <si>
    <t>Digimarc Corporation Common Stock</t>
  </si>
  <si>
    <t>DMRC US Equity</t>
  </si>
  <si>
    <t>NB_828</t>
  </si>
  <si>
    <t>DNA</t>
  </si>
  <si>
    <t>Ginkgo Bioworks Holdings Inc. Class A Common Stock</t>
  </si>
  <si>
    <t>DNA US Equity</t>
  </si>
  <si>
    <t>NB_829</t>
  </si>
  <si>
    <t>DNLI</t>
  </si>
  <si>
    <t>Denali Therapeutics Inc. Common Stock</t>
  </si>
  <si>
    <t>DNLI US Equity</t>
  </si>
  <si>
    <t>NB_830</t>
  </si>
  <si>
    <t>DNOW</t>
  </si>
  <si>
    <t>DNOW Inc. Common Stock</t>
  </si>
  <si>
    <t>Oil and Gas Field Machinery</t>
  </si>
  <si>
    <t>DNOW US Equity</t>
  </si>
  <si>
    <t>NB_831</t>
  </si>
  <si>
    <t>DNTH</t>
  </si>
  <si>
    <t>Dianthus Therapeutics Inc. Common Stock</t>
  </si>
  <si>
    <t>DNTH US Equity</t>
  </si>
  <si>
    <t>NB_832</t>
  </si>
  <si>
    <t>DNUT</t>
  </si>
  <si>
    <t>Krispy Kreme Inc. Common Stock</t>
  </si>
  <si>
    <t>Food Chains</t>
  </si>
  <si>
    <t>DNUT US Equity</t>
  </si>
  <si>
    <t>NB_833</t>
  </si>
  <si>
    <t>DOCN</t>
  </si>
  <si>
    <t>DigitalOcean Holdings Inc. Common Stock</t>
  </si>
  <si>
    <t>DOCN US Equity</t>
  </si>
  <si>
    <t>NB_834</t>
  </si>
  <si>
    <t>DOCS</t>
  </si>
  <si>
    <t>Doximity Inc. Class A Common Stock</t>
  </si>
  <si>
    <t>DOCS US Equity</t>
  </si>
  <si>
    <t>NB_835</t>
  </si>
  <si>
    <t>DOCU</t>
  </si>
  <si>
    <t>DocuSign Inc. Common Stock</t>
  </si>
  <si>
    <t>DOCU US Equity</t>
  </si>
  <si>
    <t>NB_836</t>
  </si>
  <si>
    <t>DORM</t>
  </si>
  <si>
    <t>Dorman Products Inc. Common Stock</t>
  </si>
  <si>
    <t>DORM US Equity</t>
  </si>
  <si>
    <t>NB_837</t>
  </si>
  <si>
    <t>DOV</t>
  </si>
  <si>
    <t>Dover Corporation Common Stock</t>
  </si>
  <si>
    <t>DOV US Equity</t>
  </si>
  <si>
    <t>NB_838</t>
  </si>
  <si>
    <t>DOW</t>
  </si>
  <si>
    <t>Dow Inc. Common Stock</t>
  </si>
  <si>
    <t>DOW US Equity</t>
  </si>
  <si>
    <t>NB_839</t>
  </si>
  <si>
    <t>DPZ</t>
  </si>
  <si>
    <t>Domino's Pizza Inc Common Stock</t>
  </si>
  <si>
    <t>DPZ US Equity</t>
  </si>
  <si>
    <t>NB_840</t>
  </si>
  <si>
    <t>DRCT</t>
  </si>
  <si>
    <t>Direct Digital Holdings Inc. Class A Common Stock</t>
  </si>
  <si>
    <t>Advertising</t>
  </si>
  <si>
    <t>DRCT US Equity</t>
  </si>
  <si>
    <t>NB_841</t>
  </si>
  <si>
    <t>DRI</t>
  </si>
  <si>
    <t>Darden Restaurants Inc. Common Stock</t>
  </si>
  <si>
    <t>DRI US Equity</t>
  </si>
  <si>
    <t>NB_842</t>
  </si>
  <si>
    <t>DRMA</t>
  </si>
  <si>
    <t>Dermata Therapeutics Inc. Common Stock</t>
  </si>
  <si>
    <t>DRMA US Equity</t>
  </si>
  <si>
    <t>NB_843</t>
  </si>
  <si>
    <t>DRVN</t>
  </si>
  <si>
    <t>Driven Brands Holdings Inc. Common Stock</t>
  </si>
  <si>
    <t>Automotive Aftermarket</t>
  </si>
  <si>
    <t>DRVN US Equity</t>
  </si>
  <si>
    <t>NB_844</t>
  </si>
  <si>
    <t>DSGN</t>
  </si>
  <si>
    <t>Design Therapeutics Inc. Common Stock</t>
  </si>
  <si>
    <t>DSGN US Equity</t>
  </si>
  <si>
    <t>NB_845</t>
  </si>
  <si>
    <t>DSGR</t>
  </si>
  <si>
    <t>Distribution Solutions Group Inc. Common Stock</t>
  </si>
  <si>
    <t>Industrial Specialties</t>
  </si>
  <si>
    <t>DSGR US Equity</t>
  </si>
  <si>
    <t>NB_846</t>
  </si>
  <si>
    <t>DSP</t>
  </si>
  <si>
    <t>Viant Technology Inc. Class A Common Stock</t>
  </si>
  <si>
    <t>DSP US Equity</t>
  </si>
  <si>
    <t>NB_847</t>
  </si>
  <si>
    <t>DSS</t>
  </si>
  <si>
    <t>DSS Inc. Common Stock</t>
  </si>
  <si>
    <t>Containers/Packaging</t>
  </si>
  <si>
    <t>DSS US Equity</t>
  </si>
  <si>
    <t>NB_848</t>
  </si>
  <si>
    <t>DT</t>
  </si>
  <si>
    <t>Dynatrace Inc. Common Stock</t>
  </si>
  <si>
    <t>DT US Equity</t>
  </si>
  <si>
    <t>NB_849</t>
  </si>
  <si>
    <t>DTB</t>
  </si>
  <si>
    <t>DTE Energy Company 2020 Series G 4.375% Junior Subordinated Debentures due 2080</t>
  </si>
  <si>
    <t>DTB US Equity</t>
  </si>
  <si>
    <t>NB_850</t>
  </si>
  <si>
    <t>DTCX</t>
  </si>
  <si>
    <t>Datacentrex Inc. Common Stock</t>
  </si>
  <si>
    <t>DTCX US Equity</t>
  </si>
  <si>
    <t>NB_851</t>
  </si>
  <si>
    <t>DTE</t>
  </si>
  <si>
    <t>DTE Energy Company Common Stock</t>
  </si>
  <si>
    <t>DTE US Equity</t>
  </si>
  <si>
    <t>NB_852</t>
  </si>
  <si>
    <t>DTG</t>
  </si>
  <si>
    <t>DTE Energy Company 2021 Series E 4.375% Junior Subordinated Debentures</t>
  </si>
  <si>
    <t>DTG US Equity</t>
  </si>
  <si>
    <t>NB_853</t>
  </si>
  <si>
    <t>DTI</t>
  </si>
  <si>
    <t>Drilling Tools International Corporation Common Stock</t>
  </si>
  <si>
    <t>DTI US Equity</t>
  </si>
  <si>
    <t>NB_854</t>
  </si>
  <si>
    <t>DTIL</t>
  </si>
  <si>
    <t>Precision BioSciences Inc. Common Stock</t>
  </si>
  <si>
    <t>DTIL US Equity</t>
  </si>
  <si>
    <t>NB_855</t>
  </si>
  <si>
    <t>DTK</t>
  </si>
  <si>
    <t>DTE Energy Company 2025 Series H 6.25% Junior Subordinated Debentures due 2085</t>
  </si>
  <si>
    <t>DTK US Equity</t>
  </si>
  <si>
    <t>NB_856</t>
  </si>
  <si>
    <t>DTM</t>
  </si>
  <si>
    <t>DT Midstream Inc. Common Stock</t>
  </si>
  <si>
    <t>DTM US Equity</t>
  </si>
  <si>
    <t>NB_857</t>
  </si>
  <si>
    <t>DTST</t>
  </si>
  <si>
    <t>Data Storage Corporation Common Stock</t>
  </si>
  <si>
    <t>DTST US Equity</t>
  </si>
  <si>
    <t>NB_858</t>
  </si>
  <si>
    <t>DTW</t>
  </si>
  <si>
    <t>DTE Energy Company 2017 Series E 5.25% Junior Subordinated Debentures due 2077</t>
  </si>
  <si>
    <t>DTW US Equity</t>
  </si>
  <si>
    <t>NB_859</t>
  </si>
  <si>
    <t>DUK</t>
  </si>
  <si>
    <t>Duke Energy Corporation (Holding Company) Common Stock</t>
  </si>
  <si>
    <t>Power Generation</t>
  </si>
  <si>
    <t>DUK US Equity</t>
  </si>
  <si>
    <t>NB_860</t>
  </si>
  <si>
    <t>DUKB</t>
  </si>
  <si>
    <t>Duke Energy Corporation 5.625% Junior Subordinated Debentures due 2078</t>
  </si>
  <si>
    <t>DUKB US Equity</t>
  </si>
  <si>
    <t>NB_861</t>
  </si>
  <si>
    <t>DUKU</t>
  </si>
  <si>
    <t>Duke Energy Corporation Corporate Units</t>
  </si>
  <si>
    <t>DUKU US Equity</t>
  </si>
  <si>
    <t>NB_862</t>
  </si>
  <si>
    <t>DUOL</t>
  </si>
  <si>
    <t>Duolingo Inc. Class A Common Stock</t>
  </si>
  <si>
    <t>DUOL US Equity</t>
  </si>
  <si>
    <t>NB_863</t>
  </si>
  <si>
    <t>DUOT</t>
  </si>
  <si>
    <t>Duos Technologies Group Inc. Common Stock</t>
  </si>
  <si>
    <t>DUOT US Equity</t>
  </si>
  <si>
    <t>NB_864</t>
  </si>
  <si>
    <t>DV</t>
  </si>
  <si>
    <t>DoubleVerify Holdings Inc. Common Stock</t>
  </si>
  <si>
    <t>DV US Equity</t>
  </si>
  <si>
    <t>NB_865</t>
  </si>
  <si>
    <t>DVA</t>
  </si>
  <si>
    <t>DaVita Inc. Common Stock</t>
  </si>
  <si>
    <t>Misc Health and Biotechnology Services</t>
  </si>
  <si>
    <t>DVA US Equity</t>
  </si>
  <si>
    <t>NB_866</t>
  </si>
  <si>
    <t>DVLT</t>
  </si>
  <si>
    <t>Datavault AI Inc. Common Stock</t>
  </si>
  <si>
    <t>DVLT US Equity</t>
  </si>
  <si>
    <t>NB_867</t>
  </si>
  <si>
    <t>DVN</t>
  </si>
  <si>
    <t>Devon Energy Corporation Common Stock</t>
  </si>
  <si>
    <t>DVN US Equity</t>
  </si>
  <si>
    <t>NB_868</t>
  </si>
  <si>
    <t>DWSN</t>
  </si>
  <si>
    <t>Dawson Geophysical Company Common Stock</t>
  </si>
  <si>
    <t>DWSN US Equity</t>
  </si>
  <si>
    <t>NB_869</t>
  </si>
  <si>
    <t>DWTX</t>
  </si>
  <si>
    <t>Dogwood Therapeutics Inc. Common Stock</t>
  </si>
  <si>
    <t>DWTX US Equity</t>
  </si>
  <si>
    <t>NB_870</t>
  </si>
  <si>
    <t>DXC</t>
  </si>
  <si>
    <t>DXC Technology Company Common Stock</t>
  </si>
  <si>
    <t>DXC US Equity</t>
  </si>
  <si>
    <t>NB_871</t>
  </si>
  <si>
    <t>DXCM</t>
  </si>
  <si>
    <t>DexCom Inc. Common Stock</t>
  </si>
  <si>
    <t>DXCM US Equity</t>
  </si>
  <si>
    <t>NB_872</t>
  </si>
  <si>
    <t>DXLG</t>
  </si>
  <si>
    <t>Destination XL Group Inc. Common Stock</t>
  </si>
  <si>
    <t>DXLG US Equity</t>
  </si>
  <si>
    <t>NB_873</t>
  </si>
  <si>
    <t>DXPE</t>
  </si>
  <si>
    <t>DXP Enterprises Inc. Common Stock</t>
  </si>
  <si>
    <t>DXPE US Equity</t>
  </si>
  <si>
    <t>NB_874</t>
  </si>
  <si>
    <t>DXR</t>
  </si>
  <si>
    <t>Daxor Corporation Common Stock</t>
  </si>
  <si>
    <t>DXR US Equity</t>
  </si>
  <si>
    <t>NB_875</t>
  </si>
  <si>
    <t>DY</t>
  </si>
  <si>
    <t>Dycom Industries Inc. Common Stock</t>
  </si>
  <si>
    <t>Water Sewer Pipeline Comm &amp; Power Line Construction</t>
  </si>
  <si>
    <t>DY US Equity</t>
  </si>
  <si>
    <t>NB_876</t>
  </si>
  <si>
    <t>DYAI</t>
  </si>
  <si>
    <t>Dyadic International Inc. Common Stock</t>
  </si>
  <si>
    <t>DYAI US Equity</t>
  </si>
  <si>
    <t>NB_877</t>
  </si>
  <si>
    <t>DYN</t>
  </si>
  <si>
    <t>Dyne Therapeutics Inc. Common Stock</t>
  </si>
  <si>
    <t>DYN US Equity</t>
  </si>
  <si>
    <t>NB_878</t>
  </si>
  <si>
    <t>EAF</t>
  </si>
  <si>
    <t>GrafTech International Ltd. Common Stock</t>
  </si>
  <si>
    <t>EAF US Equity</t>
  </si>
  <si>
    <t>NB_879</t>
  </si>
  <si>
    <t>EAI</t>
  </si>
  <si>
    <t>Entergy Arkansas LLC First Mortgage Bonds 4.875% Series Due September 1 2066</t>
  </si>
  <si>
    <t>EAI US Equity</t>
  </si>
  <si>
    <t>NB_880</t>
  </si>
  <si>
    <t>EAT</t>
  </si>
  <si>
    <t>Brinker International Inc. Common Stock</t>
  </si>
  <si>
    <t>EAT US Equity</t>
  </si>
  <si>
    <t>NB_881</t>
  </si>
  <si>
    <t>EBAY</t>
  </si>
  <si>
    <t>eBay Inc. Common Stock</t>
  </si>
  <si>
    <t>EBAY US Equity</t>
  </si>
  <si>
    <t>NB_882</t>
  </si>
  <si>
    <t>EBF</t>
  </si>
  <si>
    <t>Ennis Inc. Common Stock</t>
  </si>
  <si>
    <t>Office Equipment/Supplies/Services</t>
  </si>
  <si>
    <t>EBF US Equity</t>
  </si>
  <si>
    <t>NB_883</t>
  </si>
  <si>
    <t>EBS</t>
  </si>
  <si>
    <t>Emergent BioSolutions Inc. Common Stock</t>
  </si>
  <si>
    <t>EBS US Equity</t>
  </si>
  <si>
    <t>NB_884</t>
  </si>
  <si>
    <t>ECG</t>
  </si>
  <si>
    <t>Everus Construction Group Inc. Common Stock</t>
  </si>
  <si>
    <t>ECG US Equity</t>
  </si>
  <si>
    <t>NB_885</t>
  </si>
  <si>
    <t>ECHO</t>
  </si>
  <si>
    <t>EchoStar  Corporation Common Stock</t>
  </si>
  <si>
    <t>ECHO US Equity</t>
  </si>
  <si>
    <t>NB_886</t>
  </si>
  <si>
    <t>ECL</t>
  </si>
  <si>
    <t>Ecolab Inc. Common Stock</t>
  </si>
  <si>
    <t>Package Goods/Cosmetics</t>
  </si>
  <si>
    <t>ECL US Equity</t>
  </si>
  <si>
    <t>NB_887</t>
  </si>
  <si>
    <t>ECOR</t>
  </si>
  <si>
    <t>electroCore Inc. Common Stock</t>
  </si>
  <si>
    <t>ECOR US Equity</t>
  </si>
  <si>
    <t>NB_888</t>
  </si>
  <si>
    <t>ECVT</t>
  </si>
  <si>
    <t>Ecovyst Inc. Common Stock</t>
  </si>
  <si>
    <t>ECVT US Equity</t>
  </si>
  <si>
    <t>NB_889</t>
  </si>
  <si>
    <t>ED</t>
  </si>
  <si>
    <t>Consolidated Edison Inc. Common Stock</t>
  </si>
  <si>
    <t>ED US Equity</t>
  </si>
  <si>
    <t>NB_890</t>
  </si>
  <si>
    <t>EDBL</t>
  </si>
  <si>
    <t>Edible Garden AG Incorporated Common Stock</t>
  </si>
  <si>
    <t>Farming/Seeds/Milling</t>
  </si>
  <si>
    <t>EDBL US Equity</t>
  </si>
  <si>
    <t>NB_891</t>
  </si>
  <si>
    <t>EDIT</t>
  </si>
  <si>
    <t>Editas Medicine Inc. Common Stock</t>
  </si>
  <si>
    <t>EDIT US Equity</t>
  </si>
  <si>
    <t>NB_892</t>
  </si>
  <si>
    <t>EDSA</t>
  </si>
  <si>
    <t>Edesa Biotech Inc. Common Shares</t>
  </si>
  <si>
    <t>EDSA US Equity</t>
  </si>
  <si>
    <t>NB_893</t>
  </si>
  <si>
    <t>EDUC</t>
  </si>
  <si>
    <t>Educational Development Corporation Common Stock</t>
  </si>
  <si>
    <t>Consumer Specialties</t>
  </si>
  <si>
    <t>EDUC US Equity</t>
  </si>
  <si>
    <t>NB_894</t>
  </si>
  <si>
    <t>EE</t>
  </si>
  <si>
    <t>Excelerate Energy Inc. Class A Common Stock</t>
  </si>
  <si>
    <t>Oil/Gas Transmission</t>
  </si>
  <si>
    <t>EE US Equity</t>
  </si>
  <si>
    <t>NB_895</t>
  </si>
  <si>
    <t>EFOI</t>
  </si>
  <si>
    <t>Energy Focus Inc. Common Stock</t>
  </si>
  <si>
    <t>Building Products</t>
  </si>
  <si>
    <t>EFOI US Equity</t>
  </si>
  <si>
    <t>NB_896</t>
  </si>
  <si>
    <t>EFOR</t>
  </si>
  <si>
    <t>Everforth Inc. Common Stock</t>
  </si>
  <si>
    <t>EFOR US Equity</t>
  </si>
  <si>
    <t>NB_897</t>
  </si>
  <si>
    <t>EGAN</t>
  </si>
  <si>
    <t>eGain Corporation Common Stock</t>
  </si>
  <si>
    <t>EGAN US Equity</t>
  </si>
  <si>
    <t>NB_898</t>
  </si>
  <si>
    <t>EGHT</t>
  </si>
  <si>
    <t>8x8 Inc Common Stock</t>
  </si>
  <si>
    <t>EGHT US Equity</t>
  </si>
  <si>
    <t>NB_899</t>
  </si>
  <si>
    <t>EGY</t>
  </si>
  <si>
    <t>VAALCO Energy Inc.  Common Stock</t>
  </si>
  <si>
    <t>EGY US Equity</t>
  </si>
  <si>
    <t>NB_900</t>
  </si>
  <si>
    <t>EHC</t>
  </si>
  <si>
    <t>Encompass Health Corporation Common Stock</t>
  </si>
  <si>
    <t>EHC US Equity</t>
  </si>
  <si>
    <t>NB_901</t>
  </si>
  <si>
    <t>EIKN</t>
  </si>
  <si>
    <t>Eikon Therapeutics Inc. Common Stock</t>
  </si>
  <si>
    <t>EIKN US Equity</t>
  </si>
  <si>
    <t>NB_902</t>
  </si>
  <si>
    <t>EIX</t>
  </si>
  <si>
    <t>Edison International Common Stock</t>
  </si>
  <si>
    <t>EIX US Equity</t>
  </si>
  <si>
    <t>NB_903</t>
  </si>
  <si>
    <t>EL</t>
  </si>
  <si>
    <t>Estee Lauder Companies Inc. (The) Common Stock</t>
  </si>
  <si>
    <t>EL US Equity</t>
  </si>
  <si>
    <t>NB_904</t>
  </si>
  <si>
    <t>ELA</t>
  </si>
  <si>
    <t>Envela Corporation Common Stock</t>
  </si>
  <si>
    <t>ELA US Equity</t>
  </si>
  <si>
    <t>NB_905</t>
  </si>
  <si>
    <t>ELAB</t>
  </si>
  <si>
    <t>PMGC Holdings Inc. Common Stock</t>
  </si>
  <si>
    <t>ELAB US Equity</t>
  </si>
  <si>
    <t>NB_906</t>
  </si>
  <si>
    <t>ELAN</t>
  </si>
  <si>
    <t>Elanco Animal Health Incorporated Common Stock</t>
  </si>
  <si>
    <t>ELAN US Equity</t>
  </si>
  <si>
    <t>NB_907</t>
  </si>
  <si>
    <t>ELC</t>
  </si>
  <si>
    <t>Entergy Louisiana Inc. Collateral Trust Mortgage Bonds 4.875 % Series due September 1 2066</t>
  </si>
  <si>
    <t>ELC US Equity</t>
  </si>
  <si>
    <t>NB_908</t>
  </si>
  <si>
    <t>ELDN</t>
  </si>
  <si>
    <t>Eledon Pharmaceuticals Inc. Common Stock</t>
  </si>
  <si>
    <t>ELDN US Equity</t>
  </si>
  <si>
    <t>NB_909</t>
  </si>
  <si>
    <t>ELF</t>
  </si>
  <si>
    <t>e.l.f. Beauty Inc. Common Stock</t>
  </si>
  <si>
    <t>ELF US Equity</t>
  </si>
  <si>
    <t>NB_910</t>
  </si>
  <si>
    <t>ELMD</t>
  </si>
  <si>
    <t>Electromed Inc. Common Stock</t>
  </si>
  <si>
    <t>ELMD US Equity</t>
  </si>
  <si>
    <t>NB_911</t>
  </si>
  <si>
    <t>ELMT</t>
  </si>
  <si>
    <t>The Elmet Group Co. Common Stock</t>
  </si>
  <si>
    <t>ELMT US Equity</t>
  </si>
  <si>
    <t>NB_912</t>
  </si>
  <si>
    <t>ELOX</t>
  </si>
  <si>
    <t>Eloxx Pharmaceuticals Inc. Common Stock</t>
  </si>
  <si>
    <t>ELOX US Equity</t>
  </si>
  <si>
    <t>NB_913</t>
  </si>
  <si>
    <t>ELTX</t>
  </si>
  <si>
    <t>Elicio Therapeutics Inc. Common Stock</t>
  </si>
  <si>
    <t>ELTX US Equity</t>
  </si>
  <si>
    <t>NB_914</t>
  </si>
  <si>
    <t>ELUT</t>
  </si>
  <si>
    <t>Elutia Inc. Class A Common Stock</t>
  </si>
  <si>
    <t>ELUT US Equity</t>
  </si>
  <si>
    <t>NB_915</t>
  </si>
  <si>
    <t>ELV</t>
  </si>
  <si>
    <t>Elevance Health Inc. Common Stock</t>
  </si>
  <si>
    <t>ELV US Equity</t>
  </si>
  <si>
    <t>NB_916</t>
  </si>
  <si>
    <t>ELVN</t>
  </si>
  <si>
    <t>Enliven Therapeutics Inc. Common Stock</t>
  </si>
  <si>
    <t>ELVN US Equity</t>
  </si>
  <si>
    <t>NB_917</t>
  </si>
  <si>
    <t>ELWT</t>
  </si>
  <si>
    <t>Elauwit Connection Inc. Common Stock</t>
  </si>
  <si>
    <t>ELWT US Equity</t>
  </si>
  <si>
    <t>NB_918</t>
  </si>
  <si>
    <t>EMBC</t>
  </si>
  <si>
    <t>Embecta Corp. Common Stock</t>
  </si>
  <si>
    <t>EMBC US Equity</t>
  </si>
  <si>
    <t>NB_919</t>
  </si>
  <si>
    <t>EME</t>
  </si>
  <si>
    <t>EMCOR Group Inc. Common Stock</t>
  </si>
  <si>
    <t>Engineering &amp; Construction</t>
  </si>
  <si>
    <t>EME US Equity</t>
  </si>
  <si>
    <t>NB_920</t>
  </si>
  <si>
    <t>EMIS</t>
  </si>
  <si>
    <t>Emmis Acquisition Corp. Class A Ordinary Shares</t>
  </si>
  <si>
    <t>EMIS US Equity</t>
  </si>
  <si>
    <t>NB_921</t>
  </si>
  <si>
    <t>EML</t>
  </si>
  <si>
    <t>Eastern Company (The) Common Stock</t>
  </si>
  <si>
    <t>EML US Equity</t>
  </si>
  <si>
    <t>NB_922</t>
  </si>
  <si>
    <t>EMN</t>
  </si>
  <si>
    <t>Eastman Chemical Company Common Stock</t>
  </si>
  <si>
    <t>EMN US Equity</t>
  </si>
  <si>
    <t>NB_923</t>
  </si>
  <si>
    <t>EMP</t>
  </si>
  <si>
    <t>Entergy Mississippi LLC First Mortgage Bonds 4.90% Series Due October 1 2066</t>
  </si>
  <si>
    <t>EMP US Equity</t>
  </si>
  <si>
    <t>NB_924</t>
  </si>
  <si>
    <t>EMPD</t>
  </si>
  <si>
    <t>Empery Digital Inc. Common stock</t>
  </si>
  <si>
    <t>Auto Manufacturing</t>
  </si>
  <si>
    <t>EMPD US Equity</t>
  </si>
  <si>
    <t>NB_925</t>
  </si>
  <si>
    <t>EMR</t>
  </si>
  <si>
    <t>Emerson Electric Company Common Stock</t>
  </si>
  <si>
    <t>Consumer Electronics/Appliances</t>
  </si>
  <si>
    <t>EMR US Equity</t>
  </si>
  <si>
    <t>NB_926</t>
  </si>
  <si>
    <t>ENO</t>
  </si>
  <si>
    <t>Entergy New Orleans LLC First Mortgage Bonds 5.50% Series due April 1 2066</t>
  </si>
  <si>
    <t>ENO US Equity</t>
  </si>
  <si>
    <t>NB_927</t>
  </si>
  <si>
    <t>ENOV</t>
  </si>
  <si>
    <t>Enovis Corporation Common Stock</t>
  </si>
  <si>
    <t>ENOV US Equity</t>
  </si>
  <si>
    <t>NB_928</t>
  </si>
  <si>
    <t>ENPH</t>
  </si>
  <si>
    <t>Enphase Energy Inc. Common Stock</t>
  </si>
  <si>
    <t>ENPH US Equity</t>
  </si>
  <si>
    <t>NB_929</t>
  </si>
  <si>
    <t>ENSC</t>
  </si>
  <si>
    <t>Ensysce Biosciences Inc. Common Stock</t>
  </si>
  <si>
    <t>ENSC US Equity</t>
  </si>
  <si>
    <t>NB_930</t>
  </si>
  <si>
    <t>ENSG</t>
  </si>
  <si>
    <t>The Ensign Group Inc. Common Stock</t>
  </si>
  <si>
    <t>ENSG US Equity</t>
  </si>
  <si>
    <t>NB_931</t>
  </si>
  <si>
    <t>ENTA</t>
  </si>
  <si>
    <t>Enanta Pharmaceuticals Inc. Common Stock</t>
  </si>
  <si>
    <t>ENTA US Equity</t>
  </si>
  <si>
    <t>NB_932</t>
  </si>
  <si>
    <t>ENTG</t>
  </si>
  <si>
    <t>Entegris Inc. Common Stock</t>
  </si>
  <si>
    <t>Plastic Products</t>
  </si>
  <si>
    <t>ENTG US Equity</t>
  </si>
  <si>
    <t>NB_933</t>
  </si>
  <si>
    <t>ENVB</t>
  </si>
  <si>
    <t>Enveric Biosciences Inc. Common Stock</t>
  </si>
  <si>
    <t>ENVB US Equity</t>
  </si>
  <si>
    <t>NB_934</t>
  </si>
  <si>
    <t>EOG</t>
  </si>
  <si>
    <t>EOG Resources Inc. Common Stock</t>
  </si>
  <si>
    <t>EOG US Equity</t>
  </si>
  <si>
    <t>NB_935</t>
  </si>
  <si>
    <t>EOLS</t>
  </si>
  <si>
    <t>Evolus Inc. Common Stock</t>
  </si>
  <si>
    <t>EOLS US Equity</t>
  </si>
  <si>
    <t>NB_936</t>
  </si>
  <si>
    <t>EP</t>
  </si>
  <si>
    <t>Empire Petroleum Corporation Common Stock</t>
  </si>
  <si>
    <t>EP US Equity</t>
  </si>
  <si>
    <t>NB_937</t>
  </si>
  <si>
    <t>EPAC</t>
  </si>
  <si>
    <t>Enerpac Tool Group Corp. Common Stock</t>
  </si>
  <si>
    <t>EPAC US Equity</t>
  </si>
  <si>
    <t>NB_938</t>
  </si>
  <si>
    <t>EPAM</t>
  </si>
  <si>
    <t>EPAM Systems Inc. Common Stock</t>
  </si>
  <si>
    <t>EPAM US Equity</t>
  </si>
  <si>
    <t>NB_939</t>
  </si>
  <si>
    <t>EPC</t>
  </si>
  <si>
    <t>Edgewell Personal Care Company Common Stock</t>
  </si>
  <si>
    <t>EPC US Equity</t>
  </si>
  <si>
    <t>NB_940</t>
  </si>
  <si>
    <t>EPD</t>
  </si>
  <si>
    <t>Enterprise Products Partners L.P. Common Stock</t>
  </si>
  <si>
    <t>EPD US Equity</t>
  </si>
  <si>
    <t>NB_941</t>
  </si>
  <si>
    <t>EPM</t>
  </si>
  <si>
    <t>Evolution Petroleum Corporation Inc. Common Stock</t>
  </si>
  <si>
    <t>EPM US Equity</t>
  </si>
  <si>
    <t>NB_942</t>
  </si>
  <si>
    <t>EPSN</t>
  </si>
  <si>
    <t>Epsilon Energy Ltd. Common Share</t>
  </si>
  <si>
    <t>EPSN US Equity</t>
  </si>
  <si>
    <t>NB_943</t>
  </si>
  <si>
    <t>EQ</t>
  </si>
  <si>
    <t>Equillium Inc. Common Stock</t>
  </si>
  <si>
    <t>EQ US Equity</t>
  </si>
  <si>
    <t>NB_944</t>
  </si>
  <si>
    <t>EQPT</t>
  </si>
  <si>
    <t>EquipmentShare.com Inc Class A Common Stock</t>
  </si>
  <si>
    <t>Diversified Commercial Services</t>
  </si>
  <si>
    <t>EQPT US Equity</t>
  </si>
  <si>
    <t>NB_945</t>
  </si>
  <si>
    <t>EQT</t>
  </si>
  <si>
    <t>EQT Corporation Common Stock</t>
  </si>
  <si>
    <t>EQT US Equity</t>
  </si>
  <si>
    <t>NB_946</t>
  </si>
  <si>
    <t>ERAS</t>
  </si>
  <si>
    <t>Erasca Inc. Common Stock</t>
  </si>
  <si>
    <t>ERAS US Equity</t>
  </si>
  <si>
    <t>NB_947</t>
  </si>
  <si>
    <t>ERII</t>
  </si>
  <si>
    <t>Energy Recovery Inc. Common Stock</t>
  </si>
  <si>
    <t>ERII US Equity</t>
  </si>
  <si>
    <t>NB_948</t>
  </si>
  <si>
    <t>ERNA</t>
  </si>
  <si>
    <t>Ernexa Therapeutics Inc. Common Stock</t>
  </si>
  <si>
    <t>ERNA US Equity</t>
  </si>
  <si>
    <t>NB_949</t>
  </si>
  <si>
    <t>ERNAW</t>
  </si>
  <si>
    <t>Ernexa Therapeutics Inc. Warrants</t>
  </si>
  <si>
    <t>ERNAW US Equity</t>
  </si>
  <si>
    <t>NB_950</t>
  </si>
  <si>
    <t>ES</t>
  </si>
  <si>
    <t>Eversource Energy (D/B/A) Common Stock</t>
  </si>
  <si>
    <t>ES US Equity</t>
  </si>
  <si>
    <t>NB_951</t>
  </si>
  <si>
    <t>ESAB</t>
  </si>
  <si>
    <t>ESAB Corporation Common Stock</t>
  </si>
  <si>
    <t>ESAB US Equity</t>
  </si>
  <si>
    <t>NB_952</t>
  </si>
  <si>
    <t>ESCA</t>
  </si>
  <si>
    <t>Escalade Incorporated Common Stock</t>
  </si>
  <si>
    <t>Recreational Games/Products/Toys</t>
  </si>
  <si>
    <t>ESCA US Equity</t>
  </si>
  <si>
    <t>NB_953</t>
  </si>
  <si>
    <t>ESE</t>
  </si>
  <si>
    <t>ESCO Technologies Inc. Common Stock</t>
  </si>
  <si>
    <t>ESE US Equity</t>
  </si>
  <si>
    <t>NB_954</t>
  </si>
  <si>
    <t>ESI</t>
  </si>
  <si>
    <t>Element Solutions Inc. Common Stock</t>
  </si>
  <si>
    <t>ESI US Equity</t>
  </si>
  <si>
    <t>NB_955</t>
  </si>
  <si>
    <t>ESLA</t>
  </si>
  <si>
    <t>Estrella Immunopharma Inc. Common Stock</t>
  </si>
  <si>
    <t>ESLA US Equity</t>
  </si>
  <si>
    <t>NB_956</t>
  </si>
  <si>
    <t>ESOA</t>
  </si>
  <si>
    <t>Energy Services of America Corporation Common Stock</t>
  </si>
  <si>
    <t>ESOA US Equity</t>
  </si>
  <si>
    <t>NB_957</t>
  </si>
  <si>
    <t>ESP</t>
  </si>
  <si>
    <t>Espey Mfg. &amp; Electronics Corp. Common Stock</t>
  </si>
  <si>
    <t>ESP US Equity</t>
  </si>
  <si>
    <t>NB_958</t>
  </si>
  <si>
    <t>ESTC</t>
  </si>
  <si>
    <t>Elastic N.V. Ordinary Shares</t>
  </si>
  <si>
    <t>ESTC US Equity</t>
  </si>
  <si>
    <t>NB_959</t>
  </si>
  <si>
    <t>ESYN</t>
  </si>
  <si>
    <t>EnerSyn Global Inc. Common Stock</t>
  </si>
  <si>
    <t>Other Pharmaceuticals</t>
  </si>
  <si>
    <t>ESYN US Equity</t>
  </si>
  <si>
    <t>NB_960</t>
  </si>
  <si>
    <t>ET</t>
  </si>
  <si>
    <t>Energy Transfer LP Common Units</t>
  </si>
  <si>
    <t>ET US Equity</t>
  </si>
  <si>
    <t>NB_961</t>
  </si>
  <si>
    <t>ETD</t>
  </si>
  <si>
    <t>Ethan Allen Interiors Inc. Common Stock</t>
  </si>
  <si>
    <t>Home Furnishings</t>
  </si>
  <si>
    <t>ETD US Equity</t>
  </si>
  <si>
    <t>NB_962</t>
  </si>
  <si>
    <t>ETON</t>
  </si>
  <si>
    <t>Eton Pharmaceuticals Inc. Common Stock</t>
  </si>
  <si>
    <t>ETON US Equity</t>
  </si>
  <si>
    <t>NB_963</t>
  </si>
  <si>
    <t>ETR</t>
  </si>
  <si>
    <t>Entergy Corporation Common Stock</t>
  </si>
  <si>
    <t>ETR US Equity</t>
  </si>
  <si>
    <t>NB_964</t>
  </si>
  <si>
    <t>ETRA</t>
  </si>
  <si>
    <t>Electra Therapeutics Inc. Common stock</t>
  </si>
  <si>
    <t>ETRA US Equity</t>
  </si>
  <si>
    <t>NB_965</t>
  </si>
  <si>
    <t>ETS</t>
  </si>
  <si>
    <t>Elite Express Holding Inc. Class A Common Stock</t>
  </si>
  <si>
    <t>ETS US Equity</t>
  </si>
  <si>
    <t>NB_966</t>
  </si>
  <si>
    <t>ETSY</t>
  </si>
  <si>
    <t>Etsy Inc. Common Stock</t>
  </si>
  <si>
    <t>ETSY US Equity</t>
  </si>
  <si>
    <t>NB_967</t>
  </si>
  <si>
    <t>EU</t>
  </si>
  <si>
    <t>enCore Energy Corp. Common Shares</t>
  </si>
  <si>
    <t>Other Metals and Minerals</t>
  </si>
  <si>
    <t>EU US Equity</t>
  </si>
  <si>
    <t>NB_968</t>
  </si>
  <si>
    <t>EVC</t>
  </si>
  <si>
    <t>Entravision Communications Corporation Common Stock</t>
  </si>
  <si>
    <t>Broadcasting</t>
  </si>
  <si>
    <t>EVC US Equity</t>
  </si>
  <si>
    <t>NB_969</t>
  </si>
  <si>
    <t>EVCM</t>
  </si>
  <si>
    <t>EverCommerce Inc. Common Stock</t>
  </si>
  <si>
    <t>EVCM US Equity</t>
  </si>
  <si>
    <t>NB_970</t>
  </si>
  <si>
    <t>EVER</t>
  </si>
  <si>
    <t>EverQuote Inc. Class A Common Stock</t>
  </si>
  <si>
    <t>EVER US Equity</t>
  </si>
  <si>
    <t>NB_971</t>
  </si>
  <si>
    <t>EVEX</t>
  </si>
  <si>
    <t>Eve Holding Inc. Common Stock</t>
  </si>
  <si>
    <t>Aerospace</t>
  </si>
  <si>
    <t>EVEX US Equity</t>
  </si>
  <si>
    <t>NB_972</t>
  </si>
  <si>
    <t>EVGO</t>
  </si>
  <si>
    <t>EVgo Inc. Class A Common Stock</t>
  </si>
  <si>
    <t>EVGO US Equity</t>
  </si>
  <si>
    <t>NB_973</t>
  </si>
  <si>
    <t>EVH</t>
  </si>
  <si>
    <t>Evolent Health Inc Class A Common Stock</t>
  </si>
  <si>
    <t>EVH US Equity</t>
  </si>
  <si>
    <t>NB_974</t>
  </si>
  <si>
    <t>EVI</t>
  </si>
  <si>
    <t>EVI Industries Inc.  Common Stock</t>
  </si>
  <si>
    <t>EVI US Equity</t>
  </si>
  <si>
    <t>NB_975</t>
  </si>
  <si>
    <t>EVLV</t>
  </si>
  <si>
    <t>Evolv Technologies Holdings Inc. Class A Common Stock</t>
  </si>
  <si>
    <t>Computer peripheral equipment</t>
  </si>
  <si>
    <t>EVLV US Equity</t>
  </si>
  <si>
    <t>NB_976</t>
  </si>
  <si>
    <t>EVMN</t>
  </si>
  <si>
    <t>Evommune Inc. Common Stock</t>
  </si>
  <si>
    <t>EVMN US Equity</t>
  </si>
  <si>
    <t>NB_977</t>
  </si>
  <si>
    <t>EVRG</t>
  </si>
  <si>
    <t>Evergy Inc. Common Stock</t>
  </si>
  <si>
    <t>EVRG US Equity</t>
  </si>
  <si>
    <t>NB_978</t>
  </si>
  <si>
    <t>EW</t>
  </si>
  <si>
    <t>Edwards Lifesciences Corporation Common Stock</t>
  </si>
  <si>
    <t>EW US Equity</t>
  </si>
  <si>
    <t>NB_979</t>
  </si>
  <si>
    <t>EWTX</t>
  </si>
  <si>
    <t>Edgewise Therapeutics Inc. Common Stock</t>
  </si>
  <si>
    <t>EWTX US Equity</t>
  </si>
  <si>
    <t>NB_980</t>
  </si>
  <si>
    <t>EXC</t>
  </si>
  <si>
    <t>Exelon Corporation Common Stock</t>
  </si>
  <si>
    <t>EXC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</si>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</sst>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28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34</v>
      </c>
      <c r="B5" t="s">
        <v>14</v>
      </c>
      <c r="C5" t="s">
        <v>15</v>
      </c>
      <c r="D5" t="s">
        <v>35</v>
      </c>
      <c r="E5" t="s">
        <v>36</v>
      </c>
      <c r="F5" t="s">
        <v>31</v>
      </c>
      <c r="G5" t="s">
        <v>37</v>
      </c>
      <c r="H5" t="s">
        <v>38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39</v>
      </c>
      <c r="B6" t="s">
        <v>14</v>
      </c>
      <c r="C6" t="s">
        <v>15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45</v>
      </c>
      <c r="B7" t="s">
        <v>14</v>
      </c>
      <c r="C7" t="s">
        <v>15</v>
      </c>
      <c r="D7" t="s">
        <v>46</v>
      </c>
      <c r="E7" t="s">
        <v>47</v>
      </c>
      <c r="F7" t="s">
        <v>18</v>
      </c>
      <c r="G7" t="s">
        <v>19</v>
      </c>
      <c r="H7" t="s">
        <v>48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49</v>
      </c>
      <c r="B8" t="s">
        <v>14</v>
      </c>
      <c r="C8" t="s">
        <v>15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55</v>
      </c>
      <c r="B9" t="s">
        <v>14</v>
      </c>
      <c r="C9" t="s">
        <v>15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18</v>
      </c>
      <c r="G10" t="s">
        <v>64</v>
      </c>
      <c r="H10" t="s">
        <v>65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31</v>
      </c>
      <c r="G11" t="s">
        <v>69</v>
      </c>
      <c r="H11" t="s">
        <v>70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52</v>
      </c>
      <c r="G12" t="s">
        <v>74</v>
      </c>
      <c r="H12" t="s">
        <v>75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76</v>
      </c>
      <c r="B13" t="s">
        <v>14</v>
      </c>
      <c r="C13" t="s">
        <v>15</v>
      </c>
      <c r="D13" t="s">
        <v>77</v>
      </c>
      <c r="E13" t="s">
        <v>78</v>
      </c>
      <c r="F13" t="s">
        <v>18</v>
      </c>
      <c r="G13" t="s">
        <v>79</v>
      </c>
      <c r="H13" t="s">
        <v>80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81</v>
      </c>
      <c r="B14" t="s">
        <v>14</v>
      </c>
      <c r="C14" t="s">
        <v>15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87</v>
      </c>
      <c r="B15" t="s">
        <v>14</v>
      </c>
      <c r="C15" t="s">
        <v>15</v>
      </c>
      <c r="D15" t="s">
        <v>88</v>
      </c>
      <c r="E15" t="s">
        <v>89</v>
      </c>
      <c r="F15" t="s">
        <v>52</v>
      </c>
      <c r="G15" t="s">
        <v>90</v>
      </c>
      <c r="H15" t="s">
        <v>91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92</v>
      </c>
      <c r="B16" t="s">
        <v>14</v>
      </c>
      <c r="C16" t="s">
        <v>15</v>
      </c>
      <c r="D16" t="s">
        <v>93</v>
      </c>
      <c r="E16" t="s">
        <v>94</v>
      </c>
      <c r="F16" t="s">
        <v>58</v>
      </c>
      <c r="G16" t="s">
        <v>74</v>
      </c>
      <c r="H16" t="s">
        <v>95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96</v>
      </c>
      <c r="B17" t="s">
        <v>14</v>
      </c>
      <c r="C17" t="s">
        <v>15</v>
      </c>
      <c r="D17" t="s">
        <v>97</v>
      </c>
      <c r="E17" t="s">
        <v>98</v>
      </c>
      <c r="F17" t="s">
        <v>42</v>
      </c>
      <c r="G17" t="s">
        <v>43</v>
      </c>
      <c r="H17" t="s">
        <v>99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100</v>
      </c>
      <c r="B18" t="s">
        <v>14</v>
      </c>
      <c r="C18" t="s">
        <v>15</v>
      </c>
      <c r="D18" t="s">
        <v>101</v>
      </c>
      <c r="E18" t="s">
        <v>102</v>
      </c>
      <c r="F18" t="s">
        <v>58</v>
      </c>
      <c r="G18" t="s">
        <v>74</v>
      </c>
      <c r="H18" t="s">
        <v>103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104</v>
      </c>
      <c r="B19" t="s">
        <v>14</v>
      </c>
      <c r="C19" t="s">
        <v>15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110</v>
      </c>
      <c r="B20" t="s">
        <v>14</v>
      </c>
      <c r="C20" t="s">
        <v>15</v>
      </c>
      <c r="D20" t="s">
        <v>111</v>
      </c>
      <c r="E20" t="s">
        <v>112</v>
      </c>
      <c r="F20" t="s">
        <v>31</v>
      </c>
      <c r="G20" t="s">
        <v>69</v>
      </c>
      <c r="H20" t="s">
        <v>113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114</v>
      </c>
      <c r="B21" t="s">
        <v>14</v>
      </c>
      <c r="C21" t="s">
        <v>15</v>
      </c>
      <c r="D21" t="s">
        <v>115</v>
      </c>
      <c r="E21" t="s">
        <v>116</v>
      </c>
      <c r="F21" t="s">
        <v>107</v>
      </c>
      <c r="G21" t="s">
        <v>117</v>
      </c>
      <c r="H21" t="s">
        <v>118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119</v>
      </c>
      <c r="B22" t="s">
        <v>14</v>
      </c>
      <c r="C22" t="s">
        <v>15</v>
      </c>
      <c r="D22" t="s">
        <v>120</v>
      </c>
      <c r="E22" t="s">
        <v>121</v>
      </c>
      <c r="F22" t="s">
        <v>107</v>
      </c>
      <c r="G22" t="s">
        <v>122</v>
      </c>
      <c r="H22" t="s">
        <v>123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124</v>
      </c>
      <c r="B23" t="s">
        <v>14</v>
      </c>
      <c r="C23" t="s">
        <v>15</v>
      </c>
      <c r="D23" t="s">
        <v>125</v>
      </c>
      <c r="E23" t="s">
        <v>126</v>
      </c>
      <c r="F23" t="s">
        <v>58</v>
      </c>
      <c r="G23" t="s">
        <v>127</v>
      </c>
      <c r="H23" t="s">
        <v>128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129</v>
      </c>
      <c r="B24" t="s">
        <v>14</v>
      </c>
      <c r="C24" t="s">
        <v>15</v>
      </c>
      <c r="D24" t="s">
        <v>130</v>
      </c>
      <c r="E24" t="s">
        <v>131</v>
      </c>
      <c r="F24" t="s">
        <v>58</v>
      </c>
      <c r="G24" t="s">
        <v>127</v>
      </c>
      <c r="H24" t="s">
        <v>132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133</v>
      </c>
      <c r="B25" t="s">
        <v>14</v>
      </c>
      <c r="C25" t="s">
        <v>15</v>
      </c>
      <c r="D25" t="s">
        <v>134</v>
      </c>
      <c r="E25" t="s">
        <v>135</v>
      </c>
      <c r="F25" t="s">
        <v>136</v>
      </c>
      <c r="G25" t="s">
        <v>137</v>
      </c>
      <c r="H25" t="s">
        <v>138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139</v>
      </c>
      <c r="B26" t="s">
        <v>14</v>
      </c>
      <c r="C26" t="s">
        <v>15</v>
      </c>
      <c r="D26" t="s">
        <v>140</v>
      </c>
      <c r="E26" t="s">
        <v>141</v>
      </c>
      <c r="F26" t="s">
        <v>58</v>
      </c>
      <c r="G26" t="s">
        <v>59</v>
      </c>
      <c r="H26" t="s">
        <v>142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143</v>
      </c>
      <c r="B27" t="s">
        <v>14</v>
      </c>
      <c r="C27" t="s">
        <v>15</v>
      </c>
      <c r="D27" t="s">
        <v>144</v>
      </c>
      <c r="E27" t="s">
        <v>145</v>
      </c>
      <c r="F27" t="s">
        <v>52</v>
      </c>
      <c r="G27" t="s">
        <v>146</v>
      </c>
      <c r="H27" t="s">
        <v>147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148</v>
      </c>
      <c r="B28" t="s">
        <v>14</v>
      </c>
      <c r="C28" t="s">
        <v>15</v>
      </c>
      <c r="D28" t="s">
        <v>149</v>
      </c>
      <c r="E28" t="s">
        <v>150</v>
      </c>
      <c r="F28" t="s">
        <v>58</v>
      </c>
      <c r="G28" t="s">
        <v>127</v>
      </c>
      <c r="H28" t="s">
        <v>151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152</v>
      </c>
      <c r="B29" t="s">
        <v>14</v>
      </c>
      <c r="C29" t="s">
        <v>15</v>
      </c>
      <c r="D29" t="s">
        <v>153</v>
      </c>
      <c r="E29" t="s">
        <v>154</v>
      </c>
      <c r="F29" t="s">
        <v>58</v>
      </c>
      <c r="G29" t="s">
        <v>127</v>
      </c>
      <c r="H29" t="s">
        <v>155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156</v>
      </c>
      <c r="B30" t="s">
        <v>14</v>
      </c>
      <c r="C30" t="s">
        <v>15</v>
      </c>
      <c r="D30" t="s">
        <v>157</v>
      </c>
      <c r="E30" t="s">
        <v>158</v>
      </c>
      <c r="F30" t="s">
        <v>18</v>
      </c>
      <c r="G30" t="s">
        <v>159</v>
      </c>
      <c r="H30" t="s">
        <v>160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161</v>
      </c>
      <c r="B31" t="s">
        <v>14</v>
      </c>
      <c r="C31" t="s">
        <v>15</v>
      </c>
      <c r="D31" t="s">
        <v>162</v>
      </c>
      <c r="E31" t="s">
        <v>163</v>
      </c>
      <c r="F31" t="s">
        <v>58</v>
      </c>
      <c r="G31" t="s">
        <v>127</v>
      </c>
      <c r="H31" t="s">
        <v>164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165</v>
      </c>
      <c r="B32" t="s">
        <v>14</v>
      </c>
      <c r="C32" t="s">
        <v>15</v>
      </c>
      <c r="D32" t="s">
        <v>166</v>
      </c>
      <c r="E32" t="s">
        <v>167</v>
      </c>
      <c r="F32" t="s">
        <v>18</v>
      </c>
      <c r="G32" t="s">
        <v>19</v>
      </c>
      <c r="H32" t="s">
        <v>168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169</v>
      </c>
      <c r="B33" t="s">
        <v>14</v>
      </c>
      <c r="C33" t="s">
        <v>15</v>
      </c>
      <c r="D33" t="s">
        <v>170</v>
      </c>
      <c r="E33" t="s">
        <v>171</v>
      </c>
      <c r="F33" t="s">
        <v>18</v>
      </c>
      <c r="G33" t="s">
        <v>19</v>
      </c>
      <c r="H33" t="s">
        <v>172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173</v>
      </c>
      <c r="B34" t="s">
        <v>14</v>
      </c>
      <c r="C34" t="s">
        <v>15</v>
      </c>
      <c r="D34" t="s">
        <v>174</v>
      </c>
      <c r="E34" t="s">
        <v>175</v>
      </c>
      <c r="F34" t="s">
        <v>18</v>
      </c>
      <c r="G34" t="s">
        <v>19</v>
      </c>
      <c r="H34" t="s">
        <v>176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177</v>
      </c>
      <c r="B35" t="s">
        <v>14</v>
      </c>
      <c r="C35" t="s">
        <v>15</v>
      </c>
      <c r="D35" t="s">
        <v>178</v>
      </c>
      <c r="E35" t="s">
        <v>179</v>
      </c>
      <c r="F35" t="s">
        <v>31</v>
      </c>
      <c r="G35" t="s">
        <v>180</v>
      </c>
      <c r="H35" t="s">
        <v>181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182</v>
      </c>
      <c r="B36" t="s">
        <v>14</v>
      </c>
      <c r="C36" t="s">
        <v>15</v>
      </c>
      <c r="D36" t="s">
        <v>183</v>
      </c>
      <c r="E36" t="s">
        <v>184</v>
      </c>
      <c r="F36" t="s">
        <v>107</v>
      </c>
      <c r="G36" t="s">
        <v>108</v>
      </c>
      <c r="H36" t="s">
        <v>185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186</v>
      </c>
      <c r="B37" t="s">
        <v>14</v>
      </c>
      <c r="C37" t="s">
        <v>15</v>
      </c>
      <c r="D37" t="s">
        <v>187</v>
      </c>
      <c r="E37" t="s">
        <v>188</v>
      </c>
      <c r="F37" t="s">
        <v>58</v>
      </c>
      <c r="G37" t="s">
        <v>127</v>
      </c>
      <c r="H37" t="s">
        <v>189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190</v>
      </c>
      <c r="B38" t="s">
        <v>14</v>
      </c>
      <c r="C38" t="s">
        <v>15</v>
      </c>
      <c r="D38" t="s">
        <v>191</v>
      </c>
      <c r="E38" t="s">
        <v>192</v>
      </c>
      <c r="F38" t="s">
        <v>58</v>
      </c>
      <c r="G38" t="s">
        <v>127</v>
      </c>
      <c r="H38" t="s">
        <v>193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194</v>
      </c>
      <c r="B39" t="s">
        <v>14</v>
      </c>
      <c r="C39" t="s">
        <v>15</v>
      </c>
      <c r="D39" t="s">
        <v>195</v>
      </c>
      <c r="E39" t="s">
        <v>196</v>
      </c>
      <c r="F39" t="s">
        <v>52</v>
      </c>
      <c r="G39" t="s">
        <v>197</v>
      </c>
      <c r="H39" t="s">
        <v>198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199</v>
      </c>
      <c r="B40" t="s">
        <v>14</v>
      </c>
      <c r="C40" t="s">
        <v>15</v>
      </c>
      <c r="D40" t="s">
        <v>200</v>
      </c>
      <c r="E40" t="s">
        <v>201</v>
      </c>
      <c r="F40" t="s">
        <v>31</v>
      </c>
      <c r="G40" t="s">
        <v>202</v>
      </c>
      <c r="H40" t="s">
        <v>203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204</v>
      </c>
      <c r="B41" t="s">
        <v>14</v>
      </c>
      <c r="C41" t="s">
        <v>15</v>
      </c>
      <c r="D41" t="s">
        <v>205</v>
      </c>
      <c r="E41" t="s">
        <v>206</v>
      </c>
      <c r="F41" t="s">
        <v>31</v>
      </c>
      <c r="G41" t="s">
        <v>207</v>
      </c>
      <c r="H41" t="s">
        <v>208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209</v>
      </c>
      <c r="B42" t="s">
        <v>14</v>
      </c>
      <c r="C42" t="s">
        <v>15</v>
      </c>
      <c r="D42" t="s">
        <v>210</v>
      </c>
      <c r="E42" t="s">
        <v>211</v>
      </c>
      <c r="F42" t="s">
        <v>31</v>
      </c>
      <c r="G42" t="s">
        <v>37</v>
      </c>
      <c r="H42" t="s">
        <v>212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213</v>
      </c>
      <c r="B43" t="s">
        <v>14</v>
      </c>
      <c r="C43" t="s">
        <v>15</v>
      </c>
      <c r="D43" t="s">
        <v>214</v>
      </c>
      <c r="E43" t="s">
        <v>215</v>
      </c>
      <c r="F43" t="s">
        <v>84</v>
      </c>
      <c r="G43" t="s">
        <v>216</v>
      </c>
      <c r="H43" t="s">
        <v>217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218</v>
      </c>
      <c r="B44" t="s">
        <v>14</v>
      </c>
      <c r="C44" t="s">
        <v>15</v>
      </c>
      <c r="D44" t="s">
        <v>219</v>
      </c>
      <c r="E44" t="s">
        <v>220</v>
      </c>
      <c r="F44" t="s">
        <v>18</v>
      </c>
      <c r="G44" t="s">
        <v>19</v>
      </c>
      <c r="H44" t="s">
        <v>221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222</v>
      </c>
      <c r="B45" t="s">
        <v>14</v>
      </c>
      <c r="C45" t="s">
        <v>15</v>
      </c>
      <c r="D45" t="s">
        <v>223</v>
      </c>
      <c r="E45" t="s">
        <v>224</v>
      </c>
      <c r="F45" t="s">
        <v>31</v>
      </c>
      <c r="G45" t="s">
        <v>225</v>
      </c>
      <c r="H45" t="s">
        <v>226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227</v>
      </c>
      <c r="B46" t="s">
        <v>14</v>
      </c>
      <c r="C46" t="s">
        <v>15</v>
      </c>
      <c r="D46" t="s">
        <v>228</v>
      </c>
      <c r="E46" t="s">
        <v>229</v>
      </c>
      <c r="F46" t="s">
        <v>31</v>
      </c>
      <c r="G46" t="s">
        <v>230</v>
      </c>
      <c r="H46" t="s">
        <v>231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232</v>
      </c>
      <c r="B47" t="s">
        <v>14</v>
      </c>
      <c r="C47" t="s">
        <v>15</v>
      </c>
      <c r="D47" t="s">
        <v>233</v>
      </c>
      <c r="E47" t="s">
        <v>234</v>
      </c>
      <c r="F47" t="s">
        <v>31</v>
      </c>
      <c r="G47" t="s">
        <v>230</v>
      </c>
      <c r="H47" t="s">
        <v>235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236</v>
      </c>
      <c r="B48" t="s">
        <v>14</v>
      </c>
      <c r="C48" t="s">
        <v>15</v>
      </c>
      <c r="D48" t="s">
        <v>237</v>
      </c>
      <c r="E48" t="s">
        <v>238</v>
      </c>
      <c r="F48" t="s">
        <v>58</v>
      </c>
      <c r="G48" t="s">
        <v>59</v>
      </c>
      <c r="H48" t="s">
        <v>239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240</v>
      </c>
      <c r="B49" t="s">
        <v>14</v>
      </c>
      <c r="C49" t="s">
        <v>15</v>
      </c>
      <c r="D49" t="s">
        <v>241</v>
      </c>
      <c r="E49" t="s">
        <v>242</v>
      </c>
      <c r="F49" t="s">
        <v>243</v>
      </c>
      <c r="G49" t="s">
        <v>244</v>
      </c>
      <c r="H49" t="s">
        <v>245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246</v>
      </c>
      <c r="B50" t="s">
        <v>14</v>
      </c>
      <c r="C50" t="s">
        <v>15</v>
      </c>
      <c r="D50" t="s">
        <v>247</v>
      </c>
      <c r="E50" t="s">
        <v>248</v>
      </c>
      <c r="F50" t="s">
        <v>18</v>
      </c>
      <c r="G50" t="s">
        <v>249</v>
      </c>
      <c r="H50" t="s">
        <v>250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251</v>
      </c>
      <c r="B51" t="s">
        <v>14</v>
      </c>
      <c r="C51" t="s">
        <v>15</v>
      </c>
      <c r="D51" t="s">
        <v>252</v>
      </c>
      <c r="E51" t="s">
        <v>253</v>
      </c>
      <c r="F51" t="s">
        <v>31</v>
      </c>
      <c r="G51" t="s">
        <v>37</v>
      </c>
      <c r="H51" t="s">
        <v>254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255</v>
      </c>
      <c r="B52" t="s">
        <v>14</v>
      </c>
      <c r="C52" t="s">
        <v>15</v>
      </c>
      <c r="D52" t="s">
        <v>256</v>
      </c>
      <c r="E52" t="s">
        <v>257</v>
      </c>
      <c r="F52" t="s">
        <v>52</v>
      </c>
      <c r="G52" t="s">
        <v>258</v>
      </c>
      <c r="H52" t="s">
        <v>259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260</v>
      </c>
      <c r="B53" t="s">
        <v>14</v>
      </c>
      <c r="C53" t="s">
        <v>15</v>
      </c>
      <c r="D53" t="s">
        <v>261</v>
      </c>
      <c r="E53" t="s">
        <v>262</v>
      </c>
      <c r="F53" t="s">
        <v>52</v>
      </c>
      <c r="G53" t="s">
        <v>90</v>
      </c>
      <c r="H53" t="s">
        <v>263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264</v>
      </c>
      <c r="B54" t="s">
        <v>14</v>
      </c>
      <c r="C54" t="s">
        <v>15</v>
      </c>
      <c r="D54" t="s">
        <v>265</v>
      </c>
      <c r="E54" t="s">
        <v>266</v>
      </c>
      <c r="F54" t="s">
        <v>18</v>
      </c>
      <c r="G54" t="s">
        <v>19</v>
      </c>
      <c r="H54" t="s">
        <v>267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268</v>
      </c>
      <c r="B55" t="s">
        <v>14</v>
      </c>
      <c r="C55" t="s">
        <v>15</v>
      </c>
      <c r="D55" t="s">
        <v>269</v>
      </c>
      <c r="E55" t="s">
        <v>270</v>
      </c>
      <c r="F55" t="s">
        <v>18</v>
      </c>
      <c r="G55" t="s">
        <v>79</v>
      </c>
      <c r="H55" t="s">
        <v>271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272</v>
      </c>
      <c r="B56" t="s">
        <v>14</v>
      </c>
      <c r="C56" t="s">
        <v>15</v>
      </c>
      <c r="D56" t="s">
        <v>273</v>
      </c>
      <c r="E56" t="s">
        <v>274</v>
      </c>
      <c r="F56" t="s">
        <v>52</v>
      </c>
      <c r="G56" t="s">
        <v>275</v>
      </c>
      <c r="H56" t="s">
        <v>276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277</v>
      </c>
      <c r="B57" t="s">
        <v>14</v>
      </c>
      <c r="C57" t="s">
        <v>15</v>
      </c>
      <c r="D57" t="s">
        <v>278</v>
      </c>
      <c r="E57" t="s">
        <v>279</v>
      </c>
      <c r="F57" t="s">
        <v>58</v>
      </c>
      <c r="G57" t="s">
        <v>59</v>
      </c>
      <c r="H57" t="s">
        <v>280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281</v>
      </c>
      <c r="B58" t="s">
        <v>14</v>
      </c>
      <c r="C58" t="s">
        <v>15</v>
      </c>
      <c r="D58" t="s">
        <v>282</v>
      </c>
      <c r="E58" t="s">
        <v>283</v>
      </c>
      <c r="F58" t="s">
        <v>58</v>
      </c>
      <c r="G58" t="s">
        <v>59</v>
      </c>
      <c r="H58" t="s">
        <v>284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285</v>
      </c>
      <c r="B59" t="s">
        <v>14</v>
      </c>
      <c r="C59" t="s">
        <v>15</v>
      </c>
      <c r="D59" t="s">
        <v>286</v>
      </c>
      <c r="E59" t="s">
        <v>287</v>
      </c>
      <c r="F59" t="s">
        <v>31</v>
      </c>
      <c r="G59" t="s">
        <v>288</v>
      </c>
      <c r="H59" t="s">
        <v>289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290</v>
      </c>
      <c r="B60" t="s">
        <v>14</v>
      </c>
      <c r="C60" t="s">
        <v>15</v>
      </c>
      <c r="D60" t="s">
        <v>291</v>
      </c>
      <c r="E60" t="s">
        <v>292</v>
      </c>
      <c r="F60" t="s">
        <v>31</v>
      </c>
      <c r="G60" t="s">
        <v>288</v>
      </c>
      <c r="H60" t="s">
        <v>293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294</v>
      </c>
      <c r="B61" t="s">
        <v>14</v>
      </c>
      <c r="C61" t="s">
        <v>15</v>
      </c>
      <c r="D61" t="s">
        <v>295</v>
      </c>
      <c r="E61" t="s">
        <v>296</v>
      </c>
      <c r="F61" t="s">
        <v>52</v>
      </c>
      <c r="G61" t="s">
        <v>74</v>
      </c>
      <c r="H61" t="s">
        <v>297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298</v>
      </c>
      <c r="B62" t="s">
        <v>14</v>
      </c>
      <c r="C62" t="s">
        <v>15</v>
      </c>
      <c r="D62" t="s">
        <v>299</v>
      </c>
      <c r="E62" t="s">
        <v>300</v>
      </c>
      <c r="F62" t="s">
        <v>31</v>
      </c>
      <c r="G62" t="s">
        <v>301</v>
      </c>
      <c r="H62" t="s">
        <v>302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303</v>
      </c>
      <c r="B63" t="s">
        <v>14</v>
      </c>
      <c r="C63" t="s">
        <v>15</v>
      </c>
      <c r="D63" t="s">
        <v>304</v>
      </c>
      <c r="E63" t="s">
        <v>305</v>
      </c>
      <c r="F63" t="s">
        <v>58</v>
      </c>
      <c r="G63" t="s">
        <v>306</v>
      </c>
      <c r="H63" t="s">
        <v>307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308</v>
      </c>
      <c r="B64" t="s">
        <v>14</v>
      </c>
      <c r="C64" t="s">
        <v>15</v>
      </c>
      <c r="D64" t="s">
        <v>309</v>
      </c>
      <c r="E64" t="s">
        <v>310</v>
      </c>
      <c r="F64" t="s">
        <v>18</v>
      </c>
      <c r="G64" t="s">
        <v>19</v>
      </c>
      <c r="H64" t="s">
        <v>311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312</v>
      </c>
      <c r="B65" t="s">
        <v>14</v>
      </c>
      <c r="C65" t="s">
        <v>15</v>
      </c>
      <c r="D65" t="s">
        <v>313</v>
      </c>
      <c r="E65" t="s">
        <v>314</v>
      </c>
      <c r="F65" t="s">
        <v>52</v>
      </c>
      <c r="G65" t="s">
        <v>74</v>
      </c>
      <c r="H65" t="s">
        <v>315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316</v>
      </c>
      <c r="B66" t="s">
        <v>14</v>
      </c>
      <c r="C66" t="s">
        <v>15</v>
      </c>
      <c r="D66" t="s">
        <v>317</v>
      </c>
      <c r="E66" t="s">
        <v>318</v>
      </c>
      <c r="F66" t="s">
        <v>31</v>
      </c>
      <c r="G66" t="s">
        <v>32</v>
      </c>
      <c r="H66" t="s">
        <v>319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320</v>
      </c>
      <c r="B67" t="s">
        <v>14</v>
      </c>
      <c r="C67" t="s">
        <v>15</v>
      </c>
      <c r="D67" t="s">
        <v>321</v>
      </c>
      <c r="E67" t="s">
        <v>322</v>
      </c>
      <c r="F67" t="s">
        <v>31</v>
      </c>
      <c r="G67" t="s">
        <v>323</v>
      </c>
      <c r="H67" t="s">
        <v>324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325</v>
      </c>
      <c r="B68" t="s">
        <v>14</v>
      </c>
      <c r="C68" t="s">
        <v>15</v>
      </c>
      <c r="D68" t="s">
        <v>326</v>
      </c>
      <c r="E68" t="s">
        <v>327</v>
      </c>
      <c r="F68" t="s">
        <v>31</v>
      </c>
      <c r="G68" t="s">
        <v>328</v>
      </c>
      <c r="H68" t="s">
        <v>329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330</v>
      </c>
      <c r="B69" t="s">
        <v>14</v>
      </c>
      <c r="C69" t="s">
        <v>15</v>
      </c>
      <c r="D69" t="s">
        <v>331</v>
      </c>
      <c r="E69" t="s">
        <v>332</v>
      </c>
      <c r="F69" t="s">
        <v>31</v>
      </c>
      <c r="G69" t="s">
        <v>328</v>
      </c>
      <c r="H69" t="s">
        <v>333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334</v>
      </c>
      <c r="B70" t="s">
        <v>14</v>
      </c>
      <c r="C70" t="s">
        <v>15</v>
      </c>
      <c r="D70" t="s">
        <v>335</v>
      </c>
      <c r="E70" t="s">
        <v>336</v>
      </c>
      <c r="F70" t="s">
        <v>18</v>
      </c>
      <c r="G70" t="s">
        <v>337</v>
      </c>
      <c r="H70" t="s">
        <v>338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339</v>
      </c>
      <c r="B71" t="s">
        <v>14</v>
      </c>
      <c r="C71" t="s">
        <v>15</v>
      </c>
      <c r="D71" t="s">
        <v>340</v>
      </c>
      <c r="E71" t="s">
        <v>341</v>
      </c>
      <c r="F71" t="s">
        <v>31</v>
      </c>
      <c r="G71" t="s">
        <v>288</v>
      </c>
      <c r="H71" t="s">
        <v>342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343</v>
      </c>
      <c r="B72" t="s">
        <v>14</v>
      </c>
      <c r="C72" t="s">
        <v>15</v>
      </c>
      <c r="D72" t="s">
        <v>344</v>
      </c>
      <c r="E72" t="s">
        <v>345</v>
      </c>
      <c r="F72" t="s">
        <v>136</v>
      </c>
      <c r="G72" t="s">
        <v>346</v>
      </c>
      <c r="H72" t="s">
        <v>347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348</v>
      </c>
      <c r="B73" t="s">
        <v>14</v>
      </c>
      <c r="C73" t="s">
        <v>15</v>
      </c>
      <c r="D73" t="s">
        <v>349</v>
      </c>
      <c r="E73" t="s">
        <v>350</v>
      </c>
      <c r="F73" t="s">
        <v>18</v>
      </c>
      <c r="G73" t="s">
        <v>351</v>
      </c>
      <c r="H73" t="s">
        <v>352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353</v>
      </c>
      <c r="B74" t="s">
        <v>14</v>
      </c>
      <c r="C74" t="s">
        <v>15</v>
      </c>
      <c r="D74" t="s">
        <v>354</v>
      </c>
      <c r="E74" t="s">
        <v>355</v>
      </c>
      <c r="F74" t="s">
        <v>58</v>
      </c>
      <c r="G74" t="s">
        <v>59</v>
      </c>
      <c r="H74" t="s">
        <v>356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357</v>
      </c>
      <c r="B75" t="s">
        <v>14</v>
      </c>
      <c r="C75" t="s">
        <v>15</v>
      </c>
      <c r="D75" t="s">
        <v>358</v>
      </c>
      <c r="E75" t="s">
        <v>359</v>
      </c>
      <c r="F75" t="s">
        <v>31</v>
      </c>
      <c r="G75" t="s">
        <v>32</v>
      </c>
      <c r="H75" t="s">
        <v>360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361</v>
      </c>
      <c r="B76" t="s">
        <v>14</v>
      </c>
      <c r="C76" t="s">
        <v>15</v>
      </c>
      <c r="D76" t="s">
        <v>362</v>
      </c>
      <c r="E76" t="s">
        <v>363</v>
      </c>
      <c r="F76" t="s">
        <v>52</v>
      </c>
      <c r="G76" t="s">
        <v>74</v>
      </c>
      <c r="H76" t="s">
        <v>364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365</v>
      </c>
      <c r="B77" t="s">
        <v>14</v>
      </c>
      <c r="C77" t="s">
        <v>15</v>
      </c>
      <c r="D77" t="s">
        <v>366</v>
      </c>
      <c r="E77" t="s">
        <v>367</v>
      </c>
      <c r="F77" t="s">
        <v>31</v>
      </c>
      <c r="G77" t="s">
        <v>225</v>
      </c>
      <c r="H77" t="s">
        <v>368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369</v>
      </c>
      <c r="B78" t="s">
        <v>14</v>
      </c>
      <c r="C78" t="s">
        <v>15</v>
      </c>
      <c r="D78" t="s">
        <v>370</v>
      </c>
      <c r="E78" t="s">
        <v>371</v>
      </c>
      <c r="F78" t="s">
        <v>31</v>
      </c>
      <c r="G78" t="s">
        <v>372</v>
      </c>
      <c r="H78" t="s">
        <v>373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374</v>
      </c>
      <c r="B79" t="s">
        <v>14</v>
      </c>
      <c r="C79" t="s">
        <v>15</v>
      </c>
      <c r="D79" t="s">
        <v>375</v>
      </c>
      <c r="E79" t="s">
        <v>376</v>
      </c>
      <c r="F79" t="s">
        <v>31</v>
      </c>
      <c r="G79" t="s">
        <v>377</v>
      </c>
      <c r="H79" t="s">
        <v>378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379</v>
      </c>
      <c r="B80" t="s">
        <v>14</v>
      </c>
      <c r="C80" t="s">
        <v>15</v>
      </c>
      <c r="D80" t="s">
        <v>380</v>
      </c>
      <c r="E80" t="s">
        <v>381</v>
      </c>
      <c r="F80" t="s">
        <v>42</v>
      </c>
      <c r="G80" t="s">
        <v>382</v>
      </c>
      <c r="H80" t="s">
        <v>383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384</v>
      </c>
      <c r="B81" t="s">
        <v>14</v>
      </c>
      <c r="C81" t="s">
        <v>15</v>
      </c>
      <c r="D81" t="s">
        <v>385</v>
      </c>
      <c r="E81" t="s">
        <v>386</v>
      </c>
      <c r="F81" t="s">
        <v>58</v>
      </c>
      <c r="G81" t="s">
        <v>387</v>
      </c>
      <c r="H81" t="s">
        <v>388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389</v>
      </c>
      <c r="B82" t="s">
        <v>14</v>
      </c>
      <c r="C82" t="s">
        <v>15</v>
      </c>
      <c r="D82" t="s">
        <v>390</v>
      </c>
      <c r="E82" t="s">
        <v>391</v>
      </c>
      <c r="F82" t="s">
        <v>31</v>
      </c>
      <c r="G82" t="s">
        <v>392</v>
      </c>
      <c r="H82" t="s">
        <v>393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394</v>
      </c>
      <c r="B83" t="s">
        <v>14</v>
      </c>
      <c r="C83" t="s">
        <v>15</v>
      </c>
      <c r="D83" t="s">
        <v>395</v>
      </c>
      <c r="E83" t="s">
        <v>396</v>
      </c>
      <c r="F83" t="s">
        <v>31</v>
      </c>
      <c r="G83" t="s">
        <v>397</v>
      </c>
      <c r="H83" t="s">
        <v>398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399</v>
      </c>
      <c r="B84" t="s">
        <v>14</v>
      </c>
      <c r="C84" t="s">
        <v>15</v>
      </c>
      <c r="D84" t="s">
        <v>400</v>
      </c>
      <c r="E84" t="s">
        <v>401</v>
      </c>
      <c r="F84" t="s">
        <v>31</v>
      </c>
      <c r="G84" t="s">
        <v>402</v>
      </c>
      <c r="H84" t="s">
        <v>403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404</v>
      </c>
      <c r="B85" t="s">
        <v>14</v>
      </c>
      <c r="C85" t="s">
        <v>15</v>
      </c>
      <c r="D85" t="s">
        <v>405</v>
      </c>
      <c r="E85" t="s">
        <v>406</v>
      </c>
      <c r="F85" t="s">
        <v>58</v>
      </c>
      <c r="G85" t="s">
        <v>407</v>
      </c>
      <c r="H85" t="s">
        <v>408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409</v>
      </c>
      <c r="B86" t="s">
        <v>14</v>
      </c>
      <c r="C86" t="s">
        <v>15</v>
      </c>
      <c r="D86" t="s">
        <v>410</v>
      </c>
      <c r="E86" t="s">
        <v>411</v>
      </c>
      <c r="F86" t="s">
        <v>58</v>
      </c>
      <c r="G86" t="s">
        <v>407</v>
      </c>
      <c r="H86" t="s">
        <v>412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413</v>
      </c>
      <c r="B87" t="s">
        <v>14</v>
      </c>
      <c r="C87" t="s">
        <v>15</v>
      </c>
      <c r="D87" t="s">
        <v>414</v>
      </c>
      <c r="E87" t="s">
        <v>415</v>
      </c>
      <c r="F87" t="s">
        <v>42</v>
      </c>
      <c r="G87" t="s">
        <v>43</v>
      </c>
      <c r="H87" t="s">
        <v>416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417</v>
      </c>
      <c r="B88" t="s">
        <v>14</v>
      </c>
      <c r="C88" t="s">
        <v>15</v>
      </c>
      <c r="D88" t="s">
        <v>418</v>
      </c>
      <c r="E88" t="s">
        <v>419</v>
      </c>
      <c r="F88" t="s">
        <v>42</v>
      </c>
      <c r="G88" t="s">
        <v>382</v>
      </c>
      <c r="H88" t="s">
        <v>420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421</v>
      </c>
      <c r="B89" t="s">
        <v>14</v>
      </c>
      <c r="C89" t="s">
        <v>15</v>
      </c>
      <c r="D89" t="s">
        <v>422</v>
      </c>
      <c r="E89" t="s">
        <v>423</v>
      </c>
      <c r="F89" t="s">
        <v>31</v>
      </c>
      <c r="G89" t="s">
        <v>392</v>
      </c>
      <c r="H89" t="s">
        <v>424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425</v>
      </c>
      <c r="B90" t="s">
        <v>14</v>
      </c>
      <c r="C90" t="s">
        <v>15</v>
      </c>
      <c r="D90" t="s">
        <v>426</v>
      </c>
      <c r="E90" t="s">
        <v>427</v>
      </c>
      <c r="F90" t="s">
        <v>31</v>
      </c>
      <c r="G90" t="s">
        <v>428</v>
      </c>
      <c r="H90" t="s">
        <v>429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430</v>
      </c>
      <c r="B91" t="s">
        <v>14</v>
      </c>
      <c r="C91" t="s">
        <v>15</v>
      </c>
      <c r="D91" t="s">
        <v>431</v>
      </c>
      <c r="E91" t="s">
        <v>432</v>
      </c>
      <c r="F91" t="s">
        <v>31</v>
      </c>
      <c r="G91" t="s">
        <v>328</v>
      </c>
      <c r="H91" t="s">
        <v>433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434</v>
      </c>
      <c r="B92" t="s">
        <v>14</v>
      </c>
      <c r="C92" t="s">
        <v>15</v>
      </c>
      <c r="D92" t="s">
        <v>435</v>
      </c>
      <c r="E92" t="s">
        <v>436</v>
      </c>
      <c r="F92" t="s">
        <v>31</v>
      </c>
      <c r="G92" t="s">
        <v>323</v>
      </c>
      <c r="H92" t="s">
        <v>437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438</v>
      </c>
      <c r="B93" t="s">
        <v>14</v>
      </c>
      <c r="C93" t="s">
        <v>15</v>
      </c>
      <c r="D93" t="s">
        <v>439</v>
      </c>
      <c r="E93" t="s">
        <v>440</v>
      </c>
      <c r="F93" t="s">
        <v>31</v>
      </c>
      <c r="G93" t="s">
        <v>230</v>
      </c>
      <c r="H93" t="s">
        <v>441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442</v>
      </c>
      <c r="B94" t="s">
        <v>14</v>
      </c>
      <c r="C94" t="s">
        <v>15</v>
      </c>
      <c r="D94" t="s">
        <v>443</v>
      </c>
      <c r="E94" t="s">
        <v>444</v>
      </c>
      <c r="F94" t="s">
        <v>31</v>
      </c>
      <c r="G94" t="s">
        <v>288</v>
      </c>
      <c r="H94" t="s">
        <v>445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446</v>
      </c>
      <c r="B95" t="s">
        <v>14</v>
      </c>
      <c r="C95" t="s">
        <v>15</v>
      </c>
      <c r="D95" t="s">
        <v>447</v>
      </c>
      <c r="E95" t="s">
        <v>448</v>
      </c>
      <c r="F95" t="s">
        <v>31</v>
      </c>
      <c r="G95" t="s">
        <v>449</v>
      </c>
      <c r="H95" t="s">
        <v>450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451</v>
      </c>
      <c r="B96" t="s">
        <v>14</v>
      </c>
      <c r="C96" t="s">
        <v>15</v>
      </c>
      <c r="D96" t="s">
        <v>452</v>
      </c>
      <c r="E96" t="s">
        <v>453</v>
      </c>
      <c r="F96" t="s">
        <v>18</v>
      </c>
      <c r="G96" t="s">
        <v>19</v>
      </c>
      <c r="H96" t="s">
        <v>454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455</v>
      </c>
      <c r="B97" t="s">
        <v>14</v>
      </c>
      <c r="C97" t="s">
        <v>15</v>
      </c>
      <c r="D97" t="s">
        <v>456</v>
      </c>
      <c r="E97" t="s">
        <v>457</v>
      </c>
      <c r="F97" t="s">
        <v>42</v>
      </c>
      <c r="G97" t="s">
        <v>458</v>
      </c>
      <c r="H97" t="s">
        <v>459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460</v>
      </c>
      <c r="B98" t="s">
        <v>14</v>
      </c>
      <c r="C98" t="s">
        <v>15</v>
      </c>
      <c r="D98" t="s">
        <v>461</v>
      </c>
      <c r="E98" t="s">
        <v>462</v>
      </c>
      <c r="F98" t="s">
        <v>58</v>
      </c>
      <c r="G98" t="s">
        <v>127</v>
      </c>
      <c r="H98" t="s">
        <v>463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464</v>
      </c>
      <c r="B99" t="s">
        <v>14</v>
      </c>
      <c r="C99" t="s">
        <v>15</v>
      </c>
      <c r="D99" t="s">
        <v>465</v>
      </c>
      <c r="E99" t="s">
        <v>466</v>
      </c>
      <c r="F99" t="s">
        <v>18</v>
      </c>
      <c r="G99" t="s">
        <v>64</v>
      </c>
      <c r="H99" t="s">
        <v>467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468</v>
      </c>
      <c r="B100" t="s">
        <v>14</v>
      </c>
      <c r="C100" t="s">
        <v>15</v>
      </c>
      <c r="D100" t="s">
        <v>469</v>
      </c>
      <c r="E100" t="s">
        <v>470</v>
      </c>
      <c r="F100" t="s">
        <v>18</v>
      </c>
      <c r="G100" t="s">
        <v>64</v>
      </c>
      <c r="H100" t="s">
        <v>471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472</v>
      </c>
      <c r="B101" t="s">
        <v>14</v>
      </c>
      <c r="C101" t="s">
        <v>15</v>
      </c>
      <c r="D101" t="s">
        <v>473</v>
      </c>
      <c r="E101" t="s">
        <v>474</v>
      </c>
      <c r="F101" t="s">
        <v>31</v>
      </c>
      <c r="G101" t="s">
        <v>475</v>
      </c>
      <c r="H101" t="s">
        <v>476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477</v>
      </c>
      <c r="B102" t="s">
        <v>14</v>
      </c>
      <c r="C102" t="s">
        <v>15</v>
      </c>
      <c r="D102" t="s">
        <v>478</v>
      </c>
      <c r="E102" t="s">
        <v>479</v>
      </c>
      <c r="F102" t="s">
        <v>18</v>
      </c>
      <c r="G102" t="s">
        <v>19</v>
      </c>
      <c r="H102" t="s">
        <v>480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481</v>
      </c>
      <c r="B103" t="s">
        <v>14</v>
      </c>
      <c r="C103" t="s">
        <v>15</v>
      </c>
      <c r="D103" t="s">
        <v>482</v>
      </c>
      <c r="E103" t="s">
        <v>483</v>
      </c>
      <c r="F103" t="s">
        <v>84</v>
      </c>
      <c r="G103" t="s">
        <v>484</v>
      </c>
      <c r="H103" t="s">
        <v>485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486</v>
      </c>
      <c r="B104" t="s">
        <v>14</v>
      </c>
      <c r="C104" t="s">
        <v>15</v>
      </c>
      <c r="D104" t="s">
        <v>487</v>
      </c>
      <c r="E104" t="s">
        <v>488</v>
      </c>
      <c r="F104" t="s">
        <v>58</v>
      </c>
      <c r="G104" t="s">
        <v>407</v>
      </c>
      <c r="H104" t="s">
        <v>489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490</v>
      </c>
      <c r="B105" t="s">
        <v>14</v>
      </c>
      <c r="C105" t="s">
        <v>15</v>
      </c>
      <c r="D105" t="s">
        <v>491</v>
      </c>
      <c r="E105" t="s">
        <v>492</v>
      </c>
      <c r="F105" t="s">
        <v>58</v>
      </c>
      <c r="G105" t="s">
        <v>127</v>
      </c>
      <c r="H105" t="s">
        <v>493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494</v>
      </c>
      <c r="B106" t="s">
        <v>14</v>
      </c>
      <c r="C106" t="s">
        <v>15</v>
      </c>
      <c r="D106" t="s">
        <v>495</v>
      </c>
      <c r="E106" t="s">
        <v>496</v>
      </c>
      <c r="F106" t="s">
        <v>58</v>
      </c>
      <c r="G106" t="s">
        <v>59</v>
      </c>
      <c r="H106" t="s">
        <v>497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498</v>
      </c>
      <c r="B107" t="s">
        <v>14</v>
      </c>
      <c r="C107" t="s">
        <v>15</v>
      </c>
      <c r="D107" t="s">
        <v>499</v>
      </c>
      <c r="E107" t="s">
        <v>500</v>
      </c>
      <c r="F107" t="s">
        <v>31</v>
      </c>
      <c r="G107" t="s">
        <v>37</v>
      </c>
      <c r="H107" t="s">
        <v>501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502</v>
      </c>
      <c r="B108" t="s">
        <v>14</v>
      </c>
      <c r="C108" t="s">
        <v>15</v>
      </c>
      <c r="D108" t="s">
        <v>503</v>
      </c>
      <c r="E108" t="s">
        <v>504</v>
      </c>
      <c r="F108" t="s">
        <v>52</v>
      </c>
      <c r="G108" t="s">
        <v>74</v>
      </c>
      <c r="H108" t="s">
        <v>505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506</v>
      </c>
      <c r="B109" t="s">
        <v>14</v>
      </c>
      <c r="C109" t="s">
        <v>15</v>
      </c>
      <c r="D109" t="s">
        <v>507</v>
      </c>
      <c r="E109" t="s">
        <v>508</v>
      </c>
      <c r="F109" t="s">
        <v>52</v>
      </c>
      <c r="G109" t="s">
        <v>275</v>
      </c>
      <c r="H109" t="s">
        <v>509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510</v>
      </c>
      <c r="B110" t="s">
        <v>14</v>
      </c>
      <c r="C110" t="s">
        <v>15</v>
      </c>
      <c r="D110" t="s">
        <v>511</v>
      </c>
      <c r="E110" t="s">
        <v>512</v>
      </c>
      <c r="F110" t="s">
        <v>31</v>
      </c>
      <c r="G110" t="s">
        <v>397</v>
      </c>
      <c r="H110" t="s">
        <v>513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514</v>
      </c>
      <c r="B111" t="s">
        <v>14</v>
      </c>
      <c r="C111" t="s">
        <v>15</v>
      </c>
      <c r="D111" t="s">
        <v>515</v>
      </c>
      <c r="E111" t="s">
        <v>516</v>
      </c>
      <c r="F111" t="s">
        <v>31</v>
      </c>
      <c r="G111" t="s">
        <v>517</v>
      </c>
      <c r="H111" t="s">
        <v>518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519</v>
      </c>
      <c r="B112" t="s">
        <v>14</v>
      </c>
      <c r="C112" t="s">
        <v>15</v>
      </c>
      <c r="D112" t="s">
        <v>520</v>
      </c>
      <c r="E112" t="s">
        <v>521</v>
      </c>
      <c r="F112" t="s">
        <v>31</v>
      </c>
      <c r="G112" t="s">
        <v>377</v>
      </c>
      <c r="H112" t="s">
        <v>522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523</v>
      </c>
      <c r="B113" t="s">
        <v>14</v>
      </c>
      <c r="C113" t="s">
        <v>15</v>
      </c>
      <c r="D113" t="s">
        <v>524</v>
      </c>
      <c r="E113" t="s">
        <v>525</v>
      </c>
      <c r="F113" t="s">
        <v>18</v>
      </c>
      <c r="G113" t="s">
        <v>19</v>
      </c>
      <c r="H113" t="s">
        <v>526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527</v>
      </c>
      <c r="B114" t="s">
        <v>14</v>
      </c>
      <c r="C114" t="s">
        <v>15</v>
      </c>
      <c r="D114" t="s">
        <v>528</v>
      </c>
      <c r="E114" t="s">
        <v>529</v>
      </c>
      <c r="F114" t="s">
        <v>31</v>
      </c>
      <c r="G114" t="s">
        <v>530</v>
      </c>
      <c r="H114" t="s">
        <v>531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532</v>
      </c>
      <c r="B115" t="s">
        <v>14</v>
      </c>
      <c r="C115" t="s">
        <v>15</v>
      </c>
      <c r="D115" t="s">
        <v>533</v>
      </c>
      <c r="E115" t="s">
        <v>534</v>
      </c>
      <c r="F115" t="s">
        <v>18</v>
      </c>
      <c r="G115" t="s">
        <v>19</v>
      </c>
      <c r="H115" t="s">
        <v>535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536</v>
      </c>
      <c r="B116" t="s">
        <v>14</v>
      </c>
      <c r="C116" t="s">
        <v>15</v>
      </c>
      <c r="D116" t="s">
        <v>537</v>
      </c>
      <c r="E116" t="s">
        <v>538</v>
      </c>
      <c r="F116" t="s">
        <v>31</v>
      </c>
      <c r="G116" t="s">
        <v>539</v>
      </c>
      <c r="H116" t="s">
        <v>540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541</v>
      </c>
      <c r="B117" t="s">
        <v>14</v>
      </c>
      <c r="C117" t="s">
        <v>15</v>
      </c>
      <c r="D117" t="s">
        <v>542</v>
      </c>
      <c r="E117" t="s">
        <v>543</v>
      </c>
      <c r="F117" t="s">
        <v>58</v>
      </c>
      <c r="G117" t="s">
        <v>407</v>
      </c>
      <c r="H117" t="s">
        <v>544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545</v>
      </c>
      <c r="B118" t="s">
        <v>14</v>
      </c>
      <c r="C118" t="s">
        <v>15</v>
      </c>
      <c r="D118" t="s">
        <v>546</v>
      </c>
      <c r="E118" t="s">
        <v>547</v>
      </c>
      <c r="F118" t="s">
        <v>31</v>
      </c>
      <c r="G118" t="s">
        <v>548</v>
      </c>
      <c r="H118" t="s">
        <v>549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550</v>
      </c>
      <c r="B119" t="s">
        <v>14</v>
      </c>
      <c r="C119" t="s">
        <v>15</v>
      </c>
      <c r="D119" t="s">
        <v>551</v>
      </c>
      <c r="E119" t="s">
        <v>552</v>
      </c>
      <c r="F119" t="s">
        <v>58</v>
      </c>
      <c r="G119" t="s">
        <v>59</v>
      </c>
      <c r="H119" t="s">
        <v>553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554</v>
      </c>
      <c r="B120" t="s">
        <v>14</v>
      </c>
      <c r="C120" t="s">
        <v>15</v>
      </c>
      <c r="D120" t="s">
        <v>555</v>
      </c>
      <c r="E120" t="s">
        <v>556</v>
      </c>
      <c r="F120" t="s">
        <v>107</v>
      </c>
      <c r="G120" t="s">
        <v>108</v>
      </c>
      <c r="H120" t="s">
        <v>557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558</v>
      </c>
      <c r="B121" t="s">
        <v>14</v>
      </c>
      <c r="C121" t="s">
        <v>15</v>
      </c>
      <c r="D121" t="s">
        <v>559</v>
      </c>
      <c r="E121" t="s">
        <v>560</v>
      </c>
      <c r="F121" t="s">
        <v>58</v>
      </c>
      <c r="G121" t="s">
        <v>127</v>
      </c>
      <c r="H121" t="s">
        <v>561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562</v>
      </c>
      <c r="B122" t="s">
        <v>14</v>
      </c>
      <c r="C122" t="s">
        <v>15</v>
      </c>
      <c r="D122" t="s">
        <v>563</v>
      </c>
      <c r="E122" t="s">
        <v>564</v>
      </c>
      <c r="F122" t="s">
        <v>107</v>
      </c>
      <c r="G122" t="s">
        <v>108</v>
      </c>
      <c r="H122" t="s">
        <v>565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566</v>
      </c>
      <c r="B123" t="s">
        <v>14</v>
      </c>
      <c r="C123" t="s">
        <v>15</v>
      </c>
      <c r="D123" t="s">
        <v>567</v>
      </c>
      <c r="E123" t="s">
        <v>568</v>
      </c>
      <c r="F123" t="s">
        <v>107</v>
      </c>
      <c r="G123" t="s">
        <v>108</v>
      </c>
      <c r="H123" t="s">
        <v>569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570</v>
      </c>
      <c r="B124" t="s">
        <v>14</v>
      </c>
      <c r="C124" t="s">
        <v>15</v>
      </c>
      <c r="D124" t="s">
        <v>571</v>
      </c>
      <c r="E124" t="s">
        <v>572</v>
      </c>
      <c r="F124" t="s">
        <v>31</v>
      </c>
      <c r="G124" t="s">
        <v>475</v>
      </c>
      <c r="H124" t="s">
        <v>573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574</v>
      </c>
      <c r="B125" t="s">
        <v>14</v>
      </c>
      <c r="C125" t="s">
        <v>15</v>
      </c>
      <c r="D125" t="s">
        <v>575</v>
      </c>
      <c r="E125" t="s">
        <v>576</v>
      </c>
      <c r="F125" t="s">
        <v>18</v>
      </c>
      <c r="G125" t="s">
        <v>64</v>
      </c>
      <c r="H125" t="s">
        <v>577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578</v>
      </c>
      <c r="B126" t="s">
        <v>14</v>
      </c>
      <c r="C126" t="s">
        <v>15</v>
      </c>
      <c r="D126" t="s">
        <v>579</v>
      </c>
      <c r="E126" t="s">
        <v>580</v>
      </c>
      <c r="F126" t="s">
        <v>107</v>
      </c>
      <c r="G126" t="s">
        <v>108</v>
      </c>
      <c r="H126" t="s">
        <v>581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582</v>
      </c>
      <c r="B127" t="s">
        <v>14</v>
      </c>
      <c r="C127" t="s">
        <v>15</v>
      </c>
      <c r="D127" t="s">
        <v>583</v>
      </c>
      <c r="E127" t="s">
        <v>584</v>
      </c>
      <c r="F127" t="s">
        <v>107</v>
      </c>
      <c r="G127" t="s">
        <v>382</v>
      </c>
      <c r="H127" t="s">
        <v>585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586</v>
      </c>
      <c r="B128" t="s">
        <v>14</v>
      </c>
      <c r="C128" t="s">
        <v>15</v>
      </c>
      <c r="D128" t="s">
        <v>587</v>
      </c>
      <c r="E128" t="s">
        <v>588</v>
      </c>
      <c r="F128" t="s">
        <v>58</v>
      </c>
      <c r="G128" t="s">
        <v>127</v>
      </c>
      <c r="H128" t="s">
        <v>589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590</v>
      </c>
      <c r="B129" t="s">
        <v>14</v>
      </c>
      <c r="C129" t="s">
        <v>15</v>
      </c>
      <c r="D129" t="s">
        <v>591</v>
      </c>
      <c r="E129" t="s">
        <v>592</v>
      </c>
      <c r="F129" t="s">
        <v>107</v>
      </c>
      <c r="G129" t="s">
        <v>108</v>
      </c>
      <c r="H129" t="s">
        <v>593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594</v>
      </c>
      <c r="B130" t="s">
        <v>14</v>
      </c>
      <c r="C130" t="s">
        <v>15</v>
      </c>
      <c r="D130" t="s">
        <v>595</v>
      </c>
      <c r="E130" t="s">
        <v>596</v>
      </c>
      <c r="F130" t="s">
        <v>107</v>
      </c>
      <c r="G130" t="s">
        <v>597</v>
      </c>
      <c r="H130" t="s">
        <v>598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599</v>
      </c>
      <c r="B131" t="s">
        <v>14</v>
      </c>
      <c r="C131" t="s">
        <v>15</v>
      </c>
      <c r="D131" t="s">
        <v>600</v>
      </c>
      <c r="E131" t="s">
        <v>601</v>
      </c>
      <c r="F131" t="s">
        <v>107</v>
      </c>
      <c r="G131" t="s">
        <v>597</v>
      </c>
      <c r="H131" t="s">
        <v>602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603</v>
      </c>
      <c r="B132" t="s">
        <v>14</v>
      </c>
      <c r="C132" t="s">
        <v>15</v>
      </c>
      <c r="D132" t="s">
        <v>604</v>
      </c>
      <c r="E132" t="s">
        <v>605</v>
      </c>
      <c r="F132" t="s">
        <v>107</v>
      </c>
      <c r="G132" t="s">
        <v>597</v>
      </c>
      <c r="H132" t="s">
        <v>606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607</v>
      </c>
      <c r="B133" t="s">
        <v>14</v>
      </c>
      <c r="C133" t="s">
        <v>15</v>
      </c>
      <c r="D133" t="s">
        <v>608</v>
      </c>
      <c r="E133" t="s">
        <v>609</v>
      </c>
      <c r="F133" t="s">
        <v>58</v>
      </c>
      <c r="G133" t="s">
        <v>59</v>
      </c>
      <c r="H133" t="s">
        <v>610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611</v>
      </c>
      <c r="B134" t="s">
        <v>14</v>
      </c>
      <c r="C134" t="s">
        <v>15</v>
      </c>
      <c r="D134" t="s">
        <v>612</v>
      </c>
      <c r="E134" t="s">
        <v>613</v>
      </c>
      <c r="F134" t="s">
        <v>58</v>
      </c>
      <c r="G134" t="s">
        <v>59</v>
      </c>
      <c r="H134" t="s">
        <v>614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615</v>
      </c>
      <c r="B135" t="s">
        <v>14</v>
      </c>
      <c r="C135" t="s">
        <v>15</v>
      </c>
      <c r="D135" t="s">
        <v>616</v>
      </c>
      <c r="E135" t="s">
        <v>617</v>
      </c>
      <c r="F135" t="s">
        <v>58</v>
      </c>
      <c r="G135" t="s">
        <v>407</v>
      </c>
      <c r="H135" t="s">
        <v>618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619</v>
      </c>
      <c r="B136" t="s">
        <v>14</v>
      </c>
      <c r="C136" t="s">
        <v>15</v>
      </c>
      <c r="D136" t="s">
        <v>620</v>
      </c>
      <c r="E136" t="s">
        <v>621</v>
      </c>
      <c r="F136" t="s">
        <v>18</v>
      </c>
      <c r="G136" t="s">
        <v>622</v>
      </c>
      <c r="H136" t="s">
        <v>623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624</v>
      </c>
      <c r="B137" t="s">
        <v>14</v>
      </c>
      <c r="C137" t="s">
        <v>15</v>
      </c>
      <c r="D137" t="s">
        <v>625</v>
      </c>
      <c r="E137" t="s">
        <v>626</v>
      </c>
      <c r="F137" t="s">
        <v>31</v>
      </c>
      <c r="G137" t="s">
        <v>225</v>
      </c>
      <c r="H137" t="s">
        <v>627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628</v>
      </c>
      <c r="B138" t="s">
        <v>14</v>
      </c>
      <c r="C138" t="s">
        <v>15</v>
      </c>
      <c r="D138" t="s">
        <v>629</v>
      </c>
      <c r="E138" t="s">
        <v>630</v>
      </c>
      <c r="F138" t="s">
        <v>42</v>
      </c>
      <c r="G138" t="s">
        <v>458</v>
      </c>
      <c r="H138" t="s">
        <v>631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632</v>
      </c>
      <c r="B139" t="s">
        <v>14</v>
      </c>
      <c r="C139" t="s">
        <v>15</v>
      </c>
      <c r="D139" t="s">
        <v>633</v>
      </c>
      <c r="E139" t="s">
        <v>634</v>
      </c>
      <c r="F139" t="s">
        <v>42</v>
      </c>
      <c r="G139" t="s">
        <v>458</v>
      </c>
      <c r="H139" t="s">
        <v>635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636</v>
      </c>
      <c r="B140" t="s">
        <v>14</v>
      </c>
      <c r="C140" t="s">
        <v>15</v>
      </c>
      <c r="D140" t="s">
        <v>637</v>
      </c>
      <c r="E140" t="s">
        <v>638</v>
      </c>
      <c r="F140" t="s">
        <v>18</v>
      </c>
      <c r="G140" t="s">
        <v>19</v>
      </c>
      <c r="H140" t="s">
        <v>639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640</v>
      </c>
      <c r="B141" t="s">
        <v>14</v>
      </c>
      <c r="C141" t="s">
        <v>15</v>
      </c>
      <c r="D141" t="s">
        <v>641</v>
      </c>
      <c r="E141" t="s">
        <v>642</v>
      </c>
      <c r="F141" t="s">
        <v>58</v>
      </c>
      <c r="G141" t="s">
        <v>127</v>
      </c>
      <c r="H141" t="s">
        <v>643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644</v>
      </c>
      <c r="B142" t="s">
        <v>14</v>
      </c>
      <c r="C142" t="s">
        <v>15</v>
      </c>
      <c r="D142" t="s">
        <v>645</v>
      </c>
      <c r="E142" t="s">
        <v>646</v>
      </c>
      <c r="F142" t="s">
        <v>18</v>
      </c>
      <c r="G142" t="s">
        <v>79</v>
      </c>
      <c r="H142" t="s">
        <v>647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648</v>
      </c>
      <c r="B143" t="s">
        <v>14</v>
      </c>
      <c r="C143" t="s">
        <v>15</v>
      </c>
      <c r="D143" t="s">
        <v>649</v>
      </c>
      <c r="E143" t="s">
        <v>650</v>
      </c>
      <c r="F143" t="s">
        <v>31</v>
      </c>
      <c r="G143" t="s">
        <v>230</v>
      </c>
      <c r="H143" t="s">
        <v>651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652</v>
      </c>
      <c r="B144" t="s">
        <v>14</v>
      </c>
      <c r="C144" t="s">
        <v>15</v>
      </c>
      <c r="D144" t="s">
        <v>653</v>
      </c>
      <c r="E144" t="s">
        <v>654</v>
      </c>
      <c r="F144" t="s">
        <v>52</v>
      </c>
      <c r="G144" t="s">
        <v>74</v>
      </c>
      <c r="H144" t="s">
        <v>655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656</v>
      </c>
      <c r="B145" t="s">
        <v>14</v>
      </c>
      <c r="C145" t="s">
        <v>15</v>
      </c>
      <c r="D145" t="s">
        <v>657</v>
      </c>
      <c r="E145" t="s">
        <v>658</v>
      </c>
      <c r="F145" t="s">
        <v>18</v>
      </c>
      <c r="G145" t="s">
        <v>79</v>
      </c>
      <c r="H145" t="s">
        <v>659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660</v>
      </c>
      <c r="B146" t="s">
        <v>14</v>
      </c>
      <c r="C146" t="s">
        <v>15</v>
      </c>
      <c r="D146" t="s">
        <v>661</v>
      </c>
      <c r="E146" t="s">
        <v>662</v>
      </c>
      <c r="F146" t="s">
        <v>52</v>
      </c>
      <c r="G146" t="s">
        <v>663</v>
      </c>
      <c r="H146" t="s">
        <v>664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665</v>
      </c>
      <c r="B147" t="s">
        <v>14</v>
      </c>
      <c r="C147" t="s">
        <v>15</v>
      </c>
      <c r="D147" t="s">
        <v>666</v>
      </c>
      <c r="E147" t="s">
        <v>667</v>
      </c>
      <c r="F147" t="s">
        <v>18</v>
      </c>
      <c r="G147" t="s">
        <v>64</v>
      </c>
      <c r="H147" t="s">
        <v>668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669</v>
      </c>
      <c r="B148" t="s">
        <v>14</v>
      </c>
      <c r="C148" t="s">
        <v>15</v>
      </c>
      <c r="D148" t="s">
        <v>670</v>
      </c>
      <c r="E148" t="s">
        <v>671</v>
      </c>
      <c r="F148" t="s">
        <v>18</v>
      </c>
      <c r="G148" t="s">
        <v>19</v>
      </c>
      <c r="H148" t="s">
        <v>672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673</v>
      </c>
      <c r="B149" t="s">
        <v>14</v>
      </c>
      <c r="C149" t="s">
        <v>15</v>
      </c>
      <c r="D149" t="s">
        <v>674</v>
      </c>
      <c r="E149" t="s">
        <v>675</v>
      </c>
      <c r="F149" t="s">
        <v>42</v>
      </c>
      <c r="G149" t="s">
        <v>74</v>
      </c>
      <c r="H149" t="s">
        <v>676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677</v>
      </c>
      <c r="B150" t="s">
        <v>14</v>
      </c>
      <c r="C150" t="s">
        <v>15</v>
      </c>
      <c r="D150" t="s">
        <v>678</v>
      </c>
      <c r="E150" t="s">
        <v>679</v>
      </c>
      <c r="F150" t="s">
        <v>107</v>
      </c>
      <c r="G150" t="s">
        <v>108</v>
      </c>
      <c r="H150" t="s">
        <v>680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681</v>
      </c>
      <c r="B151" t="s">
        <v>14</v>
      </c>
      <c r="C151" t="s">
        <v>15</v>
      </c>
      <c r="D151" t="s">
        <v>682</v>
      </c>
      <c r="E151" t="s">
        <v>683</v>
      </c>
      <c r="F151" t="s">
        <v>31</v>
      </c>
      <c r="G151" t="s">
        <v>377</v>
      </c>
      <c r="H151" t="s">
        <v>684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685</v>
      </c>
      <c r="B152" t="s">
        <v>14</v>
      </c>
      <c r="C152" t="s">
        <v>15</v>
      </c>
      <c r="D152" t="s">
        <v>686</v>
      </c>
      <c r="E152" t="s">
        <v>687</v>
      </c>
      <c r="F152" t="s">
        <v>31</v>
      </c>
      <c r="G152" t="s">
        <v>225</v>
      </c>
      <c r="H152" t="s">
        <v>688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689</v>
      </c>
      <c r="B153" t="s">
        <v>14</v>
      </c>
      <c r="C153" t="s">
        <v>15</v>
      </c>
      <c r="D153" t="s">
        <v>690</v>
      </c>
      <c r="E153" t="s">
        <v>691</v>
      </c>
      <c r="F153" t="s">
        <v>31</v>
      </c>
      <c r="G153" t="s">
        <v>692</v>
      </c>
      <c r="H153" t="s">
        <v>693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694</v>
      </c>
      <c r="B154" t="s">
        <v>14</v>
      </c>
      <c r="C154" t="s">
        <v>15</v>
      </c>
      <c r="D154" t="s">
        <v>695</v>
      </c>
      <c r="E154" t="s">
        <v>696</v>
      </c>
      <c r="F154" t="s">
        <v>18</v>
      </c>
      <c r="G154" t="s">
        <v>19</v>
      </c>
      <c r="H154" t="s">
        <v>697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698</v>
      </c>
      <c r="B155" t="s">
        <v>14</v>
      </c>
      <c r="C155" t="s">
        <v>15</v>
      </c>
      <c r="D155" t="s">
        <v>699</v>
      </c>
      <c r="E155" t="s">
        <v>700</v>
      </c>
      <c r="F155" t="s">
        <v>31</v>
      </c>
      <c r="G155" t="s">
        <v>32</v>
      </c>
      <c r="H155" t="s">
        <v>701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702</v>
      </c>
      <c r="B156" t="s">
        <v>14</v>
      </c>
      <c r="C156" t="s">
        <v>15</v>
      </c>
      <c r="D156" t="s">
        <v>703</v>
      </c>
      <c r="E156" t="s">
        <v>704</v>
      </c>
      <c r="F156" t="s">
        <v>31</v>
      </c>
      <c r="G156" t="s">
        <v>137</v>
      </c>
      <c r="H156" t="s">
        <v>705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706</v>
      </c>
      <c r="B157" t="s">
        <v>14</v>
      </c>
      <c r="C157" t="s">
        <v>15</v>
      </c>
      <c r="D157" t="s">
        <v>707</v>
      </c>
      <c r="E157" t="s">
        <v>708</v>
      </c>
      <c r="F157" t="s">
        <v>31</v>
      </c>
      <c r="G157" t="s">
        <v>709</v>
      </c>
      <c r="H157" t="s">
        <v>710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711</v>
      </c>
      <c r="B158" t="s">
        <v>14</v>
      </c>
      <c r="C158" t="s">
        <v>15</v>
      </c>
      <c r="D158" t="s">
        <v>712</v>
      </c>
      <c r="E158" t="s">
        <v>713</v>
      </c>
      <c r="F158" t="s">
        <v>18</v>
      </c>
      <c r="G158" t="s">
        <v>26</v>
      </c>
      <c r="H158" t="s">
        <v>714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715</v>
      </c>
      <c r="B159" t="s">
        <v>14</v>
      </c>
      <c r="C159" t="s">
        <v>15</v>
      </c>
      <c r="D159" t="s">
        <v>716</v>
      </c>
      <c r="E159" t="s">
        <v>717</v>
      </c>
      <c r="F159" t="s">
        <v>52</v>
      </c>
      <c r="G159" t="s">
        <v>275</v>
      </c>
      <c r="H159" t="s">
        <v>718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719</v>
      </c>
      <c r="B160" t="s">
        <v>14</v>
      </c>
      <c r="C160" t="s">
        <v>15</v>
      </c>
      <c r="D160" t="s">
        <v>720</v>
      </c>
      <c r="E160" t="s">
        <v>721</v>
      </c>
      <c r="F160" t="s">
        <v>107</v>
      </c>
      <c r="G160" t="s">
        <v>597</v>
      </c>
      <c r="H160" t="s">
        <v>722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723</v>
      </c>
      <c r="B161" t="s">
        <v>14</v>
      </c>
      <c r="C161" t="s">
        <v>15</v>
      </c>
      <c r="D161" t="s">
        <v>724</v>
      </c>
      <c r="E161" t="s">
        <v>725</v>
      </c>
      <c r="F161" t="s">
        <v>84</v>
      </c>
      <c r="G161" t="s">
        <v>726</v>
      </c>
      <c r="H161" t="s">
        <v>727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728</v>
      </c>
      <c r="B162" t="s">
        <v>14</v>
      </c>
      <c r="C162" t="s">
        <v>15</v>
      </c>
      <c r="D162" t="s">
        <v>729</v>
      </c>
      <c r="E162" t="s">
        <v>730</v>
      </c>
      <c r="F162" t="s">
        <v>18</v>
      </c>
      <c r="G162" t="s">
        <v>64</v>
      </c>
      <c r="H162" t="s">
        <v>731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732</v>
      </c>
      <c r="B163" t="s">
        <v>14</v>
      </c>
      <c r="C163" t="s">
        <v>15</v>
      </c>
      <c r="D163" t="s">
        <v>733</v>
      </c>
      <c r="E163" t="s">
        <v>734</v>
      </c>
      <c r="F163" t="s">
        <v>18</v>
      </c>
      <c r="G163" t="s">
        <v>19</v>
      </c>
      <c r="H163" t="s">
        <v>735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736</v>
      </c>
      <c r="B164" t="s">
        <v>14</v>
      </c>
      <c r="C164" t="s">
        <v>15</v>
      </c>
      <c r="D164" t="s">
        <v>737</v>
      </c>
      <c r="E164" t="s">
        <v>738</v>
      </c>
      <c r="F164" t="s">
        <v>31</v>
      </c>
      <c r="G164" t="s">
        <v>739</v>
      </c>
      <c r="H164" t="s">
        <v>740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741</v>
      </c>
      <c r="B165" t="s">
        <v>14</v>
      </c>
      <c r="C165" t="s">
        <v>15</v>
      </c>
      <c r="D165" t="s">
        <v>742</v>
      </c>
      <c r="E165" t="s">
        <v>743</v>
      </c>
      <c r="F165" t="s">
        <v>107</v>
      </c>
      <c r="G165" t="s">
        <v>744</v>
      </c>
      <c r="H165" t="s">
        <v>745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746</v>
      </c>
      <c r="B166" t="s">
        <v>14</v>
      </c>
      <c r="C166" t="s">
        <v>15</v>
      </c>
      <c r="D166" t="s">
        <v>747</v>
      </c>
      <c r="E166" t="s">
        <v>748</v>
      </c>
      <c r="F166" t="s">
        <v>31</v>
      </c>
      <c r="G166" t="s">
        <v>749</v>
      </c>
      <c r="H166" t="s">
        <v>750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751</v>
      </c>
      <c r="B167" t="s">
        <v>14</v>
      </c>
      <c r="C167" t="s">
        <v>15</v>
      </c>
      <c r="D167" t="s">
        <v>752</v>
      </c>
      <c r="E167" t="s">
        <v>753</v>
      </c>
      <c r="F167" t="s">
        <v>31</v>
      </c>
      <c r="G167" t="s">
        <v>328</v>
      </c>
      <c r="H167" t="s">
        <v>754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755</v>
      </c>
      <c r="B168" t="s">
        <v>14</v>
      </c>
      <c r="C168" t="s">
        <v>15</v>
      </c>
      <c r="D168" t="s">
        <v>756</v>
      </c>
      <c r="E168" t="s">
        <v>757</v>
      </c>
      <c r="F168" t="s">
        <v>58</v>
      </c>
      <c r="G168" t="s">
        <v>59</v>
      </c>
      <c r="H168" t="s">
        <v>758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759</v>
      </c>
      <c r="B169" t="s">
        <v>14</v>
      </c>
      <c r="C169" t="s">
        <v>15</v>
      </c>
      <c r="D169" t="s">
        <v>760</v>
      </c>
      <c r="E169" t="s">
        <v>761</v>
      </c>
      <c r="F169" t="s">
        <v>58</v>
      </c>
      <c r="G169" t="s">
        <v>127</v>
      </c>
      <c r="H169" t="s">
        <v>762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763</v>
      </c>
      <c r="B170" t="s">
        <v>14</v>
      </c>
      <c r="C170" t="s">
        <v>15</v>
      </c>
      <c r="D170" t="s">
        <v>764</v>
      </c>
      <c r="E170" t="s">
        <v>765</v>
      </c>
      <c r="F170" t="s">
        <v>42</v>
      </c>
      <c r="G170" t="s">
        <v>458</v>
      </c>
      <c r="H170" t="s">
        <v>766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767</v>
      </c>
      <c r="B171" t="s">
        <v>14</v>
      </c>
      <c r="C171" t="s">
        <v>15</v>
      </c>
      <c r="D171" t="s">
        <v>768</v>
      </c>
      <c r="E171" t="s">
        <v>769</v>
      </c>
      <c r="F171" t="s">
        <v>18</v>
      </c>
      <c r="G171" t="s">
        <v>159</v>
      </c>
      <c r="H171" t="s">
        <v>770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771</v>
      </c>
      <c r="B172" t="s">
        <v>14</v>
      </c>
      <c r="C172" t="s">
        <v>15</v>
      </c>
      <c r="D172" t="s">
        <v>772</v>
      </c>
      <c r="E172" t="s">
        <v>773</v>
      </c>
      <c r="F172" t="s">
        <v>18</v>
      </c>
      <c r="G172" t="s">
        <v>64</v>
      </c>
      <c r="H172" t="s">
        <v>774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775</v>
      </c>
      <c r="B173" t="s">
        <v>14</v>
      </c>
      <c r="C173" t="s">
        <v>15</v>
      </c>
      <c r="D173" t="s">
        <v>776</v>
      </c>
      <c r="E173" t="s">
        <v>777</v>
      </c>
      <c r="F173" t="s">
        <v>107</v>
      </c>
      <c r="G173" t="s">
        <v>108</v>
      </c>
      <c r="H173" t="s">
        <v>778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779</v>
      </c>
      <c r="B174" t="s">
        <v>14</v>
      </c>
      <c r="C174" t="s">
        <v>15</v>
      </c>
      <c r="D174" t="s">
        <v>780</v>
      </c>
      <c r="E174" t="s">
        <v>781</v>
      </c>
      <c r="F174" t="s">
        <v>31</v>
      </c>
      <c r="G174" t="s">
        <v>709</v>
      </c>
      <c r="H174" t="s">
        <v>782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783</v>
      </c>
      <c r="B175" t="s">
        <v>14</v>
      </c>
      <c r="C175" t="s">
        <v>15</v>
      </c>
      <c r="D175" t="s">
        <v>784</v>
      </c>
      <c r="E175" t="s">
        <v>785</v>
      </c>
      <c r="F175" t="s">
        <v>31</v>
      </c>
      <c r="G175" t="s">
        <v>739</v>
      </c>
      <c r="H175" t="s">
        <v>786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787</v>
      </c>
      <c r="B176" t="s">
        <v>14</v>
      </c>
      <c r="C176" t="s">
        <v>15</v>
      </c>
      <c r="D176" t="s">
        <v>788</v>
      </c>
      <c r="E176" t="s">
        <v>789</v>
      </c>
      <c r="F176" t="s">
        <v>18</v>
      </c>
      <c r="G176" t="s">
        <v>19</v>
      </c>
      <c r="H176" t="s">
        <v>790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791</v>
      </c>
      <c r="B177" t="s">
        <v>14</v>
      </c>
      <c r="C177" t="s">
        <v>15</v>
      </c>
      <c r="D177" t="s">
        <v>792</v>
      </c>
      <c r="E177" t="s">
        <v>793</v>
      </c>
      <c r="F177" t="s">
        <v>18</v>
      </c>
      <c r="G177" t="s">
        <v>19</v>
      </c>
      <c r="H177" t="s">
        <v>794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795</v>
      </c>
      <c r="B178" t="s">
        <v>14</v>
      </c>
      <c r="C178" t="s">
        <v>15</v>
      </c>
      <c r="D178" t="s">
        <v>796</v>
      </c>
      <c r="E178" t="s">
        <v>797</v>
      </c>
      <c r="F178" t="s">
        <v>107</v>
      </c>
      <c r="G178" t="s">
        <v>108</v>
      </c>
      <c r="H178" t="s">
        <v>798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799</v>
      </c>
      <c r="B179" t="s">
        <v>14</v>
      </c>
      <c r="C179" t="s">
        <v>15</v>
      </c>
      <c r="D179" t="s">
        <v>800</v>
      </c>
      <c r="E179" t="s">
        <v>801</v>
      </c>
      <c r="F179" t="s">
        <v>18</v>
      </c>
      <c r="G179" t="s">
        <v>19</v>
      </c>
      <c r="H179" t="s">
        <v>802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803</v>
      </c>
      <c r="B180" t="s">
        <v>14</v>
      </c>
      <c r="C180" t="s">
        <v>15</v>
      </c>
      <c r="D180" t="s">
        <v>804</v>
      </c>
      <c r="E180" t="s">
        <v>805</v>
      </c>
      <c r="F180" t="s">
        <v>31</v>
      </c>
      <c r="G180" t="s">
        <v>709</v>
      </c>
      <c r="H180" t="s">
        <v>806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807</v>
      </c>
      <c r="B181" t="s">
        <v>14</v>
      </c>
      <c r="C181" t="s">
        <v>15</v>
      </c>
      <c r="D181" t="s">
        <v>808</v>
      </c>
      <c r="E181" t="s">
        <v>809</v>
      </c>
      <c r="F181" t="s">
        <v>18</v>
      </c>
      <c r="G181" t="s">
        <v>26</v>
      </c>
      <c r="H181" t="s">
        <v>810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811</v>
      </c>
      <c r="B182" t="s">
        <v>14</v>
      </c>
      <c r="C182" t="s">
        <v>15</v>
      </c>
      <c r="D182" t="s">
        <v>812</v>
      </c>
      <c r="E182" t="s">
        <v>813</v>
      </c>
      <c r="F182" t="s">
        <v>52</v>
      </c>
      <c r="G182" t="s">
        <v>146</v>
      </c>
      <c r="H182" t="s">
        <v>814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815</v>
      </c>
      <c r="B183" t="s">
        <v>14</v>
      </c>
      <c r="C183" t="s">
        <v>15</v>
      </c>
      <c r="D183" t="s">
        <v>816</v>
      </c>
      <c r="E183" t="s">
        <v>817</v>
      </c>
      <c r="F183" t="s">
        <v>18</v>
      </c>
      <c r="G183" t="s">
        <v>64</v>
      </c>
      <c r="H183" t="s">
        <v>818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819</v>
      </c>
      <c r="B184" t="s">
        <v>14</v>
      </c>
      <c r="C184" t="s">
        <v>15</v>
      </c>
      <c r="D184" t="s">
        <v>820</v>
      </c>
      <c r="E184" t="s">
        <v>821</v>
      </c>
      <c r="F184" t="s">
        <v>18</v>
      </c>
      <c r="G184" t="s">
        <v>19</v>
      </c>
      <c r="H184" t="s">
        <v>822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823</v>
      </c>
      <c r="B185" t="s">
        <v>14</v>
      </c>
      <c r="C185" t="s">
        <v>15</v>
      </c>
      <c r="D185" t="s">
        <v>824</v>
      </c>
      <c r="E185" t="s">
        <v>825</v>
      </c>
      <c r="F185" t="s">
        <v>18</v>
      </c>
      <c r="G185" t="s">
        <v>64</v>
      </c>
      <c r="H185" t="s">
        <v>826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827</v>
      </c>
      <c r="B186" t="s">
        <v>14</v>
      </c>
      <c r="C186" t="s">
        <v>15</v>
      </c>
      <c r="D186" t="s">
        <v>828</v>
      </c>
      <c r="E186" t="s">
        <v>829</v>
      </c>
      <c r="F186" t="s">
        <v>18</v>
      </c>
      <c r="G186" t="s">
        <v>351</v>
      </c>
      <c r="H186" t="s">
        <v>830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831</v>
      </c>
      <c r="B187" t="s">
        <v>14</v>
      </c>
      <c r="C187" t="s">
        <v>15</v>
      </c>
      <c r="D187" t="s">
        <v>832</v>
      </c>
      <c r="E187" t="s">
        <v>833</v>
      </c>
      <c r="F187" t="s">
        <v>18</v>
      </c>
      <c r="G187" t="s">
        <v>19</v>
      </c>
      <c r="H187" t="s">
        <v>834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835</v>
      </c>
      <c r="B188" t="s">
        <v>14</v>
      </c>
      <c r="C188" t="s">
        <v>15</v>
      </c>
      <c r="D188" t="s">
        <v>836</v>
      </c>
      <c r="E188" t="s">
        <v>837</v>
      </c>
      <c r="F188" t="s">
        <v>31</v>
      </c>
      <c r="G188" t="s">
        <v>137</v>
      </c>
      <c r="H188" t="s">
        <v>838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839</v>
      </c>
      <c r="B189" t="s">
        <v>14</v>
      </c>
      <c r="C189" t="s">
        <v>15</v>
      </c>
      <c r="D189" t="s">
        <v>840</v>
      </c>
      <c r="E189" t="s">
        <v>841</v>
      </c>
      <c r="F189" t="s">
        <v>18</v>
      </c>
      <c r="G189" t="s">
        <v>79</v>
      </c>
      <c r="H189" t="s">
        <v>842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843</v>
      </c>
      <c r="B190" t="s">
        <v>14</v>
      </c>
      <c r="C190" t="s">
        <v>15</v>
      </c>
      <c r="D190" t="s">
        <v>844</v>
      </c>
      <c r="E190" t="s">
        <v>845</v>
      </c>
      <c r="F190" t="s">
        <v>52</v>
      </c>
      <c r="G190" t="s">
        <v>846</v>
      </c>
      <c r="H190" t="s">
        <v>847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848</v>
      </c>
      <c r="B191" t="s">
        <v>14</v>
      </c>
      <c r="C191" t="s">
        <v>15</v>
      </c>
      <c r="D191" t="s">
        <v>849</v>
      </c>
      <c r="E191" t="s">
        <v>850</v>
      </c>
      <c r="F191" t="s">
        <v>18</v>
      </c>
      <c r="G191" t="s">
        <v>19</v>
      </c>
      <c r="H191" t="s">
        <v>851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852</v>
      </c>
      <c r="B192" t="s">
        <v>14</v>
      </c>
      <c r="C192" t="s">
        <v>15</v>
      </c>
      <c r="D192" t="s">
        <v>853</v>
      </c>
      <c r="E192" t="s">
        <v>854</v>
      </c>
      <c r="F192" t="s">
        <v>31</v>
      </c>
      <c r="G192" t="s">
        <v>74</v>
      </c>
      <c r="H192" t="s">
        <v>855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856</v>
      </c>
      <c r="B193" t="s">
        <v>14</v>
      </c>
      <c r="C193" t="s">
        <v>15</v>
      </c>
      <c r="D193" t="s">
        <v>857</v>
      </c>
      <c r="E193" t="s">
        <v>858</v>
      </c>
      <c r="F193" t="s">
        <v>52</v>
      </c>
      <c r="G193" t="s">
        <v>275</v>
      </c>
      <c r="H193" t="s">
        <v>859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860</v>
      </c>
      <c r="B194" t="s">
        <v>14</v>
      </c>
      <c r="C194" t="s">
        <v>15</v>
      </c>
      <c r="D194" t="s">
        <v>861</v>
      </c>
      <c r="E194" t="s">
        <v>862</v>
      </c>
      <c r="F194" t="s">
        <v>107</v>
      </c>
      <c r="G194" t="s">
        <v>108</v>
      </c>
      <c r="H194" t="s">
        <v>863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864</v>
      </c>
      <c r="B195" t="s">
        <v>14</v>
      </c>
      <c r="C195" t="s">
        <v>15</v>
      </c>
      <c r="D195" t="s">
        <v>865</v>
      </c>
      <c r="E195" t="s">
        <v>866</v>
      </c>
      <c r="F195" t="s">
        <v>52</v>
      </c>
      <c r="G195" t="s">
        <v>867</v>
      </c>
      <c r="H195" t="s">
        <v>868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869</v>
      </c>
      <c r="B196" t="s">
        <v>14</v>
      </c>
      <c r="C196" t="s">
        <v>15</v>
      </c>
      <c r="D196" t="s">
        <v>870</v>
      </c>
      <c r="E196" t="s">
        <v>871</v>
      </c>
      <c r="F196" t="s">
        <v>58</v>
      </c>
      <c r="G196" t="s">
        <v>872</v>
      </c>
      <c r="H196" t="s">
        <v>873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874</v>
      </c>
      <c r="B197" t="s">
        <v>14</v>
      </c>
      <c r="C197" t="s">
        <v>15</v>
      </c>
      <c r="D197" t="s">
        <v>875</v>
      </c>
      <c r="E197" t="s">
        <v>876</v>
      </c>
      <c r="F197" t="s">
        <v>107</v>
      </c>
      <c r="G197" t="s">
        <v>597</v>
      </c>
      <c r="H197" t="s">
        <v>877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878</v>
      </c>
      <c r="B198" t="s">
        <v>14</v>
      </c>
      <c r="C198" t="s">
        <v>15</v>
      </c>
      <c r="D198" t="s">
        <v>879</v>
      </c>
      <c r="E198" t="s">
        <v>880</v>
      </c>
      <c r="F198" t="s">
        <v>18</v>
      </c>
      <c r="G198" t="s">
        <v>539</v>
      </c>
      <c r="H198" t="s">
        <v>881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882</v>
      </c>
      <c r="B199" t="s">
        <v>14</v>
      </c>
      <c r="C199" t="s">
        <v>15</v>
      </c>
      <c r="D199" t="s">
        <v>883</v>
      </c>
      <c r="E199" t="s">
        <v>884</v>
      </c>
      <c r="F199" t="s">
        <v>58</v>
      </c>
      <c r="G199" t="s">
        <v>387</v>
      </c>
      <c r="H199" t="s">
        <v>885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886</v>
      </c>
      <c r="B200" t="s">
        <v>14</v>
      </c>
      <c r="C200" t="s">
        <v>15</v>
      </c>
      <c r="D200" t="s">
        <v>887</v>
      </c>
      <c r="E200" t="s">
        <v>888</v>
      </c>
      <c r="F200" t="s">
        <v>18</v>
      </c>
      <c r="G200" t="s">
        <v>19</v>
      </c>
      <c r="H200" t="s">
        <v>889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890</v>
      </c>
      <c r="B201" t="s">
        <v>14</v>
      </c>
      <c r="C201" t="s">
        <v>15</v>
      </c>
      <c r="D201" t="s">
        <v>891</v>
      </c>
      <c r="E201" t="s">
        <v>892</v>
      </c>
      <c r="F201" t="s">
        <v>18</v>
      </c>
      <c r="G201" t="s">
        <v>159</v>
      </c>
      <c r="H201" t="s">
        <v>893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894</v>
      </c>
      <c r="B202" t="s">
        <v>14</v>
      </c>
      <c r="C202" t="s">
        <v>15</v>
      </c>
      <c r="D202" t="s">
        <v>895</v>
      </c>
      <c r="E202" t="s">
        <v>896</v>
      </c>
      <c r="F202" t="s">
        <v>18</v>
      </c>
      <c r="G202" t="s">
        <v>19</v>
      </c>
      <c r="H202" t="s">
        <v>897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898</v>
      </c>
      <c r="B203" t="s">
        <v>14</v>
      </c>
      <c r="C203" t="s">
        <v>15</v>
      </c>
      <c r="D203" t="s">
        <v>899</v>
      </c>
      <c r="E203" t="s">
        <v>900</v>
      </c>
      <c r="F203" t="s">
        <v>52</v>
      </c>
      <c r="G203" t="s">
        <v>901</v>
      </c>
      <c r="H203" t="s">
        <v>902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903</v>
      </c>
      <c r="B204" t="s">
        <v>14</v>
      </c>
      <c r="C204" t="s">
        <v>15</v>
      </c>
      <c r="D204" t="s">
        <v>904</v>
      </c>
      <c r="E204" t="s">
        <v>905</v>
      </c>
      <c r="F204" t="s">
        <v>18</v>
      </c>
      <c r="G204" t="s">
        <v>19</v>
      </c>
      <c r="H204" t="s">
        <v>906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907</v>
      </c>
      <c r="B205" t="s">
        <v>14</v>
      </c>
      <c r="C205" t="s">
        <v>15</v>
      </c>
      <c r="D205" t="s">
        <v>908</v>
      </c>
      <c r="E205" t="s">
        <v>909</v>
      </c>
      <c r="F205" t="s">
        <v>42</v>
      </c>
      <c r="G205" t="s">
        <v>458</v>
      </c>
      <c r="H205" t="s">
        <v>910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911</v>
      </c>
      <c r="B206" t="s">
        <v>14</v>
      </c>
      <c r="C206" t="s">
        <v>15</v>
      </c>
      <c r="D206" t="s">
        <v>912</v>
      </c>
      <c r="E206" t="s">
        <v>913</v>
      </c>
      <c r="F206" t="s">
        <v>18</v>
      </c>
      <c r="G206" t="s">
        <v>19</v>
      </c>
      <c r="H206" t="s">
        <v>914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915</v>
      </c>
      <c r="B207" t="s">
        <v>14</v>
      </c>
      <c r="C207" t="s">
        <v>15</v>
      </c>
      <c r="D207" t="s">
        <v>916</v>
      </c>
      <c r="E207" t="s">
        <v>917</v>
      </c>
      <c r="F207" t="s">
        <v>42</v>
      </c>
      <c r="G207" t="s">
        <v>458</v>
      </c>
      <c r="H207" t="s">
        <v>918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919</v>
      </c>
      <c r="B208" t="s">
        <v>14</v>
      </c>
      <c r="C208" t="s">
        <v>15</v>
      </c>
      <c r="D208" t="s">
        <v>920</v>
      </c>
      <c r="E208" t="s">
        <v>921</v>
      </c>
      <c r="F208" t="s">
        <v>58</v>
      </c>
      <c r="G208" t="s">
        <v>74</v>
      </c>
      <c r="H208" t="s">
        <v>922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923</v>
      </c>
      <c r="B209" t="s">
        <v>14</v>
      </c>
      <c r="C209" t="s">
        <v>15</v>
      </c>
      <c r="D209" t="s">
        <v>924</v>
      </c>
      <c r="E209" t="s">
        <v>925</v>
      </c>
      <c r="F209" t="s">
        <v>58</v>
      </c>
      <c r="G209" t="s">
        <v>127</v>
      </c>
      <c r="H209" t="s">
        <v>926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927</v>
      </c>
      <c r="B210" t="s">
        <v>14</v>
      </c>
      <c r="C210" t="s">
        <v>15</v>
      </c>
      <c r="D210" t="s">
        <v>928</v>
      </c>
      <c r="E210" t="s">
        <v>929</v>
      </c>
      <c r="F210" t="s">
        <v>31</v>
      </c>
      <c r="G210" t="s">
        <v>709</v>
      </c>
      <c r="H210" t="s">
        <v>930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931</v>
      </c>
      <c r="B211" t="s">
        <v>14</v>
      </c>
      <c r="C211" t="s">
        <v>15</v>
      </c>
      <c r="D211" t="s">
        <v>932</v>
      </c>
      <c r="E211" t="s">
        <v>933</v>
      </c>
      <c r="F211" t="s">
        <v>107</v>
      </c>
      <c r="G211" t="s">
        <v>382</v>
      </c>
      <c r="H211" t="s">
        <v>934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935</v>
      </c>
      <c r="B212" t="s">
        <v>14</v>
      </c>
      <c r="C212" t="s">
        <v>15</v>
      </c>
      <c r="D212" t="s">
        <v>936</v>
      </c>
      <c r="E212" t="s">
        <v>937</v>
      </c>
      <c r="F212" t="s">
        <v>42</v>
      </c>
      <c r="G212" t="s">
        <v>458</v>
      </c>
      <c r="H212" t="s">
        <v>938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939</v>
      </c>
      <c r="B213" t="s">
        <v>14</v>
      </c>
      <c r="C213" t="s">
        <v>15</v>
      </c>
      <c r="D213" t="s">
        <v>940</v>
      </c>
      <c r="E213" t="s">
        <v>941</v>
      </c>
      <c r="F213" t="s">
        <v>42</v>
      </c>
      <c r="G213" t="s">
        <v>458</v>
      </c>
      <c r="H213" t="s">
        <v>942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943</v>
      </c>
      <c r="B214" t="s">
        <v>14</v>
      </c>
      <c r="C214" t="s">
        <v>15</v>
      </c>
      <c r="D214" t="s">
        <v>944</v>
      </c>
      <c r="E214" t="s">
        <v>945</v>
      </c>
      <c r="F214" t="s">
        <v>18</v>
      </c>
      <c r="G214" t="s">
        <v>19</v>
      </c>
      <c r="H214" t="s">
        <v>946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947</v>
      </c>
      <c r="B215" t="s">
        <v>14</v>
      </c>
      <c r="C215" t="s">
        <v>15</v>
      </c>
      <c r="D215" t="s">
        <v>948</v>
      </c>
      <c r="E215" t="s">
        <v>949</v>
      </c>
      <c r="F215" t="s">
        <v>31</v>
      </c>
      <c r="G215" t="s">
        <v>950</v>
      </c>
      <c r="H215" t="s">
        <v>951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952</v>
      </c>
      <c r="B216" t="s">
        <v>14</v>
      </c>
      <c r="C216" t="s">
        <v>15</v>
      </c>
      <c r="D216" t="s">
        <v>953</v>
      </c>
      <c r="E216" t="s">
        <v>954</v>
      </c>
      <c r="F216" t="s">
        <v>42</v>
      </c>
      <c r="G216" t="s">
        <v>458</v>
      </c>
      <c r="H216" t="s">
        <v>955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956</v>
      </c>
      <c r="B217" t="s">
        <v>14</v>
      </c>
      <c r="C217" t="s">
        <v>15</v>
      </c>
      <c r="D217" t="s">
        <v>957</v>
      </c>
      <c r="E217" t="s">
        <v>958</v>
      </c>
      <c r="F217" t="s">
        <v>18</v>
      </c>
      <c r="G217" t="s">
        <v>19</v>
      </c>
      <c r="H217" t="s">
        <v>959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960</v>
      </c>
      <c r="B218" t="s">
        <v>14</v>
      </c>
      <c r="C218" t="s">
        <v>15</v>
      </c>
      <c r="D218" t="s">
        <v>961</v>
      </c>
      <c r="E218" t="s">
        <v>962</v>
      </c>
      <c r="F218" t="s">
        <v>58</v>
      </c>
      <c r="G218" t="s">
        <v>74</v>
      </c>
      <c r="H218" t="s">
        <v>963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964</v>
      </c>
      <c r="B219" t="s">
        <v>14</v>
      </c>
      <c r="C219" t="s">
        <v>15</v>
      </c>
      <c r="D219" t="s">
        <v>965</v>
      </c>
      <c r="E219" t="s">
        <v>966</v>
      </c>
      <c r="F219" t="s">
        <v>18</v>
      </c>
      <c r="G219" t="s">
        <v>19</v>
      </c>
      <c r="H219" t="s">
        <v>967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968</v>
      </c>
      <c r="B220" t="s">
        <v>14</v>
      </c>
      <c r="C220" t="s">
        <v>15</v>
      </c>
      <c r="D220" t="s">
        <v>969</v>
      </c>
      <c r="E220" t="s">
        <v>970</v>
      </c>
      <c r="F220" t="s">
        <v>18</v>
      </c>
      <c r="G220" t="s">
        <v>19</v>
      </c>
      <c r="H220" t="s">
        <v>971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972</v>
      </c>
      <c r="B221" t="s">
        <v>14</v>
      </c>
      <c r="C221" t="s">
        <v>15</v>
      </c>
      <c r="D221" t="s">
        <v>973</v>
      </c>
      <c r="E221" t="s">
        <v>974</v>
      </c>
      <c r="F221" t="s">
        <v>107</v>
      </c>
      <c r="G221" t="s">
        <v>108</v>
      </c>
      <c r="H221" t="s">
        <v>975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976</v>
      </c>
      <c r="B222" t="s">
        <v>14</v>
      </c>
      <c r="C222" t="s">
        <v>15</v>
      </c>
      <c r="D222" t="s">
        <v>977</v>
      </c>
      <c r="E222" t="s">
        <v>978</v>
      </c>
      <c r="F222" t="s">
        <v>52</v>
      </c>
      <c r="G222" t="s">
        <v>74</v>
      </c>
      <c r="H222" t="s">
        <v>979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980</v>
      </c>
      <c r="B223" t="s">
        <v>14</v>
      </c>
      <c r="C223" t="s">
        <v>15</v>
      </c>
      <c r="D223" t="s">
        <v>981</v>
      </c>
      <c r="E223" t="s">
        <v>982</v>
      </c>
      <c r="F223" t="s">
        <v>31</v>
      </c>
      <c r="G223" t="s">
        <v>983</v>
      </c>
      <c r="H223" t="s">
        <v>984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985</v>
      </c>
      <c r="B224" t="s">
        <v>14</v>
      </c>
      <c r="C224" t="s">
        <v>15</v>
      </c>
      <c r="D224" t="s">
        <v>986</v>
      </c>
      <c r="E224" t="s">
        <v>987</v>
      </c>
      <c r="F224" t="s">
        <v>136</v>
      </c>
      <c r="G224" t="s">
        <v>137</v>
      </c>
      <c r="H224" t="s">
        <v>988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989</v>
      </c>
      <c r="B225" t="s">
        <v>14</v>
      </c>
      <c r="C225" t="s">
        <v>15</v>
      </c>
      <c r="D225" t="s">
        <v>990</v>
      </c>
      <c r="E225" t="s">
        <v>991</v>
      </c>
      <c r="F225" t="s">
        <v>52</v>
      </c>
      <c r="G225" t="s">
        <v>275</v>
      </c>
      <c r="H225" t="s">
        <v>992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993</v>
      </c>
      <c r="B226" t="s">
        <v>14</v>
      </c>
      <c r="C226" t="s">
        <v>15</v>
      </c>
      <c r="D226" t="s">
        <v>994</v>
      </c>
      <c r="E226" t="s">
        <v>995</v>
      </c>
      <c r="F226" t="s">
        <v>18</v>
      </c>
      <c r="G226" t="s">
        <v>64</v>
      </c>
      <c r="H226" t="s">
        <v>996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997</v>
      </c>
      <c r="B227" t="s">
        <v>14</v>
      </c>
      <c r="C227" t="s">
        <v>15</v>
      </c>
      <c r="D227" t="s">
        <v>998</v>
      </c>
      <c r="E227" t="s">
        <v>999</v>
      </c>
      <c r="F227" t="s">
        <v>52</v>
      </c>
      <c r="G227" t="s">
        <v>663</v>
      </c>
      <c r="H227" t="s">
        <v>1000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1001</v>
      </c>
      <c r="B228" t="s">
        <v>14</v>
      </c>
      <c r="C228" t="s">
        <v>15</v>
      </c>
      <c r="D228" t="s">
        <v>1002</v>
      </c>
      <c r="E228" t="s">
        <v>1003</v>
      </c>
      <c r="F228" t="s">
        <v>58</v>
      </c>
      <c r="G228" t="s">
        <v>74</v>
      </c>
      <c r="H228" t="s">
        <v>1004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1005</v>
      </c>
      <c r="B229" t="s">
        <v>14</v>
      </c>
      <c r="C229" t="s">
        <v>15</v>
      </c>
      <c r="D229" t="s">
        <v>1006</v>
      </c>
      <c r="E229" t="s">
        <v>1007</v>
      </c>
      <c r="F229" t="s">
        <v>58</v>
      </c>
      <c r="G229" t="s">
        <v>59</v>
      </c>
      <c r="H229" t="s">
        <v>1008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1009</v>
      </c>
      <c r="B230" t="s">
        <v>14</v>
      </c>
      <c r="C230" t="s">
        <v>15</v>
      </c>
      <c r="D230" t="s">
        <v>1010</v>
      </c>
      <c r="E230" t="s">
        <v>1011</v>
      </c>
      <c r="F230" t="s">
        <v>18</v>
      </c>
      <c r="G230" t="s">
        <v>1012</v>
      </c>
      <c r="H230" t="s">
        <v>1013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1014</v>
      </c>
      <c r="B231" t="s">
        <v>14</v>
      </c>
      <c r="C231" t="s">
        <v>15</v>
      </c>
      <c r="D231" t="s">
        <v>1015</v>
      </c>
      <c r="E231" t="s">
        <v>1016</v>
      </c>
      <c r="F231" t="s">
        <v>107</v>
      </c>
      <c r="G231" t="s">
        <v>382</v>
      </c>
      <c r="H231" t="s">
        <v>1017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1018</v>
      </c>
      <c r="B232" t="s">
        <v>14</v>
      </c>
      <c r="C232" t="s">
        <v>15</v>
      </c>
      <c r="D232" t="s">
        <v>1019</v>
      </c>
      <c r="E232" t="s">
        <v>1020</v>
      </c>
      <c r="F232" t="s">
        <v>31</v>
      </c>
      <c r="G232" t="s">
        <v>1021</v>
      </c>
      <c r="H232" t="s">
        <v>1022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1023</v>
      </c>
      <c r="B233" t="s">
        <v>14</v>
      </c>
      <c r="C233" t="s">
        <v>15</v>
      </c>
      <c r="D233" t="s">
        <v>1024</v>
      </c>
      <c r="E233" t="s">
        <v>1025</v>
      </c>
      <c r="F233" t="s">
        <v>18</v>
      </c>
      <c r="G233" t="s">
        <v>19</v>
      </c>
      <c r="H233" t="s">
        <v>1026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1027</v>
      </c>
      <c r="B234" t="s">
        <v>14</v>
      </c>
      <c r="C234" t="s">
        <v>15</v>
      </c>
      <c r="D234" t="s">
        <v>1028</v>
      </c>
      <c r="E234" t="s">
        <v>1029</v>
      </c>
      <c r="F234" t="s">
        <v>107</v>
      </c>
      <c r="G234" t="s">
        <v>108</v>
      </c>
      <c r="H234" t="s">
        <v>1030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1031</v>
      </c>
      <c r="B235" t="s">
        <v>14</v>
      </c>
      <c r="C235" t="s">
        <v>15</v>
      </c>
      <c r="D235" t="s">
        <v>1032</v>
      </c>
      <c r="E235" t="s">
        <v>1033</v>
      </c>
      <c r="F235" t="s">
        <v>18</v>
      </c>
      <c r="G235" t="s">
        <v>64</v>
      </c>
      <c r="H235" t="s">
        <v>1034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1035</v>
      </c>
      <c r="B236" t="s">
        <v>14</v>
      </c>
      <c r="C236" t="s">
        <v>15</v>
      </c>
      <c r="D236" t="s">
        <v>1036</v>
      </c>
      <c r="E236" t="s">
        <v>1037</v>
      </c>
      <c r="F236" t="s">
        <v>52</v>
      </c>
      <c r="G236" t="s">
        <v>53</v>
      </c>
      <c r="H236" t="s">
        <v>1038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1039</v>
      </c>
      <c r="B237" t="s">
        <v>14</v>
      </c>
      <c r="C237" t="s">
        <v>15</v>
      </c>
      <c r="D237" t="s">
        <v>1040</v>
      </c>
      <c r="E237" t="s">
        <v>1041</v>
      </c>
      <c r="F237" t="s">
        <v>31</v>
      </c>
      <c r="G237" t="s">
        <v>225</v>
      </c>
      <c r="H237" t="s">
        <v>1042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1043</v>
      </c>
      <c r="B238" t="s">
        <v>14</v>
      </c>
      <c r="C238" t="s">
        <v>15</v>
      </c>
      <c r="D238" t="s">
        <v>1044</v>
      </c>
      <c r="E238" t="s">
        <v>1045</v>
      </c>
      <c r="F238" t="s">
        <v>243</v>
      </c>
      <c r="G238" t="s">
        <v>1046</v>
      </c>
      <c r="H238" t="s">
        <v>1047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1048</v>
      </c>
      <c r="B239" t="s">
        <v>14</v>
      </c>
      <c r="C239" t="s">
        <v>15</v>
      </c>
      <c r="D239" t="s">
        <v>1049</v>
      </c>
      <c r="E239" t="s">
        <v>1050</v>
      </c>
      <c r="F239" t="s">
        <v>52</v>
      </c>
      <c r="G239" t="s">
        <v>1051</v>
      </c>
      <c r="H239" t="s">
        <v>1052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1053</v>
      </c>
      <c r="B240" t="s">
        <v>14</v>
      </c>
      <c r="C240" t="s">
        <v>15</v>
      </c>
      <c r="D240" t="s">
        <v>1054</v>
      </c>
      <c r="E240" t="s">
        <v>1055</v>
      </c>
      <c r="F240" t="s">
        <v>58</v>
      </c>
      <c r="G240" t="s">
        <v>59</v>
      </c>
      <c r="H240" t="s">
        <v>1056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1057</v>
      </c>
      <c r="B241" t="s">
        <v>14</v>
      </c>
      <c r="C241" t="s">
        <v>15</v>
      </c>
      <c r="D241" t="s">
        <v>1058</v>
      </c>
      <c r="E241" t="s">
        <v>1059</v>
      </c>
      <c r="F241" t="s">
        <v>58</v>
      </c>
      <c r="G241" t="s">
        <v>407</v>
      </c>
      <c r="H241" t="s">
        <v>1060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1061</v>
      </c>
      <c r="B242" t="s">
        <v>14</v>
      </c>
      <c r="C242" t="s">
        <v>15</v>
      </c>
      <c r="D242" t="s">
        <v>1062</v>
      </c>
      <c r="E242" t="s">
        <v>1063</v>
      </c>
      <c r="F242" t="s">
        <v>52</v>
      </c>
      <c r="G242" t="s">
        <v>1064</v>
      </c>
      <c r="H242" t="s">
        <v>1065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1066</v>
      </c>
      <c r="B243" t="s">
        <v>14</v>
      </c>
      <c r="C243" t="s">
        <v>15</v>
      </c>
      <c r="D243" t="s">
        <v>1067</v>
      </c>
      <c r="E243" t="s">
        <v>1068</v>
      </c>
      <c r="F243" t="s">
        <v>31</v>
      </c>
      <c r="G243" t="s">
        <v>530</v>
      </c>
      <c r="H243" t="s">
        <v>1069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1070</v>
      </c>
      <c r="B244" t="s">
        <v>14</v>
      </c>
      <c r="C244" t="s">
        <v>15</v>
      </c>
      <c r="D244" t="s">
        <v>1071</v>
      </c>
      <c r="E244" t="s">
        <v>1072</v>
      </c>
      <c r="F244" t="s">
        <v>31</v>
      </c>
      <c r="G244" t="s">
        <v>323</v>
      </c>
      <c r="H244" t="s">
        <v>1073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1074</v>
      </c>
      <c r="B245" t="s">
        <v>14</v>
      </c>
      <c r="C245" t="s">
        <v>15</v>
      </c>
      <c r="D245" t="s">
        <v>1075</v>
      </c>
      <c r="E245" t="s">
        <v>1076</v>
      </c>
      <c r="F245" t="s">
        <v>31</v>
      </c>
      <c r="G245" t="s">
        <v>323</v>
      </c>
      <c r="H245" t="s">
        <v>1077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1078</v>
      </c>
      <c r="B246" t="s">
        <v>14</v>
      </c>
      <c r="C246" t="s">
        <v>15</v>
      </c>
      <c r="D246" t="s">
        <v>1079</v>
      </c>
      <c r="E246" t="s">
        <v>1080</v>
      </c>
      <c r="F246" t="s">
        <v>58</v>
      </c>
      <c r="G246" t="s">
        <v>1081</v>
      </c>
      <c r="H246" t="s">
        <v>1082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1083</v>
      </c>
      <c r="B247" t="s">
        <v>14</v>
      </c>
      <c r="C247" t="s">
        <v>15</v>
      </c>
      <c r="D247" t="s">
        <v>1084</v>
      </c>
      <c r="E247" t="s">
        <v>1085</v>
      </c>
      <c r="F247" t="s">
        <v>18</v>
      </c>
      <c r="G247" t="s">
        <v>19</v>
      </c>
      <c r="H247" t="s">
        <v>1086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1087</v>
      </c>
      <c r="B248" t="s">
        <v>14</v>
      </c>
      <c r="C248" t="s">
        <v>15</v>
      </c>
      <c r="D248" t="s">
        <v>1088</v>
      </c>
      <c r="E248" t="s">
        <v>1089</v>
      </c>
      <c r="F248" t="s">
        <v>107</v>
      </c>
      <c r="G248" t="s">
        <v>597</v>
      </c>
      <c r="H248" t="s">
        <v>1090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1091</v>
      </c>
      <c r="B249" t="s">
        <v>14</v>
      </c>
      <c r="C249" t="s">
        <v>15</v>
      </c>
      <c r="D249" t="s">
        <v>1092</v>
      </c>
      <c r="E249" t="s">
        <v>1093</v>
      </c>
      <c r="F249" t="s">
        <v>18</v>
      </c>
      <c r="G249" t="s">
        <v>539</v>
      </c>
      <c r="H249" t="s">
        <v>1094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1095</v>
      </c>
      <c r="B250" t="s">
        <v>14</v>
      </c>
      <c r="C250" t="s">
        <v>15</v>
      </c>
      <c r="D250" t="s">
        <v>1096</v>
      </c>
      <c r="E250" t="s">
        <v>1097</v>
      </c>
      <c r="F250" t="s">
        <v>18</v>
      </c>
      <c r="G250" t="s">
        <v>19</v>
      </c>
      <c r="H250" t="s">
        <v>1098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1099</v>
      </c>
      <c r="B251" t="s">
        <v>14</v>
      </c>
      <c r="C251" t="s">
        <v>15</v>
      </c>
      <c r="D251" t="s">
        <v>1100</v>
      </c>
      <c r="E251" t="s">
        <v>1101</v>
      </c>
      <c r="F251" t="s">
        <v>107</v>
      </c>
      <c r="G251" t="s">
        <v>597</v>
      </c>
      <c r="H251" t="s">
        <v>1102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BDH("CURX US Equity","BS_TOT_ASSET","1993-06-18","2026-05-02","Per=Y","Days=T","Dir=V")</f>
        <v>0</v>
      </c>
      <c r="C2">
        <f>BDH("CURX US Equity","BS_TOT_LIAB2","1993-06-18","2026-05-02","Per=Y","Days=T","Dir=V")</f>
        <v>0</v>
      </c>
      <c r="E2">
        <f>BDH("CURX US Equity","SHORT_AND_LONG_TERM_DEBT","1993-06-18","2026-05-02","Per=Y","Days=T","Dir=V")</f>
        <v>0</v>
      </c>
      <c r="G2">
        <f>BDH("CURX US Equity","BS_ST_BORROW","1993-06-18","2026-05-02","Per=Y","Days=T","Dir=V")</f>
        <v>0</v>
      </c>
      <c r="I2">
        <f>BDH("CURX US Equity","BS_LT_BORROW","1993-06-18","2026-05-02","Per=Y","Days=T","Dir=V")</f>
        <v>0</v>
      </c>
      <c r="K2">
        <f>BDH("CURX US Equity","BS_CASH_NEAR_CASH_ITEM","1993-06-18","2026-05-02","Per=Y","Days=T","Dir=V")</f>
        <v>0</v>
      </c>
      <c r="M2">
        <f>BDH("CURX US Equity","BS_CUR_ASSET_REPORT","1993-06-18","2026-05-02","Per=Y","Days=T","Dir=V")</f>
        <v>0</v>
      </c>
      <c r="O2">
        <f>BDH("CURX US Equity","BS_CUR_LIAB","1993-06-18","2026-05-02","Per=Y","Days=T","Dir=V")</f>
        <v>0</v>
      </c>
      <c r="Q2">
        <f>BDH("CURX US Equity","BS_SHAREHOLDER_EQY_ENDING_PERIOD","1993-06-18","2026-05-02","Per=Y","Days=T","Dir=V")</f>
        <v>0</v>
      </c>
      <c r="S2">
        <f>BDH("CURX US Equity","BS_ACCT_NOTE_RCV","1993-06-18","2026-05-02","Per=Y","Days=T","Dir=V")</f>
        <v>0</v>
      </c>
      <c r="U2">
        <f>BDH("CURX US Equity","BS_INVENTORIES","1993-06-18","2026-05-02","Per=Y","Days=T","Dir=V")</f>
        <v>0</v>
      </c>
      <c r="W2">
        <f>BDH("CURX US Equity","WORKING_CAPITAL","1993-06-18","2026-05-02","Per=Y","Days=T","Dir=V")</f>
        <v>0</v>
      </c>
      <c r="Y2">
        <f>BDH("CURX US Equity","SALES_REV_TURN","1993-06-18","2026-05-02","Per=Y","Days=T","Dir=V")</f>
        <v>0</v>
      </c>
      <c r="AA2">
        <f>BDH("CURX US Equity","EBIT","1993-06-18","2026-05-02","Per=Y","Days=T","Dir=V")</f>
        <v>0</v>
      </c>
      <c r="AC2">
        <f>BDH("CURX US Equity","EBITDA","1993-06-18","2026-05-02","Per=Y","Days=T","Dir=V")</f>
        <v>0</v>
      </c>
      <c r="AE2">
        <f>BDH("CURX US Equity","NET_INCOME","1993-06-18","2026-05-02","Per=Y","Days=T","Dir=V")</f>
        <v>0</v>
      </c>
      <c r="AG2">
        <f>BDH("CURX US Equity","IS_INT_EXPENSE","1993-06-18","2026-05-02","Per=Y","Days=T","Dir=V")</f>
        <v>0</v>
      </c>
      <c r="AI2">
        <f>BDH("CURX US Equity","IS_DEPR_EXP","1993-06-18","2026-05-02","Per=Y","Days=T","Dir=V")</f>
        <v>0</v>
      </c>
      <c r="AK2">
        <f>BDH("CURX US Equity","CF_CASH_FROM_OPER","1993-06-18","2026-05-02","Per=Y","Days=T","Dir=V")</f>
        <v>0</v>
      </c>
      <c r="AM2">
        <f>BDH("CURX US Equity","CAPITAL_EXPEND","1993-06-18","2026-05-02","Per=Y","Days=T","Dir=V")</f>
        <v>0</v>
      </c>
      <c r="AO2">
        <f>BDH("CURX US Equity","CF_FREE_CASH_FLOW","1993-06-18","2026-05-02","Per=Y","Days=T","Dir=V")</f>
        <v>0</v>
      </c>
      <c r="AQ2">
        <f>BDH("CURX US Equity","PX_LAST","1993-06-18","2026-05-02","Per=M","Days=T","Dir=V")</f>
        <v>0</v>
      </c>
      <c r="AS2">
        <f>BDH("CURX US Equity","CUR_MKT_CAP","1993-06-18","2026-05-02","Per=M","Days=T","Dir=V")</f>
        <v>0</v>
      </c>
      <c r="AU2">
        <f>BDH("CURX US Equity","EQY_SH_OUT","1993-06-18","2026-05-02","Per=M","Days=T","Dir=V")</f>
        <v>0</v>
      </c>
      <c r="AW2">
        <f>BDH("CURX US Equity","PX_VOLUME","1993-06-18","2026-05-02","Per=M","Days=T","Dir=V")</f>
        <v>0</v>
      </c>
      <c r="AY2">
        <f>BDH("CURX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 US Equity","BS_TOT_ASSET","1993-06-18","2026-05-02","Per=Y","Days=T","Dir=V")</f>
        <v>0</v>
      </c>
      <c r="C2">
        <f>BDH("CV US Equity","BS_TOT_LIAB2","1993-06-18","2026-05-02","Per=Y","Days=T","Dir=V")</f>
        <v>0</v>
      </c>
      <c r="E2">
        <f>BDH("CV US Equity","SHORT_AND_LONG_TERM_DEBT","1993-06-18","2026-05-02","Per=Y","Days=T","Dir=V")</f>
        <v>0</v>
      </c>
      <c r="G2">
        <f>BDH("CV US Equity","BS_ST_BORROW","1993-06-18","2026-05-02","Per=Y","Days=T","Dir=V")</f>
        <v>0</v>
      </c>
      <c r="I2">
        <f>BDH("CV US Equity","BS_LT_BORROW","1993-06-18","2026-05-02","Per=Y","Days=T","Dir=V")</f>
        <v>0</v>
      </c>
      <c r="K2">
        <f>BDH("CV US Equity","BS_CASH_NEAR_CASH_ITEM","1993-06-18","2026-05-02","Per=Y","Days=T","Dir=V")</f>
        <v>0</v>
      </c>
      <c r="M2">
        <f>BDH("CV US Equity","BS_CUR_ASSET_REPORT","1993-06-18","2026-05-02","Per=Y","Days=T","Dir=V")</f>
        <v>0</v>
      </c>
      <c r="O2">
        <f>BDH("CV US Equity","BS_CUR_LIAB","1993-06-18","2026-05-02","Per=Y","Days=T","Dir=V")</f>
        <v>0</v>
      </c>
      <c r="Q2">
        <f>BDH("CV US Equity","BS_SHAREHOLDER_EQY_ENDING_PERIOD","1993-06-18","2026-05-02","Per=Y","Days=T","Dir=V")</f>
        <v>0</v>
      </c>
      <c r="S2">
        <f>BDH("CV US Equity","BS_ACCT_NOTE_RCV","1993-06-18","2026-05-02","Per=Y","Days=T","Dir=V")</f>
        <v>0</v>
      </c>
      <c r="U2">
        <f>BDH("CV US Equity","BS_INVENTORIES","1993-06-18","2026-05-02","Per=Y","Days=T","Dir=V")</f>
        <v>0</v>
      </c>
      <c r="W2">
        <f>BDH("CV US Equity","WORKING_CAPITAL","1993-06-18","2026-05-02","Per=Y","Days=T","Dir=V")</f>
        <v>0</v>
      </c>
      <c r="Y2">
        <f>BDH("CV US Equity","SALES_REV_TURN","1993-06-18","2026-05-02","Per=Y","Days=T","Dir=V")</f>
        <v>0</v>
      </c>
      <c r="AA2">
        <f>BDH("CV US Equity","EBIT","1993-06-18","2026-05-02","Per=Y","Days=T","Dir=V")</f>
        <v>0</v>
      </c>
      <c r="AC2">
        <f>BDH("CV US Equity","EBITDA","1993-06-18","2026-05-02","Per=Y","Days=T","Dir=V")</f>
        <v>0</v>
      </c>
      <c r="AE2">
        <f>BDH("CV US Equity","NET_INCOME","1993-06-18","2026-05-02","Per=Y","Days=T","Dir=V")</f>
        <v>0</v>
      </c>
      <c r="AG2">
        <f>BDH("CV US Equity","IS_INT_EXPENSE","1993-06-18","2026-05-02","Per=Y","Days=T","Dir=V")</f>
        <v>0</v>
      </c>
      <c r="AI2">
        <f>BDH("CV US Equity","IS_DEPR_EXP","1993-06-18","2026-05-02","Per=Y","Days=T","Dir=V")</f>
        <v>0</v>
      </c>
      <c r="AK2">
        <f>BDH("CV US Equity","CF_CASH_FROM_OPER","1993-06-18","2026-05-02","Per=Y","Days=T","Dir=V")</f>
        <v>0</v>
      </c>
      <c r="AM2">
        <f>BDH("CV US Equity","CAPITAL_EXPEND","1993-06-18","2026-05-02","Per=Y","Days=T","Dir=V")</f>
        <v>0</v>
      </c>
      <c r="AO2">
        <f>BDH("CV US Equity","CF_FREE_CASH_FLOW","1993-06-18","2026-05-02","Per=Y","Days=T","Dir=V")</f>
        <v>0</v>
      </c>
      <c r="AQ2">
        <f>BDH("CV US Equity","PX_LAST","1993-06-18","2026-05-02","Per=M","Days=T","Dir=V")</f>
        <v>0</v>
      </c>
      <c r="AS2">
        <f>BDH("CV US Equity","CUR_MKT_CAP","1993-06-18","2026-05-02","Per=M","Days=T","Dir=V")</f>
        <v>0</v>
      </c>
      <c r="AU2">
        <f>BDH("CV US Equity","EQY_SH_OUT","1993-06-18","2026-05-02","Per=M","Days=T","Dir=V")</f>
        <v>0</v>
      </c>
      <c r="AW2">
        <f>BDH("CV US Equity","PX_VOLUME","1993-06-18","2026-05-02","Per=M","Days=T","Dir=V")</f>
        <v>0</v>
      </c>
      <c r="AY2">
        <f>BDH("CV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BDH("CVCO US Equity","BS_TOT_ASSET","1993-06-18","2026-05-02","Per=Y","Days=T","Dir=V")</f>
        <v>0</v>
      </c>
      <c r="C2">
        <f>BDH("CVCO US Equity","BS_TOT_LIAB2","1993-06-18","2026-05-02","Per=Y","Days=T","Dir=V")</f>
        <v>0</v>
      </c>
      <c r="E2">
        <f>BDH("CVCO US Equity","SHORT_AND_LONG_TERM_DEBT","1993-06-18","2026-05-02","Per=Y","Days=T","Dir=V")</f>
        <v>0</v>
      </c>
      <c r="G2">
        <f>BDH("CVCO US Equity","BS_ST_BORROW","1993-06-18","2026-05-02","Per=Y","Days=T","Dir=V")</f>
        <v>0</v>
      </c>
      <c r="I2">
        <f>BDH("CVCO US Equity","BS_LT_BORROW","1993-06-18","2026-05-02","Per=Y","Days=T","Dir=V")</f>
        <v>0</v>
      </c>
      <c r="K2">
        <f>BDH("CVCO US Equity","BS_CASH_NEAR_CASH_ITEM","1993-06-18","2026-05-02","Per=Y","Days=T","Dir=V")</f>
        <v>0</v>
      </c>
      <c r="M2">
        <f>BDH("CVCO US Equity","BS_CUR_ASSET_REPORT","1993-06-18","2026-05-02","Per=Y","Days=T","Dir=V")</f>
        <v>0</v>
      </c>
      <c r="O2">
        <f>BDH("CVCO US Equity","BS_CUR_LIAB","1993-06-18","2026-05-02","Per=Y","Days=T","Dir=V")</f>
        <v>0</v>
      </c>
      <c r="Q2">
        <f>BDH("CVCO US Equity","BS_SHAREHOLDER_EQY_ENDING_PERIOD","1993-06-18","2026-05-02","Per=Y","Days=T","Dir=V")</f>
        <v>0</v>
      </c>
      <c r="S2">
        <f>BDH("CVCO US Equity","BS_ACCT_NOTE_RCV","1993-06-18","2026-05-02","Per=Y","Days=T","Dir=V")</f>
        <v>0</v>
      </c>
      <c r="U2">
        <f>BDH("CVCO US Equity","BS_INVENTORIES","1993-06-18","2026-05-02","Per=Y","Days=T","Dir=V")</f>
        <v>0</v>
      </c>
      <c r="W2">
        <f>BDH("CVCO US Equity","WORKING_CAPITAL","1993-06-18","2026-05-02","Per=Y","Days=T","Dir=V")</f>
        <v>0</v>
      </c>
      <c r="Y2">
        <f>BDH("CVCO US Equity","SALES_REV_TURN","1993-06-18","2026-05-02","Per=Y","Days=T","Dir=V")</f>
        <v>0</v>
      </c>
      <c r="AA2">
        <f>BDH("CVCO US Equity","EBIT","1993-06-18","2026-05-02","Per=Y","Days=T","Dir=V")</f>
        <v>0</v>
      </c>
      <c r="AC2">
        <f>BDH("CVCO US Equity","EBITDA","1993-06-18","2026-05-02","Per=Y","Days=T","Dir=V")</f>
        <v>0</v>
      </c>
      <c r="AE2">
        <f>BDH("CVCO US Equity","NET_INCOME","1993-06-18","2026-05-02","Per=Y","Days=T","Dir=V")</f>
        <v>0</v>
      </c>
      <c r="AG2">
        <f>BDH("CVCO US Equity","IS_INT_EXPENSE","1993-06-18","2026-05-02","Per=Y","Days=T","Dir=V")</f>
        <v>0</v>
      </c>
      <c r="AI2">
        <f>BDH("CVCO US Equity","IS_DEPR_EXP","1993-06-18","2026-05-02","Per=Y","Days=T","Dir=V")</f>
        <v>0</v>
      </c>
      <c r="AK2">
        <f>BDH("CVCO US Equity","CF_CASH_FROM_OPER","1993-06-18","2026-05-02","Per=Y","Days=T","Dir=V")</f>
        <v>0</v>
      </c>
      <c r="AM2">
        <f>BDH("CVCO US Equity","CAPITAL_EXPEND","1993-06-18","2026-05-02","Per=Y","Days=T","Dir=V")</f>
        <v>0</v>
      </c>
      <c r="AO2">
        <f>BDH("CVCO US Equity","CF_FREE_CASH_FLOW","1993-06-18","2026-05-02","Per=Y","Days=T","Dir=V")</f>
        <v>0</v>
      </c>
      <c r="AQ2">
        <f>BDH("CVCO US Equity","PX_LAST","1993-06-18","2026-05-02","Per=M","Days=T","Dir=V")</f>
        <v>0</v>
      </c>
      <c r="AS2">
        <f>BDH("CVCO US Equity","CUR_MKT_CAP","1993-06-18","2026-05-02","Per=M","Days=T","Dir=V")</f>
        <v>0</v>
      </c>
      <c r="AU2">
        <f>BDH("CVCO US Equity","EQY_SH_OUT","1993-06-18","2026-05-02","Per=M","Days=T","Dir=V")</f>
        <v>0</v>
      </c>
      <c r="AW2">
        <f>BDH("CVCO US Equity","PX_VOLUME","1993-06-18","2026-05-02","Per=M","Days=T","Dir=V")</f>
        <v>0</v>
      </c>
      <c r="AY2">
        <f>BDH("CVCO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BDH("CVGI US Equity","BS_TOT_ASSET","1993-06-18","2026-05-02","Per=Y","Days=T","Dir=V")</f>
        <v>0</v>
      </c>
      <c r="C2">
        <f>BDH("CVGI US Equity","BS_TOT_LIAB2","1993-06-18","2026-05-02","Per=Y","Days=T","Dir=V")</f>
        <v>0</v>
      </c>
      <c r="E2">
        <f>BDH("CVGI US Equity","SHORT_AND_LONG_TERM_DEBT","1993-06-18","2026-05-02","Per=Y","Days=T","Dir=V")</f>
        <v>0</v>
      </c>
      <c r="G2">
        <f>BDH("CVGI US Equity","BS_ST_BORROW","1993-06-18","2026-05-02","Per=Y","Days=T","Dir=V")</f>
        <v>0</v>
      </c>
      <c r="I2">
        <f>BDH("CVGI US Equity","BS_LT_BORROW","1993-06-18","2026-05-02","Per=Y","Days=T","Dir=V")</f>
        <v>0</v>
      </c>
      <c r="K2">
        <f>BDH("CVGI US Equity","BS_CASH_NEAR_CASH_ITEM","1993-06-18","2026-05-02","Per=Y","Days=T","Dir=V")</f>
        <v>0</v>
      </c>
      <c r="M2">
        <f>BDH("CVGI US Equity","BS_CUR_ASSET_REPORT","1993-06-18","2026-05-02","Per=Y","Days=T","Dir=V")</f>
        <v>0</v>
      </c>
      <c r="O2">
        <f>BDH("CVGI US Equity","BS_CUR_LIAB","1993-06-18","2026-05-02","Per=Y","Days=T","Dir=V")</f>
        <v>0</v>
      </c>
      <c r="Q2">
        <f>BDH("CVGI US Equity","BS_SHAREHOLDER_EQY_ENDING_PERIOD","1993-06-18","2026-05-02","Per=Y","Days=T","Dir=V")</f>
        <v>0</v>
      </c>
      <c r="S2">
        <f>BDH("CVGI US Equity","BS_ACCT_NOTE_RCV","1993-06-18","2026-05-02","Per=Y","Days=T","Dir=V")</f>
        <v>0</v>
      </c>
      <c r="U2">
        <f>BDH("CVGI US Equity","BS_INVENTORIES","1993-06-18","2026-05-02","Per=Y","Days=T","Dir=V")</f>
        <v>0</v>
      </c>
      <c r="W2">
        <f>BDH("CVGI US Equity","WORKING_CAPITAL","1993-06-18","2026-05-02","Per=Y","Days=T","Dir=V")</f>
        <v>0</v>
      </c>
      <c r="Y2">
        <f>BDH("CVGI US Equity","SALES_REV_TURN","1993-06-18","2026-05-02","Per=Y","Days=T","Dir=V")</f>
        <v>0</v>
      </c>
      <c r="AA2">
        <f>BDH("CVGI US Equity","EBIT","1993-06-18","2026-05-02","Per=Y","Days=T","Dir=V")</f>
        <v>0</v>
      </c>
      <c r="AC2">
        <f>BDH("CVGI US Equity","EBITDA","1993-06-18","2026-05-02","Per=Y","Days=T","Dir=V")</f>
        <v>0</v>
      </c>
      <c r="AE2">
        <f>BDH("CVGI US Equity","NET_INCOME","1993-06-18","2026-05-02","Per=Y","Days=T","Dir=V")</f>
        <v>0</v>
      </c>
      <c r="AG2">
        <f>BDH("CVGI US Equity","IS_INT_EXPENSE","1993-06-18","2026-05-02","Per=Y","Days=T","Dir=V")</f>
        <v>0</v>
      </c>
      <c r="AI2">
        <f>BDH("CVGI US Equity","IS_DEPR_EXP","1993-06-18","2026-05-02","Per=Y","Days=T","Dir=V")</f>
        <v>0</v>
      </c>
      <c r="AK2">
        <f>BDH("CVGI US Equity","CF_CASH_FROM_OPER","1993-06-18","2026-05-02","Per=Y","Days=T","Dir=V")</f>
        <v>0</v>
      </c>
      <c r="AM2">
        <f>BDH("CVGI US Equity","CAPITAL_EXPEND","1993-06-18","2026-05-02","Per=Y","Days=T","Dir=V")</f>
        <v>0</v>
      </c>
      <c r="AO2">
        <f>BDH("CVGI US Equity","CF_FREE_CASH_FLOW","1993-06-18","2026-05-02","Per=Y","Days=T","Dir=V")</f>
        <v>0</v>
      </c>
      <c r="AQ2">
        <f>BDH("CVGI US Equity","PX_LAST","1993-06-18","2026-05-02","Per=M","Days=T","Dir=V")</f>
        <v>0</v>
      </c>
      <c r="AS2">
        <f>BDH("CVGI US Equity","CUR_MKT_CAP","1993-06-18","2026-05-02","Per=M","Days=T","Dir=V")</f>
        <v>0</v>
      </c>
      <c r="AU2">
        <f>BDH("CVGI US Equity","EQY_SH_OUT","1993-06-18","2026-05-02","Per=M","Days=T","Dir=V")</f>
        <v>0</v>
      </c>
      <c r="AW2">
        <f>BDH("CVGI US Equity","PX_VOLUME","1993-06-18","2026-05-02","Per=M","Days=T","Dir=V")</f>
        <v>0</v>
      </c>
      <c r="AY2">
        <f>BDH("CVGI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BDH("CVI US Equity","BS_TOT_ASSET","1993-06-18","2026-05-02","Per=Y","Days=T","Dir=V")</f>
        <v>0</v>
      </c>
      <c r="C2">
        <f>BDH("CVI US Equity","BS_TOT_LIAB2","1993-06-18","2026-05-02","Per=Y","Days=T","Dir=V")</f>
        <v>0</v>
      </c>
      <c r="E2">
        <f>BDH("CVI US Equity","SHORT_AND_LONG_TERM_DEBT","1993-06-18","2026-05-02","Per=Y","Days=T","Dir=V")</f>
        <v>0</v>
      </c>
      <c r="G2">
        <f>BDH("CVI US Equity","BS_ST_BORROW","1993-06-18","2026-05-02","Per=Y","Days=T","Dir=V")</f>
        <v>0</v>
      </c>
      <c r="I2">
        <f>BDH("CVI US Equity","BS_LT_BORROW","1993-06-18","2026-05-02","Per=Y","Days=T","Dir=V")</f>
        <v>0</v>
      </c>
      <c r="K2">
        <f>BDH("CVI US Equity","BS_CASH_NEAR_CASH_ITEM","1993-06-18","2026-05-02","Per=Y","Days=T","Dir=V")</f>
        <v>0</v>
      </c>
      <c r="M2">
        <f>BDH("CVI US Equity","BS_CUR_ASSET_REPORT","1993-06-18","2026-05-02","Per=Y","Days=T","Dir=V")</f>
        <v>0</v>
      </c>
      <c r="O2">
        <f>BDH("CVI US Equity","BS_CUR_LIAB","1993-06-18","2026-05-02","Per=Y","Days=T","Dir=V")</f>
        <v>0</v>
      </c>
      <c r="Q2">
        <f>BDH("CVI US Equity","BS_SHAREHOLDER_EQY_ENDING_PERIOD","1993-06-18","2026-05-02","Per=Y","Days=T","Dir=V")</f>
        <v>0</v>
      </c>
      <c r="S2">
        <f>BDH("CVI US Equity","BS_ACCT_NOTE_RCV","1993-06-18","2026-05-02","Per=Y","Days=T","Dir=V")</f>
        <v>0</v>
      </c>
      <c r="U2">
        <f>BDH("CVI US Equity","BS_INVENTORIES","1993-06-18","2026-05-02","Per=Y","Days=T","Dir=V")</f>
        <v>0</v>
      </c>
      <c r="W2">
        <f>BDH("CVI US Equity","WORKING_CAPITAL","1993-06-18","2026-05-02","Per=Y","Days=T","Dir=V")</f>
        <v>0</v>
      </c>
      <c r="Y2">
        <f>BDH("CVI US Equity","SALES_REV_TURN","1993-06-18","2026-05-02","Per=Y","Days=T","Dir=V")</f>
        <v>0</v>
      </c>
      <c r="AA2">
        <f>BDH("CVI US Equity","EBIT","1993-06-18","2026-05-02","Per=Y","Days=T","Dir=V")</f>
        <v>0</v>
      </c>
      <c r="AC2">
        <f>BDH("CVI US Equity","EBITDA","1993-06-18","2026-05-02","Per=Y","Days=T","Dir=V")</f>
        <v>0</v>
      </c>
      <c r="AE2">
        <f>BDH("CVI US Equity","NET_INCOME","1993-06-18","2026-05-02","Per=Y","Days=T","Dir=V")</f>
        <v>0</v>
      </c>
      <c r="AG2">
        <f>BDH("CVI US Equity","IS_INT_EXPENSE","1993-06-18","2026-05-02","Per=Y","Days=T","Dir=V")</f>
        <v>0</v>
      </c>
      <c r="AI2">
        <f>BDH("CVI US Equity","IS_DEPR_EXP","1993-06-18","2026-05-02","Per=Y","Days=T","Dir=V")</f>
        <v>0</v>
      </c>
      <c r="AK2">
        <f>BDH("CVI US Equity","CF_CASH_FROM_OPER","1993-06-18","2026-05-02","Per=Y","Days=T","Dir=V")</f>
        <v>0</v>
      </c>
      <c r="AM2">
        <f>BDH("CVI US Equity","CAPITAL_EXPEND","1993-06-18","2026-05-02","Per=Y","Days=T","Dir=V")</f>
        <v>0</v>
      </c>
      <c r="AO2">
        <f>BDH("CVI US Equity","CF_FREE_CASH_FLOW","1993-06-18","2026-05-02","Per=Y","Days=T","Dir=V")</f>
        <v>0</v>
      </c>
      <c r="AQ2">
        <f>BDH("CVI US Equity","PX_LAST","1993-06-18","2026-05-02","Per=M","Days=T","Dir=V")</f>
        <v>0</v>
      </c>
      <c r="AS2">
        <f>BDH("CVI US Equity","CUR_MKT_CAP","1993-06-18","2026-05-02","Per=M","Days=T","Dir=V")</f>
        <v>0</v>
      </c>
      <c r="AU2">
        <f>BDH("CVI US Equity","EQY_SH_OUT","1993-06-18","2026-05-02","Per=M","Days=T","Dir=V")</f>
        <v>0</v>
      </c>
      <c r="AW2">
        <f>BDH("CVI US Equity","PX_VOLUME","1993-06-18","2026-05-02","Per=M","Days=T","Dir=V")</f>
        <v>0</v>
      </c>
      <c r="AY2">
        <f>BDH("CVI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BDH("CVKD US Equity","BS_TOT_ASSET","1993-06-18","2026-05-02","Per=Y","Days=T","Dir=V")</f>
        <v>0</v>
      </c>
      <c r="C2">
        <f>BDH("CVKD US Equity","BS_TOT_LIAB2","1993-06-18","2026-05-02","Per=Y","Days=T","Dir=V")</f>
        <v>0</v>
      </c>
      <c r="E2">
        <f>BDH("CVKD US Equity","SHORT_AND_LONG_TERM_DEBT","1993-06-18","2026-05-02","Per=Y","Days=T","Dir=V")</f>
        <v>0</v>
      </c>
      <c r="G2">
        <f>BDH("CVKD US Equity","BS_ST_BORROW","1993-06-18","2026-05-02","Per=Y","Days=T","Dir=V")</f>
        <v>0</v>
      </c>
      <c r="I2">
        <f>BDH("CVKD US Equity","BS_LT_BORROW","1993-06-18","2026-05-02","Per=Y","Days=T","Dir=V")</f>
        <v>0</v>
      </c>
      <c r="K2">
        <f>BDH("CVKD US Equity","BS_CASH_NEAR_CASH_ITEM","1993-06-18","2026-05-02","Per=Y","Days=T","Dir=V")</f>
        <v>0</v>
      </c>
      <c r="M2">
        <f>BDH("CVKD US Equity","BS_CUR_ASSET_REPORT","1993-06-18","2026-05-02","Per=Y","Days=T","Dir=V")</f>
        <v>0</v>
      </c>
      <c r="O2">
        <f>BDH("CVKD US Equity","BS_CUR_LIAB","1993-06-18","2026-05-02","Per=Y","Days=T","Dir=V")</f>
        <v>0</v>
      </c>
      <c r="Q2">
        <f>BDH("CVKD US Equity","BS_SHAREHOLDER_EQY_ENDING_PERIOD","1993-06-18","2026-05-02","Per=Y","Days=T","Dir=V")</f>
        <v>0</v>
      </c>
      <c r="S2">
        <f>BDH("CVKD US Equity","BS_ACCT_NOTE_RCV","1993-06-18","2026-05-02","Per=Y","Days=T","Dir=V")</f>
        <v>0</v>
      </c>
      <c r="U2">
        <f>BDH("CVKD US Equity","BS_INVENTORIES","1993-06-18","2026-05-02","Per=Y","Days=T","Dir=V")</f>
        <v>0</v>
      </c>
      <c r="W2">
        <f>BDH("CVKD US Equity","WORKING_CAPITAL","1993-06-18","2026-05-02","Per=Y","Days=T","Dir=V")</f>
        <v>0</v>
      </c>
      <c r="Y2">
        <f>BDH("CVKD US Equity","SALES_REV_TURN","1993-06-18","2026-05-02","Per=Y","Days=T","Dir=V")</f>
        <v>0</v>
      </c>
      <c r="AA2">
        <f>BDH("CVKD US Equity","EBIT","1993-06-18","2026-05-02","Per=Y","Days=T","Dir=V")</f>
        <v>0</v>
      </c>
      <c r="AC2">
        <f>BDH("CVKD US Equity","EBITDA","1993-06-18","2026-05-02","Per=Y","Days=T","Dir=V")</f>
        <v>0</v>
      </c>
      <c r="AE2">
        <f>BDH("CVKD US Equity","NET_INCOME","1993-06-18","2026-05-02","Per=Y","Days=T","Dir=V")</f>
        <v>0</v>
      </c>
      <c r="AG2">
        <f>BDH("CVKD US Equity","IS_INT_EXPENSE","1993-06-18","2026-05-02","Per=Y","Days=T","Dir=V")</f>
        <v>0</v>
      </c>
      <c r="AI2">
        <f>BDH("CVKD US Equity","IS_DEPR_EXP","1993-06-18","2026-05-02","Per=Y","Days=T","Dir=V")</f>
        <v>0</v>
      </c>
      <c r="AK2">
        <f>BDH("CVKD US Equity","CF_CASH_FROM_OPER","1993-06-18","2026-05-02","Per=Y","Days=T","Dir=V")</f>
        <v>0</v>
      </c>
      <c r="AM2">
        <f>BDH("CVKD US Equity","CAPITAL_EXPEND","1993-06-18","2026-05-02","Per=Y","Days=T","Dir=V")</f>
        <v>0</v>
      </c>
      <c r="AO2">
        <f>BDH("CVKD US Equity","CF_FREE_CASH_FLOW","1993-06-18","2026-05-02","Per=Y","Days=T","Dir=V")</f>
        <v>0</v>
      </c>
      <c r="AQ2">
        <f>BDH("CVKD US Equity","PX_LAST","1993-06-18","2026-05-02","Per=M","Days=T","Dir=V")</f>
        <v>0</v>
      </c>
      <c r="AS2">
        <f>BDH("CVKD US Equity","CUR_MKT_CAP","1993-06-18","2026-05-02","Per=M","Days=T","Dir=V")</f>
        <v>0</v>
      </c>
      <c r="AU2">
        <f>BDH("CVKD US Equity","EQY_SH_OUT","1993-06-18","2026-05-02","Per=M","Days=T","Dir=V")</f>
        <v>0</v>
      </c>
      <c r="AW2">
        <f>BDH("CVKD US Equity","PX_VOLUME","1993-06-18","2026-05-02","Per=M","Days=T","Dir=V")</f>
        <v>0</v>
      </c>
      <c r="AY2">
        <f>BDH("CVKD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BDH("CVLG US Equity","BS_TOT_ASSET","1993-06-18","2026-05-02","Per=Y","Days=T","Dir=V")</f>
        <v>0</v>
      </c>
      <c r="C2">
        <f>BDH("CVLG US Equity","BS_TOT_LIAB2","1993-06-18","2026-05-02","Per=Y","Days=T","Dir=V")</f>
        <v>0</v>
      </c>
      <c r="E2">
        <f>BDH("CVLG US Equity","SHORT_AND_LONG_TERM_DEBT","1993-06-18","2026-05-02","Per=Y","Days=T","Dir=V")</f>
        <v>0</v>
      </c>
      <c r="G2">
        <f>BDH("CVLG US Equity","BS_ST_BORROW","1993-06-18","2026-05-02","Per=Y","Days=T","Dir=V")</f>
        <v>0</v>
      </c>
      <c r="I2">
        <f>BDH("CVLG US Equity","BS_LT_BORROW","1993-06-18","2026-05-02","Per=Y","Days=T","Dir=V")</f>
        <v>0</v>
      </c>
      <c r="K2">
        <f>BDH("CVLG US Equity","BS_CASH_NEAR_CASH_ITEM","1993-06-18","2026-05-02","Per=Y","Days=T","Dir=V")</f>
        <v>0</v>
      </c>
      <c r="M2">
        <f>BDH("CVLG US Equity","BS_CUR_ASSET_REPORT","1993-06-18","2026-05-02","Per=Y","Days=T","Dir=V")</f>
        <v>0</v>
      </c>
      <c r="O2">
        <f>BDH("CVLG US Equity","BS_CUR_LIAB","1993-06-18","2026-05-02","Per=Y","Days=T","Dir=V")</f>
        <v>0</v>
      </c>
      <c r="Q2">
        <f>BDH("CVLG US Equity","BS_SHAREHOLDER_EQY_ENDING_PERIOD","1993-06-18","2026-05-02","Per=Y","Days=T","Dir=V")</f>
        <v>0</v>
      </c>
      <c r="S2">
        <f>BDH("CVLG US Equity","BS_ACCT_NOTE_RCV","1993-06-18","2026-05-02","Per=Y","Days=T","Dir=V")</f>
        <v>0</v>
      </c>
      <c r="U2">
        <f>BDH("CVLG US Equity","BS_INVENTORIES","1993-06-18","2026-05-02","Per=Y","Days=T","Dir=V")</f>
        <v>0</v>
      </c>
      <c r="W2">
        <f>BDH("CVLG US Equity","WORKING_CAPITAL","1993-06-18","2026-05-02","Per=Y","Days=T","Dir=V")</f>
        <v>0</v>
      </c>
      <c r="Y2">
        <f>BDH("CVLG US Equity","SALES_REV_TURN","1993-06-18","2026-05-02","Per=Y","Days=T","Dir=V")</f>
        <v>0</v>
      </c>
      <c r="AA2">
        <f>BDH("CVLG US Equity","EBIT","1993-06-18","2026-05-02","Per=Y","Days=T","Dir=V")</f>
        <v>0</v>
      </c>
      <c r="AC2">
        <f>BDH("CVLG US Equity","EBITDA","1993-06-18","2026-05-02","Per=Y","Days=T","Dir=V")</f>
        <v>0</v>
      </c>
      <c r="AE2">
        <f>BDH("CVLG US Equity","NET_INCOME","1993-06-18","2026-05-02","Per=Y","Days=T","Dir=V")</f>
        <v>0</v>
      </c>
      <c r="AG2">
        <f>BDH("CVLG US Equity","IS_INT_EXPENSE","1993-06-18","2026-05-02","Per=Y","Days=T","Dir=V")</f>
        <v>0</v>
      </c>
      <c r="AI2">
        <f>BDH("CVLG US Equity","IS_DEPR_EXP","1993-06-18","2026-05-02","Per=Y","Days=T","Dir=V")</f>
        <v>0</v>
      </c>
      <c r="AK2">
        <f>BDH("CVLG US Equity","CF_CASH_FROM_OPER","1993-06-18","2026-05-02","Per=Y","Days=T","Dir=V")</f>
        <v>0</v>
      </c>
      <c r="AM2">
        <f>BDH("CVLG US Equity","CAPITAL_EXPEND","1993-06-18","2026-05-02","Per=Y","Days=T","Dir=V")</f>
        <v>0</v>
      </c>
      <c r="AO2">
        <f>BDH("CVLG US Equity","CF_FREE_CASH_FLOW","1993-06-18","2026-05-02","Per=Y","Days=T","Dir=V")</f>
        <v>0</v>
      </c>
      <c r="AQ2">
        <f>BDH("CVLG US Equity","PX_LAST","1993-06-18","2026-05-02","Per=M","Days=T","Dir=V")</f>
        <v>0</v>
      </c>
      <c r="AS2">
        <f>BDH("CVLG US Equity","CUR_MKT_CAP","1993-06-18","2026-05-02","Per=M","Days=T","Dir=V")</f>
        <v>0</v>
      </c>
      <c r="AU2">
        <f>BDH("CVLG US Equity","EQY_SH_OUT","1993-06-18","2026-05-02","Per=M","Days=T","Dir=V")</f>
        <v>0</v>
      </c>
      <c r="AW2">
        <f>BDH("CVLG US Equity","PX_VOLUME","1993-06-18","2026-05-02","Per=M","Days=T","Dir=V")</f>
        <v>0</v>
      </c>
      <c r="AY2">
        <f>BDH("CVLG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BDH("CVLT US Equity","BS_TOT_ASSET","1993-06-18","2026-05-02","Per=Y","Days=T","Dir=V")</f>
        <v>0</v>
      </c>
      <c r="C2">
        <f>BDH("CVLT US Equity","BS_TOT_LIAB2","1993-06-18","2026-05-02","Per=Y","Days=T","Dir=V")</f>
        <v>0</v>
      </c>
      <c r="E2">
        <f>BDH("CVLT US Equity","SHORT_AND_LONG_TERM_DEBT","1993-06-18","2026-05-02","Per=Y","Days=T","Dir=V")</f>
        <v>0</v>
      </c>
      <c r="G2">
        <f>BDH("CVLT US Equity","BS_ST_BORROW","1993-06-18","2026-05-02","Per=Y","Days=T","Dir=V")</f>
        <v>0</v>
      </c>
      <c r="I2">
        <f>BDH("CVLT US Equity","BS_LT_BORROW","1993-06-18","2026-05-02","Per=Y","Days=T","Dir=V")</f>
        <v>0</v>
      </c>
      <c r="K2">
        <f>BDH("CVLT US Equity","BS_CASH_NEAR_CASH_ITEM","1993-06-18","2026-05-02","Per=Y","Days=T","Dir=V")</f>
        <v>0</v>
      </c>
      <c r="M2">
        <f>BDH("CVLT US Equity","BS_CUR_ASSET_REPORT","1993-06-18","2026-05-02","Per=Y","Days=T","Dir=V")</f>
        <v>0</v>
      </c>
      <c r="O2">
        <f>BDH("CVLT US Equity","BS_CUR_LIAB","1993-06-18","2026-05-02","Per=Y","Days=T","Dir=V")</f>
        <v>0</v>
      </c>
      <c r="Q2">
        <f>BDH("CVLT US Equity","BS_SHAREHOLDER_EQY_ENDING_PERIOD","1993-06-18","2026-05-02","Per=Y","Days=T","Dir=V")</f>
        <v>0</v>
      </c>
      <c r="S2">
        <f>BDH("CVLT US Equity","BS_ACCT_NOTE_RCV","1993-06-18","2026-05-02","Per=Y","Days=T","Dir=V")</f>
        <v>0</v>
      </c>
      <c r="U2">
        <f>BDH("CVLT US Equity","BS_INVENTORIES","1993-06-18","2026-05-02","Per=Y","Days=T","Dir=V")</f>
        <v>0</v>
      </c>
      <c r="W2">
        <f>BDH("CVLT US Equity","WORKING_CAPITAL","1993-06-18","2026-05-02","Per=Y","Days=T","Dir=V")</f>
        <v>0</v>
      </c>
      <c r="Y2">
        <f>BDH("CVLT US Equity","SALES_REV_TURN","1993-06-18","2026-05-02","Per=Y","Days=T","Dir=V")</f>
        <v>0</v>
      </c>
      <c r="AA2">
        <f>BDH("CVLT US Equity","EBIT","1993-06-18","2026-05-02","Per=Y","Days=T","Dir=V")</f>
        <v>0</v>
      </c>
      <c r="AC2">
        <f>BDH("CVLT US Equity","EBITDA","1993-06-18","2026-05-02","Per=Y","Days=T","Dir=V")</f>
        <v>0</v>
      </c>
      <c r="AE2">
        <f>BDH("CVLT US Equity","NET_INCOME","1993-06-18","2026-05-02","Per=Y","Days=T","Dir=V")</f>
        <v>0</v>
      </c>
      <c r="AG2">
        <f>BDH("CVLT US Equity","IS_INT_EXPENSE","1993-06-18","2026-05-02","Per=Y","Days=T","Dir=V")</f>
        <v>0</v>
      </c>
      <c r="AI2">
        <f>BDH("CVLT US Equity","IS_DEPR_EXP","1993-06-18","2026-05-02","Per=Y","Days=T","Dir=V")</f>
        <v>0</v>
      </c>
      <c r="AK2">
        <f>BDH("CVLT US Equity","CF_CASH_FROM_OPER","1993-06-18","2026-05-02","Per=Y","Days=T","Dir=V")</f>
        <v>0</v>
      </c>
      <c r="AM2">
        <f>BDH("CVLT US Equity","CAPITAL_EXPEND","1993-06-18","2026-05-02","Per=Y","Days=T","Dir=V")</f>
        <v>0</v>
      </c>
      <c r="AO2">
        <f>BDH("CVLT US Equity","CF_FREE_CASH_FLOW","1993-06-18","2026-05-02","Per=Y","Days=T","Dir=V")</f>
        <v>0</v>
      </c>
      <c r="AQ2">
        <f>BDH("CVLT US Equity","PX_LAST","1993-06-18","2026-05-02","Per=M","Days=T","Dir=V")</f>
        <v>0</v>
      </c>
      <c r="AS2">
        <f>BDH("CVLT US Equity","CUR_MKT_CAP","1993-06-18","2026-05-02","Per=M","Days=T","Dir=V")</f>
        <v>0</v>
      </c>
      <c r="AU2">
        <f>BDH("CVLT US Equity","EQY_SH_OUT","1993-06-18","2026-05-02","Per=M","Days=T","Dir=V")</f>
        <v>0</v>
      </c>
      <c r="AW2">
        <f>BDH("CVLT US Equity","PX_VOLUME","1993-06-18","2026-05-02","Per=M","Days=T","Dir=V")</f>
        <v>0</v>
      </c>
      <c r="AY2">
        <f>BDH("CVLT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BDH("CVM US Equity","BS_TOT_ASSET","1993-06-18","2026-05-02","Per=Y","Days=T","Dir=V")</f>
        <v>0</v>
      </c>
      <c r="C2">
        <f>BDH("CVM US Equity","BS_TOT_LIAB2","1993-06-18","2026-05-02","Per=Y","Days=T","Dir=V")</f>
        <v>0</v>
      </c>
      <c r="E2">
        <f>BDH("CVM US Equity","SHORT_AND_LONG_TERM_DEBT","1993-06-18","2026-05-02","Per=Y","Days=T","Dir=V")</f>
        <v>0</v>
      </c>
      <c r="G2">
        <f>BDH("CVM US Equity","BS_ST_BORROW","1993-06-18","2026-05-02","Per=Y","Days=T","Dir=V")</f>
        <v>0</v>
      </c>
      <c r="I2">
        <f>BDH("CVM US Equity","BS_LT_BORROW","1993-06-18","2026-05-02","Per=Y","Days=T","Dir=V")</f>
        <v>0</v>
      </c>
      <c r="K2">
        <f>BDH("CVM US Equity","BS_CASH_NEAR_CASH_ITEM","1993-06-18","2026-05-02","Per=Y","Days=T","Dir=V")</f>
        <v>0</v>
      </c>
      <c r="M2">
        <f>BDH("CVM US Equity","BS_CUR_ASSET_REPORT","1993-06-18","2026-05-02","Per=Y","Days=T","Dir=V")</f>
        <v>0</v>
      </c>
      <c r="O2">
        <f>BDH("CVM US Equity","BS_CUR_LIAB","1993-06-18","2026-05-02","Per=Y","Days=T","Dir=V")</f>
        <v>0</v>
      </c>
      <c r="Q2">
        <f>BDH("CVM US Equity","BS_SHAREHOLDER_EQY_ENDING_PERIOD","1993-06-18","2026-05-02","Per=Y","Days=T","Dir=V")</f>
        <v>0</v>
      </c>
      <c r="S2">
        <f>BDH("CVM US Equity","BS_ACCT_NOTE_RCV","1993-06-18","2026-05-02","Per=Y","Days=T","Dir=V")</f>
        <v>0</v>
      </c>
      <c r="U2">
        <f>BDH("CVM US Equity","BS_INVENTORIES","1993-06-18","2026-05-02","Per=Y","Days=T","Dir=V")</f>
        <v>0</v>
      </c>
      <c r="W2">
        <f>BDH("CVM US Equity","WORKING_CAPITAL","1993-06-18","2026-05-02","Per=Y","Days=T","Dir=V")</f>
        <v>0</v>
      </c>
      <c r="Y2">
        <f>BDH("CVM US Equity","SALES_REV_TURN","1993-06-18","2026-05-02","Per=Y","Days=T","Dir=V")</f>
        <v>0</v>
      </c>
      <c r="AA2">
        <f>BDH("CVM US Equity","EBIT","1993-06-18","2026-05-02","Per=Y","Days=T","Dir=V")</f>
        <v>0</v>
      </c>
      <c r="AC2">
        <f>BDH("CVM US Equity","EBITDA","1993-06-18","2026-05-02","Per=Y","Days=T","Dir=V")</f>
        <v>0</v>
      </c>
      <c r="AE2">
        <f>BDH("CVM US Equity","NET_INCOME","1993-06-18","2026-05-02","Per=Y","Days=T","Dir=V")</f>
        <v>0</v>
      </c>
      <c r="AG2">
        <f>BDH("CVM US Equity","IS_INT_EXPENSE","1993-06-18","2026-05-02","Per=Y","Days=T","Dir=V")</f>
        <v>0</v>
      </c>
      <c r="AI2">
        <f>BDH("CVM US Equity","IS_DEPR_EXP","1993-06-18","2026-05-02","Per=Y","Days=T","Dir=V")</f>
        <v>0</v>
      </c>
      <c r="AK2">
        <f>BDH("CVM US Equity","CF_CASH_FROM_OPER","1993-06-18","2026-05-02","Per=Y","Days=T","Dir=V")</f>
        <v>0</v>
      </c>
      <c r="AM2">
        <f>BDH("CVM US Equity","CAPITAL_EXPEND","1993-06-18","2026-05-02","Per=Y","Days=T","Dir=V")</f>
        <v>0</v>
      </c>
      <c r="AO2">
        <f>BDH("CVM US Equity","CF_FREE_CASH_FLOW","1993-06-18","2026-05-02","Per=Y","Days=T","Dir=V")</f>
        <v>0</v>
      </c>
      <c r="AQ2">
        <f>BDH("CVM US Equity","PX_LAST","1993-06-18","2026-05-02","Per=M","Days=T","Dir=V")</f>
        <v>0</v>
      </c>
      <c r="AS2">
        <f>BDH("CVM US Equity","CUR_MKT_CAP","1993-06-18","2026-05-02","Per=M","Days=T","Dir=V")</f>
        <v>0</v>
      </c>
      <c r="AU2">
        <f>BDH("CVM US Equity","EQY_SH_OUT","1993-06-18","2026-05-02","Per=M","Days=T","Dir=V")</f>
        <v>0</v>
      </c>
      <c r="AW2">
        <f>BDH("CVM US Equity","PX_VOLUME","1993-06-18","2026-05-02","Per=M","Days=T","Dir=V")</f>
        <v>0</v>
      </c>
      <c r="AY2">
        <f>BDH("CVM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BDH("CVNA US Equity","BS_TOT_ASSET","1993-06-18","2026-05-02","Per=Y","Days=T","Dir=V")</f>
        <v>0</v>
      </c>
      <c r="C2">
        <f>BDH("CVNA US Equity","BS_TOT_LIAB2","1993-06-18","2026-05-02","Per=Y","Days=T","Dir=V")</f>
        <v>0</v>
      </c>
      <c r="E2">
        <f>BDH("CVNA US Equity","SHORT_AND_LONG_TERM_DEBT","1993-06-18","2026-05-02","Per=Y","Days=T","Dir=V")</f>
        <v>0</v>
      </c>
      <c r="G2">
        <f>BDH("CVNA US Equity","BS_ST_BORROW","1993-06-18","2026-05-02","Per=Y","Days=T","Dir=V")</f>
        <v>0</v>
      </c>
      <c r="I2">
        <f>BDH("CVNA US Equity","BS_LT_BORROW","1993-06-18","2026-05-02","Per=Y","Days=T","Dir=V")</f>
        <v>0</v>
      </c>
      <c r="K2">
        <f>BDH("CVNA US Equity","BS_CASH_NEAR_CASH_ITEM","1993-06-18","2026-05-02","Per=Y","Days=T","Dir=V")</f>
        <v>0</v>
      </c>
      <c r="M2">
        <f>BDH("CVNA US Equity","BS_CUR_ASSET_REPORT","1993-06-18","2026-05-02","Per=Y","Days=T","Dir=V")</f>
        <v>0</v>
      </c>
      <c r="O2">
        <f>BDH("CVNA US Equity","BS_CUR_LIAB","1993-06-18","2026-05-02","Per=Y","Days=T","Dir=V")</f>
        <v>0</v>
      </c>
      <c r="Q2">
        <f>BDH("CVNA US Equity","BS_SHAREHOLDER_EQY_ENDING_PERIOD","1993-06-18","2026-05-02","Per=Y","Days=T","Dir=V")</f>
        <v>0</v>
      </c>
      <c r="S2">
        <f>BDH("CVNA US Equity","BS_ACCT_NOTE_RCV","1993-06-18","2026-05-02","Per=Y","Days=T","Dir=V")</f>
        <v>0</v>
      </c>
      <c r="U2">
        <f>BDH("CVNA US Equity","BS_INVENTORIES","1993-06-18","2026-05-02","Per=Y","Days=T","Dir=V")</f>
        <v>0</v>
      </c>
      <c r="W2">
        <f>BDH("CVNA US Equity","WORKING_CAPITAL","1993-06-18","2026-05-02","Per=Y","Days=T","Dir=V")</f>
        <v>0</v>
      </c>
      <c r="Y2">
        <f>BDH("CVNA US Equity","SALES_REV_TURN","1993-06-18","2026-05-02","Per=Y","Days=T","Dir=V")</f>
        <v>0</v>
      </c>
      <c r="AA2">
        <f>BDH("CVNA US Equity","EBIT","1993-06-18","2026-05-02","Per=Y","Days=T","Dir=V")</f>
        <v>0</v>
      </c>
      <c r="AC2">
        <f>BDH("CVNA US Equity","EBITDA","1993-06-18","2026-05-02","Per=Y","Days=T","Dir=V")</f>
        <v>0</v>
      </c>
      <c r="AE2">
        <f>BDH("CVNA US Equity","NET_INCOME","1993-06-18","2026-05-02","Per=Y","Days=T","Dir=V")</f>
        <v>0</v>
      </c>
      <c r="AG2">
        <f>BDH("CVNA US Equity","IS_INT_EXPENSE","1993-06-18","2026-05-02","Per=Y","Days=T","Dir=V")</f>
        <v>0</v>
      </c>
      <c r="AI2">
        <f>BDH("CVNA US Equity","IS_DEPR_EXP","1993-06-18","2026-05-02","Per=Y","Days=T","Dir=V")</f>
        <v>0</v>
      </c>
      <c r="AK2">
        <f>BDH("CVNA US Equity","CF_CASH_FROM_OPER","1993-06-18","2026-05-02","Per=Y","Days=T","Dir=V")</f>
        <v>0</v>
      </c>
      <c r="AM2">
        <f>BDH("CVNA US Equity","CAPITAL_EXPEND","1993-06-18","2026-05-02","Per=Y","Days=T","Dir=V")</f>
        <v>0</v>
      </c>
      <c r="AO2">
        <f>BDH("CVNA US Equity","CF_FREE_CASH_FLOW","1993-06-18","2026-05-02","Per=Y","Days=T","Dir=V")</f>
        <v>0</v>
      </c>
      <c r="AQ2">
        <f>BDH("CVNA US Equity","PX_LAST","1993-06-18","2026-05-02","Per=M","Days=T","Dir=V")</f>
        <v>0</v>
      </c>
      <c r="AS2">
        <f>BDH("CVNA US Equity","CUR_MKT_CAP","1993-06-18","2026-05-02","Per=M","Days=T","Dir=V")</f>
        <v>0</v>
      </c>
      <c r="AU2">
        <f>BDH("CVNA US Equity","EQY_SH_OUT","1993-06-18","2026-05-02","Per=M","Days=T","Dir=V")</f>
        <v>0</v>
      </c>
      <c r="AW2">
        <f>BDH("CVNA US Equity","PX_VOLUME","1993-06-18","2026-05-02","Per=M","Days=T","Dir=V")</f>
        <v>0</v>
      </c>
      <c r="AY2">
        <f>BDH("CVNA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BDH("CVR US Equity","BS_TOT_ASSET","1993-06-18","2026-05-02","Per=Y","Days=T","Dir=V")</f>
        <v>0</v>
      </c>
      <c r="C2">
        <f>BDH("CVR US Equity","BS_TOT_LIAB2","1993-06-18","2026-05-02","Per=Y","Days=T","Dir=V")</f>
        <v>0</v>
      </c>
      <c r="E2">
        <f>BDH("CVR US Equity","SHORT_AND_LONG_TERM_DEBT","1993-06-18","2026-05-02","Per=Y","Days=T","Dir=V")</f>
        <v>0</v>
      </c>
      <c r="G2">
        <f>BDH("CVR US Equity","BS_ST_BORROW","1993-06-18","2026-05-02","Per=Y","Days=T","Dir=V")</f>
        <v>0</v>
      </c>
      <c r="I2">
        <f>BDH("CVR US Equity","BS_LT_BORROW","1993-06-18","2026-05-02","Per=Y","Days=T","Dir=V")</f>
        <v>0</v>
      </c>
      <c r="K2">
        <f>BDH("CVR US Equity","BS_CASH_NEAR_CASH_ITEM","1993-06-18","2026-05-02","Per=Y","Days=T","Dir=V")</f>
        <v>0</v>
      </c>
      <c r="M2">
        <f>BDH("CVR US Equity","BS_CUR_ASSET_REPORT","1993-06-18","2026-05-02","Per=Y","Days=T","Dir=V")</f>
        <v>0</v>
      </c>
      <c r="O2">
        <f>BDH("CVR US Equity","BS_CUR_LIAB","1993-06-18","2026-05-02","Per=Y","Days=T","Dir=V")</f>
        <v>0</v>
      </c>
      <c r="Q2">
        <f>BDH("CVR US Equity","BS_SHAREHOLDER_EQY_ENDING_PERIOD","1993-06-18","2026-05-02","Per=Y","Days=T","Dir=V")</f>
        <v>0</v>
      </c>
      <c r="S2">
        <f>BDH("CVR US Equity","BS_ACCT_NOTE_RCV","1993-06-18","2026-05-02","Per=Y","Days=T","Dir=V")</f>
        <v>0</v>
      </c>
      <c r="U2">
        <f>BDH("CVR US Equity","BS_INVENTORIES","1993-06-18","2026-05-02","Per=Y","Days=T","Dir=V")</f>
        <v>0</v>
      </c>
      <c r="W2">
        <f>BDH("CVR US Equity","WORKING_CAPITAL","1993-06-18","2026-05-02","Per=Y","Days=T","Dir=V")</f>
        <v>0</v>
      </c>
      <c r="Y2">
        <f>BDH("CVR US Equity","SALES_REV_TURN","1993-06-18","2026-05-02","Per=Y","Days=T","Dir=V")</f>
        <v>0</v>
      </c>
      <c r="AA2">
        <f>BDH("CVR US Equity","EBIT","1993-06-18","2026-05-02","Per=Y","Days=T","Dir=V")</f>
        <v>0</v>
      </c>
      <c r="AC2">
        <f>BDH("CVR US Equity","EBITDA","1993-06-18","2026-05-02","Per=Y","Days=T","Dir=V")</f>
        <v>0</v>
      </c>
      <c r="AE2">
        <f>BDH("CVR US Equity","NET_INCOME","1993-06-18","2026-05-02","Per=Y","Days=T","Dir=V")</f>
        <v>0</v>
      </c>
      <c r="AG2">
        <f>BDH("CVR US Equity","IS_INT_EXPENSE","1993-06-18","2026-05-02","Per=Y","Days=T","Dir=V")</f>
        <v>0</v>
      </c>
      <c r="AI2">
        <f>BDH("CVR US Equity","IS_DEPR_EXP","1993-06-18","2026-05-02","Per=Y","Days=T","Dir=V")</f>
        <v>0</v>
      </c>
      <c r="AK2">
        <f>BDH("CVR US Equity","CF_CASH_FROM_OPER","1993-06-18","2026-05-02","Per=Y","Days=T","Dir=V")</f>
        <v>0</v>
      </c>
      <c r="AM2">
        <f>BDH("CVR US Equity","CAPITAL_EXPEND","1993-06-18","2026-05-02","Per=Y","Days=T","Dir=V")</f>
        <v>0</v>
      </c>
      <c r="AO2">
        <f>BDH("CVR US Equity","CF_FREE_CASH_FLOW","1993-06-18","2026-05-02","Per=Y","Days=T","Dir=V")</f>
        <v>0</v>
      </c>
      <c r="AQ2">
        <f>BDH("CVR US Equity","PX_LAST","1993-06-18","2026-05-02","Per=M","Days=T","Dir=V")</f>
        <v>0</v>
      </c>
      <c r="AS2">
        <f>BDH("CVR US Equity","CUR_MKT_CAP","1993-06-18","2026-05-02","Per=M","Days=T","Dir=V")</f>
        <v>0</v>
      </c>
      <c r="AU2">
        <f>BDH("CVR US Equity","EQY_SH_OUT","1993-06-18","2026-05-02","Per=M","Days=T","Dir=V")</f>
        <v>0</v>
      </c>
      <c r="AW2">
        <f>BDH("CVR US Equity","PX_VOLUME","1993-06-18","2026-05-02","Per=M","Days=T","Dir=V")</f>
        <v>0</v>
      </c>
      <c r="AY2">
        <f>BDH("CVR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BDH("CVRX US Equity","BS_TOT_ASSET","1993-06-18","2026-05-02","Per=Y","Days=T","Dir=V")</f>
        <v>0</v>
      </c>
      <c r="C2">
        <f>BDH("CVRX US Equity","BS_TOT_LIAB2","1993-06-18","2026-05-02","Per=Y","Days=T","Dir=V")</f>
        <v>0</v>
      </c>
      <c r="E2">
        <f>BDH("CVRX US Equity","SHORT_AND_LONG_TERM_DEBT","1993-06-18","2026-05-02","Per=Y","Days=T","Dir=V")</f>
        <v>0</v>
      </c>
      <c r="G2">
        <f>BDH("CVRX US Equity","BS_ST_BORROW","1993-06-18","2026-05-02","Per=Y","Days=T","Dir=V")</f>
        <v>0</v>
      </c>
      <c r="I2">
        <f>BDH("CVRX US Equity","BS_LT_BORROW","1993-06-18","2026-05-02","Per=Y","Days=T","Dir=V")</f>
        <v>0</v>
      </c>
      <c r="K2">
        <f>BDH("CVRX US Equity","BS_CASH_NEAR_CASH_ITEM","1993-06-18","2026-05-02","Per=Y","Days=T","Dir=V")</f>
        <v>0</v>
      </c>
      <c r="M2">
        <f>BDH("CVRX US Equity","BS_CUR_ASSET_REPORT","1993-06-18","2026-05-02","Per=Y","Days=T","Dir=V")</f>
        <v>0</v>
      </c>
      <c r="O2">
        <f>BDH("CVRX US Equity","BS_CUR_LIAB","1993-06-18","2026-05-02","Per=Y","Days=T","Dir=V")</f>
        <v>0</v>
      </c>
      <c r="Q2">
        <f>BDH("CVRX US Equity","BS_SHAREHOLDER_EQY_ENDING_PERIOD","1993-06-18","2026-05-02","Per=Y","Days=T","Dir=V")</f>
        <v>0</v>
      </c>
      <c r="S2">
        <f>BDH("CVRX US Equity","BS_ACCT_NOTE_RCV","1993-06-18","2026-05-02","Per=Y","Days=T","Dir=V")</f>
        <v>0</v>
      </c>
      <c r="U2">
        <f>BDH("CVRX US Equity","BS_INVENTORIES","1993-06-18","2026-05-02","Per=Y","Days=T","Dir=V")</f>
        <v>0</v>
      </c>
      <c r="W2">
        <f>BDH("CVRX US Equity","WORKING_CAPITAL","1993-06-18","2026-05-02","Per=Y","Days=T","Dir=V")</f>
        <v>0</v>
      </c>
      <c r="Y2">
        <f>BDH("CVRX US Equity","SALES_REV_TURN","1993-06-18","2026-05-02","Per=Y","Days=T","Dir=V")</f>
        <v>0</v>
      </c>
      <c r="AA2">
        <f>BDH("CVRX US Equity","EBIT","1993-06-18","2026-05-02","Per=Y","Days=T","Dir=V")</f>
        <v>0</v>
      </c>
      <c r="AC2">
        <f>BDH("CVRX US Equity","EBITDA","1993-06-18","2026-05-02","Per=Y","Days=T","Dir=V")</f>
        <v>0</v>
      </c>
      <c r="AE2">
        <f>BDH("CVRX US Equity","NET_INCOME","1993-06-18","2026-05-02","Per=Y","Days=T","Dir=V")</f>
        <v>0</v>
      </c>
      <c r="AG2">
        <f>BDH("CVRX US Equity","IS_INT_EXPENSE","1993-06-18","2026-05-02","Per=Y","Days=T","Dir=V")</f>
        <v>0</v>
      </c>
      <c r="AI2">
        <f>BDH("CVRX US Equity","IS_DEPR_EXP","1993-06-18","2026-05-02","Per=Y","Days=T","Dir=V")</f>
        <v>0</v>
      </c>
      <c r="AK2">
        <f>BDH("CVRX US Equity","CF_CASH_FROM_OPER","1993-06-18","2026-05-02","Per=Y","Days=T","Dir=V")</f>
        <v>0</v>
      </c>
      <c r="AM2">
        <f>BDH("CVRX US Equity","CAPITAL_EXPEND","1993-06-18","2026-05-02","Per=Y","Days=T","Dir=V")</f>
        <v>0</v>
      </c>
      <c r="AO2">
        <f>BDH("CVRX US Equity","CF_FREE_CASH_FLOW","1993-06-18","2026-05-02","Per=Y","Days=T","Dir=V")</f>
        <v>0</v>
      </c>
      <c r="AQ2">
        <f>BDH("CVRX US Equity","PX_LAST","1993-06-18","2026-05-02","Per=M","Days=T","Dir=V")</f>
        <v>0</v>
      </c>
      <c r="AS2">
        <f>BDH("CVRX US Equity","CUR_MKT_CAP","1993-06-18","2026-05-02","Per=M","Days=T","Dir=V")</f>
        <v>0</v>
      </c>
      <c r="AU2">
        <f>BDH("CVRX US Equity","EQY_SH_OUT","1993-06-18","2026-05-02","Per=M","Days=T","Dir=V")</f>
        <v>0</v>
      </c>
      <c r="AW2">
        <f>BDH("CVRX US Equity","PX_VOLUME","1993-06-18","2026-05-02","Per=M","Days=T","Dir=V")</f>
        <v>0</v>
      </c>
      <c r="AY2">
        <f>BDH("CVRX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BDH("CVS US Equity","BS_TOT_ASSET","1993-06-18","2026-05-02","Per=Y","Days=T","Dir=V")</f>
        <v>0</v>
      </c>
      <c r="C2">
        <f>BDH("CVS US Equity","BS_TOT_LIAB2","1993-06-18","2026-05-02","Per=Y","Days=T","Dir=V")</f>
        <v>0</v>
      </c>
      <c r="E2">
        <f>BDH("CVS US Equity","SHORT_AND_LONG_TERM_DEBT","1993-06-18","2026-05-02","Per=Y","Days=T","Dir=V")</f>
        <v>0</v>
      </c>
      <c r="G2">
        <f>BDH("CVS US Equity","BS_ST_BORROW","1993-06-18","2026-05-02","Per=Y","Days=T","Dir=V")</f>
        <v>0</v>
      </c>
      <c r="I2">
        <f>BDH("CVS US Equity","BS_LT_BORROW","1993-06-18","2026-05-02","Per=Y","Days=T","Dir=V")</f>
        <v>0</v>
      </c>
      <c r="K2">
        <f>BDH("CVS US Equity","BS_CASH_NEAR_CASH_ITEM","1993-06-18","2026-05-02","Per=Y","Days=T","Dir=V")</f>
        <v>0</v>
      </c>
      <c r="M2">
        <f>BDH("CVS US Equity","BS_CUR_ASSET_REPORT","1993-06-18","2026-05-02","Per=Y","Days=T","Dir=V")</f>
        <v>0</v>
      </c>
      <c r="O2">
        <f>BDH("CVS US Equity","BS_CUR_LIAB","1993-06-18","2026-05-02","Per=Y","Days=T","Dir=V")</f>
        <v>0</v>
      </c>
      <c r="Q2">
        <f>BDH("CVS US Equity","BS_SHAREHOLDER_EQY_ENDING_PERIOD","1993-06-18","2026-05-02","Per=Y","Days=T","Dir=V")</f>
        <v>0</v>
      </c>
      <c r="S2">
        <f>BDH("CVS US Equity","BS_ACCT_NOTE_RCV","1993-06-18","2026-05-02","Per=Y","Days=T","Dir=V")</f>
        <v>0</v>
      </c>
      <c r="U2">
        <f>BDH("CVS US Equity","BS_INVENTORIES","1993-06-18","2026-05-02","Per=Y","Days=T","Dir=V")</f>
        <v>0</v>
      </c>
      <c r="W2">
        <f>BDH("CVS US Equity","WORKING_CAPITAL","1993-06-18","2026-05-02","Per=Y","Days=T","Dir=V")</f>
        <v>0</v>
      </c>
      <c r="Y2">
        <f>BDH("CVS US Equity","SALES_REV_TURN","1993-06-18","2026-05-02","Per=Y","Days=T","Dir=V")</f>
        <v>0</v>
      </c>
      <c r="AA2">
        <f>BDH("CVS US Equity","EBIT","1993-06-18","2026-05-02","Per=Y","Days=T","Dir=V")</f>
        <v>0</v>
      </c>
      <c r="AC2">
        <f>BDH("CVS US Equity","EBITDA","1993-06-18","2026-05-02","Per=Y","Days=T","Dir=V")</f>
        <v>0</v>
      </c>
      <c r="AE2">
        <f>BDH("CVS US Equity","NET_INCOME","1993-06-18","2026-05-02","Per=Y","Days=T","Dir=V")</f>
        <v>0</v>
      </c>
      <c r="AG2">
        <f>BDH("CVS US Equity","IS_INT_EXPENSE","1993-06-18","2026-05-02","Per=Y","Days=T","Dir=V")</f>
        <v>0</v>
      </c>
      <c r="AI2">
        <f>BDH("CVS US Equity","IS_DEPR_EXP","1993-06-18","2026-05-02","Per=Y","Days=T","Dir=V")</f>
        <v>0</v>
      </c>
      <c r="AK2">
        <f>BDH("CVS US Equity","CF_CASH_FROM_OPER","1993-06-18","2026-05-02","Per=Y","Days=T","Dir=V")</f>
        <v>0</v>
      </c>
      <c r="AM2">
        <f>BDH("CVS US Equity","CAPITAL_EXPEND","1993-06-18","2026-05-02","Per=Y","Days=T","Dir=V")</f>
        <v>0</v>
      </c>
      <c r="AO2">
        <f>BDH("CVS US Equity","CF_FREE_CASH_FLOW","1993-06-18","2026-05-02","Per=Y","Days=T","Dir=V")</f>
        <v>0</v>
      </c>
      <c r="AQ2">
        <f>BDH("CVS US Equity","PX_LAST","1993-06-18","2026-05-02","Per=M","Days=T","Dir=V")</f>
        <v>0</v>
      </c>
      <c r="AS2">
        <f>BDH("CVS US Equity","CUR_MKT_CAP","1993-06-18","2026-05-02","Per=M","Days=T","Dir=V")</f>
        <v>0</v>
      </c>
      <c r="AU2">
        <f>BDH("CVS US Equity","EQY_SH_OUT","1993-06-18","2026-05-02","Per=M","Days=T","Dir=V")</f>
        <v>0</v>
      </c>
      <c r="AW2">
        <f>BDH("CVS US Equity","PX_VOLUME","1993-06-18","2026-05-02","Per=M","Days=T","Dir=V")</f>
        <v>0</v>
      </c>
      <c r="AY2">
        <f>BDH("CVS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BDH("CVU US Equity","BS_TOT_ASSET","1993-06-18","2026-05-02","Per=Y","Days=T","Dir=V")</f>
        <v>0</v>
      </c>
      <c r="C2">
        <f>BDH("CVU US Equity","BS_TOT_LIAB2","1993-06-18","2026-05-02","Per=Y","Days=T","Dir=V")</f>
        <v>0</v>
      </c>
      <c r="E2">
        <f>BDH("CVU US Equity","SHORT_AND_LONG_TERM_DEBT","1993-06-18","2026-05-02","Per=Y","Days=T","Dir=V")</f>
        <v>0</v>
      </c>
      <c r="G2">
        <f>BDH("CVU US Equity","BS_ST_BORROW","1993-06-18","2026-05-02","Per=Y","Days=T","Dir=V")</f>
        <v>0</v>
      </c>
      <c r="I2">
        <f>BDH("CVU US Equity","BS_LT_BORROW","1993-06-18","2026-05-02","Per=Y","Days=T","Dir=V")</f>
        <v>0</v>
      </c>
      <c r="K2">
        <f>BDH("CVU US Equity","BS_CASH_NEAR_CASH_ITEM","1993-06-18","2026-05-02","Per=Y","Days=T","Dir=V")</f>
        <v>0</v>
      </c>
      <c r="M2">
        <f>BDH("CVU US Equity","BS_CUR_ASSET_REPORT","1993-06-18","2026-05-02","Per=Y","Days=T","Dir=V")</f>
        <v>0</v>
      </c>
      <c r="O2">
        <f>BDH("CVU US Equity","BS_CUR_LIAB","1993-06-18","2026-05-02","Per=Y","Days=T","Dir=V")</f>
        <v>0</v>
      </c>
      <c r="Q2">
        <f>BDH("CVU US Equity","BS_SHAREHOLDER_EQY_ENDING_PERIOD","1993-06-18","2026-05-02","Per=Y","Days=T","Dir=V")</f>
        <v>0</v>
      </c>
      <c r="S2">
        <f>BDH("CVU US Equity","BS_ACCT_NOTE_RCV","1993-06-18","2026-05-02","Per=Y","Days=T","Dir=V")</f>
        <v>0</v>
      </c>
      <c r="U2">
        <f>BDH("CVU US Equity","BS_INVENTORIES","1993-06-18","2026-05-02","Per=Y","Days=T","Dir=V")</f>
        <v>0</v>
      </c>
      <c r="W2">
        <f>BDH("CVU US Equity","WORKING_CAPITAL","1993-06-18","2026-05-02","Per=Y","Days=T","Dir=V")</f>
        <v>0</v>
      </c>
      <c r="Y2">
        <f>BDH("CVU US Equity","SALES_REV_TURN","1993-06-18","2026-05-02","Per=Y","Days=T","Dir=V")</f>
        <v>0</v>
      </c>
      <c r="AA2">
        <f>BDH("CVU US Equity","EBIT","1993-06-18","2026-05-02","Per=Y","Days=T","Dir=V")</f>
        <v>0</v>
      </c>
      <c r="AC2">
        <f>BDH("CVU US Equity","EBITDA","1993-06-18","2026-05-02","Per=Y","Days=T","Dir=V")</f>
        <v>0</v>
      </c>
      <c r="AE2">
        <f>BDH("CVU US Equity","NET_INCOME","1993-06-18","2026-05-02","Per=Y","Days=T","Dir=V")</f>
        <v>0</v>
      </c>
      <c r="AG2">
        <f>BDH("CVU US Equity","IS_INT_EXPENSE","1993-06-18","2026-05-02","Per=Y","Days=T","Dir=V")</f>
        <v>0</v>
      </c>
      <c r="AI2">
        <f>BDH("CVU US Equity","IS_DEPR_EXP","1993-06-18","2026-05-02","Per=Y","Days=T","Dir=V")</f>
        <v>0</v>
      </c>
      <c r="AK2">
        <f>BDH("CVU US Equity","CF_CASH_FROM_OPER","1993-06-18","2026-05-02","Per=Y","Days=T","Dir=V")</f>
        <v>0</v>
      </c>
      <c r="AM2">
        <f>BDH("CVU US Equity","CAPITAL_EXPEND","1993-06-18","2026-05-02","Per=Y","Days=T","Dir=V")</f>
        <v>0</v>
      </c>
      <c r="AO2">
        <f>BDH("CVU US Equity","CF_FREE_CASH_FLOW","1993-06-18","2026-05-02","Per=Y","Days=T","Dir=V")</f>
        <v>0</v>
      </c>
      <c r="AQ2">
        <f>BDH("CVU US Equity","PX_LAST","1993-06-18","2026-05-02","Per=M","Days=T","Dir=V")</f>
        <v>0</v>
      </c>
      <c r="AS2">
        <f>BDH("CVU US Equity","CUR_MKT_CAP","1993-06-18","2026-05-02","Per=M","Days=T","Dir=V")</f>
        <v>0</v>
      </c>
      <c r="AU2">
        <f>BDH("CVU US Equity","EQY_SH_OUT","1993-06-18","2026-05-02","Per=M","Days=T","Dir=V")</f>
        <v>0</v>
      </c>
      <c r="AW2">
        <f>BDH("CVU US Equity","PX_VOLUME","1993-06-18","2026-05-02","Per=M","Days=T","Dir=V")</f>
        <v>0</v>
      </c>
      <c r="AY2">
        <f>BDH("CVU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BDH("CVV US Equity","BS_TOT_ASSET","1993-06-18","2026-05-02","Per=Y","Days=T","Dir=V")</f>
        <v>0</v>
      </c>
      <c r="C2">
        <f>BDH("CVV US Equity","BS_TOT_LIAB2","1993-06-18","2026-05-02","Per=Y","Days=T","Dir=V")</f>
        <v>0</v>
      </c>
      <c r="E2">
        <f>BDH("CVV US Equity","SHORT_AND_LONG_TERM_DEBT","1993-06-18","2026-05-02","Per=Y","Days=T","Dir=V")</f>
        <v>0</v>
      </c>
      <c r="G2">
        <f>BDH("CVV US Equity","BS_ST_BORROW","1993-06-18","2026-05-02","Per=Y","Days=T","Dir=V")</f>
        <v>0</v>
      </c>
      <c r="I2">
        <f>BDH("CVV US Equity","BS_LT_BORROW","1993-06-18","2026-05-02","Per=Y","Days=T","Dir=V")</f>
        <v>0</v>
      </c>
      <c r="K2">
        <f>BDH("CVV US Equity","BS_CASH_NEAR_CASH_ITEM","1993-06-18","2026-05-02","Per=Y","Days=T","Dir=V")</f>
        <v>0</v>
      </c>
      <c r="M2">
        <f>BDH("CVV US Equity","BS_CUR_ASSET_REPORT","1993-06-18","2026-05-02","Per=Y","Days=T","Dir=V")</f>
        <v>0</v>
      </c>
      <c r="O2">
        <f>BDH("CVV US Equity","BS_CUR_LIAB","1993-06-18","2026-05-02","Per=Y","Days=T","Dir=V")</f>
        <v>0</v>
      </c>
      <c r="Q2">
        <f>BDH("CVV US Equity","BS_SHAREHOLDER_EQY_ENDING_PERIOD","1993-06-18","2026-05-02","Per=Y","Days=T","Dir=V")</f>
        <v>0</v>
      </c>
      <c r="S2">
        <f>BDH("CVV US Equity","BS_ACCT_NOTE_RCV","1993-06-18","2026-05-02","Per=Y","Days=T","Dir=V")</f>
        <v>0</v>
      </c>
      <c r="U2">
        <f>BDH("CVV US Equity","BS_INVENTORIES","1993-06-18","2026-05-02","Per=Y","Days=T","Dir=V")</f>
        <v>0</v>
      </c>
      <c r="W2">
        <f>BDH("CVV US Equity","WORKING_CAPITAL","1993-06-18","2026-05-02","Per=Y","Days=T","Dir=V")</f>
        <v>0</v>
      </c>
      <c r="Y2">
        <f>BDH("CVV US Equity","SALES_REV_TURN","1993-06-18","2026-05-02","Per=Y","Days=T","Dir=V")</f>
        <v>0</v>
      </c>
      <c r="AA2">
        <f>BDH("CVV US Equity","EBIT","1993-06-18","2026-05-02","Per=Y","Days=T","Dir=V")</f>
        <v>0</v>
      </c>
      <c r="AC2">
        <f>BDH("CVV US Equity","EBITDA","1993-06-18","2026-05-02","Per=Y","Days=T","Dir=V")</f>
        <v>0</v>
      </c>
      <c r="AE2">
        <f>BDH("CVV US Equity","NET_INCOME","1993-06-18","2026-05-02","Per=Y","Days=T","Dir=V")</f>
        <v>0</v>
      </c>
      <c r="AG2">
        <f>BDH("CVV US Equity","IS_INT_EXPENSE","1993-06-18","2026-05-02","Per=Y","Days=T","Dir=V")</f>
        <v>0</v>
      </c>
      <c r="AI2">
        <f>BDH("CVV US Equity","IS_DEPR_EXP","1993-06-18","2026-05-02","Per=Y","Days=T","Dir=V")</f>
        <v>0</v>
      </c>
      <c r="AK2">
        <f>BDH("CVV US Equity","CF_CASH_FROM_OPER","1993-06-18","2026-05-02","Per=Y","Days=T","Dir=V")</f>
        <v>0</v>
      </c>
      <c r="AM2">
        <f>BDH("CVV US Equity","CAPITAL_EXPEND","1993-06-18","2026-05-02","Per=Y","Days=T","Dir=V")</f>
        <v>0</v>
      </c>
      <c r="AO2">
        <f>BDH("CVV US Equity","CF_FREE_CASH_FLOW","1993-06-18","2026-05-02","Per=Y","Days=T","Dir=V")</f>
        <v>0</v>
      </c>
      <c r="AQ2">
        <f>BDH("CVV US Equity","PX_LAST","1993-06-18","2026-05-02","Per=M","Days=T","Dir=V")</f>
        <v>0</v>
      </c>
      <c r="AS2">
        <f>BDH("CVV US Equity","CUR_MKT_CAP","1993-06-18","2026-05-02","Per=M","Days=T","Dir=V")</f>
        <v>0</v>
      </c>
      <c r="AU2">
        <f>BDH("CVV US Equity","EQY_SH_OUT","1993-06-18","2026-05-02","Per=M","Days=T","Dir=V")</f>
        <v>0</v>
      </c>
      <c r="AW2">
        <f>BDH("CVV US Equity","PX_VOLUME","1993-06-18","2026-05-02","Per=M","Days=T","Dir=V")</f>
        <v>0</v>
      </c>
      <c r="AY2">
        <f>BDH("CVV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BDH("CVX US Equity","BS_TOT_ASSET","1993-06-18","2026-05-02","Per=Y","Days=T","Dir=V")</f>
        <v>0</v>
      </c>
      <c r="C2">
        <f>BDH("CVX US Equity","BS_TOT_LIAB2","1993-06-18","2026-05-02","Per=Y","Days=T","Dir=V")</f>
        <v>0</v>
      </c>
      <c r="E2">
        <f>BDH("CVX US Equity","SHORT_AND_LONG_TERM_DEBT","1993-06-18","2026-05-02","Per=Y","Days=T","Dir=V")</f>
        <v>0</v>
      </c>
      <c r="G2">
        <f>BDH("CVX US Equity","BS_ST_BORROW","1993-06-18","2026-05-02","Per=Y","Days=T","Dir=V")</f>
        <v>0</v>
      </c>
      <c r="I2">
        <f>BDH("CVX US Equity","BS_LT_BORROW","1993-06-18","2026-05-02","Per=Y","Days=T","Dir=V")</f>
        <v>0</v>
      </c>
      <c r="K2">
        <f>BDH("CVX US Equity","BS_CASH_NEAR_CASH_ITEM","1993-06-18","2026-05-02","Per=Y","Days=T","Dir=V")</f>
        <v>0</v>
      </c>
      <c r="M2">
        <f>BDH("CVX US Equity","BS_CUR_ASSET_REPORT","1993-06-18","2026-05-02","Per=Y","Days=T","Dir=V")</f>
        <v>0</v>
      </c>
      <c r="O2">
        <f>BDH("CVX US Equity","BS_CUR_LIAB","1993-06-18","2026-05-02","Per=Y","Days=T","Dir=V")</f>
        <v>0</v>
      </c>
      <c r="Q2">
        <f>BDH("CVX US Equity","BS_SHAREHOLDER_EQY_ENDING_PERIOD","1993-06-18","2026-05-02","Per=Y","Days=T","Dir=V")</f>
        <v>0</v>
      </c>
      <c r="S2">
        <f>BDH("CVX US Equity","BS_ACCT_NOTE_RCV","1993-06-18","2026-05-02","Per=Y","Days=T","Dir=V")</f>
        <v>0</v>
      </c>
      <c r="U2">
        <f>BDH("CVX US Equity","BS_INVENTORIES","1993-06-18","2026-05-02","Per=Y","Days=T","Dir=V")</f>
        <v>0</v>
      </c>
      <c r="W2">
        <f>BDH("CVX US Equity","WORKING_CAPITAL","1993-06-18","2026-05-02","Per=Y","Days=T","Dir=V")</f>
        <v>0</v>
      </c>
      <c r="Y2">
        <f>BDH("CVX US Equity","SALES_REV_TURN","1993-06-18","2026-05-02","Per=Y","Days=T","Dir=V")</f>
        <v>0</v>
      </c>
      <c r="AA2">
        <f>BDH("CVX US Equity","EBIT","1993-06-18","2026-05-02","Per=Y","Days=T","Dir=V")</f>
        <v>0</v>
      </c>
      <c r="AC2">
        <f>BDH("CVX US Equity","EBITDA","1993-06-18","2026-05-02","Per=Y","Days=T","Dir=V")</f>
        <v>0</v>
      </c>
      <c r="AE2">
        <f>BDH("CVX US Equity","NET_INCOME","1993-06-18","2026-05-02","Per=Y","Days=T","Dir=V")</f>
        <v>0</v>
      </c>
      <c r="AG2">
        <f>BDH("CVX US Equity","IS_INT_EXPENSE","1993-06-18","2026-05-02","Per=Y","Days=T","Dir=V")</f>
        <v>0</v>
      </c>
      <c r="AI2">
        <f>BDH("CVX US Equity","IS_DEPR_EXP","1993-06-18","2026-05-02","Per=Y","Days=T","Dir=V")</f>
        <v>0</v>
      </c>
      <c r="AK2">
        <f>BDH("CVX US Equity","CF_CASH_FROM_OPER","1993-06-18","2026-05-02","Per=Y","Days=T","Dir=V")</f>
        <v>0</v>
      </c>
      <c r="AM2">
        <f>BDH("CVX US Equity","CAPITAL_EXPEND","1993-06-18","2026-05-02","Per=Y","Days=T","Dir=V")</f>
        <v>0</v>
      </c>
      <c r="AO2">
        <f>BDH("CVX US Equity","CF_FREE_CASH_FLOW","1993-06-18","2026-05-02","Per=Y","Days=T","Dir=V")</f>
        <v>0</v>
      </c>
      <c r="AQ2">
        <f>BDH("CVX US Equity","PX_LAST","1993-06-18","2026-05-02","Per=M","Days=T","Dir=V")</f>
        <v>0</v>
      </c>
      <c r="AS2">
        <f>BDH("CVX US Equity","CUR_MKT_CAP","1993-06-18","2026-05-02","Per=M","Days=T","Dir=V")</f>
        <v>0</v>
      </c>
      <c r="AU2">
        <f>BDH("CVX US Equity","EQY_SH_OUT","1993-06-18","2026-05-02","Per=M","Days=T","Dir=V")</f>
        <v>0</v>
      </c>
      <c r="AW2">
        <f>BDH("CVX US Equity","PX_VOLUME","1993-06-18","2026-05-02","Per=M","Days=T","Dir=V")</f>
        <v>0</v>
      </c>
      <c r="AY2">
        <f>BDH("CVX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BDH("CW US Equity","BS_TOT_ASSET","1993-06-18","2026-05-02","Per=Y","Days=T","Dir=V")</f>
        <v>0</v>
      </c>
      <c r="C2">
        <f>BDH("CW US Equity","BS_TOT_LIAB2","1993-06-18","2026-05-02","Per=Y","Days=T","Dir=V")</f>
        <v>0</v>
      </c>
      <c r="E2">
        <f>BDH("CW US Equity","SHORT_AND_LONG_TERM_DEBT","1993-06-18","2026-05-02","Per=Y","Days=T","Dir=V")</f>
        <v>0</v>
      </c>
      <c r="G2">
        <f>BDH("CW US Equity","BS_ST_BORROW","1993-06-18","2026-05-02","Per=Y","Days=T","Dir=V")</f>
        <v>0</v>
      </c>
      <c r="I2">
        <f>BDH("CW US Equity","BS_LT_BORROW","1993-06-18","2026-05-02","Per=Y","Days=T","Dir=V")</f>
        <v>0</v>
      </c>
      <c r="K2">
        <f>BDH("CW US Equity","BS_CASH_NEAR_CASH_ITEM","1993-06-18","2026-05-02","Per=Y","Days=T","Dir=V")</f>
        <v>0</v>
      </c>
      <c r="M2">
        <f>BDH("CW US Equity","BS_CUR_ASSET_REPORT","1993-06-18","2026-05-02","Per=Y","Days=T","Dir=V")</f>
        <v>0</v>
      </c>
      <c r="O2">
        <f>BDH("CW US Equity","BS_CUR_LIAB","1993-06-18","2026-05-02","Per=Y","Days=T","Dir=V")</f>
        <v>0</v>
      </c>
      <c r="Q2">
        <f>BDH("CW US Equity","BS_SHAREHOLDER_EQY_ENDING_PERIOD","1993-06-18","2026-05-02","Per=Y","Days=T","Dir=V")</f>
        <v>0</v>
      </c>
      <c r="S2">
        <f>BDH("CW US Equity","BS_ACCT_NOTE_RCV","1993-06-18","2026-05-02","Per=Y","Days=T","Dir=V")</f>
        <v>0</v>
      </c>
      <c r="U2">
        <f>BDH("CW US Equity","BS_INVENTORIES","1993-06-18","2026-05-02","Per=Y","Days=T","Dir=V")</f>
        <v>0</v>
      </c>
      <c r="W2">
        <f>BDH("CW US Equity","WORKING_CAPITAL","1993-06-18","2026-05-02","Per=Y","Days=T","Dir=V")</f>
        <v>0</v>
      </c>
      <c r="Y2">
        <f>BDH("CW US Equity","SALES_REV_TURN","1993-06-18","2026-05-02","Per=Y","Days=T","Dir=V")</f>
        <v>0</v>
      </c>
      <c r="AA2">
        <f>BDH("CW US Equity","EBIT","1993-06-18","2026-05-02","Per=Y","Days=T","Dir=V")</f>
        <v>0</v>
      </c>
      <c r="AC2">
        <f>BDH("CW US Equity","EBITDA","1993-06-18","2026-05-02","Per=Y","Days=T","Dir=V")</f>
        <v>0</v>
      </c>
      <c r="AE2">
        <f>BDH("CW US Equity","NET_INCOME","1993-06-18","2026-05-02","Per=Y","Days=T","Dir=V")</f>
        <v>0</v>
      </c>
      <c r="AG2">
        <f>BDH("CW US Equity","IS_INT_EXPENSE","1993-06-18","2026-05-02","Per=Y","Days=T","Dir=V")</f>
        <v>0</v>
      </c>
      <c r="AI2">
        <f>BDH("CW US Equity","IS_DEPR_EXP","1993-06-18","2026-05-02","Per=Y","Days=T","Dir=V")</f>
        <v>0</v>
      </c>
      <c r="AK2">
        <f>BDH("CW US Equity","CF_CASH_FROM_OPER","1993-06-18","2026-05-02","Per=Y","Days=T","Dir=V")</f>
        <v>0</v>
      </c>
      <c r="AM2">
        <f>BDH("CW US Equity","CAPITAL_EXPEND","1993-06-18","2026-05-02","Per=Y","Days=T","Dir=V")</f>
        <v>0</v>
      </c>
      <c r="AO2">
        <f>BDH("CW US Equity","CF_FREE_CASH_FLOW","1993-06-18","2026-05-02","Per=Y","Days=T","Dir=V")</f>
        <v>0</v>
      </c>
      <c r="AQ2">
        <f>BDH("CW US Equity","PX_LAST","1993-06-18","2026-05-02","Per=M","Days=T","Dir=V")</f>
        <v>0</v>
      </c>
      <c r="AS2">
        <f>BDH("CW US Equity","CUR_MKT_CAP","1993-06-18","2026-05-02","Per=M","Days=T","Dir=V")</f>
        <v>0</v>
      </c>
      <c r="AU2">
        <f>BDH("CW US Equity","EQY_SH_OUT","1993-06-18","2026-05-02","Per=M","Days=T","Dir=V")</f>
        <v>0</v>
      </c>
      <c r="AW2">
        <f>BDH("CW US Equity","PX_VOLUME","1993-06-18","2026-05-02","Per=M","Days=T","Dir=V")</f>
        <v>0</v>
      </c>
      <c r="AY2">
        <f>BDH("CW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BDH("CWEN US Equity","BS_TOT_ASSET","1993-06-18","2026-05-02","Per=Y","Days=T","Dir=V")</f>
        <v>0</v>
      </c>
      <c r="C2">
        <f>BDH("CWEN US Equity","BS_TOT_LIAB2","1993-06-18","2026-05-02","Per=Y","Days=T","Dir=V")</f>
        <v>0</v>
      </c>
      <c r="E2">
        <f>BDH("CWEN US Equity","SHORT_AND_LONG_TERM_DEBT","1993-06-18","2026-05-02","Per=Y","Days=T","Dir=V")</f>
        <v>0</v>
      </c>
      <c r="G2">
        <f>BDH("CWEN US Equity","BS_ST_BORROW","1993-06-18","2026-05-02","Per=Y","Days=T","Dir=V")</f>
        <v>0</v>
      </c>
      <c r="I2">
        <f>BDH("CWEN US Equity","BS_LT_BORROW","1993-06-18","2026-05-02","Per=Y","Days=T","Dir=V")</f>
        <v>0</v>
      </c>
      <c r="K2">
        <f>BDH("CWEN US Equity","BS_CASH_NEAR_CASH_ITEM","1993-06-18","2026-05-02","Per=Y","Days=T","Dir=V")</f>
        <v>0</v>
      </c>
      <c r="M2">
        <f>BDH("CWEN US Equity","BS_CUR_ASSET_REPORT","1993-06-18","2026-05-02","Per=Y","Days=T","Dir=V")</f>
        <v>0</v>
      </c>
      <c r="O2">
        <f>BDH("CWEN US Equity","BS_CUR_LIAB","1993-06-18","2026-05-02","Per=Y","Days=T","Dir=V")</f>
        <v>0</v>
      </c>
      <c r="Q2">
        <f>BDH("CWEN US Equity","BS_SHAREHOLDER_EQY_ENDING_PERIOD","1993-06-18","2026-05-02","Per=Y","Days=T","Dir=V")</f>
        <v>0</v>
      </c>
      <c r="S2">
        <f>BDH("CWEN US Equity","BS_ACCT_NOTE_RCV","1993-06-18","2026-05-02","Per=Y","Days=T","Dir=V")</f>
        <v>0</v>
      </c>
      <c r="U2">
        <f>BDH("CWEN US Equity","BS_INVENTORIES","1993-06-18","2026-05-02","Per=Y","Days=T","Dir=V")</f>
        <v>0</v>
      </c>
      <c r="W2">
        <f>BDH("CWEN US Equity","WORKING_CAPITAL","1993-06-18","2026-05-02","Per=Y","Days=T","Dir=V")</f>
        <v>0</v>
      </c>
      <c r="Y2">
        <f>BDH("CWEN US Equity","SALES_REV_TURN","1993-06-18","2026-05-02","Per=Y","Days=T","Dir=V")</f>
        <v>0</v>
      </c>
      <c r="AA2">
        <f>BDH("CWEN US Equity","EBIT","1993-06-18","2026-05-02","Per=Y","Days=T","Dir=V")</f>
        <v>0</v>
      </c>
      <c r="AC2">
        <f>BDH("CWEN US Equity","EBITDA","1993-06-18","2026-05-02","Per=Y","Days=T","Dir=V")</f>
        <v>0</v>
      </c>
      <c r="AE2">
        <f>BDH("CWEN US Equity","NET_INCOME","1993-06-18","2026-05-02","Per=Y","Days=T","Dir=V")</f>
        <v>0</v>
      </c>
      <c r="AG2">
        <f>BDH("CWEN US Equity","IS_INT_EXPENSE","1993-06-18","2026-05-02","Per=Y","Days=T","Dir=V")</f>
        <v>0</v>
      </c>
      <c r="AI2">
        <f>BDH("CWEN US Equity","IS_DEPR_EXP","1993-06-18","2026-05-02","Per=Y","Days=T","Dir=V")</f>
        <v>0</v>
      </c>
      <c r="AK2">
        <f>BDH("CWEN US Equity","CF_CASH_FROM_OPER","1993-06-18","2026-05-02","Per=Y","Days=T","Dir=V")</f>
        <v>0</v>
      </c>
      <c r="AM2">
        <f>BDH("CWEN US Equity","CAPITAL_EXPEND","1993-06-18","2026-05-02","Per=Y","Days=T","Dir=V")</f>
        <v>0</v>
      </c>
      <c r="AO2">
        <f>BDH("CWEN US Equity","CF_FREE_CASH_FLOW","1993-06-18","2026-05-02","Per=Y","Days=T","Dir=V")</f>
        <v>0</v>
      </c>
      <c r="AQ2">
        <f>BDH("CWEN US Equity","PX_LAST","1993-06-18","2026-05-02","Per=M","Days=T","Dir=V")</f>
        <v>0</v>
      </c>
      <c r="AS2">
        <f>BDH("CWEN US Equity","CUR_MKT_CAP","1993-06-18","2026-05-02","Per=M","Days=T","Dir=V")</f>
        <v>0</v>
      </c>
      <c r="AU2">
        <f>BDH("CWEN US Equity","EQY_SH_OUT","1993-06-18","2026-05-02","Per=M","Days=T","Dir=V")</f>
        <v>0</v>
      </c>
      <c r="AW2">
        <f>BDH("CWEN US Equity","PX_VOLUME","1993-06-18","2026-05-02","Per=M","Days=T","Dir=V")</f>
        <v>0</v>
      </c>
      <c r="AY2">
        <f>BDH("CWEN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BDH("CWH US Equity","BS_TOT_ASSET","1993-06-18","2026-05-02","Per=Y","Days=T","Dir=V")</f>
        <v>0</v>
      </c>
      <c r="C2">
        <f>BDH("CWH US Equity","BS_TOT_LIAB2","1993-06-18","2026-05-02","Per=Y","Days=T","Dir=V")</f>
        <v>0</v>
      </c>
      <c r="E2">
        <f>BDH("CWH US Equity","SHORT_AND_LONG_TERM_DEBT","1993-06-18","2026-05-02","Per=Y","Days=T","Dir=V")</f>
        <v>0</v>
      </c>
      <c r="G2">
        <f>BDH("CWH US Equity","BS_ST_BORROW","1993-06-18","2026-05-02","Per=Y","Days=T","Dir=V")</f>
        <v>0</v>
      </c>
      <c r="I2">
        <f>BDH("CWH US Equity","BS_LT_BORROW","1993-06-18","2026-05-02","Per=Y","Days=T","Dir=V")</f>
        <v>0</v>
      </c>
      <c r="K2">
        <f>BDH("CWH US Equity","BS_CASH_NEAR_CASH_ITEM","1993-06-18","2026-05-02","Per=Y","Days=T","Dir=V")</f>
        <v>0</v>
      </c>
      <c r="M2">
        <f>BDH("CWH US Equity","BS_CUR_ASSET_REPORT","1993-06-18","2026-05-02","Per=Y","Days=T","Dir=V")</f>
        <v>0</v>
      </c>
      <c r="O2">
        <f>BDH("CWH US Equity","BS_CUR_LIAB","1993-06-18","2026-05-02","Per=Y","Days=T","Dir=V")</f>
        <v>0</v>
      </c>
      <c r="Q2">
        <f>BDH("CWH US Equity","BS_SHAREHOLDER_EQY_ENDING_PERIOD","1993-06-18","2026-05-02","Per=Y","Days=T","Dir=V")</f>
        <v>0</v>
      </c>
      <c r="S2">
        <f>BDH("CWH US Equity","BS_ACCT_NOTE_RCV","1993-06-18","2026-05-02","Per=Y","Days=T","Dir=V")</f>
        <v>0</v>
      </c>
      <c r="U2">
        <f>BDH("CWH US Equity","BS_INVENTORIES","1993-06-18","2026-05-02","Per=Y","Days=T","Dir=V")</f>
        <v>0</v>
      </c>
      <c r="W2">
        <f>BDH("CWH US Equity","WORKING_CAPITAL","1993-06-18","2026-05-02","Per=Y","Days=T","Dir=V")</f>
        <v>0</v>
      </c>
      <c r="Y2">
        <f>BDH("CWH US Equity","SALES_REV_TURN","1993-06-18","2026-05-02","Per=Y","Days=T","Dir=V")</f>
        <v>0</v>
      </c>
      <c r="AA2">
        <f>BDH("CWH US Equity","EBIT","1993-06-18","2026-05-02","Per=Y","Days=T","Dir=V")</f>
        <v>0</v>
      </c>
      <c r="AC2">
        <f>BDH("CWH US Equity","EBITDA","1993-06-18","2026-05-02","Per=Y","Days=T","Dir=V")</f>
        <v>0</v>
      </c>
      <c r="AE2">
        <f>BDH("CWH US Equity","NET_INCOME","1993-06-18","2026-05-02","Per=Y","Days=T","Dir=V")</f>
        <v>0</v>
      </c>
      <c r="AG2">
        <f>BDH("CWH US Equity","IS_INT_EXPENSE","1993-06-18","2026-05-02","Per=Y","Days=T","Dir=V")</f>
        <v>0</v>
      </c>
      <c r="AI2">
        <f>BDH("CWH US Equity","IS_DEPR_EXP","1993-06-18","2026-05-02","Per=Y","Days=T","Dir=V")</f>
        <v>0</v>
      </c>
      <c r="AK2">
        <f>BDH("CWH US Equity","CF_CASH_FROM_OPER","1993-06-18","2026-05-02","Per=Y","Days=T","Dir=V")</f>
        <v>0</v>
      </c>
      <c r="AM2">
        <f>BDH("CWH US Equity","CAPITAL_EXPEND","1993-06-18","2026-05-02","Per=Y","Days=T","Dir=V")</f>
        <v>0</v>
      </c>
      <c r="AO2">
        <f>BDH("CWH US Equity","CF_FREE_CASH_FLOW","1993-06-18","2026-05-02","Per=Y","Days=T","Dir=V")</f>
        <v>0</v>
      </c>
      <c r="AQ2">
        <f>BDH("CWH US Equity","PX_LAST","1993-06-18","2026-05-02","Per=M","Days=T","Dir=V")</f>
        <v>0</v>
      </c>
      <c r="AS2">
        <f>BDH("CWH US Equity","CUR_MKT_CAP","1993-06-18","2026-05-02","Per=M","Days=T","Dir=V")</f>
        <v>0</v>
      </c>
      <c r="AU2">
        <f>BDH("CWH US Equity","EQY_SH_OUT","1993-06-18","2026-05-02","Per=M","Days=T","Dir=V")</f>
        <v>0</v>
      </c>
      <c r="AW2">
        <f>BDH("CWH US Equity","PX_VOLUME","1993-06-18","2026-05-02","Per=M","Days=T","Dir=V")</f>
        <v>0</v>
      </c>
      <c r="AY2">
        <f>BDH("CWH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BDH("CWST US Equity","BS_TOT_ASSET","1993-06-18","2026-05-02","Per=Y","Days=T","Dir=V")</f>
        <v>0</v>
      </c>
      <c r="C2">
        <f>BDH("CWST US Equity","BS_TOT_LIAB2","1993-06-18","2026-05-02","Per=Y","Days=T","Dir=V")</f>
        <v>0</v>
      </c>
      <c r="E2">
        <f>BDH("CWST US Equity","SHORT_AND_LONG_TERM_DEBT","1993-06-18","2026-05-02","Per=Y","Days=T","Dir=V")</f>
        <v>0</v>
      </c>
      <c r="G2">
        <f>BDH("CWST US Equity","BS_ST_BORROW","1993-06-18","2026-05-02","Per=Y","Days=T","Dir=V")</f>
        <v>0</v>
      </c>
      <c r="I2">
        <f>BDH("CWST US Equity","BS_LT_BORROW","1993-06-18","2026-05-02","Per=Y","Days=T","Dir=V")</f>
        <v>0</v>
      </c>
      <c r="K2">
        <f>BDH("CWST US Equity","BS_CASH_NEAR_CASH_ITEM","1993-06-18","2026-05-02","Per=Y","Days=T","Dir=V")</f>
        <v>0</v>
      </c>
      <c r="M2">
        <f>BDH("CWST US Equity","BS_CUR_ASSET_REPORT","1993-06-18","2026-05-02","Per=Y","Days=T","Dir=V")</f>
        <v>0</v>
      </c>
      <c r="O2">
        <f>BDH("CWST US Equity","BS_CUR_LIAB","1993-06-18","2026-05-02","Per=Y","Days=T","Dir=V")</f>
        <v>0</v>
      </c>
      <c r="Q2">
        <f>BDH("CWST US Equity","BS_SHAREHOLDER_EQY_ENDING_PERIOD","1993-06-18","2026-05-02","Per=Y","Days=T","Dir=V")</f>
        <v>0</v>
      </c>
      <c r="S2">
        <f>BDH("CWST US Equity","BS_ACCT_NOTE_RCV","1993-06-18","2026-05-02","Per=Y","Days=T","Dir=V")</f>
        <v>0</v>
      </c>
      <c r="U2">
        <f>BDH("CWST US Equity","BS_INVENTORIES","1993-06-18","2026-05-02","Per=Y","Days=T","Dir=V")</f>
        <v>0</v>
      </c>
      <c r="W2">
        <f>BDH("CWST US Equity","WORKING_CAPITAL","1993-06-18","2026-05-02","Per=Y","Days=T","Dir=V")</f>
        <v>0</v>
      </c>
      <c r="Y2">
        <f>BDH("CWST US Equity","SALES_REV_TURN","1993-06-18","2026-05-02","Per=Y","Days=T","Dir=V")</f>
        <v>0</v>
      </c>
      <c r="AA2">
        <f>BDH("CWST US Equity","EBIT","1993-06-18","2026-05-02","Per=Y","Days=T","Dir=V")</f>
        <v>0</v>
      </c>
      <c r="AC2">
        <f>BDH("CWST US Equity","EBITDA","1993-06-18","2026-05-02","Per=Y","Days=T","Dir=V")</f>
        <v>0</v>
      </c>
      <c r="AE2">
        <f>BDH("CWST US Equity","NET_INCOME","1993-06-18","2026-05-02","Per=Y","Days=T","Dir=V")</f>
        <v>0</v>
      </c>
      <c r="AG2">
        <f>BDH("CWST US Equity","IS_INT_EXPENSE","1993-06-18","2026-05-02","Per=Y","Days=T","Dir=V")</f>
        <v>0</v>
      </c>
      <c r="AI2">
        <f>BDH("CWST US Equity","IS_DEPR_EXP","1993-06-18","2026-05-02","Per=Y","Days=T","Dir=V")</f>
        <v>0</v>
      </c>
      <c r="AK2">
        <f>BDH("CWST US Equity","CF_CASH_FROM_OPER","1993-06-18","2026-05-02","Per=Y","Days=T","Dir=V")</f>
        <v>0</v>
      </c>
      <c r="AM2">
        <f>BDH("CWST US Equity","CAPITAL_EXPEND","1993-06-18","2026-05-02","Per=Y","Days=T","Dir=V")</f>
        <v>0</v>
      </c>
      <c r="AO2">
        <f>BDH("CWST US Equity","CF_FREE_CASH_FLOW","1993-06-18","2026-05-02","Per=Y","Days=T","Dir=V")</f>
        <v>0</v>
      </c>
      <c r="AQ2">
        <f>BDH("CWST US Equity","PX_LAST","1993-06-18","2026-05-02","Per=M","Days=T","Dir=V")</f>
        <v>0</v>
      </c>
      <c r="AS2">
        <f>BDH("CWST US Equity","CUR_MKT_CAP","1993-06-18","2026-05-02","Per=M","Days=T","Dir=V")</f>
        <v>0</v>
      </c>
      <c r="AU2">
        <f>BDH("CWST US Equity","EQY_SH_OUT","1993-06-18","2026-05-02","Per=M","Days=T","Dir=V")</f>
        <v>0</v>
      </c>
      <c r="AW2">
        <f>BDH("CWST US Equity","PX_VOLUME","1993-06-18","2026-05-02","Per=M","Days=T","Dir=V")</f>
        <v>0</v>
      </c>
      <c r="AY2">
        <f>BDH("CWST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BDH("CWT US Equity","BS_TOT_ASSET","1993-06-18","2026-05-02","Per=Y","Days=T","Dir=V")</f>
        <v>0</v>
      </c>
      <c r="C2">
        <f>BDH("CWT US Equity","BS_TOT_LIAB2","1993-06-18","2026-05-02","Per=Y","Days=T","Dir=V")</f>
        <v>0</v>
      </c>
      <c r="E2">
        <f>BDH("CWT US Equity","SHORT_AND_LONG_TERM_DEBT","1993-06-18","2026-05-02","Per=Y","Days=T","Dir=V")</f>
        <v>0</v>
      </c>
      <c r="G2">
        <f>BDH("CWT US Equity","BS_ST_BORROW","1993-06-18","2026-05-02","Per=Y","Days=T","Dir=V")</f>
        <v>0</v>
      </c>
      <c r="I2">
        <f>BDH("CWT US Equity","BS_LT_BORROW","1993-06-18","2026-05-02","Per=Y","Days=T","Dir=V")</f>
        <v>0</v>
      </c>
      <c r="K2">
        <f>BDH("CWT US Equity","BS_CASH_NEAR_CASH_ITEM","1993-06-18","2026-05-02","Per=Y","Days=T","Dir=V")</f>
        <v>0</v>
      </c>
      <c r="M2">
        <f>BDH("CWT US Equity","BS_CUR_ASSET_REPORT","1993-06-18","2026-05-02","Per=Y","Days=T","Dir=V")</f>
        <v>0</v>
      </c>
      <c r="O2">
        <f>BDH("CWT US Equity","BS_CUR_LIAB","1993-06-18","2026-05-02","Per=Y","Days=T","Dir=V")</f>
        <v>0</v>
      </c>
      <c r="Q2">
        <f>BDH("CWT US Equity","BS_SHAREHOLDER_EQY_ENDING_PERIOD","1993-06-18","2026-05-02","Per=Y","Days=T","Dir=V")</f>
        <v>0</v>
      </c>
      <c r="S2">
        <f>BDH("CWT US Equity","BS_ACCT_NOTE_RCV","1993-06-18","2026-05-02","Per=Y","Days=T","Dir=V")</f>
        <v>0</v>
      </c>
      <c r="U2">
        <f>BDH("CWT US Equity","BS_INVENTORIES","1993-06-18","2026-05-02","Per=Y","Days=T","Dir=V")</f>
        <v>0</v>
      </c>
      <c r="W2">
        <f>BDH("CWT US Equity","WORKING_CAPITAL","1993-06-18","2026-05-02","Per=Y","Days=T","Dir=V")</f>
        <v>0</v>
      </c>
      <c r="Y2">
        <f>BDH("CWT US Equity","SALES_REV_TURN","1993-06-18","2026-05-02","Per=Y","Days=T","Dir=V")</f>
        <v>0</v>
      </c>
      <c r="AA2">
        <f>BDH("CWT US Equity","EBIT","1993-06-18","2026-05-02","Per=Y","Days=T","Dir=V")</f>
        <v>0</v>
      </c>
      <c r="AC2">
        <f>BDH("CWT US Equity","EBITDA","1993-06-18","2026-05-02","Per=Y","Days=T","Dir=V")</f>
        <v>0</v>
      </c>
      <c r="AE2">
        <f>BDH("CWT US Equity","NET_INCOME","1993-06-18","2026-05-02","Per=Y","Days=T","Dir=V")</f>
        <v>0</v>
      </c>
      <c r="AG2">
        <f>BDH("CWT US Equity","IS_INT_EXPENSE","1993-06-18","2026-05-02","Per=Y","Days=T","Dir=V")</f>
        <v>0</v>
      </c>
      <c r="AI2">
        <f>BDH("CWT US Equity","IS_DEPR_EXP","1993-06-18","2026-05-02","Per=Y","Days=T","Dir=V")</f>
        <v>0</v>
      </c>
      <c r="AK2">
        <f>BDH("CWT US Equity","CF_CASH_FROM_OPER","1993-06-18","2026-05-02","Per=Y","Days=T","Dir=V")</f>
        <v>0</v>
      </c>
      <c r="AM2">
        <f>BDH("CWT US Equity","CAPITAL_EXPEND","1993-06-18","2026-05-02","Per=Y","Days=T","Dir=V")</f>
        <v>0</v>
      </c>
      <c r="AO2">
        <f>BDH("CWT US Equity","CF_FREE_CASH_FLOW","1993-06-18","2026-05-02","Per=Y","Days=T","Dir=V")</f>
        <v>0</v>
      </c>
      <c r="AQ2">
        <f>BDH("CWT US Equity","PX_LAST","1993-06-18","2026-05-02","Per=M","Days=T","Dir=V")</f>
        <v>0</v>
      </c>
      <c r="AS2">
        <f>BDH("CWT US Equity","CUR_MKT_CAP","1993-06-18","2026-05-02","Per=M","Days=T","Dir=V")</f>
        <v>0</v>
      </c>
      <c r="AU2">
        <f>BDH("CWT US Equity","EQY_SH_OUT","1993-06-18","2026-05-02","Per=M","Days=T","Dir=V")</f>
        <v>0</v>
      </c>
      <c r="AW2">
        <f>BDH("CWT US Equity","PX_VOLUME","1993-06-18","2026-05-02","Per=M","Days=T","Dir=V")</f>
        <v>0</v>
      </c>
      <c r="AY2">
        <f>BDH("CWT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BDH("CXAI US Equity","BS_TOT_ASSET","1993-06-18","2026-05-02","Per=Y","Days=T","Dir=V")</f>
        <v>0</v>
      </c>
      <c r="C2">
        <f>BDH("CXAI US Equity","BS_TOT_LIAB2","1993-06-18","2026-05-02","Per=Y","Days=T","Dir=V")</f>
        <v>0</v>
      </c>
      <c r="E2">
        <f>BDH("CXAI US Equity","SHORT_AND_LONG_TERM_DEBT","1993-06-18","2026-05-02","Per=Y","Days=T","Dir=V")</f>
        <v>0</v>
      </c>
      <c r="G2">
        <f>BDH("CXAI US Equity","BS_ST_BORROW","1993-06-18","2026-05-02","Per=Y","Days=T","Dir=V")</f>
        <v>0</v>
      </c>
      <c r="I2">
        <f>BDH("CXAI US Equity","BS_LT_BORROW","1993-06-18","2026-05-02","Per=Y","Days=T","Dir=V")</f>
        <v>0</v>
      </c>
      <c r="K2">
        <f>BDH("CXAI US Equity","BS_CASH_NEAR_CASH_ITEM","1993-06-18","2026-05-02","Per=Y","Days=T","Dir=V")</f>
        <v>0</v>
      </c>
      <c r="M2">
        <f>BDH("CXAI US Equity","BS_CUR_ASSET_REPORT","1993-06-18","2026-05-02","Per=Y","Days=T","Dir=V")</f>
        <v>0</v>
      </c>
      <c r="O2">
        <f>BDH("CXAI US Equity","BS_CUR_LIAB","1993-06-18","2026-05-02","Per=Y","Days=T","Dir=V")</f>
        <v>0</v>
      </c>
      <c r="Q2">
        <f>BDH("CXAI US Equity","BS_SHAREHOLDER_EQY_ENDING_PERIOD","1993-06-18","2026-05-02","Per=Y","Days=T","Dir=V")</f>
        <v>0</v>
      </c>
      <c r="S2">
        <f>BDH("CXAI US Equity","BS_ACCT_NOTE_RCV","1993-06-18","2026-05-02","Per=Y","Days=T","Dir=V")</f>
        <v>0</v>
      </c>
      <c r="U2">
        <f>BDH("CXAI US Equity","BS_INVENTORIES","1993-06-18","2026-05-02","Per=Y","Days=T","Dir=V")</f>
        <v>0</v>
      </c>
      <c r="W2">
        <f>BDH("CXAI US Equity","WORKING_CAPITAL","1993-06-18","2026-05-02","Per=Y","Days=T","Dir=V")</f>
        <v>0</v>
      </c>
      <c r="Y2">
        <f>BDH("CXAI US Equity","SALES_REV_TURN","1993-06-18","2026-05-02","Per=Y","Days=T","Dir=V")</f>
        <v>0</v>
      </c>
      <c r="AA2">
        <f>BDH("CXAI US Equity","EBIT","1993-06-18","2026-05-02","Per=Y","Days=T","Dir=V")</f>
        <v>0</v>
      </c>
      <c r="AC2">
        <f>BDH("CXAI US Equity","EBITDA","1993-06-18","2026-05-02","Per=Y","Days=T","Dir=V")</f>
        <v>0</v>
      </c>
      <c r="AE2">
        <f>BDH("CXAI US Equity","NET_INCOME","1993-06-18","2026-05-02","Per=Y","Days=T","Dir=V")</f>
        <v>0</v>
      </c>
      <c r="AG2">
        <f>BDH("CXAI US Equity","IS_INT_EXPENSE","1993-06-18","2026-05-02","Per=Y","Days=T","Dir=V")</f>
        <v>0</v>
      </c>
      <c r="AI2">
        <f>BDH("CXAI US Equity","IS_DEPR_EXP","1993-06-18","2026-05-02","Per=Y","Days=T","Dir=V")</f>
        <v>0</v>
      </c>
      <c r="AK2">
        <f>BDH("CXAI US Equity","CF_CASH_FROM_OPER","1993-06-18","2026-05-02","Per=Y","Days=T","Dir=V")</f>
        <v>0</v>
      </c>
      <c r="AM2">
        <f>BDH("CXAI US Equity","CAPITAL_EXPEND","1993-06-18","2026-05-02","Per=Y","Days=T","Dir=V")</f>
        <v>0</v>
      </c>
      <c r="AO2">
        <f>BDH("CXAI US Equity","CF_FREE_CASH_FLOW","1993-06-18","2026-05-02","Per=Y","Days=T","Dir=V")</f>
        <v>0</v>
      </c>
      <c r="AQ2">
        <f>BDH("CXAI US Equity","PX_LAST","1993-06-18","2026-05-02","Per=M","Days=T","Dir=V")</f>
        <v>0</v>
      </c>
      <c r="AS2">
        <f>BDH("CXAI US Equity","CUR_MKT_CAP","1993-06-18","2026-05-02","Per=M","Days=T","Dir=V")</f>
        <v>0</v>
      </c>
      <c r="AU2">
        <f>BDH("CXAI US Equity","EQY_SH_OUT","1993-06-18","2026-05-02","Per=M","Days=T","Dir=V")</f>
        <v>0</v>
      </c>
      <c r="AW2">
        <f>BDH("CXAI US Equity","PX_VOLUME","1993-06-18","2026-05-02","Per=M","Days=T","Dir=V")</f>
        <v>0</v>
      </c>
      <c r="AY2">
        <f>BDH("CXAI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BDH("CXAIW US Equity","BS_TOT_ASSET","1993-06-18","2026-05-02","Per=Y","Days=T","Dir=V")</f>
        <v>0</v>
      </c>
      <c r="C2">
        <f>BDH("CXAIW US Equity","BS_TOT_LIAB2","1993-06-18","2026-05-02","Per=Y","Days=T","Dir=V")</f>
        <v>0</v>
      </c>
      <c r="E2">
        <f>BDH("CXAIW US Equity","SHORT_AND_LONG_TERM_DEBT","1993-06-18","2026-05-02","Per=Y","Days=T","Dir=V")</f>
        <v>0</v>
      </c>
      <c r="G2">
        <f>BDH("CXAIW US Equity","BS_ST_BORROW","1993-06-18","2026-05-02","Per=Y","Days=T","Dir=V")</f>
        <v>0</v>
      </c>
      <c r="I2">
        <f>BDH("CXAIW US Equity","BS_LT_BORROW","1993-06-18","2026-05-02","Per=Y","Days=T","Dir=V")</f>
        <v>0</v>
      </c>
      <c r="K2">
        <f>BDH("CXAIW US Equity","BS_CASH_NEAR_CASH_ITEM","1993-06-18","2026-05-02","Per=Y","Days=T","Dir=V")</f>
        <v>0</v>
      </c>
      <c r="M2">
        <f>BDH("CXAIW US Equity","BS_CUR_ASSET_REPORT","1993-06-18","2026-05-02","Per=Y","Days=T","Dir=V")</f>
        <v>0</v>
      </c>
      <c r="O2">
        <f>BDH("CXAIW US Equity","BS_CUR_LIAB","1993-06-18","2026-05-02","Per=Y","Days=T","Dir=V")</f>
        <v>0</v>
      </c>
      <c r="Q2">
        <f>BDH("CXAIW US Equity","BS_SHAREHOLDER_EQY_ENDING_PERIOD","1993-06-18","2026-05-02","Per=Y","Days=T","Dir=V")</f>
        <v>0</v>
      </c>
      <c r="S2">
        <f>BDH("CXAIW US Equity","BS_ACCT_NOTE_RCV","1993-06-18","2026-05-02","Per=Y","Days=T","Dir=V")</f>
        <v>0</v>
      </c>
      <c r="U2">
        <f>BDH("CXAIW US Equity","BS_INVENTORIES","1993-06-18","2026-05-02","Per=Y","Days=T","Dir=V")</f>
        <v>0</v>
      </c>
      <c r="W2">
        <f>BDH("CXAIW US Equity","WORKING_CAPITAL","1993-06-18","2026-05-02","Per=Y","Days=T","Dir=V")</f>
        <v>0</v>
      </c>
      <c r="Y2">
        <f>BDH("CXAIW US Equity","SALES_REV_TURN","1993-06-18","2026-05-02","Per=Y","Days=T","Dir=V")</f>
        <v>0</v>
      </c>
      <c r="AA2">
        <f>BDH("CXAIW US Equity","EBIT","1993-06-18","2026-05-02","Per=Y","Days=T","Dir=V")</f>
        <v>0</v>
      </c>
      <c r="AC2">
        <f>BDH("CXAIW US Equity","EBITDA","1993-06-18","2026-05-02","Per=Y","Days=T","Dir=V")</f>
        <v>0</v>
      </c>
      <c r="AE2">
        <f>BDH("CXAIW US Equity","NET_INCOME","1993-06-18","2026-05-02","Per=Y","Days=T","Dir=V")</f>
        <v>0</v>
      </c>
      <c r="AG2">
        <f>BDH("CXAIW US Equity","IS_INT_EXPENSE","1993-06-18","2026-05-02","Per=Y","Days=T","Dir=V")</f>
        <v>0</v>
      </c>
      <c r="AI2">
        <f>BDH("CXAIW US Equity","IS_DEPR_EXP","1993-06-18","2026-05-02","Per=Y","Days=T","Dir=V")</f>
        <v>0</v>
      </c>
      <c r="AK2">
        <f>BDH("CXAIW US Equity","CF_CASH_FROM_OPER","1993-06-18","2026-05-02","Per=Y","Days=T","Dir=V")</f>
        <v>0</v>
      </c>
      <c r="AM2">
        <f>BDH("CXAIW US Equity","CAPITAL_EXPEND","1993-06-18","2026-05-02","Per=Y","Days=T","Dir=V")</f>
        <v>0</v>
      </c>
      <c r="AO2">
        <f>BDH("CXAIW US Equity","CF_FREE_CASH_FLOW","1993-06-18","2026-05-02","Per=Y","Days=T","Dir=V")</f>
        <v>0</v>
      </c>
      <c r="AQ2">
        <f>BDH("CXAIW US Equity","PX_LAST","1993-06-18","2026-05-02","Per=M","Days=T","Dir=V")</f>
        <v>0</v>
      </c>
      <c r="AS2">
        <f>BDH("CXAIW US Equity","CUR_MKT_CAP","1993-06-18","2026-05-02","Per=M","Days=T","Dir=V")</f>
        <v>0</v>
      </c>
      <c r="AU2">
        <f>BDH("CXAIW US Equity","EQY_SH_OUT","1993-06-18","2026-05-02","Per=M","Days=T","Dir=V")</f>
        <v>0</v>
      </c>
      <c r="AW2">
        <f>BDH("CXAIW US Equity","PX_VOLUME","1993-06-18","2026-05-02","Per=M","Days=T","Dir=V")</f>
        <v>0</v>
      </c>
      <c r="AY2">
        <f>BDH("CXAIW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BDH("CXDO US Equity","BS_TOT_ASSET","1993-06-18","2026-05-02","Per=Y","Days=T","Dir=V")</f>
        <v>0</v>
      </c>
      <c r="C2">
        <f>BDH("CXDO US Equity","BS_TOT_LIAB2","1993-06-18","2026-05-02","Per=Y","Days=T","Dir=V")</f>
        <v>0</v>
      </c>
      <c r="E2">
        <f>BDH("CXDO US Equity","SHORT_AND_LONG_TERM_DEBT","1993-06-18","2026-05-02","Per=Y","Days=T","Dir=V")</f>
        <v>0</v>
      </c>
      <c r="G2">
        <f>BDH("CXDO US Equity","BS_ST_BORROW","1993-06-18","2026-05-02","Per=Y","Days=T","Dir=V")</f>
        <v>0</v>
      </c>
      <c r="I2">
        <f>BDH("CXDO US Equity","BS_LT_BORROW","1993-06-18","2026-05-02","Per=Y","Days=T","Dir=V")</f>
        <v>0</v>
      </c>
      <c r="K2">
        <f>BDH("CXDO US Equity","BS_CASH_NEAR_CASH_ITEM","1993-06-18","2026-05-02","Per=Y","Days=T","Dir=V")</f>
        <v>0</v>
      </c>
      <c r="M2">
        <f>BDH("CXDO US Equity","BS_CUR_ASSET_REPORT","1993-06-18","2026-05-02","Per=Y","Days=T","Dir=V")</f>
        <v>0</v>
      </c>
      <c r="O2">
        <f>BDH("CXDO US Equity","BS_CUR_LIAB","1993-06-18","2026-05-02","Per=Y","Days=T","Dir=V")</f>
        <v>0</v>
      </c>
      <c r="Q2">
        <f>BDH("CXDO US Equity","BS_SHAREHOLDER_EQY_ENDING_PERIOD","1993-06-18","2026-05-02","Per=Y","Days=T","Dir=V")</f>
        <v>0</v>
      </c>
      <c r="S2">
        <f>BDH("CXDO US Equity","BS_ACCT_NOTE_RCV","1993-06-18","2026-05-02","Per=Y","Days=T","Dir=V")</f>
        <v>0</v>
      </c>
      <c r="U2">
        <f>BDH("CXDO US Equity","BS_INVENTORIES","1993-06-18","2026-05-02","Per=Y","Days=T","Dir=V")</f>
        <v>0</v>
      </c>
      <c r="W2">
        <f>BDH("CXDO US Equity","WORKING_CAPITAL","1993-06-18","2026-05-02","Per=Y","Days=T","Dir=V")</f>
        <v>0</v>
      </c>
      <c r="Y2">
        <f>BDH("CXDO US Equity","SALES_REV_TURN","1993-06-18","2026-05-02","Per=Y","Days=T","Dir=V")</f>
        <v>0</v>
      </c>
      <c r="AA2">
        <f>BDH("CXDO US Equity","EBIT","1993-06-18","2026-05-02","Per=Y","Days=T","Dir=V")</f>
        <v>0</v>
      </c>
      <c r="AC2">
        <f>BDH("CXDO US Equity","EBITDA","1993-06-18","2026-05-02","Per=Y","Days=T","Dir=V")</f>
        <v>0</v>
      </c>
      <c r="AE2">
        <f>BDH("CXDO US Equity","NET_INCOME","1993-06-18","2026-05-02","Per=Y","Days=T","Dir=V")</f>
        <v>0</v>
      </c>
      <c r="AG2">
        <f>BDH("CXDO US Equity","IS_INT_EXPENSE","1993-06-18","2026-05-02","Per=Y","Days=T","Dir=V")</f>
        <v>0</v>
      </c>
      <c r="AI2">
        <f>BDH("CXDO US Equity","IS_DEPR_EXP","1993-06-18","2026-05-02","Per=Y","Days=T","Dir=V")</f>
        <v>0</v>
      </c>
      <c r="AK2">
        <f>BDH("CXDO US Equity","CF_CASH_FROM_OPER","1993-06-18","2026-05-02","Per=Y","Days=T","Dir=V")</f>
        <v>0</v>
      </c>
      <c r="AM2">
        <f>BDH("CXDO US Equity","CAPITAL_EXPEND","1993-06-18","2026-05-02","Per=Y","Days=T","Dir=V")</f>
        <v>0</v>
      </c>
      <c r="AO2">
        <f>BDH("CXDO US Equity","CF_FREE_CASH_FLOW","1993-06-18","2026-05-02","Per=Y","Days=T","Dir=V")</f>
        <v>0</v>
      </c>
      <c r="AQ2">
        <f>BDH("CXDO US Equity","PX_LAST","1993-06-18","2026-05-02","Per=M","Days=T","Dir=V")</f>
        <v>0</v>
      </c>
      <c r="AS2">
        <f>BDH("CXDO US Equity","CUR_MKT_CAP","1993-06-18","2026-05-02","Per=M","Days=T","Dir=V")</f>
        <v>0</v>
      </c>
      <c r="AU2">
        <f>BDH("CXDO US Equity","EQY_SH_OUT","1993-06-18","2026-05-02","Per=M","Days=T","Dir=V")</f>
        <v>0</v>
      </c>
      <c r="AW2">
        <f>BDH("CXDO US Equity","PX_VOLUME","1993-06-18","2026-05-02","Per=M","Days=T","Dir=V")</f>
        <v>0</v>
      </c>
      <c r="AY2">
        <f>BDH("CXDO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BDH("CXM US Equity","BS_TOT_ASSET","1993-06-18","2026-05-02","Per=Y","Days=T","Dir=V")</f>
        <v>0</v>
      </c>
      <c r="C2">
        <f>BDH("CXM US Equity","BS_TOT_LIAB2","1993-06-18","2026-05-02","Per=Y","Days=T","Dir=V")</f>
        <v>0</v>
      </c>
      <c r="E2">
        <f>BDH("CXM US Equity","SHORT_AND_LONG_TERM_DEBT","1993-06-18","2026-05-02","Per=Y","Days=T","Dir=V")</f>
        <v>0</v>
      </c>
      <c r="G2">
        <f>BDH("CXM US Equity","BS_ST_BORROW","1993-06-18","2026-05-02","Per=Y","Days=T","Dir=V")</f>
        <v>0</v>
      </c>
      <c r="I2">
        <f>BDH("CXM US Equity","BS_LT_BORROW","1993-06-18","2026-05-02","Per=Y","Days=T","Dir=V")</f>
        <v>0</v>
      </c>
      <c r="K2">
        <f>BDH("CXM US Equity","BS_CASH_NEAR_CASH_ITEM","1993-06-18","2026-05-02","Per=Y","Days=T","Dir=V")</f>
        <v>0</v>
      </c>
      <c r="M2">
        <f>BDH("CXM US Equity","BS_CUR_ASSET_REPORT","1993-06-18","2026-05-02","Per=Y","Days=T","Dir=V")</f>
        <v>0</v>
      </c>
      <c r="O2">
        <f>BDH("CXM US Equity","BS_CUR_LIAB","1993-06-18","2026-05-02","Per=Y","Days=T","Dir=V")</f>
        <v>0</v>
      </c>
      <c r="Q2">
        <f>BDH("CXM US Equity","BS_SHAREHOLDER_EQY_ENDING_PERIOD","1993-06-18","2026-05-02","Per=Y","Days=T","Dir=V")</f>
        <v>0</v>
      </c>
      <c r="S2">
        <f>BDH("CXM US Equity","BS_ACCT_NOTE_RCV","1993-06-18","2026-05-02","Per=Y","Days=T","Dir=V")</f>
        <v>0</v>
      </c>
      <c r="U2">
        <f>BDH("CXM US Equity","BS_INVENTORIES","1993-06-18","2026-05-02","Per=Y","Days=T","Dir=V")</f>
        <v>0</v>
      </c>
      <c r="W2">
        <f>BDH("CXM US Equity","WORKING_CAPITAL","1993-06-18","2026-05-02","Per=Y","Days=T","Dir=V")</f>
        <v>0</v>
      </c>
      <c r="Y2">
        <f>BDH("CXM US Equity","SALES_REV_TURN","1993-06-18","2026-05-02","Per=Y","Days=T","Dir=V")</f>
        <v>0</v>
      </c>
      <c r="AA2">
        <f>BDH("CXM US Equity","EBIT","1993-06-18","2026-05-02","Per=Y","Days=T","Dir=V")</f>
        <v>0</v>
      </c>
      <c r="AC2">
        <f>BDH("CXM US Equity","EBITDA","1993-06-18","2026-05-02","Per=Y","Days=T","Dir=V")</f>
        <v>0</v>
      </c>
      <c r="AE2">
        <f>BDH("CXM US Equity","NET_INCOME","1993-06-18","2026-05-02","Per=Y","Days=T","Dir=V")</f>
        <v>0</v>
      </c>
      <c r="AG2">
        <f>BDH("CXM US Equity","IS_INT_EXPENSE","1993-06-18","2026-05-02","Per=Y","Days=T","Dir=V")</f>
        <v>0</v>
      </c>
      <c r="AI2">
        <f>BDH("CXM US Equity","IS_DEPR_EXP","1993-06-18","2026-05-02","Per=Y","Days=T","Dir=V")</f>
        <v>0</v>
      </c>
      <c r="AK2">
        <f>BDH("CXM US Equity","CF_CASH_FROM_OPER","1993-06-18","2026-05-02","Per=Y","Days=T","Dir=V")</f>
        <v>0</v>
      </c>
      <c r="AM2">
        <f>BDH("CXM US Equity","CAPITAL_EXPEND","1993-06-18","2026-05-02","Per=Y","Days=T","Dir=V")</f>
        <v>0</v>
      </c>
      <c r="AO2">
        <f>BDH("CXM US Equity","CF_FREE_CASH_FLOW","1993-06-18","2026-05-02","Per=Y","Days=T","Dir=V")</f>
        <v>0</v>
      </c>
      <c r="AQ2">
        <f>BDH("CXM US Equity","PX_LAST","1993-06-18","2026-05-02","Per=M","Days=T","Dir=V")</f>
        <v>0</v>
      </c>
      <c r="AS2">
        <f>BDH("CXM US Equity","CUR_MKT_CAP","1993-06-18","2026-05-02","Per=M","Days=T","Dir=V")</f>
        <v>0</v>
      </c>
      <c r="AU2">
        <f>BDH("CXM US Equity","EQY_SH_OUT","1993-06-18","2026-05-02","Per=M","Days=T","Dir=V")</f>
        <v>0</v>
      </c>
      <c r="AW2">
        <f>BDH("CXM US Equity","PX_VOLUME","1993-06-18","2026-05-02","Per=M","Days=T","Dir=V")</f>
        <v>0</v>
      </c>
      <c r="AY2">
        <f>BDH("CXM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BDH("CXT US Equity","BS_TOT_ASSET","1993-06-18","2026-05-02","Per=Y","Days=T","Dir=V")</f>
        <v>0</v>
      </c>
      <c r="C2">
        <f>BDH("CXT US Equity","BS_TOT_LIAB2","1993-06-18","2026-05-02","Per=Y","Days=T","Dir=V")</f>
        <v>0</v>
      </c>
      <c r="E2">
        <f>BDH("CXT US Equity","SHORT_AND_LONG_TERM_DEBT","1993-06-18","2026-05-02","Per=Y","Days=T","Dir=V")</f>
        <v>0</v>
      </c>
      <c r="G2">
        <f>BDH("CXT US Equity","BS_ST_BORROW","1993-06-18","2026-05-02","Per=Y","Days=T","Dir=V")</f>
        <v>0</v>
      </c>
      <c r="I2">
        <f>BDH("CXT US Equity","BS_LT_BORROW","1993-06-18","2026-05-02","Per=Y","Days=T","Dir=V")</f>
        <v>0</v>
      </c>
      <c r="K2">
        <f>BDH("CXT US Equity","BS_CASH_NEAR_CASH_ITEM","1993-06-18","2026-05-02","Per=Y","Days=T","Dir=V")</f>
        <v>0</v>
      </c>
      <c r="M2">
        <f>BDH("CXT US Equity","BS_CUR_ASSET_REPORT","1993-06-18","2026-05-02","Per=Y","Days=T","Dir=V")</f>
        <v>0</v>
      </c>
      <c r="O2">
        <f>BDH("CXT US Equity","BS_CUR_LIAB","1993-06-18","2026-05-02","Per=Y","Days=T","Dir=V")</f>
        <v>0</v>
      </c>
      <c r="Q2">
        <f>BDH("CXT US Equity","BS_SHAREHOLDER_EQY_ENDING_PERIOD","1993-06-18","2026-05-02","Per=Y","Days=T","Dir=V")</f>
        <v>0</v>
      </c>
      <c r="S2">
        <f>BDH("CXT US Equity","BS_ACCT_NOTE_RCV","1993-06-18","2026-05-02","Per=Y","Days=T","Dir=V")</f>
        <v>0</v>
      </c>
      <c r="U2">
        <f>BDH("CXT US Equity","BS_INVENTORIES","1993-06-18","2026-05-02","Per=Y","Days=T","Dir=V")</f>
        <v>0</v>
      </c>
      <c r="W2">
        <f>BDH("CXT US Equity","WORKING_CAPITAL","1993-06-18","2026-05-02","Per=Y","Days=T","Dir=V")</f>
        <v>0</v>
      </c>
      <c r="Y2">
        <f>BDH("CXT US Equity","SALES_REV_TURN","1993-06-18","2026-05-02","Per=Y","Days=T","Dir=V")</f>
        <v>0</v>
      </c>
      <c r="AA2">
        <f>BDH("CXT US Equity","EBIT","1993-06-18","2026-05-02","Per=Y","Days=T","Dir=V")</f>
        <v>0</v>
      </c>
      <c r="AC2">
        <f>BDH("CXT US Equity","EBITDA","1993-06-18","2026-05-02","Per=Y","Days=T","Dir=V")</f>
        <v>0</v>
      </c>
      <c r="AE2">
        <f>BDH("CXT US Equity","NET_INCOME","1993-06-18","2026-05-02","Per=Y","Days=T","Dir=V")</f>
        <v>0</v>
      </c>
      <c r="AG2">
        <f>BDH("CXT US Equity","IS_INT_EXPENSE","1993-06-18","2026-05-02","Per=Y","Days=T","Dir=V")</f>
        <v>0</v>
      </c>
      <c r="AI2">
        <f>BDH("CXT US Equity","IS_DEPR_EXP","1993-06-18","2026-05-02","Per=Y","Days=T","Dir=V")</f>
        <v>0</v>
      </c>
      <c r="AK2">
        <f>BDH("CXT US Equity","CF_CASH_FROM_OPER","1993-06-18","2026-05-02","Per=Y","Days=T","Dir=V")</f>
        <v>0</v>
      </c>
      <c r="AM2">
        <f>BDH("CXT US Equity","CAPITAL_EXPEND","1993-06-18","2026-05-02","Per=Y","Days=T","Dir=V")</f>
        <v>0</v>
      </c>
      <c r="AO2">
        <f>BDH("CXT US Equity","CF_FREE_CASH_FLOW","1993-06-18","2026-05-02","Per=Y","Days=T","Dir=V")</f>
        <v>0</v>
      </c>
      <c r="AQ2">
        <f>BDH("CXT US Equity","PX_LAST","1993-06-18","2026-05-02","Per=M","Days=T","Dir=V")</f>
        <v>0</v>
      </c>
      <c r="AS2">
        <f>BDH("CXT US Equity","CUR_MKT_CAP","1993-06-18","2026-05-02","Per=M","Days=T","Dir=V")</f>
        <v>0</v>
      </c>
      <c r="AU2">
        <f>BDH("CXT US Equity","EQY_SH_OUT","1993-06-18","2026-05-02","Per=M","Days=T","Dir=V")</f>
        <v>0</v>
      </c>
      <c r="AW2">
        <f>BDH("CXT US Equity","PX_VOLUME","1993-06-18","2026-05-02","Per=M","Days=T","Dir=V")</f>
        <v>0</v>
      </c>
      <c r="AY2">
        <f>BDH("CXT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BDH("CYCU US Equity","BS_TOT_ASSET","1993-06-18","2026-05-02","Per=Y","Days=T","Dir=V")</f>
        <v>0</v>
      </c>
      <c r="C2">
        <f>BDH("CYCU US Equity","BS_TOT_LIAB2","1993-06-18","2026-05-02","Per=Y","Days=T","Dir=V")</f>
        <v>0</v>
      </c>
      <c r="E2">
        <f>BDH("CYCU US Equity","SHORT_AND_LONG_TERM_DEBT","1993-06-18","2026-05-02","Per=Y","Days=T","Dir=V")</f>
        <v>0</v>
      </c>
      <c r="G2">
        <f>BDH("CYCU US Equity","BS_ST_BORROW","1993-06-18","2026-05-02","Per=Y","Days=T","Dir=V")</f>
        <v>0</v>
      </c>
      <c r="I2">
        <f>BDH("CYCU US Equity","BS_LT_BORROW","1993-06-18","2026-05-02","Per=Y","Days=T","Dir=V")</f>
        <v>0</v>
      </c>
      <c r="K2">
        <f>BDH("CYCU US Equity","BS_CASH_NEAR_CASH_ITEM","1993-06-18","2026-05-02","Per=Y","Days=T","Dir=V")</f>
        <v>0</v>
      </c>
      <c r="M2">
        <f>BDH("CYCU US Equity","BS_CUR_ASSET_REPORT","1993-06-18","2026-05-02","Per=Y","Days=T","Dir=V")</f>
        <v>0</v>
      </c>
      <c r="O2">
        <f>BDH("CYCU US Equity","BS_CUR_LIAB","1993-06-18","2026-05-02","Per=Y","Days=T","Dir=V")</f>
        <v>0</v>
      </c>
      <c r="Q2">
        <f>BDH("CYCU US Equity","BS_SHAREHOLDER_EQY_ENDING_PERIOD","1993-06-18","2026-05-02","Per=Y","Days=T","Dir=V")</f>
        <v>0</v>
      </c>
      <c r="S2">
        <f>BDH("CYCU US Equity","BS_ACCT_NOTE_RCV","1993-06-18","2026-05-02","Per=Y","Days=T","Dir=V")</f>
        <v>0</v>
      </c>
      <c r="U2">
        <f>BDH("CYCU US Equity","BS_INVENTORIES","1993-06-18","2026-05-02","Per=Y","Days=T","Dir=V")</f>
        <v>0</v>
      </c>
      <c r="W2">
        <f>BDH("CYCU US Equity","WORKING_CAPITAL","1993-06-18","2026-05-02","Per=Y","Days=T","Dir=V")</f>
        <v>0</v>
      </c>
      <c r="Y2">
        <f>BDH("CYCU US Equity","SALES_REV_TURN","1993-06-18","2026-05-02","Per=Y","Days=T","Dir=V")</f>
        <v>0</v>
      </c>
      <c r="AA2">
        <f>BDH("CYCU US Equity","EBIT","1993-06-18","2026-05-02","Per=Y","Days=T","Dir=V")</f>
        <v>0</v>
      </c>
      <c r="AC2">
        <f>BDH("CYCU US Equity","EBITDA","1993-06-18","2026-05-02","Per=Y","Days=T","Dir=V")</f>
        <v>0</v>
      </c>
      <c r="AE2">
        <f>BDH("CYCU US Equity","NET_INCOME","1993-06-18","2026-05-02","Per=Y","Days=T","Dir=V")</f>
        <v>0</v>
      </c>
      <c r="AG2">
        <f>BDH("CYCU US Equity","IS_INT_EXPENSE","1993-06-18","2026-05-02","Per=Y","Days=T","Dir=V")</f>
        <v>0</v>
      </c>
      <c r="AI2">
        <f>BDH("CYCU US Equity","IS_DEPR_EXP","1993-06-18","2026-05-02","Per=Y","Days=T","Dir=V")</f>
        <v>0</v>
      </c>
      <c r="AK2">
        <f>BDH("CYCU US Equity","CF_CASH_FROM_OPER","1993-06-18","2026-05-02","Per=Y","Days=T","Dir=V")</f>
        <v>0</v>
      </c>
      <c r="AM2">
        <f>BDH("CYCU US Equity","CAPITAL_EXPEND","1993-06-18","2026-05-02","Per=Y","Days=T","Dir=V")</f>
        <v>0</v>
      </c>
      <c r="AO2">
        <f>BDH("CYCU US Equity","CF_FREE_CASH_FLOW","1993-06-18","2026-05-02","Per=Y","Days=T","Dir=V")</f>
        <v>0</v>
      </c>
      <c r="AQ2">
        <f>BDH("CYCU US Equity","PX_LAST","1993-06-18","2026-05-02","Per=M","Days=T","Dir=V")</f>
        <v>0</v>
      </c>
      <c r="AS2">
        <f>BDH("CYCU US Equity","CUR_MKT_CAP","1993-06-18","2026-05-02","Per=M","Days=T","Dir=V")</f>
        <v>0</v>
      </c>
      <c r="AU2">
        <f>BDH("CYCU US Equity","EQY_SH_OUT","1993-06-18","2026-05-02","Per=M","Days=T","Dir=V")</f>
        <v>0</v>
      </c>
      <c r="AW2">
        <f>BDH("CYCU US Equity","PX_VOLUME","1993-06-18","2026-05-02","Per=M","Days=T","Dir=V")</f>
        <v>0</v>
      </c>
      <c r="AY2">
        <f>BDH("CYCU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BDH("CYCUW US Equity","BS_TOT_ASSET","1993-06-18","2026-05-02","Per=Y","Days=T","Dir=V")</f>
        <v>0</v>
      </c>
      <c r="C2">
        <f>BDH("CYCUW US Equity","BS_TOT_LIAB2","1993-06-18","2026-05-02","Per=Y","Days=T","Dir=V")</f>
        <v>0</v>
      </c>
      <c r="E2">
        <f>BDH("CYCUW US Equity","SHORT_AND_LONG_TERM_DEBT","1993-06-18","2026-05-02","Per=Y","Days=T","Dir=V")</f>
        <v>0</v>
      </c>
      <c r="G2">
        <f>BDH("CYCUW US Equity","BS_ST_BORROW","1993-06-18","2026-05-02","Per=Y","Days=T","Dir=V")</f>
        <v>0</v>
      </c>
      <c r="I2">
        <f>BDH("CYCUW US Equity","BS_LT_BORROW","1993-06-18","2026-05-02","Per=Y","Days=T","Dir=V")</f>
        <v>0</v>
      </c>
      <c r="K2">
        <f>BDH("CYCUW US Equity","BS_CASH_NEAR_CASH_ITEM","1993-06-18","2026-05-02","Per=Y","Days=T","Dir=V")</f>
        <v>0</v>
      </c>
      <c r="M2">
        <f>BDH("CYCUW US Equity","BS_CUR_ASSET_REPORT","1993-06-18","2026-05-02","Per=Y","Days=T","Dir=V")</f>
        <v>0</v>
      </c>
      <c r="O2">
        <f>BDH("CYCUW US Equity","BS_CUR_LIAB","1993-06-18","2026-05-02","Per=Y","Days=T","Dir=V")</f>
        <v>0</v>
      </c>
      <c r="Q2">
        <f>BDH("CYCUW US Equity","BS_SHAREHOLDER_EQY_ENDING_PERIOD","1993-06-18","2026-05-02","Per=Y","Days=T","Dir=V")</f>
        <v>0</v>
      </c>
      <c r="S2">
        <f>BDH("CYCUW US Equity","BS_ACCT_NOTE_RCV","1993-06-18","2026-05-02","Per=Y","Days=T","Dir=V")</f>
        <v>0</v>
      </c>
      <c r="U2">
        <f>BDH("CYCUW US Equity","BS_INVENTORIES","1993-06-18","2026-05-02","Per=Y","Days=T","Dir=V")</f>
        <v>0</v>
      </c>
      <c r="W2">
        <f>BDH("CYCUW US Equity","WORKING_CAPITAL","1993-06-18","2026-05-02","Per=Y","Days=T","Dir=V")</f>
        <v>0</v>
      </c>
      <c r="Y2">
        <f>BDH("CYCUW US Equity","SALES_REV_TURN","1993-06-18","2026-05-02","Per=Y","Days=T","Dir=V")</f>
        <v>0</v>
      </c>
      <c r="AA2">
        <f>BDH("CYCUW US Equity","EBIT","1993-06-18","2026-05-02","Per=Y","Days=T","Dir=V")</f>
        <v>0</v>
      </c>
      <c r="AC2">
        <f>BDH("CYCUW US Equity","EBITDA","1993-06-18","2026-05-02","Per=Y","Days=T","Dir=V")</f>
        <v>0</v>
      </c>
      <c r="AE2">
        <f>BDH("CYCUW US Equity","NET_INCOME","1993-06-18","2026-05-02","Per=Y","Days=T","Dir=V")</f>
        <v>0</v>
      </c>
      <c r="AG2">
        <f>BDH("CYCUW US Equity","IS_INT_EXPENSE","1993-06-18","2026-05-02","Per=Y","Days=T","Dir=V")</f>
        <v>0</v>
      </c>
      <c r="AI2">
        <f>BDH("CYCUW US Equity","IS_DEPR_EXP","1993-06-18","2026-05-02","Per=Y","Days=T","Dir=V")</f>
        <v>0</v>
      </c>
      <c r="AK2">
        <f>BDH("CYCUW US Equity","CF_CASH_FROM_OPER","1993-06-18","2026-05-02","Per=Y","Days=T","Dir=V")</f>
        <v>0</v>
      </c>
      <c r="AM2">
        <f>BDH("CYCUW US Equity","CAPITAL_EXPEND","1993-06-18","2026-05-02","Per=Y","Days=T","Dir=V")</f>
        <v>0</v>
      </c>
      <c r="AO2">
        <f>BDH("CYCUW US Equity","CF_FREE_CASH_FLOW","1993-06-18","2026-05-02","Per=Y","Days=T","Dir=V")</f>
        <v>0</v>
      </c>
      <c r="AQ2">
        <f>BDH("CYCUW US Equity","PX_LAST","1993-06-18","2026-05-02","Per=M","Days=T","Dir=V")</f>
        <v>0</v>
      </c>
      <c r="AS2">
        <f>BDH("CYCUW US Equity","CUR_MKT_CAP","1993-06-18","2026-05-02","Per=M","Days=T","Dir=V")</f>
        <v>0</v>
      </c>
      <c r="AU2">
        <f>BDH("CYCUW US Equity","EQY_SH_OUT","1993-06-18","2026-05-02","Per=M","Days=T","Dir=V")</f>
        <v>0</v>
      </c>
      <c r="AW2">
        <f>BDH("CYCUW US Equity","PX_VOLUME","1993-06-18","2026-05-02","Per=M","Days=T","Dir=V")</f>
        <v>0</v>
      </c>
      <c r="AY2">
        <f>BDH("CYCUW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BDH("CYH US Equity","BS_TOT_ASSET","1993-06-18","2026-05-02","Per=Y","Days=T","Dir=V")</f>
        <v>0</v>
      </c>
      <c r="C2">
        <f>BDH("CYH US Equity","BS_TOT_LIAB2","1993-06-18","2026-05-02","Per=Y","Days=T","Dir=V")</f>
        <v>0</v>
      </c>
      <c r="E2">
        <f>BDH("CYH US Equity","SHORT_AND_LONG_TERM_DEBT","1993-06-18","2026-05-02","Per=Y","Days=T","Dir=V")</f>
        <v>0</v>
      </c>
      <c r="G2">
        <f>BDH("CYH US Equity","BS_ST_BORROW","1993-06-18","2026-05-02","Per=Y","Days=T","Dir=V")</f>
        <v>0</v>
      </c>
      <c r="I2">
        <f>BDH("CYH US Equity","BS_LT_BORROW","1993-06-18","2026-05-02","Per=Y","Days=T","Dir=V")</f>
        <v>0</v>
      </c>
      <c r="K2">
        <f>BDH("CYH US Equity","BS_CASH_NEAR_CASH_ITEM","1993-06-18","2026-05-02","Per=Y","Days=T","Dir=V")</f>
        <v>0</v>
      </c>
      <c r="M2">
        <f>BDH("CYH US Equity","BS_CUR_ASSET_REPORT","1993-06-18","2026-05-02","Per=Y","Days=T","Dir=V")</f>
        <v>0</v>
      </c>
      <c r="O2">
        <f>BDH("CYH US Equity","BS_CUR_LIAB","1993-06-18","2026-05-02","Per=Y","Days=T","Dir=V")</f>
        <v>0</v>
      </c>
      <c r="Q2">
        <f>BDH("CYH US Equity","BS_SHAREHOLDER_EQY_ENDING_PERIOD","1993-06-18","2026-05-02","Per=Y","Days=T","Dir=V")</f>
        <v>0</v>
      </c>
      <c r="S2">
        <f>BDH("CYH US Equity","BS_ACCT_NOTE_RCV","1993-06-18","2026-05-02","Per=Y","Days=T","Dir=V")</f>
        <v>0</v>
      </c>
      <c r="U2">
        <f>BDH("CYH US Equity","BS_INVENTORIES","1993-06-18","2026-05-02","Per=Y","Days=T","Dir=V")</f>
        <v>0</v>
      </c>
      <c r="W2">
        <f>BDH("CYH US Equity","WORKING_CAPITAL","1993-06-18","2026-05-02","Per=Y","Days=T","Dir=V")</f>
        <v>0</v>
      </c>
      <c r="Y2">
        <f>BDH("CYH US Equity","SALES_REV_TURN","1993-06-18","2026-05-02","Per=Y","Days=T","Dir=V")</f>
        <v>0</v>
      </c>
      <c r="AA2">
        <f>BDH("CYH US Equity","EBIT","1993-06-18","2026-05-02","Per=Y","Days=T","Dir=V")</f>
        <v>0</v>
      </c>
      <c r="AC2">
        <f>BDH("CYH US Equity","EBITDA","1993-06-18","2026-05-02","Per=Y","Days=T","Dir=V")</f>
        <v>0</v>
      </c>
      <c r="AE2">
        <f>BDH("CYH US Equity","NET_INCOME","1993-06-18","2026-05-02","Per=Y","Days=T","Dir=V")</f>
        <v>0</v>
      </c>
      <c r="AG2">
        <f>BDH("CYH US Equity","IS_INT_EXPENSE","1993-06-18","2026-05-02","Per=Y","Days=T","Dir=V")</f>
        <v>0</v>
      </c>
      <c r="AI2">
        <f>BDH("CYH US Equity","IS_DEPR_EXP","1993-06-18","2026-05-02","Per=Y","Days=T","Dir=V")</f>
        <v>0</v>
      </c>
      <c r="AK2">
        <f>BDH("CYH US Equity","CF_CASH_FROM_OPER","1993-06-18","2026-05-02","Per=Y","Days=T","Dir=V")</f>
        <v>0</v>
      </c>
      <c r="AM2">
        <f>BDH("CYH US Equity","CAPITAL_EXPEND","1993-06-18","2026-05-02","Per=Y","Days=T","Dir=V")</f>
        <v>0</v>
      </c>
      <c r="AO2">
        <f>BDH("CYH US Equity","CF_FREE_CASH_FLOW","1993-06-18","2026-05-02","Per=Y","Days=T","Dir=V")</f>
        <v>0</v>
      </c>
      <c r="AQ2">
        <f>BDH("CYH US Equity","PX_LAST","1993-06-18","2026-05-02","Per=M","Days=T","Dir=V")</f>
        <v>0</v>
      </c>
      <c r="AS2">
        <f>BDH("CYH US Equity","CUR_MKT_CAP","1993-06-18","2026-05-02","Per=M","Days=T","Dir=V")</f>
        <v>0</v>
      </c>
      <c r="AU2">
        <f>BDH("CYH US Equity","EQY_SH_OUT","1993-06-18","2026-05-02","Per=M","Days=T","Dir=V")</f>
        <v>0</v>
      </c>
      <c r="AW2">
        <f>BDH("CYH US Equity","PX_VOLUME","1993-06-18","2026-05-02","Per=M","Days=T","Dir=V")</f>
        <v>0</v>
      </c>
      <c r="AY2">
        <f>BDH("CYH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BDH("CYN US Equity","BS_TOT_ASSET","1993-06-18","2026-05-02","Per=Y","Days=T","Dir=V")</f>
        <v>0</v>
      </c>
      <c r="C2">
        <f>BDH("CYN US Equity","BS_TOT_LIAB2","1993-06-18","2026-05-02","Per=Y","Days=T","Dir=V")</f>
        <v>0</v>
      </c>
      <c r="E2">
        <f>BDH("CYN US Equity","SHORT_AND_LONG_TERM_DEBT","1993-06-18","2026-05-02","Per=Y","Days=T","Dir=V")</f>
        <v>0</v>
      </c>
      <c r="G2">
        <f>BDH("CYN US Equity","BS_ST_BORROW","1993-06-18","2026-05-02","Per=Y","Days=T","Dir=V")</f>
        <v>0</v>
      </c>
      <c r="I2">
        <f>BDH("CYN US Equity","BS_LT_BORROW","1993-06-18","2026-05-02","Per=Y","Days=T","Dir=V")</f>
        <v>0</v>
      </c>
      <c r="K2">
        <f>BDH("CYN US Equity","BS_CASH_NEAR_CASH_ITEM","1993-06-18","2026-05-02","Per=Y","Days=T","Dir=V")</f>
        <v>0</v>
      </c>
      <c r="M2">
        <f>BDH("CYN US Equity","BS_CUR_ASSET_REPORT","1993-06-18","2026-05-02","Per=Y","Days=T","Dir=V")</f>
        <v>0</v>
      </c>
      <c r="O2">
        <f>BDH("CYN US Equity","BS_CUR_LIAB","1993-06-18","2026-05-02","Per=Y","Days=T","Dir=V")</f>
        <v>0</v>
      </c>
      <c r="Q2">
        <f>BDH("CYN US Equity","BS_SHAREHOLDER_EQY_ENDING_PERIOD","1993-06-18","2026-05-02","Per=Y","Days=T","Dir=V")</f>
        <v>0</v>
      </c>
      <c r="S2">
        <f>BDH("CYN US Equity","BS_ACCT_NOTE_RCV","1993-06-18","2026-05-02","Per=Y","Days=T","Dir=V")</f>
        <v>0</v>
      </c>
      <c r="U2">
        <f>BDH("CYN US Equity","BS_INVENTORIES","1993-06-18","2026-05-02","Per=Y","Days=T","Dir=V")</f>
        <v>0</v>
      </c>
      <c r="W2">
        <f>BDH("CYN US Equity","WORKING_CAPITAL","1993-06-18","2026-05-02","Per=Y","Days=T","Dir=V")</f>
        <v>0</v>
      </c>
      <c r="Y2">
        <f>BDH("CYN US Equity","SALES_REV_TURN","1993-06-18","2026-05-02","Per=Y","Days=T","Dir=V")</f>
        <v>0</v>
      </c>
      <c r="AA2">
        <f>BDH("CYN US Equity","EBIT","1993-06-18","2026-05-02","Per=Y","Days=T","Dir=V")</f>
        <v>0</v>
      </c>
      <c r="AC2">
        <f>BDH("CYN US Equity","EBITDA","1993-06-18","2026-05-02","Per=Y","Days=T","Dir=V")</f>
        <v>0</v>
      </c>
      <c r="AE2">
        <f>BDH("CYN US Equity","NET_INCOME","1993-06-18","2026-05-02","Per=Y","Days=T","Dir=V")</f>
        <v>0</v>
      </c>
      <c r="AG2">
        <f>BDH("CYN US Equity","IS_INT_EXPENSE","1993-06-18","2026-05-02","Per=Y","Days=T","Dir=V")</f>
        <v>0</v>
      </c>
      <c r="AI2">
        <f>BDH("CYN US Equity","IS_DEPR_EXP","1993-06-18","2026-05-02","Per=Y","Days=T","Dir=V")</f>
        <v>0</v>
      </c>
      <c r="AK2">
        <f>BDH("CYN US Equity","CF_CASH_FROM_OPER","1993-06-18","2026-05-02","Per=Y","Days=T","Dir=V")</f>
        <v>0</v>
      </c>
      <c r="AM2">
        <f>BDH("CYN US Equity","CAPITAL_EXPEND","1993-06-18","2026-05-02","Per=Y","Days=T","Dir=V")</f>
        <v>0</v>
      </c>
      <c r="AO2">
        <f>BDH("CYN US Equity","CF_FREE_CASH_FLOW","1993-06-18","2026-05-02","Per=Y","Days=T","Dir=V")</f>
        <v>0</v>
      </c>
      <c r="AQ2">
        <f>BDH("CYN US Equity","PX_LAST","1993-06-18","2026-05-02","Per=M","Days=T","Dir=V")</f>
        <v>0</v>
      </c>
      <c r="AS2">
        <f>BDH("CYN US Equity","CUR_MKT_CAP","1993-06-18","2026-05-02","Per=M","Days=T","Dir=V")</f>
        <v>0</v>
      </c>
      <c r="AU2">
        <f>BDH("CYN US Equity","EQY_SH_OUT","1993-06-18","2026-05-02","Per=M","Days=T","Dir=V")</f>
        <v>0</v>
      </c>
      <c r="AW2">
        <f>BDH("CYN US Equity","PX_VOLUME","1993-06-18","2026-05-02","Per=M","Days=T","Dir=V")</f>
        <v>0</v>
      </c>
      <c r="AY2">
        <f>BDH("CYN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BDH("CYPH US Equity","BS_TOT_ASSET","1993-06-18","2026-05-02","Per=Y","Days=T","Dir=V")</f>
        <v>0</v>
      </c>
      <c r="C2">
        <f>BDH("CYPH US Equity","BS_TOT_LIAB2","1993-06-18","2026-05-02","Per=Y","Days=T","Dir=V")</f>
        <v>0</v>
      </c>
      <c r="E2">
        <f>BDH("CYPH US Equity","SHORT_AND_LONG_TERM_DEBT","1993-06-18","2026-05-02","Per=Y","Days=T","Dir=V")</f>
        <v>0</v>
      </c>
      <c r="G2">
        <f>BDH("CYPH US Equity","BS_ST_BORROW","1993-06-18","2026-05-02","Per=Y","Days=T","Dir=V")</f>
        <v>0</v>
      </c>
      <c r="I2">
        <f>BDH("CYPH US Equity","BS_LT_BORROW","1993-06-18","2026-05-02","Per=Y","Days=T","Dir=V")</f>
        <v>0</v>
      </c>
      <c r="K2">
        <f>BDH("CYPH US Equity","BS_CASH_NEAR_CASH_ITEM","1993-06-18","2026-05-02","Per=Y","Days=T","Dir=V")</f>
        <v>0</v>
      </c>
      <c r="M2">
        <f>BDH("CYPH US Equity","BS_CUR_ASSET_REPORT","1993-06-18","2026-05-02","Per=Y","Days=T","Dir=V")</f>
        <v>0</v>
      </c>
      <c r="O2">
        <f>BDH("CYPH US Equity","BS_CUR_LIAB","1993-06-18","2026-05-02","Per=Y","Days=T","Dir=V")</f>
        <v>0</v>
      </c>
      <c r="Q2">
        <f>BDH("CYPH US Equity","BS_SHAREHOLDER_EQY_ENDING_PERIOD","1993-06-18","2026-05-02","Per=Y","Days=T","Dir=V")</f>
        <v>0</v>
      </c>
      <c r="S2">
        <f>BDH("CYPH US Equity","BS_ACCT_NOTE_RCV","1993-06-18","2026-05-02","Per=Y","Days=T","Dir=V")</f>
        <v>0</v>
      </c>
      <c r="U2">
        <f>BDH("CYPH US Equity","BS_INVENTORIES","1993-06-18","2026-05-02","Per=Y","Days=T","Dir=V")</f>
        <v>0</v>
      </c>
      <c r="W2">
        <f>BDH("CYPH US Equity","WORKING_CAPITAL","1993-06-18","2026-05-02","Per=Y","Days=T","Dir=V")</f>
        <v>0</v>
      </c>
      <c r="Y2">
        <f>BDH("CYPH US Equity","SALES_REV_TURN","1993-06-18","2026-05-02","Per=Y","Days=T","Dir=V")</f>
        <v>0</v>
      </c>
      <c r="AA2">
        <f>BDH("CYPH US Equity","EBIT","1993-06-18","2026-05-02","Per=Y","Days=T","Dir=V")</f>
        <v>0</v>
      </c>
      <c r="AC2">
        <f>BDH("CYPH US Equity","EBITDA","1993-06-18","2026-05-02","Per=Y","Days=T","Dir=V")</f>
        <v>0</v>
      </c>
      <c r="AE2">
        <f>BDH("CYPH US Equity","NET_INCOME","1993-06-18","2026-05-02","Per=Y","Days=T","Dir=V")</f>
        <v>0</v>
      </c>
      <c r="AG2">
        <f>BDH("CYPH US Equity","IS_INT_EXPENSE","1993-06-18","2026-05-02","Per=Y","Days=T","Dir=V")</f>
        <v>0</v>
      </c>
      <c r="AI2">
        <f>BDH("CYPH US Equity","IS_DEPR_EXP","1993-06-18","2026-05-02","Per=Y","Days=T","Dir=V")</f>
        <v>0</v>
      </c>
      <c r="AK2">
        <f>BDH("CYPH US Equity","CF_CASH_FROM_OPER","1993-06-18","2026-05-02","Per=Y","Days=T","Dir=V")</f>
        <v>0</v>
      </c>
      <c r="AM2">
        <f>BDH("CYPH US Equity","CAPITAL_EXPEND","1993-06-18","2026-05-02","Per=Y","Days=T","Dir=V")</f>
        <v>0</v>
      </c>
      <c r="AO2">
        <f>BDH("CYPH US Equity","CF_FREE_CASH_FLOW","1993-06-18","2026-05-02","Per=Y","Days=T","Dir=V")</f>
        <v>0</v>
      </c>
      <c r="AQ2">
        <f>BDH("CYPH US Equity","PX_LAST","1993-06-18","2026-05-02","Per=M","Days=T","Dir=V")</f>
        <v>0</v>
      </c>
      <c r="AS2">
        <f>BDH("CYPH US Equity","CUR_MKT_CAP","1993-06-18","2026-05-02","Per=M","Days=T","Dir=V")</f>
        <v>0</v>
      </c>
      <c r="AU2">
        <f>BDH("CYPH US Equity","EQY_SH_OUT","1993-06-18","2026-05-02","Per=M","Days=T","Dir=V")</f>
        <v>0</v>
      </c>
      <c r="AW2">
        <f>BDH("CYPH US Equity","PX_VOLUME","1993-06-18","2026-05-02","Per=M","Days=T","Dir=V")</f>
        <v>0</v>
      </c>
      <c r="AY2">
        <f>BDH("CYPH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BDH("CYRX US Equity","BS_TOT_ASSET","1993-06-18","2026-05-02","Per=Y","Days=T","Dir=V")</f>
        <v>0</v>
      </c>
      <c r="C2">
        <f>BDH("CYRX US Equity","BS_TOT_LIAB2","1993-06-18","2026-05-02","Per=Y","Days=T","Dir=V")</f>
        <v>0</v>
      </c>
      <c r="E2">
        <f>BDH("CYRX US Equity","SHORT_AND_LONG_TERM_DEBT","1993-06-18","2026-05-02","Per=Y","Days=T","Dir=V")</f>
        <v>0</v>
      </c>
      <c r="G2">
        <f>BDH("CYRX US Equity","BS_ST_BORROW","1993-06-18","2026-05-02","Per=Y","Days=T","Dir=V")</f>
        <v>0</v>
      </c>
      <c r="I2">
        <f>BDH("CYRX US Equity","BS_LT_BORROW","1993-06-18","2026-05-02","Per=Y","Days=T","Dir=V")</f>
        <v>0</v>
      </c>
      <c r="K2">
        <f>BDH("CYRX US Equity","BS_CASH_NEAR_CASH_ITEM","1993-06-18","2026-05-02","Per=Y","Days=T","Dir=V")</f>
        <v>0</v>
      </c>
      <c r="M2">
        <f>BDH("CYRX US Equity","BS_CUR_ASSET_REPORT","1993-06-18","2026-05-02","Per=Y","Days=T","Dir=V")</f>
        <v>0</v>
      </c>
      <c r="O2">
        <f>BDH("CYRX US Equity","BS_CUR_LIAB","1993-06-18","2026-05-02","Per=Y","Days=T","Dir=V")</f>
        <v>0</v>
      </c>
      <c r="Q2">
        <f>BDH("CYRX US Equity","BS_SHAREHOLDER_EQY_ENDING_PERIOD","1993-06-18","2026-05-02","Per=Y","Days=T","Dir=V")</f>
        <v>0</v>
      </c>
      <c r="S2">
        <f>BDH("CYRX US Equity","BS_ACCT_NOTE_RCV","1993-06-18","2026-05-02","Per=Y","Days=T","Dir=V")</f>
        <v>0</v>
      </c>
      <c r="U2">
        <f>BDH("CYRX US Equity","BS_INVENTORIES","1993-06-18","2026-05-02","Per=Y","Days=T","Dir=V")</f>
        <v>0</v>
      </c>
      <c r="W2">
        <f>BDH("CYRX US Equity","WORKING_CAPITAL","1993-06-18","2026-05-02","Per=Y","Days=T","Dir=V")</f>
        <v>0</v>
      </c>
      <c r="Y2">
        <f>BDH("CYRX US Equity","SALES_REV_TURN","1993-06-18","2026-05-02","Per=Y","Days=T","Dir=V")</f>
        <v>0</v>
      </c>
      <c r="AA2">
        <f>BDH("CYRX US Equity","EBIT","1993-06-18","2026-05-02","Per=Y","Days=T","Dir=V")</f>
        <v>0</v>
      </c>
      <c r="AC2">
        <f>BDH("CYRX US Equity","EBITDA","1993-06-18","2026-05-02","Per=Y","Days=T","Dir=V")</f>
        <v>0</v>
      </c>
      <c r="AE2">
        <f>BDH("CYRX US Equity","NET_INCOME","1993-06-18","2026-05-02","Per=Y","Days=T","Dir=V")</f>
        <v>0</v>
      </c>
      <c r="AG2">
        <f>BDH("CYRX US Equity","IS_INT_EXPENSE","1993-06-18","2026-05-02","Per=Y","Days=T","Dir=V")</f>
        <v>0</v>
      </c>
      <c r="AI2">
        <f>BDH("CYRX US Equity","IS_DEPR_EXP","1993-06-18","2026-05-02","Per=Y","Days=T","Dir=V")</f>
        <v>0</v>
      </c>
      <c r="AK2">
        <f>BDH("CYRX US Equity","CF_CASH_FROM_OPER","1993-06-18","2026-05-02","Per=Y","Days=T","Dir=V")</f>
        <v>0</v>
      </c>
      <c r="AM2">
        <f>BDH("CYRX US Equity","CAPITAL_EXPEND","1993-06-18","2026-05-02","Per=Y","Days=T","Dir=V")</f>
        <v>0</v>
      </c>
      <c r="AO2">
        <f>BDH("CYRX US Equity","CF_FREE_CASH_FLOW","1993-06-18","2026-05-02","Per=Y","Days=T","Dir=V")</f>
        <v>0</v>
      </c>
      <c r="AQ2">
        <f>BDH("CYRX US Equity","PX_LAST","1993-06-18","2026-05-02","Per=M","Days=T","Dir=V")</f>
        <v>0</v>
      </c>
      <c r="AS2">
        <f>BDH("CYRX US Equity","CUR_MKT_CAP","1993-06-18","2026-05-02","Per=M","Days=T","Dir=V")</f>
        <v>0</v>
      </c>
      <c r="AU2">
        <f>BDH("CYRX US Equity","EQY_SH_OUT","1993-06-18","2026-05-02","Per=M","Days=T","Dir=V")</f>
        <v>0</v>
      </c>
      <c r="AW2">
        <f>BDH("CYRX US Equity","PX_VOLUME","1993-06-18","2026-05-02","Per=M","Days=T","Dir=V")</f>
        <v>0</v>
      </c>
      <c r="AY2">
        <f>BDH("CYRX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BDH("CYTK US Equity","BS_TOT_ASSET","1993-06-18","2026-05-02","Per=Y","Days=T","Dir=V")</f>
        <v>0</v>
      </c>
      <c r="C2">
        <f>BDH("CYTK US Equity","BS_TOT_LIAB2","1993-06-18","2026-05-02","Per=Y","Days=T","Dir=V")</f>
        <v>0</v>
      </c>
      <c r="E2">
        <f>BDH("CYTK US Equity","SHORT_AND_LONG_TERM_DEBT","1993-06-18","2026-05-02","Per=Y","Days=T","Dir=V")</f>
        <v>0</v>
      </c>
      <c r="G2">
        <f>BDH("CYTK US Equity","BS_ST_BORROW","1993-06-18","2026-05-02","Per=Y","Days=T","Dir=V")</f>
        <v>0</v>
      </c>
      <c r="I2">
        <f>BDH("CYTK US Equity","BS_LT_BORROW","1993-06-18","2026-05-02","Per=Y","Days=T","Dir=V")</f>
        <v>0</v>
      </c>
      <c r="K2">
        <f>BDH("CYTK US Equity","BS_CASH_NEAR_CASH_ITEM","1993-06-18","2026-05-02","Per=Y","Days=T","Dir=V")</f>
        <v>0</v>
      </c>
      <c r="M2">
        <f>BDH("CYTK US Equity","BS_CUR_ASSET_REPORT","1993-06-18","2026-05-02","Per=Y","Days=T","Dir=V")</f>
        <v>0</v>
      </c>
      <c r="O2">
        <f>BDH("CYTK US Equity","BS_CUR_LIAB","1993-06-18","2026-05-02","Per=Y","Days=T","Dir=V")</f>
        <v>0</v>
      </c>
      <c r="Q2">
        <f>BDH("CYTK US Equity","BS_SHAREHOLDER_EQY_ENDING_PERIOD","1993-06-18","2026-05-02","Per=Y","Days=T","Dir=V")</f>
        <v>0</v>
      </c>
      <c r="S2">
        <f>BDH("CYTK US Equity","BS_ACCT_NOTE_RCV","1993-06-18","2026-05-02","Per=Y","Days=T","Dir=V")</f>
        <v>0</v>
      </c>
      <c r="U2">
        <f>BDH("CYTK US Equity","BS_INVENTORIES","1993-06-18","2026-05-02","Per=Y","Days=T","Dir=V")</f>
        <v>0</v>
      </c>
      <c r="W2">
        <f>BDH("CYTK US Equity","WORKING_CAPITAL","1993-06-18","2026-05-02","Per=Y","Days=T","Dir=V")</f>
        <v>0</v>
      </c>
      <c r="Y2">
        <f>BDH("CYTK US Equity","SALES_REV_TURN","1993-06-18","2026-05-02","Per=Y","Days=T","Dir=V")</f>
        <v>0</v>
      </c>
      <c r="AA2">
        <f>BDH("CYTK US Equity","EBIT","1993-06-18","2026-05-02","Per=Y","Days=T","Dir=V")</f>
        <v>0</v>
      </c>
      <c r="AC2">
        <f>BDH("CYTK US Equity","EBITDA","1993-06-18","2026-05-02","Per=Y","Days=T","Dir=V")</f>
        <v>0</v>
      </c>
      <c r="AE2">
        <f>BDH("CYTK US Equity","NET_INCOME","1993-06-18","2026-05-02","Per=Y","Days=T","Dir=V")</f>
        <v>0</v>
      </c>
      <c r="AG2">
        <f>BDH("CYTK US Equity","IS_INT_EXPENSE","1993-06-18","2026-05-02","Per=Y","Days=T","Dir=V")</f>
        <v>0</v>
      </c>
      <c r="AI2">
        <f>BDH("CYTK US Equity","IS_DEPR_EXP","1993-06-18","2026-05-02","Per=Y","Days=T","Dir=V")</f>
        <v>0</v>
      </c>
      <c r="AK2">
        <f>BDH("CYTK US Equity","CF_CASH_FROM_OPER","1993-06-18","2026-05-02","Per=Y","Days=T","Dir=V")</f>
        <v>0</v>
      </c>
      <c r="AM2">
        <f>BDH("CYTK US Equity","CAPITAL_EXPEND","1993-06-18","2026-05-02","Per=Y","Days=T","Dir=V")</f>
        <v>0</v>
      </c>
      <c r="AO2">
        <f>BDH("CYTK US Equity","CF_FREE_CASH_FLOW","1993-06-18","2026-05-02","Per=Y","Days=T","Dir=V")</f>
        <v>0</v>
      </c>
      <c r="AQ2">
        <f>BDH("CYTK US Equity","PX_LAST","1993-06-18","2026-05-02","Per=M","Days=T","Dir=V")</f>
        <v>0</v>
      </c>
      <c r="AS2">
        <f>BDH("CYTK US Equity","CUR_MKT_CAP","1993-06-18","2026-05-02","Per=M","Days=T","Dir=V")</f>
        <v>0</v>
      </c>
      <c r="AU2">
        <f>BDH("CYTK US Equity","EQY_SH_OUT","1993-06-18","2026-05-02","Per=M","Days=T","Dir=V")</f>
        <v>0</v>
      </c>
      <c r="AW2">
        <f>BDH("CYTK US Equity","PX_VOLUME","1993-06-18","2026-05-02","Per=M","Days=T","Dir=V")</f>
        <v>0</v>
      </c>
      <c r="AY2">
        <f>BDH("CYTK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BDH("CZR US Equity","BS_TOT_ASSET","1993-06-18","2026-05-02","Per=Y","Days=T","Dir=V")</f>
        <v>0</v>
      </c>
      <c r="C2">
        <f>BDH("CZR US Equity","BS_TOT_LIAB2","1993-06-18","2026-05-02","Per=Y","Days=T","Dir=V")</f>
        <v>0</v>
      </c>
      <c r="E2">
        <f>BDH("CZR US Equity","SHORT_AND_LONG_TERM_DEBT","1993-06-18","2026-05-02","Per=Y","Days=T","Dir=V")</f>
        <v>0</v>
      </c>
      <c r="G2">
        <f>BDH("CZR US Equity","BS_ST_BORROW","1993-06-18","2026-05-02","Per=Y","Days=T","Dir=V")</f>
        <v>0</v>
      </c>
      <c r="I2">
        <f>BDH("CZR US Equity","BS_LT_BORROW","1993-06-18","2026-05-02","Per=Y","Days=T","Dir=V")</f>
        <v>0</v>
      </c>
      <c r="K2">
        <f>BDH("CZR US Equity","BS_CASH_NEAR_CASH_ITEM","1993-06-18","2026-05-02","Per=Y","Days=T","Dir=V")</f>
        <v>0</v>
      </c>
      <c r="M2">
        <f>BDH("CZR US Equity","BS_CUR_ASSET_REPORT","1993-06-18","2026-05-02","Per=Y","Days=T","Dir=V")</f>
        <v>0</v>
      </c>
      <c r="O2">
        <f>BDH("CZR US Equity","BS_CUR_LIAB","1993-06-18","2026-05-02","Per=Y","Days=T","Dir=V")</f>
        <v>0</v>
      </c>
      <c r="Q2">
        <f>BDH("CZR US Equity","BS_SHAREHOLDER_EQY_ENDING_PERIOD","1993-06-18","2026-05-02","Per=Y","Days=T","Dir=V")</f>
        <v>0</v>
      </c>
      <c r="S2">
        <f>BDH("CZR US Equity","BS_ACCT_NOTE_RCV","1993-06-18","2026-05-02","Per=Y","Days=T","Dir=V")</f>
        <v>0</v>
      </c>
      <c r="U2">
        <f>BDH("CZR US Equity","BS_INVENTORIES","1993-06-18","2026-05-02","Per=Y","Days=T","Dir=V")</f>
        <v>0</v>
      </c>
      <c r="W2">
        <f>BDH("CZR US Equity","WORKING_CAPITAL","1993-06-18","2026-05-02","Per=Y","Days=T","Dir=V")</f>
        <v>0</v>
      </c>
      <c r="Y2">
        <f>BDH("CZR US Equity","SALES_REV_TURN","1993-06-18","2026-05-02","Per=Y","Days=T","Dir=V")</f>
        <v>0</v>
      </c>
      <c r="AA2">
        <f>BDH("CZR US Equity","EBIT","1993-06-18","2026-05-02","Per=Y","Days=T","Dir=V")</f>
        <v>0</v>
      </c>
      <c r="AC2">
        <f>BDH("CZR US Equity","EBITDA","1993-06-18","2026-05-02","Per=Y","Days=T","Dir=V")</f>
        <v>0</v>
      </c>
      <c r="AE2">
        <f>BDH("CZR US Equity","NET_INCOME","1993-06-18","2026-05-02","Per=Y","Days=T","Dir=V")</f>
        <v>0</v>
      </c>
      <c r="AG2">
        <f>BDH("CZR US Equity","IS_INT_EXPENSE","1993-06-18","2026-05-02","Per=Y","Days=T","Dir=V")</f>
        <v>0</v>
      </c>
      <c r="AI2">
        <f>BDH("CZR US Equity","IS_DEPR_EXP","1993-06-18","2026-05-02","Per=Y","Days=T","Dir=V")</f>
        <v>0</v>
      </c>
      <c r="AK2">
        <f>BDH("CZR US Equity","CF_CASH_FROM_OPER","1993-06-18","2026-05-02","Per=Y","Days=T","Dir=V")</f>
        <v>0</v>
      </c>
      <c r="AM2">
        <f>BDH("CZR US Equity","CAPITAL_EXPEND","1993-06-18","2026-05-02","Per=Y","Days=T","Dir=V")</f>
        <v>0</v>
      </c>
      <c r="AO2">
        <f>BDH("CZR US Equity","CF_FREE_CASH_FLOW","1993-06-18","2026-05-02","Per=Y","Days=T","Dir=V")</f>
        <v>0</v>
      </c>
      <c r="AQ2">
        <f>BDH("CZR US Equity","PX_LAST","1993-06-18","2026-05-02","Per=M","Days=T","Dir=V")</f>
        <v>0</v>
      </c>
      <c r="AS2">
        <f>BDH("CZR US Equity","CUR_MKT_CAP","1993-06-18","2026-05-02","Per=M","Days=T","Dir=V")</f>
        <v>0</v>
      </c>
      <c r="AU2">
        <f>BDH("CZR US Equity","EQY_SH_OUT","1993-06-18","2026-05-02","Per=M","Days=T","Dir=V")</f>
        <v>0</v>
      </c>
      <c r="AW2">
        <f>BDH("CZR US Equity","PX_VOLUME","1993-06-18","2026-05-02","Per=M","Days=T","Dir=V")</f>
        <v>0</v>
      </c>
      <c r="AY2">
        <f>BDH("CZR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 US Equity","BS_TOT_ASSET","1993-06-18","2026-05-02","Per=Y","Days=T","Dir=V")</f>
        <v>0</v>
      </c>
      <c r="C2">
        <f>BDH("D US Equity","BS_TOT_LIAB2","1993-06-18","2026-05-02","Per=Y","Days=T","Dir=V")</f>
        <v>0</v>
      </c>
      <c r="E2">
        <f>BDH("D US Equity","SHORT_AND_LONG_TERM_DEBT","1993-06-18","2026-05-02","Per=Y","Days=T","Dir=V")</f>
        <v>0</v>
      </c>
      <c r="G2">
        <f>BDH("D US Equity","BS_ST_BORROW","1993-06-18","2026-05-02","Per=Y","Days=T","Dir=V")</f>
        <v>0</v>
      </c>
      <c r="I2">
        <f>BDH("D US Equity","BS_LT_BORROW","1993-06-18","2026-05-02","Per=Y","Days=T","Dir=V")</f>
        <v>0</v>
      </c>
      <c r="K2">
        <f>BDH("D US Equity","BS_CASH_NEAR_CASH_ITEM","1993-06-18","2026-05-02","Per=Y","Days=T","Dir=V")</f>
        <v>0</v>
      </c>
      <c r="M2">
        <f>BDH("D US Equity","BS_CUR_ASSET_REPORT","1993-06-18","2026-05-02","Per=Y","Days=T","Dir=V")</f>
        <v>0</v>
      </c>
      <c r="O2">
        <f>BDH("D US Equity","BS_CUR_LIAB","1993-06-18","2026-05-02","Per=Y","Days=T","Dir=V")</f>
        <v>0</v>
      </c>
      <c r="Q2">
        <f>BDH("D US Equity","BS_SHAREHOLDER_EQY_ENDING_PERIOD","1993-06-18","2026-05-02","Per=Y","Days=T","Dir=V")</f>
        <v>0</v>
      </c>
      <c r="S2">
        <f>BDH("D US Equity","BS_ACCT_NOTE_RCV","1993-06-18","2026-05-02","Per=Y","Days=T","Dir=V")</f>
        <v>0</v>
      </c>
      <c r="U2">
        <f>BDH("D US Equity","BS_INVENTORIES","1993-06-18","2026-05-02","Per=Y","Days=T","Dir=V")</f>
        <v>0</v>
      </c>
      <c r="W2">
        <f>BDH("D US Equity","WORKING_CAPITAL","1993-06-18","2026-05-02","Per=Y","Days=T","Dir=V")</f>
        <v>0</v>
      </c>
      <c r="Y2">
        <f>BDH("D US Equity","SALES_REV_TURN","1993-06-18","2026-05-02","Per=Y","Days=T","Dir=V")</f>
        <v>0</v>
      </c>
      <c r="AA2">
        <f>BDH("D US Equity","EBIT","1993-06-18","2026-05-02","Per=Y","Days=T","Dir=V")</f>
        <v>0</v>
      </c>
      <c r="AC2">
        <f>BDH("D US Equity","EBITDA","1993-06-18","2026-05-02","Per=Y","Days=T","Dir=V")</f>
        <v>0</v>
      </c>
      <c r="AE2">
        <f>BDH("D US Equity","NET_INCOME","1993-06-18","2026-05-02","Per=Y","Days=T","Dir=V")</f>
        <v>0</v>
      </c>
      <c r="AG2">
        <f>BDH("D US Equity","IS_INT_EXPENSE","1993-06-18","2026-05-02","Per=Y","Days=T","Dir=V")</f>
        <v>0</v>
      </c>
      <c r="AI2">
        <f>BDH("D US Equity","IS_DEPR_EXP","1993-06-18","2026-05-02","Per=Y","Days=T","Dir=V")</f>
        <v>0</v>
      </c>
      <c r="AK2">
        <f>BDH("D US Equity","CF_CASH_FROM_OPER","1993-06-18","2026-05-02","Per=Y","Days=T","Dir=V")</f>
        <v>0</v>
      </c>
      <c r="AM2">
        <f>BDH("D US Equity","CAPITAL_EXPEND","1993-06-18","2026-05-02","Per=Y","Days=T","Dir=V")</f>
        <v>0</v>
      </c>
      <c r="AO2">
        <f>BDH("D US Equity","CF_FREE_CASH_FLOW","1993-06-18","2026-05-02","Per=Y","Days=T","Dir=V")</f>
        <v>0</v>
      </c>
      <c r="AQ2">
        <f>BDH("D US Equity","PX_LAST","1993-06-18","2026-05-02","Per=M","Days=T","Dir=V")</f>
        <v>0</v>
      </c>
      <c r="AS2">
        <f>BDH("D US Equity","CUR_MKT_CAP","1993-06-18","2026-05-02","Per=M","Days=T","Dir=V")</f>
        <v>0</v>
      </c>
      <c r="AU2">
        <f>BDH("D US Equity","EQY_SH_OUT","1993-06-18","2026-05-02","Per=M","Days=T","Dir=V")</f>
        <v>0</v>
      </c>
      <c r="AW2">
        <f>BDH("D US Equity","PX_VOLUME","1993-06-18","2026-05-02","Per=M","Days=T","Dir=V")</f>
        <v>0</v>
      </c>
      <c r="AY2">
        <f>BDH("D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BDH("DAIC US Equity","BS_TOT_ASSET","1993-06-18","2026-05-02","Per=Y","Days=T","Dir=V")</f>
        <v>0</v>
      </c>
      <c r="C2">
        <f>BDH("DAIC US Equity","BS_TOT_LIAB2","1993-06-18","2026-05-02","Per=Y","Days=T","Dir=V")</f>
        <v>0</v>
      </c>
      <c r="E2">
        <f>BDH("DAIC US Equity","SHORT_AND_LONG_TERM_DEBT","1993-06-18","2026-05-02","Per=Y","Days=T","Dir=V")</f>
        <v>0</v>
      </c>
      <c r="G2">
        <f>BDH("DAIC US Equity","BS_ST_BORROW","1993-06-18","2026-05-02","Per=Y","Days=T","Dir=V")</f>
        <v>0</v>
      </c>
      <c r="I2">
        <f>BDH("DAIC US Equity","BS_LT_BORROW","1993-06-18","2026-05-02","Per=Y","Days=T","Dir=V")</f>
        <v>0</v>
      </c>
      <c r="K2">
        <f>BDH("DAIC US Equity","BS_CASH_NEAR_CASH_ITEM","1993-06-18","2026-05-02","Per=Y","Days=T","Dir=V")</f>
        <v>0</v>
      </c>
      <c r="M2">
        <f>BDH("DAIC US Equity","BS_CUR_ASSET_REPORT","1993-06-18","2026-05-02","Per=Y","Days=T","Dir=V")</f>
        <v>0</v>
      </c>
      <c r="O2">
        <f>BDH("DAIC US Equity","BS_CUR_LIAB","1993-06-18","2026-05-02","Per=Y","Days=T","Dir=V")</f>
        <v>0</v>
      </c>
      <c r="Q2">
        <f>BDH("DAIC US Equity","BS_SHAREHOLDER_EQY_ENDING_PERIOD","1993-06-18","2026-05-02","Per=Y","Days=T","Dir=V")</f>
        <v>0</v>
      </c>
      <c r="S2">
        <f>BDH("DAIC US Equity","BS_ACCT_NOTE_RCV","1993-06-18","2026-05-02","Per=Y","Days=T","Dir=V")</f>
        <v>0</v>
      </c>
      <c r="U2">
        <f>BDH("DAIC US Equity","BS_INVENTORIES","1993-06-18","2026-05-02","Per=Y","Days=T","Dir=V")</f>
        <v>0</v>
      </c>
      <c r="W2">
        <f>BDH("DAIC US Equity","WORKING_CAPITAL","1993-06-18","2026-05-02","Per=Y","Days=T","Dir=V")</f>
        <v>0</v>
      </c>
      <c r="Y2">
        <f>BDH("DAIC US Equity","SALES_REV_TURN","1993-06-18","2026-05-02","Per=Y","Days=T","Dir=V")</f>
        <v>0</v>
      </c>
      <c r="AA2">
        <f>BDH("DAIC US Equity","EBIT","1993-06-18","2026-05-02","Per=Y","Days=T","Dir=V")</f>
        <v>0</v>
      </c>
      <c r="AC2">
        <f>BDH("DAIC US Equity","EBITDA","1993-06-18","2026-05-02","Per=Y","Days=T","Dir=V")</f>
        <v>0</v>
      </c>
      <c r="AE2">
        <f>BDH("DAIC US Equity","NET_INCOME","1993-06-18","2026-05-02","Per=Y","Days=T","Dir=V")</f>
        <v>0</v>
      </c>
      <c r="AG2">
        <f>BDH("DAIC US Equity","IS_INT_EXPENSE","1993-06-18","2026-05-02","Per=Y","Days=T","Dir=V")</f>
        <v>0</v>
      </c>
      <c r="AI2">
        <f>BDH("DAIC US Equity","IS_DEPR_EXP","1993-06-18","2026-05-02","Per=Y","Days=T","Dir=V")</f>
        <v>0</v>
      </c>
      <c r="AK2">
        <f>BDH("DAIC US Equity","CF_CASH_FROM_OPER","1993-06-18","2026-05-02","Per=Y","Days=T","Dir=V")</f>
        <v>0</v>
      </c>
      <c r="AM2">
        <f>BDH("DAIC US Equity","CAPITAL_EXPEND","1993-06-18","2026-05-02","Per=Y","Days=T","Dir=V")</f>
        <v>0</v>
      </c>
      <c r="AO2">
        <f>BDH("DAIC US Equity","CF_FREE_CASH_FLOW","1993-06-18","2026-05-02","Per=Y","Days=T","Dir=V")</f>
        <v>0</v>
      </c>
      <c r="AQ2">
        <f>BDH("DAIC US Equity","PX_LAST","1993-06-18","2026-05-02","Per=M","Days=T","Dir=V")</f>
        <v>0</v>
      </c>
      <c r="AS2">
        <f>BDH("DAIC US Equity","CUR_MKT_CAP","1993-06-18","2026-05-02","Per=M","Days=T","Dir=V")</f>
        <v>0</v>
      </c>
      <c r="AU2">
        <f>BDH("DAIC US Equity","EQY_SH_OUT","1993-06-18","2026-05-02","Per=M","Days=T","Dir=V")</f>
        <v>0</v>
      </c>
      <c r="AW2">
        <f>BDH("DAIC US Equity","PX_VOLUME","1993-06-18","2026-05-02","Per=M","Days=T","Dir=V")</f>
        <v>0</v>
      </c>
      <c r="AY2">
        <f>BDH("DAIC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BDH("DAICW US Equity","BS_TOT_ASSET","1993-06-18","2026-05-02","Per=Y","Days=T","Dir=V")</f>
        <v>0</v>
      </c>
      <c r="C2">
        <f>BDH("DAICW US Equity","BS_TOT_LIAB2","1993-06-18","2026-05-02","Per=Y","Days=T","Dir=V")</f>
        <v>0</v>
      </c>
      <c r="E2">
        <f>BDH("DAICW US Equity","SHORT_AND_LONG_TERM_DEBT","1993-06-18","2026-05-02","Per=Y","Days=T","Dir=V")</f>
        <v>0</v>
      </c>
      <c r="G2">
        <f>BDH("DAICW US Equity","BS_ST_BORROW","1993-06-18","2026-05-02","Per=Y","Days=T","Dir=V")</f>
        <v>0</v>
      </c>
      <c r="I2">
        <f>BDH("DAICW US Equity","BS_LT_BORROW","1993-06-18","2026-05-02","Per=Y","Days=T","Dir=V")</f>
        <v>0</v>
      </c>
      <c r="K2">
        <f>BDH("DAICW US Equity","BS_CASH_NEAR_CASH_ITEM","1993-06-18","2026-05-02","Per=Y","Days=T","Dir=V")</f>
        <v>0</v>
      </c>
      <c r="M2">
        <f>BDH("DAICW US Equity","BS_CUR_ASSET_REPORT","1993-06-18","2026-05-02","Per=Y","Days=T","Dir=V")</f>
        <v>0</v>
      </c>
      <c r="O2">
        <f>BDH("DAICW US Equity","BS_CUR_LIAB","1993-06-18","2026-05-02","Per=Y","Days=T","Dir=V")</f>
        <v>0</v>
      </c>
      <c r="Q2">
        <f>BDH("DAICW US Equity","BS_SHAREHOLDER_EQY_ENDING_PERIOD","1993-06-18","2026-05-02","Per=Y","Days=T","Dir=V")</f>
        <v>0</v>
      </c>
      <c r="S2">
        <f>BDH("DAICW US Equity","BS_ACCT_NOTE_RCV","1993-06-18","2026-05-02","Per=Y","Days=T","Dir=V")</f>
        <v>0</v>
      </c>
      <c r="U2">
        <f>BDH("DAICW US Equity","BS_INVENTORIES","1993-06-18","2026-05-02","Per=Y","Days=T","Dir=V")</f>
        <v>0</v>
      </c>
      <c r="W2">
        <f>BDH("DAICW US Equity","WORKING_CAPITAL","1993-06-18","2026-05-02","Per=Y","Days=T","Dir=V")</f>
        <v>0</v>
      </c>
      <c r="Y2">
        <f>BDH("DAICW US Equity","SALES_REV_TURN","1993-06-18","2026-05-02","Per=Y","Days=T","Dir=V")</f>
        <v>0</v>
      </c>
      <c r="AA2">
        <f>BDH("DAICW US Equity","EBIT","1993-06-18","2026-05-02","Per=Y","Days=T","Dir=V")</f>
        <v>0</v>
      </c>
      <c r="AC2">
        <f>BDH("DAICW US Equity","EBITDA","1993-06-18","2026-05-02","Per=Y","Days=T","Dir=V")</f>
        <v>0</v>
      </c>
      <c r="AE2">
        <f>BDH("DAICW US Equity","NET_INCOME","1993-06-18","2026-05-02","Per=Y","Days=T","Dir=V")</f>
        <v>0</v>
      </c>
      <c r="AG2">
        <f>BDH("DAICW US Equity","IS_INT_EXPENSE","1993-06-18","2026-05-02","Per=Y","Days=T","Dir=V")</f>
        <v>0</v>
      </c>
      <c r="AI2">
        <f>BDH("DAICW US Equity","IS_DEPR_EXP","1993-06-18","2026-05-02","Per=Y","Days=T","Dir=V")</f>
        <v>0</v>
      </c>
      <c r="AK2">
        <f>BDH("DAICW US Equity","CF_CASH_FROM_OPER","1993-06-18","2026-05-02","Per=Y","Days=T","Dir=V")</f>
        <v>0</v>
      </c>
      <c r="AM2">
        <f>BDH("DAICW US Equity","CAPITAL_EXPEND","1993-06-18","2026-05-02","Per=Y","Days=T","Dir=V")</f>
        <v>0</v>
      </c>
      <c r="AO2">
        <f>BDH("DAICW US Equity","CF_FREE_CASH_FLOW","1993-06-18","2026-05-02","Per=Y","Days=T","Dir=V")</f>
        <v>0</v>
      </c>
      <c r="AQ2">
        <f>BDH("DAICW US Equity","PX_LAST","1993-06-18","2026-05-02","Per=M","Days=T","Dir=V")</f>
        <v>0</v>
      </c>
      <c r="AS2">
        <f>BDH("DAICW US Equity","CUR_MKT_CAP","1993-06-18","2026-05-02","Per=M","Days=T","Dir=V")</f>
        <v>0</v>
      </c>
      <c r="AU2">
        <f>BDH("DAICW US Equity","EQY_SH_OUT","1993-06-18","2026-05-02","Per=M","Days=T","Dir=V")</f>
        <v>0</v>
      </c>
      <c r="AW2">
        <f>BDH("DAICW US Equity","PX_VOLUME","1993-06-18","2026-05-02","Per=M","Days=T","Dir=V")</f>
        <v>0</v>
      </c>
      <c r="AY2">
        <f>BDH("DAICW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BDH("DAIO US Equity","BS_TOT_ASSET","1993-06-18","2026-05-02","Per=Y","Days=T","Dir=V")</f>
        <v>0</v>
      </c>
      <c r="C2">
        <f>BDH("DAIO US Equity","BS_TOT_LIAB2","1993-06-18","2026-05-02","Per=Y","Days=T","Dir=V")</f>
        <v>0</v>
      </c>
      <c r="E2">
        <f>BDH("DAIO US Equity","SHORT_AND_LONG_TERM_DEBT","1993-06-18","2026-05-02","Per=Y","Days=T","Dir=V")</f>
        <v>0</v>
      </c>
      <c r="G2">
        <f>BDH("DAIO US Equity","BS_ST_BORROW","1993-06-18","2026-05-02","Per=Y","Days=T","Dir=V")</f>
        <v>0</v>
      </c>
      <c r="I2">
        <f>BDH("DAIO US Equity","BS_LT_BORROW","1993-06-18","2026-05-02","Per=Y","Days=T","Dir=V")</f>
        <v>0</v>
      </c>
      <c r="K2">
        <f>BDH("DAIO US Equity","BS_CASH_NEAR_CASH_ITEM","1993-06-18","2026-05-02","Per=Y","Days=T","Dir=V")</f>
        <v>0</v>
      </c>
      <c r="M2">
        <f>BDH("DAIO US Equity","BS_CUR_ASSET_REPORT","1993-06-18","2026-05-02","Per=Y","Days=T","Dir=V")</f>
        <v>0</v>
      </c>
      <c r="O2">
        <f>BDH("DAIO US Equity","BS_CUR_LIAB","1993-06-18","2026-05-02","Per=Y","Days=T","Dir=V")</f>
        <v>0</v>
      </c>
      <c r="Q2">
        <f>BDH("DAIO US Equity","BS_SHAREHOLDER_EQY_ENDING_PERIOD","1993-06-18","2026-05-02","Per=Y","Days=T","Dir=V")</f>
        <v>0</v>
      </c>
      <c r="S2">
        <f>BDH("DAIO US Equity","BS_ACCT_NOTE_RCV","1993-06-18","2026-05-02","Per=Y","Days=T","Dir=V")</f>
        <v>0</v>
      </c>
      <c r="U2">
        <f>BDH("DAIO US Equity","BS_INVENTORIES","1993-06-18","2026-05-02","Per=Y","Days=T","Dir=V")</f>
        <v>0</v>
      </c>
      <c r="W2">
        <f>BDH("DAIO US Equity","WORKING_CAPITAL","1993-06-18","2026-05-02","Per=Y","Days=T","Dir=V")</f>
        <v>0</v>
      </c>
      <c r="Y2">
        <f>BDH("DAIO US Equity","SALES_REV_TURN","1993-06-18","2026-05-02","Per=Y","Days=T","Dir=V")</f>
        <v>0</v>
      </c>
      <c r="AA2">
        <f>BDH("DAIO US Equity","EBIT","1993-06-18","2026-05-02","Per=Y","Days=T","Dir=V")</f>
        <v>0</v>
      </c>
      <c r="AC2">
        <f>BDH("DAIO US Equity","EBITDA","1993-06-18","2026-05-02","Per=Y","Days=T","Dir=V")</f>
        <v>0</v>
      </c>
      <c r="AE2">
        <f>BDH("DAIO US Equity","NET_INCOME","1993-06-18","2026-05-02","Per=Y","Days=T","Dir=V")</f>
        <v>0</v>
      </c>
      <c r="AG2">
        <f>BDH("DAIO US Equity","IS_INT_EXPENSE","1993-06-18","2026-05-02","Per=Y","Days=T","Dir=V")</f>
        <v>0</v>
      </c>
      <c r="AI2">
        <f>BDH("DAIO US Equity","IS_DEPR_EXP","1993-06-18","2026-05-02","Per=Y","Days=T","Dir=V")</f>
        <v>0</v>
      </c>
      <c r="AK2">
        <f>BDH("DAIO US Equity","CF_CASH_FROM_OPER","1993-06-18","2026-05-02","Per=Y","Days=T","Dir=V")</f>
        <v>0</v>
      </c>
      <c r="AM2">
        <f>BDH("DAIO US Equity","CAPITAL_EXPEND","1993-06-18","2026-05-02","Per=Y","Days=T","Dir=V")</f>
        <v>0</v>
      </c>
      <c r="AO2">
        <f>BDH("DAIO US Equity","CF_FREE_CASH_FLOW","1993-06-18","2026-05-02","Per=Y","Days=T","Dir=V")</f>
        <v>0</v>
      </c>
      <c r="AQ2">
        <f>BDH("DAIO US Equity","PX_LAST","1993-06-18","2026-05-02","Per=M","Days=T","Dir=V")</f>
        <v>0</v>
      </c>
      <c r="AS2">
        <f>BDH("DAIO US Equity","CUR_MKT_CAP","1993-06-18","2026-05-02","Per=M","Days=T","Dir=V")</f>
        <v>0</v>
      </c>
      <c r="AU2">
        <f>BDH("DAIO US Equity","EQY_SH_OUT","1993-06-18","2026-05-02","Per=M","Days=T","Dir=V")</f>
        <v>0</v>
      </c>
      <c r="AW2">
        <f>BDH("DAIO US Equity","PX_VOLUME","1993-06-18","2026-05-02","Per=M","Days=T","Dir=V")</f>
        <v>0</v>
      </c>
      <c r="AY2">
        <f>BDH("DAIO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BDH("DAKT US Equity","BS_TOT_ASSET","1993-06-18","2026-05-02","Per=Y","Days=T","Dir=V")</f>
        <v>0</v>
      </c>
      <c r="C2">
        <f>BDH("DAKT US Equity","BS_TOT_LIAB2","1993-06-18","2026-05-02","Per=Y","Days=T","Dir=V")</f>
        <v>0</v>
      </c>
      <c r="E2">
        <f>BDH("DAKT US Equity","SHORT_AND_LONG_TERM_DEBT","1993-06-18","2026-05-02","Per=Y","Days=T","Dir=V")</f>
        <v>0</v>
      </c>
      <c r="G2">
        <f>BDH("DAKT US Equity","BS_ST_BORROW","1993-06-18","2026-05-02","Per=Y","Days=T","Dir=V")</f>
        <v>0</v>
      </c>
      <c r="I2">
        <f>BDH("DAKT US Equity","BS_LT_BORROW","1993-06-18","2026-05-02","Per=Y","Days=T","Dir=V")</f>
        <v>0</v>
      </c>
      <c r="K2">
        <f>BDH("DAKT US Equity","BS_CASH_NEAR_CASH_ITEM","1993-06-18","2026-05-02","Per=Y","Days=T","Dir=V")</f>
        <v>0</v>
      </c>
      <c r="M2">
        <f>BDH("DAKT US Equity","BS_CUR_ASSET_REPORT","1993-06-18","2026-05-02","Per=Y","Days=T","Dir=V")</f>
        <v>0</v>
      </c>
      <c r="O2">
        <f>BDH("DAKT US Equity","BS_CUR_LIAB","1993-06-18","2026-05-02","Per=Y","Days=T","Dir=V")</f>
        <v>0</v>
      </c>
      <c r="Q2">
        <f>BDH("DAKT US Equity","BS_SHAREHOLDER_EQY_ENDING_PERIOD","1993-06-18","2026-05-02","Per=Y","Days=T","Dir=V")</f>
        <v>0</v>
      </c>
      <c r="S2">
        <f>BDH("DAKT US Equity","BS_ACCT_NOTE_RCV","1993-06-18","2026-05-02","Per=Y","Days=T","Dir=V")</f>
        <v>0</v>
      </c>
      <c r="U2">
        <f>BDH("DAKT US Equity","BS_INVENTORIES","1993-06-18","2026-05-02","Per=Y","Days=T","Dir=V")</f>
        <v>0</v>
      </c>
      <c r="W2">
        <f>BDH("DAKT US Equity","WORKING_CAPITAL","1993-06-18","2026-05-02","Per=Y","Days=T","Dir=V")</f>
        <v>0</v>
      </c>
      <c r="Y2">
        <f>BDH("DAKT US Equity","SALES_REV_TURN","1993-06-18","2026-05-02","Per=Y","Days=T","Dir=V")</f>
        <v>0</v>
      </c>
      <c r="AA2">
        <f>BDH("DAKT US Equity","EBIT","1993-06-18","2026-05-02","Per=Y","Days=T","Dir=V")</f>
        <v>0</v>
      </c>
      <c r="AC2">
        <f>BDH("DAKT US Equity","EBITDA","1993-06-18","2026-05-02","Per=Y","Days=T","Dir=V")</f>
        <v>0</v>
      </c>
      <c r="AE2">
        <f>BDH("DAKT US Equity","NET_INCOME","1993-06-18","2026-05-02","Per=Y","Days=T","Dir=V")</f>
        <v>0</v>
      </c>
      <c r="AG2">
        <f>BDH("DAKT US Equity","IS_INT_EXPENSE","1993-06-18","2026-05-02","Per=Y","Days=T","Dir=V")</f>
        <v>0</v>
      </c>
      <c r="AI2">
        <f>BDH("DAKT US Equity","IS_DEPR_EXP","1993-06-18","2026-05-02","Per=Y","Days=T","Dir=V")</f>
        <v>0</v>
      </c>
      <c r="AK2">
        <f>BDH("DAKT US Equity","CF_CASH_FROM_OPER","1993-06-18","2026-05-02","Per=Y","Days=T","Dir=V")</f>
        <v>0</v>
      </c>
      <c r="AM2">
        <f>BDH("DAKT US Equity","CAPITAL_EXPEND","1993-06-18","2026-05-02","Per=Y","Days=T","Dir=V")</f>
        <v>0</v>
      </c>
      <c r="AO2">
        <f>BDH("DAKT US Equity","CF_FREE_CASH_FLOW","1993-06-18","2026-05-02","Per=Y","Days=T","Dir=V")</f>
        <v>0</v>
      </c>
      <c r="AQ2">
        <f>BDH("DAKT US Equity","PX_LAST","1993-06-18","2026-05-02","Per=M","Days=T","Dir=V")</f>
        <v>0</v>
      </c>
      <c r="AS2">
        <f>BDH("DAKT US Equity","CUR_MKT_CAP","1993-06-18","2026-05-02","Per=M","Days=T","Dir=V")</f>
        <v>0</v>
      </c>
      <c r="AU2">
        <f>BDH("DAKT US Equity","EQY_SH_OUT","1993-06-18","2026-05-02","Per=M","Days=T","Dir=V")</f>
        <v>0</v>
      </c>
      <c r="AW2">
        <f>BDH("DAKT US Equity","PX_VOLUME","1993-06-18","2026-05-02","Per=M","Days=T","Dir=V")</f>
        <v>0</v>
      </c>
      <c r="AY2">
        <f>BDH("DAKT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BDH("DAL US Equity","BS_TOT_ASSET","1993-06-18","2026-05-02","Per=Y","Days=T","Dir=V")</f>
        <v>0</v>
      </c>
      <c r="C2">
        <f>BDH("DAL US Equity","BS_TOT_LIAB2","1993-06-18","2026-05-02","Per=Y","Days=T","Dir=V")</f>
        <v>0</v>
      </c>
      <c r="E2">
        <f>BDH("DAL US Equity","SHORT_AND_LONG_TERM_DEBT","1993-06-18","2026-05-02","Per=Y","Days=T","Dir=V")</f>
        <v>0</v>
      </c>
      <c r="G2">
        <f>BDH("DAL US Equity","BS_ST_BORROW","1993-06-18","2026-05-02","Per=Y","Days=T","Dir=V")</f>
        <v>0</v>
      </c>
      <c r="I2">
        <f>BDH("DAL US Equity","BS_LT_BORROW","1993-06-18","2026-05-02","Per=Y","Days=T","Dir=V")</f>
        <v>0</v>
      </c>
      <c r="K2">
        <f>BDH("DAL US Equity","BS_CASH_NEAR_CASH_ITEM","1993-06-18","2026-05-02","Per=Y","Days=T","Dir=V")</f>
        <v>0</v>
      </c>
      <c r="M2">
        <f>BDH("DAL US Equity","BS_CUR_ASSET_REPORT","1993-06-18","2026-05-02","Per=Y","Days=T","Dir=V")</f>
        <v>0</v>
      </c>
      <c r="O2">
        <f>BDH("DAL US Equity","BS_CUR_LIAB","1993-06-18","2026-05-02","Per=Y","Days=T","Dir=V")</f>
        <v>0</v>
      </c>
      <c r="Q2">
        <f>BDH("DAL US Equity","BS_SHAREHOLDER_EQY_ENDING_PERIOD","1993-06-18","2026-05-02","Per=Y","Days=T","Dir=V")</f>
        <v>0</v>
      </c>
      <c r="S2">
        <f>BDH("DAL US Equity","BS_ACCT_NOTE_RCV","1993-06-18","2026-05-02","Per=Y","Days=T","Dir=V")</f>
        <v>0</v>
      </c>
      <c r="U2">
        <f>BDH("DAL US Equity","BS_INVENTORIES","1993-06-18","2026-05-02","Per=Y","Days=T","Dir=V")</f>
        <v>0</v>
      </c>
      <c r="W2">
        <f>BDH("DAL US Equity","WORKING_CAPITAL","1993-06-18","2026-05-02","Per=Y","Days=T","Dir=V")</f>
        <v>0</v>
      </c>
      <c r="Y2">
        <f>BDH("DAL US Equity","SALES_REV_TURN","1993-06-18","2026-05-02","Per=Y","Days=T","Dir=V")</f>
        <v>0</v>
      </c>
      <c r="AA2">
        <f>BDH("DAL US Equity","EBIT","1993-06-18","2026-05-02","Per=Y","Days=T","Dir=V")</f>
        <v>0</v>
      </c>
      <c r="AC2">
        <f>BDH("DAL US Equity","EBITDA","1993-06-18","2026-05-02","Per=Y","Days=T","Dir=V")</f>
        <v>0</v>
      </c>
      <c r="AE2">
        <f>BDH("DAL US Equity","NET_INCOME","1993-06-18","2026-05-02","Per=Y","Days=T","Dir=V")</f>
        <v>0</v>
      </c>
      <c r="AG2">
        <f>BDH("DAL US Equity","IS_INT_EXPENSE","1993-06-18","2026-05-02","Per=Y","Days=T","Dir=V")</f>
        <v>0</v>
      </c>
      <c r="AI2">
        <f>BDH("DAL US Equity","IS_DEPR_EXP","1993-06-18","2026-05-02","Per=Y","Days=T","Dir=V")</f>
        <v>0</v>
      </c>
      <c r="AK2">
        <f>BDH("DAL US Equity","CF_CASH_FROM_OPER","1993-06-18","2026-05-02","Per=Y","Days=T","Dir=V")</f>
        <v>0</v>
      </c>
      <c r="AM2">
        <f>BDH("DAL US Equity","CAPITAL_EXPEND","1993-06-18","2026-05-02","Per=Y","Days=T","Dir=V")</f>
        <v>0</v>
      </c>
      <c r="AO2">
        <f>BDH("DAL US Equity","CF_FREE_CASH_FLOW","1993-06-18","2026-05-02","Per=Y","Days=T","Dir=V")</f>
        <v>0</v>
      </c>
      <c r="AQ2">
        <f>BDH("DAL US Equity","PX_LAST","1993-06-18","2026-05-02","Per=M","Days=T","Dir=V")</f>
        <v>0</v>
      </c>
      <c r="AS2">
        <f>BDH("DAL US Equity","CUR_MKT_CAP","1993-06-18","2026-05-02","Per=M","Days=T","Dir=V")</f>
        <v>0</v>
      </c>
      <c r="AU2">
        <f>BDH("DAL US Equity","EQY_SH_OUT","1993-06-18","2026-05-02","Per=M","Days=T","Dir=V")</f>
        <v>0</v>
      </c>
      <c r="AW2">
        <f>BDH("DAL US Equity","PX_VOLUME","1993-06-18","2026-05-02","Per=M","Days=T","Dir=V")</f>
        <v>0</v>
      </c>
      <c r="AY2">
        <f>BDH("DAL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BDH("DAN US Equity","BS_TOT_ASSET","1993-06-18","2026-05-02","Per=Y","Days=T","Dir=V")</f>
        <v>0</v>
      </c>
      <c r="C2">
        <f>BDH("DAN US Equity","BS_TOT_LIAB2","1993-06-18","2026-05-02","Per=Y","Days=T","Dir=V")</f>
        <v>0</v>
      </c>
      <c r="E2">
        <f>BDH("DAN US Equity","SHORT_AND_LONG_TERM_DEBT","1993-06-18","2026-05-02","Per=Y","Days=T","Dir=V")</f>
        <v>0</v>
      </c>
      <c r="G2">
        <f>BDH("DAN US Equity","BS_ST_BORROW","1993-06-18","2026-05-02","Per=Y","Days=T","Dir=V")</f>
        <v>0</v>
      </c>
      <c r="I2">
        <f>BDH("DAN US Equity","BS_LT_BORROW","1993-06-18","2026-05-02","Per=Y","Days=T","Dir=V")</f>
        <v>0</v>
      </c>
      <c r="K2">
        <f>BDH("DAN US Equity","BS_CASH_NEAR_CASH_ITEM","1993-06-18","2026-05-02","Per=Y","Days=T","Dir=V")</f>
        <v>0</v>
      </c>
      <c r="M2">
        <f>BDH("DAN US Equity","BS_CUR_ASSET_REPORT","1993-06-18","2026-05-02","Per=Y","Days=T","Dir=V")</f>
        <v>0</v>
      </c>
      <c r="O2">
        <f>BDH("DAN US Equity","BS_CUR_LIAB","1993-06-18","2026-05-02","Per=Y","Days=T","Dir=V")</f>
        <v>0</v>
      </c>
      <c r="Q2">
        <f>BDH("DAN US Equity","BS_SHAREHOLDER_EQY_ENDING_PERIOD","1993-06-18","2026-05-02","Per=Y","Days=T","Dir=V")</f>
        <v>0</v>
      </c>
      <c r="S2">
        <f>BDH("DAN US Equity","BS_ACCT_NOTE_RCV","1993-06-18","2026-05-02","Per=Y","Days=T","Dir=V")</f>
        <v>0</v>
      </c>
      <c r="U2">
        <f>BDH("DAN US Equity","BS_INVENTORIES","1993-06-18","2026-05-02","Per=Y","Days=T","Dir=V")</f>
        <v>0</v>
      </c>
      <c r="W2">
        <f>BDH("DAN US Equity","WORKING_CAPITAL","1993-06-18","2026-05-02","Per=Y","Days=T","Dir=V")</f>
        <v>0</v>
      </c>
      <c r="Y2">
        <f>BDH("DAN US Equity","SALES_REV_TURN","1993-06-18","2026-05-02","Per=Y","Days=T","Dir=V")</f>
        <v>0</v>
      </c>
      <c r="AA2">
        <f>BDH("DAN US Equity","EBIT","1993-06-18","2026-05-02","Per=Y","Days=T","Dir=V")</f>
        <v>0</v>
      </c>
      <c r="AC2">
        <f>BDH("DAN US Equity","EBITDA","1993-06-18","2026-05-02","Per=Y","Days=T","Dir=V")</f>
        <v>0</v>
      </c>
      <c r="AE2">
        <f>BDH("DAN US Equity","NET_INCOME","1993-06-18","2026-05-02","Per=Y","Days=T","Dir=V")</f>
        <v>0</v>
      </c>
      <c r="AG2">
        <f>BDH("DAN US Equity","IS_INT_EXPENSE","1993-06-18","2026-05-02","Per=Y","Days=T","Dir=V")</f>
        <v>0</v>
      </c>
      <c r="AI2">
        <f>BDH("DAN US Equity","IS_DEPR_EXP","1993-06-18","2026-05-02","Per=Y","Days=T","Dir=V")</f>
        <v>0</v>
      </c>
      <c r="AK2">
        <f>BDH("DAN US Equity","CF_CASH_FROM_OPER","1993-06-18","2026-05-02","Per=Y","Days=T","Dir=V")</f>
        <v>0</v>
      </c>
      <c r="AM2">
        <f>BDH("DAN US Equity","CAPITAL_EXPEND","1993-06-18","2026-05-02","Per=Y","Days=T","Dir=V")</f>
        <v>0</v>
      </c>
      <c r="AO2">
        <f>BDH("DAN US Equity","CF_FREE_CASH_FLOW","1993-06-18","2026-05-02","Per=Y","Days=T","Dir=V")</f>
        <v>0</v>
      </c>
      <c r="AQ2">
        <f>BDH("DAN US Equity","PX_LAST","1993-06-18","2026-05-02","Per=M","Days=T","Dir=V")</f>
        <v>0</v>
      </c>
      <c r="AS2">
        <f>BDH("DAN US Equity","CUR_MKT_CAP","1993-06-18","2026-05-02","Per=M","Days=T","Dir=V")</f>
        <v>0</v>
      </c>
      <c r="AU2">
        <f>BDH("DAN US Equity","EQY_SH_OUT","1993-06-18","2026-05-02","Per=M","Days=T","Dir=V")</f>
        <v>0</v>
      </c>
      <c r="AW2">
        <f>BDH("DAN US Equity","PX_VOLUME","1993-06-18","2026-05-02","Per=M","Days=T","Dir=V")</f>
        <v>0</v>
      </c>
      <c r="AY2">
        <f>BDH("DAN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BDH("DAR US Equity","BS_TOT_ASSET","1993-06-18","2026-05-02","Per=Y","Days=T","Dir=V")</f>
        <v>0</v>
      </c>
      <c r="C2">
        <f>BDH("DAR US Equity","BS_TOT_LIAB2","1993-06-18","2026-05-02","Per=Y","Days=T","Dir=V")</f>
        <v>0</v>
      </c>
      <c r="E2">
        <f>BDH("DAR US Equity","SHORT_AND_LONG_TERM_DEBT","1993-06-18","2026-05-02","Per=Y","Days=T","Dir=V")</f>
        <v>0</v>
      </c>
      <c r="G2">
        <f>BDH("DAR US Equity","BS_ST_BORROW","1993-06-18","2026-05-02","Per=Y","Days=T","Dir=V")</f>
        <v>0</v>
      </c>
      <c r="I2">
        <f>BDH("DAR US Equity","BS_LT_BORROW","1993-06-18","2026-05-02","Per=Y","Days=T","Dir=V")</f>
        <v>0</v>
      </c>
      <c r="K2">
        <f>BDH("DAR US Equity","BS_CASH_NEAR_CASH_ITEM","1993-06-18","2026-05-02","Per=Y","Days=T","Dir=V")</f>
        <v>0</v>
      </c>
      <c r="M2">
        <f>BDH("DAR US Equity","BS_CUR_ASSET_REPORT","1993-06-18","2026-05-02","Per=Y","Days=T","Dir=V")</f>
        <v>0</v>
      </c>
      <c r="O2">
        <f>BDH("DAR US Equity","BS_CUR_LIAB","1993-06-18","2026-05-02","Per=Y","Days=T","Dir=V")</f>
        <v>0</v>
      </c>
      <c r="Q2">
        <f>BDH("DAR US Equity","BS_SHAREHOLDER_EQY_ENDING_PERIOD","1993-06-18","2026-05-02","Per=Y","Days=T","Dir=V")</f>
        <v>0</v>
      </c>
      <c r="S2">
        <f>BDH("DAR US Equity","BS_ACCT_NOTE_RCV","1993-06-18","2026-05-02","Per=Y","Days=T","Dir=V")</f>
        <v>0</v>
      </c>
      <c r="U2">
        <f>BDH("DAR US Equity","BS_INVENTORIES","1993-06-18","2026-05-02","Per=Y","Days=T","Dir=V")</f>
        <v>0</v>
      </c>
      <c r="W2">
        <f>BDH("DAR US Equity","WORKING_CAPITAL","1993-06-18","2026-05-02","Per=Y","Days=T","Dir=V")</f>
        <v>0</v>
      </c>
      <c r="Y2">
        <f>BDH("DAR US Equity","SALES_REV_TURN","1993-06-18","2026-05-02","Per=Y","Days=T","Dir=V")</f>
        <v>0</v>
      </c>
      <c r="AA2">
        <f>BDH("DAR US Equity","EBIT","1993-06-18","2026-05-02","Per=Y","Days=T","Dir=V")</f>
        <v>0</v>
      </c>
      <c r="AC2">
        <f>BDH("DAR US Equity","EBITDA","1993-06-18","2026-05-02","Per=Y","Days=T","Dir=V")</f>
        <v>0</v>
      </c>
      <c r="AE2">
        <f>BDH("DAR US Equity","NET_INCOME","1993-06-18","2026-05-02","Per=Y","Days=T","Dir=V")</f>
        <v>0</v>
      </c>
      <c r="AG2">
        <f>BDH("DAR US Equity","IS_INT_EXPENSE","1993-06-18","2026-05-02","Per=Y","Days=T","Dir=V")</f>
        <v>0</v>
      </c>
      <c r="AI2">
        <f>BDH("DAR US Equity","IS_DEPR_EXP","1993-06-18","2026-05-02","Per=Y","Days=T","Dir=V")</f>
        <v>0</v>
      </c>
      <c r="AK2">
        <f>BDH("DAR US Equity","CF_CASH_FROM_OPER","1993-06-18","2026-05-02","Per=Y","Days=T","Dir=V")</f>
        <v>0</v>
      </c>
      <c r="AM2">
        <f>BDH("DAR US Equity","CAPITAL_EXPEND","1993-06-18","2026-05-02","Per=Y","Days=T","Dir=V")</f>
        <v>0</v>
      </c>
      <c r="AO2">
        <f>BDH("DAR US Equity","CF_FREE_CASH_FLOW","1993-06-18","2026-05-02","Per=Y","Days=T","Dir=V")</f>
        <v>0</v>
      </c>
      <c r="AQ2">
        <f>BDH("DAR US Equity","PX_LAST","1993-06-18","2026-05-02","Per=M","Days=T","Dir=V")</f>
        <v>0</v>
      </c>
      <c r="AS2">
        <f>BDH("DAR US Equity","CUR_MKT_CAP","1993-06-18","2026-05-02","Per=M","Days=T","Dir=V")</f>
        <v>0</v>
      </c>
      <c r="AU2">
        <f>BDH("DAR US Equity","EQY_SH_OUT","1993-06-18","2026-05-02","Per=M","Days=T","Dir=V")</f>
        <v>0</v>
      </c>
      <c r="AW2">
        <f>BDH("DAR US Equity","PX_VOLUME","1993-06-18","2026-05-02","Per=M","Days=T","Dir=V")</f>
        <v>0</v>
      </c>
      <c r="AY2">
        <f>BDH("DAR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BDH("DARE US Equity","BS_TOT_ASSET","1993-06-18","2026-05-02","Per=Y","Days=T","Dir=V")</f>
        <v>0</v>
      </c>
      <c r="C2">
        <f>BDH("DARE US Equity","BS_TOT_LIAB2","1993-06-18","2026-05-02","Per=Y","Days=T","Dir=V")</f>
        <v>0</v>
      </c>
      <c r="E2">
        <f>BDH("DARE US Equity","SHORT_AND_LONG_TERM_DEBT","1993-06-18","2026-05-02","Per=Y","Days=T","Dir=V")</f>
        <v>0</v>
      </c>
      <c r="G2">
        <f>BDH("DARE US Equity","BS_ST_BORROW","1993-06-18","2026-05-02","Per=Y","Days=T","Dir=V")</f>
        <v>0</v>
      </c>
      <c r="I2">
        <f>BDH("DARE US Equity","BS_LT_BORROW","1993-06-18","2026-05-02","Per=Y","Days=T","Dir=V")</f>
        <v>0</v>
      </c>
      <c r="K2">
        <f>BDH("DARE US Equity","BS_CASH_NEAR_CASH_ITEM","1993-06-18","2026-05-02","Per=Y","Days=T","Dir=V")</f>
        <v>0</v>
      </c>
      <c r="M2">
        <f>BDH("DARE US Equity","BS_CUR_ASSET_REPORT","1993-06-18","2026-05-02","Per=Y","Days=T","Dir=V")</f>
        <v>0</v>
      </c>
      <c r="O2">
        <f>BDH("DARE US Equity","BS_CUR_LIAB","1993-06-18","2026-05-02","Per=Y","Days=T","Dir=V")</f>
        <v>0</v>
      </c>
      <c r="Q2">
        <f>BDH("DARE US Equity","BS_SHAREHOLDER_EQY_ENDING_PERIOD","1993-06-18","2026-05-02","Per=Y","Days=T","Dir=V")</f>
        <v>0</v>
      </c>
      <c r="S2">
        <f>BDH("DARE US Equity","BS_ACCT_NOTE_RCV","1993-06-18","2026-05-02","Per=Y","Days=T","Dir=V")</f>
        <v>0</v>
      </c>
      <c r="U2">
        <f>BDH("DARE US Equity","BS_INVENTORIES","1993-06-18","2026-05-02","Per=Y","Days=T","Dir=V")</f>
        <v>0</v>
      </c>
      <c r="W2">
        <f>BDH("DARE US Equity","WORKING_CAPITAL","1993-06-18","2026-05-02","Per=Y","Days=T","Dir=V")</f>
        <v>0</v>
      </c>
      <c r="Y2">
        <f>BDH("DARE US Equity","SALES_REV_TURN","1993-06-18","2026-05-02","Per=Y","Days=T","Dir=V")</f>
        <v>0</v>
      </c>
      <c r="AA2">
        <f>BDH("DARE US Equity","EBIT","1993-06-18","2026-05-02","Per=Y","Days=T","Dir=V")</f>
        <v>0</v>
      </c>
      <c r="AC2">
        <f>BDH("DARE US Equity","EBITDA","1993-06-18","2026-05-02","Per=Y","Days=T","Dir=V")</f>
        <v>0</v>
      </c>
      <c r="AE2">
        <f>BDH("DARE US Equity","NET_INCOME","1993-06-18","2026-05-02","Per=Y","Days=T","Dir=V")</f>
        <v>0</v>
      </c>
      <c r="AG2">
        <f>BDH("DARE US Equity","IS_INT_EXPENSE","1993-06-18","2026-05-02","Per=Y","Days=T","Dir=V")</f>
        <v>0</v>
      </c>
      <c r="AI2">
        <f>BDH("DARE US Equity","IS_DEPR_EXP","1993-06-18","2026-05-02","Per=Y","Days=T","Dir=V")</f>
        <v>0</v>
      </c>
      <c r="AK2">
        <f>BDH("DARE US Equity","CF_CASH_FROM_OPER","1993-06-18","2026-05-02","Per=Y","Days=T","Dir=V")</f>
        <v>0</v>
      </c>
      <c r="AM2">
        <f>BDH("DARE US Equity","CAPITAL_EXPEND","1993-06-18","2026-05-02","Per=Y","Days=T","Dir=V")</f>
        <v>0</v>
      </c>
      <c r="AO2">
        <f>BDH("DARE US Equity","CF_FREE_CASH_FLOW","1993-06-18","2026-05-02","Per=Y","Days=T","Dir=V")</f>
        <v>0</v>
      </c>
      <c r="AQ2">
        <f>BDH("DARE US Equity","PX_LAST","1993-06-18","2026-05-02","Per=M","Days=T","Dir=V")</f>
        <v>0</v>
      </c>
      <c r="AS2">
        <f>BDH("DARE US Equity","CUR_MKT_CAP","1993-06-18","2026-05-02","Per=M","Days=T","Dir=V")</f>
        <v>0</v>
      </c>
      <c r="AU2">
        <f>BDH("DARE US Equity","EQY_SH_OUT","1993-06-18","2026-05-02","Per=M","Days=T","Dir=V")</f>
        <v>0</v>
      </c>
      <c r="AW2">
        <f>BDH("DARE US Equity","PX_VOLUME","1993-06-18","2026-05-02","Per=M","Days=T","Dir=V")</f>
        <v>0</v>
      </c>
      <c r="AY2">
        <f>BDH("DARE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BDH("DASH US Equity","BS_TOT_ASSET","1993-06-18","2026-05-02","Per=Y","Days=T","Dir=V")</f>
        <v>0</v>
      </c>
      <c r="C2">
        <f>BDH("DASH US Equity","BS_TOT_LIAB2","1993-06-18","2026-05-02","Per=Y","Days=T","Dir=V")</f>
        <v>0</v>
      </c>
      <c r="E2">
        <f>BDH("DASH US Equity","SHORT_AND_LONG_TERM_DEBT","1993-06-18","2026-05-02","Per=Y","Days=T","Dir=V")</f>
        <v>0</v>
      </c>
      <c r="G2">
        <f>BDH("DASH US Equity","BS_ST_BORROW","1993-06-18","2026-05-02","Per=Y","Days=T","Dir=V")</f>
        <v>0</v>
      </c>
      <c r="I2">
        <f>BDH("DASH US Equity","BS_LT_BORROW","1993-06-18","2026-05-02","Per=Y","Days=T","Dir=V")</f>
        <v>0</v>
      </c>
      <c r="K2">
        <f>BDH("DASH US Equity","BS_CASH_NEAR_CASH_ITEM","1993-06-18","2026-05-02","Per=Y","Days=T","Dir=V")</f>
        <v>0</v>
      </c>
      <c r="M2">
        <f>BDH("DASH US Equity","BS_CUR_ASSET_REPORT","1993-06-18","2026-05-02","Per=Y","Days=T","Dir=V")</f>
        <v>0</v>
      </c>
      <c r="O2">
        <f>BDH("DASH US Equity","BS_CUR_LIAB","1993-06-18","2026-05-02","Per=Y","Days=T","Dir=V")</f>
        <v>0</v>
      </c>
      <c r="Q2">
        <f>BDH("DASH US Equity","BS_SHAREHOLDER_EQY_ENDING_PERIOD","1993-06-18","2026-05-02","Per=Y","Days=T","Dir=V")</f>
        <v>0</v>
      </c>
      <c r="S2">
        <f>BDH("DASH US Equity","BS_ACCT_NOTE_RCV","1993-06-18","2026-05-02","Per=Y","Days=T","Dir=V")</f>
        <v>0</v>
      </c>
      <c r="U2">
        <f>BDH("DASH US Equity","BS_INVENTORIES","1993-06-18","2026-05-02","Per=Y","Days=T","Dir=V")</f>
        <v>0</v>
      </c>
      <c r="W2">
        <f>BDH("DASH US Equity","WORKING_CAPITAL","1993-06-18","2026-05-02","Per=Y","Days=T","Dir=V")</f>
        <v>0</v>
      </c>
      <c r="Y2">
        <f>BDH("DASH US Equity","SALES_REV_TURN","1993-06-18","2026-05-02","Per=Y","Days=T","Dir=V")</f>
        <v>0</v>
      </c>
      <c r="AA2">
        <f>BDH("DASH US Equity","EBIT","1993-06-18","2026-05-02","Per=Y","Days=T","Dir=V")</f>
        <v>0</v>
      </c>
      <c r="AC2">
        <f>BDH("DASH US Equity","EBITDA","1993-06-18","2026-05-02","Per=Y","Days=T","Dir=V")</f>
        <v>0</v>
      </c>
      <c r="AE2">
        <f>BDH("DASH US Equity","NET_INCOME","1993-06-18","2026-05-02","Per=Y","Days=T","Dir=V")</f>
        <v>0</v>
      </c>
      <c r="AG2">
        <f>BDH("DASH US Equity","IS_INT_EXPENSE","1993-06-18","2026-05-02","Per=Y","Days=T","Dir=V")</f>
        <v>0</v>
      </c>
      <c r="AI2">
        <f>BDH("DASH US Equity","IS_DEPR_EXP","1993-06-18","2026-05-02","Per=Y","Days=T","Dir=V")</f>
        <v>0</v>
      </c>
      <c r="AK2">
        <f>BDH("DASH US Equity","CF_CASH_FROM_OPER","1993-06-18","2026-05-02","Per=Y","Days=T","Dir=V")</f>
        <v>0</v>
      </c>
      <c r="AM2">
        <f>BDH("DASH US Equity","CAPITAL_EXPEND","1993-06-18","2026-05-02","Per=Y","Days=T","Dir=V")</f>
        <v>0</v>
      </c>
      <c r="AO2">
        <f>BDH("DASH US Equity","CF_FREE_CASH_FLOW","1993-06-18","2026-05-02","Per=Y","Days=T","Dir=V")</f>
        <v>0</v>
      </c>
      <c r="AQ2">
        <f>BDH("DASH US Equity","PX_LAST","1993-06-18","2026-05-02","Per=M","Days=T","Dir=V")</f>
        <v>0</v>
      </c>
      <c r="AS2">
        <f>BDH("DASH US Equity","CUR_MKT_CAP","1993-06-18","2026-05-02","Per=M","Days=T","Dir=V")</f>
        <v>0</v>
      </c>
      <c r="AU2">
        <f>BDH("DASH US Equity","EQY_SH_OUT","1993-06-18","2026-05-02","Per=M","Days=T","Dir=V")</f>
        <v>0</v>
      </c>
      <c r="AW2">
        <f>BDH("DASH US Equity","PX_VOLUME","1993-06-18","2026-05-02","Per=M","Days=T","Dir=V")</f>
        <v>0</v>
      </c>
      <c r="AY2">
        <f>BDH("DASH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BDH("DBGI US Equity","BS_TOT_ASSET","1993-06-18","2026-05-02","Per=Y","Days=T","Dir=V")</f>
        <v>0</v>
      </c>
      <c r="C2">
        <f>BDH("DBGI US Equity","BS_TOT_LIAB2","1993-06-18","2026-05-02","Per=Y","Days=T","Dir=V")</f>
        <v>0</v>
      </c>
      <c r="E2">
        <f>BDH("DBGI US Equity","SHORT_AND_LONG_TERM_DEBT","1993-06-18","2026-05-02","Per=Y","Days=T","Dir=V")</f>
        <v>0</v>
      </c>
      <c r="G2">
        <f>BDH("DBGI US Equity","BS_ST_BORROW","1993-06-18","2026-05-02","Per=Y","Days=T","Dir=V")</f>
        <v>0</v>
      </c>
      <c r="I2">
        <f>BDH("DBGI US Equity","BS_LT_BORROW","1993-06-18","2026-05-02","Per=Y","Days=T","Dir=V")</f>
        <v>0</v>
      </c>
      <c r="K2">
        <f>BDH("DBGI US Equity","BS_CASH_NEAR_CASH_ITEM","1993-06-18","2026-05-02","Per=Y","Days=T","Dir=V")</f>
        <v>0</v>
      </c>
      <c r="M2">
        <f>BDH("DBGI US Equity","BS_CUR_ASSET_REPORT","1993-06-18","2026-05-02","Per=Y","Days=T","Dir=V")</f>
        <v>0</v>
      </c>
      <c r="O2">
        <f>BDH("DBGI US Equity","BS_CUR_LIAB","1993-06-18","2026-05-02","Per=Y","Days=T","Dir=V")</f>
        <v>0</v>
      </c>
      <c r="Q2">
        <f>BDH("DBGI US Equity","BS_SHAREHOLDER_EQY_ENDING_PERIOD","1993-06-18","2026-05-02","Per=Y","Days=T","Dir=V")</f>
        <v>0</v>
      </c>
      <c r="S2">
        <f>BDH("DBGI US Equity","BS_ACCT_NOTE_RCV","1993-06-18","2026-05-02","Per=Y","Days=T","Dir=V")</f>
        <v>0</v>
      </c>
      <c r="U2">
        <f>BDH("DBGI US Equity","BS_INVENTORIES","1993-06-18","2026-05-02","Per=Y","Days=T","Dir=V")</f>
        <v>0</v>
      </c>
      <c r="W2">
        <f>BDH("DBGI US Equity","WORKING_CAPITAL","1993-06-18","2026-05-02","Per=Y","Days=T","Dir=V")</f>
        <v>0</v>
      </c>
      <c r="Y2">
        <f>BDH("DBGI US Equity","SALES_REV_TURN","1993-06-18","2026-05-02","Per=Y","Days=T","Dir=V")</f>
        <v>0</v>
      </c>
      <c r="AA2">
        <f>BDH("DBGI US Equity","EBIT","1993-06-18","2026-05-02","Per=Y","Days=T","Dir=V")</f>
        <v>0</v>
      </c>
      <c r="AC2">
        <f>BDH("DBGI US Equity","EBITDA","1993-06-18","2026-05-02","Per=Y","Days=T","Dir=V")</f>
        <v>0</v>
      </c>
      <c r="AE2">
        <f>BDH("DBGI US Equity","NET_INCOME","1993-06-18","2026-05-02","Per=Y","Days=T","Dir=V")</f>
        <v>0</v>
      </c>
      <c r="AG2">
        <f>BDH("DBGI US Equity","IS_INT_EXPENSE","1993-06-18","2026-05-02","Per=Y","Days=T","Dir=V")</f>
        <v>0</v>
      </c>
      <c r="AI2">
        <f>BDH("DBGI US Equity","IS_DEPR_EXP","1993-06-18","2026-05-02","Per=Y","Days=T","Dir=V")</f>
        <v>0</v>
      </c>
      <c r="AK2">
        <f>BDH("DBGI US Equity","CF_CASH_FROM_OPER","1993-06-18","2026-05-02","Per=Y","Days=T","Dir=V")</f>
        <v>0</v>
      </c>
      <c r="AM2">
        <f>BDH("DBGI US Equity","CAPITAL_EXPEND","1993-06-18","2026-05-02","Per=Y","Days=T","Dir=V")</f>
        <v>0</v>
      </c>
      <c r="AO2">
        <f>BDH("DBGI US Equity","CF_FREE_CASH_FLOW","1993-06-18","2026-05-02","Per=Y","Days=T","Dir=V")</f>
        <v>0</v>
      </c>
      <c r="AQ2">
        <f>BDH("DBGI US Equity","PX_LAST","1993-06-18","2026-05-02","Per=M","Days=T","Dir=V")</f>
        <v>0</v>
      </c>
      <c r="AS2">
        <f>BDH("DBGI US Equity","CUR_MKT_CAP","1993-06-18","2026-05-02","Per=M","Days=T","Dir=V")</f>
        <v>0</v>
      </c>
      <c r="AU2">
        <f>BDH("DBGI US Equity","EQY_SH_OUT","1993-06-18","2026-05-02","Per=M","Days=T","Dir=V")</f>
        <v>0</v>
      </c>
      <c r="AW2">
        <f>BDH("DBGI US Equity","PX_VOLUME","1993-06-18","2026-05-02","Per=M","Days=T","Dir=V")</f>
        <v>0</v>
      </c>
      <c r="AY2">
        <f>BDH("DBGI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BDH("DBI US Equity","BS_TOT_ASSET","1993-06-18","2026-05-02","Per=Y","Days=T","Dir=V")</f>
        <v>0</v>
      </c>
      <c r="C2">
        <f>BDH("DBI US Equity","BS_TOT_LIAB2","1993-06-18","2026-05-02","Per=Y","Days=T","Dir=V")</f>
        <v>0</v>
      </c>
      <c r="E2">
        <f>BDH("DBI US Equity","SHORT_AND_LONG_TERM_DEBT","1993-06-18","2026-05-02","Per=Y","Days=T","Dir=V")</f>
        <v>0</v>
      </c>
      <c r="G2">
        <f>BDH("DBI US Equity","BS_ST_BORROW","1993-06-18","2026-05-02","Per=Y","Days=T","Dir=V")</f>
        <v>0</v>
      </c>
      <c r="I2">
        <f>BDH("DBI US Equity","BS_LT_BORROW","1993-06-18","2026-05-02","Per=Y","Days=T","Dir=V")</f>
        <v>0</v>
      </c>
      <c r="K2">
        <f>BDH("DBI US Equity","BS_CASH_NEAR_CASH_ITEM","1993-06-18","2026-05-02","Per=Y","Days=T","Dir=V")</f>
        <v>0</v>
      </c>
      <c r="M2">
        <f>BDH("DBI US Equity","BS_CUR_ASSET_REPORT","1993-06-18","2026-05-02","Per=Y","Days=T","Dir=V")</f>
        <v>0</v>
      </c>
      <c r="O2">
        <f>BDH("DBI US Equity","BS_CUR_LIAB","1993-06-18","2026-05-02","Per=Y","Days=T","Dir=V")</f>
        <v>0</v>
      </c>
      <c r="Q2">
        <f>BDH("DBI US Equity","BS_SHAREHOLDER_EQY_ENDING_PERIOD","1993-06-18","2026-05-02","Per=Y","Days=T","Dir=V")</f>
        <v>0</v>
      </c>
      <c r="S2">
        <f>BDH("DBI US Equity","BS_ACCT_NOTE_RCV","1993-06-18","2026-05-02","Per=Y","Days=T","Dir=V")</f>
        <v>0</v>
      </c>
      <c r="U2">
        <f>BDH("DBI US Equity","BS_INVENTORIES","1993-06-18","2026-05-02","Per=Y","Days=T","Dir=V")</f>
        <v>0</v>
      </c>
      <c r="W2">
        <f>BDH("DBI US Equity","WORKING_CAPITAL","1993-06-18","2026-05-02","Per=Y","Days=T","Dir=V")</f>
        <v>0</v>
      </c>
      <c r="Y2">
        <f>BDH("DBI US Equity","SALES_REV_TURN","1993-06-18","2026-05-02","Per=Y","Days=T","Dir=V")</f>
        <v>0</v>
      </c>
      <c r="AA2">
        <f>BDH("DBI US Equity","EBIT","1993-06-18","2026-05-02","Per=Y","Days=T","Dir=V")</f>
        <v>0</v>
      </c>
      <c r="AC2">
        <f>BDH("DBI US Equity","EBITDA","1993-06-18","2026-05-02","Per=Y","Days=T","Dir=V")</f>
        <v>0</v>
      </c>
      <c r="AE2">
        <f>BDH("DBI US Equity","NET_INCOME","1993-06-18","2026-05-02","Per=Y","Days=T","Dir=V")</f>
        <v>0</v>
      </c>
      <c r="AG2">
        <f>BDH("DBI US Equity","IS_INT_EXPENSE","1993-06-18","2026-05-02","Per=Y","Days=T","Dir=V")</f>
        <v>0</v>
      </c>
      <c r="AI2">
        <f>BDH("DBI US Equity","IS_DEPR_EXP","1993-06-18","2026-05-02","Per=Y","Days=T","Dir=V")</f>
        <v>0</v>
      </c>
      <c r="AK2">
        <f>BDH("DBI US Equity","CF_CASH_FROM_OPER","1993-06-18","2026-05-02","Per=Y","Days=T","Dir=V")</f>
        <v>0</v>
      </c>
      <c r="AM2">
        <f>BDH("DBI US Equity","CAPITAL_EXPEND","1993-06-18","2026-05-02","Per=Y","Days=T","Dir=V")</f>
        <v>0</v>
      </c>
      <c r="AO2">
        <f>BDH("DBI US Equity","CF_FREE_CASH_FLOW","1993-06-18","2026-05-02","Per=Y","Days=T","Dir=V")</f>
        <v>0</v>
      </c>
      <c r="AQ2">
        <f>BDH("DBI US Equity","PX_LAST","1993-06-18","2026-05-02","Per=M","Days=T","Dir=V")</f>
        <v>0</v>
      </c>
      <c r="AS2">
        <f>BDH("DBI US Equity","CUR_MKT_CAP","1993-06-18","2026-05-02","Per=M","Days=T","Dir=V")</f>
        <v>0</v>
      </c>
      <c r="AU2">
        <f>BDH("DBI US Equity","EQY_SH_OUT","1993-06-18","2026-05-02","Per=M","Days=T","Dir=V")</f>
        <v>0</v>
      </c>
      <c r="AW2">
        <f>BDH("DBI US Equity","PX_VOLUME","1993-06-18","2026-05-02","Per=M","Days=T","Dir=V")</f>
        <v>0</v>
      </c>
      <c r="AY2">
        <f>BDH("DBI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BDH("DBX US Equity","BS_TOT_ASSET","1993-06-18","2026-05-02","Per=Y","Days=T","Dir=V")</f>
        <v>0</v>
      </c>
      <c r="C2">
        <f>BDH("DBX US Equity","BS_TOT_LIAB2","1993-06-18","2026-05-02","Per=Y","Days=T","Dir=V")</f>
        <v>0</v>
      </c>
      <c r="E2">
        <f>BDH("DBX US Equity","SHORT_AND_LONG_TERM_DEBT","1993-06-18","2026-05-02","Per=Y","Days=T","Dir=V")</f>
        <v>0</v>
      </c>
      <c r="G2">
        <f>BDH("DBX US Equity","BS_ST_BORROW","1993-06-18","2026-05-02","Per=Y","Days=T","Dir=V")</f>
        <v>0</v>
      </c>
      <c r="I2">
        <f>BDH("DBX US Equity","BS_LT_BORROW","1993-06-18","2026-05-02","Per=Y","Days=T","Dir=V")</f>
        <v>0</v>
      </c>
      <c r="K2">
        <f>BDH("DBX US Equity","BS_CASH_NEAR_CASH_ITEM","1993-06-18","2026-05-02","Per=Y","Days=T","Dir=V")</f>
        <v>0</v>
      </c>
      <c r="M2">
        <f>BDH("DBX US Equity","BS_CUR_ASSET_REPORT","1993-06-18","2026-05-02","Per=Y","Days=T","Dir=V")</f>
        <v>0</v>
      </c>
      <c r="O2">
        <f>BDH("DBX US Equity","BS_CUR_LIAB","1993-06-18","2026-05-02","Per=Y","Days=T","Dir=V")</f>
        <v>0</v>
      </c>
      <c r="Q2">
        <f>BDH("DBX US Equity","BS_SHAREHOLDER_EQY_ENDING_PERIOD","1993-06-18","2026-05-02","Per=Y","Days=T","Dir=V")</f>
        <v>0</v>
      </c>
      <c r="S2">
        <f>BDH("DBX US Equity","BS_ACCT_NOTE_RCV","1993-06-18","2026-05-02","Per=Y","Days=T","Dir=V")</f>
        <v>0</v>
      </c>
      <c r="U2">
        <f>BDH("DBX US Equity","BS_INVENTORIES","1993-06-18","2026-05-02","Per=Y","Days=T","Dir=V")</f>
        <v>0</v>
      </c>
      <c r="W2">
        <f>BDH("DBX US Equity","WORKING_CAPITAL","1993-06-18","2026-05-02","Per=Y","Days=T","Dir=V")</f>
        <v>0</v>
      </c>
      <c r="Y2">
        <f>BDH("DBX US Equity","SALES_REV_TURN","1993-06-18","2026-05-02","Per=Y","Days=T","Dir=V")</f>
        <v>0</v>
      </c>
      <c r="AA2">
        <f>BDH("DBX US Equity","EBIT","1993-06-18","2026-05-02","Per=Y","Days=T","Dir=V")</f>
        <v>0</v>
      </c>
      <c r="AC2">
        <f>BDH("DBX US Equity","EBITDA","1993-06-18","2026-05-02","Per=Y","Days=T","Dir=V")</f>
        <v>0</v>
      </c>
      <c r="AE2">
        <f>BDH("DBX US Equity","NET_INCOME","1993-06-18","2026-05-02","Per=Y","Days=T","Dir=V")</f>
        <v>0</v>
      </c>
      <c r="AG2">
        <f>BDH("DBX US Equity","IS_INT_EXPENSE","1993-06-18","2026-05-02","Per=Y","Days=T","Dir=V")</f>
        <v>0</v>
      </c>
      <c r="AI2">
        <f>BDH("DBX US Equity","IS_DEPR_EXP","1993-06-18","2026-05-02","Per=Y","Days=T","Dir=V")</f>
        <v>0</v>
      </c>
      <c r="AK2">
        <f>BDH("DBX US Equity","CF_CASH_FROM_OPER","1993-06-18","2026-05-02","Per=Y","Days=T","Dir=V")</f>
        <v>0</v>
      </c>
      <c r="AM2">
        <f>BDH("DBX US Equity","CAPITAL_EXPEND","1993-06-18","2026-05-02","Per=Y","Days=T","Dir=V")</f>
        <v>0</v>
      </c>
      <c r="AO2">
        <f>BDH("DBX US Equity","CF_FREE_CASH_FLOW","1993-06-18","2026-05-02","Per=Y","Days=T","Dir=V")</f>
        <v>0</v>
      </c>
      <c r="AQ2">
        <f>BDH("DBX US Equity","PX_LAST","1993-06-18","2026-05-02","Per=M","Days=T","Dir=V")</f>
        <v>0</v>
      </c>
      <c r="AS2">
        <f>BDH("DBX US Equity","CUR_MKT_CAP","1993-06-18","2026-05-02","Per=M","Days=T","Dir=V")</f>
        <v>0</v>
      </c>
      <c r="AU2">
        <f>BDH("DBX US Equity","EQY_SH_OUT","1993-06-18","2026-05-02","Per=M","Days=T","Dir=V")</f>
        <v>0</v>
      </c>
      <c r="AW2">
        <f>BDH("DBX US Equity","PX_VOLUME","1993-06-18","2026-05-02","Per=M","Days=T","Dir=V")</f>
        <v>0</v>
      </c>
      <c r="AY2">
        <f>BDH("DBX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 US Equity","BS_TOT_ASSET","1993-06-18","2026-05-02","Per=Y","Days=T","Dir=V")</f>
        <v>0</v>
      </c>
      <c r="C2">
        <f>BDH("DC US Equity","BS_TOT_LIAB2","1993-06-18","2026-05-02","Per=Y","Days=T","Dir=V")</f>
        <v>0</v>
      </c>
      <c r="E2">
        <f>BDH("DC US Equity","SHORT_AND_LONG_TERM_DEBT","1993-06-18","2026-05-02","Per=Y","Days=T","Dir=V")</f>
        <v>0</v>
      </c>
      <c r="G2">
        <f>BDH("DC US Equity","BS_ST_BORROW","1993-06-18","2026-05-02","Per=Y","Days=T","Dir=V")</f>
        <v>0</v>
      </c>
      <c r="I2">
        <f>BDH("DC US Equity","BS_LT_BORROW","1993-06-18","2026-05-02","Per=Y","Days=T","Dir=V")</f>
        <v>0</v>
      </c>
      <c r="K2">
        <f>BDH("DC US Equity","BS_CASH_NEAR_CASH_ITEM","1993-06-18","2026-05-02","Per=Y","Days=T","Dir=V")</f>
        <v>0</v>
      </c>
      <c r="M2">
        <f>BDH("DC US Equity","BS_CUR_ASSET_REPORT","1993-06-18","2026-05-02","Per=Y","Days=T","Dir=V")</f>
        <v>0</v>
      </c>
      <c r="O2">
        <f>BDH("DC US Equity","BS_CUR_LIAB","1993-06-18","2026-05-02","Per=Y","Days=T","Dir=V")</f>
        <v>0</v>
      </c>
      <c r="Q2">
        <f>BDH("DC US Equity","BS_SHAREHOLDER_EQY_ENDING_PERIOD","1993-06-18","2026-05-02","Per=Y","Days=T","Dir=V")</f>
        <v>0</v>
      </c>
      <c r="S2">
        <f>BDH("DC US Equity","BS_ACCT_NOTE_RCV","1993-06-18","2026-05-02","Per=Y","Days=T","Dir=V")</f>
        <v>0</v>
      </c>
      <c r="U2">
        <f>BDH("DC US Equity","BS_INVENTORIES","1993-06-18","2026-05-02","Per=Y","Days=T","Dir=V")</f>
        <v>0</v>
      </c>
      <c r="W2">
        <f>BDH("DC US Equity","WORKING_CAPITAL","1993-06-18","2026-05-02","Per=Y","Days=T","Dir=V")</f>
        <v>0</v>
      </c>
      <c r="Y2">
        <f>BDH("DC US Equity","SALES_REV_TURN","1993-06-18","2026-05-02","Per=Y","Days=T","Dir=V")</f>
        <v>0</v>
      </c>
      <c r="AA2">
        <f>BDH("DC US Equity","EBIT","1993-06-18","2026-05-02","Per=Y","Days=T","Dir=V")</f>
        <v>0</v>
      </c>
      <c r="AC2">
        <f>BDH("DC US Equity","EBITDA","1993-06-18","2026-05-02","Per=Y","Days=T","Dir=V")</f>
        <v>0</v>
      </c>
      <c r="AE2">
        <f>BDH("DC US Equity","NET_INCOME","1993-06-18","2026-05-02","Per=Y","Days=T","Dir=V")</f>
        <v>0</v>
      </c>
      <c r="AG2">
        <f>BDH("DC US Equity","IS_INT_EXPENSE","1993-06-18","2026-05-02","Per=Y","Days=T","Dir=V")</f>
        <v>0</v>
      </c>
      <c r="AI2">
        <f>BDH("DC US Equity","IS_DEPR_EXP","1993-06-18","2026-05-02","Per=Y","Days=T","Dir=V")</f>
        <v>0</v>
      </c>
      <c r="AK2">
        <f>BDH("DC US Equity","CF_CASH_FROM_OPER","1993-06-18","2026-05-02","Per=Y","Days=T","Dir=V")</f>
        <v>0</v>
      </c>
      <c r="AM2">
        <f>BDH("DC US Equity","CAPITAL_EXPEND","1993-06-18","2026-05-02","Per=Y","Days=T","Dir=V")</f>
        <v>0</v>
      </c>
      <c r="AO2">
        <f>BDH("DC US Equity","CF_FREE_CASH_FLOW","1993-06-18","2026-05-02","Per=Y","Days=T","Dir=V")</f>
        <v>0</v>
      </c>
      <c r="AQ2">
        <f>BDH("DC US Equity","PX_LAST","1993-06-18","2026-05-02","Per=M","Days=T","Dir=V")</f>
        <v>0</v>
      </c>
      <c r="AS2">
        <f>BDH("DC US Equity","CUR_MKT_CAP","1993-06-18","2026-05-02","Per=M","Days=T","Dir=V")</f>
        <v>0</v>
      </c>
      <c r="AU2">
        <f>BDH("DC US Equity","EQY_SH_OUT","1993-06-18","2026-05-02","Per=M","Days=T","Dir=V")</f>
        <v>0</v>
      </c>
      <c r="AW2">
        <f>BDH("DC US Equity","PX_VOLUME","1993-06-18","2026-05-02","Per=M","Days=T","Dir=V")</f>
        <v>0</v>
      </c>
      <c r="AY2">
        <f>BDH("DC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BDH("DCGO US Equity","BS_TOT_ASSET","1993-06-18","2026-05-02","Per=Y","Days=T","Dir=V")</f>
        <v>0</v>
      </c>
      <c r="C2">
        <f>BDH("DCGO US Equity","BS_TOT_LIAB2","1993-06-18","2026-05-02","Per=Y","Days=T","Dir=V")</f>
        <v>0</v>
      </c>
      <c r="E2">
        <f>BDH("DCGO US Equity","SHORT_AND_LONG_TERM_DEBT","1993-06-18","2026-05-02","Per=Y","Days=T","Dir=V")</f>
        <v>0</v>
      </c>
      <c r="G2">
        <f>BDH("DCGO US Equity","BS_ST_BORROW","1993-06-18","2026-05-02","Per=Y","Days=T","Dir=V")</f>
        <v>0</v>
      </c>
      <c r="I2">
        <f>BDH("DCGO US Equity","BS_LT_BORROW","1993-06-18","2026-05-02","Per=Y","Days=T","Dir=V")</f>
        <v>0</v>
      </c>
      <c r="K2">
        <f>BDH("DCGO US Equity","BS_CASH_NEAR_CASH_ITEM","1993-06-18","2026-05-02","Per=Y","Days=T","Dir=V")</f>
        <v>0</v>
      </c>
      <c r="M2">
        <f>BDH("DCGO US Equity","BS_CUR_ASSET_REPORT","1993-06-18","2026-05-02","Per=Y","Days=T","Dir=V")</f>
        <v>0</v>
      </c>
      <c r="O2">
        <f>BDH("DCGO US Equity","BS_CUR_LIAB","1993-06-18","2026-05-02","Per=Y","Days=T","Dir=V")</f>
        <v>0</v>
      </c>
      <c r="Q2">
        <f>BDH("DCGO US Equity","BS_SHAREHOLDER_EQY_ENDING_PERIOD","1993-06-18","2026-05-02","Per=Y","Days=T","Dir=V")</f>
        <v>0</v>
      </c>
      <c r="S2">
        <f>BDH("DCGO US Equity","BS_ACCT_NOTE_RCV","1993-06-18","2026-05-02","Per=Y","Days=T","Dir=V")</f>
        <v>0</v>
      </c>
      <c r="U2">
        <f>BDH("DCGO US Equity","BS_INVENTORIES","1993-06-18","2026-05-02","Per=Y","Days=T","Dir=V")</f>
        <v>0</v>
      </c>
      <c r="W2">
        <f>BDH("DCGO US Equity","WORKING_CAPITAL","1993-06-18","2026-05-02","Per=Y","Days=T","Dir=V")</f>
        <v>0</v>
      </c>
      <c r="Y2">
        <f>BDH("DCGO US Equity","SALES_REV_TURN","1993-06-18","2026-05-02","Per=Y","Days=T","Dir=V")</f>
        <v>0</v>
      </c>
      <c r="AA2">
        <f>BDH("DCGO US Equity","EBIT","1993-06-18","2026-05-02","Per=Y","Days=T","Dir=V")</f>
        <v>0</v>
      </c>
      <c r="AC2">
        <f>BDH("DCGO US Equity","EBITDA","1993-06-18","2026-05-02","Per=Y","Days=T","Dir=V")</f>
        <v>0</v>
      </c>
      <c r="AE2">
        <f>BDH("DCGO US Equity","NET_INCOME","1993-06-18","2026-05-02","Per=Y","Days=T","Dir=V")</f>
        <v>0</v>
      </c>
      <c r="AG2">
        <f>BDH("DCGO US Equity","IS_INT_EXPENSE","1993-06-18","2026-05-02","Per=Y","Days=T","Dir=V")</f>
        <v>0</v>
      </c>
      <c r="AI2">
        <f>BDH("DCGO US Equity","IS_DEPR_EXP","1993-06-18","2026-05-02","Per=Y","Days=T","Dir=V")</f>
        <v>0</v>
      </c>
      <c r="AK2">
        <f>BDH("DCGO US Equity","CF_CASH_FROM_OPER","1993-06-18","2026-05-02","Per=Y","Days=T","Dir=V")</f>
        <v>0</v>
      </c>
      <c r="AM2">
        <f>BDH("DCGO US Equity","CAPITAL_EXPEND","1993-06-18","2026-05-02","Per=Y","Days=T","Dir=V")</f>
        <v>0</v>
      </c>
      <c r="AO2">
        <f>BDH("DCGO US Equity","CF_FREE_CASH_FLOW","1993-06-18","2026-05-02","Per=Y","Days=T","Dir=V")</f>
        <v>0</v>
      </c>
      <c r="AQ2">
        <f>BDH("DCGO US Equity","PX_LAST","1993-06-18","2026-05-02","Per=M","Days=T","Dir=V")</f>
        <v>0</v>
      </c>
      <c r="AS2">
        <f>BDH("DCGO US Equity","CUR_MKT_CAP","1993-06-18","2026-05-02","Per=M","Days=T","Dir=V")</f>
        <v>0</v>
      </c>
      <c r="AU2">
        <f>BDH("DCGO US Equity","EQY_SH_OUT","1993-06-18","2026-05-02","Per=M","Days=T","Dir=V")</f>
        <v>0</v>
      </c>
      <c r="AW2">
        <f>BDH("DCGO US Equity","PX_VOLUME","1993-06-18","2026-05-02","Per=M","Days=T","Dir=V")</f>
        <v>0</v>
      </c>
      <c r="AY2">
        <f>BDH("DCGO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BDH("DCH US Equity","BS_TOT_ASSET","1993-06-18","2026-05-02","Per=Y","Days=T","Dir=V")</f>
        <v>0</v>
      </c>
      <c r="C2">
        <f>BDH("DCH US Equity","BS_TOT_LIAB2","1993-06-18","2026-05-02","Per=Y","Days=T","Dir=V")</f>
        <v>0</v>
      </c>
      <c r="E2">
        <f>BDH("DCH US Equity","SHORT_AND_LONG_TERM_DEBT","1993-06-18","2026-05-02","Per=Y","Days=T","Dir=V")</f>
        <v>0</v>
      </c>
      <c r="G2">
        <f>BDH("DCH US Equity","BS_ST_BORROW","1993-06-18","2026-05-02","Per=Y","Days=T","Dir=V")</f>
        <v>0</v>
      </c>
      <c r="I2">
        <f>BDH("DCH US Equity","BS_LT_BORROW","1993-06-18","2026-05-02","Per=Y","Days=T","Dir=V")</f>
        <v>0</v>
      </c>
      <c r="K2">
        <f>BDH("DCH US Equity","BS_CASH_NEAR_CASH_ITEM","1993-06-18","2026-05-02","Per=Y","Days=T","Dir=V")</f>
        <v>0</v>
      </c>
      <c r="M2">
        <f>BDH("DCH US Equity","BS_CUR_ASSET_REPORT","1993-06-18","2026-05-02","Per=Y","Days=T","Dir=V")</f>
        <v>0</v>
      </c>
      <c r="O2">
        <f>BDH("DCH US Equity","BS_CUR_LIAB","1993-06-18","2026-05-02","Per=Y","Days=T","Dir=V")</f>
        <v>0</v>
      </c>
      <c r="Q2">
        <f>BDH("DCH US Equity","BS_SHAREHOLDER_EQY_ENDING_PERIOD","1993-06-18","2026-05-02","Per=Y","Days=T","Dir=V")</f>
        <v>0</v>
      </c>
      <c r="S2">
        <f>BDH("DCH US Equity","BS_ACCT_NOTE_RCV","1993-06-18","2026-05-02","Per=Y","Days=T","Dir=V")</f>
        <v>0</v>
      </c>
      <c r="U2">
        <f>BDH("DCH US Equity","BS_INVENTORIES","1993-06-18","2026-05-02","Per=Y","Days=T","Dir=V")</f>
        <v>0</v>
      </c>
      <c r="W2">
        <f>BDH("DCH US Equity","WORKING_CAPITAL","1993-06-18","2026-05-02","Per=Y","Days=T","Dir=V")</f>
        <v>0</v>
      </c>
      <c r="Y2">
        <f>BDH("DCH US Equity","SALES_REV_TURN","1993-06-18","2026-05-02","Per=Y","Days=T","Dir=V")</f>
        <v>0</v>
      </c>
      <c r="AA2">
        <f>BDH("DCH US Equity","EBIT","1993-06-18","2026-05-02","Per=Y","Days=T","Dir=V")</f>
        <v>0</v>
      </c>
      <c r="AC2">
        <f>BDH("DCH US Equity","EBITDA","1993-06-18","2026-05-02","Per=Y","Days=T","Dir=V")</f>
        <v>0</v>
      </c>
      <c r="AE2">
        <f>BDH("DCH US Equity","NET_INCOME","1993-06-18","2026-05-02","Per=Y","Days=T","Dir=V")</f>
        <v>0</v>
      </c>
      <c r="AG2">
        <f>BDH("DCH US Equity","IS_INT_EXPENSE","1993-06-18","2026-05-02","Per=Y","Days=T","Dir=V")</f>
        <v>0</v>
      </c>
      <c r="AI2">
        <f>BDH("DCH US Equity","IS_DEPR_EXP","1993-06-18","2026-05-02","Per=Y","Days=T","Dir=V")</f>
        <v>0</v>
      </c>
      <c r="AK2">
        <f>BDH("DCH US Equity","CF_CASH_FROM_OPER","1993-06-18","2026-05-02","Per=Y","Days=T","Dir=V")</f>
        <v>0</v>
      </c>
      <c r="AM2">
        <f>BDH("DCH US Equity","CAPITAL_EXPEND","1993-06-18","2026-05-02","Per=Y","Days=T","Dir=V")</f>
        <v>0</v>
      </c>
      <c r="AO2">
        <f>BDH("DCH US Equity","CF_FREE_CASH_FLOW","1993-06-18","2026-05-02","Per=Y","Days=T","Dir=V")</f>
        <v>0</v>
      </c>
      <c r="AQ2">
        <f>BDH("DCH US Equity","PX_LAST","1993-06-18","2026-05-02","Per=M","Days=T","Dir=V")</f>
        <v>0</v>
      </c>
      <c r="AS2">
        <f>BDH("DCH US Equity","CUR_MKT_CAP","1993-06-18","2026-05-02","Per=M","Days=T","Dir=V")</f>
        <v>0</v>
      </c>
      <c r="AU2">
        <f>BDH("DCH US Equity","EQY_SH_OUT","1993-06-18","2026-05-02","Per=M","Days=T","Dir=V")</f>
        <v>0</v>
      </c>
      <c r="AW2">
        <f>BDH("DCH US Equity","PX_VOLUME","1993-06-18","2026-05-02","Per=M","Days=T","Dir=V")</f>
        <v>0</v>
      </c>
      <c r="AY2">
        <f>BDH("DCH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BDH("DCI US Equity","BS_TOT_ASSET","1993-06-18","2026-05-02","Per=Y","Days=T","Dir=V")</f>
        <v>0</v>
      </c>
      <c r="C2">
        <f>BDH("DCI US Equity","BS_TOT_LIAB2","1993-06-18","2026-05-02","Per=Y","Days=T","Dir=V")</f>
        <v>0</v>
      </c>
      <c r="E2">
        <f>BDH("DCI US Equity","SHORT_AND_LONG_TERM_DEBT","1993-06-18","2026-05-02","Per=Y","Days=T","Dir=V")</f>
        <v>0</v>
      </c>
      <c r="G2">
        <f>BDH("DCI US Equity","BS_ST_BORROW","1993-06-18","2026-05-02","Per=Y","Days=T","Dir=V")</f>
        <v>0</v>
      </c>
      <c r="I2">
        <f>BDH("DCI US Equity","BS_LT_BORROW","1993-06-18","2026-05-02","Per=Y","Days=T","Dir=V")</f>
        <v>0</v>
      </c>
      <c r="K2">
        <f>BDH("DCI US Equity","BS_CASH_NEAR_CASH_ITEM","1993-06-18","2026-05-02","Per=Y","Days=T","Dir=V")</f>
        <v>0</v>
      </c>
      <c r="M2">
        <f>BDH("DCI US Equity","BS_CUR_ASSET_REPORT","1993-06-18","2026-05-02","Per=Y","Days=T","Dir=V")</f>
        <v>0</v>
      </c>
      <c r="O2">
        <f>BDH("DCI US Equity","BS_CUR_LIAB","1993-06-18","2026-05-02","Per=Y","Days=T","Dir=V")</f>
        <v>0</v>
      </c>
      <c r="Q2">
        <f>BDH("DCI US Equity","BS_SHAREHOLDER_EQY_ENDING_PERIOD","1993-06-18","2026-05-02","Per=Y","Days=T","Dir=V")</f>
        <v>0</v>
      </c>
      <c r="S2">
        <f>BDH("DCI US Equity","BS_ACCT_NOTE_RCV","1993-06-18","2026-05-02","Per=Y","Days=T","Dir=V")</f>
        <v>0</v>
      </c>
      <c r="U2">
        <f>BDH("DCI US Equity","BS_INVENTORIES","1993-06-18","2026-05-02","Per=Y","Days=T","Dir=V")</f>
        <v>0</v>
      </c>
      <c r="W2">
        <f>BDH("DCI US Equity","WORKING_CAPITAL","1993-06-18","2026-05-02","Per=Y","Days=T","Dir=V")</f>
        <v>0</v>
      </c>
      <c r="Y2">
        <f>BDH("DCI US Equity","SALES_REV_TURN","1993-06-18","2026-05-02","Per=Y","Days=T","Dir=V")</f>
        <v>0</v>
      </c>
      <c r="AA2">
        <f>BDH("DCI US Equity","EBIT","1993-06-18","2026-05-02","Per=Y","Days=T","Dir=V")</f>
        <v>0</v>
      </c>
      <c r="AC2">
        <f>BDH("DCI US Equity","EBITDA","1993-06-18","2026-05-02","Per=Y","Days=T","Dir=V")</f>
        <v>0</v>
      </c>
      <c r="AE2">
        <f>BDH("DCI US Equity","NET_INCOME","1993-06-18","2026-05-02","Per=Y","Days=T","Dir=V")</f>
        <v>0</v>
      </c>
      <c r="AG2">
        <f>BDH("DCI US Equity","IS_INT_EXPENSE","1993-06-18","2026-05-02","Per=Y","Days=T","Dir=V")</f>
        <v>0</v>
      </c>
      <c r="AI2">
        <f>BDH("DCI US Equity","IS_DEPR_EXP","1993-06-18","2026-05-02","Per=Y","Days=T","Dir=V")</f>
        <v>0</v>
      </c>
      <c r="AK2">
        <f>BDH("DCI US Equity","CF_CASH_FROM_OPER","1993-06-18","2026-05-02","Per=Y","Days=T","Dir=V")</f>
        <v>0</v>
      </c>
      <c r="AM2">
        <f>BDH("DCI US Equity","CAPITAL_EXPEND","1993-06-18","2026-05-02","Per=Y","Days=T","Dir=V")</f>
        <v>0</v>
      </c>
      <c r="AO2">
        <f>BDH("DCI US Equity","CF_FREE_CASH_FLOW","1993-06-18","2026-05-02","Per=Y","Days=T","Dir=V")</f>
        <v>0</v>
      </c>
      <c r="AQ2">
        <f>BDH("DCI US Equity","PX_LAST","1993-06-18","2026-05-02","Per=M","Days=T","Dir=V")</f>
        <v>0</v>
      </c>
      <c r="AS2">
        <f>BDH("DCI US Equity","CUR_MKT_CAP","1993-06-18","2026-05-02","Per=M","Days=T","Dir=V")</f>
        <v>0</v>
      </c>
      <c r="AU2">
        <f>BDH("DCI US Equity","EQY_SH_OUT","1993-06-18","2026-05-02","Per=M","Days=T","Dir=V")</f>
        <v>0</v>
      </c>
      <c r="AW2">
        <f>BDH("DCI US Equity","PX_VOLUME","1993-06-18","2026-05-02","Per=M","Days=T","Dir=V")</f>
        <v>0</v>
      </c>
      <c r="AY2">
        <f>BDH("DCI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BDH("DCO US Equity","BS_TOT_ASSET","1993-06-18","2026-05-02","Per=Y","Days=T","Dir=V")</f>
        <v>0</v>
      </c>
      <c r="C2">
        <f>BDH("DCO US Equity","BS_TOT_LIAB2","1993-06-18","2026-05-02","Per=Y","Days=T","Dir=V")</f>
        <v>0</v>
      </c>
      <c r="E2">
        <f>BDH("DCO US Equity","SHORT_AND_LONG_TERM_DEBT","1993-06-18","2026-05-02","Per=Y","Days=T","Dir=V")</f>
        <v>0</v>
      </c>
      <c r="G2">
        <f>BDH("DCO US Equity","BS_ST_BORROW","1993-06-18","2026-05-02","Per=Y","Days=T","Dir=V")</f>
        <v>0</v>
      </c>
      <c r="I2">
        <f>BDH("DCO US Equity","BS_LT_BORROW","1993-06-18","2026-05-02","Per=Y","Days=T","Dir=V")</f>
        <v>0</v>
      </c>
      <c r="K2">
        <f>BDH("DCO US Equity","BS_CASH_NEAR_CASH_ITEM","1993-06-18","2026-05-02","Per=Y","Days=T","Dir=V")</f>
        <v>0</v>
      </c>
      <c r="M2">
        <f>BDH("DCO US Equity","BS_CUR_ASSET_REPORT","1993-06-18","2026-05-02","Per=Y","Days=T","Dir=V")</f>
        <v>0</v>
      </c>
      <c r="O2">
        <f>BDH("DCO US Equity","BS_CUR_LIAB","1993-06-18","2026-05-02","Per=Y","Days=T","Dir=V")</f>
        <v>0</v>
      </c>
      <c r="Q2">
        <f>BDH("DCO US Equity","BS_SHAREHOLDER_EQY_ENDING_PERIOD","1993-06-18","2026-05-02","Per=Y","Days=T","Dir=V")</f>
        <v>0</v>
      </c>
      <c r="S2">
        <f>BDH("DCO US Equity","BS_ACCT_NOTE_RCV","1993-06-18","2026-05-02","Per=Y","Days=T","Dir=V")</f>
        <v>0</v>
      </c>
      <c r="U2">
        <f>BDH("DCO US Equity","BS_INVENTORIES","1993-06-18","2026-05-02","Per=Y","Days=T","Dir=V")</f>
        <v>0</v>
      </c>
      <c r="W2">
        <f>BDH("DCO US Equity","WORKING_CAPITAL","1993-06-18","2026-05-02","Per=Y","Days=T","Dir=V")</f>
        <v>0</v>
      </c>
      <c r="Y2">
        <f>BDH("DCO US Equity","SALES_REV_TURN","1993-06-18","2026-05-02","Per=Y","Days=T","Dir=V")</f>
        <v>0</v>
      </c>
      <c r="AA2">
        <f>BDH("DCO US Equity","EBIT","1993-06-18","2026-05-02","Per=Y","Days=T","Dir=V")</f>
        <v>0</v>
      </c>
      <c r="AC2">
        <f>BDH("DCO US Equity","EBITDA","1993-06-18","2026-05-02","Per=Y","Days=T","Dir=V")</f>
        <v>0</v>
      </c>
      <c r="AE2">
        <f>BDH("DCO US Equity","NET_INCOME","1993-06-18","2026-05-02","Per=Y","Days=T","Dir=V")</f>
        <v>0</v>
      </c>
      <c r="AG2">
        <f>BDH("DCO US Equity","IS_INT_EXPENSE","1993-06-18","2026-05-02","Per=Y","Days=T","Dir=V")</f>
        <v>0</v>
      </c>
      <c r="AI2">
        <f>BDH("DCO US Equity","IS_DEPR_EXP","1993-06-18","2026-05-02","Per=Y","Days=T","Dir=V")</f>
        <v>0</v>
      </c>
      <c r="AK2">
        <f>BDH("DCO US Equity","CF_CASH_FROM_OPER","1993-06-18","2026-05-02","Per=Y","Days=T","Dir=V")</f>
        <v>0</v>
      </c>
      <c r="AM2">
        <f>BDH("DCO US Equity","CAPITAL_EXPEND","1993-06-18","2026-05-02","Per=Y","Days=T","Dir=V")</f>
        <v>0</v>
      </c>
      <c r="AO2">
        <f>BDH("DCO US Equity","CF_FREE_CASH_FLOW","1993-06-18","2026-05-02","Per=Y","Days=T","Dir=V")</f>
        <v>0</v>
      </c>
      <c r="AQ2">
        <f>BDH("DCO US Equity","PX_LAST","1993-06-18","2026-05-02","Per=M","Days=T","Dir=V")</f>
        <v>0</v>
      </c>
      <c r="AS2">
        <f>BDH("DCO US Equity","CUR_MKT_CAP","1993-06-18","2026-05-02","Per=M","Days=T","Dir=V")</f>
        <v>0</v>
      </c>
      <c r="AU2">
        <f>BDH("DCO US Equity","EQY_SH_OUT","1993-06-18","2026-05-02","Per=M","Days=T","Dir=V")</f>
        <v>0</v>
      </c>
      <c r="AW2">
        <f>BDH("DCO US Equity","PX_VOLUME","1993-06-18","2026-05-02","Per=M","Days=T","Dir=V")</f>
        <v>0</v>
      </c>
      <c r="AY2">
        <f>BDH("DCO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BDH("DCOY US Equity","BS_TOT_ASSET","1993-06-18","2026-05-02","Per=Y","Days=T","Dir=V")</f>
        <v>0</v>
      </c>
      <c r="C2">
        <f>BDH("DCOY US Equity","BS_TOT_LIAB2","1993-06-18","2026-05-02","Per=Y","Days=T","Dir=V")</f>
        <v>0</v>
      </c>
      <c r="E2">
        <f>BDH("DCOY US Equity","SHORT_AND_LONG_TERM_DEBT","1993-06-18","2026-05-02","Per=Y","Days=T","Dir=V")</f>
        <v>0</v>
      </c>
      <c r="G2">
        <f>BDH("DCOY US Equity","BS_ST_BORROW","1993-06-18","2026-05-02","Per=Y","Days=T","Dir=V")</f>
        <v>0</v>
      </c>
      <c r="I2">
        <f>BDH("DCOY US Equity","BS_LT_BORROW","1993-06-18","2026-05-02","Per=Y","Days=T","Dir=V")</f>
        <v>0</v>
      </c>
      <c r="K2">
        <f>BDH("DCOY US Equity","BS_CASH_NEAR_CASH_ITEM","1993-06-18","2026-05-02","Per=Y","Days=T","Dir=V")</f>
        <v>0</v>
      </c>
      <c r="M2">
        <f>BDH("DCOY US Equity","BS_CUR_ASSET_REPORT","1993-06-18","2026-05-02","Per=Y","Days=T","Dir=V")</f>
        <v>0</v>
      </c>
      <c r="O2">
        <f>BDH("DCOY US Equity","BS_CUR_LIAB","1993-06-18","2026-05-02","Per=Y","Days=T","Dir=V")</f>
        <v>0</v>
      </c>
      <c r="Q2">
        <f>BDH("DCOY US Equity","BS_SHAREHOLDER_EQY_ENDING_PERIOD","1993-06-18","2026-05-02","Per=Y","Days=T","Dir=V")</f>
        <v>0</v>
      </c>
      <c r="S2">
        <f>BDH("DCOY US Equity","BS_ACCT_NOTE_RCV","1993-06-18","2026-05-02","Per=Y","Days=T","Dir=V")</f>
        <v>0</v>
      </c>
      <c r="U2">
        <f>BDH("DCOY US Equity","BS_INVENTORIES","1993-06-18","2026-05-02","Per=Y","Days=T","Dir=V")</f>
        <v>0</v>
      </c>
      <c r="W2">
        <f>BDH("DCOY US Equity","WORKING_CAPITAL","1993-06-18","2026-05-02","Per=Y","Days=T","Dir=V")</f>
        <v>0</v>
      </c>
      <c r="Y2">
        <f>BDH("DCOY US Equity","SALES_REV_TURN","1993-06-18","2026-05-02","Per=Y","Days=T","Dir=V")</f>
        <v>0</v>
      </c>
      <c r="AA2">
        <f>BDH("DCOY US Equity","EBIT","1993-06-18","2026-05-02","Per=Y","Days=T","Dir=V")</f>
        <v>0</v>
      </c>
      <c r="AC2">
        <f>BDH("DCOY US Equity","EBITDA","1993-06-18","2026-05-02","Per=Y","Days=T","Dir=V")</f>
        <v>0</v>
      </c>
      <c r="AE2">
        <f>BDH("DCOY US Equity","NET_INCOME","1993-06-18","2026-05-02","Per=Y","Days=T","Dir=V")</f>
        <v>0</v>
      </c>
      <c r="AG2">
        <f>BDH("DCOY US Equity","IS_INT_EXPENSE","1993-06-18","2026-05-02","Per=Y","Days=T","Dir=V")</f>
        <v>0</v>
      </c>
      <c r="AI2">
        <f>BDH("DCOY US Equity","IS_DEPR_EXP","1993-06-18","2026-05-02","Per=Y","Days=T","Dir=V")</f>
        <v>0</v>
      </c>
      <c r="AK2">
        <f>BDH("DCOY US Equity","CF_CASH_FROM_OPER","1993-06-18","2026-05-02","Per=Y","Days=T","Dir=V")</f>
        <v>0</v>
      </c>
      <c r="AM2">
        <f>BDH("DCOY US Equity","CAPITAL_EXPEND","1993-06-18","2026-05-02","Per=Y","Days=T","Dir=V")</f>
        <v>0</v>
      </c>
      <c r="AO2">
        <f>BDH("DCOY US Equity","CF_FREE_CASH_FLOW","1993-06-18","2026-05-02","Per=Y","Days=T","Dir=V")</f>
        <v>0</v>
      </c>
      <c r="AQ2">
        <f>BDH("DCOY US Equity","PX_LAST","1993-06-18","2026-05-02","Per=M","Days=T","Dir=V")</f>
        <v>0</v>
      </c>
      <c r="AS2">
        <f>BDH("DCOY US Equity","CUR_MKT_CAP","1993-06-18","2026-05-02","Per=M","Days=T","Dir=V")</f>
        <v>0</v>
      </c>
      <c r="AU2">
        <f>BDH("DCOY US Equity","EQY_SH_OUT","1993-06-18","2026-05-02","Per=M","Days=T","Dir=V")</f>
        <v>0</v>
      </c>
      <c r="AW2">
        <f>BDH("DCOY US Equity","PX_VOLUME","1993-06-18","2026-05-02","Per=M","Days=T","Dir=V")</f>
        <v>0</v>
      </c>
      <c r="AY2">
        <f>BDH("DCOY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BDH("DCTH US Equity","BS_TOT_ASSET","1993-06-18","2026-05-02","Per=Y","Days=T","Dir=V")</f>
        <v>0</v>
      </c>
      <c r="C2">
        <f>BDH("DCTH US Equity","BS_TOT_LIAB2","1993-06-18","2026-05-02","Per=Y","Days=T","Dir=V")</f>
        <v>0</v>
      </c>
      <c r="E2">
        <f>BDH("DCTH US Equity","SHORT_AND_LONG_TERM_DEBT","1993-06-18","2026-05-02","Per=Y","Days=T","Dir=V")</f>
        <v>0</v>
      </c>
      <c r="G2">
        <f>BDH("DCTH US Equity","BS_ST_BORROW","1993-06-18","2026-05-02","Per=Y","Days=T","Dir=V")</f>
        <v>0</v>
      </c>
      <c r="I2">
        <f>BDH("DCTH US Equity","BS_LT_BORROW","1993-06-18","2026-05-02","Per=Y","Days=T","Dir=V")</f>
        <v>0</v>
      </c>
      <c r="K2">
        <f>BDH("DCTH US Equity","BS_CASH_NEAR_CASH_ITEM","1993-06-18","2026-05-02","Per=Y","Days=T","Dir=V")</f>
        <v>0</v>
      </c>
      <c r="M2">
        <f>BDH("DCTH US Equity","BS_CUR_ASSET_REPORT","1993-06-18","2026-05-02","Per=Y","Days=T","Dir=V")</f>
        <v>0</v>
      </c>
      <c r="O2">
        <f>BDH("DCTH US Equity","BS_CUR_LIAB","1993-06-18","2026-05-02","Per=Y","Days=T","Dir=V")</f>
        <v>0</v>
      </c>
      <c r="Q2">
        <f>BDH("DCTH US Equity","BS_SHAREHOLDER_EQY_ENDING_PERIOD","1993-06-18","2026-05-02","Per=Y","Days=T","Dir=V")</f>
        <v>0</v>
      </c>
      <c r="S2">
        <f>BDH("DCTH US Equity","BS_ACCT_NOTE_RCV","1993-06-18","2026-05-02","Per=Y","Days=T","Dir=V")</f>
        <v>0</v>
      </c>
      <c r="U2">
        <f>BDH("DCTH US Equity","BS_INVENTORIES","1993-06-18","2026-05-02","Per=Y","Days=T","Dir=V")</f>
        <v>0</v>
      </c>
      <c r="W2">
        <f>BDH("DCTH US Equity","WORKING_CAPITAL","1993-06-18","2026-05-02","Per=Y","Days=T","Dir=V")</f>
        <v>0</v>
      </c>
      <c r="Y2">
        <f>BDH("DCTH US Equity","SALES_REV_TURN","1993-06-18","2026-05-02","Per=Y","Days=T","Dir=V")</f>
        <v>0</v>
      </c>
      <c r="AA2">
        <f>BDH("DCTH US Equity","EBIT","1993-06-18","2026-05-02","Per=Y","Days=T","Dir=V")</f>
        <v>0</v>
      </c>
      <c r="AC2">
        <f>BDH("DCTH US Equity","EBITDA","1993-06-18","2026-05-02","Per=Y","Days=T","Dir=V")</f>
        <v>0</v>
      </c>
      <c r="AE2">
        <f>BDH("DCTH US Equity","NET_INCOME","1993-06-18","2026-05-02","Per=Y","Days=T","Dir=V")</f>
        <v>0</v>
      </c>
      <c r="AG2">
        <f>BDH("DCTH US Equity","IS_INT_EXPENSE","1993-06-18","2026-05-02","Per=Y","Days=T","Dir=V")</f>
        <v>0</v>
      </c>
      <c r="AI2">
        <f>BDH("DCTH US Equity","IS_DEPR_EXP","1993-06-18","2026-05-02","Per=Y","Days=T","Dir=V")</f>
        <v>0</v>
      </c>
      <c r="AK2">
        <f>BDH("DCTH US Equity","CF_CASH_FROM_OPER","1993-06-18","2026-05-02","Per=Y","Days=T","Dir=V")</f>
        <v>0</v>
      </c>
      <c r="AM2">
        <f>BDH("DCTH US Equity","CAPITAL_EXPEND","1993-06-18","2026-05-02","Per=Y","Days=T","Dir=V")</f>
        <v>0</v>
      </c>
      <c r="AO2">
        <f>BDH("DCTH US Equity","CF_FREE_CASH_FLOW","1993-06-18","2026-05-02","Per=Y","Days=T","Dir=V")</f>
        <v>0</v>
      </c>
      <c r="AQ2">
        <f>BDH("DCTH US Equity","PX_LAST","1993-06-18","2026-05-02","Per=M","Days=T","Dir=V")</f>
        <v>0</v>
      </c>
      <c r="AS2">
        <f>BDH("DCTH US Equity","CUR_MKT_CAP","1993-06-18","2026-05-02","Per=M","Days=T","Dir=V")</f>
        <v>0</v>
      </c>
      <c r="AU2">
        <f>BDH("DCTH US Equity","EQY_SH_OUT","1993-06-18","2026-05-02","Per=M","Days=T","Dir=V")</f>
        <v>0</v>
      </c>
      <c r="AW2">
        <f>BDH("DCTH US Equity","PX_VOLUME","1993-06-18","2026-05-02","Per=M","Days=T","Dir=V")</f>
        <v>0</v>
      </c>
      <c r="AY2">
        <f>BDH("DCTH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BDH("DD US Equity","BS_TOT_ASSET","1993-06-18","2026-05-02","Per=Y","Days=T","Dir=V")</f>
        <v>0</v>
      </c>
      <c r="C2">
        <f>BDH("DD US Equity","BS_TOT_LIAB2","1993-06-18","2026-05-02","Per=Y","Days=T","Dir=V")</f>
        <v>0</v>
      </c>
      <c r="E2">
        <f>BDH("DD US Equity","SHORT_AND_LONG_TERM_DEBT","1993-06-18","2026-05-02","Per=Y","Days=T","Dir=V")</f>
        <v>0</v>
      </c>
      <c r="G2">
        <f>BDH("DD US Equity","BS_ST_BORROW","1993-06-18","2026-05-02","Per=Y","Days=T","Dir=V")</f>
        <v>0</v>
      </c>
      <c r="I2">
        <f>BDH("DD US Equity","BS_LT_BORROW","1993-06-18","2026-05-02","Per=Y","Days=T","Dir=V")</f>
        <v>0</v>
      </c>
      <c r="K2">
        <f>BDH("DD US Equity","BS_CASH_NEAR_CASH_ITEM","1993-06-18","2026-05-02","Per=Y","Days=T","Dir=V")</f>
        <v>0</v>
      </c>
      <c r="M2">
        <f>BDH("DD US Equity","BS_CUR_ASSET_REPORT","1993-06-18","2026-05-02","Per=Y","Days=T","Dir=V")</f>
        <v>0</v>
      </c>
      <c r="O2">
        <f>BDH("DD US Equity","BS_CUR_LIAB","1993-06-18","2026-05-02","Per=Y","Days=T","Dir=V")</f>
        <v>0</v>
      </c>
      <c r="Q2">
        <f>BDH("DD US Equity","BS_SHAREHOLDER_EQY_ENDING_PERIOD","1993-06-18","2026-05-02","Per=Y","Days=T","Dir=V")</f>
        <v>0</v>
      </c>
      <c r="S2">
        <f>BDH("DD US Equity","BS_ACCT_NOTE_RCV","1993-06-18","2026-05-02","Per=Y","Days=T","Dir=V")</f>
        <v>0</v>
      </c>
      <c r="U2">
        <f>BDH("DD US Equity","BS_INVENTORIES","1993-06-18","2026-05-02","Per=Y","Days=T","Dir=V")</f>
        <v>0</v>
      </c>
      <c r="W2">
        <f>BDH("DD US Equity","WORKING_CAPITAL","1993-06-18","2026-05-02","Per=Y","Days=T","Dir=V")</f>
        <v>0</v>
      </c>
      <c r="Y2">
        <f>BDH("DD US Equity","SALES_REV_TURN","1993-06-18","2026-05-02","Per=Y","Days=T","Dir=V")</f>
        <v>0</v>
      </c>
      <c r="AA2">
        <f>BDH("DD US Equity","EBIT","1993-06-18","2026-05-02","Per=Y","Days=T","Dir=V")</f>
        <v>0</v>
      </c>
      <c r="AC2">
        <f>BDH("DD US Equity","EBITDA","1993-06-18","2026-05-02","Per=Y","Days=T","Dir=V")</f>
        <v>0</v>
      </c>
      <c r="AE2">
        <f>BDH("DD US Equity","NET_INCOME","1993-06-18","2026-05-02","Per=Y","Days=T","Dir=V")</f>
        <v>0</v>
      </c>
      <c r="AG2">
        <f>BDH("DD US Equity","IS_INT_EXPENSE","1993-06-18","2026-05-02","Per=Y","Days=T","Dir=V")</f>
        <v>0</v>
      </c>
      <c r="AI2">
        <f>BDH("DD US Equity","IS_DEPR_EXP","1993-06-18","2026-05-02","Per=Y","Days=T","Dir=V")</f>
        <v>0</v>
      </c>
      <c r="AK2">
        <f>BDH("DD US Equity","CF_CASH_FROM_OPER","1993-06-18","2026-05-02","Per=Y","Days=T","Dir=V")</f>
        <v>0</v>
      </c>
      <c r="AM2">
        <f>BDH("DD US Equity","CAPITAL_EXPEND","1993-06-18","2026-05-02","Per=Y","Days=T","Dir=V")</f>
        <v>0</v>
      </c>
      <c r="AO2">
        <f>BDH("DD US Equity","CF_FREE_CASH_FLOW","1993-06-18","2026-05-02","Per=Y","Days=T","Dir=V")</f>
        <v>0</v>
      </c>
      <c r="AQ2">
        <f>BDH("DD US Equity","PX_LAST","1993-06-18","2026-05-02","Per=M","Days=T","Dir=V")</f>
        <v>0</v>
      </c>
      <c r="AS2">
        <f>BDH("DD US Equity","CUR_MKT_CAP","1993-06-18","2026-05-02","Per=M","Days=T","Dir=V")</f>
        <v>0</v>
      </c>
      <c r="AU2">
        <f>BDH("DD US Equity","EQY_SH_OUT","1993-06-18","2026-05-02","Per=M","Days=T","Dir=V")</f>
        <v>0</v>
      </c>
      <c r="AW2">
        <f>BDH("DD US Equity","PX_VOLUME","1993-06-18","2026-05-02","Per=M","Days=T","Dir=V")</f>
        <v>0</v>
      </c>
      <c r="AY2">
        <f>BDH("DD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BDH("DDD US Equity","BS_TOT_ASSET","1993-06-18","2026-05-02","Per=Y","Days=T","Dir=V")</f>
        <v>0</v>
      </c>
      <c r="C2">
        <f>BDH("DDD US Equity","BS_TOT_LIAB2","1993-06-18","2026-05-02","Per=Y","Days=T","Dir=V")</f>
        <v>0</v>
      </c>
      <c r="E2">
        <f>BDH("DDD US Equity","SHORT_AND_LONG_TERM_DEBT","1993-06-18","2026-05-02","Per=Y","Days=T","Dir=V")</f>
        <v>0</v>
      </c>
      <c r="G2">
        <f>BDH("DDD US Equity","BS_ST_BORROW","1993-06-18","2026-05-02","Per=Y","Days=T","Dir=V")</f>
        <v>0</v>
      </c>
      <c r="I2">
        <f>BDH("DDD US Equity","BS_LT_BORROW","1993-06-18","2026-05-02","Per=Y","Days=T","Dir=V")</f>
        <v>0</v>
      </c>
      <c r="K2">
        <f>BDH("DDD US Equity","BS_CASH_NEAR_CASH_ITEM","1993-06-18","2026-05-02","Per=Y","Days=T","Dir=V")</f>
        <v>0</v>
      </c>
      <c r="M2">
        <f>BDH("DDD US Equity","BS_CUR_ASSET_REPORT","1993-06-18","2026-05-02","Per=Y","Days=T","Dir=V")</f>
        <v>0</v>
      </c>
      <c r="O2">
        <f>BDH("DDD US Equity","BS_CUR_LIAB","1993-06-18","2026-05-02","Per=Y","Days=T","Dir=V")</f>
        <v>0</v>
      </c>
      <c r="Q2">
        <f>BDH("DDD US Equity","BS_SHAREHOLDER_EQY_ENDING_PERIOD","1993-06-18","2026-05-02","Per=Y","Days=T","Dir=V")</f>
        <v>0</v>
      </c>
      <c r="S2">
        <f>BDH("DDD US Equity","BS_ACCT_NOTE_RCV","1993-06-18","2026-05-02","Per=Y","Days=T","Dir=V")</f>
        <v>0</v>
      </c>
      <c r="U2">
        <f>BDH("DDD US Equity","BS_INVENTORIES","1993-06-18","2026-05-02","Per=Y","Days=T","Dir=V")</f>
        <v>0</v>
      </c>
      <c r="W2">
        <f>BDH("DDD US Equity","WORKING_CAPITAL","1993-06-18","2026-05-02","Per=Y","Days=T","Dir=V")</f>
        <v>0</v>
      </c>
      <c r="Y2">
        <f>BDH("DDD US Equity","SALES_REV_TURN","1993-06-18","2026-05-02","Per=Y","Days=T","Dir=V")</f>
        <v>0</v>
      </c>
      <c r="AA2">
        <f>BDH("DDD US Equity","EBIT","1993-06-18","2026-05-02","Per=Y","Days=T","Dir=V")</f>
        <v>0</v>
      </c>
      <c r="AC2">
        <f>BDH("DDD US Equity","EBITDA","1993-06-18","2026-05-02","Per=Y","Days=T","Dir=V")</f>
        <v>0</v>
      </c>
      <c r="AE2">
        <f>BDH("DDD US Equity","NET_INCOME","1993-06-18","2026-05-02","Per=Y","Days=T","Dir=V")</f>
        <v>0</v>
      </c>
      <c r="AG2">
        <f>BDH("DDD US Equity","IS_INT_EXPENSE","1993-06-18","2026-05-02","Per=Y","Days=T","Dir=V")</f>
        <v>0</v>
      </c>
      <c r="AI2">
        <f>BDH("DDD US Equity","IS_DEPR_EXP","1993-06-18","2026-05-02","Per=Y","Days=T","Dir=V")</f>
        <v>0</v>
      </c>
      <c r="AK2">
        <f>BDH("DDD US Equity","CF_CASH_FROM_OPER","1993-06-18","2026-05-02","Per=Y","Days=T","Dir=V")</f>
        <v>0</v>
      </c>
      <c r="AM2">
        <f>BDH("DDD US Equity","CAPITAL_EXPEND","1993-06-18","2026-05-02","Per=Y","Days=T","Dir=V")</f>
        <v>0</v>
      </c>
      <c r="AO2">
        <f>BDH("DDD US Equity","CF_FREE_CASH_FLOW","1993-06-18","2026-05-02","Per=Y","Days=T","Dir=V")</f>
        <v>0</v>
      </c>
      <c r="AQ2">
        <f>BDH("DDD US Equity","PX_LAST","1993-06-18","2026-05-02","Per=M","Days=T","Dir=V")</f>
        <v>0</v>
      </c>
      <c r="AS2">
        <f>BDH("DDD US Equity","CUR_MKT_CAP","1993-06-18","2026-05-02","Per=M","Days=T","Dir=V")</f>
        <v>0</v>
      </c>
      <c r="AU2">
        <f>BDH("DDD US Equity","EQY_SH_OUT","1993-06-18","2026-05-02","Per=M","Days=T","Dir=V")</f>
        <v>0</v>
      </c>
      <c r="AW2">
        <f>BDH("DDD US Equity","PX_VOLUME","1993-06-18","2026-05-02","Per=M","Days=T","Dir=V")</f>
        <v>0</v>
      </c>
      <c r="AY2">
        <f>BDH("DDD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BDH("DDOG US Equity","BS_TOT_ASSET","1993-06-18","2026-05-02","Per=Y","Days=T","Dir=V")</f>
        <v>0</v>
      </c>
      <c r="C2">
        <f>BDH("DDOG US Equity","BS_TOT_LIAB2","1993-06-18","2026-05-02","Per=Y","Days=T","Dir=V")</f>
        <v>0</v>
      </c>
      <c r="E2">
        <f>BDH("DDOG US Equity","SHORT_AND_LONG_TERM_DEBT","1993-06-18","2026-05-02","Per=Y","Days=T","Dir=V")</f>
        <v>0</v>
      </c>
      <c r="G2">
        <f>BDH("DDOG US Equity","BS_ST_BORROW","1993-06-18","2026-05-02","Per=Y","Days=T","Dir=V")</f>
        <v>0</v>
      </c>
      <c r="I2">
        <f>BDH("DDOG US Equity","BS_LT_BORROW","1993-06-18","2026-05-02","Per=Y","Days=T","Dir=V")</f>
        <v>0</v>
      </c>
      <c r="K2">
        <f>BDH("DDOG US Equity","BS_CASH_NEAR_CASH_ITEM","1993-06-18","2026-05-02","Per=Y","Days=T","Dir=V")</f>
        <v>0</v>
      </c>
      <c r="M2">
        <f>BDH("DDOG US Equity","BS_CUR_ASSET_REPORT","1993-06-18","2026-05-02","Per=Y","Days=T","Dir=V")</f>
        <v>0</v>
      </c>
      <c r="O2">
        <f>BDH("DDOG US Equity","BS_CUR_LIAB","1993-06-18","2026-05-02","Per=Y","Days=T","Dir=V")</f>
        <v>0</v>
      </c>
      <c r="Q2">
        <f>BDH("DDOG US Equity","BS_SHAREHOLDER_EQY_ENDING_PERIOD","1993-06-18","2026-05-02","Per=Y","Days=T","Dir=V")</f>
        <v>0</v>
      </c>
      <c r="S2">
        <f>BDH("DDOG US Equity","BS_ACCT_NOTE_RCV","1993-06-18","2026-05-02","Per=Y","Days=T","Dir=V")</f>
        <v>0</v>
      </c>
      <c r="U2">
        <f>BDH("DDOG US Equity","BS_INVENTORIES","1993-06-18","2026-05-02","Per=Y","Days=T","Dir=V")</f>
        <v>0</v>
      </c>
      <c r="W2">
        <f>BDH("DDOG US Equity","WORKING_CAPITAL","1993-06-18","2026-05-02","Per=Y","Days=T","Dir=V")</f>
        <v>0</v>
      </c>
      <c r="Y2">
        <f>BDH("DDOG US Equity","SALES_REV_TURN","1993-06-18","2026-05-02","Per=Y","Days=T","Dir=V")</f>
        <v>0</v>
      </c>
      <c r="AA2">
        <f>BDH("DDOG US Equity","EBIT","1993-06-18","2026-05-02","Per=Y","Days=T","Dir=V")</f>
        <v>0</v>
      </c>
      <c r="AC2">
        <f>BDH("DDOG US Equity","EBITDA","1993-06-18","2026-05-02","Per=Y","Days=T","Dir=V")</f>
        <v>0</v>
      </c>
      <c r="AE2">
        <f>BDH("DDOG US Equity","NET_INCOME","1993-06-18","2026-05-02","Per=Y","Days=T","Dir=V")</f>
        <v>0</v>
      </c>
      <c r="AG2">
        <f>BDH("DDOG US Equity","IS_INT_EXPENSE","1993-06-18","2026-05-02","Per=Y","Days=T","Dir=V")</f>
        <v>0</v>
      </c>
      <c r="AI2">
        <f>BDH("DDOG US Equity","IS_DEPR_EXP","1993-06-18","2026-05-02","Per=Y","Days=T","Dir=V")</f>
        <v>0</v>
      </c>
      <c r="AK2">
        <f>BDH("DDOG US Equity","CF_CASH_FROM_OPER","1993-06-18","2026-05-02","Per=Y","Days=T","Dir=V")</f>
        <v>0</v>
      </c>
      <c r="AM2">
        <f>BDH("DDOG US Equity","CAPITAL_EXPEND","1993-06-18","2026-05-02","Per=Y","Days=T","Dir=V")</f>
        <v>0</v>
      </c>
      <c r="AO2">
        <f>BDH("DDOG US Equity","CF_FREE_CASH_FLOW","1993-06-18","2026-05-02","Per=Y","Days=T","Dir=V")</f>
        <v>0</v>
      </c>
      <c r="AQ2">
        <f>BDH("DDOG US Equity","PX_LAST","1993-06-18","2026-05-02","Per=M","Days=T","Dir=V")</f>
        <v>0</v>
      </c>
      <c r="AS2">
        <f>BDH("DDOG US Equity","CUR_MKT_CAP","1993-06-18","2026-05-02","Per=M","Days=T","Dir=V")</f>
        <v>0</v>
      </c>
      <c r="AU2">
        <f>BDH("DDOG US Equity","EQY_SH_OUT","1993-06-18","2026-05-02","Per=M","Days=T","Dir=V")</f>
        <v>0</v>
      </c>
      <c r="AW2">
        <f>BDH("DDOG US Equity","PX_VOLUME","1993-06-18","2026-05-02","Per=M","Days=T","Dir=V")</f>
        <v>0</v>
      </c>
      <c r="AY2">
        <f>BDH("DDOG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BDH("DDS US Equity","BS_TOT_ASSET","1993-06-18","2026-05-02","Per=Y","Days=T","Dir=V")</f>
        <v>0</v>
      </c>
      <c r="C2">
        <f>BDH("DDS US Equity","BS_TOT_LIAB2","1993-06-18","2026-05-02","Per=Y","Days=T","Dir=V")</f>
        <v>0</v>
      </c>
      <c r="E2">
        <f>BDH("DDS US Equity","SHORT_AND_LONG_TERM_DEBT","1993-06-18","2026-05-02","Per=Y","Days=T","Dir=V")</f>
        <v>0</v>
      </c>
      <c r="G2">
        <f>BDH("DDS US Equity","BS_ST_BORROW","1993-06-18","2026-05-02","Per=Y","Days=T","Dir=V")</f>
        <v>0</v>
      </c>
      <c r="I2">
        <f>BDH("DDS US Equity","BS_LT_BORROW","1993-06-18","2026-05-02","Per=Y","Days=T","Dir=V")</f>
        <v>0</v>
      </c>
      <c r="K2">
        <f>BDH("DDS US Equity","BS_CASH_NEAR_CASH_ITEM","1993-06-18","2026-05-02","Per=Y","Days=T","Dir=V")</f>
        <v>0</v>
      </c>
      <c r="M2">
        <f>BDH("DDS US Equity","BS_CUR_ASSET_REPORT","1993-06-18","2026-05-02","Per=Y","Days=T","Dir=V")</f>
        <v>0</v>
      </c>
      <c r="O2">
        <f>BDH("DDS US Equity","BS_CUR_LIAB","1993-06-18","2026-05-02","Per=Y","Days=T","Dir=V")</f>
        <v>0</v>
      </c>
      <c r="Q2">
        <f>BDH("DDS US Equity","BS_SHAREHOLDER_EQY_ENDING_PERIOD","1993-06-18","2026-05-02","Per=Y","Days=T","Dir=V")</f>
        <v>0</v>
      </c>
      <c r="S2">
        <f>BDH("DDS US Equity","BS_ACCT_NOTE_RCV","1993-06-18","2026-05-02","Per=Y","Days=T","Dir=V")</f>
        <v>0</v>
      </c>
      <c r="U2">
        <f>BDH("DDS US Equity","BS_INVENTORIES","1993-06-18","2026-05-02","Per=Y","Days=T","Dir=V")</f>
        <v>0</v>
      </c>
      <c r="W2">
        <f>BDH("DDS US Equity","WORKING_CAPITAL","1993-06-18","2026-05-02","Per=Y","Days=T","Dir=V")</f>
        <v>0</v>
      </c>
      <c r="Y2">
        <f>BDH("DDS US Equity","SALES_REV_TURN","1993-06-18","2026-05-02","Per=Y","Days=T","Dir=V")</f>
        <v>0</v>
      </c>
      <c r="AA2">
        <f>BDH("DDS US Equity","EBIT","1993-06-18","2026-05-02","Per=Y","Days=T","Dir=V")</f>
        <v>0</v>
      </c>
      <c r="AC2">
        <f>BDH("DDS US Equity","EBITDA","1993-06-18","2026-05-02","Per=Y","Days=T","Dir=V")</f>
        <v>0</v>
      </c>
      <c r="AE2">
        <f>BDH("DDS US Equity","NET_INCOME","1993-06-18","2026-05-02","Per=Y","Days=T","Dir=V")</f>
        <v>0</v>
      </c>
      <c r="AG2">
        <f>BDH("DDS US Equity","IS_INT_EXPENSE","1993-06-18","2026-05-02","Per=Y","Days=T","Dir=V")</f>
        <v>0</v>
      </c>
      <c r="AI2">
        <f>BDH("DDS US Equity","IS_DEPR_EXP","1993-06-18","2026-05-02","Per=Y","Days=T","Dir=V")</f>
        <v>0</v>
      </c>
      <c r="AK2">
        <f>BDH("DDS US Equity","CF_CASH_FROM_OPER","1993-06-18","2026-05-02","Per=Y","Days=T","Dir=V")</f>
        <v>0</v>
      </c>
      <c r="AM2">
        <f>BDH("DDS US Equity","CAPITAL_EXPEND","1993-06-18","2026-05-02","Per=Y","Days=T","Dir=V")</f>
        <v>0</v>
      </c>
      <c r="AO2">
        <f>BDH("DDS US Equity","CF_FREE_CASH_FLOW","1993-06-18","2026-05-02","Per=Y","Days=T","Dir=V")</f>
        <v>0</v>
      </c>
      <c r="AQ2">
        <f>BDH("DDS US Equity","PX_LAST","1993-06-18","2026-05-02","Per=M","Days=T","Dir=V")</f>
        <v>0</v>
      </c>
      <c r="AS2">
        <f>BDH("DDS US Equity","CUR_MKT_CAP","1993-06-18","2026-05-02","Per=M","Days=T","Dir=V")</f>
        <v>0</v>
      </c>
      <c r="AU2">
        <f>BDH("DDS US Equity","EQY_SH_OUT","1993-06-18","2026-05-02","Per=M","Days=T","Dir=V")</f>
        <v>0</v>
      </c>
      <c r="AW2">
        <f>BDH("DDS US Equity","PX_VOLUME","1993-06-18","2026-05-02","Per=M","Days=T","Dir=V")</f>
        <v>0</v>
      </c>
      <c r="AY2">
        <f>BDH("DDS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BDH("DDT US Equity","BS_TOT_ASSET","1993-06-18","2026-05-02","Per=Y","Days=T","Dir=V")</f>
        <v>0</v>
      </c>
      <c r="C2">
        <f>BDH("DDT US Equity","BS_TOT_LIAB2","1993-06-18","2026-05-02","Per=Y","Days=T","Dir=V")</f>
        <v>0</v>
      </c>
      <c r="E2">
        <f>BDH("DDT US Equity","SHORT_AND_LONG_TERM_DEBT","1993-06-18","2026-05-02","Per=Y","Days=T","Dir=V")</f>
        <v>0</v>
      </c>
      <c r="G2">
        <f>BDH("DDT US Equity","BS_ST_BORROW","1993-06-18","2026-05-02","Per=Y","Days=T","Dir=V")</f>
        <v>0</v>
      </c>
      <c r="I2">
        <f>BDH("DDT US Equity","BS_LT_BORROW","1993-06-18","2026-05-02","Per=Y","Days=T","Dir=V")</f>
        <v>0</v>
      </c>
      <c r="K2">
        <f>BDH("DDT US Equity","BS_CASH_NEAR_CASH_ITEM","1993-06-18","2026-05-02","Per=Y","Days=T","Dir=V")</f>
        <v>0</v>
      </c>
      <c r="M2">
        <f>BDH("DDT US Equity","BS_CUR_ASSET_REPORT","1993-06-18","2026-05-02","Per=Y","Days=T","Dir=V")</f>
        <v>0</v>
      </c>
      <c r="O2">
        <f>BDH("DDT US Equity","BS_CUR_LIAB","1993-06-18","2026-05-02","Per=Y","Days=T","Dir=V")</f>
        <v>0</v>
      </c>
      <c r="Q2">
        <f>BDH("DDT US Equity","BS_SHAREHOLDER_EQY_ENDING_PERIOD","1993-06-18","2026-05-02","Per=Y","Days=T","Dir=V")</f>
        <v>0</v>
      </c>
      <c r="S2">
        <f>BDH("DDT US Equity","BS_ACCT_NOTE_RCV","1993-06-18","2026-05-02","Per=Y","Days=T","Dir=V")</f>
        <v>0</v>
      </c>
      <c r="U2">
        <f>BDH("DDT US Equity","BS_INVENTORIES","1993-06-18","2026-05-02","Per=Y","Days=T","Dir=V")</f>
        <v>0</v>
      </c>
      <c r="W2">
        <f>BDH("DDT US Equity","WORKING_CAPITAL","1993-06-18","2026-05-02","Per=Y","Days=T","Dir=V")</f>
        <v>0</v>
      </c>
      <c r="Y2">
        <f>BDH("DDT US Equity","SALES_REV_TURN","1993-06-18","2026-05-02","Per=Y","Days=T","Dir=V")</f>
        <v>0</v>
      </c>
      <c r="AA2">
        <f>BDH("DDT US Equity","EBIT","1993-06-18","2026-05-02","Per=Y","Days=T","Dir=V")</f>
        <v>0</v>
      </c>
      <c r="AC2">
        <f>BDH("DDT US Equity","EBITDA","1993-06-18","2026-05-02","Per=Y","Days=T","Dir=V")</f>
        <v>0</v>
      </c>
      <c r="AE2">
        <f>BDH("DDT US Equity","NET_INCOME","1993-06-18","2026-05-02","Per=Y","Days=T","Dir=V")</f>
        <v>0</v>
      </c>
      <c r="AG2">
        <f>BDH("DDT US Equity","IS_INT_EXPENSE","1993-06-18","2026-05-02","Per=Y","Days=T","Dir=V")</f>
        <v>0</v>
      </c>
      <c r="AI2">
        <f>BDH("DDT US Equity","IS_DEPR_EXP","1993-06-18","2026-05-02","Per=Y","Days=T","Dir=V")</f>
        <v>0</v>
      </c>
      <c r="AK2">
        <f>BDH("DDT US Equity","CF_CASH_FROM_OPER","1993-06-18","2026-05-02","Per=Y","Days=T","Dir=V")</f>
        <v>0</v>
      </c>
      <c r="AM2">
        <f>BDH("DDT US Equity","CAPITAL_EXPEND","1993-06-18","2026-05-02","Per=Y","Days=T","Dir=V")</f>
        <v>0</v>
      </c>
      <c r="AO2">
        <f>BDH("DDT US Equity","CF_FREE_CASH_FLOW","1993-06-18","2026-05-02","Per=Y","Days=T","Dir=V")</f>
        <v>0</v>
      </c>
      <c r="AQ2">
        <f>BDH("DDT US Equity","PX_LAST","1993-06-18","2026-05-02","Per=M","Days=T","Dir=V")</f>
        <v>0</v>
      </c>
      <c r="AS2">
        <f>BDH("DDT US Equity","CUR_MKT_CAP","1993-06-18","2026-05-02","Per=M","Days=T","Dir=V")</f>
        <v>0</v>
      </c>
      <c r="AU2">
        <f>BDH("DDT US Equity","EQY_SH_OUT","1993-06-18","2026-05-02","Per=M","Days=T","Dir=V")</f>
        <v>0</v>
      </c>
      <c r="AW2">
        <f>BDH("DDT US Equity","PX_VOLUME","1993-06-18","2026-05-02","Per=M","Days=T","Dir=V")</f>
        <v>0</v>
      </c>
      <c r="AY2">
        <f>BDH("DDT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BDH("DE US Equity","BS_TOT_ASSET","1993-06-18","2026-05-02","Per=Y","Days=T","Dir=V")</f>
        <v>0</v>
      </c>
      <c r="C2">
        <f>BDH("DE US Equity","BS_TOT_LIAB2","1993-06-18","2026-05-02","Per=Y","Days=T","Dir=V")</f>
        <v>0</v>
      </c>
      <c r="E2">
        <f>BDH("DE US Equity","SHORT_AND_LONG_TERM_DEBT","1993-06-18","2026-05-02","Per=Y","Days=T","Dir=V")</f>
        <v>0</v>
      </c>
      <c r="G2">
        <f>BDH("DE US Equity","BS_ST_BORROW","1993-06-18","2026-05-02","Per=Y","Days=T","Dir=V")</f>
        <v>0</v>
      </c>
      <c r="I2">
        <f>BDH("DE US Equity","BS_LT_BORROW","1993-06-18","2026-05-02","Per=Y","Days=T","Dir=V")</f>
        <v>0</v>
      </c>
      <c r="K2">
        <f>BDH("DE US Equity","BS_CASH_NEAR_CASH_ITEM","1993-06-18","2026-05-02","Per=Y","Days=T","Dir=V")</f>
        <v>0</v>
      </c>
      <c r="M2">
        <f>BDH("DE US Equity","BS_CUR_ASSET_REPORT","1993-06-18","2026-05-02","Per=Y","Days=T","Dir=V")</f>
        <v>0</v>
      </c>
      <c r="O2">
        <f>BDH("DE US Equity","BS_CUR_LIAB","1993-06-18","2026-05-02","Per=Y","Days=T","Dir=V")</f>
        <v>0</v>
      </c>
      <c r="Q2">
        <f>BDH("DE US Equity","BS_SHAREHOLDER_EQY_ENDING_PERIOD","1993-06-18","2026-05-02","Per=Y","Days=T","Dir=V")</f>
        <v>0</v>
      </c>
      <c r="S2">
        <f>BDH("DE US Equity","BS_ACCT_NOTE_RCV","1993-06-18","2026-05-02","Per=Y","Days=T","Dir=V")</f>
        <v>0</v>
      </c>
      <c r="U2">
        <f>BDH("DE US Equity","BS_INVENTORIES","1993-06-18","2026-05-02","Per=Y","Days=T","Dir=V")</f>
        <v>0</v>
      </c>
      <c r="W2">
        <f>BDH("DE US Equity","WORKING_CAPITAL","1993-06-18","2026-05-02","Per=Y","Days=T","Dir=V")</f>
        <v>0</v>
      </c>
      <c r="Y2">
        <f>BDH("DE US Equity","SALES_REV_TURN","1993-06-18","2026-05-02","Per=Y","Days=T","Dir=V")</f>
        <v>0</v>
      </c>
      <c r="AA2">
        <f>BDH("DE US Equity","EBIT","1993-06-18","2026-05-02","Per=Y","Days=T","Dir=V")</f>
        <v>0</v>
      </c>
      <c r="AC2">
        <f>BDH("DE US Equity","EBITDA","1993-06-18","2026-05-02","Per=Y","Days=T","Dir=V")</f>
        <v>0</v>
      </c>
      <c r="AE2">
        <f>BDH("DE US Equity","NET_INCOME","1993-06-18","2026-05-02","Per=Y","Days=T","Dir=V")</f>
        <v>0</v>
      </c>
      <c r="AG2">
        <f>BDH("DE US Equity","IS_INT_EXPENSE","1993-06-18","2026-05-02","Per=Y","Days=T","Dir=V")</f>
        <v>0</v>
      </c>
      <c r="AI2">
        <f>BDH("DE US Equity","IS_DEPR_EXP","1993-06-18","2026-05-02","Per=Y","Days=T","Dir=V")</f>
        <v>0</v>
      </c>
      <c r="AK2">
        <f>BDH("DE US Equity","CF_CASH_FROM_OPER","1993-06-18","2026-05-02","Per=Y","Days=T","Dir=V")</f>
        <v>0</v>
      </c>
      <c r="AM2">
        <f>BDH("DE US Equity","CAPITAL_EXPEND","1993-06-18","2026-05-02","Per=Y","Days=T","Dir=V")</f>
        <v>0</v>
      </c>
      <c r="AO2">
        <f>BDH("DE US Equity","CF_FREE_CASH_FLOW","1993-06-18","2026-05-02","Per=Y","Days=T","Dir=V")</f>
        <v>0</v>
      </c>
      <c r="AQ2">
        <f>BDH("DE US Equity","PX_LAST","1993-06-18","2026-05-02","Per=M","Days=T","Dir=V")</f>
        <v>0</v>
      </c>
      <c r="AS2">
        <f>BDH("DE US Equity","CUR_MKT_CAP","1993-06-18","2026-05-02","Per=M","Days=T","Dir=V")</f>
        <v>0</v>
      </c>
      <c r="AU2">
        <f>BDH("DE US Equity","EQY_SH_OUT","1993-06-18","2026-05-02","Per=M","Days=T","Dir=V")</f>
        <v>0</v>
      </c>
      <c r="AW2">
        <f>BDH("DE US Equity","PX_VOLUME","1993-06-18","2026-05-02","Per=M","Days=T","Dir=V")</f>
        <v>0</v>
      </c>
      <c r="AY2">
        <f>BDH("DE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BDH("DECK US Equity","BS_TOT_ASSET","1993-06-18","2026-05-02","Per=Y","Days=T","Dir=V")</f>
        <v>0</v>
      </c>
      <c r="C2">
        <f>BDH("DECK US Equity","BS_TOT_LIAB2","1993-06-18","2026-05-02","Per=Y","Days=T","Dir=V")</f>
        <v>0</v>
      </c>
      <c r="E2">
        <f>BDH("DECK US Equity","SHORT_AND_LONG_TERM_DEBT","1993-06-18","2026-05-02","Per=Y","Days=T","Dir=V")</f>
        <v>0</v>
      </c>
      <c r="G2">
        <f>BDH("DECK US Equity","BS_ST_BORROW","1993-06-18","2026-05-02","Per=Y","Days=T","Dir=V")</f>
        <v>0</v>
      </c>
      <c r="I2">
        <f>BDH("DECK US Equity","BS_LT_BORROW","1993-06-18","2026-05-02","Per=Y","Days=T","Dir=V")</f>
        <v>0</v>
      </c>
      <c r="K2">
        <f>BDH("DECK US Equity","BS_CASH_NEAR_CASH_ITEM","1993-06-18","2026-05-02","Per=Y","Days=T","Dir=V")</f>
        <v>0</v>
      </c>
      <c r="M2">
        <f>BDH("DECK US Equity","BS_CUR_ASSET_REPORT","1993-06-18","2026-05-02","Per=Y","Days=T","Dir=V")</f>
        <v>0</v>
      </c>
      <c r="O2">
        <f>BDH("DECK US Equity","BS_CUR_LIAB","1993-06-18","2026-05-02","Per=Y","Days=T","Dir=V")</f>
        <v>0</v>
      </c>
      <c r="Q2">
        <f>BDH("DECK US Equity","BS_SHAREHOLDER_EQY_ENDING_PERIOD","1993-06-18","2026-05-02","Per=Y","Days=T","Dir=V")</f>
        <v>0</v>
      </c>
      <c r="S2">
        <f>BDH("DECK US Equity","BS_ACCT_NOTE_RCV","1993-06-18","2026-05-02","Per=Y","Days=T","Dir=V")</f>
        <v>0</v>
      </c>
      <c r="U2">
        <f>BDH("DECK US Equity","BS_INVENTORIES","1993-06-18","2026-05-02","Per=Y","Days=T","Dir=V")</f>
        <v>0</v>
      </c>
      <c r="W2">
        <f>BDH("DECK US Equity","WORKING_CAPITAL","1993-06-18","2026-05-02","Per=Y","Days=T","Dir=V")</f>
        <v>0</v>
      </c>
      <c r="Y2">
        <f>BDH("DECK US Equity","SALES_REV_TURN","1993-06-18","2026-05-02","Per=Y","Days=T","Dir=V")</f>
        <v>0</v>
      </c>
      <c r="AA2">
        <f>BDH("DECK US Equity","EBIT","1993-06-18","2026-05-02","Per=Y","Days=T","Dir=V")</f>
        <v>0</v>
      </c>
      <c r="AC2">
        <f>BDH("DECK US Equity","EBITDA","1993-06-18","2026-05-02","Per=Y","Days=T","Dir=V")</f>
        <v>0</v>
      </c>
      <c r="AE2">
        <f>BDH("DECK US Equity","NET_INCOME","1993-06-18","2026-05-02","Per=Y","Days=T","Dir=V")</f>
        <v>0</v>
      </c>
      <c r="AG2">
        <f>BDH("DECK US Equity","IS_INT_EXPENSE","1993-06-18","2026-05-02","Per=Y","Days=T","Dir=V")</f>
        <v>0</v>
      </c>
      <c r="AI2">
        <f>BDH("DECK US Equity","IS_DEPR_EXP","1993-06-18","2026-05-02","Per=Y","Days=T","Dir=V")</f>
        <v>0</v>
      </c>
      <c r="AK2">
        <f>BDH("DECK US Equity","CF_CASH_FROM_OPER","1993-06-18","2026-05-02","Per=Y","Days=T","Dir=V")</f>
        <v>0</v>
      </c>
      <c r="AM2">
        <f>BDH("DECK US Equity","CAPITAL_EXPEND","1993-06-18","2026-05-02","Per=Y","Days=T","Dir=V")</f>
        <v>0</v>
      </c>
      <c r="AO2">
        <f>BDH("DECK US Equity","CF_FREE_CASH_FLOW","1993-06-18","2026-05-02","Per=Y","Days=T","Dir=V")</f>
        <v>0</v>
      </c>
      <c r="AQ2">
        <f>BDH("DECK US Equity","PX_LAST","1993-06-18","2026-05-02","Per=M","Days=T","Dir=V")</f>
        <v>0</v>
      </c>
      <c r="AS2">
        <f>BDH("DECK US Equity","CUR_MKT_CAP","1993-06-18","2026-05-02","Per=M","Days=T","Dir=V")</f>
        <v>0</v>
      </c>
      <c r="AU2">
        <f>BDH("DECK US Equity","EQY_SH_OUT","1993-06-18","2026-05-02","Per=M","Days=T","Dir=V")</f>
        <v>0</v>
      </c>
      <c r="AW2">
        <f>BDH("DECK US Equity","PX_VOLUME","1993-06-18","2026-05-02","Per=M","Days=T","Dir=V")</f>
        <v>0</v>
      </c>
      <c r="AY2">
        <f>BDH("DECK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BDH("DELL US Equity","BS_TOT_ASSET","1993-06-18","2026-05-02","Per=Y","Days=T","Dir=V")</f>
        <v>0</v>
      </c>
      <c r="C2">
        <f>BDH("DELL US Equity","BS_TOT_LIAB2","1993-06-18","2026-05-02","Per=Y","Days=T","Dir=V")</f>
        <v>0</v>
      </c>
      <c r="E2">
        <f>BDH("DELL US Equity","SHORT_AND_LONG_TERM_DEBT","1993-06-18","2026-05-02","Per=Y","Days=T","Dir=V")</f>
        <v>0</v>
      </c>
      <c r="G2">
        <f>BDH("DELL US Equity","BS_ST_BORROW","1993-06-18","2026-05-02","Per=Y","Days=T","Dir=V")</f>
        <v>0</v>
      </c>
      <c r="I2">
        <f>BDH("DELL US Equity","BS_LT_BORROW","1993-06-18","2026-05-02","Per=Y","Days=T","Dir=V")</f>
        <v>0</v>
      </c>
      <c r="K2">
        <f>BDH("DELL US Equity","BS_CASH_NEAR_CASH_ITEM","1993-06-18","2026-05-02","Per=Y","Days=T","Dir=V")</f>
        <v>0</v>
      </c>
      <c r="M2">
        <f>BDH("DELL US Equity","BS_CUR_ASSET_REPORT","1993-06-18","2026-05-02","Per=Y","Days=T","Dir=V")</f>
        <v>0</v>
      </c>
      <c r="O2">
        <f>BDH("DELL US Equity","BS_CUR_LIAB","1993-06-18","2026-05-02","Per=Y","Days=T","Dir=V")</f>
        <v>0</v>
      </c>
      <c r="Q2">
        <f>BDH("DELL US Equity","BS_SHAREHOLDER_EQY_ENDING_PERIOD","1993-06-18","2026-05-02","Per=Y","Days=T","Dir=V")</f>
        <v>0</v>
      </c>
      <c r="S2">
        <f>BDH("DELL US Equity","BS_ACCT_NOTE_RCV","1993-06-18","2026-05-02","Per=Y","Days=T","Dir=V")</f>
        <v>0</v>
      </c>
      <c r="U2">
        <f>BDH("DELL US Equity","BS_INVENTORIES","1993-06-18","2026-05-02","Per=Y","Days=T","Dir=V")</f>
        <v>0</v>
      </c>
      <c r="W2">
        <f>BDH("DELL US Equity","WORKING_CAPITAL","1993-06-18","2026-05-02","Per=Y","Days=T","Dir=V")</f>
        <v>0</v>
      </c>
      <c r="Y2">
        <f>BDH("DELL US Equity","SALES_REV_TURN","1993-06-18","2026-05-02","Per=Y","Days=T","Dir=V")</f>
        <v>0</v>
      </c>
      <c r="AA2">
        <f>BDH("DELL US Equity","EBIT","1993-06-18","2026-05-02","Per=Y","Days=T","Dir=V")</f>
        <v>0</v>
      </c>
      <c r="AC2">
        <f>BDH("DELL US Equity","EBITDA","1993-06-18","2026-05-02","Per=Y","Days=T","Dir=V")</f>
        <v>0</v>
      </c>
      <c r="AE2">
        <f>BDH("DELL US Equity","NET_INCOME","1993-06-18","2026-05-02","Per=Y","Days=T","Dir=V")</f>
        <v>0</v>
      </c>
      <c r="AG2">
        <f>BDH("DELL US Equity","IS_INT_EXPENSE","1993-06-18","2026-05-02","Per=Y","Days=T","Dir=V")</f>
        <v>0</v>
      </c>
      <c r="AI2">
        <f>BDH("DELL US Equity","IS_DEPR_EXP","1993-06-18","2026-05-02","Per=Y","Days=T","Dir=V")</f>
        <v>0</v>
      </c>
      <c r="AK2">
        <f>BDH("DELL US Equity","CF_CASH_FROM_OPER","1993-06-18","2026-05-02","Per=Y","Days=T","Dir=V")</f>
        <v>0</v>
      </c>
      <c r="AM2">
        <f>BDH("DELL US Equity","CAPITAL_EXPEND","1993-06-18","2026-05-02","Per=Y","Days=T","Dir=V")</f>
        <v>0</v>
      </c>
      <c r="AO2">
        <f>BDH("DELL US Equity","CF_FREE_CASH_FLOW","1993-06-18","2026-05-02","Per=Y","Days=T","Dir=V")</f>
        <v>0</v>
      </c>
      <c r="AQ2">
        <f>BDH("DELL US Equity","PX_LAST","1993-06-18","2026-05-02","Per=M","Days=T","Dir=V")</f>
        <v>0</v>
      </c>
      <c r="AS2">
        <f>BDH("DELL US Equity","CUR_MKT_CAP","1993-06-18","2026-05-02","Per=M","Days=T","Dir=V")</f>
        <v>0</v>
      </c>
      <c r="AU2">
        <f>BDH("DELL US Equity","EQY_SH_OUT","1993-06-18","2026-05-02","Per=M","Days=T","Dir=V")</f>
        <v>0</v>
      </c>
      <c r="AW2">
        <f>BDH("DELL US Equity","PX_VOLUME","1993-06-18","2026-05-02","Per=M","Days=T","Dir=V")</f>
        <v>0</v>
      </c>
      <c r="AY2">
        <f>BDH("DELL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BDH("DERM US Equity","BS_TOT_ASSET","1993-06-18","2026-05-02","Per=Y","Days=T","Dir=V")</f>
        <v>0</v>
      </c>
      <c r="C2">
        <f>BDH("DERM US Equity","BS_TOT_LIAB2","1993-06-18","2026-05-02","Per=Y","Days=T","Dir=V")</f>
        <v>0</v>
      </c>
      <c r="E2">
        <f>BDH("DERM US Equity","SHORT_AND_LONG_TERM_DEBT","1993-06-18","2026-05-02","Per=Y","Days=T","Dir=V")</f>
        <v>0</v>
      </c>
      <c r="G2">
        <f>BDH("DERM US Equity","BS_ST_BORROW","1993-06-18","2026-05-02","Per=Y","Days=T","Dir=V")</f>
        <v>0</v>
      </c>
      <c r="I2">
        <f>BDH("DERM US Equity","BS_LT_BORROW","1993-06-18","2026-05-02","Per=Y","Days=T","Dir=V")</f>
        <v>0</v>
      </c>
      <c r="K2">
        <f>BDH("DERM US Equity","BS_CASH_NEAR_CASH_ITEM","1993-06-18","2026-05-02","Per=Y","Days=T","Dir=V")</f>
        <v>0</v>
      </c>
      <c r="M2">
        <f>BDH("DERM US Equity","BS_CUR_ASSET_REPORT","1993-06-18","2026-05-02","Per=Y","Days=T","Dir=V")</f>
        <v>0</v>
      </c>
      <c r="O2">
        <f>BDH("DERM US Equity","BS_CUR_LIAB","1993-06-18","2026-05-02","Per=Y","Days=T","Dir=V")</f>
        <v>0</v>
      </c>
      <c r="Q2">
        <f>BDH("DERM US Equity","BS_SHAREHOLDER_EQY_ENDING_PERIOD","1993-06-18","2026-05-02","Per=Y","Days=T","Dir=V")</f>
        <v>0</v>
      </c>
      <c r="S2">
        <f>BDH("DERM US Equity","BS_ACCT_NOTE_RCV","1993-06-18","2026-05-02","Per=Y","Days=T","Dir=V")</f>
        <v>0</v>
      </c>
      <c r="U2">
        <f>BDH("DERM US Equity","BS_INVENTORIES","1993-06-18","2026-05-02","Per=Y","Days=T","Dir=V")</f>
        <v>0</v>
      </c>
      <c r="W2">
        <f>BDH("DERM US Equity","WORKING_CAPITAL","1993-06-18","2026-05-02","Per=Y","Days=T","Dir=V")</f>
        <v>0</v>
      </c>
      <c r="Y2">
        <f>BDH("DERM US Equity","SALES_REV_TURN","1993-06-18","2026-05-02","Per=Y","Days=T","Dir=V")</f>
        <v>0</v>
      </c>
      <c r="AA2">
        <f>BDH("DERM US Equity","EBIT","1993-06-18","2026-05-02","Per=Y","Days=T","Dir=V")</f>
        <v>0</v>
      </c>
      <c r="AC2">
        <f>BDH("DERM US Equity","EBITDA","1993-06-18","2026-05-02","Per=Y","Days=T","Dir=V")</f>
        <v>0</v>
      </c>
      <c r="AE2">
        <f>BDH("DERM US Equity","NET_INCOME","1993-06-18","2026-05-02","Per=Y","Days=T","Dir=V")</f>
        <v>0</v>
      </c>
      <c r="AG2">
        <f>BDH("DERM US Equity","IS_INT_EXPENSE","1993-06-18","2026-05-02","Per=Y","Days=T","Dir=V")</f>
        <v>0</v>
      </c>
      <c r="AI2">
        <f>BDH("DERM US Equity","IS_DEPR_EXP","1993-06-18","2026-05-02","Per=Y","Days=T","Dir=V")</f>
        <v>0</v>
      </c>
      <c r="AK2">
        <f>BDH("DERM US Equity","CF_CASH_FROM_OPER","1993-06-18","2026-05-02","Per=Y","Days=T","Dir=V")</f>
        <v>0</v>
      </c>
      <c r="AM2">
        <f>BDH("DERM US Equity","CAPITAL_EXPEND","1993-06-18","2026-05-02","Per=Y","Days=T","Dir=V")</f>
        <v>0</v>
      </c>
      <c r="AO2">
        <f>BDH("DERM US Equity","CF_FREE_CASH_FLOW","1993-06-18","2026-05-02","Per=Y","Days=T","Dir=V")</f>
        <v>0</v>
      </c>
      <c r="AQ2">
        <f>BDH("DERM US Equity","PX_LAST","1993-06-18","2026-05-02","Per=M","Days=T","Dir=V")</f>
        <v>0</v>
      </c>
      <c r="AS2">
        <f>BDH("DERM US Equity","CUR_MKT_CAP","1993-06-18","2026-05-02","Per=M","Days=T","Dir=V")</f>
        <v>0</v>
      </c>
      <c r="AU2">
        <f>BDH("DERM US Equity","EQY_SH_OUT","1993-06-18","2026-05-02","Per=M","Days=T","Dir=V")</f>
        <v>0</v>
      </c>
      <c r="AW2">
        <f>BDH("DERM US Equity","PX_VOLUME","1993-06-18","2026-05-02","Per=M","Days=T","Dir=V")</f>
        <v>0</v>
      </c>
      <c r="AY2">
        <f>BDH("DERM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BDH("DETX US Equity","BS_TOT_ASSET","1993-06-18","2026-05-02","Per=Y","Days=T","Dir=V")</f>
        <v>0</v>
      </c>
      <c r="C2">
        <f>BDH("DETX US Equity","BS_TOT_LIAB2","1993-06-18","2026-05-02","Per=Y","Days=T","Dir=V")</f>
        <v>0</v>
      </c>
      <c r="E2">
        <f>BDH("DETX US Equity","SHORT_AND_LONG_TERM_DEBT","1993-06-18","2026-05-02","Per=Y","Days=T","Dir=V")</f>
        <v>0</v>
      </c>
      <c r="G2">
        <f>BDH("DETX US Equity","BS_ST_BORROW","1993-06-18","2026-05-02","Per=Y","Days=T","Dir=V")</f>
        <v>0</v>
      </c>
      <c r="I2">
        <f>BDH("DETX US Equity","BS_LT_BORROW","1993-06-18","2026-05-02","Per=Y","Days=T","Dir=V")</f>
        <v>0</v>
      </c>
      <c r="K2">
        <f>BDH("DETX US Equity","BS_CASH_NEAR_CASH_ITEM","1993-06-18","2026-05-02","Per=Y","Days=T","Dir=V")</f>
        <v>0</v>
      </c>
      <c r="M2">
        <f>BDH("DETX US Equity","BS_CUR_ASSET_REPORT","1993-06-18","2026-05-02","Per=Y","Days=T","Dir=V")</f>
        <v>0</v>
      </c>
      <c r="O2">
        <f>BDH("DETX US Equity","BS_CUR_LIAB","1993-06-18","2026-05-02","Per=Y","Days=T","Dir=V")</f>
        <v>0</v>
      </c>
      <c r="Q2">
        <f>BDH("DETX US Equity","BS_SHAREHOLDER_EQY_ENDING_PERIOD","1993-06-18","2026-05-02","Per=Y","Days=T","Dir=V")</f>
        <v>0</v>
      </c>
      <c r="S2">
        <f>BDH("DETX US Equity","BS_ACCT_NOTE_RCV","1993-06-18","2026-05-02","Per=Y","Days=T","Dir=V")</f>
        <v>0</v>
      </c>
      <c r="U2">
        <f>BDH("DETX US Equity","BS_INVENTORIES","1993-06-18","2026-05-02","Per=Y","Days=T","Dir=V")</f>
        <v>0</v>
      </c>
      <c r="W2">
        <f>BDH("DETX US Equity","WORKING_CAPITAL","1993-06-18","2026-05-02","Per=Y","Days=T","Dir=V")</f>
        <v>0</v>
      </c>
      <c r="Y2">
        <f>BDH("DETX US Equity","SALES_REV_TURN","1993-06-18","2026-05-02","Per=Y","Days=T","Dir=V")</f>
        <v>0</v>
      </c>
      <c r="AA2">
        <f>BDH("DETX US Equity","EBIT","1993-06-18","2026-05-02","Per=Y","Days=T","Dir=V")</f>
        <v>0</v>
      </c>
      <c r="AC2">
        <f>BDH("DETX US Equity","EBITDA","1993-06-18","2026-05-02","Per=Y","Days=T","Dir=V")</f>
        <v>0</v>
      </c>
      <c r="AE2">
        <f>BDH("DETX US Equity","NET_INCOME","1993-06-18","2026-05-02","Per=Y","Days=T","Dir=V")</f>
        <v>0</v>
      </c>
      <c r="AG2">
        <f>BDH("DETX US Equity","IS_INT_EXPENSE","1993-06-18","2026-05-02","Per=Y","Days=T","Dir=V")</f>
        <v>0</v>
      </c>
      <c r="AI2">
        <f>BDH("DETX US Equity","IS_DEPR_EXP","1993-06-18","2026-05-02","Per=Y","Days=T","Dir=V")</f>
        <v>0</v>
      </c>
      <c r="AK2">
        <f>BDH("DETX US Equity","CF_CASH_FROM_OPER","1993-06-18","2026-05-02","Per=Y","Days=T","Dir=V")</f>
        <v>0</v>
      </c>
      <c r="AM2">
        <f>BDH("DETX US Equity","CAPITAL_EXPEND","1993-06-18","2026-05-02","Per=Y","Days=T","Dir=V")</f>
        <v>0</v>
      </c>
      <c r="AO2">
        <f>BDH("DETX US Equity","CF_FREE_CASH_FLOW","1993-06-18","2026-05-02","Per=Y","Days=T","Dir=V")</f>
        <v>0</v>
      </c>
      <c r="AQ2">
        <f>BDH("DETX US Equity","PX_LAST","1993-06-18","2026-05-02","Per=M","Days=T","Dir=V")</f>
        <v>0</v>
      </c>
      <c r="AS2">
        <f>BDH("DETX US Equity","CUR_MKT_CAP","1993-06-18","2026-05-02","Per=M","Days=T","Dir=V")</f>
        <v>0</v>
      </c>
      <c r="AU2">
        <f>BDH("DETX US Equity","EQY_SH_OUT","1993-06-18","2026-05-02","Per=M","Days=T","Dir=V")</f>
        <v>0</v>
      </c>
      <c r="AW2">
        <f>BDH("DETX US Equity","PX_VOLUME","1993-06-18","2026-05-02","Per=M","Days=T","Dir=V")</f>
        <v>0</v>
      </c>
      <c r="AY2">
        <f>BDH("DETX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BDH("DFH US Equity","BS_TOT_ASSET","1993-06-18","2026-05-02","Per=Y","Days=T","Dir=V")</f>
        <v>0</v>
      </c>
      <c r="C2">
        <f>BDH("DFH US Equity","BS_TOT_LIAB2","1993-06-18","2026-05-02","Per=Y","Days=T","Dir=V")</f>
        <v>0</v>
      </c>
      <c r="E2">
        <f>BDH("DFH US Equity","SHORT_AND_LONG_TERM_DEBT","1993-06-18","2026-05-02","Per=Y","Days=T","Dir=V")</f>
        <v>0</v>
      </c>
      <c r="G2">
        <f>BDH("DFH US Equity","BS_ST_BORROW","1993-06-18","2026-05-02","Per=Y","Days=T","Dir=V")</f>
        <v>0</v>
      </c>
      <c r="I2">
        <f>BDH("DFH US Equity","BS_LT_BORROW","1993-06-18","2026-05-02","Per=Y","Days=T","Dir=V")</f>
        <v>0</v>
      </c>
      <c r="K2">
        <f>BDH("DFH US Equity","BS_CASH_NEAR_CASH_ITEM","1993-06-18","2026-05-02","Per=Y","Days=T","Dir=V")</f>
        <v>0</v>
      </c>
      <c r="M2">
        <f>BDH("DFH US Equity","BS_CUR_ASSET_REPORT","1993-06-18","2026-05-02","Per=Y","Days=T","Dir=V")</f>
        <v>0</v>
      </c>
      <c r="O2">
        <f>BDH("DFH US Equity","BS_CUR_LIAB","1993-06-18","2026-05-02","Per=Y","Days=T","Dir=V")</f>
        <v>0</v>
      </c>
      <c r="Q2">
        <f>BDH("DFH US Equity","BS_SHAREHOLDER_EQY_ENDING_PERIOD","1993-06-18","2026-05-02","Per=Y","Days=T","Dir=V")</f>
        <v>0</v>
      </c>
      <c r="S2">
        <f>BDH("DFH US Equity","BS_ACCT_NOTE_RCV","1993-06-18","2026-05-02","Per=Y","Days=T","Dir=V")</f>
        <v>0</v>
      </c>
      <c r="U2">
        <f>BDH("DFH US Equity","BS_INVENTORIES","1993-06-18","2026-05-02","Per=Y","Days=T","Dir=V")</f>
        <v>0</v>
      </c>
      <c r="W2">
        <f>BDH("DFH US Equity","WORKING_CAPITAL","1993-06-18","2026-05-02","Per=Y","Days=T","Dir=V")</f>
        <v>0</v>
      </c>
      <c r="Y2">
        <f>BDH("DFH US Equity","SALES_REV_TURN","1993-06-18","2026-05-02","Per=Y","Days=T","Dir=V")</f>
        <v>0</v>
      </c>
      <c r="AA2">
        <f>BDH("DFH US Equity","EBIT","1993-06-18","2026-05-02","Per=Y","Days=T","Dir=V")</f>
        <v>0</v>
      </c>
      <c r="AC2">
        <f>BDH("DFH US Equity","EBITDA","1993-06-18","2026-05-02","Per=Y","Days=T","Dir=V")</f>
        <v>0</v>
      </c>
      <c r="AE2">
        <f>BDH("DFH US Equity","NET_INCOME","1993-06-18","2026-05-02","Per=Y","Days=T","Dir=V")</f>
        <v>0</v>
      </c>
      <c r="AG2">
        <f>BDH("DFH US Equity","IS_INT_EXPENSE","1993-06-18","2026-05-02","Per=Y","Days=T","Dir=V")</f>
        <v>0</v>
      </c>
      <c r="AI2">
        <f>BDH("DFH US Equity","IS_DEPR_EXP","1993-06-18","2026-05-02","Per=Y","Days=T","Dir=V")</f>
        <v>0</v>
      </c>
      <c r="AK2">
        <f>BDH("DFH US Equity","CF_CASH_FROM_OPER","1993-06-18","2026-05-02","Per=Y","Days=T","Dir=V")</f>
        <v>0</v>
      </c>
      <c r="AM2">
        <f>BDH("DFH US Equity","CAPITAL_EXPEND","1993-06-18","2026-05-02","Per=Y","Days=T","Dir=V")</f>
        <v>0</v>
      </c>
      <c r="AO2">
        <f>BDH("DFH US Equity","CF_FREE_CASH_FLOW","1993-06-18","2026-05-02","Per=Y","Days=T","Dir=V")</f>
        <v>0</v>
      </c>
      <c r="AQ2">
        <f>BDH("DFH US Equity","PX_LAST","1993-06-18","2026-05-02","Per=M","Days=T","Dir=V")</f>
        <v>0</v>
      </c>
      <c r="AS2">
        <f>BDH("DFH US Equity","CUR_MKT_CAP","1993-06-18","2026-05-02","Per=M","Days=T","Dir=V")</f>
        <v>0</v>
      </c>
      <c r="AU2">
        <f>BDH("DFH US Equity","EQY_SH_OUT","1993-06-18","2026-05-02","Per=M","Days=T","Dir=V")</f>
        <v>0</v>
      </c>
      <c r="AW2">
        <f>BDH("DFH US Equity","PX_VOLUME","1993-06-18","2026-05-02","Per=M","Days=T","Dir=V")</f>
        <v>0</v>
      </c>
      <c r="AY2">
        <f>BDH("DFH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BDH("DFIN US Equity","BS_TOT_ASSET","1993-06-18","2026-05-02","Per=Y","Days=T","Dir=V")</f>
        <v>0</v>
      </c>
      <c r="C2">
        <f>BDH("DFIN US Equity","BS_TOT_LIAB2","1993-06-18","2026-05-02","Per=Y","Days=T","Dir=V")</f>
        <v>0</v>
      </c>
      <c r="E2">
        <f>BDH("DFIN US Equity","SHORT_AND_LONG_TERM_DEBT","1993-06-18","2026-05-02","Per=Y","Days=T","Dir=V")</f>
        <v>0</v>
      </c>
      <c r="G2">
        <f>BDH("DFIN US Equity","BS_ST_BORROW","1993-06-18","2026-05-02","Per=Y","Days=T","Dir=V")</f>
        <v>0</v>
      </c>
      <c r="I2">
        <f>BDH("DFIN US Equity","BS_LT_BORROW","1993-06-18","2026-05-02","Per=Y","Days=T","Dir=V")</f>
        <v>0</v>
      </c>
      <c r="K2">
        <f>BDH("DFIN US Equity","BS_CASH_NEAR_CASH_ITEM","1993-06-18","2026-05-02","Per=Y","Days=T","Dir=V")</f>
        <v>0</v>
      </c>
      <c r="M2">
        <f>BDH("DFIN US Equity","BS_CUR_ASSET_REPORT","1993-06-18","2026-05-02","Per=Y","Days=T","Dir=V")</f>
        <v>0</v>
      </c>
      <c r="O2">
        <f>BDH("DFIN US Equity","BS_CUR_LIAB","1993-06-18","2026-05-02","Per=Y","Days=T","Dir=V")</f>
        <v>0</v>
      </c>
      <c r="Q2">
        <f>BDH("DFIN US Equity","BS_SHAREHOLDER_EQY_ENDING_PERIOD","1993-06-18","2026-05-02","Per=Y","Days=T","Dir=V")</f>
        <v>0</v>
      </c>
      <c r="S2">
        <f>BDH("DFIN US Equity","BS_ACCT_NOTE_RCV","1993-06-18","2026-05-02","Per=Y","Days=T","Dir=V")</f>
        <v>0</v>
      </c>
      <c r="U2">
        <f>BDH("DFIN US Equity","BS_INVENTORIES","1993-06-18","2026-05-02","Per=Y","Days=T","Dir=V")</f>
        <v>0</v>
      </c>
      <c r="W2">
        <f>BDH("DFIN US Equity","WORKING_CAPITAL","1993-06-18","2026-05-02","Per=Y","Days=T","Dir=V")</f>
        <v>0</v>
      </c>
      <c r="Y2">
        <f>BDH("DFIN US Equity","SALES_REV_TURN","1993-06-18","2026-05-02","Per=Y","Days=T","Dir=V")</f>
        <v>0</v>
      </c>
      <c r="AA2">
        <f>BDH("DFIN US Equity","EBIT","1993-06-18","2026-05-02","Per=Y","Days=T","Dir=V")</f>
        <v>0</v>
      </c>
      <c r="AC2">
        <f>BDH("DFIN US Equity","EBITDA","1993-06-18","2026-05-02","Per=Y","Days=T","Dir=V")</f>
        <v>0</v>
      </c>
      <c r="AE2">
        <f>BDH("DFIN US Equity","NET_INCOME","1993-06-18","2026-05-02","Per=Y","Days=T","Dir=V")</f>
        <v>0</v>
      </c>
      <c r="AG2">
        <f>BDH("DFIN US Equity","IS_INT_EXPENSE","1993-06-18","2026-05-02","Per=Y","Days=T","Dir=V")</f>
        <v>0</v>
      </c>
      <c r="AI2">
        <f>BDH("DFIN US Equity","IS_DEPR_EXP","1993-06-18","2026-05-02","Per=Y","Days=T","Dir=V")</f>
        <v>0</v>
      </c>
      <c r="AK2">
        <f>BDH("DFIN US Equity","CF_CASH_FROM_OPER","1993-06-18","2026-05-02","Per=Y","Days=T","Dir=V")</f>
        <v>0</v>
      </c>
      <c r="AM2">
        <f>BDH("DFIN US Equity","CAPITAL_EXPEND","1993-06-18","2026-05-02","Per=Y","Days=T","Dir=V")</f>
        <v>0</v>
      </c>
      <c r="AO2">
        <f>BDH("DFIN US Equity","CF_FREE_CASH_FLOW","1993-06-18","2026-05-02","Per=Y","Days=T","Dir=V")</f>
        <v>0</v>
      </c>
      <c r="AQ2">
        <f>BDH("DFIN US Equity","PX_LAST","1993-06-18","2026-05-02","Per=M","Days=T","Dir=V")</f>
        <v>0</v>
      </c>
      <c r="AS2">
        <f>BDH("DFIN US Equity","CUR_MKT_CAP","1993-06-18","2026-05-02","Per=M","Days=T","Dir=V")</f>
        <v>0</v>
      </c>
      <c r="AU2">
        <f>BDH("DFIN US Equity","EQY_SH_OUT","1993-06-18","2026-05-02","Per=M","Days=T","Dir=V")</f>
        <v>0</v>
      </c>
      <c r="AW2">
        <f>BDH("DFIN US Equity","PX_VOLUME","1993-06-18","2026-05-02","Per=M","Days=T","Dir=V")</f>
        <v>0</v>
      </c>
      <c r="AY2">
        <f>BDH("DFIN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BDH("DFNS US Equity","BS_TOT_ASSET","1993-06-18","2026-05-02","Per=Y","Days=T","Dir=V")</f>
        <v>0</v>
      </c>
      <c r="C2">
        <f>BDH("DFNS US Equity","BS_TOT_LIAB2","1993-06-18","2026-05-02","Per=Y","Days=T","Dir=V")</f>
        <v>0</v>
      </c>
      <c r="E2">
        <f>BDH("DFNS US Equity","SHORT_AND_LONG_TERM_DEBT","1993-06-18","2026-05-02","Per=Y","Days=T","Dir=V")</f>
        <v>0</v>
      </c>
      <c r="G2">
        <f>BDH("DFNS US Equity","BS_ST_BORROW","1993-06-18","2026-05-02","Per=Y","Days=T","Dir=V")</f>
        <v>0</v>
      </c>
      <c r="I2">
        <f>BDH("DFNS US Equity","BS_LT_BORROW","1993-06-18","2026-05-02","Per=Y","Days=T","Dir=V")</f>
        <v>0</v>
      </c>
      <c r="K2">
        <f>BDH("DFNS US Equity","BS_CASH_NEAR_CASH_ITEM","1993-06-18","2026-05-02","Per=Y","Days=T","Dir=V")</f>
        <v>0</v>
      </c>
      <c r="M2">
        <f>BDH("DFNS US Equity","BS_CUR_ASSET_REPORT","1993-06-18","2026-05-02","Per=Y","Days=T","Dir=V")</f>
        <v>0</v>
      </c>
      <c r="O2">
        <f>BDH("DFNS US Equity","BS_CUR_LIAB","1993-06-18","2026-05-02","Per=Y","Days=T","Dir=V")</f>
        <v>0</v>
      </c>
      <c r="Q2">
        <f>BDH("DFNS US Equity","BS_SHAREHOLDER_EQY_ENDING_PERIOD","1993-06-18","2026-05-02","Per=Y","Days=T","Dir=V")</f>
        <v>0</v>
      </c>
      <c r="S2">
        <f>BDH("DFNS US Equity","BS_ACCT_NOTE_RCV","1993-06-18","2026-05-02","Per=Y","Days=T","Dir=V")</f>
        <v>0</v>
      </c>
      <c r="U2">
        <f>BDH("DFNS US Equity","BS_INVENTORIES","1993-06-18","2026-05-02","Per=Y","Days=T","Dir=V")</f>
        <v>0</v>
      </c>
      <c r="W2">
        <f>BDH("DFNS US Equity","WORKING_CAPITAL","1993-06-18","2026-05-02","Per=Y","Days=T","Dir=V")</f>
        <v>0</v>
      </c>
      <c r="Y2">
        <f>BDH("DFNS US Equity","SALES_REV_TURN","1993-06-18","2026-05-02","Per=Y","Days=T","Dir=V")</f>
        <v>0</v>
      </c>
      <c r="AA2">
        <f>BDH("DFNS US Equity","EBIT","1993-06-18","2026-05-02","Per=Y","Days=T","Dir=V")</f>
        <v>0</v>
      </c>
      <c r="AC2">
        <f>BDH("DFNS US Equity","EBITDA","1993-06-18","2026-05-02","Per=Y","Days=T","Dir=V")</f>
        <v>0</v>
      </c>
      <c r="AE2">
        <f>BDH("DFNS US Equity","NET_INCOME","1993-06-18","2026-05-02","Per=Y","Days=T","Dir=V")</f>
        <v>0</v>
      </c>
      <c r="AG2">
        <f>BDH("DFNS US Equity","IS_INT_EXPENSE","1993-06-18","2026-05-02","Per=Y","Days=T","Dir=V")</f>
        <v>0</v>
      </c>
      <c r="AI2">
        <f>BDH("DFNS US Equity","IS_DEPR_EXP","1993-06-18","2026-05-02","Per=Y","Days=T","Dir=V")</f>
        <v>0</v>
      </c>
      <c r="AK2">
        <f>BDH("DFNS US Equity","CF_CASH_FROM_OPER","1993-06-18","2026-05-02","Per=Y","Days=T","Dir=V")</f>
        <v>0</v>
      </c>
      <c r="AM2">
        <f>BDH("DFNS US Equity","CAPITAL_EXPEND","1993-06-18","2026-05-02","Per=Y","Days=T","Dir=V")</f>
        <v>0</v>
      </c>
      <c r="AO2">
        <f>BDH("DFNS US Equity","CF_FREE_CASH_FLOW","1993-06-18","2026-05-02","Per=Y","Days=T","Dir=V")</f>
        <v>0</v>
      </c>
      <c r="AQ2">
        <f>BDH("DFNS US Equity","PX_LAST","1993-06-18","2026-05-02","Per=M","Days=T","Dir=V")</f>
        <v>0</v>
      </c>
      <c r="AS2">
        <f>BDH("DFNS US Equity","CUR_MKT_CAP","1993-06-18","2026-05-02","Per=M","Days=T","Dir=V")</f>
        <v>0</v>
      </c>
      <c r="AU2">
        <f>BDH("DFNS US Equity","EQY_SH_OUT","1993-06-18","2026-05-02","Per=M","Days=T","Dir=V")</f>
        <v>0</v>
      </c>
      <c r="AW2">
        <f>BDH("DFNS US Equity","PX_VOLUME","1993-06-18","2026-05-02","Per=M","Days=T","Dir=V")</f>
        <v>0</v>
      </c>
      <c r="AY2">
        <f>BDH("DFNS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BDH("DFNSW US Equity","BS_TOT_ASSET","1993-06-18","2026-05-02","Per=Y","Days=T","Dir=V")</f>
        <v>0</v>
      </c>
      <c r="C2">
        <f>BDH("DFNSW US Equity","BS_TOT_LIAB2","1993-06-18","2026-05-02","Per=Y","Days=T","Dir=V")</f>
        <v>0</v>
      </c>
      <c r="E2">
        <f>BDH("DFNSW US Equity","SHORT_AND_LONG_TERM_DEBT","1993-06-18","2026-05-02","Per=Y","Days=T","Dir=V")</f>
        <v>0</v>
      </c>
      <c r="G2">
        <f>BDH("DFNSW US Equity","BS_ST_BORROW","1993-06-18","2026-05-02","Per=Y","Days=T","Dir=V")</f>
        <v>0</v>
      </c>
      <c r="I2">
        <f>BDH("DFNSW US Equity","BS_LT_BORROW","1993-06-18","2026-05-02","Per=Y","Days=T","Dir=V")</f>
        <v>0</v>
      </c>
      <c r="K2">
        <f>BDH("DFNSW US Equity","BS_CASH_NEAR_CASH_ITEM","1993-06-18","2026-05-02","Per=Y","Days=T","Dir=V")</f>
        <v>0</v>
      </c>
      <c r="M2">
        <f>BDH("DFNSW US Equity","BS_CUR_ASSET_REPORT","1993-06-18","2026-05-02","Per=Y","Days=T","Dir=V")</f>
        <v>0</v>
      </c>
      <c r="O2">
        <f>BDH("DFNSW US Equity","BS_CUR_LIAB","1993-06-18","2026-05-02","Per=Y","Days=T","Dir=V")</f>
        <v>0</v>
      </c>
      <c r="Q2">
        <f>BDH("DFNSW US Equity","BS_SHAREHOLDER_EQY_ENDING_PERIOD","1993-06-18","2026-05-02","Per=Y","Days=T","Dir=V")</f>
        <v>0</v>
      </c>
      <c r="S2">
        <f>BDH("DFNSW US Equity","BS_ACCT_NOTE_RCV","1993-06-18","2026-05-02","Per=Y","Days=T","Dir=V")</f>
        <v>0</v>
      </c>
      <c r="U2">
        <f>BDH("DFNSW US Equity","BS_INVENTORIES","1993-06-18","2026-05-02","Per=Y","Days=T","Dir=V")</f>
        <v>0</v>
      </c>
      <c r="W2">
        <f>BDH("DFNSW US Equity","WORKING_CAPITAL","1993-06-18","2026-05-02","Per=Y","Days=T","Dir=V")</f>
        <v>0</v>
      </c>
      <c r="Y2">
        <f>BDH("DFNSW US Equity","SALES_REV_TURN","1993-06-18","2026-05-02","Per=Y","Days=T","Dir=V")</f>
        <v>0</v>
      </c>
      <c r="AA2">
        <f>BDH("DFNSW US Equity","EBIT","1993-06-18","2026-05-02","Per=Y","Days=T","Dir=V")</f>
        <v>0</v>
      </c>
      <c r="AC2">
        <f>BDH("DFNSW US Equity","EBITDA","1993-06-18","2026-05-02","Per=Y","Days=T","Dir=V")</f>
        <v>0</v>
      </c>
      <c r="AE2">
        <f>BDH("DFNSW US Equity","NET_INCOME","1993-06-18","2026-05-02","Per=Y","Days=T","Dir=V")</f>
        <v>0</v>
      </c>
      <c r="AG2">
        <f>BDH("DFNSW US Equity","IS_INT_EXPENSE","1993-06-18","2026-05-02","Per=Y","Days=T","Dir=V")</f>
        <v>0</v>
      </c>
      <c r="AI2">
        <f>BDH("DFNSW US Equity","IS_DEPR_EXP","1993-06-18","2026-05-02","Per=Y","Days=T","Dir=V")</f>
        <v>0</v>
      </c>
      <c r="AK2">
        <f>BDH("DFNSW US Equity","CF_CASH_FROM_OPER","1993-06-18","2026-05-02","Per=Y","Days=T","Dir=V")</f>
        <v>0</v>
      </c>
      <c r="AM2">
        <f>BDH("DFNSW US Equity","CAPITAL_EXPEND","1993-06-18","2026-05-02","Per=Y","Days=T","Dir=V")</f>
        <v>0</v>
      </c>
      <c r="AO2">
        <f>BDH("DFNSW US Equity","CF_FREE_CASH_FLOW","1993-06-18","2026-05-02","Per=Y","Days=T","Dir=V")</f>
        <v>0</v>
      </c>
      <c r="AQ2">
        <f>BDH("DFNSW US Equity","PX_LAST","1993-06-18","2026-05-02","Per=M","Days=T","Dir=V")</f>
        <v>0</v>
      </c>
      <c r="AS2">
        <f>BDH("DFNSW US Equity","CUR_MKT_CAP","1993-06-18","2026-05-02","Per=M","Days=T","Dir=V")</f>
        <v>0</v>
      </c>
      <c r="AU2">
        <f>BDH("DFNSW US Equity","EQY_SH_OUT","1993-06-18","2026-05-02","Per=M","Days=T","Dir=V")</f>
        <v>0</v>
      </c>
      <c r="AW2">
        <f>BDH("DFNSW US Equity","PX_VOLUME","1993-06-18","2026-05-02","Per=M","Days=T","Dir=V")</f>
        <v>0</v>
      </c>
      <c r="AY2">
        <f>BDH("DFNSW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BDH("DFTX US Equity","BS_TOT_ASSET","1993-06-18","2026-05-02","Per=Y","Days=T","Dir=V")</f>
        <v>0</v>
      </c>
      <c r="C2">
        <f>BDH("DFTX US Equity","BS_TOT_LIAB2","1993-06-18","2026-05-02","Per=Y","Days=T","Dir=V")</f>
        <v>0</v>
      </c>
      <c r="E2">
        <f>BDH("DFTX US Equity","SHORT_AND_LONG_TERM_DEBT","1993-06-18","2026-05-02","Per=Y","Days=T","Dir=V")</f>
        <v>0</v>
      </c>
      <c r="G2">
        <f>BDH("DFTX US Equity","BS_ST_BORROW","1993-06-18","2026-05-02","Per=Y","Days=T","Dir=V")</f>
        <v>0</v>
      </c>
      <c r="I2">
        <f>BDH("DFTX US Equity","BS_LT_BORROW","1993-06-18","2026-05-02","Per=Y","Days=T","Dir=V")</f>
        <v>0</v>
      </c>
      <c r="K2">
        <f>BDH("DFTX US Equity","BS_CASH_NEAR_CASH_ITEM","1993-06-18","2026-05-02","Per=Y","Days=T","Dir=V")</f>
        <v>0</v>
      </c>
      <c r="M2">
        <f>BDH("DFTX US Equity","BS_CUR_ASSET_REPORT","1993-06-18","2026-05-02","Per=Y","Days=T","Dir=V")</f>
        <v>0</v>
      </c>
      <c r="O2">
        <f>BDH("DFTX US Equity","BS_CUR_LIAB","1993-06-18","2026-05-02","Per=Y","Days=T","Dir=V")</f>
        <v>0</v>
      </c>
      <c r="Q2">
        <f>BDH("DFTX US Equity","BS_SHAREHOLDER_EQY_ENDING_PERIOD","1993-06-18","2026-05-02","Per=Y","Days=T","Dir=V")</f>
        <v>0</v>
      </c>
      <c r="S2">
        <f>BDH("DFTX US Equity","BS_ACCT_NOTE_RCV","1993-06-18","2026-05-02","Per=Y","Days=T","Dir=V")</f>
        <v>0</v>
      </c>
      <c r="U2">
        <f>BDH("DFTX US Equity","BS_INVENTORIES","1993-06-18","2026-05-02","Per=Y","Days=T","Dir=V")</f>
        <v>0</v>
      </c>
      <c r="W2">
        <f>BDH("DFTX US Equity","WORKING_CAPITAL","1993-06-18","2026-05-02","Per=Y","Days=T","Dir=V")</f>
        <v>0</v>
      </c>
      <c r="Y2">
        <f>BDH("DFTX US Equity","SALES_REV_TURN","1993-06-18","2026-05-02","Per=Y","Days=T","Dir=V")</f>
        <v>0</v>
      </c>
      <c r="AA2">
        <f>BDH("DFTX US Equity","EBIT","1993-06-18","2026-05-02","Per=Y","Days=T","Dir=V")</f>
        <v>0</v>
      </c>
      <c r="AC2">
        <f>BDH("DFTX US Equity","EBITDA","1993-06-18","2026-05-02","Per=Y","Days=T","Dir=V")</f>
        <v>0</v>
      </c>
      <c r="AE2">
        <f>BDH("DFTX US Equity","NET_INCOME","1993-06-18","2026-05-02","Per=Y","Days=T","Dir=V")</f>
        <v>0</v>
      </c>
      <c r="AG2">
        <f>BDH("DFTX US Equity","IS_INT_EXPENSE","1993-06-18","2026-05-02","Per=Y","Days=T","Dir=V")</f>
        <v>0</v>
      </c>
      <c r="AI2">
        <f>BDH("DFTX US Equity","IS_DEPR_EXP","1993-06-18","2026-05-02","Per=Y","Days=T","Dir=V")</f>
        <v>0</v>
      </c>
      <c r="AK2">
        <f>BDH("DFTX US Equity","CF_CASH_FROM_OPER","1993-06-18","2026-05-02","Per=Y","Days=T","Dir=V")</f>
        <v>0</v>
      </c>
      <c r="AM2">
        <f>BDH("DFTX US Equity","CAPITAL_EXPEND","1993-06-18","2026-05-02","Per=Y","Days=T","Dir=V")</f>
        <v>0</v>
      </c>
      <c r="AO2">
        <f>BDH("DFTX US Equity","CF_FREE_CASH_FLOW","1993-06-18","2026-05-02","Per=Y","Days=T","Dir=V")</f>
        <v>0</v>
      </c>
      <c r="AQ2">
        <f>BDH("DFTX US Equity","PX_LAST","1993-06-18","2026-05-02","Per=M","Days=T","Dir=V")</f>
        <v>0</v>
      </c>
      <c r="AS2">
        <f>BDH("DFTX US Equity","CUR_MKT_CAP","1993-06-18","2026-05-02","Per=M","Days=T","Dir=V")</f>
        <v>0</v>
      </c>
      <c r="AU2">
        <f>BDH("DFTX US Equity","EQY_SH_OUT","1993-06-18","2026-05-02","Per=M","Days=T","Dir=V")</f>
        <v>0</v>
      </c>
      <c r="AW2">
        <f>BDH("DFTX US Equity","PX_VOLUME","1993-06-18","2026-05-02","Per=M","Days=T","Dir=V")</f>
        <v>0</v>
      </c>
      <c r="AY2">
        <f>BDH("DFTX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BDH("DG US Equity","BS_TOT_ASSET","1993-06-18","2026-05-02","Per=Y","Days=T","Dir=V")</f>
        <v>0</v>
      </c>
      <c r="C2">
        <f>BDH("DG US Equity","BS_TOT_LIAB2","1993-06-18","2026-05-02","Per=Y","Days=T","Dir=V")</f>
        <v>0</v>
      </c>
      <c r="E2">
        <f>BDH("DG US Equity","SHORT_AND_LONG_TERM_DEBT","1993-06-18","2026-05-02","Per=Y","Days=T","Dir=V")</f>
        <v>0</v>
      </c>
      <c r="G2">
        <f>BDH("DG US Equity","BS_ST_BORROW","1993-06-18","2026-05-02","Per=Y","Days=T","Dir=V")</f>
        <v>0</v>
      </c>
      <c r="I2">
        <f>BDH("DG US Equity","BS_LT_BORROW","1993-06-18","2026-05-02","Per=Y","Days=T","Dir=V")</f>
        <v>0</v>
      </c>
      <c r="K2">
        <f>BDH("DG US Equity","BS_CASH_NEAR_CASH_ITEM","1993-06-18","2026-05-02","Per=Y","Days=T","Dir=V")</f>
        <v>0</v>
      </c>
      <c r="M2">
        <f>BDH("DG US Equity","BS_CUR_ASSET_REPORT","1993-06-18","2026-05-02","Per=Y","Days=T","Dir=V")</f>
        <v>0</v>
      </c>
      <c r="O2">
        <f>BDH("DG US Equity","BS_CUR_LIAB","1993-06-18","2026-05-02","Per=Y","Days=T","Dir=V")</f>
        <v>0</v>
      </c>
      <c r="Q2">
        <f>BDH("DG US Equity","BS_SHAREHOLDER_EQY_ENDING_PERIOD","1993-06-18","2026-05-02","Per=Y","Days=T","Dir=V")</f>
        <v>0</v>
      </c>
      <c r="S2">
        <f>BDH("DG US Equity","BS_ACCT_NOTE_RCV","1993-06-18","2026-05-02","Per=Y","Days=T","Dir=V")</f>
        <v>0</v>
      </c>
      <c r="U2">
        <f>BDH("DG US Equity","BS_INVENTORIES","1993-06-18","2026-05-02","Per=Y","Days=T","Dir=V")</f>
        <v>0</v>
      </c>
      <c r="W2">
        <f>BDH("DG US Equity","WORKING_CAPITAL","1993-06-18","2026-05-02","Per=Y","Days=T","Dir=V")</f>
        <v>0</v>
      </c>
      <c r="Y2">
        <f>BDH("DG US Equity","SALES_REV_TURN","1993-06-18","2026-05-02","Per=Y","Days=T","Dir=V")</f>
        <v>0</v>
      </c>
      <c r="AA2">
        <f>BDH("DG US Equity","EBIT","1993-06-18","2026-05-02","Per=Y","Days=T","Dir=V")</f>
        <v>0</v>
      </c>
      <c r="AC2">
        <f>BDH("DG US Equity","EBITDA","1993-06-18","2026-05-02","Per=Y","Days=T","Dir=V")</f>
        <v>0</v>
      </c>
      <c r="AE2">
        <f>BDH("DG US Equity","NET_INCOME","1993-06-18","2026-05-02","Per=Y","Days=T","Dir=V")</f>
        <v>0</v>
      </c>
      <c r="AG2">
        <f>BDH("DG US Equity","IS_INT_EXPENSE","1993-06-18","2026-05-02","Per=Y","Days=T","Dir=V")</f>
        <v>0</v>
      </c>
      <c r="AI2">
        <f>BDH("DG US Equity","IS_DEPR_EXP","1993-06-18","2026-05-02","Per=Y","Days=T","Dir=V")</f>
        <v>0</v>
      </c>
      <c r="AK2">
        <f>BDH("DG US Equity","CF_CASH_FROM_OPER","1993-06-18","2026-05-02","Per=Y","Days=T","Dir=V")</f>
        <v>0</v>
      </c>
      <c r="AM2">
        <f>BDH("DG US Equity","CAPITAL_EXPEND","1993-06-18","2026-05-02","Per=Y","Days=T","Dir=V")</f>
        <v>0</v>
      </c>
      <c r="AO2">
        <f>BDH("DG US Equity","CF_FREE_CASH_FLOW","1993-06-18","2026-05-02","Per=Y","Days=T","Dir=V")</f>
        <v>0</v>
      </c>
      <c r="AQ2">
        <f>BDH("DG US Equity","PX_LAST","1993-06-18","2026-05-02","Per=M","Days=T","Dir=V")</f>
        <v>0</v>
      </c>
      <c r="AS2">
        <f>BDH("DG US Equity","CUR_MKT_CAP","1993-06-18","2026-05-02","Per=M","Days=T","Dir=V")</f>
        <v>0</v>
      </c>
      <c r="AU2">
        <f>BDH("DG US Equity","EQY_SH_OUT","1993-06-18","2026-05-02","Per=M","Days=T","Dir=V")</f>
        <v>0</v>
      </c>
      <c r="AW2">
        <f>BDH("DG US Equity","PX_VOLUME","1993-06-18","2026-05-02","Per=M","Days=T","Dir=V")</f>
        <v>0</v>
      </c>
      <c r="AY2">
        <f>BDH("DG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BDH("DGII US Equity","BS_TOT_ASSET","1993-06-18","2026-05-02","Per=Y","Days=T","Dir=V")</f>
        <v>0</v>
      </c>
      <c r="C2">
        <f>BDH("DGII US Equity","BS_TOT_LIAB2","1993-06-18","2026-05-02","Per=Y","Days=T","Dir=V")</f>
        <v>0</v>
      </c>
      <c r="E2">
        <f>BDH("DGII US Equity","SHORT_AND_LONG_TERM_DEBT","1993-06-18","2026-05-02","Per=Y","Days=T","Dir=V")</f>
        <v>0</v>
      </c>
      <c r="G2">
        <f>BDH("DGII US Equity","BS_ST_BORROW","1993-06-18","2026-05-02","Per=Y","Days=T","Dir=V")</f>
        <v>0</v>
      </c>
      <c r="I2">
        <f>BDH("DGII US Equity","BS_LT_BORROW","1993-06-18","2026-05-02","Per=Y","Days=T","Dir=V")</f>
        <v>0</v>
      </c>
      <c r="K2">
        <f>BDH("DGII US Equity","BS_CASH_NEAR_CASH_ITEM","1993-06-18","2026-05-02","Per=Y","Days=T","Dir=V")</f>
        <v>0</v>
      </c>
      <c r="M2">
        <f>BDH("DGII US Equity","BS_CUR_ASSET_REPORT","1993-06-18","2026-05-02","Per=Y","Days=T","Dir=V")</f>
        <v>0</v>
      </c>
      <c r="O2">
        <f>BDH("DGII US Equity","BS_CUR_LIAB","1993-06-18","2026-05-02","Per=Y","Days=T","Dir=V")</f>
        <v>0</v>
      </c>
      <c r="Q2">
        <f>BDH("DGII US Equity","BS_SHAREHOLDER_EQY_ENDING_PERIOD","1993-06-18","2026-05-02","Per=Y","Days=T","Dir=V")</f>
        <v>0</v>
      </c>
      <c r="S2">
        <f>BDH("DGII US Equity","BS_ACCT_NOTE_RCV","1993-06-18","2026-05-02","Per=Y","Days=T","Dir=V")</f>
        <v>0</v>
      </c>
      <c r="U2">
        <f>BDH("DGII US Equity","BS_INVENTORIES","1993-06-18","2026-05-02","Per=Y","Days=T","Dir=V")</f>
        <v>0</v>
      </c>
      <c r="W2">
        <f>BDH("DGII US Equity","WORKING_CAPITAL","1993-06-18","2026-05-02","Per=Y","Days=T","Dir=V")</f>
        <v>0</v>
      </c>
      <c r="Y2">
        <f>BDH("DGII US Equity","SALES_REV_TURN","1993-06-18","2026-05-02","Per=Y","Days=T","Dir=V")</f>
        <v>0</v>
      </c>
      <c r="AA2">
        <f>BDH("DGII US Equity","EBIT","1993-06-18","2026-05-02","Per=Y","Days=T","Dir=V")</f>
        <v>0</v>
      </c>
      <c r="AC2">
        <f>BDH("DGII US Equity","EBITDA","1993-06-18","2026-05-02","Per=Y","Days=T","Dir=V")</f>
        <v>0</v>
      </c>
      <c r="AE2">
        <f>BDH("DGII US Equity","NET_INCOME","1993-06-18","2026-05-02","Per=Y","Days=T","Dir=V")</f>
        <v>0</v>
      </c>
      <c r="AG2">
        <f>BDH("DGII US Equity","IS_INT_EXPENSE","1993-06-18","2026-05-02","Per=Y","Days=T","Dir=V")</f>
        <v>0</v>
      </c>
      <c r="AI2">
        <f>BDH("DGII US Equity","IS_DEPR_EXP","1993-06-18","2026-05-02","Per=Y","Days=T","Dir=V")</f>
        <v>0</v>
      </c>
      <c r="AK2">
        <f>BDH("DGII US Equity","CF_CASH_FROM_OPER","1993-06-18","2026-05-02","Per=Y","Days=T","Dir=V")</f>
        <v>0</v>
      </c>
      <c r="AM2">
        <f>BDH("DGII US Equity","CAPITAL_EXPEND","1993-06-18","2026-05-02","Per=Y","Days=T","Dir=V")</f>
        <v>0</v>
      </c>
      <c r="AO2">
        <f>BDH("DGII US Equity","CF_FREE_CASH_FLOW","1993-06-18","2026-05-02","Per=Y","Days=T","Dir=V")</f>
        <v>0</v>
      </c>
      <c r="AQ2">
        <f>BDH("DGII US Equity","PX_LAST","1993-06-18","2026-05-02","Per=M","Days=T","Dir=V")</f>
        <v>0</v>
      </c>
      <c r="AS2">
        <f>BDH("DGII US Equity","CUR_MKT_CAP","1993-06-18","2026-05-02","Per=M","Days=T","Dir=V")</f>
        <v>0</v>
      </c>
      <c r="AU2">
        <f>BDH("DGII US Equity","EQY_SH_OUT","1993-06-18","2026-05-02","Per=M","Days=T","Dir=V")</f>
        <v>0</v>
      </c>
      <c r="AW2">
        <f>BDH("DGII US Equity","PX_VOLUME","1993-06-18","2026-05-02","Per=M","Days=T","Dir=V")</f>
        <v>0</v>
      </c>
      <c r="AY2">
        <f>BDH("DGII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BDH("DGX US Equity","BS_TOT_ASSET","1993-06-18","2026-05-02","Per=Y","Days=T","Dir=V")</f>
        <v>0</v>
      </c>
      <c r="C2">
        <f>BDH("DGX US Equity","BS_TOT_LIAB2","1993-06-18","2026-05-02","Per=Y","Days=T","Dir=V")</f>
        <v>0</v>
      </c>
      <c r="E2">
        <f>BDH("DGX US Equity","SHORT_AND_LONG_TERM_DEBT","1993-06-18","2026-05-02","Per=Y","Days=T","Dir=V")</f>
        <v>0</v>
      </c>
      <c r="G2">
        <f>BDH("DGX US Equity","BS_ST_BORROW","1993-06-18","2026-05-02","Per=Y","Days=T","Dir=V")</f>
        <v>0</v>
      </c>
      <c r="I2">
        <f>BDH("DGX US Equity","BS_LT_BORROW","1993-06-18","2026-05-02","Per=Y","Days=T","Dir=V")</f>
        <v>0</v>
      </c>
      <c r="K2">
        <f>BDH("DGX US Equity","BS_CASH_NEAR_CASH_ITEM","1993-06-18","2026-05-02","Per=Y","Days=T","Dir=V")</f>
        <v>0</v>
      </c>
      <c r="M2">
        <f>BDH("DGX US Equity","BS_CUR_ASSET_REPORT","1993-06-18","2026-05-02","Per=Y","Days=T","Dir=V")</f>
        <v>0</v>
      </c>
      <c r="O2">
        <f>BDH("DGX US Equity","BS_CUR_LIAB","1993-06-18","2026-05-02","Per=Y","Days=T","Dir=V")</f>
        <v>0</v>
      </c>
      <c r="Q2">
        <f>BDH("DGX US Equity","BS_SHAREHOLDER_EQY_ENDING_PERIOD","1993-06-18","2026-05-02","Per=Y","Days=T","Dir=V")</f>
        <v>0</v>
      </c>
      <c r="S2">
        <f>BDH("DGX US Equity","BS_ACCT_NOTE_RCV","1993-06-18","2026-05-02","Per=Y","Days=T","Dir=V")</f>
        <v>0</v>
      </c>
      <c r="U2">
        <f>BDH("DGX US Equity","BS_INVENTORIES","1993-06-18","2026-05-02","Per=Y","Days=T","Dir=V")</f>
        <v>0</v>
      </c>
      <c r="W2">
        <f>BDH("DGX US Equity","WORKING_CAPITAL","1993-06-18","2026-05-02","Per=Y","Days=T","Dir=V")</f>
        <v>0</v>
      </c>
      <c r="Y2">
        <f>BDH("DGX US Equity","SALES_REV_TURN","1993-06-18","2026-05-02","Per=Y","Days=T","Dir=V")</f>
        <v>0</v>
      </c>
      <c r="AA2">
        <f>BDH("DGX US Equity","EBIT","1993-06-18","2026-05-02","Per=Y","Days=T","Dir=V")</f>
        <v>0</v>
      </c>
      <c r="AC2">
        <f>BDH("DGX US Equity","EBITDA","1993-06-18","2026-05-02","Per=Y","Days=T","Dir=V")</f>
        <v>0</v>
      </c>
      <c r="AE2">
        <f>BDH("DGX US Equity","NET_INCOME","1993-06-18","2026-05-02","Per=Y","Days=T","Dir=V")</f>
        <v>0</v>
      </c>
      <c r="AG2">
        <f>BDH("DGX US Equity","IS_INT_EXPENSE","1993-06-18","2026-05-02","Per=Y","Days=T","Dir=V")</f>
        <v>0</v>
      </c>
      <c r="AI2">
        <f>BDH("DGX US Equity","IS_DEPR_EXP","1993-06-18","2026-05-02","Per=Y","Days=T","Dir=V")</f>
        <v>0</v>
      </c>
      <c r="AK2">
        <f>BDH("DGX US Equity","CF_CASH_FROM_OPER","1993-06-18","2026-05-02","Per=Y","Days=T","Dir=V")</f>
        <v>0</v>
      </c>
      <c r="AM2">
        <f>BDH("DGX US Equity","CAPITAL_EXPEND","1993-06-18","2026-05-02","Per=Y","Days=T","Dir=V")</f>
        <v>0</v>
      </c>
      <c r="AO2">
        <f>BDH("DGX US Equity","CF_FREE_CASH_FLOW","1993-06-18","2026-05-02","Per=Y","Days=T","Dir=V")</f>
        <v>0</v>
      </c>
      <c r="AQ2">
        <f>BDH("DGX US Equity","PX_LAST","1993-06-18","2026-05-02","Per=M","Days=T","Dir=V")</f>
        <v>0</v>
      </c>
      <c r="AS2">
        <f>BDH("DGX US Equity","CUR_MKT_CAP","1993-06-18","2026-05-02","Per=M","Days=T","Dir=V")</f>
        <v>0</v>
      </c>
      <c r="AU2">
        <f>BDH("DGX US Equity","EQY_SH_OUT","1993-06-18","2026-05-02","Per=M","Days=T","Dir=V")</f>
        <v>0</v>
      </c>
      <c r="AW2">
        <f>BDH("DGX US Equity","PX_VOLUME","1993-06-18","2026-05-02","Per=M","Days=T","Dir=V")</f>
        <v>0</v>
      </c>
      <c r="AY2">
        <f>BDH("DGX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BDH("DH US Equity","BS_TOT_ASSET","1993-06-18","2026-05-02","Per=Y","Days=T","Dir=V")</f>
        <v>0</v>
      </c>
      <c r="C2">
        <f>BDH("DH US Equity","BS_TOT_LIAB2","1993-06-18","2026-05-02","Per=Y","Days=T","Dir=V")</f>
        <v>0</v>
      </c>
      <c r="E2">
        <f>BDH("DH US Equity","SHORT_AND_LONG_TERM_DEBT","1993-06-18","2026-05-02","Per=Y","Days=T","Dir=V")</f>
        <v>0</v>
      </c>
      <c r="G2">
        <f>BDH("DH US Equity","BS_ST_BORROW","1993-06-18","2026-05-02","Per=Y","Days=T","Dir=V")</f>
        <v>0</v>
      </c>
      <c r="I2">
        <f>BDH("DH US Equity","BS_LT_BORROW","1993-06-18","2026-05-02","Per=Y","Days=T","Dir=V")</f>
        <v>0</v>
      </c>
      <c r="K2">
        <f>BDH("DH US Equity","BS_CASH_NEAR_CASH_ITEM","1993-06-18","2026-05-02","Per=Y","Days=T","Dir=V")</f>
        <v>0</v>
      </c>
      <c r="M2">
        <f>BDH("DH US Equity","BS_CUR_ASSET_REPORT","1993-06-18","2026-05-02","Per=Y","Days=T","Dir=V")</f>
        <v>0</v>
      </c>
      <c r="O2">
        <f>BDH("DH US Equity","BS_CUR_LIAB","1993-06-18","2026-05-02","Per=Y","Days=T","Dir=V")</f>
        <v>0</v>
      </c>
      <c r="Q2">
        <f>BDH("DH US Equity","BS_SHAREHOLDER_EQY_ENDING_PERIOD","1993-06-18","2026-05-02","Per=Y","Days=T","Dir=V")</f>
        <v>0</v>
      </c>
      <c r="S2">
        <f>BDH("DH US Equity","BS_ACCT_NOTE_RCV","1993-06-18","2026-05-02","Per=Y","Days=T","Dir=V")</f>
        <v>0</v>
      </c>
      <c r="U2">
        <f>BDH("DH US Equity","BS_INVENTORIES","1993-06-18","2026-05-02","Per=Y","Days=T","Dir=V")</f>
        <v>0</v>
      </c>
      <c r="W2">
        <f>BDH("DH US Equity","WORKING_CAPITAL","1993-06-18","2026-05-02","Per=Y","Days=T","Dir=V")</f>
        <v>0</v>
      </c>
      <c r="Y2">
        <f>BDH("DH US Equity","SALES_REV_TURN","1993-06-18","2026-05-02","Per=Y","Days=T","Dir=V")</f>
        <v>0</v>
      </c>
      <c r="AA2">
        <f>BDH("DH US Equity","EBIT","1993-06-18","2026-05-02","Per=Y","Days=T","Dir=V")</f>
        <v>0</v>
      </c>
      <c r="AC2">
        <f>BDH("DH US Equity","EBITDA","1993-06-18","2026-05-02","Per=Y","Days=T","Dir=V")</f>
        <v>0</v>
      </c>
      <c r="AE2">
        <f>BDH("DH US Equity","NET_INCOME","1993-06-18","2026-05-02","Per=Y","Days=T","Dir=V")</f>
        <v>0</v>
      </c>
      <c r="AG2">
        <f>BDH("DH US Equity","IS_INT_EXPENSE","1993-06-18","2026-05-02","Per=Y","Days=T","Dir=V")</f>
        <v>0</v>
      </c>
      <c r="AI2">
        <f>BDH("DH US Equity","IS_DEPR_EXP","1993-06-18","2026-05-02","Per=Y","Days=T","Dir=V")</f>
        <v>0</v>
      </c>
      <c r="AK2">
        <f>BDH("DH US Equity","CF_CASH_FROM_OPER","1993-06-18","2026-05-02","Per=Y","Days=T","Dir=V")</f>
        <v>0</v>
      </c>
      <c r="AM2">
        <f>BDH("DH US Equity","CAPITAL_EXPEND","1993-06-18","2026-05-02","Per=Y","Days=T","Dir=V")</f>
        <v>0</v>
      </c>
      <c r="AO2">
        <f>BDH("DH US Equity","CF_FREE_CASH_FLOW","1993-06-18","2026-05-02","Per=Y","Days=T","Dir=V")</f>
        <v>0</v>
      </c>
      <c r="AQ2">
        <f>BDH("DH US Equity","PX_LAST","1993-06-18","2026-05-02","Per=M","Days=T","Dir=V")</f>
        <v>0</v>
      </c>
      <c r="AS2">
        <f>BDH("DH US Equity","CUR_MKT_CAP","1993-06-18","2026-05-02","Per=M","Days=T","Dir=V")</f>
        <v>0</v>
      </c>
      <c r="AU2">
        <f>BDH("DH US Equity","EQY_SH_OUT","1993-06-18","2026-05-02","Per=M","Days=T","Dir=V")</f>
        <v>0</v>
      </c>
      <c r="AW2">
        <f>BDH("DH US Equity","PX_VOLUME","1993-06-18","2026-05-02","Per=M","Days=T","Dir=V")</f>
        <v>0</v>
      </c>
      <c r="AY2">
        <f>BDH("DH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BDH("DHI US Equity","BS_TOT_ASSET","1993-06-18","2026-05-02","Per=Y","Days=T","Dir=V")</f>
        <v>0</v>
      </c>
      <c r="C2">
        <f>BDH("DHI US Equity","BS_TOT_LIAB2","1993-06-18","2026-05-02","Per=Y","Days=T","Dir=V")</f>
        <v>0</v>
      </c>
      <c r="E2">
        <f>BDH("DHI US Equity","SHORT_AND_LONG_TERM_DEBT","1993-06-18","2026-05-02","Per=Y","Days=T","Dir=V")</f>
        <v>0</v>
      </c>
      <c r="G2">
        <f>BDH("DHI US Equity","BS_ST_BORROW","1993-06-18","2026-05-02","Per=Y","Days=T","Dir=V")</f>
        <v>0</v>
      </c>
      <c r="I2">
        <f>BDH("DHI US Equity","BS_LT_BORROW","1993-06-18","2026-05-02","Per=Y","Days=T","Dir=V")</f>
        <v>0</v>
      </c>
      <c r="K2">
        <f>BDH("DHI US Equity","BS_CASH_NEAR_CASH_ITEM","1993-06-18","2026-05-02","Per=Y","Days=T","Dir=V")</f>
        <v>0</v>
      </c>
      <c r="M2">
        <f>BDH("DHI US Equity","BS_CUR_ASSET_REPORT","1993-06-18","2026-05-02","Per=Y","Days=T","Dir=V")</f>
        <v>0</v>
      </c>
      <c r="O2">
        <f>BDH("DHI US Equity","BS_CUR_LIAB","1993-06-18","2026-05-02","Per=Y","Days=T","Dir=V")</f>
        <v>0</v>
      </c>
      <c r="Q2">
        <f>BDH("DHI US Equity","BS_SHAREHOLDER_EQY_ENDING_PERIOD","1993-06-18","2026-05-02","Per=Y","Days=T","Dir=V")</f>
        <v>0</v>
      </c>
      <c r="S2">
        <f>BDH("DHI US Equity","BS_ACCT_NOTE_RCV","1993-06-18","2026-05-02","Per=Y","Days=T","Dir=V")</f>
        <v>0</v>
      </c>
      <c r="U2">
        <f>BDH("DHI US Equity","BS_INVENTORIES","1993-06-18","2026-05-02","Per=Y","Days=T","Dir=V")</f>
        <v>0</v>
      </c>
      <c r="W2">
        <f>BDH("DHI US Equity","WORKING_CAPITAL","1993-06-18","2026-05-02","Per=Y","Days=T","Dir=V")</f>
        <v>0</v>
      </c>
      <c r="Y2">
        <f>BDH("DHI US Equity","SALES_REV_TURN","1993-06-18","2026-05-02","Per=Y","Days=T","Dir=V")</f>
        <v>0</v>
      </c>
      <c r="AA2">
        <f>BDH("DHI US Equity","EBIT","1993-06-18","2026-05-02","Per=Y","Days=T","Dir=V")</f>
        <v>0</v>
      </c>
      <c r="AC2">
        <f>BDH("DHI US Equity","EBITDA","1993-06-18","2026-05-02","Per=Y","Days=T","Dir=V")</f>
        <v>0</v>
      </c>
      <c r="AE2">
        <f>BDH("DHI US Equity","NET_INCOME","1993-06-18","2026-05-02","Per=Y","Days=T","Dir=V")</f>
        <v>0</v>
      </c>
      <c r="AG2">
        <f>BDH("DHI US Equity","IS_INT_EXPENSE","1993-06-18","2026-05-02","Per=Y","Days=T","Dir=V")</f>
        <v>0</v>
      </c>
      <c r="AI2">
        <f>BDH("DHI US Equity","IS_DEPR_EXP","1993-06-18","2026-05-02","Per=Y","Days=T","Dir=V")</f>
        <v>0</v>
      </c>
      <c r="AK2">
        <f>BDH("DHI US Equity","CF_CASH_FROM_OPER","1993-06-18","2026-05-02","Per=Y","Days=T","Dir=V")</f>
        <v>0</v>
      </c>
      <c r="AM2">
        <f>BDH("DHI US Equity","CAPITAL_EXPEND","1993-06-18","2026-05-02","Per=Y","Days=T","Dir=V")</f>
        <v>0</v>
      </c>
      <c r="AO2">
        <f>BDH("DHI US Equity","CF_FREE_CASH_FLOW","1993-06-18","2026-05-02","Per=Y","Days=T","Dir=V")</f>
        <v>0</v>
      </c>
      <c r="AQ2">
        <f>BDH("DHI US Equity","PX_LAST","1993-06-18","2026-05-02","Per=M","Days=T","Dir=V")</f>
        <v>0</v>
      </c>
      <c r="AS2">
        <f>BDH("DHI US Equity","CUR_MKT_CAP","1993-06-18","2026-05-02","Per=M","Days=T","Dir=V")</f>
        <v>0</v>
      </c>
      <c r="AU2">
        <f>BDH("DHI US Equity","EQY_SH_OUT","1993-06-18","2026-05-02","Per=M","Days=T","Dir=V")</f>
        <v>0</v>
      </c>
      <c r="AW2">
        <f>BDH("DHI US Equity","PX_VOLUME","1993-06-18","2026-05-02","Per=M","Days=T","Dir=V")</f>
        <v>0</v>
      </c>
      <c r="AY2">
        <f>BDH("DHI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BDH("DHR US Equity","BS_TOT_ASSET","1993-06-18","2026-05-02","Per=Y","Days=T","Dir=V")</f>
        <v>0</v>
      </c>
      <c r="C2">
        <f>BDH("DHR US Equity","BS_TOT_LIAB2","1993-06-18","2026-05-02","Per=Y","Days=T","Dir=V")</f>
        <v>0</v>
      </c>
      <c r="E2">
        <f>BDH("DHR US Equity","SHORT_AND_LONG_TERM_DEBT","1993-06-18","2026-05-02","Per=Y","Days=T","Dir=V")</f>
        <v>0</v>
      </c>
      <c r="G2">
        <f>BDH("DHR US Equity","BS_ST_BORROW","1993-06-18","2026-05-02","Per=Y","Days=T","Dir=V")</f>
        <v>0</v>
      </c>
      <c r="I2">
        <f>BDH("DHR US Equity","BS_LT_BORROW","1993-06-18","2026-05-02","Per=Y","Days=T","Dir=V")</f>
        <v>0</v>
      </c>
      <c r="K2">
        <f>BDH("DHR US Equity","BS_CASH_NEAR_CASH_ITEM","1993-06-18","2026-05-02","Per=Y","Days=T","Dir=V")</f>
        <v>0</v>
      </c>
      <c r="M2">
        <f>BDH("DHR US Equity","BS_CUR_ASSET_REPORT","1993-06-18","2026-05-02","Per=Y","Days=T","Dir=V")</f>
        <v>0</v>
      </c>
      <c r="O2">
        <f>BDH("DHR US Equity","BS_CUR_LIAB","1993-06-18","2026-05-02","Per=Y","Days=T","Dir=V")</f>
        <v>0</v>
      </c>
      <c r="Q2">
        <f>BDH("DHR US Equity","BS_SHAREHOLDER_EQY_ENDING_PERIOD","1993-06-18","2026-05-02","Per=Y","Days=T","Dir=V")</f>
        <v>0</v>
      </c>
      <c r="S2">
        <f>BDH("DHR US Equity","BS_ACCT_NOTE_RCV","1993-06-18","2026-05-02","Per=Y","Days=T","Dir=V")</f>
        <v>0</v>
      </c>
      <c r="U2">
        <f>BDH("DHR US Equity","BS_INVENTORIES","1993-06-18","2026-05-02","Per=Y","Days=T","Dir=V")</f>
        <v>0</v>
      </c>
      <c r="W2">
        <f>BDH("DHR US Equity","WORKING_CAPITAL","1993-06-18","2026-05-02","Per=Y","Days=T","Dir=V")</f>
        <v>0</v>
      </c>
      <c r="Y2">
        <f>BDH("DHR US Equity","SALES_REV_TURN","1993-06-18","2026-05-02","Per=Y","Days=T","Dir=V")</f>
        <v>0</v>
      </c>
      <c r="AA2">
        <f>BDH("DHR US Equity","EBIT","1993-06-18","2026-05-02","Per=Y","Days=T","Dir=V")</f>
        <v>0</v>
      </c>
      <c r="AC2">
        <f>BDH("DHR US Equity","EBITDA","1993-06-18","2026-05-02","Per=Y","Days=T","Dir=V")</f>
        <v>0</v>
      </c>
      <c r="AE2">
        <f>BDH("DHR US Equity","NET_INCOME","1993-06-18","2026-05-02","Per=Y","Days=T","Dir=V")</f>
        <v>0</v>
      </c>
      <c r="AG2">
        <f>BDH("DHR US Equity","IS_INT_EXPENSE","1993-06-18","2026-05-02","Per=Y","Days=T","Dir=V")</f>
        <v>0</v>
      </c>
      <c r="AI2">
        <f>BDH("DHR US Equity","IS_DEPR_EXP","1993-06-18","2026-05-02","Per=Y","Days=T","Dir=V")</f>
        <v>0</v>
      </c>
      <c r="AK2">
        <f>BDH("DHR US Equity","CF_CASH_FROM_OPER","1993-06-18","2026-05-02","Per=Y","Days=T","Dir=V")</f>
        <v>0</v>
      </c>
      <c r="AM2">
        <f>BDH("DHR US Equity","CAPITAL_EXPEND","1993-06-18","2026-05-02","Per=Y","Days=T","Dir=V")</f>
        <v>0</v>
      </c>
      <c r="AO2">
        <f>BDH("DHR US Equity","CF_FREE_CASH_FLOW","1993-06-18","2026-05-02","Per=Y","Days=T","Dir=V")</f>
        <v>0</v>
      </c>
      <c r="AQ2">
        <f>BDH("DHR US Equity","PX_LAST","1993-06-18","2026-05-02","Per=M","Days=T","Dir=V")</f>
        <v>0</v>
      </c>
      <c r="AS2">
        <f>BDH("DHR US Equity","CUR_MKT_CAP","1993-06-18","2026-05-02","Per=M","Days=T","Dir=V")</f>
        <v>0</v>
      </c>
      <c r="AU2">
        <f>BDH("DHR US Equity","EQY_SH_OUT","1993-06-18","2026-05-02","Per=M","Days=T","Dir=V")</f>
        <v>0</v>
      </c>
      <c r="AW2">
        <f>BDH("DHR US Equity","PX_VOLUME","1993-06-18","2026-05-02","Per=M","Days=T","Dir=V")</f>
        <v>0</v>
      </c>
      <c r="AY2">
        <f>BDH("DHR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BDH("DHX US Equity","BS_TOT_ASSET","1993-06-18","2026-05-02","Per=Y","Days=T","Dir=V")</f>
        <v>0</v>
      </c>
      <c r="C2">
        <f>BDH("DHX US Equity","BS_TOT_LIAB2","1993-06-18","2026-05-02","Per=Y","Days=T","Dir=V")</f>
        <v>0</v>
      </c>
      <c r="E2">
        <f>BDH("DHX US Equity","SHORT_AND_LONG_TERM_DEBT","1993-06-18","2026-05-02","Per=Y","Days=T","Dir=V")</f>
        <v>0</v>
      </c>
      <c r="G2">
        <f>BDH("DHX US Equity","BS_ST_BORROW","1993-06-18","2026-05-02","Per=Y","Days=T","Dir=V")</f>
        <v>0</v>
      </c>
      <c r="I2">
        <f>BDH("DHX US Equity","BS_LT_BORROW","1993-06-18","2026-05-02","Per=Y","Days=T","Dir=V")</f>
        <v>0</v>
      </c>
      <c r="K2">
        <f>BDH("DHX US Equity","BS_CASH_NEAR_CASH_ITEM","1993-06-18","2026-05-02","Per=Y","Days=T","Dir=V")</f>
        <v>0</v>
      </c>
      <c r="M2">
        <f>BDH("DHX US Equity","BS_CUR_ASSET_REPORT","1993-06-18","2026-05-02","Per=Y","Days=T","Dir=V")</f>
        <v>0</v>
      </c>
      <c r="O2">
        <f>BDH("DHX US Equity","BS_CUR_LIAB","1993-06-18","2026-05-02","Per=Y","Days=T","Dir=V")</f>
        <v>0</v>
      </c>
      <c r="Q2">
        <f>BDH("DHX US Equity","BS_SHAREHOLDER_EQY_ENDING_PERIOD","1993-06-18","2026-05-02","Per=Y","Days=T","Dir=V")</f>
        <v>0</v>
      </c>
      <c r="S2">
        <f>BDH("DHX US Equity","BS_ACCT_NOTE_RCV","1993-06-18","2026-05-02","Per=Y","Days=T","Dir=V")</f>
        <v>0</v>
      </c>
      <c r="U2">
        <f>BDH("DHX US Equity","BS_INVENTORIES","1993-06-18","2026-05-02","Per=Y","Days=T","Dir=V")</f>
        <v>0</v>
      </c>
      <c r="W2">
        <f>BDH("DHX US Equity","WORKING_CAPITAL","1993-06-18","2026-05-02","Per=Y","Days=T","Dir=V")</f>
        <v>0</v>
      </c>
      <c r="Y2">
        <f>BDH("DHX US Equity","SALES_REV_TURN","1993-06-18","2026-05-02","Per=Y","Days=T","Dir=V")</f>
        <v>0</v>
      </c>
      <c r="AA2">
        <f>BDH("DHX US Equity","EBIT","1993-06-18","2026-05-02","Per=Y","Days=T","Dir=V")</f>
        <v>0</v>
      </c>
      <c r="AC2">
        <f>BDH("DHX US Equity","EBITDA","1993-06-18","2026-05-02","Per=Y","Days=T","Dir=V")</f>
        <v>0</v>
      </c>
      <c r="AE2">
        <f>BDH("DHX US Equity","NET_INCOME","1993-06-18","2026-05-02","Per=Y","Days=T","Dir=V")</f>
        <v>0</v>
      </c>
      <c r="AG2">
        <f>BDH("DHX US Equity","IS_INT_EXPENSE","1993-06-18","2026-05-02","Per=Y","Days=T","Dir=V")</f>
        <v>0</v>
      </c>
      <c r="AI2">
        <f>BDH("DHX US Equity","IS_DEPR_EXP","1993-06-18","2026-05-02","Per=Y","Days=T","Dir=V")</f>
        <v>0</v>
      </c>
      <c r="AK2">
        <f>BDH("DHX US Equity","CF_CASH_FROM_OPER","1993-06-18","2026-05-02","Per=Y","Days=T","Dir=V")</f>
        <v>0</v>
      </c>
      <c r="AM2">
        <f>BDH("DHX US Equity","CAPITAL_EXPEND","1993-06-18","2026-05-02","Per=Y","Days=T","Dir=V")</f>
        <v>0</v>
      </c>
      <c r="AO2">
        <f>BDH("DHX US Equity","CF_FREE_CASH_FLOW","1993-06-18","2026-05-02","Per=Y","Days=T","Dir=V")</f>
        <v>0</v>
      </c>
      <c r="AQ2">
        <f>BDH("DHX US Equity","PX_LAST","1993-06-18","2026-05-02","Per=M","Days=T","Dir=V")</f>
        <v>0</v>
      </c>
      <c r="AS2">
        <f>BDH("DHX US Equity","CUR_MKT_CAP","1993-06-18","2026-05-02","Per=M","Days=T","Dir=V")</f>
        <v>0</v>
      </c>
      <c r="AU2">
        <f>BDH("DHX US Equity","EQY_SH_OUT","1993-06-18","2026-05-02","Per=M","Days=T","Dir=V")</f>
        <v>0</v>
      </c>
      <c r="AW2">
        <f>BDH("DHX US Equity","PX_VOLUME","1993-06-18","2026-05-02","Per=M","Days=T","Dir=V")</f>
        <v>0</v>
      </c>
      <c r="AY2">
        <f>BDH("DHX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BDH("DIBS US Equity","BS_TOT_ASSET","1993-06-18","2026-05-02","Per=Y","Days=T","Dir=V")</f>
        <v>0</v>
      </c>
      <c r="C2">
        <f>BDH("DIBS US Equity","BS_TOT_LIAB2","1993-06-18","2026-05-02","Per=Y","Days=T","Dir=V")</f>
        <v>0</v>
      </c>
      <c r="E2">
        <f>BDH("DIBS US Equity","SHORT_AND_LONG_TERM_DEBT","1993-06-18","2026-05-02","Per=Y","Days=T","Dir=V")</f>
        <v>0</v>
      </c>
      <c r="G2">
        <f>BDH("DIBS US Equity","BS_ST_BORROW","1993-06-18","2026-05-02","Per=Y","Days=T","Dir=V")</f>
        <v>0</v>
      </c>
      <c r="I2">
        <f>BDH("DIBS US Equity","BS_LT_BORROW","1993-06-18","2026-05-02","Per=Y","Days=T","Dir=V")</f>
        <v>0</v>
      </c>
      <c r="K2">
        <f>BDH("DIBS US Equity","BS_CASH_NEAR_CASH_ITEM","1993-06-18","2026-05-02","Per=Y","Days=T","Dir=V")</f>
        <v>0</v>
      </c>
      <c r="M2">
        <f>BDH("DIBS US Equity","BS_CUR_ASSET_REPORT","1993-06-18","2026-05-02","Per=Y","Days=T","Dir=V")</f>
        <v>0</v>
      </c>
      <c r="O2">
        <f>BDH("DIBS US Equity","BS_CUR_LIAB","1993-06-18","2026-05-02","Per=Y","Days=T","Dir=V")</f>
        <v>0</v>
      </c>
      <c r="Q2">
        <f>BDH("DIBS US Equity","BS_SHAREHOLDER_EQY_ENDING_PERIOD","1993-06-18","2026-05-02","Per=Y","Days=T","Dir=V")</f>
        <v>0</v>
      </c>
      <c r="S2">
        <f>BDH("DIBS US Equity","BS_ACCT_NOTE_RCV","1993-06-18","2026-05-02","Per=Y","Days=T","Dir=V")</f>
        <v>0</v>
      </c>
      <c r="U2">
        <f>BDH("DIBS US Equity","BS_INVENTORIES","1993-06-18","2026-05-02","Per=Y","Days=T","Dir=V")</f>
        <v>0</v>
      </c>
      <c r="W2">
        <f>BDH("DIBS US Equity","WORKING_CAPITAL","1993-06-18","2026-05-02","Per=Y","Days=T","Dir=V")</f>
        <v>0</v>
      </c>
      <c r="Y2">
        <f>BDH("DIBS US Equity","SALES_REV_TURN","1993-06-18","2026-05-02","Per=Y","Days=T","Dir=V")</f>
        <v>0</v>
      </c>
      <c r="AA2">
        <f>BDH("DIBS US Equity","EBIT","1993-06-18","2026-05-02","Per=Y","Days=T","Dir=V")</f>
        <v>0</v>
      </c>
      <c r="AC2">
        <f>BDH("DIBS US Equity","EBITDA","1993-06-18","2026-05-02","Per=Y","Days=T","Dir=V")</f>
        <v>0</v>
      </c>
      <c r="AE2">
        <f>BDH("DIBS US Equity","NET_INCOME","1993-06-18","2026-05-02","Per=Y","Days=T","Dir=V")</f>
        <v>0</v>
      </c>
      <c r="AG2">
        <f>BDH("DIBS US Equity","IS_INT_EXPENSE","1993-06-18","2026-05-02","Per=Y","Days=T","Dir=V")</f>
        <v>0</v>
      </c>
      <c r="AI2">
        <f>BDH("DIBS US Equity","IS_DEPR_EXP","1993-06-18","2026-05-02","Per=Y","Days=T","Dir=V")</f>
        <v>0</v>
      </c>
      <c r="AK2">
        <f>BDH("DIBS US Equity","CF_CASH_FROM_OPER","1993-06-18","2026-05-02","Per=Y","Days=T","Dir=V")</f>
        <v>0</v>
      </c>
      <c r="AM2">
        <f>BDH("DIBS US Equity","CAPITAL_EXPEND","1993-06-18","2026-05-02","Per=Y","Days=T","Dir=V")</f>
        <v>0</v>
      </c>
      <c r="AO2">
        <f>BDH("DIBS US Equity","CF_FREE_CASH_FLOW","1993-06-18","2026-05-02","Per=Y","Days=T","Dir=V")</f>
        <v>0</v>
      </c>
      <c r="AQ2">
        <f>BDH("DIBS US Equity","PX_LAST","1993-06-18","2026-05-02","Per=M","Days=T","Dir=V")</f>
        <v>0</v>
      </c>
      <c r="AS2">
        <f>BDH("DIBS US Equity","CUR_MKT_CAP","1993-06-18","2026-05-02","Per=M","Days=T","Dir=V")</f>
        <v>0</v>
      </c>
      <c r="AU2">
        <f>BDH("DIBS US Equity","EQY_SH_OUT","1993-06-18","2026-05-02","Per=M","Days=T","Dir=V")</f>
        <v>0</v>
      </c>
      <c r="AW2">
        <f>BDH("DIBS US Equity","PX_VOLUME","1993-06-18","2026-05-02","Per=M","Days=T","Dir=V")</f>
        <v>0</v>
      </c>
      <c r="AY2">
        <f>BDH("DIBS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BDH("DIN US Equity","BS_TOT_ASSET","1993-06-18","2026-05-02","Per=Y","Days=T","Dir=V")</f>
        <v>0</v>
      </c>
      <c r="C2">
        <f>BDH("DIN US Equity","BS_TOT_LIAB2","1993-06-18","2026-05-02","Per=Y","Days=T","Dir=V")</f>
        <v>0</v>
      </c>
      <c r="E2">
        <f>BDH("DIN US Equity","SHORT_AND_LONG_TERM_DEBT","1993-06-18","2026-05-02","Per=Y","Days=T","Dir=V")</f>
        <v>0</v>
      </c>
      <c r="G2">
        <f>BDH("DIN US Equity","BS_ST_BORROW","1993-06-18","2026-05-02","Per=Y","Days=T","Dir=V")</f>
        <v>0</v>
      </c>
      <c r="I2">
        <f>BDH("DIN US Equity","BS_LT_BORROW","1993-06-18","2026-05-02","Per=Y","Days=T","Dir=V")</f>
        <v>0</v>
      </c>
      <c r="K2">
        <f>BDH("DIN US Equity","BS_CASH_NEAR_CASH_ITEM","1993-06-18","2026-05-02","Per=Y","Days=T","Dir=V")</f>
        <v>0</v>
      </c>
      <c r="M2">
        <f>BDH("DIN US Equity","BS_CUR_ASSET_REPORT","1993-06-18","2026-05-02","Per=Y","Days=T","Dir=V")</f>
        <v>0</v>
      </c>
      <c r="O2">
        <f>BDH("DIN US Equity","BS_CUR_LIAB","1993-06-18","2026-05-02","Per=Y","Days=T","Dir=V")</f>
        <v>0</v>
      </c>
      <c r="Q2">
        <f>BDH("DIN US Equity","BS_SHAREHOLDER_EQY_ENDING_PERIOD","1993-06-18","2026-05-02","Per=Y","Days=T","Dir=V")</f>
        <v>0</v>
      </c>
      <c r="S2">
        <f>BDH("DIN US Equity","BS_ACCT_NOTE_RCV","1993-06-18","2026-05-02","Per=Y","Days=T","Dir=V")</f>
        <v>0</v>
      </c>
      <c r="U2">
        <f>BDH("DIN US Equity","BS_INVENTORIES","1993-06-18","2026-05-02","Per=Y","Days=T","Dir=V")</f>
        <v>0</v>
      </c>
      <c r="W2">
        <f>BDH("DIN US Equity","WORKING_CAPITAL","1993-06-18","2026-05-02","Per=Y","Days=T","Dir=V")</f>
        <v>0</v>
      </c>
      <c r="Y2">
        <f>BDH("DIN US Equity","SALES_REV_TURN","1993-06-18","2026-05-02","Per=Y","Days=T","Dir=V")</f>
        <v>0</v>
      </c>
      <c r="AA2">
        <f>BDH("DIN US Equity","EBIT","1993-06-18","2026-05-02","Per=Y","Days=T","Dir=V")</f>
        <v>0</v>
      </c>
      <c r="AC2">
        <f>BDH("DIN US Equity","EBITDA","1993-06-18","2026-05-02","Per=Y","Days=T","Dir=V")</f>
        <v>0</v>
      </c>
      <c r="AE2">
        <f>BDH("DIN US Equity","NET_INCOME","1993-06-18","2026-05-02","Per=Y","Days=T","Dir=V")</f>
        <v>0</v>
      </c>
      <c r="AG2">
        <f>BDH("DIN US Equity","IS_INT_EXPENSE","1993-06-18","2026-05-02","Per=Y","Days=T","Dir=V")</f>
        <v>0</v>
      </c>
      <c r="AI2">
        <f>BDH("DIN US Equity","IS_DEPR_EXP","1993-06-18","2026-05-02","Per=Y","Days=T","Dir=V")</f>
        <v>0</v>
      </c>
      <c r="AK2">
        <f>BDH("DIN US Equity","CF_CASH_FROM_OPER","1993-06-18","2026-05-02","Per=Y","Days=T","Dir=V")</f>
        <v>0</v>
      </c>
      <c r="AM2">
        <f>BDH("DIN US Equity","CAPITAL_EXPEND","1993-06-18","2026-05-02","Per=Y","Days=T","Dir=V")</f>
        <v>0</v>
      </c>
      <c r="AO2">
        <f>BDH("DIN US Equity","CF_FREE_CASH_FLOW","1993-06-18","2026-05-02","Per=Y","Days=T","Dir=V")</f>
        <v>0</v>
      </c>
      <c r="AQ2">
        <f>BDH("DIN US Equity","PX_LAST","1993-06-18","2026-05-02","Per=M","Days=T","Dir=V")</f>
        <v>0</v>
      </c>
      <c r="AS2">
        <f>BDH("DIN US Equity","CUR_MKT_CAP","1993-06-18","2026-05-02","Per=M","Days=T","Dir=V")</f>
        <v>0</v>
      </c>
      <c r="AU2">
        <f>BDH("DIN US Equity","EQY_SH_OUT","1993-06-18","2026-05-02","Per=M","Days=T","Dir=V")</f>
        <v>0</v>
      </c>
      <c r="AW2">
        <f>BDH("DIN US Equity","PX_VOLUME","1993-06-18","2026-05-02","Per=M","Days=T","Dir=V")</f>
        <v>0</v>
      </c>
      <c r="AY2">
        <f>BDH("DIN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BDH("DINO US Equity","BS_TOT_ASSET","1993-06-18","2026-05-02","Per=Y","Days=T","Dir=V")</f>
        <v>0</v>
      </c>
      <c r="C2">
        <f>BDH("DINO US Equity","BS_TOT_LIAB2","1993-06-18","2026-05-02","Per=Y","Days=T","Dir=V")</f>
        <v>0</v>
      </c>
      <c r="E2">
        <f>BDH("DINO US Equity","SHORT_AND_LONG_TERM_DEBT","1993-06-18","2026-05-02","Per=Y","Days=T","Dir=V")</f>
        <v>0</v>
      </c>
      <c r="G2">
        <f>BDH("DINO US Equity","BS_ST_BORROW","1993-06-18","2026-05-02","Per=Y","Days=T","Dir=V")</f>
        <v>0</v>
      </c>
      <c r="I2">
        <f>BDH("DINO US Equity","BS_LT_BORROW","1993-06-18","2026-05-02","Per=Y","Days=T","Dir=V")</f>
        <v>0</v>
      </c>
      <c r="K2">
        <f>BDH("DINO US Equity","BS_CASH_NEAR_CASH_ITEM","1993-06-18","2026-05-02","Per=Y","Days=T","Dir=V")</f>
        <v>0</v>
      </c>
      <c r="M2">
        <f>BDH("DINO US Equity","BS_CUR_ASSET_REPORT","1993-06-18","2026-05-02","Per=Y","Days=T","Dir=V")</f>
        <v>0</v>
      </c>
      <c r="O2">
        <f>BDH("DINO US Equity","BS_CUR_LIAB","1993-06-18","2026-05-02","Per=Y","Days=T","Dir=V")</f>
        <v>0</v>
      </c>
      <c r="Q2">
        <f>BDH("DINO US Equity","BS_SHAREHOLDER_EQY_ENDING_PERIOD","1993-06-18","2026-05-02","Per=Y","Days=T","Dir=V")</f>
        <v>0</v>
      </c>
      <c r="S2">
        <f>BDH("DINO US Equity","BS_ACCT_NOTE_RCV","1993-06-18","2026-05-02","Per=Y","Days=T","Dir=V")</f>
        <v>0</v>
      </c>
      <c r="U2">
        <f>BDH("DINO US Equity","BS_INVENTORIES","1993-06-18","2026-05-02","Per=Y","Days=T","Dir=V")</f>
        <v>0</v>
      </c>
      <c r="W2">
        <f>BDH("DINO US Equity","WORKING_CAPITAL","1993-06-18","2026-05-02","Per=Y","Days=T","Dir=V")</f>
        <v>0</v>
      </c>
      <c r="Y2">
        <f>BDH("DINO US Equity","SALES_REV_TURN","1993-06-18","2026-05-02","Per=Y","Days=T","Dir=V")</f>
        <v>0</v>
      </c>
      <c r="AA2">
        <f>BDH("DINO US Equity","EBIT","1993-06-18","2026-05-02","Per=Y","Days=T","Dir=V")</f>
        <v>0</v>
      </c>
      <c r="AC2">
        <f>BDH("DINO US Equity","EBITDA","1993-06-18","2026-05-02","Per=Y","Days=T","Dir=V")</f>
        <v>0</v>
      </c>
      <c r="AE2">
        <f>BDH("DINO US Equity","NET_INCOME","1993-06-18","2026-05-02","Per=Y","Days=T","Dir=V")</f>
        <v>0</v>
      </c>
      <c r="AG2">
        <f>BDH("DINO US Equity","IS_INT_EXPENSE","1993-06-18","2026-05-02","Per=Y","Days=T","Dir=V")</f>
        <v>0</v>
      </c>
      <c r="AI2">
        <f>BDH("DINO US Equity","IS_DEPR_EXP","1993-06-18","2026-05-02","Per=Y","Days=T","Dir=V")</f>
        <v>0</v>
      </c>
      <c r="AK2">
        <f>BDH("DINO US Equity","CF_CASH_FROM_OPER","1993-06-18","2026-05-02","Per=Y","Days=T","Dir=V")</f>
        <v>0</v>
      </c>
      <c r="AM2">
        <f>BDH("DINO US Equity","CAPITAL_EXPEND","1993-06-18","2026-05-02","Per=Y","Days=T","Dir=V")</f>
        <v>0</v>
      </c>
      <c r="AO2">
        <f>BDH("DINO US Equity","CF_FREE_CASH_FLOW","1993-06-18","2026-05-02","Per=Y","Days=T","Dir=V")</f>
        <v>0</v>
      </c>
      <c r="AQ2">
        <f>BDH("DINO US Equity","PX_LAST","1993-06-18","2026-05-02","Per=M","Days=T","Dir=V")</f>
        <v>0</v>
      </c>
      <c r="AS2">
        <f>BDH("DINO US Equity","CUR_MKT_CAP","1993-06-18","2026-05-02","Per=M","Days=T","Dir=V")</f>
        <v>0</v>
      </c>
      <c r="AU2">
        <f>BDH("DINO US Equity","EQY_SH_OUT","1993-06-18","2026-05-02","Per=M","Days=T","Dir=V")</f>
        <v>0</v>
      </c>
      <c r="AW2">
        <f>BDH("DINO US Equity","PX_VOLUME","1993-06-18","2026-05-02","Per=M","Days=T","Dir=V")</f>
        <v>0</v>
      </c>
      <c r="AY2">
        <f>BDH("DINO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BDH("DIOD US Equity","BS_TOT_ASSET","1993-06-18","2026-05-02","Per=Y","Days=T","Dir=V")</f>
        <v>0</v>
      </c>
      <c r="C2">
        <f>BDH("DIOD US Equity","BS_TOT_LIAB2","1993-06-18","2026-05-02","Per=Y","Days=T","Dir=V")</f>
        <v>0</v>
      </c>
      <c r="E2">
        <f>BDH("DIOD US Equity","SHORT_AND_LONG_TERM_DEBT","1993-06-18","2026-05-02","Per=Y","Days=T","Dir=V")</f>
        <v>0</v>
      </c>
      <c r="G2">
        <f>BDH("DIOD US Equity","BS_ST_BORROW","1993-06-18","2026-05-02","Per=Y","Days=T","Dir=V")</f>
        <v>0</v>
      </c>
      <c r="I2">
        <f>BDH("DIOD US Equity","BS_LT_BORROW","1993-06-18","2026-05-02","Per=Y","Days=T","Dir=V")</f>
        <v>0</v>
      </c>
      <c r="K2">
        <f>BDH("DIOD US Equity","BS_CASH_NEAR_CASH_ITEM","1993-06-18","2026-05-02","Per=Y","Days=T","Dir=V")</f>
        <v>0</v>
      </c>
      <c r="M2">
        <f>BDH("DIOD US Equity","BS_CUR_ASSET_REPORT","1993-06-18","2026-05-02","Per=Y","Days=T","Dir=V")</f>
        <v>0</v>
      </c>
      <c r="O2">
        <f>BDH("DIOD US Equity","BS_CUR_LIAB","1993-06-18","2026-05-02","Per=Y","Days=T","Dir=V")</f>
        <v>0</v>
      </c>
      <c r="Q2">
        <f>BDH("DIOD US Equity","BS_SHAREHOLDER_EQY_ENDING_PERIOD","1993-06-18","2026-05-02","Per=Y","Days=T","Dir=V")</f>
        <v>0</v>
      </c>
      <c r="S2">
        <f>BDH("DIOD US Equity","BS_ACCT_NOTE_RCV","1993-06-18","2026-05-02","Per=Y","Days=T","Dir=V")</f>
        <v>0</v>
      </c>
      <c r="U2">
        <f>BDH("DIOD US Equity","BS_INVENTORIES","1993-06-18","2026-05-02","Per=Y","Days=T","Dir=V")</f>
        <v>0</v>
      </c>
      <c r="W2">
        <f>BDH("DIOD US Equity","WORKING_CAPITAL","1993-06-18","2026-05-02","Per=Y","Days=T","Dir=V")</f>
        <v>0</v>
      </c>
      <c r="Y2">
        <f>BDH("DIOD US Equity","SALES_REV_TURN","1993-06-18","2026-05-02","Per=Y","Days=T","Dir=V")</f>
        <v>0</v>
      </c>
      <c r="AA2">
        <f>BDH("DIOD US Equity","EBIT","1993-06-18","2026-05-02","Per=Y","Days=T","Dir=V")</f>
        <v>0</v>
      </c>
      <c r="AC2">
        <f>BDH("DIOD US Equity","EBITDA","1993-06-18","2026-05-02","Per=Y","Days=T","Dir=V")</f>
        <v>0</v>
      </c>
      <c r="AE2">
        <f>BDH("DIOD US Equity","NET_INCOME","1993-06-18","2026-05-02","Per=Y","Days=T","Dir=V")</f>
        <v>0</v>
      </c>
      <c r="AG2">
        <f>BDH("DIOD US Equity","IS_INT_EXPENSE","1993-06-18","2026-05-02","Per=Y","Days=T","Dir=V")</f>
        <v>0</v>
      </c>
      <c r="AI2">
        <f>BDH("DIOD US Equity","IS_DEPR_EXP","1993-06-18","2026-05-02","Per=Y","Days=T","Dir=V")</f>
        <v>0</v>
      </c>
      <c r="AK2">
        <f>BDH("DIOD US Equity","CF_CASH_FROM_OPER","1993-06-18","2026-05-02","Per=Y","Days=T","Dir=V")</f>
        <v>0</v>
      </c>
      <c r="AM2">
        <f>BDH("DIOD US Equity","CAPITAL_EXPEND","1993-06-18","2026-05-02","Per=Y","Days=T","Dir=V")</f>
        <v>0</v>
      </c>
      <c r="AO2">
        <f>BDH("DIOD US Equity","CF_FREE_CASH_FLOW","1993-06-18","2026-05-02","Per=Y","Days=T","Dir=V")</f>
        <v>0</v>
      </c>
      <c r="AQ2">
        <f>BDH("DIOD US Equity","PX_LAST","1993-06-18","2026-05-02","Per=M","Days=T","Dir=V")</f>
        <v>0</v>
      </c>
      <c r="AS2">
        <f>BDH("DIOD US Equity","CUR_MKT_CAP","1993-06-18","2026-05-02","Per=M","Days=T","Dir=V")</f>
        <v>0</v>
      </c>
      <c r="AU2">
        <f>BDH("DIOD US Equity","EQY_SH_OUT","1993-06-18","2026-05-02","Per=M","Days=T","Dir=V")</f>
        <v>0</v>
      </c>
      <c r="AW2">
        <f>BDH("DIOD US Equity","PX_VOLUME","1993-06-18","2026-05-02","Per=M","Days=T","Dir=V")</f>
        <v>0</v>
      </c>
      <c r="AY2">
        <f>BDH("DIOD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BDH("DIS US Equity","BS_TOT_ASSET","1993-06-18","2026-05-02","Per=Y","Days=T","Dir=V")</f>
        <v>0</v>
      </c>
      <c r="C2">
        <f>BDH("DIS US Equity","BS_TOT_LIAB2","1993-06-18","2026-05-02","Per=Y","Days=T","Dir=V")</f>
        <v>0</v>
      </c>
      <c r="E2">
        <f>BDH("DIS US Equity","SHORT_AND_LONG_TERM_DEBT","1993-06-18","2026-05-02","Per=Y","Days=T","Dir=V")</f>
        <v>0</v>
      </c>
      <c r="G2">
        <f>BDH("DIS US Equity","BS_ST_BORROW","1993-06-18","2026-05-02","Per=Y","Days=T","Dir=V")</f>
        <v>0</v>
      </c>
      <c r="I2">
        <f>BDH("DIS US Equity","BS_LT_BORROW","1993-06-18","2026-05-02","Per=Y","Days=T","Dir=V")</f>
        <v>0</v>
      </c>
      <c r="K2">
        <f>BDH("DIS US Equity","BS_CASH_NEAR_CASH_ITEM","1993-06-18","2026-05-02","Per=Y","Days=T","Dir=V")</f>
        <v>0</v>
      </c>
      <c r="M2">
        <f>BDH("DIS US Equity","BS_CUR_ASSET_REPORT","1993-06-18","2026-05-02","Per=Y","Days=T","Dir=V")</f>
        <v>0</v>
      </c>
      <c r="O2">
        <f>BDH("DIS US Equity","BS_CUR_LIAB","1993-06-18","2026-05-02","Per=Y","Days=T","Dir=V")</f>
        <v>0</v>
      </c>
      <c r="Q2">
        <f>BDH("DIS US Equity","BS_SHAREHOLDER_EQY_ENDING_PERIOD","1993-06-18","2026-05-02","Per=Y","Days=T","Dir=V")</f>
        <v>0</v>
      </c>
      <c r="S2">
        <f>BDH("DIS US Equity","BS_ACCT_NOTE_RCV","1993-06-18","2026-05-02","Per=Y","Days=T","Dir=V")</f>
        <v>0</v>
      </c>
      <c r="U2">
        <f>BDH("DIS US Equity","BS_INVENTORIES","1993-06-18","2026-05-02","Per=Y","Days=T","Dir=V")</f>
        <v>0</v>
      </c>
      <c r="W2">
        <f>BDH("DIS US Equity","WORKING_CAPITAL","1993-06-18","2026-05-02","Per=Y","Days=T","Dir=V")</f>
        <v>0</v>
      </c>
      <c r="Y2">
        <f>BDH("DIS US Equity","SALES_REV_TURN","1993-06-18","2026-05-02","Per=Y","Days=T","Dir=V")</f>
        <v>0</v>
      </c>
      <c r="AA2">
        <f>BDH("DIS US Equity","EBIT","1993-06-18","2026-05-02","Per=Y","Days=T","Dir=V")</f>
        <v>0</v>
      </c>
      <c r="AC2">
        <f>BDH("DIS US Equity","EBITDA","1993-06-18","2026-05-02","Per=Y","Days=T","Dir=V")</f>
        <v>0</v>
      </c>
      <c r="AE2">
        <f>BDH("DIS US Equity","NET_INCOME","1993-06-18","2026-05-02","Per=Y","Days=T","Dir=V")</f>
        <v>0</v>
      </c>
      <c r="AG2">
        <f>BDH("DIS US Equity","IS_INT_EXPENSE","1993-06-18","2026-05-02","Per=Y","Days=T","Dir=V")</f>
        <v>0</v>
      </c>
      <c r="AI2">
        <f>BDH("DIS US Equity","IS_DEPR_EXP","1993-06-18","2026-05-02","Per=Y","Days=T","Dir=V")</f>
        <v>0</v>
      </c>
      <c r="AK2">
        <f>BDH("DIS US Equity","CF_CASH_FROM_OPER","1993-06-18","2026-05-02","Per=Y","Days=T","Dir=V")</f>
        <v>0</v>
      </c>
      <c r="AM2">
        <f>BDH("DIS US Equity","CAPITAL_EXPEND","1993-06-18","2026-05-02","Per=Y","Days=T","Dir=V")</f>
        <v>0</v>
      </c>
      <c r="AO2">
        <f>BDH("DIS US Equity","CF_FREE_CASH_FLOW","1993-06-18","2026-05-02","Per=Y","Days=T","Dir=V")</f>
        <v>0</v>
      </c>
      <c r="AQ2">
        <f>BDH("DIS US Equity","PX_LAST","1993-06-18","2026-05-02","Per=M","Days=T","Dir=V")</f>
        <v>0</v>
      </c>
      <c r="AS2">
        <f>BDH("DIS US Equity","CUR_MKT_CAP","1993-06-18","2026-05-02","Per=M","Days=T","Dir=V")</f>
        <v>0</v>
      </c>
      <c r="AU2">
        <f>BDH("DIS US Equity","EQY_SH_OUT","1993-06-18","2026-05-02","Per=M","Days=T","Dir=V")</f>
        <v>0</v>
      </c>
      <c r="AW2">
        <f>BDH("DIS US Equity","PX_VOLUME","1993-06-18","2026-05-02","Per=M","Days=T","Dir=V")</f>
        <v>0</v>
      </c>
      <c r="AY2">
        <f>BDH("DIS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BDH("DIT US Equity","BS_TOT_ASSET","1993-06-18","2026-05-02","Per=Y","Days=T","Dir=V")</f>
        <v>0</v>
      </c>
      <c r="C2">
        <f>BDH("DIT US Equity","BS_TOT_LIAB2","1993-06-18","2026-05-02","Per=Y","Days=T","Dir=V")</f>
        <v>0</v>
      </c>
      <c r="E2">
        <f>BDH("DIT US Equity","SHORT_AND_LONG_TERM_DEBT","1993-06-18","2026-05-02","Per=Y","Days=T","Dir=V")</f>
        <v>0</v>
      </c>
      <c r="G2">
        <f>BDH("DIT US Equity","BS_ST_BORROW","1993-06-18","2026-05-02","Per=Y","Days=T","Dir=V")</f>
        <v>0</v>
      </c>
      <c r="I2">
        <f>BDH("DIT US Equity","BS_LT_BORROW","1993-06-18","2026-05-02","Per=Y","Days=T","Dir=V")</f>
        <v>0</v>
      </c>
      <c r="K2">
        <f>BDH("DIT US Equity","BS_CASH_NEAR_CASH_ITEM","1993-06-18","2026-05-02","Per=Y","Days=T","Dir=V")</f>
        <v>0</v>
      </c>
      <c r="M2">
        <f>BDH("DIT US Equity","BS_CUR_ASSET_REPORT","1993-06-18","2026-05-02","Per=Y","Days=T","Dir=V")</f>
        <v>0</v>
      </c>
      <c r="O2">
        <f>BDH("DIT US Equity","BS_CUR_LIAB","1993-06-18","2026-05-02","Per=Y","Days=T","Dir=V")</f>
        <v>0</v>
      </c>
      <c r="Q2">
        <f>BDH("DIT US Equity","BS_SHAREHOLDER_EQY_ENDING_PERIOD","1993-06-18","2026-05-02","Per=Y","Days=T","Dir=V")</f>
        <v>0</v>
      </c>
      <c r="S2">
        <f>BDH("DIT US Equity","BS_ACCT_NOTE_RCV","1993-06-18","2026-05-02","Per=Y","Days=T","Dir=V")</f>
        <v>0</v>
      </c>
      <c r="U2">
        <f>BDH("DIT US Equity","BS_INVENTORIES","1993-06-18","2026-05-02","Per=Y","Days=T","Dir=V")</f>
        <v>0</v>
      </c>
      <c r="W2">
        <f>BDH("DIT US Equity","WORKING_CAPITAL","1993-06-18","2026-05-02","Per=Y","Days=T","Dir=V")</f>
        <v>0</v>
      </c>
      <c r="Y2">
        <f>BDH("DIT US Equity","SALES_REV_TURN","1993-06-18","2026-05-02","Per=Y","Days=T","Dir=V")</f>
        <v>0</v>
      </c>
      <c r="AA2">
        <f>BDH("DIT US Equity","EBIT","1993-06-18","2026-05-02","Per=Y","Days=T","Dir=V")</f>
        <v>0</v>
      </c>
      <c r="AC2">
        <f>BDH("DIT US Equity","EBITDA","1993-06-18","2026-05-02","Per=Y","Days=T","Dir=V")</f>
        <v>0</v>
      </c>
      <c r="AE2">
        <f>BDH("DIT US Equity","NET_INCOME","1993-06-18","2026-05-02","Per=Y","Days=T","Dir=V")</f>
        <v>0</v>
      </c>
      <c r="AG2">
        <f>BDH("DIT US Equity","IS_INT_EXPENSE","1993-06-18","2026-05-02","Per=Y","Days=T","Dir=V")</f>
        <v>0</v>
      </c>
      <c r="AI2">
        <f>BDH("DIT US Equity","IS_DEPR_EXP","1993-06-18","2026-05-02","Per=Y","Days=T","Dir=V")</f>
        <v>0</v>
      </c>
      <c r="AK2">
        <f>BDH("DIT US Equity","CF_CASH_FROM_OPER","1993-06-18","2026-05-02","Per=Y","Days=T","Dir=V")</f>
        <v>0</v>
      </c>
      <c r="AM2">
        <f>BDH("DIT US Equity","CAPITAL_EXPEND","1993-06-18","2026-05-02","Per=Y","Days=T","Dir=V")</f>
        <v>0</v>
      </c>
      <c r="AO2">
        <f>BDH("DIT US Equity","CF_FREE_CASH_FLOW","1993-06-18","2026-05-02","Per=Y","Days=T","Dir=V")</f>
        <v>0</v>
      </c>
      <c r="AQ2">
        <f>BDH("DIT US Equity","PX_LAST","1993-06-18","2026-05-02","Per=M","Days=T","Dir=V")</f>
        <v>0</v>
      </c>
      <c r="AS2">
        <f>BDH("DIT US Equity","CUR_MKT_CAP","1993-06-18","2026-05-02","Per=M","Days=T","Dir=V")</f>
        <v>0</v>
      </c>
      <c r="AU2">
        <f>BDH("DIT US Equity","EQY_SH_OUT","1993-06-18","2026-05-02","Per=M","Days=T","Dir=V")</f>
        <v>0</v>
      </c>
      <c r="AW2">
        <f>BDH("DIT US Equity","PX_VOLUME","1993-06-18","2026-05-02","Per=M","Days=T","Dir=V")</f>
        <v>0</v>
      </c>
      <c r="AY2">
        <f>BDH("DIT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BDH("DJCO US Equity","BS_TOT_ASSET","1993-06-18","2026-05-02","Per=Y","Days=T","Dir=V")</f>
        <v>0</v>
      </c>
      <c r="C2">
        <f>BDH("DJCO US Equity","BS_TOT_LIAB2","1993-06-18","2026-05-02","Per=Y","Days=T","Dir=V")</f>
        <v>0</v>
      </c>
      <c r="E2">
        <f>BDH("DJCO US Equity","SHORT_AND_LONG_TERM_DEBT","1993-06-18","2026-05-02","Per=Y","Days=T","Dir=V")</f>
        <v>0</v>
      </c>
      <c r="G2">
        <f>BDH("DJCO US Equity","BS_ST_BORROW","1993-06-18","2026-05-02","Per=Y","Days=T","Dir=V")</f>
        <v>0</v>
      </c>
      <c r="I2">
        <f>BDH("DJCO US Equity","BS_LT_BORROW","1993-06-18","2026-05-02","Per=Y","Days=T","Dir=V")</f>
        <v>0</v>
      </c>
      <c r="K2">
        <f>BDH("DJCO US Equity","BS_CASH_NEAR_CASH_ITEM","1993-06-18","2026-05-02","Per=Y","Days=T","Dir=V")</f>
        <v>0</v>
      </c>
      <c r="M2">
        <f>BDH("DJCO US Equity","BS_CUR_ASSET_REPORT","1993-06-18","2026-05-02","Per=Y","Days=T","Dir=V")</f>
        <v>0</v>
      </c>
      <c r="O2">
        <f>BDH("DJCO US Equity","BS_CUR_LIAB","1993-06-18","2026-05-02","Per=Y","Days=T","Dir=V")</f>
        <v>0</v>
      </c>
      <c r="Q2">
        <f>BDH("DJCO US Equity","BS_SHAREHOLDER_EQY_ENDING_PERIOD","1993-06-18","2026-05-02","Per=Y","Days=T","Dir=V")</f>
        <v>0</v>
      </c>
      <c r="S2">
        <f>BDH("DJCO US Equity","BS_ACCT_NOTE_RCV","1993-06-18","2026-05-02","Per=Y","Days=T","Dir=V")</f>
        <v>0</v>
      </c>
      <c r="U2">
        <f>BDH("DJCO US Equity","BS_INVENTORIES","1993-06-18","2026-05-02","Per=Y","Days=T","Dir=V")</f>
        <v>0</v>
      </c>
      <c r="W2">
        <f>BDH("DJCO US Equity","WORKING_CAPITAL","1993-06-18","2026-05-02","Per=Y","Days=T","Dir=V")</f>
        <v>0</v>
      </c>
      <c r="Y2">
        <f>BDH("DJCO US Equity","SALES_REV_TURN","1993-06-18","2026-05-02","Per=Y","Days=T","Dir=V")</f>
        <v>0</v>
      </c>
      <c r="AA2">
        <f>BDH("DJCO US Equity","EBIT","1993-06-18","2026-05-02","Per=Y","Days=T","Dir=V")</f>
        <v>0</v>
      </c>
      <c r="AC2">
        <f>BDH("DJCO US Equity","EBITDA","1993-06-18","2026-05-02","Per=Y","Days=T","Dir=V")</f>
        <v>0</v>
      </c>
      <c r="AE2">
        <f>BDH("DJCO US Equity","NET_INCOME","1993-06-18","2026-05-02","Per=Y","Days=T","Dir=V")</f>
        <v>0</v>
      </c>
      <c r="AG2">
        <f>BDH("DJCO US Equity","IS_INT_EXPENSE","1993-06-18","2026-05-02","Per=Y","Days=T","Dir=V")</f>
        <v>0</v>
      </c>
      <c r="AI2">
        <f>BDH("DJCO US Equity","IS_DEPR_EXP","1993-06-18","2026-05-02","Per=Y","Days=T","Dir=V")</f>
        <v>0</v>
      </c>
      <c r="AK2">
        <f>BDH("DJCO US Equity","CF_CASH_FROM_OPER","1993-06-18","2026-05-02","Per=Y","Days=T","Dir=V")</f>
        <v>0</v>
      </c>
      <c r="AM2">
        <f>BDH("DJCO US Equity","CAPITAL_EXPEND","1993-06-18","2026-05-02","Per=Y","Days=T","Dir=V")</f>
        <v>0</v>
      </c>
      <c r="AO2">
        <f>BDH("DJCO US Equity","CF_FREE_CASH_FLOW","1993-06-18","2026-05-02","Per=Y","Days=T","Dir=V")</f>
        <v>0</v>
      </c>
      <c r="AQ2">
        <f>BDH("DJCO US Equity","PX_LAST","1993-06-18","2026-05-02","Per=M","Days=T","Dir=V")</f>
        <v>0</v>
      </c>
      <c r="AS2">
        <f>BDH("DJCO US Equity","CUR_MKT_CAP","1993-06-18","2026-05-02","Per=M","Days=T","Dir=V")</f>
        <v>0</v>
      </c>
      <c r="AU2">
        <f>BDH("DJCO US Equity","EQY_SH_OUT","1993-06-18","2026-05-02","Per=M","Days=T","Dir=V")</f>
        <v>0</v>
      </c>
      <c r="AW2">
        <f>BDH("DJCO US Equity","PX_VOLUME","1993-06-18","2026-05-02","Per=M","Days=T","Dir=V")</f>
        <v>0</v>
      </c>
      <c r="AY2">
        <f>BDH("DJCO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BDH("DJT US Equity","BS_TOT_ASSET","1993-06-18","2026-05-02","Per=Y","Days=T","Dir=V")</f>
        <v>0</v>
      </c>
      <c r="C2">
        <f>BDH("DJT US Equity","BS_TOT_LIAB2","1993-06-18","2026-05-02","Per=Y","Days=T","Dir=V")</f>
        <v>0</v>
      </c>
      <c r="E2">
        <f>BDH("DJT US Equity","SHORT_AND_LONG_TERM_DEBT","1993-06-18","2026-05-02","Per=Y","Days=T","Dir=V")</f>
        <v>0</v>
      </c>
      <c r="G2">
        <f>BDH("DJT US Equity","BS_ST_BORROW","1993-06-18","2026-05-02","Per=Y","Days=T","Dir=V")</f>
        <v>0</v>
      </c>
      <c r="I2">
        <f>BDH("DJT US Equity","BS_LT_BORROW","1993-06-18","2026-05-02","Per=Y","Days=T","Dir=V")</f>
        <v>0</v>
      </c>
      <c r="K2">
        <f>BDH("DJT US Equity","BS_CASH_NEAR_CASH_ITEM","1993-06-18","2026-05-02","Per=Y","Days=T","Dir=V")</f>
        <v>0</v>
      </c>
      <c r="M2">
        <f>BDH("DJT US Equity","BS_CUR_ASSET_REPORT","1993-06-18","2026-05-02","Per=Y","Days=T","Dir=V")</f>
        <v>0</v>
      </c>
      <c r="O2">
        <f>BDH("DJT US Equity","BS_CUR_LIAB","1993-06-18","2026-05-02","Per=Y","Days=T","Dir=V")</f>
        <v>0</v>
      </c>
      <c r="Q2">
        <f>BDH("DJT US Equity","BS_SHAREHOLDER_EQY_ENDING_PERIOD","1993-06-18","2026-05-02","Per=Y","Days=T","Dir=V")</f>
        <v>0</v>
      </c>
      <c r="S2">
        <f>BDH("DJT US Equity","BS_ACCT_NOTE_RCV","1993-06-18","2026-05-02","Per=Y","Days=T","Dir=V")</f>
        <v>0</v>
      </c>
      <c r="U2">
        <f>BDH("DJT US Equity","BS_INVENTORIES","1993-06-18","2026-05-02","Per=Y","Days=T","Dir=V")</f>
        <v>0</v>
      </c>
      <c r="W2">
        <f>BDH("DJT US Equity","WORKING_CAPITAL","1993-06-18","2026-05-02","Per=Y","Days=T","Dir=V")</f>
        <v>0</v>
      </c>
      <c r="Y2">
        <f>BDH("DJT US Equity","SALES_REV_TURN","1993-06-18","2026-05-02","Per=Y","Days=T","Dir=V")</f>
        <v>0</v>
      </c>
      <c r="AA2">
        <f>BDH("DJT US Equity","EBIT","1993-06-18","2026-05-02","Per=Y","Days=T","Dir=V")</f>
        <v>0</v>
      </c>
      <c r="AC2">
        <f>BDH("DJT US Equity","EBITDA","1993-06-18","2026-05-02","Per=Y","Days=T","Dir=V")</f>
        <v>0</v>
      </c>
      <c r="AE2">
        <f>BDH("DJT US Equity","NET_INCOME","1993-06-18","2026-05-02","Per=Y","Days=T","Dir=V")</f>
        <v>0</v>
      </c>
      <c r="AG2">
        <f>BDH("DJT US Equity","IS_INT_EXPENSE","1993-06-18","2026-05-02","Per=Y","Days=T","Dir=V")</f>
        <v>0</v>
      </c>
      <c r="AI2">
        <f>BDH("DJT US Equity","IS_DEPR_EXP","1993-06-18","2026-05-02","Per=Y","Days=T","Dir=V")</f>
        <v>0</v>
      </c>
      <c r="AK2">
        <f>BDH("DJT US Equity","CF_CASH_FROM_OPER","1993-06-18","2026-05-02","Per=Y","Days=T","Dir=V")</f>
        <v>0</v>
      </c>
      <c r="AM2">
        <f>BDH("DJT US Equity","CAPITAL_EXPEND","1993-06-18","2026-05-02","Per=Y","Days=T","Dir=V")</f>
        <v>0</v>
      </c>
      <c r="AO2">
        <f>BDH("DJT US Equity","CF_FREE_CASH_FLOW","1993-06-18","2026-05-02","Per=Y","Days=T","Dir=V")</f>
        <v>0</v>
      </c>
      <c r="AQ2">
        <f>BDH("DJT US Equity","PX_LAST","1993-06-18","2026-05-02","Per=M","Days=T","Dir=V")</f>
        <v>0</v>
      </c>
      <c r="AS2">
        <f>BDH("DJT US Equity","CUR_MKT_CAP","1993-06-18","2026-05-02","Per=M","Days=T","Dir=V")</f>
        <v>0</v>
      </c>
      <c r="AU2">
        <f>BDH("DJT US Equity","EQY_SH_OUT","1993-06-18","2026-05-02","Per=M","Days=T","Dir=V")</f>
        <v>0</v>
      </c>
      <c r="AW2">
        <f>BDH("DJT US Equity","PX_VOLUME","1993-06-18","2026-05-02","Per=M","Days=T","Dir=V")</f>
        <v>0</v>
      </c>
      <c r="AY2">
        <f>BDH("DJT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BDH("DJTWW US Equity","BS_TOT_ASSET","1993-06-18","2026-05-02","Per=Y","Days=T","Dir=V")</f>
        <v>0</v>
      </c>
      <c r="C2">
        <f>BDH("DJTWW US Equity","BS_TOT_LIAB2","1993-06-18","2026-05-02","Per=Y","Days=T","Dir=V")</f>
        <v>0</v>
      </c>
      <c r="E2">
        <f>BDH("DJTWW US Equity","SHORT_AND_LONG_TERM_DEBT","1993-06-18","2026-05-02","Per=Y","Days=T","Dir=V")</f>
        <v>0</v>
      </c>
      <c r="G2">
        <f>BDH("DJTWW US Equity","BS_ST_BORROW","1993-06-18","2026-05-02","Per=Y","Days=T","Dir=V")</f>
        <v>0</v>
      </c>
      <c r="I2">
        <f>BDH("DJTWW US Equity","BS_LT_BORROW","1993-06-18","2026-05-02","Per=Y","Days=T","Dir=V")</f>
        <v>0</v>
      </c>
      <c r="K2">
        <f>BDH("DJTWW US Equity","BS_CASH_NEAR_CASH_ITEM","1993-06-18","2026-05-02","Per=Y","Days=T","Dir=V")</f>
        <v>0</v>
      </c>
      <c r="M2">
        <f>BDH("DJTWW US Equity","BS_CUR_ASSET_REPORT","1993-06-18","2026-05-02","Per=Y","Days=T","Dir=V")</f>
        <v>0</v>
      </c>
      <c r="O2">
        <f>BDH("DJTWW US Equity","BS_CUR_LIAB","1993-06-18","2026-05-02","Per=Y","Days=T","Dir=V")</f>
        <v>0</v>
      </c>
      <c r="Q2">
        <f>BDH("DJTWW US Equity","BS_SHAREHOLDER_EQY_ENDING_PERIOD","1993-06-18","2026-05-02","Per=Y","Days=T","Dir=V")</f>
        <v>0</v>
      </c>
      <c r="S2">
        <f>BDH("DJTWW US Equity","BS_ACCT_NOTE_RCV","1993-06-18","2026-05-02","Per=Y","Days=T","Dir=V")</f>
        <v>0</v>
      </c>
      <c r="U2">
        <f>BDH("DJTWW US Equity","BS_INVENTORIES","1993-06-18","2026-05-02","Per=Y","Days=T","Dir=V")</f>
        <v>0</v>
      </c>
      <c r="W2">
        <f>BDH("DJTWW US Equity","WORKING_CAPITAL","1993-06-18","2026-05-02","Per=Y","Days=T","Dir=V")</f>
        <v>0</v>
      </c>
      <c r="Y2">
        <f>BDH("DJTWW US Equity","SALES_REV_TURN","1993-06-18","2026-05-02","Per=Y","Days=T","Dir=V")</f>
        <v>0</v>
      </c>
      <c r="AA2">
        <f>BDH("DJTWW US Equity","EBIT","1993-06-18","2026-05-02","Per=Y","Days=T","Dir=V")</f>
        <v>0</v>
      </c>
      <c r="AC2">
        <f>BDH("DJTWW US Equity","EBITDA","1993-06-18","2026-05-02","Per=Y","Days=T","Dir=V")</f>
        <v>0</v>
      </c>
      <c r="AE2">
        <f>BDH("DJTWW US Equity","NET_INCOME","1993-06-18","2026-05-02","Per=Y","Days=T","Dir=V")</f>
        <v>0</v>
      </c>
      <c r="AG2">
        <f>BDH("DJTWW US Equity","IS_INT_EXPENSE","1993-06-18","2026-05-02","Per=Y","Days=T","Dir=V")</f>
        <v>0</v>
      </c>
      <c r="AI2">
        <f>BDH("DJTWW US Equity","IS_DEPR_EXP","1993-06-18","2026-05-02","Per=Y","Days=T","Dir=V")</f>
        <v>0</v>
      </c>
      <c r="AK2">
        <f>BDH("DJTWW US Equity","CF_CASH_FROM_OPER","1993-06-18","2026-05-02","Per=Y","Days=T","Dir=V")</f>
        <v>0</v>
      </c>
      <c r="AM2">
        <f>BDH("DJTWW US Equity","CAPITAL_EXPEND","1993-06-18","2026-05-02","Per=Y","Days=T","Dir=V")</f>
        <v>0</v>
      </c>
      <c r="AO2">
        <f>BDH("DJTWW US Equity","CF_FREE_CASH_FLOW","1993-06-18","2026-05-02","Per=Y","Days=T","Dir=V")</f>
        <v>0</v>
      </c>
      <c r="AQ2">
        <f>BDH("DJTWW US Equity","PX_LAST","1993-06-18","2026-05-02","Per=M","Days=T","Dir=V")</f>
        <v>0</v>
      </c>
      <c r="AS2">
        <f>BDH("DJTWW US Equity","CUR_MKT_CAP","1993-06-18","2026-05-02","Per=M","Days=T","Dir=V")</f>
        <v>0</v>
      </c>
      <c r="AU2">
        <f>BDH("DJTWW US Equity","EQY_SH_OUT","1993-06-18","2026-05-02","Per=M","Days=T","Dir=V")</f>
        <v>0</v>
      </c>
      <c r="AW2">
        <f>BDH("DJTWW US Equity","PX_VOLUME","1993-06-18","2026-05-02","Per=M","Days=T","Dir=V")</f>
        <v>0</v>
      </c>
      <c r="AY2">
        <f>BDH("DJTWW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BDH("DK US Equity","BS_TOT_ASSET","1993-06-18","2026-05-02","Per=Y","Days=T","Dir=V")</f>
        <v>0</v>
      </c>
      <c r="C2">
        <f>BDH("DK US Equity","BS_TOT_LIAB2","1993-06-18","2026-05-02","Per=Y","Days=T","Dir=V")</f>
        <v>0</v>
      </c>
      <c r="E2">
        <f>BDH("DK US Equity","SHORT_AND_LONG_TERM_DEBT","1993-06-18","2026-05-02","Per=Y","Days=T","Dir=V")</f>
        <v>0</v>
      </c>
      <c r="G2">
        <f>BDH("DK US Equity","BS_ST_BORROW","1993-06-18","2026-05-02","Per=Y","Days=T","Dir=V")</f>
        <v>0</v>
      </c>
      <c r="I2">
        <f>BDH("DK US Equity","BS_LT_BORROW","1993-06-18","2026-05-02","Per=Y","Days=T","Dir=V")</f>
        <v>0</v>
      </c>
      <c r="K2">
        <f>BDH("DK US Equity","BS_CASH_NEAR_CASH_ITEM","1993-06-18","2026-05-02","Per=Y","Days=T","Dir=V")</f>
        <v>0</v>
      </c>
      <c r="M2">
        <f>BDH("DK US Equity","BS_CUR_ASSET_REPORT","1993-06-18","2026-05-02","Per=Y","Days=T","Dir=V")</f>
        <v>0</v>
      </c>
      <c r="O2">
        <f>BDH("DK US Equity","BS_CUR_LIAB","1993-06-18","2026-05-02","Per=Y","Days=T","Dir=V")</f>
        <v>0</v>
      </c>
      <c r="Q2">
        <f>BDH("DK US Equity","BS_SHAREHOLDER_EQY_ENDING_PERIOD","1993-06-18","2026-05-02","Per=Y","Days=T","Dir=V")</f>
        <v>0</v>
      </c>
      <c r="S2">
        <f>BDH("DK US Equity","BS_ACCT_NOTE_RCV","1993-06-18","2026-05-02","Per=Y","Days=T","Dir=V")</f>
        <v>0</v>
      </c>
      <c r="U2">
        <f>BDH("DK US Equity","BS_INVENTORIES","1993-06-18","2026-05-02","Per=Y","Days=T","Dir=V")</f>
        <v>0</v>
      </c>
      <c r="W2">
        <f>BDH("DK US Equity","WORKING_CAPITAL","1993-06-18","2026-05-02","Per=Y","Days=T","Dir=V")</f>
        <v>0</v>
      </c>
      <c r="Y2">
        <f>BDH("DK US Equity","SALES_REV_TURN","1993-06-18","2026-05-02","Per=Y","Days=T","Dir=V")</f>
        <v>0</v>
      </c>
      <c r="AA2">
        <f>BDH("DK US Equity","EBIT","1993-06-18","2026-05-02","Per=Y","Days=T","Dir=V")</f>
        <v>0</v>
      </c>
      <c r="AC2">
        <f>BDH("DK US Equity","EBITDA","1993-06-18","2026-05-02","Per=Y","Days=T","Dir=V")</f>
        <v>0</v>
      </c>
      <c r="AE2">
        <f>BDH("DK US Equity","NET_INCOME","1993-06-18","2026-05-02","Per=Y","Days=T","Dir=V")</f>
        <v>0</v>
      </c>
      <c r="AG2">
        <f>BDH("DK US Equity","IS_INT_EXPENSE","1993-06-18","2026-05-02","Per=Y","Days=T","Dir=V")</f>
        <v>0</v>
      </c>
      <c r="AI2">
        <f>BDH("DK US Equity","IS_DEPR_EXP","1993-06-18","2026-05-02","Per=Y","Days=T","Dir=V")</f>
        <v>0</v>
      </c>
      <c r="AK2">
        <f>BDH("DK US Equity","CF_CASH_FROM_OPER","1993-06-18","2026-05-02","Per=Y","Days=T","Dir=V")</f>
        <v>0</v>
      </c>
      <c r="AM2">
        <f>BDH("DK US Equity","CAPITAL_EXPEND","1993-06-18","2026-05-02","Per=Y","Days=T","Dir=V")</f>
        <v>0</v>
      </c>
      <c r="AO2">
        <f>BDH("DK US Equity","CF_FREE_CASH_FLOW","1993-06-18","2026-05-02","Per=Y","Days=T","Dir=V")</f>
        <v>0</v>
      </c>
      <c r="AQ2">
        <f>BDH("DK US Equity","PX_LAST","1993-06-18","2026-05-02","Per=M","Days=T","Dir=V")</f>
        <v>0</v>
      </c>
      <c r="AS2">
        <f>BDH("DK US Equity","CUR_MKT_CAP","1993-06-18","2026-05-02","Per=M","Days=T","Dir=V")</f>
        <v>0</v>
      </c>
      <c r="AU2">
        <f>BDH("DK US Equity","EQY_SH_OUT","1993-06-18","2026-05-02","Per=M","Days=T","Dir=V")</f>
        <v>0</v>
      </c>
      <c r="AW2">
        <f>BDH("DK US Equity","PX_VOLUME","1993-06-18","2026-05-02","Per=M","Days=T","Dir=V")</f>
        <v>0</v>
      </c>
      <c r="AY2">
        <f>BDH("DK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BDH("DKL US Equity","BS_TOT_ASSET","1993-06-18","2026-05-02","Per=Y","Days=T","Dir=V")</f>
        <v>0</v>
      </c>
      <c r="C2">
        <f>BDH("DKL US Equity","BS_TOT_LIAB2","1993-06-18","2026-05-02","Per=Y","Days=T","Dir=V")</f>
        <v>0</v>
      </c>
      <c r="E2">
        <f>BDH("DKL US Equity","SHORT_AND_LONG_TERM_DEBT","1993-06-18","2026-05-02","Per=Y","Days=T","Dir=V")</f>
        <v>0</v>
      </c>
      <c r="G2">
        <f>BDH("DKL US Equity","BS_ST_BORROW","1993-06-18","2026-05-02","Per=Y","Days=T","Dir=V")</f>
        <v>0</v>
      </c>
      <c r="I2">
        <f>BDH("DKL US Equity","BS_LT_BORROW","1993-06-18","2026-05-02","Per=Y","Days=T","Dir=V")</f>
        <v>0</v>
      </c>
      <c r="K2">
        <f>BDH("DKL US Equity","BS_CASH_NEAR_CASH_ITEM","1993-06-18","2026-05-02","Per=Y","Days=T","Dir=V")</f>
        <v>0</v>
      </c>
      <c r="M2">
        <f>BDH("DKL US Equity","BS_CUR_ASSET_REPORT","1993-06-18","2026-05-02","Per=Y","Days=T","Dir=V")</f>
        <v>0</v>
      </c>
      <c r="O2">
        <f>BDH("DKL US Equity","BS_CUR_LIAB","1993-06-18","2026-05-02","Per=Y","Days=T","Dir=V")</f>
        <v>0</v>
      </c>
      <c r="Q2">
        <f>BDH("DKL US Equity","BS_SHAREHOLDER_EQY_ENDING_PERIOD","1993-06-18","2026-05-02","Per=Y","Days=T","Dir=V")</f>
        <v>0</v>
      </c>
      <c r="S2">
        <f>BDH("DKL US Equity","BS_ACCT_NOTE_RCV","1993-06-18","2026-05-02","Per=Y","Days=T","Dir=V")</f>
        <v>0</v>
      </c>
      <c r="U2">
        <f>BDH("DKL US Equity","BS_INVENTORIES","1993-06-18","2026-05-02","Per=Y","Days=T","Dir=V")</f>
        <v>0</v>
      </c>
      <c r="W2">
        <f>BDH("DKL US Equity","WORKING_CAPITAL","1993-06-18","2026-05-02","Per=Y","Days=T","Dir=V")</f>
        <v>0</v>
      </c>
      <c r="Y2">
        <f>BDH("DKL US Equity","SALES_REV_TURN","1993-06-18","2026-05-02","Per=Y","Days=T","Dir=V")</f>
        <v>0</v>
      </c>
      <c r="AA2">
        <f>BDH("DKL US Equity","EBIT","1993-06-18","2026-05-02","Per=Y","Days=T","Dir=V")</f>
        <v>0</v>
      </c>
      <c r="AC2">
        <f>BDH("DKL US Equity","EBITDA","1993-06-18","2026-05-02","Per=Y","Days=T","Dir=V")</f>
        <v>0</v>
      </c>
      <c r="AE2">
        <f>BDH("DKL US Equity","NET_INCOME","1993-06-18","2026-05-02","Per=Y","Days=T","Dir=V")</f>
        <v>0</v>
      </c>
      <c r="AG2">
        <f>BDH("DKL US Equity","IS_INT_EXPENSE","1993-06-18","2026-05-02","Per=Y","Days=T","Dir=V")</f>
        <v>0</v>
      </c>
      <c r="AI2">
        <f>BDH("DKL US Equity","IS_DEPR_EXP","1993-06-18","2026-05-02","Per=Y","Days=T","Dir=V")</f>
        <v>0</v>
      </c>
      <c r="AK2">
        <f>BDH("DKL US Equity","CF_CASH_FROM_OPER","1993-06-18","2026-05-02","Per=Y","Days=T","Dir=V")</f>
        <v>0</v>
      </c>
      <c r="AM2">
        <f>BDH("DKL US Equity","CAPITAL_EXPEND","1993-06-18","2026-05-02","Per=Y","Days=T","Dir=V")</f>
        <v>0</v>
      </c>
      <c r="AO2">
        <f>BDH("DKL US Equity","CF_FREE_CASH_FLOW","1993-06-18","2026-05-02","Per=Y","Days=T","Dir=V")</f>
        <v>0</v>
      </c>
      <c r="AQ2">
        <f>BDH("DKL US Equity","PX_LAST","1993-06-18","2026-05-02","Per=M","Days=T","Dir=V")</f>
        <v>0</v>
      </c>
      <c r="AS2">
        <f>BDH("DKL US Equity","CUR_MKT_CAP","1993-06-18","2026-05-02","Per=M","Days=T","Dir=V")</f>
        <v>0</v>
      </c>
      <c r="AU2">
        <f>BDH("DKL US Equity","EQY_SH_OUT","1993-06-18","2026-05-02","Per=M","Days=T","Dir=V")</f>
        <v>0</v>
      </c>
      <c r="AW2">
        <f>BDH("DKL US Equity","PX_VOLUME","1993-06-18","2026-05-02","Per=M","Days=T","Dir=V")</f>
        <v>0</v>
      </c>
      <c r="AY2">
        <f>BDH("DKL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BDH("DKNG US Equity","BS_TOT_ASSET","1993-06-18","2026-05-02","Per=Y","Days=T","Dir=V")</f>
        <v>0</v>
      </c>
      <c r="C2">
        <f>BDH("DKNG US Equity","BS_TOT_LIAB2","1993-06-18","2026-05-02","Per=Y","Days=T","Dir=V")</f>
        <v>0</v>
      </c>
      <c r="E2">
        <f>BDH("DKNG US Equity","SHORT_AND_LONG_TERM_DEBT","1993-06-18","2026-05-02","Per=Y","Days=T","Dir=V")</f>
        <v>0</v>
      </c>
      <c r="G2">
        <f>BDH("DKNG US Equity","BS_ST_BORROW","1993-06-18","2026-05-02","Per=Y","Days=T","Dir=V")</f>
        <v>0</v>
      </c>
      <c r="I2">
        <f>BDH("DKNG US Equity","BS_LT_BORROW","1993-06-18","2026-05-02","Per=Y","Days=T","Dir=V")</f>
        <v>0</v>
      </c>
      <c r="K2">
        <f>BDH("DKNG US Equity","BS_CASH_NEAR_CASH_ITEM","1993-06-18","2026-05-02","Per=Y","Days=T","Dir=V")</f>
        <v>0</v>
      </c>
      <c r="M2">
        <f>BDH("DKNG US Equity","BS_CUR_ASSET_REPORT","1993-06-18","2026-05-02","Per=Y","Days=T","Dir=V")</f>
        <v>0</v>
      </c>
      <c r="O2">
        <f>BDH("DKNG US Equity","BS_CUR_LIAB","1993-06-18","2026-05-02","Per=Y","Days=T","Dir=V")</f>
        <v>0</v>
      </c>
      <c r="Q2">
        <f>BDH("DKNG US Equity","BS_SHAREHOLDER_EQY_ENDING_PERIOD","1993-06-18","2026-05-02","Per=Y","Days=T","Dir=V")</f>
        <v>0</v>
      </c>
      <c r="S2">
        <f>BDH("DKNG US Equity","BS_ACCT_NOTE_RCV","1993-06-18","2026-05-02","Per=Y","Days=T","Dir=V")</f>
        <v>0</v>
      </c>
      <c r="U2">
        <f>BDH("DKNG US Equity","BS_INVENTORIES","1993-06-18","2026-05-02","Per=Y","Days=T","Dir=V")</f>
        <v>0</v>
      </c>
      <c r="W2">
        <f>BDH("DKNG US Equity","WORKING_CAPITAL","1993-06-18","2026-05-02","Per=Y","Days=T","Dir=V")</f>
        <v>0</v>
      </c>
      <c r="Y2">
        <f>BDH("DKNG US Equity","SALES_REV_TURN","1993-06-18","2026-05-02","Per=Y","Days=T","Dir=V")</f>
        <v>0</v>
      </c>
      <c r="AA2">
        <f>BDH("DKNG US Equity","EBIT","1993-06-18","2026-05-02","Per=Y","Days=T","Dir=V")</f>
        <v>0</v>
      </c>
      <c r="AC2">
        <f>BDH("DKNG US Equity","EBITDA","1993-06-18","2026-05-02","Per=Y","Days=T","Dir=V")</f>
        <v>0</v>
      </c>
      <c r="AE2">
        <f>BDH("DKNG US Equity","NET_INCOME","1993-06-18","2026-05-02","Per=Y","Days=T","Dir=V")</f>
        <v>0</v>
      </c>
      <c r="AG2">
        <f>BDH("DKNG US Equity","IS_INT_EXPENSE","1993-06-18","2026-05-02","Per=Y","Days=T","Dir=V")</f>
        <v>0</v>
      </c>
      <c r="AI2">
        <f>BDH("DKNG US Equity","IS_DEPR_EXP","1993-06-18","2026-05-02","Per=Y","Days=T","Dir=V")</f>
        <v>0</v>
      </c>
      <c r="AK2">
        <f>BDH("DKNG US Equity","CF_CASH_FROM_OPER","1993-06-18","2026-05-02","Per=Y","Days=T","Dir=V")</f>
        <v>0</v>
      </c>
      <c r="AM2">
        <f>BDH("DKNG US Equity","CAPITAL_EXPEND","1993-06-18","2026-05-02","Per=Y","Days=T","Dir=V")</f>
        <v>0</v>
      </c>
      <c r="AO2">
        <f>BDH("DKNG US Equity","CF_FREE_CASH_FLOW","1993-06-18","2026-05-02","Per=Y","Days=T","Dir=V")</f>
        <v>0</v>
      </c>
      <c r="AQ2">
        <f>BDH("DKNG US Equity","PX_LAST","1993-06-18","2026-05-02","Per=M","Days=T","Dir=V")</f>
        <v>0</v>
      </c>
      <c r="AS2">
        <f>BDH("DKNG US Equity","CUR_MKT_CAP","1993-06-18","2026-05-02","Per=M","Days=T","Dir=V")</f>
        <v>0</v>
      </c>
      <c r="AU2">
        <f>BDH("DKNG US Equity","EQY_SH_OUT","1993-06-18","2026-05-02","Per=M","Days=T","Dir=V")</f>
        <v>0</v>
      </c>
      <c r="AW2">
        <f>BDH("DKNG US Equity","PX_VOLUME","1993-06-18","2026-05-02","Per=M","Days=T","Dir=V")</f>
        <v>0</v>
      </c>
      <c r="AY2">
        <f>BDH("DKNG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BDH("DKS US Equity","BS_TOT_ASSET","1993-06-18","2026-05-02","Per=Y","Days=T","Dir=V")</f>
        <v>0</v>
      </c>
      <c r="C2">
        <f>BDH("DKS US Equity","BS_TOT_LIAB2","1993-06-18","2026-05-02","Per=Y","Days=T","Dir=V")</f>
        <v>0</v>
      </c>
      <c r="E2">
        <f>BDH("DKS US Equity","SHORT_AND_LONG_TERM_DEBT","1993-06-18","2026-05-02","Per=Y","Days=T","Dir=V")</f>
        <v>0</v>
      </c>
      <c r="G2">
        <f>BDH("DKS US Equity","BS_ST_BORROW","1993-06-18","2026-05-02","Per=Y","Days=T","Dir=V")</f>
        <v>0</v>
      </c>
      <c r="I2">
        <f>BDH("DKS US Equity","BS_LT_BORROW","1993-06-18","2026-05-02","Per=Y","Days=T","Dir=V")</f>
        <v>0</v>
      </c>
      <c r="K2">
        <f>BDH("DKS US Equity","BS_CASH_NEAR_CASH_ITEM","1993-06-18","2026-05-02","Per=Y","Days=T","Dir=V")</f>
        <v>0</v>
      </c>
      <c r="M2">
        <f>BDH("DKS US Equity","BS_CUR_ASSET_REPORT","1993-06-18","2026-05-02","Per=Y","Days=T","Dir=V")</f>
        <v>0</v>
      </c>
      <c r="O2">
        <f>BDH("DKS US Equity","BS_CUR_LIAB","1993-06-18","2026-05-02","Per=Y","Days=T","Dir=V")</f>
        <v>0</v>
      </c>
      <c r="Q2">
        <f>BDH("DKS US Equity","BS_SHAREHOLDER_EQY_ENDING_PERIOD","1993-06-18","2026-05-02","Per=Y","Days=T","Dir=V")</f>
        <v>0</v>
      </c>
      <c r="S2">
        <f>BDH("DKS US Equity","BS_ACCT_NOTE_RCV","1993-06-18","2026-05-02","Per=Y","Days=T","Dir=V")</f>
        <v>0</v>
      </c>
      <c r="U2">
        <f>BDH("DKS US Equity","BS_INVENTORIES","1993-06-18","2026-05-02","Per=Y","Days=T","Dir=V")</f>
        <v>0</v>
      </c>
      <c r="W2">
        <f>BDH("DKS US Equity","WORKING_CAPITAL","1993-06-18","2026-05-02","Per=Y","Days=T","Dir=V")</f>
        <v>0</v>
      </c>
      <c r="Y2">
        <f>BDH("DKS US Equity","SALES_REV_TURN","1993-06-18","2026-05-02","Per=Y","Days=T","Dir=V")</f>
        <v>0</v>
      </c>
      <c r="AA2">
        <f>BDH("DKS US Equity","EBIT","1993-06-18","2026-05-02","Per=Y","Days=T","Dir=V")</f>
        <v>0</v>
      </c>
      <c r="AC2">
        <f>BDH("DKS US Equity","EBITDA","1993-06-18","2026-05-02","Per=Y","Days=T","Dir=V")</f>
        <v>0</v>
      </c>
      <c r="AE2">
        <f>BDH("DKS US Equity","NET_INCOME","1993-06-18","2026-05-02","Per=Y","Days=T","Dir=V")</f>
        <v>0</v>
      </c>
      <c r="AG2">
        <f>BDH("DKS US Equity","IS_INT_EXPENSE","1993-06-18","2026-05-02","Per=Y","Days=T","Dir=V")</f>
        <v>0</v>
      </c>
      <c r="AI2">
        <f>BDH("DKS US Equity","IS_DEPR_EXP","1993-06-18","2026-05-02","Per=Y","Days=T","Dir=V")</f>
        <v>0</v>
      </c>
      <c r="AK2">
        <f>BDH("DKS US Equity","CF_CASH_FROM_OPER","1993-06-18","2026-05-02","Per=Y","Days=T","Dir=V")</f>
        <v>0</v>
      </c>
      <c r="AM2">
        <f>BDH("DKS US Equity","CAPITAL_EXPEND","1993-06-18","2026-05-02","Per=Y","Days=T","Dir=V")</f>
        <v>0</v>
      </c>
      <c r="AO2">
        <f>BDH("DKS US Equity","CF_FREE_CASH_FLOW","1993-06-18","2026-05-02","Per=Y","Days=T","Dir=V")</f>
        <v>0</v>
      </c>
      <c r="AQ2">
        <f>BDH("DKS US Equity","PX_LAST","1993-06-18","2026-05-02","Per=M","Days=T","Dir=V")</f>
        <v>0</v>
      </c>
      <c r="AS2">
        <f>BDH("DKS US Equity","CUR_MKT_CAP","1993-06-18","2026-05-02","Per=M","Days=T","Dir=V")</f>
        <v>0</v>
      </c>
      <c r="AU2">
        <f>BDH("DKS US Equity","EQY_SH_OUT","1993-06-18","2026-05-02","Per=M","Days=T","Dir=V")</f>
        <v>0</v>
      </c>
      <c r="AW2">
        <f>BDH("DKS US Equity","PX_VOLUME","1993-06-18","2026-05-02","Per=M","Days=T","Dir=V")</f>
        <v>0</v>
      </c>
      <c r="AY2">
        <f>BDH("DKS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BDH("DLHC US Equity","BS_TOT_ASSET","1993-06-18","2026-05-02","Per=Y","Days=T","Dir=V")</f>
        <v>0</v>
      </c>
      <c r="C2">
        <f>BDH("DLHC US Equity","BS_TOT_LIAB2","1993-06-18","2026-05-02","Per=Y","Days=T","Dir=V")</f>
        <v>0</v>
      </c>
      <c r="E2">
        <f>BDH("DLHC US Equity","SHORT_AND_LONG_TERM_DEBT","1993-06-18","2026-05-02","Per=Y","Days=T","Dir=V")</f>
        <v>0</v>
      </c>
      <c r="G2">
        <f>BDH("DLHC US Equity","BS_ST_BORROW","1993-06-18","2026-05-02","Per=Y","Days=T","Dir=V")</f>
        <v>0</v>
      </c>
      <c r="I2">
        <f>BDH("DLHC US Equity","BS_LT_BORROW","1993-06-18","2026-05-02","Per=Y","Days=T","Dir=V")</f>
        <v>0</v>
      </c>
      <c r="K2">
        <f>BDH("DLHC US Equity","BS_CASH_NEAR_CASH_ITEM","1993-06-18","2026-05-02","Per=Y","Days=T","Dir=V")</f>
        <v>0</v>
      </c>
      <c r="M2">
        <f>BDH("DLHC US Equity","BS_CUR_ASSET_REPORT","1993-06-18","2026-05-02","Per=Y","Days=T","Dir=V")</f>
        <v>0</v>
      </c>
      <c r="O2">
        <f>BDH("DLHC US Equity","BS_CUR_LIAB","1993-06-18","2026-05-02","Per=Y","Days=T","Dir=V")</f>
        <v>0</v>
      </c>
      <c r="Q2">
        <f>BDH("DLHC US Equity","BS_SHAREHOLDER_EQY_ENDING_PERIOD","1993-06-18","2026-05-02","Per=Y","Days=T","Dir=V")</f>
        <v>0</v>
      </c>
      <c r="S2">
        <f>BDH("DLHC US Equity","BS_ACCT_NOTE_RCV","1993-06-18","2026-05-02","Per=Y","Days=T","Dir=V")</f>
        <v>0</v>
      </c>
      <c r="U2">
        <f>BDH("DLHC US Equity","BS_INVENTORIES","1993-06-18","2026-05-02","Per=Y","Days=T","Dir=V")</f>
        <v>0</v>
      </c>
      <c r="W2">
        <f>BDH("DLHC US Equity","WORKING_CAPITAL","1993-06-18","2026-05-02","Per=Y","Days=T","Dir=V")</f>
        <v>0</v>
      </c>
      <c r="Y2">
        <f>BDH("DLHC US Equity","SALES_REV_TURN","1993-06-18","2026-05-02","Per=Y","Days=T","Dir=V")</f>
        <v>0</v>
      </c>
      <c r="AA2">
        <f>BDH("DLHC US Equity","EBIT","1993-06-18","2026-05-02","Per=Y","Days=T","Dir=V")</f>
        <v>0</v>
      </c>
      <c r="AC2">
        <f>BDH("DLHC US Equity","EBITDA","1993-06-18","2026-05-02","Per=Y","Days=T","Dir=V")</f>
        <v>0</v>
      </c>
      <c r="AE2">
        <f>BDH("DLHC US Equity","NET_INCOME","1993-06-18","2026-05-02","Per=Y","Days=T","Dir=V")</f>
        <v>0</v>
      </c>
      <c r="AG2">
        <f>BDH("DLHC US Equity","IS_INT_EXPENSE","1993-06-18","2026-05-02","Per=Y","Days=T","Dir=V")</f>
        <v>0</v>
      </c>
      <c r="AI2">
        <f>BDH("DLHC US Equity","IS_DEPR_EXP","1993-06-18","2026-05-02","Per=Y","Days=T","Dir=V")</f>
        <v>0</v>
      </c>
      <c r="AK2">
        <f>BDH("DLHC US Equity","CF_CASH_FROM_OPER","1993-06-18","2026-05-02","Per=Y","Days=T","Dir=V")</f>
        <v>0</v>
      </c>
      <c r="AM2">
        <f>BDH("DLHC US Equity","CAPITAL_EXPEND","1993-06-18","2026-05-02","Per=Y","Days=T","Dir=V")</f>
        <v>0</v>
      </c>
      <c r="AO2">
        <f>BDH("DLHC US Equity","CF_FREE_CASH_FLOW","1993-06-18","2026-05-02","Per=Y","Days=T","Dir=V")</f>
        <v>0</v>
      </c>
      <c r="AQ2">
        <f>BDH("DLHC US Equity","PX_LAST","1993-06-18","2026-05-02","Per=M","Days=T","Dir=V")</f>
        <v>0</v>
      </c>
      <c r="AS2">
        <f>BDH("DLHC US Equity","CUR_MKT_CAP","1993-06-18","2026-05-02","Per=M","Days=T","Dir=V")</f>
        <v>0</v>
      </c>
      <c r="AU2">
        <f>BDH("DLHC US Equity","EQY_SH_OUT","1993-06-18","2026-05-02","Per=M","Days=T","Dir=V")</f>
        <v>0</v>
      </c>
      <c r="AW2">
        <f>BDH("DLHC US Equity","PX_VOLUME","1993-06-18","2026-05-02","Per=M","Days=T","Dir=V")</f>
        <v>0</v>
      </c>
      <c r="AY2">
        <f>BDH("DLHC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BDH("DLPN US Equity","BS_TOT_ASSET","1993-06-18","2026-05-02","Per=Y","Days=T","Dir=V")</f>
        <v>0</v>
      </c>
      <c r="C2">
        <f>BDH("DLPN US Equity","BS_TOT_LIAB2","1993-06-18","2026-05-02","Per=Y","Days=T","Dir=V")</f>
        <v>0</v>
      </c>
      <c r="E2">
        <f>BDH("DLPN US Equity","SHORT_AND_LONG_TERM_DEBT","1993-06-18","2026-05-02","Per=Y","Days=T","Dir=V")</f>
        <v>0</v>
      </c>
      <c r="G2">
        <f>BDH("DLPN US Equity","BS_ST_BORROW","1993-06-18","2026-05-02","Per=Y","Days=T","Dir=V")</f>
        <v>0</v>
      </c>
      <c r="I2">
        <f>BDH("DLPN US Equity","BS_LT_BORROW","1993-06-18","2026-05-02","Per=Y","Days=T","Dir=V")</f>
        <v>0</v>
      </c>
      <c r="K2">
        <f>BDH("DLPN US Equity","BS_CASH_NEAR_CASH_ITEM","1993-06-18","2026-05-02","Per=Y","Days=T","Dir=V")</f>
        <v>0</v>
      </c>
      <c r="M2">
        <f>BDH("DLPN US Equity","BS_CUR_ASSET_REPORT","1993-06-18","2026-05-02","Per=Y","Days=T","Dir=V")</f>
        <v>0</v>
      </c>
      <c r="O2">
        <f>BDH("DLPN US Equity","BS_CUR_LIAB","1993-06-18","2026-05-02","Per=Y","Days=T","Dir=V")</f>
        <v>0</v>
      </c>
      <c r="Q2">
        <f>BDH("DLPN US Equity","BS_SHAREHOLDER_EQY_ENDING_PERIOD","1993-06-18","2026-05-02","Per=Y","Days=T","Dir=V")</f>
        <v>0</v>
      </c>
      <c r="S2">
        <f>BDH("DLPN US Equity","BS_ACCT_NOTE_RCV","1993-06-18","2026-05-02","Per=Y","Days=T","Dir=V")</f>
        <v>0</v>
      </c>
      <c r="U2">
        <f>BDH("DLPN US Equity","BS_INVENTORIES","1993-06-18","2026-05-02","Per=Y","Days=T","Dir=V")</f>
        <v>0</v>
      </c>
      <c r="W2">
        <f>BDH("DLPN US Equity","WORKING_CAPITAL","1993-06-18","2026-05-02","Per=Y","Days=T","Dir=V")</f>
        <v>0</v>
      </c>
      <c r="Y2">
        <f>BDH("DLPN US Equity","SALES_REV_TURN","1993-06-18","2026-05-02","Per=Y","Days=T","Dir=V")</f>
        <v>0</v>
      </c>
      <c r="AA2">
        <f>BDH("DLPN US Equity","EBIT","1993-06-18","2026-05-02","Per=Y","Days=T","Dir=V")</f>
        <v>0</v>
      </c>
      <c r="AC2">
        <f>BDH("DLPN US Equity","EBITDA","1993-06-18","2026-05-02","Per=Y","Days=T","Dir=V")</f>
        <v>0</v>
      </c>
      <c r="AE2">
        <f>BDH("DLPN US Equity","NET_INCOME","1993-06-18","2026-05-02","Per=Y","Days=T","Dir=V")</f>
        <v>0</v>
      </c>
      <c r="AG2">
        <f>BDH("DLPN US Equity","IS_INT_EXPENSE","1993-06-18","2026-05-02","Per=Y","Days=T","Dir=V")</f>
        <v>0</v>
      </c>
      <c r="AI2">
        <f>BDH("DLPN US Equity","IS_DEPR_EXP","1993-06-18","2026-05-02","Per=Y","Days=T","Dir=V")</f>
        <v>0</v>
      </c>
      <c r="AK2">
        <f>BDH("DLPN US Equity","CF_CASH_FROM_OPER","1993-06-18","2026-05-02","Per=Y","Days=T","Dir=V")</f>
        <v>0</v>
      </c>
      <c r="AM2">
        <f>BDH("DLPN US Equity","CAPITAL_EXPEND","1993-06-18","2026-05-02","Per=Y","Days=T","Dir=V")</f>
        <v>0</v>
      </c>
      <c r="AO2">
        <f>BDH("DLPN US Equity","CF_FREE_CASH_FLOW","1993-06-18","2026-05-02","Per=Y","Days=T","Dir=V")</f>
        <v>0</v>
      </c>
      <c r="AQ2">
        <f>BDH("DLPN US Equity","PX_LAST","1993-06-18","2026-05-02","Per=M","Days=T","Dir=V")</f>
        <v>0</v>
      </c>
      <c r="AS2">
        <f>BDH("DLPN US Equity","CUR_MKT_CAP","1993-06-18","2026-05-02","Per=M","Days=T","Dir=V")</f>
        <v>0</v>
      </c>
      <c r="AU2">
        <f>BDH("DLPN US Equity","EQY_SH_OUT","1993-06-18","2026-05-02","Per=M","Days=T","Dir=V")</f>
        <v>0</v>
      </c>
      <c r="AW2">
        <f>BDH("DLPN US Equity","PX_VOLUME","1993-06-18","2026-05-02","Per=M","Days=T","Dir=V")</f>
        <v>0</v>
      </c>
      <c r="AY2">
        <f>BDH("DLPN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BDH("DLTH US Equity","BS_TOT_ASSET","1993-06-18","2026-05-02","Per=Y","Days=T","Dir=V")</f>
        <v>0</v>
      </c>
      <c r="C2">
        <f>BDH("DLTH US Equity","BS_TOT_LIAB2","1993-06-18","2026-05-02","Per=Y","Days=T","Dir=V")</f>
        <v>0</v>
      </c>
      <c r="E2">
        <f>BDH("DLTH US Equity","SHORT_AND_LONG_TERM_DEBT","1993-06-18","2026-05-02","Per=Y","Days=T","Dir=V")</f>
        <v>0</v>
      </c>
      <c r="G2">
        <f>BDH("DLTH US Equity","BS_ST_BORROW","1993-06-18","2026-05-02","Per=Y","Days=T","Dir=V")</f>
        <v>0</v>
      </c>
      <c r="I2">
        <f>BDH("DLTH US Equity","BS_LT_BORROW","1993-06-18","2026-05-02","Per=Y","Days=T","Dir=V")</f>
        <v>0</v>
      </c>
      <c r="K2">
        <f>BDH("DLTH US Equity","BS_CASH_NEAR_CASH_ITEM","1993-06-18","2026-05-02","Per=Y","Days=T","Dir=V")</f>
        <v>0</v>
      </c>
      <c r="M2">
        <f>BDH("DLTH US Equity","BS_CUR_ASSET_REPORT","1993-06-18","2026-05-02","Per=Y","Days=T","Dir=V")</f>
        <v>0</v>
      </c>
      <c r="O2">
        <f>BDH("DLTH US Equity","BS_CUR_LIAB","1993-06-18","2026-05-02","Per=Y","Days=T","Dir=V")</f>
        <v>0</v>
      </c>
      <c r="Q2">
        <f>BDH("DLTH US Equity","BS_SHAREHOLDER_EQY_ENDING_PERIOD","1993-06-18","2026-05-02","Per=Y","Days=T","Dir=V")</f>
        <v>0</v>
      </c>
      <c r="S2">
        <f>BDH("DLTH US Equity","BS_ACCT_NOTE_RCV","1993-06-18","2026-05-02","Per=Y","Days=T","Dir=V")</f>
        <v>0</v>
      </c>
      <c r="U2">
        <f>BDH("DLTH US Equity","BS_INVENTORIES","1993-06-18","2026-05-02","Per=Y","Days=T","Dir=V")</f>
        <v>0</v>
      </c>
      <c r="W2">
        <f>BDH("DLTH US Equity","WORKING_CAPITAL","1993-06-18","2026-05-02","Per=Y","Days=T","Dir=V")</f>
        <v>0</v>
      </c>
      <c r="Y2">
        <f>BDH("DLTH US Equity","SALES_REV_TURN","1993-06-18","2026-05-02","Per=Y","Days=T","Dir=V")</f>
        <v>0</v>
      </c>
      <c r="AA2">
        <f>BDH("DLTH US Equity","EBIT","1993-06-18","2026-05-02","Per=Y","Days=T","Dir=V")</f>
        <v>0</v>
      </c>
      <c r="AC2">
        <f>BDH("DLTH US Equity","EBITDA","1993-06-18","2026-05-02","Per=Y","Days=T","Dir=V")</f>
        <v>0</v>
      </c>
      <c r="AE2">
        <f>BDH("DLTH US Equity","NET_INCOME","1993-06-18","2026-05-02","Per=Y","Days=T","Dir=V")</f>
        <v>0</v>
      </c>
      <c r="AG2">
        <f>BDH("DLTH US Equity","IS_INT_EXPENSE","1993-06-18","2026-05-02","Per=Y","Days=T","Dir=V")</f>
        <v>0</v>
      </c>
      <c r="AI2">
        <f>BDH("DLTH US Equity","IS_DEPR_EXP","1993-06-18","2026-05-02","Per=Y","Days=T","Dir=V")</f>
        <v>0</v>
      </c>
      <c r="AK2">
        <f>BDH("DLTH US Equity","CF_CASH_FROM_OPER","1993-06-18","2026-05-02","Per=Y","Days=T","Dir=V")</f>
        <v>0</v>
      </c>
      <c r="AM2">
        <f>BDH("DLTH US Equity","CAPITAL_EXPEND","1993-06-18","2026-05-02","Per=Y","Days=T","Dir=V")</f>
        <v>0</v>
      </c>
      <c r="AO2">
        <f>BDH("DLTH US Equity","CF_FREE_CASH_FLOW","1993-06-18","2026-05-02","Per=Y","Days=T","Dir=V")</f>
        <v>0</v>
      </c>
      <c r="AQ2">
        <f>BDH("DLTH US Equity","PX_LAST","1993-06-18","2026-05-02","Per=M","Days=T","Dir=V")</f>
        <v>0</v>
      </c>
      <c r="AS2">
        <f>BDH("DLTH US Equity","CUR_MKT_CAP","1993-06-18","2026-05-02","Per=M","Days=T","Dir=V")</f>
        <v>0</v>
      </c>
      <c r="AU2">
        <f>BDH("DLTH US Equity","EQY_SH_OUT","1993-06-18","2026-05-02","Per=M","Days=T","Dir=V")</f>
        <v>0</v>
      </c>
      <c r="AW2">
        <f>BDH("DLTH US Equity","PX_VOLUME","1993-06-18","2026-05-02","Per=M","Days=T","Dir=V")</f>
        <v>0</v>
      </c>
      <c r="AY2">
        <f>BDH("DLTH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BDH("DLTR US Equity","BS_TOT_ASSET","1993-06-18","2026-05-02","Per=Y","Days=T","Dir=V")</f>
        <v>0</v>
      </c>
      <c r="C2">
        <f>BDH("DLTR US Equity","BS_TOT_LIAB2","1993-06-18","2026-05-02","Per=Y","Days=T","Dir=V")</f>
        <v>0</v>
      </c>
      <c r="E2">
        <f>BDH("DLTR US Equity","SHORT_AND_LONG_TERM_DEBT","1993-06-18","2026-05-02","Per=Y","Days=T","Dir=V")</f>
        <v>0</v>
      </c>
      <c r="G2">
        <f>BDH("DLTR US Equity","BS_ST_BORROW","1993-06-18","2026-05-02","Per=Y","Days=T","Dir=V")</f>
        <v>0</v>
      </c>
      <c r="I2">
        <f>BDH("DLTR US Equity","BS_LT_BORROW","1993-06-18","2026-05-02","Per=Y","Days=T","Dir=V")</f>
        <v>0</v>
      </c>
      <c r="K2">
        <f>BDH("DLTR US Equity","BS_CASH_NEAR_CASH_ITEM","1993-06-18","2026-05-02","Per=Y","Days=T","Dir=V")</f>
        <v>0</v>
      </c>
      <c r="M2">
        <f>BDH("DLTR US Equity","BS_CUR_ASSET_REPORT","1993-06-18","2026-05-02","Per=Y","Days=T","Dir=V")</f>
        <v>0</v>
      </c>
      <c r="O2">
        <f>BDH("DLTR US Equity","BS_CUR_LIAB","1993-06-18","2026-05-02","Per=Y","Days=T","Dir=V")</f>
        <v>0</v>
      </c>
      <c r="Q2">
        <f>BDH("DLTR US Equity","BS_SHAREHOLDER_EQY_ENDING_PERIOD","1993-06-18","2026-05-02","Per=Y","Days=T","Dir=V")</f>
        <v>0</v>
      </c>
      <c r="S2">
        <f>BDH("DLTR US Equity","BS_ACCT_NOTE_RCV","1993-06-18","2026-05-02","Per=Y","Days=T","Dir=V")</f>
        <v>0</v>
      </c>
      <c r="U2">
        <f>BDH("DLTR US Equity","BS_INVENTORIES","1993-06-18","2026-05-02","Per=Y","Days=T","Dir=V")</f>
        <v>0</v>
      </c>
      <c r="W2">
        <f>BDH("DLTR US Equity","WORKING_CAPITAL","1993-06-18","2026-05-02","Per=Y","Days=T","Dir=V")</f>
        <v>0</v>
      </c>
      <c r="Y2">
        <f>BDH("DLTR US Equity","SALES_REV_TURN","1993-06-18","2026-05-02","Per=Y","Days=T","Dir=V")</f>
        <v>0</v>
      </c>
      <c r="AA2">
        <f>BDH("DLTR US Equity","EBIT","1993-06-18","2026-05-02","Per=Y","Days=T","Dir=V")</f>
        <v>0</v>
      </c>
      <c r="AC2">
        <f>BDH("DLTR US Equity","EBITDA","1993-06-18","2026-05-02","Per=Y","Days=T","Dir=V")</f>
        <v>0</v>
      </c>
      <c r="AE2">
        <f>BDH("DLTR US Equity","NET_INCOME","1993-06-18","2026-05-02","Per=Y","Days=T","Dir=V")</f>
        <v>0</v>
      </c>
      <c r="AG2">
        <f>BDH("DLTR US Equity","IS_INT_EXPENSE","1993-06-18","2026-05-02","Per=Y","Days=T","Dir=V")</f>
        <v>0</v>
      </c>
      <c r="AI2">
        <f>BDH("DLTR US Equity","IS_DEPR_EXP","1993-06-18","2026-05-02","Per=Y","Days=T","Dir=V")</f>
        <v>0</v>
      </c>
      <c r="AK2">
        <f>BDH("DLTR US Equity","CF_CASH_FROM_OPER","1993-06-18","2026-05-02","Per=Y","Days=T","Dir=V")</f>
        <v>0</v>
      </c>
      <c r="AM2">
        <f>BDH("DLTR US Equity","CAPITAL_EXPEND","1993-06-18","2026-05-02","Per=Y","Days=T","Dir=V")</f>
        <v>0</v>
      </c>
      <c r="AO2">
        <f>BDH("DLTR US Equity","CF_FREE_CASH_FLOW","1993-06-18","2026-05-02","Per=Y","Days=T","Dir=V")</f>
        <v>0</v>
      </c>
      <c r="AQ2">
        <f>BDH("DLTR US Equity","PX_LAST","1993-06-18","2026-05-02","Per=M","Days=T","Dir=V")</f>
        <v>0</v>
      </c>
      <c r="AS2">
        <f>BDH("DLTR US Equity","CUR_MKT_CAP","1993-06-18","2026-05-02","Per=M","Days=T","Dir=V")</f>
        <v>0</v>
      </c>
      <c r="AU2">
        <f>BDH("DLTR US Equity","EQY_SH_OUT","1993-06-18","2026-05-02","Per=M","Days=T","Dir=V")</f>
        <v>0</v>
      </c>
      <c r="AW2">
        <f>BDH("DLTR US Equity","PX_VOLUME","1993-06-18","2026-05-02","Per=M","Days=T","Dir=V")</f>
        <v>0</v>
      </c>
      <c r="AY2">
        <f>BDH("DLTR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BDH("DLX US Equity","BS_TOT_ASSET","1993-06-18","2026-05-02","Per=Y","Days=T","Dir=V")</f>
        <v>0</v>
      </c>
      <c r="C2">
        <f>BDH("DLX US Equity","BS_TOT_LIAB2","1993-06-18","2026-05-02","Per=Y","Days=T","Dir=V")</f>
        <v>0</v>
      </c>
      <c r="E2">
        <f>BDH("DLX US Equity","SHORT_AND_LONG_TERM_DEBT","1993-06-18","2026-05-02","Per=Y","Days=T","Dir=V")</f>
        <v>0</v>
      </c>
      <c r="G2">
        <f>BDH("DLX US Equity","BS_ST_BORROW","1993-06-18","2026-05-02","Per=Y","Days=T","Dir=V")</f>
        <v>0</v>
      </c>
      <c r="I2">
        <f>BDH("DLX US Equity","BS_LT_BORROW","1993-06-18","2026-05-02","Per=Y","Days=T","Dir=V")</f>
        <v>0</v>
      </c>
      <c r="K2">
        <f>BDH("DLX US Equity","BS_CASH_NEAR_CASH_ITEM","1993-06-18","2026-05-02","Per=Y","Days=T","Dir=V")</f>
        <v>0</v>
      </c>
      <c r="M2">
        <f>BDH("DLX US Equity","BS_CUR_ASSET_REPORT","1993-06-18","2026-05-02","Per=Y","Days=T","Dir=V")</f>
        <v>0</v>
      </c>
      <c r="O2">
        <f>BDH("DLX US Equity","BS_CUR_LIAB","1993-06-18","2026-05-02","Per=Y","Days=T","Dir=V")</f>
        <v>0</v>
      </c>
      <c r="Q2">
        <f>BDH("DLX US Equity","BS_SHAREHOLDER_EQY_ENDING_PERIOD","1993-06-18","2026-05-02","Per=Y","Days=T","Dir=V")</f>
        <v>0</v>
      </c>
      <c r="S2">
        <f>BDH("DLX US Equity","BS_ACCT_NOTE_RCV","1993-06-18","2026-05-02","Per=Y","Days=T","Dir=V")</f>
        <v>0</v>
      </c>
      <c r="U2">
        <f>BDH("DLX US Equity","BS_INVENTORIES","1993-06-18","2026-05-02","Per=Y","Days=T","Dir=V")</f>
        <v>0</v>
      </c>
      <c r="W2">
        <f>BDH("DLX US Equity","WORKING_CAPITAL","1993-06-18","2026-05-02","Per=Y","Days=T","Dir=V")</f>
        <v>0</v>
      </c>
      <c r="Y2">
        <f>BDH("DLX US Equity","SALES_REV_TURN","1993-06-18","2026-05-02","Per=Y","Days=T","Dir=V")</f>
        <v>0</v>
      </c>
      <c r="AA2">
        <f>BDH("DLX US Equity","EBIT","1993-06-18","2026-05-02","Per=Y","Days=T","Dir=V")</f>
        <v>0</v>
      </c>
      <c r="AC2">
        <f>BDH("DLX US Equity","EBITDA","1993-06-18","2026-05-02","Per=Y","Days=T","Dir=V")</f>
        <v>0</v>
      </c>
      <c r="AE2">
        <f>BDH("DLX US Equity","NET_INCOME","1993-06-18","2026-05-02","Per=Y","Days=T","Dir=V")</f>
        <v>0</v>
      </c>
      <c r="AG2">
        <f>BDH("DLX US Equity","IS_INT_EXPENSE","1993-06-18","2026-05-02","Per=Y","Days=T","Dir=V")</f>
        <v>0</v>
      </c>
      <c r="AI2">
        <f>BDH("DLX US Equity","IS_DEPR_EXP","1993-06-18","2026-05-02","Per=Y","Days=T","Dir=V")</f>
        <v>0</v>
      </c>
      <c r="AK2">
        <f>BDH("DLX US Equity","CF_CASH_FROM_OPER","1993-06-18","2026-05-02","Per=Y","Days=T","Dir=V")</f>
        <v>0</v>
      </c>
      <c r="AM2">
        <f>BDH("DLX US Equity","CAPITAL_EXPEND","1993-06-18","2026-05-02","Per=Y","Days=T","Dir=V")</f>
        <v>0</v>
      </c>
      <c r="AO2">
        <f>BDH("DLX US Equity","CF_FREE_CASH_FLOW","1993-06-18","2026-05-02","Per=Y","Days=T","Dir=V")</f>
        <v>0</v>
      </c>
      <c r="AQ2">
        <f>BDH("DLX US Equity","PX_LAST","1993-06-18","2026-05-02","Per=M","Days=T","Dir=V")</f>
        <v>0</v>
      </c>
      <c r="AS2">
        <f>BDH("DLX US Equity","CUR_MKT_CAP","1993-06-18","2026-05-02","Per=M","Days=T","Dir=V")</f>
        <v>0</v>
      </c>
      <c r="AU2">
        <f>BDH("DLX US Equity","EQY_SH_OUT","1993-06-18","2026-05-02","Per=M","Days=T","Dir=V")</f>
        <v>0</v>
      </c>
      <c r="AW2">
        <f>BDH("DLX US Equity","PX_VOLUME","1993-06-18","2026-05-02","Per=M","Days=T","Dir=V")</f>
        <v>0</v>
      </c>
      <c r="AY2">
        <f>BDH("DLX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BDH("DMAC US Equity","BS_TOT_ASSET","1993-06-18","2026-05-02","Per=Y","Days=T","Dir=V")</f>
        <v>0</v>
      </c>
      <c r="C2">
        <f>BDH("DMAC US Equity","BS_TOT_LIAB2","1993-06-18","2026-05-02","Per=Y","Days=T","Dir=V")</f>
        <v>0</v>
      </c>
      <c r="E2">
        <f>BDH("DMAC US Equity","SHORT_AND_LONG_TERM_DEBT","1993-06-18","2026-05-02","Per=Y","Days=T","Dir=V")</f>
        <v>0</v>
      </c>
      <c r="G2">
        <f>BDH("DMAC US Equity","BS_ST_BORROW","1993-06-18","2026-05-02","Per=Y","Days=T","Dir=V")</f>
        <v>0</v>
      </c>
      <c r="I2">
        <f>BDH("DMAC US Equity","BS_LT_BORROW","1993-06-18","2026-05-02","Per=Y","Days=T","Dir=V")</f>
        <v>0</v>
      </c>
      <c r="K2">
        <f>BDH("DMAC US Equity","BS_CASH_NEAR_CASH_ITEM","1993-06-18","2026-05-02","Per=Y","Days=T","Dir=V")</f>
        <v>0</v>
      </c>
      <c r="M2">
        <f>BDH("DMAC US Equity","BS_CUR_ASSET_REPORT","1993-06-18","2026-05-02","Per=Y","Days=T","Dir=V")</f>
        <v>0</v>
      </c>
      <c r="O2">
        <f>BDH("DMAC US Equity","BS_CUR_LIAB","1993-06-18","2026-05-02","Per=Y","Days=T","Dir=V")</f>
        <v>0</v>
      </c>
      <c r="Q2">
        <f>BDH("DMAC US Equity","BS_SHAREHOLDER_EQY_ENDING_PERIOD","1993-06-18","2026-05-02","Per=Y","Days=T","Dir=V")</f>
        <v>0</v>
      </c>
      <c r="S2">
        <f>BDH("DMAC US Equity","BS_ACCT_NOTE_RCV","1993-06-18","2026-05-02","Per=Y","Days=T","Dir=V")</f>
        <v>0</v>
      </c>
      <c r="U2">
        <f>BDH("DMAC US Equity","BS_INVENTORIES","1993-06-18","2026-05-02","Per=Y","Days=T","Dir=V")</f>
        <v>0</v>
      </c>
      <c r="W2">
        <f>BDH("DMAC US Equity","WORKING_CAPITAL","1993-06-18","2026-05-02","Per=Y","Days=T","Dir=V")</f>
        <v>0</v>
      </c>
      <c r="Y2">
        <f>BDH("DMAC US Equity","SALES_REV_TURN","1993-06-18","2026-05-02","Per=Y","Days=T","Dir=V")</f>
        <v>0</v>
      </c>
      <c r="AA2">
        <f>BDH("DMAC US Equity","EBIT","1993-06-18","2026-05-02","Per=Y","Days=T","Dir=V")</f>
        <v>0</v>
      </c>
      <c r="AC2">
        <f>BDH("DMAC US Equity","EBITDA","1993-06-18","2026-05-02","Per=Y","Days=T","Dir=V")</f>
        <v>0</v>
      </c>
      <c r="AE2">
        <f>BDH("DMAC US Equity","NET_INCOME","1993-06-18","2026-05-02","Per=Y","Days=T","Dir=V")</f>
        <v>0</v>
      </c>
      <c r="AG2">
        <f>BDH("DMAC US Equity","IS_INT_EXPENSE","1993-06-18","2026-05-02","Per=Y","Days=T","Dir=V")</f>
        <v>0</v>
      </c>
      <c r="AI2">
        <f>BDH("DMAC US Equity","IS_DEPR_EXP","1993-06-18","2026-05-02","Per=Y","Days=T","Dir=V")</f>
        <v>0</v>
      </c>
      <c r="AK2">
        <f>BDH("DMAC US Equity","CF_CASH_FROM_OPER","1993-06-18","2026-05-02","Per=Y","Days=T","Dir=V")</f>
        <v>0</v>
      </c>
      <c r="AM2">
        <f>BDH("DMAC US Equity","CAPITAL_EXPEND","1993-06-18","2026-05-02","Per=Y","Days=T","Dir=V")</f>
        <v>0</v>
      </c>
      <c r="AO2">
        <f>BDH("DMAC US Equity","CF_FREE_CASH_FLOW","1993-06-18","2026-05-02","Per=Y","Days=T","Dir=V")</f>
        <v>0</v>
      </c>
      <c r="AQ2">
        <f>BDH("DMAC US Equity","PX_LAST","1993-06-18","2026-05-02","Per=M","Days=T","Dir=V")</f>
        <v>0</v>
      </c>
      <c r="AS2">
        <f>BDH("DMAC US Equity","CUR_MKT_CAP","1993-06-18","2026-05-02","Per=M","Days=T","Dir=V")</f>
        <v>0</v>
      </c>
      <c r="AU2">
        <f>BDH("DMAC US Equity","EQY_SH_OUT","1993-06-18","2026-05-02","Per=M","Days=T","Dir=V")</f>
        <v>0</v>
      </c>
      <c r="AW2">
        <f>BDH("DMAC US Equity","PX_VOLUME","1993-06-18","2026-05-02","Per=M","Days=T","Dir=V")</f>
        <v>0</v>
      </c>
      <c r="AY2">
        <f>BDH("DMAC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BDH("DMLP US Equity","BS_TOT_ASSET","1993-06-18","2026-05-02","Per=Y","Days=T","Dir=V")</f>
        <v>0</v>
      </c>
      <c r="C2">
        <f>BDH("DMLP US Equity","BS_TOT_LIAB2","1993-06-18","2026-05-02","Per=Y","Days=T","Dir=V")</f>
        <v>0</v>
      </c>
      <c r="E2">
        <f>BDH("DMLP US Equity","SHORT_AND_LONG_TERM_DEBT","1993-06-18","2026-05-02","Per=Y","Days=T","Dir=V")</f>
        <v>0</v>
      </c>
      <c r="G2">
        <f>BDH("DMLP US Equity","BS_ST_BORROW","1993-06-18","2026-05-02","Per=Y","Days=T","Dir=V")</f>
        <v>0</v>
      </c>
      <c r="I2">
        <f>BDH("DMLP US Equity","BS_LT_BORROW","1993-06-18","2026-05-02","Per=Y","Days=T","Dir=V")</f>
        <v>0</v>
      </c>
      <c r="K2">
        <f>BDH("DMLP US Equity","BS_CASH_NEAR_CASH_ITEM","1993-06-18","2026-05-02","Per=Y","Days=T","Dir=V")</f>
        <v>0</v>
      </c>
      <c r="M2">
        <f>BDH("DMLP US Equity","BS_CUR_ASSET_REPORT","1993-06-18","2026-05-02","Per=Y","Days=T","Dir=V")</f>
        <v>0</v>
      </c>
      <c r="O2">
        <f>BDH("DMLP US Equity","BS_CUR_LIAB","1993-06-18","2026-05-02","Per=Y","Days=T","Dir=V")</f>
        <v>0</v>
      </c>
      <c r="Q2">
        <f>BDH("DMLP US Equity","BS_SHAREHOLDER_EQY_ENDING_PERIOD","1993-06-18","2026-05-02","Per=Y","Days=T","Dir=V")</f>
        <v>0</v>
      </c>
      <c r="S2">
        <f>BDH("DMLP US Equity","BS_ACCT_NOTE_RCV","1993-06-18","2026-05-02","Per=Y","Days=T","Dir=V")</f>
        <v>0</v>
      </c>
      <c r="U2">
        <f>BDH("DMLP US Equity","BS_INVENTORIES","1993-06-18","2026-05-02","Per=Y","Days=T","Dir=V")</f>
        <v>0</v>
      </c>
      <c r="W2">
        <f>BDH("DMLP US Equity","WORKING_CAPITAL","1993-06-18","2026-05-02","Per=Y","Days=T","Dir=V")</f>
        <v>0</v>
      </c>
      <c r="Y2">
        <f>BDH("DMLP US Equity","SALES_REV_TURN","1993-06-18","2026-05-02","Per=Y","Days=T","Dir=V")</f>
        <v>0</v>
      </c>
      <c r="AA2">
        <f>BDH("DMLP US Equity","EBIT","1993-06-18","2026-05-02","Per=Y","Days=T","Dir=V")</f>
        <v>0</v>
      </c>
      <c r="AC2">
        <f>BDH("DMLP US Equity","EBITDA","1993-06-18","2026-05-02","Per=Y","Days=T","Dir=V")</f>
        <v>0</v>
      </c>
      <c r="AE2">
        <f>BDH("DMLP US Equity","NET_INCOME","1993-06-18","2026-05-02","Per=Y","Days=T","Dir=V")</f>
        <v>0</v>
      </c>
      <c r="AG2">
        <f>BDH("DMLP US Equity","IS_INT_EXPENSE","1993-06-18","2026-05-02","Per=Y","Days=T","Dir=V")</f>
        <v>0</v>
      </c>
      <c r="AI2">
        <f>BDH("DMLP US Equity","IS_DEPR_EXP","1993-06-18","2026-05-02","Per=Y","Days=T","Dir=V")</f>
        <v>0</v>
      </c>
      <c r="AK2">
        <f>BDH("DMLP US Equity","CF_CASH_FROM_OPER","1993-06-18","2026-05-02","Per=Y","Days=T","Dir=V")</f>
        <v>0</v>
      </c>
      <c r="AM2">
        <f>BDH("DMLP US Equity","CAPITAL_EXPEND","1993-06-18","2026-05-02","Per=Y","Days=T","Dir=V")</f>
        <v>0</v>
      </c>
      <c r="AO2">
        <f>BDH("DMLP US Equity","CF_FREE_CASH_FLOW","1993-06-18","2026-05-02","Per=Y","Days=T","Dir=V")</f>
        <v>0</v>
      </c>
      <c r="AQ2">
        <f>BDH("DMLP US Equity","PX_LAST","1993-06-18","2026-05-02","Per=M","Days=T","Dir=V")</f>
        <v>0</v>
      </c>
      <c r="AS2">
        <f>BDH("DMLP US Equity","CUR_MKT_CAP","1993-06-18","2026-05-02","Per=M","Days=T","Dir=V")</f>
        <v>0</v>
      </c>
      <c r="AU2">
        <f>BDH("DMLP US Equity","EQY_SH_OUT","1993-06-18","2026-05-02","Per=M","Days=T","Dir=V")</f>
        <v>0</v>
      </c>
      <c r="AW2">
        <f>BDH("DMLP US Equity","PX_VOLUME","1993-06-18","2026-05-02","Per=M","Days=T","Dir=V")</f>
        <v>0</v>
      </c>
      <c r="AY2">
        <f>BDH("DMLP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BDH("DMRC US Equity","BS_TOT_ASSET","1993-06-18","2026-05-02","Per=Y","Days=T","Dir=V")</f>
        <v>0</v>
      </c>
      <c r="C2">
        <f>BDH("DMRC US Equity","BS_TOT_LIAB2","1993-06-18","2026-05-02","Per=Y","Days=T","Dir=V")</f>
        <v>0</v>
      </c>
      <c r="E2">
        <f>BDH("DMRC US Equity","SHORT_AND_LONG_TERM_DEBT","1993-06-18","2026-05-02","Per=Y","Days=T","Dir=V")</f>
        <v>0</v>
      </c>
      <c r="G2">
        <f>BDH("DMRC US Equity","BS_ST_BORROW","1993-06-18","2026-05-02","Per=Y","Days=T","Dir=V")</f>
        <v>0</v>
      </c>
      <c r="I2">
        <f>BDH("DMRC US Equity","BS_LT_BORROW","1993-06-18","2026-05-02","Per=Y","Days=T","Dir=V")</f>
        <v>0</v>
      </c>
      <c r="K2">
        <f>BDH("DMRC US Equity","BS_CASH_NEAR_CASH_ITEM","1993-06-18","2026-05-02","Per=Y","Days=T","Dir=V")</f>
        <v>0</v>
      </c>
      <c r="M2">
        <f>BDH("DMRC US Equity","BS_CUR_ASSET_REPORT","1993-06-18","2026-05-02","Per=Y","Days=T","Dir=V")</f>
        <v>0</v>
      </c>
      <c r="O2">
        <f>BDH("DMRC US Equity","BS_CUR_LIAB","1993-06-18","2026-05-02","Per=Y","Days=T","Dir=V")</f>
        <v>0</v>
      </c>
      <c r="Q2">
        <f>BDH("DMRC US Equity","BS_SHAREHOLDER_EQY_ENDING_PERIOD","1993-06-18","2026-05-02","Per=Y","Days=T","Dir=V")</f>
        <v>0</v>
      </c>
      <c r="S2">
        <f>BDH("DMRC US Equity","BS_ACCT_NOTE_RCV","1993-06-18","2026-05-02","Per=Y","Days=T","Dir=V")</f>
        <v>0</v>
      </c>
      <c r="U2">
        <f>BDH("DMRC US Equity","BS_INVENTORIES","1993-06-18","2026-05-02","Per=Y","Days=T","Dir=V")</f>
        <v>0</v>
      </c>
      <c r="W2">
        <f>BDH("DMRC US Equity","WORKING_CAPITAL","1993-06-18","2026-05-02","Per=Y","Days=T","Dir=V")</f>
        <v>0</v>
      </c>
      <c r="Y2">
        <f>BDH("DMRC US Equity","SALES_REV_TURN","1993-06-18","2026-05-02","Per=Y","Days=T","Dir=V")</f>
        <v>0</v>
      </c>
      <c r="AA2">
        <f>BDH("DMRC US Equity","EBIT","1993-06-18","2026-05-02","Per=Y","Days=T","Dir=V")</f>
        <v>0</v>
      </c>
      <c r="AC2">
        <f>BDH("DMRC US Equity","EBITDA","1993-06-18","2026-05-02","Per=Y","Days=T","Dir=V")</f>
        <v>0</v>
      </c>
      <c r="AE2">
        <f>BDH("DMRC US Equity","NET_INCOME","1993-06-18","2026-05-02","Per=Y","Days=T","Dir=V")</f>
        <v>0</v>
      </c>
      <c r="AG2">
        <f>BDH("DMRC US Equity","IS_INT_EXPENSE","1993-06-18","2026-05-02","Per=Y","Days=T","Dir=V")</f>
        <v>0</v>
      </c>
      <c r="AI2">
        <f>BDH("DMRC US Equity","IS_DEPR_EXP","1993-06-18","2026-05-02","Per=Y","Days=T","Dir=V")</f>
        <v>0</v>
      </c>
      <c r="AK2">
        <f>BDH("DMRC US Equity","CF_CASH_FROM_OPER","1993-06-18","2026-05-02","Per=Y","Days=T","Dir=V")</f>
        <v>0</v>
      </c>
      <c r="AM2">
        <f>BDH("DMRC US Equity","CAPITAL_EXPEND","1993-06-18","2026-05-02","Per=Y","Days=T","Dir=V")</f>
        <v>0</v>
      </c>
      <c r="AO2">
        <f>BDH("DMRC US Equity","CF_FREE_CASH_FLOW","1993-06-18","2026-05-02","Per=Y","Days=T","Dir=V")</f>
        <v>0</v>
      </c>
      <c r="AQ2">
        <f>BDH("DMRC US Equity","PX_LAST","1993-06-18","2026-05-02","Per=M","Days=T","Dir=V")</f>
        <v>0</v>
      </c>
      <c r="AS2">
        <f>BDH("DMRC US Equity","CUR_MKT_CAP","1993-06-18","2026-05-02","Per=M","Days=T","Dir=V")</f>
        <v>0</v>
      </c>
      <c r="AU2">
        <f>BDH("DMRC US Equity","EQY_SH_OUT","1993-06-18","2026-05-02","Per=M","Days=T","Dir=V")</f>
        <v>0</v>
      </c>
      <c r="AW2">
        <f>BDH("DMRC US Equity","PX_VOLUME","1993-06-18","2026-05-02","Per=M","Days=T","Dir=V")</f>
        <v>0</v>
      </c>
      <c r="AY2">
        <f>BDH("DMRC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BDH("DNA US Equity","BS_TOT_ASSET","1993-06-18","2026-05-02","Per=Y","Days=T","Dir=V")</f>
        <v>0</v>
      </c>
      <c r="C2">
        <f>BDH("DNA US Equity","BS_TOT_LIAB2","1993-06-18","2026-05-02","Per=Y","Days=T","Dir=V")</f>
        <v>0</v>
      </c>
      <c r="E2">
        <f>BDH("DNA US Equity","SHORT_AND_LONG_TERM_DEBT","1993-06-18","2026-05-02","Per=Y","Days=T","Dir=V")</f>
        <v>0</v>
      </c>
      <c r="G2">
        <f>BDH("DNA US Equity","BS_ST_BORROW","1993-06-18","2026-05-02","Per=Y","Days=T","Dir=V")</f>
        <v>0</v>
      </c>
      <c r="I2">
        <f>BDH("DNA US Equity","BS_LT_BORROW","1993-06-18","2026-05-02","Per=Y","Days=T","Dir=V")</f>
        <v>0</v>
      </c>
      <c r="K2">
        <f>BDH("DNA US Equity","BS_CASH_NEAR_CASH_ITEM","1993-06-18","2026-05-02","Per=Y","Days=T","Dir=V")</f>
        <v>0</v>
      </c>
      <c r="M2">
        <f>BDH("DNA US Equity","BS_CUR_ASSET_REPORT","1993-06-18","2026-05-02","Per=Y","Days=T","Dir=V")</f>
        <v>0</v>
      </c>
      <c r="O2">
        <f>BDH("DNA US Equity","BS_CUR_LIAB","1993-06-18","2026-05-02","Per=Y","Days=T","Dir=V")</f>
        <v>0</v>
      </c>
      <c r="Q2">
        <f>BDH("DNA US Equity","BS_SHAREHOLDER_EQY_ENDING_PERIOD","1993-06-18","2026-05-02","Per=Y","Days=T","Dir=V")</f>
        <v>0</v>
      </c>
      <c r="S2">
        <f>BDH("DNA US Equity","BS_ACCT_NOTE_RCV","1993-06-18","2026-05-02","Per=Y","Days=T","Dir=V")</f>
        <v>0</v>
      </c>
      <c r="U2">
        <f>BDH("DNA US Equity","BS_INVENTORIES","1993-06-18","2026-05-02","Per=Y","Days=T","Dir=V")</f>
        <v>0</v>
      </c>
      <c r="W2">
        <f>BDH("DNA US Equity","WORKING_CAPITAL","1993-06-18","2026-05-02","Per=Y","Days=T","Dir=V")</f>
        <v>0</v>
      </c>
      <c r="Y2">
        <f>BDH("DNA US Equity","SALES_REV_TURN","1993-06-18","2026-05-02","Per=Y","Days=T","Dir=V")</f>
        <v>0</v>
      </c>
      <c r="AA2">
        <f>BDH("DNA US Equity","EBIT","1993-06-18","2026-05-02","Per=Y","Days=T","Dir=V")</f>
        <v>0</v>
      </c>
      <c r="AC2">
        <f>BDH("DNA US Equity","EBITDA","1993-06-18","2026-05-02","Per=Y","Days=T","Dir=V")</f>
        <v>0</v>
      </c>
      <c r="AE2">
        <f>BDH("DNA US Equity","NET_INCOME","1993-06-18","2026-05-02","Per=Y","Days=T","Dir=V")</f>
        <v>0</v>
      </c>
      <c r="AG2">
        <f>BDH("DNA US Equity","IS_INT_EXPENSE","1993-06-18","2026-05-02","Per=Y","Days=T","Dir=V")</f>
        <v>0</v>
      </c>
      <c r="AI2">
        <f>BDH("DNA US Equity","IS_DEPR_EXP","1993-06-18","2026-05-02","Per=Y","Days=T","Dir=V")</f>
        <v>0</v>
      </c>
      <c r="AK2">
        <f>BDH("DNA US Equity","CF_CASH_FROM_OPER","1993-06-18","2026-05-02","Per=Y","Days=T","Dir=V")</f>
        <v>0</v>
      </c>
      <c r="AM2">
        <f>BDH("DNA US Equity","CAPITAL_EXPEND","1993-06-18","2026-05-02","Per=Y","Days=T","Dir=V")</f>
        <v>0</v>
      </c>
      <c r="AO2">
        <f>BDH("DNA US Equity","CF_FREE_CASH_FLOW","1993-06-18","2026-05-02","Per=Y","Days=T","Dir=V")</f>
        <v>0</v>
      </c>
      <c r="AQ2">
        <f>BDH("DNA US Equity","PX_LAST","1993-06-18","2026-05-02","Per=M","Days=T","Dir=V")</f>
        <v>0</v>
      </c>
      <c r="AS2">
        <f>BDH("DNA US Equity","CUR_MKT_CAP","1993-06-18","2026-05-02","Per=M","Days=T","Dir=V")</f>
        <v>0</v>
      </c>
      <c r="AU2">
        <f>BDH("DNA US Equity","EQY_SH_OUT","1993-06-18","2026-05-02","Per=M","Days=T","Dir=V")</f>
        <v>0</v>
      </c>
      <c r="AW2">
        <f>BDH("DNA US Equity","PX_VOLUME","1993-06-18","2026-05-02","Per=M","Days=T","Dir=V")</f>
        <v>0</v>
      </c>
      <c r="AY2">
        <f>BDH("DNA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BDH("DNLI US Equity","BS_TOT_ASSET","1993-06-18","2026-05-02","Per=Y","Days=T","Dir=V")</f>
        <v>0</v>
      </c>
      <c r="C2">
        <f>BDH("DNLI US Equity","BS_TOT_LIAB2","1993-06-18","2026-05-02","Per=Y","Days=T","Dir=V")</f>
        <v>0</v>
      </c>
      <c r="E2">
        <f>BDH("DNLI US Equity","SHORT_AND_LONG_TERM_DEBT","1993-06-18","2026-05-02","Per=Y","Days=T","Dir=V")</f>
        <v>0</v>
      </c>
      <c r="G2">
        <f>BDH("DNLI US Equity","BS_ST_BORROW","1993-06-18","2026-05-02","Per=Y","Days=T","Dir=V")</f>
        <v>0</v>
      </c>
      <c r="I2">
        <f>BDH("DNLI US Equity","BS_LT_BORROW","1993-06-18","2026-05-02","Per=Y","Days=T","Dir=V")</f>
        <v>0</v>
      </c>
      <c r="K2">
        <f>BDH("DNLI US Equity","BS_CASH_NEAR_CASH_ITEM","1993-06-18","2026-05-02","Per=Y","Days=T","Dir=V")</f>
        <v>0</v>
      </c>
      <c r="M2">
        <f>BDH("DNLI US Equity","BS_CUR_ASSET_REPORT","1993-06-18","2026-05-02","Per=Y","Days=T","Dir=V")</f>
        <v>0</v>
      </c>
      <c r="O2">
        <f>BDH("DNLI US Equity","BS_CUR_LIAB","1993-06-18","2026-05-02","Per=Y","Days=T","Dir=V")</f>
        <v>0</v>
      </c>
      <c r="Q2">
        <f>BDH("DNLI US Equity","BS_SHAREHOLDER_EQY_ENDING_PERIOD","1993-06-18","2026-05-02","Per=Y","Days=T","Dir=V")</f>
        <v>0</v>
      </c>
      <c r="S2">
        <f>BDH("DNLI US Equity","BS_ACCT_NOTE_RCV","1993-06-18","2026-05-02","Per=Y","Days=T","Dir=V")</f>
        <v>0</v>
      </c>
      <c r="U2">
        <f>BDH("DNLI US Equity","BS_INVENTORIES","1993-06-18","2026-05-02","Per=Y","Days=T","Dir=V")</f>
        <v>0</v>
      </c>
      <c r="W2">
        <f>BDH("DNLI US Equity","WORKING_CAPITAL","1993-06-18","2026-05-02","Per=Y","Days=T","Dir=V")</f>
        <v>0</v>
      </c>
      <c r="Y2">
        <f>BDH("DNLI US Equity","SALES_REV_TURN","1993-06-18","2026-05-02","Per=Y","Days=T","Dir=V")</f>
        <v>0</v>
      </c>
      <c r="AA2">
        <f>BDH("DNLI US Equity","EBIT","1993-06-18","2026-05-02","Per=Y","Days=T","Dir=V")</f>
        <v>0</v>
      </c>
      <c r="AC2">
        <f>BDH("DNLI US Equity","EBITDA","1993-06-18","2026-05-02","Per=Y","Days=T","Dir=V")</f>
        <v>0</v>
      </c>
      <c r="AE2">
        <f>BDH("DNLI US Equity","NET_INCOME","1993-06-18","2026-05-02","Per=Y","Days=T","Dir=V")</f>
        <v>0</v>
      </c>
      <c r="AG2">
        <f>BDH("DNLI US Equity","IS_INT_EXPENSE","1993-06-18","2026-05-02","Per=Y","Days=T","Dir=V")</f>
        <v>0</v>
      </c>
      <c r="AI2">
        <f>BDH("DNLI US Equity","IS_DEPR_EXP","1993-06-18","2026-05-02","Per=Y","Days=T","Dir=V")</f>
        <v>0</v>
      </c>
      <c r="AK2">
        <f>BDH("DNLI US Equity","CF_CASH_FROM_OPER","1993-06-18","2026-05-02","Per=Y","Days=T","Dir=V")</f>
        <v>0</v>
      </c>
      <c r="AM2">
        <f>BDH("DNLI US Equity","CAPITAL_EXPEND","1993-06-18","2026-05-02","Per=Y","Days=T","Dir=V")</f>
        <v>0</v>
      </c>
      <c r="AO2">
        <f>BDH("DNLI US Equity","CF_FREE_CASH_FLOW","1993-06-18","2026-05-02","Per=Y","Days=T","Dir=V")</f>
        <v>0</v>
      </c>
      <c r="AQ2">
        <f>BDH("DNLI US Equity","PX_LAST","1993-06-18","2026-05-02","Per=M","Days=T","Dir=V")</f>
        <v>0</v>
      </c>
      <c r="AS2">
        <f>BDH("DNLI US Equity","CUR_MKT_CAP","1993-06-18","2026-05-02","Per=M","Days=T","Dir=V")</f>
        <v>0</v>
      </c>
      <c r="AU2">
        <f>BDH("DNLI US Equity","EQY_SH_OUT","1993-06-18","2026-05-02","Per=M","Days=T","Dir=V")</f>
        <v>0</v>
      </c>
      <c r="AW2">
        <f>BDH("DNLI US Equity","PX_VOLUME","1993-06-18","2026-05-02","Per=M","Days=T","Dir=V")</f>
        <v>0</v>
      </c>
      <c r="AY2">
        <f>BDH("DNLI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BDH("DNOW US Equity","BS_TOT_ASSET","1993-06-18","2026-05-02","Per=Y","Days=T","Dir=V")</f>
        <v>0</v>
      </c>
      <c r="C2">
        <f>BDH("DNOW US Equity","BS_TOT_LIAB2","1993-06-18","2026-05-02","Per=Y","Days=T","Dir=V")</f>
        <v>0</v>
      </c>
      <c r="E2">
        <f>BDH("DNOW US Equity","SHORT_AND_LONG_TERM_DEBT","1993-06-18","2026-05-02","Per=Y","Days=T","Dir=V")</f>
        <v>0</v>
      </c>
      <c r="G2">
        <f>BDH("DNOW US Equity","BS_ST_BORROW","1993-06-18","2026-05-02","Per=Y","Days=T","Dir=V")</f>
        <v>0</v>
      </c>
      <c r="I2">
        <f>BDH("DNOW US Equity","BS_LT_BORROW","1993-06-18","2026-05-02","Per=Y","Days=T","Dir=V")</f>
        <v>0</v>
      </c>
      <c r="K2">
        <f>BDH("DNOW US Equity","BS_CASH_NEAR_CASH_ITEM","1993-06-18","2026-05-02","Per=Y","Days=T","Dir=V")</f>
        <v>0</v>
      </c>
      <c r="M2">
        <f>BDH("DNOW US Equity","BS_CUR_ASSET_REPORT","1993-06-18","2026-05-02","Per=Y","Days=T","Dir=V")</f>
        <v>0</v>
      </c>
      <c r="O2">
        <f>BDH("DNOW US Equity","BS_CUR_LIAB","1993-06-18","2026-05-02","Per=Y","Days=T","Dir=V")</f>
        <v>0</v>
      </c>
      <c r="Q2">
        <f>BDH("DNOW US Equity","BS_SHAREHOLDER_EQY_ENDING_PERIOD","1993-06-18","2026-05-02","Per=Y","Days=T","Dir=V")</f>
        <v>0</v>
      </c>
      <c r="S2">
        <f>BDH("DNOW US Equity","BS_ACCT_NOTE_RCV","1993-06-18","2026-05-02","Per=Y","Days=T","Dir=V")</f>
        <v>0</v>
      </c>
      <c r="U2">
        <f>BDH("DNOW US Equity","BS_INVENTORIES","1993-06-18","2026-05-02","Per=Y","Days=T","Dir=V")</f>
        <v>0</v>
      </c>
      <c r="W2">
        <f>BDH("DNOW US Equity","WORKING_CAPITAL","1993-06-18","2026-05-02","Per=Y","Days=T","Dir=V")</f>
        <v>0</v>
      </c>
      <c r="Y2">
        <f>BDH("DNOW US Equity","SALES_REV_TURN","1993-06-18","2026-05-02","Per=Y","Days=T","Dir=V")</f>
        <v>0</v>
      </c>
      <c r="AA2">
        <f>BDH("DNOW US Equity","EBIT","1993-06-18","2026-05-02","Per=Y","Days=T","Dir=V")</f>
        <v>0</v>
      </c>
      <c r="AC2">
        <f>BDH("DNOW US Equity","EBITDA","1993-06-18","2026-05-02","Per=Y","Days=T","Dir=V")</f>
        <v>0</v>
      </c>
      <c r="AE2">
        <f>BDH("DNOW US Equity","NET_INCOME","1993-06-18","2026-05-02","Per=Y","Days=T","Dir=V")</f>
        <v>0</v>
      </c>
      <c r="AG2">
        <f>BDH("DNOW US Equity","IS_INT_EXPENSE","1993-06-18","2026-05-02","Per=Y","Days=T","Dir=V")</f>
        <v>0</v>
      </c>
      <c r="AI2">
        <f>BDH("DNOW US Equity","IS_DEPR_EXP","1993-06-18","2026-05-02","Per=Y","Days=T","Dir=V")</f>
        <v>0</v>
      </c>
      <c r="AK2">
        <f>BDH("DNOW US Equity","CF_CASH_FROM_OPER","1993-06-18","2026-05-02","Per=Y","Days=T","Dir=V")</f>
        <v>0</v>
      </c>
      <c r="AM2">
        <f>BDH("DNOW US Equity","CAPITAL_EXPEND","1993-06-18","2026-05-02","Per=Y","Days=T","Dir=V")</f>
        <v>0</v>
      </c>
      <c r="AO2">
        <f>BDH("DNOW US Equity","CF_FREE_CASH_FLOW","1993-06-18","2026-05-02","Per=Y","Days=T","Dir=V")</f>
        <v>0</v>
      </c>
      <c r="AQ2">
        <f>BDH("DNOW US Equity","PX_LAST","1993-06-18","2026-05-02","Per=M","Days=T","Dir=V")</f>
        <v>0</v>
      </c>
      <c r="AS2">
        <f>BDH("DNOW US Equity","CUR_MKT_CAP","1993-06-18","2026-05-02","Per=M","Days=T","Dir=V")</f>
        <v>0</v>
      </c>
      <c r="AU2">
        <f>BDH("DNOW US Equity","EQY_SH_OUT","1993-06-18","2026-05-02","Per=M","Days=T","Dir=V")</f>
        <v>0</v>
      </c>
      <c r="AW2">
        <f>BDH("DNOW US Equity","PX_VOLUME","1993-06-18","2026-05-02","Per=M","Days=T","Dir=V")</f>
        <v>0</v>
      </c>
      <c r="AY2">
        <f>BDH("DNOW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BDH("DNTH US Equity","BS_TOT_ASSET","1993-06-18","2026-05-02","Per=Y","Days=T","Dir=V")</f>
        <v>0</v>
      </c>
      <c r="C2">
        <f>BDH("DNTH US Equity","BS_TOT_LIAB2","1993-06-18","2026-05-02","Per=Y","Days=T","Dir=V")</f>
        <v>0</v>
      </c>
      <c r="E2">
        <f>BDH("DNTH US Equity","SHORT_AND_LONG_TERM_DEBT","1993-06-18","2026-05-02","Per=Y","Days=T","Dir=V")</f>
        <v>0</v>
      </c>
      <c r="G2">
        <f>BDH("DNTH US Equity","BS_ST_BORROW","1993-06-18","2026-05-02","Per=Y","Days=T","Dir=V")</f>
        <v>0</v>
      </c>
      <c r="I2">
        <f>BDH("DNTH US Equity","BS_LT_BORROW","1993-06-18","2026-05-02","Per=Y","Days=T","Dir=V")</f>
        <v>0</v>
      </c>
      <c r="K2">
        <f>BDH("DNTH US Equity","BS_CASH_NEAR_CASH_ITEM","1993-06-18","2026-05-02","Per=Y","Days=T","Dir=V")</f>
        <v>0</v>
      </c>
      <c r="M2">
        <f>BDH("DNTH US Equity","BS_CUR_ASSET_REPORT","1993-06-18","2026-05-02","Per=Y","Days=T","Dir=V")</f>
        <v>0</v>
      </c>
      <c r="O2">
        <f>BDH("DNTH US Equity","BS_CUR_LIAB","1993-06-18","2026-05-02","Per=Y","Days=T","Dir=V")</f>
        <v>0</v>
      </c>
      <c r="Q2">
        <f>BDH("DNTH US Equity","BS_SHAREHOLDER_EQY_ENDING_PERIOD","1993-06-18","2026-05-02","Per=Y","Days=T","Dir=V")</f>
        <v>0</v>
      </c>
      <c r="S2">
        <f>BDH("DNTH US Equity","BS_ACCT_NOTE_RCV","1993-06-18","2026-05-02","Per=Y","Days=T","Dir=V")</f>
        <v>0</v>
      </c>
      <c r="U2">
        <f>BDH("DNTH US Equity","BS_INVENTORIES","1993-06-18","2026-05-02","Per=Y","Days=T","Dir=V")</f>
        <v>0</v>
      </c>
      <c r="W2">
        <f>BDH("DNTH US Equity","WORKING_CAPITAL","1993-06-18","2026-05-02","Per=Y","Days=T","Dir=V")</f>
        <v>0</v>
      </c>
      <c r="Y2">
        <f>BDH("DNTH US Equity","SALES_REV_TURN","1993-06-18","2026-05-02","Per=Y","Days=T","Dir=V")</f>
        <v>0</v>
      </c>
      <c r="AA2">
        <f>BDH("DNTH US Equity","EBIT","1993-06-18","2026-05-02","Per=Y","Days=T","Dir=V")</f>
        <v>0</v>
      </c>
      <c r="AC2">
        <f>BDH("DNTH US Equity","EBITDA","1993-06-18","2026-05-02","Per=Y","Days=T","Dir=V")</f>
        <v>0</v>
      </c>
      <c r="AE2">
        <f>BDH("DNTH US Equity","NET_INCOME","1993-06-18","2026-05-02","Per=Y","Days=T","Dir=V")</f>
        <v>0</v>
      </c>
      <c r="AG2">
        <f>BDH("DNTH US Equity","IS_INT_EXPENSE","1993-06-18","2026-05-02","Per=Y","Days=T","Dir=V")</f>
        <v>0</v>
      </c>
      <c r="AI2">
        <f>BDH("DNTH US Equity","IS_DEPR_EXP","1993-06-18","2026-05-02","Per=Y","Days=T","Dir=V")</f>
        <v>0</v>
      </c>
      <c r="AK2">
        <f>BDH("DNTH US Equity","CF_CASH_FROM_OPER","1993-06-18","2026-05-02","Per=Y","Days=T","Dir=V")</f>
        <v>0</v>
      </c>
      <c r="AM2">
        <f>BDH("DNTH US Equity","CAPITAL_EXPEND","1993-06-18","2026-05-02","Per=Y","Days=T","Dir=V")</f>
        <v>0</v>
      </c>
      <c r="AO2">
        <f>BDH("DNTH US Equity","CF_FREE_CASH_FLOW","1993-06-18","2026-05-02","Per=Y","Days=T","Dir=V")</f>
        <v>0</v>
      </c>
      <c r="AQ2">
        <f>BDH("DNTH US Equity","PX_LAST","1993-06-18","2026-05-02","Per=M","Days=T","Dir=V")</f>
        <v>0</v>
      </c>
      <c r="AS2">
        <f>BDH("DNTH US Equity","CUR_MKT_CAP","1993-06-18","2026-05-02","Per=M","Days=T","Dir=V")</f>
        <v>0</v>
      </c>
      <c r="AU2">
        <f>BDH("DNTH US Equity","EQY_SH_OUT","1993-06-18","2026-05-02","Per=M","Days=T","Dir=V")</f>
        <v>0</v>
      </c>
      <c r="AW2">
        <f>BDH("DNTH US Equity","PX_VOLUME","1993-06-18","2026-05-02","Per=M","Days=T","Dir=V")</f>
        <v>0</v>
      </c>
      <c r="AY2">
        <f>BDH("DNTH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BDH("DNUT US Equity","BS_TOT_ASSET","1993-06-18","2026-05-02","Per=Y","Days=T","Dir=V")</f>
        <v>0</v>
      </c>
      <c r="C2">
        <f>BDH("DNUT US Equity","BS_TOT_LIAB2","1993-06-18","2026-05-02","Per=Y","Days=T","Dir=V")</f>
        <v>0</v>
      </c>
      <c r="E2">
        <f>BDH("DNUT US Equity","SHORT_AND_LONG_TERM_DEBT","1993-06-18","2026-05-02","Per=Y","Days=T","Dir=V")</f>
        <v>0</v>
      </c>
      <c r="G2">
        <f>BDH("DNUT US Equity","BS_ST_BORROW","1993-06-18","2026-05-02","Per=Y","Days=T","Dir=V")</f>
        <v>0</v>
      </c>
      <c r="I2">
        <f>BDH("DNUT US Equity","BS_LT_BORROW","1993-06-18","2026-05-02","Per=Y","Days=T","Dir=V")</f>
        <v>0</v>
      </c>
      <c r="K2">
        <f>BDH("DNUT US Equity","BS_CASH_NEAR_CASH_ITEM","1993-06-18","2026-05-02","Per=Y","Days=T","Dir=V")</f>
        <v>0</v>
      </c>
      <c r="M2">
        <f>BDH("DNUT US Equity","BS_CUR_ASSET_REPORT","1993-06-18","2026-05-02","Per=Y","Days=T","Dir=V")</f>
        <v>0</v>
      </c>
      <c r="O2">
        <f>BDH("DNUT US Equity","BS_CUR_LIAB","1993-06-18","2026-05-02","Per=Y","Days=T","Dir=V")</f>
        <v>0</v>
      </c>
      <c r="Q2">
        <f>BDH("DNUT US Equity","BS_SHAREHOLDER_EQY_ENDING_PERIOD","1993-06-18","2026-05-02","Per=Y","Days=T","Dir=V")</f>
        <v>0</v>
      </c>
      <c r="S2">
        <f>BDH("DNUT US Equity","BS_ACCT_NOTE_RCV","1993-06-18","2026-05-02","Per=Y","Days=T","Dir=V")</f>
        <v>0</v>
      </c>
      <c r="U2">
        <f>BDH("DNUT US Equity","BS_INVENTORIES","1993-06-18","2026-05-02","Per=Y","Days=T","Dir=V")</f>
        <v>0</v>
      </c>
      <c r="W2">
        <f>BDH("DNUT US Equity","WORKING_CAPITAL","1993-06-18","2026-05-02","Per=Y","Days=T","Dir=V")</f>
        <v>0</v>
      </c>
      <c r="Y2">
        <f>BDH("DNUT US Equity","SALES_REV_TURN","1993-06-18","2026-05-02","Per=Y","Days=T","Dir=V")</f>
        <v>0</v>
      </c>
      <c r="AA2">
        <f>BDH("DNUT US Equity","EBIT","1993-06-18","2026-05-02","Per=Y","Days=T","Dir=V")</f>
        <v>0</v>
      </c>
      <c r="AC2">
        <f>BDH("DNUT US Equity","EBITDA","1993-06-18","2026-05-02","Per=Y","Days=T","Dir=V")</f>
        <v>0</v>
      </c>
      <c r="AE2">
        <f>BDH("DNUT US Equity","NET_INCOME","1993-06-18","2026-05-02","Per=Y","Days=T","Dir=V")</f>
        <v>0</v>
      </c>
      <c r="AG2">
        <f>BDH("DNUT US Equity","IS_INT_EXPENSE","1993-06-18","2026-05-02","Per=Y","Days=T","Dir=V")</f>
        <v>0</v>
      </c>
      <c r="AI2">
        <f>BDH("DNUT US Equity","IS_DEPR_EXP","1993-06-18","2026-05-02","Per=Y","Days=T","Dir=V")</f>
        <v>0</v>
      </c>
      <c r="AK2">
        <f>BDH("DNUT US Equity","CF_CASH_FROM_OPER","1993-06-18","2026-05-02","Per=Y","Days=T","Dir=V")</f>
        <v>0</v>
      </c>
      <c r="AM2">
        <f>BDH("DNUT US Equity","CAPITAL_EXPEND","1993-06-18","2026-05-02","Per=Y","Days=T","Dir=V")</f>
        <v>0</v>
      </c>
      <c r="AO2">
        <f>BDH("DNUT US Equity","CF_FREE_CASH_FLOW","1993-06-18","2026-05-02","Per=Y","Days=T","Dir=V")</f>
        <v>0</v>
      </c>
      <c r="AQ2">
        <f>BDH("DNUT US Equity","PX_LAST","1993-06-18","2026-05-02","Per=M","Days=T","Dir=V")</f>
        <v>0</v>
      </c>
      <c r="AS2">
        <f>BDH("DNUT US Equity","CUR_MKT_CAP","1993-06-18","2026-05-02","Per=M","Days=T","Dir=V")</f>
        <v>0</v>
      </c>
      <c r="AU2">
        <f>BDH("DNUT US Equity","EQY_SH_OUT","1993-06-18","2026-05-02","Per=M","Days=T","Dir=V")</f>
        <v>0</v>
      </c>
      <c r="AW2">
        <f>BDH("DNUT US Equity","PX_VOLUME","1993-06-18","2026-05-02","Per=M","Days=T","Dir=V")</f>
        <v>0</v>
      </c>
      <c r="AY2">
        <f>BDH("DNUT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BDH("DOCN US Equity","BS_TOT_ASSET","1993-06-18","2026-05-02","Per=Y","Days=T","Dir=V")</f>
        <v>0</v>
      </c>
      <c r="C2">
        <f>BDH("DOCN US Equity","BS_TOT_LIAB2","1993-06-18","2026-05-02","Per=Y","Days=T","Dir=V")</f>
        <v>0</v>
      </c>
      <c r="E2">
        <f>BDH("DOCN US Equity","SHORT_AND_LONG_TERM_DEBT","1993-06-18","2026-05-02","Per=Y","Days=T","Dir=V")</f>
        <v>0</v>
      </c>
      <c r="G2">
        <f>BDH("DOCN US Equity","BS_ST_BORROW","1993-06-18","2026-05-02","Per=Y","Days=T","Dir=V")</f>
        <v>0</v>
      </c>
      <c r="I2">
        <f>BDH("DOCN US Equity","BS_LT_BORROW","1993-06-18","2026-05-02","Per=Y","Days=T","Dir=V")</f>
        <v>0</v>
      </c>
      <c r="K2">
        <f>BDH("DOCN US Equity","BS_CASH_NEAR_CASH_ITEM","1993-06-18","2026-05-02","Per=Y","Days=T","Dir=V")</f>
        <v>0</v>
      </c>
      <c r="M2">
        <f>BDH("DOCN US Equity","BS_CUR_ASSET_REPORT","1993-06-18","2026-05-02","Per=Y","Days=T","Dir=V")</f>
        <v>0</v>
      </c>
      <c r="O2">
        <f>BDH("DOCN US Equity","BS_CUR_LIAB","1993-06-18","2026-05-02","Per=Y","Days=T","Dir=V")</f>
        <v>0</v>
      </c>
      <c r="Q2">
        <f>BDH("DOCN US Equity","BS_SHAREHOLDER_EQY_ENDING_PERIOD","1993-06-18","2026-05-02","Per=Y","Days=T","Dir=V")</f>
        <v>0</v>
      </c>
      <c r="S2">
        <f>BDH("DOCN US Equity","BS_ACCT_NOTE_RCV","1993-06-18","2026-05-02","Per=Y","Days=T","Dir=V")</f>
        <v>0</v>
      </c>
      <c r="U2">
        <f>BDH("DOCN US Equity","BS_INVENTORIES","1993-06-18","2026-05-02","Per=Y","Days=T","Dir=V")</f>
        <v>0</v>
      </c>
      <c r="W2">
        <f>BDH("DOCN US Equity","WORKING_CAPITAL","1993-06-18","2026-05-02","Per=Y","Days=T","Dir=V")</f>
        <v>0</v>
      </c>
      <c r="Y2">
        <f>BDH("DOCN US Equity","SALES_REV_TURN","1993-06-18","2026-05-02","Per=Y","Days=T","Dir=V")</f>
        <v>0</v>
      </c>
      <c r="AA2">
        <f>BDH("DOCN US Equity","EBIT","1993-06-18","2026-05-02","Per=Y","Days=T","Dir=V")</f>
        <v>0</v>
      </c>
      <c r="AC2">
        <f>BDH("DOCN US Equity","EBITDA","1993-06-18","2026-05-02","Per=Y","Days=T","Dir=V")</f>
        <v>0</v>
      </c>
      <c r="AE2">
        <f>BDH("DOCN US Equity","NET_INCOME","1993-06-18","2026-05-02","Per=Y","Days=T","Dir=V")</f>
        <v>0</v>
      </c>
      <c r="AG2">
        <f>BDH("DOCN US Equity","IS_INT_EXPENSE","1993-06-18","2026-05-02","Per=Y","Days=T","Dir=V")</f>
        <v>0</v>
      </c>
      <c r="AI2">
        <f>BDH("DOCN US Equity","IS_DEPR_EXP","1993-06-18","2026-05-02","Per=Y","Days=T","Dir=V")</f>
        <v>0</v>
      </c>
      <c r="AK2">
        <f>BDH("DOCN US Equity","CF_CASH_FROM_OPER","1993-06-18","2026-05-02","Per=Y","Days=T","Dir=V")</f>
        <v>0</v>
      </c>
      <c r="AM2">
        <f>BDH("DOCN US Equity","CAPITAL_EXPEND","1993-06-18","2026-05-02","Per=Y","Days=T","Dir=V")</f>
        <v>0</v>
      </c>
      <c r="AO2">
        <f>BDH("DOCN US Equity","CF_FREE_CASH_FLOW","1993-06-18","2026-05-02","Per=Y","Days=T","Dir=V")</f>
        <v>0</v>
      </c>
      <c r="AQ2">
        <f>BDH("DOCN US Equity","PX_LAST","1993-06-18","2026-05-02","Per=M","Days=T","Dir=V")</f>
        <v>0</v>
      </c>
      <c r="AS2">
        <f>BDH("DOCN US Equity","CUR_MKT_CAP","1993-06-18","2026-05-02","Per=M","Days=T","Dir=V")</f>
        <v>0</v>
      </c>
      <c r="AU2">
        <f>BDH("DOCN US Equity","EQY_SH_OUT","1993-06-18","2026-05-02","Per=M","Days=T","Dir=V")</f>
        <v>0</v>
      </c>
      <c r="AW2">
        <f>BDH("DOCN US Equity","PX_VOLUME","1993-06-18","2026-05-02","Per=M","Days=T","Dir=V")</f>
        <v>0</v>
      </c>
      <c r="AY2">
        <f>BDH("DOCN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BDH("DOCS US Equity","BS_TOT_ASSET","1993-06-18","2026-05-02","Per=Y","Days=T","Dir=V")</f>
        <v>0</v>
      </c>
      <c r="C2">
        <f>BDH("DOCS US Equity","BS_TOT_LIAB2","1993-06-18","2026-05-02","Per=Y","Days=T","Dir=V")</f>
        <v>0</v>
      </c>
      <c r="E2">
        <f>BDH("DOCS US Equity","SHORT_AND_LONG_TERM_DEBT","1993-06-18","2026-05-02","Per=Y","Days=T","Dir=V")</f>
        <v>0</v>
      </c>
      <c r="G2">
        <f>BDH("DOCS US Equity","BS_ST_BORROW","1993-06-18","2026-05-02","Per=Y","Days=T","Dir=V")</f>
        <v>0</v>
      </c>
      <c r="I2">
        <f>BDH("DOCS US Equity","BS_LT_BORROW","1993-06-18","2026-05-02","Per=Y","Days=T","Dir=V")</f>
        <v>0</v>
      </c>
      <c r="K2">
        <f>BDH("DOCS US Equity","BS_CASH_NEAR_CASH_ITEM","1993-06-18","2026-05-02","Per=Y","Days=T","Dir=V")</f>
        <v>0</v>
      </c>
      <c r="M2">
        <f>BDH("DOCS US Equity","BS_CUR_ASSET_REPORT","1993-06-18","2026-05-02","Per=Y","Days=T","Dir=V")</f>
        <v>0</v>
      </c>
      <c r="O2">
        <f>BDH("DOCS US Equity","BS_CUR_LIAB","1993-06-18","2026-05-02","Per=Y","Days=T","Dir=V")</f>
        <v>0</v>
      </c>
      <c r="Q2">
        <f>BDH("DOCS US Equity","BS_SHAREHOLDER_EQY_ENDING_PERIOD","1993-06-18","2026-05-02","Per=Y","Days=T","Dir=V")</f>
        <v>0</v>
      </c>
      <c r="S2">
        <f>BDH("DOCS US Equity","BS_ACCT_NOTE_RCV","1993-06-18","2026-05-02","Per=Y","Days=T","Dir=V")</f>
        <v>0</v>
      </c>
      <c r="U2">
        <f>BDH("DOCS US Equity","BS_INVENTORIES","1993-06-18","2026-05-02","Per=Y","Days=T","Dir=V")</f>
        <v>0</v>
      </c>
      <c r="W2">
        <f>BDH("DOCS US Equity","WORKING_CAPITAL","1993-06-18","2026-05-02","Per=Y","Days=T","Dir=V")</f>
        <v>0</v>
      </c>
      <c r="Y2">
        <f>BDH("DOCS US Equity","SALES_REV_TURN","1993-06-18","2026-05-02","Per=Y","Days=T","Dir=V")</f>
        <v>0</v>
      </c>
      <c r="AA2">
        <f>BDH("DOCS US Equity","EBIT","1993-06-18","2026-05-02","Per=Y","Days=T","Dir=V")</f>
        <v>0</v>
      </c>
      <c r="AC2">
        <f>BDH("DOCS US Equity","EBITDA","1993-06-18","2026-05-02","Per=Y","Days=T","Dir=V")</f>
        <v>0</v>
      </c>
      <c r="AE2">
        <f>BDH("DOCS US Equity","NET_INCOME","1993-06-18","2026-05-02","Per=Y","Days=T","Dir=V")</f>
        <v>0</v>
      </c>
      <c r="AG2">
        <f>BDH("DOCS US Equity","IS_INT_EXPENSE","1993-06-18","2026-05-02","Per=Y","Days=T","Dir=V")</f>
        <v>0</v>
      </c>
      <c r="AI2">
        <f>BDH("DOCS US Equity","IS_DEPR_EXP","1993-06-18","2026-05-02","Per=Y","Days=T","Dir=V")</f>
        <v>0</v>
      </c>
      <c r="AK2">
        <f>BDH("DOCS US Equity","CF_CASH_FROM_OPER","1993-06-18","2026-05-02","Per=Y","Days=T","Dir=V")</f>
        <v>0</v>
      </c>
      <c r="AM2">
        <f>BDH("DOCS US Equity","CAPITAL_EXPEND","1993-06-18","2026-05-02","Per=Y","Days=T","Dir=V")</f>
        <v>0</v>
      </c>
      <c r="AO2">
        <f>BDH("DOCS US Equity","CF_FREE_CASH_FLOW","1993-06-18","2026-05-02","Per=Y","Days=T","Dir=V")</f>
        <v>0</v>
      </c>
      <c r="AQ2">
        <f>BDH("DOCS US Equity","PX_LAST","1993-06-18","2026-05-02","Per=M","Days=T","Dir=V")</f>
        <v>0</v>
      </c>
      <c r="AS2">
        <f>BDH("DOCS US Equity","CUR_MKT_CAP","1993-06-18","2026-05-02","Per=M","Days=T","Dir=V")</f>
        <v>0</v>
      </c>
      <c r="AU2">
        <f>BDH("DOCS US Equity","EQY_SH_OUT","1993-06-18","2026-05-02","Per=M","Days=T","Dir=V")</f>
        <v>0</v>
      </c>
      <c r="AW2">
        <f>BDH("DOCS US Equity","PX_VOLUME","1993-06-18","2026-05-02","Per=M","Days=T","Dir=V")</f>
        <v>0</v>
      </c>
      <c r="AY2">
        <f>BDH("DOCS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BDH("DOCU US Equity","BS_TOT_ASSET","1993-06-18","2026-05-02","Per=Y","Days=T","Dir=V")</f>
        <v>0</v>
      </c>
      <c r="C2">
        <f>BDH("DOCU US Equity","BS_TOT_LIAB2","1993-06-18","2026-05-02","Per=Y","Days=T","Dir=V")</f>
        <v>0</v>
      </c>
      <c r="E2">
        <f>BDH("DOCU US Equity","SHORT_AND_LONG_TERM_DEBT","1993-06-18","2026-05-02","Per=Y","Days=T","Dir=V")</f>
        <v>0</v>
      </c>
      <c r="G2">
        <f>BDH("DOCU US Equity","BS_ST_BORROW","1993-06-18","2026-05-02","Per=Y","Days=T","Dir=V")</f>
        <v>0</v>
      </c>
      <c r="I2">
        <f>BDH("DOCU US Equity","BS_LT_BORROW","1993-06-18","2026-05-02","Per=Y","Days=T","Dir=V")</f>
        <v>0</v>
      </c>
      <c r="K2">
        <f>BDH("DOCU US Equity","BS_CASH_NEAR_CASH_ITEM","1993-06-18","2026-05-02","Per=Y","Days=T","Dir=V")</f>
        <v>0</v>
      </c>
      <c r="M2">
        <f>BDH("DOCU US Equity","BS_CUR_ASSET_REPORT","1993-06-18","2026-05-02","Per=Y","Days=T","Dir=V")</f>
        <v>0</v>
      </c>
      <c r="O2">
        <f>BDH("DOCU US Equity","BS_CUR_LIAB","1993-06-18","2026-05-02","Per=Y","Days=T","Dir=V")</f>
        <v>0</v>
      </c>
      <c r="Q2">
        <f>BDH("DOCU US Equity","BS_SHAREHOLDER_EQY_ENDING_PERIOD","1993-06-18","2026-05-02","Per=Y","Days=T","Dir=V")</f>
        <v>0</v>
      </c>
      <c r="S2">
        <f>BDH("DOCU US Equity","BS_ACCT_NOTE_RCV","1993-06-18","2026-05-02","Per=Y","Days=T","Dir=V")</f>
        <v>0</v>
      </c>
      <c r="U2">
        <f>BDH("DOCU US Equity","BS_INVENTORIES","1993-06-18","2026-05-02","Per=Y","Days=T","Dir=V")</f>
        <v>0</v>
      </c>
      <c r="W2">
        <f>BDH("DOCU US Equity","WORKING_CAPITAL","1993-06-18","2026-05-02","Per=Y","Days=T","Dir=V")</f>
        <v>0</v>
      </c>
      <c r="Y2">
        <f>BDH("DOCU US Equity","SALES_REV_TURN","1993-06-18","2026-05-02","Per=Y","Days=T","Dir=V")</f>
        <v>0</v>
      </c>
      <c r="AA2">
        <f>BDH("DOCU US Equity","EBIT","1993-06-18","2026-05-02","Per=Y","Days=T","Dir=V")</f>
        <v>0</v>
      </c>
      <c r="AC2">
        <f>BDH("DOCU US Equity","EBITDA","1993-06-18","2026-05-02","Per=Y","Days=T","Dir=V")</f>
        <v>0</v>
      </c>
      <c r="AE2">
        <f>BDH("DOCU US Equity","NET_INCOME","1993-06-18","2026-05-02","Per=Y","Days=T","Dir=V")</f>
        <v>0</v>
      </c>
      <c r="AG2">
        <f>BDH("DOCU US Equity","IS_INT_EXPENSE","1993-06-18","2026-05-02","Per=Y","Days=T","Dir=V")</f>
        <v>0</v>
      </c>
      <c r="AI2">
        <f>BDH("DOCU US Equity","IS_DEPR_EXP","1993-06-18","2026-05-02","Per=Y","Days=T","Dir=V")</f>
        <v>0</v>
      </c>
      <c r="AK2">
        <f>BDH("DOCU US Equity","CF_CASH_FROM_OPER","1993-06-18","2026-05-02","Per=Y","Days=T","Dir=V")</f>
        <v>0</v>
      </c>
      <c r="AM2">
        <f>BDH("DOCU US Equity","CAPITAL_EXPEND","1993-06-18","2026-05-02","Per=Y","Days=T","Dir=V")</f>
        <v>0</v>
      </c>
      <c r="AO2">
        <f>BDH("DOCU US Equity","CF_FREE_CASH_FLOW","1993-06-18","2026-05-02","Per=Y","Days=T","Dir=V")</f>
        <v>0</v>
      </c>
      <c r="AQ2">
        <f>BDH("DOCU US Equity","PX_LAST","1993-06-18","2026-05-02","Per=M","Days=T","Dir=V")</f>
        <v>0</v>
      </c>
      <c r="AS2">
        <f>BDH("DOCU US Equity","CUR_MKT_CAP","1993-06-18","2026-05-02","Per=M","Days=T","Dir=V")</f>
        <v>0</v>
      </c>
      <c r="AU2">
        <f>BDH("DOCU US Equity","EQY_SH_OUT","1993-06-18","2026-05-02","Per=M","Days=T","Dir=V")</f>
        <v>0</v>
      </c>
      <c r="AW2">
        <f>BDH("DOCU US Equity","PX_VOLUME","1993-06-18","2026-05-02","Per=M","Days=T","Dir=V")</f>
        <v>0</v>
      </c>
      <c r="AY2">
        <f>BDH("DOCU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BDH("DORM US Equity","BS_TOT_ASSET","1993-06-18","2026-05-02","Per=Y","Days=T","Dir=V")</f>
        <v>0</v>
      </c>
      <c r="C2">
        <f>BDH("DORM US Equity","BS_TOT_LIAB2","1993-06-18","2026-05-02","Per=Y","Days=T","Dir=V")</f>
        <v>0</v>
      </c>
      <c r="E2">
        <f>BDH("DORM US Equity","SHORT_AND_LONG_TERM_DEBT","1993-06-18","2026-05-02","Per=Y","Days=T","Dir=V")</f>
        <v>0</v>
      </c>
      <c r="G2">
        <f>BDH("DORM US Equity","BS_ST_BORROW","1993-06-18","2026-05-02","Per=Y","Days=T","Dir=V")</f>
        <v>0</v>
      </c>
      <c r="I2">
        <f>BDH("DORM US Equity","BS_LT_BORROW","1993-06-18","2026-05-02","Per=Y","Days=T","Dir=V")</f>
        <v>0</v>
      </c>
      <c r="K2">
        <f>BDH("DORM US Equity","BS_CASH_NEAR_CASH_ITEM","1993-06-18","2026-05-02","Per=Y","Days=T","Dir=V")</f>
        <v>0</v>
      </c>
      <c r="M2">
        <f>BDH("DORM US Equity","BS_CUR_ASSET_REPORT","1993-06-18","2026-05-02","Per=Y","Days=T","Dir=V")</f>
        <v>0</v>
      </c>
      <c r="O2">
        <f>BDH("DORM US Equity","BS_CUR_LIAB","1993-06-18","2026-05-02","Per=Y","Days=T","Dir=V")</f>
        <v>0</v>
      </c>
      <c r="Q2">
        <f>BDH("DORM US Equity","BS_SHAREHOLDER_EQY_ENDING_PERIOD","1993-06-18","2026-05-02","Per=Y","Days=T","Dir=V")</f>
        <v>0</v>
      </c>
      <c r="S2">
        <f>BDH("DORM US Equity","BS_ACCT_NOTE_RCV","1993-06-18","2026-05-02","Per=Y","Days=T","Dir=V")</f>
        <v>0</v>
      </c>
      <c r="U2">
        <f>BDH("DORM US Equity","BS_INVENTORIES","1993-06-18","2026-05-02","Per=Y","Days=T","Dir=V")</f>
        <v>0</v>
      </c>
      <c r="W2">
        <f>BDH("DORM US Equity","WORKING_CAPITAL","1993-06-18","2026-05-02","Per=Y","Days=T","Dir=V")</f>
        <v>0</v>
      </c>
      <c r="Y2">
        <f>BDH("DORM US Equity","SALES_REV_TURN","1993-06-18","2026-05-02","Per=Y","Days=T","Dir=V")</f>
        <v>0</v>
      </c>
      <c r="AA2">
        <f>BDH("DORM US Equity","EBIT","1993-06-18","2026-05-02","Per=Y","Days=T","Dir=V")</f>
        <v>0</v>
      </c>
      <c r="AC2">
        <f>BDH("DORM US Equity","EBITDA","1993-06-18","2026-05-02","Per=Y","Days=T","Dir=V")</f>
        <v>0</v>
      </c>
      <c r="AE2">
        <f>BDH("DORM US Equity","NET_INCOME","1993-06-18","2026-05-02","Per=Y","Days=T","Dir=V")</f>
        <v>0</v>
      </c>
      <c r="AG2">
        <f>BDH("DORM US Equity","IS_INT_EXPENSE","1993-06-18","2026-05-02","Per=Y","Days=T","Dir=V")</f>
        <v>0</v>
      </c>
      <c r="AI2">
        <f>BDH("DORM US Equity","IS_DEPR_EXP","1993-06-18","2026-05-02","Per=Y","Days=T","Dir=V")</f>
        <v>0</v>
      </c>
      <c r="AK2">
        <f>BDH("DORM US Equity","CF_CASH_FROM_OPER","1993-06-18","2026-05-02","Per=Y","Days=T","Dir=V")</f>
        <v>0</v>
      </c>
      <c r="AM2">
        <f>BDH("DORM US Equity","CAPITAL_EXPEND","1993-06-18","2026-05-02","Per=Y","Days=T","Dir=V")</f>
        <v>0</v>
      </c>
      <c r="AO2">
        <f>BDH("DORM US Equity","CF_FREE_CASH_FLOW","1993-06-18","2026-05-02","Per=Y","Days=T","Dir=V")</f>
        <v>0</v>
      </c>
      <c r="AQ2">
        <f>BDH("DORM US Equity","PX_LAST","1993-06-18","2026-05-02","Per=M","Days=T","Dir=V")</f>
        <v>0</v>
      </c>
      <c r="AS2">
        <f>BDH("DORM US Equity","CUR_MKT_CAP","1993-06-18","2026-05-02","Per=M","Days=T","Dir=V")</f>
        <v>0</v>
      </c>
      <c r="AU2">
        <f>BDH("DORM US Equity","EQY_SH_OUT","1993-06-18","2026-05-02","Per=M","Days=T","Dir=V")</f>
        <v>0</v>
      </c>
      <c r="AW2">
        <f>BDH("DORM US Equity","PX_VOLUME","1993-06-18","2026-05-02","Per=M","Days=T","Dir=V")</f>
        <v>0</v>
      </c>
      <c r="AY2">
        <f>BDH("DORM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BDH("DOV US Equity","BS_TOT_ASSET","1993-06-18","2026-05-02","Per=Y","Days=T","Dir=V")</f>
        <v>0</v>
      </c>
      <c r="C2">
        <f>BDH("DOV US Equity","BS_TOT_LIAB2","1993-06-18","2026-05-02","Per=Y","Days=T","Dir=V")</f>
        <v>0</v>
      </c>
      <c r="E2">
        <f>BDH("DOV US Equity","SHORT_AND_LONG_TERM_DEBT","1993-06-18","2026-05-02","Per=Y","Days=T","Dir=V")</f>
        <v>0</v>
      </c>
      <c r="G2">
        <f>BDH("DOV US Equity","BS_ST_BORROW","1993-06-18","2026-05-02","Per=Y","Days=T","Dir=V")</f>
        <v>0</v>
      </c>
      <c r="I2">
        <f>BDH("DOV US Equity","BS_LT_BORROW","1993-06-18","2026-05-02","Per=Y","Days=T","Dir=V")</f>
        <v>0</v>
      </c>
      <c r="K2">
        <f>BDH("DOV US Equity","BS_CASH_NEAR_CASH_ITEM","1993-06-18","2026-05-02","Per=Y","Days=T","Dir=V")</f>
        <v>0</v>
      </c>
      <c r="M2">
        <f>BDH("DOV US Equity","BS_CUR_ASSET_REPORT","1993-06-18","2026-05-02","Per=Y","Days=T","Dir=V")</f>
        <v>0</v>
      </c>
      <c r="O2">
        <f>BDH("DOV US Equity","BS_CUR_LIAB","1993-06-18","2026-05-02","Per=Y","Days=T","Dir=V")</f>
        <v>0</v>
      </c>
      <c r="Q2">
        <f>BDH("DOV US Equity","BS_SHAREHOLDER_EQY_ENDING_PERIOD","1993-06-18","2026-05-02","Per=Y","Days=T","Dir=V")</f>
        <v>0</v>
      </c>
      <c r="S2">
        <f>BDH("DOV US Equity","BS_ACCT_NOTE_RCV","1993-06-18","2026-05-02","Per=Y","Days=T","Dir=V")</f>
        <v>0</v>
      </c>
      <c r="U2">
        <f>BDH("DOV US Equity","BS_INVENTORIES","1993-06-18","2026-05-02","Per=Y","Days=T","Dir=V")</f>
        <v>0</v>
      </c>
      <c r="W2">
        <f>BDH("DOV US Equity","WORKING_CAPITAL","1993-06-18","2026-05-02","Per=Y","Days=T","Dir=V")</f>
        <v>0</v>
      </c>
      <c r="Y2">
        <f>BDH("DOV US Equity","SALES_REV_TURN","1993-06-18","2026-05-02","Per=Y","Days=T","Dir=V")</f>
        <v>0</v>
      </c>
      <c r="AA2">
        <f>BDH("DOV US Equity","EBIT","1993-06-18","2026-05-02","Per=Y","Days=T","Dir=V")</f>
        <v>0</v>
      </c>
      <c r="AC2">
        <f>BDH("DOV US Equity","EBITDA","1993-06-18","2026-05-02","Per=Y","Days=T","Dir=V")</f>
        <v>0</v>
      </c>
      <c r="AE2">
        <f>BDH("DOV US Equity","NET_INCOME","1993-06-18","2026-05-02","Per=Y","Days=T","Dir=V")</f>
        <v>0</v>
      </c>
      <c r="AG2">
        <f>BDH("DOV US Equity","IS_INT_EXPENSE","1993-06-18","2026-05-02","Per=Y","Days=T","Dir=V")</f>
        <v>0</v>
      </c>
      <c r="AI2">
        <f>BDH("DOV US Equity","IS_DEPR_EXP","1993-06-18","2026-05-02","Per=Y","Days=T","Dir=V")</f>
        <v>0</v>
      </c>
      <c r="AK2">
        <f>BDH("DOV US Equity","CF_CASH_FROM_OPER","1993-06-18","2026-05-02","Per=Y","Days=T","Dir=V")</f>
        <v>0</v>
      </c>
      <c r="AM2">
        <f>BDH("DOV US Equity","CAPITAL_EXPEND","1993-06-18","2026-05-02","Per=Y","Days=T","Dir=V")</f>
        <v>0</v>
      </c>
      <c r="AO2">
        <f>BDH("DOV US Equity","CF_FREE_CASH_FLOW","1993-06-18","2026-05-02","Per=Y","Days=T","Dir=V")</f>
        <v>0</v>
      </c>
      <c r="AQ2">
        <f>BDH("DOV US Equity","PX_LAST","1993-06-18","2026-05-02","Per=M","Days=T","Dir=V")</f>
        <v>0</v>
      </c>
      <c r="AS2">
        <f>BDH("DOV US Equity","CUR_MKT_CAP","1993-06-18","2026-05-02","Per=M","Days=T","Dir=V")</f>
        <v>0</v>
      </c>
      <c r="AU2">
        <f>BDH("DOV US Equity","EQY_SH_OUT","1993-06-18","2026-05-02","Per=M","Days=T","Dir=V")</f>
        <v>0</v>
      </c>
      <c r="AW2">
        <f>BDH("DOV US Equity","PX_VOLUME","1993-06-18","2026-05-02","Per=M","Days=T","Dir=V")</f>
        <v>0</v>
      </c>
      <c r="AY2">
        <f>BDH("DOV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BDH("DOW US Equity","BS_TOT_ASSET","1993-06-18","2026-05-02","Per=Y","Days=T","Dir=V")</f>
        <v>0</v>
      </c>
      <c r="C2">
        <f>BDH("DOW US Equity","BS_TOT_LIAB2","1993-06-18","2026-05-02","Per=Y","Days=T","Dir=V")</f>
        <v>0</v>
      </c>
      <c r="E2">
        <f>BDH("DOW US Equity","SHORT_AND_LONG_TERM_DEBT","1993-06-18","2026-05-02","Per=Y","Days=T","Dir=V")</f>
        <v>0</v>
      </c>
      <c r="G2">
        <f>BDH("DOW US Equity","BS_ST_BORROW","1993-06-18","2026-05-02","Per=Y","Days=T","Dir=V")</f>
        <v>0</v>
      </c>
      <c r="I2">
        <f>BDH("DOW US Equity","BS_LT_BORROW","1993-06-18","2026-05-02","Per=Y","Days=T","Dir=V")</f>
        <v>0</v>
      </c>
      <c r="K2">
        <f>BDH("DOW US Equity","BS_CASH_NEAR_CASH_ITEM","1993-06-18","2026-05-02","Per=Y","Days=T","Dir=V")</f>
        <v>0</v>
      </c>
      <c r="M2">
        <f>BDH("DOW US Equity","BS_CUR_ASSET_REPORT","1993-06-18","2026-05-02","Per=Y","Days=T","Dir=V")</f>
        <v>0</v>
      </c>
      <c r="O2">
        <f>BDH("DOW US Equity","BS_CUR_LIAB","1993-06-18","2026-05-02","Per=Y","Days=T","Dir=V")</f>
        <v>0</v>
      </c>
      <c r="Q2">
        <f>BDH("DOW US Equity","BS_SHAREHOLDER_EQY_ENDING_PERIOD","1993-06-18","2026-05-02","Per=Y","Days=T","Dir=V")</f>
        <v>0</v>
      </c>
      <c r="S2">
        <f>BDH("DOW US Equity","BS_ACCT_NOTE_RCV","1993-06-18","2026-05-02","Per=Y","Days=T","Dir=V")</f>
        <v>0</v>
      </c>
      <c r="U2">
        <f>BDH("DOW US Equity","BS_INVENTORIES","1993-06-18","2026-05-02","Per=Y","Days=T","Dir=V")</f>
        <v>0</v>
      </c>
      <c r="W2">
        <f>BDH("DOW US Equity","WORKING_CAPITAL","1993-06-18","2026-05-02","Per=Y","Days=T","Dir=V")</f>
        <v>0</v>
      </c>
      <c r="Y2">
        <f>BDH("DOW US Equity","SALES_REV_TURN","1993-06-18","2026-05-02","Per=Y","Days=T","Dir=V")</f>
        <v>0</v>
      </c>
      <c r="AA2">
        <f>BDH("DOW US Equity","EBIT","1993-06-18","2026-05-02","Per=Y","Days=T","Dir=V")</f>
        <v>0</v>
      </c>
      <c r="AC2">
        <f>BDH("DOW US Equity","EBITDA","1993-06-18","2026-05-02","Per=Y","Days=T","Dir=V")</f>
        <v>0</v>
      </c>
      <c r="AE2">
        <f>BDH("DOW US Equity","NET_INCOME","1993-06-18","2026-05-02","Per=Y","Days=T","Dir=V")</f>
        <v>0</v>
      </c>
      <c r="AG2">
        <f>BDH("DOW US Equity","IS_INT_EXPENSE","1993-06-18","2026-05-02","Per=Y","Days=T","Dir=V")</f>
        <v>0</v>
      </c>
      <c r="AI2">
        <f>BDH("DOW US Equity","IS_DEPR_EXP","1993-06-18","2026-05-02","Per=Y","Days=T","Dir=V")</f>
        <v>0</v>
      </c>
      <c r="AK2">
        <f>BDH("DOW US Equity","CF_CASH_FROM_OPER","1993-06-18","2026-05-02","Per=Y","Days=T","Dir=V")</f>
        <v>0</v>
      </c>
      <c r="AM2">
        <f>BDH("DOW US Equity","CAPITAL_EXPEND","1993-06-18","2026-05-02","Per=Y","Days=T","Dir=V")</f>
        <v>0</v>
      </c>
      <c r="AO2">
        <f>BDH("DOW US Equity","CF_FREE_CASH_FLOW","1993-06-18","2026-05-02","Per=Y","Days=T","Dir=V")</f>
        <v>0</v>
      </c>
      <c r="AQ2">
        <f>BDH("DOW US Equity","PX_LAST","1993-06-18","2026-05-02","Per=M","Days=T","Dir=V")</f>
        <v>0</v>
      </c>
      <c r="AS2">
        <f>BDH("DOW US Equity","CUR_MKT_CAP","1993-06-18","2026-05-02","Per=M","Days=T","Dir=V")</f>
        <v>0</v>
      </c>
      <c r="AU2">
        <f>BDH("DOW US Equity","EQY_SH_OUT","1993-06-18","2026-05-02","Per=M","Days=T","Dir=V")</f>
        <v>0</v>
      </c>
      <c r="AW2">
        <f>BDH("DOW US Equity","PX_VOLUME","1993-06-18","2026-05-02","Per=M","Days=T","Dir=V")</f>
        <v>0</v>
      </c>
      <c r="AY2">
        <f>BDH("DOW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BDH("DPZ US Equity","BS_TOT_ASSET","1993-06-18","2026-05-02","Per=Y","Days=T","Dir=V")</f>
        <v>0</v>
      </c>
      <c r="C2">
        <f>BDH("DPZ US Equity","BS_TOT_LIAB2","1993-06-18","2026-05-02","Per=Y","Days=T","Dir=V")</f>
        <v>0</v>
      </c>
      <c r="E2">
        <f>BDH("DPZ US Equity","SHORT_AND_LONG_TERM_DEBT","1993-06-18","2026-05-02","Per=Y","Days=T","Dir=V")</f>
        <v>0</v>
      </c>
      <c r="G2">
        <f>BDH("DPZ US Equity","BS_ST_BORROW","1993-06-18","2026-05-02","Per=Y","Days=T","Dir=V")</f>
        <v>0</v>
      </c>
      <c r="I2">
        <f>BDH("DPZ US Equity","BS_LT_BORROW","1993-06-18","2026-05-02","Per=Y","Days=T","Dir=V")</f>
        <v>0</v>
      </c>
      <c r="K2">
        <f>BDH("DPZ US Equity","BS_CASH_NEAR_CASH_ITEM","1993-06-18","2026-05-02","Per=Y","Days=T","Dir=V")</f>
        <v>0</v>
      </c>
      <c r="M2">
        <f>BDH("DPZ US Equity","BS_CUR_ASSET_REPORT","1993-06-18","2026-05-02","Per=Y","Days=T","Dir=V")</f>
        <v>0</v>
      </c>
      <c r="O2">
        <f>BDH("DPZ US Equity","BS_CUR_LIAB","1993-06-18","2026-05-02","Per=Y","Days=T","Dir=V")</f>
        <v>0</v>
      </c>
      <c r="Q2">
        <f>BDH("DPZ US Equity","BS_SHAREHOLDER_EQY_ENDING_PERIOD","1993-06-18","2026-05-02","Per=Y","Days=T","Dir=V")</f>
        <v>0</v>
      </c>
      <c r="S2">
        <f>BDH("DPZ US Equity","BS_ACCT_NOTE_RCV","1993-06-18","2026-05-02","Per=Y","Days=T","Dir=V")</f>
        <v>0</v>
      </c>
      <c r="U2">
        <f>BDH("DPZ US Equity","BS_INVENTORIES","1993-06-18","2026-05-02","Per=Y","Days=T","Dir=V")</f>
        <v>0</v>
      </c>
      <c r="W2">
        <f>BDH("DPZ US Equity","WORKING_CAPITAL","1993-06-18","2026-05-02","Per=Y","Days=T","Dir=V")</f>
        <v>0</v>
      </c>
      <c r="Y2">
        <f>BDH("DPZ US Equity","SALES_REV_TURN","1993-06-18","2026-05-02","Per=Y","Days=T","Dir=V")</f>
        <v>0</v>
      </c>
      <c r="AA2">
        <f>BDH("DPZ US Equity","EBIT","1993-06-18","2026-05-02","Per=Y","Days=T","Dir=V")</f>
        <v>0</v>
      </c>
      <c r="AC2">
        <f>BDH("DPZ US Equity","EBITDA","1993-06-18","2026-05-02","Per=Y","Days=T","Dir=V")</f>
        <v>0</v>
      </c>
      <c r="AE2">
        <f>BDH("DPZ US Equity","NET_INCOME","1993-06-18","2026-05-02","Per=Y","Days=T","Dir=V")</f>
        <v>0</v>
      </c>
      <c r="AG2">
        <f>BDH("DPZ US Equity","IS_INT_EXPENSE","1993-06-18","2026-05-02","Per=Y","Days=T","Dir=V")</f>
        <v>0</v>
      </c>
      <c r="AI2">
        <f>BDH("DPZ US Equity","IS_DEPR_EXP","1993-06-18","2026-05-02","Per=Y","Days=T","Dir=V")</f>
        <v>0</v>
      </c>
      <c r="AK2">
        <f>BDH("DPZ US Equity","CF_CASH_FROM_OPER","1993-06-18","2026-05-02","Per=Y","Days=T","Dir=V")</f>
        <v>0</v>
      </c>
      <c r="AM2">
        <f>BDH("DPZ US Equity","CAPITAL_EXPEND","1993-06-18","2026-05-02","Per=Y","Days=T","Dir=V")</f>
        <v>0</v>
      </c>
      <c r="AO2">
        <f>BDH("DPZ US Equity","CF_FREE_CASH_FLOW","1993-06-18","2026-05-02","Per=Y","Days=T","Dir=V")</f>
        <v>0</v>
      </c>
      <c r="AQ2">
        <f>BDH("DPZ US Equity","PX_LAST","1993-06-18","2026-05-02","Per=M","Days=T","Dir=V")</f>
        <v>0</v>
      </c>
      <c r="AS2">
        <f>BDH("DPZ US Equity","CUR_MKT_CAP","1993-06-18","2026-05-02","Per=M","Days=T","Dir=V")</f>
        <v>0</v>
      </c>
      <c r="AU2">
        <f>BDH("DPZ US Equity","EQY_SH_OUT","1993-06-18","2026-05-02","Per=M","Days=T","Dir=V")</f>
        <v>0</v>
      </c>
      <c r="AW2">
        <f>BDH("DPZ US Equity","PX_VOLUME","1993-06-18","2026-05-02","Per=M","Days=T","Dir=V")</f>
        <v>0</v>
      </c>
      <c r="AY2">
        <f>BDH("DPZ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BDH("DRCT US Equity","BS_TOT_ASSET","1993-06-18","2026-05-02","Per=Y","Days=T","Dir=V")</f>
        <v>0</v>
      </c>
      <c r="C2">
        <f>BDH("DRCT US Equity","BS_TOT_LIAB2","1993-06-18","2026-05-02","Per=Y","Days=T","Dir=V")</f>
        <v>0</v>
      </c>
      <c r="E2">
        <f>BDH("DRCT US Equity","SHORT_AND_LONG_TERM_DEBT","1993-06-18","2026-05-02","Per=Y","Days=T","Dir=V")</f>
        <v>0</v>
      </c>
      <c r="G2">
        <f>BDH("DRCT US Equity","BS_ST_BORROW","1993-06-18","2026-05-02","Per=Y","Days=T","Dir=V")</f>
        <v>0</v>
      </c>
      <c r="I2">
        <f>BDH("DRCT US Equity","BS_LT_BORROW","1993-06-18","2026-05-02","Per=Y","Days=T","Dir=V")</f>
        <v>0</v>
      </c>
      <c r="K2">
        <f>BDH("DRCT US Equity","BS_CASH_NEAR_CASH_ITEM","1993-06-18","2026-05-02","Per=Y","Days=T","Dir=V")</f>
        <v>0</v>
      </c>
      <c r="M2">
        <f>BDH("DRCT US Equity","BS_CUR_ASSET_REPORT","1993-06-18","2026-05-02","Per=Y","Days=T","Dir=V")</f>
        <v>0</v>
      </c>
      <c r="O2">
        <f>BDH("DRCT US Equity","BS_CUR_LIAB","1993-06-18","2026-05-02","Per=Y","Days=T","Dir=V")</f>
        <v>0</v>
      </c>
      <c r="Q2">
        <f>BDH("DRCT US Equity","BS_SHAREHOLDER_EQY_ENDING_PERIOD","1993-06-18","2026-05-02","Per=Y","Days=T","Dir=V")</f>
        <v>0</v>
      </c>
      <c r="S2">
        <f>BDH("DRCT US Equity","BS_ACCT_NOTE_RCV","1993-06-18","2026-05-02","Per=Y","Days=T","Dir=V")</f>
        <v>0</v>
      </c>
      <c r="U2">
        <f>BDH("DRCT US Equity","BS_INVENTORIES","1993-06-18","2026-05-02","Per=Y","Days=T","Dir=V")</f>
        <v>0</v>
      </c>
      <c r="W2">
        <f>BDH("DRCT US Equity","WORKING_CAPITAL","1993-06-18","2026-05-02","Per=Y","Days=T","Dir=V")</f>
        <v>0</v>
      </c>
      <c r="Y2">
        <f>BDH("DRCT US Equity","SALES_REV_TURN","1993-06-18","2026-05-02","Per=Y","Days=T","Dir=V")</f>
        <v>0</v>
      </c>
      <c r="AA2">
        <f>BDH("DRCT US Equity","EBIT","1993-06-18","2026-05-02","Per=Y","Days=T","Dir=V")</f>
        <v>0</v>
      </c>
      <c r="AC2">
        <f>BDH("DRCT US Equity","EBITDA","1993-06-18","2026-05-02","Per=Y","Days=T","Dir=V")</f>
        <v>0</v>
      </c>
      <c r="AE2">
        <f>BDH("DRCT US Equity","NET_INCOME","1993-06-18","2026-05-02","Per=Y","Days=T","Dir=V")</f>
        <v>0</v>
      </c>
      <c r="AG2">
        <f>BDH("DRCT US Equity","IS_INT_EXPENSE","1993-06-18","2026-05-02","Per=Y","Days=T","Dir=V")</f>
        <v>0</v>
      </c>
      <c r="AI2">
        <f>BDH("DRCT US Equity","IS_DEPR_EXP","1993-06-18","2026-05-02","Per=Y","Days=T","Dir=V")</f>
        <v>0</v>
      </c>
      <c r="AK2">
        <f>BDH("DRCT US Equity","CF_CASH_FROM_OPER","1993-06-18","2026-05-02","Per=Y","Days=T","Dir=V")</f>
        <v>0</v>
      </c>
      <c r="AM2">
        <f>BDH("DRCT US Equity","CAPITAL_EXPEND","1993-06-18","2026-05-02","Per=Y","Days=T","Dir=V")</f>
        <v>0</v>
      </c>
      <c r="AO2">
        <f>BDH("DRCT US Equity","CF_FREE_CASH_FLOW","1993-06-18","2026-05-02","Per=Y","Days=T","Dir=V")</f>
        <v>0</v>
      </c>
      <c r="AQ2">
        <f>BDH("DRCT US Equity","PX_LAST","1993-06-18","2026-05-02","Per=M","Days=T","Dir=V")</f>
        <v>0</v>
      </c>
      <c r="AS2">
        <f>BDH("DRCT US Equity","CUR_MKT_CAP","1993-06-18","2026-05-02","Per=M","Days=T","Dir=V")</f>
        <v>0</v>
      </c>
      <c r="AU2">
        <f>BDH("DRCT US Equity","EQY_SH_OUT","1993-06-18","2026-05-02","Per=M","Days=T","Dir=V")</f>
        <v>0</v>
      </c>
      <c r="AW2">
        <f>BDH("DRCT US Equity","PX_VOLUME","1993-06-18","2026-05-02","Per=M","Days=T","Dir=V")</f>
        <v>0</v>
      </c>
      <c r="AY2">
        <f>BDH("DRCT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BDH("DRI US Equity","BS_TOT_ASSET","1993-06-18","2026-05-02","Per=Y","Days=T","Dir=V")</f>
        <v>0</v>
      </c>
      <c r="C2">
        <f>BDH("DRI US Equity","BS_TOT_LIAB2","1993-06-18","2026-05-02","Per=Y","Days=T","Dir=V")</f>
        <v>0</v>
      </c>
      <c r="E2">
        <f>BDH("DRI US Equity","SHORT_AND_LONG_TERM_DEBT","1993-06-18","2026-05-02","Per=Y","Days=T","Dir=V")</f>
        <v>0</v>
      </c>
      <c r="G2">
        <f>BDH("DRI US Equity","BS_ST_BORROW","1993-06-18","2026-05-02","Per=Y","Days=T","Dir=V")</f>
        <v>0</v>
      </c>
      <c r="I2">
        <f>BDH("DRI US Equity","BS_LT_BORROW","1993-06-18","2026-05-02","Per=Y","Days=T","Dir=V")</f>
        <v>0</v>
      </c>
      <c r="K2">
        <f>BDH("DRI US Equity","BS_CASH_NEAR_CASH_ITEM","1993-06-18","2026-05-02","Per=Y","Days=T","Dir=V")</f>
        <v>0</v>
      </c>
      <c r="M2">
        <f>BDH("DRI US Equity","BS_CUR_ASSET_REPORT","1993-06-18","2026-05-02","Per=Y","Days=T","Dir=V")</f>
        <v>0</v>
      </c>
      <c r="O2">
        <f>BDH("DRI US Equity","BS_CUR_LIAB","1993-06-18","2026-05-02","Per=Y","Days=T","Dir=V")</f>
        <v>0</v>
      </c>
      <c r="Q2">
        <f>BDH("DRI US Equity","BS_SHAREHOLDER_EQY_ENDING_PERIOD","1993-06-18","2026-05-02","Per=Y","Days=T","Dir=V")</f>
        <v>0</v>
      </c>
      <c r="S2">
        <f>BDH("DRI US Equity","BS_ACCT_NOTE_RCV","1993-06-18","2026-05-02","Per=Y","Days=T","Dir=V")</f>
        <v>0</v>
      </c>
      <c r="U2">
        <f>BDH("DRI US Equity","BS_INVENTORIES","1993-06-18","2026-05-02","Per=Y","Days=T","Dir=V")</f>
        <v>0</v>
      </c>
      <c r="W2">
        <f>BDH("DRI US Equity","WORKING_CAPITAL","1993-06-18","2026-05-02","Per=Y","Days=T","Dir=V")</f>
        <v>0</v>
      </c>
      <c r="Y2">
        <f>BDH("DRI US Equity","SALES_REV_TURN","1993-06-18","2026-05-02","Per=Y","Days=T","Dir=V")</f>
        <v>0</v>
      </c>
      <c r="AA2">
        <f>BDH("DRI US Equity","EBIT","1993-06-18","2026-05-02","Per=Y","Days=T","Dir=V")</f>
        <v>0</v>
      </c>
      <c r="AC2">
        <f>BDH("DRI US Equity","EBITDA","1993-06-18","2026-05-02","Per=Y","Days=T","Dir=V")</f>
        <v>0</v>
      </c>
      <c r="AE2">
        <f>BDH("DRI US Equity","NET_INCOME","1993-06-18","2026-05-02","Per=Y","Days=T","Dir=V")</f>
        <v>0</v>
      </c>
      <c r="AG2">
        <f>BDH("DRI US Equity","IS_INT_EXPENSE","1993-06-18","2026-05-02","Per=Y","Days=T","Dir=V")</f>
        <v>0</v>
      </c>
      <c r="AI2">
        <f>BDH("DRI US Equity","IS_DEPR_EXP","1993-06-18","2026-05-02","Per=Y","Days=T","Dir=V")</f>
        <v>0</v>
      </c>
      <c r="AK2">
        <f>BDH("DRI US Equity","CF_CASH_FROM_OPER","1993-06-18","2026-05-02","Per=Y","Days=T","Dir=V")</f>
        <v>0</v>
      </c>
      <c r="AM2">
        <f>BDH("DRI US Equity","CAPITAL_EXPEND","1993-06-18","2026-05-02","Per=Y","Days=T","Dir=V")</f>
        <v>0</v>
      </c>
      <c r="AO2">
        <f>BDH("DRI US Equity","CF_FREE_CASH_FLOW","1993-06-18","2026-05-02","Per=Y","Days=T","Dir=V")</f>
        <v>0</v>
      </c>
      <c r="AQ2">
        <f>BDH("DRI US Equity","PX_LAST","1993-06-18","2026-05-02","Per=M","Days=T","Dir=V")</f>
        <v>0</v>
      </c>
      <c r="AS2">
        <f>BDH("DRI US Equity","CUR_MKT_CAP","1993-06-18","2026-05-02","Per=M","Days=T","Dir=V")</f>
        <v>0</v>
      </c>
      <c r="AU2">
        <f>BDH("DRI US Equity","EQY_SH_OUT","1993-06-18","2026-05-02","Per=M","Days=T","Dir=V")</f>
        <v>0</v>
      </c>
      <c r="AW2">
        <f>BDH("DRI US Equity","PX_VOLUME","1993-06-18","2026-05-02","Per=M","Days=T","Dir=V")</f>
        <v>0</v>
      </c>
      <c r="AY2">
        <f>BDH("DRI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BDH("DRMA US Equity","BS_TOT_ASSET","1993-06-18","2026-05-02","Per=Y","Days=T","Dir=V")</f>
        <v>0</v>
      </c>
      <c r="C2">
        <f>BDH("DRMA US Equity","BS_TOT_LIAB2","1993-06-18","2026-05-02","Per=Y","Days=T","Dir=V")</f>
        <v>0</v>
      </c>
      <c r="E2">
        <f>BDH("DRMA US Equity","SHORT_AND_LONG_TERM_DEBT","1993-06-18","2026-05-02","Per=Y","Days=T","Dir=V")</f>
        <v>0</v>
      </c>
      <c r="G2">
        <f>BDH("DRMA US Equity","BS_ST_BORROW","1993-06-18","2026-05-02","Per=Y","Days=T","Dir=V")</f>
        <v>0</v>
      </c>
      <c r="I2">
        <f>BDH("DRMA US Equity","BS_LT_BORROW","1993-06-18","2026-05-02","Per=Y","Days=T","Dir=V")</f>
        <v>0</v>
      </c>
      <c r="K2">
        <f>BDH("DRMA US Equity","BS_CASH_NEAR_CASH_ITEM","1993-06-18","2026-05-02","Per=Y","Days=T","Dir=V")</f>
        <v>0</v>
      </c>
      <c r="M2">
        <f>BDH("DRMA US Equity","BS_CUR_ASSET_REPORT","1993-06-18","2026-05-02","Per=Y","Days=T","Dir=V")</f>
        <v>0</v>
      </c>
      <c r="O2">
        <f>BDH("DRMA US Equity","BS_CUR_LIAB","1993-06-18","2026-05-02","Per=Y","Days=T","Dir=V")</f>
        <v>0</v>
      </c>
      <c r="Q2">
        <f>BDH("DRMA US Equity","BS_SHAREHOLDER_EQY_ENDING_PERIOD","1993-06-18","2026-05-02","Per=Y","Days=T","Dir=V")</f>
        <v>0</v>
      </c>
      <c r="S2">
        <f>BDH("DRMA US Equity","BS_ACCT_NOTE_RCV","1993-06-18","2026-05-02","Per=Y","Days=T","Dir=V")</f>
        <v>0</v>
      </c>
      <c r="U2">
        <f>BDH("DRMA US Equity","BS_INVENTORIES","1993-06-18","2026-05-02","Per=Y","Days=T","Dir=V")</f>
        <v>0</v>
      </c>
      <c r="W2">
        <f>BDH("DRMA US Equity","WORKING_CAPITAL","1993-06-18","2026-05-02","Per=Y","Days=T","Dir=V")</f>
        <v>0</v>
      </c>
      <c r="Y2">
        <f>BDH("DRMA US Equity","SALES_REV_TURN","1993-06-18","2026-05-02","Per=Y","Days=T","Dir=V")</f>
        <v>0</v>
      </c>
      <c r="AA2">
        <f>BDH("DRMA US Equity","EBIT","1993-06-18","2026-05-02","Per=Y","Days=T","Dir=V")</f>
        <v>0</v>
      </c>
      <c r="AC2">
        <f>BDH("DRMA US Equity","EBITDA","1993-06-18","2026-05-02","Per=Y","Days=T","Dir=V")</f>
        <v>0</v>
      </c>
      <c r="AE2">
        <f>BDH("DRMA US Equity","NET_INCOME","1993-06-18","2026-05-02","Per=Y","Days=T","Dir=V")</f>
        <v>0</v>
      </c>
      <c r="AG2">
        <f>BDH("DRMA US Equity","IS_INT_EXPENSE","1993-06-18","2026-05-02","Per=Y","Days=T","Dir=V")</f>
        <v>0</v>
      </c>
      <c r="AI2">
        <f>BDH("DRMA US Equity","IS_DEPR_EXP","1993-06-18","2026-05-02","Per=Y","Days=T","Dir=V")</f>
        <v>0</v>
      </c>
      <c r="AK2">
        <f>BDH("DRMA US Equity","CF_CASH_FROM_OPER","1993-06-18","2026-05-02","Per=Y","Days=T","Dir=V")</f>
        <v>0</v>
      </c>
      <c r="AM2">
        <f>BDH("DRMA US Equity","CAPITAL_EXPEND","1993-06-18","2026-05-02","Per=Y","Days=T","Dir=V")</f>
        <v>0</v>
      </c>
      <c r="AO2">
        <f>BDH("DRMA US Equity","CF_FREE_CASH_FLOW","1993-06-18","2026-05-02","Per=Y","Days=T","Dir=V")</f>
        <v>0</v>
      </c>
      <c r="AQ2">
        <f>BDH("DRMA US Equity","PX_LAST","1993-06-18","2026-05-02","Per=M","Days=T","Dir=V")</f>
        <v>0</v>
      </c>
      <c r="AS2">
        <f>BDH("DRMA US Equity","CUR_MKT_CAP","1993-06-18","2026-05-02","Per=M","Days=T","Dir=V")</f>
        <v>0</v>
      </c>
      <c r="AU2">
        <f>BDH("DRMA US Equity","EQY_SH_OUT","1993-06-18","2026-05-02","Per=M","Days=T","Dir=V")</f>
        <v>0</v>
      </c>
      <c r="AW2">
        <f>BDH("DRMA US Equity","PX_VOLUME","1993-06-18","2026-05-02","Per=M","Days=T","Dir=V")</f>
        <v>0</v>
      </c>
      <c r="AY2">
        <f>BDH("DRMA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BDH("DRVN US Equity","BS_TOT_ASSET","1993-06-18","2026-05-02","Per=Y","Days=T","Dir=V")</f>
        <v>0</v>
      </c>
      <c r="C2">
        <f>BDH("DRVN US Equity","BS_TOT_LIAB2","1993-06-18","2026-05-02","Per=Y","Days=T","Dir=V")</f>
        <v>0</v>
      </c>
      <c r="E2">
        <f>BDH("DRVN US Equity","SHORT_AND_LONG_TERM_DEBT","1993-06-18","2026-05-02","Per=Y","Days=T","Dir=V")</f>
        <v>0</v>
      </c>
      <c r="G2">
        <f>BDH("DRVN US Equity","BS_ST_BORROW","1993-06-18","2026-05-02","Per=Y","Days=T","Dir=V")</f>
        <v>0</v>
      </c>
      <c r="I2">
        <f>BDH("DRVN US Equity","BS_LT_BORROW","1993-06-18","2026-05-02","Per=Y","Days=T","Dir=V")</f>
        <v>0</v>
      </c>
      <c r="K2">
        <f>BDH("DRVN US Equity","BS_CASH_NEAR_CASH_ITEM","1993-06-18","2026-05-02","Per=Y","Days=T","Dir=V")</f>
        <v>0</v>
      </c>
      <c r="M2">
        <f>BDH("DRVN US Equity","BS_CUR_ASSET_REPORT","1993-06-18","2026-05-02","Per=Y","Days=T","Dir=V")</f>
        <v>0</v>
      </c>
      <c r="O2">
        <f>BDH("DRVN US Equity","BS_CUR_LIAB","1993-06-18","2026-05-02","Per=Y","Days=T","Dir=V")</f>
        <v>0</v>
      </c>
      <c r="Q2">
        <f>BDH("DRVN US Equity","BS_SHAREHOLDER_EQY_ENDING_PERIOD","1993-06-18","2026-05-02","Per=Y","Days=T","Dir=V")</f>
        <v>0</v>
      </c>
      <c r="S2">
        <f>BDH("DRVN US Equity","BS_ACCT_NOTE_RCV","1993-06-18","2026-05-02","Per=Y","Days=T","Dir=V")</f>
        <v>0</v>
      </c>
      <c r="U2">
        <f>BDH("DRVN US Equity","BS_INVENTORIES","1993-06-18","2026-05-02","Per=Y","Days=T","Dir=V")</f>
        <v>0</v>
      </c>
      <c r="W2">
        <f>BDH("DRVN US Equity","WORKING_CAPITAL","1993-06-18","2026-05-02","Per=Y","Days=T","Dir=V")</f>
        <v>0</v>
      </c>
      <c r="Y2">
        <f>BDH("DRVN US Equity","SALES_REV_TURN","1993-06-18","2026-05-02","Per=Y","Days=T","Dir=V")</f>
        <v>0</v>
      </c>
      <c r="AA2">
        <f>BDH("DRVN US Equity","EBIT","1993-06-18","2026-05-02","Per=Y","Days=T","Dir=V")</f>
        <v>0</v>
      </c>
      <c r="AC2">
        <f>BDH("DRVN US Equity","EBITDA","1993-06-18","2026-05-02","Per=Y","Days=T","Dir=V")</f>
        <v>0</v>
      </c>
      <c r="AE2">
        <f>BDH("DRVN US Equity","NET_INCOME","1993-06-18","2026-05-02","Per=Y","Days=T","Dir=V")</f>
        <v>0</v>
      </c>
      <c r="AG2">
        <f>BDH("DRVN US Equity","IS_INT_EXPENSE","1993-06-18","2026-05-02","Per=Y","Days=T","Dir=V")</f>
        <v>0</v>
      </c>
      <c r="AI2">
        <f>BDH("DRVN US Equity","IS_DEPR_EXP","1993-06-18","2026-05-02","Per=Y","Days=T","Dir=V")</f>
        <v>0</v>
      </c>
      <c r="AK2">
        <f>BDH("DRVN US Equity","CF_CASH_FROM_OPER","1993-06-18","2026-05-02","Per=Y","Days=T","Dir=V")</f>
        <v>0</v>
      </c>
      <c r="AM2">
        <f>BDH("DRVN US Equity","CAPITAL_EXPEND","1993-06-18","2026-05-02","Per=Y","Days=T","Dir=V")</f>
        <v>0</v>
      </c>
      <c r="AO2">
        <f>BDH("DRVN US Equity","CF_FREE_CASH_FLOW","1993-06-18","2026-05-02","Per=Y","Days=T","Dir=V")</f>
        <v>0</v>
      </c>
      <c r="AQ2">
        <f>BDH("DRVN US Equity","PX_LAST","1993-06-18","2026-05-02","Per=M","Days=T","Dir=V")</f>
        <v>0</v>
      </c>
      <c r="AS2">
        <f>BDH("DRVN US Equity","CUR_MKT_CAP","1993-06-18","2026-05-02","Per=M","Days=T","Dir=V")</f>
        <v>0</v>
      </c>
      <c r="AU2">
        <f>BDH("DRVN US Equity","EQY_SH_OUT","1993-06-18","2026-05-02","Per=M","Days=T","Dir=V")</f>
        <v>0</v>
      </c>
      <c r="AW2">
        <f>BDH("DRVN US Equity","PX_VOLUME","1993-06-18","2026-05-02","Per=M","Days=T","Dir=V")</f>
        <v>0</v>
      </c>
      <c r="AY2">
        <f>BDH("DRVN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BDH("DSGN US Equity","BS_TOT_ASSET","1993-06-18","2026-05-02","Per=Y","Days=T","Dir=V")</f>
        <v>0</v>
      </c>
      <c r="C2">
        <f>BDH("DSGN US Equity","BS_TOT_LIAB2","1993-06-18","2026-05-02","Per=Y","Days=T","Dir=V")</f>
        <v>0</v>
      </c>
      <c r="E2">
        <f>BDH("DSGN US Equity","SHORT_AND_LONG_TERM_DEBT","1993-06-18","2026-05-02","Per=Y","Days=T","Dir=V")</f>
        <v>0</v>
      </c>
      <c r="G2">
        <f>BDH("DSGN US Equity","BS_ST_BORROW","1993-06-18","2026-05-02","Per=Y","Days=T","Dir=V")</f>
        <v>0</v>
      </c>
      <c r="I2">
        <f>BDH("DSGN US Equity","BS_LT_BORROW","1993-06-18","2026-05-02","Per=Y","Days=T","Dir=V")</f>
        <v>0</v>
      </c>
      <c r="K2">
        <f>BDH("DSGN US Equity","BS_CASH_NEAR_CASH_ITEM","1993-06-18","2026-05-02","Per=Y","Days=T","Dir=V")</f>
        <v>0</v>
      </c>
      <c r="M2">
        <f>BDH("DSGN US Equity","BS_CUR_ASSET_REPORT","1993-06-18","2026-05-02","Per=Y","Days=T","Dir=V")</f>
        <v>0</v>
      </c>
      <c r="O2">
        <f>BDH("DSGN US Equity","BS_CUR_LIAB","1993-06-18","2026-05-02","Per=Y","Days=T","Dir=V")</f>
        <v>0</v>
      </c>
      <c r="Q2">
        <f>BDH("DSGN US Equity","BS_SHAREHOLDER_EQY_ENDING_PERIOD","1993-06-18","2026-05-02","Per=Y","Days=T","Dir=V")</f>
        <v>0</v>
      </c>
      <c r="S2">
        <f>BDH("DSGN US Equity","BS_ACCT_NOTE_RCV","1993-06-18","2026-05-02","Per=Y","Days=T","Dir=V")</f>
        <v>0</v>
      </c>
      <c r="U2">
        <f>BDH("DSGN US Equity","BS_INVENTORIES","1993-06-18","2026-05-02","Per=Y","Days=T","Dir=V")</f>
        <v>0</v>
      </c>
      <c r="W2">
        <f>BDH("DSGN US Equity","WORKING_CAPITAL","1993-06-18","2026-05-02","Per=Y","Days=T","Dir=V")</f>
        <v>0</v>
      </c>
      <c r="Y2">
        <f>BDH("DSGN US Equity","SALES_REV_TURN","1993-06-18","2026-05-02","Per=Y","Days=T","Dir=V")</f>
        <v>0</v>
      </c>
      <c r="AA2">
        <f>BDH("DSGN US Equity","EBIT","1993-06-18","2026-05-02","Per=Y","Days=T","Dir=V")</f>
        <v>0</v>
      </c>
      <c r="AC2">
        <f>BDH("DSGN US Equity","EBITDA","1993-06-18","2026-05-02","Per=Y","Days=T","Dir=V")</f>
        <v>0</v>
      </c>
      <c r="AE2">
        <f>BDH("DSGN US Equity","NET_INCOME","1993-06-18","2026-05-02","Per=Y","Days=T","Dir=V")</f>
        <v>0</v>
      </c>
      <c r="AG2">
        <f>BDH("DSGN US Equity","IS_INT_EXPENSE","1993-06-18","2026-05-02","Per=Y","Days=T","Dir=V")</f>
        <v>0</v>
      </c>
      <c r="AI2">
        <f>BDH("DSGN US Equity","IS_DEPR_EXP","1993-06-18","2026-05-02","Per=Y","Days=T","Dir=V")</f>
        <v>0</v>
      </c>
      <c r="AK2">
        <f>BDH("DSGN US Equity","CF_CASH_FROM_OPER","1993-06-18","2026-05-02","Per=Y","Days=T","Dir=V")</f>
        <v>0</v>
      </c>
      <c r="AM2">
        <f>BDH("DSGN US Equity","CAPITAL_EXPEND","1993-06-18","2026-05-02","Per=Y","Days=T","Dir=V")</f>
        <v>0</v>
      </c>
      <c r="AO2">
        <f>BDH("DSGN US Equity","CF_FREE_CASH_FLOW","1993-06-18","2026-05-02","Per=Y","Days=T","Dir=V")</f>
        <v>0</v>
      </c>
      <c r="AQ2">
        <f>BDH("DSGN US Equity","PX_LAST","1993-06-18","2026-05-02","Per=M","Days=T","Dir=V")</f>
        <v>0</v>
      </c>
      <c r="AS2">
        <f>BDH("DSGN US Equity","CUR_MKT_CAP","1993-06-18","2026-05-02","Per=M","Days=T","Dir=V")</f>
        <v>0</v>
      </c>
      <c r="AU2">
        <f>BDH("DSGN US Equity","EQY_SH_OUT","1993-06-18","2026-05-02","Per=M","Days=T","Dir=V")</f>
        <v>0</v>
      </c>
      <c r="AW2">
        <f>BDH("DSGN US Equity","PX_VOLUME","1993-06-18","2026-05-02","Per=M","Days=T","Dir=V")</f>
        <v>0</v>
      </c>
      <c r="AY2">
        <f>BDH("DSGN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BDH("DSGR US Equity","BS_TOT_ASSET","1993-06-18","2026-05-02","Per=Y","Days=T","Dir=V")</f>
        <v>0</v>
      </c>
      <c r="C2">
        <f>BDH("DSGR US Equity","BS_TOT_LIAB2","1993-06-18","2026-05-02","Per=Y","Days=T","Dir=V")</f>
        <v>0</v>
      </c>
      <c r="E2">
        <f>BDH("DSGR US Equity","SHORT_AND_LONG_TERM_DEBT","1993-06-18","2026-05-02","Per=Y","Days=T","Dir=V")</f>
        <v>0</v>
      </c>
      <c r="G2">
        <f>BDH("DSGR US Equity","BS_ST_BORROW","1993-06-18","2026-05-02","Per=Y","Days=T","Dir=V")</f>
        <v>0</v>
      </c>
      <c r="I2">
        <f>BDH("DSGR US Equity","BS_LT_BORROW","1993-06-18","2026-05-02","Per=Y","Days=T","Dir=V")</f>
        <v>0</v>
      </c>
      <c r="K2">
        <f>BDH("DSGR US Equity","BS_CASH_NEAR_CASH_ITEM","1993-06-18","2026-05-02","Per=Y","Days=T","Dir=V")</f>
        <v>0</v>
      </c>
      <c r="M2">
        <f>BDH("DSGR US Equity","BS_CUR_ASSET_REPORT","1993-06-18","2026-05-02","Per=Y","Days=T","Dir=V")</f>
        <v>0</v>
      </c>
      <c r="O2">
        <f>BDH("DSGR US Equity","BS_CUR_LIAB","1993-06-18","2026-05-02","Per=Y","Days=T","Dir=V")</f>
        <v>0</v>
      </c>
      <c r="Q2">
        <f>BDH("DSGR US Equity","BS_SHAREHOLDER_EQY_ENDING_PERIOD","1993-06-18","2026-05-02","Per=Y","Days=T","Dir=V")</f>
        <v>0</v>
      </c>
      <c r="S2">
        <f>BDH("DSGR US Equity","BS_ACCT_NOTE_RCV","1993-06-18","2026-05-02","Per=Y","Days=T","Dir=V")</f>
        <v>0</v>
      </c>
      <c r="U2">
        <f>BDH("DSGR US Equity","BS_INVENTORIES","1993-06-18","2026-05-02","Per=Y","Days=T","Dir=V")</f>
        <v>0</v>
      </c>
      <c r="W2">
        <f>BDH("DSGR US Equity","WORKING_CAPITAL","1993-06-18","2026-05-02","Per=Y","Days=T","Dir=V")</f>
        <v>0</v>
      </c>
      <c r="Y2">
        <f>BDH("DSGR US Equity","SALES_REV_TURN","1993-06-18","2026-05-02","Per=Y","Days=T","Dir=V")</f>
        <v>0</v>
      </c>
      <c r="AA2">
        <f>BDH("DSGR US Equity","EBIT","1993-06-18","2026-05-02","Per=Y","Days=T","Dir=V")</f>
        <v>0</v>
      </c>
      <c r="AC2">
        <f>BDH("DSGR US Equity","EBITDA","1993-06-18","2026-05-02","Per=Y","Days=T","Dir=V")</f>
        <v>0</v>
      </c>
      <c r="AE2">
        <f>BDH("DSGR US Equity","NET_INCOME","1993-06-18","2026-05-02","Per=Y","Days=T","Dir=V")</f>
        <v>0</v>
      </c>
      <c r="AG2">
        <f>BDH("DSGR US Equity","IS_INT_EXPENSE","1993-06-18","2026-05-02","Per=Y","Days=T","Dir=V")</f>
        <v>0</v>
      </c>
      <c r="AI2">
        <f>BDH("DSGR US Equity","IS_DEPR_EXP","1993-06-18","2026-05-02","Per=Y","Days=T","Dir=V")</f>
        <v>0</v>
      </c>
      <c r="AK2">
        <f>BDH("DSGR US Equity","CF_CASH_FROM_OPER","1993-06-18","2026-05-02","Per=Y","Days=T","Dir=V")</f>
        <v>0</v>
      </c>
      <c r="AM2">
        <f>BDH("DSGR US Equity","CAPITAL_EXPEND","1993-06-18","2026-05-02","Per=Y","Days=T","Dir=V")</f>
        <v>0</v>
      </c>
      <c r="AO2">
        <f>BDH("DSGR US Equity","CF_FREE_CASH_FLOW","1993-06-18","2026-05-02","Per=Y","Days=T","Dir=V")</f>
        <v>0</v>
      </c>
      <c r="AQ2">
        <f>BDH("DSGR US Equity","PX_LAST","1993-06-18","2026-05-02","Per=M","Days=T","Dir=V")</f>
        <v>0</v>
      </c>
      <c r="AS2">
        <f>BDH("DSGR US Equity","CUR_MKT_CAP","1993-06-18","2026-05-02","Per=M","Days=T","Dir=V")</f>
        <v>0</v>
      </c>
      <c r="AU2">
        <f>BDH("DSGR US Equity","EQY_SH_OUT","1993-06-18","2026-05-02","Per=M","Days=T","Dir=V")</f>
        <v>0</v>
      </c>
      <c r="AW2">
        <f>BDH("DSGR US Equity","PX_VOLUME","1993-06-18","2026-05-02","Per=M","Days=T","Dir=V")</f>
        <v>0</v>
      </c>
      <c r="AY2">
        <f>BDH("DSGR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BDH("DSP US Equity","BS_TOT_ASSET","1993-06-18","2026-05-02","Per=Y","Days=T","Dir=V")</f>
        <v>0</v>
      </c>
      <c r="C2">
        <f>BDH("DSP US Equity","BS_TOT_LIAB2","1993-06-18","2026-05-02","Per=Y","Days=T","Dir=V")</f>
        <v>0</v>
      </c>
      <c r="E2">
        <f>BDH("DSP US Equity","SHORT_AND_LONG_TERM_DEBT","1993-06-18","2026-05-02","Per=Y","Days=T","Dir=V")</f>
        <v>0</v>
      </c>
      <c r="G2">
        <f>BDH("DSP US Equity","BS_ST_BORROW","1993-06-18","2026-05-02","Per=Y","Days=T","Dir=V")</f>
        <v>0</v>
      </c>
      <c r="I2">
        <f>BDH("DSP US Equity","BS_LT_BORROW","1993-06-18","2026-05-02","Per=Y","Days=T","Dir=V")</f>
        <v>0</v>
      </c>
      <c r="K2">
        <f>BDH("DSP US Equity","BS_CASH_NEAR_CASH_ITEM","1993-06-18","2026-05-02","Per=Y","Days=T","Dir=V")</f>
        <v>0</v>
      </c>
      <c r="M2">
        <f>BDH("DSP US Equity","BS_CUR_ASSET_REPORT","1993-06-18","2026-05-02","Per=Y","Days=T","Dir=V")</f>
        <v>0</v>
      </c>
      <c r="O2">
        <f>BDH("DSP US Equity","BS_CUR_LIAB","1993-06-18","2026-05-02","Per=Y","Days=T","Dir=V")</f>
        <v>0</v>
      </c>
      <c r="Q2">
        <f>BDH("DSP US Equity","BS_SHAREHOLDER_EQY_ENDING_PERIOD","1993-06-18","2026-05-02","Per=Y","Days=T","Dir=V")</f>
        <v>0</v>
      </c>
      <c r="S2">
        <f>BDH("DSP US Equity","BS_ACCT_NOTE_RCV","1993-06-18","2026-05-02","Per=Y","Days=T","Dir=V")</f>
        <v>0</v>
      </c>
      <c r="U2">
        <f>BDH("DSP US Equity","BS_INVENTORIES","1993-06-18","2026-05-02","Per=Y","Days=T","Dir=V")</f>
        <v>0</v>
      </c>
      <c r="W2">
        <f>BDH("DSP US Equity","WORKING_CAPITAL","1993-06-18","2026-05-02","Per=Y","Days=T","Dir=V")</f>
        <v>0</v>
      </c>
      <c r="Y2">
        <f>BDH("DSP US Equity","SALES_REV_TURN","1993-06-18","2026-05-02","Per=Y","Days=T","Dir=V")</f>
        <v>0</v>
      </c>
      <c r="AA2">
        <f>BDH("DSP US Equity","EBIT","1993-06-18","2026-05-02","Per=Y","Days=T","Dir=V")</f>
        <v>0</v>
      </c>
      <c r="AC2">
        <f>BDH("DSP US Equity","EBITDA","1993-06-18","2026-05-02","Per=Y","Days=T","Dir=V")</f>
        <v>0</v>
      </c>
      <c r="AE2">
        <f>BDH("DSP US Equity","NET_INCOME","1993-06-18","2026-05-02","Per=Y","Days=T","Dir=V")</f>
        <v>0</v>
      </c>
      <c r="AG2">
        <f>BDH("DSP US Equity","IS_INT_EXPENSE","1993-06-18","2026-05-02","Per=Y","Days=T","Dir=V")</f>
        <v>0</v>
      </c>
      <c r="AI2">
        <f>BDH("DSP US Equity","IS_DEPR_EXP","1993-06-18","2026-05-02","Per=Y","Days=T","Dir=V")</f>
        <v>0</v>
      </c>
      <c r="AK2">
        <f>BDH("DSP US Equity","CF_CASH_FROM_OPER","1993-06-18","2026-05-02","Per=Y","Days=T","Dir=V")</f>
        <v>0</v>
      </c>
      <c r="AM2">
        <f>BDH("DSP US Equity","CAPITAL_EXPEND","1993-06-18","2026-05-02","Per=Y","Days=T","Dir=V")</f>
        <v>0</v>
      </c>
      <c r="AO2">
        <f>BDH("DSP US Equity","CF_FREE_CASH_FLOW","1993-06-18","2026-05-02","Per=Y","Days=T","Dir=V")</f>
        <v>0</v>
      </c>
      <c r="AQ2">
        <f>BDH("DSP US Equity","PX_LAST","1993-06-18","2026-05-02","Per=M","Days=T","Dir=V")</f>
        <v>0</v>
      </c>
      <c r="AS2">
        <f>BDH("DSP US Equity","CUR_MKT_CAP","1993-06-18","2026-05-02","Per=M","Days=T","Dir=V")</f>
        <v>0</v>
      </c>
      <c r="AU2">
        <f>BDH("DSP US Equity","EQY_SH_OUT","1993-06-18","2026-05-02","Per=M","Days=T","Dir=V")</f>
        <v>0</v>
      </c>
      <c r="AW2">
        <f>BDH("DSP US Equity","PX_VOLUME","1993-06-18","2026-05-02","Per=M","Days=T","Dir=V")</f>
        <v>0</v>
      </c>
      <c r="AY2">
        <f>BDH("DSP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BDH("DSS US Equity","BS_TOT_ASSET","1993-06-18","2026-05-02","Per=Y","Days=T","Dir=V")</f>
        <v>0</v>
      </c>
      <c r="C2">
        <f>BDH("DSS US Equity","BS_TOT_LIAB2","1993-06-18","2026-05-02","Per=Y","Days=T","Dir=V")</f>
        <v>0</v>
      </c>
      <c r="E2">
        <f>BDH("DSS US Equity","SHORT_AND_LONG_TERM_DEBT","1993-06-18","2026-05-02","Per=Y","Days=T","Dir=V")</f>
        <v>0</v>
      </c>
      <c r="G2">
        <f>BDH("DSS US Equity","BS_ST_BORROW","1993-06-18","2026-05-02","Per=Y","Days=T","Dir=V")</f>
        <v>0</v>
      </c>
      <c r="I2">
        <f>BDH("DSS US Equity","BS_LT_BORROW","1993-06-18","2026-05-02","Per=Y","Days=T","Dir=V")</f>
        <v>0</v>
      </c>
      <c r="K2">
        <f>BDH("DSS US Equity","BS_CASH_NEAR_CASH_ITEM","1993-06-18","2026-05-02","Per=Y","Days=T","Dir=V")</f>
        <v>0</v>
      </c>
      <c r="M2">
        <f>BDH("DSS US Equity","BS_CUR_ASSET_REPORT","1993-06-18","2026-05-02","Per=Y","Days=T","Dir=V")</f>
        <v>0</v>
      </c>
      <c r="O2">
        <f>BDH("DSS US Equity","BS_CUR_LIAB","1993-06-18","2026-05-02","Per=Y","Days=T","Dir=V")</f>
        <v>0</v>
      </c>
      <c r="Q2">
        <f>BDH("DSS US Equity","BS_SHAREHOLDER_EQY_ENDING_PERIOD","1993-06-18","2026-05-02","Per=Y","Days=T","Dir=V")</f>
        <v>0</v>
      </c>
      <c r="S2">
        <f>BDH("DSS US Equity","BS_ACCT_NOTE_RCV","1993-06-18","2026-05-02","Per=Y","Days=T","Dir=V")</f>
        <v>0</v>
      </c>
      <c r="U2">
        <f>BDH("DSS US Equity","BS_INVENTORIES","1993-06-18","2026-05-02","Per=Y","Days=T","Dir=V")</f>
        <v>0</v>
      </c>
      <c r="W2">
        <f>BDH("DSS US Equity","WORKING_CAPITAL","1993-06-18","2026-05-02","Per=Y","Days=T","Dir=V")</f>
        <v>0</v>
      </c>
      <c r="Y2">
        <f>BDH("DSS US Equity","SALES_REV_TURN","1993-06-18","2026-05-02","Per=Y","Days=T","Dir=V")</f>
        <v>0</v>
      </c>
      <c r="AA2">
        <f>BDH("DSS US Equity","EBIT","1993-06-18","2026-05-02","Per=Y","Days=T","Dir=V")</f>
        <v>0</v>
      </c>
      <c r="AC2">
        <f>BDH("DSS US Equity","EBITDA","1993-06-18","2026-05-02","Per=Y","Days=T","Dir=V")</f>
        <v>0</v>
      </c>
      <c r="AE2">
        <f>BDH("DSS US Equity","NET_INCOME","1993-06-18","2026-05-02","Per=Y","Days=T","Dir=V")</f>
        <v>0</v>
      </c>
      <c r="AG2">
        <f>BDH("DSS US Equity","IS_INT_EXPENSE","1993-06-18","2026-05-02","Per=Y","Days=T","Dir=V")</f>
        <v>0</v>
      </c>
      <c r="AI2">
        <f>BDH("DSS US Equity","IS_DEPR_EXP","1993-06-18","2026-05-02","Per=Y","Days=T","Dir=V")</f>
        <v>0</v>
      </c>
      <c r="AK2">
        <f>BDH("DSS US Equity","CF_CASH_FROM_OPER","1993-06-18","2026-05-02","Per=Y","Days=T","Dir=V")</f>
        <v>0</v>
      </c>
      <c r="AM2">
        <f>BDH("DSS US Equity","CAPITAL_EXPEND","1993-06-18","2026-05-02","Per=Y","Days=T","Dir=V")</f>
        <v>0</v>
      </c>
      <c r="AO2">
        <f>BDH("DSS US Equity","CF_FREE_CASH_FLOW","1993-06-18","2026-05-02","Per=Y","Days=T","Dir=V")</f>
        <v>0</v>
      </c>
      <c r="AQ2">
        <f>BDH("DSS US Equity","PX_LAST","1993-06-18","2026-05-02","Per=M","Days=T","Dir=V")</f>
        <v>0</v>
      </c>
      <c r="AS2">
        <f>BDH("DSS US Equity","CUR_MKT_CAP","1993-06-18","2026-05-02","Per=M","Days=T","Dir=V")</f>
        <v>0</v>
      </c>
      <c r="AU2">
        <f>BDH("DSS US Equity","EQY_SH_OUT","1993-06-18","2026-05-02","Per=M","Days=T","Dir=V")</f>
        <v>0</v>
      </c>
      <c r="AW2">
        <f>BDH("DSS US Equity","PX_VOLUME","1993-06-18","2026-05-02","Per=M","Days=T","Dir=V")</f>
        <v>0</v>
      </c>
      <c r="AY2">
        <f>BDH("DSS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 US Equity","BS_TOT_ASSET","1993-06-18","2026-05-02","Per=Y","Days=T","Dir=V")</f>
        <v>0</v>
      </c>
      <c r="C2">
        <f>BDH("DT US Equity","BS_TOT_LIAB2","1993-06-18","2026-05-02","Per=Y","Days=T","Dir=V")</f>
        <v>0</v>
      </c>
      <c r="E2">
        <f>BDH("DT US Equity","SHORT_AND_LONG_TERM_DEBT","1993-06-18","2026-05-02","Per=Y","Days=T","Dir=V")</f>
        <v>0</v>
      </c>
      <c r="G2">
        <f>BDH("DT US Equity","BS_ST_BORROW","1993-06-18","2026-05-02","Per=Y","Days=T","Dir=V")</f>
        <v>0</v>
      </c>
      <c r="I2">
        <f>BDH("DT US Equity","BS_LT_BORROW","1993-06-18","2026-05-02","Per=Y","Days=T","Dir=V")</f>
        <v>0</v>
      </c>
      <c r="K2">
        <f>BDH("DT US Equity","BS_CASH_NEAR_CASH_ITEM","1993-06-18","2026-05-02","Per=Y","Days=T","Dir=V")</f>
        <v>0</v>
      </c>
      <c r="M2">
        <f>BDH("DT US Equity","BS_CUR_ASSET_REPORT","1993-06-18","2026-05-02","Per=Y","Days=T","Dir=V")</f>
        <v>0</v>
      </c>
      <c r="O2">
        <f>BDH("DT US Equity","BS_CUR_LIAB","1993-06-18","2026-05-02","Per=Y","Days=T","Dir=V")</f>
        <v>0</v>
      </c>
      <c r="Q2">
        <f>BDH("DT US Equity","BS_SHAREHOLDER_EQY_ENDING_PERIOD","1993-06-18","2026-05-02","Per=Y","Days=T","Dir=V")</f>
        <v>0</v>
      </c>
      <c r="S2">
        <f>BDH("DT US Equity","BS_ACCT_NOTE_RCV","1993-06-18","2026-05-02","Per=Y","Days=T","Dir=V")</f>
        <v>0</v>
      </c>
      <c r="U2">
        <f>BDH("DT US Equity","BS_INVENTORIES","1993-06-18","2026-05-02","Per=Y","Days=T","Dir=V")</f>
        <v>0</v>
      </c>
      <c r="W2">
        <f>BDH("DT US Equity","WORKING_CAPITAL","1993-06-18","2026-05-02","Per=Y","Days=T","Dir=V")</f>
        <v>0</v>
      </c>
      <c r="Y2">
        <f>BDH("DT US Equity","SALES_REV_TURN","1993-06-18","2026-05-02","Per=Y","Days=T","Dir=V")</f>
        <v>0</v>
      </c>
      <c r="AA2">
        <f>BDH("DT US Equity","EBIT","1993-06-18","2026-05-02","Per=Y","Days=T","Dir=V")</f>
        <v>0</v>
      </c>
      <c r="AC2">
        <f>BDH("DT US Equity","EBITDA","1993-06-18","2026-05-02","Per=Y","Days=T","Dir=V")</f>
        <v>0</v>
      </c>
      <c r="AE2">
        <f>BDH("DT US Equity","NET_INCOME","1993-06-18","2026-05-02","Per=Y","Days=T","Dir=V")</f>
        <v>0</v>
      </c>
      <c r="AG2">
        <f>BDH("DT US Equity","IS_INT_EXPENSE","1993-06-18","2026-05-02","Per=Y","Days=T","Dir=V")</f>
        <v>0</v>
      </c>
      <c r="AI2">
        <f>BDH("DT US Equity","IS_DEPR_EXP","1993-06-18","2026-05-02","Per=Y","Days=T","Dir=V")</f>
        <v>0</v>
      </c>
      <c r="AK2">
        <f>BDH("DT US Equity","CF_CASH_FROM_OPER","1993-06-18","2026-05-02","Per=Y","Days=T","Dir=V")</f>
        <v>0</v>
      </c>
      <c r="AM2">
        <f>BDH("DT US Equity","CAPITAL_EXPEND","1993-06-18","2026-05-02","Per=Y","Days=T","Dir=V")</f>
        <v>0</v>
      </c>
      <c r="AO2">
        <f>BDH("DT US Equity","CF_FREE_CASH_FLOW","1993-06-18","2026-05-02","Per=Y","Days=T","Dir=V")</f>
        <v>0</v>
      </c>
      <c r="AQ2">
        <f>BDH("DT US Equity","PX_LAST","1993-06-18","2026-05-02","Per=M","Days=T","Dir=V")</f>
        <v>0</v>
      </c>
      <c r="AS2">
        <f>BDH("DT US Equity","CUR_MKT_CAP","1993-06-18","2026-05-02","Per=M","Days=T","Dir=V")</f>
        <v>0</v>
      </c>
      <c r="AU2">
        <f>BDH("DT US Equity","EQY_SH_OUT","1993-06-18","2026-05-02","Per=M","Days=T","Dir=V")</f>
        <v>0</v>
      </c>
      <c r="AW2">
        <f>BDH("DT US Equity","PX_VOLUME","1993-06-18","2026-05-02","Per=M","Days=T","Dir=V")</f>
        <v>0</v>
      </c>
      <c r="AY2">
        <f>BDH("DT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BDH("DTB US Equity","BS_TOT_ASSET","1993-06-18","2026-05-02","Per=Y","Days=T","Dir=V")</f>
        <v>0</v>
      </c>
      <c r="C2">
        <f>BDH("DTB US Equity","BS_TOT_LIAB2","1993-06-18","2026-05-02","Per=Y","Days=T","Dir=V")</f>
        <v>0</v>
      </c>
      <c r="E2">
        <f>BDH("DTB US Equity","SHORT_AND_LONG_TERM_DEBT","1993-06-18","2026-05-02","Per=Y","Days=T","Dir=V")</f>
        <v>0</v>
      </c>
      <c r="G2">
        <f>BDH("DTB US Equity","BS_ST_BORROW","1993-06-18","2026-05-02","Per=Y","Days=T","Dir=V")</f>
        <v>0</v>
      </c>
      <c r="I2">
        <f>BDH("DTB US Equity","BS_LT_BORROW","1993-06-18","2026-05-02","Per=Y","Days=T","Dir=V")</f>
        <v>0</v>
      </c>
      <c r="K2">
        <f>BDH("DTB US Equity","BS_CASH_NEAR_CASH_ITEM","1993-06-18","2026-05-02","Per=Y","Days=T","Dir=V")</f>
        <v>0</v>
      </c>
      <c r="M2">
        <f>BDH("DTB US Equity","BS_CUR_ASSET_REPORT","1993-06-18","2026-05-02","Per=Y","Days=T","Dir=V")</f>
        <v>0</v>
      </c>
      <c r="O2">
        <f>BDH("DTB US Equity","BS_CUR_LIAB","1993-06-18","2026-05-02","Per=Y","Days=T","Dir=V")</f>
        <v>0</v>
      </c>
      <c r="Q2">
        <f>BDH("DTB US Equity","BS_SHAREHOLDER_EQY_ENDING_PERIOD","1993-06-18","2026-05-02","Per=Y","Days=T","Dir=V")</f>
        <v>0</v>
      </c>
      <c r="S2">
        <f>BDH("DTB US Equity","BS_ACCT_NOTE_RCV","1993-06-18","2026-05-02","Per=Y","Days=T","Dir=V")</f>
        <v>0</v>
      </c>
      <c r="U2">
        <f>BDH("DTB US Equity","BS_INVENTORIES","1993-06-18","2026-05-02","Per=Y","Days=T","Dir=V")</f>
        <v>0</v>
      </c>
      <c r="W2">
        <f>BDH("DTB US Equity","WORKING_CAPITAL","1993-06-18","2026-05-02","Per=Y","Days=T","Dir=V")</f>
        <v>0</v>
      </c>
      <c r="Y2">
        <f>BDH("DTB US Equity","SALES_REV_TURN","1993-06-18","2026-05-02","Per=Y","Days=T","Dir=V")</f>
        <v>0</v>
      </c>
      <c r="AA2">
        <f>BDH("DTB US Equity","EBIT","1993-06-18","2026-05-02","Per=Y","Days=T","Dir=V")</f>
        <v>0</v>
      </c>
      <c r="AC2">
        <f>BDH("DTB US Equity","EBITDA","1993-06-18","2026-05-02","Per=Y","Days=T","Dir=V")</f>
        <v>0</v>
      </c>
      <c r="AE2">
        <f>BDH("DTB US Equity","NET_INCOME","1993-06-18","2026-05-02","Per=Y","Days=T","Dir=V")</f>
        <v>0</v>
      </c>
      <c r="AG2">
        <f>BDH("DTB US Equity","IS_INT_EXPENSE","1993-06-18","2026-05-02","Per=Y","Days=T","Dir=V")</f>
        <v>0</v>
      </c>
      <c r="AI2">
        <f>BDH("DTB US Equity","IS_DEPR_EXP","1993-06-18","2026-05-02","Per=Y","Days=T","Dir=V")</f>
        <v>0</v>
      </c>
      <c r="AK2">
        <f>BDH("DTB US Equity","CF_CASH_FROM_OPER","1993-06-18","2026-05-02","Per=Y","Days=T","Dir=V")</f>
        <v>0</v>
      </c>
      <c r="AM2">
        <f>BDH("DTB US Equity","CAPITAL_EXPEND","1993-06-18","2026-05-02","Per=Y","Days=T","Dir=V")</f>
        <v>0</v>
      </c>
      <c r="AO2">
        <f>BDH("DTB US Equity","CF_FREE_CASH_FLOW","1993-06-18","2026-05-02","Per=Y","Days=T","Dir=V")</f>
        <v>0</v>
      </c>
      <c r="AQ2">
        <f>BDH("DTB US Equity","PX_LAST","1993-06-18","2026-05-02","Per=M","Days=T","Dir=V")</f>
        <v>0</v>
      </c>
      <c r="AS2">
        <f>BDH("DTB US Equity","CUR_MKT_CAP","1993-06-18","2026-05-02","Per=M","Days=T","Dir=V")</f>
        <v>0</v>
      </c>
      <c r="AU2">
        <f>BDH("DTB US Equity","EQY_SH_OUT","1993-06-18","2026-05-02","Per=M","Days=T","Dir=V")</f>
        <v>0</v>
      </c>
      <c r="AW2">
        <f>BDH("DTB US Equity","PX_VOLUME","1993-06-18","2026-05-02","Per=M","Days=T","Dir=V")</f>
        <v>0</v>
      </c>
      <c r="AY2">
        <f>BDH("DTB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BDH("DTCX US Equity","BS_TOT_ASSET","1993-06-18","2026-05-02","Per=Y","Days=T","Dir=V")</f>
        <v>0</v>
      </c>
      <c r="C2">
        <f>BDH("DTCX US Equity","BS_TOT_LIAB2","1993-06-18","2026-05-02","Per=Y","Days=T","Dir=V")</f>
        <v>0</v>
      </c>
      <c r="E2">
        <f>BDH("DTCX US Equity","SHORT_AND_LONG_TERM_DEBT","1993-06-18","2026-05-02","Per=Y","Days=T","Dir=V")</f>
        <v>0</v>
      </c>
      <c r="G2">
        <f>BDH("DTCX US Equity","BS_ST_BORROW","1993-06-18","2026-05-02","Per=Y","Days=T","Dir=V")</f>
        <v>0</v>
      </c>
      <c r="I2">
        <f>BDH("DTCX US Equity","BS_LT_BORROW","1993-06-18","2026-05-02","Per=Y","Days=T","Dir=V")</f>
        <v>0</v>
      </c>
      <c r="K2">
        <f>BDH("DTCX US Equity","BS_CASH_NEAR_CASH_ITEM","1993-06-18","2026-05-02","Per=Y","Days=T","Dir=V")</f>
        <v>0</v>
      </c>
      <c r="M2">
        <f>BDH("DTCX US Equity","BS_CUR_ASSET_REPORT","1993-06-18","2026-05-02","Per=Y","Days=T","Dir=V")</f>
        <v>0</v>
      </c>
      <c r="O2">
        <f>BDH("DTCX US Equity","BS_CUR_LIAB","1993-06-18","2026-05-02","Per=Y","Days=T","Dir=V")</f>
        <v>0</v>
      </c>
      <c r="Q2">
        <f>BDH("DTCX US Equity","BS_SHAREHOLDER_EQY_ENDING_PERIOD","1993-06-18","2026-05-02","Per=Y","Days=T","Dir=V")</f>
        <v>0</v>
      </c>
      <c r="S2">
        <f>BDH("DTCX US Equity","BS_ACCT_NOTE_RCV","1993-06-18","2026-05-02","Per=Y","Days=T","Dir=V")</f>
        <v>0</v>
      </c>
      <c r="U2">
        <f>BDH("DTCX US Equity","BS_INVENTORIES","1993-06-18","2026-05-02","Per=Y","Days=T","Dir=V")</f>
        <v>0</v>
      </c>
      <c r="W2">
        <f>BDH("DTCX US Equity","WORKING_CAPITAL","1993-06-18","2026-05-02","Per=Y","Days=T","Dir=V")</f>
        <v>0</v>
      </c>
      <c r="Y2">
        <f>BDH("DTCX US Equity","SALES_REV_TURN","1993-06-18","2026-05-02","Per=Y","Days=T","Dir=V")</f>
        <v>0</v>
      </c>
      <c r="AA2">
        <f>BDH("DTCX US Equity","EBIT","1993-06-18","2026-05-02","Per=Y","Days=T","Dir=V")</f>
        <v>0</v>
      </c>
      <c r="AC2">
        <f>BDH("DTCX US Equity","EBITDA","1993-06-18","2026-05-02","Per=Y","Days=T","Dir=V")</f>
        <v>0</v>
      </c>
      <c r="AE2">
        <f>BDH("DTCX US Equity","NET_INCOME","1993-06-18","2026-05-02","Per=Y","Days=T","Dir=V")</f>
        <v>0</v>
      </c>
      <c r="AG2">
        <f>BDH("DTCX US Equity","IS_INT_EXPENSE","1993-06-18","2026-05-02","Per=Y","Days=T","Dir=V")</f>
        <v>0</v>
      </c>
      <c r="AI2">
        <f>BDH("DTCX US Equity","IS_DEPR_EXP","1993-06-18","2026-05-02","Per=Y","Days=T","Dir=V")</f>
        <v>0</v>
      </c>
      <c r="AK2">
        <f>BDH("DTCX US Equity","CF_CASH_FROM_OPER","1993-06-18","2026-05-02","Per=Y","Days=T","Dir=V")</f>
        <v>0</v>
      </c>
      <c r="AM2">
        <f>BDH("DTCX US Equity","CAPITAL_EXPEND","1993-06-18","2026-05-02","Per=Y","Days=T","Dir=V")</f>
        <v>0</v>
      </c>
      <c r="AO2">
        <f>BDH("DTCX US Equity","CF_FREE_CASH_FLOW","1993-06-18","2026-05-02","Per=Y","Days=T","Dir=V")</f>
        <v>0</v>
      </c>
      <c r="AQ2">
        <f>BDH("DTCX US Equity","PX_LAST","1993-06-18","2026-05-02","Per=M","Days=T","Dir=V")</f>
        <v>0</v>
      </c>
      <c r="AS2">
        <f>BDH("DTCX US Equity","CUR_MKT_CAP","1993-06-18","2026-05-02","Per=M","Days=T","Dir=V")</f>
        <v>0</v>
      </c>
      <c r="AU2">
        <f>BDH("DTCX US Equity","EQY_SH_OUT","1993-06-18","2026-05-02","Per=M","Days=T","Dir=V")</f>
        <v>0</v>
      </c>
      <c r="AW2">
        <f>BDH("DTCX US Equity","PX_VOLUME","1993-06-18","2026-05-02","Per=M","Days=T","Dir=V")</f>
        <v>0</v>
      </c>
      <c r="AY2">
        <f>BDH("DTCX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BDH("DTE US Equity","BS_TOT_ASSET","1993-06-18","2026-05-02","Per=Y","Days=T","Dir=V")</f>
        <v>0</v>
      </c>
      <c r="C2">
        <f>BDH("DTE US Equity","BS_TOT_LIAB2","1993-06-18","2026-05-02","Per=Y","Days=T","Dir=V")</f>
        <v>0</v>
      </c>
      <c r="E2">
        <f>BDH("DTE US Equity","SHORT_AND_LONG_TERM_DEBT","1993-06-18","2026-05-02","Per=Y","Days=T","Dir=V")</f>
        <v>0</v>
      </c>
      <c r="G2">
        <f>BDH("DTE US Equity","BS_ST_BORROW","1993-06-18","2026-05-02","Per=Y","Days=T","Dir=V")</f>
        <v>0</v>
      </c>
      <c r="I2">
        <f>BDH("DTE US Equity","BS_LT_BORROW","1993-06-18","2026-05-02","Per=Y","Days=T","Dir=V")</f>
        <v>0</v>
      </c>
      <c r="K2">
        <f>BDH("DTE US Equity","BS_CASH_NEAR_CASH_ITEM","1993-06-18","2026-05-02","Per=Y","Days=T","Dir=V")</f>
        <v>0</v>
      </c>
      <c r="M2">
        <f>BDH("DTE US Equity","BS_CUR_ASSET_REPORT","1993-06-18","2026-05-02","Per=Y","Days=T","Dir=V")</f>
        <v>0</v>
      </c>
      <c r="O2">
        <f>BDH("DTE US Equity","BS_CUR_LIAB","1993-06-18","2026-05-02","Per=Y","Days=T","Dir=V")</f>
        <v>0</v>
      </c>
      <c r="Q2">
        <f>BDH("DTE US Equity","BS_SHAREHOLDER_EQY_ENDING_PERIOD","1993-06-18","2026-05-02","Per=Y","Days=T","Dir=V")</f>
        <v>0</v>
      </c>
      <c r="S2">
        <f>BDH("DTE US Equity","BS_ACCT_NOTE_RCV","1993-06-18","2026-05-02","Per=Y","Days=T","Dir=V")</f>
        <v>0</v>
      </c>
      <c r="U2">
        <f>BDH("DTE US Equity","BS_INVENTORIES","1993-06-18","2026-05-02","Per=Y","Days=T","Dir=V")</f>
        <v>0</v>
      </c>
      <c r="W2">
        <f>BDH("DTE US Equity","WORKING_CAPITAL","1993-06-18","2026-05-02","Per=Y","Days=T","Dir=V")</f>
        <v>0</v>
      </c>
      <c r="Y2">
        <f>BDH("DTE US Equity","SALES_REV_TURN","1993-06-18","2026-05-02","Per=Y","Days=T","Dir=V")</f>
        <v>0</v>
      </c>
      <c r="AA2">
        <f>BDH("DTE US Equity","EBIT","1993-06-18","2026-05-02","Per=Y","Days=T","Dir=V")</f>
        <v>0</v>
      </c>
      <c r="AC2">
        <f>BDH("DTE US Equity","EBITDA","1993-06-18","2026-05-02","Per=Y","Days=T","Dir=V")</f>
        <v>0</v>
      </c>
      <c r="AE2">
        <f>BDH("DTE US Equity","NET_INCOME","1993-06-18","2026-05-02","Per=Y","Days=T","Dir=V")</f>
        <v>0</v>
      </c>
      <c r="AG2">
        <f>BDH("DTE US Equity","IS_INT_EXPENSE","1993-06-18","2026-05-02","Per=Y","Days=T","Dir=V")</f>
        <v>0</v>
      </c>
      <c r="AI2">
        <f>BDH("DTE US Equity","IS_DEPR_EXP","1993-06-18","2026-05-02","Per=Y","Days=T","Dir=V")</f>
        <v>0</v>
      </c>
      <c r="AK2">
        <f>BDH("DTE US Equity","CF_CASH_FROM_OPER","1993-06-18","2026-05-02","Per=Y","Days=T","Dir=V")</f>
        <v>0</v>
      </c>
      <c r="AM2">
        <f>BDH("DTE US Equity","CAPITAL_EXPEND","1993-06-18","2026-05-02","Per=Y","Days=T","Dir=V")</f>
        <v>0</v>
      </c>
      <c r="AO2">
        <f>BDH("DTE US Equity","CF_FREE_CASH_FLOW","1993-06-18","2026-05-02","Per=Y","Days=T","Dir=V")</f>
        <v>0</v>
      </c>
      <c r="AQ2">
        <f>BDH("DTE US Equity","PX_LAST","1993-06-18","2026-05-02","Per=M","Days=T","Dir=V")</f>
        <v>0</v>
      </c>
      <c r="AS2">
        <f>BDH("DTE US Equity","CUR_MKT_CAP","1993-06-18","2026-05-02","Per=M","Days=T","Dir=V")</f>
        <v>0</v>
      </c>
      <c r="AU2">
        <f>BDH("DTE US Equity","EQY_SH_OUT","1993-06-18","2026-05-02","Per=M","Days=T","Dir=V")</f>
        <v>0</v>
      </c>
      <c r="AW2">
        <f>BDH("DTE US Equity","PX_VOLUME","1993-06-18","2026-05-02","Per=M","Days=T","Dir=V")</f>
        <v>0</v>
      </c>
      <c r="AY2">
        <f>BDH("DTE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BDH("DTG US Equity","BS_TOT_ASSET","1993-06-18","2026-05-02","Per=Y","Days=T","Dir=V")</f>
        <v>0</v>
      </c>
      <c r="C2">
        <f>BDH("DTG US Equity","BS_TOT_LIAB2","1993-06-18","2026-05-02","Per=Y","Days=T","Dir=V")</f>
        <v>0</v>
      </c>
      <c r="E2">
        <f>BDH("DTG US Equity","SHORT_AND_LONG_TERM_DEBT","1993-06-18","2026-05-02","Per=Y","Days=T","Dir=V")</f>
        <v>0</v>
      </c>
      <c r="G2">
        <f>BDH("DTG US Equity","BS_ST_BORROW","1993-06-18","2026-05-02","Per=Y","Days=T","Dir=V")</f>
        <v>0</v>
      </c>
      <c r="I2">
        <f>BDH("DTG US Equity","BS_LT_BORROW","1993-06-18","2026-05-02","Per=Y","Days=T","Dir=V")</f>
        <v>0</v>
      </c>
      <c r="K2">
        <f>BDH("DTG US Equity","BS_CASH_NEAR_CASH_ITEM","1993-06-18","2026-05-02","Per=Y","Days=T","Dir=V")</f>
        <v>0</v>
      </c>
      <c r="M2">
        <f>BDH("DTG US Equity","BS_CUR_ASSET_REPORT","1993-06-18","2026-05-02","Per=Y","Days=T","Dir=V")</f>
        <v>0</v>
      </c>
      <c r="O2">
        <f>BDH("DTG US Equity","BS_CUR_LIAB","1993-06-18","2026-05-02","Per=Y","Days=T","Dir=V")</f>
        <v>0</v>
      </c>
      <c r="Q2">
        <f>BDH("DTG US Equity","BS_SHAREHOLDER_EQY_ENDING_PERIOD","1993-06-18","2026-05-02","Per=Y","Days=T","Dir=V")</f>
        <v>0</v>
      </c>
      <c r="S2">
        <f>BDH("DTG US Equity","BS_ACCT_NOTE_RCV","1993-06-18","2026-05-02","Per=Y","Days=T","Dir=V")</f>
        <v>0</v>
      </c>
      <c r="U2">
        <f>BDH("DTG US Equity","BS_INVENTORIES","1993-06-18","2026-05-02","Per=Y","Days=T","Dir=V")</f>
        <v>0</v>
      </c>
      <c r="W2">
        <f>BDH("DTG US Equity","WORKING_CAPITAL","1993-06-18","2026-05-02","Per=Y","Days=T","Dir=V")</f>
        <v>0</v>
      </c>
      <c r="Y2">
        <f>BDH("DTG US Equity","SALES_REV_TURN","1993-06-18","2026-05-02","Per=Y","Days=T","Dir=V")</f>
        <v>0</v>
      </c>
      <c r="AA2">
        <f>BDH("DTG US Equity","EBIT","1993-06-18","2026-05-02","Per=Y","Days=T","Dir=V")</f>
        <v>0</v>
      </c>
      <c r="AC2">
        <f>BDH("DTG US Equity","EBITDA","1993-06-18","2026-05-02","Per=Y","Days=T","Dir=V")</f>
        <v>0</v>
      </c>
      <c r="AE2">
        <f>BDH("DTG US Equity","NET_INCOME","1993-06-18","2026-05-02","Per=Y","Days=T","Dir=V")</f>
        <v>0</v>
      </c>
      <c r="AG2">
        <f>BDH("DTG US Equity","IS_INT_EXPENSE","1993-06-18","2026-05-02","Per=Y","Days=T","Dir=V")</f>
        <v>0</v>
      </c>
      <c r="AI2">
        <f>BDH("DTG US Equity","IS_DEPR_EXP","1993-06-18","2026-05-02","Per=Y","Days=T","Dir=V")</f>
        <v>0</v>
      </c>
      <c r="AK2">
        <f>BDH("DTG US Equity","CF_CASH_FROM_OPER","1993-06-18","2026-05-02","Per=Y","Days=T","Dir=V")</f>
        <v>0</v>
      </c>
      <c r="AM2">
        <f>BDH("DTG US Equity","CAPITAL_EXPEND","1993-06-18","2026-05-02","Per=Y","Days=T","Dir=V")</f>
        <v>0</v>
      </c>
      <c r="AO2">
        <f>BDH("DTG US Equity","CF_FREE_CASH_FLOW","1993-06-18","2026-05-02","Per=Y","Days=T","Dir=V")</f>
        <v>0</v>
      </c>
      <c r="AQ2">
        <f>BDH("DTG US Equity","PX_LAST","1993-06-18","2026-05-02","Per=M","Days=T","Dir=V")</f>
        <v>0</v>
      </c>
      <c r="AS2">
        <f>BDH("DTG US Equity","CUR_MKT_CAP","1993-06-18","2026-05-02","Per=M","Days=T","Dir=V")</f>
        <v>0</v>
      </c>
      <c r="AU2">
        <f>BDH("DTG US Equity","EQY_SH_OUT","1993-06-18","2026-05-02","Per=M","Days=T","Dir=V")</f>
        <v>0</v>
      </c>
      <c r="AW2">
        <f>BDH("DTG US Equity","PX_VOLUME","1993-06-18","2026-05-02","Per=M","Days=T","Dir=V")</f>
        <v>0</v>
      </c>
      <c r="AY2">
        <f>BDH("DTG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BDH("DTI US Equity","BS_TOT_ASSET","1993-06-18","2026-05-02","Per=Y","Days=T","Dir=V")</f>
        <v>0</v>
      </c>
      <c r="C2">
        <f>BDH("DTI US Equity","BS_TOT_LIAB2","1993-06-18","2026-05-02","Per=Y","Days=T","Dir=V")</f>
        <v>0</v>
      </c>
      <c r="E2">
        <f>BDH("DTI US Equity","SHORT_AND_LONG_TERM_DEBT","1993-06-18","2026-05-02","Per=Y","Days=T","Dir=V")</f>
        <v>0</v>
      </c>
      <c r="G2">
        <f>BDH("DTI US Equity","BS_ST_BORROW","1993-06-18","2026-05-02","Per=Y","Days=T","Dir=V")</f>
        <v>0</v>
      </c>
      <c r="I2">
        <f>BDH("DTI US Equity","BS_LT_BORROW","1993-06-18","2026-05-02","Per=Y","Days=T","Dir=V")</f>
        <v>0</v>
      </c>
      <c r="K2">
        <f>BDH("DTI US Equity","BS_CASH_NEAR_CASH_ITEM","1993-06-18","2026-05-02","Per=Y","Days=T","Dir=V")</f>
        <v>0</v>
      </c>
      <c r="M2">
        <f>BDH("DTI US Equity","BS_CUR_ASSET_REPORT","1993-06-18","2026-05-02","Per=Y","Days=T","Dir=V")</f>
        <v>0</v>
      </c>
      <c r="O2">
        <f>BDH("DTI US Equity","BS_CUR_LIAB","1993-06-18","2026-05-02","Per=Y","Days=T","Dir=V")</f>
        <v>0</v>
      </c>
      <c r="Q2">
        <f>BDH("DTI US Equity","BS_SHAREHOLDER_EQY_ENDING_PERIOD","1993-06-18","2026-05-02","Per=Y","Days=T","Dir=V")</f>
        <v>0</v>
      </c>
      <c r="S2">
        <f>BDH("DTI US Equity","BS_ACCT_NOTE_RCV","1993-06-18","2026-05-02","Per=Y","Days=T","Dir=V")</f>
        <v>0</v>
      </c>
      <c r="U2">
        <f>BDH("DTI US Equity","BS_INVENTORIES","1993-06-18","2026-05-02","Per=Y","Days=T","Dir=V")</f>
        <v>0</v>
      </c>
      <c r="W2">
        <f>BDH("DTI US Equity","WORKING_CAPITAL","1993-06-18","2026-05-02","Per=Y","Days=T","Dir=V")</f>
        <v>0</v>
      </c>
      <c r="Y2">
        <f>BDH("DTI US Equity","SALES_REV_TURN","1993-06-18","2026-05-02","Per=Y","Days=T","Dir=V")</f>
        <v>0</v>
      </c>
      <c r="AA2">
        <f>BDH("DTI US Equity","EBIT","1993-06-18","2026-05-02","Per=Y","Days=T","Dir=V")</f>
        <v>0</v>
      </c>
      <c r="AC2">
        <f>BDH("DTI US Equity","EBITDA","1993-06-18","2026-05-02","Per=Y","Days=T","Dir=V")</f>
        <v>0</v>
      </c>
      <c r="AE2">
        <f>BDH("DTI US Equity","NET_INCOME","1993-06-18","2026-05-02","Per=Y","Days=T","Dir=V")</f>
        <v>0</v>
      </c>
      <c r="AG2">
        <f>BDH("DTI US Equity","IS_INT_EXPENSE","1993-06-18","2026-05-02","Per=Y","Days=T","Dir=V")</f>
        <v>0</v>
      </c>
      <c r="AI2">
        <f>BDH("DTI US Equity","IS_DEPR_EXP","1993-06-18","2026-05-02","Per=Y","Days=T","Dir=V")</f>
        <v>0</v>
      </c>
      <c r="AK2">
        <f>BDH("DTI US Equity","CF_CASH_FROM_OPER","1993-06-18","2026-05-02","Per=Y","Days=T","Dir=V")</f>
        <v>0</v>
      </c>
      <c r="AM2">
        <f>BDH("DTI US Equity","CAPITAL_EXPEND","1993-06-18","2026-05-02","Per=Y","Days=T","Dir=V")</f>
        <v>0</v>
      </c>
      <c r="AO2">
        <f>BDH("DTI US Equity","CF_FREE_CASH_FLOW","1993-06-18","2026-05-02","Per=Y","Days=T","Dir=V")</f>
        <v>0</v>
      </c>
      <c r="AQ2">
        <f>BDH("DTI US Equity","PX_LAST","1993-06-18","2026-05-02","Per=M","Days=T","Dir=V")</f>
        <v>0</v>
      </c>
      <c r="AS2">
        <f>BDH("DTI US Equity","CUR_MKT_CAP","1993-06-18","2026-05-02","Per=M","Days=T","Dir=V")</f>
        <v>0</v>
      </c>
      <c r="AU2">
        <f>BDH("DTI US Equity","EQY_SH_OUT","1993-06-18","2026-05-02","Per=M","Days=T","Dir=V")</f>
        <v>0</v>
      </c>
      <c r="AW2">
        <f>BDH("DTI US Equity","PX_VOLUME","1993-06-18","2026-05-02","Per=M","Days=T","Dir=V")</f>
        <v>0</v>
      </c>
      <c r="AY2">
        <f>BDH("DTI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BDH("DTIL US Equity","BS_TOT_ASSET","1993-06-18","2026-05-02","Per=Y","Days=T","Dir=V")</f>
        <v>0</v>
      </c>
      <c r="C2">
        <f>BDH("DTIL US Equity","BS_TOT_LIAB2","1993-06-18","2026-05-02","Per=Y","Days=T","Dir=V")</f>
        <v>0</v>
      </c>
      <c r="E2">
        <f>BDH("DTIL US Equity","SHORT_AND_LONG_TERM_DEBT","1993-06-18","2026-05-02","Per=Y","Days=T","Dir=V")</f>
        <v>0</v>
      </c>
      <c r="G2">
        <f>BDH("DTIL US Equity","BS_ST_BORROW","1993-06-18","2026-05-02","Per=Y","Days=T","Dir=V")</f>
        <v>0</v>
      </c>
      <c r="I2">
        <f>BDH("DTIL US Equity","BS_LT_BORROW","1993-06-18","2026-05-02","Per=Y","Days=T","Dir=V")</f>
        <v>0</v>
      </c>
      <c r="K2">
        <f>BDH("DTIL US Equity","BS_CASH_NEAR_CASH_ITEM","1993-06-18","2026-05-02","Per=Y","Days=T","Dir=V")</f>
        <v>0</v>
      </c>
      <c r="M2">
        <f>BDH("DTIL US Equity","BS_CUR_ASSET_REPORT","1993-06-18","2026-05-02","Per=Y","Days=T","Dir=V")</f>
        <v>0</v>
      </c>
      <c r="O2">
        <f>BDH("DTIL US Equity","BS_CUR_LIAB","1993-06-18","2026-05-02","Per=Y","Days=T","Dir=V")</f>
        <v>0</v>
      </c>
      <c r="Q2">
        <f>BDH("DTIL US Equity","BS_SHAREHOLDER_EQY_ENDING_PERIOD","1993-06-18","2026-05-02","Per=Y","Days=T","Dir=V")</f>
        <v>0</v>
      </c>
      <c r="S2">
        <f>BDH("DTIL US Equity","BS_ACCT_NOTE_RCV","1993-06-18","2026-05-02","Per=Y","Days=T","Dir=V")</f>
        <v>0</v>
      </c>
      <c r="U2">
        <f>BDH("DTIL US Equity","BS_INVENTORIES","1993-06-18","2026-05-02","Per=Y","Days=T","Dir=V")</f>
        <v>0</v>
      </c>
      <c r="W2">
        <f>BDH("DTIL US Equity","WORKING_CAPITAL","1993-06-18","2026-05-02","Per=Y","Days=T","Dir=V")</f>
        <v>0</v>
      </c>
      <c r="Y2">
        <f>BDH("DTIL US Equity","SALES_REV_TURN","1993-06-18","2026-05-02","Per=Y","Days=T","Dir=V")</f>
        <v>0</v>
      </c>
      <c r="AA2">
        <f>BDH("DTIL US Equity","EBIT","1993-06-18","2026-05-02","Per=Y","Days=T","Dir=V")</f>
        <v>0</v>
      </c>
      <c r="AC2">
        <f>BDH("DTIL US Equity","EBITDA","1993-06-18","2026-05-02","Per=Y","Days=T","Dir=V")</f>
        <v>0</v>
      </c>
      <c r="AE2">
        <f>BDH("DTIL US Equity","NET_INCOME","1993-06-18","2026-05-02","Per=Y","Days=T","Dir=V")</f>
        <v>0</v>
      </c>
      <c r="AG2">
        <f>BDH("DTIL US Equity","IS_INT_EXPENSE","1993-06-18","2026-05-02","Per=Y","Days=T","Dir=V")</f>
        <v>0</v>
      </c>
      <c r="AI2">
        <f>BDH("DTIL US Equity","IS_DEPR_EXP","1993-06-18","2026-05-02","Per=Y","Days=T","Dir=V")</f>
        <v>0</v>
      </c>
      <c r="AK2">
        <f>BDH("DTIL US Equity","CF_CASH_FROM_OPER","1993-06-18","2026-05-02","Per=Y","Days=T","Dir=V")</f>
        <v>0</v>
      </c>
      <c r="AM2">
        <f>BDH("DTIL US Equity","CAPITAL_EXPEND","1993-06-18","2026-05-02","Per=Y","Days=T","Dir=V")</f>
        <v>0</v>
      </c>
      <c r="AO2">
        <f>BDH("DTIL US Equity","CF_FREE_CASH_FLOW","1993-06-18","2026-05-02","Per=Y","Days=T","Dir=V")</f>
        <v>0</v>
      </c>
      <c r="AQ2">
        <f>BDH("DTIL US Equity","PX_LAST","1993-06-18","2026-05-02","Per=M","Days=T","Dir=V")</f>
        <v>0</v>
      </c>
      <c r="AS2">
        <f>BDH("DTIL US Equity","CUR_MKT_CAP","1993-06-18","2026-05-02","Per=M","Days=T","Dir=V")</f>
        <v>0</v>
      </c>
      <c r="AU2">
        <f>BDH("DTIL US Equity","EQY_SH_OUT","1993-06-18","2026-05-02","Per=M","Days=T","Dir=V")</f>
        <v>0</v>
      </c>
      <c r="AW2">
        <f>BDH("DTIL US Equity","PX_VOLUME","1993-06-18","2026-05-02","Per=M","Days=T","Dir=V")</f>
        <v>0</v>
      </c>
      <c r="AY2">
        <f>BDH("DTIL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BDH("DTK US Equity","BS_TOT_ASSET","1993-06-18","2026-05-02","Per=Y","Days=T","Dir=V")</f>
        <v>0</v>
      </c>
      <c r="C2">
        <f>BDH("DTK US Equity","BS_TOT_LIAB2","1993-06-18","2026-05-02","Per=Y","Days=T","Dir=V")</f>
        <v>0</v>
      </c>
      <c r="E2">
        <f>BDH("DTK US Equity","SHORT_AND_LONG_TERM_DEBT","1993-06-18","2026-05-02","Per=Y","Days=T","Dir=V")</f>
        <v>0</v>
      </c>
      <c r="G2">
        <f>BDH("DTK US Equity","BS_ST_BORROW","1993-06-18","2026-05-02","Per=Y","Days=T","Dir=V")</f>
        <v>0</v>
      </c>
      <c r="I2">
        <f>BDH("DTK US Equity","BS_LT_BORROW","1993-06-18","2026-05-02","Per=Y","Days=T","Dir=V")</f>
        <v>0</v>
      </c>
      <c r="K2">
        <f>BDH("DTK US Equity","BS_CASH_NEAR_CASH_ITEM","1993-06-18","2026-05-02","Per=Y","Days=T","Dir=V")</f>
        <v>0</v>
      </c>
      <c r="M2">
        <f>BDH("DTK US Equity","BS_CUR_ASSET_REPORT","1993-06-18","2026-05-02","Per=Y","Days=T","Dir=V")</f>
        <v>0</v>
      </c>
      <c r="O2">
        <f>BDH("DTK US Equity","BS_CUR_LIAB","1993-06-18","2026-05-02","Per=Y","Days=T","Dir=V")</f>
        <v>0</v>
      </c>
      <c r="Q2">
        <f>BDH("DTK US Equity","BS_SHAREHOLDER_EQY_ENDING_PERIOD","1993-06-18","2026-05-02","Per=Y","Days=T","Dir=V")</f>
        <v>0</v>
      </c>
      <c r="S2">
        <f>BDH("DTK US Equity","BS_ACCT_NOTE_RCV","1993-06-18","2026-05-02","Per=Y","Days=T","Dir=V")</f>
        <v>0</v>
      </c>
      <c r="U2">
        <f>BDH("DTK US Equity","BS_INVENTORIES","1993-06-18","2026-05-02","Per=Y","Days=T","Dir=V")</f>
        <v>0</v>
      </c>
      <c r="W2">
        <f>BDH("DTK US Equity","WORKING_CAPITAL","1993-06-18","2026-05-02","Per=Y","Days=T","Dir=V")</f>
        <v>0</v>
      </c>
      <c r="Y2">
        <f>BDH("DTK US Equity","SALES_REV_TURN","1993-06-18","2026-05-02","Per=Y","Days=T","Dir=V")</f>
        <v>0</v>
      </c>
      <c r="AA2">
        <f>BDH("DTK US Equity","EBIT","1993-06-18","2026-05-02","Per=Y","Days=T","Dir=V")</f>
        <v>0</v>
      </c>
      <c r="AC2">
        <f>BDH("DTK US Equity","EBITDA","1993-06-18","2026-05-02","Per=Y","Days=T","Dir=V")</f>
        <v>0</v>
      </c>
      <c r="AE2">
        <f>BDH("DTK US Equity","NET_INCOME","1993-06-18","2026-05-02","Per=Y","Days=T","Dir=V")</f>
        <v>0</v>
      </c>
      <c r="AG2">
        <f>BDH("DTK US Equity","IS_INT_EXPENSE","1993-06-18","2026-05-02","Per=Y","Days=T","Dir=V")</f>
        <v>0</v>
      </c>
      <c r="AI2">
        <f>BDH("DTK US Equity","IS_DEPR_EXP","1993-06-18","2026-05-02","Per=Y","Days=T","Dir=V")</f>
        <v>0</v>
      </c>
      <c r="AK2">
        <f>BDH("DTK US Equity","CF_CASH_FROM_OPER","1993-06-18","2026-05-02","Per=Y","Days=T","Dir=V")</f>
        <v>0</v>
      </c>
      <c r="AM2">
        <f>BDH("DTK US Equity","CAPITAL_EXPEND","1993-06-18","2026-05-02","Per=Y","Days=T","Dir=V")</f>
        <v>0</v>
      </c>
      <c r="AO2">
        <f>BDH("DTK US Equity","CF_FREE_CASH_FLOW","1993-06-18","2026-05-02","Per=Y","Days=T","Dir=V")</f>
        <v>0</v>
      </c>
      <c r="AQ2">
        <f>BDH("DTK US Equity","PX_LAST","1993-06-18","2026-05-02","Per=M","Days=T","Dir=V")</f>
        <v>0</v>
      </c>
      <c r="AS2">
        <f>BDH("DTK US Equity","CUR_MKT_CAP","1993-06-18","2026-05-02","Per=M","Days=T","Dir=V")</f>
        <v>0</v>
      </c>
      <c r="AU2">
        <f>BDH("DTK US Equity","EQY_SH_OUT","1993-06-18","2026-05-02","Per=M","Days=T","Dir=V")</f>
        <v>0</v>
      </c>
      <c r="AW2">
        <f>BDH("DTK US Equity","PX_VOLUME","1993-06-18","2026-05-02","Per=M","Days=T","Dir=V")</f>
        <v>0</v>
      </c>
      <c r="AY2">
        <f>BDH("DTK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BDH("DTM US Equity","BS_TOT_ASSET","1993-06-18","2026-05-02","Per=Y","Days=T","Dir=V")</f>
        <v>0</v>
      </c>
      <c r="C2">
        <f>BDH("DTM US Equity","BS_TOT_LIAB2","1993-06-18","2026-05-02","Per=Y","Days=T","Dir=V")</f>
        <v>0</v>
      </c>
      <c r="E2">
        <f>BDH("DTM US Equity","SHORT_AND_LONG_TERM_DEBT","1993-06-18","2026-05-02","Per=Y","Days=T","Dir=V")</f>
        <v>0</v>
      </c>
      <c r="G2">
        <f>BDH("DTM US Equity","BS_ST_BORROW","1993-06-18","2026-05-02","Per=Y","Days=T","Dir=V")</f>
        <v>0</v>
      </c>
      <c r="I2">
        <f>BDH("DTM US Equity","BS_LT_BORROW","1993-06-18","2026-05-02","Per=Y","Days=T","Dir=V")</f>
        <v>0</v>
      </c>
      <c r="K2">
        <f>BDH("DTM US Equity","BS_CASH_NEAR_CASH_ITEM","1993-06-18","2026-05-02","Per=Y","Days=T","Dir=V")</f>
        <v>0</v>
      </c>
      <c r="M2">
        <f>BDH("DTM US Equity","BS_CUR_ASSET_REPORT","1993-06-18","2026-05-02","Per=Y","Days=T","Dir=V")</f>
        <v>0</v>
      </c>
      <c r="O2">
        <f>BDH("DTM US Equity","BS_CUR_LIAB","1993-06-18","2026-05-02","Per=Y","Days=T","Dir=V")</f>
        <v>0</v>
      </c>
      <c r="Q2">
        <f>BDH("DTM US Equity","BS_SHAREHOLDER_EQY_ENDING_PERIOD","1993-06-18","2026-05-02","Per=Y","Days=T","Dir=V")</f>
        <v>0</v>
      </c>
      <c r="S2">
        <f>BDH("DTM US Equity","BS_ACCT_NOTE_RCV","1993-06-18","2026-05-02","Per=Y","Days=T","Dir=V")</f>
        <v>0</v>
      </c>
      <c r="U2">
        <f>BDH("DTM US Equity","BS_INVENTORIES","1993-06-18","2026-05-02","Per=Y","Days=T","Dir=V")</f>
        <v>0</v>
      </c>
      <c r="W2">
        <f>BDH("DTM US Equity","WORKING_CAPITAL","1993-06-18","2026-05-02","Per=Y","Days=T","Dir=V")</f>
        <v>0</v>
      </c>
      <c r="Y2">
        <f>BDH("DTM US Equity","SALES_REV_TURN","1993-06-18","2026-05-02","Per=Y","Days=T","Dir=V")</f>
        <v>0</v>
      </c>
      <c r="AA2">
        <f>BDH("DTM US Equity","EBIT","1993-06-18","2026-05-02","Per=Y","Days=T","Dir=V")</f>
        <v>0</v>
      </c>
      <c r="AC2">
        <f>BDH("DTM US Equity","EBITDA","1993-06-18","2026-05-02","Per=Y","Days=T","Dir=V")</f>
        <v>0</v>
      </c>
      <c r="AE2">
        <f>BDH("DTM US Equity","NET_INCOME","1993-06-18","2026-05-02","Per=Y","Days=T","Dir=V")</f>
        <v>0</v>
      </c>
      <c r="AG2">
        <f>BDH("DTM US Equity","IS_INT_EXPENSE","1993-06-18","2026-05-02","Per=Y","Days=T","Dir=V")</f>
        <v>0</v>
      </c>
      <c r="AI2">
        <f>BDH("DTM US Equity","IS_DEPR_EXP","1993-06-18","2026-05-02","Per=Y","Days=T","Dir=V")</f>
        <v>0</v>
      </c>
      <c r="AK2">
        <f>BDH("DTM US Equity","CF_CASH_FROM_OPER","1993-06-18","2026-05-02","Per=Y","Days=T","Dir=V")</f>
        <v>0</v>
      </c>
      <c r="AM2">
        <f>BDH("DTM US Equity","CAPITAL_EXPEND","1993-06-18","2026-05-02","Per=Y","Days=T","Dir=V")</f>
        <v>0</v>
      </c>
      <c r="AO2">
        <f>BDH("DTM US Equity","CF_FREE_CASH_FLOW","1993-06-18","2026-05-02","Per=Y","Days=T","Dir=V")</f>
        <v>0</v>
      </c>
      <c r="AQ2">
        <f>BDH("DTM US Equity","PX_LAST","1993-06-18","2026-05-02","Per=M","Days=T","Dir=V")</f>
        <v>0</v>
      </c>
      <c r="AS2">
        <f>BDH("DTM US Equity","CUR_MKT_CAP","1993-06-18","2026-05-02","Per=M","Days=T","Dir=V")</f>
        <v>0</v>
      </c>
      <c r="AU2">
        <f>BDH("DTM US Equity","EQY_SH_OUT","1993-06-18","2026-05-02","Per=M","Days=T","Dir=V")</f>
        <v>0</v>
      </c>
      <c r="AW2">
        <f>BDH("DTM US Equity","PX_VOLUME","1993-06-18","2026-05-02","Per=M","Days=T","Dir=V")</f>
        <v>0</v>
      </c>
      <c r="AY2">
        <f>BDH("DTM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BDH("DTST US Equity","BS_TOT_ASSET","1993-06-18","2026-05-02","Per=Y","Days=T","Dir=V")</f>
        <v>0</v>
      </c>
      <c r="C2">
        <f>BDH("DTST US Equity","BS_TOT_LIAB2","1993-06-18","2026-05-02","Per=Y","Days=T","Dir=V")</f>
        <v>0</v>
      </c>
      <c r="E2">
        <f>BDH("DTST US Equity","SHORT_AND_LONG_TERM_DEBT","1993-06-18","2026-05-02","Per=Y","Days=T","Dir=V")</f>
        <v>0</v>
      </c>
      <c r="G2">
        <f>BDH("DTST US Equity","BS_ST_BORROW","1993-06-18","2026-05-02","Per=Y","Days=T","Dir=V")</f>
        <v>0</v>
      </c>
      <c r="I2">
        <f>BDH("DTST US Equity","BS_LT_BORROW","1993-06-18","2026-05-02","Per=Y","Days=T","Dir=V")</f>
        <v>0</v>
      </c>
      <c r="K2">
        <f>BDH("DTST US Equity","BS_CASH_NEAR_CASH_ITEM","1993-06-18","2026-05-02","Per=Y","Days=T","Dir=V")</f>
        <v>0</v>
      </c>
      <c r="M2">
        <f>BDH("DTST US Equity","BS_CUR_ASSET_REPORT","1993-06-18","2026-05-02","Per=Y","Days=T","Dir=V")</f>
        <v>0</v>
      </c>
      <c r="O2">
        <f>BDH("DTST US Equity","BS_CUR_LIAB","1993-06-18","2026-05-02","Per=Y","Days=T","Dir=V")</f>
        <v>0</v>
      </c>
      <c r="Q2">
        <f>BDH("DTST US Equity","BS_SHAREHOLDER_EQY_ENDING_PERIOD","1993-06-18","2026-05-02","Per=Y","Days=T","Dir=V")</f>
        <v>0</v>
      </c>
      <c r="S2">
        <f>BDH("DTST US Equity","BS_ACCT_NOTE_RCV","1993-06-18","2026-05-02","Per=Y","Days=T","Dir=V")</f>
        <v>0</v>
      </c>
      <c r="U2">
        <f>BDH("DTST US Equity","BS_INVENTORIES","1993-06-18","2026-05-02","Per=Y","Days=T","Dir=V")</f>
        <v>0</v>
      </c>
      <c r="W2">
        <f>BDH("DTST US Equity","WORKING_CAPITAL","1993-06-18","2026-05-02","Per=Y","Days=T","Dir=V")</f>
        <v>0</v>
      </c>
      <c r="Y2">
        <f>BDH("DTST US Equity","SALES_REV_TURN","1993-06-18","2026-05-02","Per=Y","Days=T","Dir=V")</f>
        <v>0</v>
      </c>
      <c r="AA2">
        <f>BDH("DTST US Equity","EBIT","1993-06-18","2026-05-02","Per=Y","Days=T","Dir=V")</f>
        <v>0</v>
      </c>
      <c r="AC2">
        <f>BDH("DTST US Equity","EBITDA","1993-06-18","2026-05-02","Per=Y","Days=T","Dir=V")</f>
        <v>0</v>
      </c>
      <c r="AE2">
        <f>BDH("DTST US Equity","NET_INCOME","1993-06-18","2026-05-02","Per=Y","Days=T","Dir=V")</f>
        <v>0</v>
      </c>
      <c r="AG2">
        <f>BDH("DTST US Equity","IS_INT_EXPENSE","1993-06-18","2026-05-02","Per=Y","Days=T","Dir=V")</f>
        <v>0</v>
      </c>
      <c r="AI2">
        <f>BDH("DTST US Equity","IS_DEPR_EXP","1993-06-18","2026-05-02","Per=Y","Days=T","Dir=V")</f>
        <v>0</v>
      </c>
      <c r="AK2">
        <f>BDH("DTST US Equity","CF_CASH_FROM_OPER","1993-06-18","2026-05-02","Per=Y","Days=T","Dir=V")</f>
        <v>0</v>
      </c>
      <c r="AM2">
        <f>BDH("DTST US Equity","CAPITAL_EXPEND","1993-06-18","2026-05-02","Per=Y","Days=T","Dir=V")</f>
        <v>0</v>
      </c>
      <c r="AO2">
        <f>BDH("DTST US Equity","CF_FREE_CASH_FLOW","1993-06-18","2026-05-02","Per=Y","Days=T","Dir=V")</f>
        <v>0</v>
      </c>
      <c r="AQ2">
        <f>BDH("DTST US Equity","PX_LAST","1993-06-18","2026-05-02","Per=M","Days=T","Dir=V")</f>
        <v>0</v>
      </c>
      <c r="AS2">
        <f>BDH("DTST US Equity","CUR_MKT_CAP","1993-06-18","2026-05-02","Per=M","Days=T","Dir=V")</f>
        <v>0</v>
      </c>
      <c r="AU2">
        <f>BDH("DTST US Equity","EQY_SH_OUT","1993-06-18","2026-05-02","Per=M","Days=T","Dir=V")</f>
        <v>0</v>
      </c>
      <c r="AW2">
        <f>BDH("DTST US Equity","PX_VOLUME","1993-06-18","2026-05-02","Per=M","Days=T","Dir=V")</f>
        <v>0</v>
      </c>
      <c r="AY2">
        <f>BDH("DTST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BDH("DTW US Equity","BS_TOT_ASSET","1993-06-18","2026-05-02","Per=Y","Days=T","Dir=V")</f>
        <v>0</v>
      </c>
      <c r="C2">
        <f>BDH("DTW US Equity","BS_TOT_LIAB2","1993-06-18","2026-05-02","Per=Y","Days=T","Dir=V")</f>
        <v>0</v>
      </c>
      <c r="E2">
        <f>BDH("DTW US Equity","SHORT_AND_LONG_TERM_DEBT","1993-06-18","2026-05-02","Per=Y","Days=T","Dir=V")</f>
        <v>0</v>
      </c>
      <c r="G2">
        <f>BDH("DTW US Equity","BS_ST_BORROW","1993-06-18","2026-05-02","Per=Y","Days=T","Dir=V")</f>
        <v>0</v>
      </c>
      <c r="I2">
        <f>BDH("DTW US Equity","BS_LT_BORROW","1993-06-18","2026-05-02","Per=Y","Days=T","Dir=V")</f>
        <v>0</v>
      </c>
      <c r="K2">
        <f>BDH("DTW US Equity","BS_CASH_NEAR_CASH_ITEM","1993-06-18","2026-05-02","Per=Y","Days=T","Dir=V")</f>
        <v>0</v>
      </c>
      <c r="M2">
        <f>BDH("DTW US Equity","BS_CUR_ASSET_REPORT","1993-06-18","2026-05-02","Per=Y","Days=T","Dir=V")</f>
        <v>0</v>
      </c>
      <c r="O2">
        <f>BDH("DTW US Equity","BS_CUR_LIAB","1993-06-18","2026-05-02","Per=Y","Days=T","Dir=V")</f>
        <v>0</v>
      </c>
      <c r="Q2">
        <f>BDH("DTW US Equity","BS_SHAREHOLDER_EQY_ENDING_PERIOD","1993-06-18","2026-05-02","Per=Y","Days=T","Dir=V")</f>
        <v>0</v>
      </c>
      <c r="S2">
        <f>BDH("DTW US Equity","BS_ACCT_NOTE_RCV","1993-06-18","2026-05-02","Per=Y","Days=T","Dir=V")</f>
        <v>0</v>
      </c>
      <c r="U2">
        <f>BDH("DTW US Equity","BS_INVENTORIES","1993-06-18","2026-05-02","Per=Y","Days=T","Dir=V")</f>
        <v>0</v>
      </c>
      <c r="W2">
        <f>BDH("DTW US Equity","WORKING_CAPITAL","1993-06-18","2026-05-02","Per=Y","Days=T","Dir=V")</f>
        <v>0</v>
      </c>
      <c r="Y2">
        <f>BDH("DTW US Equity","SALES_REV_TURN","1993-06-18","2026-05-02","Per=Y","Days=T","Dir=V")</f>
        <v>0</v>
      </c>
      <c r="AA2">
        <f>BDH("DTW US Equity","EBIT","1993-06-18","2026-05-02","Per=Y","Days=T","Dir=V")</f>
        <v>0</v>
      </c>
      <c r="AC2">
        <f>BDH("DTW US Equity","EBITDA","1993-06-18","2026-05-02","Per=Y","Days=T","Dir=V")</f>
        <v>0</v>
      </c>
      <c r="AE2">
        <f>BDH("DTW US Equity","NET_INCOME","1993-06-18","2026-05-02","Per=Y","Days=T","Dir=V")</f>
        <v>0</v>
      </c>
      <c r="AG2">
        <f>BDH("DTW US Equity","IS_INT_EXPENSE","1993-06-18","2026-05-02","Per=Y","Days=T","Dir=V")</f>
        <v>0</v>
      </c>
      <c r="AI2">
        <f>BDH("DTW US Equity","IS_DEPR_EXP","1993-06-18","2026-05-02","Per=Y","Days=T","Dir=V")</f>
        <v>0</v>
      </c>
      <c r="AK2">
        <f>BDH("DTW US Equity","CF_CASH_FROM_OPER","1993-06-18","2026-05-02","Per=Y","Days=T","Dir=V")</f>
        <v>0</v>
      </c>
      <c r="AM2">
        <f>BDH("DTW US Equity","CAPITAL_EXPEND","1993-06-18","2026-05-02","Per=Y","Days=T","Dir=V")</f>
        <v>0</v>
      </c>
      <c r="AO2">
        <f>BDH("DTW US Equity","CF_FREE_CASH_FLOW","1993-06-18","2026-05-02","Per=Y","Days=T","Dir=V")</f>
        <v>0</v>
      </c>
      <c r="AQ2">
        <f>BDH("DTW US Equity","PX_LAST","1993-06-18","2026-05-02","Per=M","Days=T","Dir=V")</f>
        <v>0</v>
      </c>
      <c r="AS2">
        <f>BDH("DTW US Equity","CUR_MKT_CAP","1993-06-18","2026-05-02","Per=M","Days=T","Dir=V")</f>
        <v>0</v>
      </c>
      <c r="AU2">
        <f>BDH("DTW US Equity","EQY_SH_OUT","1993-06-18","2026-05-02","Per=M","Days=T","Dir=V")</f>
        <v>0</v>
      </c>
      <c r="AW2">
        <f>BDH("DTW US Equity","PX_VOLUME","1993-06-18","2026-05-02","Per=M","Days=T","Dir=V")</f>
        <v>0</v>
      </c>
      <c r="AY2">
        <f>BDH("DTW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BDH("DUK US Equity","BS_TOT_ASSET","1993-06-18","2026-05-02","Per=Y","Days=T","Dir=V")</f>
        <v>0</v>
      </c>
      <c r="C2">
        <f>BDH("DUK US Equity","BS_TOT_LIAB2","1993-06-18","2026-05-02","Per=Y","Days=T","Dir=V")</f>
        <v>0</v>
      </c>
      <c r="E2">
        <f>BDH("DUK US Equity","SHORT_AND_LONG_TERM_DEBT","1993-06-18","2026-05-02","Per=Y","Days=T","Dir=V")</f>
        <v>0</v>
      </c>
      <c r="G2">
        <f>BDH("DUK US Equity","BS_ST_BORROW","1993-06-18","2026-05-02","Per=Y","Days=T","Dir=V")</f>
        <v>0</v>
      </c>
      <c r="I2">
        <f>BDH("DUK US Equity","BS_LT_BORROW","1993-06-18","2026-05-02","Per=Y","Days=T","Dir=V")</f>
        <v>0</v>
      </c>
      <c r="K2">
        <f>BDH("DUK US Equity","BS_CASH_NEAR_CASH_ITEM","1993-06-18","2026-05-02","Per=Y","Days=T","Dir=V")</f>
        <v>0</v>
      </c>
      <c r="M2">
        <f>BDH("DUK US Equity","BS_CUR_ASSET_REPORT","1993-06-18","2026-05-02","Per=Y","Days=T","Dir=V")</f>
        <v>0</v>
      </c>
      <c r="O2">
        <f>BDH("DUK US Equity","BS_CUR_LIAB","1993-06-18","2026-05-02","Per=Y","Days=T","Dir=V")</f>
        <v>0</v>
      </c>
      <c r="Q2">
        <f>BDH("DUK US Equity","BS_SHAREHOLDER_EQY_ENDING_PERIOD","1993-06-18","2026-05-02","Per=Y","Days=T","Dir=V")</f>
        <v>0</v>
      </c>
      <c r="S2">
        <f>BDH("DUK US Equity","BS_ACCT_NOTE_RCV","1993-06-18","2026-05-02","Per=Y","Days=T","Dir=V")</f>
        <v>0</v>
      </c>
      <c r="U2">
        <f>BDH("DUK US Equity","BS_INVENTORIES","1993-06-18","2026-05-02","Per=Y","Days=T","Dir=V")</f>
        <v>0</v>
      </c>
      <c r="W2">
        <f>BDH("DUK US Equity","WORKING_CAPITAL","1993-06-18","2026-05-02","Per=Y","Days=T","Dir=V")</f>
        <v>0</v>
      </c>
      <c r="Y2">
        <f>BDH("DUK US Equity","SALES_REV_TURN","1993-06-18","2026-05-02","Per=Y","Days=T","Dir=V")</f>
        <v>0</v>
      </c>
      <c r="AA2">
        <f>BDH("DUK US Equity","EBIT","1993-06-18","2026-05-02","Per=Y","Days=T","Dir=V")</f>
        <v>0</v>
      </c>
      <c r="AC2">
        <f>BDH("DUK US Equity","EBITDA","1993-06-18","2026-05-02","Per=Y","Days=T","Dir=V")</f>
        <v>0</v>
      </c>
      <c r="AE2">
        <f>BDH("DUK US Equity","NET_INCOME","1993-06-18","2026-05-02","Per=Y","Days=T","Dir=V")</f>
        <v>0</v>
      </c>
      <c r="AG2">
        <f>BDH("DUK US Equity","IS_INT_EXPENSE","1993-06-18","2026-05-02","Per=Y","Days=T","Dir=V")</f>
        <v>0</v>
      </c>
      <c r="AI2">
        <f>BDH("DUK US Equity","IS_DEPR_EXP","1993-06-18","2026-05-02","Per=Y","Days=T","Dir=V")</f>
        <v>0</v>
      </c>
      <c r="AK2">
        <f>BDH("DUK US Equity","CF_CASH_FROM_OPER","1993-06-18","2026-05-02","Per=Y","Days=T","Dir=V")</f>
        <v>0</v>
      </c>
      <c r="AM2">
        <f>BDH("DUK US Equity","CAPITAL_EXPEND","1993-06-18","2026-05-02","Per=Y","Days=T","Dir=V")</f>
        <v>0</v>
      </c>
      <c r="AO2">
        <f>BDH("DUK US Equity","CF_FREE_CASH_FLOW","1993-06-18","2026-05-02","Per=Y","Days=T","Dir=V")</f>
        <v>0</v>
      </c>
      <c r="AQ2">
        <f>BDH("DUK US Equity","PX_LAST","1993-06-18","2026-05-02","Per=M","Days=T","Dir=V")</f>
        <v>0</v>
      </c>
      <c r="AS2">
        <f>BDH("DUK US Equity","CUR_MKT_CAP","1993-06-18","2026-05-02","Per=M","Days=T","Dir=V")</f>
        <v>0</v>
      </c>
      <c r="AU2">
        <f>BDH("DUK US Equity","EQY_SH_OUT","1993-06-18","2026-05-02","Per=M","Days=T","Dir=V")</f>
        <v>0</v>
      </c>
      <c r="AW2">
        <f>BDH("DUK US Equity","PX_VOLUME","1993-06-18","2026-05-02","Per=M","Days=T","Dir=V")</f>
        <v>0</v>
      </c>
      <c r="AY2">
        <f>BDH("DUK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BDH("DUKB US Equity","BS_TOT_ASSET","1993-06-18","2026-05-02","Per=Y","Days=T","Dir=V")</f>
        <v>0</v>
      </c>
      <c r="C2">
        <f>BDH("DUKB US Equity","BS_TOT_LIAB2","1993-06-18","2026-05-02","Per=Y","Days=T","Dir=V")</f>
        <v>0</v>
      </c>
      <c r="E2">
        <f>BDH("DUKB US Equity","SHORT_AND_LONG_TERM_DEBT","1993-06-18","2026-05-02","Per=Y","Days=T","Dir=V")</f>
        <v>0</v>
      </c>
      <c r="G2">
        <f>BDH("DUKB US Equity","BS_ST_BORROW","1993-06-18","2026-05-02","Per=Y","Days=T","Dir=V")</f>
        <v>0</v>
      </c>
      <c r="I2">
        <f>BDH("DUKB US Equity","BS_LT_BORROW","1993-06-18","2026-05-02","Per=Y","Days=T","Dir=V")</f>
        <v>0</v>
      </c>
      <c r="K2">
        <f>BDH("DUKB US Equity","BS_CASH_NEAR_CASH_ITEM","1993-06-18","2026-05-02","Per=Y","Days=T","Dir=V")</f>
        <v>0</v>
      </c>
      <c r="M2">
        <f>BDH("DUKB US Equity","BS_CUR_ASSET_REPORT","1993-06-18","2026-05-02","Per=Y","Days=T","Dir=V")</f>
        <v>0</v>
      </c>
      <c r="O2">
        <f>BDH("DUKB US Equity","BS_CUR_LIAB","1993-06-18","2026-05-02","Per=Y","Days=T","Dir=V")</f>
        <v>0</v>
      </c>
      <c r="Q2">
        <f>BDH("DUKB US Equity","BS_SHAREHOLDER_EQY_ENDING_PERIOD","1993-06-18","2026-05-02","Per=Y","Days=T","Dir=V")</f>
        <v>0</v>
      </c>
      <c r="S2">
        <f>BDH("DUKB US Equity","BS_ACCT_NOTE_RCV","1993-06-18","2026-05-02","Per=Y","Days=T","Dir=V")</f>
        <v>0</v>
      </c>
      <c r="U2">
        <f>BDH("DUKB US Equity","BS_INVENTORIES","1993-06-18","2026-05-02","Per=Y","Days=T","Dir=V")</f>
        <v>0</v>
      </c>
      <c r="W2">
        <f>BDH("DUKB US Equity","WORKING_CAPITAL","1993-06-18","2026-05-02","Per=Y","Days=T","Dir=V")</f>
        <v>0</v>
      </c>
      <c r="Y2">
        <f>BDH("DUKB US Equity","SALES_REV_TURN","1993-06-18","2026-05-02","Per=Y","Days=T","Dir=V")</f>
        <v>0</v>
      </c>
      <c r="AA2">
        <f>BDH("DUKB US Equity","EBIT","1993-06-18","2026-05-02","Per=Y","Days=T","Dir=V")</f>
        <v>0</v>
      </c>
      <c r="AC2">
        <f>BDH("DUKB US Equity","EBITDA","1993-06-18","2026-05-02","Per=Y","Days=T","Dir=V")</f>
        <v>0</v>
      </c>
      <c r="AE2">
        <f>BDH("DUKB US Equity","NET_INCOME","1993-06-18","2026-05-02","Per=Y","Days=T","Dir=V")</f>
        <v>0</v>
      </c>
      <c r="AG2">
        <f>BDH("DUKB US Equity","IS_INT_EXPENSE","1993-06-18","2026-05-02","Per=Y","Days=T","Dir=V")</f>
        <v>0</v>
      </c>
      <c r="AI2">
        <f>BDH("DUKB US Equity","IS_DEPR_EXP","1993-06-18","2026-05-02","Per=Y","Days=T","Dir=V")</f>
        <v>0</v>
      </c>
      <c r="AK2">
        <f>BDH("DUKB US Equity","CF_CASH_FROM_OPER","1993-06-18","2026-05-02","Per=Y","Days=T","Dir=V")</f>
        <v>0</v>
      </c>
      <c r="AM2">
        <f>BDH("DUKB US Equity","CAPITAL_EXPEND","1993-06-18","2026-05-02","Per=Y","Days=T","Dir=V")</f>
        <v>0</v>
      </c>
      <c r="AO2">
        <f>BDH("DUKB US Equity","CF_FREE_CASH_FLOW","1993-06-18","2026-05-02","Per=Y","Days=T","Dir=V")</f>
        <v>0</v>
      </c>
      <c r="AQ2">
        <f>BDH("DUKB US Equity","PX_LAST","1993-06-18","2026-05-02","Per=M","Days=T","Dir=V")</f>
        <v>0</v>
      </c>
      <c r="AS2">
        <f>BDH("DUKB US Equity","CUR_MKT_CAP","1993-06-18","2026-05-02","Per=M","Days=T","Dir=V")</f>
        <v>0</v>
      </c>
      <c r="AU2">
        <f>BDH("DUKB US Equity","EQY_SH_OUT","1993-06-18","2026-05-02","Per=M","Days=T","Dir=V")</f>
        <v>0</v>
      </c>
      <c r="AW2">
        <f>BDH("DUKB US Equity","PX_VOLUME","1993-06-18","2026-05-02","Per=M","Days=T","Dir=V")</f>
        <v>0</v>
      </c>
      <c r="AY2">
        <f>BDH("DUKB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BDH("DUKU US Equity","BS_TOT_ASSET","1993-06-18","2026-05-02","Per=Y","Days=T","Dir=V")</f>
        <v>0</v>
      </c>
      <c r="C2">
        <f>BDH("DUKU US Equity","BS_TOT_LIAB2","1993-06-18","2026-05-02","Per=Y","Days=T","Dir=V")</f>
        <v>0</v>
      </c>
      <c r="E2">
        <f>BDH("DUKU US Equity","SHORT_AND_LONG_TERM_DEBT","1993-06-18","2026-05-02","Per=Y","Days=T","Dir=V")</f>
        <v>0</v>
      </c>
      <c r="G2">
        <f>BDH("DUKU US Equity","BS_ST_BORROW","1993-06-18","2026-05-02","Per=Y","Days=T","Dir=V")</f>
        <v>0</v>
      </c>
      <c r="I2">
        <f>BDH("DUKU US Equity","BS_LT_BORROW","1993-06-18","2026-05-02","Per=Y","Days=T","Dir=V")</f>
        <v>0</v>
      </c>
      <c r="K2">
        <f>BDH("DUKU US Equity","BS_CASH_NEAR_CASH_ITEM","1993-06-18","2026-05-02","Per=Y","Days=T","Dir=V")</f>
        <v>0</v>
      </c>
      <c r="M2">
        <f>BDH("DUKU US Equity","BS_CUR_ASSET_REPORT","1993-06-18","2026-05-02","Per=Y","Days=T","Dir=V")</f>
        <v>0</v>
      </c>
      <c r="O2">
        <f>BDH("DUKU US Equity","BS_CUR_LIAB","1993-06-18","2026-05-02","Per=Y","Days=T","Dir=V")</f>
        <v>0</v>
      </c>
      <c r="Q2">
        <f>BDH("DUKU US Equity","BS_SHAREHOLDER_EQY_ENDING_PERIOD","1993-06-18","2026-05-02","Per=Y","Days=T","Dir=V")</f>
        <v>0</v>
      </c>
      <c r="S2">
        <f>BDH("DUKU US Equity","BS_ACCT_NOTE_RCV","1993-06-18","2026-05-02","Per=Y","Days=T","Dir=V")</f>
        <v>0</v>
      </c>
      <c r="U2">
        <f>BDH("DUKU US Equity","BS_INVENTORIES","1993-06-18","2026-05-02","Per=Y","Days=T","Dir=V")</f>
        <v>0</v>
      </c>
      <c r="W2">
        <f>BDH("DUKU US Equity","WORKING_CAPITAL","1993-06-18","2026-05-02","Per=Y","Days=T","Dir=V")</f>
        <v>0</v>
      </c>
      <c r="Y2">
        <f>BDH("DUKU US Equity","SALES_REV_TURN","1993-06-18","2026-05-02","Per=Y","Days=T","Dir=V")</f>
        <v>0</v>
      </c>
      <c r="AA2">
        <f>BDH("DUKU US Equity","EBIT","1993-06-18","2026-05-02","Per=Y","Days=T","Dir=V")</f>
        <v>0</v>
      </c>
      <c r="AC2">
        <f>BDH("DUKU US Equity","EBITDA","1993-06-18","2026-05-02","Per=Y","Days=T","Dir=V")</f>
        <v>0</v>
      </c>
      <c r="AE2">
        <f>BDH("DUKU US Equity","NET_INCOME","1993-06-18","2026-05-02","Per=Y","Days=T","Dir=V")</f>
        <v>0</v>
      </c>
      <c r="AG2">
        <f>BDH("DUKU US Equity","IS_INT_EXPENSE","1993-06-18","2026-05-02","Per=Y","Days=T","Dir=V")</f>
        <v>0</v>
      </c>
      <c r="AI2">
        <f>BDH("DUKU US Equity","IS_DEPR_EXP","1993-06-18","2026-05-02","Per=Y","Days=T","Dir=V")</f>
        <v>0</v>
      </c>
      <c r="AK2">
        <f>BDH("DUKU US Equity","CF_CASH_FROM_OPER","1993-06-18","2026-05-02","Per=Y","Days=T","Dir=V")</f>
        <v>0</v>
      </c>
      <c r="AM2">
        <f>BDH("DUKU US Equity","CAPITAL_EXPEND","1993-06-18","2026-05-02","Per=Y","Days=T","Dir=V")</f>
        <v>0</v>
      </c>
      <c r="AO2">
        <f>BDH("DUKU US Equity","CF_FREE_CASH_FLOW","1993-06-18","2026-05-02","Per=Y","Days=T","Dir=V")</f>
        <v>0</v>
      </c>
      <c r="AQ2">
        <f>BDH("DUKU US Equity","PX_LAST","1993-06-18","2026-05-02","Per=M","Days=T","Dir=V")</f>
        <v>0</v>
      </c>
      <c r="AS2">
        <f>BDH("DUKU US Equity","CUR_MKT_CAP","1993-06-18","2026-05-02","Per=M","Days=T","Dir=V")</f>
        <v>0</v>
      </c>
      <c r="AU2">
        <f>BDH("DUKU US Equity","EQY_SH_OUT","1993-06-18","2026-05-02","Per=M","Days=T","Dir=V")</f>
        <v>0</v>
      </c>
      <c r="AW2">
        <f>BDH("DUKU US Equity","PX_VOLUME","1993-06-18","2026-05-02","Per=M","Days=T","Dir=V")</f>
        <v>0</v>
      </c>
      <c r="AY2">
        <f>BDH("DUKU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BDH("DUOL US Equity","BS_TOT_ASSET","1993-06-18","2026-05-02","Per=Y","Days=T","Dir=V")</f>
        <v>0</v>
      </c>
      <c r="C2">
        <f>BDH("DUOL US Equity","BS_TOT_LIAB2","1993-06-18","2026-05-02","Per=Y","Days=T","Dir=V")</f>
        <v>0</v>
      </c>
      <c r="E2">
        <f>BDH("DUOL US Equity","SHORT_AND_LONG_TERM_DEBT","1993-06-18","2026-05-02","Per=Y","Days=T","Dir=V")</f>
        <v>0</v>
      </c>
      <c r="G2">
        <f>BDH("DUOL US Equity","BS_ST_BORROW","1993-06-18","2026-05-02","Per=Y","Days=T","Dir=V")</f>
        <v>0</v>
      </c>
      <c r="I2">
        <f>BDH("DUOL US Equity","BS_LT_BORROW","1993-06-18","2026-05-02","Per=Y","Days=T","Dir=V")</f>
        <v>0</v>
      </c>
      <c r="K2">
        <f>BDH("DUOL US Equity","BS_CASH_NEAR_CASH_ITEM","1993-06-18","2026-05-02","Per=Y","Days=T","Dir=V")</f>
        <v>0</v>
      </c>
      <c r="M2">
        <f>BDH("DUOL US Equity","BS_CUR_ASSET_REPORT","1993-06-18","2026-05-02","Per=Y","Days=T","Dir=V")</f>
        <v>0</v>
      </c>
      <c r="O2">
        <f>BDH("DUOL US Equity","BS_CUR_LIAB","1993-06-18","2026-05-02","Per=Y","Days=T","Dir=V")</f>
        <v>0</v>
      </c>
      <c r="Q2">
        <f>BDH("DUOL US Equity","BS_SHAREHOLDER_EQY_ENDING_PERIOD","1993-06-18","2026-05-02","Per=Y","Days=T","Dir=V")</f>
        <v>0</v>
      </c>
      <c r="S2">
        <f>BDH("DUOL US Equity","BS_ACCT_NOTE_RCV","1993-06-18","2026-05-02","Per=Y","Days=T","Dir=V")</f>
        <v>0</v>
      </c>
      <c r="U2">
        <f>BDH("DUOL US Equity","BS_INVENTORIES","1993-06-18","2026-05-02","Per=Y","Days=T","Dir=V")</f>
        <v>0</v>
      </c>
      <c r="W2">
        <f>BDH("DUOL US Equity","WORKING_CAPITAL","1993-06-18","2026-05-02","Per=Y","Days=T","Dir=V")</f>
        <v>0</v>
      </c>
      <c r="Y2">
        <f>BDH("DUOL US Equity","SALES_REV_TURN","1993-06-18","2026-05-02","Per=Y","Days=T","Dir=V")</f>
        <v>0</v>
      </c>
      <c r="AA2">
        <f>BDH("DUOL US Equity","EBIT","1993-06-18","2026-05-02","Per=Y","Days=T","Dir=V")</f>
        <v>0</v>
      </c>
      <c r="AC2">
        <f>BDH("DUOL US Equity","EBITDA","1993-06-18","2026-05-02","Per=Y","Days=T","Dir=V")</f>
        <v>0</v>
      </c>
      <c r="AE2">
        <f>BDH("DUOL US Equity","NET_INCOME","1993-06-18","2026-05-02","Per=Y","Days=T","Dir=V")</f>
        <v>0</v>
      </c>
      <c r="AG2">
        <f>BDH("DUOL US Equity","IS_INT_EXPENSE","1993-06-18","2026-05-02","Per=Y","Days=T","Dir=V")</f>
        <v>0</v>
      </c>
      <c r="AI2">
        <f>BDH("DUOL US Equity","IS_DEPR_EXP","1993-06-18","2026-05-02","Per=Y","Days=T","Dir=V")</f>
        <v>0</v>
      </c>
      <c r="AK2">
        <f>BDH("DUOL US Equity","CF_CASH_FROM_OPER","1993-06-18","2026-05-02","Per=Y","Days=T","Dir=V")</f>
        <v>0</v>
      </c>
      <c r="AM2">
        <f>BDH("DUOL US Equity","CAPITAL_EXPEND","1993-06-18","2026-05-02","Per=Y","Days=T","Dir=V")</f>
        <v>0</v>
      </c>
      <c r="AO2">
        <f>BDH("DUOL US Equity","CF_FREE_CASH_FLOW","1993-06-18","2026-05-02","Per=Y","Days=T","Dir=V")</f>
        <v>0</v>
      </c>
      <c r="AQ2">
        <f>BDH("DUOL US Equity","PX_LAST","1993-06-18","2026-05-02","Per=M","Days=T","Dir=V")</f>
        <v>0</v>
      </c>
      <c r="AS2">
        <f>BDH("DUOL US Equity","CUR_MKT_CAP","1993-06-18","2026-05-02","Per=M","Days=T","Dir=V")</f>
        <v>0</v>
      </c>
      <c r="AU2">
        <f>BDH("DUOL US Equity","EQY_SH_OUT","1993-06-18","2026-05-02","Per=M","Days=T","Dir=V")</f>
        <v>0</v>
      </c>
      <c r="AW2">
        <f>BDH("DUOL US Equity","PX_VOLUME","1993-06-18","2026-05-02","Per=M","Days=T","Dir=V")</f>
        <v>0</v>
      </c>
      <c r="AY2">
        <f>BDH("DUOL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BDH("DUOT US Equity","BS_TOT_ASSET","1993-06-18","2026-05-02","Per=Y","Days=T","Dir=V")</f>
        <v>0</v>
      </c>
      <c r="C2">
        <f>BDH("DUOT US Equity","BS_TOT_LIAB2","1993-06-18","2026-05-02","Per=Y","Days=T","Dir=V")</f>
        <v>0</v>
      </c>
      <c r="E2">
        <f>BDH("DUOT US Equity","SHORT_AND_LONG_TERM_DEBT","1993-06-18","2026-05-02","Per=Y","Days=T","Dir=V")</f>
        <v>0</v>
      </c>
      <c r="G2">
        <f>BDH("DUOT US Equity","BS_ST_BORROW","1993-06-18","2026-05-02","Per=Y","Days=T","Dir=V")</f>
        <v>0</v>
      </c>
      <c r="I2">
        <f>BDH("DUOT US Equity","BS_LT_BORROW","1993-06-18","2026-05-02","Per=Y","Days=T","Dir=V")</f>
        <v>0</v>
      </c>
      <c r="K2">
        <f>BDH("DUOT US Equity","BS_CASH_NEAR_CASH_ITEM","1993-06-18","2026-05-02","Per=Y","Days=T","Dir=V")</f>
        <v>0</v>
      </c>
      <c r="M2">
        <f>BDH("DUOT US Equity","BS_CUR_ASSET_REPORT","1993-06-18","2026-05-02","Per=Y","Days=T","Dir=V")</f>
        <v>0</v>
      </c>
      <c r="O2">
        <f>BDH("DUOT US Equity","BS_CUR_LIAB","1993-06-18","2026-05-02","Per=Y","Days=T","Dir=V")</f>
        <v>0</v>
      </c>
      <c r="Q2">
        <f>BDH("DUOT US Equity","BS_SHAREHOLDER_EQY_ENDING_PERIOD","1993-06-18","2026-05-02","Per=Y","Days=T","Dir=V")</f>
        <v>0</v>
      </c>
      <c r="S2">
        <f>BDH("DUOT US Equity","BS_ACCT_NOTE_RCV","1993-06-18","2026-05-02","Per=Y","Days=T","Dir=V")</f>
        <v>0</v>
      </c>
      <c r="U2">
        <f>BDH("DUOT US Equity","BS_INVENTORIES","1993-06-18","2026-05-02","Per=Y","Days=T","Dir=V")</f>
        <v>0</v>
      </c>
      <c r="W2">
        <f>BDH("DUOT US Equity","WORKING_CAPITAL","1993-06-18","2026-05-02","Per=Y","Days=T","Dir=V")</f>
        <v>0</v>
      </c>
      <c r="Y2">
        <f>BDH("DUOT US Equity","SALES_REV_TURN","1993-06-18","2026-05-02","Per=Y","Days=T","Dir=V")</f>
        <v>0</v>
      </c>
      <c r="AA2">
        <f>BDH("DUOT US Equity","EBIT","1993-06-18","2026-05-02","Per=Y","Days=T","Dir=V")</f>
        <v>0</v>
      </c>
      <c r="AC2">
        <f>BDH("DUOT US Equity","EBITDA","1993-06-18","2026-05-02","Per=Y","Days=T","Dir=V")</f>
        <v>0</v>
      </c>
      <c r="AE2">
        <f>BDH("DUOT US Equity","NET_INCOME","1993-06-18","2026-05-02","Per=Y","Days=T","Dir=V")</f>
        <v>0</v>
      </c>
      <c r="AG2">
        <f>BDH("DUOT US Equity","IS_INT_EXPENSE","1993-06-18","2026-05-02","Per=Y","Days=T","Dir=V")</f>
        <v>0</v>
      </c>
      <c r="AI2">
        <f>BDH("DUOT US Equity","IS_DEPR_EXP","1993-06-18","2026-05-02","Per=Y","Days=T","Dir=V")</f>
        <v>0</v>
      </c>
      <c r="AK2">
        <f>BDH("DUOT US Equity","CF_CASH_FROM_OPER","1993-06-18","2026-05-02","Per=Y","Days=T","Dir=V")</f>
        <v>0</v>
      </c>
      <c r="AM2">
        <f>BDH("DUOT US Equity","CAPITAL_EXPEND","1993-06-18","2026-05-02","Per=Y","Days=T","Dir=V")</f>
        <v>0</v>
      </c>
      <c r="AO2">
        <f>BDH("DUOT US Equity","CF_FREE_CASH_FLOW","1993-06-18","2026-05-02","Per=Y","Days=T","Dir=V")</f>
        <v>0</v>
      </c>
      <c r="AQ2">
        <f>BDH("DUOT US Equity","PX_LAST","1993-06-18","2026-05-02","Per=M","Days=T","Dir=V")</f>
        <v>0</v>
      </c>
      <c r="AS2">
        <f>BDH("DUOT US Equity","CUR_MKT_CAP","1993-06-18","2026-05-02","Per=M","Days=T","Dir=V")</f>
        <v>0</v>
      </c>
      <c r="AU2">
        <f>BDH("DUOT US Equity","EQY_SH_OUT","1993-06-18","2026-05-02","Per=M","Days=T","Dir=V")</f>
        <v>0</v>
      </c>
      <c r="AW2">
        <f>BDH("DUOT US Equity","PX_VOLUME","1993-06-18","2026-05-02","Per=M","Days=T","Dir=V")</f>
        <v>0</v>
      </c>
      <c r="AY2">
        <f>BDH("DUOT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BDH("DV US Equity","BS_TOT_ASSET","1993-06-18","2026-05-02","Per=Y","Days=T","Dir=V")</f>
        <v>0</v>
      </c>
      <c r="C2">
        <f>BDH("DV US Equity","BS_TOT_LIAB2","1993-06-18","2026-05-02","Per=Y","Days=T","Dir=V")</f>
        <v>0</v>
      </c>
      <c r="E2">
        <f>BDH("DV US Equity","SHORT_AND_LONG_TERM_DEBT","1993-06-18","2026-05-02","Per=Y","Days=T","Dir=V")</f>
        <v>0</v>
      </c>
      <c r="G2">
        <f>BDH("DV US Equity","BS_ST_BORROW","1993-06-18","2026-05-02","Per=Y","Days=T","Dir=V")</f>
        <v>0</v>
      </c>
      <c r="I2">
        <f>BDH("DV US Equity","BS_LT_BORROW","1993-06-18","2026-05-02","Per=Y","Days=T","Dir=V")</f>
        <v>0</v>
      </c>
      <c r="K2">
        <f>BDH("DV US Equity","BS_CASH_NEAR_CASH_ITEM","1993-06-18","2026-05-02","Per=Y","Days=T","Dir=V")</f>
        <v>0</v>
      </c>
      <c r="M2">
        <f>BDH("DV US Equity","BS_CUR_ASSET_REPORT","1993-06-18","2026-05-02","Per=Y","Days=T","Dir=V")</f>
        <v>0</v>
      </c>
      <c r="O2">
        <f>BDH("DV US Equity","BS_CUR_LIAB","1993-06-18","2026-05-02","Per=Y","Days=T","Dir=V")</f>
        <v>0</v>
      </c>
      <c r="Q2">
        <f>BDH("DV US Equity","BS_SHAREHOLDER_EQY_ENDING_PERIOD","1993-06-18","2026-05-02","Per=Y","Days=T","Dir=V")</f>
        <v>0</v>
      </c>
      <c r="S2">
        <f>BDH("DV US Equity","BS_ACCT_NOTE_RCV","1993-06-18","2026-05-02","Per=Y","Days=T","Dir=V")</f>
        <v>0</v>
      </c>
      <c r="U2">
        <f>BDH("DV US Equity","BS_INVENTORIES","1993-06-18","2026-05-02","Per=Y","Days=T","Dir=V")</f>
        <v>0</v>
      </c>
      <c r="W2">
        <f>BDH("DV US Equity","WORKING_CAPITAL","1993-06-18","2026-05-02","Per=Y","Days=T","Dir=V")</f>
        <v>0</v>
      </c>
      <c r="Y2">
        <f>BDH("DV US Equity","SALES_REV_TURN","1993-06-18","2026-05-02","Per=Y","Days=T","Dir=V")</f>
        <v>0</v>
      </c>
      <c r="AA2">
        <f>BDH("DV US Equity","EBIT","1993-06-18","2026-05-02","Per=Y","Days=T","Dir=V")</f>
        <v>0</v>
      </c>
      <c r="AC2">
        <f>BDH("DV US Equity","EBITDA","1993-06-18","2026-05-02","Per=Y","Days=T","Dir=V")</f>
        <v>0</v>
      </c>
      <c r="AE2">
        <f>BDH("DV US Equity","NET_INCOME","1993-06-18","2026-05-02","Per=Y","Days=T","Dir=V")</f>
        <v>0</v>
      </c>
      <c r="AG2">
        <f>BDH("DV US Equity","IS_INT_EXPENSE","1993-06-18","2026-05-02","Per=Y","Days=T","Dir=V")</f>
        <v>0</v>
      </c>
      <c r="AI2">
        <f>BDH("DV US Equity","IS_DEPR_EXP","1993-06-18","2026-05-02","Per=Y","Days=T","Dir=V")</f>
        <v>0</v>
      </c>
      <c r="AK2">
        <f>BDH("DV US Equity","CF_CASH_FROM_OPER","1993-06-18","2026-05-02","Per=Y","Days=T","Dir=V")</f>
        <v>0</v>
      </c>
      <c r="AM2">
        <f>BDH("DV US Equity","CAPITAL_EXPEND","1993-06-18","2026-05-02","Per=Y","Days=T","Dir=V")</f>
        <v>0</v>
      </c>
      <c r="AO2">
        <f>BDH("DV US Equity","CF_FREE_CASH_FLOW","1993-06-18","2026-05-02","Per=Y","Days=T","Dir=V")</f>
        <v>0</v>
      </c>
      <c r="AQ2">
        <f>BDH("DV US Equity","PX_LAST","1993-06-18","2026-05-02","Per=M","Days=T","Dir=V")</f>
        <v>0</v>
      </c>
      <c r="AS2">
        <f>BDH("DV US Equity","CUR_MKT_CAP","1993-06-18","2026-05-02","Per=M","Days=T","Dir=V")</f>
        <v>0</v>
      </c>
      <c r="AU2">
        <f>BDH("DV US Equity","EQY_SH_OUT","1993-06-18","2026-05-02","Per=M","Days=T","Dir=V")</f>
        <v>0</v>
      </c>
      <c r="AW2">
        <f>BDH("DV US Equity","PX_VOLUME","1993-06-18","2026-05-02","Per=M","Days=T","Dir=V")</f>
        <v>0</v>
      </c>
      <c r="AY2">
        <f>BDH("DV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BDH("DVA US Equity","BS_TOT_ASSET","1993-06-18","2026-05-02","Per=Y","Days=T","Dir=V")</f>
        <v>0</v>
      </c>
      <c r="C2">
        <f>BDH("DVA US Equity","BS_TOT_LIAB2","1993-06-18","2026-05-02","Per=Y","Days=T","Dir=V")</f>
        <v>0</v>
      </c>
      <c r="E2">
        <f>BDH("DVA US Equity","SHORT_AND_LONG_TERM_DEBT","1993-06-18","2026-05-02","Per=Y","Days=T","Dir=V")</f>
        <v>0</v>
      </c>
      <c r="G2">
        <f>BDH("DVA US Equity","BS_ST_BORROW","1993-06-18","2026-05-02","Per=Y","Days=T","Dir=V")</f>
        <v>0</v>
      </c>
      <c r="I2">
        <f>BDH("DVA US Equity","BS_LT_BORROW","1993-06-18","2026-05-02","Per=Y","Days=T","Dir=V")</f>
        <v>0</v>
      </c>
      <c r="K2">
        <f>BDH("DVA US Equity","BS_CASH_NEAR_CASH_ITEM","1993-06-18","2026-05-02","Per=Y","Days=T","Dir=V")</f>
        <v>0</v>
      </c>
      <c r="M2">
        <f>BDH("DVA US Equity","BS_CUR_ASSET_REPORT","1993-06-18","2026-05-02","Per=Y","Days=T","Dir=V")</f>
        <v>0</v>
      </c>
      <c r="O2">
        <f>BDH("DVA US Equity","BS_CUR_LIAB","1993-06-18","2026-05-02","Per=Y","Days=T","Dir=V")</f>
        <v>0</v>
      </c>
      <c r="Q2">
        <f>BDH("DVA US Equity","BS_SHAREHOLDER_EQY_ENDING_PERIOD","1993-06-18","2026-05-02","Per=Y","Days=T","Dir=V")</f>
        <v>0</v>
      </c>
      <c r="S2">
        <f>BDH("DVA US Equity","BS_ACCT_NOTE_RCV","1993-06-18","2026-05-02","Per=Y","Days=T","Dir=V")</f>
        <v>0</v>
      </c>
      <c r="U2">
        <f>BDH("DVA US Equity","BS_INVENTORIES","1993-06-18","2026-05-02","Per=Y","Days=T","Dir=V")</f>
        <v>0</v>
      </c>
      <c r="W2">
        <f>BDH("DVA US Equity","WORKING_CAPITAL","1993-06-18","2026-05-02","Per=Y","Days=T","Dir=V")</f>
        <v>0</v>
      </c>
      <c r="Y2">
        <f>BDH("DVA US Equity","SALES_REV_TURN","1993-06-18","2026-05-02","Per=Y","Days=T","Dir=V")</f>
        <v>0</v>
      </c>
      <c r="AA2">
        <f>BDH("DVA US Equity","EBIT","1993-06-18","2026-05-02","Per=Y","Days=T","Dir=V")</f>
        <v>0</v>
      </c>
      <c r="AC2">
        <f>BDH("DVA US Equity","EBITDA","1993-06-18","2026-05-02","Per=Y","Days=T","Dir=V")</f>
        <v>0</v>
      </c>
      <c r="AE2">
        <f>BDH("DVA US Equity","NET_INCOME","1993-06-18","2026-05-02","Per=Y","Days=T","Dir=V")</f>
        <v>0</v>
      </c>
      <c r="AG2">
        <f>BDH("DVA US Equity","IS_INT_EXPENSE","1993-06-18","2026-05-02","Per=Y","Days=T","Dir=V")</f>
        <v>0</v>
      </c>
      <c r="AI2">
        <f>BDH("DVA US Equity","IS_DEPR_EXP","1993-06-18","2026-05-02","Per=Y","Days=T","Dir=V")</f>
        <v>0</v>
      </c>
      <c r="AK2">
        <f>BDH("DVA US Equity","CF_CASH_FROM_OPER","1993-06-18","2026-05-02","Per=Y","Days=T","Dir=V")</f>
        <v>0</v>
      </c>
      <c r="AM2">
        <f>BDH("DVA US Equity","CAPITAL_EXPEND","1993-06-18","2026-05-02","Per=Y","Days=T","Dir=V")</f>
        <v>0</v>
      </c>
      <c r="AO2">
        <f>BDH("DVA US Equity","CF_FREE_CASH_FLOW","1993-06-18","2026-05-02","Per=Y","Days=T","Dir=V")</f>
        <v>0</v>
      </c>
      <c r="AQ2">
        <f>BDH("DVA US Equity","PX_LAST","1993-06-18","2026-05-02","Per=M","Days=T","Dir=V")</f>
        <v>0</v>
      </c>
      <c r="AS2">
        <f>BDH("DVA US Equity","CUR_MKT_CAP","1993-06-18","2026-05-02","Per=M","Days=T","Dir=V")</f>
        <v>0</v>
      </c>
      <c r="AU2">
        <f>BDH("DVA US Equity","EQY_SH_OUT","1993-06-18","2026-05-02","Per=M","Days=T","Dir=V")</f>
        <v>0</v>
      </c>
      <c r="AW2">
        <f>BDH("DVA US Equity","PX_VOLUME","1993-06-18","2026-05-02","Per=M","Days=T","Dir=V")</f>
        <v>0</v>
      </c>
      <c r="AY2">
        <f>BDH("DVA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BDH("DVLT US Equity","BS_TOT_ASSET","1993-06-18","2026-05-02","Per=Y","Days=T","Dir=V")</f>
        <v>0</v>
      </c>
      <c r="C2">
        <f>BDH("DVLT US Equity","BS_TOT_LIAB2","1993-06-18","2026-05-02","Per=Y","Days=T","Dir=V")</f>
        <v>0</v>
      </c>
      <c r="E2">
        <f>BDH("DVLT US Equity","SHORT_AND_LONG_TERM_DEBT","1993-06-18","2026-05-02","Per=Y","Days=T","Dir=V")</f>
        <v>0</v>
      </c>
      <c r="G2">
        <f>BDH("DVLT US Equity","BS_ST_BORROW","1993-06-18","2026-05-02","Per=Y","Days=T","Dir=V")</f>
        <v>0</v>
      </c>
      <c r="I2">
        <f>BDH("DVLT US Equity","BS_LT_BORROW","1993-06-18","2026-05-02","Per=Y","Days=T","Dir=V")</f>
        <v>0</v>
      </c>
      <c r="K2">
        <f>BDH("DVLT US Equity","BS_CASH_NEAR_CASH_ITEM","1993-06-18","2026-05-02","Per=Y","Days=T","Dir=V")</f>
        <v>0</v>
      </c>
      <c r="M2">
        <f>BDH("DVLT US Equity","BS_CUR_ASSET_REPORT","1993-06-18","2026-05-02","Per=Y","Days=T","Dir=V")</f>
        <v>0</v>
      </c>
      <c r="O2">
        <f>BDH("DVLT US Equity","BS_CUR_LIAB","1993-06-18","2026-05-02","Per=Y","Days=T","Dir=V")</f>
        <v>0</v>
      </c>
      <c r="Q2">
        <f>BDH("DVLT US Equity","BS_SHAREHOLDER_EQY_ENDING_PERIOD","1993-06-18","2026-05-02","Per=Y","Days=T","Dir=V")</f>
        <v>0</v>
      </c>
      <c r="S2">
        <f>BDH("DVLT US Equity","BS_ACCT_NOTE_RCV","1993-06-18","2026-05-02","Per=Y","Days=T","Dir=V")</f>
        <v>0</v>
      </c>
      <c r="U2">
        <f>BDH("DVLT US Equity","BS_INVENTORIES","1993-06-18","2026-05-02","Per=Y","Days=T","Dir=V")</f>
        <v>0</v>
      </c>
      <c r="W2">
        <f>BDH("DVLT US Equity","WORKING_CAPITAL","1993-06-18","2026-05-02","Per=Y","Days=T","Dir=V")</f>
        <v>0</v>
      </c>
      <c r="Y2">
        <f>BDH("DVLT US Equity","SALES_REV_TURN","1993-06-18","2026-05-02","Per=Y","Days=T","Dir=V")</f>
        <v>0</v>
      </c>
      <c r="AA2">
        <f>BDH("DVLT US Equity","EBIT","1993-06-18","2026-05-02","Per=Y","Days=T","Dir=V")</f>
        <v>0</v>
      </c>
      <c r="AC2">
        <f>BDH("DVLT US Equity","EBITDA","1993-06-18","2026-05-02","Per=Y","Days=T","Dir=V")</f>
        <v>0</v>
      </c>
      <c r="AE2">
        <f>BDH("DVLT US Equity","NET_INCOME","1993-06-18","2026-05-02","Per=Y","Days=T","Dir=V")</f>
        <v>0</v>
      </c>
      <c r="AG2">
        <f>BDH("DVLT US Equity","IS_INT_EXPENSE","1993-06-18","2026-05-02","Per=Y","Days=T","Dir=V")</f>
        <v>0</v>
      </c>
      <c r="AI2">
        <f>BDH("DVLT US Equity","IS_DEPR_EXP","1993-06-18","2026-05-02","Per=Y","Days=T","Dir=V")</f>
        <v>0</v>
      </c>
      <c r="AK2">
        <f>BDH("DVLT US Equity","CF_CASH_FROM_OPER","1993-06-18","2026-05-02","Per=Y","Days=T","Dir=V")</f>
        <v>0</v>
      </c>
      <c r="AM2">
        <f>BDH("DVLT US Equity","CAPITAL_EXPEND","1993-06-18","2026-05-02","Per=Y","Days=T","Dir=V")</f>
        <v>0</v>
      </c>
      <c r="AO2">
        <f>BDH("DVLT US Equity","CF_FREE_CASH_FLOW","1993-06-18","2026-05-02","Per=Y","Days=T","Dir=V")</f>
        <v>0</v>
      </c>
      <c r="AQ2">
        <f>BDH("DVLT US Equity","PX_LAST","1993-06-18","2026-05-02","Per=M","Days=T","Dir=V")</f>
        <v>0</v>
      </c>
      <c r="AS2">
        <f>BDH("DVLT US Equity","CUR_MKT_CAP","1993-06-18","2026-05-02","Per=M","Days=T","Dir=V")</f>
        <v>0</v>
      </c>
      <c r="AU2">
        <f>BDH("DVLT US Equity","EQY_SH_OUT","1993-06-18","2026-05-02","Per=M","Days=T","Dir=V")</f>
        <v>0</v>
      </c>
      <c r="AW2">
        <f>BDH("DVLT US Equity","PX_VOLUME","1993-06-18","2026-05-02","Per=M","Days=T","Dir=V")</f>
        <v>0</v>
      </c>
      <c r="AY2">
        <f>BDH("DVLT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BDH("DVN US Equity","BS_TOT_ASSET","1993-06-18","2026-05-02","Per=Y","Days=T","Dir=V")</f>
        <v>0</v>
      </c>
      <c r="C2">
        <f>BDH("DVN US Equity","BS_TOT_LIAB2","1993-06-18","2026-05-02","Per=Y","Days=T","Dir=V")</f>
        <v>0</v>
      </c>
      <c r="E2">
        <f>BDH("DVN US Equity","SHORT_AND_LONG_TERM_DEBT","1993-06-18","2026-05-02","Per=Y","Days=T","Dir=V")</f>
        <v>0</v>
      </c>
      <c r="G2">
        <f>BDH("DVN US Equity","BS_ST_BORROW","1993-06-18","2026-05-02","Per=Y","Days=T","Dir=V")</f>
        <v>0</v>
      </c>
      <c r="I2">
        <f>BDH("DVN US Equity","BS_LT_BORROW","1993-06-18","2026-05-02","Per=Y","Days=T","Dir=V")</f>
        <v>0</v>
      </c>
      <c r="K2">
        <f>BDH("DVN US Equity","BS_CASH_NEAR_CASH_ITEM","1993-06-18","2026-05-02","Per=Y","Days=T","Dir=V")</f>
        <v>0</v>
      </c>
      <c r="M2">
        <f>BDH("DVN US Equity","BS_CUR_ASSET_REPORT","1993-06-18","2026-05-02","Per=Y","Days=T","Dir=V")</f>
        <v>0</v>
      </c>
      <c r="O2">
        <f>BDH("DVN US Equity","BS_CUR_LIAB","1993-06-18","2026-05-02","Per=Y","Days=T","Dir=V")</f>
        <v>0</v>
      </c>
      <c r="Q2">
        <f>BDH("DVN US Equity","BS_SHAREHOLDER_EQY_ENDING_PERIOD","1993-06-18","2026-05-02","Per=Y","Days=T","Dir=V")</f>
        <v>0</v>
      </c>
      <c r="S2">
        <f>BDH("DVN US Equity","BS_ACCT_NOTE_RCV","1993-06-18","2026-05-02","Per=Y","Days=T","Dir=V")</f>
        <v>0</v>
      </c>
      <c r="U2">
        <f>BDH("DVN US Equity","BS_INVENTORIES","1993-06-18","2026-05-02","Per=Y","Days=T","Dir=V")</f>
        <v>0</v>
      </c>
      <c r="W2">
        <f>BDH("DVN US Equity","WORKING_CAPITAL","1993-06-18","2026-05-02","Per=Y","Days=T","Dir=V")</f>
        <v>0</v>
      </c>
      <c r="Y2">
        <f>BDH("DVN US Equity","SALES_REV_TURN","1993-06-18","2026-05-02","Per=Y","Days=T","Dir=V")</f>
        <v>0</v>
      </c>
      <c r="AA2">
        <f>BDH("DVN US Equity","EBIT","1993-06-18","2026-05-02","Per=Y","Days=T","Dir=V")</f>
        <v>0</v>
      </c>
      <c r="AC2">
        <f>BDH("DVN US Equity","EBITDA","1993-06-18","2026-05-02","Per=Y","Days=T","Dir=V")</f>
        <v>0</v>
      </c>
      <c r="AE2">
        <f>BDH("DVN US Equity","NET_INCOME","1993-06-18","2026-05-02","Per=Y","Days=T","Dir=V")</f>
        <v>0</v>
      </c>
      <c r="AG2">
        <f>BDH("DVN US Equity","IS_INT_EXPENSE","1993-06-18","2026-05-02","Per=Y","Days=T","Dir=V")</f>
        <v>0</v>
      </c>
      <c r="AI2">
        <f>BDH("DVN US Equity","IS_DEPR_EXP","1993-06-18","2026-05-02","Per=Y","Days=T","Dir=V")</f>
        <v>0</v>
      </c>
      <c r="AK2">
        <f>BDH("DVN US Equity","CF_CASH_FROM_OPER","1993-06-18","2026-05-02","Per=Y","Days=T","Dir=V")</f>
        <v>0</v>
      </c>
      <c r="AM2">
        <f>BDH("DVN US Equity","CAPITAL_EXPEND","1993-06-18","2026-05-02","Per=Y","Days=T","Dir=V")</f>
        <v>0</v>
      </c>
      <c r="AO2">
        <f>BDH("DVN US Equity","CF_FREE_CASH_FLOW","1993-06-18","2026-05-02","Per=Y","Days=T","Dir=V")</f>
        <v>0</v>
      </c>
      <c r="AQ2">
        <f>BDH("DVN US Equity","PX_LAST","1993-06-18","2026-05-02","Per=M","Days=T","Dir=V")</f>
        <v>0</v>
      </c>
      <c r="AS2">
        <f>BDH("DVN US Equity","CUR_MKT_CAP","1993-06-18","2026-05-02","Per=M","Days=T","Dir=V")</f>
        <v>0</v>
      </c>
      <c r="AU2">
        <f>BDH("DVN US Equity","EQY_SH_OUT","1993-06-18","2026-05-02","Per=M","Days=T","Dir=V")</f>
        <v>0</v>
      </c>
      <c r="AW2">
        <f>BDH("DVN US Equity","PX_VOLUME","1993-06-18","2026-05-02","Per=M","Days=T","Dir=V")</f>
        <v>0</v>
      </c>
      <c r="AY2">
        <f>BDH("DVN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BDH("DWSN US Equity","BS_TOT_ASSET","1993-06-18","2026-05-02","Per=Y","Days=T","Dir=V")</f>
        <v>0</v>
      </c>
      <c r="C2">
        <f>BDH("DWSN US Equity","BS_TOT_LIAB2","1993-06-18","2026-05-02","Per=Y","Days=T","Dir=V")</f>
        <v>0</v>
      </c>
      <c r="E2">
        <f>BDH("DWSN US Equity","SHORT_AND_LONG_TERM_DEBT","1993-06-18","2026-05-02","Per=Y","Days=T","Dir=V")</f>
        <v>0</v>
      </c>
      <c r="G2">
        <f>BDH("DWSN US Equity","BS_ST_BORROW","1993-06-18","2026-05-02","Per=Y","Days=T","Dir=V")</f>
        <v>0</v>
      </c>
      <c r="I2">
        <f>BDH("DWSN US Equity","BS_LT_BORROW","1993-06-18","2026-05-02","Per=Y","Days=T","Dir=V")</f>
        <v>0</v>
      </c>
      <c r="K2">
        <f>BDH("DWSN US Equity","BS_CASH_NEAR_CASH_ITEM","1993-06-18","2026-05-02","Per=Y","Days=T","Dir=V")</f>
        <v>0</v>
      </c>
      <c r="M2">
        <f>BDH("DWSN US Equity","BS_CUR_ASSET_REPORT","1993-06-18","2026-05-02","Per=Y","Days=T","Dir=V")</f>
        <v>0</v>
      </c>
      <c r="O2">
        <f>BDH("DWSN US Equity","BS_CUR_LIAB","1993-06-18","2026-05-02","Per=Y","Days=T","Dir=V")</f>
        <v>0</v>
      </c>
      <c r="Q2">
        <f>BDH("DWSN US Equity","BS_SHAREHOLDER_EQY_ENDING_PERIOD","1993-06-18","2026-05-02","Per=Y","Days=T","Dir=V")</f>
        <v>0</v>
      </c>
      <c r="S2">
        <f>BDH("DWSN US Equity","BS_ACCT_NOTE_RCV","1993-06-18","2026-05-02","Per=Y","Days=T","Dir=V")</f>
        <v>0</v>
      </c>
      <c r="U2">
        <f>BDH("DWSN US Equity","BS_INVENTORIES","1993-06-18","2026-05-02","Per=Y","Days=T","Dir=V")</f>
        <v>0</v>
      </c>
      <c r="W2">
        <f>BDH("DWSN US Equity","WORKING_CAPITAL","1993-06-18","2026-05-02","Per=Y","Days=T","Dir=V")</f>
        <v>0</v>
      </c>
      <c r="Y2">
        <f>BDH("DWSN US Equity","SALES_REV_TURN","1993-06-18","2026-05-02","Per=Y","Days=T","Dir=V")</f>
        <v>0</v>
      </c>
      <c r="AA2">
        <f>BDH("DWSN US Equity","EBIT","1993-06-18","2026-05-02","Per=Y","Days=T","Dir=V")</f>
        <v>0</v>
      </c>
      <c r="AC2">
        <f>BDH("DWSN US Equity","EBITDA","1993-06-18","2026-05-02","Per=Y","Days=T","Dir=V")</f>
        <v>0</v>
      </c>
      <c r="AE2">
        <f>BDH("DWSN US Equity","NET_INCOME","1993-06-18","2026-05-02","Per=Y","Days=T","Dir=V")</f>
        <v>0</v>
      </c>
      <c r="AG2">
        <f>BDH("DWSN US Equity","IS_INT_EXPENSE","1993-06-18","2026-05-02","Per=Y","Days=T","Dir=V")</f>
        <v>0</v>
      </c>
      <c r="AI2">
        <f>BDH("DWSN US Equity","IS_DEPR_EXP","1993-06-18","2026-05-02","Per=Y","Days=T","Dir=V")</f>
        <v>0</v>
      </c>
      <c r="AK2">
        <f>BDH("DWSN US Equity","CF_CASH_FROM_OPER","1993-06-18","2026-05-02","Per=Y","Days=T","Dir=V")</f>
        <v>0</v>
      </c>
      <c r="AM2">
        <f>BDH("DWSN US Equity","CAPITAL_EXPEND","1993-06-18","2026-05-02","Per=Y","Days=T","Dir=V")</f>
        <v>0</v>
      </c>
      <c r="AO2">
        <f>BDH("DWSN US Equity","CF_FREE_CASH_FLOW","1993-06-18","2026-05-02","Per=Y","Days=T","Dir=V")</f>
        <v>0</v>
      </c>
      <c r="AQ2">
        <f>BDH("DWSN US Equity","PX_LAST","1993-06-18","2026-05-02","Per=M","Days=T","Dir=V")</f>
        <v>0</v>
      </c>
      <c r="AS2">
        <f>BDH("DWSN US Equity","CUR_MKT_CAP","1993-06-18","2026-05-02","Per=M","Days=T","Dir=V")</f>
        <v>0</v>
      </c>
      <c r="AU2">
        <f>BDH("DWSN US Equity","EQY_SH_OUT","1993-06-18","2026-05-02","Per=M","Days=T","Dir=V")</f>
        <v>0</v>
      </c>
      <c r="AW2">
        <f>BDH("DWSN US Equity","PX_VOLUME","1993-06-18","2026-05-02","Per=M","Days=T","Dir=V")</f>
        <v>0</v>
      </c>
      <c r="AY2">
        <f>BDH("DWSN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BDH("DWTX US Equity","BS_TOT_ASSET","1993-06-18","2026-05-02","Per=Y","Days=T","Dir=V")</f>
        <v>0</v>
      </c>
      <c r="C2">
        <f>BDH("DWTX US Equity","BS_TOT_LIAB2","1993-06-18","2026-05-02","Per=Y","Days=T","Dir=V")</f>
        <v>0</v>
      </c>
      <c r="E2">
        <f>BDH("DWTX US Equity","SHORT_AND_LONG_TERM_DEBT","1993-06-18","2026-05-02","Per=Y","Days=T","Dir=V")</f>
        <v>0</v>
      </c>
      <c r="G2">
        <f>BDH("DWTX US Equity","BS_ST_BORROW","1993-06-18","2026-05-02","Per=Y","Days=T","Dir=V")</f>
        <v>0</v>
      </c>
      <c r="I2">
        <f>BDH("DWTX US Equity","BS_LT_BORROW","1993-06-18","2026-05-02","Per=Y","Days=T","Dir=V")</f>
        <v>0</v>
      </c>
      <c r="K2">
        <f>BDH("DWTX US Equity","BS_CASH_NEAR_CASH_ITEM","1993-06-18","2026-05-02","Per=Y","Days=T","Dir=V")</f>
        <v>0</v>
      </c>
      <c r="M2">
        <f>BDH("DWTX US Equity","BS_CUR_ASSET_REPORT","1993-06-18","2026-05-02","Per=Y","Days=T","Dir=V")</f>
        <v>0</v>
      </c>
      <c r="O2">
        <f>BDH("DWTX US Equity","BS_CUR_LIAB","1993-06-18","2026-05-02","Per=Y","Days=T","Dir=V")</f>
        <v>0</v>
      </c>
      <c r="Q2">
        <f>BDH("DWTX US Equity","BS_SHAREHOLDER_EQY_ENDING_PERIOD","1993-06-18","2026-05-02","Per=Y","Days=T","Dir=V")</f>
        <v>0</v>
      </c>
      <c r="S2">
        <f>BDH("DWTX US Equity","BS_ACCT_NOTE_RCV","1993-06-18","2026-05-02","Per=Y","Days=T","Dir=V")</f>
        <v>0</v>
      </c>
      <c r="U2">
        <f>BDH("DWTX US Equity","BS_INVENTORIES","1993-06-18","2026-05-02","Per=Y","Days=T","Dir=V")</f>
        <v>0</v>
      </c>
      <c r="W2">
        <f>BDH("DWTX US Equity","WORKING_CAPITAL","1993-06-18","2026-05-02","Per=Y","Days=T","Dir=V")</f>
        <v>0</v>
      </c>
      <c r="Y2">
        <f>BDH("DWTX US Equity","SALES_REV_TURN","1993-06-18","2026-05-02","Per=Y","Days=T","Dir=V")</f>
        <v>0</v>
      </c>
      <c r="AA2">
        <f>BDH("DWTX US Equity","EBIT","1993-06-18","2026-05-02","Per=Y","Days=T","Dir=V")</f>
        <v>0</v>
      </c>
      <c r="AC2">
        <f>BDH("DWTX US Equity","EBITDA","1993-06-18","2026-05-02","Per=Y","Days=T","Dir=V")</f>
        <v>0</v>
      </c>
      <c r="AE2">
        <f>BDH("DWTX US Equity","NET_INCOME","1993-06-18","2026-05-02","Per=Y","Days=T","Dir=V")</f>
        <v>0</v>
      </c>
      <c r="AG2">
        <f>BDH("DWTX US Equity","IS_INT_EXPENSE","1993-06-18","2026-05-02","Per=Y","Days=T","Dir=V")</f>
        <v>0</v>
      </c>
      <c r="AI2">
        <f>BDH("DWTX US Equity","IS_DEPR_EXP","1993-06-18","2026-05-02","Per=Y","Days=T","Dir=V")</f>
        <v>0</v>
      </c>
      <c r="AK2">
        <f>BDH("DWTX US Equity","CF_CASH_FROM_OPER","1993-06-18","2026-05-02","Per=Y","Days=T","Dir=V")</f>
        <v>0</v>
      </c>
      <c r="AM2">
        <f>BDH("DWTX US Equity","CAPITAL_EXPEND","1993-06-18","2026-05-02","Per=Y","Days=T","Dir=V")</f>
        <v>0</v>
      </c>
      <c r="AO2">
        <f>BDH("DWTX US Equity","CF_FREE_CASH_FLOW","1993-06-18","2026-05-02","Per=Y","Days=T","Dir=V")</f>
        <v>0</v>
      </c>
      <c r="AQ2">
        <f>BDH("DWTX US Equity","PX_LAST","1993-06-18","2026-05-02","Per=M","Days=T","Dir=V")</f>
        <v>0</v>
      </c>
      <c r="AS2">
        <f>BDH("DWTX US Equity","CUR_MKT_CAP","1993-06-18","2026-05-02","Per=M","Days=T","Dir=V")</f>
        <v>0</v>
      </c>
      <c r="AU2">
        <f>BDH("DWTX US Equity","EQY_SH_OUT","1993-06-18","2026-05-02","Per=M","Days=T","Dir=V")</f>
        <v>0</v>
      </c>
      <c r="AW2">
        <f>BDH("DWTX US Equity","PX_VOLUME","1993-06-18","2026-05-02","Per=M","Days=T","Dir=V")</f>
        <v>0</v>
      </c>
      <c r="AY2">
        <f>BDH("DWTX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BDH("DXC US Equity","BS_TOT_ASSET","1993-06-18","2026-05-02","Per=Y","Days=T","Dir=V")</f>
        <v>0</v>
      </c>
      <c r="C2">
        <f>BDH("DXC US Equity","BS_TOT_LIAB2","1993-06-18","2026-05-02","Per=Y","Days=T","Dir=V")</f>
        <v>0</v>
      </c>
      <c r="E2">
        <f>BDH("DXC US Equity","SHORT_AND_LONG_TERM_DEBT","1993-06-18","2026-05-02","Per=Y","Days=T","Dir=V")</f>
        <v>0</v>
      </c>
      <c r="G2">
        <f>BDH("DXC US Equity","BS_ST_BORROW","1993-06-18","2026-05-02","Per=Y","Days=T","Dir=V")</f>
        <v>0</v>
      </c>
      <c r="I2">
        <f>BDH("DXC US Equity","BS_LT_BORROW","1993-06-18","2026-05-02","Per=Y","Days=T","Dir=V")</f>
        <v>0</v>
      </c>
      <c r="K2">
        <f>BDH("DXC US Equity","BS_CASH_NEAR_CASH_ITEM","1993-06-18","2026-05-02","Per=Y","Days=T","Dir=V")</f>
        <v>0</v>
      </c>
      <c r="M2">
        <f>BDH("DXC US Equity","BS_CUR_ASSET_REPORT","1993-06-18","2026-05-02","Per=Y","Days=T","Dir=V")</f>
        <v>0</v>
      </c>
      <c r="O2">
        <f>BDH("DXC US Equity","BS_CUR_LIAB","1993-06-18","2026-05-02","Per=Y","Days=T","Dir=V")</f>
        <v>0</v>
      </c>
      <c r="Q2">
        <f>BDH("DXC US Equity","BS_SHAREHOLDER_EQY_ENDING_PERIOD","1993-06-18","2026-05-02","Per=Y","Days=T","Dir=V")</f>
        <v>0</v>
      </c>
      <c r="S2">
        <f>BDH("DXC US Equity","BS_ACCT_NOTE_RCV","1993-06-18","2026-05-02","Per=Y","Days=T","Dir=V")</f>
        <v>0</v>
      </c>
      <c r="U2">
        <f>BDH("DXC US Equity","BS_INVENTORIES","1993-06-18","2026-05-02","Per=Y","Days=T","Dir=V")</f>
        <v>0</v>
      </c>
      <c r="W2">
        <f>BDH("DXC US Equity","WORKING_CAPITAL","1993-06-18","2026-05-02","Per=Y","Days=T","Dir=V")</f>
        <v>0</v>
      </c>
      <c r="Y2">
        <f>BDH("DXC US Equity","SALES_REV_TURN","1993-06-18","2026-05-02","Per=Y","Days=T","Dir=V")</f>
        <v>0</v>
      </c>
      <c r="AA2">
        <f>BDH("DXC US Equity","EBIT","1993-06-18","2026-05-02","Per=Y","Days=T","Dir=V")</f>
        <v>0</v>
      </c>
      <c r="AC2">
        <f>BDH("DXC US Equity","EBITDA","1993-06-18","2026-05-02","Per=Y","Days=T","Dir=V")</f>
        <v>0</v>
      </c>
      <c r="AE2">
        <f>BDH("DXC US Equity","NET_INCOME","1993-06-18","2026-05-02","Per=Y","Days=T","Dir=V")</f>
        <v>0</v>
      </c>
      <c r="AG2">
        <f>BDH("DXC US Equity","IS_INT_EXPENSE","1993-06-18","2026-05-02","Per=Y","Days=T","Dir=V")</f>
        <v>0</v>
      </c>
      <c r="AI2">
        <f>BDH("DXC US Equity","IS_DEPR_EXP","1993-06-18","2026-05-02","Per=Y","Days=T","Dir=V")</f>
        <v>0</v>
      </c>
      <c r="AK2">
        <f>BDH("DXC US Equity","CF_CASH_FROM_OPER","1993-06-18","2026-05-02","Per=Y","Days=T","Dir=V")</f>
        <v>0</v>
      </c>
      <c r="AM2">
        <f>BDH("DXC US Equity","CAPITAL_EXPEND","1993-06-18","2026-05-02","Per=Y","Days=T","Dir=V")</f>
        <v>0</v>
      </c>
      <c r="AO2">
        <f>BDH("DXC US Equity","CF_FREE_CASH_FLOW","1993-06-18","2026-05-02","Per=Y","Days=T","Dir=V")</f>
        <v>0</v>
      </c>
      <c r="AQ2">
        <f>BDH("DXC US Equity","PX_LAST","1993-06-18","2026-05-02","Per=M","Days=T","Dir=V")</f>
        <v>0</v>
      </c>
      <c r="AS2">
        <f>BDH("DXC US Equity","CUR_MKT_CAP","1993-06-18","2026-05-02","Per=M","Days=T","Dir=V")</f>
        <v>0</v>
      </c>
      <c r="AU2">
        <f>BDH("DXC US Equity","EQY_SH_OUT","1993-06-18","2026-05-02","Per=M","Days=T","Dir=V")</f>
        <v>0</v>
      </c>
      <c r="AW2">
        <f>BDH("DXC US Equity","PX_VOLUME","1993-06-18","2026-05-02","Per=M","Days=T","Dir=V")</f>
        <v>0</v>
      </c>
      <c r="AY2">
        <f>BDH("DXC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BDH("DXCM US Equity","BS_TOT_ASSET","1993-06-18","2026-05-02","Per=Y","Days=T","Dir=V")</f>
        <v>0</v>
      </c>
      <c r="C2">
        <f>BDH("DXCM US Equity","BS_TOT_LIAB2","1993-06-18","2026-05-02","Per=Y","Days=T","Dir=V")</f>
        <v>0</v>
      </c>
      <c r="E2">
        <f>BDH("DXCM US Equity","SHORT_AND_LONG_TERM_DEBT","1993-06-18","2026-05-02","Per=Y","Days=T","Dir=V")</f>
        <v>0</v>
      </c>
      <c r="G2">
        <f>BDH("DXCM US Equity","BS_ST_BORROW","1993-06-18","2026-05-02","Per=Y","Days=T","Dir=V")</f>
        <v>0</v>
      </c>
      <c r="I2">
        <f>BDH("DXCM US Equity","BS_LT_BORROW","1993-06-18","2026-05-02","Per=Y","Days=T","Dir=V")</f>
        <v>0</v>
      </c>
      <c r="K2">
        <f>BDH("DXCM US Equity","BS_CASH_NEAR_CASH_ITEM","1993-06-18","2026-05-02","Per=Y","Days=T","Dir=V")</f>
        <v>0</v>
      </c>
      <c r="M2">
        <f>BDH("DXCM US Equity","BS_CUR_ASSET_REPORT","1993-06-18","2026-05-02","Per=Y","Days=T","Dir=V")</f>
        <v>0</v>
      </c>
      <c r="O2">
        <f>BDH("DXCM US Equity","BS_CUR_LIAB","1993-06-18","2026-05-02","Per=Y","Days=T","Dir=V")</f>
        <v>0</v>
      </c>
      <c r="Q2">
        <f>BDH("DXCM US Equity","BS_SHAREHOLDER_EQY_ENDING_PERIOD","1993-06-18","2026-05-02","Per=Y","Days=T","Dir=V")</f>
        <v>0</v>
      </c>
      <c r="S2">
        <f>BDH("DXCM US Equity","BS_ACCT_NOTE_RCV","1993-06-18","2026-05-02","Per=Y","Days=T","Dir=V")</f>
        <v>0</v>
      </c>
      <c r="U2">
        <f>BDH("DXCM US Equity","BS_INVENTORIES","1993-06-18","2026-05-02","Per=Y","Days=T","Dir=V")</f>
        <v>0</v>
      </c>
      <c r="W2">
        <f>BDH("DXCM US Equity","WORKING_CAPITAL","1993-06-18","2026-05-02","Per=Y","Days=T","Dir=V")</f>
        <v>0</v>
      </c>
      <c r="Y2">
        <f>BDH("DXCM US Equity","SALES_REV_TURN","1993-06-18","2026-05-02","Per=Y","Days=T","Dir=V")</f>
        <v>0</v>
      </c>
      <c r="AA2">
        <f>BDH("DXCM US Equity","EBIT","1993-06-18","2026-05-02","Per=Y","Days=T","Dir=V")</f>
        <v>0</v>
      </c>
      <c r="AC2">
        <f>BDH("DXCM US Equity","EBITDA","1993-06-18","2026-05-02","Per=Y","Days=T","Dir=V")</f>
        <v>0</v>
      </c>
      <c r="AE2">
        <f>BDH("DXCM US Equity","NET_INCOME","1993-06-18","2026-05-02","Per=Y","Days=T","Dir=V")</f>
        <v>0</v>
      </c>
      <c r="AG2">
        <f>BDH("DXCM US Equity","IS_INT_EXPENSE","1993-06-18","2026-05-02","Per=Y","Days=T","Dir=V")</f>
        <v>0</v>
      </c>
      <c r="AI2">
        <f>BDH("DXCM US Equity","IS_DEPR_EXP","1993-06-18","2026-05-02","Per=Y","Days=T","Dir=V")</f>
        <v>0</v>
      </c>
      <c r="AK2">
        <f>BDH("DXCM US Equity","CF_CASH_FROM_OPER","1993-06-18","2026-05-02","Per=Y","Days=T","Dir=V")</f>
        <v>0</v>
      </c>
      <c r="AM2">
        <f>BDH("DXCM US Equity","CAPITAL_EXPEND","1993-06-18","2026-05-02","Per=Y","Days=T","Dir=V")</f>
        <v>0</v>
      </c>
      <c r="AO2">
        <f>BDH("DXCM US Equity","CF_FREE_CASH_FLOW","1993-06-18","2026-05-02","Per=Y","Days=T","Dir=V")</f>
        <v>0</v>
      </c>
      <c r="AQ2">
        <f>BDH("DXCM US Equity","PX_LAST","1993-06-18","2026-05-02","Per=M","Days=T","Dir=V")</f>
        <v>0</v>
      </c>
      <c r="AS2">
        <f>BDH("DXCM US Equity","CUR_MKT_CAP","1993-06-18","2026-05-02","Per=M","Days=T","Dir=V")</f>
        <v>0</v>
      </c>
      <c r="AU2">
        <f>BDH("DXCM US Equity","EQY_SH_OUT","1993-06-18","2026-05-02","Per=M","Days=T","Dir=V")</f>
        <v>0</v>
      </c>
      <c r="AW2">
        <f>BDH("DXCM US Equity","PX_VOLUME","1993-06-18","2026-05-02","Per=M","Days=T","Dir=V")</f>
        <v>0</v>
      </c>
      <c r="AY2">
        <f>BDH("DXCM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BDH("DXLG US Equity","BS_TOT_ASSET","1993-06-18","2026-05-02","Per=Y","Days=T","Dir=V")</f>
        <v>0</v>
      </c>
      <c r="C2">
        <f>BDH("DXLG US Equity","BS_TOT_LIAB2","1993-06-18","2026-05-02","Per=Y","Days=T","Dir=V")</f>
        <v>0</v>
      </c>
      <c r="E2">
        <f>BDH("DXLG US Equity","SHORT_AND_LONG_TERM_DEBT","1993-06-18","2026-05-02","Per=Y","Days=T","Dir=V")</f>
        <v>0</v>
      </c>
      <c r="G2">
        <f>BDH("DXLG US Equity","BS_ST_BORROW","1993-06-18","2026-05-02","Per=Y","Days=T","Dir=V")</f>
        <v>0</v>
      </c>
      <c r="I2">
        <f>BDH("DXLG US Equity","BS_LT_BORROW","1993-06-18","2026-05-02","Per=Y","Days=T","Dir=V")</f>
        <v>0</v>
      </c>
      <c r="K2">
        <f>BDH("DXLG US Equity","BS_CASH_NEAR_CASH_ITEM","1993-06-18","2026-05-02","Per=Y","Days=T","Dir=V")</f>
        <v>0</v>
      </c>
      <c r="M2">
        <f>BDH("DXLG US Equity","BS_CUR_ASSET_REPORT","1993-06-18","2026-05-02","Per=Y","Days=T","Dir=V")</f>
        <v>0</v>
      </c>
      <c r="O2">
        <f>BDH("DXLG US Equity","BS_CUR_LIAB","1993-06-18","2026-05-02","Per=Y","Days=T","Dir=V")</f>
        <v>0</v>
      </c>
      <c r="Q2">
        <f>BDH("DXLG US Equity","BS_SHAREHOLDER_EQY_ENDING_PERIOD","1993-06-18","2026-05-02","Per=Y","Days=T","Dir=V")</f>
        <v>0</v>
      </c>
      <c r="S2">
        <f>BDH("DXLG US Equity","BS_ACCT_NOTE_RCV","1993-06-18","2026-05-02","Per=Y","Days=T","Dir=V")</f>
        <v>0</v>
      </c>
      <c r="U2">
        <f>BDH("DXLG US Equity","BS_INVENTORIES","1993-06-18","2026-05-02","Per=Y","Days=T","Dir=V")</f>
        <v>0</v>
      </c>
      <c r="W2">
        <f>BDH("DXLG US Equity","WORKING_CAPITAL","1993-06-18","2026-05-02","Per=Y","Days=T","Dir=V")</f>
        <v>0</v>
      </c>
      <c r="Y2">
        <f>BDH("DXLG US Equity","SALES_REV_TURN","1993-06-18","2026-05-02","Per=Y","Days=T","Dir=V")</f>
        <v>0</v>
      </c>
      <c r="AA2">
        <f>BDH("DXLG US Equity","EBIT","1993-06-18","2026-05-02","Per=Y","Days=T","Dir=V")</f>
        <v>0</v>
      </c>
      <c r="AC2">
        <f>BDH("DXLG US Equity","EBITDA","1993-06-18","2026-05-02","Per=Y","Days=T","Dir=V")</f>
        <v>0</v>
      </c>
      <c r="AE2">
        <f>BDH("DXLG US Equity","NET_INCOME","1993-06-18","2026-05-02","Per=Y","Days=T","Dir=V")</f>
        <v>0</v>
      </c>
      <c r="AG2">
        <f>BDH("DXLG US Equity","IS_INT_EXPENSE","1993-06-18","2026-05-02","Per=Y","Days=T","Dir=V")</f>
        <v>0</v>
      </c>
      <c r="AI2">
        <f>BDH("DXLG US Equity","IS_DEPR_EXP","1993-06-18","2026-05-02","Per=Y","Days=T","Dir=V")</f>
        <v>0</v>
      </c>
      <c r="AK2">
        <f>BDH("DXLG US Equity","CF_CASH_FROM_OPER","1993-06-18","2026-05-02","Per=Y","Days=T","Dir=V")</f>
        <v>0</v>
      </c>
      <c r="AM2">
        <f>BDH("DXLG US Equity","CAPITAL_EXPEND","1993-06-18","2026-05-02","Per=Y","Days=T","Dir=V")</f>
        <v>0</v>
      </c>
      <c r="AO2">
        <f>BDH("DXLG US Equity","CF_FREE_CASH_FLOW","1993-06-18","2026-05-02","Per=Y","Days=T","Dir=V")</f>
        <v>0</v>
      </c>
      <c r="AQ2">
        <f>BDH("DXLG US Equity","PX_LAST","1993-06-18","2026-05-02","Per=M","Days=T","Dir=V")</f>
        <v>0</v>
      </c>
      <c r="AS2">
        <f>BDH("DXLG US Equity","CUR_MKT_CAP","1993-06-18","2026-05-02","Per=M","Days=T","Dir=V")</f>
        <v>0</v>
      </c>
      <c r="AU2">
        <f>BDH("DXLG US Equity","EQY_SH_OUT","1993-06-18","2026-05-02","Per=M","Days=T","Dir=V")</f>
        <v>0</v>
      </c>
      <c r="AW2">
        <f>BDH("DXLG US Equity","PX_VOLUME","1993-06-18","2026-05-02","Per=M","Days=T","Dir=V")</f>
        <v>0</v>
      </c>
      <c r="AY2">
        <f>BDH("DXLG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BDH("DXPE US Equity","BS_TOT_ASSET","1993-06-18","2026-05-02","Per=Y","Days=T","Dir=V")</f>
        <v>0</v>
      </c>
      <c r="C2">
        <f>BDH("DXPE US Equity","BS_TOT_LIAB2","1993-06-18","2026-05-02","Per=Y","Days=T","Dir=V")</f>
        <v>0</v>
      </c>
      <c r="E2">
        <f>BDH("DXPE US Equity","SHORT_AND_LONG_TERM_DEBT","1993-06-18","2026-05-02","Per=Y","Days=T","Dir=V")</f>
        <v>0</v>
      </c>
      <c r="G2">
        <f>BDH("DXPE US Equity","BS_ST_BORROW","1993-06-18","2026-05-02","Per=Y","Days=T","Dir=V")</f>
        <v>0</v>
      </c>
      <c r="I2">
        <f>BDH("DXPE US Equity","BS_LT_BORROW","1993-06-18","2026-05-02","Per=Y","Days=T","Dir=V")</f>
        <v>0</v>
      </c>
      <c r="K2">
        <f>BDH("DXPE US Equity","BS_CASH_NEAR_CASH_ITEM","1993-06-18","2026-05-02","Per=Y","Days=T","Dir=V")</f>
        <v>0</v>
      </c>
      <c r="M2">
        <f>BDH("DXPE US Equity","BS_CUR_ASSET_REPORT","1993-06-18","2026-05-02","Per=Y","Days=T","Dir=V")</f>
        <v>0</v>
      </c>
      <c r="O2">
        <f>BDH("DXPE US Equity","BS_CUR_LIAB","1993-06-18","2026-05-02","Per=Y","Days=T","Dir=V")</f>
        <v>0</v>
      </c>
      <c r="Q2">
        <f>BDH("DXPE US Equity","BS_SHAREHOLDER_EQY_ENDING_PERIOD","1993-06-18","2026-05-02","Per=Y","Days=T","Dir=V")</f>
        <v>0</v>
      </c>
      <c r="S2">
        <f>BDH("DXPE US Equity","BS_ACCT_NOTE_RCV","1993-06-18","2026-05-02","Per=Y","Days=T","Dir=V")</f>
        <v>0</v>
      </c>
      <c r="U2">
        <f>BDH("DXPE US Equity","BS_INVENTORIES","1993-06-18","2026-05-02","Per=Y","Days=T","Dir=V")</f>
        <v>0</v>
      </c>
      <c r="W2">
        <f>BDH("DXPE US Equity","WORKING_CAPITAL","1993-06-18","2026-05-02","Per=Y","Days=T","Dir=V")</f>
        <v>0</v>
      </c>
      <c r="Y2">
        <f>BDH("DXPE US Equity","SALES_REV_TURN","1993-06-18","2026-05-02","Per=Y","Days=T","Dir=V")</f>
        <v>0</v>
      </c>
      <c r="AA2">
        <f>BDH("DXPE US Equity","EBIT","1993-06-18","2026-05-02","Per=Y","Days=T","Dir=V")</f>
        <v>0</v>
      </c>
      <c r="AC2">
        <f>BDH("DXPE US Equity","EBITDA","1993-06-18","2026-05-02","Per=Y","Days=T","Dir=V")</f>
        <v>0</v>
      </c>
      <c r="AE2">
        <f>BDH("DXPE US Equity","NET_INCOME","1993-06-18","2026-05-02","Per=Y","Days=T","Dir=V")</f>
        <v>0</v>
      </c>
      <c r="AG2">
        <f>BDH("DXPE US Equity","IS_INT_EXPENSE","1993-06-18","2026-05-02","Per=Y","Days=T","Dir=V")</f>
        <v>0</v>
      </c>
      <c r="AI2">
        <f>BDH("DXPE US Equity","IS_DEPR_EXP","1993-06-18","2026-05-02","Per=Y","Days=T","Dir=V")</f>
        <v>0</v>
      </c>
      <c r="AK2">
        <f>BDH("DXPE US Equity","CF_CASH_FROM_OPER","1993-06-18","2026-05-02","Per=Y","Days=T","Dir=V")</f>
        <v>0</v>
      </c>
      <c r="AM2">
        <f>BDH("DXPE US Equity","CAPITAL_EXPEND","1993-06-18","2026-05-02","Per=Y","Days=T","Dir=V")</f>
        <v>0</v>
      </c>
      <c r="AO2">
        <f>BDH("DXPE US Equity","CF_FREE_CASH_FLOW","1993-06-18","2026-05-02","Per=Y","Days=T","Dir=V")</f>
        <v>0</v>
      </c>
      <c r="AQ2">
        <f>BDH("DXPE US Equity","PX_LAST","1993-06-18","2026-05-02","Per=M","Days=T","Dir=V")</f>
        <v>0</v>
      </c>
      <c r="AS2">
        <f>BDH("DXPE US Equity","CUR_MKT_CAP","1993-06-18","2026-05-02","Per=M","Days=T","Dir=V")</f>
        <v>0</v>
      </c>
      <c r="AU2">
        <f>BDH("DXPE US Equity","EQY_SH_OUT","1993-06-18","2026-05-02","Per=M","Days=T","Dir=V")</f>
        <v>0</v>
      </c>
      <c r="AW2">
        <f>BDH("DXPE US Equity","PX_VOLUME","1993-06-18","2026-05-02","Per=M","Days=T","Dir=V")</f>
        <v>0</v>
      </c>
      <c r="AY2">
        <f>BDH("DXPE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BDH("DXR US Equity","BS_TOT_ASSET","1993-06-18","2026-05-02","Per=Y","Days=T","Dir=V")</f>
        <v>0</v>
      </c>
      <c r="C2">
        <f>BDH("DXR US Equity","BS_TOT_LIAB2","1993-06-18","2026-05-02","Per=Y","Days=T","Dir=V")</f>
        <v>0</v>
      </c>
      <c r="E2">
        <f>BDH("DXR US Equity","SHORT_AND_LONG_TERM_DEBT","1993-06-18","2026-05-02","Per=Y","Days=T","Dir=V")</f>
        <v>0</v>
      </c>
      <c r="G2">
        <f>BDH("DXR US Equity","BS_ST_BORROW","1993-06-18","2026-05-02","Per=Y","Days=T","Dir=V")</f>
        <v>0</v>
      </c>
      <c r="I2">
        <f>BDH("DXR US Equity","BS_LT_BORROW","1993-06-18","2026-05-02","Per=Y","Days=T","Dir=V")</f>
        <v>0</v>
      </c>
      <c r="K2">
        <f>BDH("DXR US Equity","BS_CASH_NEAR_CASH_ITEM","1993-06-18","2026-05-02","Per=Y","Days=T","Dir=V")</f>
        <v>0</v>
      </c>
      <c r="M2">
        <f>BDH("DXR US Equity","BS_CUR_ASSET_REPORT","1993-06-18","2026-05-02","Per=Y","Days=T","Dir=V")</f>
        <v>0</v>
      </c>
      <c r="O2">
        <f>BDH("DXR US Equity","BS_CUR_LIAB","1993-06-18","2026-05-02","Per=Y","Days=T","Dir=V")</f>
        <v>0</v>
      </c>
      <c r="Q2">
        <f>BDH("DXR US Equity","BS_SHAREHOLDER_EQY_ENDING_PERIOD","1993-06-18","2026-05-02","Per=Y","Days=T","Dir=V")</f>
        <v>0</v>
      </c>
      <c r="S2">
        <f>BDH("DXR US Equity","BS_ACCT_NOTE_RCV","1993-06-18","2026-05-02","Per=Y","Days=T","Dir=V")</f>
        <v>0</v>
      </c>
      <c r="U2">
        <f>BDH("DXR US Equity","BS_INVENTORIES","1993-06-18","2026-05-02","Per=Y","Days=T","Dir=V")</f>
        <v>0</v>
      </c>
      <c r="W2">
        <f>BDH("DXR US Equity","WORKING_CAPITAL","1993-06-18","2026-05-02","Per=Y","Days=T","Dir=V")</f>
        <v>0</v>
      </c>
      <c r="Y2">
        <f>BDH("DXR US Equity","SALES_REV_TURN","1993-06-18","2026-05-02","Per=Y","Days=T","Dir=V")</f>
        <v>0</v>
      </c>
      <c r="AA2">
        <f>BDH("DXR US Equity","EBIT","1993-06-18","2026-05-02","Per=Y","Days=T","Dir=V")</f>
        <v>0</v>
      </c>
      <c r="AC2">
        <f>BDH("DXR US Equity","EBITDA","1993-06-18","2026-05-02","Per=Y","Days=T","Dir=V")</f>
        <v>0</v>
      </c>
      <c r="AE2">
        <f>BDH("DXR US Equity","NET_INCOME","1993-06-18","2026-05-02","Per=Y","Days=T","Dir=V")</f>
        <v>0</v>
      </c>
      <c r="AG2">
        <f>BDH("DXR US Equity","IS_INT_EXPENSE","1993-06-18","2026-05-02","Per=Y","Days=T","Dir=V")</f>
        <v>0</v>
      </c>
      <c r="AI2">
        <f>BDH("DXR US Equity","IS_DEPR_EXP","1993-06-18","2026-05-02","Per=Y","Days=T","Dir=V")</f>
        <v>0</v>
      </c>
      <c r="AK2">
        <f>BDH("DXR US Equity","CF_CASH_FROM_OPER","1993-06-18","2026-05-02","Per=Y","Days=T","Dir=V")</f>
        <v>0</v>
      </c>
      <c r="AM2">
        <f>BDH("DXR US Equity","CAPITAL_EXPEND","1993-06-18","2026-05-02","Per=Y","Days=T","Dir=V")</f>
        <v>0</v>
      </c>
      <c r="AO2">
        <f>BDH("DXR US Equity","CF_FREE_CASH_FLOW","1993-06-18","2026-05-02","Per=Y","Days=T","Dir=V")</f>
        <v>0</v>
      </c>
      <c r="AQ2">
        <f>BDH("DXR US Equity","PX_LAST","1993-06-18","2026-05-02","Per=M","Days=T","Dir=V")</f>
        <v>0</v>
      </c>
      <c r="AS2">
        <f>BDH("DXR US Equity","CUR_MKT_CAP","1993-06-18","2026-05-02","Per=M","Days=T","Dir=V")</f>
        <v>0</v>
      </c>
      <c r="AU2">
        <f>BDH("DXR US Equity","EQY_SH_OUT","1993-06-18","2026-05-02","Per=M","Days=T","Dir=V")</f>
        <v>0</v>
      </c>
      <c r="AW2">
        <f>BDH("DXR US Equity","PX_VOLUME","1993-06-18","2026-05-02","Per=M","Days=T","Dir=V")</f>
        <v>0</v>
      </c>
      <c r="AY2">
        <f>BDH("DXR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BDH("DY US Equity","BS_TOT_ASSET","1993-06-18","2026-05-02","Per=Y","Days=T","Dir=V")</f>
        <v>0</v>
      </c>
      <c r="C2">
        <f>BDH("DY US Equity","BS_TOT_LIAB2","1993-06-18","2026-05-02","Per=Y","Days=T","Dir=V")</f>
        <v>0</v>
      </c>
      <c r="E2">
        <f>BDH("DY US Equity","SHORT_AND_LONG_TERM_DEBT","1993-06-18","2026-05-02","Per=Y","Days=T","Dir=V")</f>
        <v>0</v>
      </c>
      <c r="G2">
        <f>BDH("DY US Equity","BS_ST_BORROW","1993-06-18","2026-05-02","Per=Y","Days=T","Dir=V")</f>
        <v>0</v>
      </c>
      <c r="I2">
        <f>BDH("DY US Equity","BS_LT_BORROW","1993-06-18","2026-05-02","Per=Y","Days=T","Dir=V")</f>
        <v>0</v>
      </c>
      <c r="K2">
        <f>BDH("DY US Equity","BS_CASH_NEAR_CASH_ITEM","1993-06-18","2026-05-02","Per=Y","Days=T","Dir=V")</f>
        <v>0</v>
      </c>
      <c r="M2">
        <f>BDH("DY US Equity","BS_CUR_ASSET_REPORT","1993-06-18","2026-05-02","Per=Y","Days=T","Dir=V")</f>
        <v>0</v>
      </c>
      <c r="O2">
        <f>BDH("DY US Equity","BS_CUR_LIAB","1993-06-18","2026-05-02","Per=Y","Days=T","Dir=V")</f>
        <v>0</v>
      </c>
      <c r="Q2">
        <f>BDH("DY US Equity","BS_SHAREHOLDER_EQY_ENDING_PERIOD","1993-06-18","2026-05-02","Per=Y","Days=T","Dir=V")</f>
        <v>0</v>
      </c>
      <c r="S2">
        <f>BDH("DY US Equity","BS_ACCT_NOTE_RCV","1993-06-18","2026-05-02","Per=Y","Days=T","Dir=V")</f>
        <v>0</v>
      </c>
      <c r="U2">
        <f>BDH("DY US Equity","BS_INVENTORIES","1993-06-18","2026-05-02","Per=Y","Days=T","Dir=V")</f>
        <v>0</v>
      </c>
      <c r="W2">
        <f>BDH("DY US Equity","WORKING_CAPITAL","1993-06-18","2026-05-02","Per=Y","Days=T","Dir=V")</f>
        <v>0</v>
      </c>
      <c r="Y2">
        <f>BDH("DY US Equity","SALES_REV_TURN","1993-06-18","2026-05-02","Per=Y","Days=T","Dir=V")</f>
        <v>0</v>
      </c>
      <c r="AA2">
        <f>BDH("DY US Equity","EBIT","1993-06-18","2026-05-02","Per=Y","Days=T","Dir=V")</f>
        <v>0</v>
      </c>
      <c r="AC2">
        <f>BDH("DY US Equity","EBITDA","1993-06-18","2026-05-02","Per=Y","Days=T","Dir=V")</f>
        <v>0</v>
      </c>
      <c r="AE2">
        <f>BDH("DY US Equity","NET_INCOME","1993-06-18","2026-05-02","Per=Y","Days=T","Dir=V")</f>
        <v>0</v>
      </c>
      <c r="AG2">
        <f>BDH("DY US Equity","IS_INT_EXPENSE","1993-06-18","2026-05-02","Per=Y","Days=T","Dir=V")</f>
        <v>0</v>
      </c>
      <c r="AI2">
        <f>BDH("DY US Equity","IS_DEPR_EXP","1993-06-18","2026-05-02","Per=Y","Days=T","Dir=V")</f>
        <v>0</v>
      </c>
      <c r="AK2">
        <f>BDH("DY US Equity","CF_CASH_FROM_OPER","1993-06-18","2026-05-02","Per=Y","Days=T","Dir=V")</f>
        <v>0</v>
      </c>
      <c r="AM2">
        <f>BDH("DY US Equity","CAPITAL_EXPEND","1993-06-18","2026-05-02","Per=Y","Days=T","Dir=V")</f>
        <v>0</v>
      </c>
      <c r="AO2">
        <f>BDH("DY US Equity","CF_FREE_CASH_FLOW","1993-06-18","2026-05-02","Per=Y","Days=T","Dir=V")</f>
        <v>0</v>
      </c>
      <c r="AQ2">
        <f>BDH("DY US Equity","PX_LAST","1993-06-18","2026-05-02","Per=M","Days=T","Dir=V")</f>
        <v>0</v>
      </c>
      <c r="AS2">
        <f>BDH("DY US Equity","CUR_MKT_CAP","1993-06-18","2026-05-02","Per=M","Days=T","Dir=V")</f>
        <v>0</v>
      </c>
      <c r="AU2">
        <f>BDH("DY US Equity","EQY_SH_OUT","1993-06-18","2026-05-02","Per=M","Days=T","Dir=V")</f>
        <v>0</v>
      </c>
      <c r="AW2">
        <f>BDH("DY US Equity","PX_VOLUME","1993-06-18","2026-05-02","Per=M","Days=T","Dir=V")</f>
        <v>0</v>
      </c>
      <c r="AY2">
        <f>BDH("DY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BDH("DYAI US Equity","BS_TOT_ASSET","1993-06-18","2026-05-02","Per=Y","Days=T","Dir=V")</f>
        <v>0</v>
      </c>
      <c r="C2">
        <f>BDH("DYAI US Equity","BS_TOT_LIAB2","1993-06-18","2026-05-02","Per=Y","Days=T","Dir=V")</f>
        <v>0</v>
      </c>
      <c r="E2">
        <f>BDH("DYAI US Equity","SHORT_AND_LONG_TERM_DEBT","1993-06-18","2026-05-02","Per=Y","Days=T","Dir=V")</f>
        <v>0</v>
      </c>
      <c r="G2">
        <f>BDH("DYAI US Equity","BS_ST_BORROW","1993-06-18","2026-05-02","Per=Y","Days=T","Dir=V")</f>
        <v>0</v>
      </c>
      <c r="I2">
        <f>BDH("DYAI US Equity","BS_LT_BORROW","1993-06-18","2026-05-02","Per=Y","Days=T","Dir=V")</f>
        <v>0</v>
      </c>
      <c r="K2">
        <f>BDH("DYAI US Equity","BS_CASH_NEAR_CASH_ITEM","1993-06-18","2026-05-02","Per=Y","Days=T","Dir=V")</f>
        <v>0</v>
      </c>
      <c r="M2">
        <f>BDH("DYAI US Equity","BS_CUR_ASSET_REPORT","1993-06-18","2026-05-02","Per=Y","Days=T","Dir=V")</f>
        <v>0</v>
      </c>
      <c r="O2">
        <f>BDH("DYAI US Equity","BS_CUR_LIAB","1993-06-18","2026-05-02","Per=Y","Days=T","Dir=V")</f>
        <v>0</v>
      </c>
      <c r="Q2">
        <f>BDH("DYAI US Equity","BS_SHAREHOLDER_EQY_ENDING_PERIOD","1993-06-18","2026-05-02","Per=Y","Days=T","Dir=V")</f>
        <v>0</v>
      </c>
      <c r="S2">
        <f>BDH("DYAI US Equity","BS_ACCT_NOTE_RCV","1993-06-18","2026-05-02","Per=Y","Days=T","Dir=V")</f>
        <v>0</v>
      </c>
      <c r="U2">
        <f>BDH("DYAI US Equity","BS_INVENTORIES","1993-06-18","2026-05-02","Per=Y","Days=T","Dir=V")</f>
        <v>0</v>
      </c>
      <c r="W2">
        <f>BDH("DYAI US Equity","WORKING_CAPITAL","1993-06-18","2026-05-02","Per=Y","Days=T","Dir=V")</f>
        <v>0</v>
      </c>
      <c r="Y2">
        <f>BDH("DYAI US Equity","SALES_REV_TURN","1993-06-18","2026-05-02","Per=Y","Days=T","Dir=V")</f>
        <v>0</v>
      </c>
      <c r="AA2">
        <f>BDH("DYAI US Equity","EBIT","1993-06-18","2026-05-02","Per=Y","Days=T","Dir=V")</f>
        <v>0</v>
      </c>
      <c r="AC2">
        <f>BDH("DYAI US Equity","EBITDA","1993-06-18","2026-05-02","Per=Y","Days=T","Dir=V")</f>
        <v>0</v>
      </c>
      <c r="AE2">
        <f>BDH("DYAI US Equity","NET_INCOME","1993-06-18","2026-05-02","Per=Y","Days=T","Dir=V")</f>
        <v>0</v>
      </c>
      <c r="AG2">
        <f>BDH("DYAI US Equity","IS_INT_EXPENSE","1993-06-18","2026-05-02","Per=Y","Days=T","Dir=V")</f>
        <v>0</v>
      </c>
      <c r="AI2">
        <f>BDH("DYAI US Equity","IS_DEPR_EXP","1993-06-18","2026-05-02","Per=Y","Days=T","Dir=V")</f>
        <v>0</v>
      </c>
      <c r="AK2">
        <f>BDH("DYAI US Equity","CF_CASH_FROM_OPER","1993-06-18","2026-05-02","Per=Y","Days=T","Dir=V")</f>
        <v>0</v>
      </c>
      <c r="AM2">
        <f>BDH("DYAI US Equity","CAPITAL_EXPEND","1993-06-18","2026-05-02","Per=Y","Days=T","Dir=V")</f>
        <v>0</v>
      </c>
      <c r="AO2">
        <f>BDH("DYAI US Equity","CF_FREE_CASH_FLOW","1993-06-18","2026-05-02","Per=Y","Days=T","Dir=V")</f>
        <v>0</v>
      </c>
      <c r="AQ2">
        <f>BDH("DYAI US Equity","PX_LAST","1993-06-18","2026-05-02","Per=M","Days=T","Dir=V")</f>
        <v>0</v>
      </c>
      <c r="AS2">
        <f>BDH("DYAI US Equity","CUR_MKT_CAP","1993-06-18","2026-05-02","Per=M","Days=T","Dir=V")</f>
        <v>0</v>
      </c>
      <c r="AU2">
        <f>BDH("DYAI US Equity","EQY_SH_OUT","1993-06-18","2026-05-02","Per=M","Days=T","Dir=V")</f>
        <v>0</v>
      </c>
      <c r="AW2">
        <f>BDH("DYAI US Equity","PX_VOLUME","1993-06-18","2026-05-02","Per=M","Days=T","Dir=V")</f>
        <v>0</v>
      </c>
      <c r="AY2">
        <f>BDH("DYAI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BDH("DYN US Equity","BS_TOT_ASSET","1993-06-18","2026-05-02","Per=Y","Days=T","Dir=V")</f>
        <v>0</v>
      </c>
      <c r="C2">
        <f>BDH("DYN US Equity","BS_TOT_LIAB2","1993-06-18","2026-05-02","Per=Y","Days=T","Dir=V")</f>
        <v>0</v>
      </c>
      <c r="E2">
        <f>BDH("DYN US Equity","SHORT_AND_LONG_TERM_DEBT","1993-06-18","2026-05-02","Per=Y","Days=T","Dir=V")</f>
        <v>0</v>
      </c>
      <c r="G2">
        <f>BDH("DYN US Equity","BS_ST_BORROW","1993-06-18","2026-05-02","Per=Y","Days=T","Dir=V")</f>
        <v>0</v>
      </c>
      <c r="I2">
        <f>BDH("DYN US Equity","BS_LT_BORROW","1993-06-18","2026-05-02","Per=Y","Days=T","Dir=V")</f>
        <v>0</v>
      </c>
      <c r="K2">
        <f>BDH("DYN US Equity","BS_CASH_NEAR_CASH_ITEM","1993-06-18","2026-05-02","Per=Y","Days=T","Dir=V")</f>
        <v>0</v>
      </c>
      <c r="M2">
        <f>BDH("DYN US Equity","BS_CUR_ASSET_REPORT","1993-06-18","2026-05-02","Per=Y","Days=T","Dir=V")</f>
        <v>0</v>
      </c>
      <c r="O2">
        <f>BDH("DYN US Equity","BS_CUR_LIAB","1993-06-18","2026-05-02","Per=Y","Days=T","Dir=V")</f>
        <v>0</v>
      </c>
      <c r="Q2">
        <f>BDH("DYN US Equity","BS_SHAREHOLDER_EQY_ENDING_PERIOD","1993-06-18","2026-05-02","Per=Y","Days=T","Dir=V")</f>
        <v>0</v>
      </c>
      <c r="S2">
        <f>BDH("DYN US Equity","BS_ACCT_NOTE_RCV","1993-06-18","2026-05-02","Per=Y","Days=T","Dir=V")</f>
        <v>0</v>
      </c>
      <c r="U2">
        <f>BDH("DYN US Equity","BS_INVENTORIES","1993-06-18","2026-05-02","Per=Y","Days=T","Dir=V")</f>
        <v>0</v>
      </c>
      <c r="W2">
        <f>BDH("DYN US Equity","WORKING_CAPITAL","1993-06-18","2026-05-02","Per=Y","Days=T","Dir=V")</f>
        <v>0</v>
      </c>
      <c r="Y2">
        <f>BDH("DYN US Equity","SALES_REV_TURN","1993-06-18","2026-05-02","Per=Y","Days=T","Dir=V")</f>
        <v>0</v>
      </c>
      <c r="AA2">
        <f>BDH("DYN US Equity","EBIT","1993-06-18","2026-05-02","Per=Y","Days=T","Dir=V")</f>
        <v>0</v>
      </c>
      <c r="AC2">
        <f>BDH("DYN US Equity","EBITDA","1993-06-18","2026-05-02","Per=Y","Days=T","Dir=V")</f>
        <v>0</v>
      </c>
      <c r="AE2">
        <f>BDH("DYN US Equity","NET_INCOME","1993-06-18","2026-05-02","Per=Y","Days=T","Dir=V")</f>
        <v>0</v>
      </c>
      <c r="AG2">
        <f>BDH("DYN US Equity","IS_INT_EXPENSE","1993-06-18","2026-05-02","Per=Y","Days=T","Dir=V")</f>
        <v>0</v>
      </c>
      <c r="AI2">
        <f>BDH("DYN US Equity","IS_DEPR_EXP","1993-06-18","2026-05-02","Per=Y","Days=T","Dir=V")</f>
        <v>0</v>
      </c>
      <c r="AK2">
        <f>BDH("DYN US Equity","CF_CASH_FROM_OPER","1993-06-18","2026-05-02","Per=Y","Days=T","Dir=V")</f>
        <v>0</v>
      </c>
      <c r="AM2">
        <f>BDH("DYN US Equity","CAPITAL_EXPEND","1993-06-18","2026-05-02","Per=Y","Days=T","Dir=V")</f>
        <v>0</v>
      </c>
      <c r="AO2">
        <f>BDH("DYN US Equity","CF_FREE_CASH_FLOW","1993-06-18","2026-05-02","Per=Y","Days=T","Dir=V")</f>
        <v>0</v>
      </c>
      <c r="AQ2">
        <f>BDH("DYN US Equity","PX_LAST","1993-06-18","2026-05-02","Per=M","Days=T","Dir=V")</f>
        <v>0</v>
      </c>
      <c r="AS2">
        <f>BDH("DYN US Equity","CUR_MKT_CAP","1993-06-18","2026-05-02","Per=M","Days=T","Dir=V")</f>
        <v>0</v>
      </c>
      <c r="AU2">
        <f>BDH("DYN US Equity","EQY_SH_OUT","1993-06-18","2026-05-02","Per=M","Days=T","Dir=V")</f>
        <v>0</v>
      </c>
      <c r="AW2">
        <f>BDH("DYN US Equity","PX_VOLUME","1993-06-18","2026-05-02","Per=M","Days=T","Dir=V")</f>
        <v>0</v>
      </c>
      <c r="AY2">
        <f>BDH("DYN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BDH("EAF US Equity","BS_TOT_ASSET","1993-06-18","2026-05-02","Per=Y","Days=T","Dir=V")</f>
        <v>0</v>
      </c>
      <c r="C2">
        <f>BDH("EAF US Equity","BS_TOT_LIAB2","1993-06-18","2026-05-02","Per=Y","Days=T","Dir=V")</f>
        <v>0</v>
      </c>
      <c r="E2">
        <f>BDH("EAF US Equity","SHORT_AND_LONG_TERM_DEBT","1993-06-18","2026-05-02","Per=Y","Days=T","Dir=V")</f>
        <v>0</v>
      </c>
      <c r="G2">
        <f>BDH("EAF US Equity","BS_ST_BORROW","1993-06-18","2026-05-02","Per=Y","Days=T","Dir=V")</f>
        <v>0</v>
      </c>
      <c r="I2">
        <f>BDH("EAF US Equity","BS_LT_BORROW","1993-06-18","2026-05-02","Per=Y","Days=T","Dir=V")</f>
        <v>0</v>
      </c>
      <c r="K2">
        <f>BDH("EAF US Equity","BS_CASH_NEAR_CASH_ITEM","1993-06-18","2026-05-02","Per=Y","Days=T","Dir=V")</f>
        <v>0</v>
      </c>
      <c r="M2">
        <f>BDH("EAF US Equity","BS_CUR_ASSET_REPORT","1993-06-18","2026-05-02","Per=Y","Days=T","Dir=V")</f>
        <v>0</v>
      </c>
      <c r="O2">
        <f>BDH("EAF US Equity","BS_CUR_LIAB","1993-06-18","2026-05-02","Per=Y","Days=T","Dir=V")</f>
        <v>0</v>
      </c>
      <c r="Q2">
        <f>BDH("EAF US Equity","BS_SHAREHOLDER_EQY_ENDING_PERIOD","1993-06-18","2026-05-02","Per=Y","Days=T","Dir=V")</f>
        <v>0</v>
      </c>
      <c r="S2">
        <f>BDH("EAF US Equity","BS_ACCT_NOTE_RCV","1993-06-18","2026-05-02","Per=Y","Days=T","Dir=V")</f>
        <v>0</v>
      </c>
      <c r="U2">
        <f>BDH("EAF US Equity","BS_INVENTORIES","1993-06-18","2026-05-02","Per=Y","Days=T","Dir=V")</f>
        <v>0</v>
      </c>
      <c r="W2">
        <f>BDH("EAF US Equity","WORKING_CAPITAL","1993-06-18","2026-05-02","Per=Y","Days=T","Dir=V")</f>
        <v>0</v>
      </c>
      <c r="Y2">
        <f>BDH("EAF US Equity","SALES_REV_TURN","1993-06-18","2026-05-02","Per=Y","Days=T","Dir=V")</f>
        <v>0</v>
      </c>
      <c r="AA2">
        <f>BDH("EAF US Equity","EBIT","1993-06-18","2026-05-02","Per=Y","Days=T","Dir=V")</f>
        <v>0</v>
      </c>
      <c r="AC2">
        <f>BDH("EAF US Equity","EBITDA","1993-06-18","2026-05-02","Per=Y","Days=T","Dir=V")</f>
        <v>0</v>
      </c>
      <c r="AE2">
        <f>BDH("EAF US Equity","NET_INCOME","1993-06-18","2026-05-02","Per=Y","Days=T","Dir=V")</f>
        <v>0</v>
      </c>
      <c r="AG2">
        <f>BDH("EAF US Equity","IS_INT_EXPENSE","1993-06-18","2026-05-02","Per=Y","Days=T","Dir=V")</f>
        <v>0</v>
      </c>
      <c r="AI2">
        <f>BDH("EAF US Equity","IS_DEPR_EXP","1993-06-18","2026-05-02","Per=Y","Days=T","Dir=V")</f>
        <v>0</v>
      </c>
      <c r="AK2">
        <f>BDH("EAF US Equity","CF_CASH_FROM_OPER","1993-06-18","2026-05-02","Per=Y","Days=T","Dir=V")</f>
        <v>0</v>
      </c>
      <c r="AM2">
        <f>BDH("EAF US Equity","CAPITAL_EXPEND","1993-06-18","2026-05-02","Per=Y","Days=T","Dir=V")</f>
        <v>0</v>
      </c>
      <c r="AO2">
        <f>BDH("EAF US Equity","CF_FREE_CASH_FLOW","1993-06-18","2026-05-02","Per=Y","Days=T","Dir=V")</f>
        <v>0</v>
      </c>
      <c r="AQ2">
        <f>BDH("EAF US Equity","PX_LAST","1993-06-18","2026-05-02","Per=M","Days=T","Dir=V")</f>
        <v>0</v>
      </c>
      <c r="AS2">
        <f>BDH("EAF US Equity","CUR_MKT_CAP","1993-06-18","2026-05-02","Per=M","Days=T","Dir=V")</f>
        <v>0</v>
      </c>
      <c r="AU2">
        <f>BDH("EAF US Equity","EQY_SH_OUT","1993-06-18","2026-05-02","Per=M","Days=T","Dir=V")</f>
        <v>0</v>
      </c>
      <c r="AW2">
        <f>BDH("EAF US Equity","PX_VOLUME","1993-06-18","2026-05-02","Per=M","Days=T","Dir=V")</f>
        <v>0</v>
      </c>
      <c r="AY2">
        <f>BDH("EAF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BDH("EAI US Equity","BS_TOT_ASSET","1993-06-18","2026-05-02","Per=Y","Days=T","Dir=V")</f>
        <v>0</v>
      </c>
      <c r="C2">
        <f>BDH("EAI US Equity","BS_TOT_LIAB2","1993-06-18","2026-05-02","Per=Y","Days=T","Dir=V")</f>
        <v>0</v>
      </c>
      <c r="E2">
        <f>BDH("EAI US Equity","SHORT_AND_LONG_TERM_DEBT","1993-06-18","2026-05-02","Per=Y","Days=T","Dir=V")</f>
        <v>0</v>
      </c>
      <c r="G2">
        <f>BDH("EAI US Equity","BS_ST_BORROW","1993-06-18","2026-05-02","Per=Y","Days=T","Dir=V")</f>
        <v>0</v>
      </c>
      <c r="I2">
        <f>BDH("EAI US Equity","BS_LT_BORROW","1993-06-18","2026-05-02","Per=Y","Days=T","Dir=V")</f>
        <v>0</v>
      </c>
      <c r="K2">
        <f>BDH("EAI US Equity","BS_CASH_NEAR_CASH_ITEM","1993-06-18","2026-05-02","Per=Y","Days=T","Dir=V")</f>
        <v>0</v>
      </c>
      <c r="M2">
        <f>BDH("EAI US Equity","BS_CUR_ASSET_REPORT","1993-06-18","2026-05-02","Per=Y","Days=T","Dir=V")</f>
        <v>0</v>
      </c>
      <c r="O2">
        <f>BDH("EAI US Equity","BS_CUR_LIAB","1993-06-18","2026-05-02","Per=Y","Days=T","Dir=V")</f>
        <v>0</v>
      </c>
      <c r="Q2">
        <f>BDH("EAI US Equity","BS_SHAREHOLDER_EQY_ENDING_PERIOD","1993-06-18","2026-05-02","Per=Y","Days=T","Dir=V")</f>
        <v>0</v>
      </c>
      <c r="S2">
        <f>BDH("EAI US Equity","BS_ACCT_NOTE_RCV","1993-06-18","2026-05-02","Per=Y","Days=T","Dir=V")</f>
        <v>0</v>
      </c>
      <c r="U2">
        <f>BDH("EAI US Equity","BS_INVENTORIES","1993-06-18","2026-05-02","Per=Y","Days=T","Dir=V")</f>
        <v>0</v>
      </c>
      <c r="W2">
        <f>BDH("EAI US Equity","WORKING_CAPITAL","1993-06-18","2026-05-02","Per=Y","Days=T","Dir=V")</f>
        <v>0</v>
      </c>
      <c r="Y2">
        <f>BDH("EAI US Equity","SALES_REV_TURN","1993-06-18","2026-05-02","Per=Y","Days=T","Dir=V")</f>
        <v>0</v>
      </c>
      <c r="AA2">
        <f>BDH("EAI US Equity","EBIT","1993-06-18","2026-05-02","Per=Y","Days=T","Dir=V")</f>
        <v>0</v>
      </c>
      <c r="AC2">
        <f>BDH("EAI US Equity","EBITDA","1993-06-18","2026-05-02","Per=Y","Days=T","Dir=V")</f>
        <v>0</v>
      </c>
      <c r="AE2">
        <f>BDH("EAI US Equity","NET_INCOME","1993-06-18","2026-05-02","Per=Y","Days=T","Dir=V")</f>
        <v>0</v>
      </c>
      <c r="AG2">
        <f>BDH("EAI US Equity","IS_INT_EXPENSE","1993-06-18","2026-05-02","Per=Y","Days=T","Dir=V")</f>
        <v>0</v>
      </c>
      <c r="AI2">
        <f>BDH("EAI US Equity","IS_DEPR_EXP","1993-06-18","2026-05-02","Per=Y","Days=T","Dir=V")</f>
        <v>0</v>
      </c>
      <c r="AK2">
        <f>BDH("EAI US Equity","CF_CASH_FROM_OPER","1993-06-18","2026-05-02","Per=Y","Days=T","Dir=V")</f>
        <v>0</v>
      </c>
      <c r="AM2">
        <f>BDH("EAI US Equity","CAPITAL_EXPEND","1993-06-18","2026-05-02","Per=Y","Days=T","Dir=V")</f>
        <v>0</v>
      </c>
      <c r="AO2">
        <f>BDH("EAI US Equity","CF_FREE_CASH_FLOW","1993-06-18","2026-05-02","Per=Y","Days=T","Dir=V")</f>
        <v>0</v>
      </c>
      <c r="AQ2">
        <f>BDH("EAI US Equity","PX_LAST","1993-06-18","2026-05-02","Per=M","Days=T","Dir=V")</f>
        <v>0</v>
      </c>
      <c r="AS2">
        <f>BDH("EAI US Equity","CUR_MKT_CAP","1993-06-18","2026-05-02","Per=M","Days=T","Dir=V")</f>
        <v>0</v>
      </c>
      <c r="AU2">
        <f>BDH("EAI US Equity","EQY_SH_OUT","1993-06-18","2026-05-02","Per=M","Days=T","Dir=V")</f>
        <v>0</v>
      </c>
      <c r="AW2">
        <f>BDH("EAI US Equity","PX_VOLUME","1993-06-18","2026-05-02","Per=M","Days=T","Dir=V")</f>
        <v>0</v>
      </c>
      <c r="AY2">
        <f>BDH("EAI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BDH("EAT US Equity","BS_TOT_ASSET","1993-06-18","2026-05-02","Per=Y","Days=T","Dir=V")</f>
        <v>0</v>
      </c>
      <c r="C2">
        <f>BDH("EAT US Equity","BS_TOT_LIAB2","1993-06-18","2026-05-02","Per=Y","Days=T","Dir=V")</f>
        <v>0</v>
      </c>
      <c r="E2">
        <f>BDH("EAT US Equity","SHORT_AND_LONG_TERM_DEBT","1993-06-18","2026-05-02","Per=Y","Days=T","Dir=V")</f>
        <v>0</v>
      </c>
      <c r="G2">
        <f>BDH("EAT US Equity","BS_ST_BORROW","1993-06-18","2026-05-02","Per=Y","Days=T","Dir=V")</f>
        <v>0</v>
      </c>
      <c r="I2">
        <f>BDH("EAT US Equity","BS_LT_BORROW","1993-06-18","2026-05-02","Per=Y","Days=T","Dir=V")</f>
        <v>0</v>
      </c>
      <c r="K2">
        <f>BDH("EAT US Equity","BS_CASH_NEAR_CASH_ITEM","1993-06-18","2026-05-02","Per=Y","Days=T","Dir=V")</f>
        <v>0</v>
      </c>
      <c r="M2">
        <f>BDH("EAT US Equity","BS_CUR_ASSET_REPORT","1993-06-18","2026-05-02","Per=Y","Days=T","Dir=V")</f>
        <v>0</v>
      </c>
      <c r="O2">
        <f>BDH("EAT US Equity","BS_CUR_LIAB","1993-06-18","2026-05-02","Per=Y","Days=T","Dir=V")</f>
        <v>0</v>
      </c>
      <c r="Q2">
        <f>BDH("EAT US Equity","BS_SHAREHOLDER_EQY_ENDING_PERIOD","1993-06-18","2026-05-02","Per=Y","Days=T","Dir=V")</f>
        <v>0</v>
      </c>
      <c r="S2">
        <f>BDH("EAT US Equity","BS_ACCT_NOTE_RCV","1993-06-18","2026-05-02","Per=Y","Days=T","Dir=V")</f>
        <v>0</v>
      </c>
      <c r="U2">
        <f>BDH("EAT US Equity","BS_INVENTORIES","1993-06-18","2026-05-02","Per=Y","Days=T","Dir=V")</f>
        <v>0</v>
      </c>
      <c r="W2">
        <f>BDH("EAT US Equity","WORKING_CAPITAL","1993-06-18","2026-05-02","Per=Y","Days=T","Dir=V")</f>
        <v>0</v>
      </c>
      <c r="Y2">
        <f>BDH("EAT US Equity","SALES_REV_TURN","1993-06-18","2026-05-02","Per=Y","Days=T","Dir=V")</f>
        <v>0</v>
      </c>
      <c r="AA2">
        <f>BDH("EAT US Equity","EBIT","1993-06-18","2026-05-02","Per=Y","Days=T","Dir=V")</f>
        <v>0</v>
      </c>
      <c r="AC2">
        <f>BDH("EAT US Equity","EBITDA","1993-06-18","2026-05-02","Per=Y","Days=T","Dir=V")</f>
        <v>0</v>
      </c>
      <c r="AE2">
        <f>BDH("EAT US Equity","NET_INCOME","1993-06-18","2026-05-02","Per=Y","Days=T","Dir=V")</f>
        <v>0</v>
      </c>
      <c r="AG2">
        <f>BDH("EAT US Equity","IS_INT_EXPENSE","1993-06-18","2026-05-02","Per=Y","Days=T","Dir=V")</f>
        <v>0</v>
      </c>
      <c r="AI2">
        <f>BDH("EAT US Equity","IS_DEPR_EXP","1993-06-18","2026-05-02","Per=Y","Days=T","Dir=V")</f>
        <v>0</v>
      </c>
      <c r="AK2">
        <f>BDH("EAT US Equity","CF_CASH_FROM_OPER","1993-06-18","2026-05-02","Per=Y","Days=T","Dir=V")</f>
        <v>0</v>
      </c>
      <c r="AM2">
        <f>BDH("EAT US Equity","CAPITAL_EXPEND","1993-06-18","2026-05-02","Per=Y","Days=T","Dir=V")</f>
        <v>0</v>
      </c>
      <c r="AO2">
        <f>BDH("EAT US Equity","CF_FREE_CASH_FLOW","1993-06-18","2026-05-02","Per=Y","Days=T","Dir=V")</f>
        <v>0</v>
      </c>
      <c r="AQ2">
        <f>BDH("EAT US Equity","PX_LAST","1993-06-18","2026-05-02","Per=M","Days=T","Dir=V")</f>
        <v>0</v>
      </c>
      <c r="AS2">
        <f>BDH("EAT US Equity","CUR_MKT_CAP","1993-06-18","2026-05-02","Per=M","Days=T","Dir=V")</f>
        <v>0</v>
      </c>
      <c r="AU2">
        <f>BDH("EAT US Equity","EQY_SH_OUT","1993-06-18","2026-05-02","Per=M","Days=T","Dir=V")</f>
        <v>0</v>
      </c>
      <c r="AW2">
        <f>BDH("EAT US Equity","PX_VOLUME","1993-06-18","2026-05-02","Per=M","Days=T","Dir=V")</f>
        <v>0</v>
      </c>
      <c r="AY2">
        <f>BDH("EAT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BDH("EBAY US Equity","BS_TOT_ASSET","1993-06-18","2026-05-02","Per=Y","Days=T","Dir=V")</f>
        <v>0</v>
      </c>
      <c r="C2">
        <f>BDH("EBAY US Equity","BS_TOT_LIAB2","1993-06-18","2026-05-02","Per=Y","Days=T","Dir=V")</f>
        <v>0</v>
      </c>
      <c r="E2">
        <f>BDH("EBAY US Equity","SHORT_AND_LONG_TERM_DEBT","1993-06-18","2026-05-02","Per=Y","Days=T","Dir=V")</f>
        <v>0</v>
      </c>
      <c r="G2">
        <f>BDH("EBAY US Equity","BS_ST_BORROW","1993-06-18","2026-05-02","Per=Y","Days=T","Dir=V")</f>
        <v>0</v>
      </c>
      <c r="I2">
        <f>BDH("EBAY US Equity","BS_LT_BORROW","1993-06-18","2026-05-02","Per=Y","Days=T","Dir=V")</f>
        <v>0</v>
      </c>
      <c r="K2">
        <f>BDH("EBAY US Equity","BS_CASH_NEAR_CASH_ITEM","1993-06-18","2026-05-02","Per=Y","Days=T","Dir=V")</f>
        <v>0</v>
      </c>
      <c r="M2">
        <f>BDH("EBAY US Equity","BS_CUR_ASSET_REPORT","1993-06-18","2026-05-02","Per=Y","Days=T","Dir=V")</f>
        <v>0</v>
      </c>
      <c r="O2">
        <f>BDH("EBAY US Equity","BS_CUR_LIAB","1993-06-18","2026-05-02","Per=Y","Days=T","Dir=V")</f>
        <v>0</v>
      </c>
      <c r="Q2">
        <f>BDH("EBAY US Equity","BS_SHAREHOLDER_EQY_ENDING_PERIOD","1993-06-18","2026-05-02","Per=Y","Days=T","Dir=V")</f>
        <v>0</v>
      </c>
      <c r="S2">
        <f>BDH("EBAY US Equity","BS_ACCT_NOTE_RCV","1993-06-18","2026-05-02","Per=Y","Days=T","Dir=V")</f>
        <v>0</v>
      </c>
      <c r="U2">
        <f>BDH("EBAY US Equity","BS_INVENTORIES","1993-06-18","2026-05-02","Per=Y","Days=T","Dir=V")</f>
        <v>0</v>
      </c>
      <c r="W2">
        <f>BDH("EBAY US Equity","WORKING_CAPITAL","1993-06-18","2026-05-02","Per=Y","Days=T","Dir=V")</f>
        <v>0</v>
      </c>
      <c r="Y2">
        <f>BDH("EBAY US Equity","SALES_REV_TURN","1993-06-18","2026-05-02","Per=Y","Days=T","Dir=V")</f>
        <v>0</v>
      </c>
      <c r="AA2">
        <f>BDH("EBAY US Equity","EBIT","1993-06-18","2026-05-02","Per=Y","Days=T","Dir=V")</f>
        <v>0</v>
      </c>
      <c r="AC2">
        <f>BDH("EBAY US Equity","EBITDA","1993-06-18","2026-05-02","Per=Y","Days=T","Dir=V")</f>
        <v>0</v>
      </c>
      <c r="AE2">
        <f>BDH("EBAY US Equity","NET_INCOME","1993-06-18","2026-05-02","Per=Y","Days=T","Dir=V")</f>
        <v>0</v>
      </c>
      <c r="AG2">
        <f>BDH("EBAY US Equity","IS_INT_EXPENSE","1993-06-18","2026-05-02","Per=Y","Days=T","Dir=V")</f>
        <v>0</v>
      </c>
      <c r="AI2">
        <f>BDH("EBAY US Equity","IS_DEPR_EXP","1993-06-18","2026-05-02","Per=Y","Days=T","Dir=V")</f>
        <v>0</v>
      </c>
      <c r="AK2">
        <f>BDH("EBAY US Equity","CF_CASH_FROM_OPER","1993-06-18","2026-05-02","Per=Y","Days=T","Dir=V")</f>
        <v>0</v>
      </c>
      <c r="AM2">
        <f>BDH("EBAY US Equity","CAPITAL_EXPEND","1993-06-18","2026-05-02","Per=Y","Days=T","Dir=V")</f>
        <v>0</v>
      </c>
      <c r="AO2">
        <f>BDH("EBAY US Equity","CF_FREE_CASH_FLOW","1993-06-18","2026-05-02","Per=Y","Days=T","Dir=V")</f>
        <v>0</v>
      </c>
      <c r="AQ2">
        <f>BDH("EBAY US Equity","PX_LAST","1993-06-18","2026-05-02","Per=M","Days=T","Dir=V")</f>
        <v>0</v>
      </c>
      <c r="AS2">
        <f>BDH("EBAY US Equity","CUR_MKT_CAP","1993-06-18","2026-05-02","Per=M","Days=T","Dir=V")</f>
        <v>0</v>
      </c>
      <c r="AU2">
        <f>BDH("EBAY US Equity","EQY_SH_OUT","1993-06-18","2026-05-02","Per=M","Days=T","Dir=V")</f>
        <v>0</v>
      </c>
      <c r="AW2">
        <f>BDH("EBAY US Equity","PX_VOLUME","1993-06-18","2026-05-02","Per=M","Days=T","Dir=V")</f>
        <v>0</v>
      </c>
      <c r="AY2">
        <f>BDH("EBAY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BDH("EBF US Equity","BS_TOT_ASSET","1993-06-18","2026-05-02","Per=Y","Days=T","Dir=V")</f>
        <v>0</v>
      </c>
      <c r="C2">
        <f>BDH("EBF US Equity","BS_TOT_LIAB2","1993-06-18","2026-05-02","Per=Y","Days=T","Dir=V")</f>
        <v>0</v>
      </c>
      <c r="E2">
        <f>BDH("EBF US Equity","SHORT_AND_LONG_TERM_DEBT","1993-06-18","2026-05-02","Per=Y","Days=T","Dir=V")</f>
        <v>0</v>
      </c>
      <c r="G2">
        <f>BDH("EBF US Equity","BS_ST_BORROW","1993-06-18","2026-05-02","Per=Y","Days=T","Dir=V")</f>
        <v>0</v>
      </c>
      <c r="I2">
        <f>BDH("EBF US Equity","BS_LT_BORROW","1993-06-18","2026-05-02","Per=Y","Days=T","Dir=V")</f>
        <v>0</v>
      </c>
      <c r="K2">
        <f>BDH("EBF US Equity","BS_CASH_NEAR_CASH_ITEM","1993-06-18","2026-05-02","Per=Y","Days=T","Dir=V")</f>
        <v>0</v>
      </c>
      <c r="M2">
        <f>BDH("EBF US Equity","BS_CUR_ASSET_REPORT","1993-06-18","2026-05-02","Per=Y","Days=T","Dir=V")</f>
        <v>0</v>
      </c>
      <c r="O2">
        <f>BDH("EBF US Equity","BS_CUR_LIAB","1993-06-18","2026-05-02","Per=Y","Days=T","Dir=V")</f>
        <v>0</v>
      </c>
      <c r="Q2">
        <f>BDH("EBF US Equity","BS_SHAREHOLDER_EQY_ENDING_PERIOD","1993-06-18","2026-05-02","Per=Y","Days=T","Dir=V")</f>
        <v>0</v>
      </c>
      <c r="S2">
        <f>BDH("EBF US Equity","BS_ACCT_NOTE_RCV","1993-06-18","2026-05-02","Per=Y","Days=T","Dir=V")</f>
        <v>0</v>
      </c>
      <c r="U2">
        <f>BDH("EBF US Equity","BS_INVENTORIES","1993-06-18","2026-05-02","Per=Y","Days=T","Dir=V")</f>
        <v>0</v>
      </c>
      <c r="W2">
        <f>BDH("EBF US Equity","WORKING_CAPITAL","1993-06-18","2026-05-02","Per=Y","Days=T","Dir=V")</f>
        <v>0</v>
      </c>
      <c r="Y2">
        <f>BDH("EBF US Equity","SALES_REV_TURN","1993-06-18","2026-05-02","Per=Y","Days=T","Dir=V")</f>
        <v>0</v>
      </c>
      <c r="AA2">
        <f>BDH("EBF US Equity","EBIT","1993-06-18","2026-05-02","Per=Y","Days=T","Dir=V")</f>
        <v>0</v>
      </c>
      <c r="AC2">
        <f>BDH("EBF US Equity","EBITDA","1993-06-18","2026-05-02","Per=Y","Days=T","Dir=V")</f>
        <v>0</v>
      </c>
      <c r="AE2">
        <f>BDH("EBF US Equity","NET_INCOME","1993-06-18","2026-05-02","Per=Y","Days=T","Dir=V")</f>
        <v>0</v>
      </c>
      <c r="AG2">
        <f>BDH("EBF US Equity","IS_INT_EXPENSE","1993-06-18","2026-05-02","Per=Y","Days=T","Dir=V")</f>
        <v>0</v>
      </c>
      <c r="AI2">
        <f>BDH("EBF US Equity","IS_DEPR_EXP","1993-06-18","2026-05-02","Per=Y","Days=T","Dir=V")</f>
        <v>0</v>
      </c>
      <c r="AK2">
        <f>BDH("EBF US Equity","CF_CASH_FROM_OPER","1993-06-18","2026-05-02","Per=Y","Days=T","Dir=V")</f>
        <v>0</v>
      </c>
      <c r="AM2">
        <f>BDH("EBF US Equity","CAPITAL_EXPEND","1993-06-18","2026-05-02","Per=Y","Days=T","Dir=V")</f>
        <v>0</v>
      </c>
      <c r="AO2">
        <f>BDH("EBF US Equity","CF_FREE_CASH_FLOW","1993-06-18","2026-05-02","Per=Y","Days=T","Dir=V")</f>
        <v>0</v>
      </c>
      <c r="AQ2">
        <f>BDH("EBF US Equity","PX_LAST","1993-06-18","2026-05-02","Per=M","Days=T","Dir=V")</f>
        <v>0</v>
      </c>
      <c r="AS2">
        <f>BDH("EBF US Equity","CUR_MKT_CAP","1993-06-18","2026-05-02","Per=M","Days=T","Dir=V")</f>
        <v>0</v>
      </c>
      <c r="AU2">
        <f>BDH("EBF US Equity","EQY_SH_OUT","1993-06-18","2026-05-02","Per=M","Days=T","Dir=V")</f>
        <v>0</v>
      </c>
      <c r="AW2">
        <f>BDH("EBF US Equity","PX_VOLUME","1993-06-18","2026-05-02","Per=M","Days=T","Dir=V")</f>
        <v>0</v>
      </c>
      <c r="AY2">
        <f>BDH("EBF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BDH("EBS US Equity","BS_TOT_ASSET","1993-06-18","2026-05-02","Per=Y","Days=T","Dir=V")</f>
        <v>0</v>
      </c>
      <c r="C2">
        <f>BDH("EBS US Equity","BS_TOT_LIAB2","1993-06-18","2026-05-02","Per=Y","Days=T","Dir=V")</f>
        <v>0</v>
      </c>
      <c r="E2">
        <f>BDH("EBS US Equity","SHORT_AND_LONG_TERM_DEBT","1993-06-18","2026-05-02","Per=Y","Days=T","Dir=V")</f>
        <v>0</v>
      </c>
      <c r="G2">
        <f>BDH("EBS US Equity","BS_ST_BORROW","1993-06-18","2026-05-02","Per=Y","Days=T","Dir=V")</f>
        <v>0</v>
      </c>
      <c r="I2">
        <f>BDH("EBS US Equity","BS_LT_BORROW","1993-06-18","2026-05-02","Per=Y","Days=T","Dir=V")</f>
        <v>0</v>
      </c>
      <c r="K2">
        <f>BDH("EBS US Equity","BS_CASH_NEAR_CASH_ITEM","1993-06-18","2026-05-02","Per=Y","Days=T","Dir=V")</f>
        <v>0</v>
      </c>
      <c r="M2">
        <f>BDH("EBS US Equity","BS_CUR_ASSET_REPORT","1993-06-18","2026-05-02","Per=Y","Days=T","Dir=V")</f>
        <v>0</v>
      </c>
      <c r="O2">
        <f>BDH("EBS US Equity","BS_CUR_LIAB","1993-06-18","2026-05-02","Per=Y","Days=T","Dir=V")</f>
        <v>0</v>
      </c>
      <c r="Q2">
        <f>BDH("EBS US Equity","BS_SHAREHOLDER_EQY_ENDING_PERIOD","1993-06-18","2026-05-02","Per=Y","Days=T","Dir=V")</f>
        <v>0</v>
      </c>
      <c r="S2">
        <f>BDH("EBS US Equity","BS_ACCT_NOTE_RCV","1993-06-18","2026-05-02","Per=Y","Days=T","Dir=V")</f>
        <v>0</v>
      </c>
      <c r="U2">
        <f>BDH("EBS US Equity","BS_INVENTORIES","1993-06-18","2026-05-02","Per=Y","Days=T","Dir=V")</f>
        <v>0</v>
      </c>
      <c r="W2">
        <f>BDH("EBS US Equity","WORKING_CAPITAL","1993-06-18","2026-05-02","Per=Y","Days=T","Dir=V")</f>
        <v>0</v>
      </c>
      <c r="Y2">
        <f>BDH("EBS US Equity","SALES_REV_TURN","1993-06-18","2026-05-02","Per=Y","Days=T","Dir=V")</f>
        <v>0</v>
      </c>
      <c r="AA2">
        <f>BDH("EBS US Equity","EBIT","1993-06-18","2026-05-02","Per=Y","Days=T","Dir=V")</f>
        <v>0</v>
      </c>
      <c r="AC2">
        <f>BDH("EBS US Equity","EBITDA","1993-06-18","2026-05-02","Per=Y","Days=T","Dir=V")</f>
        <v>0</v>
      </c>
      <c r="AE2">
        <f>BDH("EBS US Equity","NET_INCOME","1993-06-18","2026-05-02","Per=Y","Days=T","Dir=V")</f>
        <v>0</v>
      </c>
      <c r="AG2">
        <f>BDH("EBS US Equity","IS_INT_EXPENSE","1993-06-18","2026-05-02","Per=Y","Days=T","Dir=V")</f>
        <v>0</v>
      </c>
      <c r="AI2">
        <f>BDH("EBS US Equity","IS_DEPR_EXP","1993-06-18","2026-05-02","Per=Y","Days=T","Dir=V")</f>
        <v>0</v>
      </c>
      <c r="AK2">
        <f>BDH("EBS US Equity","CF_CASH_FROM_OPER","1993-06-18","2026-05-02","Per=Y","Days=T","Dir=V")</f>
        <v>0</v>
      </c>
      <c r="AM2">
        <f>BDH("EBS US Equity","CAPITAL_EXPEND","1993-06-18","2026-05-02","Per=Y","Days=T","Dir=V")</f>
        <v>0</v>
      </c>
      <c r="AO2">
        <f>BDH("EBS US Equity","CF_FREE_CASH_FLOW","1993-06-18","2026-05-02","Per=Y","Days=T","Dir=V")</f>
        <v>0</v>
      </c>
      <c r="AQ2">
        <f>BDH("EBS US Equity","PX_LAST","1993-06-18","2026-05-02","Per=M","Days=T","Dir=V")</f>
        <v>0</v>
      </c>
      <c r="AS2">
        <f>BDH("EBS US Equity","CUR_MKT_CAP","1993-06-18","2026-05-02","Per=M","Days=T","Dir=V")</f>
        <v>0</v>
      </c>
      <c r="AU2">
        <f>BDH("EBS US Equity","EQY_SH_OUT","1993-06-18","2026-05-02","Per=M","Days=T","Dir=V")</f>
        <v>0</v>
      </c>
      <c r="AW2">
        <f>BDH("EBS US Equity","PX_VOLUME","1993-06-18","2026-05-02","Per=M","Days=T","Dir=V")</f>
        <v>0</v>
      </c>
      <c r="AY2">
        <f>BDH("EBS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BDH("ECG US Equity","BS_TOT_ASSET","1993-06-18","2026-05-02","Per=Y","Days=T","Dir=V")</f>
        <v>0</v>
      </c>
      <c r="C2">
        <f>BDH("ECG US Equity","BS_TOT_LIAB2","1993-06-18","2026-05-02","Per=Y","Days=T","Dir=V")</f>
        <v>0</v>
      </c>
      <c r="E2">
        <f>BDH("ECG US Equity","SHORT_AND_LONG_TERM_DEBT","1993-06-18","2026-05-02","Per=Y","Days=T","Dir=V")</f>
        <v>0</v>
      </c>
      <c r="G2">
        <f>BDH("ECG US Equity","BS_ST_BORROW","1993-06-18","2026-05-02","Per=Y","Days=T","Dir=V")</f>
        <v>0</v>
      </c>
      <c r="I2">
        <f>BDH("ECG US Equity","BS_LT_BORROW","1993-06-18","2026-05-02","Per=Y","Days=T","Dir=V")</f>
        <v>0</v>
      </c>
      <c r="K2">
        <f>BDH("ECG US Equity","BS_CASH_NEAR_CASH_ITEM","1993-06-18","2026-05-02","Per=Y","Days=T","Dir=V")</f>
        <v>0</v>
      </c>
      <c r="M2">
        <f>BDH("ECG US Equity","BS_CUR_ASSET_REPORT","1993-06-18","2026-05-02","Per=Y","Days=T","Dir=V")</f>
        <v>0</v>
      </c>
      <c r="O2">
        <f>BDH("ECG US Equity","BS_CUR_LIAB","1993-06-18","2026-05-02","Per=Y","Days=T","Dir=V")</f>
        <v>0</v>
      </c>
      <c r="Q2">
        <f>BDH("ECG US Equity","BS_SHAREHOLDER_EQY_ENDING_PERIOD","1993-06-18","2026-05-02","Per=Y","Days=T","Dir=V")</f>
        <v>0</v>
      </c>
      <c r="S2">
        <f>BDH("ECG US Equity","BS_ACCT_NOTE_RCV","1993-06-18","2026-05-02","Per=Y","Days=T","Dir=V")</f>
        <v>0</v>
      </c>
      <c r="U2">
        <f>BDH("ECG US Equity","BS_INVENTORIES","1993-06-18","2026-05-02","Per=Y","Days=T","Dir=V")</f>
        <v>0</v>
      </c>
      <c r="W2">
        <f>BDH("ECG US Equity","WORKING_CAPITAL","1993-06-18","2026-05-02","Per=Y","Days=T","Dir=V")</f>
        <v>0</v>
      </c>
      <c r="Y2">
        <f>BDH("ECG US Equity","SALES_REV_TURN","1993-06-18","2026-05-02","Per=Y","Days=T","Dir=V")</f>
        <v>0</v>
      </c>
      <c r="AA2">
        <f>BDH("ECG US Equity","EBIT","1993-06-18","2026-05-02","Per=Y","Days=T","Dir=V")</f>
        <v>0</v>
      </c>
      <c r="AC2">
        <f>BDH("ECG US Equity","EBITDA","1993-06-18","2026-05-02","Per=Y","Days=T","Dir=V")</f>
        <v>0</v>
      </c>
      <c r="AE2">
        <f>BDH("ECG US Equity","NET_INCOME","1993-06-18","2026-05-02","Per=Y","Days=T","Dir=V")</f>
        <v>0</v>
      </c>
      <c r="AG2">
        <f>BDH("ECG US Equity","IS_INT_EXPENSE","1993-06-18","2026-05-02","Per=Y","Days=T","Dir=V")</f>
        <v>0</v>
      </c>
      <c r="AI2">
        <f>BDH("ECG US Equity","IS_DEPR_EXP","1993-06-18","2026-05-02","Per=Y","Days=T","Dir=V")</f>
        <v>0</v>
      </c>
      <c r="AK2">
        <f>BDH("ECG US Equity","CF_CASH_FROM_OPER","1993-06-18","2026-05-02","Per=Y","Days=T","Dir=V")</f>
        <v>0</v>
      </c>
      <c r="AM2">
        <f>BDH("ECG US Equity","CAPITAL_EXPEND","1993-06-18","2026-05-02","Per=Y","Days=T","Dir=V")</f>
        <v>0</v>
      </c>
      <c r="AO2">
        <f>BDH("ECG US Equity","CF_FREE_CASH_FLOW","1993-06-18","2026-05-02","Per=Y","Days=T","Dir=V")</f>
        <v>0</v>
      </c>
      <c r="AQ2">
        <f>BDH("ECG US Equity","PX_LAST","1993-06-18","2026-05-02","Per=M","Days=T","Dir=V")</f>
        <v>0</v>
      </c>
      <c r="AS2">
        <f>BDH("ECG US Equity","CUR_MKT_CAP","1993-06-18","2026-05-02","Per=M","Days=T","Dir=V")</f>
        <v>0</v>
      </c>
      <c r="AU2">
        <f>BDH("ECG US Equity","EQY_SH_OUT","1993-06-18","2026-05-02","Per=M","Days=T","Dir=V")</f>
        <v>0</v>
      </c>
      <c r="AW2">
        <f>BDH("ECG US Equity","PX_VOLUME","1993-06-18","2026-05-02","Per=M","Days=T","Dir=V")</f>
        <v>0</v>
      </c>
      <c r="AY2">
        <f>BDH("ECG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BDH("ECHO US Equity","BS_TOT_ASSET","1993-06-18","2026-05-02","Per=Y","Days=T","Dir=V")</f>
        <v>0</v>
      </c>
      <c r="C2">
        <f>BDH("ECHO US Equity","BS_TOT_LIAB2","1993-06-18","2026-05-02","Per=Y","Days=T","Dir=V")</f>
        <v>0</v>
      </c>
      <c r="E2">
        <f>BDH("ECHO US Equity","SHORT_AND_LONG_TERM_DEBT","1993-06-18","2026-05-02","Per=Y","Days=T","Dir=V")</f>
        <v>0</v>
      </c>
      <c r="G2">
        <f>BDH("ECHO US Equity","BS_ST_BORROW","1993-06-18","2026-05-02","Per=Y","Days=T","Dir=V")</f>
        <v>0</v>
      </c>
      <c r="I2">
        <f>BDH("ECHO US Equity","BS_LT_BORROW","1993-06-18","2026-05-02","Per=Y","Days=T","Dir=V")</f>
        <v>0</v>
      </c>
      <c r="K2">
        <f>BDH("ECHO US Equity","BS_CASH_NEAR_CASH_ITEM","1993-06-18","2026-05-02","Per=Y","Days=T","Dir=V")</f>
        <v>0</v>
      </c>
      <c r="M2">
        <f>BDH("ECHO US Equity","BS_CUR_ASSET_REPORT","1993-06-18","2026-05-02","Per=Y","Days=T","Dir=V")</f>
        <v>0</v>
      </c>
      <c r="O2">
        <f>BDH("ECHO US Equity","BS_CUR_LIAB","1993-06-18","2026-05-02","Per=Y","Days=T","Dir=V")</f>
        <v>0</v>
      </c>
      <c r="Q2">
        <f>BDH("ECHO US Equity","BS_SHAREHOLDER_EQY_ENDING_PERIOD","1993-06-18","2026-05-02","Per=Y","Days=T","Dir=V")</f>
        <v>0</v>
      </c>
      <c r="S2">
        <f>BDH("ECHO US Equity","BS_ACCT_NOTE_RCV","1993-06-18","2026-05-02","Per=Y","Days=T","Dir=V")</f>
        <v>0</v>
      </c>
      <c r="U2">
        <f>BDH("ECHO US Equity","BS_INVENTORIES","1993-06-18","2026-05-02","Per=Y","Days=T","Dir=V")</f>
        <v>0</v>
      </c>
      <c r="W2">
        <f>BDH("ECHO US Equity","WORKING_CAPITAL","1993-06-18","2026-05-02","Per=Y","Days=T","Dir=V")</f>
        <v>0</v>
      </c>
      <c r="Y2">
        <f>BDH("ECHO US Equity","SALES_REV_TURN","1993-06-18","2026-05-02","Per=Y","Days=T","Dir=V")</f>
        <v>0</v>
      </c>
      <c r="AA2">
        <f>BDH("ECHO US Equity","EBIT","1993-06-18","2026-05-02","Per=Y","Days=T","Dir=V")</f>
        <v>0</v>
      </c>
      <c r="AC2">
        <f>BDH("ECHO US Equity","EBITDA","1993-06-18","2026-05-02","Per=Y","Days=T","Dir=V")</f>
        <v>0</v>
      </c>
      <c r="AE2">
        <f>BDH("ECHO US Equity","NET_INCOME","1993-06-18","2026-05-02","Per=Y","Days=T","Dir=V")</f>
        <v>0</v>
      </c>
      <c r="AG2">
        <f>BDH("ECHO US Equity","IS_INT_EXPENSE","1993-06-18","2026-05-02","Per=Y","Days=T","Dir=V")</f>
        <v>0</v>
      </c>
      <c r="AI2">
        <f>BDH("ECHO US Equity","IS_DEPR_EXP","1993-06-18","2026-05-02","Per=Y","Days=T","Dir=V")</f>
        <v>0</v>
      </c>
      <c r="AK2">
        <f>BDH("ECHO US Equity","CF_CASH_FROM_OPER","1993-06-18","2026-05-02","Per=Y","Days=T","Dir=V")</f>
        <v>0</v>
      </c>
      <c r="AM2">
        <f>BDH("ECHO US Equity","CAPITAL_EXPEND","1993-06-18","2026-05-02","Per=Y","Days=T","Dir=V")</f>
        <v>0</v>
      </c>
      <c r="AO2">
        <f>BDH("ECHO US Equity","CF_FREE_CASH_FLOW","1993-06-18","2026-05-02","Per=Y","Days=T","Dir=V")</f>
        <v>0</v>
      </c>
      <c r="AQ2">
        <f>BDH("ECHO US Equity","PX_LAST","1993-06-18","2026-05-02","Per=M","Days=T","Dir=V")</f>
        <v>0</v>
      </c>
      <c r="AS2">
        <f>BDH("ECHO US Equity","CUR_MKT_CAP","1993-06-18","2026-05-02","Per=M","Days=T","Dir=V")</f>
        <v>0</v>
      </c>
      <c r="AU2">
        <f>BDH("ECHO US Equity","EQY_SH_OUT","1993-06-18","2026-05-02","Per=M","Days=T","Dir=V")</f>
        <v>0</v>
      </c>
      <c r="AW2">
        <f>BDH("ECHO US Equity","PX_VOLUME","1993-06-18","2026-05-02","Per=M","Days=T","Dir=V")</f>
        <v>0</v>
      </c>
      <c r="AY2">
        <f>BDH("ECHO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BDH("ECL US Equity","BS_TOT_ASSET","1993-06-18","2026-05-02","Per=Y","Days=T","Dir=V")</f>
        <v>0</v>
      </c>
      <c r="C2">
        <f>BDH("ECL US Equity","BS_TOT_LIAB2","1993-06-18","2026-05-02","Per=Y","Days=T","Dir=V")</f>
        <v>0</v>
      </c>
      <c r="E2">
        <f>BDH("ECL US Equity","SHORT_AND_LONG_TERM_DEBT","1993-06-18","2026-05-02","Per=Y","Days=T","Dir=V")</f>
        <v>0</v>
      </c>
      <c r="G2">
        <f>BDH("ECL US Equity","BS_ST_BORROW","1993-06-18","2026-05-02","Per=Y","Days=T","Dir=V")</f>
        <v>0</v>
      </c>
      <c r="I2">
        <f>BDH("ECL US Equity","BS_LT_BORROW","1993-06-18","2026-05-02","Per=Y","Days=T","Dir=V")</f>
        <v>0</v>
      </c>
      <c r="K2">
        <f>BDH("ECL US Equity","BS_CASH_NEAR_CASH_ITEM","1993-06-18","2026-05-02","Per=Y","Days=T","Dir=V")</f>
        <v>0</v>
      </c>
      <c r="M2">
        <f>BDH("ECL US Equity","BS_CUR_ASSET_REPORT","1993-06-18","2026-05-02","Per=Y","Days=T","Dir=V")</f>
        <v>0</v>
      </c>
      <c r="O2">
        <f>BDH("ECL US Equity","BS_CUR_LIAB","1993-06-18","2026-05-02","Per=Y","Days=T","Dir=V")</f>
        <v>0</v>
      </c>
      <c r="Q2">
        <f>BDH("ECL US Equity","BS_SHAREHOLDER_EQY_ENDING_PERIOD","1993-06-18","2026-05-02","Per=Y","Days=T","Dir=V")</f>
        <v>0</v>
      </c>
      <c r="S2">
        <f>BDH("ECL US Equity","BS_ACCT_NOTE_RCV","1993-06-18","2026-05-02","Per=Y","Days=T","Dir=V")</f>
        <v>0</v>
      </c>
      <c r="U2">
        <f>BDH("ECL US Equity","BS_INVENTORIES","1993-06-18","2026-05-02","Per=Y","Days=T","Dir=V")</f>
        <v>0</v>
      </c>
      <c r="W2">
        <f>BDH("ECL US Equity","WORKING_CAPITAL","1993-06-18","2026-05-02","Per=Y","Days=T","Dir=V")</f>
        <v>0</v>
      </c>
      <c r="Y2">
        <f>BDH("ECL US Equity","SALES_REV_TURN","1993-06-18","2026-05-02","Per=Y","Days=T","Dir=V")</f>
        <v>0</v>
      </c>
      <c r="AA2">
        <f>BDH("ECL US Equity","EBIT","1993-06-18","2026-05-02","Per=Y","Days=T","Dir=V")</f>
        <v>0</v>
      </c>
      <c r="AC2">
        <f>BDH("ECL US Equity","EBITDA","1993-06-18","2026-05-02","Per=Y","Days=T","Dir=V")</f>
        <v>0</v>
      </c>
      <c r="AE2">
        <f>BDH("ECL US Equity","NET_INCOME","1993-06-18","2026-05-02","Per=Y","Days=T","Dir=V")</f>
        <v>0</v>
      </c>
      <c r="AG2">
        <f>BDH("ECL US Equity","IS_INT_EXPENSE","1993-06-18","2026-05-02","Per=Y","Days=T","Dir=V")</f>
        <v>0</v>
      </c>
      <c r="AI2">
        <f>BDH("ECL US Equity","IS_DEPR_EXP","1993-06-18","2026-05-02","Per=Y","Days=T","Dir=V")</f>
        <v>0</v>
      </c>
      <c r="AK2">
        <f>BDH("ECL US Equity","CF_CASH_FROM_OPER","1993-06-18","2026-05-02","Per=Y","Days=T","Dir=V")</f>
        <v>0</v>
      </c>
      <c r="AM2">
        <f>BDH("ECL US Equity","CAPITAL_EXPEND","1993-06-18","2026-05-02","Per=Y","Days=T","Dir=V")</f>
        <v>0</v>
      </c>
      <c r="AO2">
        <f>BDH("ECL US Equity","CF_FREE_CASH_FLOW","1993-06-18","2026-05-02","Per=Y","Days=T","Dir=V")</f>
        <v>0</v>
      </c>
      <c r="AQ2">
        <f>BDH("ECL US Equity","PX_LAST","1993-06-18","2026-05-02","Per=M","Days=T","Dir=V")</f>
        <v>0</v>
      </c>
      <c r="AS2">
        <f>BDH("ECL US Equity","CUR_MKT_CAP","1993-06-18","2026-05-02","Per=M","Days=T","Dir=V")</f>
        <v>0</v>
      </c>
      <c r="AU2">
        <f>BDH("ECL US Equity","EQY_SH_OUT","1993-06-18","2026-05-02","Per=M","Days=T","Dir=V")</f>
        <v>0</v>
      </c>
      <c r="AW2">
        <f>BDH("ECL US Equity","PX_VOLUME","1993-06-18","2026-05-02","Per=M","Days=T","Dir=V")</f>
        <v>0</v>
      </c>
      <c r="AY2">
        <f>BDH("ECL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BDH("ECOR US Equity","BS_TOT_ASSET","1993-06-18","2026-05-02","Per=Y","Days=T","Dir=V")</f>
        <v>0</v>
      </c>
      <c r="C2">
        <f>BDH("ECOR US Equity","BS_TOT_LIAB2","1993-06-18","2026-05-02","Per=Y","Days=T","Dir=V")</f>
        <v>0</v>
      </c>
      <c r="E2">
        <f>BDH("ECOR US Equity","SHORT_AND_LONG_TERM_DEBT","1993-06-18","2026-05-02","Per=Y","Days=T","Dir=V")</f>
        <v>0</v>
      </c>
      <c r="G2">
        <f>BDH("ECOR US Equity","BS_ST_BORROW","1993-06-18","2026-05-02","Per=Y","Days=T","Dir=V")</f>
        <v>0</v>
      </c>
      <c r="I2">
        <f>BDH("ECOR US Equity","BS_LT_BORROW","1993-06-18","2026-05-02","Per=Y","Days=T","Dir=V")</f>
        <v>0</v>
      </c>
      <c r="K2">
        <f>BDH("ECOR US Equity","BS_CASH_NEAR_CASH_ITEM","1993-06-18","2026-05-02","Per=Y","Days=T","Dir=V")</f>
        <v>0</v>
      </c>
      <c r="M2">
        <f>BDH("ECOR US Equity","BS_CUR_ASSET_REPORT","1993-06-18","2026-05-02","Per=Y","Days=T","Dir=V")</f>
        <v>0</v>
      </c>
      <c r="O2">
        <f>BDH("ECOR US Equity","BS_CUR_LIAB","1993-06-18","2026-05-02","Per=Y","Days=T","Dir=V")</f>
        <v>0</v>
      </c>
      <c r="Q2">
        <f>BDH("ECOR US Equity","BS_SHAREHOLDER_EQY_ENDING_PERIOD","1993-06-18","2026-05-02","Per=Y","Days=T","Dir=V")</f>
        <v>0</v>
      </c>
      <c r="S2">
        <f>BDH("ECOR US Equity","BS_ACCT_NOTE_RCV","1993-06-18","2026-05-02","Per=Y","Days=T","Dir=V")</f>
        <v>0</v>
      </c>
      <c r="U2">
        <f>BDH("ECOR US Equity","BS_INVENTORIES","1993-06-18","2026-05-02","Per=Y","Days=T","Dir=V")</f>
        <v>0</v>
      </c>
      <c r="W2">
        <f>BDH("ECOR US Equity","WORKING_CAPITAL","1993-06-18","2026-05-02","Per=Y","Days=T","Dir=V")</f>
        <v>0</v>
      </c>
      <c r="Y2">
        <f>BDH("ECOR US Equity","SALES_REV_TURN","1993-06-18","2026-05-02","Per=Y","Days=T","Dir=V")</f>
        <v>0</v>
      </c>
      <c r="AA2">
        <f>BDH("ECOR US Equity","EBIT","1993-06-18","2026-05-02","Per=Y","Days=T","Dir=V")</f>
        <v>0</v>
      </c>
      <c r="AC2">
        <f>BDH("ECOR US Equity","EBITDA","1993-06-18","2026-05-02","Per=Y","Days=T","Dir=V")</f>
        <v>0</v>
      </c>
      <c r="AE2">
        <f>BDH("ECOR US Equity","NET_INCOME","1993-06-18","2026-05-02","Per=Y","Days=T","Dir=V")</f>
        <v>0</v>
      </c>
      <c r="AG2">
        <f>BDH("ECOR US Equity","IS_INT_EXPENSE","1993-06-18","2026-05-02","Per=Y","Days=T","Dir=V")</f>
        <v>0</v>
      </c>
      <c r="AI2">
        <f>BDH("ECOR US Equity","IS_DEPR_EXP","1993-06-18","2026-05-02","Per=Y","Days=T","Dir=V")</f>
        <v>0</v>
      </c>
      <c r="AK2">
        <f>BDH("ECOR US Equity","CF_CASH_FROM_OPER","1993-06-18","2026-05-02","Per=Y","Days=T","Dir=V")</f>
        <v>0</v>
      </c>
      <c r="AM2">
        <f>BDH("ECOR US Equity","CAPITAL_EXPEND","1993-06-18","2026-05-02","Per=Y","Days=T","Dir=V")</f>
        <v>0</v>
      </c>
      <c r="AO2">
        <f>BDH("ECOR US Equity","CF_FREE_CASH_FLOW","1993-06-18","2026-05-02","Per=Y","Days=T","Dir=V")</f>
        <v>0</v>
      </c>
      <c r="AQ2">
        <f>BDH("ECOR US Equity","PX_LAST","1993-06-18","2026-05-02","Per=M","Days=T","Dir=V")</f>
        <v>0</v>
      </c>
      <c r="AS2">
        <f>BDH("ECOR US Equity","CUR_MKT_CAP","1993-06-18","2026-05-02","Per=M","Days=T","Dir=V")</f>
        <v>0</v>
      </c>
      <c r="AU2">
        <f>BDH("ECOR US Equity","EQY_SH_OUT","1993-06-18","2026-05-02","Per=M","Days=T","Dir=V")</f>
        <v>0</v>
      </c>
      <c r="AW2">
        <f>BDH("ECOR US Equity","PX_VOLUME","1993-06-18","2026-05-02","Per=M","Days=T","Dir=V")</f>
        <v>0</v>
      </c>
      <c r="AY2">
        <f>BDH("ECOR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BDH("ECVT US Equity","BS_TOT_ASSET","1993-06-18","2026-05-02","Per=Y","Days=T","Dir=V")</f>
        <v>0</v>
      </c>
      <c r="C2">
        <f>BDH("ECVT US Equity","BS_TOT_LIAB2","1993-06-18","2026-05-02","Per=Y","Days=T","Dir=V")</f>
        <v>0</v>
      </c>
      <c r="E2">
        <f>BDH("ECVT US Equity","SHORT_AND_LONG_TERM_DEBT","1993-06-18","2026-05-02","Per=Y","Days=T","Dir=V")</f>
        <v>0</v>
      </c>
      <c r="G2">
        <f>BDH("ECVT US Equity","BS_ST_BORROW","1993-06-18","2026-05-02","Per=Y","Days=T","Dir=V")</f>
        <v>0</v>
      </c>
      <c r="I2">
        <f>BDH("ECVT US Equity","BS_LT_BORROW","1993-06-18","2026-05-02","Per=Y","Days=T","Dir=V")</f>
        <v>0</v>
      </c>
      <c r="K2">
        <f>BDH("ECVT US Equity","BS_CASH_NEAR_CASH_ITEM","1993-06-18","2026-05-02","Per=Y","Days=T","Dir=V")</f>
        <v>0</v>
      </c>
      <c r="M2">
        <f>BDH("ECVT US Equity","BS_CUR_ASSET_REPORT","1993-06-18","2026-05-02","Per=Y","Days=T","Dir=V")</f>
        <v>0</v>
      </c>
      <c r="O2">
        <f>BDH("ECVT US Equity","BS_CUR_LIAB","1993-06-18","2026-05-02","Per=Y","Days=T","Dir=V")</f>
        <v>0</v>
      </c>
      <c r="Q2">
        <f>BDH("ECVT US Equity","BS_SHAREHOLDER_EQY_ENDING_PERIOD","1993-06-18","2026-05-02","Per=Y","Days=T","Dir=V")</f>
        <v>0</v>
      </c>
      <c r="S2">
        <f>BDH("ECVT US Equity","BS_ACCT_NOTE_RCV","1993-06-18","2026-05-02","Per=Y","Days=T","Dir=V")</f>
        <v>0</v>
      </c>
      <c r="U2">
        <f>BDH("ECVT US Equity","BS_INVENTORIES","1993-06-18","2026-05-02","Per=Y","Days=T","Dir=V")</f>
        <v>0</v>
      </c>
      <c r="W2">
        <f>BDH("ECVT US Equity","WORKING_CAPITAL","1993-06-18","2026-05-02","Per=Y","Days=T","Dir=V")</f>
        <v>0</v>
      </c>
      <c r="Y2">
        <f>BDH("ECVT US Equity","SALES_REV_TURN","1993-06-18","2026-05-02","Per=Y","Days=T","Dir=V")</f>
        <v>0</v>
      </c>
      <c r="AA2">
        <f>BDH("ECVT US Equity","EBIT","1993-06-18","2026-05-02","Per=Y","Days=T","Dir=V")</f>
        <v>0</v>
      </c>
      <c r="AC2">
        <f>BDH("ECVT US Equity","EBITDA","1993-06-18","2026-05-02","Per=Y","Days=T","Dir=V")</f>
        <v>0</v>
      </c>
      <c r="AE2">
        <f>BDH("ECVT US Equity","NET_INCOME","1993-06-18","2026-05-02","Per=Y","Days=T","Dir=V")</f>
        <v>0</v>
      </c>
      <c r="AG2">
        <f>BDH("ECVT US Equity","IS_INT_EXPENSE","1993-06-18","2026-05-02","Per=Y","Days=T","Dir=V")</f>
        <v>0</v>
      </c>
      <c r="AI2">
        <f>BDH("ECVT US Equity","IS_DEPR_EXP","1993-06-18","2026-05-02","Per=Y","Days=T","Dir=V")</f>
        <v>0</v>
      </c>
      <c r="AK2">
        <f>BDH("ECVT US Equity","CF_CASH_FROM_OPER","1993-06-18","2026-05-02","Per=Y","Days=T","Dir=V")</f>
        <v>0</v>
      </c>
      <c r="AM2">
        <f>BDH("ECVT US Equity","CAPITAL_EXPEND","1993-06-18","2026-05-02","Per=Y","Days=T","Dir=V")</f>
        <v>0</v>
      </c>
      <c r="AO2">
        <f>BDH("ECVT US Equity","CF_FREE_CASH_FLOW","1993-06-18","2026-05-02","Per=Y","Days=T","Dir=V")</f>
        <v>0</v>
      </c>
      <c r="AQ2">
        <f>BDH("ECVT US Equity","PX_LAST","1993-06-18","2026-05-02","Per=M","Days=T","Dir=V")</f>
        <v>0</v>
      </c>
      <c r="AS2">
        <f>BDH("ECVT US Equity","CUR_MKT_CAP","1993-06-18","2026-05-02","Per=M","Days=T","Dir=V")</f>
        <v>0</v>
      </c>
      <c r="AU2">
        <f>BDH("ECVT US Equity","EQY_SH_OUT","1993-06-18","2026-05-02","Per=M","Days=T","Dir=V")</f>
        <v>0</v>
      </c>
      <c r="AW2">
        <f>BDH("ECVT US Equity","PX_VOLUME","1993-06-18","2026-05-02","Per=M","Days=T","Dir=V")</f>
        <v>0</v>
      </c>
      <c r="AY2">
        <f>BDH("ECVT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BDH("ED US Equity","BS_TOT_ASSET","1993-06-18","2026-05-02","Per=Y","Days=T","Dir=V")</f>
        <v>0</v>
      </c>
      <c r="C2">
        <f>BDH("ED US Equity","BS_TOT_LIAB2","1993-06-18","2026-05-02","Per=Y","Days=T","Dir=V")</f>
        <v>0</v>
      </c>
      <c r="E2">
        <f>BDH("ED US Equity","SHORT_AND_LONG_TERM_DEBT","1993-06-18","2026-05-02","Per=Y","Days=T","Dir=V")</f>
        <v>0</v>
      </c>
      <c r="G2">
        <f>BDH("ED US Equity","BS_ST_BORROW","1993-06-18","2026-05-02","Per=Y","Days=T","Dir=V")</f>
        <v>0</v>
      </c>
      <c r="I2">
        <f>BDH("ED US Equity","BS_LT_BORROW","1993-06-18","2026-05-02","Per=Y","Days=T","Dir=V")</f>
        <v>0</v>
      </c>
      <c r="K2">
        <f>BDH("ED US Equity","BS_CASH_NEAR_CASH_ITEM","1993-06-18","2026-05-02","Per=Y","Days=T","Dir=V")</f>
        <v>0</v>
      </c>
      <c r="M2">
        <f>BDH("ED US Equity","BS_CUR_ASSET_REPORT","1993-06-18","2026-05-02","Per=Y","Days=T","Dir=V")</f>
        <v>0</v>
      </c>
      <c r="O2">
        <f>BDH("ED US Equity","BS_CUR_LIAB","1993-06-18","2026-05-02","Per=Y","Days=T","Dir=V")</f>
        <v>0</v>
      </c>
      <c r="Q2">
        <f>BDH("ED US Equity","BS_SHAREHOLDER_EQY_ENDING_PERIOD","1993-06-18","2026-05-02","Per=Y","Days=T","Dir=V")</f>
        <v>0</v>
      </c>
      <c r="S2">
        <f>BDH("ED US Equity","BS_ACCT_NOTE_RCV","1993-06-18","2026-05-02","Per=Y","Days=T","Dir=V")</f>
        <v>0</v>
      </c>
      <c r="U2">
        <f>BDH("ED US Equity","BS_INVENTORIES","1993-06-18","2026-05-02","Per=Y","Days=T","Dir=V")</f>
        <v>0</v>
      </c>
      <c r="W2">
        <f>BDH("ED US Equity","WORKING_CAPITAL","1993-06-18","2026-05-02","Per=Y","Days=T","Dir=V")</f>
        <v>0</v>
      </c>
      <c r="Y2">
        <f>BDH("ED US Equity","SALES_REV_TURN","1993-06-18","2026-05-02","Per=Y","Days=T","Dir=V")</f>
        <v>0</v>
      </c>
      <c r="AA2">
        <f>BDH("ED US Equity","EBIT","1993-06-18","2026-05-02","Per=Y","Days=T","Dir=V")</f>
        <v>0</v>
      </c>
      <c r="AC2">
        <f>BDH("ED US Equity","EBITDA","1993-06-18","2026-05-02","Per=Y","Days=T","Dir=V")</f>
        <v>0</v>
      </c>
      <c r="AE2">
        <f>BDH("ED US Equity","NET_INCOME","1993-06-18","2026-05-02","Per=Y","Days=T","Dir=V")</f>
        <v>0</v>
      </c>
      <c r="AG2">
        <f>BDH("ED US Equity","IS_INT_EXPENSE","1993-06-18","2026-05-02","Per=Y","Days=T","Dir=V")</f>
        <v>0</v>
      </c>
      <c r="AI2">
        <f>BDH("ED US Equity","IS_DEPR_EXP","1993-06-18","2026-05-02","Per=Y","Days=T","Dir=V")</f>
        <v>0</v>
      </c>
      <c r="AK2">
        <f>BDH("ED US Equity","CF_CASH_FROM_OPER","1993-06-18","2026-05-02","Per=Y","Days=T","Dir=V")</f>
        <v>0</v>
      </c>
      <c r="AM2">
        <f>BDH("ED US Equity","CAPITAL_EXPEND","1993-06-18","2026-05-02","Per=Y","Days=T","Dir=V")</f>
        <v>0</v>
      </c>
      <c r="AO2">
        <f>BDH("ED US Equity","CF_FREE_CASH_FLOW","1993-06-18","2026-05-02","Per=Y","Days=T","Dir=V")</f>
        <v>0</v>
      </c>
      <c r="AQ2">
        <f>BDH("ED US Equity","PX_LAST","1993-06-18","2026-05-02","Per=M","Days=T","Dir=V")</f>
        <v>0</v>
      </c>
      <c r="AS2">
        <f>BDH("ED US Equity","CUR_MKT_CAP","1993-06-18","2026-05-02","Per=M","Days=T","Dir=V")</f>
        <v>0</v>
      </c>
      <c r="AU2">
        <f>BDH("ED US Equity","EQY_SH_OUT","1993-06-18","2026-05-02","Per=M","Days=T","Dir=V")</f>
        <v>0</v>
      </c>
      <c r="AW2">
        <f>BDH("ED US Equity","PX_VOLUME","1993-06-18","2026-05-02","Per=M","Days=T","Dir=V")</f>
        <v>0</v>
      </c>
      <c r="AY2">
        <f>BDH("ED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BDH("EDBL US Equity","BS_TOT_ASSET","1993-06-18","2026-05-02","Per=Y","Days=T","Dir=V")</f>
        <v>0</v>
      </c>
      <c r="C2">
        <f>BDH("EDBL US Equity","BS_TOT_LIAB2","1993-06-18","2026-05-02","Per=Y","Days=T","Dir=V")</f>
        <v>0</v>
      </c>
      <c r="E2">
        <f>BDH("EDBL US Equity","SHORT_AND_LONG_TERM_DEBT","1993-06-18","2026-05-02","Per=Y","Days=T","Dir=V")</f>
        <v>0</v>
      </c>
      <c r="G2">
        <f>BDH("EDBL US Equity","BS_ST_BORROW","1993-06-18","2026-05-02","Per=Y","Days=T","Dir=V")</f>
        <v>0</v>
      </c>
      <c r="I2">
        <f>BDH("EDBL US Equity","BS_LT_BORROW","1993-06-18","2026-05-02","Per=Y","Days=T","Dir=V")</f>
        <v>0</v>
      </c>
      <c r="K2">
        <f>BDH("EDBL US Equity","BS_CASH_NEAR_CASH_ITEM","1993-06-18","2026-05-02","Per=Y","Days=T","Dir=V")</f>
        <v>0</v>
      </c>
      <c r="M2">
        <f>BDH("EDBL US Equity","BS_CUR_ASSET_REPORT","1993-06-18","2026-05-02","Per=Y","Days=T","Dir=V")</f>
        <v>0</v>
      </c>
      <c r="O2">
        <f>BDH("EDBL US Equity","BS_CUR_LIAB","1993-06-18","2026-05-02","Per=Y","Days=T","Dir=V")</f>
        <v>0</v>
      </c>
      <c r="Q2">
        <f>BDH("EDBL US Equity","BS_SHAREHOLDER_EQY_ENDING_PERIOD","1993-06-18","2026-05-02","Per=Y","Days=T","Dir=V")</f>
        <v>0</v>
      </c>
      <c r="S2">
        <f>BDH("EDBL US Equity","BS_ACCT_NOTE_RCV","1993-06-18","2026-05-02","Per=Y","Days=T","Dir=V")</f>
        <v>0</v>
      </c>
      <c r="U2">
        <f>BDH("EDBL US Equity","BS_INVENTORIES","1993-06-18","2026-05-02","Per=Y","Days=T","Dir=V")</f>
        <v>0</v>
      </c>
      <c r="W2">
        <f>BDH("EDBL US Equity","WORKING_CAPITAL","1993-06-18","2026-05-02","Per=Y","Days=T","Dir=V")</f>
        <v>0</v>
      </c>
      <c r="Y2">
        <f>BDH("EDBL US Equity","SALES_REV_TURN","1993-06-18","2026-05-02","Per=Y","Days=T","Dir=V")</f>
        <v>0</v>
      </c>
      <c r="AA2">
        <f>BDH("EDBL US Equity","EBIT","1993-06-18","2026-05-02","Per=Y","Days=T","Dir=V")</f>
        <v>0</v>
      </c>
      <c r="AC2">
        <f>BDH("EDBL US Equity","EBITDA","1993-06-18","2026-05-02","Per=Y","Days=T","Dir=V")</f>
        <v>0</v>
      </c>
      <c r="AE2">
        <f>BDH("EDBL US Equity","NET_INCOME","1993-06-18","2026-05-02","Per=Y","Days=T","Dir=V")</f>
        <v>0</v>
      </c>
      <c r="AG2">
        <f>BDH("EDBL US Equity","IS_INT_EXPENSE","1993-06-18","2026-05-02","Per=Y","Days=T","Dir=V")</f>
        <v>0</v>
      </c>
      <c r="AI2">
        <f>BDH("EDBL US Equity","IS_DEPR_EXP","1993-06-18","2026-05-02","Per=Y","Days=T","Dir=V")</f>
        <v>0</v>
      </c>
      <c r="AK2">
        <f>BDH("EDBL US Equity","CF_CASH_FROM_OPER","1993-06-18","2026-05-02","Per=Y","Days=T","Dir=V")</f>
        <v>0</v>
      </c>
      <c r="AM2">
        <f>BDH("EDBL US Equity","CAPITAL_EXPEND","1993-06-18","2026-05-02","Per=Y","Days=T","Dir=V")</f>
        <v>0</v>
      </c>
      <c r="AO2">
        <f>BDH("EDBL US Equity","CF_FREE_CASH_FLOW","1993-06-18","2026-05-02","Per=Y","Days=T","Dir=V")</f>
        <v>0</v>
      </c>
      <c r="AQ2">
        <f>BDH("EDBL US Equity","PX_LAST","1993-06-18","2026-05-02","Per=M","Days=T","Dir=V")</f>
        <v>0</v>
      </c>
      <c r="AS2">
        <f>BDH("EDBL US Equity","CUR_MKT_CAP","1993-06-18","2026-05-02","Per=M","Days=T","Dir=V")</f>
        <v>0</v>
      </c>
      <c r="AU2">
        <f>BDH("EDBL US Equity","EQY_SH_OUT","1993-06-18","2026-05-02","Per=M","Days=T","Dir=V")</f>
        <v>0</v>
      </c>
      <c r="AW2">
        <f>BDH("EDBL US Equity","PX_VOLUME","1993-06-18","2026-05-02","Per=M","Days=T","Dir=V")</f>
        <v>0</v>
      </c>
      <c r="AY2">
        <f>BDH("EDBL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BDH("EDIT US Equity","BS_TOT_ASSET","1993-06-18","2026-05-02","Per=Y","Days=T","Dir=V")</f>
        <v>0</v>
      </c>
      <c r="C2">
        <f>BDH("EDIT US Equity","BS_TOT_LIAB2","1993-06-18","2026-05-02","Per=Y","Days=T","Dir=V")</f>
        <v>0</v>
      </c>
      <c r="E2">
        <f>BDH("EDIT US Equity","SHORT_AND_LONG_TERM_DEBT","1993-06-18","2026-05-02","Per=Y","Days=T","Dir=V")</f>
        <v>0</v>
      </c>
      <c r="G2">
        <f>BDH("EDIT US Equity","BS_ST_BORROW","1993-06-18","2026-05-02","Per=Y","Days=T","Dir=V")</f>
        <v>0</v>
      </c>
      <c r="I2">
        <f>BDH("EDIT US Equity","BS_LT_BORROW","1993-06-18","2026-05-02","Per=Y","Days=T","Dir=V")</f>
        <v>0</v>
      </c>
      <c r="K2">
        <f>BDH("EDIT US Equity","BS_CASH_NEAR_CASH_ITEM","1993-06-18","2026-05-02","Per=Y","Days=T","Dir=V")</f>
        <v>0</v>
      </c>
      <c r="M2">
        <f>BDH("EDIT US Equity","BS_CUR_ASSET_REPORT","1993-06-18","2026-05-02","Per=Y","Days=T","Dir=V")</f>
        <v>0</v>
      </c>
      <c r="O2">
        <f>BDH("EDIT US Equity","BS_CUR_LIAB","1993-06-18","2026-05-02","Per=Y","Days=T","Dir=V")</f>
        <v>0</v>
      </c>
      <c r="Q2">
        <f>BDH("EDIT US Equity","BS_SHAREHOLDER_EQY_ENDING_PERIOD","1993-06-18","2026-05-02","Per=Y","Days=T","Dir=V")</f>
        <v>0</v>
      </c>
      <c r="S2">
        <f>BDH("EDIT US Equity","BS_ACCT_NOTE_RCV","1993-06-18","2026-05-02","Per=Y","Days=T","Dir=V")</f>
        <v>0</v>
      </c>
      <c r="U2">
        <f>BDH("EDIT US Equity","BS_INVENTORIES","1993-06-18","2026-05-02","Per=Y","Days=T","Dir=V")</f>
        <v>0</v>
      </c>
      <c r="W2">
        <f>BDH("EDIT US Equity","WORKING_CAPITAL","1993-06-18","2026-05-02","Per=Y","Days=T","Dir=V")</f>
        <v>0</v>
      </c>
      <c r="Y2">
        <f>BDH("EDIT US Equity","SALES_REV_TURN","1993-06-18","2026-05-02","Per=Y","Days=T","Dir=V")</f>
        <v>0</v>
      </c>
      <c r="AA2">
        <f>BDH("EDIT US Equity","EBIT","1993-06-18","2026-05-02","Per=Y","Days=T","Dir=V")</f>
        <v>0</v>
      </c>
      <c r="AC2">
        <f>BDH("EDIT US Equity","EBITDA","1993-06-18","2026-05-02","Per=Y","Days=T","Dir=V")</f>
        <v>0</v>
      </c>
      <c r="AE2">
        <f>BDH("EDIT US Equity","NET_INCOME","1993-06-18","2026-05-02","Per=Y","Days=T","Dir=V")</f>
        <v>0</v>
      </c>
      <c r="AG2">
        <f>BDH("EDIT US Equity","IS_INT_EXPENSE","1993-06-18","2026-05-02","Per=Y","Days=T","Dir=V")</f>
        <v>0</v>
      </c>
      <c r="AI2">
        <f>BDH("EDIT US Equity","IS_DEPR_EXP","1993-06-18","2026-05-02","Per=Y","Days=T","Dir=V")</f>
        <v>0</v>
      </c>
      <c r="AK2">
        <f>BDH("EDIT US Equity","CF_CASH_FROM_OPER","1993-06-18","2026-05-02","Per=Y","Days=T","Dir=V")</f>
        <v>0</v>
      </c>
      <c r="AM2">
        <f>BDH("EDIT US Equity","CAPITAL_EXPEND","1993-06-18","2026-05-02","Per=Y","Days=T","Dir=V")</f>
        <v>0</v>
      </c>
      <c r="AO2">
        <f>BDH("EDIT US Equity","CF_FREE_CASH_FLOW","1993-06-18","2026-05-02","Per=Y","Days=T","Dir=V")</f>
        <v>0</v>
      </c>
      <c r="AQ2">
        <f>BDH("EDIT US Equity","PX_LAST","1993-06-18","2026-05-02","Per=M","Days=T","Dir=V")</f>
        <v>0</v>
      </c>
      <c r="AS2">
        <f>BDH("EDIT US Equity","CUR_MKT_CAP","1993-06-18","2026-05-02","Per=M","Days=T","Dir=V")</f>
        <v>0</v>
      </c>
      <c r="AU2">
        <f>BDH("EDIT US Equity","EQY_SH_OUT","1993-06-18","2026-05-02","Per=M","Days=T","Dir=V")</f>
        <v>0</v>
      </c>
      <c r="AW2">
        <f>BDH("EDIT US Equity","PX_VOLUME","1993-06-18","2026-05-02","Per=M","Days=T","Dir=V")</f>
        <v>0</v>
      </c>
      <c r="AY2">
        <f>BDH("EDIT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BDH("EDSA US Equity","BS_TOT_ASSET","1993-06-18","2026-05-02","Per=Y","Days=T","Dir=V")</f>
        <v>0</v>
      </c>
      <c r="C2">
        <f>BDH("EDSA US Equity","BS_TOT_LIAB2","1993-06-18","2026-05-02","Per=Y","Days=T","Dir=V")</f>
        <v>0</v>
      </c>
      <c r="E2">
        <f>BDH("EDSA US Equity","SHORT_AND_LONG_TERM_DEBT","1993-06-18","2026-05-02","Per=Y","Days=T","Dir=V")</f>
        <v>0</v>
      </c>
      <c r="G2">
        <f>BDH("EDSA US Equity","BS_ST_BORROW","1993-06-18","2026-05-02","Per=Y","Days=T","Dir=V")</f>
        <v>0</v>
      </c>
      <c r="I2">
        <f>BDH("EDSA US Equity","BS_LT_BORROW","1993-06-18","2026-05-02","Per=Y","Days=T","Dir=V")</f>
        <v>0</v>
      </c>
      <c r="K2">
        <f>BDH("EDSA US Equity","BS_CASH_NEAR_CASH_ITEM","1993-06-18","2026-05-02","Per=Y","Days=T","Dir=V")</f>
        <v>0</v>
      </c>
      <c r="M2">
        <f>BDH("EDSA US Equity","BS_CUR_ASSET_REPORT","1993-06-18","2026-05-02","Per=Y","Days=T","Dir=V")</f>
        <v>0</v>
      </c>
      <c r="O2">
        <f>BDH("EDSA US Equity","BS_CUR_LIAB","1993-06-18","2026-05-02","Per=Y","Days=T","Dir=V")</f>
        <v>0</v>
      </c>
      <c r="Q2">
        <f>BDH("EDSA US Equity","BS_SHAREHOLDER_EQY_ENDING_PERIOD","1993-06-18","2026-05-02","Per=Y","Days=T","Dir=V")</f>
        <v>0</v>
      </c>
      <c r="S2">
        <f>BDH("EDSA US Equity","BS_ACCT_NOTE_RCV","1993-06-18","2026-05-02","Per=Y","Days=T","Dir=V")</f>
        <v>0</v>
      </c>
      <c r="U2">
        <f>BDH("EDSA US Equity","BS_INVENTORIES","1993-06-18","2026-05-02","Per=Y","Days=T","Dir=V")</f>
        <v>0</v>
      </c>
      <c r="W2">
        <f>BDH("EDSA US Equity","WORKING_CAPITAL","1993-06-18","2026-05-02","Per=Y","Days=T","Dir=V")</f>
        <v>0</v>
      </c>
      <c r="Y2">
        <f>BDH("EDSA US Equity","SALES_REV_TURN","1993-06-18","2026-05-02","Per=Y","Days=T","Dir=V")</f>
        <v>0</v>
      </c>
      <c r="AA2">
        <f>BDH("EDSA US Equity","EBIT","1993-06-18","2026-05-02","Per=Y","Days=T","Dir=V")</f>
        <v>0</v>
      </c>
      <c r="AC2">
        <f>BDH("EDSA US Equity","EBITDA","1993-06-18","2026-05-02","Per=Y","Days=T","Dir=V")</f>
        <v>0</v>
      </c>
      <c r="AE2">
        <f>BDH("EDSA US Equity","NET_INCOME","1993-06-18","2026-05-02","Per=Y","Days=T","Dir=V")</f>
        <v>0</v>
      </c>
      <c r="AG2">
        <f>BDH("EDSA US Equity","IS_INT_EXPENSE","1993-06-18","2026-05-02","Per=Y","Days=T","Dir=V")</f>
        <v>0</v>
      </c>
      <c r="AI2">
        <f>BDH("EDSA US Equity","IS_DEPR_EXP","1993-06-18","2026-05-02","Per=Y","Days=T","Dir=V")</f>
        <v>0</v>
      </c>
      <c r="AK2">
        <f>BDH("EDSA US Equity","CF_CASH_FROM_OPER","1993-06-18","2026-05-02","Per=Y","Days=T","Dir=V")</f>
        <v>0</v>
      </c>
      <c r="AM2">
        <f>BDH("EDSA US Equity","CAPITAL_EXPEND","1993-06-18","2026-05-02","Per=Y","Days=T","Dir=V")</f>
        <v>0</v>
      </c>
      <c r="AO2">
        <f>BDH("EDSA US Equity","CF_FREE_CASH_FLOW","1993-06-18","2026-05-02","Per=Y","Days=T","Dir=V")</f>
        <v>0</v>
      </c>
      <c r="AQ2">
        <f>BDH("EDSA US Equity","PX_LAST","1993-06-18","2026-05-02","Per=M","Days=T","Dir=V")</f>
        <v>0</v>
      </c>
      <c r="AS2">
        <f>BDH("EDSA US Equity","CUR_MKT_CAP","1993-06-18","2026-05-02","Per=M","Days=T","Dir=V")</f>
        <v>0</v>
      </c>
      <c r="AU2">
        <f>BDH("EDSA US Equity","EQY_SH_OUT","1993-06-18","2026-05-02","Per=M","Days=T","Dir=V")</f>
        <v>0</v>
      </c>
      <c r="AW2">
        <f>BDH("EDSA US Equity","PX_VOLUME","1993-06-18","2026-05-02","Per=M","Days=T","Dir=V")</f>
        <v>0</v>
      </c>
      <c r="AY2">
        <f>BDH("EDSA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BDH("EDUC US Equity","BS_TOT_ASSET","1993-06-18","2026-05-02","Per=Y","Days=T","Dir=V")</f>
        <v>0</v>
      </c>
      <c r="C2">
        <f>BDH("EDUC US Equity","BS_TOT_LIAB2","1993-06-18","2026-05-02","Per=Y","Days=T","Dir=V")</f>
        <v>0</v>
      </c>
      <c r="E2">
        <f>BDH("EDUC US Equity","SHORT_AND_LONG_TERM_DEBT","1993-06-18","2026-05-02","Per=Y","Days=T","Dir=V")</f>
        <v>0</v>
      </c>
      <c r="G2">
        <f>BDH("EDUC US Equity","BS_ST_BORROW","1993-06-18","2026-05-02","Per=Y","Days=T","Dir=V")</f>
        <v>0</v>
      </c>
      <c r="I2">
        <f>BDH("EDUC US Equity","BS_LT_BORROW","1993-06-18","2026-05-02","Per=Y","Days=T","Dir=V")</f>
        <v>0</v>
      </c>
      <c r="K2">
        <f>BDH("EDUC US Equity","BS_CASH_NEAR_CASH_ITEM","1993-06-18","2026-05-02","Per=Y","Days=T","Dir=V")</f>
        <v>0</v>
      </c>
      <c r="M2">
        <f>BDH("EDUC US Equity","BS_CUR_ASSET_REPORT","1993-06-18","2026-05-02","Per=Y","Days=T","Dir=V")</f>
        <v>0</v>
      </c>
      <c r="O2">
        <f>BDH("EDUC US Equity","BS_CUR_LIAB","1993-06-18","2026-05-02","Per=Y","Days=T","Dir=V")</f>
        <v>0</v>
      </c>
      <c r="Q2">
        <f>BDH("EDUC US Equity","BS_SHAREHOLDER_EQY_ENDING_PERIOD","1993-06-18","2026-05-02","Per=Y","Days=T","Dir=V")</f>
        <v>0</v>
      </c>
      <c r="S2">
        <f>BDH("EDUC US Equity","BS_ACCT_NOTE_RCV","1993-06-18","2026-05-02","Per=Y","Days=T","Dir=V")</f>
        <v>0</v>
      </c>
      <c r="U2">
        <f>BDH("EDUC US Equity","BS_INVENTORIES","1993-06-18","2026-05-02","Per=Y","Days=T","Dir=V")</f>
        <v>0</v>
      </c>
      <c r="W2">
        <f>BDH("EDUC US Equity","WORKING_CAPITAL","1993-06-18","2026-05-02","Per=Y","Days=T","Dir=V")</f>
        <v>0</v>
      </c>
      <c r="Y2">
        <f>BDH("EDUC US Equity","SALES_REV_TURN","1993-06-18","2026-05-02","Per=Y","Days=T","Dir=V")</f>
        <v>0</v>
      </c>
      <c r="AA2">
        <f>BDH("EDUC US Equity","EBIT","1993-06-18","2026-05-02","Per=Y","Days=T","Dir=V")</f>
        <v>0</v>
      </c>
      <c r="AC2">
        <f>BDH("EDUC US Equity","EBITDA","1993-06-18","2026-05-02","Per=Y","Days=T","Dir=V")</f>
        <v>0</v>
      </c>
      <c r="AE2">
        <f>BDH("EDUC US Equity","NET_INCOME","1993-06-18","2026-05-02","Per=Y","Days=T","Dir=V")</f>
        <v>0</v>
      </c>
      <c r="AG2">
        <f>BDH("EDUC US Equity","IS_INT_EXPENSE","1993-06-18","2026-05-02","Per=Y","Days=T","Dir=V")</f>
        <v>0</v>
      </c>
      <c r="AI2">
        <f>BDH("EDUC US Equity","IS_DEPR_EXP","1993-06-18","2026-05-02","Per=Y","Days=T","Dir=V")</f>
        <v>0</v>
      </c>
      <c r="AK2">
        <f>BDH("EDUC US Equity","CF_CASH_FROM_OPER","1993-06-18","2026-05-02","Per=Y","Days=T","Dir=V")</f>
        <v>0</v>
      </c>
      <c r="AM2">
        <f>BDH("EDUC US Equity","CAPITAL_EXPEND","1993-06-18","2026-05-02","Per=Y","Days=T","Dir=V")</f>
        <v>0</v>
      </c>
      <c r="AO2">
        <f>BDH("EDUC US Equity","CF_FREE_CASH_FLOW","1993-06-18","2026-05-02","Per=Y","Days=T","Dir=V")</f>
        <v>0</v>
      </c>
      <c r="AQ2">
        <f>BDH("EDUC US Equity","PX_LAST","1993-06-18","2026-05-02","Per=M","Days=T","Dir=V")</f>
        <v>0</v>
      </c>
      <c r="AS2">
        <f>BDH("EDUC US Equity","CUR_MKT_CAP","1993-06-18","2026-05-02","Per=M","Days=T","Dir=V")</f>
        <v>0</v>
      </c>
      <c r="AU2">
        <f>BDH("EDUC US Equity","EQY_SH_OUT","1993-06-18","2026-05-02","Per=M","Days=T","Dir=V")</f>
        <v>0</v>
      </c>
      <c r="AW2">
        <f>BDH("EDUC US Equity","PX_VOLUME","1993-06-18","2026-05-02","Per=M","Days=T","Dir=V")</f>
        <v>0</v>
      </c>
      <c r="AY2">
        <f>BDH("EDUC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BDH("EE US Equity","BS_TOT_ASSET","1993-06-18","2026-05-02","Per=Y","Days=T","Dir=V")</f>
        <v>0</v>
      </c>
      <c r="C2">
        <f>BDH("EE US Equity","BS_TOT_LIAB2","1993-06-18","2026-05-02","Per=Y","Days=T","Dir=V")</f>
        <v>0</v>
      </c>
      <c r="E2">
        <f>BDH("EE US Equity","SHORT_AND_LONG_TERM_DEBT","1993-06-18","2026-05-02","Per=Y","Days=T","Dir=V")</f>
        <v>0</v>
      </c>
      <c r="G2">
        <f>BDH("EE US Equity","BS_ST_BORROW","1993-06-18","2026-05-02","Per=Y","Days=T","Dir=V")</f>
        <v>0</v>
      </c>
      <c r="I2">
        <f>BDH("EE US Equity","BS_LT_BORROW","1993-06-18","2026-05-02","Per=Y","Days=T","Dir=V")</f>
        <v>0</v>
      </c>
      <c r="K2">
        <f>BDH("EE US Equity","BS_CASH_NEAR_CASH_ITEM","1993-06-18","2026-05-02","Per=Y","Days=T","Dir=V")</f>
        <v>0</v>
      </c>
      <c r="M2">
        <f>BDH("EE US Equity","BS_CUR_ASSET_REPORT","1993-06-18","2026-05-02","Per=Y","Days=T","Dir=V")</f>
        <v>0</v>
      </c>
      <c r="O2">
        <f>BDH("EE US Equity","BS_CUR_LIAB","1993-06-18","2026-05-02","Per=Y","Days=T","Dir=V")</f>
        <v>0</v>
      </c>
      <c r="Q2">
        <f>BDH("EE US Equity","BS_SHAREHOLDER_EQY_ENDING_PERIOD","1993-06-18","2026-05-02","Per=Y","Days=T","Dir=V")</f>
        <v>0</v>
      </c>
      <c r="S2">
        <f>BDH("EE US Equity","BS_ACCT_NOTE_RCV","1993-06-18","2026-05-02","Per=Y","Days=T","Dir=V")</f>
        <v>0</v>
      </c>
      <c r="U2">
        <f>BDH("EE US Equity","BS_INVENTORIES","1993-06-18","2026-05-02","Per=Y","Days=T","Dir=V")</f>
        <v>0</v>
      </c>
      <c r="W2">
        <f>BDH("EE US Equity","WORKING_CAPITAL","1993-06-18","2026-05-02","Per=Y","Days=T","Dir=V")</f>
        <v>0</v>
      </c>
      <c r="Y2">
        <f>BDH("EE US Equity","SALES_REV_TURN","1993-06-18","2026-05-02","Per=Y","Days=T","Dir=V")</f>
        <v>0</v>
      </c>
      <c r="AA2">
        <f>BDH("EE US Equity","EBIT","1993-06-18","2026-05-02","Per=Y","Days=T","Dir=V")</f>
        <v>0</v>
      </c>
      <c r="AC2">
        <f>BDH("EE US Equity","EBITDA","1993-06-18","2026-05-02","Per=Y","Days=T","Dir=V")</f>
        <v>0</v>
      </c>
      <c r="AE2">
        <f>BDH("EE US Equity","NET_INCOME","1993-06-18","2026-05-02","Per=Y","Days=T","Dir=V")</f>
        <v>0</v>
      </c>
      <c r="AG2">
        <f>BDH("EE US Equity","IS_INT_EXPENSE","1993-06-18","2026-05-02","Per=Y","Days=T","Dir=V")</f>
        <v>0</v>
      </c>
      <c r="AI2">
        <f>BDH("EE US Equity","IS_DEPR_EXP","1993-06-18","2026-05-02","Per=Y","Days=T","Dir=V")</f>
        <v>0</v>
      </c>
      <c r="AK2">
        <f>BDH("EE US Equity","CF_CASH_FROM_OPER","1993-06-18","2026-05-02","Per=Y","Days=T","Dir=V")</f>
        <v>0</v>
      </c>
      <c r="AM2">
        <f>BDH("EE US Equity","CAPITAL_EXPEND","1993-06-18","2026-05-02","Per=Y","Days=T","Dir=V")</f>
        <v>0</v>
      </c>
      <c r="AO2">
        <f>BDH("EE US Equity","CF_FREE_CASH_FLOW","1993-06-18","2026-05-02","Per=Y","Days=T","Dir=V")</f>
        <v>0</v>
      </c>
      <c r="AQ2">
        <f>BDH("EE US Equity","PX_LAST","1993-06-18","2026-05-02","Per=M","Days=T","Dir=V")</f>
        <v>0</v>
      </c>
      <c r="AS2">
        <f>BDH("EE US Equity","CUR_MKT_CAP","1993-06-18","2026-05-02","Per=M","Days=T","Dir=V")</f>
        <v>0</v>
      </c>
      <c r="AU2">
        <f>BDH("EE US Equity","EQY_SH_OUT","1993-06-18","2026-05-02","Per=M","Days=T","Dir=V")</f>
        <v>0</v>
      </c>
      <c r="AW2">
        <f>BDH("EE US Equity","PX_VOLUME","1993-06-18","2026-05-02","Per=M","Days=T","Dir=V")</f>
        <v>0</v>
      </c>
      <c r="AY2">
        <f>BDH("EE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BDH("EFOI US Equity","BS_TOT_ASSET","1993-06-18","2026-05-02","Per=Y","Days=T","Dir=V")</f>
        <v>0</v>
      </c>
      <c r="C2">
        <f>BDH("EFOI US Equity","BS_TOT_LIAB2","1993-06-18","2026-05-02","Per=Y","Days=T","Dir=V")</f>
        <v>0</v>
      </c>
      <c r="E2">
        <f>BDH("EFOI US Equity","SHORT_AND_LONG_TERM_DEBT","1993-06-18","2026-05-02","Per=Y","Days=T","Dir=V")</f>
        <v>0</v>
      </c>
      <c r="G2">
        <f>BDH("EFOI US Equity","BS_ST_BORROW","1993-06-18","2026-05-02","Per=Y","Days=T","Dir=V")</f>
        <v>0</v>
      </c>
      <c r="I2">
        <f>BDH("EFOI US Equity","BS_LT_BORROW","1993-06-18","2026-05-02","Per=Y","Days=T","Dir=V")</f>
        <v>0</v>
      </c>
      <c r="K2">
        <f>BDH("EFOI US Equity","BS_CASH_NEAR_CASH_ITEM","1993-06-18","2026-05-02","Per=Y","Days=T","Dir=V")</f>
        <v>0</v>
      </c>
      <c r="M2">
        <f>BDH("EFOI US Equity","BS_CUR_ASSET_REPORT","1993-06-18","2026-05-02","Per=Y","Days=T","Dir=V")</f>
        <v>0</v>
      </c>
      <c r="O2">
        <f>BDH("EFOI US Equity","BS_CUR_LIAB","1993-06-18","2026-05-02","Per=Y","Days=T","Dir=V")</f>
        <v>0</v>
      </c>
      <c r="Q2">
        <f>BDH("EFOI US Equity","BS_SHAREHOLDER_EQY_ENDING_PERIOD","1993-06-18","2026-05-02","Per=Y","Days=T","Dir=V")</f>
        <v>0</v>
      </c>
      <c r="S2">
        <f>BDH("EFOI US Equity","BS_ACCT_NOTE_RCV","1993-06-18","2026-05-02","Per=Y","Days=T","Dir=V")</f>
        <v>0</v>
      </c>
      <c r="U2">
        <f>BDH("EFOI US Equity","BS_INVENTORIES","1993-06-18","2026-05-02","Per=Y","Days=T","Dir=V")</f>
        <v>0</v>
      </c>
      <c r="W2">
        <f>BDH("EFOI US Equity","WORKING_CAPITAL","1993-06-18","2026-05-02","Per=Y","Days=T","Dir=V")</f>
        <v>0</v>
      </c>
      <c r="Y2">
        <f>BDH("EFOI US Equity","SALES_REV_TURN","1993-06-18","2026-05-02","Per=Y","Days=T","Dir=V")</f>
        <v>0</v>
      </c>
      <c r="AA2">
        <f>BDH("EFOI US Equity","EBIT","1993-06-18","2026-05-02","Per=Y","Days=T","Dir=V")</f>
        <v>0</v>
      </c>
      <c r="AC2">
        <f>BDH("EFOI US Equity","EBITDA","1993-06-18","2026-05-02","Per=Y","Days=T","Dir=V")</f>
        <v>0</v>
      </c>
      <c r="AE2">
        <f>BDH("EFOI US Equity","NET_INCOME","1993-06-18","2026-05-02","Per=Y","Days=T","Dir=V")</f>
        <v>0</v>
      </c>
      <c r="AG2">
        <f>BDH("EFOI US Equity","IS_INT_EXPENSE","1993-06-18","2026-05-02","Per=Y","Days=T","Dir=V")</f>
        <v>0</v>
      </c>
      <c r="AI2">
        <f>BDH("EFOI US Equity","IS_DEPR_EXP","1993-06-18","2026-05-02","Per=Y","Days=T","Dir=V")</f>
        <v>0</v>
      </c>
      <c r="AK2">
        <f>BDH("EFOI US Equity","CF_CASH_FROM_OPER","1993-06-18","2026-05-02","Per=Y","Days=T","Dir=V")</f>
        <v>0</v>
      </c>
      <c r="AM2">
        <f>BDH("EFOI US Equity","CAPITAL_EXPEND","1993-06-18","2026-05-02","Per=Y","Days=T","Dir=V")</f>
        <v>0</v>
      </c>
      <c r="AO2">
        <f>BDH("EFOI US Equity","CF_FREE_CASH_FLOW","1993-06-18","2026-05-02","Per=Y","Days=T","Dir=V")</f>
        <v>0</v>
      </c>
      <c r="AQ2">
        <f>BDH("EFOI US Equity","PX_LAST","1993-06-18","2026-05-02","Per=M","Days=T","Dir=V")</f>
        <v>0</v>
      </c>
      <c r="AS2">
        <f>BDH("EFOI US Equity","CUR_MKT_CAP","1993-06-18","2026-05-02","Per=M","Days=T","Dir=V")</f>
        <v>0</v>
      </c>
      <c r="AU2">
        <f>BDH("EFOI US Equity","EQY_SH_OUT","1993-06-18","2026-05-02","Per=M","Days=T","Dir=V")</f>
        <v>0</v>
      </c>
      <c r="AW2">
        <f>BDH("EFOI US Equity","PX_VOLUME","1993-06-18","2026-05-02","Per=M","Days=T","Dir=V")</f>
        <v>0</v>
      </c>
      <c r="AY2">
        <f>BDH("EFOI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BDH("EFOR US Equity","BS_TOT_ASSET","1993-06-18","2026-05-02","Per=Y","Days=T","Dir=V")</f>
        <v>0</v>
      </c>
      <c r="C2">
        <f>BDH("EFOR US Equity","BS_TOT_LIAB2","1993-06-18","2026-05-02","Per=Y","Days=T","Dir=V")</f>
        <v>0</v>
      </c>
      <c r="E2">
        <f>BDH("EFOR US Equity","SHORT_AND_LONG_TERM_DEBT","1993-06-18","2026-05-02","Per=Y","Days=T","Dir=V")</f>
        <v>0</v>
      </c>
      <c r="G2">
        <f>BDH("EFOR US Equity","BS_ST_BORROW","1993-06-18","2026-05-02","Per=Y","Days=T","Dir=V")</f>
        <v>0</v>
      </c>
      <c r="I2">
        <f>BDH("EFOR US Equity","BS_LT_BORROW","1993-06-18","2026-05-02","Per=Y","Days=T","Dir=V")</f>
        <v>0</v>
      </c>
      <c r="K2">
        <f>BDH("EFOR US Equity","BS_CASH_NEAR_CASH_ITEM","1993-06-18","2026-05-02","Per=Y","Days=T","Dir=V")</f>
        <v>0</v>
      </c>
      <c r="M2">
        <f>BDH("EFOR US Equity","BS_CUR_ASSET_REPORT","1993-06-18","2026-05-02","Per=Y","Days=T","Dir=V")</f>
        <v>0</v>
      </c>
      <c r="O2">
        <f>BDH("EFOR US Equity","BS_CUR_LIAB","1993-06-18","2026-05-02","Per=Y","Days=T","Dir=V")</f>
        <v>0</v>
      </c>
      <c r="Q2">
        <f>BDH("EFOR US Equity","BS_SHAREHOLDER_EQY_ENDING_PERIOD","1993-06-18","2026-05-02","Per=Y","Days=T","Dir=V")</f>
        <v>0</v>
      </c>
      <c r="S2">
        <f>BDH("EFOR US Equity","BS_ACCT_NOTE_RCV","1993-06-18","2026-05-02","Per=Y","Days=T","Dir=V")</f>
        <v>0</v>
      </c>
      <c r="U2">
        <f>BDH("EFOR US Equity","BS_INVENTORIES","1993-06-18","2026-05-02","Per=Y","Days=T","Dir=V")</f>
        <v>0</v>
      </c>
      <c r="W2">
        <f>BDH("EFOR US Equity","WORKING_CAPITAL","1993-06-18","2026-05-02","Per=Y","Days=T","Dir=V")</f>
        <v>0</v>
      </c>
      <c r="Y2">
        <f>BDH("EFOR US Equity","SALES_REV_TURN","1993-06-18","2026-05-02","Per=Y","Days=T","Dir=V")</f>
        <v>0</v>
      </c>
      <c r="AA2">
        <f>BDH("EFOR US Equity","EBIT","1993-06-18","2026-05-02","Per=Y","Days=T","Dir=V")</f>
        <v>0</v>
      </c>
      <c r="AC2">
        <f>BDH("EFOR US Equity","EBITDA","1993-06-18","2026-05-02","Per=Y","Days=T","Dir=V")</f>
        <v>0</v>
      </c>
      <c r="AE2">
        <f>BDH("EFOR US Equity","NET_INCOME","1993-06-18","2026-05-02","Per=Y","Days=T","Dir=V")</f>
        <v>0</v>
      </c>
      <c r="AG2">
        <f>BDH("EFOR US Equity","IS_INT_EXPENSE","1993-06-18","2026-05-02","Per=Y","Days=T","Dir=V")</f>
        <v>0</v>
      </c>
      <c r="AI2">
        <f>BDH("EFOR US Equity","IS_DEPR_EXP","1993-06-18","2026-05-02","Per=Y","Days=T","Dir=V")</f>
        <v>0</v>
      </c>
      <c r="AK2">
        <f>BDH("EFOR US Equity","CF_CASH_FROM_OPER","1993-06-18","2026-05-02","Per=Y","Days=T","Dir=V")</f>
        <v>0</v>
      </c>
      <c r="AM2">
        <f>BDH("EFOR US Equity","CAPITAL_EXPEND","1993-06-18","2026-05-02","Per=Y","Days=T","Dir=V")</f>
        <v>0</v>
      </c>
      <c r="AO2">
        <f>BDH("EFOR US Equity","CF_FREE_CASH_FLOW","1993-06-18","2026-05-02","Per=Y","Days=T","Dir=V")</f>
        <v>0</v>
      </c>
      <c r="AQ2">
        <f>BDH("EFOR US Equity","PX_LAST","1993-06-18","2026-05-02","Per=M","Days=T","Dir=V")</f>
        <v>0</v>
      </c>
      <c r="AS2">
        <f>BDH("EFOR US Equity","CUR_MKT_CAP","1993-06-18","2026-05-02","Per=M","Days=T","Dir=V")</f>
        <v>0</v>
      </c>
      <c r="AU2">
        <f>BDH("EFOR US Equity","EQY_SH_OUT","1993-06-18","2026-05-02","Per=M","Days=T","Dir=V")</f>
        <v>0</v>
      </c>
      <c r="AW2">
        <f>BDH("EFOR US Equity","PX_VOLUME","1993-06-18","2026-05-02","Per=M","Days=T","Dir=V")</f>
        <v>0</v>
      </c>
      <c r="AY2">
        <f>BDH("EFOR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BDH("EGAN US Equity","BS_TOT_ASSET","1993-06-18","2026-05-02","Per=Y","Days=T","Dir=V")</f>
        <v>0</v>
      </c>
      <c r="C2">
        <f>BDH("EGAN US Equity","BS_TOT_LIAB2","1993-06-18","2026-05-02","Per=Y","Days=T","Dir=V")</f>
        <v>0</v>
      </c>
      <c r="E2">
        <f>BDH("EGAN US Equity","SHORT_AND_LONG_TERM_DEBT","1993-06-18","2026-05-02","Per=Y","Days=T","Dir=V")</f>
        <v>0</v>
      </c>
      <c r="G2">
        <f>BDH("EGAN US Equity","BS_ST_BORROW","1993-06-18","2026-05-02","Per=Y","Days=T","Dir=V")</f>
        <v>0</v>
      </c>
      <c r="I2">
        <f>BDH("EGAN US Equity","BS_LT_BORROW","1993-06-18","2026-05-02","Per=Y","Days=T","Dir=V")</f>
        <v>0</v>
      </c>
      <c r="K2">
        <f>BDH("EGAN US Equity","BS_CASH_NEAR_CASH_ITEM","1993-06-18","2026-05-02","Per=Y","Days=T","Dir=V")</f>
        <v>0</v>
      </c>
      <c r="M2">
        <f>BDH("EGAN US Equity","BS_CUR_ASSET_REPORT","1993-06-18","2026-05-02","Per=Y","Days=T","Dir=V")</f>
        <v>0</v>
      </c>
      <c r="O2">
        <f>BDH("EGAN US Equity","BS_CUR_LIAB","1993-06-18","2026-05-02","Per=Y","Days=T","Dir=V")</f>
        <v>0</v>
      </c>
      <c r="Q2">
        <f>BDH("EGAN US Equity","BS_SHAREHOLDER_EQY_ENDING_PERIOD","1993-06-18","2026-05-02","Per=Y","Days=T","Dir=V")</f>
        <v>0</v>
      </c>
      <c r="S2">
        <f>BDH("EGAN US Equity","BS_ACCT_NOTE_RCV","1993-06-18","2026-05-02","Per=Y","Days=T","Dir=V")</f>
        <v>0</v>
      </c>
      <c r="U2">
        <f>BDH("EGAN US Equity","BS_INVENTORIES","1993-06-18","2026-05-02","Per=Y","Days=T","Dir=V")</f>
        <v>0</v>
      </c>
      <c r="W2">
        <f>BDH("EGAN US Equity","WORKING_CAPITAL","1993-06-18","2026-05-02","Per=Y","Days=T","Dir=V")</f>
        <v>0</v>
      </c>
      <c r="Y2">
        <f>BDH("EGAN US Equity","SALES_REV_TURN","1993-06-18","2026-05-02","Per=Y","Days=T","Dir=V")</f>
        <v>0</v>
      </c>
      <c r="AA2">
        <f>BDH("EGAN US Equity","EBIT","1993-06-18","2026-05-02","Per=Y","Days=T","Dir=V")</f>
        <v>0</v>
      </c>
      <c r="AC2">
        <f>BDH("EGAN US Equity","EBITDA","1993-06-18","2026-05-02","Per=Y","Days=T","Dir=V")</f>
        <v>0</v>
      </c>
      <c r="AE2">
        <f>BDH("EGAN US Equity","NET_INCOME","1993-06-18","2026-05-02","Per=Y","Days=T","Dir=V")</f>
        <v>0</v>
      </c>
      <c r="AG2">
        <f>BDH("EGAN US Equity","IS_INT_EXPENSE","1993-06-18","2026-05-02","Per=Y","Days=T","Dir=V")</f>
        <v>0</v>
      </c>
      <c r="AI2">
        <f>BDH("EGAN US Equity","IS_DEPR_EXP","1993-06-18","2026-05-02","Per=Y","Days=T","Dir=V")</f>
        <v>0</v>
      </c>
      <c r="AK2">
        <f>BDH("EGAN US Equity","CF_CASH_FROM_OPER","1993-06-18","2026-05-02","Per=Y","Days=T","Dir=V")</f>
        <v>0</v>
      </c>
      <c r="AM2">
        <f>BDH("EGAN US Equity","CAPITAL_EXPEND","1993-06-18","2026-05-02","Per=Y","Days=T","Dir=V")</f>
        <v>0</v>
      </c>
      <c r="AO2">
        <f>BDH("EGAN US Equity","CF_FREE_CASH_FLOW","1993-06-18","2026-05-02","Per=Y","Days=T","Dir=V")</f>
        <v>0</v>
      </c>
      <c r="AQ2">
        <f>BDH("EGAN US Equity","PX_LAST","1993-06-18","2026-05-02","Per=M","Days=T","Dir=V")</f>
        <v>0</v>
      </c>
      <c r="AS2">
        <f>BDH("EGAN US Equity","CUR_MKT_CAP","1993-06-18","2026-05-02","Per=M","Days=T","Dir=V")</f>
        <v>0</v>
      </c>
      <c r="AU2">
        <f>BDH("EGAN US Equity","EQY_SH_OUT","1993-06-18","2026-05-02","Per=M","Days=T","Dir=V")</f>
        <v>0</v>
      </c>
      <c r="AW2">
        <f>BDH("EGAN US Equity","PX_VOLUME","1993-06-18","2026-05-02","Per=M","Days=T","Dir=V")</f>
        <v>0</v>
      </c>
      <c r="AY2">
        <f>BDH("EGAN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BDH("EGHT US Equity","BS_TOT_ASSET","1993-06-18","2026-05-02","Per=Y","Days=T","Dir=V")</f>
        <v>0</v>
      </c>
      <c r="C2">
        <f>BDH("EGHT US Equity","BS_TOT_LIAB2","1993-06-18","2026-05-02","Per=Y","Days=T","Dir=V")</f>
        <v>0</v>
      </c>
      <c r="E2">
        <f>BDH("EGHT US Equity","SHORT_AND_LONG_TERM_DEBT","1993-06-18","2026-05-02","Per=Y","Days=T","Dir=V")</f>
        <v>0</v>
      </c>
      <c r="G2">
        <f>BDH("EGHT US Equity","BS_ST_BORROW","1993-06-18","2026-05-02","Per=Y","Days=T","Dir=V")</f>
        <v>0</v>
      </c>
      <c r="I2">
        <f>BDH("EGHT US Equity","BS_LT_BORROW","1993-06-18","2026-05-02","Per=Y","Days=T","Dir=V")</f>
        <v>0</v>
      </c>
      <c r="K2">
        <f>BDH("EGHT US Equity","BS_CASH_NEAR_CASH_ITEM","1993-06-18","2026-05-02","Per=Y","Days=T","Dir=V")</f>
        <v>0</v>
      </c>
      <c r="M2">
        <f>BDH("EGHT US Equity","BS_CUR_ASSET_REPORT","1993-06-18","2026-05-02","Per=Y","Days=T","Dir=V")</f>
        <v>0</v>
      </c>
      <c r="O2">
        <f>BDH("EGHT US Equity","BS_CUR_LIAB","1993-06-18","2026-05-02","Per=Y","Days=T","Dir=V")</f>
        <v>0</v>
      </c>
      <c r="Q2">
        <f>BDH("EGHT US Equity","BS_SHAREHOLDER_EQY_ENDING_PERIOD","1993-06-18","2026-05-02","Per=Y","Days=T","Dir=V")</f>
        <v>0</v>
      </c>
      <c r="S2">
        <f>BDH("EGHT US Equity","BS_ACCT_NOTE_RCV","1993-06-18","2026-05-02","Per=Y","Days=T","Dir=V")</f>
        <v>0</v>
      </c>
      <c r="U2">
        <f>BDH("EGHT US Equity","BS_INVENTORIES","1993-06-18","2026-05-02","Per=Y","Days=T","Dir=V")</f>
        <v>0</v>
      </c>
      <c r="W2">
        <f>BDH("EGHT US Equity","WORKING_CAPITAL","1993-06-18","2026-05-02","Per=Y","Days=T","Dir=V")</f>
        <v>0</v>
      </c>
      <c r="Y2">
        <f>BDH("EGHT US Equity","SALES_REV_TURN","1993-06-18","2026-05-02","Per=Y","Days=T","Dir=V")</f>
        <v>0</v>
      </c>
      <c r="AA2">
        <f>BDH("EGHT US Equity","EBIT","1993-06-18","2026-05-02","Per=Y","Days=T","Dir=V")</f>
        <v>0</v>
      </c>
      <c r="AC2">
        <f>BDH("EGHT US Equity","EBITDA","1993-06-18","2026-05-02","Per=Y","Days=T","Dir=V")</f>
        <v>0</v>
      </c>
      <c r="AE2">
        <f>BDH("EGHT US Equity","NET_INCOME","1993-06-18","2026-05-02","Per=Y","Days=T","Dir=V")</f>
        <v>0</v>
      </c>
      <c r="AG2">
        <f>BDH("EGHT US Equity","IS_INT_EXPENSE","1993-06-18","2026-05-02","Per=Y","Days=T","Dir=V")</f>
        <v>0</v>
      </c>
      <c r="AI2">
        <f>BDH("EGHT US Equity","IS_DEPR_EXP","1993-06-18","2026-05-02","Per=Y","Days=T","Dir=V")</f>
        <v>0</v>
      </c>
      <c r="AK2">
        <f>BDH("EGHT US Equity","CF_CASH_FROM_OPER","1993-06-18","2026-05-02","Per=Y","Days=T","Dir=V")</f>
        <v>0</v>
      </c>
      <c r="AM2">
        <f>BDH("EGHT US Equity","CAPITAL_EXPEND","1993-06-18","2026-05-02","Per=Y","Days=T","Dir=V")</f>
        <v>0</v>
      </c>
      <c r="AO2">
        <f>BDH("EGHT US Equity","CF_FREE_CASH_FLOW","1993-06-18","2026-05-02","Per=Y","Days=T","Dir=V")</f>
        <v>0</v>
      </c>
      <c r="AQ2">
        <f>BDH("EGHT US Equity","PX_LAST","1993-06-18","2026-05-02","Per=M","Days=T","Dir=V")</f>
        <v>0</v>
      </c>
      <c r="AS2">
        <f>BDH("EGHT US Equity","CUR_MKT_CAP","1993-06-18","2026-05-02","Per=M","Days=T","Dir=V")</f>
        <v>0</v>
      </c>
      <c r="AU2">
        <f>BDH("EGHT US Equity","EQY_SH_OUT","1993-06-18","2026-05-02","Per=M","Days=T","Dir=V")</f>
        <v>0</v>
      </c>
      <c r="AW2">
        <f>BDH("EGHT US Equity","PX_VOLUME","1993-06-18","2026-05-02","Per=M","Days=T","Dir=V")</f>
        <v>0</v>
      </c>
      <c r="AY2">
        <f>BDH("EGHT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BDH("EGY US Equity","BS_TOT_ASSET","1993-06-18","2026-05-02","Per=Y","Days=T","Dir=V")</f>
        <v>0</v>
      </c>
      <c r="C2">
        <f>BDH("EGY US Equity","BS_TOT_LIAB2","1993-06-18","2026-05-02","Per=Y","Days=T","Dir=V")</f>
        <v>0</v>
      </c>
      <c r="E2">
        <f>BDH("EGY US Equity","SHORT_AND_LONG_TERM_DEBT","1993-06-18","2026-05-02","Per=Y","Days=T","Dir=V")</f>
        <v>0</v>
      </c>
      <c r="G2">
        <f>BDH("EGY US Equity","BS_ST_BORROW","1993-06-18","2026-05-02","Per=Y","Days=T","Dir=V")</f>
        <v>0</v>
      </c>
      <c r="I2">
        <f>BDH("EGY US Equity","BS_LT_BORROW","1993-06-18","2026-05-02","Per=Y","Days=T","Dir=V")</f>
        <v>0</v>
      </c>
      <c r="K2">
        <f>BDH("EGY US Equity","BS_CASH_NEAR_CASH_ITEM","1993-06-18","2026-05-02","Per=Y","Days=T","Dir=V")</f>
        <v>0</v>
      </c>
      <c r="M2">
        <f>BDH("EGY US Equity","BS_CUR_ASSET_REPORT","1993-06-18","2026-05-02","Per=Y","Days=T","Dir=V")</f>
        <v>0</v>
      </c>
      <c r="O2">
        <f>BDH("EGY US Equity","BS_CUR_LIAB","1993-06-18","2026-05-02","Per=Y","Days=T","Dir=V")</f>
        <v>0</v>
      </c>
      <c r="Q2">
        <f>BDH("EGY US Equity","BS_SHAREHOLDER_EQY_ENDING_PERIOD","1993-06-18","2026-05-02","Per=Y","Days=T","Dir=V")</f>
        <v>0</v>
      </c>
      <c r="S2">
        <f>BDH("EGY US Equity","BS_ACCT_NOTE_RCV","1993-06-18","2026-05-02","Per=Y","Days=T","Dir=V")</f>
        <v>0</v>
      </c>
      <c r="U2">
        <f>BDH("EGY US Equity","BS_INVENTORIES","1993-06-18","2026-05-02","Per=Y","Days=T","Dir=V")</f>
        <v>0</v>
      </c>
      <c r="W2">
        <f>BDH("EGY US Equity","WORKING_CAPITAL","1993-06-18","2026-05-02","Per=Y","Days=T","Dir=V")</f>
        <v>0</v>
      </c>
      <c r="Y2">
        <f>BDH("EGY US Equity","SALES_REV_TURN","1993-06-18","2026-05-02","Per=Y","Days=T","Dir=V")</f>
        <v>0</v>
      </c>
      <c r="AA2">
        <f>BDH("EGY US Equity","EBIT","1993-06-18","2026-05-02","Per=Y","Days=T","Dir=V")</f>
        <v>0</v>
      </c>
      <c r="AC2">
        <f>BDH("EGY US Equity","EBITDA","1993-06-18","2026-05-02","Per=Y","Days=T","Dir=V")</f>
        <v>0</v>
      </c>
      <c r="AE2">
        <f>BDH("EGY US Equity","NET_INCOME","1993-06-18","2026-05-02","Per=Y","Days=T","Dir=V")</f>
        <v>0</v>
      </c>
      <c r="AG2">
        <f>BDH("EGY US Equity","IS_INT_EXPENSE","1993-06-18","2026-05-02","Per=Y","Days=T","Dir=V")</f>
        <v>0</v>
      </c>
      <c r="AI2">
        <f>BDH("EGY US Equity","IS_DEPR_EXP","1993-06-18","2026-05-02","Per=Y","Days=T","Dir=V")</f>
        <v>0</v>
      </c>
      <c r="AK2">
        <f>BDH("EGY US Equity","CF_CASH_FROM_OPER","1993-06-18","2026-05-02","Per=Y","Days=T","Dir=V")</f>
        <v>0</v>
      </c>
      <c r="AM2">
        <f>BDH("EGY US Equity","CAPITAL_EXPEND","1993-06-18","2026-05-02","Per=Y","Days=T","Dir=V")</f>
        <v>0</v>
      </c>
      <c r="AO2">
        <f>BDH("EGY US Equity","CF_FREE_CASH_FLOW","1993-06-18","2026-05-02","Per=Y","Days=T","Dir=V")</f>
        <v>0</v>
      </c>
      <c r="AQ2">
        <f>BDH("EGY US Equity","PX_LAST","1993-06-18","2026-05-02","Per=M","Days=T","Dir=V")</f>
        <v>0</v>
      </c>
      <c r="AS2">
        <f>BDH("EGY US Equity","CUR_MKT_CAP","1993-06-18","2026-05-02","Per=M","Days=T","Dir=V")</f>
        <v>0</v>
      </c>
      <c r="AU2">
        <f>BDH("EGY US Equity","EQY_SH_OUT","1993-06-18","2026-05-02","Per=M","Days=T","Dir=V")</f>
        <v>0</v>
      </c>
      <c r="AW2">
        <f>BDH("EGY US Equity","PX_VOLUME","1993-06-18","2026-05-02","Per=M","Days=T","Dir=V")</f>
        <v>0</v>
      </c>
      <c r="AY2">
        <f>BDH("EGY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BDH("EHC US Equity","BS_TOT_ASSET","1993-06-18","2026-05-02","Per=Y","Days=T","Dir=V")</f>
        <v>0</v>
      </c>
      <c r="C2">
        <f>BDH("EHC US Equity","BS_TOT_LIAB2","1993-06-18","2026-05-02","Per=Y","Days=T","Dir=V")</f>
        <v>0</v>
      </c>
      <c r="E2">
        <f>BDH("EHC US Equity","SHORT_AND_LONG_TERM_DEBT","1993-06-18","2026-05-02","Per=Y","Days=T","Dir=V")</f>
        <v>0</v>
      </c>
      <c r="G2">
        <f>BDH("EHC US Equity","BS_ST_BORROW","1993-06-18","2026-05-02","Per=Y","Days=T","Dir=V")</f>
        <v>0</v>
      </c>
      <c r="I2">
        <f>BDH("EHC US Equity","BS_LT_BORROW","1993-06-18","2026-05-02","Per=Y","Days=T","Dir=V")</f>
        <v>0</v>
      </c>
      <c r="K2">
        <f>BDH("EHC US Equity","BS_CASH_NEAR_CASH_ITEM","1993-06-18","2026-05-02","Per=Y","Days=T","Dir=V")</f>
        <v>0</v>
      </c>
      <c r="M2">
        <f>BDH("EHC US Equity","BS_CUR_ASSET_REPORT","1993-06-18","2026-05-02","Per=Y","Days=T","Dir=V")</f>
        <v>0</v>
      </c>
      <c r="O2">
        <f>BDH("EHC US Equity","BS_CUR_LIAB","1993-06-18","2026-05-02","Per=Y","Days=T","Dir=V")</f>
        <v>0</v>
      </c>
      <c r="Q2">
        <f>BDH("EHC US Equity","BS_SHAREHOLDER_EQY_ENDING_PERIOD","1993-06-18","2026-05-02","Per=Y","Days=T","Dir=V")</f>
        <v>0</v>
      </c>
      <c r="S2">
        <f>BDH("EHC US Equity","BS_ACCT_NOTE_RCV","1993-06-18","2026-05-02","Per=Y","Days=T","Dir=V")</f>
        <v>0</v>
      </c>
      <c r="U2">
        <f>BDH("EHC US Equity","BS_INVENTORIES","1993-06-18","2026-05-02","Per=Y","Days=T","Dir=V")</f>
        <v>0</v>
      </c>
      <c r="W2">
        <f>BDH("EHC US Equity","WORKING_CAPITAL","1993-06-18","2026-05-02","Per=Y","Days=T","Dir=V")</f>
        <v>0</v>
      </c>
      <c r="Y2">
        <f>BDH("EHC US Equity","SALES_REV_TURN","1993-06-18","2026-05-02","Per=Y","Days=T","Dir=V")</f>
        <v>0</v>
      </c>
      <c r="AA2">
        <f>BDH("EHC US Equity","EBIT","1993-06-18","2026-05-02","Per=Y","Days=T","Dir=V")</f>
        <v>0</v>
      </c>
      <c r="AC2">
        <f>BDH("EHC US Equity","EBITDA","1993-06-18","2026-05-02","Per=Y","Days=T","Dir=V")</f>
        <v>0</v>
      </c>
      <c r="AE2">
        <f>BDH("EHC US Equity","NET_INCOME","1993-06-18","2026-05-02","Per=Y","Days=T","Dir=V")</f>
        <v>0</v>
      </c>
      <c r="AG2">
        <f>BDH("EHC US Equity","IS_INT_EXPENSE","1993-06-18","2026-05-02","Per=Y","Days=T","Dir=V")</f>
        <v>0</v>
      </c>
      <c r="AI2">
        <f>BDH("EHC US Equity","IS_DEPR_EXP","1993-06-18","2026-05-02","Per=Y","Days=T","Dir=V")</f>
        <v>0</v>
      </c>
      <c r="AK2">
        <f>BDH("EHC US Equity","CF_CASH_FROM_OPER","1993-06-18","2026-05-02","Per=Y","Days=T","Dir=V")</f>
        <v>0</v>
      </c>
      <c r="AM2">
        <f>BDH("EHC US Equity","CAPITAL_EXPEND","1993-06-18","2026-05-02","Per=Y","Days=T","Dir=V")</f>
        <v>0</v>
      </c>
      <c r="AO2">
        <f>BDH("EHC US Equity","CF_FREE_CASH_FLOW","1993-06-18","2026-05-02","Per=Y","Days=T","Dir=V")</f>
        <v>0</v>
      </c>
      <c r="AQ2">
        <f>BDH("EHC US Equity","PX_LAST","1993-06-18","2026-05-02","Per=M","Days=T","Dir=V")</f>
        <v>0</v>
      </c>
      <c r="AS2">
        <f>BDH("EHC US Equity","CUR_MKT_CAP","1993-06-18","2026-05-02","Per=M","Days=T","Dir=V")</f>
        <v>0</v>
      </c>
      <c r="AU2">
        <f>BDH("EHC US Equity","EQY_SH_OUT","1993-06-18","2026-05-02","Per=M","Days=T","Dir=V")</f>
        <v>0</v>
      </c>
      <c r="AW2">
        <f>BDH("EHC US Equity","PX_VOLUME","1993-06-18","2026-05-02","Per=M","Days=T","Dir=V")</f>
        <v>0</v>
      </c>
      <c r="AY2">
        <f>BDH("EHC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BDH("EIKN US Equity","BS_TOT_ASSET","1993-06-18","2026-05-02","Per=Y","Days=T","Dir=V")</f>
        <v>0</v>
      </c>
      <c r="C2">
        <f>BDH("EIKN US Equity","BS_TOT_LIAB2","1993-06-18","2026-05-02","Per=Y","Days=T","Dir=V")</f>
        <v>0</v>
      </c>
      <c r="E2">
        <f>BDH("EIKN US Equity","SHORT_AND_LONG_TERM_DEBT","1993-06-18","2026-05-02","Per=Y","Days=T","Dir=V")</f>
        <v>0</v>
      </c>
      <c r="G2">
        <f>BDH("EIKN US Equity","BS_ST_BORROW","1993-06-18","2026-05-02","Per=Y","Days=T","Dir=V")</f>
        <v>0</v>
      </c>
      <c r="I2">
        <f>BDH("EIKN US Equity","BS_LT_BORROW","1993-06-18","2026-05-02","Per=Y","Days=T","Dir=V")</f>
        <v>0</v>
      </c>
      <c r="K2">
        <f>BDH("EIKN US Equity","BS_CASH_NEAR_CASH_ITEM","1993-06-18","2026-05-02","Per=Y","Days=T","Dir=V")</f>
        <v>0</v>
      </c>
      <c r="M2">
        <f>BDH("EIKN US Equity","BS_CUR_ASSET_REPORT","1993-06-18","2026-05-02","Per=Y","Days=T","Dir=V")</f>
        <v>0</v>
      </c>
      <c r="O2">
        <f>BDH("EIKN US Equity","BS_CUR_LIAB","1993-06-18","2026-05-02","Per=Y","Days=T","Dir=V")</f>
        <v>0</v>
      </c>
      <c r="Q2">
        <f>BDH("EIKN US Equity","BS_SHAREHOLDER_EQY_ENDING_PERIOD","1993-06-18","2026-05-02","Per=Y","Days=T","Dir=V")</f>
        <v>0</v>
      </c>
      <c r="S2">
        <f>BDH("EIKN US Equity","BS_ACCT_NOTE_RCV","1993-06-18","2026-05-02","Per=Y","Days=T","Dir=V")</f>
        <v>0</v>
      </c>
      <c r="U2">
        <f>BDH("EIKN US Equity","BS_INVENTORIES","1993-06-18","2026-05-02","Per=Y","Days=T","Dir=V")</f>
        <v>0</v>
      </c>
      <c r="W2">
        <f>BDH("EIKN US Equity","WORKING_CAPITAL","1993-06-18","2026-05-02","Per=Y","Days=T","Dir=V")</f>
        <v>0</v>
      </c>
      <c r="Y2">
        <f>BDH("EIKN US Equity","SALES_REV_TURN","1993-06-18","2026-05-02","Per=Y","Days=T","Dir=V")</f>
        <v>0</v>
      </c>
      <c r="AA2">
        <f>BDH("EIKN US Equity","EBIT","1993-06-18","2026-05-02","Per=Y","Days=T","Dir=V")</f>
        <v>0</v>
      </c>
      <c r="AC2">
        <f>BDH("EIKN US Equity","EBITDA","1993-06-18","2026-05-02","Per=Y","Days=T","Dir=V")</f>
        <v>0</v>
      </c>
      <c r="AE2">
        <f>BDH("EIKN US Equity","NET_INCOME","1993-06-18","2026-05-02","Per=Y","Days=T","Dir=V")</f>
        <v>0</v>
      </c>
      <c r="AG2">
        <f>BDH("EIKN US Equity","IS_INT_EXPENSE","1993-06-18","2026-05-02","Per=Y","Days=T","Dir=V")</f>
        <v>0</v>
      </c>
      <c r="AI2">
        <f>BDH("EIKN US Equity","IS_DEPR_EXP","1993-06-18","2026-05-02","Per=Y","Days=T","Dir=V")</f>
        <v>0</v>
      </c>
      <c r="AK2">
        <f>BDH("EIKN US Equity","CF_CASH_FROM_OPER","1993-06-18","2026-05-02","Per=Y","Days=T","Dir=V")</f>
        <v>0</v>
      </c>
      <c r="AM2">
        <f>BDH("EIKN US Equity","CAPITAL_EXPEND","1993-06-18","2026-05-02","Per=Y","Days=T","Dir=V")</f>
        <v>0</v>
      </c>
      <c r="AO2">
        <f>BDH("EIKN US Equity","CF_FREE_CASH_FLOW","1993-06-18","2026-05-02","Per=Y","Days=T","Dir=V")</f>
        <v>0</v>
      </c>
      <c r="AQ2">
        <f>BDH("EIKN US Equity","PX_LAST","1993-06-18","2026-05-02","Per=M","Days=T","Dir=V")</f>
        <v>0</v>
      </c>
      <c r="AS2">
        <f>BDH("EIKN US Equity","CUR_MKT_CAP","1993-06-18","2026-05-02","Per=M","Days=T","Dir=V")</f>
        <v>0</v>
      </c>
      <c r="AU2">
        <f>BDH("EIKN US Equity","EQY_SH_OUT","1993-06-18","2026-05-02","Per=M","Days=T","Dir=V")</f>
        <v>0</v>
      </c>
      <c r="AW2">
        <f>BDH("EIKN US Equity","PX_VOLUME","1993-06-18","2026-05-02","Per=M","Days=T","Dir=V")</f>
        <v>0</v>
      </c>
      <c r="AY2">
        <f>BDH("EIKN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BDH("EIX US Equity","BS_TOT_ASSET","1993-06-18","2026-05-02","Per=Y","Days=T","Dir=V")</f>
        <v>0</v>
      </c>
      <c r="C2">
        <f>BDH("EIX US Equity","BS_TOT_LIAB2","1993-06-18","2026-05-02","Per=Y","Days=T","Dir=V")</f>
        <v>0</v>
      </c>
      <c r="E2">
        <f>BDH("EIX US Equity","SHORT_AND_LONG_TERM_DEBT","1993-06-18","2026-05-02","Per=Y","Days=T","Dir=V")</f>
        <v>0</v>
      </c>
      <c r="G2">
        <f>BDH("EIX US Equity","BS_ST_BORROW","1993-06-18","2026-05-02","Per=Y","Days=T","Dir=V")</f>
        <v>0</v>
      </c>
      <c r="I2">
        <f>BDH("EIX US Equity","BS_LT_BORROW","1993-06-18","2026-05-02","Per=Y","Days=T","Dir=V")</f>
        <v>0</v>
      </c>
      <c r="K2">
        <f>BDH("EIX US Equity","BS_CASH_NEAR_CASH_ITEM","1993-06-18","2026-05-02","Per=Y","Days=T","Dir=V")</f>
        <v>0</v>
      </c>
      <c r="M2">
        <f>BDH("EIX US Equity","BS_CUR_ASSET_REPORT","1993-06-18","2026-05-02","Per=Y","Days=T","Dir=V")</f>
        <v>0</v>
      </c>
      <c r="O2">
        <f>BDH("EIX US Equity","BS_CUR_LIAB","1993-06-18","2026-05-02","Per=Y","Days=T","Dir=V")</f>
        <v>0</v>
      </c>
      <c r="Q2">
        <f>BDH("EIX US Equity","BS_SHAREHOLDER_EQY_ENDING_PERIOD","1993-06-18","2026-05-02","Per=Y","Days=T","Dir=V")</f>
        <v>0</v>
      </c>
      <c r="S2">
        <f>BDH("EIX US Equity","BS_ACCT_NOTE_RCV","1993-06-18","2026-05-02","Per=Y","Days=T","Dir=V")</f>
        <v>0</v>
      </c>
      <c r="U2">
        <f>BDH("EIX US Equity","BS_INVENTORIES","1993-06-18","2026-05-02","Per=Y","Days=T","Dir=V")</f>
        <v>0</v>
      </c>
      <c r="W2">
        <f>BDH("EIX US Equity","WORKING_CAPITAL","1993-06-18","2026-05-02","Per=Y","Days=T","Dir=V")</f>
        <v>0</v>
      </c>
      <c r="Y2">
        <f>BDH("EIX US Equity","SALES_REV_TURN","1993-06-18","2026-05-02","Per=Y","Days=T","Dir=V")</f>
        <v>0</v>
      </c>
      <c r="AA2">
        <f>BDH("EIX US Equity","EBIT","1993-06-18","2026-05-02","Per=Y","Days=T","Dir=V")</f>
        <v>0</v>
      </c>
      <c r="AC2">
        <f>BDH("EIX US Equity","EBITDA","1993-06-18","2026-05-02","Per=Y","Days=T","Dir=V")</f>
        <v>0</v>
      </c>
      <c r="AE2">
        <f>BDH("EIX US Equity","NET_INCOME","1993-06-18","2026-05-02","Per=Y","Days=T","Dir=V")</f>
        <v>0</v>
      </c>
      <c r="AG2">
        <f>BDH("EIX US Equity","IS_INT_EXPENSE","1993-06-18","2026-05-02","Per=Y","Days=T","Dir=V")</f>
        <v>0</v>
      </c>
      <c r="AI2">
        <f>BDH("EIX US Equity","IS_DEPR_EXP","1993-06-18","2026-05-02","Per=Y","Days=T","Dir=V")</f>
        <v>0</v>
      </c>
      <c r="AK2">
        <f>BDH("EIX US Equity","CF_CASH_FROM_OPER","1993-06-18","2026-05-02","Per=Y","Days=T","Dir=V")</f>
        <v>0</v>
      </c>
      <c r="AM2">
        <f>BDH("EIX US Equity","CAPITAL_EXPEND","1993-06-18","2026-05-02","Per=Y","Days=T","Dir=V")</f>
        <v>0</v>
      </c>
      <c r="AO2">
        <f>BDH("EIX US Equity","CF_FREE_CASH_FLOW","1993-06-18","2026-05-02","Per=Y","Days=T","Dir=V")</f>
        <v>0</v>
      </c>
      <c r="AQ2">
        <f>BDH("EIX US Equity","PX_LAST","1993-06-18","2026-05-02","Per=M","Days=T","Dir=V")</f>
        <v>0</v>
      </c>
      <c r="AS2">
        <f>BDH("EIX US Equity","CUR_MKT_CAP","1993-06-18","2026-05-02","Per=M","Days=T","Dir=V")</f>
        <v>0</v>
      </c>
      <c r="AU2">
        <f>BDH("EIX US Equity","EQY_SH_OUT","1993-06-18","2026-05-02","Per=M","Days=T","Dir=V")</f>
        <v>0</v>
      </c>
      <c r="AW2">
        <f>BDH("EIX US Equity","PX_VOLUME","1993-06-18","2026-05-02","Per=M","Days=T","Dir=V")</f>
        <v>0</v>
      </c>
      <c r="AY2">
        <f>BDH("EIX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 US Equity","BS_TOT_ASSET","1993-06-18","2026-05-02","Per=Y","Days=T","Dir=V")</f>
        <v>0</v>
      </c>
      <c r="C2">
        <f>BDH("EL US Equity","BS_TOT_LIAB2","1993-06-18","2026-05-02","Per=Y","Days=T","Dir=V")</f>
        <v>0</v>
      </c>
      <c r="E2">
        <f>BDH("EL US Equity","SHORT_AND_LONG_TERM_DEBT","1993-06-18","2026-05-02","Per=Y","Days=T","Dir=V")</f>
        <v>0</v>
      </c>
      <c r="G2">
        <f>BDH("EL US Equity","BS_ST_BORROW","1993-06-18","2026-05-02","Per=Y","Days=T","Dir=V")</f>
        <v>0</v>
      </c>
      <c r="I2">
        <f>BDH("EL US Equity","BS_LT_BORROW","1993-06-18","2026-05-02","Per=Y","Days=T","Dir=V")</f>
        <v>0</v>
      </c>
      <c r="K2">
        <f>BDH("EL US Equity","BS_CASH_NEAR_CASH_ITEM","1993-06-18","2026-05-02","Per=Y","Days=T","Dir=V")</f>
        <v>0</v>
      </c>
      <c r="M2">
        <f>BDH("EL US Equity","BS_CUR_ASSET_REPORT","1993-06-18","2026-05-02","Per=Y","Days=T","Dir=V")</f>
        <v>0</v>
      </c>
      <c r="O2">
        <f>BDH("EL US Equity","BS_CUR_LIAB","1993-06-18","2026-05-02","Per=Y","Days=T","Dir=V")</f>
        <v>0</v>
      </c>
      <c r="Q2">
        <f>BDH("EL US Equity","BS_SHAREHOLDER_EQY_ENDING_PERIOD","1993-06-18","2026-05-02","Per=Y","Days=T","Dir=V")</f>
        <v>0</v>
      </c>
      <c r="S2">
        <f>BDH("EL US Equity","BS_ACCT_NOTE_RCV","1993-06-18","2026-05-02","Per=Y","Days=T","Dir=V")</f>
        <v>0</v>
      </c>
      <c r="U2">
        <f>BDH("EL US Equity","BS_INVENTORIES","1993-06-18","2026-05-02","Per=Y","Days=T","Dir=V")</f>
        <v>0</v>
      </c>
      <c r="W2">
        <f>BDH("EL US Equity","WORKING_CAPITAL","1993-06-18","2026-05-02","Per=Y","Days=T","Dir=V")</f>
        <v>0</v>
      </c>
      <c r="Y2">
        <f>BDH("EL US Equity","SALES_REV_TURN","1993-06-18","2026-05-02","Per=Y","Days=T","Dir=V")</f>
        <v>0</v>
      </c>
      <c r="AA2">
        <f>BDH("EL US Equity","EBIT","1993-06-18","2026-05-02","Per=Y","Days=T","Dir=V")</f>
        <v>0</v>
      </c>
      <c r="AC2">
        <f>BDH("EL US Equity","EBITDA","1993-06-18","2026-05-02","Per=Y","Days=T","Dir=V")</f>
        <v>0</v>
      </c>
      <c r="AE2">
        <f>BDH("EL US Equity","NET_INCOME","1993-06-18","2026-05-02","Per=Y","Days=T","Dir=V")</f>
        <v>0</v>
      </c>
      <c r="AG2">
        <f>BDH("EL US Equity","IS_INT_EXPENSE","1993-06-18","2026-05-02","Per=Y","Days=T","Dir=V")</f>
        <v>0</v>
      </c>
      <c r="AI2">
        <f>BDH("EL US Equity","IS_DEPR_EXP","1993-06-18","2026-05-02","Per=Y","Days=T","Dir=V")</f>
        <v>0</v>
      </c>
      <c r="AK2">
        <f>BDH("EL US Equity","CF_CASH_FROM_OPER","1993-06-18","2026-05-02","Per=Y","Days=T","Dir=V")</f>
        <v>0</v>
      </c>
      <c r="AM2">
        <f>BDH("EL US Equity","CAPITAL_EXPEND","1993-06-18","2026-05-02","Per=Y","Days=T","Dir=V")</f>
        <v>0</v>
      </c>
      <c r="AO2">
        <f>BDH("EL US Equity","CF_FREE_CASH_FLOW","1993-06-18","2026-05-02","Per=Y","Days=T","Dir=V")</f>
        <v>0</v>
      </c>
      <c r="AQ2">
        <f>BDH("EL US Equity","PX_LAST","1993-06-18","2026-05-02","Per=M","Days=T","Dir=V")</f>
        <v>0</v>
      </c>
      <c r="AS2">
        <f>BDH("EL US Equity","CUR_MKT_CAP","1993-06-18","2026-05-02","Per=M","Days=T","Dir=V")</f>
        <v>0</v>
      </c>
      <c r="AU2">
        <f>BDH("EL US Equity","EQY_SH_OUT","1993-06-18","2026-05-02","Per=M","Days=T","Dir=V")</f>
        <v>0</v>
      </c>
      <c r="AW2">
        <f>BDH("EL US Equity","PX_VOLUME","1993-06-18","2026-05-02","Per=M","Days=T","Dir=V")</f>
        <v>0</v>
      </c>
      <c r="AY2">
        <f>BDH("EL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BDH("ELA US Equity","BS_TOT_ASSET","1993-06-18","2026-05-02","Per=Y","Days=T","Dir=V")</f>
        <v>0</v>
      </c>
      <c r="C2">
        <f>BDH("ELA US Equity","BS_TOT_LIAB2","1993-06-18","2026-05-02","Per=Y","Days=T","Dir=V")</f>
        <v>0</v>
      </c>
      <c r="E2">
        <f>BDH("ELA US Equity","SHORT_AND_LONG_TERM_DEBT","1993-06-18","2026-05-02","Per=Y","Days=T","Dir=V")</f>
        <v>0</v>
      </c>
      <c r="G2">
        <f>BDH("ELA US Equity","BS_ST_BORROW","1993-06-18","2026-05-02","Per=Y","Days=T","Dir=V")</f>
        <v>0</v>
      </c>
      <c r="I2">
        <f>BDH("ELA US Equity","BS_LT_BORROW","1993-06-18","2026-05-02","Per=Y","Days=T","Dir=V")</f>
        <v>0</v>
      </c>
      <c r="K2">
        <f>BDH("ELA US Equity","BS_CASH_NEAR_CASH_ITEM","1993-06-18","2026-05-02","Per=Y","Days=T","Dir=V")</f>
        <v>0</v>
      </c>
      <c r="M2">
        <f>BDH("ELA US Equity","BS_CUR_ASSET_REPORT","1993-06-18","2026-05-02","Per=Y","Days=T","Dir=V")</f>
        <v>0</v>
      </c>
      <c r="O2">
        <f>BDH("ELA US Equity","BS_CUR_LIAB","1993-06-18","2026-05-02","Per=Y","Days=T","Dir=V")</f>
        <v>0</v>
      </c>
      <c r="Q2">
        <f>BDH("ELA US Equity","BS_SHAREHOLDER_EQY_ENDING_PERIOD","1993-06-18","2026-05-02","Per=Y","Days=T","Dir=V")</f>
        <v>0</v>
      </c>
      <c r="S2">
        <f>BDH("ELA US Equity","BS_ACCT_NOTE_RCV","1993-06-18","2026-05-02","Per=Y","Days=T","Dir=V")</f>
        <v>0</v>
      </c>
      <c r="U2">
        <f>BDH("ELA US Equity","BS_INVENTORIES","1993-06-18","2026-05-02","Per=Y","Days=T","Dir=V")</f>
        <v>0</v>
      </c>
      <c r="W2">
        <f>BDH("ELA US Equity","WORKING_CAPITAL","1993-06-18","2026-05-02","Per=Y","Days=T","Dir=V")</f>
        <v>0</v>
      </c>
      <c r="Y2">
        <f>BDH("ELA US Equity","SALES_REV_TURN","1993-06-18","2026-05-02","Per=Y","Days=T","Dir=V")</f>
        <v>0</v>
      </c>
      <c r="AA2">
        <f>BDH("ELA US Equity","EBIT","1993-06-18","2026-05-02","Per=Y","Days=T","Dir=V")</f>
        <v>0</v>
      </c>
      <c r="AC2">
        <f>BDH("ELA US Equity","EBITDA","1993-06-18","2026-05-02","Per=Y","Days=T","Dir=V")</f>
        <v>0</v>
      </c>
      <c r="AE2">
        <f>BDH("ELA US Equity","NET_INCOME","1993-06-18","2026-05-02","Per=Y","Days=T","Dir=V")</f>
        <v>0</v>
      </c>
      <c r="AG2">
        <f>BDH("ELA US Equity","IS_INT_EXPENSE","1993-06-18","2026-05-02","Per=Y","Days=T","Dir=V")</f>
        <v>0</v>
      </c>
      <c r="AI2">
        <f>BDH("ELA US Equity","IS_DEPR_EXP","1993-06-18","2026-05-02","Per=Y","Days=T","Dir=V")</f>
        <v>0</v>
      </c>
      <c r="AK2">
        <f>BDH("ELA US Equity","CF_CASH_FROM_OPER","1993-06-18","2026-05-02","Per=Y","Days=T","Dir=V")</f>
        <v>0</v>
      </c>
      <c r="AM2">
        <f>BDH("ELA US Equity","CAPITAL_EXPEND","1993-06-18","2026-05-02","Per=Y","Days=T","Dir=V")</f>
        <v>0</v>
      </c>
      <c r="AO2">
        <f>BDH("ELA US Equity","CF_FREE_CASH_FLOW","1993-06-18","2026-05-02","Per=Y","Days=T","Dir=V")</f>
        <v>0</v>
      </c>
      <c r="AQ2">
        <f>BDH("ELA US Equity","PX_LAST","1993-06-18","2026-05-02","Per=M","Days=T","Dir=V")</f>
        <v>0</v>
      </c>
      <c r="AS2">
        <f>BDH("ELA US Equity","CUR_MKT_CAP","1993-06-18","2026-05-02","Per=M","Days=T","Dir=V")</f>
        <v>0</v>
      </c>
      <c r="AU2">
        <f>BDH("ELA US Equity","EQY_SH_OUT","1993-06-18","2026-05-02","Per=M","Days=T","Dir=V")</f>
        <v>0</v>
      </c>
      <c r="AW2">
        <f>BDH("ELA US Equity","PX_VOLUME","1993-06-18","2026-05-02","Per=M","Days=T","Dir=V")</f>
        <v>0</v>
      </c>
      <c r="AY2">
        <f>BDH("ELA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BDH("ELAB US Equity","BS_TOT_ASSET","1993-06-18","2026-05-02","Per=Y","Days=T","Dir=V")</f>
        <v>0</v>
      </c>
      <c r="C2">
        <f>BDH("ELAB US Equity","BS_TOT_LIAB2","1993-06-18","2026-05-02","Per=Y","Days=T","Dir=V")</f>
        <v>0</v>
      </c>
      <c r="E2">
        <f>BDH("ELAB US Equity","SHORT_AND_LONG_TERM_DEBT","1993-06-18","2026-05-02","Per=Y","Days=T","Dir=V")</f>
        <v>0</v>
      </c>
      <c r="G2">
        <f>BDH("ELAB US Equity","BS_ST_BORROW","1993-06-18","2026-05-02","Per=Y","Days=T","Dir=V")</f>
        <v>0</v>
      </c>
      <c r="I2">
        <f>BDH("ELAB US Equity","BS_LT_BORROW","1993-06-18","2026-05-02","Per=Y","Days=T","Dir=V")</f>
        <v>0</v>
      </c>
      <c r="K2">
        <f>BDH("ELAB US Equity","BS_CASH_NEAR_CASH_ITEM","1993-06-18","2026-05-02","Per=Y","Days=T","Dir=V")</f>
        <v>0</v>
      </c>
      <c r="M2">
        <f>BDH("ELAB US Equity","BS_CUR_ASSET_REPORT","1993-06-18","2026-05-02","Per=Y","Days=T","Dir=V")</f>
        <v>0</v>
      </c>
      <c r="O2">
        <f>BDH("ELAB US Equity","BS_CUR_LIAB","1993-06-18","2026-05-02","Per=Y","Days=T","Dir=V")</f>
        <v>0</v>
      </c>
      <c r="Q2">
        <f>BDH("ELAB US Equity","BS_SHAREHOLDER_EQY_ENDING_PERIOD","1993-06-18","2026-05-02","Per=Y","Days=T","Dir=V")</f>
        <v>0</v>
      </c>
      <c r="S2">
        <f>BDH("ELAB US Equity","BS_ACCT_NOTE_RCV","1993-06-18","2026-05-02","Per=Y","Days=T","Dir=V")</f>
        <v>0</v>
      </c>
      <c r="U2">
        <f>BDH("ELAB US Equity","BS_INVENTORIES","1993-06-18","2026-05-02","Per=Y","Days=T","Dir=V")</f>
        <v>0</v>
      </c>
      <c r="W2">
        <f>BDH("ELAB US Equity","WORKING_CAPITAL","1993-06-18","2026-05-02","Per=Y","Days=T","Dir=V")</f>
        <v>0</v>
      </c>
      <c r="Y2">
        <f>BDH("ELAB US Equity","SALES_REV_TURN","1993-06-18","2026-05-02","Per=Y","Days=T","Dir=V")</f>
        <v>0</v>
      </c>
      <c r="AA2">
        <f>BDH("ELAB US Equity","EBIT","1993-06-18","2026-05-02","Per=Y","Days=T","Dir=V")</f>
        <v>0</v>
      </c>
      <c r="AC2">
        <f>BDH("ELAB US Equity","EBITDA","1993-06-18","2026-05-02","Per=Y","Days=T","Dir=V")</f>
        <v>0</v>
      </c>
      <c r="AE2">
        <f>BDH("ELAB US Equity","NET_INCOME","1993-06-18","2026-05-02","Per=Y","Days=T","Dir=V")</f>
        <v>0</v>
      </c>
      <c r="AG2">
        <f>BDH("ELAB US Equity","IS_INT_EXPENSE","1993-06-18","2026-05-02","Per=Y","Days=T","Dir=V")</f>
        <v>0</v>
      </c>
      <c r="AI2">
        <f>BDH("ELAB US Equity","IS_DEPR_EXP","1993-06-18","2026-05-02","Per=Y","Days=T","Dir=V")</f>
        <v>0</v>
      </c>
      <c r="AK2">
        <f>BDH("ELAB US Equity","CF_CASH_FROM_OPER","1993-06-18","2026-05-02","Per=Y","Days=T","Dir=V")</f>
        <v>0</v>
      </c>
      <c r="AM2">
        <f>BDH("ELAB US Equity","CAPITAL_EXPEND","1993-06-18","2026-05-02","Per=Y","Days=T","Dir=V")</f>
        <v>0</v>
      </c>
      <c r="AO2">
        <f>BDH("ELAB US Equity","CF_FREE_CASH_FLOW","1993-06-18","2026-05-02","Per=Y","Days=T","Dir=V")</f>
        <v>0</v>
      </c>
      <c r="AQ2">
        <f>BDH("ELAB US Equity","PX_LAST","1993-06-18","2026-05-02","Per=M","Days=T","Dir=V")</f>
        <v>0</v>
      </c>
      <c r="AS2">
        <f>BDH("ELAB US Equity","CUR_MKT_CAP","1993-06-18","2026-05-02","Per=M","Days=T","Dir=V")</f>
        <v>0</v>
      </c>
      <c r="AU2">
        <f>BDH("ELAB US Equity","EQY_SH_OUT","1993-06-18","2026-05-02","Per=M","Days=T","Dir=V")</f>
        <v>0</v>
      </c>
      <c r="AW2">
        <f>BDH("ELAB US Equity","PX_VOLUME","1993-06-18","2026-05-02","Per=M","Days=T","Dir=V")</f>
        <v>0</v>
      </c>
      <c r="AY2">
        <f>BDH("ELAB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BDH("ELAN US Equity","BS_TOT_ASSET","1993-06-18","2026-05-02","Per=Y","Days=T","Dir=V")</f>
        <v>0</v>
      </c>
      <c r="C2">
        <f>BDH("ELAN US Equity","BS_TOT_LIAB2","1993-06-18","2026-05-02","Per=Y","Days=T","Dir=V")</f>
        <v>0</v>
      </c>
      <c r="E2">
        <f>BDH("ELAN US Equity","SHORT_AND_LONG_TERM_DEBT","1993-06-18","2026-05-02","Per=Y","Days=T","Dir=V")</f>
        <v>0</v>
      </c>
      <c r="G2">
        <f>BDH("ELAN US Equity","BS_ST_BORROW","1993-06-18","2026-05-02","Per=Y","Days=T","Dir=V")</f>
        <v>0</v>
      </c>
      <c r="I2">
        <f>BDH("ELAN US Equity","BS_LT_BORROW","1993-06-18","2026-05-02","Per=Y","Days=T","Dir=V")</f>
        <v>0</v>
      </c>
      <c r="K2">
        <f>BDH("ELAN US Equity","BS_CASH_NEAR_CASH_ITEM","1993-06-18","2026-05-02","Per=Y","Days=T","Dir=V")</f>
        <v>0</v>
      </c>
      <c r="M2">
        <f>BDH("ELAN US Equity","BS_CUR_ASSET_REPORT","1993-06-18","2026-05-02","Per=Y","Days=T","Dir=V")</f>
        <v>0</v>
      </c>
      <c r="O2">
        <f>BDH("ELAN US Equity","BS_CUR_LIAB","1993-06-18","2026-05-02","Per=Y","Days=T","Dir=V")</f>
        <v>0</v>
      </c>
      <c r="Q2">
        <f>BDH("ELAN US Equity","BS_SHAREHOLDER_EQY_ENDING_PERIOD","1993-06-18","2026-05-02","Per=Y","Days=T","Dir=V")</f>
        <v>0</v>
      </c>
      <c r="S2">
        <f>BDH("ELAN US Equity","BS_ACCT_NOTE_RCV","1993-06-18","2026-05-02","Per=Y","Days=T","Dir=V")</f>
        <v>0</v>
      </c>
      <c r="U2">
        <f>BDH("ELAN US Equity","BS_INVENTORIES","1993-06-18","2026-05-02","Per=Y","Days=T","Dir=V")</f>
        <v>0</v>
      </c>
      <c r="W2">
        <f>BDH("ELAN US Equity","WORKING_CAPITAL","1993-06-18","2026-05-02","Per=Y","Days=T","Dir=V")</f>
        <v>0</v>
      </c>
      <c r="Y2">
        <f>BDH("ELAN US Equity","SALES_REV_TURN","1993-06-18","2026-05-02","Per=Y","Days=T","Dir=V")</f>
        <v>0</v>
      </c>
      <c r="AA2">
        <f>BDH("ELAN US Equity","EBIT","1993-06-18","2026-05-02","Per=Y","Days=T","Dir=V")</f>
        <v>0</v>
      </c>
      <c r="AC2">
        <f>BDH("ELAN US Equity","EBITDA","1993-06-18","2026-05-02","Per=Y","Days=T","Dir=V")</f>
        <v>0</v>
      </c>
      <c r="AE2">
        <f>BDH("ELAN US Equity","NET_INCOME","1993-06-18","2026-05-02","Per=Y","Days=T","Dir=V")</f>
        <v>0</v>
      </c>
      <c r="AG2">
        <f>BDH("ELAN US Equity","IS_INT_EXPENSE","1993-06-18","2026-05-02","Per=Y","Days=T","Dir=V")</f>
        <v>0</v>
      </c>
      <c r="AI2">
        <f>BDH("ELAN US Equity","IS_DEPR_EXP","1993-06-18","2026-05-02","Per=Y","Days=T","Dir=V")</f>
        <v>0</v>
      </c>
      <c r="AK2">
        <f>BDH("ELAN US Equity","CF_CASH_FROM_OPER","1993-06-18","2026-05-02","Per=Y","Days=T","Dir=V")</f>
        <v>0</v>
      </c>
      <c r="AM2">
        <f>BDH("ELAN US Equity","CAPITAL_EXPEND","1993-06-18","2026-05-02","Per=Y","Days=T","Dir=V")</f>
        <v>0</v>
      </c>
      <c r="AO2">
        <f>BDH("ELAN US Equity","CF_FREE_CASH_FLOW","1993-06-18","2026-05-02","Per=Y","Days=T","Dir=V")</f>
        <v>0</v>
      </c>
      <c r="AQ2">
        <f>BDH("ELAN US Equity","PX_LAST","1993-06-18","2026-05-02","Per=M","Days=T","Dir=V")</f>
        <v>0</v>
      </c>
      <c r="AS2">
        <f>BDH("ELAN US Equity","CUR_MKT_CAP","1993-06-18","2026-05-02","Per=M","Days=T","Dir=V")</f>
        <v>0</v>
      </c>
      <c r="AU2">
        <f>BDH("ELAN US Equity","EQY_SH_OUT","1993-06-18","2026-05-02","Per=M","Days=T","Dir=V")</f>
        <v>0</v>
      </c>
      <c r="AW2">
        <f>BDH("ELAN US Equity","PX_VOLUME","1993-06-18","2026-05-02","Per=M","Days=T","Dir=V")</f>
        <v>0</v>
      </c>
      <c r="AY2">
        <f>BDH("ELAN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BDH("ELC US Equity","BS_TOT_ASSET","1993-06-18","2026-05-02","Per=Y","Days=T","Dir=V")</f>
        <v>0</v>
      </c>
      <c r="C2">
        <f>BDH("ELC US Equity","BS_TOT_LIAB2","1993-06-18","2026-05-02","Per=Y","Days=T","Dir=V")</f>
        <v>0</v>
      </c>
      <c r="E2">
        <f>BDH("ELC US Equity","SHORT_AND_LONG_TERM_DEBT","1993-06-18","2026-05-02","Per=Y","Days=T","Dir=V")</f>
        <v>0</v>
      </c>
      <c r="G2">
        <f>BDH("ELC US Equity","BS_ST_BORROW","1993-06-18","2026-05-02","Per=Y","Days=T","Dir=V")</f>
        <v>0</v>
      </c>
      <c r="I2">
        <f>BDH("ELC US Equity","BS_LT_BORROW","1993-06-18","2026-05-02","Per=Y","Days=T","Dir=V")</f>
        <v>0</v>
      </c>
      <c r="K2">
        <f>BDH("ELC US Equity","BS_CASH_NEAR_CASH_ITEM","1993-06-18","2026-05-02","Per=Y","Days=T","Dir=V")</f>
        <v>0</v>
      </c>
      <c r="M2">
        <f>BDH("ELC US Equity","BS_CUR_ASSET_REPORT","1993-06-18","2026-05-02","Per=Y","Days=T","Dir=V")</f>
        <v>0</v>
      </c>
      <c r="O2">
        <f>BDH("ELC US Equity","BS_CUR_LIAB","1993-06-18","2026-05-02","Per=Y","Days=T","Dir=V")</f>
        <v>0</v>
      </c>
      <c r="Q2">
        <f>BDH("ELC US Equity","BS_SHAREHOLDER_EQY_ENDING_PERIOD","1993-06-18","2026-05-02","Per=Y","Days=T","Dir=V")</f>
        <v>0</v>
      </c>
      <c r="S2">
        <f>BDH("ELC US Equity","BS_ACCT_NOTE_RCV","1993-06-18","2026-05-02","Per=Y","Days=T","Dir=V")</f>
        <v>0</v>
      </c>
      <c r="U2">
        <f>BDH("ELC US Equity","BS_INVENTORIES","1993-06-18","2026-05-02","Per=Y","Days=T","Dir=V")</f>
        <v>0</v>
      </c>
      <c r="W2">
        <f>BDH("ELC US Equity","WORKING_CAPITAL","1993-06-18","2026-05-02","Per=Y","Days=T","Dir=V")</f>
        <v>0</v>
      </c>
      <c r="Y2">
        <f>BDH("ELC US Equity","SALES_REV_TURN","1993-06-18","2026-05-02","Per=Y","Days=T","Dir=V")</f>
        <v>0</v>
      </c>
      <c r="AA2">
        <f>BDH("ELC US Equity","EBIT","1993-06-18","2026-05-02","Per=Y","Days=T","Dir=V")</f>
        <v>0</v>
      </c>
      <c r="AC2">
        <f>BDH("ELC US Equity","EBITDA","1993-06-18","2026-05-02","Per=Y","Days=T","Dir=V")</f>
        <v>0</v>
      </c>
      <c r="AE2">
        <f>BDH("ELC US Equity","NET_INCOME","1993-06-18","2026-05-02","Per=Y","Days=T","Dir=V")</f>
        <v>0</v>
      </c>
      <c r="AG2">
        <f>BDH("ELC US Equity","IS_INT_EXPENSE","1993-06-18","2026-05-02","Per=Y","Days=T","Dir=V")</f>
        <v>0</v>
      </c>
      <c r="AI2">
        <f>BDH("ELC US Equity","IS_DEPR_EXP","1993-06-18","2026-05-02","Per=Y","Days=T","Dir=V")</f>
        <v>0</v>
      </c>
      <c r="AK2">
        <f>BDH("ELC US Equity","CF_CASH_FROM_OPER","1993-06-18","2026-05-02","Per=Y","Days=T","Dir=V")</f>
        <v>0</v>
      </c>
      <c r="AM2">
        <f>BDH("ELC US Equity","CAPITAL_EXPEND","1993-06-18","2026-05-02","Per=Y","Days=T","Dir=V")</f>
        <v>0</v>
      </c>
      <c r="AO2">
        <f>BDH("ELC US Equity","CF_FREE_CASH_FLOW","1993-06-18","2026-05-02","Per=Y","Days=T","Dir=V")</f>
        <v>0</v>
      </c>
      <c r="AQ2">
        <f>BDH("ELC US Equity","PX_LAST","1993-06-18","2026-05-02","Per=M","Days=T","Dir=V")</f>
        <v>0</v>
      </c>
      <c r="AS2">
        <f>BDH("ELC US Equity","CUR_MKT_CAP","1993-06-18","2026-05-02","Per=M","Days=T","Dir=V")</f>
        <v>0</v>
      </c>
      <c r="AU2">
        <f>BDH("ELC US Equity","EQY_SH_OUT","1993-06-18","2026-05-02","Per=M","Days=T","Dir=V")</f>
        <v>0</v>
      </c>
      <c r="AW2">
        <f>BDH("ELC US Equity","PX_VOLUME","1993-06-18","2026-05-02","Per=M","Days=T","Dir=V")</f>
        <v>0</v>
      </c>
      <c r="AY2">
        <f>BDH("ELC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BDH("ELDN US Equity","BS_TOT_ASSET","1993-06-18","2026-05-02","Per=Y","Days=T","Dir=V")</f>
        <v>0</v>
      </c>
      <c r="C2">
        <f>BDH("ELDN US Equity","BS_TOT_LIAB2","1993-06-18","2026-05-02","Per=Y","Days=T","Dir=V")</f>
        <v>0</v>
      </c>
      <c r="E2">
        <f>BDH("ELDN US Equity","SHORT_AND_LONG_TERM_DEBT","1993-06-18","2026-05-02","Per=Y","Days=T","Dir=V")</f>
        <v>0</v>
      </c>
      <c r="G2">
        <f>BDH("ELDN US Equity","BS_ST_BORROW","1993-06-18","2026-05-02","Per=Y","Days=T","Dir=V")</f>
        <v>0</v>
      </c>
      <c r="I2">
        <f>BDH("ELDN US Equity","BS_LT_BORROW","1993-06-18","2026-05-02","Per=Y","Days=T","Dir=V")</f>
        <v>0</v>
      </c>
      <c r="K2">
        <f>BDH("ELDN US Equity","BS_CASH_NEAR_CASH_ITEM","1993-06-18","2026-05-02","Per=Y","Days=T","Dir=V")</f>
        <v>0</v>
      </c>
      <c r="M2">
        <f>BDH("ELDN US Equity","BS_CUR_ASSET_REPORT","1993-06-18","2026-05-02","Per=Y","Days=T","Dir=V")</f>
        <v>0</v>
      </c>
      <c r="O2">
        <f>BDH("ELDN US Equity","BS_CUR_LIAB","1993-06-18","2026-05-02","Per=Y","Days=T","Dir=V")</f>
        <v>0</v>
      </c>
      <c r="Q2">
        <f>BDH("ELDN US Equity","BS_SHAREHOLDER_EQY_ENDING_PERIOD","1993-06-18","2026-05-02","Per=Y","Days=T","Dir=V")</f>
        <v>0</v>
      </c>
      <c r="S2">
        <f>BDH("ELDN US Equity","BS_ACCT_NOTE_RCV","1993-06-18","2026-05-02","Per=Y","Days=T","Dir=V")</f>
        <v>0</v>
      </c>
      <c r="U2">
        <f>BDH("ELDN US Equity","BS_INVENTORIES","1993-06-18","2026-05-02","Per=Y","Days=T","Dir=V")</f>
        <v>0</v>
      </c>
      <c r="W2">
        <f>BDH("ELDN US Equity","WORKING_CAPITAL","1993-06-18","2026-05-02","Per=Y","Days=T","Dir=V")</f>
        <v>0</v>
      </c>
      <c r="Y2">
        <f>BDH("ELDN US Equity","SALES_REV_TURN","1993-06-18","2026-05-02","Per=Y","Days=T","Dir=V")</f>
        <v>0</v>
      </c>
      <c r="AA2">
        <f>BDH("ELDN US Equity","EBIT","1993-06-18","2026-05-02","Per=Y","Days=T","Dir=V")</f>
        <v>0</v>
      </c>
      <c r="AC2">
        <f>BDH("ELDN US Equity","EBITDA","1993-06-18","2026-05-02","Per=Y","Days=T","Dir=V")</f>
        <v>0</v>
      </c>
      <c r="AE2">
        <f>BDH("ELDN US Equity","NET_INCOME","1993-06-18","2026-05-02","Per=Y","Days=T","Dir=V")</f>
        <v>0</v>
      </c>
      <c r="AG2">
        <f>BDH("ELDN US Equity","IS_INT_EXPENSE","1993-06-18","2026-05-02","Per=Y","Days=T","Dir=V")</f>
        <v>0</v>
      </c>
      <c r="AI2">
        <f>BDH("ELDN US Equity","IS_DEPR_EXP","1993-06-18","2026-05-02","Per=Y","Days=T","Dir=V")</f>
        <v>0</v>
      </c>
      <c r="AK2">
        <f>BDH("ELDN US Equity","CF_CASH_FROM_OPER","1993-06-18","2026-05-02","Per=Y","Days=T","Dir=V")</f>
        <v>0</v>
      </c>
      <c r="AM2">
        <f>BDH("ELDN US Equity","CAPITAL_EXPEND","1993-06-18","2026-05-02","Per=Y","Days=T","Dir=V")</f>
        <v>0</v>
      </c>
      <c r="AO2">
        <f>BDH("ELDN US Equity","CF_FREE_CASH_FLOW","1993-06-18","2026-05-02","Per=Y","Days=T","Dir=V")</f>
        <v>0</v>
      </c>
      <c r="AQ2">
        <f>BDH("ELDN US Equity","PX_LAST","1993-06-18","2026-05-02","Per=M","Days=T","Dir=V")</f>
        <v>0</v>
      </c>
      <c r="AS2">
        <f>BDH("ELDN US Equity","CUR_MKT_CAP","1993-06-18","2026-05-02","Per=M","Days=T","Dir=V")</f>
        <v>0</v>
      </c>
      <c r="AU2">
        <f>BDH("ELDN US Equity","EQY_SH_OUT","1993-06-18","2026-05-02","Per=M","Days=T","Dir=V")</f>
        <v>0</v>
      </c>
      <c r="AW2">
        <f>BDH("ELDN US Equity","PX_VOLUME","1993-06-18","2026-05-02","Per=M","Days=T","Dir=V")</f>
        <v>0</v>
      </c>
      <c r="AY2">
        <f>BDH("ELDN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BDH("ELF US Equity","BS_TOT_ASSET","1993-06-18","2026-05-02","Per=Y","Days=T","Dir=V")</f>
        <v>0</v>
      </c>
      <c r="C2">
        <f>BDH("ELF US Equity","BS_TOT_LIAB2","1993-06-18","2026-05-02","Per=Y","Days=T","Dir=V")</f>
        <v>0</v>
      </c>
      <c r="E2">
        <f>BDH("ELF US Equity","SHORT_AND_LONG_TERM_DEBT","1993-06-18","2026-05-02","Per=Y","Days=T","Dir=V")</f>
        <v>0</v>
      </c>
      <c r="G2">
        <f>BDH("ELF US Equity","BS_ST_BORROW","1993-06-18","2026-05-02","Per=Y","Days=T","Dir=V")</f>
        <v>0</v>
      </c>
      <c r="I2">
        <f>BDH("ELF US Equity","BS_LT_BORROW","1993-06-18","2026-05-02","Per=Y","Days=T","Dir=V")</f>
        <v>0</v>
      </c>
      <c r="K2">
        <f>BDH("ELF US Equity","BS_CASH_NEAR_CASH_ITEM","1993-06-18","2026-05-02","Per=Y","Days=T","Dir=V")</f>
        <v>0</v>
      </c>
      <c r="M2">
        <f>BDH("ELF US Equity","BS_CUR_ASSET_REPORT","1993-06-18","2026-05-02","Per=Y","Days=T","Dir=V")</f>
        <v>0</v>
      </c>
      <c r="O2">
        <f>BDH("ELF US Equity","BS_CUR_LIAB","1993-06-18","2026-05-02","Per=Y","Days=T","Dir=V")</f>
        <v>0</v>
      </c>
      <c r="Q2">
        <f>BDH("ELF US Equity","BS_SHAREHOLDER_EQY_ENDING_PERIOD","1993-06-18","2026-05-02","Per=Y","Days=T","Dir=V")</f>
        <v>0</v>
      </c>
      <c r="S2">
        <f>BDH("ELF US Equity","BS_ACCT_NOTE_RCV","1993-06-18","2026-05-02","Per=Y","Days=T","Dir=V")</f>
        <v>0</v>
      </c>
      <c r="U2">
        <f>BDH("ELF US Equity","BS_INVENTORIES","1993-06-18","2026-05-02","Per=Y","Days=T","Dir=V")</f>
        <v>0</v>
      </c>
      <c r="W2">
        <f>BDH("ELF US Equity","WORKING_CAPITAL","1993-06-18","2026-05-02","Per=Y","Days=T","Dir=V")</f>
        <v>0</v>
      </c>
      <c r="Y2">
        <f>BDH("ELF US Equity","SALES_REV_TURN","1993-06-18","2026-05-02","Per=Y","Days=T","Dir=V")</f>
        <v>0</v>
      </c>
      <c r="AA2">
        <f>BDH("ELF US Equity","EBIT","1993-06-18","2026-05-02","Per=Y","Days=T","Dir=V")</f>
        <v>0</v>
      </c>
      <c r="AC2">
        <f>BDH("ELF US Equity","EBITDA","1993-06-18","2026-05-02","Per=Y","Days=T","Dir=V")</f>
        <v>0</v>
      </c>
      <c r="AE2">
        <f>BDH("ELF US Equity","NET_INCOME","1993-06-18","2026-05-02","Per=Y","Days=T","Dir=V")</f>
        <v>0</v>
      </c>
      <c r="AG2">
        <f>BDH("ELF US Equity","IS_INT_EXPENSE","1993-06-18","2026-05-02","Per=Y","Days=T","Dir=V")</f>
        <v>0</v>
      </c>
      <c r="AI2">
        <f>BDH("ELF US Equity","IS_DEPR_EXP","1993-06-18","2026-05-02","Per=Y","Days=T","Dir=V")</f>
        <v>0</v>
      </c>
      <c r="AK2">
        <f>BDH("ELF US Equity","CF_CASH_FROM_OPER","1993-06-18","2026-05-02","Per=Y","Days=T","Dir=V")</f>
        <v>0</v>
      </c>
      <c r="AM2">
        <f>BDH("ELF US Equity","CAPITAL_EXPEND","1993-06-18","2026-05-02","Per=Y","Days=T","Dir=V")</f>
        <v>0</v>
      </c>
      <c r="AO2">
        <f>BDH("ELF US Equity","CF_FREE_CASH_FLOW","1993-06-18","2026-05-02","Per=Y","Days=T","Dir=V")</f>
        <v>0</v>
      </c>
      <c r="AQ2">
        <f>BDH("ELF US Equity","PX_LAST","1993-06-18","2026-05-02","Per=M","Days=T","Dir=V")</f>
        <v>0</v>
      </c>
      <c r="AS2">
        <f>BDH("ELF US Equity","CUR_MKT_CAP","1993-06-18","2026-05-02","Per=M","Days=T","Dir=V")</f>
        <v>0</v>
      </c>
      <c r="AU2">
        <f>BDH("ELF US Equity","EQY_SH_OUT","1993-06-18","2026-05-02","Per=M","Days=T","Dir=V")</f>
        <v>0</v>
      </c>
      <c r="AW2">
        <f>BDH("ELF US Equity","PX_VOLUME","1993-06-18","2026-05-02","Per=M","Days=T","Dir=V")</f>
        <v>0</v>
      </c>
      <c r="AY2">
        <f>BDH("ELF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BDH("ELMD US Equity","BS_TOT_ASSET","1993-06-18","2026-05-02","Per=Y","Days=T","Dir=V")</f>
        <v>0</v>
      </c>
      <c r="C2">
        <f>BDH("ELMD US Equity","BS_TOT_LIAB2","1993-06-18","2026-05-02","Per=Y","Days=T","Dir=V")</f>
        <v>0</v>
      </c>
      <c r="E2">
        <f>BDH("ELMD US Equity","SHORT_AND_LONG_TERM_DEBT","1993-06-18","2026-05-02","Per=Y","Days=T","Dir=V")</f>
        <v>0</v>
      </c>
      <c r="G2">
        <f>BDH("ELMD US Equity","BS_ST_BORROW","1993-06-18","2026-05-02","Per=Y","Days=T","Dir=V")</f>
        <v>0</v>
      </c>
      <c r="I2">
        <f>BDH("ELMD US Equity","BS_LT_BORROW","1993-06-18","2026-05-02","Per=Y","Days=T","Dir=V")</f>
        <v>0</v>
      </c>
      <c r="K2">
        <f>BDH("ELMD US Equity","BS_CASH_NEAR_CASH_ITEM","1993-06-18","2026-05-02","Per=Y","Days=T","Dir=V")</f>
        <v>0</v>
      </c>
      <c r="M2">
        <f>BDH("ELMD US Equity","BS_CUR_ASSET_REPORT","1993-06-18","2026-05-02","Per=Y","Days=T","Dir=V")</f>
        <v>0</v>
      </c>
      <c r="O2">
        <f>BDH("ELMD US Equity","BS_CUR_LIAB","1993-06-18","2026-05-02","Per=Y","Days=T","Dir=V")</f>
        <v>0</v>
      </c>
      <c r="Q2">
        <f>BDH("ELMD US Equity","BS_SHAREHOLDER_EQY_ENDING_PERIOD","1993-06-18","2026-05-02","Per=Y","Days=T","Dir=V")</f>
        <v>0</v>
      </c>
      <c r="S2">
        <f>BDH("ELMD US Equity","BS_ACCT_NOTE_RCV","1993-06-18","2026-05-02","Per=Y","Days=T","Dir=V")</f>
        <v>0</v>
      </c>
      <c r="U2">
        <f>BDH("ELMD US Equity","BS_INVENTORIES","1993-06-18","2026-05-02","Per=Y","Days=T","Dir=V")</f>
        <v>0</v>
      </c>
      <c r="W2">
        <f>BDH("ELMD US Equity","WORKING_CAPITAL","1993-06-18","2026-05-02","Per=Y","Days=T","Dir=V")</f>
        <v>0</v>
      </c>
      <c r="Y2">
        <f>BDH("ELMD US Equity","SALES_REV_TURN","1993-06-18","2026-05-02","Per=Y","Days=T","Dir=V")</f>
        <v>0</v>
      </c>
      <c r="AA2">
        <f>BDH("ELMD US Equity","EBIT","1993-06-18","2026-05-02","Per=Y","Days=T","Dir=V")</f>
        <v>0</v>
      </c>
      <c r="AC2">
        <f>BDH("ELMD US Equity","EBITDA","1993-06-18","2026-05-02","Per=Y","Days=T","Dir=V")</f>
        <v>0</v>
      </c>
      <c r="AE2">
        <f>BDH("ELMD US Equity","NET_INCOME","1993-06-18","2026-05-02","Per=Y","Days=T","Dir=V")</f>
        <v>0</v>
      </c>
      <c r="AG2">
        <f>BDH("ELMD US Equity","IS_INT_EXPENSE","1993-06-18","2026-05-02","Per=Y","Days=T","Dir=V")</f>
        <v>0</v>
      </c>
      <c r="AI2">
        <f>BDH("ELMD US Equity","IS_DEPR_EXP","1993-06-18","2026-05-02","Per=Y","Days=T","Dir=V")</f>
        <v>0</v>
      </c>
      <c r="AK2">
        <f>BDH("ELMD US Equity","CF_CASH_FROM_OPER","1993-06-18","2026-05-02","Per=Y","Days=T","Dir=V")</f>
        <v>0</v>
      </c>
      <c r="AM2">
        <f>BDH("ELMD US Equity","CAPITAL_EXPEND","1993-06-18","2026-05-02","Per=Y","Days=T","Dir=V")</f>
        <v>0</v>
      </c>
      <c r="AO2">
        <f>BDH("ELMD US Equity","CF_FREE_CASH_FLOW","1993-06-18","2026-05-02","Per=Y","Days=T","Dir=V")</f>
        <v>0</v>
      </c>
      <c r="AQ2">
        <f>BDH("ELMD US Equity","PX_LAST","1993-06-18","2026-05-02","Per=M","Days=T","Dir=V")</f>
        <v>0</v>
      </c>
      <c r="AS2">
        <f>BDH("ELMD US Equity","CUR_MKT_CAP","1993-06-18","2026-05-02","Per=M","Days=T","Dir=V")</f>
        <v>0</v>
      </c>
      <c r="AU2">
        <f>BDH("ELMD US Equity","EQY_SH_OUT","1993-06-18","2026-05-02","Per=M","Days=T","Dir=V")</f>
        <v>0</v>
      </c>
      <c r="AW2">
        <f>BDH("ELMD US Equity","PX_VOLUME","1993-06-18","2026-05-02","Per=M","Days=T","Dir=V")</f>
        <v>0</v>
      </c>
      <c r="AY2">
        <f>BDH("ELMD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BDH("ELMT US Equity","BS_TOT_ASSET","1993-06-18","2026-05-02","Per=Y","Days=T","Dir=V")</f>
        <v>0</v>
      </c>
      <c r="C2">
        <f>BDH("ELMT US Equity","BS_TOT_LIAB2","1993-06-18","2026-05-02","Per=Y","Days=T","Dir=V")</f>
        <v>0</v>
      </c>
      <c r="E2">
        <f>BDH("ELMT US Equity","SHORT_AND_LONG_TERM_DEBT","1993-06-18","2026-05-02","Per=Y","Days=T","Dir=V")</f>
        <v>0</v>
      </c>
      <c r="G2">
        <f>BDH("ELMT US Equity","BS_ST_BORROW","1993-06-18","2026-05-02","Per=Y","Days=T","Dir=V")</f>
        <v>0</v>
      </c>
      <c r="I2">
        <f>BDH("ELMT US Equity","BS_LT_BORROW","1993-06-18","2026-05-02","Per=Y","Days=T","Dir=V")</f>
        <v>0</v>
      </c>
      <c r="K2">
        <f>BDH("ELMT US Equity","BS_CASH_NEAR_CASH_ITEM","1993-06-18","2026-05-02","Per=Y","Days=T","Dir=V")</f>
        <v>0</v>
      </c>
      <c r="M2">
        <f>BDH("ELMT US Equity","BS_CUR_ASSET_REPORT","1993-06-18","2026-05-02","Per=Y","Days=T","Dir=V")</f>
        <v>0</v>
      </c>
      <c r="O2">
        <f>BDH("ELMT US Equity","BS_CUR_LIAB","1993-06-18","2026-05-02","Per=Y","Days=T","Dir=V")</f>
        <v>0</v>
      </c>
      <c r="Q2">
        <f>BDH("ELMT US Equity","BS_SHAREHOLDER_EQY_ENDING_PERIOD","1993-06-18","2026-05-02","Per=Y","Days=T","Dir=V")</f>
        <v>0</v>
      </c>
      <c r="S2">
        <f>BDH("ELMT US Equity","BS_ACCT_NOTE_RCV","1993-06-18","2026-05-02","Per=Y","Days=T","Dir=V")</f>
        <v>0</v>
      </c>
      <c r="U2">
        <f>BDH("ELMT US Equity","BS_INVENTORIES","1993-06-18","2026-05-02","Per=Y","Days=T","Dir=V")</f>
        <v>0</v>
      </c>
      <c r="W2">
        <f>BDH("ELMT US Equity","WORKING_CAPITAL","1993-06-18","2026-05-02","Per=Y","Days=T","Dir=V")</f>
        <v>0</v>
      </c>
      <c r="Y2">
        <f>BDH("ELMT US Equity","SALES_REV_TURN","1993-06-18","2026-05-02","Per=Y","Days=T","Dir=V")</f>
        <v>0</v>
      </c>
      <c r="AA2">
        <f>BDH("ELMT US Equity","EBIT","1993-06-18","2026-05-02","Per=Y","Days=T","Dir=V")</f>
        <v>0</v>
      </c>
      <c r="AC2">
        <f>BDH("ELMT US Equity","EBITDA","1993-06-18","2026-05-02","Per=Y","Days=T","Dir=V")</f>
        <v>0</v>
      </c>
      <c r="AE2">
        <f>BDH("ELMT US Equity","NET_INCOME","1993-06-18","2026-05-02","Per=Y","Days=T","Dir=V")</f>
        <v>0</v>
      </c>
      <c r="AG2">
        <f>BDH("ELMT US Equity","IS_INT_EXPENSE","1993-06-18","2026-05-02","Per=Y","Days=T","Dir=V")</f>
        <v>0</v>
      </c>
      <c r="AI2">
        <f>BDH("ELMT US Equity","IS_DEPR_EXP","1993-06-18","2026-05-02","Per=Y","Days=T","Dir=V")</f>
        <v>0</v>
      </c>
      <c r="AK2">
        <f>BDH("ELMT US Equity","CF_CASH_FROM_OPER","1993-06-18","2026-05-02","Per=Y","Days=T","Dir=V")</f>
        <v>0</v>
      </c>
      <c r="AM2">
        <f>BDH("ELMT US Equity","CAPITAL_EXPEND","1993-06-18","2026-05-02","Per=Y","Days=T","Dir=V")</f>
        <v>0</v>
      </c>
      <c r="AO2">
        <f>BDH("ELMT US Equity","CF_FREE_CASH_FLOW","1993-06-18","2026-05-02","Per=Y","Days=T","Dir=V")</f>
        <v>0</v>
      </c>
      <c r="AQ2">
        <f>BDH("ELMT US Equity","PX_LAST","1993-06-18","2026-05-02","Per=M","Days=T","Dir=V")</f>
        <v>0</v>
      </c>
      <c r="AS2">
        <f>BDH("ELMT US Equity","CUR_MKT_CAP","1993-06-18","2026-05-02","Per=M","Days=T","Dir=V")</f>
        <v>0</v>
      </c>
      <c r="AU2">
        <f>BDH("ELMT US Equity","EQY_SH_OUT","1993-06-18","2026-05-02","Per=M","Days=T","Dir=V")</f>
        <v>0</v>
      </c>
      <c r="AW2">
        <f>BDH("ELMT US Equity","PX_VOLUME","1993-06-18","2026-05-02","Per=M","Days=T","Dir=V")</f>
        <v>0</v>
      </c>
      <c r="AY2">
        <f>BDH("ELMT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BDH("ELOX US Equity","BS_TOT_ASSET","1993-06-18","2026-05-02","Per=Y","Days=T","Dir=V")</f>
        <v>0</v>
      </c>
      <c r="C2">
        <f>BDH("ELOX US Equity","BS_TOT_LIAB2","1993-06-18","2026-05-02","Per=Y","Days=T","Dir=V")</f>
        <v>0</v>
      </c>
      <c r="E2">
        <f>BDH("ELOX US Equity","SHORT_AND_LONG_TERM_DEBT","1993-06-18","2026-05-02","Per=Y","Days=T","Dir=V")</f>
        <v>0</v>
      </c>
      <c r="G2">
        <f>BDH("ELOX US Equity","BS_ST_BORROW","1993-06-18","2026-05-02","Per=Y","Days=T","Dir=V")</f>
        <v>0</v>
      </c>
      <c r="I2">
        <f>BDH("ELOX US Equity","BS_LT_BORROW","1993-06-18","2026-05-02","Per=Y","Days=T","Dir=V")</f>
        <v>0</v>
      </c>
      <c r="K2">
        <f>BDH("ELOX US Equity","BS_CASH_NEAR_CASH_ITEM","1993-06-18","2026-05-02","Per=Y","Days=T","Dir=V")</f>
        <v>0</v>
      </c>
      <c r="M2">
        <f>BDH("ELOX US Equity","BS_CUR_ASSET_REPORT","1993-06-18","2026-05-02","Per=Y","Days=T","Dir=V")</f>
        <v>0</v>
      </c>
      <c r="O2">
        <f>BDH("ELOX US Equity","BS_CUR_LIAB","1993-06-18","2026-05-02","Per=Y","Days=T","Dir=V")</f>
        <v>0</v>
      </c>
      <c r="Q2">
        <f>BDH("ELOX US Equity","BS_SHAREHOLDER_EQY_ENDING_PERIOD","1993-06-18","2026-05-02","Per=Y","Days=T","Dir=V")</f>
        <v>0</v>
      </c>
      <c r="S2">
        <f>BDH("ELOX US Equity","BS_ACCT_NOTE_RCV","1993-06-18","2026-05-02","Per=Y","Days=T","Dir=V")</f>
        <v>0</v>
      </c>
      <c r="U2">
        <f>BDH("ELOX US Equity","BS_INVENTORIES","1993-06-18","2026-05-02","Per=Y","Days=T","Dir=V")</f>
        <v>0</v>
      </c>
      <c r="W2">
        <f>BDH("ELOX US Equity","WORKING_CAPITAL","1993-06-18","2026-05-02","Per=Y","Days=T","Dir=V")</f>
        <v>0</v>
      </c>
      <c r="Y2">
        <f>BDH("ELOX US Equity","SALES_REV_TURN","1993-06-18","2026-05-02","Per=Y","Days=T","Dir=V")</f>
        <v>0</v>
      </c>
      <c r="AA2">
        <f>BDH("ELOX US Equity","EBIT","1993-06-18","2026-05-02","Per=Y","Days=T","Dir=V")</f>
        <v>0</v>
      </c>
      <c r="AC2">
        <f>BDH("ELOX US Equity","EBITDA","1993-06-18","2026-05-02","Per=Y","Days=T","Dir=V")</f>
        <v>0</v>
      </c>
      <c r="AE2">
        <f>BDH("ELOX US Equity","NET_INCOME","1993-06-18","2026-05-02","Per=Y","Days=T","Dir=V")</f>
        <v>0</v>
      </c>
      <c r="AG2">
        <f>BDH("ELOX US Equity","IS_INT_EXPENSE","1993-06-18","2026-05-02","Per=Y","Days=T","Dir=V")</f>
        <v>0</v>
      </c>
      <c r="AI2">
        <f>BDH("ELOX US Equity","IS_DEPR_EXP","1993-06-18","2026-05-02","Per=Y","Days=T","Dir=V")</f>
        <v>0</v>
      </c>
      <c r="AK2">
        <f>BDH("ELOX US Equity","CF_CASH_FROM_OPER","1993-06-18","2026-05-02","Per=Y","Days=T","Dir=V")</f>
        <v>0</v>
      </c>
      <c r="AM2">
        <f>BDH("ELOX US Equity","CAPITAL_EXPEND","1993-06-18","2026-05-02","Per=Y","Days=T","Dir=V")</f>
        <v>0</v>
      </c>
      <c r="AO2">
        <f>BDH("ELOX US Equity","CF_FREE_CASH_FLOW","1993-06-18","2026-05-02","Per=Y","Days=T","Dir=V")</f>
        <v>0</v>
      </c>
      <c r="AQ2">
        <f>BDH("ELOX US Equity","PX_LAST","1993-06-18","2026-05-02","Per=M","Days=T","Dir=V")</f>
        <v>0</v>
      </c>
      <c r="AS2">
        <f>BDH("ELOX US Equity","CUR_MKT_CAP","1993-06-18","2026-05-02","Per=M","Days=T","Dir=V")</f>
        <v>0</v>
      </c>
      <c r="AU2">
        <f>BDH("ELOX US Equity","EQY_SH_OUT","1993-06-18","2026-05-02","Per=M","Days=T","Dir=V")</f>
        <v>0</v>
      </c>
      <c r="AW2">
        <f>BDH("ELOX US Equity","PX_VOLUME","1993-06-18","2026-05-02","Per=M","Days=T","Dir=V")</f>
        <v>0</v>
      </c>
      <c r="AY2">
        <f>BDH("ELOX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BDH("ELTX US Equity","BS_TOT_ASSET","1993-06-18","2026-05-02","Per=Y","Days=T","Dir=V")</f>
        <v>0</v>
      </c>
      <c r="C2">
        <f>BDH("ELTX US Equity","BS_TOT_LIAB2","1993-06-18","2026-05-02","Per=Y","Days=T","Dir=V")</f>
        <v>0</v>
      </c>
      <c r="E2">
        <f>BDH("ELTX US Equity","SHORT_AND_LONG_TERM_DEBT","1993-06-18","2026-05-02","Per=Y","Days=T","Dir=V")</f>
        <v>0</v>
      </c>
      <c r="G2">
        <f>BDH("ELTX US Equity","BS_ST_BORROW","1993-06-18","2026-05-02","Per=Y","Days=T","Dir=V")</f>
        <v>0</v>
      </c>
      <c r="I2">
        <f>BDH("ELTX US Equity","BS_LT_BORROW","1993-06-18","2026-05-02","Per=Y","Days=T","Dir=V")</f>
        <v>0</v>
      </c>
      <c r="K2">
        <f>BDH("ELTX US Equity","BS_CASH_NEAR_CASH_ITEM","1993-06-18","2026-05-02","Per=Y","Days=T","Dir=V")</f>
        <v>0</v>
      </c>
      <c r="M2">
        <f>BDH("ELTX US Equity","BS_CUR_ASSET_REPORT","1993-06-18","2026-05-02","Per=Y","Days=T","Dir=V")</f>
        <v>0</v>
      </c>
      <c r="O2">
        <f>BDH("ELTX US Equity","BS_CUR_LIAB","1993-06-18","2026-05-02","Per=Y","Days=T","Dir=V")</f>
        <v>0</v>
      </c>
      <c r="Q2">
        <f>BDH("ELTX US Equity","BS_SHAREHOLDER_EQY_ENDING_PERIOD","1993-06-18","2026-05-02","Per=Y","Days=T","Dir=V")</f>
        <v>0</v>
      </c>
      <c r="S2">
        <f>BDH("ELTX US Equity","BS_ACCT_NOTE_RCV","1993-06-18","2026-05-02","Per=Y","Days=T","Dir=V")</f>
        <v>0</v>
      </c>
      <c r="U2">
        <f>BDH("ELTX US Equity","BS_INVENTORIES","1993-06-18","2026-05-02","Per=Y","Days=T","Dir=V")</f>
        <v>0</v>
      </c>
      <c r="W2">
        <f>BDH("ELTX US Equity","WORKING_CAPITAL","1993-06-18","2026-05-02","Per=Y","Days=T","Dir=V")</f>
        <v>0</v>
      </c>
      <c r="Y2">
        <f>BDH("ELTX US Equity","SALES_REV_TURN","1993-06-18","2026-05-02","Per=Y","Days=T","Dir=V")</f>
        <v>0</v>
      </c>
      <c r="AA2">
        <f>BDH("ELTX US Equity","EBIT","1993-06-18","2026-05-02","Per=Y","Days=T","Dir=V")</f>
        <v>0</v>
      </c>
      <c r="AC2">
        <f>BDH("ELTX US Equity","EBITDA","1993-06-18","2026-05-02","Per=Y","Days=T","Dir=V")</f>
        <v>0</v>
      </c>
      <c r="AE2">
        <f>BDH("ELTX US Equity","NET_INCOME","1993-06-18","2026-05-02","Per=Y","Days=T","Dir=V")</f>
        <v>0</v>
      </c>
      <c r="AG2">
        <f>BDH("ELTX US Equity","IS_INT_EXPENSE","1993-06-18","2026-05-02","Per=Y","Days=T","Dir=V")</f>
        <v>0</v>
      </c>
      <c r="AI2">
        <f>BDH("ELTX US Equity","IS_DEPR_EXP","1993-06-18","2026-05-02","Per=Y","Days=T","Dir=V")</f>
        <v>0</v>
      </c>
      <c r="AK2">
        <f>BDH("ELTX US Equity","CF_CASH_FROM_OPER","1993-06-18","2026-05-02","Per=Y","Days=T","Dir=V")</f>
        <v>0</v>
      </c>
      <c r="AM2">
        <f>BDH("ELTX US Equity","CAPITAL_EXPEND","1993-06-18","2026-05-02","Per=Y","Days=T","Dir=V")</f>
        <v>0</v>
      </c>
      <c r="AO2">
        <f>BDH("ELTX US Equity","CF_FREE_CASH_FLOW","1993-06-18","2026-05-02","Per=Y","Days=T","Dir=V")</f>
        <v>0</v>
      </c>
      <c r="AQ2">
        <f>BDH("ELTX US Equity","PX_LAST","1993-06-18","2026-05-02","Per=M","Days=T","Dir=V")</f>
        <v>0</v>
      </c>
      <c r="AS2">
        <f>BDH("ELTX US Equity","CUR_MKT_CAP","1993-06-18","2026-05-02","Per=M","Days=T","Dir=V")</f>
        <v>0</v>
      </c>
      <c r="AU2">
        <f>BDH("ELTX US Equity","EQY_SH_OUT","1993-06-18","2026-05-02","Per=M","Days=T","Dir=V")</f>
        <v>0</v>
      </c>
      <c r="AW2">
        <f>BDH("ELTX US Equity","PX_VOLUME","1993-06-18","2026-05-02","Per=M","Days=T","Dir=V")</f>
        <v>0</v>
      </c>
      <c r="AY2">
        <f>BDH("ELTX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BDH("ELUT US Equity","BS_TOT_ASSET","1993-06-18","2026-05-02","Per=Y","Days=T","Dir=V")</f>
        <v>0</v>
      </c>
      <c r="C2">
        <f>BDH("ELUT US Equity","BS_TOT_LIAB2","1993-06-18","2026-05-02","Per=Y","Days=T","Dir=V")</f>
        <v>0</v>
      </c>
      <c r="E2">
        <f>BDH("ELUT US Equity","SHORT_AND_LONG_TERM_DEBT","1993-06-18","2026-05-02","Per=Y","Days=T","Dir=V")</f>
        <v>0</v>
      </c>
      <c r="G2">
        <f>BDH("ELUT US Equity","BS_ST_BORROW","1993-06-18","2026-05-02","Per=Y","Days=T","Dir=V")</f>
        <v>0</v>
      </c>
      <c r="I2">
        <f>BDH("ELUT US Equity","BS_LT_BORROW","1993-06-18","2026-05-02","Per=Y","Days=T","Dir=V")</f>
        <v>0</v>
      </c>
      <c r="K2">
        <f>BDH("ELUT US Equity","BS_CASH_NEAR_CASH_ITEM","1993-06-18","2026-05-02","Per=Y","Days=T","Dir=V")</f>
        <v>0</v>
      </c>
      <c r="M2">
        <f>BDH("ELUT US Equity","BS_CUR_ASSET_REPORT","1993-06-18","2026-05-02","Per=Y","Days=T","Dir=V")</f>
        <v>0</v>
      </c>
      <c r="O2">
        <f>BDH("ELUT US Equity","BS_CUR_LIAB","1993-06-18","2026-05-02","Per=Y","Days=T","Dir=V")</f>
        <v>0</v>
      </c>
      <c r="Q2">
        <f>BDH("ELUT US Equity","BS_SHAREHOLDER_EQY_ENDING_PERIOD","1993-06-18","2026-05-02","Per=Y","Days=T","Dir=V")</f>
        <v>0</v>
      </c>
      <c r="S2">
        <f>BDH("ELUT US Equity","BS_ACCT_NOTE_RCV","1993-06-18","2026-05-02","Per=Y","Days=T","Dir=V")</f>
        <v>0</v>
      </c>
      <c r="U2">
        <f>BDH("ELUT US Equity","BS_INVENTORIES","1993-06-18","2026-05-02","Per=Y","Days=T","Dir=V")</f>
        <v>0</v>
      </c>
      <c r="W2">
        <f>BDH("ELUT US Equity","WORKING_CAPITAL","1993-06-18","2026-05-02","Per=Y","Days=T","Dir=V")</f>
        <v>0</v>
      </c>
      <c r="Y2">
        <f>BDH("ELUT US Equity","SALES_REV_TURN","1993-06-18","2026-05-02","Per=Y","Days=T","Dir=V")</f>
        <v>0</v>
      </c>
      <c r="AA2">
        <f>BDH("ELUT US Equity","EBIT","1993-06-18","2026-05-02","Per=Y","Days=T","Dir=V")</f>
        <v>0</v>
      </c>
      <c r="AC2">
        <f>BDH("ELUT US Equity","EBITDA","1993-06-18","2026-05-02","Per=Y","Days=T","Dir=V")</f>
        <v>0</v>
      </c>
      <c r="AE2">
        <f>BDH("ELUT US Equity","NET_INCOME","1993-06-18","2026-05-02","Per=Y","Days=T","Dir=V")</f>
        <v>0</v>
      </c>
      <c r="AG2">
        <f>BDH("ELUT US Equity","IS_INT_EXPENSE","1993-06-18","2026-05-02","Per=Y","Days=T","Dir=V")</f>
        <v>0</v>
      </c>
      <c r="AI2">
        <f>BDH("ELUT US Equity","IS_DEPR_EXP","1993-06-18","2026-05-02","Per=Y","Days=T","Dir=V")</f>
        <v>0</v>
      </c>
      <c r="AK2">
        <f>BDH("ELUT US Equity","CF_CASH_FROM_OPER","1993-06-18","2026-05-02","Per=Y","Days=T","Dir=V")</f>
        <v>0</v>
      </c>
      <c r="AM2">
        <f>BDH("ELUT US Equity","CAPITAL_EXPEND","1993-06-18","2026-05-02","Per=Y","Days=T","Dir=V")</f>
        <v>0</v>
      </c>
      <c r="AO2">
        <f>BDH("ELUT US Equity","CF_FREE_CASH_FLOW","1993-06-18","2026-05-02","Per=Y","Days=T","Dir=V")</f>
        <v>0</v>
      </c>
      <c r="AQ2">
        <f>BDH("ELUT US Equity","PX_LAST","1993-06-18","2026-05-02","Per=M","Days=T","Dir=V")</f>
        <v>0</v>
      </c>
      <c r="AS2">
        <f>BDH("ELUT US Equity","CUR_MKT_CAP","1993-06-18","2026-05-02","Per=M","Days=T","Dir=V")</f>
        <v>0</v>
      </c>
      <c r="AU2">
        <f>BDH("ELUT US Equity","EQY_SH_OUT","1993-06-18","2026-05-02","Per=M","Days=T","Dir=V")</f>
        <v>0</v>
      </c>
      <c r="AW2">
        <f>BDH("ELUT US Equity","PX_VOLUME","1993-06-18","2026-05-02","Per=M","Days=T","Dir=V")</f>
        <v>0</v>
      </c>
      <c r="AY2">
        <f>BDH("ELUT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BDH("ELV US Equity","BS_TOT_ASSET","1993-06-18","2026-05-02","Per=Y","Days=T","Dir=V")</f>
        <v>0</v>
      </c>
      <c r="C2">
        <f>BDH("ELV US Equity","BS_TOT_LIAB2","1993-06-18","2026-05-02","Per=Y","Days=T","Dir=V")</f>
        <v>0</v>
      </c>
      <c r="E2">
        <f>BDH("ELV US Equity","SHORT_AND_LONG_TERM_DEBT","1993-06-18","2026-05-02","Per=Y","Days=T","Dir=V")</f>
        <v>0</v>
      </c>
      <c r="G2">
        <f>BDH("ELV US Equity","BS_ST_BORROW","1993-06-18","2026-05-02","Per=Y","Days=T","Dir=V")</f>
        <v>0</v>
      </c>
      <c r="I2">
        <f>BDH("ELV US Equity","BS_LT_BORROW","1993-06-18","2026-05-02","Per=Y","Days=T","Dir=V")</f>
        <v>0</v>
      </c>
      <c r="K2">
        <f>BDH("ELV US Equity","BS_CASH_NEAR_CASH_ITEM","1993-06-18","2026-05-02","Per=Y","Days=T","Dir=V")</f>
        <v>0</v>
      </c>
      <c r="M2">
        <f>BDH("ELV US Equity","BS_CUR_ASSET_REPORT","1993-06-18","2026-05-02","Per=Y","Days=T","Dir=V")</f>
        <v>0</v>
      </c>
      <c r="O2">
        <f>BDH("ELV US Equity","BS_CUR_LIAB","1993-06-18","2026-05-02","Per=Y","Days=T","Dir=V")</f>
        <v>0</v>
      </c>
      <c r="Q2">
        <f>BDH("ELV US Equity","BS_SHAREHOLDER_EQY_ENDING_PERIOD","1993-06-18","2026-05-02","Per=Y","Days=T","Dir=V")</f>
        <v>0</v>
      </c>
      <c r="S2">
        <f>BDH("ELV US Equity","BS_ACCT_NOTE_RCV","1993-06-18","2026-05-02","Per=Y","Days=T","Dir=V")</f>
        <v>0</v>
      </c>
      <c r="U2">
        <f>BDH("ELV US Equity","BS_INVENTORIES","1993-06-18","2026-05-02","Per=Y","Days=T","Dir=V")</f>
        <v>0</v>
      </c>
      <c r="W2">
        <f>BDH("ELV US Equity","WORKING_CAPITAL","1993-06-18","2026-05-02","Per=Y","Days=T","Dir=V")</f>
        <v>0</v>
      </c>
      <c r="Y2">
        <f>BDH("ELV US Equity","SALES_REV_TURN","1993-06-18","2026-05-02","Per=Y","Days=T","Dir=V")</f>
        <v>0</v>
      </c>
      <c r="AA2">
        <f>BDH("ELV US Equity","EBIT","1993-06-18","2026-05-02","Per=Y","Days=T","Dir=V")</f>
        <v>0</v>
      </c>
      <c r="AC2">
        <f>BDH("ELV US Equity","EBITDA","1993-06-18","2026-05-02","Per=Y","Days=T","Dir=V")</f>
        <v>0</v>
      </c>
      <c r="AE2">
        <f>BDH("ELV US Equity","NET_INCOME","1993-06-18","2026-05-02","Per=Y","Days=T","Dir=V")</f>
        <v>0</v>
      </c>
      <c r="AG2">
        <f>BDH("ELV US Equity","IS_INT_EXPENSE","1993-06-18","2026-05-02","Per=Y","Days=T","Dir=V")</f>
        <v>0</v>
      </c>
      <c r="AI2">
        <f>BDH("ELV US Equity","IS_DEPR_EXP","1993-06-18","2026-05-02","Per=Y","Days=T","Dir=V")</f>
        <v>0</v>
      </c>
      <c r="AK2">
        <f>BDH("ELV US Equity","CF_CASH_FROM_OPER","1993-06-18","2026-05-02","Per=Y","Days=T","Dir=V")</f>
        <v>0</v>
      </c>
      <c r="AM2">
        <f>BDH("ELV US Equity","CAPITAL_EXPEND","1993-06-18","2026-05-02","Per=Y","Days=T","Dir=V")</f>
        <v>0</v>
      </c>
      <c r="AO2">
        <f>BDH("ELV US Equity","CF_FREE_CASH_FLOW","1993-06-18","2026-05-02","Per=Y","Days=T","Dir=V")</f>
        <v>0</v>
      </c>
      <c r="AQ2">
        <f>BDH("ELV US Equity","PX_LAST","1993-06-18","2026-05-02","Per=M","Days=T","Dir=V")</f>
        <v>0</v>
      </c>
      <c r="AS2">
        <f>BDH("ELV US Equity","CUR_MKT_CAP","1993-06-18","2026-05-02","Per=M","Days=T","Dir=V")</f>
        <v>0</v>
      </c>
      <c r="AU2">
        <f>BDH("ELV US Equity","EQY_SH_OUT","1993-06-18","2026-05-02","Per=M","Days=T","Dir=V")</f>
        <v>0</v>
      </c>
      <c r="AW2">
        <f>BDH("ELV US Equity","PX_VOLUME","1993-06-18","2026-05-02","Per=M","Days=T","Dir=V")</f>
        <v>0</v>
      </c>
      <c r="AY2">
        <f>BDH("ELV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BDH("ELVN US Equity","BS_TOT_ASSET","1993-06-18","2026-05-02","Per=Y","Days=T","Dir=V")</f>
        <v>0</v>
      </c>
      <c r="C2">
        <f>BDH("ELVN US Equity","BS_TOT_LIAB2","1993-06-18","2026-05-02","Per=Y","Days=T","Dir=V")</f>
        <v>0</v>
      </c>
      <c r="E2">
        <f>BDH("ELVN US Equity","SHORT_AND_LONG_TERM_DEBT","1993-06-18","2026-05-02","Per=Y","Days=T","Dir=V")</f>
        <v>0</v>
      </c>
      <c r="G2">
        <f>BDH("ELVN US Equity","BS_ST_BORROW","1993-06-18","2026-05-02","Per=Y","Days=T","Dir=V")</f>
        <v>0</v>
      </c>
      <c r="I2">
        <f>BDH("ELVN US Equity","BS_LT_BORROW","1993-06-18","2026-05-02","Per=Y","Days=T","Dir=V")</f>
        <v>0</v>
      </c>
      <c r="K2">
        <f>BDH("ELVN US Equity","BS_CASH_NEAR_CASH_ITEM","1993-06-18","2026-05-02","Per=Y","Days=T","Dir=V")</f>
        <v>0</v>
      </c>
      <c r="M2">
        <f>BDH("ELVN US Equity","BS_CUR_ASSET_REPORT","1993-06-18","2026-05-02","Per=Y","Days=T","Dir=V")</f>
        <v>0</v>
      </c>
      <c r="O2">
        <f>BDH("ELVN US Equity","BS_CUR_LIAB","1993-06-18","2026-05-02","Per=Y","Days=T","Dir=V")</f>
        <v>0</v>
      </c>
      <c r="Q2">
        <f>BDH("ELVN US Equity","BS_SHAREHOLDER_EQY_ENDING_PERIOD","1993-06-18","2026-05-02","Per=Y","Days=T","Dir=V")</f>
        <v>0</v>
      </c>
      <c r="S2">
        <f>BDH("ELVN US Equity","BS_ACCT_NOTE_RCV","1993-06-18","2026-05-02","Per=Y","Days=T","Dir=V")</f>
        <v>0</v>
      </c>
      <c r="U2">
        <f>BDH("ELVN US Equity","BS_INVENTORIES","1993-06-18","2026-05-02","Per=Y","Days=T","Dir=V")</f>
        <v>0</v>
      </c>
      <c r="W2">
        <f>BDH("ELVN US Equity","WORKING_CAPITAL","1993-06-18","2026-05-02","Per=Y","Days=T","Dir=V")</f>
        <v>0</v>
      </c>
      <c r="Y2">
        <f>BDH("ELVN US Equity","SALES_REV_TURN","1993-06-18","2026-05-02","Per=Y","Days=T","Dir=V")</f>
        <v>0</v>
      </c>
      <c r="AA2">
        <f>BDH("ELVN US Equity","EBIT","1993-06-18","2026-05-02","Per=Y","Days=T","Dir=V")</f>
        <v>0</v>
      </c>
      <c r="AC2">
        <f>BDH("ELVN US Equity","EBITDA","1993-06-18","2026-05-02","Per=Y","Days=T","Dir=V")</f>
        <v>0</v>
      </c>
      <c r="AE2">
        <f>BDH("ELVN US Equity","NET_INCOME","1993-06-18","2026-05-02","Per=Y","Days=T","Dir=V")</f>
        <v>0</v>
      </c>
      <c r="AG2">
        <f>BDH("ELVN US Equity","IS_INT_EXPENSE","1993-06-18","2026-05-02","Per=Y","Days=T","Dir=V")</f>
        <v>0</v>
      </c>
      <c r="AI2">
        <f>BDH("ELVN US Equity","IS_DEPR_EXP","1993-06-18","2026-05-02","Per=Y","Days=T","Dir=V")</f>
        <v>0</v>
      </c>
      <c r="AK2">
        <f>BDH("ELVN US Equity","CF_CASH_FROM_OPER","1993-06-18","2026-05-02","Per=Y","Days=T","Dir=V")</f>
        <v>0</v>
      </c>
      <c r="AM2">
        <f>BDH("ELVN US Equity","CAPITAL_EXPEND","1993-06-18","2026-05-02","Per=Y","Days=T","Dir=V")</f>
        <v>0</v>
      </c>
      <c r="AO2">
        <f>BDH("ELVN US Equity","CF_FREE_CASH_FLOW","1993-06-18","2026-05-02","Per=Y","Days=T","Dir=V")</f>
        <v>0</v>
      </c>
      <c r="AQ2">
        <f>BDH("ELVN US Equity","PX_LAST","1993-06-18","2026-05-02","Per=M","Days=T","Dir=V")</f>
        <v>0</v>
      </c>
      <c r="AS2">
        <f>BDH("ELVN US Equity","CUR_MKT_CAP","1993-06-18","2026-05-02","Per=M","Days=T","Dir=V")</f>
        <v>0</v>
      </c>
      <c r="AU2">
        <f>BDH("ELVN US Equity","EQY_SH_OUT","1993-06-18","2026-05-02","Per=M","Days=T","Dir=V")</f>
        <v>0</v>
      </c>
      <c r="AW2">
        <f>BDH("ELVN US Equity","PX_VOLUME","1993-06-18","2026-05-02","Per=M","Days=T","Dir=V")</f>
        <v>0</v>
      </c>
      <c r="AY2">
        <f>BDH("ELVN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BDH("ELWT US Equity","BS_TOT_ASSET","1993-06-18","2026-05-02","Per=Y","Days=T","Dir=V")</f>
        <v>0</v>
      </c>
      <c r="C2">
        <f>BDH("ELWT US Equity","BS_TOT_LIAB2","1993-06-18","2026-05-02","Per=Y","Days=T","Dir=V")</f>
        <v>0</v>
      </c>
      <c r="E2">
        <f>BDH("ELWT US Equity","SHORT_AND_LONG_TERM_DEBT","1993-06-18","2026-05-02","Per=Y","Days=T","Dir=V")</f>
        <v>0</v>
      </c>
      <c r="G2">
        <f>BDH("ELWT US Equity","BS_ST_BORROW","1993-06-18","2026-05-02","Per=Y","Days=T","Dir=V")</f>
        <v>0</v>
      </c>
      <c r="I2">
        <f>BDH("ELWT US Equity","BS_LT_BORROW","1993-06-18","2026-05-02","Per=Y","Days=T","Dir=V")</f>
        <v>0</v>
      </c>
      <c r="K2">
        <f>BDH("ELWT US Equity","BS_CASH_NEAR_CASH_ITEM","1993-06-18","2026-05-02","Per=Y","Days=T","Dir=V")</f>
        <v>0</v>
      </c>
      <c r="M2">
        <f>BDH("ELWT US Equity","BS_CUR_ASSET_REPORT","1993-06-18","2026-05-02","Per=Y","Days=T","Dir=V")</f>
        <v>0</v>
      </c>
      <c r="O2">
        <f>BDH("ELWT US Equity","BS_CUR_LIAB","1993-06-18","2026-05-02","Per=Y","Days=T","Dir=V")</f>
        <v>0</v>
      </c>
      <c r="Q2">
        <f>BDH("ELWT US Equity","BS_SHAREHOLDER_EQY_ENDING_PERIOD","1993-06-18","2026-05-02","Per=Y","Days=T","Dir=V")</f>
        <v>0</v>
      </c>
      <c r="S2">
        <f>BDH("ELWT US Equity","BS_ACCT_NOTE_RCV","1993-06-18","2026-05-02","Per=Y","Days=T","Dir=V")</f>
        <v>0</v>
      </c>
      <c r="U2">
        <f>BDH("ELWT US Equity","BS_INVENTORIES","1993-06-18","2026-05-02","Per=Y","Days=T","Dir=V")</f>
        <v>0</v>
      </c>
      <c r="W2">
        <f>BDH("ELWT US Equity","WORKING_CAPITAL","1993-06-18","2026-05-02","Per=Y","Days=T","Dir=V")</f>
        <v>0</v>
      </c>
      <c r="Y2">
        <f>BDH("ELWT US Equity","SALES_REV_TURN","1993-06-18","2026-05-02","Per=Y","Days=T","Dir=V")</f>
        <v>0</v>
      </c>
      <c r="AA2">
        <f>BDH("ELWT US Equity","EBIT","1993-06-18","2026-05-02","Per=Y","Days=T","Dir=V")</f>
        <v>0</v>
      </c>
      <c r="AC2">
        <f>BDH("ELWT US Equity","EBITDA","1993-06-18","2026-05-02","Per=Y","Days=T","Dir=V")</f>
        <v>0</v>
      </c>
      <c r="AE2">
        <f>BDH("ELWT US Equity","NET_INCOME","1993-06-18","2026-05-02","Per=Y","Days=T","Dir=V")</f>
        <v>0</v>
      </c>
      <c r="AG2">
        <f>BDH("ELWT US Equity","IS_INT_EXPENSE","1993-06-18","2026-05-02","Per=Y","Days=T","Dir=V")</f>
        <v>0</v>
      </c>
      <c r="AI2">
        <f>BDH("ELWT US Equity","IS_DEPR_EXP","1993-06-18","2026-05-02","Per=Y","Days=T","Dir=V")</f>
        <v>0</v>
      </c>
      <c r="AK2">
        <f>BDH("ELWT US Equity","CF_CASH_FROM_OPER","1993-06-18","2026-05-02","Per=Y","Days=T","Dir=V")</f>
        <v>0</v>
      </c>
      <c r="AM2">
        <f>BDH("ELWT US Equity","CAPITAL_EXPEND","1993-06-18","2026-05-02","Per=Y","Days=T","Dir=V")</f>
        <v>0</v>
      </c>
      <c r="AO2">
        <f>BDH("ELWT US Equity","CF_FREE_CASH_FLOW","1993-06-18","2026-05-02","Per=Y","Days=T","Dir=V")</f>
        <v>0</v>
      </c>
      <c r="AQ2">
        <f>BDH("ELWT US Equity","PX_LAST","1993-06-18","2026-05-02","Per=M","Days=T","Dir=V")</f>
        <v>0</v>
      </c>
      <c r="AS2">
        <f>BDH("ELWT US Equity","CUR_MKT_CAP","1993-06-18","2026-05-02","Per=M","Days=T","Dir=V")</f>
        <v>0</v>
      </c>
      <c r="AU2">
        <f>BDH("ELWT US Equity","EQY_SH_OUT","1993-06-18","2026-05-02","Per=M","Days=T","Dir=V")</f>
        <v>0</v>
      </c>
      <c r="AW2">
        <f>BDH("ELWT US Equity","PX_VOLUME","1993-06-18","2026-05-02","Per=M","Days=T","Dir=V")</f>
        <v>0</v>
      </c>
      <c r="AY2">
        <f>BDH("ELWT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BDH("EMBC US Equity","BS_TOT_ASSET","1993-06-18","2026-05-02","Per=Y","Days=T","Dir=V")</f>
        <v>0</v>
      </c>
      <c r="C2">
        <f>BDH("EMBC US Equity","BS_TOT_LIAB2","1993-06-18","2026-05-02","Per=Y","Days=T","Dir=V")</f>
        <v>0</v>
      </c>
      <c r="E2">
        <f>BDH("EMBC US Equity","SHORT_AND_LONG_TERM_DEBT","1993-06-18","2026-05-02","Per=Y","Days=T","Dir=V")</f>
        <v>0</v>
      </c>
      <c r="G2">
        <f>BDH("EMBC US Equity","BS_ST_BORROW","1993-06-18","2026-05-02","Per=Y","Days=T","Dir=V")</f>
        <v>0</v>
      </c>
      <c r="I2">
        <f>BDH("EMBC US Equity","BS_LT_BORROW","1993-06-18","2026-05-02","Per=Y","Days=T","Dir=V")</f>
        <v>0</v>
      </c>
      <c r="K2">
        <f>BDH("EMBC US Equity","BS_CASH_NEAR_CASH_ITEM","1993-06-18","2026-05-02","Per=Y","Days=T","Dir=V")</f>
        <v>0</v>
      </c>
      <c r="M2">
        <f>BDH("EMBC US Equity","BS_CUR_ASSET_REPORT","1993-06-18","2026-05-02","Per=Y","Days=T","Dir=V")</f>
        <v>0</v>
      </c>
      <c r="O2">
        <f>BDH("EMBC US Equity","BS_CUR_LIAB","1993-06-18","2026-05-02","Per=Y","Days=T","Dir=V")</f>
        <v>0</v>
      </c>
      <c r="Q2">
        <f>BDH("EMBC US Equity","BS_SHAREHOLDER_EQY_ENDING_PERIOD","1993-06-18","2026-05-02","Per=Y","Days=T","Dir=V")</f>
        <v>0</v>
      </c>
      <c r="S2">
        <f>BDH("EMBC US Equity","BS_ACCT_NOTE_RCV","1993-06-18","2026-05-02","Per=Y","Days=T","Dir=V")</f>
        <v>0</v>
      </c>
      <c r="U2">
        <f>BDH("EMBC US Equity","BS_INVENTORIES","1993-06-18","2026-05-02","Per=Y","Days=T","Dir=V")</f>
        <v>0</v>
      </c>
      <c r="W2">
        <f>BDH("EMBC US Equity","WORKING_CAPITAL","1993-06-18","2026-05-02","Per=Y","Days=T","Dir=V")</f>
        <v>0</v>
      </c>
      <c r="Y2">
        <f>BDH("EMBC US Equity","SALES_REV_TURN","1993-06-18","2026-05-02","Per=Y","Days=T","Dir=V")</f>
        <v>0</v>
      </c>
      <c r="AA2">
        <f>BDH("EMBC US Equity","EBIT","1993-06-18","2026-05-02","Per=Y","Days=T","Dir=V")</f>
        <v>0</v>
      </c>
      <c r="AC2">
        <f>BDH("EMBC US Equity","EBITDA","1993-06-18","2026-05-02","Per=Y","Days=T","Dir=V")</f>
        <v>0</v>
      </c>
      <c r="AE2">
        <f>BDH("EMBC US Equity","NET_INCOME","1993-06-18","2026-05-02","Per=Y","Days=T","Dir=V")</f>
        <v>0</v>
      </c>
      <c r="AG2">
        <f>BDH("EMBC US Equity","IS_INT_EXPENSE","1993-06-18","2026-05-02","Per=Y","Days=T","Dir=V")</f>
        <v>0</v>
      </c>
      <c r="AI2">
        <f>BDH("EMBC US Equity","IS_DEPR_EXP","1993-06-18","2026-05-02","Per=Y","Days=T","Dir=V")</f>
        <v>0</v>
      </c>
      <c r="AK2">
        <f>BDH("EMBC US Equity","CF_CASH_FROM_OPER","1993-06-18","2026-05-02","Per=Y","Days=T","Dir=V")</f>
        <v>0</v>
      </c>
      <c r="AM2">
        <f>BDH("EMBC US Equity","CAPITAL_EXPEND","1993-06-18","2026-05-02","Per=Y","Days=T","Dir=V")</f>
        <v>0</v>
      </c>
      <c r="AO2">
        <f>BDH("EMBC US Equity","CF_FREE_CASH_FLOW","1993-06-18","2026-05-02","Per=Y","Days=T","Dir=V")</f>
        <v>0</v>
      </c>
      <c r="AQ2">
        <f>BDH("EMBC US Equity","PX_LAST","1993-06-18","2026-05-02","Per=M","Days=T","Dir=V")</f>
        <v>0</v>
      </c>
      <c r="AS2">
        <f>BDH("EMBC US Equity","CUR_MKT_CAP","1993-06-18","2026-05-02","Per=M","Days=T","Dir=V")</f>
        <v>0</v>
      </c>
      <c r="AU2">
        <f>BDH("EMBC US Equity","EQY_SH_OUT","1993-06-18","2026-05-02","Per=M","Days=T","Dir=V")</f>
        <v>0</v>
      </c>
      <c r="AW2">
        <f>BDH("EMBC US Equity","PX_VOLUME","1993-06-18","2026-05-02","Per=M","Days=T","Dir=V")</f>
        <v>0</v>
      </c>
      <c r="AY2">
        <f>BDH("EMBC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BDH("EME US Equity","BS_TOT_ASSET","1993-06-18","2026-05-02","Per=Y","Days=T","Dir=V")</f>
        <v>0</v>
      </c>
      <c r="C2">
        <f>BDH("EME US Equity","BS_TOT_LIAB2","1993-06-18","2026-05-02","Per=Y","Days=T","Dir=V")</f>
        <v>0</v>
      </c>
      <c r="E2">
        <f>BDH("EME US Equity","SHORT_AND_LONG_TERM_DEBT","1993-06-18","2026-05-02","Per=Y","Days=T","Dir=V")</f>
        <v>0</v>
      </c>
      <c r="G2">
        <f>BDH("EME US Equity","BS_ST_BORROW","1993-06-18","2026-05-02","Per=Y","Days=T","Dir=V")</f>
        <v>0</v>
      </c>
      <c r="I2">
        <f>BDH("EME US Equity","BS_LT_BORROW","1993-06-18","2026-05-02","Per=Y","Days=T","Dir=V")</f>
        <v>0</v>
      </c>
      <c r="K2">
        <f>BDH("EME US Equity","BS_CASH_NEAR_CASH_ITEM","1993-06-18","2026-05-02","Per=Y","Days=T","Dir=V")</f>
        <v>0</v>
      </c>
      <c r="M2">
        <f>BDH("EME US Equity","BS_CUR_ASSET_REPORT","1993-06-18","2026-05-02","Per=Y","Days=T","Dir=V")</f>
        <v>0</v>
      </c>
      <c r="O2">
        <f>BDH("EME US Equity","BS_CUR_LIAB","1993-06-18","2026-05-02","Per=Y","Days=T","Dir=V")</f>
        <v>0</v>
      </c>
      <c r="Q2">
        <f>BDH("EME US Equity","BS_SHAREHOLDER_EQY_ENDING_PERIOD","1993-06-18","2026-05-02","Per=Y","Days=T","Dir=V")</f>
        <v>0</v>
      </c>
      <c r="S2">
        <f>BDH("EME US Equity","BS_ACCT_NOTE_RCV","1993-06-18","2026-05-02","Per=Y","Days=T","Dir=V")</f>
        <v>0</v>
      </c>
      <c r="U2">
        <f>BDH("EME US Equity","BS_INVENTORIES","1993-06-18","2026-05-02","Per=Y","Days=T","Dir=V")</f>
        <v>0</v>
      </c>
      <c r="W2">
        <f>BDH("EME US Equity","WORKING_CAPITAL","1993-06-18","2026-05-02","Per=Y","Days=T","Dir=V")</f>
        <v>0</v>
      </c>
      <c r="Y2">
        <f>BDH("EME US Equity","SALES_REV_TURN","1993-06-18","2026-05-02","Per=Y","Days=T","Dir=V")</f>
        <v>0</v>
      </c>
      <c r="AA2">
        <f>BDH("EME US Equity","EBIT","1993-06-18","2026-05-02","Per=Y","Days=T","Dir=V")</f>
        <v>0</v>
      </c>
      <c r="AC2">
        <f>BDH("EME US Equity","EBITDA","1993-06-18","2026-05-02","Per=Y","Days=T","Dir=V")</f>
        <v>0</v>
      </c>
      <c r="AE2">
        <f>BDH("EME US Equity","NET_INCOME","1993-06-18","2026-05-02","Per=Y","Days=T","Dir=V")</f>
        <v>0</v>
      </c>
      <c r="AG2">
        <f>BDH("EME US Equity","IS_INT_EXPENSE","1993-06-18","2026-05-02","Per=Y","Days=T","Dir=V")</f>
        <v>0</v>
      </c>
      <c r="AI2">
        <f>BDH("EME US Equity","IS_DEPR_EXP","1993-06-18","2026-05-02","Per=Y","Days=T","Dir=V")</f>
        <v>0</v>
      </c>
      <c r="AK2">
        <f>BDH("EME US Equity","CF_CASH_FROM_OPER","1993-06-18","2026-05-02","Per=Y","Days=T","Dir=V")</f>
        <v>0</v>
      </c>
      <c r="AM2">
        <f>BDH("EME US Equity","CAPITAL_EXPEND","1993-06-18","2026-05-02","Per=Y","Days=T","Dir=V")</f>
        <v>0</v>
      </c>
      <c r="AO2">
        <f>BDH("EME US Equity","CF_FREE_CASH_FLOW","1993-06-18","2026-05-02","Per=Y","Days=T","Dir=V")</f>
        <v>0</v>
      </c>
      <c r="AQ2">
        <f>BDH("EME US Equity","PX_LAST","1993-06-18","2026-05-02","Per=M","Days=T","Dir=V")</f>
        <v>0</v>
      </c>
      <c r="AS2">
        <f>BDH("EME US Equity","CUR_MKT_CAP","1993-06-18","2026-05-02","Per=M","Days=T","Dir=V")</f>
        <v>0</v>
      </c>
      <c r="AU2">
        <f>BDH("EME US Equity","EQY_SH_OUT","1993-06-18","2026-05-02","Per=M","Days=T","Dir=V")</f>
        <v>0</v>
      </c>
      <c r="AW2">
        <f>BDH("EME US Equity","PX_VOLUME","1993-06-18","2026-05-02","Per=M","Days=T","Dir=V")</f>
        <v>0</v>
      </c>
      <c r="AY2">
        <f>BDH("EME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BDH("EMIS US Equity","BS_TOT_ASSET","1993-06-18","2026-05-02","Per=Y","Days=T","Dir=V")</f>
        <v>0</v>
      </c>
      <c r="C2">
        <f>BDH("EMIS US Equity","BS_TOT_LIAB2","1993-06-18","2026-05-02","Per=Y","Days=T","Dir=V")</f>
        <v>0</v>
      </c>
      <c r="E2">
        <f>BDH("EMIS US Equity","SHORT_AND_LONG_TERM_DEBT","1993-06-18","2026-05-02","Per=Y","Days=T","Dir=V")</f>
        <v>0</v>
      </c>
      <c r="G2">
        <f>BDH("EMIS US Equity","BS_ST_BORROW","1993-06-18","2026-05-02","Per=Y","Days=T","Dir=V")</f>
        <v>0</v>
      </c>
      <c r="I2">
        <f>BDH("EMIS US Equity","BS_LT_BORROW","1993-06-18","2026-05-02","Per=Y","Days=T","Dir=V")</f>
        <v>0</v>
      </c>
      <c r="K2">
        <f>BDH("EMIS US Equity","BS_CASH_NEAR_CASH_ITEM","1993-06-18","2026-05-02","Per=Y","Days=T","Dir=V")</f>
        <v>0</v>
      </c>
      <c r="M2">
        <f>BDH("EMIS US Equity","BS_CUR_ASSET_REPORT","1993-06-18","2026-05-02","Per=Y","Days=T","Dir=V")</f>
        <v>0</v>
      </c>
      <c r="O2">
        <f>BDH("EMIS US Equity","BS_CUR_LIAB","1993-06-18","2026-05-02","Per=Y","Days=T","Dir=V")</f>
        <v>0</v>
      </c>
      <c r="Q2">
        <f>BDH("EMIS US Equity","BS_SHAREHOLDER_EQY_ENDING_PERIOD","1993-06-18","2026-05-02","Per=Y","Days=T","Dir=V")</f>
        <v>0</v>
      </c>
      <c r="S2">
        <f>BDH("EMIS US Equity","BS_ACCT_NOTE_RCV","1993-06-18","2026-05-02","Per=Y","Days=T","Dir=V")</f>
        <v>0</v>
      </c>
      <c r="U2">
        <f>BDH("EMIS US Equity","BS_INVENTORIES","1993-06-18","2026-05-02","Per=Y","Days=T","Dir=V")</f>
        <v>0</v>
      </c>
      <c r="W2">
        <f>BDH("EMIS US Equity","WORKING_CAPITAL","1993-06-18","2026-05-02","Per=Y","Days=T","Dir=V")</f>
        <v>0</v>
      </c>
      <c r="Y2">
        <f>BDH("EMIS US Equity","SALES_REV_TURN","1993-06-18","2026-05-02","Per=Y","Days=T","Dir=V")</f>
        <v>0</v>
      </c>
      <c r="AA2">
        <f>BDH("EMIS US Equity","EBIT","1993-06-18","2026-05-02","Per=Y","Days=T","Dir=V")</f>
        <v>0</v>
      </c>
      <c r="AC2">
        <f>BDH("EMIS US Equity","EBITDA","1993-06-18","2026-05-02","Per=Y","Days=T","Dir=V")</f>
        <v>0</v>
      </c>
      <c r="AE2">
        <f>BDH("EMIS US Equity","NET_INCOME","1993-06-18","2026-05-02","Per=Y","Days=T","Dir=V")</f>
        <v>0</v>
      </c>
      <c r="AG2">
        <f>BDH("EMIS US Equity","IS_INT_EXPENSE","1993-06-18","2026-05-02","Per=Y","Days=T","Dir=V")</f>
        <v>0</v>
      </c>
      <c r="AI2">
        <f>BDH("EMIS US Equity","IS_DEPR_EXP","1993-06-18","2026-05-02","Per=Y","Days=T","Dir=V")</f>
        <v>0</v>
      </c>
      <c r="AK2">
        <f>BDH("EMIS US Equity","CF_CASH_FROM_OPER","1993-06-18","2026-05-02","Per=Y","Days=T","Dir=V")</f>
        <v>0</v>
      </c>
      <c r="AM2">
        <f>BDH("EMIS US Equity","CAPITAL_EXPEND","1993-06-18","2026-05-02","Per=Y","Days=T","Dir=V")</f>
        <v>0</v>
      </c>
      <c r="AO2">
        <f>BDH("EMIS US Equity","CF_FREE_CASH_FLOW","1993-06-18","2026-05-02","Per=Y","Days=T","Dir=V")</f>
        <v>0</v>
      </c>
      <c r="AQ2">
        <f>BDH("EMIS US Equity","PX_LAST","1993-06-18","2026-05-02","Per=M","Days=T","Dir=V")</f>
        <v>0</v>
      </c>
      <c r="AS2">
        <f>BDH("EMIS US Equity","CUR_MKT_CAP","1993-06-18","2026-05-02","Per=M","Days=T","Dir=V")</f>
        <v>0</v>
      </c>
      <c r="AU2">
        <f>BDH("EMIS US Equity","EQY_SH_OUT","1993-06-18","2026-05-02","Per=M","Days=T","Dir=V")</f>
        <v>0</v>
      </c>
      <c r="AW2">
        <f>BDH("EMIS US Equity","PX_VOLUME","1993-06-18","2026-05-02","Per=M","Days=T","Dir=V")</f>
        <v>0</v>
      </c>
      <c r="AY2">
        <f>BDH("EMIS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BDH("EML US Equity","BS_TOT_ASSET","1993-06-18","2026-05-02","Per=Y","Days=T","Dir=V")</f>
        <v>0</v>
      </c>
      <c r="C2">
        <f>BDH("EML US Equity","BS_TOT_LIAB2","1993-06-18","2026-05-02","Per=Y","Days=T","Dir=V")</f>
        <v>0</v>
      </c>
      <c r="E2">
        <f>BDH("EML US Equity","SHORT_AND_LONG_TERM_DEBT","1993-06-18","2026-05-02","Per=Y","Days=T","Dir=V")</f>
        <v>0</v>
      </c>
      <c r="G2">
        <f>BDH("EML US Equity","BS_ST_BORROW","1993-06-18","2026-05-02","Per=Y","Days=T","Dir=V")</f>
        <v>0</v>
      </c>
      <c r="I2">
        <f>BDH("EML US Equity","BS_LT_BORROW","1993-06-18","2026-05-02","Per=Y","Days=T","Dir=V")</f>
        <v>0</v>
      </c>
      <c r="K2">
        <f>BDH("EML US Equity","BS_CASH_NEAR_CASH_ITEM","1993-06-18","2026-05-02","Per=Y","Days=T","Dir=V")</f>
        <v>0</v>
      </c>
      <c r="M2">
        <f>BDH("EML US Equity","BS_CUR_ASSET_REPORT","1993-06-18","2026-05-02","Per=Y","Days=T","Dir=V")</f>
        <v>0</v>
      </c>
      <c r="O2">
        <f>BDH("EML US Equity","BS_CUR_LIAB","1993-06-18","2026-05-02","Per=Y","Days=T","Dir=V")</f>
        <v>0</v>
      </c>
      <c r="Q2">
        <f>BDH("EML US Equity","BS_SHAREHOLDER_EQY_ENDING_PERIOD","1993-06-18","2026-05-02","Per=Y","Days=T","Dir=V")</f>
        <v>0</v>
      </c>
      <c r="S2">
        <f>BDH("EML US Equity","BS_ACCT_NOTE_RCV","1993-06-18","2026-05-02","Per=Y","Days=T","Dir=V")</f>
        <v>0</v>
      </c>
      <c r="U2">
        <f>BDH("EML US Equity","BS_INVENTORIES","1993-06-18","2026-05-02","Per=Y","Days=T","Dir=V")</f>
        <v>0</v>
      </c>
      <c r="W2">
        <f>BDH("EML US Equity","WORKING_CAPITAL","1993-06-18","2026-05-02","Per=Y","Days=T","Dir=V")</f>
        <v>0</v>
      </c>
      <c r="Y2">
        <f>BDH("EML US Equity","SALES_REV_TURN","1993-06-18","2026-05-02","Per=Y","Days=T","Dir=V")</f>
        <v>0</v>
      </c>
      <c r="AA2">
        <f>BDH("EML US Equity","EBIT","1993-06-18","2026-05-02","Per=Y","Days=T","Dir=V")</f>
        <v>0</v>
      </c>
      <c r="AC2">
        <f>BDH("EML US Equity","EBITDA","1993-06-18","2026-05-02","Per=Y","Days=T","Dir=V")</f>
        <v>0</v>
      </c>
      <c r="AE2">
        <f>BDH("EML US Equity","NET_INCOME","1993-06-18","2026-05-02","Per=Y","Days=T","Dir=V")</f>
        <v>0</v>
      </c>
      <c r="AG2">
        <f>BDH("EML US Equity","IS_INT_EXPENSE","1993-06-18","2026-05-02","Per=Y","Days=T","Dir=V")</f>
        <v>0</v>
      </c>
      <c r="AI2">
        <f>BDH("EML US Equity","IS_DEPR_EXP","1993-06-18","2026-05-02","Per=Y","Days=T","Dir=V")</f>
        <v>0</v>
      </c>
      <c r="AK2">
        <f>BDH("EML US Equity","CF_CASH_FROM_OPER","1993-06-18","2026-05-02","Per=Y","Days=T","Dir=V")</f>
        <v>0</v>
      </c>
      <c r="AM2">
        <f>BDH("EML US Equity","CAPITAL_EXPEND","1993-06-18","2026-05-02","Per=Y","Days=T","Dir=V")</f>
        <v>0</v>
      </c>
      <c r="AO2">
        <f>BDH("EML US Equity","CF_FREE_CASH_FLOW","1993-06-18","2026-05-02","Per=Y","Days=T","Dir=V")</f>
        <v>0</v>
      </c>
      <c r="AQ2">
        <f>BDH("EML US Equity","PX_LAST","1993-06-18","2026-05-02","Per=M","Days=T","Dir=V")</f>
        <v>0</v>
      </c>
      <c r="AS2">
        <f>BDH("EML US Equity","CUR_MKT_CAP","1993-06-18","2026-05-02","Per=M","Days=T","Dir=V")</f>
        <v>0</v>
      </c>
      <c r="AU2">
        <f>BDH("EML US Equity","EQY_SH_OUT","1993-06-18","2026-05-02","Per=M","Days=T","Dir=V")</f>
        <v>0</v>
      </c>
      <c r="AW2">
        <f>BDH("EML US Equity","PX_VOLUME","1993-06-18","2026-05-02","Per=M","Days=T","Dir=V")</f>
        <v>0</v>
      </c>
      <c r="AY2">
        <f>BDH("EML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BDH("EMN US Equity","BS_TOT_ASSET","1993-06-18","2026-05-02","Per=Y","Days=T","Dir=V")</f>
        <v>0</v>
      </c>
      <c r="C2">
        <f>BDH("EMN US Equity","BS_TOT_LIAB2","1993-06-18","2026-05-02","Per=Y","Days=T","Dir=V")</f>
        <v>0</v>
      </c>
      <c r="E2">
        <f>BDH("EMN US Equity","SHORT_AND_LONG_TERM_DEBT","1993-06-18","2026-05-02","Per=Y","Days=T","Dir=V")</f>
        <v>0</v>
      </c>
      <c r="G2">
        <f>BDH("EMN US Equity","BS_ST_BORROW","1993-06-18","2026-05-02","Per=Y","Days=T","Dir=V")</f>
        <v>0</v>
      </c>
      <c r="I2">
        <f>BDH("EMN US Equity","BS_LT_BORROW","1993-06-18","2026-05-02","Per=Y","Days=T","Dir=V")</f>
        <v>0</v>
      </c>
      <c r="K2">
        <f>BDH("EMN US Equity","BS_CASH_NEAR_CASH_ITEM","1993-06-18","2026-05-02","Per=Y","Days=T","Dir=V")</f>
        <v>0</v>
      </c>
      <c r="M2">
        <f>BDH("EMN US Equity","BS_CUR_ASSET_REPORT","1993-06-18","2026-05-02","Per=Y","Days=T","Dir=V")</f>
        <v>0</v>
      </c>
      <c r="O2">
        <f>BDH("EMN US Equity","BS_CUR_LIAB","1993-06-18","2026-05-02","Per=Y","Days=T","Dir=V")</f>
        <v>0</v>
      </c>
      <c r="Q2">
        <f>BDH("EMN US Equity","BS_SHAREHOLDER_EQY_ENDING_PERIOD","1993-06-18","2026-05-02","Per=Y","Days=T","Dir=V")</f>
        <v>0</v>
      </c>
      <c r="S2">
        <f>BDH("EMN US Equity","BS_ACCT_NOTE_RCV","1993-06-18","2026-05-02","Per=Y","Days=T","Dir=V")</f>
        <v>0</v>
      </c>
      <c r="U2">
        <f>BDH("EMN US Equity","BS_INVENTORIES","1993-06-18","2026-05-02","Per=Y","Days=T","Dir=V")</f>
        <v>0</v>
      </c>
      <c r="W2">
        <f>BDH("EMN US Equity","WORKING_CAPITAL","1993-06-18","2026-05-02","Per=Y","Days=T","Dir=V")</f>
        <v>0</v>
      </c>
      <c r="Y2">
        <f>BDH("EMN US Equity","SALES_REV_TURN","1993-06-18","2026-05-02","Per=Y","Days=T","Dir=V")</f>
        <v>0</v>
      </c>
      <c r="AA2">
        <f>BDH("EMN US Equity","EBIT","1993-06-18","2026-05-02","Per=Y","Days=T","Dir=V")</f>
        <v>0</v>
      </c>
      <c r="AC2">
        <f>BDH("EMN US Equity","EBITDA","1993-06-18","2026-05-02","Per=Y","Days=T","Dir=V")</f>
        <v>0</v>
      </c>
      <c r="AE2">
        <f>BDH("EMN US Equity","NET_INCOME","1993-06-18","2026-05-02","Per=Y","Days=T","Dir=V")</f>
        <v>0</v>
      </c>
      <c r="AG2">
        <f>BDH("EMN US Equity","IS_INT_EXPENSE","1993-06-18","2026-05-02","Per=Y","Days=T","Dir=V")</f>
        <v>0</v>
      </c>
      <c r="AI2">
        <f>BDH("EMN US Equity","IS_DEPR_EXP","1993-06-18","2026-05-02","Per=Y","Days=T","Dir=V")</f>
        <v>0</v>
      </c>
      <c r="AK2">
        <f>BDH("EMN US Equity","CF_CASH_FROM_OPER","1993-06-18","2026-05-02","Per=Y","Days=T","Dir=V")</f>
        <v>0</v>
      </c>
      <c r="AM2">
        <f>BDH("EMN US Equity","CAPITAL_EXPEND","1993-06-18","2026-05-02","Per=Y","Days=T","Dir=V")</f>
        <v>0</v>
      </c>
      <c r="AO2">
        <f>BDH("EMN US Equity","CF_FREE_CASH_FLOW","1993-06-18","2026-05-02","Per=Y","Days=T","Dir=V")</f>
        <v>0</v>
      </c>
      <c r="AQ2">
        <f>BDH("EMN US Equity","PX_LAST","1993-06-18","2026-05-02","Per=M","Days=T","Dir=V")</f>
        <v>0</v>
      </c>
      <c r="AS2">
        <f>BDH("EMN US Equity","CUR_MKT_CAP","1993-06-18","2026-05-02","Per=M","Days=T","Dir=V")</f>
        <v>0</v>
      </c>
      <c r="AU2">
        <f>BDH("EMN US Equity","EQY_SH_OUT","1993-06-18","2026-05-02","Per=M","Days=T","Dir=V")</f>
        <v>0</v>
      </c>
      <c r="AW2">
        <f>BDH("EMN US Equity","PX_VOLUME","1993-06-18","2026-05-02","Per=M","Days=T","Dir=V")</f>
        <v>0</v>
      </c>
      <c r="AY2">
        <f>BDH("EMN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BDH("EMP US Equity","BS_TOT_ASSET","1993-06-18","2026-05-02","Per=Y","Days=T","Dir=V")</f>
        <v>0</v>
      </c>
      <c r="C2">
        <f>BDH("EMP US Equity","BS_TOT_LIAB2","1993-06-18","2026-05-02","Per=Y","Days=T","Dir=V")</f>
        <v>0</v>
      </c>
      <c r="E2">
        <f>BDH("EMP US Equity","SHORT_AND_LONG_TERM_DEBT","1993-06-18","2026-05-02","Per=Y","Days=T","Dir=V")</f>
        <v>0</v>
      </c>
      <c r="G2">
        <f>BDH("EMP US Equity","BS_ST_BORROW","1993-06-18","2026-05-02","Per=Y","Days=T","Dir=V")</f>
        <v>0</v>
      </c>
      <c r="I2">
        <f>BDH("EMP US Equity","BS_LT_BORROW","1993-06-18","2026-05-02","Per=Y","Days=T","Dir=V")</f>
        <v>0</v>
      </c>
      <c r="K2">
        <f>BDH("EMP US Equity","BS_CASH_NEAR_CASH_ITEM","1993-06-18","2026-05-02","Per=Y","Days=T","Dir=V")</f>
        <v>0</v>
      </c>
      <c r="M2">
        <f>BDH("EMP US Equity","BS_CUR_ASSET_REPORT","1993-06-18","2026-05-02","Per=Y","Days=T","Dir=V")</f>
        <v>0</v>
      </c>
      <c r="O2">
        <f>BDH("EMP US Equity","BS_CUR_LIAB","1993-06-18","2026-05-02","Per=Y","Days=T","Dir=V")</f>
        <v>0</v>
      </c>
      <c r="Q2">
        <f>BDH("EMP US Equity","BS_SHAREHOLDER_EQY_ENDING_PERIOD","1993-06-18","2026-05-02","Per=Y","Days=T","Dir=V")</f>
        <v>0</v>
      </c>
      <c r="S2">
        <f>BDH("EMP US Equity","BS_ACCT_NOTE_RCV","1993-06-18","2026-05-02","Per=Y","Days=T","Dir=V")</f>
        <v>0</v>
      </c>
      <c r="U2">
        <f>BDH("EMP US Equity","BS_INVENTORIES","1993-06-18","2026-05-02","Per=Y","Days=T","Dir=V")</f>
        <v>0</v>
      </c>
      <c r="W2">
        <f>BDH("EMP US Equity","WORKING_CAPITAL","1993-06-18","2026-05-02","Per=Y","Days=T","Dir=V")</f>
        <v>0</v>
      </c>
      <c r="Y2">
        <f>BDH("EMP US Equity","SALES_REV_TURN","1993-06-18","2026-05-02","Per=Y","Days=T","Dir=V")</f>
        <v>0</v>
      </c>
      <c r="AA2">
        <f>BDH("EMP US Equity","EBIT","1993-06-18","2026-05-02","Per=Y","Days=T","Dir=V")</f>
        <v>0</v>
      </c>
      <c r="AC2">
        <f>BDH("EMP US Equity","EBITDA","1993-06-18","2026-05-02","Per=Y","Days=T","Dir=V")</f>
        <v>0</v>
      </c>
      <c r="AE2">
        <f>BDH("EMP US Equity","NET_INCOME","1993-06-18","2026-05-02","Per=Y","Days=T","Dir=V")</f>
        <v>0</v>
      </c>
      <c r="AG2">
        <f>BDH("EMP US Equity","IS_INT_EXPENSE","1993-06-18","2026-05-02","Per=Y","Days=T","Dir=V")</f>
        <v>0</v>
      </c>
      <c r="AI2">
        <f>BDH("EMP US Equity","IS_DEPR_EXP","1993-06-18","2026-05-02","Per=Y","Days=T","Dir=V")</f>
        <v>0</v>
      </c>
      <c r="AK2">
        <f>BDH("EMP US Equity","CF_CASH_FROM_OPER","1993-06-18","2026-05-02","Per=Y","Days=T","Dir=V")</f>
        <v>0</v>
      </c>
      <c r="AM2">
        <f>BDH("EMP US Equity","CAPITAL_EXPEND","1993-06-18","2026-05-02","Per=Y","Days=T","Dir=V")</f>
        <v>0</v>
      </c>
      <c r="AO2">
        <f>BDH("EMP US Equity","CF_FREE_CASH_FLOW","1993-06-18","2026-05-02","Per=Y","Days=T","Dir=V")</f>
        <v>0</v>
      </c>
      <c r="AQ2">
        <f>BDH("EMP US Equity","PX_LAST","1993-06-18","2026-05-02","Per=M","Days=T","Dir=V")</f>
        <v>0</v>
      </c>
      <c r="AS2">
        <f>BDH("EMP US Equity","CUR_MKT_CAP","1993-06-18","2026-05-02","Per=M","Days=T","Dir=V")</f>
        <v>0</v>
      </c>
      <c r="AU2">
        <f>BDH("EMP US Equity","EQY_SH_OUT","1993-06-18","2026-05-02","Per=M","Days=T","Dir=V")</f>
        <v>0</v>
      </c>
      <c r="AW2">
        <f>BDH("EMP US Equity","PX_VOLUME","1993-06-18","2026-05-02","Per=M","Days=T","Dir=V")</f>
        <v>0</v>
      </c>
      <c r="AY2">
        <f>BDH("EMP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BDH("EMPD US Equity","BS_TOT_ASSET","1993-06-18","2026-05-02","Per=Y","Days=T","Dir=V")</f>
        <v>0</v>
      </c>
      <c r="C2">
        <f>BDH("EMPD US Equity","BS_TOT_LIAB2","1993-06-18","2026-05-02","Per=Y","Days=T","Dir=V")</f>
        <v>0</v>
      </c>
      <c r="E2">
        <f>BDH("EMPD US Equity","SHORT_AND_LONG_TERM_DEBT","1993-06-18","2026-05-02","Per=Y","Days=T","Dir=V")</f>
        <v>0</v>
      </c>
      <c r="G2">
        <f>BDH("EMPD US Equity","BS_ST_BORROW","1993-06-18","2026-05-02","Per=Y","Days=T","Dir=V")</f>
        <v>0</v>
      </c>
      <c r="I2">
        <f>BDH("EMPD US Equity","BS_LT_BORROW","1993-06-18","2026-05-02","Per=Y","Days=T","Dir=V")</f>
        <v>0</v>
      </c>
      <c r="K2">
        <f>BDH("EMPD US Equity","BS_CASH_NEAR_CASH_ITEM","1993-06-18","2026-05-02","Per=Y","Days=T","Dir=V")</f>
        <v>0</v>
      </c>
      <c r="M2">
        <f>BDH("EMPD US Equity","BS_CUR_ASSET_REPORT","1993-06-18","2026-05-02","Per=Y","Days=T","Dir=V")</f>
        <v>0</v>
      </c>
      <c r="O2">
        <f>BDH("EMPD US Equity","BS_CUR_LIAB","1993-06-18","2026-05-02","Per=Y","Days=T","Dir=V")</f>
        <v>0</v>
      </c>
      <c r="Q2">
        <f>BDH("EMPD US Equity","BS_SHAREHOLDER_EQY_ENDING_PERIOD","1993-06-18","2026-05-02","Per=Y","Days=T","Dir=V")</f>
        <v>0</v>
      </c>
      <c r="S2">
        <f>BDH("EMPD US Equity","BS_ACCT_NOTE_RCV","1993-06-18","2026-05-02","Per=Y","Days=T","Dir=V")</f>
        <v>0</v>
      </c>
      <c r="U2">
        <f>BDH("EMPD US Equity","BS_INVENTORIES","1993-06-18","2026-05-02","Per=Y","Days=T","Dir=V")</f>
        <v>0</v>
      </c>
      <c r="W2">
        <f>BDH("EMPD US Equity","WORKING_CAPITAL","1993-06-18","2026-05-02","Per=Y","Days=T","Dir=V")</f>
        <v>0</v>
      </c>
      <c r="Y2">
        <f>BDH("EMPD US Equity","SALES_REV_TURN","1993-06-18","2026-05-02","Per=Y","Days=T","Dir=V")</f>
        <v>0</v>
      </c>
      <c r="AA2">
        <f>BDH("EMPD US Equity","EBIT","1993-06-18","2026-05-02","Per=Y","Days=T","Dir=V")</f>
        <v>0</v>
      </c>
      <c r="AC2">
        <f>BDH("EMPD US Equity","EBITDA","1993-06-18","2026-05-02","Per=Y","Days=T","Dir=V")</f>
        <v>0</v>
      </c>
      <c r="AE2">
        <f>BDH("EMPD US Equity","NET_INCOME","1993-06-18","2026-05-02","Per=Y","Days=T","Dir=V")</f>
        <v>0</v>
      </c>
      <c r="AG2">
        <f>BDH("EMPD US Equity","IS_INT_EXPENSE","1993-06-18","2026-05-02","Per=Y","Days=T","Dir=V")</f>
        <v>0</v>
      </c>
      <c r="AI2">
        <f>BDH("EMPD US Equity","IS_DEPR_EXP","1993-06-18","2026-05-02","Per=Y","Days=T","Dir=V")</f>
        <v>0</v>
      </c>
      <c r="AK2">
        <f>BDH("EMPD US Equity","CF_CASH_FROM_OPER","1993-06-18","2026-05-02","Per=Y","Days=T","Dir=V")</f>
        <v>0</v>
      </c>
      <c r="AM2">
        <f>BDH("EMPD US Equity","CAPITAL_EXPEND","1993-06-18","2026-05-02","Per=Y","Days=T","Dir=V")</f>
        <v>0</v>
      </c>
      <c r="AO2">
        <f>BDH("EMPD US Equity","CF_FREE_CASH_FLOW","1993-06-18","2026-05-02","Per=Y","Days=T","Dir=V")</f>
        <v>0</v>
      </c>
      <c r="AQ2">
        <f>BDH("EMPD US Equity","PX_LAST","1993-06-18","2026-05-02","Per=M","Days=T","Dir=V")</f>
        <v>0</v>
      </c>
      <c r="AS2">
        <f>BDH("EMPD US Equity","CUR_MKT_CAP","1993-06-18","2026-05-02","Per=M","Days=T","Dir=V")</f>
        <v>0</v>
      </c>
      <c r="AU2">
        <f>BDH("EMPD US Equity","EQY_SH_OUT","1993-06-18","2026-05-02","Per=M","Days=T","Dir=V")</f>
        <v>0</v>
      </c>
      <c r="AW2">
        <f>BDH("EMPD US Equity","PX_VOLUME","1993-06-18","2026-05-02","Per=M","Days=T","Dir=V")</f>
        <v>0</v>
      </c>
      <c r="AY2">
        <f>BDH("EMPD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BDH("EMR US Equity","BS_TOT_ASSET","1993-06-18","2026-05-02","Per=Y","Days=T","Dir=V")</f>
        <v>0</v>
      </c>
      <c r="C2">
        <f>BDH("EMR US Equity","BS_TOT_LIAB2","1993-06-18","2026-05-02","Per=Y","Days=T","Dir=V")</f>
        <v>0</v>
      </c>
      <c r="E2">
        <f>BDH("EMR US Equity","SHORT_AND_LONG_TERM_DEBT","1993-06-18","2026-05-02","Per=Y","Days=T","Dir=V")</f>
        <v>0</v>
      </c>
      <c r="G2">
        <f>BDH("EMR US Equity","BS_ST_BORROW","1993-06-18","2026-05-02","Per=Y","Days=T","Dir=V")</f>
        <v>0</v>
      </c>
      <c r="I2">
        <f>BDH("EMR US Equity","BS_LT_BORROW","1993-06-18","2026-05-02","Per=Y","Days=T","Dir=V")</f>
        <v>0</v>
      </c>
      <c r="K2">
        <f>BDH("EMR US Equity","BS_CASH_NEAR_CASH_ITEM","1993-06-18","2026-05-02","Per=Y","Days=T","Dir=V")</f>
        <v>0</v>
      </c>
      <c r="M2">
        <f>BDH("EMR US Equity","BS_CUR_ASSET_REPORT","1993-06-18","2026-05-02","Per=Y","Days=T","Dir=V")</f>
        <v>0</v>
      </c>
      <c r="O2">
        <f>BDH("EMR US Equity","BS_CUR_LIAB","1993-06-18","2026-05-02","Per=Y","Days=T","Dir=V")</f>
        <v>0</v>
      </c>
      <c r="Q2">
        <f>BDH("EMR US Equity","BS_SHAREHOLDER_EQY_ENDING_PERIOD","1993-06-18","2026-05-02","Per=Y","Days=T","Dir=V")</f>
        <v>0</v>
      </c>
      <c r="S2">
        <f>BDH("EMR US Equity","BS_ACCT_NOTE_RCV","1993-06-18","2026-05-02","Per=Y","Days=T","Dir=V")</f>
        <v>0</v>
      </c>
      <c r="U2">
        <f>BDH("EMR US Equity","BS_INVENTORIES","1993-06-18","2026-05-02","Per=Y","Days=T","Dir=V")</f>
        <v>0</v>
      </c>
      <c r="W2">
        <f>BDH("EMR US Equity","WORKING_CAPITAL","1993-06-18","2026-05-02","Per=Y","Days=T","Dir=V")</f>
        <v>0</v>
      </c>
      <c r="Y2">
        <f>BDH("EMR US Equity","SALES_REV_TURN","1993-06-18","2026-05-02","Per=Y","Days=T","Dir=V")</f>
        <v>0</v>
      </c>
      <c r="AA2">
        <f>BDH("EMR US Equity","EBIT","1993-06-18","2026-05-02","Per=Y","Days=T","Dir=V")</f>
        <v>0</v>
      </c>
      <c r="AC2">
        <f>BDH("EMR US Equity","EBITDA","1993-06-18","2026-05-02","Per=Y","Days=T","Dir=V")</f>
        <v>0</v>
      </c>
      <c r="AE2">
        <f>BDH("EMR US Equity","NET_INCOME","1993-06-18","2026-05-02","Per=Y","Days=T","Dir=V")</f>
        <v>0</v>
      </c>
      <c r="AG2">
        <f>BDH("EMR US Equity","IS_INT_EXPENSE","1993-06-18","2026-05-02","Per=Y","Days=T","Dir=V")</f>
        <v>0</v>
      </c>
      <c r="AI2">
        <f>BDH("EMR US Equity","IS_DEPR_EXP","1993-06-18","2026-05-02","Per=Y","Days=T","Dir=V")</f>
        <v>0</v>
      </c>
      <c r="AK2">
        <f>BDH("EMR US Equity","CF_CASH_FROM_OPER","1993-06-18","2026-05-02","Per=Y","Days=T","Dir=V")</f>
        <v>0</v>
      </c>
      <c r="AM2">
        <f>BDH("EMR US Equity","CAPITAL_EXPEND","1993-06-18","2026-05-02","Per=Y","Days=T","Dir=V")</f>
        <v>0</v>
      </c>
      <c r="AO2">
        <f>BDH("EMR US Equity","CF_FREE_CASH_FLOW","1993-06-18","2026-05-02","Per=Y","Days=T","Dir=V")</f>
        <v>0</v>
      </c>
      <c r="AQ2">
        <f>BDH("EMR US Equity","PX_LAST","1993-06-18","2026-05-02","Per=M","Days=T","Dir=V")</f>
        <v>0</v>
      </c>
      <c r="AS2">
        <f>BDH("EMR US Equity","CUR_MKT_CAP","1993-06-18","2026-05-02","Per=M","Days=T","Dir=V")</f>
        <v>0</v>
      </c>
      <c r="AU2">
        <f>BDH("EMR US Equity","EQY_SH_OUT","1993-06-18","2026-05-02","Per=M","Days=T","Dir=V")</f>
        <v>0</v>
      </c>
      <c r="AW2">
        <f>BDH("EMR US Equity","PX_VOLUME","1993-06-18","2026-05-02","Per=M","Days=T","Dir=V")</f>
        <v>0</v>
      </c>
      <c r="AY2">
        <f>BDH("EMR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BDH("ENO US Equity","BS_TOT_ASSET","1993-06-18","2026-05-02","Per=Y","Days=T","Dir=V")</f>
        <v>0</v>
      </c>
      <c r="C2">
        <f>BDH("ENO US Equity","BS_TOT_LIAB2","1993-06-18","2026-05-02","Per=Y","Days=T","Dir=V")</f>
        <v>0</v>
      </c>
      <c r="E2">
        <f>BDH("ENO US Equity","SHORT_AND_LONG_TERM_DEBT","1993-06-18","2026-05-02","Per=Y","Days=T","Dir=V")</f>
        <v>0</v>
      </c>
      <c r="G2">
        <f>BDH("ENO US Equity","BS_ST_BORROW","1993-06-18","2026-05-02","Per=Y","Days=T","Dir=V")</f>
        <v>0</v>
      </c>
      <c r="I2">
        <f>BDH("ENO US Equity","BS_LT_BORROW","1993-06-18","2026-05-02","Per=Y","Days=T","Dir=V")</f>
        <v>0</v>
      </c>
      <c r="K2">
        <f>BDH("ENO US Equity","BS_CASH_NEAR_CASH_ITEM","1993-06-18","2026-05-02","Per=Y","Days=T","Dir=V")</f>
        <v>0</v>
      </c>
      <c r="M2">
        <f>BDH("ENO US Equity","BS_CUR_ASSET_REPORT","1993-06-18","2026-05-02","Per=Y","Days=T","Dir=V")</f>
        <v>0</v>
      </c>
      <c r="O2">
        <f>BDH("ENO US Equity","BS_CUR_LIAB","1993-06-18","2026-05-02","Per=Y","Days=T","Dir=V")</f>
        <v>0</v>
      </c>
      <c r="Q2">
        <f>BDH("ENO US Equity","BS_SHAREHOLDER_EQY_ENDING_PERIOD","1993-06-18","2026-05-02","Per=Y","Days=T","Dir=V")</f>
        <v>0</v>
      </c>
      <c r="S2">
        <f>BDH("ENO US Equity","BS_ACCT_NOTE_RCV","1993-06-18","2026-05-02","Per=Y","Days=T","Dir=V")</f>
        <v>0</v>
      </c>
      <c r="U2">
        <f>BDH("ENO US Equity","BS_INVENTORIES","1993-06-18","2026-05-02","Per=Y","Days=T","Dir=V")</f>
        <v>0</v>
      </c>
      <c r="W2">
        <f>BDH("ENO US Equity","WORKING_CAPITAL","1993-06-18","2026-05-02","Per=Y","Days=T","Dir=V")</f>
        <v>0</v>
      </c>
      <c r="Y2">
        <f>BDH("ENO US Equity","SALES_REV_TURN","1993-06-18","2026-05-02","Per=Y","Days=T","Dir=V")</f>
        <v>0</v>
      </c>
      <c r="AA2">
        <f>BDH("ENO US Equity","EBIT","1993-06-18","2026-05-02","Per=Y","Days=T","Dir=V")</f>
        <v>0</v>
      </c>
      <c r="AC2">
        <f>BDH("ENO US Equity","EBITDA","1993-06-18","2026-05-02","Per=Y","Days=T","Dir=V")</f>
        <v>0</v>
      </c>
      <c r="AE2">
        <f>BDH("ENO US Equity","NET_INCOME","1993-06-18","2026-05-02","Per=Y","Days=T","Dir=V")</f>
        <v>0</v>
      </c>
      <c r="AG2">
        <f>BDH("ENO US Equity","IS_INT_EXPENSE","1993-06-18","2026-05-02","Per=Y","Days=T","Dir=V")</f>
        <v>0</v>
      </c>
      <c r="AI2">
        <f>BDH("ENO US Equity","IS_DEPR_EXP","1993-06-18","2026-05-02","Per=Y","Days=T","Dir=V")</f>
        <v>0</v>
      </c>
      <c r="AK2">
        <f>BDH("ENO US Equity","CF_CASH_FROM_OPER","1993-06-18","2026-05-02","Per=Y","Days=T","Dir=V")</f>
        <v>0</v>
      </c>
      <c r="AM2">
        <f>BDH("ENO US Equity","CAPITAL_EXPEND","1993-06-18","2026-05-02","Per=Y","Days=T","Dir=V")</f>
        <v>0</v>
      </c>
      <c r="AO2">
        <f>BDH("ENO US Equity","CF_FREE_CASH_FLOW","1993-06-18","2026-05-02","Per=Y","Days=T","Dir=V")</f>
        <v>0</v>
      </c>
      <c r="AQ2">
        <f>BDH("ENO US Equity","PX_LAST","1993-06-18","2026-05-02","Per=M","Days=T","Dir=V")</f>
        <v>0</v>
      </c>
      <c r="AS2">
        <f>BDH("ENO US Equity","CUR_MKT_CAP","1993-06-18","2026-05-02","Per=M","Days=T","Dir=V")</f>
        <v>0</v>
      </c>
      <c r="AU2">
        <f>BDH("ENO US Equity","EQY_SH_OUT","1993-06-18","2026-05-02","Per=M","Days=T","Dir=V")</f>
        <v>0</v>
      </c>
      <c r="AW2">
        <f>BDH("ENO US Equity","PX_VOLUME","1993-06-18","2026-05-02","Per=M","Days=T","Dir=V")</f>
        <v>0</v>
      </c>
      <c r="AY2">
        <f>BDH("ENO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BDH("ENOV US Equity","BS_TOT_ASSET","1993-06-18","2026-05-02","Per=Y","Days=T","Dir=V")</f>
        <v>0</v>
      </c>
      <c r="C2">
        <f>BDH("ENOV US Equity","BS_TOT_LIAB2","1993-06-18","2026-05-02","Per=Y","Days=T","Dir=V")</f>
        <v>0</v>
      </c>
      <c r="E2">
        <f>BDH("ENOV US Equity","SHORT_AND_LONG_TERM_DEBT","1993-06-18","2026-05-02","Per=Y","Days=T","Dir=V")</f>
        <v>0</v>
      </c>
      <c r="G2">
        <f>BDH("ENOV US Equity","BS_ST_BORROW","1993-06-18","2026-05-02","Per=Y","Days=T","Dir=V")</f>
        <v>0</v>
      </c>
      <c r="I2">
        <f>BDH("ENOV US Equity","BS_LT_BORROW","1993-06-18","2026-05-02","Per=Y","Days=T","Dir=V")</f>
        <v>0</v>
      </c>
      <c r="K2">
        <f>BDH("ENOV US Equity","BS_CASH_NEAR_CASH_ITEM","1993-06-18","2026-05-02","Per=Y","Days=T","Dir=V")</f>
        <v>0</v>
      </c>
      <c r="M2">
        <f>BDH("ENOV US Equity","BS_CUR_ASSET_REPORT","1993-06-18","2026-05-02","Per=Y","Days=T","Dir=V")</f>
        <v>0</v>
      </c>
      <c r="O2">
        <f>BDH("ENOV US Equity","BS_CUR_LIAB","1993-06-18","2026-05-02","Per=Y","Days=T","Dir=V")</f>
        <v>0</v>
      </c>
      <c r="Q2">
        <f>BDH("ENOV US Equity","BS_SHAREHOLDER_EQY_ENDING_PERIOD","1993-06-18","2026-05-02","Per=Y","Days=T","Dir=V")</f>
        <v>0</v>
      </c>
      <c r="S2">
        <f>BDH("ENOV US Equity","BS_ACCT_NOTE_RCV","1993-06-18","2026-05-02","Per=Y","Days=T","Dir=V")</f>
        <v>0</v>
      </c>
      <c r="U2">
        <f>BDH("ENOV US Equity","BS_INVENTORIES","1993-06-18","2026-05-02","Per=Y","Days=T","Dir=V")</f>
        <v>0</v>
      </c>
      <c r="W2">
        <f>BDH("ENOV US Equity","WORKING_CAPITAL","1993-06-18","2026-05-02","Per=Y","Days=T","Dir=V")</f>
        <v>0</v>
      </c>
      <c r="Y2">
        <f>BDH("ENOV US Equity","SALES_REV_TURN","1993-06-18","2026-05-02","Per=Y","Days=T","Dir=V")</f>
        <v>0</v>
      </c>
      <c r="AA2">
        <f>BDH("ENOV US Equity","EBIT","1993-06-18","2026-05-02","Per=Y","Days=T","Dir=V")</f>
        <v>0</v>
      </c>
      <c r="AC2">
        <f>BDH("ENOV US Equity","EBITDA","1993-06-18","2026-05-02","Per=Y","Days=T","Dir=V")</f>
        <v>0</v>
      </c>
      <c r="AE2">
        <f>BDH("ENOV US Equity","NET_INCOME","1993-06-18","2026-05-02","Per=Y","Days=T","Dir=V")</f>
        <v>0</v>
      </c>
      <c r="AG2">
        <f>BDH("ENOV US Equity","IS_INT_EXPENSE","1993-06-18","2026-05-02","Per=Y","Days=T","Dir=V")</f>
        <v>0</v>
      </c>
      <c r="AI2">
        <f>BDH("ENOV US Equity","IS_DEPR_EXP","1993-06-18","2026-05-02","Per=Y","Days=T","Dir=V")</f>
        <v>0</v>
      </c>
      <c r="AK2">
        <f>BDH("ENOV US Equity","CF_CASH_FROM_OPER","1993-06-18","2026-05-02","Per=Y","Days=T","Dir=V")</f>
        <v>0</v>
      </c>
      <c r="AM2">
        <f>BDH("ENOV US Equity","CAPITAL_EXPEND","1993-06-18","2026-05-02","Per=Y","Days=T","Dir=V")</f>
        <v>0</v>
      </c>
      <c r="AO2">
        <f>BDH("ENOV US Equity","CF_FREE_CASH_FLOW","1993-06-18","2026-05-02","Per=Y","Days=T","Dir=V")</f>
        <v>0</v>
      </c>
      <c r="AQ2">
        <f>BDH("ENOV US Equity","PX_LAST","1993-06-18","2026-05-02","Per=M","Days=T","Dir=V")</f>
        <v>0</v>
      </c>
      <c r="AS2">
        <f>BDH("ENOV US Equity","CUR_MKT_CAP","1993-06-18","2026-05-02","Per=M","Days=T","Dir=V")</f>
        <v>0</v>
      </c>
      <c r="AU2">
        <f>BDH("ENOV US Equity","EQY_SH_OUT","1993-06-18","2026-05-02","Per=M","Days=T","Dir=V")</f>
        <v>0</v>
      </c>
      <c r="AW2">
        <f>BDH("ENOV US Equity","PX_VOLUME","1993-06-18","2026-05-02","Per=M","Days=T","Dir=V")</f>
        <v>0</v>
      </c>
      <c r="AY2">
        <f>BDH("ENOV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BDH("ENPH US Equity","BS_TOT_ASSET","1993-06-18","2026-05-02","Per=Y","Days=T","Dir=V")</f>
        <v>0</v>
      </c>
      <c r="C2">
        <f>BDH("ENPH US Equity","BS_TOT_LIAB2","1993-06-18","2026-05-02","Per=Y","Days=T","Dir=V")</f>
        <v>0</v>
      </c>
      <c r="E2">
        <f>BDH("ENPH US Equity","SHORT_AND_LONG_TERM_DEBT","1993-06-18","2026-05-02","Per=Y","Days=T","Dir=V")</f>
        <v>0</v>
      </c>
      <c r="G2">
        <f>BDH("ENPH US Equity","BS_ST_BORROW","1993-06-18","2026-05-02","Per=Y","Days=T","Dir=V")</f>
        <v>0</v>
      </c>
      <c r="I2">
        <f>BDH("ENPH US Equity","BS_LT_BORROW","1993-06-18","2026-05-02","Per=Y","Days=T","Dir=V")</f>
        <v>0</v>
      </c>
      <c r="K2">
        <f>BDH("ENPH US Equity","BS_CASH_NEAR_CASH_ITEM","1993-06-18","2026-05-02","Per=Y","Days=T","Dir=V")</f>
        <v>0</v>
      </c>
      <c r="M2">
        <f>BDH("ENPH US Equity","BS_CUR_ASSET_REPORT","1993-06-18","2026-05-02","Per=Y","Days=T","Dir=V")</f>
        <v>0</v>
      </c>
      <c r="O2">
        <f>BDH("ENPH US Equity","BS_CUR_LIAB","1993-06-18","2026-05-02","Per=Y","Days=T","Dir=V")</f>
        <v>0</v>
      </c>
      <c r="Q2">
        <f>BDH("ENPH US Equity","BS_SHAREHOLDER_EQY_ENDING_PERIOD","1993-06-18","2026-05-02","Per=Y","Days=T","Dir=V")</f>
        <v>0</v>
      </c>
      <c r="S2">
        <f>BDH("ENPH US Equity","BS_ACCT_NOTE_RCV","1993-06-18","2026-05-02","Per=Y","Days=T","Dir=V")</f>
        <v>0</v>
      </c>
      <c r="U2">
        <f>BDH("ENPH US Equity","BS_INVENTORIES","1993-06-18","2026-05-02","Per=Y","Days=T","Dir=V")</f>
        <v>0</v>
      </c>
      <c r="W2">
        <f>BDH("ENPH US Equity","WORKING_CAPITAL","1993-06-18","2026-05-02","Per=Y","Days=T","Dir=V")</f>
        <v>0</v>
      </c>
      <c r="Y2">
        <f>BDH("ENPH US Equity","SALES_REV_TURN","1993-06-18","2026-05-02","Per=Y","Days=T","Dir=V")</f>
        <v>0</v>
      </c>
      <c r="AA2">
        <f>BDH("ENPH US Equity","EBIT","1993-06-18","2026-05-02","Per=Y","Days=T","Dir=V")</f>
        <v>0</v>
      </c>
      <c r="AC2">
        <f>BDH("ENPH US Equity","EBITDA","1993-06-18","2026-05-02","Per=Y","Days=T","Dir=V")</f>
        <v>0</v>
      </c>
      <c r="AE2">
        <f>BDH("ENPH US Equity","NET_INCOME","1993-06-18","2026-05-02","Per=Y","Days=T","Dir=V")</f>
        <v>0</v>
      </c>
      <c r="AG2">
        <f>BDH("ENPH US Equity","IS_INT_EXPENSE","1993-06-18","2026-05-02","Per=Y","Days=T","Dir=V")</f>
        <v>0</v>
      </c>
      <c r="AI2">
        <f>BDH("ENPH US Equity","IS_DEPR_EXP","1993-06-18","2026-05-02","Per=Y","Days=T","Dir=V")</f>
        <v>0</v>
      </c>
      <c r="AK2">
        <f>BDH("ENPH US Equity","CF_CASH_FROM_OPER","1993-06-18","2026-05-02","Per=Y","Days=T","Dir=V")</f>
        <v>0</v>
      </c>
      <c r="AM2">
        <f>BDH("ENPH US Equity","CAPITAL_EXPEND","1993-06-18","2026-05-02","Per=Y","Days=T","Dir=V")</f>
        <v>0</v>
      </c>
      <c r="AO2">
        <f>BDH("ENPH US Equity","CF_FREE_CASH_FLOW","1993-06-18","2026-05-02","Per=Y","Days=T","Dir=V")</f>
        <v>0</v>
      </c>
      <c r="AQ2">
        <f>BDH("ENPH US Equity","PX_LAST","1993-06-18","2026-05-02","Per=M","Days=T","Dir=V")</f>
        <v>0</v>
      </c>
      <c r="AS2">
        <f>BDH("ENPH US Equity","CUR_MKT_CAP","1993-06-18","2026-05-02","Per=M","Days=T","Dir=V")</f>
        <v>0</v>
      </c>
      <c r="AU2">
        <f>BDH("ENPH US Equity","EQY_SH_OUT","1993-06-18","2026-05-02","Per=M","Days=T","Dir=V")</f>
        <v>0</v>
      </c>
      <c r="AW2">
        <f>BDH("ENPH US Equity","PX_VOLUME","1993-06-18","2026-05-02","Per=M","Days=T","Dir=V")</f>
        <v>0</v>
      </c>
      <c r="AY2">
        <f>BDH("ENPH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BDH("ENSC US Equity","BS_TOT_ASSET","1993-06-18","2026-05-02","Per=Y","Days=T","Dir=V")</f>
        <v>0</v>
      </c>
      <c r="C2">
        <f>BDH("ENSC US Equity","BS_TOT_LIAB2","1993-06-18","2026-05-02","Per=Y","Days=T","Dir=V")</f>
        <v>0</v>
      </c>
      <c r="E2">
        <f>BDH("ENSC US Equity","SHORT_AND_LONG_TERM_DEBT","1993-06-18","2026-05-02","Per=Y","Days=T","Dir=V")</f>
        <v>0</v>
      </c>
      <c r="G2">
        <f>BDH("ENSC US Equity","BS_ST_BORROW","1993-06-18","2026-05-02","Per=Y","Days=T","Dir=V")</f>
        <v>0</v>
      </c>
      <c r="I2">
        <f>BDH("ENSC US Equity","BS_LT_BORROW","1993-06-18","2026-05-02","Per=Y","Days=T","Dir=V")</f>
        <v>0</v>
      </c>
      <c r="K2">
        <f>BDH("ENSC US Equity","BS_CASH_NEAR_CASH_ITEM","1993-06-18","2026-05-02","Per=Y","Days=T","Dir=V")</f>
        <v>0</v>
      </c>
      <c r="M2">
        <f>BDH("ENSC US Equity","BS_CUR_ASSET_REPORT","1993-06-18","2026-05-02","Per=Y","Days=T","Dir=V")</f>
        <v>0</v>
      </c>
      <c r="O2">
        <f>BDH("ENSC US Equity","BS_CUR_LIAB","1993-06-18","2026-05-02","Per=Y","Days=T","Dir=V")</f>
        <v>0</v>
      </c>
      <c r="Q2">
        <f>BDH("ENSC US Equity","BS_SHAREHOLDER_EQY_ENDING_PERIOD","1993-06-18","2026-05-02","Per=Y","Days=T","Dir=V")</f>
        <v>0</v>
      </c>
      <c r="S2">
        <f>BDH("ENSC US Equity","BS_ACCT_NOTE_RCV","1993-06-18","2026-05-02","Per=Y","Days=T","Dir=V")</f>
        <v>0</v>
      </c>
      <c r="U2">
        <f>BDH("ENSC US Equity","BS_INVENTORIES","1993-06-18","2026-05-02","Per=Y","Days=T","Dir=V")</f>
        <v>0</v>
      </c>
      <c r="W2">
        <f>BDH("ENSC US Equity","WORKING_CAPITAL","1993-06-18","2026-05-02","Per=Y","Days=T","Dir=V")</f>
        <v>0</v>
      </c>
      <c r="Y2">
        <f>BDH("ENSC US Equity","SALES_REV_TURN","1993-06-18","2026-05-02","Per=Y","Days=T","Dir=V")</f>
        <v>0</v>
      </c>
      <c r="AA2">
        <f>BDH("ENSC US Equity","EBIT","1993-06-18","2026-05-02","Per=Y","Days=T","Dir=V")</f>
        <v>0</v>
      </c>
      <c r="AC2">
        <f>BDH("ENSC US Equity","EBITDA","1993-06-18","2026-05-02","Per=Y","Days=T","Dir=V")</f>
        <v>0</v>
      </c>
      <c r="AE2">
        <f>BDH("ENSC US Equity","NET_INCOME","1993-06-18","2026-05-02","Per=Y","Days=T","Dir=V")</f>
        <v>0</v>
      </c>
      <c r="AG2">
        <f>BDH("ENSC US Equity","IS_INT_EXPENSE","1993-06-18","2026-05-02","Per=Y","Days=T","Dir=V")</f>
        <v>0</v>
      </c>
      <c r="AI2">
        <f>BDH("ENSC US Equity","IS_DEPR_EXP","1993-06-18","2026-05-02","Per=Y","Days=T","Dir=V")</f>
        <v>0</v>
      </c>
      <c r="AK2">
        <f>BDH("ENSC US Equity","CF_CASH_FROM_OPER","1993-06-18","2026-05-02","Per=Y","Days=T","Dir=V")</f>
        <v>0</v>
      </c>
      <c r="AM2">
        <f>BDH("ENSC US Equity","CAPITAL_EXPEND","1993-06-18","2026-05-02","Per=Y","Days=T","Dir=V")</f>
        <v>0</v>
      </c>
      <c r="AO2">
        <f>BDH("ENSC US Equity","CF_FREE_CASH_FLOW","1993-06-18","2026-05-02","Per=Y","Days=T","Dir=V")</f>
        <v>0</v>
      </c>
      <c r="AQ2">
        <f>BDH("ENSC US Equity","PX_LAST","1993-06-18","2026-05-02","Per=M","Days=T","Dir=V")</f>
        <v>0</v>
      </c>
      <c r="AS2">
        <f>BDH("ENSC US Equity","CUR_MKT_CAP","1993-06-18","2026-05-02","Per=M","Days=T","Dir=V")</f>
        <v>0</v>
      </c>
      <c r="AU2">
        <f>BDH("ENSC US Equity","EQY_SH_OUT","1993-06-18","2026-05-02","Per=M","Days=T","Dir=V")</f>
        <v>0</v>
      </c>
      <c r="AW2">
        <f>BDH("ENSC US Equity","PX_VOLUME","1993-06-18","2026-05-02","Per=M","Days=T","Dir=V")</f>
        <v>0</v>
      </c>
      <c r="AY2">
        <f>BDH("ENSC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BDH("ENSG US Equity","BS_TOT_ASSET","1993-06-18","2026-05-02","Per=Y","Days=T","Dir=V")</f>
        <v>0</v>
      </c>
      <c r="C2">
        <f>BDH("ENSG US Equity","BS_TOT_LIAB2","1993-06-18","2026-05-02","Per=Y","Days=T","Dir=V")</f>
        <v>0</v>
      </c>
      <c r="E2">
        <f>BDH("ENSG US Equity","SHORT_AND_LONG_TERM_DEBT","1993-06-18","2026-05-02","Per=Y","Days=T","Dir=V")</f>
        <v>0</v>
      </c>
      <c r="G2">
        <f>BDH("ENSG US Equity","BS_ST_BORROW","1993-06-18","2026-05-02","Per=Y","Days=T","Dir=V")</f>
        <v>0</v>
      </c>
      <c r="I2">
        <f>BDH("ENSG US Equity","BS_LT_BORROW","1993-06-18","2026-05-02","Per=Y","Days=T","Dir=V")</f>
        <v>0</v>
      </c>
      <c r="K2">
        <f>BDH("ENSG US Equity","BS_CASH_NEAR_CASH_ITEM","1993-06-18","2026-05-02","Per=Y","Days=T","Dir=V")</f>
        <v>0</v>
      </c>
      <c r="M2">
        <f>BDH("ENSG US Equity","BS_CUR_ASSET_REPORT","1993-06-18","2026-05-02","Per=Y","Days=T","Dir=V")</f>
        <v>0</v>
      </c>
      <c r="O2">
        <f>BDH("ENSG US Equity","BS_CUR_LIAB","1993-06-18","2026-05-02","Per=Y","Days=T","Dir=V")</f>
        <v>0</v>
      </c>
      <c r="Q2">
        <f>BDH("ENSG US Equity","BS_SHAREHOLDER_EQY_ENDING_PERIOD","1993-06-18","2026-05-02","Per=Y","Days=T","Dir=V")</f>
        <v>0</v>
      </c>
      <c r="S2">
        <f>BDH("ENSG US Equity","BS_ACCT_NOTE_RCV","1993-06-18","2026-05-02","Per=Y","Days=T","Dir=V")</f>
        <v>0</v>
      </c>
      <c r="U2">
        <f>BDH("ENSG US Equity","BS_INVENTORIES","1993-06-18","2026-05-02","Per=Y","Days=T","Dir=V")</f>
        <v>0</v>
      </c>
      <c r="W2">
        <f>BDH("ENSG US Equity","WORKING_CAPITAL","1993-06-18","2026-05-02","Per=Y","Days=T","Dir=V")</f>
        <v>0</v>
      </c>
      <c r="Y2">
        <f>BDH("ENSG US Equity","SALES_REV_TURN","1993-06-18","2026-05-02","Per=Y","Days=T","Dir=V")</f>
        <v>0</v>
      </c>
      <c r="AA2">
        <f>BDH("ENSG US Equity","EBIT","1993-06-18","2026-05-02","Per=Y","Days=T","Dir=V")</f>
        <v>0</v>
      </c>
      <c r="AC2">
        <f>BDH("ENSG US Equity","EBITDA","1993-06-18","2026-05-02","Per=Y","Days=T","Dir=V")</f>
        <v>0</v>
      </c>
      <c r="AE2">
        <f>BDH("ENSG US Equity","NET_INCOME","1993-06-18","2026-05-02","Per=Y","Days=T","Dir=V")</f>
        <v>0</v>
      </c>
      <c r="AG2">
        <f>BDH("ENSG US Equity","IS_INT_EXPENSE","1993-06-18","2026-05-02","Per=Y","Days=T","Dir=V")</f>
        <v>0</v>
      </c>
      <c r="AI2">
        <f>BDH("ENSG US Equity","IS_DEPR_EXP","1993-06-18","2026-05-02","Per=Y","Days=T","Dir=V")</f>
        <v>0</v>
      </c>
      <c r="AK2">
        <f>BDH("ENSG US Equity","CF_CASH_FROM_OPER","1993-06-18","2026-05-02","Per=Y","Days=T","Dir=V")</f>
        <v>0</v>
      </c>
      <c r="AM2">
        <f>BDH("ENSG US Equity","CAPITAL_EXPEND","1993-06-18","2026-05-02","Per=Y","Days=T","Dir=V")</f>
        <v>0</v>
      </c>
      <c r="AO2">
        <f>BDH("ENSG US Equity","CF_FREE_CASH_FLOW","1993-06-18","2026-05-02","Per=Y","Days=T","Dir=V")</f>
        <v>0</v>
      </c>
      <c r="AQ2">
        <f>BDH("ENSG US Equity","PX_LAST","1993-06-18","2026-05-02","Per=M","Days=T","Dir=V")</f>
        <v>0</v>
      </c>
      <c r="AS2">
        <f>BDH("ENSG US Equity","CUR_MKT_CAP","1993-06-18","2026-05-02","Per=M","Days=T","Dir=V")</f>
        <v>0</v>
      </c>
      <c r="AU2">
        <f>BDH("ENSG US Equity","EQY_SH_OUT","1993-06-18","2026-05-02","Per=M","Days=T","Dir=V")</f>
        <v>0</v>
      </c>
      <c r="AW2">
        <f>BDH("ENSG US Equity","PX_VOLUME","1993-06-18","2026-05-02","Per=M","Days=T","Dir=V")</f>
        <v>0</v>
      </c>
      <c r="AY2">
        <f>BDH("ENSG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BDH("ENTA US Equity","BS_TOT_ASSET","1993-06-18","2026-05-02","Per=Y","Days=T","Dir=V")</f>
        <v>0</v>
      </c>
      <c r="C2">
        <f>BDH("ENTA US Equity","BS_TOT_LIAB2","1993-06-18","2026-05-02","Per=Y","Days=T","Dir=V")</f>
        <v>0</v>
      </c>
      <c r="E2">
        <f>BDH("ENTA US Equity","SHORT_AND_LONG_TERM_DEBT","1993-06-18","2026-05-02","Per=Y","Days=T","Dir=V")</f>
        <v>0</v>
      </c>
      <c r="G2">
        <f>BDH("ENTA US Equity","BS_ST_BORROW","1993-06-18","2026-05-02","Per=Y","Days=T","Dir=V")</f>
        <v>0</v>
      </c>
      <c r="I2">
        <f>BDH("ENTA US Equity","BS_LT_BORROW","1993-06-18","2026-05-02","Per=Y","Days=T","Dir=V")</f>
        <v>0</v>
      </c>
      <c r="K2">
        <f>BDH("ENTA US Equity","BS_CASH_NEAR_CASH_ITEM","1993-06-18","2026-05-02","Per=Y","Days=T","Dir=V")</f>
        <v>0</v>
      </c>
      <c r="M2">
        <f>BDH("ENTA US Equity","BS_CUR_ASSET_REPORT","1993-06-18","2026-05-02","Per=Y","Days=T","Dir=V")</f>
        <v>0</v>
      </c>
      <c r="O2">
        <f>BDH("ENTA US Equity","BS_CUR_LIAB","1993-06-18","2026-05-02","Per=Y","Days=T","Dir=V")</f>
        <v>0</v>
      </c>
      <c r="Q2">
        <f>BDH("ENTA US Equity","BS_SHAREHOLDER_EQY_ENDING_PERIOD","1993-06-18","2026-05-02","Per=Y","Days=T","Dir=V")</f>
        <v>0</v>
      </c>
      <c r="S2">
        <f>BDH("ENTA US Equity","BS_ACCT_NOTE_RCV","1993-06-18","2026-05-02","Per=Y","Days=T","Dir=V")</f>
        <v>0</v>
      </c>
      <c r="U2">
        <f>BDH("ENTA US Equity","BS_INVENTORIES","1993-06-18","2026-05-02","Per=Y","Days=T","Dir=V")</f>
        <v>0</v>
      </c>
      <c r="W2">
        <f>BDH("ENTA US Equity","WORKING_CAPITAL","1993-06-18","2026-05-02","Per=Y","Days=T","Dir=V")</f>
        <v>0</v>
      </c>
      <c r="Y2">
        <f>BDH("ENTA US Equity","SALES_REV_TURN","1993-06-18","2026-05-02","Per=Y","Days=T","Dir=V")</f>
        <v>0</v>
      </c>
      <c r="AA2">
        <f>BDH("ENTA US Equity","EBIT","1993-06-18","2026-05-02","Per=Y","Days=T","Dir=V")</f>
        <v>0</v>
      </c>
      <c r="AC2">
        <f>BDH("ENTA US Equity","EBITDA","1993-06-18","2026-05-02","Per=Y","Days=T","Dir=V")</f>
        <v>0</v>
      </c>
      <c r="AE2">
        <f>BDH("ENTA US Equity","NET_INCOME","1993-06-18","2026-05-02","Per=Y","Days=T","Dir=V")</f>
        <v>0</v>
      </c>
      <c r="AG2">
        <f>BDH("ENTA US Equity","IS_INT_EXPENSE","1993-06-18","2026-05-02","Per=Y","Days=T","Dir=V")</f>
        <v>0</v>
      </c>
      <c r="AI2">
        <f>BDH("ENTA US Equity","IS_DEPR_EXP","1993-06-18","2026-05-02","Per=Y","Days=T","Dir=V")</f>
        <v>0</v>
      </c>
      <c r="AK2">
        <f>BDH("ENTA US Equity","CF_CASH_FROM_OPER","1993-06-18","2026-05-02","Per=Y","Days=T","Dir=V")</f>
        <v>0</v>
      </c>
      <c r="AM2">
        <f>BDH("ENTA US Equity","CAPITAL_EXPEND","1993-06-18","2026-05-02","Per=Y","Days=T","Dir=V")</f>
        <v>0</v>
      </c>
      <c r="AO2">
        <f>BDH("ENTA US Equity","CF_FREE_CASH_FLOW","1993-06-18","2026-05-02","Per=Y","Days=T","Dir=V")</f>
        <v>0</v>
      </c>
      <c r="AQ2">
        <f>BDH("ENTA US Equity","PX_LAST","1993-06-18","2026-05-02","Per=M","Days=T","Dir=V")</f>
        <v>0</v>
      </c>
      <c r="AS2">
        <f>BDH("ENTA US Equity","CUR_MKT_CAP","1993-06-18","2026-05-02","Per=M","Days=T","Dir=V")</f>
        <v>0</v>
      </c>
      <c r="AU2">
        <f>BDH("ENTA US Equity","EQY_SH_OUT","1993-06-18","2026-05-02","Per=M","Days=T","Dir=V")</f>
        <v>0</v>
      </c>
      <c r="AW2">
        <f>BDH("ENTA US Equity","PX_VOLUME","1993-06-18","2026-05-02","Per=M","Days=T","Dir=V")</f>
        <v>0</v>
      </c>
      <c r="AY2">
        <f>BDH("ENTA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BDH("ENTG US Equity","BS_TOT_ASSET","1993-06-18","2026-05-02","Per=Y","Days=T","Dir=V")</f>
        <v>0</v>
      </c>
      <c r="C2">
        <f>BDH("ENTG US Equity","BS_TOT_LIAB2","1993-06-18","2026-05-02","Per=Y","Days=T","Dir=V")</f>
        <v>0</v>
      </c>
      <c r="E2">
        <f>BDH("ENTG US Equity","SHORT_AND_LONG_TERM_DEBT","1993-06-18","2026-05-02","Per=Y","Days=T","Dir=V")</f>
        <v>0</v>
      </c>
      <c r="G2">
        <f>BDH("ENTG US Equity","BS_ST_BORROW","1993-06-18","2026-05-02","Per=Y","Days=T","Dir=V")</f>
        <v>0</v>
      </c>
      <c r="I2">
        <f>BDH("ENTG US Equity","BS_LT_BORROW","1993-06-18","2026-05-02","Per=Y","Days=T","Dir=V")</f>
        <v>0</v>
      </c>
      <c r="K2">
        <f>BDH("ENTG US Equity","BS_CASH_NEAR_CASH_ITEM","1993-06-18","2026-05-02","Per=Y","Days=T","Dir=V")</f>
        <v>0</v>
      </c>
      <c r="M2">
        <f>BDH("ENTG US Equity","BS_CUR_ASSET_REPORT","1993-06-18","2026-05-02","Per=Y","Days=T","Dir=V")</f>
        <v>0</v>
      </c>
      <c r="O2">
        <f>BDH("ENTG US Equity","BS_CUR_LIAB","1993-06-18","2026-05-02","Per=Y","Days=T","Dir=V")</f>
        <v>0</v>
      </c>
      <c r="Q2">
        <f>BDH("ENTG US Equity","BS_SHAREHOLDER_EQY_ENDING_PERIOD","1993-06-18","2026-05-02","Per=Y","Days=T","Dir=V")</f>
        <v>0</v>
      </c>
      <c r="S2">
        <f>BDH("ENTG US Equity","BS_ACCT_NOTE_RCV","1993-06-18","2026-05-02","Per=Y","Days=T","Dir=V")</f>
        <v>0</v>
      </c>
      <c r="U2">
        <f>BDH("ENTG US Equity","BS_INVENTORIES","1993-06-18","2026-05-02","Per=Y","Days=T","Dir=V")</f>
        <v>0</v>
      </c>
      <c r="W2">
        <f>BDH("ENTG US Equity","WORKING_CAPITAL","1993-06-18","2026-05-02","Per=Y","Days=T","Dir=V")</f>
        <v>0</v>
      </c>
      <c r="Y2">
        <f>BDH("ENTG US Equity","SALES_REV_TURN","1993-06-18","2026-05-02","Per=Y","Days=T","Dir=V")</f>
        <v>0</v>
      </c>
      <c r="AA2">
        <f>BDH("ENTG US Equity","EBIT","1993-06-18","2026-05-02","Per=Y","Days=T","Dir=V")</f>
        <v>0</v>
      </c>
      <c r="AC2">
        <f>BDH("ENTG US Equity","EBITDA","1993-06-18","2026-05-02","Per=Y","Days=T","Dir=V")</f>
        <v>0</v>
      </c>
      <c r="AE2">
        <f>BDH("ENTG US Equity","NET_INCOME","1993-06-18","2026-05-02","Per=Y","Days=T","Dir=V")</f>
        <v>0</v>
      </c>
      <c r="AG2">
        <f>BDH("ENTG US Equity","IS_INT_EXPENSE","1993-06-18","2026-05-02","Per=Y","Days=T","Dir=V")</f>
        <v>0</v>
      </c>
      <c r="AI2">
        <f>BDH("ENTG US Equity","IS_DEPR_EXP","1993-06-18","2026-05-02","Per=Y","Days=T","Dir=V")</f>
        <v>0</v>
      </c>
      <c r="AK2">
        <f>BDH("ENTG US Equity","CF_CASH_FROM_OPER","1993-06-18","2026-05-02","Per=Y","Days=T","Dir=V")</f>
        <v>0</v>
      </c>
      <c r="AM2">
        <f>BDH("ENTG US Equity","CAPITAL_EXPEND","1993-06-18","2026-05-02","Per=Y","Days=T","Dir=V")</f>
        <v>0</v>
      </c>
      <c r="AO2">
        <f>BDH("ENTG US Equity","CF_FREE_CASH_FLOW","1993-06-18","2026-05-02","Per=Y","Days=T","Dir=V")</f>
        <v>0</v>
      </c>
      <c r="AQ2">
        <f>BDH("ENTG US Equity","PX_LAST","1993-06-18","2026-05-02","Per=M","Days=T","Dir=V")</f>
        <v>0</v>
      </c>
      <c r="AS2">
        <f>BDH("ENTG US Equity","CUR_MKT_CAP","1993-06-18","2026-05-02","Per=M","Days=T","Dir=V")</f>
        <v>0</v>
      </c>
      <c r="AU2">
        <f>BDH("ENTG US Equity","EQY_SH_OUT","1993-06-18","2026-05-02","Per=M","Days=T","Dir=V")</f>
        <v>0</v>
      </c>
      <c r="AW2">
        <f>BDH("ENTG US Equity","PX_VOLUME","1993-06-18","2026-05-02","Per=M","Days=T","Dir=V")</f>
        <v>0</v>
      </c>
      <c r="AY2">
        <f>BDH("ENTG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BDH("ENVB US Equity","BS_TOT_ASSET","1993-06-18","2026-05-02","Per=Y","Days=T","Dir=V")</f>
        <v>0</v>
      </c>
      <c r="C2">
        <f>BDH("ENVB US Equity","BS_TOT_LIAB2","1993-06-18","2026-05-02","Per=Y","Days=T","Dir=V")</f>
        <v>0</v>
      </c>
      <c r="E2">
        <f>BDH("ENVB US Equity","SHORT_AND_LONG_TERM_DEBT","1993-06-18","2026-05-02","Per=Y","Days=T","Dir=V")</f>
        <v>0</v>
      </c>
      <c r="G2">
        <f>BDH("ENVB US Equity","BS_ST_BORROW","1993-06-18","2026-05-02","Per=Y","Days=T","Dir=V")</f>
        <v>0</v>
      </c>
      <c r="I2">
        <f>BDH("ENVB US Equity","BS_LT_BORROW","1993-06-18","2026-05-02","Per=Y","Days=T","Dir=V")</f>
        <v>0</v>
      </c>
      <c r="K2">
        <f>BDH("ENVB US Equity","BS_CASH_NEAR_CASH_ITEM","1993-06-18","2026-05-02","Per=Y","Days=T","Dir=V")</f>
        <v>0</v>
      </c>
      <c r="M2">
        <f>BDH("ENVB US Equity","BS_CUR_ASSET_REPORT","1993-06-18","2026-05-02","Per=Y","Days=T","Dir=V")</f>
        <v>0</v>
      </c>
      <c r="O2">
        <f>BDH("ENVB US Equity","BS_CUR_LIAB","1993-06-18","2026-05-02","Per=Y","Days=T","Dir=V")</f>
        <v>0</v>
      </c>
      <c r="Q2">
        <f>BDH("ENVB US Equity","BS_SHAREHOLDER_EQY_ENDING_PERIOD","1993-06-18","2026-05-02","Per=Y","Days=T","Dir=V")</f>
        <v>0</v>
      </c>
      <c r="S2">
        <f>BDH("ENVB US Equity","BS_ACCT_NOTE_RCV","1993-06-18","2026-05-02","Per=Y","Days=T","Dir=V")</f>
        <v>0</v>
      </c>
      <c r="U2">
        <f>BDH("ENVB US Equity","BS_INVENTORIES","1993-06-18","2026-05-02","Per=Y","Days=T","Dir=V")</f>
        <v>0</v>
      </c>
      <c r="W2">
        <f>BDH("ENVB US Equity","WORKING_CAPITAL","1993-06-18","2026-05-02","Per=Y","Days=T","Dir=V")</f>
        <v>0</v>
      </c>
      <c r="Y2">
        <f>BDH("ENVB US Equity","SALES_REV_TURN","1993-06-18","2026-05-02","Per=Y","Days=T","Dir=V")</f>
        <v>0</v>
      </c>
      <c r="AA2">
        <f>BDH("ENVB US Equity","EBIT","1993-06-18","2026-05-02","Per=Y","Days=T","Dir=V")</f>
        <v>0</v>
      </c>
      <c r="AC2">
        <f>BDH("ENVB US Equity","EBITDA","1993-06-18","2026-05-02","Per=Y","Days=T","Dir=V")</f>
        <v>0</v>
      </c>
      <c r="AE2">
        <f>BDH("ENVB US Equity","NET_INCOME","1993-06-18","2026-05-02","Per=Y","Days=T","Dir=V")</f>
        <v>0</v>
      </c>
      <c r="AG2">
        <f>BDH("ENVB US Equity","IS_INT_EXPENSE","1993-06-18","2026-05-02","Per=Y","Days=T","Dir=V")</f>
        <v>0</v>
      </c>
      <c r="AI2">
        <f>BDH("ENVB US Equity","IS_DEPR_EXP","1993-06-18","2026-05-02","Per=Y","Days=T","Dir=V")</f>
        <v>0</v>
      </c>
      <c r="AK2">
        <f>BDH("ENVB US Equity","CF_CASH_FROM_OPER","1993-06-18","2026-05-02","Per=Y","Days=T","Dir=V")</f>
        <v>0</v>
      </c>
      <c r="AM2">
        <f>BDH("ENVB US Equity","CAPITAL_EXPEND","1993-06-18","2026-05-02","Per=Y","Days=T","Dir=V")</f>
        <v>0</v>
      </c>
      <c r="AO2">
        <f>BDH("ENVB US Equity","CF_FREE_CASH_FLOW","1993-06-18","2026-05-02","Per=Y","Days=T","Dir=V")</f>
        <v>0</v>
      </c>
      <c r="AQ2">
        <f>BDH("ENVB US Equity","PX_LAST","1993-06-18","2026-05-02","Per=M","Days=T","Dir=V")</f>
        <v>0</v>
      </c>
      <c r="AS2">
        <f>BDH("ENVB US Equity","CUR_MKT_CAP","1993-06-18","2026-05-02","Per=M","Days=T","Dir=V")</f>
        <v>0</v>
      </c>
      <c r="AU2">
        <f>BDH("ENVB US Equity","EQY_SH_OUT","1993-06-18","2026-05-02","Per=M","Days=T","Dir=V")</f>
        <v>0</v>
      </c>
      <c r="AW2">
        <f>BDH("ENVB US Equity","PX_VOLUME","1993-06-18","2026-05-02","Per=M","Days=T","Dir=V")</f>
        <v>0</v>
      </c>
      <c r="AY2">
        <f>BDH("ENVB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BDH("EOG US Equity","BS_TOT_ASSET","1993-06-18","2026-05-02","Per=Y","Days=T","Dir=V")</f>
        <v>0</v>
      </c>
      <c r="C2">
        <f>BDH("EOG US Equity","BS_TOT_LIAB2","1993-06-18","2026-05-02","Per=Y","Days=T","Dir=V")</f>
        <v>0</v>
      </c>
      <c r="E2">
        <f>BDH("EOG US Equity","SHORT_AND_LONG_TERM_DEBT","1993-06-18","2026-05-02","Per=Y","Days=T","Dir=V")</f>
        <v>0</v>
      </c>
      <c r="G2">
        <f>BDH("EOG US Equity","BS_ST_BORROW","1993-06-18","2026-05-02","Per=Y","Days=T","Dir=V")</f>
        <v>0</v>
      </c>
      <c r="I2">
        <f>BDH("EOG US Equity","BS_LT_BORROW","1993-06-18","2026-05-02","Per=Y","Days=T","Dir=V")</f>
        <v>0</v>
      </c>
      <c r="K2">
        <f>BDH("EOG US Equity","BS_CASH_NEAR_CASH_ITEM","1993-06-18","2026-05-02","Per=Y","Days=T","Dir=V")</f>
        <v>0</v>
      </c>
      <c r="M2">
        <f>BDH("EOG US Equity","BS_CUR_ASSET_REPORT","1993-06-18","2026-05-02","Per=Y","Days=T","Dir=V")</f>
        <v>0</v>
      </c>
      <c r="O2">
        <f>BDH("EOG US Equity","BS_CUR_LIAB","1993-06-18","2026-05-02","Per=Y","Days=T","Dir=V")</f>
        <v>0</v>
      </c>
      <c r="Q2">
        <f>BDH("EOG US Equity","BS_SHAREHOLDER_EQY_ENDING_PERIOD","1993-06-18","2026-05-02","Per=Y","Days=T","Dir=V")</f>
        <v>0</v>
      </c>
      <c r="S2">
        <f>BDH("EOG US Equity","BS_ACCT_NOTE_RCV","1993-06-18","2026-05-02","Per=Y","Days=T","Dir=V")</f>
        <v>0</v>
      </c>
      <c r="U2">
        <f>BDH("EOG US Equity","BS_INVENTORIES","1993-06-18","2026-05-02","Per=Y","Days=T","Dir=V")</f>
        <v>0</v>
      </c>
      <c r="W2">
        <f>BDH("EOG US Equity","WORKING_CAPITAL","1993-06-18","2026-05-02","Per=Y","Days=T","Dir=V")</f>
        <v>0</v>
      </c>
      <c r="Y2">
        <f>BDH("EOG US Equity","SALES_REV_TURN","1993-06-18","2026-05-02","Per=Y","Days=T","Dir=V")</f>
        <v>0</v>
      </c>
      <c r="AA2">
        <f>BDH("EOG US Equity","EBIT","1993-06-18","2026-05-02","Per=Y","Days=T","Dir=V")</f>
        <v>0</v>
      </c>
      <c r="AC2">
        <f>BDH("EOG US Equity","EBITDA","1993-06-18","2026-05-02","Per=Y","Days=T","Dir=V")</f>
        <v>0</v>
      </c>
      <c r="AE2">
        <f>BDH("EOG US Equity","NET_INCOME","1993-06-18","2026-05-02","Per=Y","Days=T","Dir=V")</f>
        <v>0</v>
      </c>
      <c r="AG2">
        <f>BDH("EOG US Equity","IS_INT_EXPENSE","1993-06-18","2026-05-02","Per=Y","Days=T","Dir=V")</f>
        <v>0</v>
      </c>
      <c r="AI2">
        <f>BDH("EOG US Equity","IS_DEPR_EXP","1993-06-18","2026-05-02","Per=Y","Days=T","Dir=V")</f>
        <v>0</v>
      </c>
      <c r="AK2">
        <f>BDH("EOG US Equity","CF_CASH_FROM_OPER","1993-06-18","2026-05-02","Per=Y","Days=T","Dir=V")</f>
        <v>0</v>
      </c>
      <c r="AM2">
        <f>BDH("EOG US Equity","CAPITAL_EXPEND","1993-06-18","2026-05-02","Per=Y","Days=T","Dir=V")</f>
        <v>0</v>
      </c>
      <c r="AO2">
        <f>BDH("EOG US Equity","CF_FREE_CASH_FLOW","1993-06-18","2026-05-02","Per=Y","Days=T","Dir=V")</f>
        <v>0</v>
      </c>
      <c r="AQ2">
        <f>BDH("EOG US Equity","PX_LAST","1993-06-18","2026-05-02","Per=M","Days=T","Dir=V")</f>
        <v>0</v>
      </c>
      <c r="AS2">
        <f>BDH("EOG US Equity","CUR_MKT_CAP","1993-06-18","2026-05-02","Per=M","Days=T","Dir=V")</f>
        <v>0</v>
      </c>
      <c r="AU2">
        <f>BDH("EOG US Equity","EQY_SH_OUT","1993-06-18","2026-05-02","Per=M","Days=T","Dir=V")</f>
        <v>0</v>
      </c>
      <c r="AW2">
        <f>BDH("EOG US Equity","PX_VOLUME","1993-06-18","2026-05-02","Per=M","Days=T","Dir=V")</f>
        <v>0</v>
      </c>
      <c r="AY2">
        <f>BDH("EOG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BDH("EOLS US Equity","BS_TOT_ASSET","1993-06-18","2026-05-02","Per=Y","Days=T","Dir=V")</f>
        <v>0</v>
      </c>
      <c r="C2">
        <f>BDH("EOLS US Equity","BS_TOT_LIAB2","1993-06-18","2026-05-02","Per=Y","Days=T","Dir=V")</f>
        <v>0</v>
      </c>
      <c r="E2">
        <f>BDH("EOLS US Equity","SHORT_AND_LONG_TERM_DEBT","1993-06-18","2026-05-02","Per=Y","Days=T","Dir=V")</f>
        <v>0</v>
      </c>
      <c r="G2">
        <f>BDH("EOLS US Equity","BS_ST_BORROW","1993-06-18","2026-05-02","Per=Y","Days=T","Dir=V")</f>
        <v>0</v>
      </c>
      <c r="I2">
        <f>BDH("EOLS US Equity","BS_LT_BORROW","1993-06-18","2026-05-02","Per=Y","Days=T","Dir=V")</f>
        <v>0</v>
      </c>
      <c r="K2">
        <f>BDH("EOLS US Equity","BS_CASH_NEAR_CASH_ITEM","1993-06-18","2026-05-02","Per=Y","Days=T","Dir=V")</f>
        <v>0</v>
      </c>
      <c r="M2">
        <f>BDH("EOLS US Equity","BS_CUR_ASSET_REPORT","1993-06-18","2026-05-02","Per=Y","Days=T","Dir=V")</f>
        <v>0</v>
      </c>
      <c r="O2">
        <f>BDH("EOLS US Equity","BS_CUR_LIAB","1993-06-18","2026-05-02","Per=Y","Days=T","Dir=V")</f>
        <v>0</v>
      </c>
      <c r="Q2">
        <f>BDH("EOLS US Equity","BS_SHAREHOLDER_EQY_ENDING_PERIOD","1993-06-18","2026-05-02","Per=Y","Days=T","Dir=V")</f>
        <v>0</v>
      </c>
      <c r="S2">
        <f>BDH("EOLS US Equity","BS_ACCT_NOTE_RCV","1993-06-18","2026-05-02","Per=Y","Days=T","Dir=V")</f>
        <v>0</v>
      </c>
      <c r="U2">
        <f>BDH("EOLS US Equity","BS_INVENTORIES","1993-06-18","2026-05-02","Per=Y","Days=T","Dir=V")</f>
        <v>0</v>
      </c>
      <c r="W2">
        <f>BDH("EOLS US Equity","WORKING_CAPITAL","1993-06-18","2026-05-02","Per=Y","Days=T","Dir=V")</f>
        <v>0</v>
      </c>
      <c r="Y2">
        <f>BDH("EOLS US Equity","SALES_REV_TURN","1993-06-18","2026-05-02","Per=Y","Days=T","Dir=V")</f>
        <v>0</v>
      </c>
      <c r="AA2">
        <f>BDH("EOLS US Equity","EBIT","1993-06-18","2026-05-02","Per=Y","Days=T","Dir=V")</f>
        <v>0</v>
      </c>
      <c r="AC2">
        <f>BDH("EOLS US Equity","EBITDA","1993-06-18","2026-05-02","Per=Y","Days=T","Dir=V")</f>
        <v>0</v>
      </c>
      <c r="AE2">
        <f>BDH("EOLS US Equity","NET_INCOME","1993-06-18","2026-05-02","Per=Y","Days=T","Dir=V")</f>
        <v>0</v>
      </c>
      <c r="AG2">
        <f>BDH("EOLS US Equity","IS_INT_EXPENSE","1993-06-18","2026-05-02","Per=Y","Days=T","Dir=V")</f>
        <v>0</v>
      </c>
      <c r="AI2">
        <f>BDH("EOLS US Equity","IS_DEPR_EXP","1993-06-18","2026-05-02","Per=Y","Days=T","Dir=V")</f>
        <v>0</v>
      </c>
      <c r="AK2">
        <f>BDH("EOLS US Equity","CF_CASH_FROM_OPER","1993-06-18","2026-05-02","Per=Y","Days=T","Dir=V")</f>
        <v>0</v>
      </c>
      <c r="AM2">
        <f>BDH("EOLS US Equity","CAPITAL_EXPEND","1993-06-18","2026-05-02","Per=Y","Days=T","Dir=V")</f>
        <v>0</v>
      </c>
      <c r="AO2">
        <f>BDH("EOLS US Equity","CF_FREE_CASH_FLOW","1993-06-18","2026-05-02","Per=Y","Days=T","Dir=V")</f>
        <v>0</v>
      </c>
      <c r="AQ2">
        <f>BDH("EOLS US Equity","PX_LAST","1993-06-18","2026-05-02","Per=M","Days=T","Dir=V")</f>
        <v>0</v>
      </c>
      <c r="AS2">
        <f>BDH("EOLS US Equity","CUR_MKT_CAP","1993-06-18","2026-05-02","Per=M","Days=T","Dir=V")</f>
        <v>0</v>
      </c>
      <c r="AU2">
        <f>BDH("EOLS US Equity","EQY_SH_OUT","1993-06-18","2026-05-02","Per=M","Days=T","Dir=V")</f>
        <v>0</v>
      </c>
      <c r="AW2">
        <f>BDH("EOLS US Equity","PX_VOLUME","1993-06-18","2026-05-02","Per=M","Days=T","Dir=V")</f>
        <v>0</v>
      </c>
      <c r="AY2">
        <f>BDH("EOLS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 US Equity","BS_TOT_ASSET","1993-06-18","2026-05-02","Per=Y","Days=T","Dir=V")</f>
        <v>0</v>
      </c>
      <c r="C2">
        <f>BDH("EP US Equity","BS_TOT_LIAB2","1993-06-18","2026-05-02","Per=Y","Days=T","Dir=V")</f>
        <v>0</v>
      </c>
      <c r="E2">
        <f>BDH("EP US Equity","SHORT_AND_LONG_TERM_DEBT","1993-06-18","2026-05-02","Per=Y","Days=T","Dir=V")</f>
        <v>0</v>
      </c>
      <c r="G2">
        <f>BDH("EP US Equity","BS_ST_BORROW","1993-06-18","2026-05-02","Per=Y","Days=T","Dir=V")</f>
        <v>0</v>
      </c>
      <c r="I2">
        <f>BDH("EP US Equity","BS_LT_BORROW","1993-06-18","2026-05-02","Per=Y","Days=T","Dir=V")</f>
        <v>0</v>
      </c>
      <c r="K2">
        <f>BDH("EP US Equity","BS_CASH_NEAR_CASH_ITEM","1993-06-18","2026-05-02","Per=Y","Days=T","Dir=V")</f>
        <v>0</v>
      </c>
      <c r="M2">
        <f>BDH("EP US Equity","BS_CUR_ASSET_REPORT","1993-06-18","2026-05-02","Per=Y","Days=T","Dir=V")</f>
        <v>0</v>
      </c>
      <c r="O2">
        <f>BDH("EP US Equity","BS_CUR_LIAB","1993-06-18","2026-05-02","Per=Y","Days=T","Dir=V")</f>
        <v>0</v>
      </c>
      <c r="Q2">
        <f>BDH("EP US Equity","BS_SHAREHOLDER_EQY_ENDING_PERIOD","1993-06-18","2026-05-02","Per=Y","Days=T","Dir=V")</f>
        <v>0</v>
      </c>
      <c r="S2">
        <f>BDH("EP US Equity","BS_ACCT_NOTE_RCV","1993-06-18","2026-05-02","Per=Y","Days=T","Dir=V")</f>
        <v>0</v>
      </c>
      <c r="U2">
        <f>BDH("EP US Equity","BS_INVENTORIES","1993-06-18","2026-05-02","Per=Y","Days=T","Dir=V")</f>
        <v>0</v>
      </c>
      <c r="W2">
        <f>BDH("EP US Equity","WORKING_CAPITAL","1993-06-18","2026-05-02","Per=Y","Days=T","Dir=V")</f>
        <v>0</v>
      </c>
      <c r="Y2">
        <f>BDH("EP US Equity","SALES_REV_TURN","1993-06-18","2026-05-02","Per=Y","Days=T","Dir=V")</f>
        <v>0</v>
      </c>
      <c r="AA2">
        <f>BDH("EP US Equity","EBIT","1993-06-18","2026-05-02","Per=Y","Days=T","Dir=V")</f>
        <v>0</v>
      </c>
      <c r="AC2">
        <f>BDH("EP US Equity","EBITDA","1993-06-18","2026-05-02","Per=Y","Days=T","Dir=V")</f>
        <v>0</v>
      </c>
      <c r="AE2">
        <f>BDH("EP US Equity","NET_INCOME","1993-06-18","2026-05-02","Per=Y","Days=T","Dir=V")</f>
        <v>0</v>
      </c>
      <c r="AG2">
        <f>BDH("EP US Equity","IS_INT_EXPENSE","1993-06-18","2026-05-02","Per=Y","Days=T","Dir=V")</f>
        <v>0</v>
      </c>
      <c r="AI2">
        <f>BDH("EP US Equity","IS_DEPR_EXP","1993-06-18","2026-05-02","Per=Y","Days=T","Dir=V")</f>
        <v>0</v>
      </c>
      <c r="AK2">
        <f>BDH("EP US Equity","CF_CASH_FROM_OPER","1993-06-18","2026-05-02","Per=Y","Days=T","Dir=V")</f>
        <v>0</v>
      </c>
      <c r="AM2">
        <f>BDH("EP US Equity","CAPITAL_EXPEND","1993-06-18","2026-05-02","Per=Y","Days=T","Dir=V")</f>
        <v>0</v>
      </c>
      <c r="AO2">
        <f>BDH("EP US Equity","CF_FREE_CASH_FLOW","1993-06-18","2026-05-02","Per=Y","Days=T","Dir=V")</f>
        <v>0</v>
      </c>
      <c r="AQ2">
        <f>BDH("EP US Equity","PX_LAST","1993-06-18","2026-05-02","Per=M","Days=T","Dir=V")</f>
        <v>0</v>
      </c>
      <c r="AS2">
        <f>BDH("EP US Equity","CUR_MKT_CAP","1993-06-18","2026-05-02","Per=M","Days=T","Dir=V")</f>
        <v>0</v>
      </c>
      <c r="AU2">
        <f>BDH("EP US Equity","EQY_SH_OUT","1993-06-18","2026-05-02","Per=M","Days=T","Dir=V")</f>
        <v>0</v>
      </c>
      <c r="AW2">
        <f>BDH("EP US Equity","PX_VOLUME","1993-06-18","2026-05-02","Per=M","Days=T","Dir=V")</f>
        <v>0</v>
      </c>
      <c r="AY2">
        <f>BDH("EP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BDH("EPAC US Equity","BS_TOT_ASSET","1993-06-18","2026-05-02","Per=Y","Days=T","Dir=V")</f>
        <v>0</v>
      </c>
      <c r="C2">
        <f>BDH("EPAC US Equity","BS_TOT_LIAB2","1993-06-18","2026-05-02","Per=Y","Days=T","Dir=V")</f>
        <v>0</v>
      </c>
      <c r="E2">
        <f>BDH("EPAC US Equity","SHORT_AND_LONG_TERM_DEBT","1993-06-18","2026-05-02","Per=Y","Days=T","Dir=V")</f>
        <v>0</v>
      </c>
      <c r="G2">
        <f>BDH("EPAC US Equity","BS_ST_BORROW","1993-06-18","2026-05-02","Per=Y","Days=T","Dir=V")</f>
        <v>0</v>
      </c>
      <c r="I2">
        <f>BDH("EPAC US Equity","BS_LT_BORROW","1993-06-18","2026-05-02","Per=Y","Days=T","Dir=V")</f>
        <v>0</v>
      </c>
      <c r="K2">
        <f>BDH("EPAC US Equity","BS_CASH_NEAR_CASH_ITEM","1993-06-18","2026-05-02","Per=Y","Days=T","Dir=V")</f>
        <v>0</v>
      </c>
      <c r="M2">
        <f>BDH("EPAC US Equity","BS_CUR_ASSET_REPORT","1993-06-18","2026-05-02","Per=Y","Days=T","Dir=V")</f>
        <v>0</v>
      </c>
      <c r="O2">
        <f>BDH("EPAC US Equity","BS_CUR_LIAB","1993-06-18","2026-05-02","Per=Y","Days=T","Dir=V")</f>
        <v>0</v>
      </c>
      <c r="Q2">
        <f>BDH("EPAC US Equity","BS_SHAREHOLDER_EQY_ENDING_PERIOD","1993-06-18","2026-05-02","Per=Y","Days=T","Dir=V")</f>
        <v>0</v>
      </c>
      <c r="S2">
        <f>BDH("EPAC US Equity","BS_ACCT_NOTE_RCV","1993-06-18","2026-05-02","Per=Y","Days=T","Dir=V")</f>
        <v>0</v>
      </c>
      <c r="U2">
        <f>BDH("EPAC US Equity","BS_INVENTORIES","1993-06-18","2026-05-02","Per=Y","Days=T","Dir=V")</f>
        <v>0</v>
      </c>
      <c r="W2">
        <f>BDH("EPAC US Equity","WORKING_CAPITAL","1993-06-18","2026-05-02","Per=Y","Days=T","Dir=V")</f>
        <v>0</v>
      </c>
      <c r="Y2">
        <f>BDH("EPAC US Equity","SALES_REV_TURN","1993-06-18","2026-05-02","Per=Y","Days=T","Dir=V")</f>
        <v>0</v>
      </c>
      <c r="AA2">
        <f>BDH("EPAC US Equity","EBIT","1993-06-18","2026-05-02","Per=Y","Days=T","Dir=V")</f>
        <v>0</v>
      </c>
      <c r="AC2">
        <f>BDH("EPAC US Equity","EBITDA","1993-06-18","2026-05-02","Per=Y","Days=T","Dir=V")</f>
        <v>0</v>
      </c>
      <c r="AE2">
        <f>BDH("EPAC US Equity","NET_INCOME","1993-06-18","2026-05-02","Per=Y","Days=T","Dir=V")</f>
        <v>0</v>
      </c>
      <c r="AG2">
        <f>BDH("EPAC US Equity","IS_INT_EXPENSE","1993-06-18","2026-05-02","Per=Y","Days=T","Dir=V")</f>
        <v>0</v>
      </c>
      <c r="AI2">
        <f>BDH("EPAC US Equity","IS_DEPR_EXP","1993-06-18","2026-05-02","Per=Y","Days=T","Dir=V")</f>
        <v>0</v>
      </c>
      <c r="AK2">
        <f>BDH("EPAC US Equity","CF_CASH_FROM_OPER","1993-06-18","2026-05-02","Per=Y","Days=T","Dir=V")</f>
        <v>0</v>
      </c>
      <c r="AM2">
        <f>BDH("EPAC US Equity","CAPITAL_EXPEND","1993-06-18","2026-05-02","Per=Y","Days=T","Dir=V")</f>
        <v>0</v>
      </c>
      <c r="AO2">
        <f>BDH("EPAC US Equity","CF_FREE_CASH_FLOW","1993-06-18","2026-05-02","Per=Y","Days=T","Dir=V")</f>
        <v>0</v>
      </c>
      <c r="AQ2">
        <f>BDH("EPAC US Equity","PX_LAST","1993-06-18","2026-05-02","Per=M","Days=T","Dir=V")</f>
        <v>0</v>
      </c>
      <c r="AS2">
        <f>BDH("EPAC US Equity","CUR_MKT_CAP","1993-06-18","2026-05-02","Per=M","Days=T","Dir=V")</f>
        <v>0</v>
      </c>
      <c r="AU2">
        <f>BDH("EPAC US Equity","EQY_SH_OUT","1993-06-18","2026-05-02","Per=M","Days=T","Dir=V")</f>
        <v>0</v>
      </c>
      <c r="AW2">
        <f>BDH("EPAC US Equity","PX_VOLUME","1993-06-18","2026-05-02","Per=M","Days=T","Dir=V")</f>
        <v>0</v>
      </c>
      <c r="AY2">
        <f>BDH("EPAC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BDH("EPAM US Equity","BS_TOT_ASSET","1993-06-18","2026-05-02","Per=Y","Days=T","Dir=V")</f>
        <v>0</v>
      </c>
      <c r="C2">
        <f>BDH("EPAM US Equity","BS_TOT_LIAB2","1993-06-18","2026-05-02","Per=Y","Days=T","Dir=V")</f>
        <v>0</v>
      </c>
      <c r="E2">
        <f>BDH("EPAM US Equity","SHORT_AND_LONG_TERM_DEBT","1993-06-18","2026-05-02","Per=Y","Days=T","Dir=V")</f>
        <v>0</v>
      </c>
      <c r="G2">
        <f>BDH("EPAM US Equity","BS_ST_BORROW","1993-06-18","2026-05-02","Per=Y","Days=T","Dir=V")</f>
        <v>0</v>
      </c>
      <c r="I2">
        <f>BDH("EPAM US Equity","BS_LT_BORROW","1993-06-18","2026-05-02","Per=Y","Days=T","Dir=V")</f>
        <v>0</v>
      </c>
      <c r="K2">
        <f>BDH("EPAM US Equity","BS_CASH_NEAR_CASH_ITEM","1993-06-18","2026-05-02","Per=Y","Days=T","Dir=V")</f>
        <v>0</v>
      </c>
      <c r="M2">
        <f>BDH("EPAM US Equity","BS_CUR_ASSET_REPORT","1993-06-18","2026-05-02","Per=Y","Days=T","Dir=V")</f>
        <v>0</v>
      </c>
      <c r="O2">
        <f>BDH("EPAM US Equity","BS_CUR_LIAB","1993-06-18","2026-05-02","Per=Y","Days=T","Dir=V")</f>
        <v>0</v>
      </c>
      <c r="Q2">
        <f>BDH("EPAM US Equity","BS_SHAREHOLDER_EQY_ENDING_PERIOD","1993-06-18","2026-05-02","Per=Y","Days=T","Dir=V")</f>
        <v>0</v>
      </c>
      <c r="S2">
        <f>BDH("EPAM US Equity","BS_ACCT_NOTE_RCV","1993-06-18","2026-05-02","Per=Y","Days=T","Dir=V")</f>
        <v>0</v>
      </c>
      <c r="U2">
        <f>BDH("EPAM US Equity","BS_INVENTORIES","1993-06-18","2026-05-02","Per=Y","Days=T","Dir=V")</f>
        <v>0</v>
      </c>
      <c r="W2">
        <f>BDH("EPAM US Equity","WORKING_CAPITAL","1993-06-18","2026-05-02","Per=Y","Days=T","Dir=V")</f>
        <v>0</v>
      </c>
      <c r="Y2">
        <f>BDH("EPAM US Equity","SALES_REV_TURN","1993-06-18","2026-05-02","Per=Y","Days=T","Dir=V")</f>
        <v>0</v>
      </c>
      <c r="AA2">
        <f>BDH("EPAM US Equity","EBIT","1993-06-18","2026-05-02","Per=Y","Days=T","Dir=V")</f>
        <v>0</v>
      </c>
      <c r="AC2">
        <f>BDH("EPAM US Equity","EBITDA","1993-06-18","2026-05-02","Per=Y","Days=T","Dir=V")</f>
        <v>0</v>
      </c>
      <c r="AE2">
        <f>BDH("EPAM US Equity","NET_INCOME","1993-06-18","2026-05-02","Per=Y","Days=T","Dir=V")</f>
        <v>0</v>
      </c>
      <c r="AG2">
        <f>BDH("EPAM US Equity","IS_INT_EXPENSE","1993-06-18","2026-05-02","Per=Y","Days=T","Dir=V")</f>
        <v>0</v>
      </c>
      <c r="AI2">
        <f>BDH("EPAM US Equity","IS_DEPR_EXP","1993-06-18","2026-05-02","Per=Y","Days=T","Dir=V")</f>
        <v>0</v>
      </c>
      <c r="AK2">
        <f>BDH("EPAM US Equity","CF_CASH_FROM_OPER","1993-06-18","2026-05-02","Per=Y","Days=T","Dir=V")</f>
        <v>0</v>
      </c>
      <c r="AM2">
        <f>BDH("EPAM US Equity","CAPITAL_EXPEND","1993-06-18","2026-05-02","Per=Y","Days=T","Dir=V")</f>
        <v>0</v>
      </c>
      <c r="AO2">
        <f>BDH("EPAM US Equity","CF_FREE_CASH_FLOW","1993-06-18","2026-05-02","Per=Y","Days=T","Dir=V")</f>
        <v>0</v>
      </c>
      <c r="AQ2">
        <f>BDH("EPAM US Equity","PX_LAST","1993-06-18","2026-05-02","Per=M","Days=T","Dir=V")</f>
        <v>0</v>
      </c>
      <c r="AS2">
        <f>BDH("EPAM US Equity","CUR_MKT_CAP","1993-06-18","2026-05-02","Per=M","Days=T","Dir=V")</f>
        <v>0</v>
      </c>
      <c r="AU2">
        <f>BDH("EPAM US Equity","EQY_SH_OUT","1993-06-18","2026-05-02","Per=M","Days=T","Dir=V")</f>
        <v>0</v>
      </c>
      <c r="AW2">
        <f>BDH("EPAM US Equity","PX_VOLUME","1993-06-18","2026-05-02","Per=M","Days=T","Dir=V")</f>
        <v>0</v>
      </c>
      <c r="AY2">
        <f>BDH("EPAM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BDH("EPC US Equity","BS_TOT_ASSET","1993-06-18","2026-05-02","Per=Y","Days=T","Dir=V")</f>
        <v>0</v>
      </c>
      <c r="C2">
        <f>BDH("EPC US Equity","BS_TOT_LIAB2","1993-06-18","2026-05-02","Per=Y","Days=T","Dir=V")</f>
        <v>0</v>
      </c>
      <c r="E2">
        <f>BDH("EPC US Equity","SHORT_AND_LONG_TERM_DEBT","1993-06-18","2026-05-02","Per=Y","Days=T","Dir=V")</f>
        <v>0</v>
      </c>
      <c r="G2">
        <f>BDH("EPC US Equity","BS_ST_BORROW","1993-06-18","2026-05-02","Per=Y","Days=T","Dir=V")</f>
        <v>0</v>
      </c>
      <c r="I2">
        <f>BDH("EPC US Equity","BS_LT_BORROW","1993-06-18","2026-05-02","Per=Y","Days=T","Dir=V")</f>
        <v>0</v>
      </c>
      <c r="K2">
        <f>BDH("EPC US Equity","BS_CASH_NEAR_CASH_ITEM","1993-06-18","2026-05-02","Per=Y","Days=T","Dir=V")</f>
        <v>0</v>
      </c>
      <c r="M2">
        <f>BDH("EPC US Equity","BS_CUR_ASSET_REPORT","1993-06-18","2026-05-02","Per=Y","Days=T","Dir=V")</f>
        <v>0</v>
      </c>
      <c r="O2">
        <f>BDH("EPC US Equity","BS_CUR_LIAB","1993-06-18","2026-05-02","Per=Y","Days=T","Dir=V")</f>
        <v>0</v>
      </c>
      <c r="Q2">
        <f>BDH("EPC US Equity","BS_SHAREHOLDER_EQY_ENDING_PERIOD","1993-06-18","2026-05-02","Per=Y","Days=T","Dir=V")</f>
        <v>0</v>
      </c>
      <c r="S2">
        <f>BDH("EPC US Equity","BS_ACCT_NOTE_RCV","1993-06-18","2026-05-02","Per=Y","Days=T","Dir=V")</f>
        <v>0</v>
      </c>
      <c r="U2">
        <f>BDH("EPC US Equity","BS_INVENTORIES","1993-06-18","2026-05-02","Per=Y","Days=T","Dir=V")</f>
        <v>0</v>
      </c>
      <c r="W2">
        <f>BDH("EPC US Equity","WORKING_CAPITAL","1993-06-18","2026-05-02","Per=Y","Days=T","Dir=V")</f>
        <v>0</v>
      </c>
      <c r="Y2">
        <f>BDH("EPC US Equity","SALES_REV_TURN","1993-06-18","2026-05-02","Per=Y","Days=T","Dir=V")</f>
        <v>0</v>
      </c>
      <c r="AA2">
        <f>BDH("EPC US Equity","EBIT","1993-06-18","2026-05-02","Per=Y","Days=T","Dir=V")</f>
        <v>0</v>
      </c>
      <c r="AC2">
        <f>BDH("EPC US Equity","EBITDA","1993-06-18","2026-05-02","Per=Y","Days=T","Dir=V")</f>
        <v>0</v>
      </c>
      <c r="AE2">
        <f>BDH("EPC US Equity","NET_INCOME","1993-06-18","2026-05-02","Per=Y","Days=T","Dir=V")</f>
        <v>0</v>
      </c>
      <c r="AG2">
        <f>BDH("EPC US Equity","IS_INT_EXPENSE","1993-06-18","2026-05-02","Per=Y","Days=T","Dir=V")</f>
        <v>0</v>
      </c>
      <c r="AI2">
        <f>BDH("EPC US Equity","IS_DEPR_EXP","1993-06-18","2026-05-02","Per=Y","Days=T","Dir=V")</f>
        <v>0</v>
      </c>
      <c r="AK2">
        <f>BDH("EPC US Equity","CF_CASH_FROM_OPER","1993-06-18","2026-05-02","Per=Y","Days=T","Dir=V")</f>
        <v>0</v>
      </c>
      <c r="AM2">
        <f>BDH("EPC US Equity","CAPITAL_EXPEND","1993-06-18","2026-05-02","Per=Y","Days=T","Dir=V")</f>
        <v>0</v>
      </c>
      <c r="AO2">
        <f>BDH("EPC US Equity","CF_FREE_CASH_FLOW","1993-06-18","2026-05-02","Per=Y","Days=T","Dir=V")</f>
        <v>0</v>
      </c>
      <c r="AQ2">
        <f>BDH("EPC US Equity","PX_LAST","1993-06-18","2026-05-02","Per=M","Days=T","Dir=V")</f>
        <v>0</v>
      </c>
      <c r="AS2">
        <f>BDH("EPC US Equity","CUR_MKT_CAP","1993-06-18","2026-05-02","Per=M","Days=T","Dir=V")</f>
        <v>0</v>
      </c>
      <c r="AU2">
        <f>BDH("EPC US Equity","EQY_SH_OUT","1993-06-18","2026-05-02","Per=M","Days=T","Dir=V")</f>
        <v>0</v>
      </c>
      <c r="AW2">
        <f>BDH("EPC US Equity","PX_VOLUME","1993-06-18","2026-05-02","Per=M","Days=T","Dir=V")</f>
        <v>0</v>
      </c>
      <c r="AY2">
        <f>BDH("EPC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BDH("EPD US Equity","BS_TOT_ASSET","1993-06-18","2026-05-02","Per=Y","Days=T","Dir=V")</f>
        <v>0</v>
      </c>
      <c r="C2">
        <f>BDH("EPD US Equity","BS_TOT_LIAB2","1993-06-18","2026-05-02","Per=Y","Days=T","Dir=V")</f>
        <v>0</v>
      </c>
      <c r="E2">
        <f>BDH("EPD US Equity","SHORT_AND_LONG_TERM_DEBT","1993-06-18","2026-05-02","Per=Y","Days=T","Dir=V")</f>
        <v>0</v>
      </c>
      <c r="G2">
        <f>BDH("EPD US Equity","BS_ST_BORROW","1993-06-18","2026-05-02","Per=Y","Days=T","Dir=V")</f>
        <v>0</v>
      </c>
      <c r="I2">
        <f>BDH("EPD US Equity","BS_LT_BORROW","1993-06-18","2026-05-02","Per=Y","Days=T","Dir=V")</f>
        <v>0</v>
      </c>
      <c r="K2">
        <f>BDH("EPD US Equity","BS_CASH_NEAR_CASH_ITEM","1993-06-18","2026-05-02","Per=Y","Days=T","Dir=V")</f>
        <v>0</v>
      </c>
      <c r="M2">
        <f>BDH("EPD US Equity","BS_CUR_ASSET_REPORT","1993-06-18","2026-05-02","Per=Y","Days=T","Dir=V")</f>
        <v>0</v>
      </c>
      <c r="O2">
        <f>BDH("EPD US Equity","BS_CUR_LIAB","1993-06-18","2026-05-02","Per=Y","Days=T","Dir=V")</f>
        <v>0</v>
      </c>
      <c r="Q2">
        <f>BDH("EPD US Equity","BS_SHAREHOLDER_EQY_ENDING_PERIOD","1993-06-18","2026-05-02","Per=Y","Days=T","Dir=V")</f>
        <v>0</v>
      </c>
      <c r="S2">
        <f>BDH("EPD US Equity","BS_ACCT_NOTE_RCV","1993-06-18","2026-05-02","Per=Y","Days=T","Dir=V")</f>
        <v>0</v>
      </c>
      <c r="U2">
        <f>BDH("EPD US Equity","BS_INVENTORIES","1993-06-18","2026-05-02","Per=Y","Days=T","Dir=V")</f>
        <v>0</v>
      </c>
      <c r="W2">
        <f>BDH("EPD US Equity","WORKING_CAPITAL","1993-06-18","2026-05-02","Per=Y","Days=T","Dir=V")</f>
        <v>0</v>
      </c>
      <c r="Y2">
        <f>BDH("EPD US Equity","SALES_REV_TURN","1993-06-18","2026-05-02","Per=Y","Days=T","Dir=V")</f>
        <v>0</v>
      </c>
      <c r="AA2">
        <f>BDH("EPD US Equity","EBIT","1993-06-18","2026-05-02","Per=Y","Days=T","Dir=V")</f>
        <v>0</v>
      </c>
      <c r="AC2">
        <f>BDH("EPD US Equity","EBITDA","1993-06-18","2026-05-02","Per=Y","Days=T","Dir=V")</f>
        <v>0</v>
      </c>
      <c r="AE2">
        <f>BDH("EPD US Equity","NET_INCOME","1993-06-18","2026-05-02","Per=Y","Days=T","Dir=V")</f>
        <v>0</v>
      </c>
      <c r="AG2">
        <f>BDH("EPD US Equity","IS_INT_EXPENSE","1993-06-18","2026-05-02","Per=Y","Days=T","Dir=V")</f>
        <v>0</v>
      </c>
      <c r="AI2">
        <f>BDH("EPD US Equity","IS_DEPR_EXP","1993-06-18","2026-05-02","Per=Y","Days=T","Dir=V")</f>
        <v>0</v>
      </c>
      <c r="AK2">
        <f>BDH("EPD US Equity","CF_CASH_FROM_OPER","1993-06-18","2026-05-02","Per=Y","Days=T","Dir=V")</f>
        <v>0</v>
      </c>
      <c r="AM2">
        <f>BDH("EPD US Equity","CAPITAL_EXPEND","1993-06-18","2026-05-02","Per=Y","Days=T","Dir=V")</f>
        <v>0</v>
      </c>
      <c r="AO2">
        <f>BDH("EPD US Equity","CF_FREE_CASH_FLOW","1993-06-18","2026-05-02","Per=Y","Days=T","Dir=V")</f>
        <v>0</v>
      </c>
      <c r="AQ2">
        <f>BDH("EPD US Equity","PX_LAST","1993-06-18","2026-05-02","Per=M","Days=T","Dir=V")</f>
        <v>0</v>
      </c>
      <c r="AS2">
        <f>BDH("EPD US Equity","CUR_MKT_CAP","1993-06-18","2026-05-02","Per=M","Days=T","Dir=V")</f>
        <v>0</v>
      </c>
      <c r="AU2">
        <f>BDH("EPD US Equity","EQY_SH_OUT","1993-06-18","2026-05-02","Per=M","Days=T","Dir=V")</f>
        <v>0</v>
      </c>
      <c r="AW2">
        <f>BDH("EPD US Equity","PX_VOLUME","1993-06-18","2026-05-02","Per=M","Days=T","Dir=V")</f>
        <v>0</v>
      </c>
      <c r="AY2">
        <f>BDH("EPD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BDH("EPM US Equity","BS_TOT_ASSET","1993-06-18","2026-05-02","Per=Y","Days=T","Dir=V")</f>
        <v>0</v>
      </c>
      <c r="C2">
        <f>BDH("EPM US Equity","BS_TOT_LIAB2","1993-06-18","2026-05-02","Per=Y","Days=T","Dir=V")</f>
        <v>0</v>
      </c>
      <c r="E2">
        <f>BDH("EPM US Equity","SHORT_AND_LONG_TERM_DEBT","1993-06-18","2026-05-02","Per=Y","Days=T","Dir=V")</f>
        <v>0</v>
      </c>
      <c r="G2">
        <f>BDH("EPM US Equity","BS_ST_BORROW","1993-06-18","2026-05-02","Per=Y","Days=T","Dir=V")</f>
        <v>0</v>
      </c>
      <c r="I2">
        <f>BDH("EPM US Equity","BS_LT_BORROW","1993-06-18","2026-05-02","Per=Y","Days=T","Dir=V")</f>
        <v>0</v>
      </c>
      <c r="K2">
        <f>BDH("EPM US Equity","BS_CASH_NEAR_CASH_ITEM","1993-06-18","2026-05-02","Per=Y","Days=T","Dir=V")</f>
        <v>0</v>
      </c>
      <c r="M2">
        <f>BDH("EPM US Equity","BS_CUR_ASSET_REPORT","1993-06-18","2026-05-02","Per=Y","Days=T","Dir=V")</f>
        <v>0</v>
      </c>
      <c r="O2">
        <f>BDH("EPM US Equity","BS_CUR_LIAB","1993-06-18","2026-05-02","Per=Y","Days=T","Dir=V")</f>
        <v>0</v>
      </c>
      <c r="Q2">
        <f>BDH("EPM US Equity","BS_SHAREHOLDER_EQY_ENDING_PERIOD","1993-06-18","2026-05-02","Per=Y","Days=T","Dir=V")</f>
        <v>0</v>
      </c>
      <c r="S2">
        <f>BDH("EPM US Equity","BS_ACCT_NOTE_RCV","1993-06-18","2026-05-02","Per=Y","Days=T","Dir=V")</f>
        <v>0</v>
      </c>
      <c r="U2">
        <f>BDH("EPM US Equity","BS_INVENTORIES","1993-06-18","2026-05-02","Per=Y","Days=T","Dir=V")</f>
        <v>0</v>
      </c>
      <c r="W2">
        <f>BDH("EPM US Equity","WORKING_CAPITAL","1993-06-18","2026-05-02","Per=Y","Days=T","Dir=V")</f>
        <v>0</v>
      </c>
      <c r="Y2">
        <f>BDH("EPM US Equity","SALES_REV_TURN","1993-06-18","2026-05-02","Per=Y","Days=T","Dir=V")</f>
        <v>0</v>
      </c>
      <c r="AA2">
        <f>BDH("EPM US Equity","EBIT","1993-06-18","2026-05-02","Per=Y","Days=T","Dir=V")</f>
        <v>0</v>
      </c>
      <c r="AC2">
        <f>BDH("EPM US Equity","EBITDA","1993-06-18","2026-05-02","Per=Y","Days=T","Dir=V")</f>
        <v>0</v>
      </c>
      <c r="AE2">
        <f>BDH("EPM US Equity","NET_INCOME","1993-06-18","2026-05-02","Per=Y","Days=T","Dir=V")</f>
        <v>0</v>
      </c>
      <c r="AG2">
        <f>BDH("EPM US Equity","IS_INT_EXPENSE","1993-06-18","2026-05-02","Per=Y","Days=T","Dir=V")</f>
        <v>0</v>
      </c>
      <c r="AI2">
        <f>BDH("EPM US Equity","IS_DEPR_EXP","1993-06-18","2026-05-02","Per=Y","Days=T","Dir=V")</f>
        <v>0</v>
      </c>
      <c r="AK2">
        <f>BDH("EPM US Equity","CF_CASH_FROM_OPER","1993-06-18","2026-05-02","Per=Y","Days=T","Dir=V")</f>
        <v>0</v>
      </c>
      <c r="AM2">
        <f>BDH("EPM US Equity","CAPITAL_EXPEND","1993-06-18","2026-05-02","Per=Y","Days=T","Dir=V")</f>
        <v>0</v>
      </c>
      <c r="AO2">
        <f>BDH("EPM US Equity","CF_FREE_CASH_FLOW","1993-06-18","2026-05-02","Per=Y","Days=T","Dir=V")</f>
        <v>0</v>
      </c>
      <c r="AQ2">
        <f>BDH("EPM US Equity","PX_LAST","1993-06-18","2026-05-02","Per=M","Days=T","Dir=V")</f>
        <v>0</v>
      </c>
      <c r="AS2">
        <f>BDH("EPM US Equity","CUR_MKT_CAP","1993-06-18","2026-05-02","Per=M","Days=T","Dir=V")</f>
        <v>0</v>
      </c>
      <c r="AU2">
        <f>BDH("EPM US Equity","EQY_SH_OUT","1993-06-18","2026-05-02","Per=M","Days=T","Dir=V")</f>
        <v>0</v>
      </c>
      <c r="AW2">
        <f>BDH("EPM US Equity","PX_VOLUME","1993-06-18","2026-05-02","Per=M","Days=T","Dir=V")</f>
        <v>0</v>
      </c>
      <c r="AY2">
        <f>BDH("EPM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BDH("EPSN US Equity","BS_TOT_ASSET","1993-06-18","2026-05-02","Per=Y","Days=T","Dir=V")</f>
        <v>0</v>
      </c>
      <c r="C2">
        <f>BDH("EPSN US Equity","BS_TOT_LIAB2","1993-06-18","2026-05-02","Per=Y","Days=T","Dir=V")</f>
        <v>0</v>
      </c>
      <c r="E2">
        <f>BDH("EPSN US Equity","SHORT_AND_LONG_TERM_DEBT","1993-06-18","2026-05-02","Per=Y","Days=T","Dir=V")</f>
        <v>0</v>
      </c>
      <c r="G2">
        <f>BDH("EPSN US Equity","BS_ST_BORROW","1993-06-18","2026-05-02","Per=Y","Days=T","Dir=V")</f>
        <v>0</v>
      </c>
      <c r="I2">
        <f>BDH("EPSN US Equity","BS_LT_BORROW","1993-06-18","2026-05-02","Per=Y","Days=T","Dir=V")</f>
        <v>0</v>
      </c>
      <c r="K2">
        <f>BDH("EPSN US Equity","BS_CASH_NEAR_CASH_ITEM","1993-06-18","2026-05-02","Per=Y","Days=T","Dir=V")</f>
        <v>0</v>
      </c>
      <c r="M2">
        <f>BDH("EPSN US Equity","BS_CUR_ASSET_REPORT","1993-06-18","2026-05-02","Per=Y","Days=T","Dir=V")</f>
        <v>0</v>
      </c>
      <c r="O2">
        <f>BDH("EPSN US Equity","BS_CUR_LIAB","1993-06-18","2026-05-02","Per=Y","Days=T","Dir=V")</f>
        <v>0</v>
      </c>
      <c r="Q2">
        <f>BDH("EPSN US Equity","BS_SHAREHOLDER_EQY_ENDING_PERIOD","1993-06-18","2026-05-02","Per=Y","Days=T","Dir=V")</f>
        <v>0</v>
      </c>
      <c r="S2">
        <f>BDH("EPSN US Equity","BS_ACCT_NOTE_RCV","1993-06-18","2026-05-02","Per=Y","Days=T","Dir=V")</f>
        <v>0</v>
      </c>
      <c r="U2">
        <f>BDH("EPSN US Equity","BS_INVENTORIES","1993-06-18","2026-05-02","Per=Y","Days=T","Dir=V")</f>
        <v>0</v>
      </c>
      <c r="W2">
        <f>BDH("EPSN US Equity","WORKING_CAPITAL","1993-06-18","2026-05-02","Per=Y","Days=T","Dir=V")</f>
        <v>0</v>
      </c>
      <c r="Y2">
        <f>BDH("EPSN US Equity","SALES_REV_TURN","1993-06-18","2026-05-02","Per=Y","Days=T","Dir=V")</f>
        <v>0</v>
      </c>
      <c r="AA2">
        <f>BDH("EPSN US Equity","EBIT","1993-06-18","2026-05-02","Per=Y","Days=T","Dir=V")</f>
        <v>0</v>
      </c>
      <c r="AC2">
        <f>BDH("EPSN US Equity","EBITDA","1993-06-18","2026-05-02","Per=Y","Days=T","Dir=V")</f>
        <v>0</v>
      </c>
      <c r="AE2">
        <f>BDH("EPSN US Equity","NET_INCOME","1993-06-18","2026-05-02","Per=Y","Days=T","Dir=V")</f>
        <v>0</v>
      </c>
      <c r="AG2">
        <f>BDH("EPSN US Equity","IS_INT_EXPENSE","1993-06-18","2026-05-02","Per=Y","Days=T","Dir=V")</f>
        <v>0</v>
      </c>
      <c r="AI2">
        <f>BDH("EPSN US Equity","IS_DEPR_EXP","1993-06-18","2026-05-02","Per=Y","Days=T","Dir=V")</f>
        <v>0</v>
      </c>
      <c r="AK2">
        <f>BDH("EPSN US Equity","CF_CASH_FROM_OPER","1993-06-18","2026-05-02","Per=Y","Days=T","Dir=V")</f>
        <v>0</v>
      </c>
      <c r="AM2">
        <f>BDH("EPSN US Equity","CAPITAL_EXPEND","1993-06-18","2026-05-02","Per=Y","Days=T","Dir=V")</f>
        <v>0</v>
      </c>
      <c r="AO2">
        <f>BDH("EPSN US Equity","CF_FREE_CASH_FLOW","1993-06-18","2026-05-02","Per=Y","Days=T","Dir=V")</f>
        <v>0</v>
      </c>
      <c r="AQ2">
        <f>BDH("EPSN US Equity","PX_LAST","1993-06-18","2026-05-02","Per=M","Days=T","Dir=V")</f>
        <v>0</v>
      </c>
      <c r="AS2">
        <f>BDH("EPSN US Equity","CUR_MKT_CAP","1993-06-18","2026-05-02","Per=M","Days=T","Dir=V")</f>
        <v>0</v>
      </c>
      <c r="AU2">
        <f>BDH("EPSN US Equity","EQY_SH_OUT","1993-06-18","2026-05-02","Per=M","Days=T","Dir=V")</f>
        <v>0</v>
      </c>
      <c r="AW2">
        <f>BDH("EPSN US Equity","PX_VOLUME","1993-06-18","2026-05-02","Per=M","Days=T","Dir=V")</f>
        <v>0</v>
      </c>
      <c r="AY2">
        <f>BDH("EPSN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BDH("EQ US Equity","BS_TOT_ASSET","1993-06-18","2026-05-02","Per=Y","Days=T","Dir=V")</f>
        <v>0</v>
      </c>
      <c r="C2">
        <f>BDH("EQ US Equity","BS_TOT_LIAB2","1993-06-18","2026-05-02","Per=Y","Days=T","Dir=V")</f>
        <v>0</v>
      </c>
      <c r="E2">
        <f>BDH("EQ US Equity","SHORT_AND_LONG_TERM_DEBT","1993-06-18","2026-05-02","Per=Y","Days=T","Dir=V")</f>
        <v>0</v>
      </c>
      <c r="G2">
        <f>BDH("EQ US Equity","BS_ST_BORROW","1993-06-18","2026-05-02","Per=Y","Days=T","Dir=V")</f>
        <v>0</v>
      </c>
      <c r="I2">
        <f>BDH("EQ US Equity","BS_LT_BORROW","1993-06-18","2026-05-02","Per=Y","Days=T","Dir=V")</f>
        <v>0</v>
      </c>
      <c r="K2">
        <f>BDH("EQ US Equity","BS_CASH_NEAR_CASH_ITEM","1993-06-18","2026-05-02","Per=Y","Days=T","Dir=V")</f>
        <v>0</v>
      </c>
      <c r="M2">
        <f>BDH("EQ US Equity","BS_CUR_ASSET_REPORT","1993-06-18","2026-05-02","Per=Y","Days=T","Dir=V")</f>
        <v>0</v>
      </c>
      <c r="O2">
        <f>BDH("EQ US Equity","BS_CUR_LIAB","1993-06-18","2026-05-02","Per=Y","Days=T","Dir=V")</f>
        <v>0</v>
      </c>
      <c r="Q2">
        <f>BDH("EQ US Equity","BS_SHAREHOLDER_EQY_ENDING_PERIOD","1993-06-18","2026-05-02","Per=Y","Days=T","Dir=V")</f>
        <v>0</v>
      </c>
      <c r="S2">
        <f>BDH("EQ US Equity","BS_ACCT_NOTE_RCV","1993-06-18","2026-05-02","Per=Y","Days=T","Dir=V")</f>
        <v>0</v>
      </c>
      <c r="U2">
        <f>BDH("EQ US Equity","BS_INVENTORIES","1993-06-18","2026-05-02","Per=Y","Days=T","Dir=V")</f>
        <v>0</v>
      </c>
      <c r="W2">
        <f>BDH("EQ US Equity","WORKING_CAPITAL","1993-06-18","2026-05-02","Per=Y","Days=T","Dir=V")</f>
        <v>0</v>
      </c>
      <c r="Y2">
        <f>BDH("EQ US Equity","SALES_REV_TURN","1993-06-18","2026-05-02","Per=Y","Days=T","Dir=V")</f>
        <v>0</v>
      </c>
      <c r="AA2">
        <f>BDH("EQ US Equity","EBIT","1993-06-18","2026-05-02","Per=Y","Days=T","Dir=V")</f>
        <v>0</v>
      </c>
      <c r="AC2">
        <f>BDH("EQ US Equity","EBITDA","1993-06-18","2026-05-02","Per=Y","Days=T","Dir=V")</f>
        <v>0</v>
      </c>
      <c r="AE2">
        <f>BDH("EQ US Equity","NET_INCOME","1993-06-18","2026-05-02","Per=Y","Days=T","Dir=V")</f>
        <v>0</v>
      </c>
      <c r="AG2">
        <f>BDH("EQ US Equity","IS_INT_EXPENSE","1993-06-18","2026-05-02","Per=Y","Days=T","Dir=V")</f>
        <v>0</v>
      </c>
      <c r="AI2">
        <f>BDH("EQ US Equity","IS_DEPR_EXP","1993-06-18","2026-05-02","Per=Y","Days=T","Dir=V")</f>
        <v>0</v>
      </c>
      <c r="AK2">
        <f>BDH("EQ US Equity","CF_CASH_FROM_OPER","1993-06-18","2026-05-02","Per=Y","Days=T","Dir=V")</f>
        <v>0</v>
      </c>
      <c r="AM2">
        <f>BDH("EQ US Equity","CAPITAL_EXPEND","1993-06-18","2026-05-02","Per=Y","Days=T","Dir=V")</f>
        <v>0</v>
      </c>
      <c r="AO2">
        <f>BDH("EQ US Equity","CF_FREE_CASH_FLOW","1993-06-18","2026-05-02","Per=Y","Days=T","Dir=V")</f>
        <v>0</v>
      </c>
      <c r="AQ2">
        <f>BDH("EQ US Equity","PX_LAST","1993-06-18","2026-05-02","Per=M","Days=T","Dir=V")</f>
        <v>0</v>
      </c>
      <c r="AS2">
        <f>BDH("EQ US Equity","CUR_MKT_CAP","1993-06-18","2026-05-02","Per=M","Days=T","Dir=V")</f>
        <v>0</v>
      </c>
      <c r="AU2">
        <f>BDH("EQ US Equity","EQY_SH_OUT","1993-06-18","2026-05-02","Per=M","Days=T","Dir=V")</f>
        <v>0</v>
      </c>
      <c r="AW2">
        <f>BDH("EQ US Equity","PX_VOLUME","1993-06-18","2026-05-02","Per=M","Days=T","Dir=V")</f>
        <v>0</v>
      </c>
      <c r="AY2">
        <f>BDH("EQ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BDH("EQPT US Equity","BS_TOT_ASSET","1993-06-18","2026-05-02","Per=Y","Days=T","Dir=V")</f>
        <v>0</v>
      </c>
      <c r="C2">
        <f>BDH("EQPT US Equity","BS_TOT_LIAB2","1993-06-18","2026-05-02","Per=Y","Days=T","Dir=V")</f>
        <v>0</v>
      </c>
      <c r="E2">
        <f>BDH("EQPT US Equity","SHORT_AND_LONG_TERM_DEBT","1993-06-18","2026-05-02","Per=Y","Days=T","Dir=V")</f>
        <v>0</v>
      </c>
      <c r="G2">
        <f>BDH("EQPT US Equity","BS_ST_BORROW","1993-06-18","2026-05-02","Per=Y","Days=T","Dir=V")</f>
        <v>0</v>
      </c>
      <c r="I2">
        <f>BDH("EQPT US Equity","BS_LT_BORROW","1993-06-18","2026-05-02","Per=Y","Days=T","Dir=V")</f>
        <v>0</v>
      </c>
      <c r="K2">
        <f>BDH("EQPT US Equity","BS_CASH_NEAR_CASH_ITEM","1993-06-18","2026-05-02","Per=Y","Days=T","Dir=V")</f>
        <v>0</v>
      </c>
      <c r="M2">
        <f>BDH("EQPT US Equity","BS_CUR_ASSET_REPORT","1993-06-18","2026-05-02","Per=Y","Days=T","Dir=V")</f>
        <v>0</v>
      </c>
      <c r="O2">
        <f>BDH("EQPT US Equity","BS_CUR_LIAB","1993-06-18","2026-05-02","Per=Y","Days=T","Dir=V")</f>
        <v>0</v>
      </c>
      <c r="Q2">
        <f>BDH("EQPT US Equity","BS_SHAREHOLDER_EQY_ENDING_PERIOD","1993-06-18","2026-05-02","Per=Y","Days=T","Dir=V")</f>
        <v>0</v>
      </c>
      <c r="S2">
        <f>BDH("EQPT US Equity","BS_ACCT_NOTE_RCV","1993-06-18","2026-05-02","Per=Y","Days=T","Dir=V")</f>
        <v>0</v>
      </c>
      <c r="U2">
        <f>BDH("EQPT US Equity","BS_INVENTORIES","1993-06-18","2026-05-02","Per=Y","Days=T","Dir=V")</f>
        <v>0</v>
      </c>
      <c r="W2">
        <f>BDH("EQPT US Equity","WORKING_CAPITAL","1993-06-18","2026-05-02","Per=Y","Days=T","Dir=V")</f>
        <v>0</v>
      </c>
      <c r="Y2">
        <f>BDH("EQPT US Equity","SALES_REV_TURN","1993-06-18","2026-05-02","Per=Y","Days=T","Dir=V")</f>
        <v>0</v>
      </c>
      <c r="AA2">
        <f>BDH("EQPT US Equity","EBIT","1993-06-18","2026-05-02","Per=Y","Days=T","Dir=V")</f>
        <v>0</v>
      </c>
      <c r="AC2">
        <f>BDH("EQPT US Equity","EBITDA","1993-06-18","2026-05-02","Per=Y","Days=T","Dir=V")</f>
        <v>0</v>
      </c>
      <c r="AE2">
        <f>BDH("EQPT US Equity","NET_INCOME","1993-06-18","2026-05-02","Per=Y","Days=T","Dir=V")</f>
        <v>0</v>
      </c>
      <c r="AG2">
        <f>BDH("EQPT US Equity","IS_INT_EXPENSE","1993-06-18","2026-05-02","Per=Y","Days=T","Dir=V")</f>
        <v>0</v>
      </c>
      <c r="AI2">
        <f>BDH("EQPT US Equity","IS_DEPR_EXP","1993-06-18","2026-05-02","Per=Y","Days=T","Dir=V")</f>
        <v>0</v>
      </c>
      <c r="AK2">
        <f>BDH("EQPT US Equity","CF_CASH_FROM_OPER","1993-06-18","2026-05-02","Per=Y","Days=T","Dir=V")</f>
        <v>0</v>
      </c>
      <c r="AM2">
        <f>BDH("EQPT US Equity","CAPITAL_EXPEND","1993-06-18","2026-05-02","Per=Y","Days=T","Dir=V")</f>
        <v>0</v>
      </c>
      <c r="AO2">
        <f>BDH("EQPT US Equity","CF_FREE_CASH_FLOW","1993-06-18","2026-05-02","Per=Y","Days=T","Dir=V")</f>
        <v>0</v>
      </c>
      <c r="AQ2">
        <f>BDH("EQPT US Equity","PX_LAST","1993-06-18","2026-05-02","Per=M","Days=T","Dir=V")</f>
        <v>0</v>
      </c>
      <c r="AS2">
        <f>BDH("EQPT US Equity","CUR_MKT_CAP","1993-06-18","2026-05-02","Per=M","Days=T","Dir=V")</f>
        <v>0</v>
      </c>
      <c r="AU2">
        <f>BDH("EQPT US Equity","EQY_SH_OUT","1993-06-18","2026-05-02","Per=M","Days=T","Dir=V")</f>
        <v>0</v>
      </c>
      <c r="AW2">
        <f>BDH("EQPT US Equity","PX_VOLUME","1993-06-18","2026-05-02","Per=M","Days=T","Dir=V")</f>
        <v>0</v>
      </c>
      <c r="AY2">
        <f>BDH("EQPT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BDH("EQT US Equity","BS_TOT_ASSET","1993-06-18","2026-05-02","Per=Y","Days=T","Dir=V")</f>
        <v>0</v>
      </c>
      <c r="C2">
        <f>BDH("EQT US Equity","BS_TOT_LIAB2","1993-06-18","2026-05-02","Per=Y","Days=T","Dir=V")</f>
        <v>0</v>
      </c>
      <c r="E2">
        <f>BDH("EQT US Equity","SHORT_AND_LONG_TERM_DEBT","1993-06-18","2026-05-02","Per=Y","Days=T","Dir=V")</f>
        <v>0</v>
      </c>
      <c r="G2">
        <f>BDH("EQT US Equity","BS_ST_BORROW","1993-06-18","2026-05-02","Per=Y","Days=T","Dir=V")</f>
        <v>0</v>
      </c>
      <c r="I2">
        <f>BDH("EQT US Equity","BS_LT_BORROW","1993-06-18","2026-05-02","Per=Y","Days=T","Dir=V")</f>
        <v>0</v>
      </c>
      <c r="K2">
        <f>BDH("EQT US Equity","BS_CASH_NEAR_CASH_ITEM","1993-06-18","2026-05-02","Per=Y","Days=T","Dir=V")</f>
        <v>0</v>
      </c>
      <c r="M2">
        <f>BDH("EQT US Equity","BS_CUR_ASSET_REPORT","1993-06-18","2026-05-02","Per=Y","Days=T","Dir=V")</f>
        <v>0</v>
      </c>
      <c r="O2">
        <f>BDH("EQT US Equity","BS_CUR_LIAB","1993-06-18","2026-05-02","Per=Y","Days=T","Dir=V")</f>
        <v>0</v>
      </c>
      <c r="Q2">
        <f>BDH("EQT US Equity","BS_SHAREHOLDER_EQY_ENDING_PERIOD","1993-06-18","2026-05-02","Per=Y","Days=T","Dir=V")</f>
        <v>0</v>
      </c>
      <c r="S2">
        <f>BDH("EQT US Equity","BS_ACCT_NOTE_RCV","1993-06-18","2026-05-02","Per=Y","Days=T","Dir=V")</f>
        <v>0</v>
      </c>
      <c r="U2">
        <f>BDH("EQT US Equity","BS_INVENTORIES","1993-06-18","2026-05-02","Per=Y","Days=T","Dir=V")</f>
        <v>0</v>
      </c>
      <c r="W2">
        <f>BDH("EQT US Equity","WORKING_CAPITAL","1993-06-18","2026-05-02","Per=Y","Days=T","Dir=V")</f>
        <v>0</v>
      </c>
      <c r="Y2">
        <f>BDH("EQT US Equity","SALES_REV_TURN","1993-06-18","2026-05-02","Per=Y","Days=T","Dir=V")</f>
        <v>0</v>
      </c>
      <c r="AA2">
        <f>BDH("EQT US Equity","EBIT","1993-06-18","2026-05-02","Per=Y","Days=T","Dir=V")</f>
        <v>0</v>
      </c>
      <c r="AC2">
        <f>BDH("EQT US Equity","EBITDA","1993-06-18","2026-05-02","Per=Y","Days=T","Dir=V")</f>
        <v>0</v>
      </c>
      <c r="AE2">
        <f>BDH("EQT US Equity","NET_INCOME","1993-06-18","2026-05-02","Per=Y","Days=T","Dir=V")</f>
        <v>0</v>
      </c>
      <c r="AG2">
        <f>BDH("EQT US Equity","IS_INT_EXPENSE","1993-06-18","2026-05-02","Per=Y","Days=T","Dir=V")</f>
        <v>0</v>
      </c>
      <c r="AI2">
        <f>BDH("EQT US Equity","IS_DEPR_EXP","1993-06-18","2026-05-02","Per=Y","Days=T","Dir=V")</f>
        <v>0</v>
      </c>
      <c r="AK2">
        <f>BDH("EQT US Equity","CF_CASH_FROM_OPER","1993-06-18","2026-05-02","Per=Y","Days=T","Dir=V")</f>
        <v>0</v>
      </c>
      <c r="AM2">
        <f>BDH("EQT US Equity","CAPITAL_EXPEND","1993-06-18","2026-05-02","Per=Y","Days=T","Dir=V")</f>
        <v>0</v>
      </c>
      <c r="AO2">
        <f>BDH("EQT US Equity","CF_FREE_CASH_FLOW","1993-06-18","2026-05-02","Per=Y","Days=T","Dir=V")</f>
        <v>0</v>
      </c>
      <c r="AQ2">
        <f>BDH("EQT US Equity","PX_LAST","1993-06-18","2026-05-02","Per=M","Days=T","Dir=V")</f>
        <v>0</v>
      </c>
      <c r="AS2">
        <f>BDH("EQT US Equity","CUR_MKT_CAP","1993-06-18","2026-05-02","Per=M","Days=T","Dir=V")</f>
        <v>0</v>
      </c>
      <c r="AU2">
        <f>BDH("EQT US Equity","EQY_SH_OUT","1993-06-18","2026-05-02","Per=M","Days=T","Dir=V")</f>
        <v>0</v>
      </c>
      <c r="AW2">
        <f>BDH("EQT US Equity","PX_VOLUME","1993-06-18","2026-05-02","Per=M","Days=T","Dir=V")</f>
        <v>0</v>
      </c>
      <c r="AY2">
        <f>BDH("EQT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BDH("ERAS US Equity","BS_TOT_ASSET","1993-06-18","2026-05-02","Per=Y","Days=T","Dir=V")</f>
        <v>0</v>
      </c>
      <c r="C2">
        <f>BDH("ERAS US Equity","BS_TOT_LIAB2","1993-06-18","2026-05-02","Per=Y","Days=T","Dir=V")</f>
        <v>0</v>
      </c>
      <c r="E2">
        <f>BDH("ERAS US Equity","SHORT_AND_LONG_TERM_DEBT","1993-06-18","2026-05-02","Per=Y","Days=T","Dir=V")</f>
        <v>0</v>
      </c>
      <c r="G2">
        <f>BDH("ERAS US Equity","BS_ST_BORROW","1993-06-18","2026-05-02","Per=Y","Days=T","Dir=V")</f>
        <v>0</v>
      </c>
      <c r="I2">
        <f>BDH("ERAS US Equity","BS_LT_BORROW","1993-06-18","2026-05-02","Per=Y","Days=T","Dir=V")</f>
        <v>0</v>
      </c>
      <c r="K2">
        <f>BDH("ERAS US Equity","BS_CASH_NEAR_CASH_ITEM","1993-06-18","2026-05-02","Per=Y","Days=T","Dir=V")</f>
        <v>0</v>
      </c>
      <c r="M2">
        <f>BDH("ERAS US Equity","BS_CUR_ASSET_REPORT","1993-06-18","2026-05-02","Per=Y","Days=T","Dir=V")</f>
        <v>0</v>
      </c>
      <c r="O2">
        <f>BDH("ERAS US Equity","BS_CUR_LIAB","1993-06-18","2026-05-02","Per=Y","Days=T","Dir=V")</f>
        <v>0</v>
      </c>
      <c r="Q2">
        <f>BDH("ERAS US Equity","BS_SHAREHOLDER_EQY_ENDING_PERIOD","1993-06-18","2026-05-02","Per=Y","Days=T","Dir=V")</f>
        <v>0</v>
      </c>
      <c r="S2">
        <f>BDH("ERAS US Equity","BS_ACCT_NOTE_RCV","1993-06-18","2026-05-02","Per=Y","Days=T","Dir=V")</f>
        <v>0</v>
      </c>
      <c r="U2">
        <f>BDH("ERAS US Equity","BS_INVENTORIES","1993-06-18","2026-05-02","Per=Y","Days=T","Dir=V")</f>
        <v>0</v>
      </c>
      <c r="W2">
        <f>BDH("ERAS US Equity","WORKING_CAPITAL","1993-06-18","2026-05-02","Per=Y","Days=T","Dir=V")</f>
        <v>0</v>
      </c>
      <c r="Y2">
        <f>BDH("ERAS US Equity","SALES_REV_TURN","1993-06-18","2026-05-02","Per=Y","Days=T","Dir=V")</f>
        <v>0</v>
      </c>
      <c r="AA2">
        <f>BDH("ERAS US Equity","EBIT","1993-06-18","2026-05-02","Per=Y","Days=T","Dir=V")</f>
        <v>0</v>
      </c>
      <c r="AC2">
        <f>BDH("ERAS US Equity","EBITDA","1993-06-18","2026-05-02","Per=Y","Days=T","Dir=V")</f>
        <v>0</v>
      </c>
      <c r="AE2">
        <f>BDH("ERAS US Equity","NET_INCOME","1993-06-18","2026-05-02","Per=Y","Days=T","Dir=V")</f>
        <v>0</v>
      </c>
      <c r="AG2">
        <f>BDH("ERAS US Equity","IS_INT_EXPENSE","1993-06-18","2026-05-02","Per=Y","Days=T","Dir=V")</f>
        <v>0</v>
      </c>
      <c r="AI2">
        <f>BDH("ERAS US Equity","IS_DEPR_EXP","1993-06-18","2026-05-02","Per=Y","Days=T","Dir=V")</f>
        <v>0</v>
      </c>
      <c r="AK2">
        <f>BDH("ERAS US Equity","CF_CASH_FROM_OPER","1993-06-18","2026-05-02","Per=Y","Days=T","Dir=V")</f>
        <v>0</v>
      </c>
      <c r="AM2">
        <f>BDH("ERAS US Equity","CAPITAL_EXPEND","1993-06-18","2026-05-02","Per=Y","Days=T","Dir=V")</f>
        <v>0</v>
      </c>
      <c r="AO2">
        <f>BDH("ERAS US Equity","CF_FREE_CASH_FLOW","1993-06-18","2026-05-02","Per=Y","Days=T","Dir=V")</f>
        <v>0</v>
      </c>
      <c r="AQ2">
        <f>BDH("ERAS US Equity","PX_LAST","1993-06-18","2026-05-02","Per=M","Days=T","Dir=V")</f>
        <v>0</v>
      </c>
      <c r="AS2">
        <f>BDH("ERAS US Equity","CUR_MKT_CAP","1993-06-18","2026-05-02","Per=M","Days=T","Dir=V")</f>
        <v>0</v>
      </c>
      <c r="AU2">
        <f>BDH("ERAS US Equity","EQY_SH_OUT","1993-06-18","2026-05-02","Per=M","Days=T","Dir=V")</f>
        <v>0</v>
      </c>
      <c r="AW2">
        <f>BDH("ERAS US Equity","PX_VOLUME","1993-06-18","2026-05-02","Per=M","Days=T","Dir=V")</f>
        <v>0</v>
      </c>
      <c r="AY2">
        <f>BDH("ERAS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BDH("ERII US Equity","BS_TOT_ASSET","1993-06-18","2026-05-02","Per=Y","Days=T","Dir=V")</f>
        <v>0</v>
      </c>
      <c r="C2">
        <f>BDH("ERII US Equity","BS_TOT_LIAB2","1993-06-18","2026-05-02","Per=Y","Days=T","Dir=V")</f>
        <v>0</v>
      </c>
      <c r="E2">
        <f>BDH("ERII US Equity","SHORT_AND_LONG_TERM_DEBT","1993-06-18","2026-05-02","Per=Y","Days=T","Dir=V")</f>
        <v>0</v>
      </c>
      <c r="G2">
        <f>BDH("ERII US Equity","BS_ST_BORROW","1993-06-18","2026-05-02","Per=Y","Days=T","Dir=V")</f>
        <v>0</v>
      </c>
      <c r="I2">
        <f>BDH("ERII US Equity","BS_LT_BORROW","1993-06-18","2026-05-02","Per=Y","Days=T","Dir=V")</f>
        <v>0</v>
      </c>
      <c r="K2">
        <f>BDH("ERII US Equity","BS_CASH_NEAR_CASH_ITEM","1993-06-18","2026-05-02","Per=Y","Days=T","Dir=V")</f>
        <v>0</v>
      </c>
      <c r="M2">
        <f>BDH("ERII US Equity","BS_CUR_ASSET_REPORT","1993-06-18","2026-05-02","Per=Y","Days=T","Dir=V")</f>
        <v>0</v>
      </c>
      <c r="O2">
        <f>BDH("ERII US Equity","BS_CUR_LIAB","1993-06-18","2026-05-02","Per=Y","Days=T","Dir=V")</f>
        <v>0</v>
      </c>
      <c r="Q2">
        <f>BDH("ERII US Equity","BS_SHAREHOLDER_EQY_ENDING_PERIOD","1993-06-18","2026-05-02","Per=Y","Days=T","Dir=V")</f>
        <v>0</v>
      </c>
      <c r="S2">
        <f>BDH("ERII US Equity","BS_ACCT_NOTE_RCV","1993-06-18","2026-05-02","Per=Y","Days=T","Dir=V")</f>
        <v>0</v>
      </c>
      <c r="U2">
        <f>BDH("ERII US Equity","BS_INVENTORIES","1993-06-18","2026-05-02","Per=Y","Days=T","Dir=V")</f>
        <v>0</v>
      </c>
      <c r="W2">
        <f>BDH("ERII US Equity","WORKING_CAPITAL","1993-06-18","2026-05-02","Per=Y","Days=T","Dir=V")</f>
        <v>0</v>
      </c>
      <c r="Y2">
        <f>BDH("ERII US Equity","SALES_REV_TURN","1993-06-18","2026-05-02","Per=Y","Days=T","Dir=V")</f>
        <v>0</v>
      </c>
      <c r="AA2">
        <f>BDH("ERII US Equity","EBIT","1993-06-18","2026-05-02","Per=Y","Days=T","Dir=V")</f>
        <v>0</v>
      </c>
      <c r="AC2">
        <f>BDH("ERII US Equity","EBITDA","1993-06-18","2026-05-02","Per=Y","Days=T","Dir=V")</f>
        <v>0</v>
      </c>
      <c r="AE2">
        <f>BDH("ERII US Equity","NET_INCOME","1993-06-18","2026-05-02","Per=Y","Days=T","Dir=V")</f>
        <v>0</v>
      </c>
      <c r="AG2">
        <f>BDH("ERII US Equity","IS_INT_EXPENSE","1993-06-18","2026-05-02","Per=Y","Days=T","Dir=V")</f>
        <v>0</v>
      </c>
      <c r="AI2">
        <f>BDH("ERII US Equity","IS_DEPR_EXP","1993-06-18","2026-05-02","Per=Y","Days=T","Dir=V")</f>
        <v>0</v>
      </c>
      <c r="AK2">
        <f>BDH("ERII US Equity","CF_CASH_FROM_OPER","1993-06-18","2026-05-02","Per=Y","Days=T","Dir=V")</f>
        <v>0</v>
      </c>
      <c r="AM2">
        <f>BDH("ERII US Equity","CAPITAL_EXPEND","1993-06-18","2026-05-02","Per=Y","Days=T","Dir=V")</f>
        <v>0</v>
      </c>
      <c r="AO2">
        <f>BDH("ERII US Equity","CF_FREE_CASH_FLOW","1993-06-18","2026-05-02","Per=Y","Days=T","Dir=V")</f>
        <v>0</v>
      </c>
      <c r="AQ2">
        <f>BDH("ERII US Equity","PX_LAST","1993-06-18","2026-05-02","Per=M","Days=T","Dir=V")</f>
        <v>0</v>
      </c>
      <c r="AS2">
        <f>BDH("ERII US Equity","CUR_MKT_CAP","1993-06-18","2026-05-02","Per=M","Days=T","Dir=V")</f>
        <v>0</v>
      </c>
      <c r="AU2">
        <f>BDH("ERII US Equity","EQY_SH_OUT","1993-06-18","2026-05-02","Per=M","Days=T","Dir=V")</f>
        <v>0</v>
      </c>
      <c r="AW2">
        <f>BDH("ERII US Equity","PX_VOLUME","1993-06-18","2026-05-02","Per=M","Days=T","Dir=V")</f>
        <v>0</v>
      </c>
      <c r="AY2">
        <f>BDH("ERII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BDH("ERNA US Equity","BS_TOT_ASSET","1993-06-18","2026-05-02","Per=Y","Days=T","Dir=V")</f>
        <v>0</v>
      </c>
      <c r="C2">
        <f>BDH("ERNA US Equity","BS_TOT_LIAB2","1993-06-18","2026-05-02","Per=Y","Days=T","Dir=V")</f>
        <v>0</v>
      </c>
      <c r="E2">
        <f>BDH("ERNA US Equity","SHORT_AND_LONG_TERM_DEBT","1993-06-18","2026-05-02","Per=Y","Days=T","Dir=V")</f>
        <v>0</v>
      </c>
      <c r="G2">
        <f>BDH("ERNA US Equity","BS_ST_BORROW","1993-06-18","2026-05-02","Per=Y","Days=T","Dir=V")</f>
        <v>0</v>
      </c>
      <c r="I2">
        <f>BDH("ERNA US Equity","BS_LT_BORROW","1993-06-18","2026-05-02","Per=Y","Days=T","Dir=V")</f>
        <v>0</v>
      </c>
      <c r="K2">
        <f>BDH("ERNA US Equity","BS_CASH_NEAR_CASH_ITEM","1993-06-18","2026-05-02","Per=Y","Days=T","Dir=V")</f>
        <v>0</v>
      </c>
      <c r="M2">
        <f>BDH("ERNA US Equity","BS_CUR_ASSET_REPORT","1993-06-18","2026-05-02","Per=Y","Days=T","Dir=V")</f>
        <v>0</v>
      </c>
      <c r="O2">
        <f>BDH("ERNA US Equity","BS_CUR_LIAB","1993-06-18","2026-05-02","Per=Y","Days=T","Dir=V")</f>
        <v>0</v>
      </c>
      <c r="Q2">
        <f>BDH("ERNA US Equity","BS_SHAREHOLDER_EQY_ENDING_PERIOD","1993-06-18","2026-05-02","Per=Y","Days=T","Dir=V")</f>
        <v>0</v>
      </c>
      <c r="S2">
        <f>BDH("ERNA US Equity","BS_ACCT_NOTE_RCV","1993-06-18","2026-05-02","Per=Y","Days=T","Dir=V")</f>
        <v>0</v>
      </c>
      <c r="U2">
        <f>BDH("ERNA US Equity","BS_INVENTORIES","1993-06-18","2026-05-02","Per=Y","Days=T","Dir=V")</f>
        <v>0</v>
      </c>
      <c r="W2">
        <f>BDH("ERNA US Equity","WORKING_CAPITAL","1993-06-18","2026-05-02","Per=Y","Days=T","Dir=V")</f>
        <v>0</v>
      </c>
      <c r="Y2">
        <f>BDH("ERNA US Equity","SALES_REV_TURN","1993-06-18","2026-05-02","Per=Y","Days=T","Dir=V")</f>
        <v>0</v>
      </c>
      <c r="AA2">
        <f>BDH("ERNA US Equity","EBIT","1993-06-18","2026-05-02","Per=Y","Days=T","Dir=V")</f>
        <v>0</v>
      </c>
      <c r="AC2">
        <f>BDH("ERNA US Equity","EBITDA","1993-06-18","2026-05-02","Per=Y","Days=T","Dir=V")</f>
        <v>0</v>
      </c>
      <c r="AE2">
        <f>BDH("ERNA US Equity","NET_INCOME","1993-06-18","2026-05-02","Per=Y","Days=T","Dir=V")</f>
        <v>0</v>
      </c>
      <c r="AG2">
        <f>BDH("ERNA US Equity","IS_INT_EXPENSE","1993-06-18","2026-05-02","Per=Y","Days=T","Dir=V")</f>
        <v>0</v>
      </c>
      <c r="AI2">
        <f>BDH("ERNA US Equity","IS_DEPR_EXP","1993-06-18","2026-05-02","Per=Y","Days=T","Dir=V")</f>
        <v>0</v>
      </c>
      <c r="AK2">
        <f>BDH("ERNA US Equity","CF_CASH_FROM_OPER","1993-06-18","2026-05-02","Per=Y","Days=T","Dir=V")</f>
        <v>0</v>
      </c>
      <c r="AM2">
        <f>BDH("ERNA US Equity","CAPITAL_EXPEND","1993-06-18","2026-05-02","Per=Y","Days=T","Dir=V")</f>
        <v>0</v>
      </c>
      <c r="AO2">
        <f>BDH("ERNA US Equity","CF_FREE_CASH_FLOW","1993-06-18","2026-05-02","Per=Y","Days=T","Dir=V")</f>
        <v>0</v>
      </c>
      <c r="AQ2">
        <f>BDH("ERNA US Equity","PX_LAST","1993-06-18","2026-05-02","Per=M","Days=T","Dir=V")</f>
        <v>0</v>
      </c>
      <c r="AS2">
        <f>BDH("ERNA US Equity","CUR_MKT_CAP","1993-06-18","2026-05-02","Per=M","Days=T","Dir=V")</f>
        <v>0</v>
      </c>
      <c r="AU2">
        <f>BDH("ERNA US Equity","EQY_SH_OUT","1993-06-18","2026-05-02","Per=M","Days=T","Dir=V")</f>
        <v>0</v>
      </c>
      <c r="AW2">
        <f>BDH("ERNA US Equity","PX_VOLUME","1993-06-18","2026-05-02","Per=M","Days=T","Dir=V")</f>
        <v>0</v>
      </c>
      <c r="AY2">
        <f>BDH("ERNA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BDH("ERNAW US Equity","BS_TOT_ASSET","1993-06-18","2026-05-02","Per=Y","Days=T","Dir=V")</f>
        <v>0</v>
      </c>
      <c r="C2">
        <f>BDH("ERNAW US Equity","BS_TOT_LIAB2","1993-06-18","2026-05-02","Per=Y","Days=T","Dir=V")</f>
        <v>0</v>
      </c>
      <c r="E2">
        <f>BDH("ERNAW US Equity","SHORT_AND_LONG_TERM_DEBT","1993-06-18","2026-05-02","Per=Y","Days=T","Dir=V")</f>
        <v>0</v>
      </c>
      <c r="G2">
        <f>BDH("ERNAW US Equity","BS_ST_BORROW","1993-06-18","2026-05-02","Per=Y","Days=T","Dir=V")</f>
        <v>0</v>
      </c>
      <c r="I2">
        <f>BDH("ERNAW US Equity","BS_LT_BORROW","1993-06-18","2026-05-02","Per=Y","Days=T","Dir=V")</f>
        <v>0</v>
      </c>
      <c r="K2">
        <f>BDH("ERNAW US Equity","BS_CASH_NEAR_CASH_ITEM","1993-06-18","2026-05-02","Per=Y","Days=T","Dir=V")</f>
        <v>0</v>
      </c>
      <c r="M2">
        <f>BDH("ERNAW US Equity","BS_CUR_ASSET_REPORT","1993-06-18","2026-05-02","Per=Y","Days=T","Dir=V")</f>
        <v>0</v>
      </c>
      <c r="O2">
        <f>BDH("ERNAW US Equity","BS_CUR_LIAB","1993-06-18","2026-05-02","Per=Y","Days=T","Dir=V")</f>
        <v>0</v>
      </c>
      <c r="Q2">
        <f>BDH("ERNAW US Equity","BS_SHAREHOLDER_EQY_ENDING_PERIOD","1993-06-18","2026-05-02","Per=Y","Days=T","Dir=V")</f>
        <v>0</v>
      </c>
      <c r="S2">
        <f>BDH("ERNAW US Equity","BS_ACCT_NOTE_RCV","1993-06-18","2026-05-02","Per=Y","Days=T","Dir=V")</f>
        <v>0</v>
      </c>
      <c r="U2">
        <f>BDH("ERNAW US Equity","BS_INVENTORIES","1993-06-18","2026-05-02","Per=Y","Days=T","Dir=V")</f>
        <v>0</v>
      </c>
      <c r="W2">
        <f>BDH("ERNAW US Equity","WORKING_CAPITAL","1993-06-18","2026-05-02","Per=Y","Days=T","Dir=V")</f>
        <v>0</v>
      </c>
      <c r="Y2">
        <f>BDH("ERNAW US Equity","SALES_REV_TURN","1993-06-18","2026-05-02","Per=Y","Days=T","Dir=V")</f>
        <v>0</v>
      </c>
      <c r="AA2">
        <f>BDH("ERNAW US Equity","EBIT","1993-06-18","2026-05-02","Per=Y","Days=T","Dir=V")</f>
        <v>0</v>
      </c>
      <c r="AC2">
        <f>BDH("ERNAW US Equity","EBITDA","1993-06-18","2026-05-02","Per=Y","Days=T","Dir=V")</f>
        <v>0</v>
      </c>
      <c r="AE2">
        <f>BDH("ERNAW US Equity","NET_INCOME","1993-06-18","2026-05-02","Per=Y","Days=T","Dir=V")</f>
        <v>0</v>
      </c>
      <c r="AG2">
        <f>BDH("ERNAW US Equity","IS_INT_EXPENSE","1993-06-18","2026-05-02","Per=Y","Days=T","Dir=V")</f>
        <v>0</v>
      </c>
      <c r="AI2">
        <f>BDH("ERNAW US Equity","IS_DEPR_EXP","1993-06-18","2026-05-02","Per=Y","Days=T","Dir=V")</f>
        <v>0</v>
      </c>
      <c r="AK2">
        <f>BDH("ERNAW US Equity","CF_CASH_FROM_OPER","1993-06-18","2026-05-02","Per=Y","Days=T","Dir=V")</f>
        <v>0</v>
      </c>
      <c r="AM2">
        <f>BDH("ERNAW US Equity","CAPITAL_EXPEND","1993-06-18","2026-05-02","Per=Y","Days=T","Dir=V")</f>
        <v>0</v>
      </c>
      <c r="AO2">
        <f>BDH("ERNAW US Equity","CF_FREE_CASH_FLOW","1993-06-18","2026-05-02","Per=Y","Days=T","Dir=V")</f>
        <v>0</v>
      </c>
      <c r="AQ2">
        <f>BDH("ERNAW US Equity","PX_LAST","1993-06-18","2026-05-02","Per=M","Days=T","Dir=V")</f>
        <v>0</v>
      </c>
      <c r="AS2">
        <f>BDH("ERNAW US Equity","CUR_MKT_CAP","1993-06-18","2026-05-02","Per=M","Days=T","Dir=V")</f>
        <v>0</v>
      </c>
      <c r="AU2">
        <f>BDH("ERNAW US Equity","EQY_SH_OUT","1993-06-18","2026-05-02","Per=M","Days=T","Dir=V")</f>
        <v>0</v>
      </c>
      <c r="AW2">
        <f>BDH("ERNAW US Equity","PX_VOLUME","1993-06-18","2026-05-02","Per=M","Days=T","Dir=V")</f>
        <v>0</v>
      </c>
      <c r="AY2">
        <f>BDH("ERNAW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 US Equity","BS_TOT_ASSET","1993-06-18","2026-05-02","Per=Y","Days=T","Dir=V")</f>
        <v>0</v>
      </c>
      <c r="C2">
        <f>BDH("ES US Equity","BS_TOT_LIAB2","1993-06-18","2026-05-02","Per=Y","Days=T","Dir=V")</f>
        <v>0</v>
      </c>
      <c r="E2">
        <f>BDH("ES US Equity","SHORT_AND_LONG_TERM_DEBT","1993-06-18","2026-05-02","Per=Y","Days=T","Dir=V")</f>
        <v>0</v>
      </c>
      <c r="G2">
        <f>BDH("ES US Equity","BS_ST_BORROW","1993-06-18","2026-05-02","Per=Y","Days=T","Dir=V")</f>
        <v>0</v>
      </c>
      <c r="I2">
        <f>BDH("ES US Equity","BS_LT_BORROW","1993-06-18","2026-05-02","Per=Y","Days=T","Dir=V")</f>
        <v>0</v>
      </c>
      <c r="K2">
        <f>BDH("ES US Equity","BS_CASH_NEAR_CASH_ITEM","1993-06-18","2026-05-02","Per=Y","Days=T","Dir=V")</f>
        <v>0</v>
      </c>
      <c r="M2">
        <f>BDH("ES US Equity","BS_CUR_ASSET_REPORT","1993-06-18","2026-05-02","Per=Y","Days=T","Dir=V")</f>
        <v>0</v>
      </c>
      <c r="O2">
        <f>BDH("ES US Equity","BS_CUR_LIAB","1993-06-18","2026-05-02","Per=Y","Days=T","Dir=V")</f>
        <v>0</v>
      </c>
      <c r="Q2">
        <f>BDH("ES US Equity","BS_SHAREHOLDER_EQY_ENDING_PERIOD","1993-06-18","2026-05-02","Per=Y","Days=T","Dir=V")</f>
        <v>0</v>
      </c>
      <c r="S2">
        <f>BDH("ES US Equity","BS_ACCT_NOTE_RCV","1993-06-18","2026-05-02","Per=Y","Days=T","Dir=V")</f>
        <v>0</v>
      </c>
      <c r="U2">
        <f>BDH("ES US Equity","BS_INVENTORIES","1993-06-18","2026-05-02","Per=Y","Days=T","Dir=V")</f>
        <v>0</v>
      </c>
      <c r="W2">
        <f>BDH("ES US Equity","WORKING_CAPITAL","1993-06-18","2026-05-02","Per=Y","Days=T","Dir=V")</f>
        <v>0</v>
      </c>
      <c r="Y2">
        <f>BDH("ES US Equity","SALES_REV_TURN","1993-06-18","2026-05-02","Per=Y","Days=T","Dir=V")</f>
        <v>0</v>
      </c>
      <c r="AA2">
        <f>BDH("ES US Equity","EBIT","1993-06-18","2026-05-02","Per=Y","Days=T","Dir=V")</f>
        <v>0</v>
      </c>
      <c r="AC2">
        <f>BDH("ES US Equity","EBITDA","1993-06-18","2026-05-02","Per=Y","Days=T","Dir=V")</f>
        <v>0</v>
      </c>
      <c r="AE2">
        <f>BDH("ES US Equity","NET_INCOME","1993-06-18","2026-05-02","Per=Y","Days=T","Dir=V")</f>
        <v>0</v>
      </c>
      <c r="AG2">
        <f>BDH("ES US Equity","IS_INT_EXPENSE","1993-06-18","2026-05-02","Per=Y","Days=T","Dir=V")</f>
        <v>0</v>
      </c>
      <c r="AI2">
        <f>BDH("ES US Equity","IS_DEPR_EXP","1993-06-18","2026-05-02","Per=Y","Days=T","Dir=V")</f>
        <v>0</v>
      </c>
      <c r="AK2">
        <f>BDH("ES US Equity","CF_CASH_FROM_OPER","1993-06-18","2026-05-02","Per=Y","Days=T","Dir=V")</f>
        <v>0</v>
      </c>
      <c r="AM2">
        <f>BDH("ES US Equity","CAPITAL_EXPEND","1993-06-18","2026-05-02","Per=Y","Days=T","Dir=V")</f>
        <v>0</v>
      </c>
      <c r="AO2">
        <f>BDH("ES US Equity","CF_FREE_CASH_FLOW","1993-06-18","2026-05-02","Per=Y","Days=T","Dir=V")</f>
        <v>0</v>
      </c>
      <c r="AQ2">
        <f>BDH("ES US Equity","PX_LAST","1993-06-18","2026-05-02","Per=M","Days=T","Dir=V")</f>
        <v>0</v>
      </c>
      <c r="AS2">
        <f>BDH("ES US Equity","CUR_MKT_CAP","1993-06-18","2026-05-02","Per=M","Days=T","Dir=V")</f>
        <v>0</v>
      </c>
      <c r="AU2">
        <f>BDH("ES US Equity","EQY_SH_OUT","1993-06-18","2026-05-02","Per=M","Days=T","Dir=V")</f>
        <v>0</v>
      </c>
      <c r="AW2">
        <f>BDH("ES US Equity","PX_VOLUME","1993-06-18","2026-05-02","Per=M","Days=T","Dir=V")</f>
        <v>0</v>
      </c>
      <c r="AY2">
        <f>BDH("ES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BDH("ESAB US Equity","BS_TOT_ASSET","1993-06-18","2026-05-02","Per=Y","Days=T","Dir=V")</f>
        <v>0</v>
      </c>
      <c r="C2">
        <f>BDH("ESAB US Equity","BS_TOT_LIAB2","1993-06-18","2026-05-02","Per=Y","Days=T","Dir=V")</f>
        <v>0</v>
      </c>
      <c r="E2">
        <f>BDH("ESAB US Equity","SHORT_AND_LONG_TERM_DEBT","1993-06-18","2026-05-02","Per=Y","Days=T","Dir=V")</f>
        <v>0</v>
      </c>
      <c r="G2">
        <f>BDH("ESAB US Equity","BS_ST_BORROW","1993-06-18","2026-05-02","Per=Y","Days=T","Dir=V")</f>
        <v>0</v>
      </c>
      <c r="I2">
        <f>BDH("ESAB US Equity","BS_LT_BORROW","1993-06-18","2026-05-02","Per=Y","Days=T","Dir=V")</f>
        <v>0</v>
      </c>
      <c r="K2">
        <f>BDH("ESAB US Equity","BS_CASH_NEAR_CASH_ITEM","1993-06-18","2026-05-02","Per=Y","Days=T","Dir=V")</f>
        <v>0</v>
      </c>
      <c r="M2">
        <f>BDH("ESAB US Equity","BS_CUR_ASSET_REPORT","1993-06-18","2026-05-02","Per=Y","Days=T","Dir=V")</f>
        <v>0</v>
      </c>
      <c r="O2">
        <f>BDH("ESAB US Equity","BS_CUR_LIAB","1993-06-18","2026-05-02","Per=Y","Days=T","Dir=V")</f>
        <v>0</v>
      </c>
      <c r="Q2">
        <f>BDH("ESAB US Equity","BS_SHAREHOLDER_EQY_ENDING_PERIOD","1993-06-18","2026-05-02","Per=Y","Days=T","Dir=V")</f>
        <v>0</v>
      </c>
      <c r="S2">
        <f>BDH("ESAB US Equity","BS_ACCT_NOTE_RCV","1993-06-18","2026-05-02","Per=Y","Days=T","Dir=V")</f>
        <v>0</v>
      </c>
      <c r="U2">
        <f>BDH("ESAB US Equity","BS_INVENTORIES","1993-06-18","2026-05-02","Per=Y","Days=T","Dir=V")</f>
        <v>0</v>
      </c>
      <c r="W2">
        <f>BDH("ESAB US Equity","WORKING_CAPITAL","1993-06-18","2026-05-02","Per=Y","Days=T","Dir=V")</f>
        <v>0</v>
      </c>
      <c r="Y2">
        <f>BDH("ESAB US Equity","SALES_REV_TURN","1993-06-18","2026-05-02","Per=Y","Days=T","Dir=V")</f>
        <v>0</v>
      </c>
      <c r="AA2">
        <f>BDH("ESAB US Equity","EBIT","1993-06-18","2026-05-02","Per=Y","Days=T","Dir=V")</f>
        <v>0</v>
      </c>
      <c r="AC2">
        <f>BDH("ESAB US Equity","EBITDA","1993-06-18","2026-05-02","Per=Y","Days=T","Dir=V")</f>
        <v>0</v>
      </c>
      <c r="AE2">
        <f>BDH("ESAB US Equity","NET_INCOME","1993-06-18","2026-05-02","Per=Y","Days=T","Dir=V")</f>
        <v>0</v>
      </c>
      <c r="AG2">
        <f>BDH("ESAB US Equity","IS_INT_EXPENSE","1993-06-18","2026-05-02","Per=Y","Days=T","Dir=V")</f>
        <v>0</v>
      </c>
      <c r="AI2">
        <f>BDH("ESAB US Equity","IS_DEPR_EXP","1993-06-18","2026-05-02","Per=Y","Days=T","Dir=V")</f>
        <v>0</v>
      </c>
      <c r="AK2">
        <f>BDH("ESAB US Equity","CF_CASH_FROM_OPER","1993-06-18","2026-05-02","Per=Y","Days=T","Dir=V")</f>
        <v>0</v>
      </c>
      <c r="AM2">
        <f>BDH("ESAB US Equity","CAPITAL_EXPEND","1993-06-18","2026-05-02","Per=Y","Days=T","Dir=V")</f>
        <v>0</v>
      </c>
      <c r="AO2">
        <f>BDH("ESAB US Equity","CF_FREE_CASH_FLOW","1993-06-18","2026-05-02","Per=Y","Days=T","Dir=V")</f>
        <v>0</v>
      </c>
      <c r="AQ2">
        <f>BDH("ESAB US Equity","PX_LAST","1993-06-18","2026-05-02","Per=M","Days=T","Dir=V")</f>
        <v>0</v>
      </c>
      <c r="AS2">
        <f>BDH("ESAB US Equity","CUR_MKT_CAP","1993-06-18","2026-05-02","Per=M","Days=T","Dir=V")</f>
        <v>0</v>
      </c>
      <c r="AU2">
        <f>BDH("ESAB US Equity","EQY_SH_OUT","1993-06-18","2026-05-02","Per=M","Days=T","Dir=V")</f>
        <v>0</v>
      </c>
      <c r="AW2">
        <f>BDH("ESAB US Equity","PX_VOLUME","1993-06-18","2026-05-02","Per=M","Days=T","Dir=V")</f>
        <v>0</v>
      </c>
      <c r="AY2">
        <f>BDH("ESAB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BDH("ESCA US Equity","BS_TOT_ASSET","1993-06-18","2026-05-02","Per=Y","Days=T","Dir=V")</f>
        <v>0</v>
      </c>
      <c r="C2">
        <f>BDH("ESCA US Equity","BS_TOT_LIAB2","1993-06-18","2026-05-02","Per=Y","Days=T","Dir=V")</f>
        <v>0</v>
      </c>
      <c r="E2">
        <f>BDH("ESCA US Equity","SHORT_AND_LONG_TERM_DEBT","1993-06-18","2026-05-02","Per=Y","Days=T","Dir=V")</f>
        <v>0</v>
      </c>
      <c r="G2">
        <f>BDH("ESCA US Equity","BS_ST_BORROW","1993-06-18","2026-05-02","Per=Y","Days=T","Dir=V")</f>
        <v>0</v>
      </c>
      <c r="I2">
        <f>BDH("ESCA US Equity","BS_LT_BORROW","1993-06-18","2026-05-02","Per=Y","Days=T","Dir=V")</f>
        <v>0</v>
      </c>
      <c r="K2">
        <f>BDH("ESCA US Equity","BS_CASH_NEAR_CASH_ITEM","1993-06-18","2026-05-02","Per=Y","Days=T","Dir=V")</f>
        <v>0</v>
      </c>
      <c r="M2">
        <f>BDH("ESCA US Equity","BS_CUR_ASSET_REPORT","1993-06-18","2026-05-02","Per=Y","Days=T","Dir=V")</f>
        <v>0</v>
      </c>
      <c r="O2">
        <f>BDH("ESCA US Equity","BS_CUR_LIAB","1993-06-18","2026-05-02","Per=Y","Days=T","Dir=V")</f>
        <v>0</v>
      </c>
      <c r="Q2">
        <f>BDH("ESCA US Equity","BS_SHAREHOLDER_EQY_ENDING_PERIOD","1993-06-18","2026-05-02","Per=Y","Days=T","Dir=V")</f>
        <v>0</v>
      </c>
      <c r="S2">
        <f>BDH("ESCA US Equity","BS_ACCT_NOTE_RCV","1993-06-18","2026-05-02","Per=Y","Days=T","Dir=V")</f>
        <v>0</v>
      </c>
      <c r="U2">
        <f>BDH("ESCA US Equity","BS_INVENTORIES","1993-06-18","2026-05-02","Per=Y","Days=T","Dir=V")</f>
        <v>0</v>
      </c>
      <c r="W2">
        <f>BDH("ESCA US Equity","WORKING_CAPITAL","1993-06-18","2026-05-02","Per=Y","Days=T","Dir=V")</f>
        <v>0</v>
      </c>
      <c r="Y2">
        <f>BDH("ESCA US Equity","SALES_REV_TURN","1993-06-18","2026-05-02","Per=Y","Days=T","Dir=V")</f>
        <v>0</v>
      </c>
      <c r="AA2">
        <f>BDH("ESCA US Equity","EBIT","1993-06-18","2026-05-02","Per=Y","Days=T","Dir=V")</f>
        <v>0</v>
      </c>
      <c r="AC2">
        <f>BDH("ESCA US Equity","EBITDA","1993-06-18","2026-05-02","Per=Y","Days=T","Dir=V")</f>
        <v>0</v>
      </c>
      <c r="AE2">
        <f>BDH("ESCA US Equity","NET_INCOME","1993-06-18","2026-05-02","Per=Y","Days=T","Dir=V")</f>
        <v>0</v>
      </c>
      <c r="AG2">
        <f>BDH("ESCA US Equity","IS_INT_EXPENSE","1993-06-18","2026-05-02","Per=Y","Days=T","Dir=V")</f>
        <v>0</v>
      </c>
      <c r="AI2">
        <f>BDH("ESCA US Equity","IS_DEPR_EXP","1993-06-18","2026-05-02","Per=Y","Days=T","Dir=V")</f>
        <v>0</v>
      </c>
      <c r="AK2">
        <f>BDH("ESCA US Equity","CF_CASH_FROM_OPER","1993-06-18","2026-05-02","Per=Y","Days=T","Dir=V")</f>
        <v>0</v>
      </c>
      <c r="AM2">
        <f>BDH("ESCA US Equity","CAPITAL_EXPEND","1993-06-18","2026-05-02","Per=Y","Days=T","Dir=V")</f>
        <v>0</v>
      </c>
      <c r="AO2">
        <f>BDH("ESCA US Equity","CF_FREE_CASH_FLOW","1993-06-18","2026-05-02","Per=Y","Days=T","Dir=V")</f>
        <v>0</v>
      </c>
      <c r="AQ2">
        <f>BDH("ESCA US Equity","PX_LAST","1993-06-18","2026-05-02","Per=M","Days=T","Dir=V")</f>
        <v>0</v>
      </c>
      <c r="AS2">
        <f>BDH("ESCA US Equity","CUR_MKT_CAP","1993-06-18","2026-05-02","Per=M","Days=T","Dir=V")</f>
        <v>0</v>
      </c>
      <c r="AU2">
        <f>BDH("ESCA US Equity","EQY_SH_OUT","1993-06-18","2026-05-02","Per=M","Days=T","Dir=V")</f>
        <v>0</v>
      </c>
      <c r="AW2">
        <f>BDH("ESCA US Equity","PX_VOLUME","1993-06-18","2026-05-02","Per=M","Days=T","Dir=V")</f>
        <v>0</v>
      </c>
      <c r="AY2">
        <f>BDH("ESCA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BDH("ESE US Equity","BS_TOT_ASSET","1993-06-18","2026-05-02","Per=Y","Days=T","Dir=V")</f>
        <v>0</v>
      </c>
      <c r="C2">
        <f>BDH("ESE US Equity","BS_TOT_LIAB2","1993-06-18","2026-05-02","Per=Y","Days=T","Dir=V")</f>
        <v>0</v>
      </c>
      <c r="E2">
        <f>BDH("ESE US Equity","SHORT_AND_LONG_TERM_DEBT","1993-06-18","2026-05-02","Per=Y","Days=T","Dir=V")</f>
        <v>0</v>
      </c>
      <c r="G2">
        <f>BDH("ESE US Equity","BS_ST_BORROW","1993-06-18","2026-05-02","Per=Y","Days=T","Dir=V")</f>
        <v>0</v>
      </c>
      <c r="I2">
        <f>BDH("ESE US Equity","BS_LT_BORROW","1993-06-18","2026-05-02","Per=Y","Days=T","Dir=V")</f>
        <v>0</v>
      </c>
      <c r="K2">
        <f>BDH("ESE US Equity","BS_CASH_NEAR_CASH_ITEM","1993-06-18","2026-05-02","Per=Y","Days=T","Dir=V")</f>
        <v>0</v>
      </c>
      <c r="M2">
        <f>BDH("ESE US Equity","BS_CUR_ASSET_REPORT","1993-06-18","2026-05-02","Per=Y","Days=T","Dir=V")</f>
        <v>0</v>
      </c>
      <c r="O2">
        <f>BDH("ESE US Equity","BS_CUR_LIAB","1993-06-18","2026-05-02","Per=Y","Days=T","Dir=V")</f>
        <v>0</v>
      </c>
      <c r="Q2">
        <f>BDH("ESE US Equity","BS_SHAREHOLDER_EQY_ENDING_PERIOD","1993-06-18","2026-05-02","Per=Y","Days=T","Dir=V")</f>
        <v>0</v>
      </c>
      <c r="S2">
        <f>BDH("ESE US Equity","BS_ACCT_NOTE_RCV","1993-06-18","2026-05-02","Per=Y","Days=T","Dir=V")</f>
        <v>0</v>
      </c>
      <c r="U2">
        <f>BDH("ESE US Equity","BS_INVENTORIES","1993-06-18","2026-05-02","Per=Y","Days=T","Dir=V")</f>
        <v>0</v>
      </c>
      <c r="W2">
        <f>BDH("ESE US Equity","WORKING_CAPITAL","1993-06-18","2026-05-02","Per=Y","Days=T","Dir=V")</f>
        <v>0</v>
      </c>
      <c r="Y2">
        <f>BDH("ESE US Equity","SALES_REV_TURN","1993-06-18","2026-05-02","Per=Y","Days=T","Dir=V")</f>
        <v>0</v>
      </c>
      <c r="AA2">
        <f>BDH("ESE US Equity","EBIT","1993-06-18","2026-05-02","Per=Y","Days=T","Dir=V")</f>
        <v>0</v>
      </c>
      <c r="AC2">
        <f>BDH("ESE US Equity","EBITDA","1993-06-18","2026-05-02","Per=Y","Days=T","Dir=V")</f>
        <v>0</v>
      </c>
      <c r="AE2">
        <f>BDH("ESE US Equity","NET_INCOME","1993-06-18","2026-05-02","Per=Y","Days=T","Dir=V")</f>
        <v>0</v>
      </c>
      <c r="AG2">
        <f>BDH("ESE US Equity","IS_INT_EXPENSE","1993-06-18","2026-05-02","Per=Y","Days=T","Dir=V")</f>
        <v>0</v>
      </c>
      <c r="AI2">
        <f>BDH("ESE US Equity","IS_DEPR_EXP","1993-06-18","2026-05-02","Per=Y","Days=T","Dir=V")</f>
        <v>0</v>
      </c>
      <c r="AK2">
        <f>BDH("ESE US Equity","CF_CASH_FROM_OPER","1993-06-18","2026-05-02","Per=Y","Days=T","Dir=V")</f>
        <v>0</v>
      </c>
      <c r="AM2">
        <f>BDH("ESE US Equity","CAPITAL_EXPEND","1993-06-18","2026-05-02","Per=Y","Days=T","Dir=V")</f>
        <v>0</v>
      </c>
      <c r="AO2">
        <f>BDH("ESE US Equity","CF_FREE_CASH_FLOW","1993-06-18","2026-05-02","Per=Y","Days=T","Dir=V")</f>
        <v>0</v>
      </c>
      <c r="AQ2">
        <f>BDH("ESE US Equity","PX_LAST","1993-06-18","2026-05-02","Per=M","Days=T","Dir=V")</f>
        <v>0</v>
      </c>
      <c r="AS2">
        <f>BDH("ESE US Equity","CUR_MKT_CAP","1993-06-18","2026-05-02","Per=M","Days=T","Dir=V")</f>
        <v>0</v>
      </c>
      <c r="AU2">
        <f>BDH("ESE US Equity","EQY_SH_OUT","1993-06-18","2026-05-02","Per=M","Days=T","Dir=V")</f>
        <v>0</v>
      </c>
      <c r="AW2">
        <f>BDH("ESE US Equity","PX_VOLUME","1993-06-18","2026-05-02","Per=M","Days=T","Dir=V")</f>
        <v>0</v>
      </c>
      <c r="AY2">
        <f>BDH("ESE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BDH("ESI US Equity","BS_TOT_ASSET","1993-06-18","2026-05-02","Per=Y","Days=T","Dir=V")</f>
        <v>0</v>
      </c>
      <c r="C2">
        <f>BDH("ESI US Equity","BS_TOT_LIAB2","1993-06-18","2026-05-02","Per=Y","Days=T","Dir=V")</f>
        <v>0</v>
      </c>
      <c r="E2">
        <f>BDH("ESI US Equity","SHORT_AND_LONG_TERM_DEBT","1993-06-18","2026-05-02","Per=Y","Days=T","Dir=V")</f>
        <v>0</v>
      </c>
      <c r="G2">
        <f>BDH("ESI US Equity","BS_ST_BORROW","1993-06-18","2026-05-02","Per=Y","Days=T","Dir=V")</f>
        <v>0</v>
      </c>
      <c r="I2">
        <f>BDH("ESI US Equity","BS_LT_BORROW","1993-06-18","2026-05-02","Per=Y","Days=T","Dir=V")</f>
        <v>0</v>
      </c>
      <c r="K2">
        <f>BDH("ESI US Equity","BS_CASH_NEAR_CASH_ITEM","1993-06-18","2026-05-02","Per=Y","Days=T","Dir=V")</f>
        <v>0</v>
      </c>
      <c r="M2">
        <f>BDH("ESI US Equity","BS_CUR_ASSET_REPORT","1993-06-18","2026-05-02","Per=Y","Days=T","Dir=V")</f>
        <v>0</v>
      </c>
      <c r="O2">
        <f>BDH("ESI US Equity","BS_CUR_LIAB","1993-06-18","2026-05-02","Per=Y","Days=T","Dir=V")</f>
        <v>0</v>
      </c>
      <c r="Q2">
        <f>BDH("ESI US Equity","BS_SHAREHOLDER_EQY_ENDING_PERIOD","1993-06-18","2026-05-02","Per=Y","Days=T","Dir=V")</f>
        <v>0</v>
      </c>
      <c r="S2">
        <f>BDH("ESI US Equity","BS_ACCT_NOTE_RCV","1993-06-18","2026-05-02","Per=Y","Days=T","Dir=V")</f>
        <v>0</v>
      </c>
      <c r="U2">
        <f>BDH("ESI US Equity","BS_INVENTORIES","1993-06-18","2026-05-02","Per=Y","Days=T","Dir=V")</f>
        <v>0</v>
      </c>
      <c r="W2">
        <f>BDH("ESI US Equity","WORKING_CAPITAL","1993-06-18","2026-05-02","Per=Y","Days=T","Dir=V")</f>
        <v>0</v>
      </c>
      <c r="Y2">
        <f>BDH("ESI US Equity","SALES_REV_TURN","1993-06-18","2026-05-02","Per=Y","Days=T","Dir=V")</f>
        <v>0</v>
      </c>
      <c r="AA2">
        <f>BDH("ESI US Equity","EBIT","1993-06-18","2026-05-02","Per=Y","Days=T","Dir=V")</f>
        <v>0</v>
      </c>
      <c r="AC2">
        <f>BDH("ESI US Equity","EBITDA","1993-06-18","2026-05-02","Per=Y","Days=T","Dir=V")</f>
        <v>0</v>
      </c>
      <c r="AE2">
        <f>BDH("ESI US Equity","NET_INCOME","1993-06-18","2026-05-02","Per=Y","Days=T","Dir=V")</f>
        <v>0</v>
      </c>
      <c r="AG2">
        <f>BDH("ESI US Equity","IS_INT_EXPENSE","1993-06-18","2026-05-02","Per=Y","Days=T","Dir=V")</f>
        <v>0</v>
      </c>
      <c r="AI2">
        <f>BDH("ESI US Equity","IS_DEPR_EXP","1993-06-18","2026-05-02","Per=Y","Days=T","Dir=V")</f>
        <v>0</v>
      </c>
      <c r="AK2">
        <f>BDH("ESI US Equity","CF_CASH_FROM_OPER","1993-06-18","2026-05-02","Per=Y","Days=T","Dir=V")</f>
        <v>0</v>
      </c>
      <c r="AM2">
        <f>BDH("ESI US Equity","CAPITAL_EXPEND","1993-06-18","2026-05-02","Per=Y","Days=T","Dir=V")</f>
        <v>0</v>
      </c>
      <c r="AO2">
        <f>BDH("ESI US Equity","CF_FREE_CASH_FLOW","1993-06-18","2026-05-02","Per=Y","Days=T","Dir=V")</f>
        <v>0</v>
      </c>
      <c r="AQ2">
        <f>BDH("ESI US Equity","PX_LAST","1993-06-18","2026-05-02","Per=M","Days=T","Dir=V")</f>
        <v>0</v>
      </c>
      <c r="AS2">
        <f>BDH("ESI US Equity","CUR_MKT_CAP","1993-06-18","2026-05-02","Per=M","Days=T","Dir=V")</f>
        <v>0</v>
      </c>
      <c r="AU2">
        <f>BDH("ESI US Equity","EQY_SH_OUT","1993-06-18","2026-05-02","Per=M","Days=T","Dir=V")</f>
        <v>0</v>
      </c>
      <c r="AW2">
        <f>BDH("ESI US Equity","PX_VOLUME","1993-06-18","2026-05-02","Per=M","Days=T","Dir=V")</f>
        <v>0</v>
      </c>
      <c r="AY2">
        <f>BDH("ESI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BDH("ESLA US Equity","BS_TOT_ASSET","1993-06-18","2026-05-02","Per=Y","Days=T","Dir=V")</f>
        <v>0</v>
      </c>
      <c r="C2">
        <f>BDH("ESLA US Equity","BS_TOT_LIAB2","1993-06-18","2026-05-02","Per=Y","Days=T","Dir=V")</f>
        <v>0</v>
      </c>
      <c r="E2">
        <f>BDH("ESLA US Equity","SHORT_AND_LONG_TERM_DEBT","1993-06-18","2026-05-02","Per=Y","Days=T","Dir=V")</f>
        <v>0</v>
      </c>
      <c r="G2">
        <f>BDH("ESLA US Equity","BS_ST_BORROW","1993-06-18","2026-05-02","Per=Y","Days=T","Dir=V")</f>
        <v>0</v>
      </c>
      <c r="I2">
        <f>BDH("ESLA US Equity","BS_LT_BORROW","1993-06-18","2026-05-02","Per=Y","Days=T","Dir=V")</f>
        <v>0</v>
      </c>
      <c r="K2">
        <f>BDH("ESLA US Equity","BS_CASH_NEAR_CASH_ITEM","1993-06-18","2026-05-02","Per=Y","Days=T","Dir=V")</f>
        <v>0</v>
      </c>
      <c r="M2">
        <f>BDH("ESLA US Equity","BS_CUR_ASSET_REPORT","1993-06-18","2026-05-02","Per=Y","Days=T","Dir=V")</f>
        <v>0</v>
      </c>
      <c r="O2">
        <f>BDH("ESLA US Equity","BS_CUR_LIAB","1993-06-18","2026-05-02","Per=Y","Days=T","Dir=V")</f>
        <v>0</v>
      </c>
      <c r="Q2">
        <f>BDH("ESLA US Equity","BS_SHAREHOLDER_EQY_ENDING_PERIOD","1993-06-18","2026-05-02","Per=Y","Days=T","Dir=V")</f>
        <v>0</v>
      </c>
      <c r="S2">
        <f>BDH("ESLA US Equity","BS_ACCT_NOTE_RCV","1993-06-18","2026-05-02","Per=Y","Days=T","Dir=V")</f>
        <v>0</v>
      </c>
      <c r="U2">
        <f>BDH("ESLA US Equity","BS_INVENTORIES","1993-06-18","2026-05-02","Per=Y","Days=T","Dir=V")</f>
        <v>0</v>
      </c>
      <c r="W2">
        <f>BDH("ESLA US Equity","WORKING_CAPITAL","1993-06-18","2026-05-02","Per=Y","Days=T","Dir=V")</f>
        <v>0</v>
      </c>
      <c r="Y2">
        <f>BDH("ESLA US Equity","SALES_REV_TURN","1993-06-18","2026-05-02","Per=Y","Days=T","Dir=V")</f>
        <v>0</v>
      </c>
      <c r="AA2">
        <f>BDH("ESLA US Equity","EBIT","1993-06-18","2026-05-02","Per=Y","Days=T","Dir=V")</f>
        <v>0</v>
      </c>
      <c r="AC2">
        <f>BDH("ESLA US Equity","EBITDA","1993-06-18","2026-05-02","Per=Y","Days=T","Dir=V")</f>
        <v>0</v>
      </c>
      <c r="AE2">
        <f>BDH("ESLA US Equity","NET_INCOME","1993-06-18","2026-05-02","Per=Y","Days=T","Dir=V")</f>
        <v>0</v>
      </c>
      <c r="AG2">
        <f>BDH("ESLA US Equity","IS_INT_EXPENSE","1993-06-18","2026-05-02","Per=Y","Days=T","Dir=V")</f>
        <v>0</v>
      </c>
      <c r="AI2">
        <f>BDH("ESLA US Equity","IS_DEPR_EXP","1993-06-18","2026-05-02","Per=Y","Days=T","Dir=V")</f>
        <v>0</v>
      </c>
      <c r="AK2">
        <f>BDH("ESLA US Equity","CF_CASH_FROM_OPER","1993-06-18","2026-05-02","Per=Y","Days=T","Dir=V")</f>
        <v>0</v>
      </c>
      <c r="AM2">
        <f>BDH("ESLA US Equity","CAPITAL_EXPEND","1993-06-18","2026-05-02","Per=Y","Days=T","Dir=V")</f>
        <v>0</v>
      </c>
      <c r="AO2">
        <f>BDH("ESLA US Equity","CF_FREE_CASH_FLOW","1993-06-18","2026-05-02","Per=Y","Days=T","Dir=V")</f>
        <v>0</v>
      </c>
      <c r="AQ2">
        <f>BDH("ESLA US Equity","PX_LAST","1993-06-18","2026-05-02","Per=M","Days=T","Dir=V")</f>
        <v>0</v>
      </c>
      <c r="AS2">
        <f>BDH("ESLA US Equity","CUR_MKT_CAP","1993-06-18","2026-05-02","Per=M","Days=T","Dir=V")</f>
        <v>0</v>
      </c>
      <c r="AU2">
        <f>BDH("ESLA US Equity","EQY_SH_OUT","1993-06-18","2026-05-02","Per=M","Days=T","Dir=V")</f>
        <v>0</v>
      </c>
      <c r="AW2">
        <f>BDH("ESLA US Equity","PX_VOLUME","1993-06-18","2026-05-02","Per=M","Days=T","Dir=V")</f>
        <v>0</v>
      </c>
      <c r="AY2">
        <f>BDH("ESLA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BDH("ESOA US Equity","BS_TOT_ASSET","1993-06-18","2026-05-02","Per=Y","Days=T","Dir=V")</f>
        <v>0</v>
      </c>
      <c r="C2">
        <f>BDH("ESOA US Equity","BS_TOT_LIAB2","1993-06-18","2026-05-02","Per=Y","Days=T","Dir=V")</f>
        <v>0</v>
      </c>
      <c r="E2">
        <f>BDH("ESOA US Equity","SHORT_AND_LONG_TERM_DEBT","1993-06-18","2026-05-02","Per=Y","Days=T","Dir=V")</f>
        <v>0</v>
      </c>
      <c r="G2">
        <f>BDH("ESOA US Equity","BS_ST_BORROW","1993-06-18","2026-05-02","Per=Y","Days=T","Dir=V")</f>
        <v>0</v>
      </c>
      <c r="I2">
        <f>BDH("ESOA US Equity","BS_LT_BORROW","1993-06-18","2026-05-02","Per=Y","Days=T","Dir=V")</f>
        <v>0</v>
      </c>
      <c r="K2">
        <f>BDH("ESOA US Equity","BS_CASH_NEAR_CASH_ITEM","1993-06-18","2026-05-02","Per=Y","Days=T","Dir=V")</f>
        <v>0</v>
      </c>
      <c r="M2">
        <f>BDH("ESOA US Equity","BS_CUR_ASSET_REPORT","1993-06-18","2026-05-02","Per=Y","Days=T","Dir=V")</f>
        <v>0</v>
      </c>
      <c r="O2">
        <f>BDH("ESOA US Equity","BS_CUR_LIAB","1993-06-18","2026-05-02","Per=Y","Days=T","Dir=V")</f>
        <v>0</v>
      </c>
      <c r="Q2">
        <f>BDH("ESOA US Equity","BS_SHAREHOLDER_EQY_ENDING_PERIOD","1993-06-18","2026-05-02","Per=Y","Days=T","Dir=V")</f>
        <v>0</v>
      </c>
      <c r="S2">
        <f>BDH("ESOA US Equity","BS_ACCT_NOTE_RCV","1993-06-18","2026-05-02","Per=Y","Days=T","Dir=V")</f>
        <v>0</v>
      </c>
      <c r="U2">
        <f>BDH("ESOA US Equity","BS_INVENTORIES","1993-06-18","2026-05-02","Per=Y","Days=T","Dir=V")</f>
        <v>0</v>
      </c>
      <c r="W2">
        <f>BDH("ESOA US Equity","WORKING_CAPITAL","1993-06-18","2026-05-02","Per=Y","Days=T","Dir=V")</f>
        <v>0</v>
      </c>
      <c r="Y2">
        <f>BDH("ESOA US Equity","SALES_REV_TURN","1993-06-18","2026-05-02","Per=Y","Days=T","Dir=V")</f>
        <v>0</v>
      </c>
      <c r="AA2">
        <f>BDH("ESOA US Equity","EBIT","1993-06-18","2026-05-02","Per=Y","Days=T","Dir=V")</f>
        <v>0</v>
      </c>
      <c r="AC2">
        <f>BDH("ESOA US Equity","EBITDA","1993-06-18","2026-05-02","Per=Y","Days=T","Dir=V")</f>
        <v>0</v>
      </c>
      <c r="AE2">
        <f>BDH("ESOA US Equity","NET_INCOME","1993-06-18","2026-05-02","Per=Y","Days=T","Dir=V")</f>
        <v>0</v>
      </c>
      <c r="AG2">
        <f>BDH("ESOA US Equity","IS_INT_EXPENSE","1993-06-18","2026-05-02","Per=Y","Days=T","Dir=V")</f>
        <v>0</v>
      </c>
      <c r="AI2">
        <f>BDH("ESOA US Equity","IS_DEPR_EXP","1993-06-18","2026-05-02","Per=Y","Days=T","Dir=V")</f>
        <v>0</v>
      </c>
      <c r="AK2">
        <f>BDH("ESOA US Equity","CF_CASH_FROM_OPER","1993-06-18","2026-05-02","Per=Y","Days=T","Dir=V")</f>
        <v>0</v>
      </c>
      <c r="AM2">
        <f>BDH("ESOA US Equity","CAPITAL_EXPEND","1993-06-18","2026-05-02","Per=Y","Days=T","Dir=V")</f>
        <v>0</v>
      </c>
      <c r="AO2">
        <f>BDH("ESOA US Equity","CF_FREE_CASH_FLOW","1993-06-18","2026-05-02","Per=Y","Days=T","Dir=V")</f>
        <v>0</v>
      </c>
      <c r="AQ2">
        <f>BDH("ESOA US Equity","PX_LAST","1993-06-18","2026-05-02","Per=M","Days=T","Dir=V")</f>
        <v>0</v>
      </c>
      <c r="AS2">
        <f>BDH("ESOA US Equity","CUR_MKT_CAP","1993-06-18","2026-05-02","Per=M","Days=T","Dir=V")</f>
        <v>0</v>
      </c>
      <c r="AU2">
        <f>BDH("ESOA US Equity","EQY_SH_OUT","1993-06-18","2026-05-02","Per=M","Days=T","Dir=V")</f>
        <v>0</v>
      </c>
      <c r="AW2">
        <f>BDH("ESOA US Equity","PX_VOLUME","1993-06-18","2026-05-02","Per=M","Days=T","Dir=V")</f>
        <v>0</v>
      </c>
      <c r="AY2">
        <f>BDH("ESOA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BDH("ESP US Equity","BS_TOT_ASSET","1993-06-18","2026-05-02","Per=Y","Days=T","Dir=V")</f>
        <v>0</v>
      </c>
      <c r="C2">
        <f>BDH("ESP US Equity","BS_TOT_LIAB2","1993-06-18","2026-05-02","Per=Y","Days=T","Dir=V")</f>
        <v>0</v>
      </c>
      <c r="E2">
        <f>BDH("ESP US Equity","SHORT_AND_LONG_TERM_DEBT","1993-06-18","2026-05-02","Per=Y","Days=T","Dir=V")</f>
        <v>0</v>
      </c>
      <c r="G2">
        <f>BDH("ESP US Equity","BS_ST_BORROW","1993-06-18","2026-05-02","Per=Y","Days=T","Dir=V")</f>
        <v>0</v>
      </c>
      <c r="I2">
        <f>BDH("ESP US Equity","BS_LT_BORROW","1993-06-18","2026-05-02","Per=Y","Days=T","Dir=V")</f>
        <v>0</v>
      </c>
      <c r="K2">
        <f>BDH("ESP US Equity","BS_CASH_NEAR_CASH_ITEM","1993-06-18","2026-05-02","Per=Y","Days=T","Dir=V")</f>
        <v>0</v>
      </c>
      <c r="M2">
        <f>BDH("ESP US Equity","BS_CUR_ASSET_REPORT","1993-06-18","2026-05-02","Per=Y","Days=T","Dir=V")</f>
        <v>0</v>
      </c>
      <c r="O2">
        <f>BDH("ESP US Equity","BS_CUR_LIAB","1993-06-18","2026-05-02","Per=Y","Days=T","Dir=V")</f>
        <v>0</v>
      </c>
      <c r="Q2">
        <f>BDH("ESP US Equity","BS_SHAREHOLDER_EQY_ENDING_PERIOD","1993-06-18","2026-05-02","Per=Y","Days=T","Dir=V")</f>
        <v>0</v>
      </c>
      <c r="S2">
        <f>BDH("ESP US Equity","BS_ACCT_NOTE_RCV","1993-06-18","2026-05-02","Per=Y","Days=T","Dir=V")</f>
        <v>0</v>
      </c>
      <c r="U2">
        <f>BDH("ESP US Equity","BS_INVENTORIES","1993-06-18","2026-05-02","Per=Y","Days=T","Dir=V")</f>
        <v>0</v>
      </c>
      <c r="W2">
        <f>BDH("ESP US Equity","WORKING_CAPITAL","1993-06-18","2026-05-02","Per=Y","Days=T","Dir=V")</f>
        <v>0</v>
      </c>
      <c r="Y2">
        <f>BDH("ESP US Equity","SALES_REV_TURN","1993-06-18","2026-05-02","Per=Y","Days=T","Dir=V")</f>
        <v>0</v>
      </c>
      <c r="AA2">
        <f>BDH("ESP US Equity","EBIT","1993-06-18","2026-05-02","Per=Y","Days=T","Dir=V")</f>
        <v>0</v>
      </c>
      <c r="AC2">
        <f>BDH("ESP US Equity","EBITDA","1993-06-18","2026-05-02","Per=Y","Days=T","Dir=V")</f>
        <v>0</v>
      </c>
      <c r="AE2">
        <f>BDH("ESP US Equity","NET_INCOME","1993-06-18","2026-05-02","Per=Y","Days=T","Dir=V")</f>
        <v>0</v>
      </c>
      <c r="AG2">
        <f>BDH("ESP US Equity","IS_INT_EXPENSE","1993-06-18","2026-05-02","Per=Y","Days=T","Dir=V")</f>
        <v>0</v>
      </c>
      <c r="AI2">
        <f>BDH("ESP US Equity","IS_DEPR_EXP","1993-06-18","2026-05-02","Per=Y","Days=T","Dir=V")</f>
        <v>0</v>
      </c>
      <c r="AK2">
        <f>BDH("ESP US Equity","CF_CASH_FROM_OPER","1993-06-18","2026-05-02","Per=Y","Days=T","Dir=V")</f>
        <v>0</v>
      </c>
      <c r="AM2">
        <f>BDH("ESP US Equity","CAPITAL_EXPEND","1993-06-18","2026-05-02","Per=Y","Days=T","Dir=V")</f>
        <v>0</v>
      </c>
      <c r="AO2">
        <f>BDH("ESP US Equity","CF_FREE_CASH_FLOW","1993-06-18","2026-05-02","Per=Y","Days=T","Dir=V")</f>
        <v>0</v>
      </c>
      <c r="AQ2">
        <f>BDH("ESP US Equity","PX_LAST","1993-06-18","2026-05-02","Per=M","Days=T","Dir=V")</f>
        <v>0</v>
      </c>
      <c r="AS2">
        <f>BDH("ESP US Equity","CUR_MKT_CAP","1993-06-18","2026-05-02","Per=M","Days=T","Dir=V")</f>
        <v>0</v>
      </c>
      <c r="AU2">
        <f>BDH("ESP US Equity","EQY_SH_OUT","1993-06-18","2026-05-02","Per=M","Days=T","Dir=V")</f>
        <v>0</v>
      </c>
      <c r="AW2">
        <f>BDH("ESP US Equity","PX_VOLUME","1993-06-18","2026-05-02","Per=M","Days=T","Dir=V")</f>
        <v>0</v>
      </c>
      <c r="AY2">
        <f>BDH("ESP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BDH("ESTC US Equity","BS_TOT_ASSET","1993-06-18","2026-05-02","Per=Y","Days=T","Dir=V")</f>
        <v>0</v>
      </c>
      <c r="C2">
        <f>BDH("ESTC US Equity","BS_TOT_LIAB2","1993-06-18","2026-05-02","Per=Y","Days=T","Dir=V")</f>
        <v>0</v>
      </c>
      <c r="E2">
        <f>BDH("ESTC US Equity","SHORT_AND_LONG_TERM_DEBT","1993-06-18","2026-05-02","Per=Y","Days=T","Dir=V")</f>
        <v>0</v>
      </c>
      <c r="G2">
        <f>BDH("ESTC US Equity","BS_ST_BORROW","1993-06-18","2026-05-02","Per=Y","Days=T","Dir=V")</f>
        <v>0</v>
      </c>
      <c r="I2">
        <f>BDH("ESTC US Equity","BS_LT_BORROW","1993-06-18","2026-05-02","Per=Y","Days=T","Dir=V")</f>
        <v>0</v>
      </c>
      <c r="K2">
        <f>BDH("ESTC US Equity","BS_CASH_NEAR_CASH_ITEM","1993-06-18","2026-05-02","Per=Y","Days=T","Dir=V")</f>
        <v>0</v>
      </c>
      <c r="M2">
        <f>BDH("ESTC US Equity","BS_CUR_ASSET_REPORT","1993-06-18","2026-05-02","Per=Y","Days=T","Dir=V")</f>
        <v>0</v>
      </c>
      <c r="O2">
        <f>BDH("ESTC US Equity","BS_CUR_LIAB","1993-06-18","2026-05-02","Per=Y","Days=T","Dir=V")</f>
        <v>0</v>
      </c>
      <c r="Q2">
        <f>BDH("ESTC US Equity","BS_SHAREHOLDER_EQY_ENDING_PERIOD","1993-06-18","2026-05-02","Per=Y","Days=T","Dir=V")</f>
        <v>0</v>
      </c>
      <c r="S2">
        <f>BDH("ESTC US Equity","BS_ACCT_NOTE_RCV","1993-06-18","2026-05-02","Per=Y","Days=T","Dir=V")</f>
        <v>0</v>
      </c>
      <c r="U2">
        <f>BDH("ESTC US Equity","BS_INVENTORIES","1993-06-18","2026-05-02","Per=Y","Days=T","Dir=V")</f>
        <v>0</v>
      </c>
      <c r="W2">
        <f>BDH("ESTC US Equity","WORKING_CAPITAL","1993-06-18","2026-05-02","Per=Y","Days=T","Dir=V")</f>
        <v>0</v>
      </c>
      <c r="Y2">
        <f>BDH("ESTC US Equity","SALES_REV_TURN","1993-06-18","2026-05-02","Per=Y","Days=T","Dir=V")</f>
        <v>0</v>
      </c>
      <c r="AA2">
        <f>BDH("ESTC US Equity","EBIT","1993-06-18","2026-05-02","Per=Y","Days=T","Dir=V")</f>
        <v>0</v>
      </c>
      <c r="AC2">
        <f>BDH("ESTC US Equity","EBITDA","1993-06-18","2026-05-02","Per=Y","Days=T","Dir=V")</f>
        <v>0</v>
      </c>
      <c r="AE2">
        <f>BDH("ESTC US Equity","NET_INCOME","1993-06-18","2026-05-02","Per=Y","Days=T","Dir=V")</f>
        <v>0</v>
      </c>
      <c r="AG2">
        <f>BDH("ESTC US Equity","IS_INT_EXPENSE","1993-06-18","2026-05-02","Per=Y","Days=T","Dir=V")</f>
        <v>0</v>
      </c>
      <c r="AI2">
        <f>BDH("ESTC US Equity","IS_DEPR_EXP","1993-06-18","2026-05-02","Per=Y","Days=T","Dir=V")</f>
        <v>0</v>
      </c>
      <c r="AK2">
        <f>BDH("ESTC US Equity","CF_CASH_FROM_OPER","1993-06-18","2026-05-02","Per=Y","Days=T","Dir=V")</f>
        <v>0</v>
      </c>
      <c r="AM2">
        <f>BDH("ESTC US Equity","CAPITAL_EXPEND","1993-06-18","2026-05-02","Per=Y","Days=T","Dir=V")</f>
        <v>0</v>
      </c>
      <c r="AO2">
        <f>BDH("ESTC US Equity","CF_FREE_CASH_FLOW","1993-06-18","2026-05-02","Per=Y","Days=T","Dir=V")</f>
        <v>0</v>
      </c>
      <c r="AQ2">
        <f>BDH("ESTC US Equity","PX_LAST","1993-06-18","2026-05-02","Per=M","Days=T","Dir=V")</f>
        <v>0</v>
      </c>
      <c r="AS2">
        <f>BDH("ESTC US Equity","CUR_MKT_CAP","1993-06-18","2026-05-02","Per=M","Days=T","Dir=V")</f>
        <v>0</v>
      </c>
      <c r="AU2">
        <f>BDH("ESTC US Equity","EQY_SH_OUT","1993-06-18","2026-05-02","Per=M","Days=T","Dir=V")</f>
        <v>0</v>
      </c>
      <c r="AW2">
        <f>BDH("ESTC US Equity","PX_VOLUME","1993-06-18","2026-05-02","Per=M","Days=T","Dir=V")</f>
        <v>0</v>
      </c>
      <c r="AY2">
        <f>BDH("ESTC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BDH("ESYN US Equity","BS_TOT_ASSET","1993-06-18","2026-05-02","Per=Y","Days=T","Dir=V")</f>
        <v>0</v>
      </c>
      <c r="C2">
        <f>BDH("ESYN US Equity","BS_TOT_LIAB2","1993-06-18","2026-05-02","Per=Y","Days=T","Dir=V")</f>
        <v>0</v>
      </c>
      <c r="E2">
        <f>BDH("ESYN US Equity","SHORT_AND_LONG_TERM_DEBT","1993-06-18","2026-05-02","Per=Y","Days=T","Dir=V")</f>
        <v>0</v>
      </c>
      <c r="G2">
        <f>BDH("ESYN US Equity","BS_ST_BORROW","1993-06-18","2026-05-02","Per=Y","Days=T","Dir=V")</f>
        <v>0</v>
      </c>
      <c r="I2">
        <f>BDH("ESYN US Equity","BS_LT_BORROW","1993-06-18","2026-05-02","Per=Y","Days=T","Dir=V")</f>
        <v>0</v>
      </c>
      <c r="K2">
        <f>BDH("ESYN US Equity","BS_CASH_NEAR_CASH_ITEM","1993-06-18","2026-05-02","Per=Y","Days=T","Dir=V")</f>
        <v>0</v>
      </c>
      <c r="M2">
        <f>BDH("ESYN US Equity","BS_CUR_ASSET_REPORT","1993-06-18","2026-05-02","Per=Y","Days=T","Dir=V")</f>
        <v>0</v>
      </c>
      <c r="O2">
        <f>BDH("ESYN US Equity","BS_CUR_LIAB","1993-06-18","2026-05-02","Per=Y","Days=T","Dir=V")</f>
        <v>0</v>
      </c>
      <c r="Q2">
        <f>BDH("ESYN US Equity","BS_SHAREHOLDER_EQY_ENDING_PERIOD","1993-06-18","2026-05-02","Per=Y","Days=T","Dir=V")</f>
        <v>0</v>
      </c>
      <c r="S2">
        <f>BDH("ESYN US Equity","BS_ACCT_NOTE_RCV","1993-06-18","2026-05-02","Per=Y","Days=T","Dir=V")</f>
        <v>0</v>
      </c>
      <c r="U2">
        <f>BDH("ESYN US Equity","BS_INVENTORIES","1993-06-18","2026-05-02","Per=Y","Days=T","Dir=V")</f>
        <v>0</v>
      </c>
      <c r="W2">
        <f>BDH("ESYN US Equity","WORKING_CAPITAL","1993-06-18","2026-05-02","Per=Y","Days=T","Dir=V")</f>
        <v>0</v>
      </c>
      <c r="Y2">
        <f>BDH("ESYN US Equity","SALES_REV_TURN","1993-06-18","2026-05-02","Per=Y","Days=T","Dir=V")</f>
        <v>0</v>
      </c>
      <c r="AA2">
        <f>BDH("ESYN US Equity","EBIT","1993-06-18","2026-05-02","Per=Y","Days=T","Dir=V")</f>
        <v>0</v>
      </c>
      <c r="AC2">
        <f>BDH("ESYN US Equity","EBITDA","1993-06-18","2026-05-02","Per=Y","Days=T","Dir=V")</f>
        <v>0</v>
      </c>
      <c r="AE2">
        <f>BDH("ESYN US Equity","NET_INCOME","1993-06-18","2026-05-02","Per=Y","Days=T","Dir=V")</f>
        <v>0</v>
      </c>
      <c r="AG2">
        <f>BDH("ESYN US Equity","IS_INT_EXPENSE","1993-06-18","2026-05-02","Per=Y","Days=T","Dir=V")</f>
        <v>0</v>
      </c>
      <c r="AI2">
        <f>BDH("ESYN US Equity","IS_DEPR_EXP","1993-06-18","2026-05-02","Per=Y","Days=T","Dir=V")</f>
        <v>0</v>
      </c>
      <c r="AK2">
        <f>BDH("ESYN US Equity","CF_CASH_FROM_OPER","1993-06-18","2026-05-02","Per=Y","Days=T","Dir=V")</f>
        <v>0</v>
      </c>
      <c r="AM2">
        <f>BDH("ESYN US Equity","CAPITAL_EXPEND","1993-06-18","2026-05-02","Per=Y","Days=T","Dir=V")</f>
        <v>0</v>
      </c>
      <c r="AO2">
        <f>BDH("ESYN US Equity","CF_FREE_CASH_FLOW","1993-06-18","2026-05-02","Per=Y","Days=T","Dir=V")</f>
        <v>0</v>
      </c>
      <c r="AQ2">
        <f>BDH("ESYN US Equity","PX_LAST","1993-06-18","2026-05-02","Per=M","Days=T","Dir=V")</f>
        <v>0</v>
      </c>
      <c r="AS2">
        <f>BDH("ESYN US Equity","CUR_MKT_CAP","1993-06-18","2026-05-02","Per=M","Days=T","Dir=V")</f>
        <v>0</v>
      </c>
      <c r="AU2">
        <f>BDH("ESYN US Equity","EQY_SH_OUT","1993-06-18","2026-05-02","Per=M","Days=T","Dir=V")</f>
        <v>0</v>
      </c>
      <c r="AW2">
        <f>BDH("ESYN US Equity","PX_VOLUME","1993-06-18","2026-05-02","Per=M","Days=T","Dir=V")</f>
        <v>0</v>
      </c>
      <c r="AY2">
        <f>BDH("ESYN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 US Equity","BS_TOT_ASSET","1993-06-18","2026-05-02","Per=Y","Days=T","Dir=V")</f>
        <v>0</v>
      </c>
      <c r="C2">
        <f>BDH("ET US Equity","BS_TOT_LIAB2","1993-06-18","2026-05-02","Per=Y","Days=T","Dir=V")</f>
        <v>0</v>
      </c>
      <c r="E2">
        <f>BDH("ET US Equity","SHORT_AND_LONG_TERM_DEBT","1993-06-18","2026-05-02","Per=Y","Days=T","Dir=V")</f>
        <v>0</v>
      </c>
      <c r="G2">
        <f>BDH("ET US Equity","BS_ST_BORROW","1993-06-18","2026-05-02","Per=Y","Days=T","Dir=V")</f>
        <v>0</v>
      </c>
      <c r="I2">
        <f>BDH("ET US Equity","BS_LT_BORROW","1993-06-18","2026-05-02","Per=Y","Days=T","Dir=V")</f>
        <v>0</v>
      </c>
      <c r="K2">
        <f>BDH("ET US Equity","BS_CASH_NEAR_CASH_ITEM","1993-06-18","2026-05-02","Per=Y","Days=T","Dir=V")</f>
        <v>0</v>
      </c>
      <c r="M2">
        <f>BDH("ET US Equity","BS_CUR_ASSET_REPORT","1993-06-18","2026-05-02","Per=Y","Days=T","Dir=V")</f>
        <v>0</v>
      </c>
      <c r="O2">
        <f>BDH("ET US Equity","BS_CUR_LIAB","1993-06-18","2026-05-02","Per=Y","Days=T","Dir=V")</f>
        <v>0</v>
      </c>
      <c r="Q2">
        <f>BDH("ET US Equity","BS_SHAREHOLDER_EQY_ENDING_PERIOD","1993-06-18","2026-05-02","Per=Y","Days=T","Dir=V")</f>
        <v>0</v>
      </c>
      <c r="S2">
        <f>BDH("ET US Equity","BS_ACCT_NOTE_RCV","1993-06-18","2026-05-02","Per=Y","Days=T","Dir=V")</f>
        <v>0</v>
      </c>
      <c r="U2">
        <f>BDH("ET US Equity","BS_INVENTORIES","1993-06-18","2026-05-02","Per=Y","Days=T","Dir=V")</f>
        <v>0</v>
      </c>
      <c r="W2">
        <f>BDH("ET US Equity","WORKING_CAPITAL","1993-06-18","2026-05-02","Per=Y","Days=T","Dir=V")</f>
        <v>0</v>
      </c>
      <c r="Y2">
        <f>BDH("ET US Equity","SALES_REV_TURN","1993-06-18","2026-05-02","Per=Y","Days=T","Dir=V")</f>
        <v>0</v>
      </c>
      <c r="AA2">
        <f>BDH("ET US Equity","EBIT","1993-06-18","2026-05-02","Per=Y","Days=T","Dir=V")</f>
        <v>0</v>
      </c>
      <c r="AC2">
        <f>BDH("ET US Equity","EBITDA","1993-06-18","2026-05-02","Per=Y","Days=T","Dir=V")</f>
        <v>0</v>
      </c>
      <c r="AE2">
        <f>BDH("ET US Equity","NET_INCOME","1993-06-18","2026-05-02","Per=Y","Days=T","Dir=V")</f>
        <v>0</v>
      </c>
      <c r="AG2">
        <f>BDH("ET US Equity","IS_INT_EXPENSE","1993-06-18","2026-05-02","Per=Y","Days=T","Dir=V")</f>
        <v>0</v>
      </c>
      <c r="AI2">
        <f>BDH("ET US Equity","IS_DEPR_EXP","1993-06-18","2026-05-02","Per=Y","Days=T","Dir=V")</f>
        <v>0</v>
      </c>
      <c r="AK2">
        <f>BDH("ET US Equity","CF_CASH_FROM_OPER","1993-06-18","2026-05-02","Per=Y","Days=T","Dir=V")</f>
        <v>0</v>
      </c>
      <c r="AM2">
        <f>BDH("ET US Equity","CAPITAL_EXPEND","1993-06-18","2026-05-02","Per=Y","Days=T","Dir=V")</f>
        <v>0</v>
      </c>
      <c r="AO2">
        <f>BDH("ET US Equity","CF_FREE_CASH_FLOW","1993-06-18","2026-05-02","Per=Y","Days=T","Dir=V")</f>
        <v>0</v>
      </c>
      <c r="AQ2">
        <f>BDH("ET US Equity","PX_LAST","1993-06-18","2026-05-02","Per=M","Days=T","Dir=V")</f>
        <v>0</v>
      </c>
      <c r="AS2">
        <f>BDH("ET US Equity","CUR_MKT_CAP","1993-06-18","2026-05-02","Per=M","Days=T","Dir=V")</f>
        <v>0</v>
      </c>
      <c r="AU2">
        <f>BDH("ET US Equity","EQY_SH_OUT","1993-06-18","2026-05-02","Per=M","Days=T","Dir=V")</f>
        <v>0</v>
      </c>
      <c r="AW2">
        <f>BDH("ET US Equity","PX_VOLUME","1993-06-18","2026-05-02","Per=M","Days=T","Dir=V")</f>
        <v>0</v>
      </c>
      <c r="AY2">
        <f>BDH("ET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BDH("ETD US Equity","BS_TOT_ASSET","1993-06-18","2026-05-02","Per=Y","Days=T","Dir=V")</f>
        <v>0</v>
      </c>
      <c r="C2">
        <f>BDH("ETD US Equity","BS_TOT_LIAB2","1993-06-18","2026-05-02","Per=Y","Days=T","Dir=V")</f>
        <v>0</v>
      </c>
      <c r="E2">
        <f>BDH("ETD US Equity","SHORT_AND_LONG_TERM_DEBT","1993-06-18","2026-05-02","Per=Y","Days=T","Dir=V")</f>
        <v>0</v>
      </c>
      <c r="G2">
        <f>BDH("ETD US Equity","BS_ST_BORROW","1993-06-18","2026-05-02","Per=Y","Days=T","Dir=V")</f>
        <v>0</v>
      </c>
      <c r="I2">
        <f>BDH("ETD US Equity","BS_LT_BORROW","1993-06-18","2026-05-02","Per=Y","Days=T","Dir=V")</f>
        <v>0</v>
      </c>
      <c r="K2">
        <f>BDH("ETD US Equity","BS_CASH_NEAR_CASH_ITEM","1993-06-18","2026-05-02","Per=Y","Days=T","Dir=V")</f>
        <v>0</v>
      </c>
      <c r="M2">
        <f>BDH("ETD US Equity","BS_CUR_ASSET_REPORT","1993-06-18","2026-05-02","Per=Y","Days=T","Dir=V")</f>
        <v>0</v>
      </c>
      <c r="O2">
        <f>BDH("ETD US Equity","BS_CUR_LIAB","1993-06-18","2026-05-02","Per=Y","Days=T","Dir=V")</f>
        <v>0</v>
      </c>
      <c r="Q2">
        <f>BDH("ETD US Equity","BS_SHAREHOLDER_EQY_ENDING_PERIOD","1993-06-18","2026-05-02","Per=Y","Days=T","Dir=V")</f>
        <v>0</v>
      </c>
      <c r="S2">
        <f>BDH("ETD US Equity","BS_ACCT_NOTE_RCV","1993-06-18","2026-05-02","Per=Y","Days=T","Dir=V")</f>
        <v>0</v>
      </c>
      <c r="U2">
        <f>BDH("ETD US Equity","BS_INVENTORIES","1993-06-18","2026-05-02","Per=Y","Days=T","Dir=V")</f>
        <v>0</v>
      </c>
      <c r="W2">
        <f>BDH("ETD US Equity","WORKING_CAPITAL","1993-06-18","2026-05-02","Per=Y","Days=T","Dir=V")</f>
        <v>0</v>
      </c>
      <c r="Y2">
        <f>BDH("ETD US Equity","SALES_REV_TURN","1993-06-18","2026-05-02","Per=Y","Days=T","Dir=V")</f>
        <v>0</v>
      </c>
      <c r="AA2">
        <f>BDH("ETD US Equity","EBIT","1993-06-18","2026-05-02","Per=Y","Days=T","Dir=V")</f>
        <v>0</v>
      </c>
      <c r="AC2">
        <f>BDH("ETD US Equity","EBITDA","1993-06-18","2026-05-02","Per=Y","Days=T","Dir=V")</f>
        <v>0</v>
      </c>
      <c r="AE2">
        <f>BDH("ETD US Equity","NET_INCOME","1993-06-18","2026-05-02","Per=Y","Days=T","Dir=V")</f>
        <v>0</v>
      </c>
      <c r="AG2">
        <f>BDH("ETD US Equity","IS_INT_EXPENSE","1993-06-18","2026-05-02","Per=Y","Days=T","Dir=V")</f>
        <v>0</v>
      </c>
      <c r="AI2">
        <f>BDH("ETD US Equity","IS_DEPR_EXP","1993-06-18","2026-05-02","Per=Y","Days=T","Dir=V")</f>
        <v>0</v>
      </c>
      <c r="AK2">
        <f>BDH("ETD US Equity","CF_CASH_FROM_OPER","1993-06-18","2026-05-02","Per=Y","Days=T","Dir=V")</f>
        <v>0</v>
      </c>
      <c r="AM2">
        <f>BDH("ETD US Equity","CAPITAL_EXPEND","1993-06-18","2026-05-02","Per=Y","Days=T","Dir=V")</f>
        <v>0</v>
      </c>
      <c r="AO2">
        <f>BDH("ETD US Equity","CF_FREE_CASH_FLOW","1993-06-18","2026-05-02","Per=Y","Days=T","Dir=V")</f>
        <v>0</v>
      </c>
      <c r="AQ2">
        <f>BDH("ETD US Equity","PX_LAST","1993-06-18","2026-05-02","Per=M","Days=T","Dir=V")</f>
        <v>0</v>
      </c>
      <c r="AS2">
        <f>BDH("ETD US Equity","CUR_MKT_CAP","1993-06-18","2026-05-02","Per=M","Days=T","Dir=V")</f>
        <v>0</v>
      </c>
      <c r="AU2">
        <f>BDH("ETD US Equity","EQY_SH_OUT","1993-06-18","2026-05-02","Per=M","Days=T","Dir=V")</f>
        <v>0</v>
      </c>
      <c r="AW2">
        <f>BDH("ETD US Equity","PX_VOLUME","1993-06-18","2026-05-02","Per=M","Days=T","Dir=V")</f>
        <v>0</v>
      </c>
      <c r="AY2">
        <f>BDH("ETD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BDH("ETON US Equity","BS_TOT_ASSET","1993-06-18","2026-05-02","Per=Y","Days=T","Dir=V")</f>
        <v>0</v>
      </c>
      <c r="C2">
        <f>BDH("ETON US Equity","BS_TOT_LIAB2","1993-06-18","2026-05-02","Per=Y","Days=T","Dir=V")</f>
        <v>0</v>
      </c>
      <c r="E2">
        <f>BDH("ETON US Equity","SHORT_AND_LONG_TERM_DEBT","1993-06-18","2026-05-02","Per=Y","Days=T","Dir=V")</f>
        <v>0</v>
      </c>
      <c r="G2">
        <f>BDH("ETON US Equity","BS_ST_BORROW","1993-06-18","2026-05-02","Per=Y","Days=T","Dir=V")</f>
        <v>0</v>
      </c>
      <c r="I2">
        <f>BDH("ETON US Equity","BS_LT_BORROW","1993-06-18","2026-05-02","Per=Y","Days=T","Dir=V")</f>
        <v>0</v>
      </c>
      <c r="K2">
        <f>BDH("ETON US Equity","BS_CASH_NEAR_CASH_ITEM","1993-06-18","2026-05-02","Per=Y","Days=T","Dir=V")</f>
        <v>0</v>
      </c>
      <c r="M2">
        <f>BDH("ETON US Equity","BS_CUR_ASSET_REPORT","1993-06-18","2026-05-02","Per=Y","Days=T","Dir=V")</f>
        <v>0</v>
      </c>
      <c r="O2">
        <f>BDH("ETON US Equity","BS_CUR_LIAB","1993-06-18","2026-05-02","Per=Y","Days=T","Dir=V")</f>
        <v>0</v>
      </c>
      <c r="Q2">
        <f>BDH("ETON US Equity","BS_SHAREHOLDER_EQY_ENDING_PERIOD","1993-06-18","2026-05-02","Per=Y","Days=T","Dir=V")</f>
        <v>0</v>
      </c>
      <c r="S2">
        <f>BDH("ETON US Equity","BS_ACCT_NOTE_RCV","1993-06-18","2026-05-02","Per=Y","Days=T","Dir=V")</f>
        <v>0</v>
      </c>
      <c r="U2">
        <f>BDH("ETON US Equity","BS_INVENTORIES","1993-06-18","2026-05-02","Per=Y","Days=T","Dir=V")</f>
        <v>0</v>
      </c>
      <c r="W2">
        <f>BDH("ETON US Equity","WORKING_CAPITAL","1993-06-18","2026-05-02","Per=Y","Days=T","Dir=V")</f>
        <v>0</v>
      </c>
      <c r="Y2">
        <f>BDH("ETON US Equity","SALES_REV_TURN","1993-06-18","2026-05-02","Per=Y","Days=T","Dir=V")</f>
        <v>0</v>
      </c>
      <c r="AA2">
        <f>BDH("ETON US Equity","EBIT","1993-06-18","2026-05-02","Per=Y","Days=T","Dir=V")</f>
        <v>0</v>
      </c>
      <c r="AC2">
        <f>BDH("ETON US Equity","EBITDA","1993-06-18","2026-05-02","Per=Y","Days=T","Dir=V")</f>
        <v>0</v>
      </c>
      <c r="AE2">
        <f>BDH("ETON US Equity","NET_INCOME","1993-06-18","2026-05-02","Per=Y","Days=T","Dir=V")</f>
        <v>0</v>
      </c>
      <c r="AG2">
        <f>BDH("ETON US Equity","IS_INT_EXPENSE","1993-06-18","2026-05-02","Per=Y","Days=T","Dir=V")</f>
        <v>0</v>
      </c>
      <c r="AI2">
        <f>BDH("ETON US Equity","IS_DEPR_EXP","1993-06-18","2026-05-02","Per=Y","Days=T","Dir=V")</f>
        <v>0</v>
      </c>
      <c r="AK2">
        <f>BDH("ETON US Equity","CF_CASH_FROM_OPER","1993-06-18","2026-05-02","Per=Y","Days=T","Dir=V")</f>
        <v>0</v>
      </c>
      <c r="AM2">
        <f>BDH("ETON US Equity","CAPITAL_EXPEND","1993-06-18","2026-05-02","Per=Y","Days=T","Dir=V")</f>
        <v>0</v>
      </c>
      <c r="AO2">
        <f>BDH("ETON US Equity","CF_FREE_CASH_FLOW","1993-06-18","2026-05-02","Per=Y","Days=T","Dir=V")</f>
        <v>0</v>
      </c>
      <c r="AQ2">
        <f>BDH("ETON US Equity","PX_LAST","1993-06-18","2026-05-02","Per=M","Days=T","Dir=V")</f>
        <v>0</v>
      </c>
      <c r="AS2">
        <f>BDH("ETON US Equity","CUR_MKT_CAP","1993-06-18","2026-05-02","Per=M","Days=T","Dir=V")</f>
        <v>0</v>
      </c>
      <c r="AU2">
        <f>BDH("ETON US Equity","EQY_SH_OUT","1993-06-18","2026-05-02","Per=M","Days=T","Dir=V")</f>
        <v>0</v>
      </c>
      <c r="AW2">
        <f>BDH("ETON US Equity","PX_VOLUME","1993-06-18","2026-05-02","Per=M","Days=T","Dir=V")</f>
        <v>0</v>
      </c>
      <c r="AY2">
        <f>BDH("ETON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BDH("ETR US Equity","BS_TOT_ASSET","1993-06-18","2026-05-02","Per=Y","Days=T","Dir=V")</f>
        <v>0</v>
      </c>
      <c r="C2">
        <f>BDH("ETR US Equity","BS_TOT_LIAB2","1993-06-18","2026-05-02","Per=Y","Days=T","Dir=V")</f>
        <v>0</v>
      </c>
      <c r="E2">
        <f>BDH("ETR US Equity","SHORT_AND_LONG_TERM_DEBT","1993-06-18","2026-05-02","Per=Y","Days=T","Dir=V")</f>
        <v>0</v>
      </c>
      <c r="G2">
        <f>BDH("ETR US Equity","BS_ST_BORROW","1993-06-18","2026-05-02","Per=Y","Days=T","Dir=V")</f>
        <v>0</v>
      </c>
      <c r="I2">
        <f>BDH("ETR US Equity","BS_LT_BORROW","1993-06-18","2026-05-02","Per=Y","Days=T","Dir=V")</f>
        <v>0</v>
      </c>
      <c r="K2">
        <f>BDH("ETR US Equity","BS_CASH_NEAR_CASH_ITEM","1993-06-18","2026-05-02","Per=Y","Days=T","Dir=V")</f>
        <v>0</v>
      </c>
      <c r="M2">
        <f>BDH("ETR US Equity","BS_CUR_ASSET_REPORT","1993-06-18","2026-05-02","Per=Y","Days=T","Dir=V")</f>
        <v>0</v>
      </c>
      <c r="O2">
        <f>BDH("ETR US Equity","BS_CUR_LIAB","1993-06-18","2026-05-02","Per=Y","Days=T","Dir=V")</f>
        <v>0</v>
      </c>
      <c r="Q2">
        <f>BDH("ETR US Equity","BS_SHAREHOLDER_EQY_ENDING_PERIOD","1993-06-18","2026-05-02","Per=Y","Days=T","Dir=V")</f>
        <v>0</v>
      </c>
      <c r="S2">
        <f>BDH("ETR US Equity","BS_ACCT_NOTE_RCV","1993-06-18","2026-05-02","Per=Y","Days=T","Dir=V")</f>
        <v>0</v>
      </c>
      <c r="U2">
        <f>BDH("ETR US Equity","BS_INVENTORIES","1993-06-18","2026-05-02","Per=Y","Days=T","Dir=V")</f>
        <v>0</v>
      </c>
      <c r="W2">
        <f>BDH("ETR US Equity","WORKING_CAPITAL","1993-06-18","2026-05-02","Per=Y","Days=T","Dir=V")</f>
        <v>0</v>
      </c>
      <c r="Y2">
        <f>BDH("ETR US Equity","SALES_REV_TURN","1993-06-18","2026-05-02","Per=Y","Days=T","Dir=V")</f>
        <v>0</v>
      </c>
      <c r="AA2">
        <f>BDH("ETR US Equity","EBIT","1993-06-18","2026-05-02","Per=Y","Days=T","Dir=V")</f>
        <v>0</v>
      </c>
      <c r="AC2">
        <f>BDH("ETR US Equity","EBITDA","1993-06-18","2026-05-02","Per=Y","Days=T","Dir=V")</f>
        <v>0</v>
      </c>
      <c r="AE2">
        <f>BDH("ETR US Equity","NET_INCOME","1993-06-18","2026-05-02","Per=Y","Days=T","Dir=V")</f>
        <v>0</v>
      </c>
      <c r="AG2">
        <f>BDH("ETR US Equity","IS_INT_EXPENSE","1993-06-18","2026-05-02","Per=Y","Days=T","Dir=V")</f>
        <v>0</v>
      </c>
      <c r="AI2">
        <f>BDH("ETR US Equity","IS_DEPR_EXP","1993-06-18","2026-05-02","Per=Y","Days=T","Dir=V")</f>
        <v>0</v>
      </c>
      <c r="AK2">
        <f>BDH("ETR US Equity","CF_CASH_FROM_OPER","1993-06-18","2026-05-02","Per=Y","Days=T","Dir=V")</f>
        <v>0</v>
      </c>
      <c r="AM2">
        <f>BDH("ETR US Equity","CAPITAL_EXPEND","1993-06-18","2026-05-02","Per=Y","Days=T","Dir=V")</f>
        <v>0</v>
      </c>
      <c r="AO2">
        <f>BDH("ETR US Equity","CF_FREE_CASH_FLOW","1993-06-18","2026-05-02","Per=Y","Days=T","Dir=V")</f>
        <v>0</v>
      </c>
      <c r="AQ2">
        <f>BDH("ETR US Equity","PX_LAST","1993-06-18","2026-05-02","Per=M","Days=T","Dir=V")</f>
        <v>0</v>
      </c>
      <c r="AS2">
        <f>BDH("ETR US Equity","CUR_MKT_CAP","1993-06-18","2026-05-02","Per=M","Days=T","Dir=V")</f>
        <v>0</v>
      </c>
      <c r="AU2">
        <f>BDH("ETR US Equity","EQY_SH_OUT","1993-06-18","2026-05-02","Per=M","Days=T","Dir=V")</f>
        <v>0</v>
      </c>
      <c r="AW2">
        <f>BDH("ETR US Equity","PX_VOLUME","1993-06-18","2026-05-02","Per=M","Days=T","Dir=V")</f>
        <v>0</v>
      </c>
      <c r="AY2">
        <f>BDH("ETR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BDH("ETRA US Equity","BS_TOT_ASSET","1993-06-18","2026-05-02","Per=Y","Days=T","Dir=V")</f>
        <v>0</v>
      </c>
      <c r="C2">
        <f>BDH("ETRA US Equity","BS_TOT_LIAB2","1993-06-18","2026-05-02","Per=Y","Days=T","Dir=V")</f>
        <v>0</v>
      </c>
      <c r="E2">
        <f>BDH("ETRA US Equity","SHORT_AND_LONG_TERM_DEBT","1993-06-18","2026-05-02","Per=Y","Days=T","Dir=V")</f>
        <v>0</v>
      </c>
      <c r="G2">
        <f>BDH("ETRA US Equity","BS_ST_BORROW","1993-06-18","2026-05-02","Per=Y","Days=T","Dir=V")</f>
        <v>0</v>
      </c>
      <c r="I2">
        <f>BDH("ETRA US Equity","BS_LT_BORROW","1993-06-18","2026-05-02","Per=Y","Days=T","Dir=V")</f>
        <v>0</v>
      </c>
      <c r="K2">
        <f>BDH("ETRA US Equity","BS_CASH_NEAR_CASH_ITEM","1993-06-18","2026-05-02","Per=Y","Days=T","Dir=V")</f>
        <v>0</v>
      </c>
      <c r="M2">
        <f>BDH("ETRA US Equity","BS_CUR_ASSET_REPORT","1993-06-18","2026-05-02","Per=Y","Days=T","Dir=V")</f>
        <v>0</v>
      </c>
      <c r="O2">
        <f>BDH("ETRA US Equity","BS_CUR_LIAB","1993-06-18","2026-05-02","Per=Y","Days=T","Dir=V")</f>
        <v>0</v>
      </c>
      <c r="Q2">
        <f>BDH("ETRA US Equity","BS_SHAREHOLDER_EQY_ENDING_PERIOD","1993-06-18","2026-05-02","Per=Y","Days=T","Dir=V")</f>
        <v>0</v>
      </c>
      <c r="S2">
        <f>BDH("ETRA US Equity","BS_ACCT_NOTE_RCV","1993-06-18","2026-05-02","Per=Y","Days=T","Dir=V")</f>
        <v>0</v>
      </c>
      <c r="U2">
        <f>BDH("ETRA US Equity","BS_INVENTORIES","1993-06-18","2026-05-02","Per=Y","Days=T","Dir=V")</f>
        <v>0</v>
      </c>
      <c r="W2">
        <f>BDH("ETRA US Equity","WORKING_CAPITAL","1993-06-18","2026-05-02","Per=Y","Days=T","Dir=V")</f>
        <v>0</v>
      </c>
      <c r="Y2">
        <f>BDH("ETRA US Equity","SALES_REV_TURN","1993-06-18","2026-05-02","Per=Y","Days=T","Dir=V")</f>
        <v>0</v>
      </c>
      <c r="AA2">
        <f>BDH("ETRA US Equity","EBIT","1993-06-18","2026-05-02","Per=Y","Days=T","Dir=V")</f>
        <v>0</v>
      </c>
      <c r="AC2">
        <f>BDH("ETRA US Equity","EBITDA","1993-06-18","2026-05-02","Per=Y","Days=T","Dir=V")</f>
        <v>0</v>
      </c>
      <c r="AE2">
        <f>BDH("ETRA US Equity","NET_INCOME","1993-06-18","2026-05-02","Per=Y","Days=T","Dir=V")</f>
        <v>0</v>
      </c>
      <c r="AG2">
        <f>BDH("ETRA US Equity","IS_INT_EXPENSE","1993-06-18","2026-05-02","Per=Y","Days=T","Dir=V")</f>
        <v>0</v>
      </c>
      <c r="AI2">
        <f>BDH("ETRA US Equity","IS_DEPR_EXP","1993-06-18","2026-05-02","Per=Y","Days=T","Dir=V")</f>
        <v>0</v>
      </c>
      <c r="AK2">
        <f>BDH("ETRA US Equity","CF_CASH_FROM_OPER","1993-06-18","2026-05-02","Per=Y","Days=T","Dir=V")</f>
        <v>0</v>
      </c>
      <c r="AM2">
        <f>BDH("ETRA US Equity","CAPITAL_EXPEND","1993-06-18","2026-05-02","Per=Y","Days=T","Dir=V")</f>
        <v>0</v>
      </c>
      <c r="AO2">
        <f>BDH("ETRA US Equity","CF_FREE_CASH_FLOW","1993-06-18","2026-05-02","Per=Y","Days=T","Dir=V")</f>
        <v>0</v>
      </c>
      <c r="AQ2">
        <f>BDH("ETRA US Equity","PX_LAST","1993-06-18","2026-05-02","Per=M","Days=T","Dir=V")</f>
        <v>0</v>
      </c>
      <c r="AS2">
        <f>BDH("ETRA US Equity","CUR_MKT_CAP","1993-06-18","2026-05-02","Per=M","Days=T","Dir=V")</f>
        <v>0</v>
      </c>
      <c r="AU2">
        <f>BDH("ETRA US Equity","EQY_SH_OUT","1993-06-18","2026-05-02","Per=M","Days=T","Dir=V")</f>
        <v>0</v>
      </c>
      <c r="AW2">
        <f>BDH("ETRA US Equity","PX_VOLUME","1993-06-18","2026-05-02","Per=M","Days=T","Dir=V")</f>
        <v>0</v>
      </c>
      <c r="AY2">
        <f>BDH("ETRA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BDH("ETS US Equity","BS_TOT_ASSET","1993-06-18","2026-05-02","Per=Y","Days=T","Dir=V")</f>
        <v>0</v>
      </c>
      <c r="C2">
        <f>BDH("ETS US Equity","BS_TOT_LIAB2","1993-06-18","2026-05-02","Per=Y","Days=T","Dir=V")</f>
        <v>0</v>
      </c>
      <c r="E2">
        <f>BDH("ETS US Equity","SHORT_AND_LONG_TERM_DEBT","1993-06-18","2026-05-02","Per=Y","Days=T","Dir=V")</f>
        <v>0</v>
      </c>
      <c r="G2">
        <f>BDH("ETS US Equity","BS_ST_BORROW","1993-06-18","2026-05-02","Per=Y","Days=T","Dir=V")</f>
        <v>0</v>
      </c>
      <c r="I2">
        <f>BDH("ETS US Equity","BS_LT_BORROW","1993-06-18","2026-05-02","Per=Y","Days=T","Dir=V")</f>
        <v>0</v>
      </c>
      <c r="K2">
        <f>BDH("ETS US Equity","BS_CASH_NEAR_CASH_ITEM","1993-06-18","2026-05-02","Per=Y","Days=T","Dir=V")</f>
        <v>0</v>
      </c>
      <c r="M2">
        <f>BDH("ETS US Equity","BS_CUR_ASSET_REPORT","1993-06-18","2026-05-02","Per=Y","Days=T","Dir=V")</f>
        <v>0</v>
      </c>
      <c r="O2">
        <f>BDH("ETS US Equity","BS_CUR_LIAB","1993-06-18","2026-05-02","Per=Y","Days=T","Dir=V")</f>
        <v>0</v>
      </c>
      <c r="Q2">
        <f>BDH("ETS US Equity","BS_SHAREHOLDER_EQY_ENDING_PERIOD","1993-06-18","2026-05-02","Per=Y","Days=T","Dir=V")</f>
        <v>0</v>
      </c>
      <c r="S2">
        <f>BDH("ETS US Equity","BS_ACCT_NOTE_RCV","1993-06-18","2026-05-02","Per=Y","Days=T","Dir=V")</f>
        <v>0</v>
      </c>
      <c r="U2">
        <f>BDH("ETS US Equity","BS_INVENTORIES","1993-06-18","2026-05-02","Per=Y","Days=T","Dir=V")</f>
        <v>0</v>
      </c>
      <c r="W2">
        <f>BDH("ETS US Equity","WORKING_CAPITAL","1993-06-18","2026-05-02","Per=Y","Days=T","Dir=V")</f>
        <v>0</v>
      </c>
      <c r="Y2">
        <f>BDH("ETS US Equity","SALES_REV_TURN","1993-06-18","2026-05-02","Per=Y","Days=T","Dir=V")</f>
        <v>0</v>
      </c>
      <c r="AA2">
        <f>BDH("ETS US Equity","EBIT","1993-06-18","2026-05-02","Per=Y","Days=T","Dir=V")</f>
        <v>0</v>
      </c>
      <c r="AC2">
        <f>BDH("ETS US Equity","EBITDA","1993-06-18","2026-05-02","Per=Y","Days=T","Dir=V")</f>
        <v>0</v>
      </c>
      <c r="AE2">
        <f>BDH("ETS US Equity","NET_INCOME","1993-06-18","2026-05-02","Per=Y","Days=T","Dir=V")</f>
        <v>0</v>
      </c>
      <c r="AG2">
        <f>BDH("ETS US Equity","IS_INT_EXPENSE","1993-06-18","2026-05-02","Per=Y","Days=T","Dir=V")</f>
        <v>0</v>
      </c>
      <c r="AI2">
        <f>BDH("ETS US Equity","IS_DEPR_EXP","1993-06-18","2026-05-02","Per=Y","Days=T","Dir=V")</f>
        <v>0</v>
      </c>
      <c r="AK2">
        <f>BDH("ETS US Equity","CF_CASH_FROM_OPER","1993-06-18","2026-05-02","Per=Y","Days=T","Dir=V")</f>
        <v>0</v>
      </c>
      <c r="AM2">
        <f>BDH("ETS US Equity","CAPITAL_EXPEND","1993-06-18","2026-05-02","Per=Y","Days=T","Dir=V")</f>
        <v>0</v>
      </c>
      <c r="AO2">
        <f>BDH("ETS US Equity","CF_FREE_CASH_FLOW","1993-06-18","2026-05-02","Per=Y","Days=T","Dir=V")</f>
        <v>0</v>
      </c>
      <c r="AQ2">
        <f>BDH("ETS US Equity","PX_LAST","1993-06-18","2026-05-02","Per=M","Days=T","Dir=V")</f>
        <v>0</v>
      </c>
      <c r="AS2">
        <f>BDH("ETS US Equity","CUR_MKT_CAP","1993-06-18","2026-05-02","Per=M","Days=T","Dir=V")</f>
        <v>0</v>
      </c>
      <c r="AU2">
        <f>BDH("ETS US Equity","EQY_SH_OUT","1993-06-18","2026-05-02","Per=M","Days=T","Dir=V")</f>
        <v>0</v>
      </c>
      <c r="AW2">
        <f>BDH("ETS US Equity","PX_VOLUME","1993-06-18","2026-05-02","Per=M","Days=T","Dir=V")</f>
        <v>0</v>
      </c>
      <c r="AY2">
        <f>BDH("ETS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BDH("ETSY US Equity","BS_TOT_ASSET","1993-06-18","2026-05-02","Per=Y","Days=T","Dir=V")</f>
        <v>0</v>
      </c>
      <c r="C2">
        <f>BDH("ETSY US Equity","BS_TOT_LIAB2","1993-06-18","2026-05-02","Per=Y","Days=T","Dir=V")</f>
        <v>0</v>
      </c>
      <c r="E2">
        <f>BDH("ETSY US Equity","SHORT_AND_LONG_TERM_DEBT","1993-06-18","2026-05-02","Per=Y","Days=T","Dir=V")</f>
        <v>0</v>
      </c>
      <c r="G2">
        <f>BDH("ETSY US Equity","BS_ST_BORROW","1993-06-18","2026-05-02","Per=Y","Days=T","Dir=V")</f>
        <v>0</v>
      </c>
      <c r="I2">
        <f>BDH("ETSY US Equity","BS_LT_BORROW","1993-06-18","2026-05-02","Per=Y","Days=T","Dir=V")</f>
        <v>0</v>
      </c>
      <c r="K2">
        <f>BDH("ETSY US Equity","BS_CASH_NEAR_CASH_ITEM","1993-06-18","2026-05-02","Per=Y","Days=T","Dir=V")</f>
        <v>0</v>
      </c>
      <c r="M2">
        <f>BDH("ETSY US Equity","BS_CUR_ASSET_REPORT","1993-06-18","2026-05-02","Per=Y","Days=T","Dir=V")</f>
        <v>0</v>
      </c>
      <c r="O2">
        <f>BDH("ETSY US Equity","BS_CUR_LIAB","1993-06-18","2026-05-02","Per=Y","Days=T","Dir=V")</f>
        <v>0</v>
      </c>
      <c r="Q2">
        <f>BDH("ETSY US Equity","BS_SHAREHOLDER_EQY_ENDING_PERIOD","1993-06-18","2026-05-02","Per=Y","Days=T","Dir=V")</f>
        <v>0</v>
      </c>
      <c r="S2">
        <f>BDH("ETSY US Equity","BS_ACCT_NOTE_RCV","1993-06-18","2026-05-02","Per=Y","Days=T","Dir=V")</f>
        <v>0</v>
      </c>
      <c r="U2">
        <f>BDH("ETSY US Equity","BS_INVENTORIES","1993-06-18","2026-05-02","Per=Y","Days=T","Dir=V")</f>
        <v>0</v>
      </c>
      <c r="W2">
        <f>BDH("ETSY US Equity","WORKING_CAPITAL","1993-06-18","2026-05-02","Per=Y","Days=T","Dir=V")</f>
        <v>0</v>
      </c>
      <c r="Y2">
        <f>BDH("ETSY US Equity","SALES_REV_TURN","1993-06-18","2026-05-02","Per=Y","Days=T","Dir=V")</f>
        <v>0</v>
      </c>
      <c r="AA2">
        <f>BDH("ETSY US Equity","EBIT","1993-06-18","2026-05-02","Per=Y","Days=T","Dir=V")</f>
        <v>0</v>
      </c>
      <c r="AC2">
        <f>BDH("ETSY US Equity","EBITDA","1993-06-18","2026-05-02","Per=Y","Days=T","Dir=V")</f>
        <v>0</v>
      </c>
      <c r="AE2">
        <f>BDH("ETSY US Equity","NET_INCOME","1993-06-18","2026-05-02","Per=Y","Days=T","Dir=V")</f>
        <v>0</v>
      </c>
      <c r="AG2">
        <f>BDH("ETSY US Equity","IS_INT_EXPENSE","1993-06-18","2026-05-02","Per=Y","Days=T","Dir=V")</f>
        <v>0</v>
      </c>
      <c r="AI2">
        <f>BDH("ETSY US Equity","IS_DEPR_EXP","1993-06-18","2026-05-02","Per=Y","Days=T","Dir=V")</f>
        <v>0</v>
      </c>
      <c r="AK2">
        <f>BDH("ETSY US Equity","CF_CASH_FROM_OPER","1993-06-18","2026-05-02","Per=Y","Days=T","Dir=V")</f>
        <v>0</v>
      </c>
      <c r="AM2">
        <f>BDH("ETSY US Equity","CAPITAL_EXPEND","1993-06-18","2026-05-02","Per=Y","Days=T","Dir=V")</f>
        <v>0</v>
      </c>
      <c r="AO2">
        <f>BDH("ETSY US Equity","CF_FREE_CASH_FLOW","1993-06-18","2026-05-02","Per=Y","Days=T","Dir=V")</f>
        <v>0</v>
      </c>
      <c r="AQ2">
        <f>BDH("ETSY US Equity","PX_LAST","1993-06-18","2026-05-02","Per=M","Days=T","Dir=V")</f>
        <v>0</v>
      </c>
      <c r="AS2">
        <f>BDH("ETSY US Equity","CUR_MKT_CAP","1993-06-18","2026-05-02","Per=M","Days=T","Dir=V")</f>
        <v>0</v>
      </c>
      <c r="AU2">
        <f>BDH("ETSY US Equity","EQY_SH_OUT","1993-06-18","2026-05-02","Per=M","Days=T","Dir=V")</f>
        <v>0</v>
      </c>
      <c r="AW2">
        <f>BDH("ETSY US Equity","PX_VOLUME","1993-06-18","2026-05-02","Per=M","Days=T","Dir=V")</f>
        <v>0</v>
      </c>
      <c r="AY2">
        <f>BDH("ETSY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BDH("EU US Equity","BS_TOT_ASSET","1993-06-18","2026-05-02","Per=Y","Days=T","Dir=V")</f>
        <v>0</v>
      </c>
      <c r="C2">
        <f>BDH("EU US Equity","BS_TOT_LIAB2","1993-06-18","2026-05-02","Per=Y","Days=T","Dir=V")</f>
        <v>0</v>
      </c>
      <c r="E2">
        <f>BDH("EU US Equity","SHORT_AND_LONG_TERM_DEBT","1993-06-18","2026-05-02","Per=Y","Days=T","Dir=V")</f>
        <v>0</v>
      </c>
      <c r="G2">
        <f>BDH("EU US Equity","BS_ST_BORROW","1993-06-18","2026-05-02","Per=Y","Days=T","Dir=V")</f>
        <v>0</v>
      </c>
      <c r="I2">
        <f>BDH("EU US Equity","BS_LT_BORROW","1993-06-18","2026-05-02","Per=Y","Days=T","Dir=V")</f>
        <v>0</v>
      </c>
      <c r="K2">
        <f>BDH("EU US Equity","BS_CASH_NEAR_CASH_ITEM","1993-06-18","2026-05-02","Per=Y","Days=T","Dir=V")</f>
        <v>0</v>
      </c>
      <c r="M2">
        <f>BDH("EU US Equity","BS_CUR_ASSET_REPORT","1993-06-18","2026-05-02","Per=Y","Days=T","Dir=V")</f>
        <v>0</v>
      </c>
      <c r="O2">
        <f>BDH("EU US Equity","BS_CUR_LIAB","1993-06-18","2026-05-02","Per=Y","Days=T","Dir=V")</f>
        <v>0</v>
      </c>
      <c r="Q2">
        <f>BDH("EU US Equity","BS_SHAREHOLDER_EQY_ENDING_PERIOD","1993-06-18","2026-05-02","Per=Y","Days=T","Dir=V")</f>
        <v>0</v>
      </c>
      <c r="S2">
        <f>BDH("EU US Equity","BS_ACCT_NOTE_RCV","1993-06-18","2026-05-02","Per=Y","Days=T","Dir=V")</f>
        <v>0</v>
      </c>
      <c r="U2">
        <f>BDH("EU US Equity","BS_INVENTORIES","1993-06-18","2026-05-02","Per=Y","Days=T","Dir=V")</f>
        <v>0</v>
      </c>
      <c r="W2">
        <f>BDH("EU US Equity","WORKING_CAPITAL","1993-06-18","2026-05-02","Per=Y","Days=T","Dir=V")</f>
        <v>0</v>
      </c>
      <c r="Y2">
        <f>BDH("EU US Equity","SALES_REV_TURN","1993-06-18","2026-05-02","Per=Y","Days=T","Dir=V")</f>
        <v>0</v>
      </c>
      <c r="AA2">
        <f>BDH("EU US Equity","EBIT","1993-06-18","2026-05-02","Per=Y","Days=T","Dir=V")</f>
        <v>0</v>
      </c>
      <c r="AC2">
        <f>BDH("EU US Equity","EBITDA","1993-06-18","2026-05-02","Per=Y","Days=T","Dir=V")</f>
        <v>0</v>
      </c>
      <c r="AE2">
        <f>BDH("EU US Equity","NET_INCOME","1993-06-18","2026-05-02","Per=Y","Days=T","Dir=V")</f>
        <v>0</v>
      </c>
      <c r="AG2">
        <f>BDH("EU US Equity","IS_INT_EXPENSE","1993-06-18","2026-05-02","Per=Y","Days=T","Dir=V")</f>
        <v>0</v>
      </c>
      <c r="AI2">
        <f>BDH("EU US Equity","IS_DEPR_EXP","1993-06-18","2026-05-02","Per=Y","Days=T","Dir=V")</f>
        <v>0</v>
      </c>
      <c r="AK2">
        <f>BDH("EU US Equity","CF_CASH_FROM_OPER","1993-06-18","2026-05-02","Per=Y","Days=T","Dir=V")</f>
        <v>0</v>
      </c>
      <c r="AM2">
        <f>BDH("EU US Equity","CAPITAL_EXPEND","1993-06-18","2026-05-02","Per=Y","Days=T","Dir=V")</f>
        <v>0</v>
      </c>
      <c r="AO2">
        <f>BDH("EU US Equity","CF_FREE_CASH_FLOW","1993-06-18","2026-05-02","Per=Y","Days=T","Dir=V")</f>
        <v>0</v>
      </c>
      <c r="AQ2">
        <f>BDH("EU US Equity","PX_LAST","1993-06-18","2026-05-02","Per=M","Days=T","Dir=V")</f>
        <v>0</v>
      </c>
      <c r="AS2">
        <f>BDH("EU US Equity","CUR_MKT_CAP","1993-06-18","2026-05-02","Per=M","Days=T","Dir=V")</f>
        <v>0</v>
      </c>
      <c r="AU2">
        <f>BDH("EU US Equity","EQY_SH_OUT","1993-06-18","2026-05-02","Per=M","Days=T","Dir=V")</f>
        <v>0</v>
      </c>
      <c r="AW2">
        <f>BDH("EU US Equity","PX_VOLUME","1993-06-18","2026-05-02","Per=M","Days=T","Dir=V")</f>
        <v>0</v>
      </c>
      <c r="AY2">
        <f>BDH("EU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BDH("EVC US Equity","BS_TOT_ASSET","1993-06-18","2026-05-02","Per=Y","Days=T","Dir=V")</f>
        <v>0</v>
      </c>
      <c r="C2">
        <f>BDH("EVC US Equity","BS_TOT_LIAB2","1993-06-18","2026-05-02","Per=Y","Days=T","Dir=V")</f>
        <v>0</v>
      </c>
      <c r="E2">
        <f>BDH("EVC US Equity","SHORT_AND_LONG_TERM_DEBT","1993-06-18","2026-05-02","Per=Y","Days=T","Dir=V")</f>
        <v>0</v>
      </c>
      <c r="G2">
        <f>BDH("EVC US Equity","BS_ST_BORROW","1993-06-18","2026-05-02","Per=Y","Days=T","Dir=V")</f>
        <v>0</v>
      </c>
      <c r="I2">
        <f>BDH("EVC US Equity","BS_LT_BORROW","1993-06-18","2026-05-02","Per=Y","Days=T","Dir=V")</f>
        <v>0</v>
      </c>
      <c r="K2">
        <f>BDH("EVC US Equity","BS_CASH_NEAR_CASH_ITEM","1993-06-18","2026-05-02","Per=Y","Days=T","Dir=V")</f>
        <v>0</v>
      </c>
      <c r="M2">
        <f>BDH("EVC US Equity","BS_CUR_ASSET_REPORT","1993-06-18","2026-05-02","Per=Y","Days=T","Dir=V")</f>
        <v>0</v>
      </c>
      <c r="O2">
        <f>BDH("EVC US Equity","BS_CUR_LIAB","1993-06-18","2026-05-02","Per=Y","Days=T","Dir=V")</f>
        <v>0</v>
      </c>
      <c r="Q2">
        <f>BDH("EVC US Equity","BS_SHAREHOLDER_EQY_ENDING_PERIOD","1993-06-18","2026-05-02","Per=Y","Days=T","Dir=V")</f>
        <v>0</v>
      </c>
      <c r="S2">
        <f>BDH("EVC US Equity","BS_ACCT_NOTE_RCV","1993-06-18","2026-05-02","Per=Y","Days=T","Dir=V")</f>
        <v>0</v>
      </c>
      <c r="U2">
        <f>BDH("EVC US Equity","BS_INVENTORIES","1993-06-18","2026-05-02","Per=Y","Days=T","Dir=V")</f>
        <v>0</v>
      </c>
      <c r="W2">
        <f>BDH("EVC US Equity","WORKING_CAPITAL","1993-06-18","2026-05-02","Per=Y","Days=T","Dir=V")</f>
        <v>0</v>
      </c>
      <c r="Y2">
        <f>BDH("EVC US Equity","SALES_REV_TURN","1993-06-18","2026-05-02","Per=Y","Days=T","Dir=V")</f>
        <v>0</v>
      </c>
      <c r="AA2">
        <f>BDH("EVC US Equity","EBIT","1993-06-18","2026-05-02","Per=Y","Days=T","Dir=V")</f>
        <v>0</v>
      </c>
      <c r="AC2">
        <f>BDH("EVC US Equity","EBITDA","1993-06-18","2026-05-02","Per=Y","Days=T","Dir=V")</f>
        <v>0</v>
      </c>
      <c r="AE2">
        <f>BDH("EVC US Equity","NET_INCOME","1993-06-18","2026-05-02","Per=Y","Days=T","Dir=V")</f>
        <v>0</v>
      </c>
      <c r="AG2">
        <f>BDH("EVC US Equity","IS_INT_EXPENSE","1993-06-18","2026-05-02","Per=Y","Days=T","Dir=V")</f>
        <v>0</v>
      </c>
      <c r="AI2">
        <f>BDH("EVC US Equity","IS_DEPR_EXP","1993-06-18","2026-05-02","Per=Y","Days=T","Dir=V")</f>
        <v>0</v>
      </c>
      <c r="AK2">
        <f>BDH("EVC US Equity","CF_CASH_FROM_OPER","1993-06-18","2026-05-02","Per=Y","Days=T","Dir=V")</f>
        <v>0</v>
      </c>
      <c r="AM2">
        <f>BDH("EVC US Equity","CAPITAL_EXPEND","1993-06-18","2026-05-02","Per=Y","Days=T","Dir=V")</f>
        <v>0</v>
      </c>
      <c r="AO2">
        <f>BDH("EVC US Equity","CF_FREE_CASH_FLOW","1993-06-18","2026-05-02","Per=Y","Days=T","Dir=V")</f>
        <v>0</v>
      </c>
      <c r="AQ2">
        <f>BDH("EVC US Equity","PX_LAST","1993-06-18","2026-05-02","Per=M","Days=T","Dir=V")</f>
        <v>0</v>
      </c>
      <c r="AS2">
        <f>BDH("EVC US Equity","CUR_MKT_CAP","1993-06-18","2026-05-02","Per=M","Days=T","Dir=V")</f>
        <v>0</v>
      </c>
      <c r="AU2">
        <f>BDH("EVC US Equity","EQY_SH_OUT","1993-06-18","2026-05-02","Per=M","Days=T","Dir=V")</f>
        <v>0</v>
      </c>
      <c r="AW2">
        <f>BDH("EVC US Equity","PX_VOLUME","1993-06-18","2026-05-02","Per=M","Days=T","Dir=V")</f>
        <v>0</v>
      </c>
      <c r="AY2">
        <f>BDH("EVC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BDH("EVCM US Equity","BS_TOT_ASSET","1993-06-18","2026-05-02","Per=Y","Days=T","Dir=V")</f>
        <v>0</v>
      </c>
      <c r="C2">
        <f>BDH("EVCM US Equity","BS_TOT_LIAB2","1993-06-18","2026-05-02","Per=Y","Days=T","Dir=V")</f>
        <v>0</v>
      </c>
      <c r="E2">
        <f>BDH("EVCM US Equity","SHORT_AND_LONG_TERM_DEBT","1993-06-18","2026-05-02","Per=Y","Days=T","Dir=V")</f>
        <v>0</v>
      </c>
      <c r="G2">
        <f>BDH("EVCM US Equity","BS_ST_BORROW","1993-06-18","2026-05-02","Per=Y","Days=T","Dir=V")</f>
        <v>0</v>
      </c>
      <c r="I2">
        <f>BDH("EVCM US Equity","BS_LT_BORROW","1993-06-18","2026-05-02","Per=Y","Days=T","Dir=V")</f>
        <v>0</v>
      </c>
      <c r="K2">
        <f>BDH("EVCM US Equity","BS_CASH_NEAR_CASH_ITEM","1993-06-18","2026-05-02","Per=Y","Days=T","Dir=V")</f>
        <v>0</v>
      </c>
      <c r="M2">
        <f>BDH("EVCM US Equity","BS_CUR_ASSET_REPORT","1993-06-18","2026-05-02","Per=Y","Days=T","Dir=V")</f>
        <v>0</v>
      </c>
      <c r="O2">
        <f>BDH("EVCM US Equity","BS_CUR_LIAB","1993-06-18","2026-05-02","Per=Y","Days=T","Dir=V")</f>
        <v>0</v>
      </c>
      <c r="Q2">
        <f>BDH("EVCM US Equity","BS_SHAREHOLDER_EQY_ENDING_PERIOD","1993-06-18","2026-05-02","Per=Y","Days=T","Dir=V")</f>
        <v>0</v>
      </c>
      <c r="S2">
        <f>BDH("EVCM US Equity","BS_ACCT_NOTE_RCV","1993-06-18","2026-05-02","Per=Y","Days=T","Dir=V")</f>
        <v>0</v>
      </c>
      <c r="U2">
        <f>BDH("EVCM US Equity","BS_INVENTORIES","1993-06-18","2026-05-02","Per=Y","Days=T","Dir=V")</f>
        <v>0</v>
      </c>
      <c r="W2">
        <f>BDH("EVCM US Equity","WORKING_CAPITAL","1993-06-18","2026-05-02","Per=Y","Days=T","Dir=V")</f>
        <v>0</v>
      </c>
      <c r="Y2">
        <f>BDH("EVCM US Equity","SALES_REV_TURN","1993-06-18","2026-05-02","Per=Y","Days=T","Dir=V")</f>
        <v>0</v>
      </c>
      <c r="AA2">
        <f>BDH("EVCM US Equity","EBIT","1993-06-18","2026-05-02","Per=Y","Days=T","Dir=V")</f>
        <v>0</v>
      </c>
      <c r="AC2">
        <f>BDH("EVCM US Equity","EBITDA","1993-06-18","2026-05-02","Per=Y","Days=T","Dir=V")</f>
        <v>0</v>
      </c>
      <c r="AE2">
        <f>BDH("EVCM US Equity","NET_INCOME","1993-06-18","2026-05-02","Per=Y","Days=T","Dir=V")</f>
        <v>0</v>
      </c>
      <c r="AG2">
        <f>BDH("EVCM US Equity","IS_INT_EXPENSE","1993-06-18","2026-05-02","Per=Y","Days=T","Dir=V")</f>
        <v>0</v>
      </c>
      <c r="AI2">
        <f>BDH("EVCM US Equity","IS_DEPR_EXP","1993-06-18","2026-05-02","Per=Y","Days=T","Dir=V")</f>
        <v>0</v>
      </c>
      <c r="AK2">
        <f>BDH("EVCM US Equity","CF_CASH_FROM_OPER","1993-06-18","2026-05-02","Per=Y","Days=T","Dir=V")</f>
        <v>0</v>
      </c>
      <c r="AM2">
        <f>BDH("EVCM US Equity","CAPITAL_EXPEND","1993-06-18","2026-05-02","Per=Y","Days=T","Dir=V")</f>
        <v>0</v>
      </c>
      <c r="AO2">
        <f>BDH("EVCM US Equity","CF_FREE_CASH_FLOW","1993-06-18","2026-05-02","Per=Y","Days=T","Dir=V")</f>
        <v>0</v>
      </c>
      <c r="AQ2">
        <f>BDH("EVCM US Equity","PX_LAST","1993-06-18","2026-05-02","Per=M","Days=T","Dir=V")</f>
        <v>0</v>
      </c>
      <c r="AS2">
        <f>BDH("EVCM US Equity","CUR_MKT_CAP","1993-06-18","2026-05-02","Per=M","Days=T","Dir=V")</f>
        <v>0</v>
      </c>
      <c r="AU2">
        <f>BDH("EVCM US Equity","EQY_SH_OUT","1993-06-18","2026-05-02","Per=M","Days=T","Dir=V")</f>
        <v>0</v>
      </c>
      <c r="AW2">
        <f>BDH("EVCM US Equity","PX_VOLUME","1993-06-18","2026-05-02","Per=M","Days=T","Dir=V")</f>
        <v>0</v>
      </c>
      <c r="AY2">
        <f>BDH("EVCM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BDH("EVER US Equity","BS_TOT_ASSET","1993-06-18","2026-05-02","Per=Y","Days=T","Dir=V")</f>
        <v>0</v>
      </c>
      <c r="C2">
        <f>BDH("EVER US Equity","BS_TOT_LIAB2","1993-06-18","2026-05-02","Per=Y","Days=T","Dir=V")</f>
        <v>0</v>
      </c>
      <c r="E2">
        <f>BDH("EVER US Equity","SHORT_AND_LONG_TERM_DEBT","1993-06-18","2026-05-02","Per=Y","Days=T","Dir=V")</f>
        <v>0</v>
      </c>
      <c r="G2">
        <f>BDH("EVER US Equity","BS_ST_BORROW","1993-06-18","2026-05-02","Per=Y","Days=T","Dir=V")</f>
        <v>0</v>
      </c>
      <c r="I2">
        <f>BDH("EVER US Equity","BS_LT_BORROW","1993-06-18","2026-05-02","Per=Y","Days=T","Dir=V")</f>
        <v>0</v>
      </c>
      <c r="K2">
        <f>BDH("EVER US Equity","BS_CASH_NEAR_CASH_ITEM","1993-06-18","2026-05-02","Per=Y","Days=T","Dir=V")</f>
        <v>0</v>
      </c>
      <c r="M2">
        <f>BDH("EVER US Equity","BS_CUR_ASSET_REPORT","1993-06-18","2026-05-02","Per=Y","Days=T","Dir=V")</f>
        <v>0</v>
      </c>
      <c r="O2">
        <f>BDH("EVER US Equity","BS_CUR_LIAB","1993-06-18","2026-05-02","Per=Y","Days=T","Dir=V")</f>
        <v>0</v>
      </c>
      <c r="Q2">
        <f>BDH("EVER US Equity","BS_SHAREHOLDER_EQY_ENDING_PERIOD","1993-06-18","2026-05-02","Per=Y","Days=T","Dir=V")</f>
        <v>0</v>
      </c>
      <c r="S2">
        <f>BDH("EVER US Equity","BS_ACCT_NOTE_RCV","1993-06-18","2026-05-02","Per=Y","Days=T","Dir=V")</f>
        <v>0</v>
      </c>
      <c r="U2">
        <f>BDH("EVER US Equity","BS_INVENTORIES","1993-06-18","2026-05-02","Per=Y","Days=T","Dir=V")</f>
        <v>0</v>
      </c>
      <c r="W2">
        <f>BDH("EVER US Equity","WORKING_CAPITAL","1993-06-18","2026-05-02","Per=Y","Days=T","Dir=V")</f>
        <v>0</v>
      </c>
      <c r="Y2">
        <f>BDH("EVER US Equity","SALES_REV_TURN","1993-06-18","2026-05-02","Per=Y","Days=T","Dir=V")</f>
        <v>0</v>
      </c>
      <c r="AA2">
        <f>BDH("EVER US Equity","EBIT","1993-06-18","2026-05-02","Per=Y","Days=T","Dir=V")</f>
        <v>0</v>
      </c>
      <c r="AC2">
        <f>BDH("EVER US Equity","EBITDA","1993-06-18","2026-05-02","Per=Y","Days=T","Dir=V")</f>
        <v>0</v>
      </c>
      <c r="AE2">
        <f>BDH("EVER US Equity","NET_INCOME","1993-06-18","2026-05-02","Per=Y","Days=T","Dir=V")</f>
        <v>0</v>
      </c>
      <c r="AG2">
        <f>BDH("EVER US Equity","IS_INT_EXPENSE","1993-06-18","2026-05-02","Per=Y","Days=T","Dir=V")</f>
        <v>0</v>
      </c>
      <c r="AI2">
        <f>BDH("EVER US Equity","IS_DEPR_EXP","1993-06-18","2026-05-02","Per=Y","Days=T","Dir=V")</f>
        <v>0</v>
      </c>
      <c r="AK2">
        <f>BDH("EVER US Equity","CF_CASH_FROM_OPER","1993-06-18","2026-05-02","Per=Y","Days=T","Dir=V")</f>
        <v>0</v>
      </c>
      <c r="AM2">
        <f>BDH("EVER US Equity","CAPITAL_EXPEND","1993-06-18","2026-05-02","Per=Y","Days=T","Dir=V")</f>
        <v>0</v>
      </c>
      <c r="AO2">
        <f>BDH("EVER US Equity","CF_FREE_CASH_FLOW","1993-06-18","2026-05-02","Per=Y","Days=T","Dir=V")</f>
        <v>0</v>
      </c>
      <c r="AQ2">
        <f>BDH("EVER US Equity","PX_LAST","1993-06-18","2026-05-02","Per=M","Days=T","Dir=V")</f>
        <v>0</v>
      </c>
      <c r="AS2">
        <f>BDH("EVER US Equity","CUR_MKT_CAP","1993-06-18","2026-05-02","Per=M","Days=T","Dir=V")</f>
        <v>0</v>
      </c>
      <c r="AU2">
        <f>BDH("EVER US Equity","EQY_SH_OUT","1993-06-18","2026-05-02","Per=M","Days=T","Dir=V")</f>
        <v>0</v>
      </c>
      <c r="AW2">
        <f>BDH("EVER US Equity","PX_VOLUME","1993-06-18","2026-05-02","Per=M","Days=T","Dir=V")</f>
        <v>0</v>
      </c>
      <c r="AY2">
        <f>BDH("EVER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BDH("EVEX US Equity","BS_TOT_ASSET","1993-06-18","2026-05-02","Per=Y","Days=T","Dir=V")</f>
        <v>0</v>
      </c>
      <c r="C2">
        <f>BDH("EVEX US Equity","BS_TOT_LIAB2","1993-06-18","2026-05-02","Per=Y","Days=T","Dir=V")</f>
        <v>0</v>
      </c>
      <c r="E2">
        <f>BDH("EVEX US Equity","SHORT_AND_LONG_TERM_DEBT","1993-06-18","2026-05-02","Per=Y","Days=T","Dir=V")</f>
        <v>0</v>
      </c>
      <c r="G2">
        <f>BDH("EVEX US Equity","BS_ST_BORROW","1993-06-18","2026-05-02","Per=Y","Days=T","Dir=V")</f>
        <v>0</v>
      </c>
      <c r="I2">
        <f>BDH("EVEX US Equity","BS_LT_BORROW","1993-06-18","2026-05-02","Per=Y","Days=T","Dir=V")</f>
        <v>0</v>
      </c>
      <c r="K2">
        <f>BDH("EVEX US Equity","BS_CASH_NEAR_CASH_ITEM","1993-06-18","2026-05-02","Per=Y","Days=T","Dir=V")</f>
        <v>0</v>
      </c>
      <c r="M2">
        <f>BDH("EVEX US Equity","BS_CUR_ASSET_REPORT","1993-06-18","2026-05-02","Per=Y","Days=T","Dir=V")</f>
        <v>0</v>
      </c>
      <c r="O2">
        <f>BDH("EVEX US Equity","BS_CUR_LIAB","1993-06-18","2026-05-02","Per=Y","Days=T","Dir=V")</f>
        <v>0</v>
      </c>
      <c r="Q2">
        <f>BDH("EVEX US Equity","BS_SHAREHOLDER_EQY_ENDING_PERIOD","1993-06-18","2026-05-02","Per=Y","Days=T","Dir=V")</f>
        <v>0</v>
      </c>
      <c r="S2">
        <f>BDH("EVEX US Equity","BS_ACCT_NOTE_RCV","1993-06-18","2026-05-02","Per=Y","Days=T","Dir=V")</f>
        <v>0</v>
      </c>
      <c r="U2">
        <f>BDH("EVEX US Equity","BS_INVENTORIES","1993-06-18","2026-05-02","Per=Y","Days=T","Dir=V")</f>
        <v>0</v>
      </c>
      <c r="W2">
        <f>BDH("EVEX US Equity","WORKING_CAPITAL","1993-06-18","2026-05-02","Per=Y","Days=T","Dir=V")</f>
        <v>0</v>
      </c>
      <c r="Y2">
        <f>BDH("EVEX US Equity","SALES_REV_TURN","1993-06-18","2026-05-02","Per=Y","Days=T","Dir=V")</f>
        <v>0</v>
      </c>
      <c r="AA2">
        <f>BDH("EVEX US Equity","EBIT","1993-06-18","2026-05-02","Per=Y","Days=T","Dir=V")</f>
        <v>0</v>
      </c>
      <c r="AC2">
        <f>BDH("EVEX US Equity","EBITDA","1993-06-18","2026-05-02","Per=Y","Days=T","Dir=V")</f>
        <v>0</v>
      </c>
      <c r="AE2">
        <f>BDH("EVEX US Equity","NET_INCOME","1993-06-18","2026-05-02","Per=Y","Days=T","Dir=V")</f>
        <v>0</v>
      </c>
      <c r="AG2">
        <f>BDH("EVEX US Equity","IS_INT_EXPENSE","1993-06-18","2026-05-02","Per=Y","Days=T","Dir=V")</f>
        <v>0</v>
      </c>
      <c r="AI2">
        <f>BDH("EVEX US Equity","IS_DEPR_EXP","1993-06-18","2026-05-02","Per=Y","Days=T","Dir=V")</f>
        <v>0</v>
      </c>
      <c r="AK2">
        <f>BDH("EVEX US Equity","CF_CASH_FROM_OPER","1993-06-18","2026-05-02","Per=Y","Days=T","Dir=V")</f>
        <v>0</v>
      </c>
      <c r="AM2">
        <f>BDH("EVEX US Equity","CAPITAL_EXPEND","1993-06-18","2026-05-02","Per=Y","Days=T","Dir=V")</f>
        <v>0</v>
      </c>
      <c r="AO2">
        <f>BDH("EVEX US Equity","CF_FREE_CASH_FLOW","1993-06-18","2026-05-02","Per=Y","Days=T","Dir=V")</f>
        <v>0</v>
      </c>
      <c r="AQ2">
        <f>BDH("EVEX US Equity","PX_LAST","1993-06-18","2026-05-02","Per=M","Days=T","Dir=V")</f>
        <v>0</v>
      </c>
      <c r="AS2">
        <f>BDH("EVEX US Equity","CUR_MKT_CAP","1993-06-18","2026-05-02","Per=M","Days=T","Dir=V")</f>
        <v>0</v>
      </c>
      <c r="AU2">
        <f>BDH("EVEX US Equity","EQY_SH_OUT","1993-06-18","2026-05-02","Per=M","Days=T","Dir=V")</f>
        <v>0</v>
      </c>
      <c r="AW2">
        <f>BDH("EVEX US Equity","PX_VOLUME","1993-06-18","2026-05-02","Per=M","Days=T","Dir=V")</f>
        <v>0</v>
      </c>
      <c r="AY2">
        <f>BDH("EVEX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BDH("EVGO US Equity","BS_TOT_ASSET","1993-06-18","2026-05-02","Per=Y","Days=T","Dir=V")</f>
        <v>0</v>
      </c>
      <c r="C2">
        <f>BDH("EVGO US Equity","BS_TOT_LIAB2","1993-06-18","2026-05-02","Per=Y","Days=T","Dir=V")</f>
        <v>0</v>
      </c>
      <c r="E2">
        <f>BDH("EVGO US Equity","SHORT_AND_LONG_TERM_DEBT","1993-06-18","2026-05-02","Per=Y","Days=T","Dir=V")</f>
        <v>0</v>
      </c>
      <c r="G2">
        <f>BDH("EVGO US Equity","BS_ST_BORROW","1993-06-18","2026-05-02","Per=Y","Days=T","Dir=V")</f>
        <v>0</v>
      </c>
      <c r="I2">
        <f>BDH("EVGO US Equity","BS_LT_BORROW","1993-06-18","2026-05-02","Per=Y","Days=T","Dir=V")</f>
        <v>0</v>
      </c>
      <c r="K2">
        <f>BDH("EVGO US Equity","BS_CASH_NEAR_CASH_ITEM","1993-06-18","2026-05-02","Per=Y","Days=T","Dir=V")</f>
        <v>0</v>
      </c>
      <c r="M2">
        <f>BDH("EVGO US Equity","BS_CUR_ASSET_REPORT","1993-06-18","2026-05-02","Per=Y","Days=T","Dir=V")</f>
        <v>0</v>
      </c>
      <c r="O2">
        <f>BDH("EVGO US Equity","BS_CUR_LIAB","1993-06-18","2026-05-02","Per=Y","Days=T","Dir=V")</f>
        <v>0</v>
      </c>
      <c r="Q2">
        <f>BDH("EVGO US Equity","BS_SHAREHOLDER_EQY_ENDING_PERIOD","1993-06-18","2026-05-02","Per=Y","Days=T","Dir=V")</f>
        <v>0</v>
      </c>
      <c r="S2">
        <f>BDH("EVGO US Equity","BS_ACCT_NOTE_RCV","1993-06-18","2026-05-02","Per=Y","Days=T","Dir=V")</f>
        <v>0</v>
      </c>
      <c r="U2">
        <f>BDH("EVGO US Equity","BS_INVENTORIES","1993-06-18","2026-05-02","Per=Y","Days=T","Dir=V")</f>
        <v>0</v>
      </c>
      <c r="W2">
        <f>BDH("EVGO US Equity","WORKING_CAPITAL","1993-06-18","2026-05-02","Per=Y","Days=T","Dir=V")</f>
        <v>0</v>
      </c>
      <c r="Y2">
        <f>BDH("EVGO US Equity","SALES_REV_TURN","1993-06-18","2026-05-02","Per=Y","Days=T","Dir=V")</f>
        <v>0</v>
      </c>
      <c r="AA2">
        <f>BDH("EVGO US Equity","EBIT","1993-06-18","2026-05-02","Per=Y","Days=T","Dir=V")</f>
        <v>0</v>
      </c>
      <c r="AC2">
        <f>BDH("EVGO US Equity","EBITDA","1993-06-18","2026-05-02","Per=Y","Days=T","Dir=V")</f>
        <v>0</v>
      </c>
      <c r="AE2">
        <f>BDH("EVGO US Equity","NET_INCOME","1993-06-18","2026-05-02","Per=Y","Days=T","Dir=V")</f>
        <v>0</v>
      </c>
      <c r="AG2">
        <f>BDH("EVGO US Equity","IS_INT_EXPENSE","1993-06-18","2026-05-02","Per=Y","Days=T","Dir=V")</f>
        <v>0</v>
      </c>
      <c r="AI2">
        <f>BDH("EVGO US Equity","IS_DEPR_EXP","1993-06-18","2026-05-02","Per=Y","Days=T","Dir=V")</f>
        <v>0</v>
      </c>
      <c r="AK2">
        <f>BDH("EVGO US Equity","CF_CASH_FROM_OPER","1993-06-18","2026-05-02","Per=Y","Days=T","Dir=V")</f>
        <v>0</v>
      </c>
      <c r="AM2">
        <f>BDH("EVGO US Equity","CAPITAL_EXPEND","1993-06-18","2026-05-02","Per=Y","Days=T","Dir=V")</f>
        <v>0</v>
      </c>
      <c r="AO2">
        <f>BDH("EVGO US Equity","CF_FREE_CASH_FLOW","1993-06-18","2026-05-02","Per=Y","Days=T","Dir=V")</f>
        <v>0</v>
      </c>
      <c r="AQ2">
        <f>BDH("EVGO US Equity","PX_LAST","1993-06-18","2026-05-02","Per=M","Days=T","Dir=V")</f>
        <v>0</v>
      </c>
      <c r="AS2">
        <f>BDH("EVGO US Equity","CUR_MKT_CAP","1993-06-18","2026-05-02","Per=M","Days=T","Dir=V")</f>
        <v>0</v>
      </c>
      <c r="AU2">
        <f>BDH("EVGO US Equity","EQY_SH_OUT","1993-06-18","2026-05-02","Per=M","Days=T","Dir=V")</f>
        <v>0</v>
      </c>
      <c r="AW2">
        <f>BDH("EVGO US Equity","PX_VOLUME","1993-06-18","2026-05-02","Per=M","Days=T","Dir=V")</f>
        <v>0</v>
      </c>
      <c r="AY2">
        <f>BDH("EVGO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BDH("EVH US Equity","BS_TOT_ASSET","1993-06-18","2026-05-02","Per=Y","Days=T","Dir=V")</f>
        <v>0</v>
      </c>
      <c r="C2">
        <f>BDH("EVH US Equity","BS_TOT_LIAB2","1993-06-18","2026-05-02","Per=Y","Days=T","Dir=V")</f>
        <v>0</v>
      </c>
      <c r="E2">
        <f>BDH("EVH US Equity","SHORT_AND_LONG_TERM_DEBT","1993-06-18","2026-05-02","Per=Y","Days=T","Dir=V")</f>
        <v>0</v>
      </c>
      <c r="G2">
        <f>BDH("EVH US Equity","BS_ST_BORROW","1993-06-18","2026-05-02","Per=Y","Days=T","Dir=V")</f>
        <v>0</v>
      </c>
      <c r="I2">
        <f>BDH("EVH US Equity","BS_LT_BORROW","1993-06-18","2026-05-02","Per=Y","Days=T","Dir=V")</f>
        <v>0</v>
      </c>
      <c r="K2">
        <f>BDH("EVH US Equity","BS_CASH_NEAR_CASH_ITEM","1993-06-18","2026-05-02","Per=Y","Days=T","Dir=V")</f>
        <v>0</v>
      </c>
      <c r="M2">
        <f>BDH("EVH US Equity","BS_CUR_ASSET_REPORT","1993-06-18","2026-05-02","Per=Y","Days=T","Dir=V")</f>
        <v>0</v>
      </c>
      <c r="O2">
        <f>BDH("EVH US Equity","BS_CUR_LIAB","1993-06-18","2026-05-02","Per=Y","Days=T","Dir=V")</f>
        <v>0</v>
      </c>
      <c r="Q2">
        <f>BDH("EVH US Equity","BS_SHAREHOLDER_EQY_ENDING_PERIOD","1993-06-18","2026-05-02","Per=Y","Days=T","Dir=V")</f>
        <v>0</v>
      </c>
      <c r="S2">
        <f>BDH("EVH US Equity","BS_ACCT_NOTE_RCV","1993-06-18","2026-05-02","Per=Y","Days=T","Dir=V")</f>
        <v>0</v>
      </c>
      <c r="U2">
        <f>BDH("EVH US Equity","BS_INVENTORIES","1993-06-18","2026-05-02","Per=Y","Days=T","Dir=V")</f>
        <v>0</v>
      </c>
      <c r="W2">
        <f>BDH("EVH US Equity","WORKING_CAPITAL","1993-06-18","2026-05-02","Per=Y","Days=T","Dir=V")</f>
        <v>0</v>
      </c>
      <c r="Y2">
        <f>BDH("EVH US Equity","SALES_REV_TURN","1993-06-18","2026-05-02","Per=Y","Days=T","Dir=V")</f>
        <v>0</v>
      </c>
      <c r="AA2">
        <f>BDH("EVH US Equity","EBIT","1993-06-18","2026-05-02","Per=Y","Days=T","Dir=V")</f>
        <v>0</v>
      </c>
      <c r="AC2">
        <f>BDH("EVH US Equity","EBITDA","1993-06-18","2026-05-02","Per=Y","Days=T","Dir=V")</f>
        <v>0</v>
      </c>
      <c r="AE2">
        <f>BDH("EVH US Equity","NET_INCOME","1993-06-18","2026-05-02","Per=Y","Days=T","Dir=V")</f>
        <v>0</v>
      </c>
      <c r="AG2">
        <f>BDH("EVH US Equity","IS_INT_EXPENSE","1993-06-18","2026-05-02","Per=Y","Days=T","Dir=V")</f>
        <v>0</v>
      </c>
      <c r="AI2">
        <f>BDH("EVH US Equity","IS_DEPR_EXP","1993-06-18","2026-05-02","Per=Y","Days=T","Dir=V")</f>
        <v>0</v>
      </c>
      <c r="AK2">
        <f>BDH("EVH US Equity","CF_CASH_FROM_OPER","1993-06-18","2026-05-02","Per=Y","Days=T","Dir=V")</f>
        <v>0</v>
      </c>
      <c r="AM2">
        <f>BDH("EVH US Equity","CAPITAL_EXPEND","1993-06-18","2026-05-02","Per=Y","Days=T","Dir=V")</f>
        <v>0</v>
      </c>
      <c r="AO2">
        <f>BDH("EVH US Equity","CF_FREE_CASH_FLOW","1993-06-18","2026-05-02","Per=Y","Days=T","Dir=V")</f>
        <v>0</v>
      </c>
      <c r="AQ2">
        <f>BDH("EVH US Equity","PX_LAST","1993-06-18","2026-05-02","Per=M","Days=T","Dir=V")</f>
        <v>0</v>
      </c>
      <c r="AS2">
        <f>BDH("EVH US Equity","CUR_MKT_CAP","1993-06-18","2026-05-02","Per=M","Days=T","Dir=V")</f>
        <v>0</v>
      </c>
      <c r="AU2">
        <f>BDH("EVH US Equity","EQY_SH_OUT","1993-06-18","2026-05-02","Per=M","Days=T","Dir=V")</f>
        <v>0</v>
      </c>
      <c r="AW2">
        <f>BDH("EVH US Equity","PX_VOLUME","1993-06-18","2026-05-02","Per=M","Days=T","Dir=V")</f>
        <v>0</v>
      </c>
      <c r="AY2">
        <f>BDH("EVH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BDH("EVI US Equity","BS_TOT_ASSET","1993-06-18","2026-05-02","Per=Y","Days=T","Dir=V")</f>
        <v>0</v>
      </c>
      <c r="C2">
        <f>BDH("EVI US Equity","BS_TOT_LIAB2","1993-06-18","2026-05-02","Per=Y","Days=T","Dir=V")</f>
        <v>0</v>
      </c>
      <c r="E2">
        <f>BDH("EVI US Equity","SHORT_AND_LONG_TERM_DEBT","1993-06-18","2026-05-02","Per=Y","Days=T","Dir=V")</f>
        <v>0</v>
      </c>
      <c r="G2">
        <f>BDH("EVI US Equity","BS_ST_BORROW","1993-06-18","2026-05-02","Per=Y","Days=T","Dir=V")</f>
        <v>0</v>
      </c>
      <c r="I2">
        <f>BDH("EVI US Equity","BS_LT_BORROW","1993-06-18","2026-05-02","Per=Y","Days=T","Dir=V")</f>
        <v>0</v>
      </c>
      <c r="K2">
        <f>BDH("EVI US Equity","BS_CASH_NEAR_CASH_ITEM","1993-06-18","2026-05-02","Per=Y","Days=T","Dir=V")</f>
        <v>0</v>
      </c>
      <c r="M2">
        <f>BDH("EVI US Equity","BS_CUR_ASSET_REPORT","1993-06-18","2026-05-02","Per=Y","Days=T","Dir=V")</f>
        <v>0</v>
      </c>
      <c r="O2">
        <f>BDH("EVI US Equity","BS_CUR_LIAB","1993-06-18","2026-05-02","Per=Y","Days=T","Dir=V")</f>
        <v>0</v>
      </c>
      <c r="Q2">
        <f>BDH("EVI US Equity","BS_SHAREHOLDER_EQY_ENDING_PERIOD","1993-06-18","2026-05-02","Per=Y","Days=T","Dir=V")</f>
        <v>0</v>
      </c>
      <c r="S2">
        <f>BDH("EVI US Equity","BS_ACCT_NOTE_RCV","1993-06-18","2026-05-02","Per=Y","Days=T","Dir=V")</f>
        <v>0</v>
      </c>
      <c r="U2">
        <f>BDH("EVI US Equity","BS_INVENTORIES","1993-06-18","2026-05-02","Per=Y","Days=T","Dir=V")</f>
        <v>0</v>
      </c>
      <c r="W2">
        <f>BDH("EVI US Equity","WORKING_CAPITAL","1993-06-18","2026-05-02","Per=Y","Days=T","Dir=V")</f>
        <v>0</v>
      </c>
      <c r="Y2">
        <f>BDH("EVI US Equity","SALES_REV_TURN","1993-06-18","2026-05-02","Per=Y","Days=T","Dir=V")</f>
        <v>0</v>
      </c>
      <c r="AA2">
        <f>BDH("EVI US Equity","EBIT","1993-06-18","2026-05-02","Per=Y","Days=T","Dir=V")</f>
        <v>0</v>
      </c>
      <c r="AC2">
        <f>BDH("EVI US Equity","EBITDA","1993-06-18","2026-05-02","Per=Y","Days=T","Dir=V")</f>
        <v>0</v>
      </c>
      <c r="AE2">
        <f>BDH("EVI US Equity","NET_INCOME","1993-06-18","2026-05-02","Per=Y","Days=T","Dir=V")</f>
        <v>0</v>
      </c>
      <c r="AG2">
        <f>BDH("EVI US Equity","IS_INT_EXPENSE","1993-06-18","2026-05-02","Per=Y","Days=T","Dir=V")</f>
        <v>0</v>
      </c>
      <c r="AI2">
        <f>BDH("EVI US Equity","IS_DEPR_EXP","1993-06-18","2026-05-02","Per=Y","Days=T","Dir=V")</f>
        <v>0</v>
      </c>
      <c r="AK2">
        <f>BDH("EVI US Equity","CF_CASH_FROM_OPER","1993-06-18","2026-05-02","Per=Y","Days=T","Dir=V")</f>
        <v>0</v>
      </c>
      <c r="AM2">
        <f>BDH("EVI US Equity","CAPITAL_EXPEND","1993-06-18","2026-05-02","Per=Y","Days=T","Dir=V")</f>
        <v>0</v>
      </c>
      <c r="AO2">
        <f>BDH("EVI US Equity","CF_FREE_CASH_FLOW","1993-06-18","2026-05-02","Per=Y","Days=T","Dir=V")</f>
        <v>0</v>
      </c>
      <c r="AQ2">
        <f>BDH("EVI US Equity","PX_LAST","1993-06-18","2026-05-02","Per=M","Days=T","Dir=V")</f>
        <v>0</v>
      </c>
      <c r="AS2">
        <f>BDH("EVI US Equity","CUR_MKT_CAP","1993-06-18","2026-05-02","Per=M","Days=T","Dir=V")</f>
        <v>0</v>
      </c>
      <c r="AU2">
        <f>BDH("EVI US Equity","EQY_SH_OUT","1993-06-18","2026-05-02","Per=M","Days=T","Dir=V")</f>
        <v>0</v>
      </c>
      <c r="AW2">
        <f>BDH("EVI US Equity","PX_VOLUME","1993-06-18","2026-05-02","Per=M","Days=T","Dir=V")</f>
        <v>0</v>
      </c>
      <c r="AY2">
        <f>BDH("EVI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BDH("EVLV US Equity","BS_TOT_ASSET","1993-06-18","2026-05-02","Per=Y","Days=T","Dir=V")</f>
        <v>0</v>
      </c>
      <c r="C2">
        <f>BDH("EVLV US Equity","BS_TOT_LIAB2","1993-06-18","2026-05-02","Per=Y","Days=T","Dir=V")</f>
        <v>0</v>
      </c>
      <c r="E2">
        <f>BDH("EVLV US Equity","SHORT_AND_LONG_TERM_DEBT","1993-06-18","2026-05-02","Per=Y","Days=T","Dir=V")</f>
        <v>0</v>
      </c>
      <c r="G2">
        <f>BDH("EVLV US Equity","BS_ST_BORROW","1993-06-18","2026-05-02","Per=Y","Days=T","Dir=V")</f>
        <v>0</v>
      </c>
      <c r="I2">
        <f>BDH("EVLV US Equity","BS_LT_BORROW","1993-06-18","2026-05-02","Per=Y","Days=T","Dir=V")</f>
        <v>0</v>
      </c>
      <c r="K2">
        <f>BDH("EVLV US Equity","BS_CASH_NEAR_CASH_ITEM","1993-06-18","2026-05-02","Per=Y","Days=T","Dir=V")</f>
        <v>0</v>
      </c>
      <c r="M2">
        <f>BDH("EVLV US Equity","BS_CUR_ASSET_REPORT","1993-06-18","2026-05-02","Per=Y","Days=T","Dir=V")</f>
        <v>0</v>
      </c>
      <c r="O2">
        <f>BDH("EVLV US Equity","BS_CUR_LIAB","1993-06-18","2026-05-02","Per=Y","Days=T","Dir=V")</f>
        <v>0</v>
      </c>
      <c r="Q2">
        <f>BDH("EVLV US Equity","BS_SHAREHOLDER_EQY_ENDING_PERIOD","1993-06-18","2026-05-02","Per=Y","Days=T","Dir=V")</f>
        <v>0</v>
      </c>
      <c r="S2">
        <f>BDH("EVLV US Equity","BS_ACCT_NOTE_RCV","1993-06-18","2026-05-02","Per=Y","Days=T","Dir=V")</f>
        <v>0</v>
      </c>
      <c r="U2">
        <f>BDH("EVLV US Equity","BS_INVENTORIES","1993-06-18","2026-05-02","Per=Y","Days=T","Dir=V")</f>
        <v>0</v>
      </c>
      <c r="W2">
        <f>BDH("EVLV US Equity","WORKING_CAPITAL","1993-06-18","2026-05-02","Per=Y","Days=T","Dir=V")</f>
        <v>0</v>
      </c>
      <c r="Y2">
        <f>BDH("EVLV US Equity","SALES_REV_TURN","1993-06-18","2026-05-02","Per=Y","Days=T","Dir=V")</f>
        <v>0</v>
      </c>
      <c r="AA2">
        <f>BDH("EVLV US Equity","EBIT","1993-06-18","2026-05-02","Per=Y","Days=T","Dir=V")</f>
        <v>0</v>
      </c>
      <c r="AC2">
        <f>BDH("EVLV US Equity","EBITDA","1993-06-18","2026-05-02","Per=Y","Days=T","Dir=V")</f>
        <v>0</v>
      </c>
      <c r="AE2">
        <f>BDH("EVLV US Equity","NET_INCOME","1993-06-18","2026-05-02","Per=Y","Days=T","Dir=V")</f>
        <v>0</v>
      </c>
      <c r="AG2">
        <f>BDH("EVLV US Equity","IS_INT_EXPENSE","1993-06-18","2026-05-02","Per=Y","Days=T","Dir=V")</f>
        <v>0</v>
      </c>
      <c r="AI2">
        <f>BDH("EVLV US Equity","IS_DEPR_EXP","1993-06-18","2026-05-02","Per=Y","Days=T","Dir=V")</f>
        <v>0</v>
      </c>
      <c r="AK2">
        <f>BDH("EVLV US Equity","CF_CASH_FROM_OPER","1993-06-18","2026-05-02","Per=Y","Days=T","Dir=V")</f>
        <v>0</v>
      </c>
      <c r="AM2">
        <f>BDH("EVLV US Equity","CAPITAL_EXPEND","1993-06-18","2026-05-02","Per=Y","Days=T","Dir=V")</f>
        <v>0</v>
      </c>
      <c r="AO2">
        <f>BDH("EVLV US Equity","CF_FREE_CASH_FLOW","1993-06-18","2026-05-02","Per=Y","Days=T","Dir=V")</f>
        <v>0</v>
      </c>
      <c r="AQ2">
        <f>BDH("EVLV US Equity","PX_LAST","1993-06-18","2026-05-02","Per=M","Days=T","Dir=V")</f>
        <v>0</v>
      </c>
      <c r="AS2">
        <f>BDH("EVLV US Equity","CUR_MKT_CAP","1993-06-18","2026-05-02","Per=M","Days=T","Dir=V")</f>
        <v>0</v>
      </c>
      <c r="AU2">
        <f>BDH("EVLV US Equity","EQY_SH_OUT","1993-06-18","2026-05-02","Per=M","Days=T","Dir=V")</f>
        <v>0</v>
      </c>
      <c r="AW2">
        <f>BDH("EVLV US Equity","PX_VOLUME","1993-06-18","2026-05-02","Per=M","Days=T","Dir=V")</f>
        <v>0</v>
      </c>
      <c r="AY2">
        <f>BDH("EVLV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BDH("EVMN US Equity","BS_TOT_ASSET","1993-06-18","2026-05-02","Per=Y","Days=T","Dir=V")</f>
        <v>0</v>
      </c>
      <c r="C2">
        <f>BDH("EVMN US Equity","BS_TOT_LIAB2","1993-06-18","2026-05-02","Per=Y","Days=T","Dir=V")</f>
        <v>0</v>
      </c>
      <c r="E2">
        <f>BDH("EVMN US Equity","SHORT_AND_LONG_TERM_DEBT","1993-06-18","2026-05-02","Per=Y","Days=T","Dir=V")</f>
        <v>0</v>
      </c>
      <c r="G2">
        <f>BDH("EVMN US Equity","BS_ST_BORROW","1993-06-18","2026-05-02","Per=Y","Days=T","Dir=V")</f>
        <v>0</v>
      </c>
      <c r="I2">
        <f>BDH("EVMN US Equity","BS_LT_BORROW","1993-06-18","2026-05-02","Per=Y","Days=T","Dir=V")</f>
        <v>0</v>
      </c>
      <c r="K2">
        <f>BDH("EVMN US Equity","BS_CASH_NEAR_CASH_ITEM","1993-06-18","2026-05-02","Per=Y","Days=T","Dir=V")</f>
        <v>0</v>
      </c>
      <c r="M2">
        <f>BDH("EVMN US Equity","BS_CUR_ASSET_REPORT","1993-06-18","2026-05-02","Per=Y","Days=T","Dir=V")</f>
        <v>0</v>
      </c>
      <c r="O2">
        <f>BDH("EVMN US Equity","BS_CUR_LIAB","1993-06-18","2026-05-02","Per=Y","Days=T","Dir=V")</f>
        <v>0</v>
      </c>
      <c r="Q2">
        <f>BDH("EVMN US Equity","BS_SHAREHOLDER_EQY_ENDING_PERIOD","1993-06-18","2026-05-02","Per=Y","Days=T","Dir=V")</f>
        <v>0</v>
      </c>
      <c r="S2">
        <f>BDH("EVMN US Equity","BS_ACCT_NOTE_RCV","1993-06-18","2026-05-02","Per=Y","Days=T","Dir=V")</f>
        <v>0</v>
      </c>
      <c r="U2">
        <f>BDH("EVMN US Equity","BS_INVENTORIES","1993-06-18","2026-05-02","Per=Y","Days=T","Dir=V")</f>
        <v>0</v>
      </c>
      <c r="W2">
        <f>BDH("EVMN US Equity","WORKING_CAPITAL","1993-06-18","2026-05-02","Per=Y","Days=T","Dir=V")</f>
        <v>0</v>
      </c>
      <c r="Y2">
        <f>BDH("EVMN US Equity","SALES_REV_TURN","1993-06-18","2026-05-02","Per=Y","Days=T","Dir=V")</f>
        <v>0</v>
      </c>
      <c r="AA2">
        <f>BDH("EVMN US Equity","EBIT","1993-06-18","2026-05-02","Per=Y","Days=T","Dir=V")</f>
        <v>0</v>
      </c>
      <c r="AC2">
        <f>BDH("EVMN US Equity","EBITDA","1993-06-18","2026-05-02","Per=Y","Days=T","Dir=V")</f>
        <v>0</v>
      </c>
      <c r="AE2">
        <f>BDH("EVMN US Equity","NET_INCOME","1993-06-18","2026-05-02","Per=Y","Days=T","Dir=V")</f>
        <v>0</v>
      </c>
      <c r="AG2">
        <f>BDH("EVMN US Equity","IS_INT_EXPENSE","1993-06-18","2026-05-02","Per=Y","Days=T","Dir=V")</f>
        <v>0</v>
      </c>
      <c r="AI2">
        <f>BDH("EVMN US Equity","IS_DEPR_EXP","1993-06-18","2026-05-02","Per=Y","Days=T","Dir=V")</f>
        <v>0</v>
      </c>
      <c r="AK2">
        <f>BDH("EVMN US Equity","CF_CASH_FROM_OPER","1993-06-18","2026-05-02","Per=Y","Days=T","Dir=V")</f>
        <v>0</v>
      </c>
      <c r="AM2">
        <f>BDH("EVMN US Equity","CAPITAL_EXPEND","1993-06-18","2026-05-02","Per=Y","Days=T","Dir=V")</f>
        <v>0</v>
      </c>
      <c r="AO2">
        <f>BDH("EVMN US Equity","CF_FREE_CASH_FLOW","1993-06-18","2026-05-02","Per=Y","Days=T","Dir=V")</f>
        <v>0</v>
      </c>
      <c r="AQ2">
        <f>BDH("EVMN US Equity","PX_LAST","1993-06-18","2026-05-02","Per=M","Days=T","Dir=V")</f>
        <v>0</v>
      </c>
      <c r="AS2">
        <f>BDH("EVMN US Equity","CUR_MKT_CAP","1993-06-18","2026-05-02","Per=M","Days=T","Dir=V")</f>
        <v>0</v>
      </c>
      <c r="AU2">
        <f>BDH("EVMN US Equity","EQY_SH_OUT","1993-06-18","2026-05-02","Per=M","Days=T","Dir=V")</f>
        <v>0</v>
      </c>
      <c r="AW2">
        <f>BDH("EVMN US Equity","PX_VOLUME","1993-06-18","2026-05-02","Per=M","Days=T","Dir=V")</f>
        <v>0</v>
      </c>
      <c r="AY2">
        <f>BDH("EVMN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BDH("EVRG US Equity","BS_TOT_ASSET","1993-06-18","2026-05-02","Per=Y","Days=T","Dir=V")</f>
        <v>0</v>
      </c>
      <c r="C2">
        <f>BDH("EVRG US Equity","BS_TOT_LIAB2","1993-06-18","2026-05-02","Per=Y","Days=T","Dir=V")</f>
        <v>0</v>
      </c>
      <c r="E2">
        <f>BDH("EVRG US Equity","SHORT_AND_LONG_TERM_DEBT","1993-06-18","2026-05-02","Per=Y","Days=T","Dir=V")</f>
        <v>0</v>
      </c>
      <c r="G2">
        <f>BDH("EVRG US Equity","BS_ST_BORROW","1993-06-18","2026-05-02","Per=Y","Days=T","Dir=V")</f>
        <v>0</v>
      </c>
      <c r="I2">
        <f>BDH("EVRG US Equity","BS_LT_BORROW","1993-06-18","2026-05-02","Per=Y","Days=T","Dir=V")</f>
        <v>0</v>
      </c>
      <c r="K2">
        <f>BDH("EVRG US Equity","BS_CASH_NEAR_CASH_ITEM","1993-06-18","2026-05-02","Per=Y","Days=T","Dir=V")</f>
        <v>0</v>
      </c>
      <c r="M2">
        <f>BDH("EVRG US Equity","BS_CUR_ASSET_REPORT","1993-06-18","2026-05-02","Per=Y","Days=T","Dir=V")</f>
        <v>0</v>
      </c>
      <c r="O2">
        <f>BDH("EVRG US Equity","BS_CUR_LIAB","1993-06-18","2026-05-02","Per=Y","Days=T","Dir=V")</f>
        <v>0</v>
      </c>
      <c r="Q2">
        <f>BDH("EVRG US Equity","BS_SHAREHOLDER_EQY_ENDING_PERIOD","1993-06-18","2026-05-02","Per=Y","Days=T","Dir=V")</f>
        <v>0</v>
      </c>
      <c r="S2">
        <f>BDH("EVRG US Equity","BS_ACCT_NOTE_RCV","1993-06-18","2026-05-02","Per=Y","Days=T","Dir=V")</f>
        <v>0</v>
      </c>
      <c r="U2">
        <f>BDH("EVRG US Equity","BS_INVENTORIES","1993-06-18","2026-05-02","Per=Y","Days=T","Dir=V")</f>
        <v>0</v>
      </c>
      <c r="W2">
        <f>BDH("EVRG US Equity","WORKING_CAPITAL","1993-06-18","2026-05-02","Per=Y","Days=T","Dir=V")</f>
        <v>0</v>
      </c>
      <c r="Y2">
        <f>BDH("EVRG US Equity","SALES_REV_TURN","1993-06-18","2026-05-02","Per=Y","Days=T","Dir=V")</f>
        <v>0</v>
      </c>
      <c r="AA2">
        <f>BDH("EVRG US Equity","EBIT","1993-06-18","2026-05-02","Per=Y","Days=T","Dir=V")</f>
        <v>0</v>
      </c>
      <c r="AC2">
        <f>BDH("EVRG US Equity","EBITDA","1993-06-18","2026-05-02","Per=Y","Days=T","Dir=V")</f>
        <v>0</v>
      </c>
      <c r="AE2">
        <f>BDH("EVRG US Equity","NET_INCOME","1993-06-18","2026-05-02","Per=Y","Days=T","Dir=V")</f>
        <v>0</v>
      </c>
      <c r="AG2">
        <f>BDH("EVRG US Equity","IS_INT_EXPENSE","1993-06-18","2026-05-02","Per=Y","Days=T","Dir=V")</f>
        <v>0</v>
      </c>
      <c r="AI2">
        <f>BDH("EVRG US Equity","IS_DEPR_EXP","1993-06-18","2026-05-02","Per=Y","Days=T","Dir=V")</f>
        <v>0</v>
      </c>
      <c r="AK2">
        <f>BDH("EVRG US Equity","CF_CASH_FROM_OPER","1993-06-18","2026-05-02","Per=Y","Days=T","Dir=V")</f>
        <v>0</v>
      </c>
      <c r="AM2">
        <f>BDH("EVRG US Equity","CAPITAL_EXPEND","1993-06-18","2026-05-02","Per=Y","Days=T","Dir=V")</f>
        <v>0</v>
      </c>
      <c r="AO2">
        <f>BDH("EVRG US Equity","CF_FREE_CASH_FLOW","1993-06-18","2026-05-02","Per=Y","Days=T","Dir=V")</f>
        <v>0</v>
      </c>
      <c r="AQ2">
        <f>BDH("EVRG US Equity","PX_LAST","1993-06-18","2026-05-02","Per=M","Days=T","Dir=V")</f>
        <v>0</v>
      </c>
      <c r="AS2">
        <f>BDH("EVRG US Equity","CUR_MKT_CAP","1993-06-18","2026-05-02","Per=M","Days=T","Dir=V")</f>
        <v>0</v>
      </c>
      <c r="AU2">
        <f>BDH("EVRG US Equity","EQY_SH_OUT","1993-06-18","2026-05-02","Per=M","Days=T","Dir=V")</f>
        <v>0</v>
      </c>
      <c r="AW2">
        <f>BDH("EVRG US Equity","PX_VOLUME","1993-06-18","2026-05-02","Per=M","Days=T","Dir=V")</f>
        <v>0</v>
      </c>
      <c r="AY2">
        <f>BDH("EVRG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BDH("EW US Equity","BS_TOT_ASSET","1993-06-18","2026-05-02","Per=Y","Days=T","Dir=V")</f>
        <v>0</v>
      </c>
      <c r="C2">
        <f>BDH("EW US Equity","BS_TOT_LIAB2","1993-06-18","2026-05-02","Per=Y","Days=T","Dir=V")</f>
        <v>0</v>
      </c>
      <c r="E2">
        <f>BDH("EW US Equity","SHORT_AND_LONG_TERM_DEBT","1993-06-18","2026-05-02","Per=Y","Days=T","Dir=V")</f>
        <v>0</v>
      </c>
      <c r="G2">
        <f>BDH("EW US Equity","BS_ST_BORROW","1993-06-18","2026-05-02","Per=Y","Days=T","Dir=V")</f>
        <v>0</v>
      </c>
      <c r="I2">
        <f>BDH("EW US Equity","BS_LT_BORROW","1993-06-18","2026-05-02","Per=Y","Days=T","Dir=V")</f>
        <v>0</v>
      </c>
      <c r="K2">
        <f>BDH("EW US Equity","BS_CASH_NEAR_CASH_ITEM","1993-06-18","2026-05-02","Per=Y","Days=T","Dir=V")</f>
        <v>0</v>
      </c>
      <c r="M2">
        <f>BDH("EW US Equity","BS_CUR_ASSET_REPORT","1993-06-18","2026-05-02","Per=Y","Days=T","Dir=V")</f>
        <v>0</v>
      </c>
      <c r="O2">
        <f>BDH("EW US Equity","BS_CUR_LIAB","1993-06-18","2026-05-02","Per=Y","Days=T","Dir=V")</f>
        <v>0</v>
      </c>
      <c r="Q2">
        <f>BDH("EW US Equity","BS_SHAREHOLDER_EQY_ENDING_PERIOD","1993-06-18","2026-05-02","Per=Y","Days=T","Dir=V")</f>
        <v>0</v>
      </c>
      <c r="S2">
        <f>BDH("EW US Equity","BS_ACCT_NOTE_RCV","1993-06-18","2026-05-02","Per=Y","Days=T","Dir=V")</f>
        <v>0</v>
      </c>
      <c r="U2">
        <f>BDH("EW US Equity","BS_INVENTORIES","1993-06-18","2026-05-02","Per=Y","Days=T","Dir=V")</f>
        <v>0</v>
      </c>
      <c r="W2">
        <f>BDH("EW US Equity","WORKING_CAPITAL","1993-06-18","2026-05-02","Per=Y","Days=T","Dir=V")</f>
        <v>0</v>
      </c>
      <c r="Y2">
        <f>BDH("EW US Equity","SALES_REV_TURN","1993-06-18","2026-05-02","Per=Y","Days=T","Dir=V")</f>
        <v>0</v>
      </c>
      <c r="AA2">
        <f>BDH("EW US Equity","EBIT","1993-06-18","2026-05-02","Per=Y","Days=T","Dir=V")</f>
        <v>0</v>
      </c>
      <c r="AC2">
        <f>BDH("EW US Equity","EBITDA","1993-06-18","2026-05-02","Per=Y","Days=T","Dir=V")</f>
        <v>0</v>
      </c>
      <c r="AE2">
        <f>BDH("EW US Equity","NET_INCOME","1993-06-18","2026-05-02","Per=Y","Days=T","Dir=V")</f>
        <v>0</v>
      </c>
      <c r="AG2">
        <f>BDH("EW US Equity","IS_INT_EXPENSE","1993-06-18","2026-05-02","Per=Y","Days=T","Dir=V")</f>
        <v>0</v>
      </c>
      <c r="AI2">
        <f>BDH("EW US Equity","IS_DEPR_EXP","1993-06-18","2026-05-02","Per=Y","Days=T","Dir=V")</f>
        <v>0</v>
      </c>
      <c r="AK2">
        <f>BDH("EW US Equity","CF_CASH_FROM_OPER","1993-06-18","2026-05-02","Per=Y","Days=T","Dir=V")</f>
        <v>0</v>
      </c>
      <c r="AM2">
        <f>BDH("EW US Equity","CAPITAL_EXPEND","1993-06-18","2026-05-02","Per=Y","Days=T","Dir=V")</f>
        <v>0</v>
      </c>
      <c r="AO2">
        <f>BDH("EW US Equity","CF_FREE_CASH_FLOW","1993-06-18","2026-05-02","Per=Y","Days=T","Dir=V")</f>
        <v>0</v>
      </c>
      <c r="AQ2">
        <f>BDH("EW US Equity","PX_LAST","1993-06-18","2026-05-02","Per=M","Days=T","Dir=V")</f>
        <v>0</v>
      </c>
      <c r="AS2">
        <f>BDH("EW US Equity","CUR_MKT_CAP","1993-06-18","2026-05-02","Per=M","Days=T","Dir=V")</f>
        <v>0</v>
      </c>
      <c r="AU2">
        <f>BDH("EW US Equity","EQY_SH_OUT","1993-06-18","2026-05-02","Per=M","Days=T","Dir=V")</f>
        <v>0</v>
      </c>
      <c r="AW2">
        <f>BDH("EW US Equity","PX_VOLUME","1993-06-18","2026-05-02","Per=M","Days=T","Dir=V")</f>
        <v>0</v>
      </c>
      <c r="AY2">
        <f>BDH("EW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BDH("EWTX US Equity","BS_TOT_ASSET","1993-06-18","2026-05-02","Per=Y","Days=T","Dir=V")</f>
        <v>0</v>
      </c>
      <c r="C2">
        <f>BDH("EWTX US Equity","BS_TOT_LIAB2","1993-06-18","2026-05-02","Per=Y","Days=T","Dir=V")</f>
        <v>0</v>
      </c>
      <c r="E2">
        <f>BDH("EWTX US Equity","SHORT_AND_LONG_TERM_DEBT","1993-06-18","2026-05-02","Per=Y","Days=T","Dir=V")</f>
        <v>0</v>
      </c>
      <c r="G2">
        <f>BDH("EWTX US Equity","BS_ST_BORROW","1993-06-18","2026-05-02","Per=Y","Days=T","Dir=V")</f>
        <v>0</v>
      </c>
      <c r="I2">
        <f>BDH("EWTX US Equity","BS_LT_BORROW","1993-06-18","2026-05-02","Per=Y","Days=T","Dir=V")</f>
        <v>0</v>
      </c>
      <c r="K2">
        <f>BDH("EWTX US Equity","BS_CASH_NEAR_CASH_ITEM","1993-06-18","2026-05-02","Per=Y","Days=T","Dir=V")</f>
        <v>0</v>
      </c>
      <c r="M2">
        <f>BDH("EWTX US Equity","BS_CUR_ASSET_REPORT","1993-06-18","2026-05-02","Per=Y","Days=T","Dir=V")</f>
        <v>0</v>
      </c>
      <c r="O2">
        <f>BDH("EWTX US Equity","BS_CUR_LIAB","1993-06-18","2026-05-02","Per=Y","Days=T","Dir=V")</f>
        <v>0</v>
      </c>
      <c r="Q2">
        <f>BDH("EWTX US Equity","BS_SHAREHOLDER_EQY_ENDING_PERIOD","1993-06-18","2026-05-02","Per=Y","Days=T","Dir=V")</f>
        <v>0</v>
      </c>
      <c r="S2">
        <f>BDH("EWTX US Equity","BS_ACCT_NOTE_RCV","1993-06-18","2026-05-02","Per=Y","Days=T","Dir=V")</f>
        <v>0</v>
      </c>
      <c r="U2">
        <f>BDH("EWTX US Equity","BS_INVENTORIES","1993-06-18","2026-05-02","Per=Y","Days=T","Dir=V")</f>
        <v>0</v>
      </c>
      <c r="W2">
        <f>BDH("EWTX US Equity","WORKING_CAPITAL","1993-06-18","2026-05-02","Per=Y","Days=T","Dir=V")</f>
        <v>0</v>
      </c>
      <c r="Y2">
        <f>BDH("EWTX US Equity","SALES_REV_TURN","1993-06-18","2026-05-02","Per=Y","Days=T","Dir=V")</f>
        <v>0</v>
      </c>
      <c r="AA2">
        <f>BDH("EWTX US Equity","EBIT","1993-06-18","2026-05-02","Per=Y","Days=T","Dir=V")</f>
        <v>0</v>
      </c>
      <c r="AC2">
        <f>BDH("EWTX US Equity","EBITDA","1993-06-18","2026-05-02","Per=Y","Days=T","Dir=V")</f>
        <v>0</v>
      </c>
      <c r="AE2">
        <f>BDH("EWTX US Equity","NET_INCOME","1993-06-18","2026-05-02","Per=Y","Days=T","Dir=V")</f>
        <v>0</v>
      </c>
      <c r="AG2">
        <f>BDH("EWTX US Equity","IS_INT_EXPENSE","1993-06-18","2026-05-02","Per=Y","Days=T","Dir=V")</f>
        <v>0</v>
      </c>
      <c r="AI2">
        <f>BDH("EWTX US Equity","IS_DEPR_EXP","1993-06-18","2026-05-02","Per=Y","Days=T","Dir=V")</f>
        <v>0</v>
      </c>
      <c r="AK2">
        <f>BDH("EWTX US Equity","CF_CASH_FROM_OPER","1993-06-18","2026-05-02","Per=Y","Days=T","Dir=V")</f>
        <v>0</v>
      </c>
      <c r="AM2">
        <f>BDH("EWTX US Equity","CAPITAL_EXPEND","1993-06-18","2026-05-02","Per=Y","Days=T","Dir=V")</f>
        <v>0</v>
      </c>
      <c r="AO2">
        <f>BDH("EWTX US Equity","CF_FREE_CASH_FLOW","1993-06-18","2026-05-02","Per=Y","Days=T","Dir=V")</f>
        <v>0</v>
      </c>
      <c r="AQ2">
        <f>BDH("EWTX US Equity","PX_LAST","1993-06-18","2026-05-02","Per=M","Days=T","Dir=V")</f>
        <v>0</v>
      </c>
      <c r="AS2">
        <f>BDH("EWTX US Equity","CUR_MKT_CAP","1993-06-18","2026-05-02","Per=M","Days=T","Dir=V")</f>
        <v>0</v>
      </c>
      <c r="AU2">
        <f>BDH("EWTX US Equity","EQY_SH_OUT","1993-06-18","2026-05-02","Per=M","Days=T","Dir=V")</f>
        <v>0</v>
      </c>
      <c r="AW2">
        <f>BDH("EWTX US Equity","PX_VOLUME","1993-06-18","2026-05-02","Per=M","Days=T","Dir=V")</f>
        <v>0</v>
      </c>
      <c r="AY2">
        <f>BDH("EWTX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1103</v>
      </c>
      <c r="B1" t="s">
        <v>1104</v>
      </c>
      <c r="C1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t="s">
        <v>1113</v>
      </c>
      <c r="L1" t="s">
        <v>1114</v>
      </c>
      <c r="M1" t="s">
        <v>1115</v>
      </c>
      <c r="N1" t="s">
        <v>1116</v>
      </c>
      <c r="O1" t="s">
        <v>1117</v>
      </c>
      <c r="P1" t="s">
        <v>1118</v>
      </c>
      <c r="Q1" t="s">
        <v>1119</v>
      </c>
      <c r="R1" t="s">
        <v>1120</v>
      </c>
      <c r="S1" t="s">
        <v>1121</v>
      </c>
      <c r="T1" t="s">
        <v>1122</v>
      </c>
      <c r="U1" t="s">
        <v>1123</v>
      </c>
      <c r="V1" t="s">
        <v>1124</v>
      </c>
      <c r="W1" t="s">
        <v>1125</v>
      </c>
      <c r="X1" t="s">
        <v>1126</v>
      </c>
      <c r="Y1" t="s">
        <v>1127</v>
      </c>
      <c r="Z1" t="s">
        <v>1128</v>
      </c>
      <c r="AA1" t="s">
        <v>1129</v>
      </c>
      <c r="AB1" t="s">
        <v>1130</v>
      </c>
      <c r="AC1" t="s">
        <v>1131</v>
      </c>
      <c r="AD1" t="s">
        <v>1132</v>
      </c>
      <c r="AE1" t="s">
        <v>1133</v>
      </c>
      <c r="AF1" t="s">
        <v>1134</v>
      </c>
      <c r="AG1" t="s">
        <v>1135</v>
      </c>
      <c r="AH1" t="s">
        <v>1136</v>
      </c>
      <c r="AI1" t="s">
        <v>1137</v>
      </c>
      <c r="AJ1" t="s">
        <v>1138</v>
      </c>
      <c r="AK1" t="s">
        <v>1139</v>
      </c>
      <c r="AL1" t="s">
        <v>1140</v>
      </c>
      <c r="AM1" t="s">
        <v>1141</v>
      </c>
      <c r="AN1" t="s">
        <v>1142</v>
      </c>
      <c r="AO1" t="s">
        <v>1143</v>
      </c>
      <c r="AP1" t="s">
        <v>1144</v>
      </c>
      <c r="AQ1" t="s">
        <v>1145</v>
      </c>
      <c r="AR1" t="s">
        <v>1146</v>
      </c>
      <c r="AS1" t="s">
        <v>1147</v>
      </c>
      <c r="AT1" t="s">
        <v>1148</v>
      </c>
      <c r="AU1" t="s">
        <v>1149</v>
      </c>
      <c r="AV1" t="s">
        <v>1150</v>
      </c>
      <c r="AW1" t="s">
        <v>1151</v>
      </c>
      <c r="AX1" t="s">
        <v>1152</v>
      </c>
      <c r="AY1" t="s">
        <v>1153</v>
      </c>
      <c r="AZ1" t="s">
        <v>1154</v>
      </c>
    </row>
    <row r="2" spans="1:52">
      <c r="A2">
        <f>BDH("EXC US Equity","BS_TOT_ASSET","1993-06-18","2026-05-02","Per=Y","Days=T","Dir=V")</f>
        <v>0</v>
      </c>
      <c r="C2">
        <f>BDH("EXC US Equity","BS_TOT_LIAB2","1993-06-18","2026-05-02","Per=Y","Days=T","Dir=V")</f>
        <v>0</v>
      </c>
      <c r="E2">
        <f>BDH("EXC US Equity","SHORT_AND_LONG_TERM_DEBT","1993-06-18","2026-05-02","Per=Y","Days=T","Dir=V")</f>
        <v>0</v>
      </c>
      <c r="G2">
        <f>BDH("EXC US Equity","BS_ST_BORROW","1993-06-18","2026-05-02","Per=Y","Days=T","Dir=V")</f>
        <v>0</v>
      </c>
      <c r="I2">
        <f>BDH("EXC US Equity","BS_LT_BORROW","1993-06-18","2026-05-02","Per=Y","Days=T","Dir=V")</f>
        <v>0</v>
      </c>
      <c r="K2">
        <f>BDH("EXC US Equity","BS_CASH_NEAR_CASH_ITEM","1993-06-18","2026-05-02","Per=Y","Days=T","Dir=V")</f>
        <v>0</v>
      </c>
      <c r="M2">
        <f>BDH("EXC US Equity","BS_CUR_ASSET_REPORT","1993-06-18","2026-05-02","Per=Y","Days=T","Dir=V")</f>
        <v>0</v>
      </c>
      <c r="O2">
        <f>BDH("EXC US Equity","BS_CUR_LIAB","1993-06-18","2026-05-02","Per=Y","Days=T","Dir=V")</f>
        <v>0</v>
      </c>
      <c r="Q2">
        <f>BDH("EXC US Equity","BS_SHAREHOLDER_EQY_ENDING_PERIOD","1993-06-18","2026-05-02","Per=Y","Days=T","Dir=V")</f>
        <v>0</v>
      </c>
      <c r="S2">
        <f>BDH("EXC US Equity","BS_ACCT_NOTE_RCV","1993-06-18","2026-05-02","Per=Y","Days=T","Dir=V")</f>
        <v>0</v>
      </c>
      <c r="U2">
        <f>BDH("EXC US Equity","BS_INVENTORIES","1993-06-18","2026-05-02","Per=Y","Days=T","Dir=V")</f>
        <v>0</v>
      </c>
      <c r="W2">
        <f>BDH("EXC US Equity","WORKING_CAPITAL","1993-06-18","2026-05-02","Per=Y","Days=T","Dir=V")</f>
        <v>0</v>
      </c>
      <c r="Y2">
        <f>BDH("EXC US Equity","SALES_REV_TURN","1993-06-18","2026-05-02","Per=Y","Days=T","Dir=V")</f>
        <v>0</v>
      </c>
      <c r="AA2">
        <f>BDH("EXC US Equity","EBIT","1993-06-18","2026-05-02","Per=Y","Days=T","Dir=V")</f>
        <v>0</v>
      </c>
      <c r="AC2">
        <f>BDH("EXC US Equity","EBITDA","1993-06-18","2026-05-02","Per=Y","Days=T","Dir=V")</f>
        <v>0</v>
      </c>
      <c r="AE2">
        <f>BDH("EXC US Equity","NET_INCOME","1993-06-18","2026-05-02","Per=Y","Days=T","Dir=V")</f>
        <v>0</v>
      </c>
      <c r="AG2">
        <f>BDH("EXC US Equity","IS_INT_EXPENSE","1993-06-18","2026-05-02","Per=Y","Days=T","Dir=V")</f>
        <v>0</v>
      </c>
      <c r="AI2">
        <f>BDH("EXC US Equity","IS_DEPR_EXP","1993-06-18","2026-05-02","Per=Y","Days=T","Dir=V")</f>
        <v>0</v>
      </c>
      <c r="AK2">
        <f>BDH("EXC US Equity","CF_CASH_FROM_OPER","1993-06-18","2026-05-02","Per=Y","Days=T","Dir=V")</f>
        <v>0</v>
      </c>
      <c r="AM2">
        <f>BDH("EXC US Equity","CAPITAL_EXPEND","1993-06-18","2026-05-02","Per=Y","Days=T","Dir=V")</f>
        <v>0</v>
      </c>
      <c r="AO2">
        <f>BDH("EXC US Equity","CF_FREE_CASH_FLOW","1993-06-18","2026-05-02","Per=Y","Days=T","Dir=V")</f>
        <v>0</v>
      </c>
      <c r="AQ2">
        <f>BDH("EXC US Equity","PX_LAST","1993-06-18","2026-05-02","Per=M","Days=T","Dir=V")</f>
        <v>0</v>
      </c>
      <c r="AS2">
        <f>BDH("EXC US Equity","CUR_MKT_CAP","1993-06-18","2026-05-02","Per=M","Days=T","Dir=V")</f>
        <v>0</v>
      </c>
      <c r="AU2">
        <f>BDH("EXC US Equity","EQY_SH_OUT","1993-06-18","2026-05-02","Per=M","Days=T","Dir=V")</f>
        <v>0</v>
      </c>
      <c r="AW2">
        <f>BDH("EXC US Equity","PX_VOLUME","1993-06-18","2026-05-02","Per=M","Days=T","Dir=V")</f>
        <v>0</v>
      </c>
      <c r="AY2">
        <f>BDH("EXC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NB_731_Curanex Pharmaceuticals </vt:lpstr>
      <vt:lpstr>NB_732_CapsoVision Inc. Common </vt:lpstr>
      <vt:lpstr>NB_733_Cavco Industries Inc. Co</vt:lpstr>
      <vt:lpstr>NB_734_Commercial Vehicle Group</vt:lpstr>
      <vt:lpstr>NB_735_CVR Energy Inc. Common S</vt:lpstr>
      <vt:lpstr>NB_736_Cadrenal Therapeutics In</vt:lpstr>
      <vt:lpstr>NB_737_Covenant Logistics Group</vt:lpstr>
      <vt:lpstr>NB_738_Commvault Systems Inc. C</vt:lpstr>
      <vt:lpstr>NB_739_Cel-Sci Corporation Comm</vt:lpstr>
      <vt:lpstr>NB_740_Carvana Co. Class A Comm</vt:lpstr>
      <vt:lpstr>NB_741_Chicago Rivet &amp; Machine </vt:lpstr>
      <vt:lpstr>NB_742_CVRx Inc. Common Stock</vt:lpstr>
      <vt:lpstr>NB_743_CVS Health Corporation C</vt:lpstr>
      <vt:lpstr>NB_744_CPI Aerostructures Inc. </vt:lpstr>
      <vt:lpstr>NB_745_CVD Equipment Corporatio</vt:lpstr>
      <vt:lpstr>NB_746_Chevron Corporation Comm</vt:lpstr>
      <vt:lpstr>NB_747_Curtiss-Wright Corporati</vt:lpstr>
      <vt:lpstr>NB_748_Clearway Energy Inc. Cla</vt:lpstr>
      <vt:lpstr>NB_749_Camping World Holdings I</vt:lpstr>
      <vt:lpstr>NB_750_Casella Waste Systems In</vt:lpstr>
      <vt:lpstr>NB_751_California Water Service</vt:lpstr>
      <vt:lpstr>NB_752_CXApp Inc. Class A Commo</vt:lpstr>
      <vt:lpstr>NB_753_CXApp Inc. Warrant</vt:lpstr>
      <vt:lpstr>NB_754_Crexendo Inc. Common Sto</vt:lpstr>
      <vt:lpstr>NB_755_Sprinklr Inc. Class A Co</vt:lpstr>
      <vt:lpstr>NB_756_Crane NXT Co. Common Sto</vt:lpstr>
      <vt:lpstr>NB_757_Cycurion Inc. Common Sto</vt:lpstr>
      <vt:lpstr>NB_758_Cycurion Inc. Warrant</vt:lpstr>
      <vt:lpstr>NB_759_Community Health Systems</vt:lpstr>
      <vt:lpstr>NB_760_Cyngn Inc. Common Stock</vt:lpstr>
      <vt:lpstr>NB_761_Cypherpunk Technologies </vt:lpstr>
      <vt:lpstr>NB_762_CryoPort Inc. Common Sto</vt:lpstr>
      <vt:lpstr>NB_763_Cytokinetics Incorporate</vt:lpstr>
      <vt:lpstr>NB_764_Caesars Entertainment In</vt:lpstr>
      <vt:lpstr>NB_765_Dominion Energy Inc. Com</vt:lpstr>
      <vt:lpstr>NB_766_CID HoldCo Inc. Common S</vt:lpstr>
      <vt:lpstr>NB_767_CID HoldCo Inc. Warrants</vt:lpstr>
      <vt:lpstr>NB_768_Data IO Corporation Comm</vt:lpstr>
      <vt:lpstr>NB_769_Daktronics Inc. Common S</vt:lpstr>
      <vt:lpstr>NB_770_Delta Air Lines Inc. Com</vt:lpstr>
      <vt:lpstr>NB_771_Dana Incorporated Common</vt:lpstr>
      <vt:lpstr>NB_772_Darling Ingredients Inc.</vt:lpstr>
      <vt:lpstr>NB_773_Dare Bioscience Inc. Com</vt:lpstr>
      <vt:lpstr>NB_774_DoorDash Inc. Class A Co</vt:lpstr>
      <vt:lpstr>NB_775_Digital Brands Group Inc</vt:lpstr>
      <vt:lpstr>NB_776_Designer Brands Inc. Cla</vt:lpstr>
      <vt:lpstr>NB_777_Dropbox Inc. Class A Com</vt:lpstr>
      <vt:lpstr>NB_778_Dakota Gold Corp. Common</vt:lpstr>
      <vt:lpstr>NB_779_DocGo Inc. Common Stock</vt:lpstr>
      <vt:lpstr>NB_780_Dauch Corporation Common</vt:lpstr>
      <vt:lpstr>NB_781_Donaldson Company Inc. C</vt:lpstr>
      <vt:lpstr>NB_782_Ducommun Incorporated Co</vt:lpstr>
      <vt:lpstr>NB_783_Decoy Therapeutics Inc. </vt:lpstr>
      <vt:lpstr>NB_784_Delcath Systems Inc. Com</vt:lpstr>
      <vt:lpstr>NB_785_DuPont de Nemours Inc. C</vt:lpstr>
      <vt:lpstr>NB_786_3D Systems Corporation C</vt:lpstr>
      <vt:lpstr>NB_787_Datadog Inc. Class A Com</vt:lpstr>
      <vt:lpstr>NB_788_Dillard's Inc. Common St</vt:lpstr>
      <vt:lpstr>NB_789_Dillard's Capital Trust </vt:lpstr>
      <vt:lpstr>NB_790_Deere &amp; Company Common S</vt:lpstr>
      <vt:lpstr>NB_791_Deckers Outdoor Corporat</vt:lpstr>
      <vt:lpstr>NB_792_Dell Technologies Inc. C</vt:lpstr>
      <vt:lpstr>NB_793_Journey Medical Corporat</vt:lpstr>
      <vt:lpstr>NB_794_Liberty Defense Holdings</vt:lpstr>
      <vt:lpstr>NB_795_Dream Finders Homes Inc.</vt:lpstr>
      <vt:lpstr>NB_796_Donnelley Financial Solu</vt:lpstr>
      <vt:lpstr>NB_797_T3 Defense Inc. Common S</vt:lpstr>
      <vt:lpstr>NB_798_T3 Defense Inc. Warrants</vt:lpstr>
      <vt:lpstr>NB_799_Definium Therapeutics In</vt:lpstr>
      <vt:lpstr>NB_800_Dollar General Corporati</vt:lpstr>
      <vt:lpstr>NB_801_Digi International Inc. </vt:lpstr>
      <vt:lpstr>NB_802_Quest Diagnostics Incorp</vt:lpstr>
      <vt:lpstr>NB_803_Definitive Healthcare Co</vt:lpstr>
      <vt:lpstr>NB_804_D.R. Horton Inc. Common </vt:lpstr>
      <vt:lpstr>NB_805_Danaher Corporation Comm</vt:lpstr>
      <vt:lpstr>NB_806_DHI Group Inc. Common St</vt:lpstr>
      <vt:lpstr>NB_807_1stdibs.com Inc. Common </vt:lpstr>
      <vt:lpstr>NB_808_Dine Brands Global Inc. </vt:lpstr>
      <vt:lpstr>NB_809_HF Sinclair Corporation </vt:lpstr>
      <vt:lpstr>NB_810_Diodes Incorporated Comm</vt:lpstr>
      <vt:lpstr>NB_811_Walt Disney Company (The</vt:lpstr>
      <vt:lpstr>NB_812_AMCON Distributing Compa</vt:lpstr>
      <vt:lpstr>NB_813_Daily Journal Corp. (S.C</vt:lpstr>
      <vt:lpstr>NB_814_Trump Media &amp; Technology</vt:lpstr>
      <vt:lpstr>NB_815_Trump Media &amp; Technology</vt:lpstr>
      <vt:lpstr>NB_816_Delek US Holdings Inc. C</vt:lpstr>
      <vt:lpstr>NB_817_Delek Logistics Partners</vt:lpstr>
      <vt:lpstr>NB_818_DraftKings Inc. Class A </vt:lpstr>
      <vt:lpstr>NB_819_Dick's Sporting Goods In</vt:lpstr>
      <vt:lpstr>NB_820_DLH Holdings Corp.</vt:lpstr>
      <vt:lpstr>NB_821_Dolphin Entertainment In</vt:lpstr>
      <vt:lpstr>NB_822_Duluth Holdings Inc. Cla</vt:lpstr>
      <vt:lpstr>NB_823_Dollar Tree Inc. Common </vt:lpstr>
      <vt:lpstr>NB_824_Deluxe Corporation Commo</vt:lpstr>
      <vt:lpstr>NB_825_DiaMedica Therapeutics I</vt:lpstr>
      <vt:lpstr>NB_826_Dorchester Minerals L.P.</vt:lpstr>
      <vt:lpstr>NB_827_Digimarc Corporation Com</vt:lpstr>
      <vt:lpstr>NB_828_Ginkgo Bioworks Holdings</vt:lpstr>
      <vt:lpstr>NB_829_Denali Therapeutics Inc.</vt:lpstr>
      <vt:lpstr>NB_830_DNOW Inc. Common Stock</vt:lpstr>
      <vt:lpstr>NB_831_Dianthus Therapeutics In</vt:lpstr>
      <vt:lpstr>NB_832_Krispy Kreme Inc. Common</vt:lpstr>
      <vt:lpstr>NB_833_DigitalOcean Holdings In</vt:lpstr>
      <vt:lpstr>NB_834_Doximity Inc. Class A Co</vt:lpstr>
      <vt:lpstr>NB_835_DocuSign Inc. Common Sto</vt:lpstr>
      <vt:lpstr>NB_836_Dorman Products Inc. Com</vt:lpstr>
      <vt:lpstr>NB_837_Dover Corporation Common</vt:lpstr>
      <vt:lpstr>NB_838_Dow Inc. Common Stock</vt:lpstr>
      <vt:lpstr>NB_839_Domino's Pizza Inc Commo</vt:lpstr>
      <vt:lpstr>NB_840_Direct Digital Holdings </vt:lpstr>
      <vt:lpstr>NB_841_Darden Restaurants Inc. </vt:lpstr>
      <vt:lpstr>NB_842_Dermata Therapeutics Inc</vt:lpstr>
      <vt:lpstr>NB_843_Driven Brands Holdings I</vt:lpstr>
      <vt:lpstr>NB_844_Design Therapeutics Inc.</vt:lpstr>
      <vt:lpstr>NB_845_Distribution Solutions G</vt:lpstr>
      <vt:lpstr>NB_846_Viant Technology Inc. Cl</vt:lpstr>
      <vt:lpstr>NB_847_DSS Inc. Common Stock</vt:lpstr>
      <vt:lpstr>NB_848_Dynatrace Inc. Common St</vt:lpstr>
      <vt:lpstr>NB_849_DTE Energy Company 2020 </vt:lpstr>
      <vt:lpstr>NB_850_Datacentrex Inc. Common </vt:lpstr>
      <vt:lpstr>NB_851_DTE Energy Company Commo</vt:lpstr>
      <vt:lpstr>NB_852_DTE Energy Company 2021 </vt:lpstr>
      <vt:lpstr>NB_853_Drilling Tools Internati</vt:lpstr>
      <vt:lpstr>NB_854_Precision BioSciences In</vt:lpstr>
      <vt:lpstr>NB_855_DTE Energy Company 2025 </vt:lpstr>
      <vt:lpstr>NB_856_DT Midstream Inc. Common</vt:lpstr>
      <vt:lpstr>NB_857_Data Storage Corporation</vt:lpstr>
      <vt:lpstr>NB_858_DTE Energy Company 2017 </vt:lpstr>
      <vt:lpstr>NB_859_Duke Energy Corporation </vt:lpstr>
      <vt:lpstr>NB_860_Duke Energy Corporation </vt:lpstr>
      <vt:lpstr>NB_861_Duke Energy Corporation </vt:lpstr>
      <vt:lpstr>NB_862_Duolingo Inc. Class A Co</vt:lpstr>
      <vt:lpstr>NB_863_Duos Technologies Group </vt:lpstr>
      <vt:lpstr>NB_864_DoubleVerify Holdings In</vt:lpstr>
      <vt:lpstr>NB_865_DaVita Inc. Common Stock</vt:lpstr>
      <vt:lpstr>NB_866_Datavault AI Inc. Common</vt:lpstr>
      <vt:lpstr>NB_867_Devon Energy Corporation</vt:lpstr>
      <vt:lpstr>NB_868_Dawson Geophysical Compa</vt:lpstr>
      <vt:lpstr>NB_869_Dogwood Therapeutics Inc</vt:lpstr>
      <vt:lpstr>NB_870_DXC Technology Company C</vt:lpstr>
      <vt:lpstr>NB_871_DexCom Inc. Common Stock</vt:lpstr>
      <vt:lpstr>NB_872_Destination XL Group Inc</vt:lpstr>
      <vt:lpstr>NB_873_DXP Enterprises Inc. Com</vt:lpstr>
      <vt:lpstr>NB_874_Daxor Corporation Common</vt:lpstr>
      <vt:lpstr>NB_875_Dycom Industries Inc. Co</vt:lpstr>
      <vt:lpstr>NB_876_Dyadic International Inc</vt:lpstr>
      <vt:lpstr>NB_877_Dyne Therapeutics Inc. C</vt:lpstr>
      <vt:lpstr>NB_878_GrafTech International L</vt:lpstr>
      <vt:lpstr>NB_879_Entergy Arkansas LLC Fir</vt:lpstr>
      <vt:lpstr>NB_880_Brinker International In</vt:lpstr>
      <vt:lpstr>NB_881_eBay Inc. Common Stock</vt:lpstr>
      <vt:lpstr>NB_882_Ennis Inc. Common Stock</vt:lpstr>
      <vt:lpstr>NB_883_Emergent BioSolutions In</vt:lpstr>
      <vt:lpstr>NB_884_Everus Construction Grou</vt:lpstr>
      <vt:lpstr>NB_885_EchoStar  Corporation Co</vt:lpstr>
      <vt:lpstr>NB_886_Ecolab Inc. Common Stock</vt:lpstr>
      <vt:lpstr>NB_887_electroCore Inc. Common </vt:lpstr>
      <vt:lpstr>NB_888_Ecovyst Inc. Common Stoc</vt:lpstr>
      <vt:lpstr>NB_889_Consolidated Edison Inc.</vt:lpstr>
      <vt:lpstr>NB_890_Edible Garden AG Incorpo</vt:lpstr>
      <vt:lpstr>NB_891_Editas Medicine Inc. Com</vt:lpstr>
      <vt:lpstr>NB_892_Edesa Biotech Inc. Commo</vt:lpstr>
      <vt:lpstr>NB_893_Educational Development </vt:lpstr>
      <vt:lpstr>NB_894_Excelerate Energy Inc. C</vt:lpstr>
      <vt:lpstr>NB_895_Energy Focus Inc. Common</vt:lpstr>
      <vt:lpstr>NB_896_Everforth Inc. Common St</vt:lpstr>
      <vt:lpstr>NB_897_eGain Corporation Common</vt:lpstr>
      <vt:lpstr>NB_898_8x8 Inc Common Stock</vt:lpstr>
      <vt:lpstr>NB_899_VAALCO Energy Inc.  Comm</vt:lpstr>
      <vt:lpstr>NB_900_Encompass Health Corpora</vt:lpstr>
      <vt:lpstr>NB_901_Eikon Therapeutics Inc. </vt:lpstr>
      <vt:lpstr>NB_902_Edison International Com</vt:lpstr>
      <vt:lpstr>NB_903_Estee Lauder Companies I</vt:lpstr>
      <vt:lpstr>NB_904_Envela Corporation Commo</vt:lpstr>
      <vt:lpstr>NB_905_PMGC Holdings Inc. Commo</vt:lpstr>
      <vt:lpstr>NB_906_Elanco Animal Health Inc</vt:lpstr>
      <vt:lpstr>NB_907_Entergy Louisiana Inc. C</vt:lpstr>
      <vt:lpstr>NB_908_Eledon Pharmaceuticals I</vt:lpstr>
      <vt:lpstr>NB_909_e.l.f. Beauty Inc. Commo</vt:lpstr>
      <vt:lpstr>NB_910_Electromed Inc. Common S</vt:lpstr>
      <vt:lpstr>NB_911_The Elmet Group Co. Comm</vt:lpstr>
      <vt:lpstr>NB_912_Eloxx Pharmaceuticals In</vt:lpstr>
      <vt:lpstr>NB_913_Elicio Therapeutics Inc.</vt:lpstr>
      <vt:lpstr>NB_914_Elutia Inc. Class A Comm</vt:lpstr>
      <vt:lpstr>NB_915_Elevance Health Inc. Com</vt:lpstr>
      <vt:lpstr>NB_916_Enliven Therapeutics Inc</vt:lpstr>
      <vt:lpstr>NB_917_Elauwit Connection Inc. </vt:lpstr>
      <vt:lpstr>NB_918_Embecta Corp. Common Sto</vt:lpstr>
      <vt:lpstr>NB_919_EMCOR Group Inc. Common </vt:lpstr>
      <vt:lpstr>NB_920_Emmis Acquisition Corp. </vt:lpstr>
      <vt:lpstr>NB_921_Eastern Company (The) Co</vt:lpstr>
      <vt:lpstr>NB_922_Eastman Chemical Company</vt:lpstr>
      <vt:lpstr>NB_923_Entergy Mississippi LLC </vt:lpstr>
      <vt:lpstr>NB_924_Empery Digital Inc. Comm</vt:lpstr>
      <vt:lpstr>NB_925_Emerson Electric Company</vt:lpstr>
      <vt:lpstr>NB_926_Entergy New Orleans LLC </vt:lpstr>
      <vt:lpstr>NB_927_Enovis Corporation Commo</vt:lpstr>
      <vt:lpstr>NB_928_Enphase Energy Inc. Comm</vt:lpstr>
      <vt:lpstr>NB_929_Ensysce Biosciences Inc.</vt:lpstr>
      <vt:lpstr>NB_930_The Ensign Group Inc. Co</vt:lpstr>
      <vt:lpstr>NB_931_Enanta Pharmaceuticals I</vt:lpstr>
      <vt:lpstr>NB_932_Entegris Inc. Common Sto</vt:lpstr>
      <vt:lpstr>NB_933_Enveric Biosciences Inc.</vt:lpstr>
      <vt:lpstr>NB_934_EOG Resources Inc. Commo</vt:lpstr>
      <vt:lpstr>NB_935_Evolus Inc. Common Stock</vt:lpstr>
      <vt:lpstr>NB_936_Empire Petroleum Corpora</vt:lpstr>
      <vt:lpstr>NB_937_Enerpac Tool Group Corp.</vt:lpstr>
      <vt:lpstr>NB_938_EPAM Systems Inc. Common</vt:lpstr>
      <vt:lpstr>NB_939_Edgewell Personal Care C</vt:lpstr>
      <vt:lpstr>NB_940_Enterprise Products Part</vt:lpstr>
      <vt:lpstr>NB_941_Evolution Petroleum Corp</vt:lpstr>
      <vt:lpstr>NB_942_Epsilon Energy Ltd. Comm</vt:lpstr>
      <vt:lpstr>NB_943_Equillium Inc. Common St</vt:lpstr>
      <vt:lpstr>NB_944_EquipmentShare.com Inc C</vt:lpstr>
      <vt:lpstr>NB_945_EQT Corporation Common S</vt:lpstr>
      <vt:lpstr>NB_946_Erasca Inc. Common Stock</vt:lpstr>
      <vt:lpstr>NB_947_Energy Recovery Inc. Com</vt:lpstr>
      <vt:lpstr>NB_948_Ernexa Therapeutics Inc.</vt:lpstr>
      <vt:lpstr>NB_949_Ernexa Therapeutics Inc.</vt:lpstr>
      <vt:lpstr>NB_950_Eversource Energy (DBA) </vt:lpstr>
      <vt:lpstr>NB_951_ESAB Corporation Common </vt:lpstr>
      <vt:lpstr>NB_952_Escalade Incorporated Co</vt:lpstr>
      <vt:lpstr>NB_953_ESCO Technologies Inc. C</vt:lpstr>
      <vt:lpstr>NB_954_Element Solutions Inc. C</vt:lpstr>
      <vt:lpstr>NB_955_Estrella Immunopharma In</vt:lpstr>
      <vt:lpstr>NB_956_Energy Services of Ameri</vt:lpstr>
      <vt:lpstr>NB_957_Espey Mfg. &amp; Electronics</vt:lpstr>
      <vt:lpstr>NB_958_Elastic N.V. Ordinary Sh</vt:lpstr>
      <vt:lpstr>NB_959_EnerSyn Global Inc. Comm</vt:lpstr>
      <vt:lpstr>NB_960_Energy Transfer LP Commo</vt:lpstr>
      <vt:lpstr>NB_961_Ethan Allen Interiors In</vt:lpstr>
      <vt:lpstr>NB_962_Eton Pharmaceuticals Inc</vt:lpstr>
      <vt:lpstr>NB_963_Entergy Corporation Comm</vt:lpstr>
      <vt:lpstr>NB_964_Electra Therapeutics Inc</vt:lpstr>
      <vt:lpstr>NB_965_Elite Express Holding In</vt:lpstr>
      <vt:lpstr>NB_966_Etsy Inc. Common Stock</vt:lpstr>
      <vt:lpstr>NB_967_enCore Energy Corp. Comm</vt:lpstr>
      <vt:lpstr>NB_968_Entravision Communicatio</vt:lpstr>
      <vt:lpstr>NB_969_EverCommerce Inc. Common</vt:lpstr>
      <vt:lpstr>NB_970_EverQuote Inc. Class A C</vt:lpstr>
      <vt:lpstr>NB_971_Eve Holding Inc. Common </vt:lpstr>
      <vt:lpstr>NB_972_EVgo Inc. Class A Common</vt:lpstr>
      <vt:lpstr>NB_973_Evolent Health Inc Class</vt:lpstr>
      <vt:lpstr>NB_974_EVI Industries Inc.  Com</vt:lpstr>
      <vt:lpstr>NB_975_Evolv Technologies Holdi</vt:lpstr>
      <vt:lpstr>NB_976_Evommune Inc. Common Sto</vt:lpstr>
      <vt:lpstr>NB_977_Evergy Inc. Common Stock</vt:lpstr>
      <vt:lpstr>NB_978_Edwards Lifesciences Cor</vt:lpstr>
      <vt:lpstr>NB_979_Edgewise Therapeutics In</vt:lpstr>
      <vt:lpstr>NB_980_Exelon Corporation Commo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2026-10-05T19:45:13Z</dcterms:created>
  <dcterms:modified xsi:type="dcterms:W3CDTF">2026-10-05T19:45:13Z</dcterms:modified>
</cp:coreProperties>
</file>