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2813_Shattuck Labs Inc. Comm" sheetId="2" r:id="rId2"/>
    <sheet name="NB_2827_Savara Inc. Common Stoc" sheetId="3" r:id="rId3"/>
    <sheet name="NB_2224_PACS Group Inc. Common " sheetId="4" r:id="rId4"/>
    <sheet name="NB_696_Envoy Medical Inc Warran" sheetId="5" r:id="rId5"/>
    <sheet name="NB_483_BioRestorative Therapies" sheetId="6" r:id="rId6"/>
    <sheet name="NB_1222_GE HealthCare Technolog" sheetId="7" r:id="rId7"/>
    <sheet name="NB_709_Concentra Group Holdings" sheetId="8" r:id="rId8"/>
    <sheet name="NB_1467_Illumina Inc. Common St" sheetId="9" r:id="rId9"/>
    <sheet name="NB_205_Anika Therapeutics Inc. " sheetId="10" r:id="rId10"/>
    <sheet name="NB_359_Baxter International Inc" sheetId="11" r:id="rId11"/>
    <sheet name="NB_1212_GlucoTrack Inc. Common " sheetId="12" r:id="rId12"/>
    <sheet name="NB_2016_Nephros Inc. Common Sto" sheetId="13" r:id="rId13"/>
    <sheet name="NB_2123_NexGel Inc Common Stock" sheetId="14" r:id="rId14"/>
    <sheet name="NB_2441_Avita Medical Inc. Comm" sheetId="15" r:id="rId15"/>
    <sheet name="NB_2662_Shoulder Innovations In" sheetId="16" r:id="rId16"/>
    <sheet name="NB_1361_Hims &amp; Hers Health Inc." sheetId="17" r:id="rId17"/>
    <sheet name="NB_3047_USANA Health Sciences I" sheetId="18" r:id="rId18"/>
    <sheet name="NB_564_Cryo-Cell International " sheetId="19" r:id="rId19"/>
    <sheet name="NB_710_The Cooper Companies Inc" sheetId="20" r:id="rId20"/>
    <sheet name="NB_528_Cardinal Health Inc. Com" sheetId="21" r:id="rId21"/>
    <sheet name="NB_108_2020 Biolabs Inc. Common" sheetId="22" r:id="rId22"/>
    <sheet name="NB_30_Archer Aviation Inc. Clas" sheetId="23" r:id="rId23"/>
    <sheet name="NB_317_American Vanguard Corpor" sheetId="24" r:id="rId24"/>
    <sheet name="NB_597_Century Aluminum Company" sheetId="25" r:id="rId25"/>
    <sheet name="NB_2958_Tesla Inc. Common Stock" sheetId="26" r:id="rId26"/>
    <sheet name="NB_0_Agilent Technologies Inc. " sheetId="27" r:id="rId27"/>
    <sheet name="NB_2785_E.W. Scripps Company (T" sheetId="28" r:id="rId28"/>
    <sheet name="NB_1073_Eagle Materials Inc Com" sheetId="29" r:id="rId29"/>
    <sheet name="NB_505_Babcock &amp; Wilcox Enterpr" sheetId="30" r:id="rId30"/>
    <sheet name="NB_2879_Terex Corporation Commo" sheetId="31" r:id="rId31"/>
    <sheet name="NB_566_Crown Holdings Inc." sheetId="32" r:id="rId32"/>
    <sheet name="NB_1154_Forrester Research Inc." sheetId="33" r:id="rId33"/>
    <sheet name="NB_84_The AES Corporation Commo" sheetId="34" r:id="rId34"/>
    <sheet name="NB_2949_Transcat Inc. Common St" sheetId="35" r:id="rId35"/>
    <sheet name="NB_1132_Comfort Systems USA Inc" sheetId="36" r:id="rId36"/>
    <sheet name="NB_647_Clean Harbors Inc. Commo" sheetId="37" r:id="rId37"/>
    <sheet name="NB_621_CHS Inc Class B Cumulati" sheetId="38" r:id="rId38"/>
    <sheet name="NB_217_Ampco-Pittsburgh Corpora" sheetId="39" r:id="rId39"/>
    <sheet name="NB_770_Cintas Corporation Commo" sheetId="40" r:id="rId40"/>
    <sheet name="NB_1191_H. B. Fuller Company Co" sheetId="41" r:id="rId41"/>
    <sheet name="NB_3174_Winnebago Industries In" sheetId="42" r:id="rId42"/>
    <sheet name="NB_4_AAON Inc. Common Stock" sheetId="43" r:id="rId43"/>
    <sheet name="NB_543_Carrier Global Corporati" sheetId="44" r:id="rId44"/>
    <sheet name="NB_857_Deere &amp; Company Common S" sheetId="45" r:id="rId45"/>
    <sheet name="NB_2540_Regal Rexnord Corporati" sheetId="46" r:id="rId46"/>
    <sheet name="NB_2845_Sypris Solutions Inc. C" sheetId="47" r:id="rId47"/>
    <sheet name="NB_1968_Materion Corporation" sheetId="48" r:id="rId48"/>
    <sheet name="NB_2501_Radiant Logistics Inc. " sheetId="49" r:id="rId49"/>
    <sheet name="NB_852_DuPont de Nemours Inc. C" sheetId="50" r:id="rId50"/>
    <sheet name="NB_2580_XCF Global Inc. Class A" sheetId="51" r:id="rId51"/>
  </sheets>
  <calcPr calcId="124519" fullCalcOnLoad="1"/>
</workbook>
</file>

<file path=xl/sharedStrings.xml><?xml version="1.0" encoding="utf-8"?>
<sst xmlns="http://schemas.openxmlformats.org/spreadsheetml/2006/main" count="3361" uniqueCount="309">
  <si>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</si>
  <si>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</si>
  <si>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</si>
  <si>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</si>
  <si>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</si>
  <si>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</si>
  <si>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</si>
  <si>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</si>
  <si>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</si>
  <si>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</si>
  <si>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</si>
  <si>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NB_2813</t>
  </si>
  <si>
    <t>nonbankrupt</t>
  </si>
  <si>
    <t/>
  </si>
  <si>
    <t>STTK</t>
  </si>
  <si>
    <t>Shattuck Labs Inc. Common Stock</t>
  </si>
  <si>
    <t>Health Care</t>
  </si>
  <si>
    <t>Biotechnology: Pharmaceutical Preparations</t>
  </si>
  <si>
    <t>STTK US Equity</t>
  </si>
  <si>
    <t>2021-06-30</t>
  </si>
  <si>
    <t>2016-06-30</t>
  </si>
  <si>
    <t>NB_2827</t>
  </si>
  <si>
    <t>SVRA</t>
  </si>
  <si>
    <t>Savara Inc. Common Stock</t>
  </si>
  <si>
    <t>SVRA US Equity</t>
  </si>
  <si>
    <t>NB_2224</t>
  </si>
  <si>
    <t>PACS</t>
  </si>
  <si>
    <t>PACS Group Inc. Common Stock</t>
  </si>
  <si>
    <t>Hospital/Nursing Management</t>
  </si>
  <si>
    <t>PACS US Equity</t>
  </si>
  <si>
    <t>NB_696</t>
  </si>
  <si>
    <t>COCHW</t>
  </si>
  <si>
    <t>Envoy Medical Inc Warrant</t>
  </si>
  <si>
    <t>Industrial Specialties</t>
  </si>
  <si>
    <t>COCHW US Equity</t>
  </si>
  <si>
    <t>NB_483</t>
  </si>
  <si>
    <t>BRTX</t>
  </si>
  <si>
    <t>BioRestorative Therapies Inc. Common Stock (NV)</t>
  </si>
  <si>
    <t>Managed Health Care</t>
  </si>
  <si>
    <t>BRTX US Equity</t>
  </si>
  <si>
    <t>NB_1222</t>
  </si>
  <si>
    <t>GEHC</t>
  </si>
  <si>
    <t>GE HealthCare Technologies Inc. Common Stock</t>
  </si>
  <si>
    <t>Medical Electronics</t>
  </si>
  <si>
    <t>GEHC US Equity</t>
  </si>
  <si>
    <t>NB_709</t>
  </si>
  <si>
    <t>CON</t>
  </si>
  <si>
    <t>Concentra Group Holdings Parent Inc. Common Stock</t>
  </si>
  <si>
    <t>Medical Specialities</t>
  </si>
  <si>
    <t>CON US Equity</t>
  </si>
  <si>
    <t>NB_1467</t>
  </si>
  <si>
    <t>ILMN</t>
  </si>
  <si>
    <t>Illumina Inc. Common Stock</t>
  </si>
  <si>
    <t>ILMN US Equity</t>
  </si>
  <si>
    <t>NB_205</t>
  </si>
  <si>
    <t>ANIK</t>
  </si>
  <si>
    <t>Anika Therapeutics Inc. Common Stock</t>
  </si>
  <si>
    <t>Medical/Dental Instruments</t>
  </si>
  <si>
    <t>ANIK US Equity</t>
  </si>
  <si>
    <t>NB_359</t>
  </si>
  <si>
    <t>BAX</t>
  </si>
  <si>
    <t>Baxter International Inc. Common Stock</t>
  </si>
  <si>
    <t>BAX US Equity</t>
  </si>
  <si>
    <t>NB_1212</t>
  </si>
  <si>
    <t>GCTK</t>
  </si>
  <si>
    <t>GlucoTrack Inc. Common Stock</t>
  </si>
  <si>
    <t>GCTK US Equity</t>
  </si>
  <si>
    <t>NB_2016</t>
  </si>
  <si>
    <t>NEPH</t>
  </si>
  <si>
    <t>Nephros Inc. Common Stock</t>
  </si>
  <si>
    <t>NEPH US Equity</t>
  </si>
  <si>
    <t>NB_2123</t>
  </si>
  <si>
    <t>NXGL</t>
  </si>
  <si>
    <t>NexGel Inc Common Stock</t>
  </si>
  <si>
    <t>NXGL US Equity</t>
  </si>
  <si>
    <t>NB_2441</t>
  </si>
  <si>
    <t>RCEL</t>
  </si>
  <si>
    <t>Avita Medical Inc. Common Stock</t>
  </si>
  <si>
    <t>RCEL US Equity</t>
  </si>
  <si>
    <t>NB_2662</t>
  </si>
  <si>
    <t>SI</t>
  </si>
  <si>
    <t>Shoulder Innovations Inc. Common Stock</t>
  </si>
  <si>
    <t>SI US Equity</t>
  </si>
  <si>
    <t>NB_1361</t>
  </si>
  <si>
    <t>HIMS</t>
  </si>
  <si>
    <t>Hims &amp; Hers Health Inc. Class A Common Stock</t>
  </si>
  <si>
    <t>Medical/Nursing Services</t>
  </si>
  <si>
    <t>HIMS US Equity</t>
  </si>
  <si>
    <t>NB_3047</t>
  </si>
  <si>
    <t>USNA</t>
  </si>
  <si>
    <t>USANA Health Sciences Inc. Common Stock</t>
  </si>
  <si>
    <t>Medicinal Chemicals and Botanical Products</t>
  </si>
  <si>
    <t>USNA US Equity</t>
  </si>
  <si>
    <t>NB_564</t>
  </si>
  <si>
    <t>CCEL</t>
  </si>
  <si>
    <t>Cryo-Cell International Inc. Common Stock</t>
  </si>
  <si>
    <t>Misc Health and Biotechnology Services</t>
  </si>
  <si>
    <t>CCEL US Equity</t>
  </si>
  <si>
    <t>NB_710</t>
  </si>
  <si>
    <t>COO</t>
  </si>
  <si>
    <t>The Cooper Companies Inc. Common Stock</t>
  </si>
  <si>
    <t>Ophthalmic Goods</t>
  </si>
  <si>
    <t>COO US Equity</t>
  </si>
  <si>
    <t>NB_528</t>
  </si>
  <si>
    <t>CAH</t>
  </si>
  <si>
    <t>Cardinal Health Inc. Common Stock</t>
  </si>
  <si>
    <t>Other Pharmaceuticals</t>
  </si>
  <si>
    <t>CAH US Equity</t>
  </si>
  <si>
    <t>NB_108</t>
  </si>
  <si>
    <t>AIDX</t>
  </si>
  <si>
    <t>20/20 Biolabs Inc. Common Stock</t>
  </si>
  <si>
    <t>Precision Instruments</t>
  </si>
  <si>
    <t>AIDX US Equity</t>
  </si>
  <si>
    <t>NB_30</t>
  </si>
  <si>
    <t>ACHR</t>
  </si>
  <si>
    <t>Archer Aviation Inc. Class A Common Stock</t>
  </si>
  <si>
    <t>Industrials</t>
  </si>
  <si>
    <t>Aerospace</t>
  </si>
  <si>
    <t>ACHR US Equity</t>
  </si>
  <si>
    <t>NB_317</t>
  </si>
  <si>
    <t>AVD</t>
  </si>
  <si>
    <t>American Vanguard Corporation Common Stock ($0.10 Par Value)</t>
  </si>
  <si>
    <t>Agricultural Chemicals</t>
  </si>
  <si>
    <t>AVD US Equity</t>
  </si>
  <si>
    <t>NB_597</t>
  </si>
  <si>
    <t>CENX</t>
  </si>
  <si>
    <t>Century Aluminum Company Common Stock</t>
  </si>
  <si>
    <t>Aluminum</t>
  </si>
  <si>
    <t>CENX US Equity</t>
  </si>
  <si>
    <t>NB_2958</t>
  </si>
  <si>
    <t>TSLA</t>
  </si>
  <si>
    <t>Tesla Inc. Common Stock</t>
  </si>
  <si>
    <t>Auto Manufacturing</t>
  </si>
  <si>
    <t>TSLA US Equity</t>
  </si>
  <si>
    <t>NB_0</t>
  </si>
  <si>
    <t>A</t>
  </si>
  <si>
    <t>Agilent Technologies Inc. Common Stock</t>
  </si>
  <si>
    <t>Biotechnology: Laboratory Analytical Instruments</t>
  </si>
  <si>
    <t>A US Equity</t>
  </si>
  <si>
    <t>NB_2785</t>
  </si>
  <si>
    <t>SSP</t>
  </si>
  <si>
    <t>E.W. Scripps Company (The) Class A Common Stock</t>
  </si>
  <si>
    <t>Broadcasting</t>
  </si>
  <si>
    <t>SSP US Equity</t>
  </si>
  <si>
    <t>NB_1073</t>
  </si>
  <si>
    <t>EXP</t>
  </si>
  <si>
    <t>Eagle Materials Inc Common Stock</t>
  </si>
  <si>
    <t>Building Materials</t>
  </si>
  <si>
    <t>EXP US Equity</t>
  </si>
  <si>
    <t>NB_505</t>
  </si>
  <si>
    <t>BW</t>
  </si>
  <si>
    <t>Babcock &amp; Wilcox Enterprises Inc. Common Stock</t>
  </si>
  <si>
    <t>Building Products</t>
  </si>
  <si>
    <t>BW US Equity</t>
  </si>
  <si>
    <t>NB_2879</t>
  </si>
  <si>
    <t>TEX</t>
  </si>
  <si>
    <t>Terex Corporation Common Stock</t>
  </si>
  <si>
    <t>Construction/Ag Equipment/Trucks</t>
  </si>
  <si>
    <t>TEX US Equity</t>
  </si>
  <si>
    <t>NB_566</t>
  </si>
  <si>
    <t>CCK</t>
  </si>
  <si>
    <t>Crown Holdings Inc.</t>
  </si>
  <si>
    <t>Containers/Packaging</t>
  </si>
  <si>
    <t>CCK US Equity</t>
  </si>
  <si>
    <t>NB_1154</t>
  </si>
  <si>
    <t>FORR</t>
  </si>
  <si>
    <t>Forrester Research Inc. Common Stock</t>
  </si>
  <si>
    <t>Diversified Commercial Services</t>
  </si>
  <si>
    <t>FORR US Equity</t>
  </si>
  <si>
    <t>NB_84</t>
  </si>
  <si>
    <t>AES</t>
  </si>
  <si>
    <t>The AES Corporation Common Stock</t>
  </si>
  <si>
    <t>Electric Utilities: Central</t>
  </si>
  <si>
    <t>AES US Equity</t>
  </si>
  <si>
    <t>NB_2949</t>
  </si>
  <si>
    <t>TRNS</t>
  </si>
  <si>
    <t>Transcat Inc. Common Stock</t>
  </si>
  <si>
    <t>Electrical Products</t>
  </si>
  <si>
    <t>TRNS US Equity</t>
  </si>
  <si>
    <t>NB_1132</t>
  </si>
  <si>
    <t>FIX</t>
  </si>
  <si>
    <t>Comfort Systems USA Inc. Common Stock</t>
  </si>
  <si>
    <t>Engineering &amp; Construction</t>
  </si>
  <si>
    <t>FIX US Equity</t>
  </si>
  <si>
    <t>NB_647</t>
  </si>
  <si>
    <t>CLH</t>
  </si>
  <si>
    <t>Clean Harbors Inc. Common Stock</t>
  </si>
  <si>
    <t>Environmental Services</t>
  </si>
  <si>
    <t>CLH US Equity</t>
  </si>
  <si>
    <t>NB_621</t>
  </si>
  <si>
    <t>CHSCL</t>
  </si>
  <si>
    <t>CHS Inc Class B Cumulative Redeemable Preferred Stock Series 4</t>
  </si>
  <si>
    <t>Farming/Seeds/Milling</t>
  </si>
  <si>
    <t>CHSCL US Equity</t>
  </si>
  <si>
    <t>NB_217</t>
  </si>
  <si>
    <t>AP</t>
  </si>
  <si>
    <t>Ampco-Pittsburgh Corporation Common Stock</t>
  </si>
  <si>
    <t>Fluid Controls</t>
  </si>
  <si>
    <t>AP US Equity</t>
  </si>
  <si>
    <t>NB_770</t>
  </si>
  <si>
    <t>CTAS</t>
  </si>
  <si>
    <t>Cintas Corporation Common Stock</t>
  </si>
  <si>
    <t>Garments and Clothing</t>
  </si>
  <si>
    <t>CTAS US Equity</t>
  </si>
  <si>
    <t>NB_1191</t>
  </si>
  <si>
    <t>FUL</t>
  </si>
  <si>
    <t>H. B. Fuller Company Common Stock</t>
  </si>
  <si>
    <t>Home Furnishings</t>
  </si>
  <si>
    <t>FUL US Equity</t>
  </si>
  <si>
    <t>NB_3174</t>
  </si>
  <si>
    <t>WGO</t>
  </si>
  <si>
    <t>Winnebago Industries Inc. Common Stock</t>
  </si>
  <si>
    <t>Homebuilding</t>
  </si>
  <si>
    <t>WGO US Equity</t>
  </si>
  <si>
    <t>NB_4</t>
  </si>
  <si>
    <t>AAON</t>
  </si>
  <si>
    <t>AAON Inc. Common Stock</t>
  </si>
  <si>
    <t>Industrial Machinery/Components</t>
  </si>
  <si>
    <t>AAON US Equity</t>
  </si>
  <si>
    <t>NB_543</t>
  </si>
  <si>
    <t>CARR</t>
  </si>
  <si>
    <t>Carrier Global Corporation Common Stock</t>
  </si>
  <si>
    <t>CARR US Equity</t>
  </si>
  <si>
    <t>NB_857</t>
  </si>
  <si>
    <t>DE</t>
  </si>
  <si>
    <t>Deere &amp; Company Common Stock</t>
  </si>
  <si>
    <t>DE US Equity</t>
  </si>
  <si>
    <t>NB_2540</t>
  </si>
  <si>
    <t>RRX</t>
  </si>
  <si>
    <t>Regal Rexnord Corporation Common Stock</t>
  </si>
  <si>
    <t>RRX US Equity</t>
  </si>
  <si>
    <t>NB_2845</t>
  </si>
  <si>
    <t>SYPR</t>
  </si>
  <si>
    <t>Sypris Solutions Inc. Common Stock</t>
  </si>
  <si>
    <t>SYPR US Equity</t>
  </si>
  <si>
    <t>NB_1968</t>
  </si>
  <si>
    <t>MTRN</t>
  </si>
  <si>
    <t>Materion Corporation</t>
  </si>
  <si>
    <t>MTRN US Equity</t>
  </si>
  <si>
    <t>NB_2501</t>
  </si>
  <si>
    <t>RLGT</t>
  </si>
  <si>
    <t>Radiant Logistics Inc. Common Stock</t>
  </si>
  <si>
    <t>Integrated Freight &amp; Logistics</t>
  </si>
  <si>
    <t>RLGT US Equity</t>
  </si>
  <si>
    <t>NB_852</t>
  </si>
  <si>
    <t>DD</t>
  </si>
  <si>
    <t>DuPont de Nemours Inc. Common Stock</t>
  </si>
  <si>
    <t>Major Chemicals</t>
  </si>
  <si>
    <t>DD US Equity</t>
  </si>
  <si>
    <t>NB_2580</t>
  </si>
  <si>
    <t>SAFX</t>
  </si>
  <si>
    <t>XCF Global Inc. Class A Common Stock</t>
  </si>
  <si>
    <t>SAFX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</si>
  <si>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</si>
  <si>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</si>
  <si>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</si>
  <si>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</si>
  <si>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</si>
  <si>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</si>
  <si>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</si>
  <si>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</si>
  <si>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</si>
  <si>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</si>
  <si>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</si>
  <si>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</si>
  <si>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</si>
  <si>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</si>
  <si>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</si>
  <si>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</si>
  <si>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</si>
  <si>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</si>
  <si>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</si>
  <si>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</si>
  <si>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</si>
  <si>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</si>
  <si>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</si>
  <si>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</si>
  <si>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</si>
  <si>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</si>
  <si>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</si>
  <si>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</si>
  <si>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</si>
  <si>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</si>
  <si>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</si>
  <si>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</si>
  <si>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</si>
  <si>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</si>
  <si>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</si>
  <si>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</si>
  <si>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</si>
  <si>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</si>
  <si>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</si>
  <si>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</si>
  <si>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</si>
  <si>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</si>
  <si>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</si>
  <si>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</si>
  <si>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</si>
  <si>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</si>
  <si>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</si>
  <si>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</si>
  <si>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beta_Date</t>
  </si>
  <si>
    <t>beta_Value</t>
  </si>
  <si>
    <t>volume_Date</t>
  </si>
  <si>
    <t>volume_Value</t>
  </si>
  <si>
    <t>turnover_Date</t>
  </si>
  <si>
    <t>turnover_Value</t>
  </si>
  <si>
    <t>bid_ask_spread_Date</t>
  </si>
  <si>
    <t>bid_ask_spread_Value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</si>
</sst>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theme" Target="theme/theme1.xml"/><Relationship Id="rId53" Type="http://schemas.openxmlformats.org/officeDocument/2006/relationships/styles" Target="styles.xml"/><Relationship Id="rId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51"/>
  <sheetViews>
    <sheetView tabSelected="1" workbookViewId="0"/>
  </sheetViews>
  <sheetFormatPr defaultRowHeight="15"/>
  <cols>
    <col min="1" max="11" width="18.710937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19</v>
      </c>
    </row>
    <row r="3" spans="1:11">
      <c r="A3" t="s">
        <v>21</v>
      </c>
      <c r="B3" t="s">
        <v>12</v>
      </c>
      <c r="C3" t="s">
        <v>13</v>
      </c>
      <c r="D3" t="s">
        <v>22</v>
      </c>
      <c r="E3" t="s">
        <v>23</v>
      </c>
      <c r="F3" t="s">
        <v>16</v>
      </c>
      <c r="G3" t="s">
        <v>17</v>
      </c>
      <c r="H3" t="s">
        <v>24</v>
      </c>
      <c r="I3" t="s">
        <v>19</v>
      </c>
      <c r="J3" t="s">
        <v>20</v>
      </c>
      <c r="K3" t="s">
        <v>19</v>
      </c>
    </row>
    <row r="4" spans="1:11">
      <c r="A4" t="s">
        <v>25</v>
      </c>
      <c r="B4" t="s">
        <v>12</v>
      </c>
      <c r="C4" t="s">
        <v>13</v>
      </c>
      <c r="D4" t="s">
        <v>26</v>
      </c>
      <c r="E4" t="s">
        <v>27</v>
      </c>
      <c r="F4" t="s">
        <v>16</v>
      </c>
      <c r="G4" t="s">
        <v>28</v>
      </c>
      <c r="H4" t="s">
        <v>29</v>
      </c>
      <c r="I4" t="s">
        <v>19</v>
      </c>
      <c r="J4" t="s">
        <v>20</v>
      </c>
      <c r="K4" t="s">
        <v>19</v>
      </c>
    </row>
    <row r="5" spans="1:11">
      <c r="A5" t="s">
        <v>30</v>
      </c>
      <c r="B5" t="s">
        <v>12</v>
      </c>
      <c r="C5" t="s">
        <v>13</v>
      </c>
      <c r="D5" t="s">
        <v>31</v>
      </c>
      <c r="E5" t="s">
        <v>32</v>
      </c>
      <c r="F5" t="s">
        <v>16</v>
      </c>
      <c r="G5" t="s">
        <v>33</v>
      </c>
      <c r="H5" t="s">
        <v>34</v>
      </c>
      <c r="I5" t="s">
        <v>19</v>
      </c>
      <c r="J5" t="s">
        <v>20</v>
      </c>
      <c r="K5" t="s">
        <v>19</v>
      </c>
    </row>
    <row r="6" spans="1:11">
      <c r="A6" t="s">
        <v>35</v>
      </c>
      <c r="B6" t="s">
        <v>12</v>
      </c>
      <c r="C6" t="s">
        <v>13</v>
      </c>
      <c r="D6" t="s">
        <v>36</v>
      </c>
      <c r="E6" t="s">
        <v>37</v>
      </c>
      <c r="F6" t="s">
        <v>16</v>
      </c>
      <c r="G6" t="s">
        <v>38</v>
      </c>
      <c r="H6" t="s">
        <v>39</v>
      </c>
      <c r="I6" t="s">
        <v>19</v>
      </c>
      <c r="J6" t="s">
        <v>20</v>
      </c>
      <c r="K6" t="s">
        <v>19</v>
      </c>
    </row>
    <row r="7" spans="1:11">
      <c r="A7" t="s">
        <v>40</v>
      </c>
      <c r="B7" t="s">
        <v>12</v>
      </c>
      <c r="C7" t="s">
        <v>13</v>
      </c>
      <c r="D7" t="s">
        <v>41</v>
      </c>
      <c r="E7" t="s">
        <v>42</v>
      </c>
      <c r="F7" t="s">
        <v>16</v>
      </c>
      <c r="G7" t="s">
        <v>43</v>
      </c>
      <c r="H7" t="s">
        <v>44</v>
      </c>
      <c r="I7" t="s">
        <v>19</v>
      </c>
      <c r="J7" t="s">
        <v>20</v>
      </c>
      <c r="K7" t="s">
        <v>19</v>
      </c>
    </row>
    <row r="8" spans="1:11">
      <c r="A8" t="s">
        <v>45</v>
      </c>
      <c r="B8" t="s">
        <v>12</v>
      </c>
      <c r="C8" t="s">
        <v>13</v>
      </c>
      <c r="D8" t="s">
        <v>46</v>
      </c>
      <c r="E8" t="s">
        <v>47</v>
      </c>
      <c r="F8" t="s">
        <v>16</v>
      </c>
      <c r="G8" t="s">
        <v>48</v>
      </c>
      <c r="H8" t="s">
        <v>49</v>
      </c>
      <c r="I8" t="s">
        <v>19</v>
      </c>
      <c r="J8" t="s">
        <v>20</v>
      </c>
      <c r="K8" t="s">
        <v>19</v>
      </c>
    </row>
    <row r="9" spans="1:11">
      <c r="A9" t="s">
        <v>50</v>
      </c>
      <c r="B9" t="s">
        <v>12</v>
      </c>
      <c r="C9" t="s">
        <v>13</v>
      </c>
      <c r="D9" t="s">
        <v>51</v>
      </c>
      <c r="E9" t="s">
        <v>52</v>
      </c>
      <c r="F9" t="s">
        <v>16</v>
      </c>
      <c r="G9" t="s">
        <v>48</v>
      </c>
      <c r="H9" t="s">
        <v>53</v>
      </c>
      <c r="I9" t="s">
        <v>19</v>
      </c>
      <c r="J9" t="s">
        <v>20</v>
      </c>
      <c r="K9" t="s">
        <v>19</v>
      </c>
    </row>
    <row r="10" spans="1:11">
      <c r="A10" t="s">
        <v>54</v>
      </c>
      <c r="B10" t="s">
        <v>12</v>
      </c>
      <c r="C10" t="s">
        <v>13</v>
      </c>
      <c r="D10" t="s">
        <v>55</v>
      </c>
      <c r="E10" t="s">
        <v>56</v>
      </c>
      <c r="F10" t="s">
        <v>16</v>
      </c>
      <c r="G10" t="s">
        <v>57</v>
      </c>
      <c r="H10" t="s">
        <v>58</v>
      </c>
      <c r="I10" t="s">
        <v>19</v>
      </c>
      <c r="J10" t="s">
        <v>20</v>
      </c>
      <c r="K10" t="s">
        <v>19</v>
      </c>
    </row>
    <row r="11" spans="1:11">
      <c r="A11" t="s">
        <v>59</v>
      </c>
      <c r="B11" t="s">
        <v>12</v>
      </c>
      <c r="C11" t="s">
        <v>13</v>
      </c>
      <c r="D11" t="s">
        <v>60</v>
      </c>
      <c r="E11" t="s">
        <v>61</v>
      </c>
      <c r="F11" t="s">
        <v>16</v>
      </c>
      <c r="G11" t="s">
        <v>57</v>
      </c>
      <c r="H11" t="s">
        <v>62</v>
      </c>
      <c r="I11" t="s">
        <v>19</v>
      </c>
      <c r="J11" t="s">
        <v>20</v>
      </c>
      <c r="K11" t="s">
        <v>19</v>
      </c>
    </row>
    <row r="12" spans="1:11">
      <c r="A12" t="s">
        <v>63</v>
      </c>
      <c r="B12" t="s">
        <v>12</v>
      </c>
      <c r="C12" t="s">
        <v>13</v>
      </c>
      <c r="D12" t="s">
        <v>64</v>
      </c>
      <c r="E12" t="s">
        <v>65</v>
      </c>
      <c r="F12" t="s">
        <v>16</v>
      </c>
      <c r="G12" t="s">
        <v>57</v>
      </c>
      <c r="H12" t="s">
        <v>66</v>
      </c>
      <c r="I12" t="s">
        <v>19</v>
      </c>
      <c r="J12" t="s">
        <v>20</v>
      </c>
      <c r="K12" t="s">
        <v>19</v>
      </c>
    </row>
    <row r="13" spans="1:11">
      <c r="A13" t="s">
        <v>67</v>
      </c>
      <c r="B13" t="s">
        <v>12</v>
      </c>
      <c r="C13" t="s">
        <v>13</v>
      </c>
      <c r="D13" t="s">
        <v>68</v>
      </c>
      <c r="E13" t="s">
        <v>69</v>
      </c>
      <c r="F13" t="s">
        <v>16</v>
      </c>
      <c r="G13" t="s">
        <v>57</v>
      </c>
      <c r="H13" t="s">
        <v>70</v>
      </c>
      <c r="I13" t="s">
        <v>19</v>
      </c>
      <c r="J13" t="s">
        <v>20</v>
      </c>
      <c r="K13" t="s">
        <v>19</v>
      </c>
    </row>
    <row r="14" spans="1:11">
      <c r="A14" t="s">
        <v>71</v>
      </c>
      <c r="B14" t="s">
        <v>12</v>
      </c>
      <c r="C14" t="s">
        <v>13</v>
      </c>
      <c r="D14" t="s">
        <v>72</v>
      </c>
      <c r="E14" t="s">
        <v>73</v>
      </c>
      <c r="F14" t="s">
        <v>16</v>
      </c>
      <c r="G14" t="s">
        <v>57</v>
      </c>
      <c r="H14" t="s">
        <v>74</v>
      </c>
      <c r="I14" t="s">
        <v>19</v>
      </c>
      <c r="J14" t="s">
        <v>20</v>
      </c>
      <c r="K14" t="s">
        <v>19</v>
      </c>
    </row>
    <row r="15" spans="1:11">
      <c r="A15" t="s">
        <v>75</v>
      </c>
      <c r="B15" t="s">
        <v>12</v>
      </c>
      <c r="C15" t="s">
        <v>13</v>
      </c>
      <c r="D15" t="s">
        <v>76</v>
      </c>
      <c r="E15" t="s">
        <v>77</v>
      </c>
      <c r="F15" t="s">
        <v>16</v>
      </c>
      <c r="G15" t="s">
        <v>57</v>
      </c>
      <c r="H15" t="s">
        <v>78</v>
      </c>
      <c r="I15" t="s">
        <v>19</v>
      </c>
      <c r="J15" t="s">
        <v>20</v>
      </c>
      <c r="K15" t="s">
        <v>19</v>
      </c>
    </row>
    <row r="16" spans="1:11">
      <c r="A16" t="s">
        <v>79</v>
      </c>
      <c r="B16" t="s">
        <v>12</v>
      </c>
      <c r="C16" t="s">
        <v>13</v>
      </c>
      <c r="D16" t="s">
        <v>80</v>
      </c>
      <c r="E16" t="s">
        <v>81</v>
      </c>
      <c r="F16" t="s">
        <v>16</v>
      </c>
      <c r="G16" t="s">
        <v>57</v>
      </c>
      <c r="H16" t="s">
        <v>82</v>
      </c>
      <c r="I16" t="s">
        <v>19</v>
      </c>
      <c r="J16" t="s">
        <v>20</v>
      </c>
      <c r="K16" t="s">
        <v>19</v>
      </c>
    </row>
    <row r="17" spans="1:11">
      <c r="A17" t="s">
        <v>83</v>
      </c>
      <c r="B17" t="s">
        <v>12</v>
      </c>
      <c r="C17" t="s">
        <v>13</v>
      </c>
      <c r="D17" t="s">
        <v>84</v>
      </c>
      <c r="E17" t="s">
        <v>85</v>
      </c>
      <c r="F17" t="s">
        <v>16</v>
      </c>
      <c r="G17" t="s">
        <v>86</v>
      </c>
      <c r="H17" t="s">
        <v>87</v>
      </c>
      <c r="I17" t="s">
        <v>19</v>
      </c>
      <c r="J17" t="s">
        <v>20</v>
      </c>
      <c r="K17" t="s">
        <v>19</v>
      </c>
    </row>
    <row r="18" spans="1:11">
      <c r="A18" t="s">
        <v>88</v>
      </c>
      <c r="B18" t="s">
        <v>12</v>
      </c>
      <c r="C18" t="s">
        <v>13</v>
      </c>
      <c r="D18" t="s">
        <v>89</v>
      </c>
      <c r="E18" t="s">
        <v>90</v>
      </c>
      <c r="F18" t="s">
        <v>16</v>
      </c>
      <c r="G18" t="s">
        <v>91</v>
      </c>
      <c r="H18" t="s">
        <v>92</v>
      </c>
      <c r="I18" t="s">
        <v>19</v>
      </c>
      <c r="J18" t="s">
        <v>20</v>
      </c>
      <c r="K18" t="s">
        <v>19</v>
      </c>
    </row>
    <row r="19" spans="1:11">
      <c r="A19" t="s">
        <v>93</v>
      </c>
      <c r="B19" t="s">
        <v>12</v>
      </c>
      <c r="C19" t="s">
        <v>13</v>
      </c>
      <c r="D19" t="s">
        <v>94</v>
      </c>
      <c r="E19" t="s">
        <v>95</v>
      </c>
      <c r="F19" t="s">
        <v>16</v>
      </c>
      <c r="G19" t="s">
        <v>96</v>
      </c>
      <c r="H19" t="s">
        <v>97</v>
      </c>
      <c r="I19" t="s">
        <v>19</v>
      </c>
      <c r="J19" t="s">
        <v>20</v>
      </c>
      <c r="K19" t="s">
        <v>19</v>
      </c>
    </row>
    <row r="20" spans="1:11">
      <c r="A20" t="s">
        <v>98</v>
      </c>
      <c r="B20" t="s">
        <v>12</v>
      </c>
      <c r="C20" t="s">
        <v>13</v>
      </c>
      <c r="D20" t="s">
        <v>99</v>
      </c>
      <c r="E20" t="s">
        <v>100</v>
      </c>
      <c r="F20" t="s">
        <v>16</v>
      </c>
      <c r="G20" t="s">
        <v>101</v>
      </c>
      <c r="H20" t="s">
        <v>102</v>
      </c>
      <c r="I20" t="s">
        <v>19</v>
      </c>
      <c r="J20" t="s">
        <v>20</v>
      </c>
      <c r="K20" t="s">
        <v>19</v>
      </c>
    </row>
    <row r="21" spans="1:11">
      <c r="A21" t="s">
        <v>103</v>
      </c>
      <c r="B21" t="s">
        <v>12</v>
      </c>
      <c r="C21" t="s">
        <v>13</v>
      </c>
      <c r="D21" t="s">
        <v>104</v>
      </c>
      <c r="E21" t="s">
        <v>105</v>
      </c>
      <c r="F21" t="s">
        <v>16</v>
      </c>
      <c r="G21" t="s">
        <v>106</v>
      </c>
      <c r="H21" t="s">
        <v>107</v>
      </c>
      <c r="I21" t="s">
        <v>19</v>
      </c>
      <c r="J21" t="s">
        <v>20</v>
      </c>
      <c r="K21" t="s">
        <v>19</v>
      </c>
    </row>
    <row r="22" spans="1:11">
      <c r="A22" t="s">
        <v>108</v>
      </c>
      <c r="B22" t="s">
        <v>12</v>
      </c>
      <c r="C22" t="s">
        <v>13</v>
      </c>
      <c r="D22" t="s">
        <v>109</v>
      </c>
      <c r="E22" t="s">
        <v>110</v>
      </c>
      <c r="F22" t="s">
        <v>16</v>
      </c>
      <c r="G22" t="s">
        <v>111</v>
      </c>
      <c r="H22" t="s">
        <v>112</v>
      </c>
      <c r="I22" t="s">
        <v>19</v>
      </c>
      <c r="J22" t="s">
        <v>20</v>
      </c>
      <c r="K22" t="s">
        <v>19</v>
      </c>
    </row>
    <row r="23" spans="1:11">
      <c r="A23" t="s">
        <v>113</v>
      </c>
      <c r="B23" t="s">
        <v>12</v>
      </c>
      <c r="C23" t="s">
        <v>13</v>
      </c>
      <c r="D23" t="s">
        <v>114</v>
      </c>
      <c r="E23" t="s">
        <v>115</v>
      </c>
      <c r="F23" t="s">
        <v>116</v>
      </c>
      <c r="G23" t="s">
        <v>117</v>
      </c>
      <c r="H23" t="s">
        <v>118</v>
      </c>
      <c r="I23" t="s">
        <v>19</v>
      </c>
      <c r="J23" t="s">
        <v>20</v>
      </c>
      <c r="K23" t="s">
        <v>19</v>
      </c>
    </row>
    <row r="24" spans="1:11">
      <c r="A24" t="s">
        <v>119</v>
      </c>
      <c r="B24" t="s">
        <v>12</v>
      </c>
      <c r="C24" t="s">
        <v>13</v>
      </c>
      <c r="D24" t="s">
        <v>120</v>
      </c>
      <c r="E24" t="s">
        <v>121</v>
      </c>
      <c r="F24" t="s">
        <v>116</v>
      </c>
      <c r="G24" t="s">
        <v>122</v>
      </c>
      <c r="H24" t="s">
        <v>123</v>
      </c>
      <c r="I24" t="s">
        <v>19</v>
      </c>
      <c r="J24" t="s">
        <v>20</v>
      </c>
      <c r="K24" t="s">
        <v>19</v>
      </c>
    </row>
    <row r="25" spans="1:11">
      <c r="A25" t="s">
        <v>124</v>
      </c>
      <c r="B25" t="s">
        <v>12</v>
      </c>
      <c r="C25" t="s">
        <v>13</v>
      </c>
      <c r="D25" t="s">
        <v>125</v>
      </c>
      <c r="E25" t="s">
        <v>126</v>
      </c>
      <c r="F25" t="s">
        <v>116</v>
      </c>
      <c r="G25" t="s">
        <v>127</v>
      </c>
      <c r="H25" t="s">
        <v>128</v>
      </c>
      <c r="I25" t="s">
        <v>19</v>
      </c>
      <c r="J25" t="s">
        <v>20</v>
      </c>
      <c r="K25" t="s">
        <v>19</v>
      </c>
    </row>
    <row r="26" spans="1:11">
      <c r="A26" t="s">
        <v>129</v>
      </c>
      <c r="B26" t="s">
        <v>12</v>
      </c>
      <c r="C26" t="s">
        <v>13</v>
      </c>
      <c r="D26" t="s">
        <v>130</v>
      </c>
      <c r="E26" t="s">
        <v>131</v>
      </c>
      <c r="F26" t="s">
        <v>116</v>
      </c>
      <c r="G26" t="s">
        <v>132</v>
      </c>
      <c r="H26" t="s">
        <v>133</v>
      </c>
      <c r="I26" t="s">
        <v>19</v>
      </c>
      <c r="J26" t="s">
        <v>20</v>
      </c>
      <c r="K26" t="s">
        <v>19</v>
      </c>
    </row>
    <row r="27" spans="1:11">
      <c r="A27" t="s">
        <v>134</v>
      </c>
      <c r="B27" t="s">
        <v>12</v>
      </c>
      <c r="C27" t="s">
        <v>13</v>
      </c>
      <c r="D27" t="s">
        <v>135</v>
      </c>
      <c r="E27" t="s">
        <v>136</v>
      </c>
      <c r="F27" t="s">
        <v>116</v>
      </c>
      <c r="G27" t="s">
        <v>137</v>
      </c>
      <c r="H27" t="s">
        <v>138</v>
      </c>
      <c r="I27" t="s">
        <v>19</v>
      </c>
      <c r="J27" t="s">
        <v>20</v>
      </c>
      <c r="K27" t="s">
        <v>19</v>
      </c>
    </row>
    <row r="28" spans="1:11">
      <c r="A28" t="s">
        <v>139</v>
      </c>
      <c r="B28" t="s">
        <v>12</v>
      </c>
      <c r="C28" t="s">
        <v>13</v>
      </c>
      <c r="D28" t="s">
        <v>140</v>
      </c>
      <c r="E28" t="s">
        <v>141</v>
      </c>
      <c r="F28" t="s">
        <v>116</v>
      </c>
      <c r="G28" t="s">
        <v>142</v>
      </c>
      <c r="H28" t="s">
        <v>143</v>
      </c>
      <c r="I28" t="s">
        <v>19</v>
      </c>
      <c r="J28" t="s">
        <v>20</v>
      </c>
      <c r="K28" t="s">
        <v>19</v>
      </c>
    </row>
    <row r="29" spans="1:11">
      <c r="A29" t="s">
        <v>144</v>
      </c>
      <c r="B29" t="s">
        <v>12</v>
      </c>
      <c r="C29" t="s">
        <v>13</v>
      </c>
      <c r="D29" t="s">
        <v>145</v>
      </c>
      <c r="E29" t="s">
        <v>146</v>
      </c>
      <c r="F29" t="s">
        <v>116</v>
      </c>
      <c r="G29" t="s">
        <v>147</v>
      </c>
      <c r="H29" t="s">
        <v>148</v>
      </c>
      <c r="I29" t="s">
        <v>19</v>
      </c>
      <c r="J29" t="s">
        <v>20</v>
      </c>
      <c r="K29" t="s">
        <v>19</v>
      </c>
    </row>
    <row r="30" spans="1:11">
      <c r="A30" t="s">
        <v>149</v>
      </c>
      <c r="B30" t="s">
        <v>12</v>
      </c>
      <c r="C30" t="s">
        <v>13</v>
      </c>
      <c r="D30" t="s">
        <v>150</v>
      </c>
      <c r="E30" t="s">
        <v>151</v>
      </c>
      <c r="F30" t="s">
        <v>116</v>
      </c>
      <c r="G30" t="s">
        <v>152</v>
      </c>
      <c r="H30" t="s">
        <v>153</v>
      </c>
      <c r="I30" t="s">
        <v>19</v>
      </c>
      <c r="J30" t="s">
        <v>20</v>
      </c>
      <c r="K30" t="s">
        <v>19</v>
      </c>
    </row>
    <row r="31" spans="1:11">
      <c r="A31" t="s">
        <v>154</v>
      </c>
      <c r="B31" t="s">
        <v>12</v>
      </c>
      <c r="C31" t="s">
        <v>13</v>
      </c>
      <c r="D31" t="s">
        <v>155</v>
      </c>
      <c r="E31" t="s">
        <v>156</v>
      </c>
      <c r="F31" t="s">
        <v>116</v>
      </c>
      <c r="G31" t="s">
        <v>157</v>
      </c>
      <c r="H31" t="s">
        <v>158</v>
      </c>
      <c r="I31" t="s">
        <v>19</v>
      </c>
      <c r="J31" t="s">
        <v>20</v>
      </c>
      <c r="K31" t="s">
        <v>19</v>
      </c>
    </row>
    <row r="32" spans="1:11">
      <c r="A32" t="s">
        <v>159</v>
      </c>
      <c r="B32" t="s">
        <v>12</v>
      </c>
      <c r="C32" t="s">
        <v>13</v>
      </c>
      <c r="D32" t="s">
        <v>160</v>
      </c>
      <c r="E32" t="s">
        <v>161</v>
      </c>
      <c r="F32" t="s">
        <v>116</v>
      </c>
      <c r="G32" t="s">
        <v>162</v>
      </c>
      <c r="H32" t="s">
        <v>163</v>
      </c>
      <c r="I32" t="s">
        <v>19</v>
      </c>
      <c r="J32" t="s">
        <v>20</v>
      </c>
      <c r="K32" t="s">
        <v>19</v>
      </c>
    </row>
    <row r="33" spans="1:11">
      <c r="A33" t="s">
        <v>164</v>
      </c>
      <c r="B33" t="s">
        <v>12</v>
      </c>
      <c r="C33" t="s">
        <v>13</v>
      </c>
      <c r="D33" t="s">
        <v>165</v>
      </c>
      <c r="E33" t="s">
        <v>166</v>
      </c>
      <c r="F33" t="s">
        <v>116</v>
      </c>
      <c r="G33" t="s">
        <v>167</v>
      </c>
      <c r="H33" t="s">
        <v>168</v>
      </c>
      <c r="I33" t="s">
        <v>19</v>
      </c>
      <c r="J33" t="s">
        <v>20</v>
      </c>
      <c r="K33" t="s">
        <v>19</v>
      </c>
    </row>
    <row r="34" spans="1:11">
      <c r="A34" t="s">
        <v>169</v>
      </c>
      <c r="B34" t="s">
        <v>12</v>
      </c>
      <c r="C34" t="s">
        <v>13</v>
      </c>
      <c r="D34" t="s">
        <v>170</v>
      </c>
      <c r="E34" t="s">
        <v>171</v>
      </c>
      <c r="F34" t="s">
        <v>116</v>
      </c>
      <c r="G34" t="s">
        <v>172</v>
      </c>
      <c r="H34" t="s">
        <v>173</v>
      </c>
      <c r="I34" t="s">
        <v>19</v>
      </c>
      <c r="J34" t="s">
        <v>20</v>
      </c>
      <c r="K34" t="s">
        <v>19</v>
      </c>
    </row>
    <row r="35" spans="1:11">
      <c r="A35" t="s">
        <v>174</v>
      </c>
      <c r="B35" t="s">
        <v>12</v>
      </c>
      <c r="C35" t="s">
        <v>13</v>
      </c>
      <c r="D35" t="s">
        <v>175</v>
      </c>
      <c r="E35" t="s">
        <v>176</v>
      </c>
      <c r="F35" t="s">
        <v>116</v>
      </c>
      <c r="G35" t="s">
        <v>177</v>
      </c>
      <c r="H35" t="s">
        <v>178</v>
      </c>
      <c r="I35" t="s">
        <v>19</v>
      </c>
      <c r="J35" t="s">
        <v>20</v>
      </c>
      <c r="K35" t="s">
        <v>19</v>
      </c>
    </row>
    <row r="36" spans="1:11">
      <c r="A36" t="s">
        <v>179</v>
      </c>
      <c r="B36" t="s">
        <v>12</v>
      </c>
      <c r="C36" t="s">
        <v>13</v>
      </c>
      <c r="D36" t="s">
        <v>180</v>
      </c>
      <c r="E36" t="s">
        <v>181</v>
      </c>
      <c r="F36" t="s">
        <v>116</v>
      </c>
      <c r="G36" t="s">
        <v>182</v>
      </c>
      <c r="H36" t="s">
        <v>183</v>
      </c>
      <c r="I36" t="s">
        <v>19</v>
      </c>
      <c r="J36" t="s">
        <v>20</v>
      </c>
      <c r="K36" t="s">
        <v>19</v>
      </c>
    </row>
    <row r="37" spans="1:11">
      <c r="A37" t="s">
        <v>184</v>
      </c>
      <c r="B37" t="s">
        <v>12</v>
      </c>
      <c r="C37" t="s">
        <v>13</v>
      </c>
      <c r="D37" t="s">
        <v>185</v>
      </c>
      <c r="E37" t="s">
        <v>186</v>
      </c>
      <c r="F37" t="s">
        <v>116</v>
      </c>
      <c r="G37" t="s">
        <v>187</v>
      </c>
      <c r="H37" t="s">
        <v>188</v>
      </c>
      <c r="I37" t="s">
        <v>19</v>
      </c>
      <c r="J37" t="s">
        <v>20</v>
      </c>
      <c r="K37" t="s">
        <v>19</v>
      </c>
    </row>
    <row r="38" spans="1:11">
      <c r="A38" t="s">
        <v>189</v>
      </c>
      <c r="B38" t="s">
        <v>12</v>
      </c>
      <c r="C38" t="s">
        <v>13</v>
      </c>
      <c r="D38" t="s">
        <v>190</v>
      </c>
      <c r="E38" t="s">
        <v>191</v>
      </c>
      <c r="F38" t="s">
        <v>116</v>
      </c>
      <c r="G38" t="s">
        <v>192</v>
      </c>
      <c r="H38" t="s">
        <v>193</v>
      </c>
      <c r="I38" t="s">
        <v>19</v>
      </c>
      <c r="J38" t="s">
        <v>20</v>
      </c>
      <c r="K38" t="s">
        <v>19</v>
      </c>
    </row>
    <row r="39" spans="1:11">
      <c r="A39" t="s">
        <v>194</v>
      </c>
      <c r="B39" t="s">
        <v>12</v>
      </c>
      <c r="C39" t="s">
        <v>13</v>
      </c>
      <c r="D39" t="s">
        <v>195</v>
      </c>
      <c r="E39" t="s">
        <v>196</v>
      </c>
      <c r="F39" t="s">
        <v>116</v>
      </c>
      <c r="G39" t="s">
        <v>197</v>
      </c>
      <c r="H39" t="s">
        <v>198</v>
      </c>
      <c r="I39" t="s">
        <v>19</v>
      </c>
      <c r="J39" t="s">
        <v>20</v>
      </c>
      <c r="K39" t="s">
        <v>19</v>
      </c>
    </row>
    <row r="40" spans="1:11">
      <c r="A40" t="s">
        <v>199</v>
      </c>
      <c r="B40" t="s">
        <v>12</v>
      </c>
      <c r="C40" t="s">
        <v>13</v>
      </c>
      <c r="D40" t="s">
        <v>200</v>
      </c>
      <c r="E40" t="s">
        <v>201</v>
      </c>
      <c r="F40" t="s">
        <v>116</v>
      </c>
      <c r="G40" t="s">
        <v>202</v>
      </c>
      <c r="H40" t="s">
        <v>203</v>
      </c>
      <c r="I40" t="s">
        <v>19</v>
      </c>
      <c r="J40" t="s">
        <v>20</v>
      </c>
      <c r="K40" t="s">
        <v>19</v>
      </c>
    </row>
    <row r="41" spans="1:11">
      <c r="A41" t="s">
        <v>204</v>
      </c>
      <c r="B41" t="s">
        <v>12</v>
      </c>
      <c r="C41" t="s">
        <v>13</v>
      </c>
      <c r="D41" t="s">
        <v>205</v>
      </c>
      <c r="E41" t="s">
        <v>206</v>
      </c>
      <c r="F41" t="s">
        <v>116</v>
      </c>
      <c r="G41" t="s">
        <v>207</v>
      </c>
      <c r="H41" t="s">
        <v>208</v>
      </c>
      <c r="I41" t="s">
        <v>19</v>
      </c>
      <c r="J41" t="s">
        <v>20</v>
      </c>
      <c r="K41" t="s">
        <v>19</v>
      </c>
    </row>
    <row r="42" spans="1:11">
      <c r="A42" t="s">
        <v>209</v>
      </c>
      <c r="B42" t="s">
        <v>12</v>
      </c>
      <c r="C42" t="s">
        <v>13</v>
      </c>
      <c r="D42" t="s">
        <v>210</v>
      </c>
      <c r="E42" t="s">
        <v>211</v>
      </c>
      <c r="F42" t="s">
        <v>116</v>
      </c>
      <c r="G42" t="s">
        <v>212</v>
      </c>
      <c r="H42" t="s">
        <v>213</v>
      </c>
      <c r="I42" t="s">
        <v>19</v>
      </c>
      <c r="J42" t="s">
        <v>20</v>
      </c>
      <c r="K42" t="s">
        <v>19</v>
      </c>
    </row>
    <row r="43" spans="1:11">
      <c r="A43" t="s">
        <v>214</v>
      </c>
      <c r="B43" t="s">
        <v>12</v>
      </c>
      <c r="C43" t="s">
        <v>13</v>
      </c>
      <c r="D43" t="s">
        <v>215</v>
      </c>
      <c r="E43" t="s">
        <v>216</v>
      </c>
      <c r="F43" t="s">
        <v>116</v>
      </c>
      <c r="G43" t="s">
        <v>217</v>
      </c>
      <c r="H43" t="s">
        <v>218</v>
      </c>
      <c r="I43" t="s">
        <v>19</v>
      </c>
      <c r="J43" t="s">
        <v>20</v>
      </c>
      <c r="K43" t="s">
        <v>19</v>
      </c>
    </row>
    <row r="44" spans="1:11">
      <c r="A44" t="s">
        <v>219</v>
      </c>
      <c r="B44" t="s">
        <v>12</v>
      </c>
      <c r="C44" t="s">
        <v>13</v>
      </c>
      <c r="D44" t="s">
        <v>220</v>
      </c>
      <c r="E44" t="s">
        <v>221</v>
      </c>
      <c r="F44" t="s">
        <v>116</v>
      </c>
      <c r="G44" t="s">
        <v>217</v>
      </c>
      <c r="H44" t="s">
        <v>222</v>
      </c>
      <c r="I44" t="s">
        <v>19</v>
      </c>
      <c r="J44" t="s">
        <v>20</v>
      </c>
      <c r="K44" t="s">
        <v>19</v>
      </c>
    </row>
    <row r="45" spans="1:11">
      <c r="A45" t="s">
        <v>223</v>
      </c>
      <c r="B45" t="s">
        <v>12</v>
      </c>
      <c r="C45" t="s">
        <v>13</v>
      </c>
      <c r="D45" t="s">
        <v>224</v>
      </c>
      <c r="E45" t="s">
        <v>225</v>
      </c>
      <c r="F45" t="s">
        <v>116</v>
      </c>
      <c r="G45" t="s">
        <v>217</v>
      </c>
      <c r="H45" t="s">
        <v>226</v>
      </c>
      <c r="I45" t="s">
        <v>19</v>
      </c>
      <c r="J45" t="s">
        <v>20</v>
      </c>
      <c r="K45" t="s">
        <v>19</v>
      </c>
    </row>
    <row r="46" spans="1:11">
      <c r="A46" t="s">
        <v>227</v>
      </c>
      <c r="B46" t="s">
        <v>12</v>
      </c>
      <c r="C46" t="s">
        <v>13</v>
      </c>
      <c r="D46" t="s">
        <v>228</v>
      </c>
      <c r="E46" t="s">
        <v>229</v>
      </c>
      <c r="F46" t="s">
        <v>116</v>
      </c>
      <c r="G46" t="s">
        <v>217</v>
      </c>
      <c r="H46" t="s">
        <v>230</v>
      </c>
      <c r="I46" t="s">
        <v>19</v>
      </c>
      <c r="J46" t="s">
        <v>20</v>
      </c>
      <c r="K46" t="s">
        <v>19</v>
      </c>
    </row>
    <row r="47" spans="1:11">
      <c r="A47" t="s">
        <v>231</v>
      </c>
      <c r="B47" t="s">
        <v>12</v>
      </c>
      <c r="C47" t="s">
        <v>13</v>
      </c>
      <c r="D47" t="s">
        <v>232</v>
      </c>
      <c r="E47" t="s">
        <v>233</v>
      </c>
      <c r="F47" t="s">
        <v>116</v>
      </c>
      <c r="G47" t="s">
        <v>217</v>
      </c>
      <c r="H47" t="s">
        <v>234</v>
      </c>
      <c r="I47" t="s">
        <v>19</v>
      </c>
      <c r="J47" t="s">
        <v>20</v>
      </c>
      <c r="K47" t="s">
        <v>19</v>
      </c>
    </row>
    <row r="48" spans="1:11">
      <c r="A48" t="s">
        <v>235</v>
      </c>
      <c r="B48" t="s">
        <v>12</v>
      </c>
      <c r="C48" t="s">
        <v>13</v>
      </c>
      <c r="D48" t="s">
        <v>236</v>
      </c>
      <c r="E48" t="s">
        <v>237</v>
      </c>
      <c r="F48" t="s">
        <v>116</v>
      </c>
      <c r="G48" t="s">
        <v>33</v>
      </c>
      <c r="H48" t="s">
        <v>238</v>
      </c>
      <c r="I48" t="s">
        <v>19</v>
      </c>
      <c r="J48" t="s">
        <v>20</v>
      </c>
      <c r="K48" t="s">
        <v>19</v>
      </c>
    </row>
    <row r="49" spans="1:11">
      <c r="A49" t="s">
        <v>239</v>
      </c>
      <c r="B49" t="s">
        <v>12</v>
      </c>
      <c r="C49" t="s">
        <v>13</v>
      </c>
      <c r="D49" t="s">
        <v>240</v>
      </c>
      <c r="E49" t="s">
        <v>241</v>
      </c>
      <c r="F49" t="s">
        <v>116</v>
      </c>
      <c r="G49" t="s">
        <v>242</v>
      </c>
      <c r="H49" t="s">
        <v>243</v>
      </c>
      <c r="I49" t="s">
        <v>19</v>
      </c>
      <c r="J49" t="s">
        <v>20</v>
      </c>
      <c r="K49" t="s">
        <v>19</v>
      </c>
    </row>
    <row r="50" spans="1:11">
      <c r="A50" t="s">
        <v>244</v>
      </c>
      <c r="B50" t="s">
        <v>12</v>
      </c>
      <c r="C50" t="s">
        <v>13</v>
      </c>
      <c r="D50" t="s">
        <v>245</v>
      </c>
      <c r="E50" t="s">
        <v>246</v>
      </c>
      <c r="F50" t="s">
        <v>116</v>
      </c>
      <c r="G50" t="s">
        <v>247</v>
      </c>
      <c r="H50" t="s">
        <v>248</v>
      </c>
      <c r="I50" t="s">
        <v>19</v>
      </c>
      <c r="J50" t="s">
        <v>20</v>
      </c>
      <c r="K50" t="s">
        <v>19</v>
      </c>
    </row>
    <row r="51" spans="1:11">
      <c r="A51" t="s">
        <v>249</v>
      </c>
      <c r="B51" t="s">
        <v>12</v>
      </c>
      <c r="C51" t="s">
        <v>13</v>
      </c>
      <c r="D51" t="s">
        <v>250</v>
      </c>
      <c r="E51" t="s">
        <v>251</v>
      </c>
      <c r="F51" t="s">
        <v>116</v>
      </c>
      <c r="G51" t="s">
        <v>247</v>
      </c>
      <c r="H51" t="s">
        <v>252</v>
      </c>
      <c r="I51" t="s">
        <v>19</v>
      </c>
      <c r="J51" t="s">
        <v>20</v>
      </c>
      <c r="K51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BDH("STTK US Equity","BS_TOT_ASSET","2016-06-30","2021-06-30","Per=Y","Days=T","Dir=V")</f>
        <v>0</v>
      </c>
      <c r="C2">
        <f>BDH("STTK US Equity","BS_TOT_LIAB2","2016-06-30","2021-06-30","Per=Y","Days=T","Dir=V")</f>
        <v>0</v>
      </c>
      <c r="E2">
        <f>BDH("STTK US Equity","SHORT_AND_LONG_TERM_DEBT","2016-06-30","2021-06-30","Per=Y","Days=T","Dir=V")</f>
        <v>0</v>
      </c>
      <c r="G2">
        <f>BDH("STTK US Equity","BS_ST_BORROW","2016-06-30","2021-06-30","Per=Y","Days=T","Dir=V")</f>
        <v>0</v>
      </c>
      <c r="I2">
        <f>BDH("STTK US Equity","BS_LT_BORROW","2016-06-30","2021-06-30","Per=Y","Days=T","Dir=V")</f>
        <v>0</v>
      </c>
      <c r="K2">
        <f>BDH("STTK US Equity","BS_CASH_NEAR_CASH_ITEM","2016-06-30","2021-06-30","Per=Y","Days=T","Dir=V")</f>
        <v>0</v>
      </c>
      <c r="M2">
        <f>BDH("STTK US Equity","BS_CUR_ASSET_REPORT","2016-06-30","2021-06-30","Per=Y","Days=T","Dir=V")</f>
        <v>0</v>
      </c>
      <c r="O2">
        <f>BDH("STTK US Equity","BS_CUR_LIAB","2016-06-30","2021-06-30","Per=Y","Days=T","Dir=V")</f>
        <v>0</v>
      </c>
      <c r="Q2">
        <f>BDH("STTK US Equity","BS_SHAREHOLDER_EQY_ENDING_PERIOD","2016-06-30","2021-06-30","Per=Y","Days=T","Dir=V")</f>
        <v>0</v>
      </c>
      <c r="S2">
        <f>BDH("STTK US Equity","BS_ACCT_NOTE_RCV","2016-06-30","2021-06-30","Per=Y","Days=T","Dir=V")</f>
        <v>0</v>
      </c>
      <c r="U2">
        <f>BDH("STTK US Equity","BS_INVENTORIES","2016-06-30","2021-06-30","Per=Y","Days=T","Dir=V")</f>
        <v>0</v>
      </c>
      <c r="W2">
        <f>BDH("STTK US Equity","WORKING_CAPITAL","2016-06-30","2021-06-30","Per=Y","Days=T","Dir=V")</f>
        <v>0</v>
      </c>
      <c r="Y2">
        <f>BDH("STTK US Equity","SALES_REV_TURN","2016-06-30","2021-06-30","Per=Y","Days=T","Dir=V")</f>
        <v>0</v>
      </c>
      <c r="AA2">
        <f>BDH("STTK US Equity","EBIT","2016-06-30","2021-06-30","Per=Y","Days=T","Dir=V")</f>
        <v>0</v>
      </c>
      <c r="AC2">
        <f>BDH("STTK US Equity","EBITDA","2016-06-30","2021-06-30","Per=Y","Days=T","Dir=V")</f>
        <v>0</v>
      </c>
      <c r="AE2">
        <f>BDH("STTK US Equity","NET_INCOME","2016-06-30","2021-06-30","Per=Y","Days=T","Dir=V")</f>
        <v>0</v>
      </c>
      <c r="AG2">
        <f>BDH("STTK US Equity","IS_INT_EXPENSE","2016-06-30","2021-06-30","Per=Y","Days=T","Dir=V")</f>
        <v>0</v>
      </c>
      <c r="AI2">
        <f>BDH("STTK US Equity","IS_DEPR_EXP","2016-06-30","2021-06-30","Per=Y","Days=T","Dir=V")</f>
        <v>0</v>
      </c>
      <c r="AK2">
        <f>BDH("STTK US Equity","CF_CASH_FROM_OPER","2016-06-30","2021-06-30","Per=Y","Days=T","Dir=V")</f>
        <v>0</v>
      </c>
      <c r="AM2">
        <f>BDH("STTK US Equity","CAPITAL_EXPEND","2016-06-30","2021-06-30","Per=Y","Days=T","Dir=V")</f>
        <v>0</v>
      </c>
      <c r="AO2">
        <f>BDH("STTK US Equity","CF_FREE_CASH_FLOW","2016-06-30","2021-06-30","Per=Y","Days=T","Dir=V")</f>
        <v>0</v>
      </c>
      <c r="AQ2">
        <f>BDH("STTK US Equity","PX_LAST","2016-06-30","2021-06-30","Per=M","Days=T","Dir=V")</f>
        <v>0</v>
      </c>
      <c r="AS2">
        <f>BDH("STTK US Equity","CUR_MKT_CAP","2016-06-30","2021-06-30","Per=M","Days=T","Dir=V")</f>
        <v>0</v>
      </c>
      <c r="AU2">
        <f>BDH("STTK US Equity","EQY_SH_OUT","2016-06-30","2021-06-30","Per=M","Days=T","Dir=V")</f>
        <v>0</v>
      </c>
      <c r="AW2">
        <f>BDH("STTK US Equity","BETA_RAW_OVERRIABLE","2016-06-30","2021-06-30","Per=M","Days=T","Dir=V")</f>
        <v>0</v>
      </c>
      <c r="AY2">
        <f>BDH("STTK US Equity","PX_VOLUME","2016-06-30","2021-06-30","Per=M","Days=T","Dir=V")</f>
        <v>0</v>
      </c>
      <c r="BA2">
        <f>BDH("STTK US Equity","TURNOVER","2016-06-30","2021-06-30","Per=M","Days=T","Dir=V")</f>
        <v>0</v>
      </c>
      <c r="BC2">
        <f>BDH("STTK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BDH("SVRA US Equity","BS_TOT_ASSET","2016-06-30","2021-06-30","Per=Y","Days=T","Dir=V")</f>
        <v>0</v>
      </c>
      <c r="C2">
        <f>BDH("SVRA US Equity","BS_TOT_LIAB2","2016-06-30","2021-06-30","Per=Y","Days=T","Dir=V")</f>
        <v>0</v>
      </c>
      <c r="E2">
        <f>BDH("SVRA US Equity","SHORT_AND_LONG_TERM_DEBT","2016-06-30","2021-06-30","Per=Y","Days=T","Dir=V")</f>
        <v>0</v>
      </c>
      <c r="G2">
        <f>BDH("SVRA US Equity","BS_ST_BORROW","2016-06-30","2021-06-30","Per=Y","Days=T","Dir=V")</f>
        <v>0</v>
      </c>
      <c r="I2">
        <f>BDH("SVRA US Equity","BS_LT_BORROW","2016-06-30","2021-06-30","Per=Y","Days=T","Dir=V")</f>
        <v>0</v>
      </c>
      <c r="K2">
        <f>BDH("SVRA US Equity","BS_CASH_NEAR_CASH_ITEM","2016-06-30","2021-06-30","Per=Y","Days=T","Dir=V")</f>
        <v>0</v>
      </c>
      <c r="M2">
        <f>BDH("SVRA US Equity","BS_CUR_ASSET_REPORT","2016-06-30","2021-06-30","Per=Y","Days=T","Dir=V")</f>
        <v>0</v>
      </c>
      <c r="O2">
        <f>BDH("SVRA US Equity","BS_CUR_LIAB","2016-06-30","2021-06-30","Per=Y","Days=T","Dir=V")</f>
        <v>0</v>
      </c>
      <c r="Q2">
        <f>BDH("SVRA US Equity","BS_SHAREHOLDER_EQY_ENDING_PERIOD","2016-06-30","2021-06-30","Per=Y","Days=T","Dir=V")</f>
        <v>0</v>
      </c>
      <c r="S2">
        <f>BDH("SVRA US Equity","BS_ACCT_NOTE_RCV","2016-06-30","2021-06-30","Per=Y","Days=T","Dir=V")</f>
        <v>0</v>
      </c>
      <c r="U2">
        <f>BDH("SVRA US Equity","BS_INVENTORIES","2016-06-30","2021-06-30","Per=Y","Days=T","Dir=V")</f>
        <v>0</v>
      </c>
      <c r="W2">
        <f>BDH("SVRA US Equity","WORKING_CAPITAL","2016-06-30","2021-06-30","Per=Y","Days=T","Dir=V")</f>
        <v>0</v>
      </c>
      <c r="Y2">
        <f>BDH("SVRA US Equity","SALES_REV_TURN","2016-06-30","2021-06-30","Per=Y","Days=T","Dir=V")</f>
        <v>0</v>
      </c>
      <c r="AA2">
        <f>BDH("SVRA US Equity","EBIT","2016-06-30","2021-06-30","Per=Y","Days=T","Dir=V")</f>
        <v>0</v>
      </c>
      <c r="AC2">
        <f>BDH("SVRA US Equity","EBITDA","2016-06-30","2021-06-30","Per=Y","Days=T","Dir=V")</f>
        <v>0</v>
      </c>
      <c r="AE2">
        <f>BDH("SVRA US Equity","NET_INCOME","2016-06-30","2021-06-30","Per=Y","Days=T","Dir=V")</f>
        <v>0</v>
      </c>
      <c r="AG2">
        <f>BDH("SVRA US Equity","IS_INT_EXPENSE","2016-06-30","2021-06-30","Per=Y","Days=T","Dir=V")</f>
        <v>0</v>
      </c>
      <c r="AI2">
        <f>BDH("SVRA US Equity","IS_DEPR_EXP","2016-06-30","2021-06-30","Per=Y","Days=T","Dir=V")</f>
        <v>0</v>
      </c>
      <c r="AK2">
        <f>BDH("SVRA US Equity","CF_CASH_FROM_OPER","2016-06-30","2021-06-30","Per=Y","Days=T","Dir=V")</f>
        <v>0</v>
      </c>
      <c r="AM2">
        <f>BDH("SVRA US Equity","CAPITAL_EXPEND","2016-06-30","2021-06-30","Per=Y","Days=T","Dir=V")</f>
        <v>0</v>
      </c>
      <c r="AO2">
        <f>BDH("SVRA US Equity","CF_FREE_CASH_FLOW","2016-06-30","2021-06-30","Per=Y","Days=T","Dir=V")</f>
        <v>0</v>
      </c>
      <c r="AQ2">
        <f>BDH("SVRA US Equity","PX_LAST","2016-06-30","2021-06-30","Per=M","Days=T","Dir=V")</f>
        <v>0</v>
      </c>
      <c r="AS2">
        <f>BDH("SVRA US Equity","CUR_MKT_CAP","2016-06-30","2021-06-30","Per=M","Days=T","Dir=V")</f>
        <v>0</v>
      </c>
      <c r="AU2">
        <f>BDH("SVRA US Equity","EQY_SH_OUT","2016-06-30","2021-06-30","Per=M","Days=T","Dir=V")</f>
        <v>0</v>
      </c>
      <c r="AW2">
        <f>BDH("SVRA US Equity","BETA_RAW_OVERRIABLE","2016-06-30","2021-06-30","Per=M","Days=T","Dir=V")</f>
        <v>0</v>
      </c>
      <c r="AY2">
        <f>BDH("SVRA US Equity","PX_VOLUME","2016-06-30","2021-06-30","Per=M","Days=T","Dir=V")</f>
        <v>0</v>
      </c>
      <c r="BA2">
        <f>BDH("SVRA US Equity","TURNOVER","2016-06-30","2021-06-30","Per=M","Days=T","Dir=V")</f>
        <v>0</v>
      </c>
      <c r="BC2">
        <f>BDH("SVRA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BDH("PACS US Equity","BS_TOT_ASSET","2016-06-30","2021-06-30","Per=Y","Days=T","Dir=V")</f>
        <v>0</v>
      </c>
      <c r="C2">
        <f>BDH("PACS US Equity","BS_TOT_LIAB2","2016-06-30","2021-06-30","Per=Y","Days=T","Dir=V")</f>
        <v>0</v>
      </c>
      <c r="E2">
        <f>BDH("PACS US Equity","SHORT_AND_LONG_TERM_DEBT","2016-06-30","2021-06-30","Per=Y","Days=T","Dir=V")</f>
        <v>0</v>
      </c>
      <c r="G2">
        <f>BDH("PACS US Equity","BS_ST_BORROW","2016-06-30","2021-06-30","Per=Y","Days=T","Dir=V")</f>
        <v>0</v>
      </c>
      <c r="I2">
        <f>BDH("PACS US Equity","BS_LT_BORROW","2016-06-30","2021-06-30","Per=Y","Days=T","Dir=V")</f>
        <v>0</v>
      </c>
      <c r="K2">
        <f>BDH("PACS US Equity","BS_CASH_NEAR_CASH_ITEM","2016-06-30","2021-06-30","Per=Y","Days=T","Dir=V")</f>
        <v>0</v>
      </c>
      <c r="M2">
        <f>BDH("PACS US Equity","BS_CUR_ASSET_REPORT","2016-06-30","2021-06-30","Per=Y","Days=T","Dir=V")</f>
        <v>0</v>
      </c>
      <c r="O2">
        <f>BDH("PACS US Equity","BS_CUR_LIAB","2016-06-30","2021-06-30","Per=Y","Days=T","Dir=V")</f>
        <v>0</v>
      </c>
      <c r="Q2">
        <f>BDH("PACS US Equity","BS_SHAREHOLDER_EQY_ENDING_PERIOD","2016-06-30","2021-06-30","Per=Y","Days=T","Dir=V")</f>
        <v>0</v>
      </c>
      <c r="S2">
        <f>BDH("PACS US Equity","BS_ACCT_NOTE_RCV","2016-06-30","2021-06-30","Per=Y","Days=T","Dir=V")</f>
        <v>0</v>
      </c>
      <c r="U2">
        <f>BDH("PACS US Equity","BS_INVENTORIES","2016-06-30","2021-06-30","Per=Y","Days=T","Dir=V")</f>
        <v>0</v>
      </c>
      <c r="W2">
        <f>BDH("PACS US Equity","WORKING_CAPITAL","2016-06-30","2021-06-30","Per=Y","Days=T","Dir=V")</f>
        <v>0</v>
      </c>
      <c r="Y2">
        <f>BDH("PACS US Equity","SALES_REV_TURN","2016-06-30","2021-06-30","Per=Y","Days=T","Dir=V")</f>
        <v>0</v>
      </c>
      <c r="AA2">
        <f>BDH("PACS US Equity","EBIT","2016-06-30","2021-06-30","Per=Y","Days=T","Dir=V")</f>
        <v>0</v>
      </c>
      <c r="AC2">
        <f>BDH("PACS US Equity","EBITDA","2016-06-30","2021-06-30","Per=Y","Days=T","Dir=V")</f>
        <v>0</v>
      </c>
      <c r="AE2">
        <f>BDH("PACS US Equity","NET_INCOME","2016-06-30","2021-06-30","Per=Y","Days=T","Dir=V")</f>
        <v>0</v>
      </c>
      <c r="AG2">
        <f>BDH("PACS US Equity","IS_INT_EXPENSE","2016-06-30","2021-06-30","Per=Y","Days=T","Dir=V")</f>
        <v>0</v>
      </c>
      <c r="AI2">
        <f>BDH("PACS US Equity","IS_DEPR_EXP","2016-06-30","2021-06-30","Per=Y","Days=T","Dir=V")</f>
        <v>0</v>
      </c>
      <c r="AK2">
        <f>BDH("PACS US Equity","CF_CASH_FROM_OPER","2016-06-30","2021-06-30","Per=Y","Days=T","Dir=V")</f>
        <v>0</v>
      </c>
      <c r="AM2">
        <f>BDH("PACS US Equity","CAPITAL_EXPEND","2016-06-30","2021-06-30","Per=Y","Days=T","Dir=V")</f>
        <v>0</v>
      </c>
      <c r="AO2">
        <f>BDH("PACS US Equity","CF_FREE_CASH_FLOW","2016-06-30","2021-06-30","Per=Y","Days=T","Dir=V")</f>
        <v>0</v>
      </c>
      <c r="AQ2">
        <f>BDH("PACS US Equity","PX_LAST","2016-06-30","2021-06-30","Per=M","Days=T","Dir=V")</f>
        <v>0</v>
      </c>
      <c r="AS2">
        <f>BDH("PACS US Equity","CUR_MKT_CAP","2016-06-30","2021-06-30","Per=M","Days=T","Dir=V")</f>
        <v>0</v>
      </c>
      <c r="AU2">
        <f>BDH("PACS US Equity","EQY_SH_OUT","2016-06-30","2021-06-30","Per=M","Days=T","Dir=V")</f>
        <v>0</v>
      </c>
      <c r="AW2">
        <f>BDH("PACS US Equity","BETA_RAW_OVERRIABLE","2016-06-30","2021-06-30","Per=M","Days=T","Dir=V")</f>
        <v>0</v>
      </c>
      <c r="AY2">
        <f>BDH("PACS US Equity","PX_VOLUME","2016-06-30","2021-06-30","Per=M","Days=T","Dir=V")</f>
        <v>0</v>
      </c>
      <c r="BA2">
        <f>BDH("PACS US Equity","TURNOVER","2016-06-30","2021-06-30","Per=M","Days=T","Dir=V")</f>
        <v>0</v>
      </c>
      <c r="BC2">
        <f>BDH("PACS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BDH("COCHW US Equity","BS_TOT_ASSET","2016-06-30","2021-06-30","Per=Y","Days=T","Dir=V")</f>
        <v>0</v>
      </c>
      <c r="C2">
        <f>BDH("COCHW US Equity","BS_TOT_LIAB2","2016-06-30","2021-06-30","Per=Y","Days=T","Dir=V")</f>
        <v>0</v>
      </c>
      <c r="E2">
        <f>BDH("COCHW US Equity","SHORT_AND_LONG_TERM_DEBT","2016-06-30","2021-06-30","Per=Y","Days=T","Dir=V")</f>
        <v>0</v>
      </c>
      <c r="G2">
        <f>BDH("COCHW US Equity","BS_ST_BORROW","2016-06-30","2021-06-30","Per=Y","Days=T","Dir=V")</f>
        <v>0</v>
      </c>
      <c r="I2">
        <f>BDH("COCHW US Equity","BS_LT_BORROW","2016-06-30","2021-06-30","Per=Y","Days=T","Dir=V")</f>
        <v>0</v>
      </c>
      <c r="K2">
        <f>BDH("COCHW US Equity","BS_CASH_NEAR_CASH_ITEM","2016-06-30","2021-06-30","Per=Y","Days=T","Dir=V")</f>
        <v>0</v>
      </c>
      <c r="M2">
        <f>BDH("COCHW US Equity","BS_CUR_ASSET_REPORT","2016-06-30","2021-06-30","Per=Y","Days=T","Dir=V")</f>
        <v>0</v>
      </c>
      <c r="O2">
        <f>BDH("COCHW US Equity","BS_CUR_LIAB","2016-06-30","2021-06-30","Per=Y","Days=T","Dir=V")</f>
        <v>0</v>
      </c>
      <c r="Q2">
        <f>BDH("COCHW US Equity","BS_SHAREHOLDER_EQY_ENDING_PERIOD","2016-06-30","2021-06-30","Per=Y","Days=T","Dir=V")</f>
        <v>0</v>
      </c>
      <c r="S2">
        <f>BDH("COCHW US Equity","BS_ACCT_NOTE_RCV","2016-06-30","2021-06-30","Per=Y","Days=T","Dir=V")</f>
        <v>0</v>
      </c>
      <c r="U2">
        <f>BDH("COCHW US Equity","BS_INVENTORIES","2016-06-30","2021-06-30","Per=Y","Days=T","Dir=V")</f>
        <v>0</v>
      </c>
      <c r="W2">
        <f>BDH("COCHW US Equity","WORKING_CAPITAL","2016-06-30","2021-06-30","Per=Y","Days=T","Dir=V")</f>
        <v>0</v>
      </c>
      <c r="Y2">
        <f>BDH("COCHW US Equity","SALES_REV_TURN","2016-06-30","2021-06-30","Per=Y","Days=T","Dir=V")</f>
        <v>0</v>
      </c>
      <c r="AA2">
        <f>BDH("COCHW US Equity","EBIT","2016-06-30","2021-06-30","Per=Y","Days=T","Dir=V")</f>
        <v>0</v>
      </c>
      <c r="AC2">
        <f>BDH("COCHW US Equity","EBITDA","2016-06-30","2021-06-30","Per=Y","Days=T","Dir=V")</f>
        <v>0</v>
      </c>
      <c r="AE2">
        <f>BDH("COCHW US Equity","NET_INCOME","2016-06-30","2021-06-30","Per=Y","Days=T","Dir=V")</f>
        <v>0</v>
      </c>
      <c r="AG2">
        <f>BDH("COCHW US Equity","IS_INT_EXPENSE","2016-06-30","2021-06-30","Per=Y","Days=T","Dir=V")</f>
        <v>0</v>
      </c>
      <c r="AI2">
        <f>BDH("COCHW US Equity","IS_DEPR_EXP","2016-06-30","2021-06-30","Per=Y","Days=T","Dir=V")</f>
        <v>0</v>
      </c>
      <c r="AK2">
        <f>BDH("COCHW US Equity","CF_CASH_FROM_OPER","2016-06-30","2021-06-30","Per=Y","Days=T","Dir=V")</f>
        <v>0</v>
      </c>
      <c r="AM2">
        <f>BDH("COCHW US Equity","CAPITAL_EXPEND","2016-06-30","2021-06-30","Per=Y","Days=T","Dir=V")</f>
        <v>0</v>
      </c>
      <c r="AO2">
        <f>BDH("COCHW US Equity","CF_FREE_CASH_FLOW","2016-06-30","2021-06-30","Per=Y","Days=T","Dir=V")</f>
        <v>0</v>
      </c>
      <c r="AQ2">
        <f>BDH("COCHW US Equity","PX_LAST","2016-06-30","2021-06-30","Per=M","Days=T","Dir=V")</f>
        <v>0</v>
      </c>
      <c r="AS2">
        <f>BDH("COCHW US Equity","CUR_MKT_CAP","2016-06-30","2021-06-30","Per=M","Days=T","Dir=V")</f>
        <v>0</v>
      </c>
      <c r="AU2">
        <f>BDH("COCHW US Equity","EQY_SH_OUT","2016-06-30","2021-06-30","Per=M","Days=T","Dir=V")</f>
        <v>0</v>
      </c>
      <c r="AW2">
        <f>BDH("COCHW US Equity","BETA_RAW_OVERRIABLE","2016-06-30","2021-06-30","Per=M","Days=T","Dir=V")</f>
        <v>0</v>
      </c>
      <c r="AY2">
        <f>BDH("COCHW US Equity","PX_VOLUME","2016-06-30","2021-06-30","Per=M","Days=T","Dir=V")</f>
        <v>0</v>
      </c>
      <c r="BA2">
        <f>BDH("COCHW US Equity","TURNOVER","2016-06-30","2021-06-30","Per=M","Days=T","Dir=V")</f>
        <v>0</v>
      </c>
      <c r="BC2">
        <f>BDH("COCHW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BDH("BRTX US Equity","BS_TOT_ASSET","2016-06-30","2021-06-30","Per=Y","Days=T","Dir=V")</f>
        <v>0</v>
      </c>
      <c r="C2">
        <f>BDH("BRTX US Equity","BS_TOT_LIAB2","2016-06-30","2021-06-30","Per=Y","Days=T","Dir=V")</f>
        <v>0</v>
      </c>
      <c r="E2">
        <f>BDH("BRTX US Equity","SHORT_AND_LONG_TERM_DEBT","2016-06-30","2021-06-30","Per=Y","Days=T","Dir=V")</f>
        <v>0</v>
      </c>
      <c r="G2">
        <f>BDH("BRTX US Equity","BS_ST_BORROW","2016-06-30","2021-06-30","Per=Y","Days=T","Dir=V")</f>
        <v>0</v>
      </c>
      <c r="I2">
        <f>BDH("BRTX US Equity","BS_LT_BORROW","2016-06-30","2021-06-30","Per=Y","Days=T","Dir=V")</f>
        <v>0</v>
      </c>
      <c r="K2">
        <f>BDH("BRTX US Equity","BS_CASH_NEAR_CASH_ITEM","2016-06-30","2021-06-30","Per=Y","Days=T","Dir=V")</f>
        <v>0</v>
      </c>
      <c r="M2">
        <f>BDH("BRTX US Equity","BS_CUR_ASSET_REPORT","2016-06-30","2021-06-30","Per=Y","Days=T","Dir=V")</f>
        <v>0</v>
      </c>
      <c r="O2">
        <f>BDH("BRTX US Equity","BS_CUR_LIAB","2016-06-30","2021-06-30","Per=Y","Days=T","Dir=V")</f>
        <v>0</v>
      </c>
      <c r="Q2">
        <f>BDH("BRTX US Equity","BS_SHAREHOLDER_EQY_ENDING_PERIOD","2016-06-30","2021-06-30","Per=Y","Days=T","Dir=V")</f>
        <v>0</v>
      </c>
      <c r="S2">
        <f>BDH("BRTX US Equity","BS_ACCT_NOTE_RCV","2016-06-30","2021-06-30","Per=Y","Days=T","Dir=V")</f>
        <v>0</v>
      </c>
      <c r="U2">
        <f>BDH("BRTX US Equity","BS_INVENTORIES","2016-06-30","2021-06-30","Per=Y","Days=T","Dir=V")</f>
        <v>0</v>
      </c>
      <c r="W2">
        <f>BDH("BRTX US Equity","WORKING_CAPITAL","2016-06-30","2021-06-30","Per=Y","Days=T","Dir=V")</f>
        <v>0</v>
      </c>
      <c r="Y2">
        <f>BDH("BRTX US Equity","SALES_REV_TURN","2016-06-30","2021-06-30","Per=Y","Days=T","Dir=V")</f>
        <v>0</v>
      </c>
      <c r="AA2">
        <f>BDH("BRTX US Equity","EBIT","2016-06-30","2021-06-30","Per=Y","Days=T","Dir=V")</f>
        <v>0</v>
      </c>
      <c r="AC2">
        <f>BDH("BRTX US Equity","EBITDA","2016-06-30","2021-06-30","Per=Y","Days=T","Dir=V")</f>
        <v>0</v>
      </c>
      <c r="AE2">
        <f>BDH("BRTX US Equity","NET_INCOME","2016-06-30","2021-06-30","Per=Y","Days=T","Dir=V")</f>
        <v>0</v>
      </c>
      <c r="AG2">
        <f>BDH("BRTX US Equity","IS_INT_EXPENSE","2016-06-30","2021-06-30","Per=Y","Days=T","Dir=V")</f>
        <v>0</v>
      </c>
      <c r="AI2">
        <f>BDH("BRTX US Equity","IS_DEPR_EXP","2016-06-30","2021-06-30","Per=Y","Days=T","Dir=V")</f>
        <v>0</v>
      </c>
      <c r="AK2">
        <f>BDH("BRTX US Equity","CF_CASH_FROM_OPER","2016-06-30","2021-06-30","Per=Y","Days=T","Dir=V")</f>
        <v>0</v>
      </c>
      <c r="AM2">
        <f>BDH("BRTX US Equity","CAPITAL_EXPEND","2016-06-30","2021-06-30","Per=Y","Days=T","Dir=V")</f>
        <v>0</v>
      </c>
      <c r="AO2">
        <f>BDH("BRTX US Equity","CF_FREE_CASH_FLOW","2016-06-30","2021-06-30","Per=Y","Days=T","Dir=V")</f>
        <v>0</v>
      </c>
      <c r="AQ2">
        <f>BDH("BRTX US Equity","PX_LAST","2016-06-30","2021-06-30","Per=M","Days=T","Dir=V")</f>
        <v>0</v>
      </c>
      <c r="AS2">
        <f>BDH("BRTX US Equity","CUR_MKT_CAP","2016-06-30","2021-06-30","Per=M","Days=T","Dir=V")</f>
        <v>0</v>
      </c>
      <c r="AU2">
        <f>BDH("BRTX US Equity","EQY_SH_OUT","2016-06-30","2021-06-30","Per=M","Days=T","Dir=V")</f>
        <v>0</v>
      </c>
      <c r="AW2">
        <f>BDH("BRTX US Equity","BETA_RAW_OVERRIABLE","2016-06-30","2021-06-30","Per=M","Days=T","Dir=V")</f>
        <v>0</v>
      </c>
      <c r="AY2">
        <f>BDH("BRTX US Equity","PX_VOLUME","2016-06-30","2021-06-30","Per=M","Days=T","Dir=V")</f>
        <v>0</v>
      </c>
      <c r="BA2">
        <f>BDH("BRTX US Equity","TURNOVER","2016-06-30","2021-06-30","Per=M","Days=T","Dir=V")</f>
        <v>0</v>
      </c>
      <c r="BC2">
        <f>BDH("BRTX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BDH("GEHC US Equity","BS_TOT_ASSET","2016-06-30","2021-06-30","Per=Y","Days=T","Dir=V")</f>
        <v>0</v>
      </c>
      <c r="C2">
        <f>BDH("GEHC US Equity","BS_TOT_LIAB2","2016-06-30","2021-06-30","Per=Y","Days=T","Dir=V")</f>
        <v>0</v>
      </c>
      <c r="E2">
        <f>BDH("GEHC US Equity","SHORT_AND_LONG_TERM_DEBT","2016-06-30","2021-06-30","Per=Y","Days=T","Dir=V")</f>
        <v>0</v>
      </c>
      <c r="G2">
        <f>BDH("GEHC US Equity","BS_ST_BORROW","2016-06-30","2021-06-30","Per=Y","Days=T","Dir=V")</f>
        <v>0</v>
      </c>
      <c r="I2">
        <f>BDH("GEHC US Equity","BS_LT_BORROW","2016-06-30","2021-06-30","Per=Y","Days=T","Dir=V")</f>
        <v>0</v>
      </c>
      <c r="K2">
        <f>BDH("GEHC US Equity","BS_CASH_NEAR_CASH_ITEM","2016-06-30","2021-06-30","Per=Y","Days=T","Dir=V")</f>
        <v>0</v>
      </c>
      <c r="M2">
        <f>BDH("GEHC US Equity","BS_CUR_ASSET_REPORT","2016-06-30","2021-06-30","Per=Y","Days=T","Dir=V")</f>
        <v>0</v>
      </c>
      <c r="O2">
        <f>BDH("GEHC US Equity","BS_CUR_LIAB","2016-06-30","2021-06-30","Per=Y","Days=T","Dir=V")</f>
        <v>0</v>
      </c>
      <c r="Q2">
        <f>BDH("GEHC US Equity","BS_SHAREHOLDER_EQY_ENDING_PERIOD","2016-06-30","2021-06-30","Per=Y","Days=T","Dir=V")</f>
        <v>0</v>
      </c>
      <c r="S2">
        <f>BDH("GEHC US Equity","BS_ACCT_NOTE_RCV","2016-06-30","2021-06-30","Per=Y","Days=T","Dir=V")</f>
        <v>0</v>
      </c>
      <c r="U2">
        <f>BDH("GEHC US Equity","BS_INVENTORIES","2016-06-30","2021-06-30","Per=Y","Days=T","Dir=V")</f>
        <v>0</v>
      </c>
      <c r="W2">
        <f>BDH("GEHC US Equity","WORKING_CAPITAL","2016-06-30","2021-06-30","Per=Y","Days=T","Dir=V")</f>
        <v>0</v>
      </c>
      <c r="Y2">
        <f>BDH("GEHC US Equity","SALES_REV_TURN","2016-06-30","2021-06-30","Per=Y","Days=T","Dir=V")</f>
        <v>0</v>
      </c>
      <c r="AA2">
        <f>BDH("GEHC US Equity","EBIT","2016-06-30","2021-06-30","Per=Y","Days=T","Dir=V")</f>
        <v>0</v>
      </c>
      <c r="AC2">
        <f>BDH("GEHC US Equity","EBITDA","2016-06-30","2021-06-30","Per=Y","Days=T","Dir=V")</f>
        <v>0</v>
      </c>
      <c r="AE2">
        <f>BDH("GEHC US Equity","NET_INCOME","2016-06-30","2021-06-30","Per=Y","Days=T","Dir=V")</f>
        <v>0</v>
      </c>
      <c r="AG2">
        <f>BDH("GEHC US Equity","IS_INT_EXPENSE","2016-06-30","2021-06-30","Per=Y","Days=T","Dir=V")</f>
        <v>0</v>
      </c>
      <c r="AI2">
        <f>BDH("GEHC US Equity","IS_DEPR_EXP","2016-06-30","2021-06-30","Per=Y","Days=T","Dir=V")</f>
        <v>0</v>
      </c>
      <c r="AK2">
        <f>BDH("GEHC US Equity","CF_CASH_FROM_OPER","2016-06-30","2021-06-30","Per=Y","Days=T","Dir=V")</f>
        <v>0</v>
      </c>
      <c r="AM2">
        <f>BDH("GEHC US Equity","CAPITAL_EXPEND","2016-06-30","2021-06-30","Per=Y","Days=T","Dir=V")</f>
        <v>0</v>
      </c>
      <c r="AO2">
        <f>BDH("GEHC US Equity","CF_FREE_CASH_FLOW","2016-06-30","2021-06-30","Per=Y","Days=T","Dir=V")</f>
        <v>0</v>
      </c>
      <c r="AQ2">
        <f>BDH("GEHC US Equity","PX_LAST","2016-06-30","2021-06-30","Per=M","Days=T","Dir=V")</f>
        <v>0</v>
      </c>
      <c r="AS2">
        <f>BDH("GEHC US Equity","CUR_MKT_CAP","2016-06-30","2021-06-30","Per=M","Days=T","Dir=V")</f>
        <v>0</v>
      </c>
      <c r="AU2">
        <f>BDH("GEHC US Equity","EQY_SH_OUT","2016-06-30","2021-06-30","Per=M","Days=T","Dir=V")</f>
        <v>0</v>
      </c>
      <c r="AW2">
        <f>BDH("GEHC US Equity","BETA_RAW_OVERRIABLE","2016-06-30","2021-06-30","Per=M","Days=T","Dir=V")</f>
        <v>0</v>
      </c>
      <c r="AY2">
        <f>BDH("GEHC US Equity","PX_VOLUME","2016-06-30","2021-06-30","Per=M","Days=T","Dir=V")</f>
        <v>0</v>
      </c>
      <c r="BA2">
        <f>BDH("GEHC US Equity","TURNOVER","2016-06-30","2021-06-30","Per=M","Days=T","Dir=V")</f>
        <v>0</v>
      </c>
      <c r="BC2">
        <f>BDH("GEHC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BDH("CON US Equity","BS_TOT_ASSET","2016-06-30","2021-06-30","Per=Y","Days=T","Dir=V")</f>
        <v>0</v>
      </c>
      <c r="C2">
        <f>BDH("CON US Equity","BS_TOT_LIAB2","2016-06-30","2021-06-30","Per=Y","Days=T","Dir=V")</f>
        <v>0</v>
      </c>
      <c r="E2">
        <f>BDH("CON US Equity","SHORT_AND_LONG_TERM_DEBT","2016-06-30","2021-06-30","Per=Y","Days=T","Dir=V")</f>
        <v>0</v>
      </c>
      <c r="G2">
        <f>BDH("CON US Equity","BS_ST_BORROW","2016-06-30","2021-06-30","Per=Y","Days=T","Dir=V")</f>
        <v>0</v>
      </c>
      <c r="I2">
        <f>BDH("CON US Equity","BS_LT_BORROW","2016-06-30","2021-06-30","Per=Y","Days=T","Dir=V")</f>
        <v>0</v>
      </c>
      <c r="K2">
        <f>BDH("CON US Equity","BS_CASH_NEAR_CASH_ITEM","2016-06-30","2021-06-30","Per=Y","Days=T","Dir=V")</f>
        <v>0</v>
      </c>
      <c r="M2">
        <f>BDH("CON US Equity","BS_CUR_ASSET_REPORT","2016-06-30","2021-06-30","Per=Y","Days=T","Dir=V")</f>
        <v>0</v>
      </c>
      <c r="O2">
        <f>BDH("CON US Equity","BS_CUR_LIAB","2016-06-30","2021-06-30","Per=Y","Days=T","Dir=V")</f>
        <v>0</v>
      </c>
      <c r="Q2">
        <f>BDH("CON US Equity","BS_SHAREHOLDER_EQY_ENDING_PERIOD","2016-06-30","2021-06-30","Per=Y","Days=T","Dir=V")</f>
        <v>0</v>
      </c>
      <c r="S2">
        <f>BDH("CON US Equity","BS_ACCT_NOTE_RCV","2016-06-30","2021-06-30","Per=Y","Days=T","Dir=V")</f>
        <v>0</v>
      </c>
      <c r="U2">
        <f>BDH("CON US Equity","BS_INVENTORIES","2016-06-30","2021-06-30","Per=Y","Days=T","Dir=V")</f>
        <v>0</v>
      </c>
      <c r="W2">
        <f>BDH("CON US Equity","WORKING_CAPITAL","2016-06-30","2021-06-30","Per=Y","Days=T","Dir=V")</f>
        <v>0</v>
      </c>
      <c r="Y2">
        <f>BDH("CON US Equity","SALES_REV_TURN","2016-06-30","2021-06-30","Per=Y","Days=T","Dir=V")</f>
        <v>0</v>
      </c>
      <c r="AA2">
        <f>BDH("CON US Equity","EBIT","2016-06-30","2021-06-30","Per=Y","Days=T","Dir=V")</f>
        <v>0</v>
      </c>
      <c r="AC2">
        <f>BDH("CON US Equity","EBITDA","2016-06-30","2021-06-30","Per=Y","Days=T","Dir=V")</f>
        <v>0</v>
      </c>
      <c r="AE2">
        <f>BDH("CON US Equity","NET_INCOME","2016-06-30","2021-06-30","Per=Y","Days=T","Dir=V")</f>
        <v>0</v>
      </c>
      <c r="AG2">
        <f>BDH("CON US Equity","IS_INT_EXPENSE","2016-06-30","2021-06-30","Per=Y","Days=T","Dir=V")</f>
        <v>0</v>
      </c>
      <c r="AI2">
        <f>BDH("CON US Equity","IS_DEPR_EXP","2016-06-30","2021-06-30","Per=Y","Days=T","Dir=V")</f>
        <v>0</v>
      </c>
      <c r="AK2">
        <f>BDH("CON US Equity","CF_CASH_FROM_OPER","2016-06-30","2021-06-30","Per=Y","Days=T","Dir=V")</f>
        <v>0</v>
      </c>
      <c r="AM2">
        <f>BDH("CON US Equity","CAPITAL_EXPEND","2016-06-30","2021-06-30","Per=Y","Days=T","Dir=V")</f>
        <v>0</v>
      </c>
      <c r="AO2">
        <f>BDH("CON US Equity","CF_FREE_CASH_FLOW","2016-06-30","2021-06-30","Per=Y","Days=T","Dir=V")</f>
        <v>0</v>
      </c>
      <c r="AQ2">
        <f>BDH("CON US Equity","PX_LAST","2016-06-30","2021-06-30","Per=M","Days=T","Dir=V")</f>
        <v>0</v>
      </c>
      <c r="AS2">
        <f>BDH("CON US Equity","CUR_MKT_CAP","2016-06-30","2021-06-30","Per=M","Days=T","Dir=V")</f>
        <v>0</v>
      </c>
      <c r="AU2">
        <f>BDH("CON US Equity","EQY_SH_OUT","2016-06-30","2021-06-30","Per=M","Days=T","Dir=V")</f>
        <v>0</v>
      </c>
      <c r="AW2">
        <f>BDH("CON US Equity","BETA_RAW_OVERRIABLE","2016-06-30","2021-06-30","Per=M","Days=T","Dir=V")</f>
        <v>0</v>
      </c>
      <c r="AY2">
        <f>BDH("CON US Equity","PX_VOLUME","2016-06-30","2021-06-30","Per=M","Days=T","Dir=V")</f>
        <v>0</v>
      </c>
      <c r="BA2">
        <f>BDH("CON US Equity","TURNOVER","2016-06-30","2021-06-30","Per=M","Days=T","Dir=V")</f>
        <v>0</v>
      </c>
      <c r="BC2">
        <f>BDH("CON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BDH("ILMN US Equity","BS_TOT_ASSET","2016-06-30","2021-06-30","Per=Y","Days=T","Dir=V")</f>
        <v>0</v>
      </c>
      <c r="C2">
        <f>BDH("ILMN US Equity","BS_TOT_LIAB2","2016-06-30","2021-06-30","Per=Y","Days=T","Dir=V")</f>
        <v>0</v>
      </c>
      <c r="E2">
        <f>BDH("ILMN US Equity","SHORT_AND_LONG_TERM_DEBT","2016-06-30","2021-06-30","Per=Y","Days=T","Dir=V")</f>
        <v>0</v>
      </c>
      <c r="G2">
        <f>BDH("ILMN US Equity","BS_ST_BORROW","2016-06-30","2021-06-30","Per=Y","Days=T","Dir=V")</f>
        <v>0</v>
      </c>
      <c r="I2">
        <f>BDH("ILMN US Equity","BS_LT_BORROW","2016-06-30","2021-06-30","Per=Y","Days=T","Dir=V")</f>
        <v>0</v>
      </c>
      <c r="K2">
        <f>BDH("ILMN US Equity","BS_CASH_NEAR_CASH_ITEM","2016-06-30","2021-06-30","Per=Y","Days=T","Dir=V")</f>
        <v>0</v>
      </c>
      <c r="M2">
        <f>BDH("ILMN US Equity","BS_CUR_ASSET_REPORT","2016-06-30","2021-06-30","Per=Y","Days=T","Dir=V")</f>
        <v>0</v>
      </c>
      <c r="O2">
        <f>BDH("ILMN US Equity","BS_CUR_LIAB","2016-06-30","2021-06-30","Per=Y","Days=T","Dir=V")</f>
        <v>0</v>
      </c>
      <c r="Q2">
        <f>BDH("ILMN US Equity","BS_SHAREHOLDER_EQY_ENDING_PERIOD","2016-06-30","2021-06-30","Per=Y","Days=T","Dir=V")</f>
        <v>0</v>
      </c>
      <c r="S2">
        <f>BDH("ILMN US Equity","BS_ACCT_NOTE_RCV","2016-06-30","2021-06-30","Per=Y","Days=T","Dir=V")</f>
        <v>0</v>
      </c>
      <c r="U2">
        <f>BDH("ILMN US Equity","BS_INVENTORIES","2016-06-30","2021-06-30","Per=Y","Days=T","Dir=V")</f>
        <v>0</v>
      </c>
      <c r="W2">
        <f>BDH("ILMN US Equity","WORKING_CAPITAL","2016-06-30","2021-06-30","Per=Y","Days=T","Dir=V")</f>
        <v>0</v>
      </c>
      <c r="Y2">
        <f>BDH("ILMN US Equity","SALES_REV_TURN","2016-06-30","2021-06-30","Per=Y","Days=T","Dir=V")</f>
        <v>0</v>
      </c>
      <c r="AA2">
        <f>BDH("ILMN US Equity","EBIT","2016-06-30","2021-06-30","Per=Y","Days=T","Dir=V")</f>
        <v>0</v>
      </c>
      <c r="AC2">
        <f>BDH("ILMN US Equity","EBITDA","2016-06-30","2021-06-30","Per=Y","Days=T","Dir=V")</f>
        <v>0</v>
      </c>
      <c r="AE2">
        <f>BDH("ILMN US Equity","NET_INCOME","2016-06-30","2021-06-30","Per=Y","Days=T","Dir=V")</f>
        <v>0</v>
      </c>
      <c r="AG2">
        <f>BDH("ILMN US Equity","IS_INT_EXPENSE","2016-06-30","2021-06-30","Per=Y","Days=T","Dir=V")</f>
        <v>0</v>
      </c>
      <c r="AI2">
        <f>BDH("ILMN US Equity","IS_DEPR_EXP","2016-06-30","2021-06-30","Per=Y","Days=T","Dir=V")</f>
        <v>0</v>
      </c>
      <c r="AK2">
        <f>BDH("ILMN US Equity","CF_CASH_FROM_OPER","2016-06-30","2021-06-30","Per=Y","Days=T","Dir=V")</f>
        <v>0</v>
      </c>
      <c r="AM2">
        <f>BDH("ILMN US Equity","CAPITAL_EXPEND","2016-06-30","2021-06-30","Per=Y","Days=T","Dir=V")</f>
        <v>0</v>
      </c>
      <c r="AO2">
        <f>BDH("ILMN US Equity","CF_FREE_CASH_FLOW","2016-06-30","2021-06-30","Per=Y","Days=T","Dir=V")</f>
        <v>0</v>
      </c>
      <c r="AQ2">
        <f>BDH("ILMN US Equity","PX_LAST","2016-06-30","2021-06-30","Per=M","Days=T","Dir=V")</f>
        <v>0</v>
      </c>
      <c r="AS2">
        <f>BDH("ILMN US Equity","CUR_MKT_CAP","2016-06-30","2021-06-30","Per=M","Days=T","Dir=V")</f>
        <v>0</v>
      </c>
      <c r="AU2">
        <f>BDH("ILMN US Equity","EQY_SH_OUT","2016-06-30","2021-06-30","Per=M","Days=T","Dir=V")</f>
        <v>0</v>
      </c>
      <c r="AW2">
        <f>BDH("ILMN US Equity","BETA_RAW_OVERRIABLE","2016-06-30","2021-06-30","Per=M","Days=T","Dir=V")</f>
        <v>0</v>
      </c>
      <c r="AY2">
        <f>BDH("ILMN US Equity","PX_VOLUME","2016-06-30","2021-06-30","Per=M","Days=T","Dir=V")</f>
        <v>0</v>
      </c>
      <c r="BA2">
        <f>BDH("ILMN US Equity","TURNOVER","2016-06-30","2021-06-30","Per=M","Days=T","Dir=V")</f>
        <v>0</v>
      </c>
      <c r="BC2">
        <f>BDH("ILMN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BDH("ANIK US Equity","BS_TOT_ASSET","2016-06-30","2021-06-30","Per=Y","Days=T","Dir=V")</f>
        <v>0</v>
      </c>
      <c r="C2">
        <f>BDH("ANIK US Equity","BS_TOT_LIAB2","2016-06-30","2021-06-30","Per=Y","Days=T","Dir=V")</f>
        <v>0</v>
      </c>
      <c r="E2">
        <f>BDH("ANIK US Equity","SHORT_AND_LONG_TERM_DEBT","2016-06-30","2021-06-30","Per=Y","Days=T","Dir=V")</f>
        <v>0</v>
      </c>
      <c r="G2">
        <f>BDH("ANIK US Equity","BS_ST_BORROW","2016-06-30","2021-06-30","Per=Y","Days=T","Dir=V")</f>
        <v>0</v>
      </c>
      <c r="I2">
        <f>BDH("ANIK US Equity","BS_LT_BORROW","2016-06-30","2021-06-30","Per=Y","Days=T","Dir=V")</f>
        <v>0</v>
      </c>
      <c r="K2">
        <f>BDH("ANIK US Equity","BS_CASH_NEAR_CASH_ITEM","2016-06-30","2021-06-30","Per=Y","Days=T","Dir=V")</f>
        <v>0</v>
      </c>
      <c r="M2">
        <f>BDH("ANIK US Equity","BS_CUR_ASSET_REPORT","2016-06-30","2021-06-30","Per=Y","Days=T","Dir=V")</f>
        <v>0</v>
      </c>
      <c r="O2">
        <f>BDH("ANIK US Equity","BS_CUR_LIAB","2016-06-30","2021-06-30","Per=Y","Days=T","Dir=V")</f>
        <v>0</v>
      </c>
      <c r="Q2">
        <f>BDH("ANIK US Equity","BS_SHAREHOLDER_EQY_ENDING_PERIOD","2016-06-30","2021-06-30","Per=Y","Days=T","Dir=V")</f>
        <v>0</v>
      </c>
      <c r="S2">
        <f>BDH("ANIK US Equity","BS_ACCT_NOTE_RCV","2016-06-30","2021-06-30","Per=Y","Days=T","Dir=V")</f>
        <v>0</v>
      </c>
      <c r="U2">
        <f>BDH("ANIK US Equity","BS_INVENTORIES","2016-06-30","2021-06-30","Per=Y","Days=T","Dir=V")</f>
        <v>0</v>
      </c>
      <c r="W2">
        <f>BDH("ANIK US Equity","WORKING_CAPITAL","2016-06-30","2021-06-30","Per=Y","Days=T","Dir=V")</f>
        <v>0</v>
      </c>
      <c r="Y2">
        <f>BDH("ANIK US Equity","SALES_REV_TURN","2016-06-30","2021-06-30","Per=Y","Days=T","Dir=V")</f>
        <v>0</v>
      </c>
      <c r="AA2">
        <f>BDH("ANIK US Equity","EBIT","2016-06-30","2021-06-30","Per=Y","Days=T","Dir=V")</f>
        <v>0</v>
      </c>
      <c r="AC2">
        <f>BDH("ANIK US Equity","EBITDA","2016-06-30","2021-06-30","Per=Y","Days=T","Dir=V")</f>
        <v>0</v>
      </c>
      <c r="AE2">
        <f>BDH("ANIK US Equity","NET_INCOME","2016-06-30","2021-06-30","Per=Y","Days=T","Dir=V")</f>
        <v>0</v>
      </c>
      <c r="AG2">
        <f>BDH("ANIK US Equity","IS_INT_EXPENSE","2016-06-30","2021-06-30","Per=Y","Days=T","Dir=V")</f>
        <v>0</v>
      </c>
      <c r="AI2">
        <f>BDH("ANIK US Equity","IS_DEPR_EXP","2016-06-30","2021-06-30","Per=Y","Days=T","Dir=V")</f>
        <v>0</v>
      </c>
      <c r="AK2">
        <f>BDH("ANIK US Equity","CF_CASH_FROM_OPER","2016-06-30","2021-06-30","Per=Y","Days=T","Dir=V")</f>
        <v>0</v>
      </c>
      <c r="AM2">
        <f>BDH("ANIK US Equity","CAPITAL_EXPEND","2016-06-30","2021-06-30","Per=Y","Days=T","Dir=V")</f>
        <v>0</v>
      </c>
      <c r="AO2">
        <f>BDH("ANIK US Equity","CF_FREE_CASH_FLOW","2016-06-30","2021-06-30","Per=Y","Days=T","Dir=V")</f>
        <v>0</v>
      </c>
      <c r="AQ2">
        <f>BDH("ANIK US Equity","PX_LAST","2016-06-30","2021-06-30","Per=M","Days=T","Dir=V")</f>
        <v>0</v>
      </c>
      <c r="AS2">
        <f>BDH("ANIK US Equity","CUR_MKT_CAP","2016-06-30","2021-06-30","Per=M","Days=T","Dir=V")</f>
        <v>0</v>
      </c>
      <c r="AU2">
        <f>BDH("ANIK US Equity","EQY_SH_OUT","2016-06-30","2021-06-30","Per=M","Days=T","Dir=V")</f>
        <v>0</v>
      </c>
      <c r="AW2">
        <f>BDH("ANIK US Equity","BETA_RAW_OVERRIABLE","2016-06-30","2021-06-30","Per=M","Days=T","Dir=V")</f>
        <v>0</v>
      </c>
      <c r="AY2">
        <f>BDH("ANIK US Equity","PX_VOLUME","2016-06-30","2021-06-30","Per=M","Days=T","Dir=V")</f>
        <v>0</v>
      </c>
      <c r="BA2">
        <f>BDH("ANIK US Equity","TURNOVER","2016-06-30","2021-06-30","Per=M","Days=T","Dir=V")</f>
        <v>0</v>
      </c>
      <c r="BC2">
        <f>BDH("ANIK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BDH("BAX US Equity","BS_TOT_ASSET","2016-06-30","2021-06-30","Per=Y","Days=T","Dir=V")</f>
        <v>0</v>
      </c>
      <c r="C2">
        <f>BDH("BAX US Equity","BS_TOT_LIAB2","2016-06-30","2021-06-30","Per=Y","Days=T","Dir=V")</f>
        <v>0</v>
      </c>
      <c r="E2">
        <f>BDH("BAX US Equity","SHORT_AND_LONG_TERM_DEBT","2016-06-30","2021-06-30","Per=Y","Days=T","Dir=V")</f>
        <v>0</v>
      </c>
      <c r="G2">
        <f>BDH("BAX US Equity","BS_ST_BORROW","2016-06-30","2021-06-30","Per=Y","Days=T","Dir=V")</f>
        <v>0</v>
      </c>
      <c r="I2">
        <f>BDH("BAX US Equity","BS_LT_BORROW","2016-06-30","2021-06-30","Per=Y","Days=T","Dir=V")</f>
        <v>0</v>
      </c>
      <c r="K2">
        <f>BDH("BAX US Equity","BS_CASH_NEAR_CASH_ITEM","2016-06-30","2021-06-30","Per=Y","Days=T","Dir=V")</f>
        <v>0</v>
      </c>
      <c r="M2">
        <f>BDH("BAX US Equity","BS_CUR_ASSET_REPORT","2016-06-30","2021-06-30","Per=Y","Days=T","Dir=V")</f>
        <v>0</v>
      </c>
      <c r="O2">
        <f>BDH("BAX US Equity","BS_CUR_LIAB","2016-06-30","2021-06-30","Per=Y","Days=T","Dir=V")</f>
        <v>0</v>
      </c>
      <c r="Q2">
        <f>BDH("BAX US Equity","BS_SHAREHOLDER_EQY_ENDING_PERIOD","2016-06-30","2021-06-30","Per=Y","Days=T","Dir=V")</f>
        <v>0</v>
      </c>
      <c r="S2">
        <f>BDH("BAX US Equity","BS_ACCT_NOTE_RCV","2016-06-30","2021-06-30","Per=Y","Days=T","Dir=V")</f>
        <v>0</v>
      </c>
      <c r="U2">
        <f>BDH("BAX US Equity","BS_INVENTORIES","2016-06-30","2021-06-30","Per=Y","Days=T","Dir=V")</f>
        <v>0</v>
      </c>
      <c r="W2">
        <f>BDH("BAX US Equity","WORKING_CAPITAL","2016-06-30","2021-06-30","Per=Y","Days=T","Dir=V")</f>
        <v>0</v>
      </c>
      <c r="Y2">
        <f>BDH("BAX US Equity","SALES_REV_TURN","2016-06-30","2021-06-30","Per=Y","Days=T","Dir=V")</f>
        <v>0</v>
      </c>
      <c r="AA2">
        <f>BDH("BAX US Equity","EBIT","2016-06-30","2021-06-30","Per=Y","Days=T","Dir=V")</f>
        <v>0</v>
      </c>
      <c r="AC2">
        <f>BDH("BAX US Equity","EBITDA","2016-06-30","2021-06-30","Per=Y","Days=T","Dir=V")</f>
        <v>0</v>
      </c>
      <c r="AE2">
        <f>BDH("BAX US Equity","NET_INCOME","2016-06-30","2021-06-30","Per=Y","Days=T","Dir=V")</f>
        <v>0</v>
      </c>
      <c r="AG2">
        <f>BDH("BAX US Equity","IS_INT_EXPENSE","2016-06-30","2021-06-30","Per=Y","Days=T","Dir=V")</f>
        <v>0</v>
      </c>
      <c r="AI2">
        <f>BDH("BAX US Equity","IS_DEPR_EXP","2016-06-30","2021-06-30","Per=Y","Days=T","Dir=V")</f>
        <v>0</v>
      </c>
      <c r="AK2">
        <f>BDH("BAX US Equity","CF_CASH_FROM_OPER","2016-06-30","2021-06-30","Per=Y","Days=T","Dir=V")</f>
        <v>0</v>
      </c>
      <c r="AM2">
        <f>BDH("BAX US Equity","CAPITAL_EXPEND","2016-06-30","2021-06-30","Per=Y","Days=T","Dir=V")</f>
        <v>0</v>
      </c>
      <c r="AO2">
        <f>BDH("BAX US Equity","CF_FREE_CASH_FLOW","2016-06-30","2021-06-30","Per=Y","Days=T","Dir=V")</f>
        <v>0</v>
      </c>
      <c r="AQ2">
        <f>BDH("BAX US Equity","PX_LAST","2016-06-30","2021-06-30","Per=M","Days=T","Dir=V")</f>
        <v>0</v>
      </c>
      <c r="AS2">
        <f>BDH("BAX US Equity","CUR_MKT_CAP","2016-06-30","2021-06-30","Per=M","Days=T","Dir=V")</f>
        <v>0</v>
      </c>
      <c r="AU2">
        <f>BDH("BAX US Equity","EQY_SH_OUT","2016-06-30","2021-06-30","Per=M","Days=T","Dir=V")</f>
        <v>0</v>
      </c>
      <c r="AW2">
        <f>BDH("BAX US Equity","BETA_RAW_OVERRIABLE","2016-06-30","2021-06-30","Per=M","Days=T","Dir=V")</f>
        <v>0</v>
      </c>
      <c r="AY2">
        <f>BDH("BAX US Equity","PX_VOLUME","2016-06-30","2021-06-30","Per=M","Days=T","Dir=V")</f>
        <v>0</v>
      </c>
      <c r="BA2">
        <f>BDH("BAX US Equity","TURNOVER","2016-06-30","2021-06-30","Per=M","Days=T","Dir=V")</f>
        <v>0</v>
      </c>
      <c r="BC2">
        <f>BDH("BAX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BDH("GCTK US Equity","BS_TOT_ASSET","2016-06-30","2021-06-30","Per=Y","Days=T","Dir=V")</f>
        <v>0</v>
      </c>
      <c r="C2">
        <f>BDH("GCTK US Equity","BS_TOT_LIAB2","2016-06-30","2021-06-30","Per=Y","Days=T","Dir=V")</f>
        <v>0</v>
      </c>
      <c r="E2">
        <f>BDH("GCTK US Equity","SHORT_AND_LONG_TERM_DEBT","2016-06-30","2021-06-30","Per=Y","Days=T","Dir=V")</f>
        <v>0</v>
      </c>
      <c r="G2">
        <f>BDH("GCTK US Equity","BS_ST_BORROW","2016-06-30","2021-06-30","Per=Y","Days=T","Dir=V")</f>
        <v>0</v>
      </c>
      <c r="I2">
        <f>BDH("GCTK US Equity","BS_LT_BORROW","2016-06-30","2021-06-30","Per=Y","Days=T","Dir=V")</f>
        <v>0</v>
      </c>
      <c r="K2">
        <f>BDH("GCTK US Equity","BS_CASH_NEAR_CASH_ITEM","2016-06-30","2021-06-30","Per=Y","Days=T","Dir=V")</f>
        <v>0</v>
      </c>
      <c r="M2">
        <f>BDH("GCTK US Equity","BS_CUR_ASSET_REPORT","2016-06-30","2021-06-30","Per=Y","Days=T","Dir=V")</f>
        <v>0</v>
      </c>
      <c r="O2">
        <f>BDH("GCTK US Equity","BS_CUR_LIAB","2016-06-30","2021-06-30","Per=Y","Days=T","Dir=V")</f>
        <v>0</v>
      </c>
      <c r="Q2">
        <f>BDH("GCTK US Equity","BS_SHAREHOLDER_EQY_ENDING_PERIOD","2016-06-30","2021-06-30","Per=Y","Days=T","Dir=V")</f>
        <v>0</v>
      </c>
      <c r="S2">
        <f>BDH("GCTK US Equity","BS_ACCT_NOTE_RCV","2016-06-30","2021-06-30","Per=Y","Days=T","Dir=V")</f>
        <v>0</v>
      </c>
      <c r="U2">
        <f>BDH("GCTK US Equity","BS_INVENTORIES","2016-06-30","2021-06-30","Per=Y","Days=T","Dir=V")</f>
        <v>0</v>
      </c>
      <c r="W2">
        <f>BDH("GCTK US Equity","WORKING_CAPITAL","2016-06-30","2021-06-30","Per=Y","Days=T","Dir=V")</f>
        <v>0</v>
      </c>
      <c r="Y2">
        <f>BDH("GCTK US Equity","SALES_REV_TURN","2016-06-30","2021-06-30","Per=Y","Days=T","Dir=V")</f>
        <v>0</v>
      </c>
      <c r="AA2">
        <f>BDH("GCTK US Equity","EBIT","2016-06-30","2021-06-30","Per=Y","Days=T","Dir=V")</f>
        <v>0</v>
      </c>
      <c r="AC2">
        <f>BDH("GCTK US Equity","EBITDA","2016-06-30","2021-06-30","Per=Y","Days=T","Dir=V")</f>
        <v>0</v>
      </c>
      <c r="AE2">
        <f>BDH("GCTK US Equity","NET_INCOME","2016-06-30","2021-06-30","Per=Y","Days=T","Dir=V")</f>
        <v>0</v>
      </c>
      <c r="AG2">
        <f>BDH("GCTK US Equity","IS_INT_EXPENSE","2016-06-30","2021-06-30","Per=Y","Days=T","Dir=V")</f>
        <v>0</v>
      </c>
      <c r="AI2">
        <f>BDH("GCTK US Equity","IS_DEPR_EXP","2016-06-30","2021-06-30","Per=Y","Days=T","Dir=V")</f>
        <v>0</v>
      </c>
      <c r="AK2">
        <f>BDH("GCTK US Equity","CF_CASH_FROM_OPER","2016-06-30","2021-06-30","Per=Y","Days=T","Dir=V")</f>
        <v>0</v>
      </c>
      <c r="AM2">
        <f>BDH("GCTK US Equity","CAPITAL_EXPEND","2016-06-30","2021-06-30","Per=Y","Days=T","Dir=V")</f>
        <v>0</v>
      </c>
      <c r="AO2">
        <f>BDH("GCTK US Equity","CF_FREE_CASH_FLOW","2016-06-30","2021-06-30","Per=Y","Days=T","Dir=V")</f>
        <v>0</v>
      </c>
      <c r="AQ2">
        <f>BDH("GCTK US Equity","PX_LAST","2016-06-30","2021-06-30","Per=M","Days=T","Dir=V")</f>
        <v>0</v>
      </c>
      <c r="AS2">
        <f>BDH("GCTK US Equity","CUR_MKT_CAP","2016-06-30","2021-06-30","Per=M","Days=T","Dir=V")</f>
        <v>0</v>
      </c>
      <c r="AU2">
        <f>BDH("GCTK US Equity","EQY_SH_OUT","2016-06-30","2021-06-30","Per=M","Days=T","Dir=V")</f>
        <v>0</v>
      </c>
      <c r="AW2">
        <f>BDH("GCTK US Equity","BETA_RAW_OVERRIABLE","2016-06-30","2021-06-30","Per=M","Days=T","Dir=V")</f>
        <v>0</v>
      </c>
      <c r="AY2">
        <f>BDH("GCTK US Equity","PX_VOLUME","2016-06-30","2021-06-30","Per=M","Days=T","Dir=V")</f>
        <v>0</v>
      </c>
      <c r="BA2">
        <f>BDH("GCTK US Equity","TURNOVER","2016-06-30","2021-06-30","Per=M","Days=T","Dir=V")</f>
        <v>0</v>
      </c>
      <c r="BC2">
        <f>BDH("GCTK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BDH("NEPH US Equity","BS_TOT_ASSET","2016-06-30","2021-06-30","Per=Y","Days=T","Dir=V")</f>
        <v>0</v>
      </c>
      <c r="C2">
        <f>BDH("NEPH US Equity","BS_TOT_LIAB2","2016-06-30","2021-06-30","Per=Y","Days=T","Dir=V")</f>
        <v>0</v>
      </c>
      <c r="E2">
        <f>BDH("NEPH US Equity","SHORT_AND_LONG_TERM_DEBT","2016-06-30","2021-06-30","Per=Y","Days=T","Dir=V")</f>
        <v>0</v>
      </c>
      <c r="G2">
        <f>BDH("NEPH US Equity","BS_ST_BORROW","2016-06-30","2021-06-30","Per=Y","Days=T","Dir=V")</f>
        <v>0</v>
      </c>
      <c r="I2">
        <f>BDH("NEPH US Equity","BS_LT_BORROW","2016-06-30","2021-06-30","Per=Y","Days=T","Dir=V")</f>
        <v>0</v>
      </c>
      <c r="K2">
        <f>BDH("NEPH US Equity","BS_CASH_NEAR_CASH_ITEM","2016-06-30","2021-06-30","Per=Y","Days=T","Dir=V")</f>
        <v>0</v>
      </c>
      <c r="M2">
        <f>BDH("NEPH US Equity","BS_CUR_ASSET_REPORT","2016-06-30","2021-06-30","Per=Y","Days=T","Dir=V")</f>
        <v>0</v>
      </c>
      <c r="O2">
        <f>BDH("NEPH US Equity","BS_CUR_LIAB","2016-06-30","2021-06-30","Per=Y","Days=T","Dir=V")</f>
        <v>0</v>
      </c>
      <c r="Q2">
        <f>BDH("NEPH US Equity","BS_SHAREHOLDER_EQY_ENDING_PERIOD","2016-06-30","2021-06-30","Per=Y","Days=T","Dir=V")</f>
        <v>0</v>
      </c>
      <c r="S2">
        <f>BDH("NEPH US Equity","BS_ACCT_NOTE_RCV","2016-06-30","2021-06-30","Per=Y","Days=T","Dir=V")</f>
        <v>0</v>
      </c>
      <c r="U2">
        <f>BDH("NEPH US Equity","BS_INVENTORIES","2016-06-30","2021-06-30","Per=Y","Days=T","Dir=V")</f>
        <v>0</v>
      </c>
      <c r="W2">
        <f>BDH("NEPH US Equity","WORKING_CAPITAL","2016-06-30","2021-06-30","Per=Y","Days=T","Dir=V")</f>
        <v>0</v>
      </c>
      <c r="Y2">
        <f>BDH("NEPH US Equity","SALES_REV_TURN","2016-06-30","2021-06-30","Per=Y","Days=T","Dir=V")</f>
        <v>0</v>
      </c>
      <c r="AA2">
        <f>BDH("NEPH US Equity","EBIT","2016-06-30","2021-06-30","Per=Y","Days=T","Dir=V")</f>
        <v>0</v>
      </c>
      <c r="AC2">
        <f>BDH("NEPH US Equity","EBITDA","2016-06-30","2021-06-30","Per=Y","Days=T","Dir=V")</f>
        <v>0</v>
      </c>
      <c r="AE2">
        <f>BDH("NEPH US Equity","NET_INCOME","2016-06-30","2021-06-30","Per=Y","Days=T","Dir=V")</f>
        <v>0</v>
      </c>
      <c r="AG2">
        <f>BDH("NEPH US Equity","IS_INT_EXPENSE","2016-06-30","2021-06-30","Per=Y","Days=T","Dir=V")</f>
        <v>0</v>
      </c>
      <c r="AI2">
        <f>BDH("NEPH US Equity","IS_DEPR_EXP","2016-06-30","2021-06-30","Per=Y","Days=T","Dir=V")</f>
        <v>0</v>
      </c>
      <c r="AK2">
        <f>BDH("NEPH US Equity","CF_CASH_FROM_OPER","2016-06-30","2021-06-30","Per=Y","Days=T","Dir=V")</f>
        <v>0</v>
      </c>
      <c r="AM2">
        <f>BDH("NEPH US Equity","CAPITAL_EXPEND","2016-06-30","2021-06-30","Per=Y","Days=T","Dir=V")</f>
        <v>0</v>
      </c>
      <c r="AO2">
        <f>BDH("NEPH US Equity","CF_FREE_CASH_FLOW","2016-06-30","2021-06-30","Per=Y","Days=T","Dir=V")</f>
        <v>0</v>
      </c>
      <c r="AQ2">
        <f>BDH("NEPH US Equity","PX_LAST","2016-06-30","2021-06-30","Per=M","Days=T","Dir=V")</f>
        <v>0</v>
      </c>
      <c r="AS2">
        <f>BDH("NEPH US Equity","CUR_MKT_CAP","2016-06-30","2021-06-30","Per=M","Days=T","Dir=V")</f>
        <v>0</v>
      </c>
      <c r="AU2">
        <f>BDH("NEPH US Equity","EQY_SH_OUT","2016-06-30","2021-06-30","Per=M","Days=T","Dir=V")</f>
        <v>0</v>
      </c>
      <c r="AW2">
        <f>BDH("NEPH US Equity","BETA_RAW_OVERRIABLE","2016-06-30","2021-06-30","Per=M","Days=T","Dir=V")</f>
        <v>0</v>
      </c>
      <c r="AY2">
        <f>BDH("NEPH US Equity","PX_VOLUME","2016-06-30","2021-06-30","Per=M","Days=T","Dir=V")</f>
        <v>0</v>
      </c>
      <c r="BA2">
        <f>BDH("NEPH US Equity","TURNOVER","2016-06-30","2021-06-30","Per=M","Days=T","Dir=V")</f>
        <v>0</v>
      </c>
      <c r="BC2">
        <f>BDH("NEPH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BDH("NXGL US Equity","BS_TOT_ASSET","2016-06-30","2021-06-30","Per=Y","Days=T","Dir=V")</f>
        <v>0</v>
      </c>
      <c r="C2">
        <f>BDH("NXGL US Equity","BS_TOT_LIAB2","2016-06-30","2021-06-30","Per=Y","Days=T","Dir=V")</f>
        <v>0</v>
      </c>
      <c r="E2">
        <f>BDH("NXGL US Equity","SHORT_AND_LONG_TERM_DEBT","2016-06-30","2021-06-30","Per=Y","Days=T","Dir=V")</f>
        <v>0</v>
      </c>
      <c r="G2">
        <f>BDH("NXGL US Equity","BS_ST_BORROW","2016-06-30","2021-06-30","Per=Y","Days=T","Dir=V")</f>
        <v>0</v>
      </c>
      <c r="I2">
        <f>BDH("NXGL US Equity","BS_LT_BORROW","2016-06-30","2021-06-30","Per=Y","Days=T","Dir=V")</f>
        <v>0</v>
      </c>
      <c r="K2">
        <f>BDH("NXGL US Equity","BS_CASH_NEAR_CASH_ITEM","2016-06-30","2021-06-30","Per=Y","Days=T","Dir=V")</f>
        <v>0</v>
      </c>
      <c r="M2">
        <f>BDH("NXGL US Equity","BS_CUR_ASSET_REPORT","2016-06-30","2021-06-30","Per=Y","Days=T","Dir=V")</f>
        <v>0</v>
      </c>
      <c r="O2">
        <f>BDH("NXGL US Equity","BS_CUR_LIAB","2016-06-30","2021-06-30","Per=Y","Days=T","Dir=V")</f>
        <v>0</v>
      </c>
      <c r="Q2">
        <f>BDH("NXGL US Equity","BS_SHAREHOLDER_EQY_ENDING_PERIOD","2016-06-30","2021-06-30","Per=Y","Days=T","Dir=V")</f>
        <v>0</v>
      </c>
      <c r="S2">
        <f>BDH("NXGL US Equity","BS_ACCT_NOTE_RCV","2016-06-30","2021-06-30","Per=Y","Days=T","Dir=V")</f>
        <v>0</v>
      </c>
      <c r="U2">
        <f>BDH("NXGL US Equity","BS_INVENTORIES","2016-06-30","2021-06-30","Per=Y","Days=T","Dir=V")</f>
        <v>0</v>
      </c>
      <c r="W2">
        <f>BDH("NXGL US Equity","WORKING_CAPITAL","2016-06-30","2021-06-30","Per=Y","Days=T","Dir=V")</f>
        <v>0</v>
      </c>
      <c r="Y2">
        <f>BDH("NXGL US Equity","SALES_REV_TURN","2016-06-30","2021-06-30","Per=Y","Days=T","Dir=V")</f>
        <v>0</v>
      </c>
      <c r="AA2">
        <f>BDH("NXGL US Equity","EBIT","2016-06-30","2021-06-30","Per=Y","Days=T","Dir=V")</f>
        <v>0</v>
      </c>
      <c r="AC2">
        <f>BDH("NXGL US Equity","EBITDA","2016-06-30","2021-06-30","Per=Y","Days=T","Dir=V")</f>
        <v>0</v>
      </c>
      <c r="AE2">
        <f>BDH("NXGL US Equity","NET_INCOME","2016-06-30","2021-06-30","Per=Y","Days=T","Dir=V")</f>
        <v>0</v>
      </c>
      <c r="AG2">
        <f>BDH("NXGL US Equity","IS_INT_EXPENSE","2016-06-30","2021-06-30","Per=Y","Days=T","Dir=V")</f>
        <v>0</v>
      </c>
      <c r="AI2">
        <f>BDH("NXGL US Equity","IS_DEPR_EXP","2016-06-30","2021-06-30","Per=Y","Days=T","Dir=V")</f>
        <v>0</v>
      </c>
      <c r="AK2">
        <f>BDH("NXGL US Equity","CF_CASH_FROM_OPER","2016-06-30","2021-06-30","Per=Y","Days=T","Dir=V")</f>
        <v>0</v>
      </c>
      <c r="AM2">
        <f>BDH("NXGL US Equity","CAPITAL_EXPEND","2016-06-30","2021-06-30","Per=Y","Days=T","Dir=V")</f>
        <v>0</v>
      </c>
      <c r="AO2">
        <f>BDH("NXGL US Equity","CF_FREE_CASH_FLOW","2016-06-30","2021-06-30","Per=Y","Days=T","Dir=V")</f>
        <v>0</v>
      </c>
      <c r="AQ2">
        <f>BDH("NXGL US Equity","PX_LAST","2016-06-30","2021-06-30","Per=M","Days=T","Dir=V")</f>
        <v>0</v>
      </c>
      <c r="AS2">
        <f>BDH("NXGL US Equity","CUR_MKT_CAP","2016-06-30","2021-06-30","Per=M","Days=T","Dir=V")</f>
        <v>0</v>
      </c>
      <c r="AU2">
        <f>BDH("NXGL US Equity","EQY_SH_OUT","2016-06-30","2021-06-30","Per=M","Days=T","Dir=V")</f>
        <v>0</v>
      </c>
      <c r="AW2">
        <f>BDH("NXGL US Equity","BETA_RAW_OVERRIABLE","2016-06-30","2021-06-30","Per=M","Days=T","Dir=V")</f>
        <v>0</v>
      </c>
      <c r="AY2">
        <f>BDH("NXGL US Equity","PX_VOLUME","2016-06-30","2021-06-30","Per=M","Days=T","Dir=V")</f>
        <v>0</v>
      </c>
      <c r="BA2">
        <f>BDH("NXGL US Equity","TURNOVER","2016-06-30","2021-06-30","Per=M","Days=T","Dir=V")</f>
        <v>0</v>
      </c>
      <c r="BC2">
        <f>BDH("NXGL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BDH("RCEL US Equity","BS_TOT_ASSET","2016-06-30","2021-06-30","Per=Y","Days=T","Dir=V")</f>
        <v>0</v>
      </c>
      <c r="C2">
        <f>BDH("RCEL US Equity","BS_TOT_LIAB2","2016-06-30","2021-06-30","Per=Y","Days=T","Dir=V")</f>
        <v>0</v>
      </c>
      <c r="E2">
        <f>BDH("RCEL US Equity","SHORT_AND_LONG_TERM_DEBT","2016-06-30","2021-06-30","Per=Y","Days=T","Dir=V")</f>
        <v>0</v>
      </c>
      <c r="G2">
        <f>BDH("RCEL US Equity","BS_ST_BORROW","2016-06-30","2021-06-30","Per=Y","Days=T","Dir=V")</f>
        <v>0</v>
      </c>
      <c r="I2">
        <f>BDH("RCEL US Equity","BS_LT_BORROW","2016-06-30","2021-06-30","Per=Y","Days=T","Dir=V")</f>
        <v>0</v>
      </c>
      <c r="K2">
        <f>BDH("RCEL US Equity","BS_CASH_NEAR_CASH_ITEM","2016-06-30","2021-06-30","Per=Y","Days=T","Dir=V")</f>
        <v>0</v>
      </c>
      <c r="M2">
        <f>BDH("RCEL US Equity","BS_CUR_ASSET_REPORT","2016-06-30","2021-06-30","Per=Y","Days=T","Dir=V")</f>
        <v>0</v>
      </c>
      <c r="O2">
        <f>BDH("RCEL US Equity","BS_CUR_LIAB","2016-06-30","2021-06-30","Per=Y","Days=T","Dir=V")</f>
        <v>0</v>
      </c>
      <c r="Q2">
        <f>BDH("RCEL US Equity","BS_SHAREHOLDER_EQY_ENDING_PERIOD","2016-06-30","2021-06-30","Per=Y","Days=T","Dir=V")</f>
        <v>0</v>
      </c>
      <c r="S2">
        <f>BDH("RCEL US Equity","BS_ACCT_NOTE_RCV","2016-06-30","2021-06-30","Per=Y","Days=T","Dir=V")</f>
        <v>0</v>
      </c>
      <c r="U2">
        <f>BDH("RCEL US Equity","BS_INVENTORIES","2016-06-30","2021-06-30","Per=Y","Days=T","Dir=V")</f>
        <v>0</v>
      </c>
      <c r="W2">
        <f>BDH("RCEL US Equity","WORKING_CAPITAL","2016-06-30","2021-06-30","Per=Y","Days=T","Dir=V")</f>
        <v>0</v>
      </c>
      <c r="Y2">
        <f>BDH("RCEL US Equity","SALES_REV_TURN","2016-06-30","2021-06-30","Per=Y","Days=T","Dir=V")</f>
        <v>0</v>
      </c>
      <c r="AA2">
        <f>BDH("RCEL US Equity","EBIT","2016-06-30","2021-06-30","Per=Y","Days=T","Dir=V")</f>
        <v>0</v>
      </c>
      <c r="AC2">
        <f>BDH("RCEL US Equity","EBITDA","2016-06-30","2021-06-30","Per=Y","Days=T","Dir=V")</f>
        <v>0</v>
      </c>
      <c r="AE2">
        <f>BDH("RCEL US Equity","NET_INCOME","2016-06-30","2021-06-30","Per=Y","Days=T","Dir=V")</f>
        <v>0</v>
      </c>
      <c r="AG2">
        <f>BDH("RCEL US Equity","IS_INT_EXPENSE","2016-06-30","2021-06-30","Per=Y","Days=T","Dir=V")</f>
        <v>0</v>
      </c>
      <c r="AI2">
        <f>BDH("RCEL US Equity","IS_DEPR_EXP","2016-06-30","2021-06-30","Per=Y","Days=T","Dir=V")</f>
        <v>0</v>
      </c>
      <c r="AK2">
        <f>BDH("RCEL US Equity","CF_CASH_FROM_OPER","2016-06-30","2021-06-30","Per=Y","Days=T","Dir=V")</f>
        <v>0</v>
      </c>
      <c r="AM2">
        <f>BDH("RCEL US Equity","CAPITAL_EXPEND","2016-06-30","2021-06-30","Per=Y","Days=T","Dir=V")</f>
        <v>0</v>
      </c>
      <c r="AO2">
        <f>BDH("RCEL US Equity","CF_FREE_CASH_FLOW","2016-06-30","2021-06-30","Per=Y","Days=T","Dir=V")</f>
        <v>0</v>
      </c>
      <c r="AQ2">
        <f>BDH("RCEL US Equity","PX_LAST","2016-06-30","2021-06-30","Per=M","Days=T","Dir=V")</f>
        <v>0</v>
      </c>
      <c r="AS2">
        <f>BDH("RCEL US Equity","CUR_MKT_CAP","2016-06-30","2021-06-30","Per=M","Days=T","Dir=V")</f>
        <v>0</v>
      </c>
      <c r="AU2">
        <f>BDH("RCEL US Equity","EQY_SH_OUT","2016-06-30","2021-06-30","Per=M","Days=T","Dir=V")</f>
        <v>0</v>
      </c>
      <c r="AW2">
        <f>BDH("RCEL US Equity","BETA_RAW_OVERRIABLE","2016-06-30","2021-06-30","Per=M","Days=T","Dir=V")</f>
        <v>0</v>
      </c>
      <c r="AY2">
        <f>BDH("RCEL US Equity","PX_VOLUME","2016-06-30","2021-06-30","Per=M","Days=T","Dir=V")</f>
        <v>0</v>
      </c>
      <c r="BA2">
        <f>BDH("RCEL US Equity","TURNOVER","2016-06-30","2021-06-30","Per=M","Days=T","Dir=V")</f>
        <v>0</v>
      </c>
      <c r="BC2">
        <f>BDH("RCEL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BDH("SI US Equity","BS_TOT_ASSET","2016-06-30","2021-06-30","Per=Y","Days=T","Dir=V")</f>
        <v>0</v>
      </c>
      <c r="C2">
        <f>BDH("SI US Equity","BS_TOT_LIAB2","2016-06-30","2021-06-30","Per=Y","Days=T","Dir=V")</f>
        <v>0</v>
      </c>
      <c r="E2">
        <f>BDH("SI US Equity","SHORT_AND_LONG_TERM_DEBT","2016-06-30","2021-06-30","Per=Y","Days=T","Dir=V")</f>
        <v>0</v>
      </c>
      <c r="G2">
        <f>BDH("SI US Equity","BS_ST_BORROW","2016-06-30","2021-06-30","Per=Y","Days=T","Dir=V")</f>
        <v>0</v>
      </c>
      <c r="I2">
        <f>BDH("SI US Equity","BS_LT_BORROW","2016-06-30","2021-06-30","Per=Y","Days=T","Dir=V")</f>
        <v>0</v>
      </c>
      <c r="K2">
        <f>BDH("SI US Equity","BS_CASH_NEAR_CASH_ITEM","2016-06-30","2021-06-30","Per=Y","Days=T","Dir=V")</f>
        <v>0</v>
      </c>
      <c r="M2">
        <f>BDH("SI US Equity","BS_CUR_ASSET_REPORT","2016-06-30","2021-06-30","Per=Y","Days=T","Dir=V")</f>
        <v>0</v>
      </c>
      <c r="O2">
        <f>BDH("SI US Equity","BS_CUR_LIAB","2016-06-30","2021-06-30","Per=Y","Days=T","Dir=V")</f>
        <v>0</v>
      </c>
      <c r="Q2">
        <f>BDH("SI US Equity","BS_SHAREHOLDER_EQY_ENDING_PERIOD","2016-06-30","2021-06-30","Per=Y","Days=T","Dir=V")</f>
        <v>0</v>
      </c>
      <c r="S2">
        <f>BDH("SI US Equity","BS_ACCT_NOTE_RCV","2016-06-30","2021-06-30","Per=Y","Days=T","Dir=V")</f>
        <v>0</v>
      </c>
      <c r="U2">
        <f>BDH("SI US Equity","BS_INVENTORIES","2016-06-30","2021-06-30","Per=Y","Days=T","Dir=V")</f>
        <v>0</v>
      </c>
      <c r="W2">
        <f>BDH("SI US Equity","WORKING_CAPITAL","2016-06-30","2021-06-30","Per=Y","Days=T","Dir=V")</f>
        <v>0</v>
      </c>
      <c r="Y2">
        <f>BDH("SI US Equity","SALES_REV_TURN","2016-06-30","2021-06-30","Per=Y","Days=T","Dir=V")</f>
        <v>0</v>
      </c>
      <c r="AA2">
        <f>BDH("SI US Equity","EBIT","2016-06-30","2021-06-30","Per=Y","Days=T","Dir=V")</f>
        <v>0</v>
      </c>
      <c r="AC2">
        <f>BDH("SI US Equity","EBITDA","2016-06-30","2021-06-30","Per=Y","Days=T","Dir=V")</f>
        <v>0</v>
      </c>
      <c r="AE2">
        <f>BDH("SI US Equity","NET_INCOME","2016-06-30","2021-06-30","Per=Y","Days=T","Dir=V")</f>
        <v>0</v>
      </c>
      <c r="AG2">
        <f>BDH("SI US Equity","IS_INT_EXPENSE","2016-06-30","2021-06-30","Per=Y","Days=T","Dir=V")</f>
        <v>0</v>
      </c>
      <c r="AI2">
        <f>BDH("SI US Equity","IS_DEPR_EXP","2016-06-30","2021-06-30","Per=Y","Days=T","Dir=V")</f>
        <v>0</v>
      </c>
      <c r="AK2">
        <f>BDH("SI US Equity","CF_CASH_FROM_OPER","2016-06-30","2021-06-30","Per=Y","Days=T","Dir=V")</f>
        <v>0</v>
      </c>
      <c r="AM2">
        <f>BDH("SI US Equity","CAPITAL_EXPEND","2016-06-30","2021-06-30","Per=Y","Days=T","Dir=V")</f>
        <v>0</v>
      </c>
      <c r="AO2">
        <f>BDH("SI US Equity","CF_FREE_CASH_FLOW","2016-06-30","2021-06-30","Per=Y","Days=T","Dir=V")</f>
        <v>0</v>
      </c>
      <c r="AQ2">
        <f>BDH("SI US Equity","PX_LAST","2016-06-30","2021-06-30","Per=M","Days=T","Dir=V")</f>
        <v>0</v>
      </c>
      <c r="AS2">
        <f>BDH("SI US Equity","CUR_MKT_CAP","2016-06-30","2021-06-30","Per=M","Days=T","Dir=V")</f>
        <v>0</v>
      </c>
      <c r="AU2">
        <f>BDH("SI US Equity","EQY_SH_OUT","2016-06-30","2021-06-30","Per=M","Days=T","Dir=V")</f>
        <v>0</v>
      </c>
      <c r="AW2">
        <f>BDH("SI US Equity","BETA_RAW_OVERRIABLE","2016-06-30","2021-06-30","Per=M","Days=T","Dir=V")</f>
        <v>0</v>
      </c>
      <c r="AY2">
        <f>BDH("SI US Equity","PX_VOLUME","2016-06-30","2021-06-30","Per=M","Days=T","Dir=V")</f>
        <v>0</v>
      </c>
      <c r="BA2">
        <f>BDH("SI US Equity","TURNOVER","2016-06-30","2021-06-30","Per=M","Days=T","Dir=V")</f>
        <v>0</v>
      </c>
      <c r="BC2">
        <f>BDH("SI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BDH("HIMS US Equity","BS_TOT_ASSET","2016-06-30","2021-06-30","Per=Y","Days=T","Dir=V")</f>
        <v>0</v>
      </c>
      <c r="C2">
        <f>BDH("HIMS US Equity","BS_TOT_LIAB2","2016-06-30","2021-06-30","Per=Y","Days=T","Dir=V")</f>
        <v>0</v>
      </c>
      <c r="E2">
        <f>BDH("HIMS US Equity","SHORT_AND_LONG_TERM_DEBT","2016-06-30","2021-06-30","Per=Y","Days=T","Dir=V")</f>
        <v>0</v>
      </c>
      <c r="G2">
        <f>BDH("HIMS US Equity","BS_ST_BORROW","2016-06-30","2021-06-30","Per=Y","Days=T","Dir=V")</f>
        <v>0</v>
      </c>
      <c r="I2">
        <f>BDH("HIMS US Equity","BS_LT_BORROW","2016-06-30","2021-06-30","Per=Y","Days=T","Dir=V")</f>
        <v>0</v>
      </c>
      <c r="K2">
        <f>BDH("HIMS US Equity","BS_CASH_NEAR_CASH_ITEM","2016-06-30","2021-06-30","Per=Y","Days=T","Dir=V")</f>
        <v>0</v>
      </c>
      <c r="M2">
        <f>BDH("HIMS US Equity","BS_CUR_ASSET_REPORT","2016-06-30","2021-06-30","Per=Y","Days=T","Dir=V")</f>
        <v>0</v>
      </c>
      <c r="O2">
        <f>BDH("HIMS US Equity","BS_CUR_LIAB","2016-06-30","2021-06-30","Per=Y","Days=T","Dir=V")</f>
        <v>0</v>
      </c>
      <c r="Q2">
        <f>BDH("HIMS US Equity","BS_SHAREHOLDER_EQY_ENDING_PERIOD","2016-06-30","2021-06-30","Per=Y","Days=T","Dir=V")</f>
        <v>0</v>
      </c>
      <c r="S2">
        <f>BDH("HIMS US Equity","BS_ACCT_NOTE_RCV","2016-06-30","2021-06-30","Per=Y","Days=T","Dir=V")</f>
        <v>0</v>
      </c>
      <c r="U2">
        <f>BDH("HIMS US Equity","BS_INVENTORIES","2016-06-30","2021-06-30","Per=Y","Days=T","Dir=V")</f>
        <v>0</v>
      </c>
      <c r="W2">
        <f>BDH("HIMS US Equity","WORKING_CAPITAL","2016-06-30","2021-06-30","Per=Y","Days=T","Dir=V")</f>
        <v>0</v>
      </c>
      <c r="Y2">
        <f>BDH("HIMS US Equity","SALES_REV_TURN","2016-06-30","2021-06-30","Per=Y","Days=T","Dir=V")</f>
        <v>0</v>
      </c>
      <c r="AA2">
        <f>BDH("HIMS US Equity","EBIT","2016-06-30","2021-06-30","Per=Y","Days=T","Dir=V")</f>
        <v>0</v>
      </c>
      <c r="AC2">
        <f>BDH("HIMS US Equity","EBITDA","2016-06-30","2021-06-30","Per=Y","Days=T","Dir=V")</f>
        <v>0</v>
      </c>
      <c r="AE2">
        <f>BDH("HIMS US Equity","NET_INCOME","2016-06-30","2021-06-30","Per=Y","Days=T","Dir=V")</f>
        <v>0</v>
      </c>
      <c r="AG2">
        <f>BDH("HIMS US Equity","IS_INT_EXPENSE","2016-06-30","2021-06-30","Per=Y","Days=T","Dir=V")</f>
        <v>0</v>
      </c>
      <c r="AI2">
        <f>BDH("HIMS US Equity","IS_DEPR_EXP","2016-06-30","2021-06-30","Per=Y","Days=T","Dir=V")</f>
        <v>0</v>
      </c>
      <c r="AK2">
        <f>BDH("HIMS US Equity","CF_CASH_FROM_OPER","2016-06-30","2021-06-30","Per=Y","Days=T","Dir=V")</f>
        <v>0</v>
      </c>
      <c r="AM2">
        <f>BDH("HIMS US Equity","CAPITAL_EXPEND","2016-06-30","2021-06-30","Per=Y","Days=T","Dir=V")</f>
        <v>0</v>
      </c>
      <c r="AO2">
        <f>BDH("HIMS US Equity","CF_FREE_CASH_FLOW","2016-06-30","2021-06-30","Per=Y","Days=T","Dir=V")</f>
        <v>0</v>
      </c>
      <c r="AQ2">
        <f>BDH("HIMS US Equity","PX_LAST","2016-06-30","2021-06-30","Per=M","Days=T","Dir=V")</f>
        <v>0</v>
      </c>
      <c r="AS2">
        <f>BDH("HIMS US Equity","CUR_MKT_CAP","2016-06-30","2021-06-30","Per=M","Days=T","Dir=V")</f>
        <v>0</v>
      </c>
      <c r="AU2">
        <f>BDH("HIMS US Equity","EQY_SH_OUT","2016-06-30","2021-06-30","Per=M","Days=T","Dir=V")</f>
        <v>0</v>
      </c>
      <c r="AW2">
        <f>BDH("HIMS US Equity","BETA_RAW_OVERRIABLE","2016-06-30","2021-06-30","Per=M","Days=T","Dir=V")</f>
        <v>0</v>
      </c>
      <c r="AY2">
        <f>BDH("HIMS US Equity","PX_VOLUME","2016-06-30","2021-06-30","Per=M","Days=T","Dir=V")</f>
        <v>0</v>
      </c>
      <c r="BA2">
        <f>BDH("HIMS US Equity","TURNOVER","2016-06-30","2021-06-30","Per=M","Days=T","Dir=V")</f>
        <v>0</v>
      </c>
      <c r="BC2">
        <f>BDH("HIMS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BDH("USNA US Equity","BS_TOT_ASSET","2016-06-30","2021-06-30","Per=Y","Days=T","Dir=V")</f>
        <v>0</v>
      </c>
      <c r="C2">
        <f>BDH("USNA US Equity","BS_TOT_LIAB2","2016-06-30","2021-06-30","Per=Y","Days=T","Dir=V")</f>
        <v>0</v>
      </c>
      <c r="E2">
        <f>BDH("USNA US Equity","SHORT_AND_LONG_TERM_DEBT","2016-06-30","2021-06-30","Per=Y","Days=T","Dir=V")</f>
        <v>0</v>
      </c>
      <c r="G2">
        <f>BDH("USNA US Equity","BS_ST_BORROW","2016-06-30","2021-06-30","Per=Y","Days=T","Dir=V")</f>
        <v>0</v>
      </c>
      <c r="I2">
        <f>BDH("USNA US Equity","BS_LT_BORROW","2016-06-30","2021-06-30","Per=Y","Days=T","Dir=V")</f>
        <v>0</v>
      </c>
      <c r="K2">
        <f>BDH("USNA US Equity","BS_CASH_NEAR_CASH_ITEM","2016-06-30","2021-06-30","Per=Y","Days=T","Dir=V")</f>
        <v>0</v>
      </c>
      <c r="M2">
        <f>BDH("USNA US Equity","BS_CUR_ASSET_REPORT","2016-06-30","2021-06-30","Per=Y","Days=T","Dir=V")</f>
        <v>0</v>
      </c>
      <c r="O2">
        <f>BDH("USNA US Equity","BS_CUR_LIAB","2016-06-30","2021-06-30","Per=Y","Days=T","Dir=V")</f>
        <v>0</v>
      </c>
      <c r="Q2">
        <f>BDH("USNA US Equity","BS_SHAREHOLDER_EQY_ENDING_PERIOD","2016-06-30","2021-06-30","Per=Y","Days=T","Dir=V")</f>
        <v>0</v>
      </c>
      <c r="S2">
        <f>BDH("USNA US Equity","BS_ACCT_NOTE_RCV","2016-06-30","2021-06-30","Per=Y","Days=T","Dir=V")</f>
        <v>0</v>
      </c>
      <c r="U2">
        <f>BDH("USNA US Equity","BS_INVENTORIES","2016-06-30","2021-06-30","Per=Y","Days=T","Dir=V")</f>
        <v>0</v>
      </c>
      <c r="W2">
        <f>BDH("USNA US Equity","WORKING_CAPITAL","2016-06-30","2021-06-30","Per=Y","Days=T","Dir=V")</f>
        <v>0</v>
      </c>
      <c r="Y2">
        <f>BDH("USNA US Equity","SALES_REV_TURN","2016-06-30","2021-06-30","Per=Y","Days=T","Dir=V")</f>
        <v>0</v>
      </c>
      <c r="AA2">
        <f>BDH("USNA US Equity","EBIT","2016-06-30","2021-06-30","Per=Y","Days=T","Dir=V")</f>
        <v>0</v>
      </c>
      <c r="AC2">
        <f>BDH("USNA US Equity","EBITDA","2016-06-30","2021-06-30","Per=Y","Days=T","Dir=V")</f>
        <v>0</v>
      </c>
      <c r="AE2">
        <f>BDH("USNA US Equity","NET_INCOME","2016-06-30","2021-06-30","Per=Y","Days=T","Dir=V")</f>
        <v>0</v>
      </c>
      <c r="AG2">
        <f>BDH("USNA US Equity","IS_INT_EXPENSE","2016-06-30","2021-06-30","Per=Y","Days=T","Dir=V")</f>
        <v>0</v>
      </c>
      <c r="AI2">
        <f>BDH("USNA US Equity","IS_DEPR_EXP","2016-06-30","2021-06-30","Per=Y","Days=T","Dir=V")</f>
        <v>0</v>
      </c>
      <c r="AK2">
        <f>BDH("USNA US Equity","CF_CASH_FROM_OPER","2016-06-30","2021-06-30","Per=Y","Days=T","Dir=V")</f>
        <v>0</v>
      </c>
      <c r="AM2">
        <f>BDH("USNA US Equity","CAPITAL_EXPEND","2016-06-30","2021-06-30","Per=Y","Days=T","Dir=V")</f>
        <v>0</v>
      </c>
      <c r="AO2">
        <f>BDH("USNA US Equity","CF_FREE_CASH_FLOW","2016-06-30","2021-06-30","Per=Y","Days=T","Dir=V")</f>
        <v>0</v>
      </c>
      <c r="AQ2">
        <f>BDH("USNA US Equity","PX_LAST","2016-06-30","2021-06-30","Per=M","Days=T","Dir=V")</f>
        <v>0</v>
      </c>
      <c r="AS2">
        <f>BDH("USNA US Equity","CUR_MKT_CAP","2016-06-30","2021-06-30","Per=M","Days=T","Dir=V")</f>
        <v>0</v>
      </c>
      <c r="AU2">
        <f>BDH("USNA US Equity","EQY_SH_OUT","2016-06-30","2021-06-30","Per=M","Days=T","Dir=V")</f>
        <v>0</v>
      </c>
      <c r="AW2">
        <f>BDH("USNA US Equity","BETA_RAW_OVERRIABLE","2016-06-30","2021-06-30","Per=M","Days=T","Dir=V")</f>
        <v>0</v>
      </c>
      <c r="AY2">
        <f>BDH("USNA US Equity","PX_VOLUME","2016-06-30","2021-06-30","Per=M","Days=T","Dir=V")</f>
        <v>0</v>
      </c>
      <c r="BA2">
        <f>BDH("USNA US Equity","TURNOVER","2016-06-30","2021-06-30","Per=M","Days=T","Dir=V")</f>
        <v>0</v>
      </c>
      <c r="BC2">
        <f>BDH("USNA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BDH("CCEL US Equity","BS_TOT_ASSET","2016-06-30","2021-06-30","Per=Y","Days=T","Dir=V")</f>
        <v>0</v>
      </c>
      <c r="C2">
        <f>BDH("CCEL US Equity","BS_TOT_LIAB2","2016-06-30","2021-06-30","Per=Y","Days=T","Dir=V")</f>
        <v>0</v>
      </c>
      <c r="E2">
        <f>BDH("CCEL US Equity","SHORT_AND_LONG_TERM_DEBT","2016-06-30","2021-06-30","Per=Y","Days=T","Dir=V")</f>
        <v>0</v>
      </c>
      <c r="G2">
        <f>BDH("CCEL US Equity","BS_ST_BORROW","2016-06-30","2021-06-30","Per=Y","Days=T","Dir=V")</f>
        <v>0</v>
      </c>
      <c r="I2">
        <f>BDH("CCEL US Equity","BS_LT_BORROW","2016-06-30","2021-06-30","Per=Y","Days=T","Dir=V")</f>
        <v>0</v>
      </c>
      <c r="K2">
        <f>BDH("CCEL US Equity","BS_CASH_NEAR_CASH_ITEM","2016-06-30","2021-06-30","Per=Y","Days=T","Dir=V")</f>
        <v>0</v>
      </c>
      <c r="M2">
        <f>BDH("CCEL US Equity","BS_CUR_ASSET_REPORT","2016-06-30","2021-06-30","Per=Y","Days=T","Dir=V")</f>
        <v>0</v>
      </c>
      <c r="O2">
        <f>BDH("CCEL US Equity","BS_CUR_LIAB","2016-06-30","2021-06-30","Per=Y","Days=T","Dir=V")</f>
        <v>0</v>
      </c>
      <c r="Q2">
        <f>BDH("CCEL US Equity","BS_SHAREHOLDER_EQY_ENDING_PERIOD","2016-06-30","2021-06-30","Per=Y","Days=T","Dir=V")</f>
        <v>0</v>
      </c>
      <c r="S2">
        <f>BDH("CCEL US Equity","BS_ACCT_NOTE_RCV","2016-06-30","2021-06-30","Per=Y","Days=T","Dir=V")</f>
        <v>0</v>
      </c>
      <c r="U2">
        <f>BDH("CCEL US Equity","BS_INVENTORIES","2016-06-30","2021-06-30","Per=Y","Days=T","Dir=V")</f>
        <v>0</v>
      </c>
      <c r="W2">
        <f>BDH("CCEL US Equity","WORKING_CAPITAL","2016-06-30","2021-06-30","Per=Y","Days=T","Dir=V")</f>
        <v>0</v>
      </c>
      <c r="Y2">
        <f>BDH("CCEL US Equity","SALES_REV_TURN","2016-06-30","2021-06-30","Per=Y","Days=T","Dir=V")</f>
        <v>0</v>
      </c>
      <c r="AA2">
        <f>BDH("CCEL US Equity","EBIT","2016-06-30","2021-06-30","Per=Y","Days=T","Dir=V")</f>
        <v>0</v>
      </c>
      <c r="AC2">
        <f>BDH("CCEL US Equity","EBITDA","2016-06-30","2021-06-30","Per=Y","Days=T","Dir=V")</f>
        <v>0</v>
      </c>
      <c r="AE2">
        <f>BDH("CCEL US Equity","NET_INCOME","2016-06-30","2021-06-30","Per=Y","Days=T","Dir=V")</f>
        <v>0</v>
      </c>
      <c r="AG2">
        <f>BDH("CCEL US Equity","IS_INT_EXPENSE","2016-06-30","2021-06-30","Per=Y","Days=T","Dir=V")</f>
        <v>0</v>
      </c>
      <c r="AI2">
        <f>BDH("CCEL US Equity","IS_DEPR_EXP","2016-06-30","2021-06-30","Per=Y","Days=T","Dir=V")</f>
        <v>0</v>
      </c>
      <c r="AK2">
        <f>BDH("CCEL US Equity","CF_CASH_FROM_OPER","2016-06-30","2021-06-30","Per=Y","Days=T","Dir=V")</f>
        <v>0</v>
      </c>
      <c r="AM2">
        <f>BDH("CCEL US Equity","CAPITAL_EXPEND","2016-06-30","2021-06-30","Per=Y","Days=T","Dir=V")</f>
        <v>0</v>
      </c>
      <c r="AO2">
        <f>BDH("CCEL US Equity","CF_FREE_CASH_FLOW","2016-06-30","2021-06-30","Per=Y","Days=T","Dir=V")</f>
        <v>0</v>
      </c>
      <c r="AQ2">
        <f>BDH("CCEL US Equity","PX_LAST","2016-06-30","2021-06-30","Per=M","Days=T","Dir=V")</f>
        <v>0</v>
      </c>
      <c r="AS2">
        <f>BDH("CCEL US Equity","CUR_MKT_CAP","2016-06-30","2021-06-30","Per=M","Days=T","Dir=V")</f>
        <v>0</v>
      </c>
      <c r="AU2">
        <f>BDH("CCEL US Equity","EQY_SH_OUT","2016-06-30","2021-06-30","Per=M","Days=T","Dir=V")</f>
        <v>0</v>
      </c>
      <c r="AW2">
        <f>BDH("CCEL US Equity","BETA_RAW_OVERRIABLE","2016-06-30","2021-06-30","Per=M","Days=T","Dir=V")</f>
        <v>0</v>
      </c>
      <c r="AY2">
        <f>BDH("CCEL US Equity","PX_VOLUME","2016-06-30","2021-06-30","Per=M","Days=T","Dir=V")</f>
        <v>0</v>
      </c>
      <c r="BA2">
        <f>BDH("CCEL US Equity","TURNOVER","2016-06-30","2021-06-30","Per=M","Days=T","Dir=V")</f>
        <v>0</v>
      </c>
      <c r="BC2">
        <f>BDH("CCEL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BDH("COO US Equity","BS_TOT_ASSET","2016-06-30","2021-06-30","Per=Y","Days=T","Dir=V")</f>
        <v>0</v>
      </c>
      <c r="C2">
        <f>BDH("COO US Equity","BS_TOT_LIAB2","2016-06-30","2021-06-30","Per=Y","Days=T","Dir=V")</f>
        <v>0</v>
      </c>
      <c r="E2">
        <f>BDH("COO US Equity","SHORT_AND_LONG_TERM_DEBT","2016-06-30","2021-06-30","Per=Y","Days=T","Dir=V")</f>
        <v>0</v>
      </c>
      <c r="G2">
        <f>BDH("COO US Equity","BS_ST_BORROW","2016-06-30","2021-06-30","Per=Y","Days=T","Dir=V")</f>
        <v>0</v>
      </c>
      <c r="I2">
        <f>BDH("COO US Equity","BS_LT_BORROW","2016-06-30","2021-06-30","Per=Y","Days=T","Dir=V")</f>
        <v>0</v>
      </c>
      <c r="K2">
        <f>BDH("COO US Equity","BS_CASH_NEAR_CASH_ITEM","2016-06-30","2021-06-30","Per=Y","Days=T","Dir=V")</f>
        <v>0</v>
      </c>
      <c r="M2">
        <f>BDH("COO US Equity","BS_CUR_ASSET_REPORT","2016-06-30","2021-06-30","Per=Y","Days=T","Dir=V")</f>
        <v>0</v>
      </c>
      <c r="O2">
        <f>BDH("COO US Equity","BS_CUR_LIAB","2016-06-30","2021-06-30","Per=Y","Days=T","Dir=V")</f>
        <v>0</v>
      </c>
      <c r="Q2">
        <f>BDH("COO US Equity","BS_SHAREHOLDER_EQY_ENDING_PERIOD","2016-06-30","2021-06-30","Per=Y","Days=T","Dir=V")</f>
        <v>0</v>
      </c>
      <c r="S2">
        <f>BDH("COO US Equity","BS_ACCT_NOTE_RCV","2016-06-30","2021-06-30","Per=Y","Days=T","Dir=V")</f>
        <v>0</v>
      </c>
      <c r="U2">
        <f>BDH("COO US Equity","BS_INVENTORIES","2016-06-30","2021-06-30","Per=Y","Days=T","Dir=V")</f>
        <v>0</v>
      </c>
      <c r="W2">
        <f>BDH("COO US Equity","WORKING_CAPITAL","2016-06-30","2021-06-30","Per=Y","Days=T","Dir=V")</f>
        <v>0</v>
      </c>
      <c r="Y2">
        <f>BDH("COO US Equity","SALES_REV_TURN","2016-06-30","2021-06-30","Per=Y","Days=T","Dir=V")</f>
        <v>0</v>
      </c>
      <c r="AA2">
        <f>BDH("COO US Equity","EBIT","2016-06-30","2021-06-30","Per=Y","Days=T","Dir=V")</f>
        <v>0</v>
      </c>
      <c r="AC2">
        <f>BDH("COO US Equity","EBITDA","2016-06-30","2021-06-30","Per=Y","Days=T","Dir=V")</f>
        <v>0</v>
      </c>
      <c r="AE2">
        <f>BDH("COO US Equity","NET_INCOME","2016-06-30","2021-06-30","Per=Y","Days=T","Dir=V")</f>
        <v>0</v>
      </c>
      <c r="AG2">
        <f>BDH("COO US Equity","IS_INT_EXPENSE","2016-06-30","2021-06-30","Per=Y","Days=T","Dir=V")</f>
        <v>0</v>
      </c>
      <c r="AI2">
        <f>BDH("COO US Equity","IS_DEPR_EXP","2016-06-30","2021-06-30","Per=Y","Days=T","Dir=V")</f>
        <v>0</v>
      </c>
      <c r="AK2">
        <f>BDH("COO US Equity","CF_CASH_FROM_OPER","2016-06-30","2021-06-30","Per=Y","Days=T","Dir=V")</f>
        <v>0</v>
      </c>
      <c r="AM2">
        <f>BDH("COO US Equity","CAPITAL_EXPEND","2016-06-30","2021-06-30","Per=Y","Days=T","Dir=V")</f>
        <v>0</v>
      </c>
      <c r="AO2">
        <f>BDH("COO US Equity","CF_FREE_CASH_FLOW","2016-06-30","2021-06-30","Per=Y","Days=T","Dir=V")</f>
        <v>0</v>
      </c>
      <c r="AQ2">
        <f>BDH("COO US Equity","PX_LAST","2016-06-30","2021-06-30","Per=M","Days=T","Dir=V")</f>
        <v>0</v>
      </c>
      <c r="AS2">
        <f>BDH("COO US Equity","CUR_MKT_CAP","2016-06-30","2021-06-30","Per=M","Days=T","Dir=V")</f>
        <v>0</v>
      </c>
      <c r="AU2">
        <f>BDH("COO US Equity","EQY_SH_OUT","2016-06-30","2021-06-30","Per=M","Days=T","Dir=V")</f>
        <v>0</v>
      </c>
      <c r="AW2">
        <f>BDH("COO US Equity","BETA_RAW_OVERRIABLE","2016-06-30","2021-06-30","Per=M","Days=T","Dir=V")</f>
        <v>0</v>
      </c>
      <c r="AY2">
        <f>BDH("COO US Equity","PX_VOLUME","2016-06-30","2021-06-30","Per=M","Days=T","Dir=V")</f>
        <v>0</v>
      </c>
      <c r="BA2">
        <f>BDH("COO US Equity","TURNOVER","2016-06-30","2021-06-30","Per=M","Days=T","Dir=V")</f>
        <v>0</v>
      </c>
      <c r="BC2">
        <f>BDH("COO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BDH("CAH US Equity","BS_TOT_ASSET","2016-06-30","2021-06-30","Per=Y","Days=T","Dir=V")</f>
        <v>0</v>
      </c>
      <c r="C2">
        <f>BDH("CAH US Equity","BS_TOT_LIAB2","2016-06-30","2021-06-30","Per=Y","Days=T","Dir=V")</f>
        <v>0</v>
      </c>
      <c r="E2">
        <f>BDH("CAH US Equity","SHORT_AND_LONG_TERM_DEBT","2016-06-30","2021-06-30","Per=Y","Days=T","Dir=V")</f>
        <v>0</v>
      </c>
      <c r="G2">
        <f>BDH("CAH US Equity","BS_ST_BORROW","2016-06-30","2021-06-30","Per=Y","Days=T","Dir=V")</f>
        <v>0</v>
      </c>
      <c r="I2">
        <f>BDH("CAH US Equity","BS_LT_BORROW","2016-06-30","2021-06-30","Per=Y","Days=T","Dir=V")</f>
        <v>0</v>
      </c>
      <c r="K2">
        <f>BDH("CAH US Equity","BS_CASH_NEAR_CASH_ITEM","2016-06-30","2021-06-30","Per=Y","Days=T","Dir=V")</f>
        <v>0</v>
      </c>
      <c r="M2">
        <f>BDH("CAH US Equity","BS_CUR_ASSET_REPORT","2016-06-30","2021-06-30","Per=Y","Days=T","Dir=V")</f>
        <v>0</v>
      </c>
      <c r="O2">
        <f>BDH("CAH US Equity","BS_CUR_LIAB","2016-06-30","2021-06-30","Per=Y","Days=T","Dir=V")</f>
        <v>0</v>
      </c>
      <c r="Q2">
        <f>BDH("CAH US Equity","BS_SHAREHOLDER_EQY_ENDING_PERIOD","2016-06-30","2021-06-30","Per=Y","Days=T","Dir=V")</f>
        <v>0</v>
      </c>
      <c r="S2">
        <f>BDH("CAH US Equity","BS_ACCT_NOTE_RCV","2016-06-30","2021-06-30","Per=Y","Days=T","Dir=V")</f>
        <v>0</v>
      </c>
      <c r="U2">
        <f>BDH("CAH US Equity","BS_INVENTORIES","2016-06-30","2021-06-30","Per=Y","Days=T","Dir=V")</f>
        <v>0</v>
      </c>
      <c r="W2">
        <f>BDH("CAH US Equity","WORKING_CAPITAL","2016-06-30","2021-06-30","Per=Y","Days=T","Dir=V")</f>
        <v>0</v>
      </c>
      <c r="Y2">
        <f>BDH("CAH US Equity","SALES_REV_TURN","2016-06-30","2021-06-30","Per=Y","Days=T","Dir=V")</f>
        <v>0</v>
      </c>
      <c r="AA2">
        <f>BDH("CAH US Equity","EBIT","2016-06-30","2021-06-30","Per=Y","Days=T","Dir=V")</f>
        <v>0</v>
      </c>
      <c r="AC2">
        <f>BDH("CAH US Equity","EBITDA","2016-06-30","2021-06-30","Per=Y","Days=T","Dir=V")</f>
        <v>0</v>
      </c>
      <c r="AE2">
        <f>BDH("CAH US Equity","NET_INCOME","2016-06-30","2021-06-30","Per=Y","Days=T","Dir=V")</f>
        <v>0</v>
      </c>
      <c r="AG2">
        <f>BDH("CAH US Equity","IS_INT_EXPENSE","2016-06-30","2021-06-30","Per=Y","Days=T","Dir=V")</f>
        <v>0</v>
      </c>
      <c r="AI2">
        <f>BDH("CAH US Equity","IS_DEPR_EXP","2016-06-30","2021-06-30","Per=Y","Days=T","Dir=V")</f>
        <v>0</v>
      </c>
      <c r="AK2">
        <f>BDH("CAH US Equity","CF_CASH_FROM_OPER","2016-06-30","2021-06-30","Per=Y","Days=T","Dir=V")</f>
        <v>0</v>
      </c>
      <c r="AM2">
        <f>BDH("CAH US Equity","CAPITAL_EXPEND","2016-06-30","2021-06-30","Per=Y","Days=T","Dir=V")</f>
        <v>0</v>
      </c>
      <c r="AO2">
        <f>BDH("CAH US Equity","CF_FREE_CASH_FLOW","2016-06-30","2021-06-30","Per=Y","Days=T","Dir=V")</f>
        <v>0</v>
      </c>
      <c r="AQ2">
        <f>BDH("CAH US Equity","PX_LAST","2016-06-30","2021-06-30","Per=M","Days=T","Dir=V")</f>
        <v>0</v>
      </c>
      <c r="AS2">
        <f>BDH("CAH US Equity","CUR_MKT_CAP","2016-06-30","2021-06-30","Per=M","Days=T","Dir=V")</f>
        <v>0</v>
      </c>
      <c r="AU2">
        <f>BDH("CAH US Equity","EQY_SH_OUT","2016-06-30","2021-06-30","Per=M","Days=T","Dir=V")</f>
        <v>0</v>
      </c>
      <c r="AW2">
        <f>BDH("CAH US Equity","BETA_RAW_OVERRIABLE","2016-06-30","2021-06-30","Per=M","Days=T","Dir=V")</f>
        <v>0</v>
      </c>
      <c r="AY2">
        <f>BDH("CAH US Equity","PX_VOLUME","2016-06-30","2021-06-30","Per=M","Days=T","Dir=V")</f>
        <v>0</v>
      </c>
      <c r="BA2">
        <f>BDH("CAH US Equity","TURNOVER","2016-06-30","2021-06-30","Per=M","Days=T","Dir=V")</f>
        <v>0</v>
      </c>
      <c r="BC2">
        <f>BDH("CAH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BDH("AIDX US Equity","BS_TOT_ASSET","2016-06-30","2021-06-30","Per=Y","Days=T","Dir=V")</f>
        <v>0</v>
      </c>
      <c r="C2">
        <f>BDH("AIDX US Equity","BS_TOT_LIAB2","2016-06-30","2021-06-30","Per=Y","Days=T","Dir=V")</f>
        <v>0</v>
      </c>
      <c r="E2">
        <f>BDH("AIDX US Equity","SHORT_AND_LONG_TERM_DEBT","2016-06-30","2021-06-30","Per=Y","Days=T","Dir=V")</f>
        <v>0</v>
      </c>
      <c r="G2">
        <f>BDH("AIDX US Equity","BS_ST_BORROW","2016-06-30","2021-06-30","Per=Y","Days=T","Dir=V")</f>
        <v>0</v>
      </c>
      <c r="I2">
        <f>BDH("AIDX US Equity","BS_LT_BORROW","2016-06-30","2021-06-30","Per=Y","Days=T","Dir=V")</f>
        <v>0</v>
      </c>
      <c r="K2">
        <f>BDH("AIDX US Equity","BS_CASH_NEAR_CASH_ITEM","2016-06-30","2021-06-30","Per=Y","Days=T","Dir=V")</f>
        <v>0</v>
      </c>
      <c r="M2">
        <f>BDH("AIDX US Equity","BS_CUR_ASSET_REPORT","2016-06-30","2021-06-30","Per=Y","Days=T","Dir=V")</f>
        <v>0</v>
      </c>
      <c r="O2">
        <f>BDH("AIDX US Equity","BS_CUR_LIAB","2016-06-30","2021-06-30","Per=Y","Days=T","Dir=V")</f>
        <v>0</v>
      </c>
      <c r="Q2">
        <f>BDH("AIDX US Equity","BS_SHAREHOLDER_EQY_ENDING_PERIOD","2016-06-30","2021-06-30","Per=Y","Days=T","Dir=V")</f>
        <v>0</v>
      </c>
      <c r="S2">
        <f>BDH("AIDX US Equity","BS_ACCT_NOTE_RCV","2016-06-30","2021-06-30","Per=Y","Days=T","Dir=V")</f>
        <v>0</v>
      </c>
      <c r="U2">
        <f>BDH("AIDX US Equity","BS_INVENTORIES","2016-06-30","2021-06-30","Per=Y","Days=T","Dir=V")</f>
        <v>0</v>
      </c>
      <c r="W2">
        <f>BDH("AIDX US Equity","WORKING_CAPITAL","2016-06-30","2021-06-30","Per=Y","Days=T","Dir=V")</f>
        <v>0</v>
      </c>
      <c r="Y2">
        <f>BDH("AIDX US Equity","SALES_REV_TURN","2016-06-30","2021-06-30","Per=Y","Days=T","Dir=V")</f>
        <v>0</v>
      </c>
      <c r="AA2">
        <f>BDH("AIDX US Equity","EBIT","2016-06-30","2021-06-30","Per=Y","Days=T","Dir=V")</f>
        <v>0</v>
      </c>
      <c r="AC2">
        <f>BDH("AIDX US Equity","EBITDA","2016-06-30","2021-06-30","Per=Y","Days=T","Dir=V")</f>
        <v>0</v>
      </c>
      <c r="AE2">
        <f>BDH("AIDX US Equity","NET_INCOME","2016-06-30","2021-06-30","Per=Y","Days=T","Dir=V")</f>
        <v>0</v>
      </c>
      <c r="AG2">
        <f>BDH("AIDX US Equity","IS_INT_EXPENSE","2016-06-30","2021-06-30","Per=Y","Days=T","Dir=V")</f>
        <v>0</v>
      </c>
      <c r="AI2">
        <f>BDH("AIDX US Equity","IS_DEPR_EXP","2016-06-30","2021-06-30","Per=Y","Days=T","Dir=V")</f>
        <v>0</v>
      </c>
      <c r="AK2">
        <f>BDH("AIDX US Equity","CF_CASH_FROM_OPER","2016-06-30","2021-06-30","Per=Y","Days=T","Dir=V")</f>
        <v>0</v>
      </c>
      <c r="AM2">
        <f>BDH("AIDX US Equity","CAPITAL_EXPEND","2016-06-30","2021-06-30","Per=Y","Days=T","Dir=V")</f>
        <v>0</v>
      </c>
      <c r="AO2">
        <f>BDH("AIDX US Equity","CF_FREE_CASH_FLOW","2016-06-30","2021-06-30","Per=Y","Days=T","Dir=V")</f>
        <v>0</v>
      </c>
      <c r="AQ2">
        <f>BDH("AIDX US Equity","PX_LAST","2016-06-30","2021-06-30","Per=M","Days=T","Dir=V")</f>
        <v>0</v>
      </c>
      <c r="AS2">
        <f>BDH("AIDX US Equity","CUR_MKT_CAP","2016-06-30","2021-06-30","Per=M","Days=T","Dir=V")</f>
        <v>0</v>
      </c>
      <c r="AU2">
        <f>BDH("AIDX US Equity","EQY_SH_OUT","2016-06-30","2021-06-30","Per=M","Days=T","Dir=V")</f>
        <v>0</v>
      </c>
      <c r="AW2">
        <f>BDH("AIDX US Equity","BETA_RAW_OVERRIABLE","2016-06-30","2021-06-30","Per=M","Days=T","Dir=V")</f>
        <v>0</v>
      </c>
      <c r="AY2">
        <f>BDH("AIDX US Equity","PX_VOLUME","2016-06-30","2021-06-30","Per=M","Days=T","Dir=V")</f>
        <v>0</v>
      </c>
      <c r="BA2">
        <f>BDH("AIDX US Equity","TURNOVER","2016-06-30","2021-06-30","Per=M","Days=T","Dir=V")</f>
        <v>0</v>
      </c>
      <c r="BC2">
        <f>BDH("AIDX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BDH("ACHR US Equity","BS_TOT_ASSET","2016-06-30","2021-06-30","Per=Y","Days=T","Dir=V")</f>
        <v>0</v>
      </c>
      <c r="C2">
        <f>BDH("ACHR US Equity","BS_TOT_LIAB2","2016-06-30","2021-06-30","Per=Y","Days=T","Dir=V")</f>
        <v>0</v>
      </c>
      <c r="E2">
        <f>BDH("ACHR US Equity","SHORT_AND_LONG_TERM_DEBT","2016-06-30","2021-06-30","Per=Y","Days=T","Dir=V")</f>
        <v>0</v>
      </c>
      <c r="G2">
        <f>BDH("ACHR US Equity","BS_ST_BORROW","2016-06-30","2021-06-30","Per=Y","Days=T","Dir=V")</f>
        <v>0</v>
      </c>
      <c r="I2">
        <f>BDH("ACHR US Equity","BS_LT_BORROW","2016-06-30","2021-06-30","Per=Y","Days=T","Dir=V")</f>
        <v>0</v>
      </c>
      <c r="K2">
        <f>BDH("ACHR US Equity","BS_CASH_NEAR_CASH_ITEM","2016-06-30","2021-06-30","Per=Y","Days=T","Dir=V")</f>
        <v>0</v>
      </c>
      <c r="M2">
        <f>BDH("ACHR US Equity","BS_CUR_ASSET_REPORT","2016-06-30","2021-06-30","Per=Y","Days=T","Dir=V")</f>
        <v>0</v>
      </c>
      <c r="O2">
        <f>BDH("ACHR US Equity","BS_CUR_LIAB","2016-06-30","2021-06-30","Per=Y","Days=T","Dir=V")</f>
        <v>0</v>
      </c>
      <c r="Q2">
        <f>BDH("ACHR US Equity","BS_SHAREHOLDER_EQY_ENDING_PERIOD","2016-06-30","2021-06-30","Per=Y","Days=T","Dir=V")</f>
        <v>0</v>
      </c>
      <c r="S2">
        <f>BDH("ACHR US Equity","BS_ACCT_NOTE_RCV","2016-06-30","2021-06-30","Per=Y","Days=T","Dir=V")</f>
        <v>0</v>
      </c>
      <c r="U2">
        <f>BDH("ACHR US Equity","BS_INVENTORIES","2016-06-30","2021-06-30","Per=Y","Days=T","Dir=V")</f>
        <v>0</v>
      </c>
      <c r="W2">
        <f>BDH("ACHR US Equity","WORKING_CAPITAL","2016-06-30","2021-06-30","Per=Y","Days=T","Dir=V")</f>
        <v>0</v>
      </c>
      <c r="Y2">
        <f>BDH("ACHR US Equity","SALES_REV_TURN","2016-06-30","2021-06-30","Per=Y","Days=T","Dir=V")</f>
        <v>0</v>
      </c>
      <c r="AA2">
        <f>BDH("ACHR US Equity","EBIT","2016-06-30","2021-06-30","Per=Y","Days=T","Dir=V")</f>
        <v>0</v>
      </c>
      <c r="AC2">
        <f>BDH("ACHR US Equity","EBITDA","2016-06-30","2021-06-30","Per=Y","Days=T","Dir=V")</f>
        <v>0</v>
      </c>
      <c r="AE2">
        <f>BDH("ACHR US Equity","NET_INCOME","2016-06-30","2021-06-30","Per=Y","Days=T","Dir=V")</f>
        <v>0</v>
      </c>
      <c r="AG2">
        <f>BDH("ACHR US Equity","IS_INT_EXPENSE","2016-06-30","2021-06-30","Per=Y","Days=T","Dir=V")</f>
        <v>0</v>
      </c>
      <c r="AI2">
        <f>BDH("ACHR US Equity","IS_DEPR_EXP","2016-06-30","2021-06-30","Per=Y","Days=T","Dir=V")</f>
        <v>0</v>
      </c>
      <c r="AK2">
        <f>BDH("ACHR US Equity","CF_CASH_FROM_OPER","2016-06-30","2021-06-30","Per=Y","Days=T","Dir=V")</f>
        <v>0</v>
      </c>
      <c r="AM2">
        <f>BDH("ACHR US Equity","CAPITAL_EXPEND","2016-06-30","2021-06-30","Per=Y","Days=T","Dir=V")</f>
        <v>0</v>
      </c>
      <c r="AO2">
        <f>BDH("ACHR US Equity","CF_FREE_CASH_FLOW","2016-06-30","2021-06-30","Per=Y","Days=T","Dir=V")</f>
        <v>0</v>
      </c>
      <c r="AQ2">
        <f>BDH("ACHR US Equity","PX_LAST","2016-06-30","2021-06-30","Per=M","Days=T","Dir=V")</f>
        <v>0</v>
      </c>
      <c r="AS2">
        <f>BDH("ACHR US Equity","CUR_MKT_CAP","2016-06-30","2021-06-30","Per=M","Days=T","Dir=V")</f>
        <v>0</v>
      </c>
      <c r="AU2">
        <f>BDH("ACHR US Equity","EQY_SH_OUT","2016-06-30","2021-06-30","Per=M","Days=T","Dir=V")</f>
        <v>0</v>
      </c>
      <c r="AW2">
        <f>BDH("ACHR US Equity","BETA_RAW_OVERRIABLE","2016-06-30","2021-06-30","Per=M","Days=T","Dir=V")</f>
        <v>0</v>
      </c>
      <c r="AY2">
        <f>BDH("ACHR US Equity","PX_VOLUME","2016-06-30","2021-06-30","Per=M","Days=T","Dir=V")</f>
        <v>0</v>
      </c>
      <c r="BA2">
        <f>BDH("ACHR US Equity","TURNOVER","2016-06-30","2021-06-30","Per=M","Days=T","Dir=V")</f>
        <v>0</v>
      </c>
      <c r="BC2">
        <f>BDH("ACHR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BDH("AVD US Equity","BS_TOT_ASSET","2016-06-30","2021-06-30","Per=Y","Days=T","Dir=V")</f>
        <v>0</v>
      </c>
      <c r="C2">
        <f>BDH("AVD US Equity","BS_TOT_LIAB2","2016-06-30","2021-06-30","Per=Y","Days=T","Dir=V")</f>
        <v>0</v>
      </c>
      <c r="E2">
        <f>BDH("AVD US Equity","SHORT_AND_LONG_TERM_DEBT","2016-06-30","2021-06-30","Per=Y","Days=T","Dir=V")</f>
        <v>0</v>
      </c>
      <c r="G2">
        <f>BDH("AVD US Equity","BS_ST_BORROW","2016-06-30","2021-06-30","Per=Y","Days=T","Dir=V")</f>
        <v>0</v>
      </c>
      <c r="I2">
        <f>BDH("AVD US Equity","BS_LT_BORROW","2016-06-30","2021-06-30","Per=Y","Days=T","Dir=V")</f>
        <v>0</v>
      </c>
      <c r="K2">
        <f>BDH("AVD US Equity","BS_CASH_NEAR_CASH_ITEM","2016-06-30","2021-06-30","Per=Y","Days=T","Dir=V")</f>
        <v>0</v>
      </c>
      <c r="M2">
        <f>BDH("AVD US Equity","BS_CUR_ASSET_REPORT","2016-06-30","2021-06-30","Per=Y","Days=T","Dir=V")</f>
        <v>0</v>
      </c>
      <c r="O2">
        <f>BDH("AVD US Equity","BS_CUR_LIAB","2016-06-30","2021-06-30","Per=Y","Days=T","Dir=V")</f>
        <v>0</v>
      </c>
      <c r="Q2">
        <f>BDH("AVD US Equity","BS_SHAREHOLDER_EQY_ENDING_PERIOD","2016-06-30","2021-06-30","Per=Y","Days=T","Dir=V")</f>
        <v>0</v>
      </c>
      <c r="S2">
        <f>BDH("AVD US Equity","BS_ACCT_NOTE_RCV","2016-06-30","2021-06-30","Per=Y","Days=T","Dir=V")</f>
        <v>0</v>
      </c>
      <c r="U2">
        <f>BDH("AVD US Equity","BS_INVENTORIES","2016-06-30","2021-06-30","Per=Y","Days=T","Dir=V")</f>
        <v>0</v>
      </c>
      <c r="W2">
        <f>BDH("AVD US Equity","WORKING_CAPITAL","2016-06-30","2021-06-30","Per=Y","Days=T","Dir=V")</f>
        <v>0</v>
      </c>
      <c r="Y2">
        <f>BDH("AVD US Equity","SALES_REV_TURN","2016-06-30","2021-06-30","Per=Y","Days=T","Dir=V")</f>
        <v>0</v>
      </c>
      <c r="AA2">
        <f>BDH("AVD US Equity","EBIT","2016-06-30","2021-06-30","Per=Y","Days=T","Dir=V")</f>
        <v>0</v>
      </c>
      <c r="AC2">
        <f>BDH("AVD US Equity","EBITDA","2016-06-30","2021-06-30","Per=Y","Days=T","Dir=V")</f>
        <v>0</v>
      </c>
      <c r="AE2">
        <f>BDH("AVD US Equity","NET_INCOME","2016-06-30","2021-06-30","Per=Y","Days=T","Dir=V")</f>
        <v>0</v>
      </c>
      <c r="AG2">
        <f>BDH("AVD US Equity","IS_INT_EXPENSE","2016-06-30","2021-06-30","Per=Y","Days=T","Dir=V")</f>
        <v>0</v>
      </c>
      <c r="AI2">
        <f>BDH("AVD US Equity","IS_DEPR_EXP","2016-06-30","2021-06-30","Per=Y","Days=T","Dir=V")</f>
        <v>0</v>
      </c>
      <c r="AK2">
        <f>BDH("AVD US Equity","CF_CASH_FROM_OPER","2016-06-30","2021-06-30","Per=Y","Days=T","Dir=V")</f>
        <v>0</v>
      </c>
      <c r="AM2">
        <f>BDH("AVD US Equity","CAPITAL_EXPEND","2016-06-30","2021-06-30","Per=Y","Days=T","Dir=V")</f>
        <v>0</v>
      </c>
      <c r="AO2">
        <f>BDH("AVD US Equity","CF_FREE_CASH_FLOW","2016-06-30","2021-06-30","Per=Y","Days=T","Dir=V")</f>
        <v>0</v>
      </c>
      <c r="AQ2">
        <f>BDH("AVD US Equity","PX_LAST","2016-06-30","2021-06-30","Per=M","Days=T","Dir=V")</f>
        <v>0</v>
      </c>
      <c r="AS2">
        <f>BDH("AVD US Equity","CUR_MKT_CAP","2016-06-30","2021-06-30","Per=M","Days=T","Dir=V")</f>
        <v>0</v>
      </c>
      <c r="AU2">
        <f>BDH("AVD US Equity","EQY_SH_OUT","2016-06-30","2021-06-30","Per=M","Days=T","Dir=V")</f>
        <v>0</v>
      </c>
      <c r="AW2">
        <f>BDH("AVD US Equity","BETA_RAW_OVERRIABLE","2016-06-30","2021-06-30","Per=M","Days=T","Dir=V")</f>
        <v>0</v>
      </c>
      <c r="AY2">
        <f>BDH("AVD US Equity","PX_VOLUME","2016-06-30","2021-06-30","Per=M","Days=T","Dir=V")</f>
        <v>0</v>
      </c>
      <c r="BA2">
        <f>BDH("AVD US Equity","TURNOVER","2016-06-30","2021-06-30","Per=M","Days=T","Dir=V")</f>
        <v>0</v>
      </c>
      <c r="BC2">
        <f>BDH("AVD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BDH("CENX US Equity","BS_TOT_ASSET","2016-06-30","2021-06-30","Per=Y","Days=T","Dir=V")</f>
        <v>0</v>
      </c>
      <c r="C2">
        <f>BDH("CENX US Equity","BS_TOT_LIAB2","2016-06-30","2021-06-30","Per=Y","Days=T","Dir=V")</f>
        <v>0</v>
      </c>
      <c r="E2">
        <f>BDH("CENX US Equity","SHORT_AND_LONG_TERM_DEBT","2016-06-30","2021-06-30","Per=Y","Days=T","Dir=V")</f>
        <v>0</v>
      </c>
      <c r="G2">
        <f>BDH("CENX US Equity","BS_ST_BORROW","2016-06-30","2021-06-30","Per=Y","Days=T","Dir=V")</f>
        <v>0</v>
      </c>
      <c r="I2">
        <f>BDH("CENX US Equity","BS_LT_BORROW","2016-06-30","2021-06-30","Per=Y","Days=T","Dir=V")</f>
        <v>0</v>
      </c>
      <c r="K2">
        <f>BDH("CENX US Equity","BS_CASH_NEAR_CASH_ITEM","2016-06-30","2021-06-30","Per=Y","Days=T","Dir=V")</f>
        <v>0</v>
      </c>
      <c r="M2">
        <f>BDH("CENX US Equity","BS_CUR_ASSET_REPORT","2016-06-30","2021-06-30","Per=Y","Days=T","Dir=V")</f>
        <v>0</v>
      </c>
      <c r="O2">
        <f>BDH("CENX US Equity","BS_CUR_LIAB","2016-06-30","2021-06-30","Per=Y","Days=T","Dir=V")</f>
        <v>0</v>
      </c>
      <c r="Q2">
        <f>BDH("CENX US Equity","BS_SHAREHOLDER_EQY_ENDING_PERIOD","2016-06-30","2021-06-30","Per=Y","Days=T","Dir=V")</f>
        <v>0</v>
      </c>
      <c r="S2">
        <f>BDH("CENX US Equity","BS_ACCT_NOTE_RCV","2016-06-30","2021-06-30","Per=Y","Days=T","Dir=V")</f>
        <v>0</v>
      </c>
      <c r="U2">
        <f>BDH("CENX US Equity","BS_INVENTORIES","2016-06-30","2021-06-30","Per=Y","Days=T","Dir=V")</f>
        <v>0</v>
      </c>
      <c r="W2">
        <f>BDH("CENX US Equity","WORKING_CAPITAL","2016-06-30","2021-06-30","Per=Y","Days=T","Dir=V")</f>
        <v>0</v>
      </c>
      <c r="Y2">
        <f>BDH("CENX US Equity","SALES_REV_TURN","2016-06-30","2021-06-30","Per=Y","Days=T","Dir=V")</f>
        <v>0</v>
      </c>
      <c r="AA2">
        <f>BDH("CENX US Equity","EBIT","2016-06-30","2021-06-30","Per=Y","Days=T","Dir=V")</f>
        <v>0</v>
      </c>
      <c r="AC2">
        <f>BDH("CENX US Equity","EBITDA","2016-06-30","2021-06-30","Per=Y","Days=T","Dir=V")</f>
        <v>0</v>
      </c>
      <c r="AE2">
        <f>BDH("CENX US Equity","NET_INCOME","2016-06-30","2021-06-30","Per=Y","Days=T","Dir=V")</f>
        <v>0</v>
      </c>
      <c r="AG2">
        <f>BDH("CENX US Equity","IS_INT_EXPENSE","2016-06-30","2021-06-30","Per=Y","Days=T","Dir=V")</f>
        <v>0</v>
      </c>
      <c r="AI2">
        <f>BDH("CENX US Equity","IS_DEPR_EXP","2016-06-30","2021-06-30","Per=Y","Days=T","Dir=V")</f>
        <v>0</v>
      </c>
      <c r="AK2">
        <f>BDH("CENX US Equity","CF_CASH_FROM_OPER","2016-06-30","2021-06-30","Per=Y","Days=T","Dir=V")</f>
        <v>0</v>
      </c>
      <c r="AM2">
        <f>BDH("CENX US Equity","CAPITAL_EXPEND","2016-06-30","2021-06-30","Per=Y","Days=T","Dir=V")</f>
        <v>0</v>
      </c>
      <c r="AO2">
        <f>BDH("CENX US Equity","CF_FREE_CASH_FLOW","2016-06-30","2021-06-30","Per=Y","Days=T","Dir=V")</f>
        <v>0</v>
      </c>
      <c r="AQ2">
        <f>BDH("CENX US Equity","PX_LAST","2016-06-30","2021-06-30","Per=M","Days=T","Dir=V")</f>
        <v>0</v>
      </c>
      <c r="AS2">
        <f>BDH("CENX US Equity","CUR_MKT_CAP","2016-06-30","2021-06-30","Per=M","Days=T","Dir=V")</f>
        <v>0</v>
      </c>
      <c r="AU2">
        <f>BDH("CENX US Equity","EQY_SH_OUT","2016-06-30","2021-06-30","Per=M","Days=T","Dir=V")</f>
        <v>0</v>
      </c>
      <c r="AW2">
        <f>BDH("CENX US Equity","BETA_RAW_OVERRIABLE","2016-06-30","2021-06-30","Per=M","Days=T","Dir=V")</f>
        <v>0</v>
      </c>
      <c r="AY2">
        <f>BDH("CENX US Equity","PX_VOLUME","2016-06-30","2021-06-30","Per=M","Days=T","Dir=V")</f>
        <v>0</v>
      </c>
      <c r="BA2">
        <f>BDH("CENX US Equity","TURNOVER","2016-06-30","2021-06-30","Per=M","Days=T","Dir=V")</f>
        <v>0</v>
      </c>
      <c r="BC2">
        <f>BDH("CENX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BDH("TSLA US Equity","BS_TOT_ASSET","2016-06-30","2021-06-30","Per=Y","Days=T","Dir=V")</f>
        <v>0</v>
      </c>
      <c r="C2">
        <f>BDH("TSLA US Equity","BS_TOT_LIAB2","2016-06-30","2021-06-30","Per=Y","Days=T","Dir=V")</f>
        <v>0</v>
      </c>
      <c r="E2">
        <f>BDH("TSLA US Equity","SHORT_AND_LONG_TERM_DEBT","2016-06-30","2021-06-30","Per=Y","Days=T","Dir=V")</f>
        <v>0</v>
      </c>
      <c r="G2">
        <f>BDH("TSLA US Equity","BS_ST_BORROW","2016-06-30","2021-06-30","Per=Y","Days=T","Dir=V")</f>
        <v>0</v>
      </c>
      <c r="I2">
        <f>BDH("TSLA US Equity","BS_LT_BORROW","2016-06-30","2021-06-30","Per=Y","Days=T","Dir=V")</f>
        <v>0</v>
      </c>
      <c r="K2">
        <f>BDH("TSLA US Equity","BS_CASH_NEAR_CASH_ITEM","2016-06-30","2021-06-30","Per=Y","Days=T","Dir=V")</f>
        <v>0</v>
      </c>
      <c r="M2">
        <f>BDH("TSLA US Equity","BS_CUR_ASSET_REPORT","2016-06-30","2021-06-30","Per=Y","Days=T","Dir=V")</f>
        <v>0</v>
      </c>
      <c r="O2">
        <f>BDH("TSLA US Equity","BS_CUR_LIAB","2016-06-30","2021-06-30","Per=Y","Days=T","Dir=V")</f>
        <v>0</v>
      </c>
      <c r="Q2">
        <f>BDH("TSLA US Equity","BS_SHAREHOLDER_EQY_ENDING_PERIOD","2016-06-30","2021-06-30","Per=Y","Days=T","Dir=V")</f>
        <v>0</v>
      </c>
      <c r="S2">
        <f>BDH("TSLA US Equity","BS_ACCT_NOTE_RCV","2016-06-30","2021-06-30","Per=Y","Days=T","Dir=V")</f>
        <v>0</v>
      </c>
      <c r="U2">
        <f>BDH("TSLA US Equity","BS_INVENTORIES","2016-06-30","2021-06-30","Per=Y","Days=T","Dir=V")</f>
        <v>0</v>
      </c>
      <c r="W2">
        <f>BDH("TSLA US Equity","WORKING_CAPITAL","2016-06-30","2021-06-30","Per=Y","Days=T","Dir=V")</f>
        <v>0</v>
      </c>
      <c r="Y2">
        <f>BDH("TSLA US Equity","SALES_REV_TURN","2016-06-30","2021-06-30","Per=Y","Days=T","Dir=V")</f>
        <v>0</v>
      </c>
      <c r="AA2">
        <f>BDH("TSLA US Equity","EBIT","2016-06-30","2021-06-30","Per=Y","Days=T","Dir=V")</f>
        <v>0</v>
      </c>
      <c r="AC2">
        <f>BDH("TSLA US Equity","EBITDA","2016-06-30","2021-06-30","Per=Y","Days=T","Dir=V")</f>
        <v>0</v>
      </c>
      <c r="AE2">
        <f>BDH("TSLA US Equity","NET_INCOME","2016-06-30","2021-06-30","Per=Y","Days=T","Dir=V")</f>
        <v>0</v>
      </c>
      <c r="AG2">
        <f>BDH("TSLA US Equity","IS_INT_EXPENSE","2016-06-30","2021-06-30","Per=Y","Days=T","Dir=V")</f>
        <v>0</v>
      </c>
      <c r="AI2">
        <f>BDH("TSLA US Equity","IS_DEPR_EXP","2016-06-30","2021-06-30","Per=Y","Days=T","Dir=V")</f>
        <v>0</v>
      </c>
      <c r="AK2">
        <f>BDH("TSLA US Equity","CF_CASH_FROM_OPER","2016-06-30","2021-06-30","Per=Y","Days=T","Dir=V")</f>
        <v>0</v>
      </c>
      <c r="AM2">
        <f>BDH("TSLA US Equity","CAPITAL_EXPEND","2016-06-30","2021-06-30","Per=Y","Days=T","Dir=V")</f>
        <v>0</v>
      </c>
      <c r="AO2">
        <f>BDH("TSLA US Equity","CF_FREE_CASH_FLOW","2016-06-30","2021-06-30","Per=Y","Days=T","Dir=V")</f>
        <v>0</v>
      </c>
      <c r="AQ2">
        <f>BDH("TSLA US Equity","PX_LAST","2016-06-30","2021-06-30","Per=M","Days=T","Dir=V")</f>
        <v>0</v>
      </c>
      <c r="AS2">
        <f>BDH("TSLA US Equity","CUR_MKT_CAP","2016-06-30","2021-06-30","Per=M","Days=T","Dir=V")</f>
        <v>0</v>
      </c>
      <c r="AU2">
        <f>BDH("TSLA US Equity","EQY_SH_OUT","2016-06-30","2021-06-30","Per=M","Days=T","Dir=V")</f>
        <v>0</v>
      </c>
      <c r="AW2">
        <f>BDH("TSLA US Equity","BETA_RAW_OVERRIABLE","2016-06-30","2021-06-30","Per=M","Days=T","Dir=V")</f>
        <v>0</v>
      </c>
      <c r="AY2">
        <f>BDH("TSLA US Equity","PX_VOLUME","2016-06-30","2021-06-30","Per=M","Days=T","Dir=V")</f>
        <v>0</v>
      </c>
      <c r="BA2">
        <f>BDH("TSLA US Equity","TURNOVER","2016-06-30","2021-06-30","Per=M","Days=T","Dir=V")</f>
        <v>0</v>
      </c>
      <c r="BC2">
        <f>BDH("TSLA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 US Equity","BS_TOT_ASSET","2016-06-30","2021-06-30","Per=Y","Days=T","Dir=V")</f>
        <v>0</v>
      </c>
      <c r="C2">
        <f>BDH("A US Equity","BS_TOT_LIAB2","2016-06-30","2021-06-30","Per=Y","Days=T","Dir=V")</f>
        <v>0</v>
      </c>
      <c r="E2">
        <f>BDH("A US Equity","SHORT_AND_LONG_TERM_DEBT","2016-06-30","2021-06-30","Per=Y","Days=T","Dir=V")</f>
        <v>0</v>
      </c>
      <c r="G2">
        <f>BDH("A US Equity","BS_ST_BORROW","2016-06-30","2021-06-30","Per=Y","Days=T","Dir=V")</f>
        <v>0</v>
      </c>
      <c r="I2">
        <f>BDH("A US Equity","BS_LT_BORROW","2016-06-30","2021-06-30","Per=Y","Days=T","Dir=V")</f>
        <v>0</v>
      </c>
      <c r="K2">
        <f>BDH("A US Equity","BS_CASH_NEAR_CASH_ITEM","2016-06-30","2021-06-30","Per=Y","Days=T","Dir=V")</f>
        <v>0</v>
      </c>
      <c r="M2">
        <f>BDH("A US Equity","BS_CUR_ASSET_REPORT","2016-06-30","2021-06-30","Per=Y","Days=T","Dir=V")</f>
        <v>0</v>
      </c>
      <c r="O2">
        <f>BDH("A US Equity","BS_CUR_LIAB","2016-06-30","2021-06-30","Per=Y","Days=T","Dir=V")</f>
        <v>0</v>
      </c>
      <c r="Q2">
        <f>BDH("A US Equity","BS_SHAREHOLDER_EQY_ENDING_PERIOD","2016-06-30","2021-06-30","Per=Y","Days=T","Dir=V")</f>
        <v>0</v>
      </c>
      <c r="S2">
        <f>BDH("A US Equity","BS_ACCT_NOTE_RCV","2016-06-30","2021-06-30","Per=Y","Days=T","Dir=V")</f>
        <v>0</v>
      </c>
      <c r="U2">
        <f>BDH("A US Equity","BS_INVENTORIES","2016-06-30","2021-06-30","Per=Y","Days=T","Dir=V")</f>
        <v>0</v>
      </c>
      <c r="W2">
        <f>BDH("A US Equity","WORKING_CAPITAL","2016-06-30","2021-06-30","Per=Y","Days=T","Dir=V")</f>
        <v>0</v>
      </c>
      <c r="Y2">
        <f>BDH("A US Equity","SALES_REV_TURN","2016-06-30","2021-06-30","Per=Y","Days=T","Dir=V")</f>
        <v>0</v>
      </c>
      <c r="AA2">
        <f>BDH("A US Equity","EBIT","2016-06-30","2021-06-30","Per=Y","Days=T","Dir=V")</f>
        <v>0</v>
      </c>
      <c r="AC2">
        <f>BDH("A US Equity","EBITDA","2016-06-30","2021-06-30","Per=Y","Days=T","Dir=V")</f>
        <v>0</v>
      </c>
      <c r="AE2">
        <f>BDH("A US Equity","NET_INCOME","2016-06-30","2021-06-30","Per=Y","Days=T","Dir=V")</f>
        <v>0</v>
      </c>
      <c r="AG2">
        <f>BDH("A US Equity","IS_INT_EXPENSE","2016-06-30","2021-06-30","Per=Y","Days=T","Dir=V")</f>
        <v>0</v>
      </c>
      <c r="AI2">
        <f>BDH("A US Equity","IS_DEPR_EXP","2016-06-30","2021-06-30","Per=Y","Days=T","Dir=V")</f>
        <v>0</v>
      </c>
      <c r="AK2">
        <f>BDH("A US Equity","CF_CASH_FROM_OPER","2016-06-30","2021-06-30","Per=Y","Days=T","Dir=V")</f>
        <v>0</v>
      </c>
      <c r="AM2">
        <f>BDH("A US Equity","CAPITAL_EXPEND","2016-06-30","2021-06-30","Per=Y","Days=T","Dir=V")</f>
        <v>0</v>
      </c>
      <c r="AO2">
        <f>BDH("A US Equity","CF_FREE_CASH_FLOW","2016-06-30","2021-06-30","Per=Y","Days=T","Dir=V")</f>
        <v>0</v>
      </c>
      <c r="AQ2">
        <f>BDH("A US Equity","PX_LAST","2016-06-30","2021-06-30","Per=M","Days=T","Dir=V")</f>
        <v>0</v>
      </c>
      <c r="AS2">
        <f>BDH("A US Equity","CUR_MKT_CAP","2016-06-30","2021-06-30","Per=M","Days=T","Dir=V")</f>
        <v>0</v>
      </c>
      <c r="AU2">
        <f>BDH("A US Equity","EQY_SH_OUT","2016-06-30","2021-06-30","Per=M","Days=T","Dir=V")</f>
        <v>0</v>
      </c>
      <c r="AW2">
        <f>BDH("A US Equity","BETA_RAW_OVERRIABLE","2016-06-30","2021-06-30","Per=M","Days=T","Dir=V")</f>
        <v>0</v>
      </c>
      <c r="AY2">
        <f>BDH("A US Equity","PX_VOLUME","2016-06-30","2021-06-30","Per=M","Days=T","Dir=V")</f>
        <v>0</v>
      </c>
      <c r="BA2">
        <f>BDH("A US Equity","TURNOVER","2016-06-30","2021-06-30","Per=M","Days=T","Dir=V")</f>
        <v>0</v>
      </c>
      <c r="BC2">
        <f>BDH("A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BDH("SSP US Equity","BS_TOT_ASSET","2016-06-30","2021-06-30","Per=Y","Days=T","Dir=V")</f>
        <v>0</v>
      </c>
      <c r="C2">
        <f>BDH("SSP US Equity","BS_TOT_LIAB2","2016-06-30","2021-06-30","Per=Y","Days=T","Dir=V")</f>
        <v>0</v>
      </c>
      <c r="E2">
        <f>BDH("SSP US Equity","SHORT_AND_LONG_TERM_DEBT","2016-06-30","2021-06-30","Per=Y","Days=T","Dir=V")</f>
        <v>0</v>
      </c>
      <c r="G2">
        <f>BDH("SSP US Equity","BS_ST_BORROW","2016-06-30","2021-06-30","Per=Y","Days=T","Dir=V")</f>
        <v>0</v>
      </c>
      <c r="I2">
        <f>BDH("SSP US Equity","BS_LT_BORROW","2016-06-30","2021-06-30","Per=Y","Days=T","Dir=V")</f>
        <v>0</v>
      </c>
      <c r="K2">
        <f>BDH("SSP US Equity","BS_CASH_NEAR_CASH_ITEM","2016-06-30","2021-06-30","Per=Y","Days=T","Dir=V")</f>
        <v>0</v>
      </c>
      <c r="M2">
        <f>BDH("SSP US Equity","BS_CUR_ASSET_REPORT","2016-06-30","2021-06-30","Per=Y","Days=T","Dir=V")</f>
        <v>0</v>
      </c>
      <c r="O2">
        <f>BDH("SSP US Equity","BS_CUR_LIAB","2016-06-30","2021-06-30","Per=Y","Days=T","Dir=V")</f>
        <v>0</v>
      </c>
      <c r="Q2">
        <f>BDH("SSP US Equity","BS_SHAREHOLDER_EQY_ENDING_PERIOD","2016-06-30","2021-06-30","Per=Y","Days=T","Dir=V")</f>
        <v>0</v>
      </c>
      <c r="S2">
        <f>BDH("SSP US Equity","BS_ACCT_NOTE_RCV","2016-06-30","2021-06-30","Per=Y","Days=T","Dir=V")</f>
        <v>0</v>
      </c>
      <c r="U2">
        <f>BDH("SSP US Equity","BS_INVENTORIES","2016-06-30","2021-06-30","Per=Y","Days=T","Dir=V")</f>
        <v>0</v>
      </c>
      <c r="W2">
        <f>BDH("SSP US Equity","WORKING_CAPITAL","2016-06-30","2021-06-30","Per=Y","Days=T","Dir=V")</f>
        <v>0</v>
      </c>
      <c r="Y2">
        <f>BDH("SSP US Equity","SALES_REV_TURN","2016-06-30","2021-06-30","Per=Y","Days=T","Dir=V")</f>
        <v>0</v>
      </c>
      <c r="AA2">
        <f>BDH("SSP US Equity","EBIT","2016-06-30","2021-06-30","Per=Y","Days=T","Dir=V")</f>
        <v>0</v>
      </c>
      <c r="AC2">
        <f>BDH("SSP US Equity","EBITDA","2016-06-30","2021-06-30","Per=Y","Days=T","Dir=V")</f>
        <v>0</v>
      </c>
      <c r="AE2">
        <f>BDH("SSP US Equity","NET_INCOME","2016-06-30","2021-06-30","Per=Y","Days=T","Dir=V")</f>
        <v>0</v>
      </c>
      <c r="AG2">
        <f>BDH("SSP US Equity","IS_INT_EXPENSE","2016-06-30","2021-06-30","Per=Y","Days=T","Dir=V")</f>
        <v>0</v>
      </c>
      <c r="AI2">
        <f>BDH("SSP US Equity","IS_DEPR_EXP","2016-06-30","2021-06-30","Per=Y","Days=T","Dir=V")</f>
        <v>0</v>
      </c>
      <c r="AK2">
        <f>BDH("SSP US Equity","CF_CASH_FROM_OPER","2016-06-30","2021-06-30","Per=Y","Days=T","Dir=V")</f>
        <v>0</v>
      </c>
      <c r="AM2">
        <f>BDH("SSP US Equity","CAPITAL_EXPEND","2016-06-30","2021-06-30","Per=Y","Days=T","Dir=V")</f>
        <v>0</v>
      </c>
      <c r="AO2">
        <f>BDH("SSP US Equity","CF_FREE_CASH_FLOW","2016-06-30","2021-06-30","Per=Y","Days=T","Dir=V")</f>
        <v>0</v>
      </c>
      <c r="AQ2">
        <f>BDH("SSP US Equity","PX_LAST","2016-06-30","2021-06-30","Per=M","Days=T","Dir=V")</f>
        <v>0</v>
      </c>
      <c r="AS2">
        <f>BDH("SSP US Equity","CUR_MKT_CAP","2016-06-30","2021-06-30","Per=M","Days=T","Dir=V")</f>
        <v>0</v>
      </c>
      <c r="AU2">
        <f>BDH("SSP US Equity","EQY_SH_OUT","2016-06-30","2021-06-30","Per=M","Days=T","Dir=V")</f>
        <v>0</v>
      </c>
      <c r="AW2">
        <f>BDH("SSP US Equity","BETA_RAW_OVERRIABLE","2016-06-30","2021-06-30","Per=M","Days=T","Dir=V")</f>
        <v>0</v>
      </c>
      <c r="AY2">
        <f>BDH("SSP US Equity","PX_VOLUME","2016-06-30","2021-06-30","Per=M","Days=T","Dir=V")</f>
        <v>0</v>
      </c>
      <c r="BA2">
        <f>BDH("SSP US Equity","TURNOVER","2016-06-30","2021-06-30","Per=M","Days=T","Dir=V")</f>
        <v>0</v>
      </c>
      <c r="BC2">
        <f>BDH("SSP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BDH("EXP US Equity","BS_TOT_ASSET","2016-06-30","2021-06-30","Per=Y","Days=T","Dir=V")</f>
        <v>0</v>
      </c>
      <c r="C2">
        <f>BDH("EXP US Equity","BS_TOT_LIAB2","2016-06-30","2021-06-30","Per=Y","Days=T","Dir=V")</f>
        <v>0</v>
      </c>
      <c r="E2">
        <f>BDH("EXP US Equity","SHORT_AND_LONG_TERM_DEBT","2016-06-30","2021-06-30","Per=Y","Days=T","Dir=V")</f>
        <v>0</v>
      </c>
      <c r="G2">
        <f>BDH("EXP US Equity","BS_ST_BORROW","2016-06-30","2021-06-30","Per=Y","Days=T","Dir=V")</f>
        <v>0</v>
      </c>
      <c r="I2">
        <f>BDH("EXP US Equity","BS_LT_BORROW","2016-06-30","2021-06-30","Per=Y","Days=T","Dir=V")</f>
        <v>0</v>
      </c>
      <c r="K2">
        <f>BDH("EXP US Equity","BS_CASH_NEAR_CASH_ITEM","2016-06-30","2021-06-30","Per=Y","Days=T","Dir=V")</f>
        <v>0</v>
      </c>
      <c r="M2">
        <f>BDH("EXP US Equity","BS_CUR_ASSET_REPORT","2016-06-30","2021-06-30","Per=Y","Days=T","Dir=V")</f>
        <v>0</v>
      </c>
      <c r="O2">
        <f>BDH("EXP US Equity","BS_CUR_LIAB","2016-06-30","2021-06-30","Per=Y","Days=T","Dir=V")</f>
        <v>0</v>
      </c>
      <c r="Q2">
        <f>BDH("EXP US Equity","BS_SHAREHOLDER_EQY_ENDING_PERIOD","2016-06-30","2021-06-30","Per=Y","Days=T","Dir=V")</f>
        <v>0</v>
      </c>
      <c r="S2">
        <f>BDH("EXP US Equity","BS_ACCT_NOTE_RCV","2016-06-30","2021-06-30","Per=Y","Days=T","Dir=V")</f>
        <v>0</v>
      </c>
      <c r="U2">
        <f>BDH("EXP US Equity","BS_INVENTORIES","2016-06-30","2021-06-30","Per=Y","Days=T","Dir=V")</f>
        <v>0</v>
      </c>
      <c r="W2">
        <f>BDH("EXP US Equity","WORKING_CAPITAL","2016-06-30","2021-06-30","Per=Y","Days=T","Dir=V")</f>
        <v>0</v>
      </c>
      <c r="Y2">
        <f>BDH("EXP US Equity","SALES_REV_TURN","2016-06-30","2021-06-30","Per=Y","Days=T","Dir=V")</f>
        <v>0</v>
      </c>
      <c r="AA2">
        <f>BDH("EXP US Equity","EBIT","2016-06-30","2021-06-30","Per=Y","Days=T","Dir=V")</f>
        <v>0</v>
      </c>
      <c r="AC2">
        <f>BDH("EXP US Equity","EBITDA","2016-06-30","2021-06-30","Per=Y","Days=T","Dir=V")</f>
        <v>0</v>
      </c>
      <c r="AE2">
        <f>BDH("EXP US Equity","NET_INCOME","2016-06-30","2021-06-30","Per=Y","Days=T","Dir=V")</f>
        <v>0</v>
      </c>
      <c r="AG2">
        <f>BDH("EXP US Equity","IS_INT_EXPENSE","2016-06-30","2021-06-30","Per=Y","Days=T","Dir=V")</f>
        <v>0</v>
      </c>
      <c r="AI2">
        <f>BDH("EXP US Equity","IS_DEPR_EXP","2016-06-30","2021-06-30","Per=Y","Days=T","Dir=V")</f>
        <v>0</v>
      </c>
      <c r="AK2">
        <f>BDH("EXP US Equity","CF_CASH_FROM_OPER","2016-06-30","2021-06-30","Per=Y","Days=T","Dir=V")</f>
        <v>0</v>
      </c>
      <c r="AM2">
        <f>BDH("EXP US Equity","CAPITAL_EXPEND","2016-06-30","2021-06-30","Per=Y","Days=T","Dir=V")</f>
        <v>0</v>
      </c>
      <c r="AO2">
        <f>BDH("EXP US Equity","CF_FREE_CASH_FLOW","2016-06-30","2021-06-30","Per=Y","Days=T","Dir=V")</f>
        <v>0</v>
      </c>
      <c r="AQ2">
        <f>BDH("EXP US Equity","PX_LAST","2016-06-30","2021-06-30","Per=M","Days=T","Dir=V")</f>
        <v>0</v>
      </c>
      <c r="AS2">
        <f>BDH("EXP US Equity","CUR_MKT_CAP","2016-06-30","2021-06-30","Per=M","Days=T","Dir=V")</f>
        <v>0</v>
      </c>
      <c r="AU2">
        <f>BDH("EXP US Equity","EQY_SH_OUT","2016-06-30","2021-06-30","Per=M","Days=T","Dir=V")</f>
        <v>0</v>
      </c>
      <c r="AW2">
        <f>BDH("EXP US Equity","BETA_RAW_OVERRIABLE","2016-06-30","2021-06-30","Per=M","Days=T","Dir=V")</f>
        <v>0</v>
      </c>
      <c r="AY2">
        <f>BDH("EXP US Equity","PX_VOLUME","2016-06-30","2021-06-30","Per=M","Days=T","Dir=V")</f>
        <v>0</v>
      </c>
      <c r="BA2">
        <f>BDH("EXP US Equity","TURNOVER","2016-06-30","2021-06-30","Per=M","Days=T","Dir=V")</f>
        <v>0</v>
      </c>
      <c r="BC2">
        <f>BDH("EXP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BDH("BW US Equity","BS_TOT_ASSET","2016-06-30","2021-06-30","Per=Y","Days=T","Dir=V")</f>
        <v>0</v>
      </c>
      <c r="C2">
        <f>BDH("BW US Equity","BS_TOT_LIAB2","2016-06-30","2021-06-30","Per=Y","Days=T","Dir=V")</f>
        <v>0</v>
      </c>
      <c r="E2">
        <f>BDH("BW US Equity","SHORT_AND_LONG_TERM_DEBT","2016-06-30","2021-06-30","Per=Y","Days=T","Dir=V")</f>
        <v>0</v>
      </c>
      <c r="G2">
        <f>BDH("BW US Equity","BS_ST_BORROW","2016-06-30","2021-06-30","Per=Y","Days=T","Dir=V")</f>
        <v>0</v>
      </c>
      <c r="I2">
        <f>BDH("BW US Equity","BS_LT_BORROW","2016-06-30","2021-06-30","Per=Y","Days=T","Dir=V")</f>
        <v>0</v>
      </c>
      <c r="K2">
        <f>BDH("BW US Equity","BS_CASH_NEAR_CASH_ITEM","2016-06-30","2021-06-30","Per=Y","Days=T","Dir=V")</f>
        <v>0</v>
      </c>
      <c r="M2">
        <f>BDH("BW US Equity","BS_CUR_ASSET_REPORT","2016-06-30","2021-06-30","Per=Y","Days=T","Dir=V")</f>
        <v>0</v>
      </c>
      <c r="O2">
        <f>BDH("BW US Equity","BS_CUR_LIAB","2016-06-30","2021-06-30","Per=Y","Days=T","Dir=V")</f>
        <v>0</v>
      </c>
      <c r="Q2">
        <f>BDH("BW US Equity","BS_SHAREHOLDER_EQY_ENDING_PERIOD","2016-06-30","2021-06-30","Per=Y","Days=T","Dir=V")</f>
        <v>0</v>
      </c>
      <c r="S2">
        <f>BDH("BW US Equity","BS_ACCT_NOTE_RCV","2016-06-30","2021-06-30","Per=Y","Days=T","Dir=V")</f>
        <v>0</v>
      </c>
      <c r="U2">
        <f>BDH("BW US Equity","BS_INVENTORIES","2016-06-30","2021-06-30","Per=Y","Days=T","Dir=V")</f>
        <v>0</v>
      </c>
      <c r="W2">
        <f>BDH("BW US Equity","WORKING_CAPITAL","2016-06-30","2021-06-30","Per=Y","Days=T","Dir=V")</f>
        <v>0</v>
      </c>
      <c r="Y2">
        <f>BDH("BW US Equity","SALES_REV_TURN","2016-06-30","2021-06-30","Per=Y","Days=T","Dir=V")</f>
        <v>0</v>
      </c>
      <c r="AA2">
        <f>BDH("BW US Equity","EBIT","2016-06-30","2021-06-30","Per=Y","Days=T","Dir=V")</f>
        <v>0</v>
      </c>
      <c r="AC2">
        <f>BDH("BW US Equity","EBITDA","2016-06-30","2021-06-30","Per=Y","Days=T","Dir=V")</f>
        <v>0</v>
      </c>
      <c r="AE2">
        <f>BDH("BW US Equity","NET_INCOME","2016-06-30","2021-06-30","Per=Y","Days=T","Dir=V")</f>
        <v>0</v>
      </c>
      <c r="AG2">
        <f>BDH("BW US Equity","IS_INT_EXPENSE","2016-06-30","2021-06-30","Per=Y","Days=T","Dir=V")</f>
        <v>0</v>
      </c>
      <c r="AI2">
        <f>BDH("BW US Equity","IS_DEPR_EXP","2016-06-30","2021-06-30","Per=Y","Days=T","Dir=V")</f>
        <v>0</v>
      </c>
      <c r="AK2">
        <f>BDH("BW US Equity","CF_CASH_FROM_OPER","2016-06-30","2021-06-30","Per=Y","Days=T","Dir=V")</f>
        <v>0</v>
      </c>
      <c r="AM2">
        <f>BDH("BW US Equity","CAPITAL_EXPEND","2016-06-30","2021-06-30","Per=Y","Days=T","Dir=V")</f>
        <v>0</v>
      </c>
      <c r="AO2">
        <f>BDH("BW US Equity","CF_FREE_CASH_FLOW","2016-06-30","2021-06-30","Per=Y","Days=T","Dir=V")</f>
        <v>0</v>
      </c>
      <c r="AQ2">
        <f>BDH("BW US Equity","PX_LAST","2016-06-30","2021-06-30","Per=M","Days=T","Dir=V")</f>
        <v>0</v>
      </c>
      <c r="AS2">
        <f>BDH("BW US Equity","CUR_MKT_CAP","2016-06-30","2021-06-30","Per=M","Days=T","Dir=V")</f>
        <v>0</v>
      </c>
      <c r="AU2">
        <f>BDH("BW US Equity","EQY_SH_OUT","2016-06-30","2021-06-30","Per=M","Days=T","Dir=V")</f>
        <v>0</v>
      </c>
      <c r="AW2">
        <f>BDH("BW US Equity","BETA_RAW_OVERRIABLE","2016-06-30","2021-06-30","Per=M","Days=T","Dir=V")</f>
        <v>0</v>
      </c>
      <c r="AY2">
        <f>BDH("BW US Equity","PX_VOLUME","2016-06-30","2021-06-30","Per=M","Days=T","Dir=V")</f>
        <v>0</v>
      </c>
      <c r="BA2">
        <f>BDH("BW US Equity","TURNOVER","2016-06-30","2021-06-30","Per=M","Days=T","Dir=V")</f>
        <v>0</v>
      </c>
      <c r="BC2">
        <f>BDH("BW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BDH("TEX US Equity","BS_TOT_ASSET","2016-06-30","2021-06-30","Per=Y","Days=T","Dir=V")</f>
        <v>0</v>
      </c>
      <c r="C2">
        <f>BDH("TEX US Equity","BS_TOT_LIAB2","2016-06-30","2021-06-30","Per=Y","Days=T","Dir=V")</f>
        <v>0</v>
      </c>
      <c r="E2">
        <f>BDH("TEX US Equity","SHORT_AND_LONG_TERM_DEBT","2016-06-30","2021-06-30","Per=Y","Days=T","Dir=V")</f>
        <v>0</v>
      </c>
      <c r="G2">
        <f>BDH("TEX US Equity","BS_ST_BORROW","2016-06-30","2021-06-30","Per=Y","Days=T","Dir=V")</f>
        <v>0</v>
      </c>
      <c r="I2">
        <f>BDH("TEX US Equity","BS_LT_BORROW","2016-06-30","2021-06-30","Per=Y","Days=T","Dir=V")</f>
        <v>0</v>
      </c>
      <c r="K2">
        <f>BDH("TEX US Equity","BS_CASH_NEAR_CASH_ITEM","2016-06-30","2021-06-30","Per=Y","Days=T","Dir=V")</f>
        <v>0</v>
      </c>
      <c r="M2">
        <f>BDH("TEX US Equity","BS_CUR_ASSET_REPORT","2016-06-30","2021-06-30","Per=Y","Days=T","Dir=V")</f>
        <v>0</v>
      </c>
      <c r="O2">
        <f>BDH("TEX US Equity","BS_CUR_LIAB","2016-06-30","2021-06-30","Per=Y","Days=T","Dir=V")</f>
        <v>0</v>
      </c>
      <c r="Q2">
        <f>BDH("TEX US Equity","BS_SHAREHOLDER_EQY_ENDING_PERIOD","2016-06-30","2021-06-30","Per=Y","Days=T","Dir=V")</f>
        <v>0</v>
      </c>
      <c r="S2">
        <f>BDH("TEX US Equity","BS_ACCT_NOTE_RCV","2016-06-30","2021-06-30","Per=Y","Days=T","Dir=V")</f>
        <v>0</v>
      </c>
      <c r="U2">
        <f>BDH("TEX US Equity","BS_INVENTORIES","2016-06-30","2021-06-30","Per=Y","Days=T","Dir=V")</f>
        <v>0</v>
      </c>
      <c r="W2">
        <f>BDH("TEX US Equity","WORKING_CAPITAL","2016-06-30","2021-06-30","Per=Y","Days=T","Dir=V")</f>
        <v>0</v>
      </c>
      <c r="Y2">
        <f>BDH("TEX US Equity","SALES_REV_TURN","2016-06-30","2021-06-30","Per=Y","Days=T","Dir=V")</f>
        <v>0</v>
      </c>
      <c r="AA2">
        <f>BDH("TEX US Equity","EBIT","2016-06-30","2021-06-30","Per=Y","Days=T","Dir=V")</f>
        <v>0</v>
      </c>
      <c r="AC2">
        <f>BDH("TEX US Equity","EBITDA","2016-06-30","2021-06-30","Per=Y","Days=T","Dir=V")</f>
        <v>0</v>
      </c>
      <c r="AE2">
        <f>BDH("TEX US Equity","NET_INCOME","2016-06-30","2021-06-30","Per=Y","Days=T","Dir=V")</f>
        <v>0</v>
      </c>
      <c r="AG2">
        <f>BDH("TEX US Equity","IS_INT_EXPENSE","2016-06-30","2021-06-30","Per=Y","Days=T","Dir=V")</f>
        <v>0</v>
      </c>
      <c r="AI2">
        <f>BDH("TEX US Equity","IS_DEPR_EXP","2016-06-30","2021-06-30","Per=Y","Days=T","Dir=V")</f>
        <v>0</v>
      </c>
      <c r="AK2">
        <f>BDH("TEX US Equity","CF_CASH_FROM_OPER","2016-06-30","2021-06-30","Per=Y","Days=T","Dir=V")</f>
        <v>0</v>
      </c>
      <c r="AM2">
        <f>BDH("TEX US Equity","CAPITAL_EXPEND","2016-06-30","2021-06-30","Per=Y","Days=T","Dir=V")</f>
        <v>0</v>
      </c>
      <c r="AO2">
        <f>BDH("TEX US Equity","CF_FREE_CASH_FLOW","2016-06-30","2021-06-30","Per=Y","Days=T","Dir=V")</f>
        <v>0</v>
      </c>
      <c r="AQ2">
        <f>BDH("TEX US Equity","PX_LAST","2016-06-30","2021-06-30","Per=M","Days=T","Dir=V")</f>
        <v>0</v>
      </c>
      <c r="AS2">
        <f>BDH("TEX US Equity","CUR_MKT_CAP","2016-06-30","2021-06-30","Per=M","Days=T","Dir=V")</f>
        <v>0</v>
      </c>
      <c r="AU2">
        <f>BDH("TEX US Equity","EQY_SH_OUT","2016-06-30","2021-06-30","Per=M","Days=T","Dir=V")</f>
        <v>0</v>
      </c>
      <c r="AW2">
        <f>BDH("TEX US Equity","BETA_RAW_OVERRIABLE","2016-06-30","2021-06-30","Per=M","Days=T","Dir=V")</f>
        <v>0</v>
      </c>
      <c r="AY2">
        <f>BDH("TEX US Equity","PX_VOLUME","2016-06-30","2021-06-30","Per=M","Days=T","Dir=V")</f>
        <v>0</v>
      </c>
      <c r="BA2">
        <f>BDH("TEX US Equity","TURNOVER","2016-06-30","2021-06-30","Per=M","Days=T","Dir=V")</f>
        <v>0</v>
      </c>
      <c r="BC2">
        <f>BDH("TEX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BDH("CCK US Equity","BS_TOT_ASSET","2016-06-30","2021-06-30","Per=Y","Days=T","Dir=V")</f>
        <v>0</v>
      </c>
      <c r="C2">
        <f>BDH("CCK US Equity","BS_TOT_LIAB2","2016-06-30","2021-06-30","Per=Y","Days=T","Dir=V")</f>
        <v>0</v>
      </c>
      <c r="E2">
        <f>BDH("CCK US Equity","SHORT_AND_LONG_TERM_DEBT","2016-06-30","2021-06-30","Per=Y","Days=T","Dir=V")</f>
        <v>0</v>
      </c>
      <c r="G2">
        <f>BDH("CCK US Equity","BS_ST_BORROW","2016-06-30","2021-06-30","Per=Y","Days=T","Dir=V")</f>
        <v>0</v>
      </c>
      <c r="I2">
        <f>BDH("CCK US Equity","BS_LT_BORROW","2016-06-30","2021-06-30","Per=Y","Days=T","Dir=V")</f>
        <v>0</v>
      </c>
      <c r="K2">
        <f>BDH("CCK US Equity","BS_CASH_NEAR_CASH_ITEM","2016-06-30","2021-06-30","Per=Y","Days=T","Dir=V")</f>
        <v>0</v>
      </c>
      <c r="M2">
        <f>BDH("CCK US Equity","BS_CUR_ASSET_REPORT","2016-06-30","2021-06-30","Per=Y","Days=T","Dir=V")</f>
        <v>0</v>
      </c>
      <c r="O2">
        <f>BDH("CCK US Equity","BS_CUR_LIAB","2016-06-30","2021-06-30","Per=Y","Days=T","Dir=V")</f>
        <v>0</v>
      </c>
      <c r="Q2">
        <f>BDH("CCK US Equity","BS_SHAREHOLDER_EQY_ENDING_PERIOD","2016-06-30","2021-06-30","Per=Y","Days=T","Dir=V")</f>
        <v>0</v>
      </c>
      <c r="S2">
        <f>BDH("CCK US Equity","BS_ACCT_NOTE_RCV","2016-06-30","2021-06-30","Per=Y","Days=T","Dir=V")</f>
        <v>0</v>
      </c>
      <c r="U2">
        <f>BDH("CCK US Equity","BS_INVENTORIES","2016-06-30","2021-06-30","Per=Y","Days=T","Dir=V")</f>
        <v>0</v>
      </c>
      <c r="W2">
        <f>BDH("CCK US Equity","WORKING_CAPITAL","2016-06-30","2021-06-30","Per=Y","Days=T","Dir=V")</f>
        <v>0</v>
      </c>
      <c r="Y2">
        <f>BDH("CCK US Equity","SALES_REV_TURN","2016-06-30","2021-06-30","Per=Y","Days=T","Dir=V")</f>
        <v>0</v>
      </c>
      <c r="AA2">
        <f>BDH("CCK US Equity","EBIT","2016-06-30","2021-06-30","Per=Y","Days=T","Dir=V")</f>
        <v>0</v>
      </c>
      <c r="AC2">
        <f>BDH("CCK US Equity","EBITDA","2016-06-30","2021-06-30","Per=Y","Days=T","Dir=V")</f>
        <v>0</v>
      </c>
      <c r="AE2">
        <f>BDH("CCK US Equity","NET_INCOME","2016-06-30","2021-06-30","Per=Y","Days=T","Dir=V")</f>
        <v>0</v>
      </c>
      <c r="AG2">
        <f>BDH("CCK US Equity","IS_INT_EXPENSE","2016-06-30","2021-06-30","Per=Y","Days=T","Dir=V")</f>
        <v>0</v>
      </c>
      <c r="AI2">
        <f>BDH("CCK US Equity","IS_DEPR_EXP","2016-06-30","2021-06-30","Per=Y","Days=T","Dir=V")</f>
        <v>0</v>
      </c>
      <c r="AK2">
        <f>BDH("CCK US Equity","CF_CASH_FROM_OPER","2016-06-30","2021-06-30","Per=Y","Days=T","Dir=V")</f>
        <v>0</v>
      </c>
      <c r="AM2">
        <f>BDH("CCK US Equity","CAPITAL_EXPEND","2016-06-30","2021-06-30","Per=Y","Days=T","Dir=V")</f>
        <v>0</v>
      </c>
      <c r="AO2">
        <f>BDH("CCK US Equity","CF_FREE_CASH_FLOW","2016-06-30","2021-06-30","Per=Y","Days=T","Dir=V")</f>
        <v>0</v>
      </c>
      <c r="AQ2">
        <f>BDH("CCK US Equity","PX_LAST","2016-06-30","2021-06-30","Per=M","Days=T","Dir=V")</f>
        <v>0</v>
      </c>
      <c r="AS2">
        <f>BDH("CCK US Equity","CUR_MKT_CAP","2016-06-30","2021-06-30","Per=M","Days=T","Dir=V")</f>
        <v>0</v>
      </c>
      <c r="AU2">
        <f>BDH("CCK US Equity","EQY_SH_OUT","2016-06-30","2021-06-30","Per=M","Days=T","Dir=V")</f>
        <v>0</v>
      </c>
      <c r="AW2">
        <f>BDH("CCK US Equity","BETA_RAW_OVERRIABLE","2016-06-30","2021-06-30","Per=M","Days=T","Dir=V")</f>
        <v>0</v>
      </c>
      <c r="AY2">
        <f>BDH("CCK US Equity","PX_VOLUME","2016-06-30","2021-06-30","Per=M","Days=T","Dir=V")</f>
        <v>0</v>
      </c>
      <c r="BA2">
        <f>BDH("CCK US Equity","TURNOVER","2016-06-30","2021-06-30","Per=M","Days=T","Dir=V")</f>
        <v>0</v>
      </c>
      <c r="BC2">
        <f>BDH("CCK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BDH("FORR US Equity","BS_TOT_ASSET","2016-06-30","2021-06-30","Per=Y","Days=T","Dir=V")</f>
        <v>0</v>
      </c>
      <c r="C2">
        <f>BDH("FORR US Equity","BS_TOT_LIAB2","2016-06-30","2021-06-30","Per=Y","Days=T","Dir=V")</f>
        <v>0</v>
      </c>
      <c r="E2">
        <f>BDH("FORR US Equity","SHORT_AND_LONG_TERM_DEBT","2016-06-30","2021-06-30","Per=Y","Days=T","Dir=V")</f>
        <v>0</v>
      </c>
      <c r="G2">
        <f>BDH("FORR US Equity","BS_ST_BORROW","2016-06-30","2021-06-30","Per=Y","Days=T","Dir=V")</f>
        <v>0</v>
      </c>
      <c r="I2">
        <f>BDH("FORR US Equity","BS_LT_BORROW","2016-06-30","2021-06-30","Per=Y","Days=T","Dir=V")</f>
        <v>0</v>
      </c>
      <c r="K2">
        <f>BDH("FORR US Equity","BS_CASH_NEAR_CASH_ITEM","2016-06-30","2021-06-30","Per=Y","Days=T","Dir=V")</f>
        <v>0</v>
      </c>
      <c r="M2">
        <f>BDH("FORR US Equity","BS_CUR_ASSET_REPORT","2016-06-30","2021-06-30","Per=Y","Days=T","Dir=V")</f>
        <v>0</v>
      </c>
      <c r="O2">
        <f>BDH("FORR US Equity","BS_CUR_LIAB","2016-06-30","2021-06-30","Per=Y","Days=T","Dir=V")</f>
        <v>0</v>
      </c>
      <c r="Q2">
        <f>BDH("FORR US Equity","BS_SHAREHOLDER_EQY_ENDING_PERIOD","2016-06-30","2021-06-30","Per=Y","Days=T","Dir=V")</f>
        <v>0</v>
      </c>
      <c r="S2">
        <f>BDH("FORR US Equity","BS_ACCT_NOTE_RCV","2016-06-30","2021-06-30","Per=Y","Days=T","Dir=V")</f>
        <v>0</v>
      </c>
      <c r="U2">
        <f>BDH("FORR US Equity","BS_INVENTORIES","2016-06-30","2021-06-30","Per=Y","Days=T","Dir=V")</f>
        <v>0</v>
      </c>
      <c r="W2">
        <f>BDH("FORR US Equity","WORKING_CAPITAL","2016-06-30","2021-06-30","Per=Y","Days=T","Dir=V")</f>
        <v>0</v>
      </c>
      <c r="Y2">
        <f>BDH("FORR US Equity","SALES_REV_TURN","2016-06-30","2021-06-30","Per=Y","Days=T","Dir=V")</f>
        <v>0</v>
      </c>
      <c r="AA2">
        <f>BDH("FORR US Equity","EBIT","2016-06-30","2021-06-30","Per=Y","Days=T","Dir=V")</f>
        <v>0</v>
      </c>
      <c r="AC2">
        <f>BDH("FORR US Equity","EBITDA","2016-06-30","2021-06-30","Per=Y","Days=T","Dir=V")</f>
        <v>0</v>
      </c>
      <c r="AE2">
        <f>BDH("FORR US Equity","NET_INCOME","2016-06-30","2021-06-30","Per=Y","Days=T","Dir=V")</f>
        <v>0</v>
      </c>
      <c r="AG2">
        <f>BDH("FORR US Equity","IS_INT_EXPENSE","2016-06-30","2021-06-30","Per=Y","Days=T","Dir=V")</f>
        <v>0</v>
      </c>
      <c r="AI2">
        <f>BDH("FORR US Equity","IS_DEPR_EXP","2016-06-30","2021-06-30","Per=Y","Days=T","Dir=V")</f>
        <v>0</v>
      </c>
      <c r="AK2">
        <f>BDH("FORR US Equity","CF_CASH_FROM_OPER","2016-06-30","2021-06-30","Per=Y","Days=T","Dir=V")</f>
        <v>0</v>
      </c>
      <c r="AM2">
        <f>BDH("FORR US Equity","CAPITAL_EXPEND","2016-06-30","2021-06-30","Per=Y","Days=T","Dir=V")</f>
        <v>0</v>
      </c>
      <c r="AO2">
        <f>BDH("FORR US Equity","CF_FREE_CASH_FLOW","2016-06-30","2021-06-30","Per=Y","Days=T","Dir=V")</f>
        <v>0</v>
      </c>
      <c r="AQ2">
        <f>BDH("FORR US Equity","PX_LAST","2016-06-30","2021-06-30","Per=M","Days=T","Dir=V")</f>
        <v>0</v>
      </c>
      <c r="AS2">
        <f>BDH("FORR US Equity","CUR_MKT_CAP","2016-06-30","2021-06-30","Per=M","Days=T","Dir=V")</f>
        <v>0</v>
      </c>
      <c r="AU2">
        <f>BDH("FORR US Equity","EQY_SH_OUT","2016-06-30","2021-06-30","Per=M","Days=T","Dir=V")</f>
        <v>0</v>
      </c>
      <c r="AW2">
        <f>BDH("FORR US Equity","BETA_RAW_OVERRIABLE","2016-06-30","2021-06-30","Per=M","Days=T","Dir=V")</f>
        <v>0</v>
      </c>
      <c r="AY2">
        <f>BDH("FORR US Equity","PX_VOLUME","2016-06-30","2021-06-30","Per=M","Days=T","Dir=V")</f>
        <v>0</v>
      </c>
      <c r="BA2">
        <f>BDH("FORR US Equity","TURNOVER","2016-06-30","2021-06-30","Per=M","Days=T","Dir=V")</f>
        <v>0</v>
      </c>
      <c r="BC2">
        <f>BDH("FORR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BDH("AES US Equity","BS_TOT_ASSET","2016-06-30","2021-06-30","Per=Y","Days=T","Dir=V")</f>
        <v>0</v>
      </c>
      <c r="C2">
        <f>BDH("AES US Equity","BS_TOT_LIAB2","2016-06-30","2021-06-30","Per=Y","Days=T","Dir=V")</f>
        <v>0</v>
      </c>
      <c r="E2">
        <f>BDH("AES US Equity","SHORT_AND_LONG_TERM_DEBT","2016-06-30","2021-06-30","Per=Y","Days=T","Dir=V")</f>
        <v>0</v>
      </c>
      <c r="G2">
        <f>BDH("AES US Equity","BS_ST_BORROW","2016-06-30","2021-06-30","Per=Y","Days=T","Dir=V")</f>
        <v>0</v>
      </c>
      <c r="I2">
        <f>BDH("AES US Equity","BS_LT_BORROW","2016-06-30","2021-06-30","Per=Y","Days=T","Dir=V")</f>
        <v>0</v>
      </c>
      <c r="K2">
        <f>BDH("AES US Equity","BS_CASH_NEAR_CASH_ITEM","2016-06-30","2021-06-30","Per=Y","Days=T","Dir=V")</f>
        <v>0</v>
      </c>
      <c r="M2">
        <f>BDH("AES US Equity","BS_CUR_ASSET_REPORT","2016-06-30","2021-06-30","Per=Y","Days=T","Dir=V")</f>
        <v>0</v>
      </c>
      <c r="O2">
        <f>BDH("AES US Equity","BS_CUR_LIAB","2016-06-30","2021-06-30","Per=Y","Days=T","Dir=V")</f>
        <v>0</v>
      </c>
      <c r="Q2">
        <f>BDH("AES US Equity","BS_SHAREHOLDER_EQY_ENDING_PERIOD","2016-06-30","2021-06-30","Per=Y","Days=T","Dir=V")</f>
        <v>0</v>
      </c>
      <c r="S2">
        <f>BDH("AES US Equity","BS_ACCT_NOTE_RCV","2016-06-30","2021-06-30","Per=Y","Days=T","Dir=V")</f>
        <v>0</v>
      </c>
      <c r="U2">
        <f>BDH("AES US Equity","BS_INVENTORIES","2016-06-30","2021-06-30","Per=Y","Days=T","Dir=V")</f>
        <v>0</v>
      </c>
      <c r="W2">
        <f>BDH("AES US Equity","WORKING_CAPITAL","2016-06-30","2021-06-30","Per=Y","Days=T","Dir=V")</f>
        <v>0</v>
      </c>
      <c r="Y2">
        <f>BDH("AES US Equity","SALES_REV_TURN","2016-06-30","2021-06-30","Per=Y","Days=T","Dir=V")</f>
        <v>0</v>
      </c>
      <c r="AA2">
        <f>BDH("AES US Equity","EBIT","2016-06-30","2021-06-30","Per=Y","Days=T","Dir=V")</f>
        <v>0</v>
      </c>
      <c r="AC2">
        <f>BDH("AES US Equity","EBITDA","2016-06-30","2021-06-30","Per=Y","Days=T","Dir=V")</f>
        <v>0</v>
      </c>
      <c r="AE2">
        <f>BDH("AES US Equity","NET_INCOME","2016-06-30","2021-06-30","Per=Y","Days=T","Dir=V")</f>
        <v>0</v>
      </c>
      <c r="AG2">
        <f>BDH("AES US Equity","IS_INT_EXPENSE","2016-06-30","2021-06-30","Per=Y","Days=T","Dir=V")</f>
        <v>0</v>
      </c>
      <c r="AI2">
        <f>BDH("AES US Equity","IS_DEPR_EXP","2016-06-30","2021-06-30","Per=Y","Days=T","Dir=V")</f>
        <v>0</v>
      </c>
      <c r="AK2">
        <f>BDH("AES US Equity","CF_CASH_FROM_OPER","2016-06-30","2021-06-30","Per=Y","Days=T","Dir=V")</f>
        <v>0</v>
      </c>
      <c r="AM2">
        <f>BDH("AES US Equity","CAPITAL_EXPEND","2016-06-30","2021-06-30","Per=Y","Days=T","Dir=V")</f>
        <v>0</v>
      </c>
      <c r="AO2">
        <f>BDH("AES US Equity","CF_FREE_CASH_FLOW","2016-06-30","2021-06-30","Per=Y","Days=T","Dir=V")</f>
        <v>0</v>
      </c>
      <c r="AQ2">
        <f>BDH("AES US Equity","PX_LAST","2016-06-30","2021-06-30","Per=M","Days=T","Dir=V")</f>
        <v>0</v>
      </c>
      <c r="AS2">
        <f>BDH("AES US Equity","CUR_MKT_CAP","2016-06-30","2021-06-30","Per=M","Days=T","Dir=V")</f>
        <v>0</v>
      </c>
      <c r="AU2">
        <f>BDH("AES US Equity","EQY_SH_OUT","2016-06-30","2021-06-30","Per=M","Days=T","Dir=V")</f>
        <v>0</v>
      </c>
      <c r="AW2">
        <f>BDH("AES US Equity","BETA_RAW_OVERRIABLE","2016-06-30","2021-06-30","Per=M","Days=T","Dir=V")</f>
        <v>0</v>
      </c>
      <c r="AY2">
        <f>BDH("AES US Equity","PX_VOLUME","2016-06-30","2021-06-30","Per=M","Days=T","Dir=V")</f>
        <v>0</v>
      </c>
      <c r="BA2">
        <f>BDH("AES US Equity","TURNOVER","2016-06-30","2021-06-30","Per=M","Days=T","Dir=V")</f>
        <v>0</v>
      </c>
      <c r="BC2">
        <f>BDH("AES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BDH("TRNS US Equity","BS_TOT_ASSET","2016-06-30","2021-06-30","Per=Y","Days=T","Dir=V")</f>
        <v>0</v>
      </c>
      <c r="C2">
        <f>BDH("TRNS US Equity","BS_TOT_LIAB2","2016-06-30","2021-06-30","Per=Y","Days=T","Dir=V")</f>
        <v>0</v>
      </c>
      <c r="E2">
        <f>BDH("TRNS US Equity","SHORT_AND_LONG_TERM_DEBT","2016-06-30","2021-06-30","Per=Y","Days=T","Dir=V")</f>
        <v>0</v>
      </c>
      <c r="G2">
        <f>BDH("TRNS US Equity","BS_ST_BORROW","2016-06-30","2021-06-30","Per=Y","Days=T","Dir=V")</f>
        <v>0</v>
      </c>
      <c r="I2">
        <f>BDH("TRNS US Equity","BS_LT_BORROW","2016-06-30","2021-06-30","Per=Y","Days=T","Dir=V")</f>
        <v>0</v>
      </c>
      <c r="K2">
        <f>BDH("TRNS US Equity","BS_CASH_NEAR_CASH_ITEM","2016-06-30","2021-06-30","Per=Y","Days=T","Dir=V")</f>
        <v>0</v>
      </c>
      <c r="M2">
        <f>BDH("TRNS US Equity","BS_CUR_ASSET_REPORT","2016-06-30","2021-06-30","Per=Y","Days=T","Dir=V")</f>
        <v>0</v>
      </c>
      <c r="O2">
        <f>BDH("TRNS US Equity","BS_CUR_LIAB","2016-06-30","2021-06-30","Per=Y","Days=T","Dir=V")</f>
        <v>0</v>
      </c>
      <c r="Q2">
        <f>BDH("TRNS US Equity","BS_SHAREHOLDER_EQY_ENDING_PERIOD","2016-06-30","2021-06-30","Per=Y","Days=T","Dir=V")</f>
        <v>0</v>
      </c>
      <c r="S2">
        <f>BDH("TRNS US Equity","BS_ACCT_NOTE_RCV","2016-06-30","2021-06-30","Per=Y","Days=T","Dir=V")</f>
        <v>0</v>
      </c>
      <c r="U2">
        <f>BDH("TRNS US Equity","BS_INVENTORIES","2016-06-30","2021-06-30","Per=Y","Days=T","Dir=V")</f>
        <v>0</v>
      </c>
      <c r="W2">
        <f>BDH("TRNS US Equity","WORKING_CAPITAL","2016-06-30","2021-06-30","Per=Y","Days=T","Dir=V")</f>
        <v>0</v>
      </c>
      <c r="Y2">
        <f>BDH("TRNS US Equity","SALES_REV_TURN","2016-06-30","2021-06-30","Per=Y","Days=T","Dir=V")</f>
        <v>0</v>
      </c>
      <c r="AA2">
        <f>BDH("TRNS US Equity","EBIT","2016-06-30","2021-06-30","Per=Y","Days=T","Dir=V")</f>
        <v>0</v>
      </c>
      <c r="AC2">
        <f>BDH("TRNS US Equity","EBITDA","2016-06-30","2021-06-30","Per=Y","Days=T","Dir=V")</f>
        <v>0</v>
      </c>
      <c r="AE2">
        <f>BDH("TRNS US Equity","NET_INCOME","2016-06-30","2021-06-30","Per=Y","Days=T","Dir=V")</f>
        <v>0</v>
      </c>
      <c r="AG2">
        <f>BDH("TRNS US Equity","IS_INT_EXPENSE","2016-06-30","2021-06-30","Per=Y","Days=T","Dir=V")</f>
        <v>0</v>
      </c>
      <c r="AI2">
        <f>BDH("TRNS US Equity","IS_DEPR_EXP","2016-06-30","2021-06-30","Per=Y","Days=T","Dir=V")</f>
        <v>0</v>
      </c>
      <c r="AK2">
        <f>BDH("TRNS US Equity","CF_CASH_FROM_OPER","2016-06-30","2021-06-30","Per=Y","Days=T","Dir=V")</f>
        <v>0</v>
      </c>
      <c r="AM2">
        <f>BDH("TRNS US Equity","CAPITAL_EXPEND","2016-06-30","2021-06-30","Per=Y","Days=T","Dir=V")</f>
        <v>0</v>
      </c>
      <c r="AO2">
        <f>BDH("TRNS US Equity","CF_FREE_CASH_FLOW","2016-06-30","2021-06-30","Per=Y","Days=T","Dir=V")</f>
        <v>0</v>
      </c>
      <c r="AQ2">
        <f>BDH("TRNS US Equity","PX_LAST","2016-06-30","2021-06-30","Per=M","Days=T","Dir=V")</f>
        <v>0</v>
      </c>
      <c r="AS2">
        <f>BDH("TRNS US Equity","CUR_MKT_CAP","2016-06-30","2021-06-30","Per=M","Days=T","Dir=V")</f>
        <v>0</v>
      </c>
      <c r="AU2">
        <f>BDH("TRNS US Equity","EQY_SH_OUT","2016-06-30","2021-06-30","Per=M","Days=T","Dir=V")</f>
        <v>0</v>
      </c>
      <c r="AW2">
        <f>BDH("TRNS US Equity","BETA_RAW_OVERRIABLE","2016-06-30","2021-06-30","Per=M","Days=T","Dir=V")</f>
        <v>0</v>
      </c>
      <c r="AY2">
        <f>BDH("TRNS US Equity","PX_VOLUME","2016-06-30","2021-06-30","Per=M","Days=T","Dir=V")</f>
        <v>0</v>
      </c>
      <c r="BA2">
        <f>BDH("TRNS US Equity","TURNOVER","2016-06-30","2021-06-30","Per=M","Days=T","Dir=V")</f>
        <v>0</v>
      </c>
      <c r="BC2">
        <f>BDH("TRNS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BDH("FIX US Equity","BS_TOT_ASSET","2016-06-30","2021-06-30","Per=Y","Days=T","Dir=V")</f>
        <v>0</v>
      </c>
      <c r="C2">
        <f>BDH("FIX US Equity","BS_TOT_LIAB2","2016-06-30","2021-06-30","Per=Y","Days=T","Dir=V")</f>
        <v>0</v>
      </c>
      <c r="E2">
        <f>BDH("FIX US Equity","SHORT_AND_LONG_TERM_DEBT","2016-06-30","2021-06-30","Per=Y","Days=T","Dir=V")</f>
        <v>0</v>
      </c>
      <c r="G2">
        <f>BDH("FIX US Equity","BS_ST_BORROW","2016-06-30","2021-06-30","Per=Y","Days=T","Dir=V")</f>
        <v>0</v>
      </c>
      <c r="I2">
        <f>BDH("FIX US Equity","BS_LT_BORROW","2016-06-30","2021-06-30","Per=Y","Days=T","Dir=V")</f>
        <v>0</v>
      </c>
      <c r="K2">
        <f>BDH("FIX US Equity","BS_CASH_NEAR_CASH_ITEM","2016-06-30","2021-06-30","Per=Y","Days=T","Dir=V")</f>
        <v>0</v>
      </c>
      <c r="M2">
        <f>BDH("FIX US Equity","BS_CUR_ASSET_REPORT","2016-06-30","2021-06-30","Per=Y","Days=T","Dir=V")</f>
        <v>0</v>
      </c>
      <c r="O2">
        <f>BDH("FIX US Equity","BS_CUR_LIAB","2016-06-30","2021-06-30","Per=Y","Days=T","Dir=V")</f>
        <v>0</v>
      </c>
      <c r="Q2">
        <f>BDH("FIX US Equity","BS_SHAREHOLDER_EQY_ENDING_PERIOD","2016-06-30","2021-06-30","Per=Y","Days=T","Dir=V")</f>
        <v>0</v>
      </c>
      <c r="S2">
        <f>BDH("FIX US Equity","BS_ACCT_NOTE_RCV","2016-06-30","2021-06-30","Per=Y","Days=T","Dir=V")</f>
        <v>0</v>
      </c>
      <c r="U2">
        <f>BDH("FIX US Equity","BS_INVENTORIES","2016-06-30","2021-06-30","Per=Y","Days=T","Dir=V")</f>
        <v>0</v>
      </c>
      <c r="W2">
        <f>BDH("FIX US Equity","WORKING_CAPITAL","2016-06-30","2021-06-30","Per=Y","Days=T","Dir=V")</f>
        <v>0</v>
      </c>
      <c r="Y2">
        <f>BDH("FIX US Equity","SALES_REV_TURN","2016-06-30","2021-06-30","Per=Y","Days=T","Dir=V")</f>
        <v>0</v>
      </c>
      <c r="AA2">
        <f>BDH("FIX US Equity","EBIT","2016-06-30","2021-06-30","Per=Y","Days=T","Dir=V")</f>
        <v>0</v>
      </c>
      <c r="AC2">
        <f>BDH("FIX US Equity","EBITDA","2016-06-30","2021-06-30","Per=Y","Days=T","Dir=V")</f>
        <v>0</v>
      </c>
      <c r="AE2">
        <f>BDH("FIX US Equity","NET_INCOME","2016-06-30","2021-06-30","Per=Y","Days=T","Dir=V")</f>
        <v>0</v>
      </c>
      <c r="AG2">
        <f>BDH("FIX US Equity","IS_INT_EXPENSE","2016-06-30","2021-06-30","Per=Y","Days=T","Dir=V")</f>
        <v>0</v>
      </c>
      <c r="AI2">
        <f>BDH("FIX US Equity","IS_DEPR_EXP","2016-06-30","2021-06-30","Per=Y","Days=T","Dir=V")</f>
        <v>0</v>
      </c>
      <c r="AK2">
        <f>BDH("FIX US Equity","CF_CASH_FROM_OPER","2016-06-30","2021-06-30","Per=Y","Days=T","Dir=V")</f>
        <v>0</v>
      </c>
      <c r="AM2">
        <f>BDH("FIX US Equity","CAPITAL_EXPEND","2016-06-30","2021-06-30","Per=Y","Days=T","Dir=V")</f>
        <v>0</v>
      </c>
      <c r="AO2">
        <f>BDH("FIX US Equity","CF_FREE_CASH_FLOW","2016-06-30","2021-06-30","Per=Y","Days=T","Dir=V")</f>
        <v>0</v>
      </c>
      <c r="AQ2">
        <f>BDH("FIX US Equity","PX_LAST","2016-06-30","2021-06-30","Per=M","Days=T","Dir=V")</f>
        <v>0</v>
      </c>
      <c r="AS2">
        <f>BDH("FIX US Equity","CUR_MKT_CAP","2016-06-30","2021-06-30","Per=M","Days=T","Dir=V")</f>
        <v>0</v>
      </c>
      <c r="AU2">
        <f>BDH("FIX US Equity","EQY_SH_OUT","2016-06-30","2021-06-30","Per=M","Days=T","Dir=V")</f>
        <v>0</v>
      </c>
      <c r="AW2">
        <f>BDH("FIX US Equity","BETA_RAW_OVERRIABLE","2016-06-30","2021-06-30","Per=M","Days=T","Dir=V")</f>
        <v>0</v>
      </c>
      <c r="AY2">
        <f>BDH("FIX US Equity","PX_VOLUME","2016-06-30","2021-06-30","Per=M","Days=T","Dir=V")</f>
        <v>0</v>
      </c>
      <c r="BA2">
        <f>BDH("FIX US Equity","TURNOVER","2016-06-30","2021-06-30","Per=M","Days=T","Dir=V")</f>
        <v>0</v>
      </c>
      <c r="BC2">
        <f>BDH("FIX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BDH("CLH US Equity","BS_TOT_ASSET","2016-06-30","2021-06-30","Per=Y","Days=T","Dir=V")</f>
        <v>0</v>
      </c>
      <c r="C2">
        <f>BDH("CLH US Equity","BS_TOT_LIAB2","2016-06-30","2021-06-30","Per=Y","Days=T","Dir=V")</f>
        <v>0</v>
      </c>
      <c r="E2">
        <f>BDH("CLH US Equity","SHORT_AND_LONG_TERM_DEBT","2016-06-30","2021-06-30","Per=Y","Days=T","Dir=V")</f>
        <v>0</v>
      </c>
      <c r="G2">
        <f>BDH("CLH US Equity","BS_ST_BORROW","2016-06-30","2021-06-30","Per=Y","Days=T","Dir=V")</f>
        <v>0</v>
      </c>
      <c r="I2">
        <f>BDH("CLH US Equity","BS_LT_BORROW","2016-06-30","2021-06-30","Per=Y","Days=T","Dir=V")</f>
        <v>0</v>
      </c>
      <c r="K2">
        <f>BDH("CLH US Equity","BS_CASH_NEAR_CASH_ITEM","2016-06-30","2021-06-30","Per=Y","Days=T","Dir=V")</f>
        <v>0</v>
      </c>
      <c r="M2">
        <f>BDH("CLH US Equity","BS_CUR_ASSET_REPORT","2016-06-30","2021-06-30","Per=Y","Days=T","Dir=V")</f>
        <v>0</v>
      </c>
      <c r="O2">
        <f>BDH("CLH US Equity","BS_CUR_LIAB","2016-06-30","2021-06-30","Per=Y","Days=T","Dir=V")</f>
        <v>0</v>
      </c>
      <c r="Q2">
        <f>BDH("CLH US Equity","BS_SHAREHOLDER_EQY_ENDING_PERIOD","2016-06-30","2021-06-30","Per=Y","Days=T","Dir=V")</f>
        <v>0</v>
      </c>
      <c r="S2">
        <f>BDH("CLH US Equity","BS_ACCT_NOTE_RCV","2016-06-30","2021-06-30","Per=Y","Days=T","Dir=V")</f>
        <v>0</v>
      </c>
      <c r="U2">
        <f>BDH("CLH US Equity","BS_INVENTORIES","2016-06-30","2021-06-30","Per=Y","Days=T","Dir=V")</f>
        <v>0</v>
      </c>
      <c r="W2">
        <f>BDH("CLH US Equity","WORKING_CAPITAL","2016-06-30","2021-06-30","Per=Y","Days=T","Dir=V")</f>
        <v>0</v>
      </c>
      <c r="Y2">
        <f>BDH("CLH US Equity","SALES_REV_TURN","2016-06-30","2021-06-30","Per=Y","Days=T","Dir=V")</f>
        <v>0</v>
      </c>
      <c r="AA2">
        <f>BDH("CLH US Equity","EBIT","2016-06-30","2021-06-30","Per=Y","Days=T","Dir=V")</f>
        <v>0</v>
      </c>
      <c r="AC2">
        <f>BDH("CLH US Equity","EBITDA","2016-06-30","2021-06-30","Per=Y","Days=T","Dir=V")</f>
        <v>0</v>
      </c>
      <c r="AE2">
        <f>BDH("CLH US Equity","NET_INCOME","2016-06-30","2021-06-30","Per=Y","Days=T","Dir=V")</f>
        <v>0</v>
      </c>
      <c r="AG2">
        <f>BDH("CLH US Equity","IS_INT_EXPENSE","2016-06-30","2021-06-30","Per=Y","Days=T","Dir=V")</f>
        <v>0</v>
      </c>
      <c r="AI2">
        <f>BDH("CLH US Equity","IS_DEPR_EXP","2016-06-30","2021-06-30","Per=Y","Days=T","Dir=V")</f>
        <v>0</v>
      </c>
      <c r="AK2">
        <f>BDH("CLH US Equity","CF_CASH_FROM_OPER","2016-06-30","2021-06-30","Per=Y","Days=T","Dir=V")</f>
        <v>0</v>
      </c>
      <c r="AM2">
        <f>BDH("CLH US Equity","CAPITAL_EXPEND","2016-06-30","2021-06-30","Per=Y","Days=T","Dir=V")</f>
        <v>0</v>
      </c>
      <c r="AO2">
        <f>BDH("CLH US Equity","CF_FREE_CASH_FLOW","2016-06-30","2021-06-30","Per=Y","Days=T","Dir=V")</f>
        <v>0</v>
      </c>
      <c r="AQ2">
        <f>BDH("CLH US Equity","PX_LAST","2016-06-30","2021-06-30","Per=M","Days=T","Dir=V")</f>
        <v>0</v>
      </c>
      <c r="AS2">
        <f>BDH("CLH US Equity","CUR_MKT_CAP","2016-06-30","2021-06-30","Per=M","Days=T","Dir=V")</f>
        <v>0</v>
      </c>
      <c r="AU2">
        <f>BDH("CLH US Equity","EQY_SH_OUT","2016-06-30","2021-06-30","Per=M","Days=T","Dir=V")</f>
        <v>0</v>
      </c>
      <c r="AW2">
        <f>BDH("CLH US Equity","BETA_RAW_OVERRIABLE","2016-06-30","2021-06-30","Per=M","Days=T","Dir=V")</f>
        <v>0</v>
      </c>
      <c r="AY2">
        <f>BDH("CLH US Equity","PX_VOLUME","2016-06-30","2021-06-30","Per=M","Days=T","Dir=V")</f>
        <v>0</v>
      </c>
      <c r="BA2">
        <f>BDH("CLH US Equity","TURNOVER","2016-06-30","2021-06-30","Per=M","Days=T","Dir=V")</f>
        <v>0</v>
      </c>
      <c r="BC2">
        <f>BDH("CLH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BDH("CHSCL US Equity","BS_TOT_ASSET","2016-06-30","2021-06-30","Per=Y","Days=T","Dir=V")</f>
        <v>0</v>
      </c>
      <c r="C2">
        <f>BDH("CHSCL US Equity","BS_TOT_LIAB2","2016-06-30","2021-06-30","Per=Y","Days=T","Dir=V")</f>
        <v>0</v>
      </c>
      <c r="E2">
        <f>BDH("CHSCL US Equity","SHORT_AND_LONG_TERM_DEBT","2016-06-30","2021-06-30","Per=Y","Days=T","Dir=V")</f>
        <v>0</v>
      </c>
      <c r="G2">
        <f>BDH("CHSCL US Equity","BS_ST_BORROW","2016-06-30","2021-06-30","Per=Y","Days=T","Dir=V")</f>
        <v>0</v>
      </c>
      <c r="I2">
        <f>BDH("CHSCL US Equity","BS_LT_BORROW","2016-06-30","2021-06-30","Per=Y","Days=T","Dir=V")</f>
        <v>0</v>
      </c>
      <c r="K2">
        <f>BDH("CHSCL US Equity","BS_CASH_NEAR_CASH_ITEM","2016-06-30","2021-06-30","Per=Y","Days=T","Dir=V")</f>
        <v>0</v>
      </c>
      <c r="M2">
        <f>BDH("CHSCL US Equity","BS_CUR_ASSET_REPORT","2016-06-30","2021-06-30","Per=Y","Days=T","Dir=V")</f>
        <v>0</v>
      </c>
      <c r="O2">
        <f>BDH("CHSCL US Equity","BS_CUR_LIAB","2016-06-30","2021-06-30","Per=Y","Days=T","Dir=V")</f>
        <v>0</v>
      </c>
      <c r="Q2">
        <f>BDH("CHSCL US Equity","BS_SHAREHOLDER_EQY_ENDING_PERIOD","2016-06-30","2021-06-30","Per=Y","Days=T","Dir=V")</f>
        <v>0</v>
      </c>
      <c r="S2">
        <f>BDH("CHSCL US Equity","BS_ACCT_NOTE_RCV","2016-06-30","2021-06-30","Per=Y","Days=T","Dir=V")</f>
        <v>0</v>
      </c>
      <c r="U2">
        <f>BDH("CHSCL US Equity","BS_INVENTORIES","2016-06-30","2021-06-30","Per=Y","Days=T","Dir=V")</f>
        <v>0</v>
      </c>
      <c r="W2">
        <f>BDH("CHSCL US Equity","WORKING_CAPITAL","2016-06-30","2021-06-30","Per=Y","Days=T","Dir=V")</f>
        <v>0</v>
      </c>
      <c r="Y2">
        <f>BDH("CHSCL US Equity","SALES_REV_TURN","2016-06-30","2021-06-30","Per=Y","Days=T","Dir=V")</f>
        <v>0</v>
      </c>
      <c r="AA2">
        <f>BDH("CHSCL US Equity","EBIT","2016-06-30","2021-06-30","Per=Y","Days=T","Dir=V")</f>
        <v>0</v>
      </c>
      <c r="AC2">
        <f>BDH("CHSCL US Equity","EBITDA","2016-06-30","2021-06-30","Per=Y","Days=T","Dir=V")</f>
        <v>0</v>
      </c>
      <c r="AE2">
        <f>BDH("CHSCL US Equity","NET_INCOME","2016-06-30","2021-06-30","Per=Y","Days=T","Dir=V")</f>
        <v>0</v>
      </c>
      <c r="AG2">
        <f>BDH("CHSCL US Equity","IS_INT_EXPENSE","2016-06-30","2021-06-30","Per=Y","Days=T","Dir=V")</f>
        <v>0</v>
      </c>
      <c r="AI2">
        <f>BDH("CHSCL US Equity","IS_DEPR_EXP","2016-06-30","2021-06-30","Per=Y","Days=T","Dir=V")</f>
        <v>0</v>
      </c>
      <c r="AK2">
        <f>BDH("CHSCL US Equity","CF_CASH_FROM_OPER","2016-06-30","2021-06-30","Per=Y","Days=T","Dir=V")</f>
        <v>0</v>
      </c>
      <c r="AM2">
        <f>BDH("CHSCL US Equity","CAPITAL_EXPEND","2016-06-30","2021-06-30","Per=Y","Days=T","Dir=V")</f>
        <v>0</v>
      </c>
      <c r="AO2">
        <f>BDH("CHSCL US Equity","CF_FREE_CASH_FLOW","2016-06-30","2021-06-30","Per=Y","Days=T","Dir=V")</f>
        <v>0</v>
      </c>
      <c r="AQ2">
        <f>BDH("CHSCL US Equity","PX_LAST","2016-06-30","2021-06-30","Per=M","Days=T","Dir=V")</f>
        <v>0</v>
      </c>
      <c r="AS2">
        <f>BDH("CHSCL US Equity","CUR_MKT_CAP","2016-06-30","2021-06-30","Per=M","Days=T","Dir=V")</f>
        <v>0</v>
      </c>
      <c r="AU2">
        <f>BDH("CHSCL US Equity","EQY_SH_OUT","2016-06-30","2021-06-30","Per=M","Days=T","Dir=V")</f>
        <v>0</v>
      </c>
      <c r="AW2">
        <f>BDH("CHSCL US Equity","BETA_RAW_OVERRIABLE","2016-06-30","2021-06-30","Per=M","Days=T","Dir=V")</f>
        <v>0</v>
      </c>
      <c r="AY2">
        <f>BDH("CHSCL US Equity","PX_VOLUME","2016-06-30","2021-06-30","Per=M","Days=T","Dir=V")</f>
        <v>0</v>
      </c>
      <c r="BA2">
        <f>BDH("CHSCL US Equity","TURNOVER","2016-06-30","2021-06-30","Per=M","Days=T","Dir=V")</f>
        <v>0</v>
      </c>
      <c r="BC2">
        <f>BDH("CHSCL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BDH("AP US Equity","BS_TOT_ASSET","2016-06-30","2021-06-30","Per=Y","Days=T","Dir=V")</f>
        <v>0</v>
      </c>
      <c r="C2">
        <f>BDH("AP US Equity","BS_TOT_LIAB2","2016-06-30","2021-06-30","Per=Y","Days=T","Dir=V")</f>
        <v>0</v>
      </c>
      <c r="E2">
        <f>BDH("AP US Equity","SHORT_AND_LONG_TERM_DEBT","2016-06-30","2021-06-30","Per=Y","Days=T","Dir=V")</f>
        <v>0</v>
      </c>
      <c r="G2">
        <f>BDH("AP US Equity","BS_ST_BORROW","2016-06-30","2021-06-30","Per=Y","Days=T","Dir=V")</f>
        <v>0</v>
      </c>
      <c r="I2">
        <f>BDH("AP US Equity","BS_LT_BORROW","2016-06-30","2021-06-30","Per=Y","Days=T","Dir=V")</f>
        <v>0</v>
      </c>
      <c r="K2">
        <f>BDH("AP US Equity","BS_CASH_NEAR_CASH_ITEM","2016-06-30","2021-06-30","Per=Y","Days=T","Dir=V")</f>
        <v>0</v>
      </c>
      <c r="M2">
        <f>BDH("AP US Equity","BS_CUR_ASSET_REPORT","2016-06-30","2021-06-30","Per=Y","Days=T","Dir=V")</f>
        <v>0</v>
      </c>
      <c r="O2">
        <f>BDH("AP US Equity","BS_CUR_LIAB","2016-06-30","2021-06-30","Per=Y","Days=T","Dir=V")</f>
        <v>0</v>
      </c>
      <c r="Q2">
        <f>BDH("AP US Equity","BS_SHAREHOLDER_EQY_ENDING_PERIOD","2016-06-30","2021-06-30","Per=Y","Days=T","Dir=V")</f>
        <v>0</v>
      </c>
      <c r="S2">
        <f>BDH("AP US Equity","BS_ACCT_NOTE_RCV","2016-06-30","2021-06-30","Per=Y","Days=T","Dir=V")</f>
        <v>0</v>
      </c>
      <c r="U2">
        <f>BDH("AP US Equity","BS_INVENTORIES","2016-06-30","2021-06-30","Per=Y","Days=T","Dir=V")</f>
        <v>0</v>
      </c>
      <c r="W2">
        <f>BDH("AP US Equity","WORKING_CAPITAL","2016-06-30","2021-06-30","Per=Y","Days=T","Dir=V")</f>
        <v>0</v>
      </c>
      <c r="Y2">
        <f>BDH("AP US Equity","SALES_REV_TURN","2016-06-30","2021-06-30","Per=Y","Days=T","Dir=V")</f>
        <v>0</v>
      </c>
      <c r="AA2">
        <f>BDH("AP US Equity","EBIT","2016-06-30","2021-06-30","Per=Y","Days=T","Dir=V")</f>
        <v>0</v>
      </c>
      <c r="AC2">
        <f>BDH("AP US Equity","EBITDA","2016-06-30","2021-06-30","Per=Y","Days=T","Dir=V")</f>
        <v>0</v>
      </c>
      <c r="AE2">
        <f>BDH("AP US Equity","NET_INCOME","2016-06-30","2021-06-30","Per=Y","Days=T","Dir=V")</f>
        <v>0</v>
      </c>
      <c r="AG2">
        <f>BDH("AP US Equity","IS_INT_EXPENSE","2016-06-30","2021-06-30","Per=Y","Days=T","Dir=V")</f>
        <v>0</v>
      </c>
      <c r="AI2">
        <f>BDH("AP US Equity","IS_DEPR_EXP","2016-06-30","2021-06-30","Per=Y","Days=T","Dir=V")</f>
        <v>0</v>
      </c>
      <c r="AK2">
        <f>BDH("AP US Equity","CF_CASH_FROM_OPER","2016-06-30","2021-06-30","Per=Y","Days=T","Dir=V")</f>
        <v>0</v>
      </c>
      <c r="AM2">
        <f>BDH("AP US Equity","CAPITAL_EXPEND","2016-06-30","2021-06-30","Per=Y","Days=T","Dir=V")</f>
        <v>0</v>
      </c>
      <c r="AO2">
        <f>BDH("AP US Equity","CF_FREE_CASH_FLOW","2016-06-30","2021-06-30","Per=Y","Days=T","Dir=V")</f>
        <v>0</v>
      </c>
      <c r="AQ2">
        <f>BDH("AP US Equity","PX_LAST","2016-06-30","2021-06-30","Per=M","Days=T","Dir=V")</f>
        <v>0</v>
      </c>
      <c r="AS2">
        <f>BDH("AP US Equity","CUR_MKT_CAP","2016-06-30","2021-06-30","Per=M","Days=T","Dir=V")</f>
        <v>0</v>
      </c>
      <c r="AU2">
        <f>BDH("AP US Equity","EQY_SH_OUT","2016-06-30","2021-06-30","Per=M","Days=T","Dir=V")</f>
        <v>0</v>
      </c>
      <c r="AW2">
        <f>BDH("AP US Equity","BETA_RAW_OVERRIABLE","2016-06-30","2021-06-30","Per=M","Days=T","Dir=V")</f>
        <v>0</v>
      </c>
      <c r="AY2">
        <f>BDH("AP US Equity","PX_VOLUME","2016-06-30","2021-06-30","Per=M","Days=T","Dir=V")</f>
        <v>0</v>
      </c>
      <c r="BA2">
        <f>BDH("AP US Equity","TURNOVER","2016-06-30","2021-06-30","Per=M","Days=T","Dir=V")</f>
        <v>0</v>
      </c>
      <c r="BC2">
        <f>BDH("AP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BDH("CTAS US Equity","BS_TOT_ASSET","2016-06-30","2021-06-30","Per=Y","Days=T","Dir=V")</f>
        <v>0</v>
      </c>
      <c r="C2">
        <f>BDH("CTAS US Equity","BS_TOT_LIAB2","2016-06-30","2021-06-30","Per=Y","Days=T","Dir=V")</f>
        <v>0</v>
      </c>
      <c r="E2">
        <f>BDH("CTAS US Equity","SHORT_AND_LONG_TERM_DEBT","2016-06-30","2021-06-30","Per=Y","Days=T","Dir=V")</f>
        <v>0</v>
      </c>
      <c r="G2">
        <f>BDH("CTAS US Equity","BS_ST_BORROW","2016-06-30","2021-06-30","Per=Y","Days=T","Dir=V")</f>
        <v>0</v>
      </c>
      <c r="I2">
        <f>BDH("CTAS US Equity","BS_LT_BORROW","2016-06-30","2021-06-30","Per=Y","Days=T","Dir=V")</f>
        <v>0</v>
      </c>
      <c r="K2">
        <f>BDH("CTAS US Equity","BS_CASH_NEAR_CASH_ITEM","2016-06-30","2021-06-30","Per=Y","Days=T","Dir=V")</f>
        <v>0</v>
      </c>
      <c r="M2">
        <f>BDH("CTAS US Equity","BS_CUR_ASSET_REPORT","2016-06-30","2021-06-30","Per=Y","Days=T","Dir=V")</f>
        <v>0</v>
      </c>
      <c r="O2">
        <f>BDH("CTAS US Equity","BS_CUR_LIAB","2016-06-30","2021-06-30","Per=Y","Days=T","Dir=V")</f>
        <v>0</v>
      </c>
      <c r="Q2">
        <f>BDH("CTAS US Equity","BS_SHAREHOLDER_EQY_ENDING_PERIOD","2016-06-30","2021-06-30","Per=Y","Days=T","Dir=V")</f>
        <v>0</v>
      </c>
      <c r="S2">
        <f>BDH("CTAS US Equity","BS_ACCT_NOTE_RCV","2016-06-30","2021-06-30","Per=Y","Days=T","Dir=V")</f>
        <v>0</v>
      </c>
      <c r="U2">
        <f>BDH("CTAS US Equity","BS_INVENTORIES","2016-06-30","2021-06-30","Per=Y","Days=T","Dir=V")</f>
        <v>0</v>
      </c>
      <c r="W2">
        <f>BDH("CTAS US Equity","WORKING_CAPITAL","2016-06-30","2021-06-30","Per=Y","Days=T","Dir=V")</f>
        <v>0</v>
      </c>
      <c r="Y2">
        <f>BDH("CTAS US Equity","SALES_REV_TURN","2016-06-30","2021-06-30","Per=Y","Days=T","Dir=V")</f>
        <v>0</v>
      </c>
      <c r="AA2">
        <f>BDH("CTAS US Equity","EBIT","2016-06-30","2021-06-30","Per=Y","Days=T","Dir=V")</f>
        <v>0</v>
      </c>
      <c r="AC2">
        <f>BDH("CTAS US Equity","EBITDA","2016-06-30","2021-06-30","Per=Y","Days=T","Dir=V")</f>
        <v>0</v>
      </c>
      <c r="AE2">
        <f>BDH("CTAS US Equity","NET_INCOME","2016-06-30","2021-06-30","Per=Y","Days=T","Dir=V")</f>
        <v>0</v>
      </c>
      <c r="AG2">
        <f>BDH("CTAS US Equity","IS_INT_EXPENSE","2016-06-30","2021-06-30","Per=Y","Days=T","Dir=V")</f>
        <v>0</v>
      </c>
      <c r="AI2">
        <f>BDH("CTAS US Equity","IS_DEPR_EXP","2016-06-30","2021-06-30","Per=Y","Days=T","Dir=V")</f>
        <v>0</v>
      </c>
      <c r="AK2">
        <f>BDH("CTAS US Equity","CF_CASH_FROM_OPER","2016-06-30","2021-06-30","Per=Y","Days=T","Dir=V")</f>
        <v>0</v>
      </c>
      <c r="AM2">
        <f>BDH("CTAS US Equity","CAPITAL_EXPEND","2016-06-30","2021-06-30","Per=Y","Days=T","Dir=V")</f>
        <v>0</v>
      </c>
      <c r="AO2">
        <f>BDH("CTAS US Equity","CF_FREE_CASH_FLOW","2016-06-30","2021-06-30","Per=Y","Days=T","Dir=V")</f>
        <v>0</v>
      </c>
      <c r="AQ2">
        <f>BDH("CTAS US Equity","PX_LAST","2016-06-30","2021-06-30","Per=M","Days=T","Dir=V")</f>
        <v>0</v>
      </c>
      <c r="AS2">
        <f>BDH("CTAS US Equity","CUR_MKT_CAP","2016-06-30","2021-06-30","Per=M","Days=T","Dir=V")</f>
        <v>0</v>
      </c>
      <c r="AU2">
        <f>BDH("CTAS US Equity","EQY_SH_OUT","2016-06-30","2021-06-30","Per=M","Days=T","Dir=V")</f>
        <v>0</v>
      </c>
      <c r="AW2">
        <f>BDH("CTAS US Equity","BETA_RAW_OVERRIABLE","2016-06-30","2021-06-30","Per=M","Days=T","Dir=V")</f>
        <v>0</v>
      </c>
      <c r="AY2">
        <f>BDH("CTAS US Equity","PX_VOLUME","2016-06-30","2021-06-30","Per=M","Days=T","Dir=V")</f>
        <v>0</v>
      </c>
      <c r="BA2">
        <f>BDH("CTAS US Equity","TURNOVER","2016-06-30","2021-06-30","Per=M","Days=T","Dir=V")</f>
        <v>0</v>
      </c>
      <c r="BC2">
        <f>BDH("CTAS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BDH("FUL US Equity","BS_TOT_ASSET","2016-06-30","2021-06-30","Per=Y","Days=T","Dir=V")</f>
        <v>0</v>
      </c>
      <c r="C2">
        <f>BDH("FUL US Equity","BS_TOT_LIAB2","2016-06-30","2021-06-30","Per=Y","Days=T","Dir=V")</f>
        <v>0</v>
      </c>
      <c r="E2">
        <f>BDH("FUL US Equity","SHORT_AND_LONG_TERM_DEBT","2016-06-30","2021-06-30","Per=Y","Days=T","Dir=V")</f>
        <v>0</v>
      </c>
      <c r="G2">
        <f>BDH("FUL US Equity","BS_ST_BORROW","2016-06-30","2021-06-30","Per=Y","Days=T","Dir=V")</f>
        <v>0</v>
      </c>
      <c r="I2">
        <f>BDH("FUL US Equity","BS_LT_BORROW","2016-06-30","2021-06-30","Per=Y","Days=T","Dir=V")</f>
        <v>0</v>
      </c>
      <c r="K2">
        <f>BDH("FUL US Equity","BS_CASH_NEAR_CASH_ITEM","2016-06-30","2021-06-30","Per=Y","Days=T","Dir=V")</f>
        <v>0</v>
      </c>
      <c r="M2">
        <f>BDH("FUL US Equity","BS_CUR_ASSET_REPORT","2016-06-30","2021-06-30","Per=Y","Days=T","Dir=V")</f>
        <v>0</v>
      </c>
      <c r="O2">
        <f>BDH("FUL US Equity","BS_CUR_LIAB","2016-06-30","2021-06-30","Per=Y","Days=T","Dir=V")</f>
        <v>0</v>
      </c>
      <c r="Q2">
        <f>BDH("FUL US Equity","BS_SHAREHOLDER_EQY_ENDING_PERIOD","2016-06-30","2021-06-30","Per=Y","Days=T","Dir=V")</f>
        <v>0</v>
      </c>
      <c r="S2">
        <f>BDH("FUL US Equity","BS_ACCT_NOTE_RCV","2016-06-30","2021-06-30","Per=Y","Days=T","Dir=V")</f>
        <v>0</v>
      </c>
      <c r="U2">
        <f>BDH("FUL US Equity","BS_INVENTORIES","2016-06-30","2021-06-30","Per=Y","Days=T","Dir=V")</f>
        <v>0</v>
      </c>
      <c r="W2">
        <f>BDH("FUL US Equity","WORKING_CAPITAL","2016-06-30","2021-06-30","Per=Y","Days=T","Dir=V")</f>
        <v>0</v>
      </c>
      <c r="Y2">
        <f>BDH("FUL US Equity","SALES_REV_TURN","2016-06-30","2021-06-30","Per=Y","Days=T","Dir=V")</f>
        <v>0</v>
      </c>
      <c r="AA2">
        <f>BDH("FUL US Equity","EBIT","2016-06-30","2021-06-30","Per=Y","Days=T","Dir=V")</f>
        <v>0</v>
      </c>
      <c r="AC2">
        <f>BDH("FUL US Equity","EBITDA","2016-06-30","2021-06-30","Per=Y","Days=T","Dir=V")</f>
        <v>0</v>
      </c>
      <c r="AE2">
        <f>BDH("FUL US Equity","NET_INCOME","2016-06-30","2021-06-30","Per=Y","Days=T","Dir=V")</f>
        <v>0</v>
      </c>
      <c r="AG2">
        <f>BDH("FUL US Equity","IS_INT_EXPENSE","2016-06-30","2021-06-30","Per=Y","Days=T","Dir=V")</f>
        <v>0</v>
      </c>
      <c r="AI2">
        <f>BDH("FUL US Equity","IS_DEPR_EXP","2016-06-30","2021-06-30","Per=Y","Days=T","Dir=V")</f>
        <v>0</v>
      </c>
      <c r="AK2">
        <f>BDH("FUL US Equity","CF_CASH_FROM_OPER","2016-06-30","2021-06-30","Per=Y","Days=T","Dir=V")</f>
        <v>0</v>
      </c>
      <c r="AM2">
        <f>BDH("FUL US Equity","CAPITAL_EXPEND","2016-06-30","2021-06-30","Per=Y","Days=T","Dir=V")</f>
        <v>0</v>
      </c>
      <c r="AO2">
        <f>BDH("FUL US Equity","CF_FREE_CASH_FLOW","2016-06-30","2021-06-30","Per=Y","Days=T","Dir=V")</f>
        <v>0</v>
      </c>
      <c r="AQ2">
        <f>BDH("FUL US Equity","PX_LAST","2016-06-30","2021-06-30","Per=M","Days=T","Dir=V")</f>
        <v>0</v>
      </c>
      <c r="AS2">
        <f>BDH("FUL US Equity","CUR_MKT_CAP","2016-06-30","2021-06-30","Per=M","Days=T","Dir=V")</f>
        <v>0</v>
      </c>
      <c r="AU2">
        <f>BDH("FUL US Equity","EQY_SH_OUT","2016-06-30","2021-06-30","Per=M","Days=T","Dir=V")</f>
        <v>0</v>
      </c>
      <c r="AW2">
        <f>BDH("FUL US Equity","BETA_RAW_OVERRIABLE","2016-06-30","2021-06-30","Per=M","Days=T","Dir=V")</f>
        <v>0</v>
      </c>
      <c r="AY2">
        <f>BDH("FUL US Equity","PX_VOLUME","2016-06-30","2021-06-30","Per=M","Days=T","Dir=V")</f>
        <v>0</v>
      </c>
      <c r="BA2">
        <f>BDH("FUL US Equity","TURNOVER","2016-06-30","2021-06-30","Per=M","Days=T","Dir=V")</f>
        <v>0</v>
      </c>
      <c r="BC2">
        <f>BDH("FUL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BDH("WGO US Equity","BS_TOT_ASSET","2016-06-30","2021-06-30","Per=Y","Days=T","Dir=V")</f>
        <v>0</v>
      </c>
      <c r="C2">
        <f>BDH("WGO US Equity","BS_TOT_LIAB2","2016-06-30","2021-06-30","Per=Y","Days=T","Dir=V")</f>
        <v>0</v>
      </c>
      <c r="E2">
        <f>BDH("WGO US Equity","SHORT_AND_LONG_TERM_DEBT","2016-06-30","2021-06-30","Per=Y","Days=T","Dir=V")</f>
        <v>0</v>
      </c>
      <c r="G2">
        <f>BDH("WGO US Equity","BS_ST_BORROW","2016-06-30","2021-06-30","Per=Y","Days=T","Dir=V")</f>
        <v>0</v>
      </c>
      <c r="I2">
        <f>BDH("WGO US Equity","BS_LT_BORROW","2016-06-30","2021-06-30","Per=Y","Days=T","Dir=V")</f>
        <v>0</v>
      </c>
      <c r="K2">
        <f>BDH("WGO US Equity","BS_CASH_NEAR_CASH_ITEM","2016-06-30","2021-06-30","Per=Y","Days=T","Dir=V")</f>
        <v>0</v>
      </c>
      <c r="M2">
        <f>BDH("WGO US Equity","BS_CUR_ASSET_REPORT","2016-06-30","2021-06-30","Per=Y","Days=T","Dir=V")</f>
        <v>0</v>
      </c>
      <c r="O2">
        <f>BDH("WGO US Equity","BS_CUR_LIAB","2016-06-30","2021-06-30","Per=Y","Days=T","Dir=V")</f>
        <v>0</v>
      </c>
      <c r="Q2">
        <f>BDH("WGO US Equity","BS_SHAREHOLDER_EQY_ENDING_PERIOD","2016-06-30","2021-06-30","Per=Y","Days=T","Dir=V")</f>
        <v>0</v>
      </c>
      <c r="S2">
        <f>BDH("WGO US Equity","BS_ACCT_NOTE_RCV","2016-06-30","2021-06-30","Per=Y","Days=T","Dir=V")</f>
        <v>0</v>
      </c>
      <c r="U2">
        <f>BDH("WGO US Equity","BS_INVENTORIES","2016-06-30","2021-06-30","Per=Y","Days=T","Dir=V")</f>
        <v>0</v>
      </c>
      <c r="W2">
        <f>BDH("WGO US Equity","WORKING_CAPITAL","2016-06-30","2021-06-30","Per=Y","Days=T","Dir=V")</f>
        <v>0</v>
      </c>
      <c r="Y2">
        <f>BDH("WGO US Equity","SALES_REV_TURN","2016-06-30","2021-06-30","Per=Y","Days=T","Dir=V")</f>
        <v>0</v>
      </c>
      <c r="AA2">
        <f>BDH("WGO US Equity","EBIT","2016-06-30","2021-06-30","Per=Y","Days=T","Dir=V")</f>
        <v>0</v>
      </c>
      <c r="AC2">
        <f>BDH("WGO US Equity","EBITDA","2016-06-30","2021-06-30","Per=Y","Days=T","Dir=V")</f>
        <v>0</v>
      </c>
      <c r="AE2">
        <f>BDH("WGO US Equity","NET_INCOME","2016-06-30","2021-06-30","Per=Y","Days=T","Dir=V")</f>
        <v>0</v>
      </c>
      <c r="AG2">
        <f>BDH("WGO US Equity","IS_INT_EXPENSE","2016-06-30","2021-06-30","Per=Y","Days=T","Dir=V")</f>
        <v>0</v>
      </c>
      <c r="AI2">
        <f>BDH("WGO US Equity","IS_DEPR_EXP","2016-06-30","2021-06-30","Per=Y","Days=T","Dir=V")</f>
        <v>0</v>
      </c>
      <c r="AK2">
        <f>BDH("WGO US Equity","CF_CASH_FROM_OPER","2016-06-30","2021-06-30","Per=Y","Days=T","Dir=V")</f>
        <v>0</v>
      </c>
      <c r="AM2">
        <f>BDH("WGO US Equity","CAPITAL_EXPEND","2016-06-30","2021-06-30","Per=Y","Days=T","Dir=V")</f>
        <v>0</v>
      </c>
      <c r="AO2">
        <f>BDH("WGO US Equity","CF_FREE_CASH_FLOW","2016-06-30","2021-06-30","Per=Y","Days=T","Dir=V")</f>
        <v>0</v>
      </c>
      <c r="AQ2">
        <f>BDH("WGO US Equity","PX_LAST","2016-06-30","2021-06-30","Per=M","Days=T","Dir=V")</f>
        <v>0</v>
      </c>
      <c r="AS2">
        <f>BDH("WGO US Equity","CUR_MKT_CAP","2016-06-30","2021-06-30","Per=M","Days=T","Dir=V")</f>
        <v>0</v>
      </c>
      <c r="AU2">
        <f>BDH("WGO US Equity","EQY_SH_OUT","2016-06-30","2021-06-30","Per=M","Days=T","Dir=V")</f>
        <v>0</v>
      </c>
      <c r="AW2">
        <f>BDH("WGO US Equity","BETA_RAW_OVERRIABLE","2016-06-30","2021-06-30","Per=M","Days=T","Dir=V")</f>
        <v>0</v>
      </c>
      <c r="AY2">
        <f>BDH("WGO US Equity","PX_VOLUME","2016-06-30","2021-06-30","Per=M","Days=T","Dir=V")</f>
        <v>0</v>
      </c>
      <c r="BA2">
        <f>BDH("WGO US Equity","TURNOVER","2016-06-30","2021-06-30","Per=M","Days=T","Dir=V")</f>
        <v>0</v>
      </c>
      <c r="BC2">
        <f>BDH("WGO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BDH("AAON US Equity","BS_TOT_ASSET","2016-06-30","2021-06-30","Per=Y","Days=T","Dir=V")</f>
        <v>0</v>
      </c>
      <c r="C2">
        <f>BDH("AAON US Equity","BS_TOT_LIAB2","2016-06-30","2021-06-30","Per=Y","Days=T","Dir=V")</f>
        <v>0</v>
      </c>
      <c r="E2">
        <f>BDH("AAON US Equity","SHORT_AND_LONG_TERM_DEBT","2016-06-30","2021-06-30","Per=Y","Days=T","Dir=V")</f>
        <v>0</v>
      </c>
      <c r="G2">
        <f>BDH("AAON US Equity","BS_ST_BORROW","2016-06-30","2021-06-30","Per=Y","Days=T","Dir=V")</f>
        <v>0</v>
      </c>
      <c r="I2">
        <f>BDH("AAON US Equity","BS_LT_BORROW","2016-06-30","2021-06-30","Per=Y","Days=T","Dir=V")</f>
        <v>0</v>
      </c>
      <c r="K2">
        <f>BDH("AAON US Equity","BS_CASH_NEAR_CASH_ITEM","2016-06-30","2021-06-30","Per=Y","Days=T","Dir=V")</f>
        <v>0</v>
      </c>
      <c r="M2">
        <f>BDH("AAON US Equity","BS_CUR_ASSET_REPORT","2016-06-30","2021-06-30","Per=Y","Days=T","Dir=V")</f>
        <v>0</v>
      </c>
      <c r="O2">
        <f>BDH("AAON US Equity","BS_CUR_LIAB","2016-06-30","2021-06-30","Per=Y","Days=T","Dir=V")</f>
        <v>0</v>
      </c>
      <c r="Q2">
        <f>BDH("AAON US Equity","BS_SHAREHOLDER_EQY_ENDING_PERIOD","2016-06-30","2021-06-30","Per=Y","Days=T","Dir=V")</f>
        <v>0</v>
      </c>
      <c r="S2">
        <f>BDH("AAON US Equity","BS_ACCT_NOTE_RCV","2016-06-30","2021-06-30","Per=Y","Days=T","Dir=V")</f>
        <v>0</v>
      </c>
      <c r="U2">
        <f>BDH("AAON US Equity","BS_INVENTORIES","2016-06-30","2021-06-30","Per=Y","Days=T","Dir=V")</f>
        <v>0</v>
      </c>
      <c r="W2">
        <f>BDH("AAON US Equity","WORKING_CAPITAL","2016-06-30","2021-06-30","Per=Y","Days=T","Dir=V")</f>
        <v>0</v>
      </c>
      <c r="Y2">
        <f>BDH("AAON US Equity","SALES_REV_TURN","2016-06-30","2021-06-30","Per=Y","Days=T","Dir=V")</f>
        <v>0</v>
      </c>
      <c r="AA2">
        <f>BDH("AAON US Equity","EBIT","2016-06-30","2021-06-30","Per=Y","Days=T","Dir=V")</f>
        <v>0</v>
      </c>
      <c r="AC2">
        <f>BDH("AAON US Equity","EBITDA","2016-06-30","2021-06-30","Per=Y","Days=T","Dir=V")</f>
        <v>0</v>
      </c>
      <c r="AE2">
        <f>BDH("AAON US Equity","NET_INCOME","2016-06-30","2021-06-30","Per=Y","Days=T","Dir=V")</f>
        <v>0</v>
      </c>
      <c r="AG2">
        <f>BDH("AAON US Equity","IS_INT_EXPENSE","2016-06-30","2021-06-30","Per=Y","Days=T","Dir=V")</f>
        <v>0</v>
      </c>
      <c r="AI2">
        <f>BDH("AAON US Equity","IS_DEPR_EXP","2016-06-30","2021-06-30","Per=Y","Days=T","Dir=V")</f>
        <v>0</v>
      </c>
      <c r="AK2">
        <f>BDH("AAON US Equity","CF_CASH_FROM_OPER","2016-06-30","2021-06-30","Per=Y","Days=T","Dir=V")</f>
        <v>0</v>
      </c>
      <c r="AM2">
        <f>BDH("AAON US Equity","CAPITAL_EXPEND","2016-06-30","2021-06-30","Per=Y","Days=T","Dir=V")</f>
        <v>0</v>
      </c>
      <c r="AO2">
        <f>BDH("AAON US Equity","CF_FREE_CASH_FLOW","2016-06-30","2021-06-30","Per=Y","Days=T","Dir=V")</f>
        <v>0</v>
      </c>
      <c r="AQ2">
        <f>BDH("AAON US Equity","PX_LAST","2016-06-30","2021-06-30","Per=M","Days=T","Dir=V")</f>
        <v>0</v>
      </c>
      <c r="AS2">
        <f>BDH("AAON US Equity","CUR_MKT_CAP","2016-06-30","2021-06-30","Per=M","Days=T","Dir=V")</f>
        <v>0</v>
      </c>
      <c r="AU2">
        <f>BDH("AAON US Equity","EQY_SH_OUT","2016-06-30","2021-06-30","Per=M","Days=T","Dir=V")</f>
        <v>0</v>
      </c>
      <c r="AW2">
        <f>BDH("AAON US Equity","BETA_RAW_OVERRIABLE","2016-06-30","2021-06-30","Per=M","Days=T","Dir=V")</f>
        <v>0</v>
      </c>
      <c r="AY2">
        <f>BDH("AAON US Equity","PX_VOLUME","2016-06-30","2021-06-30","Per=M","Days=T","Dir=V")</f>
        <v>0</v>
      </c>
      <c r="BA2">
        <f>BDH("AAON US Equity","TURNOVER","2016-06-30","2021-06-30","Per=M","Days=T","Dir=V")</f>
        <v>0</v>
      </c>
      <c r="BC2">
        <f>BDH("AAON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BDH("CARR US Equity","BS_TOT_ASSET","2016-06-30","2021-06-30","Per=Y","Days=T","Dir=V")</f>
        <v>0</v>
      </c>
      <c r="C2">
        <f>BDH("CARR US Equity","BS_TOT_LIAB2","2016-06-30","2021-06-30","Per=Y","Days=T","Dir=V")</f>
        <v>0</v>
      </c>
      <c r="E2">
        <f>BDH("CARR US Equity","SHORT_AND_LONG_TERM_DEBT","2016-06-30","2021-06-30","Per=Y","Days=T","Dir=V")</f>
        <v>0</v>
      </c>
      <c r="G2">
        <f>BDH("CARR US Equity","BS_ST_BORROW","2016-06-30","2021-06-30","Per=Y","Days=T","Dir=V")</f>
        <v>0</v>
      </c>
      <c r="I2">
        <f>BDH("CARR US Equity","BS_LT_BORROW","2016-06-30","2021-06-30","Per=Y","Days=T","Dir=V")</f>
        <v>0</v>
      </c>
      <c r="K2">
        <f>BDH("CARR US Equity","BS_CASH_NEAR_CASH_ITEM","2016-06-30","2021-06-30","Per=Y","Days=T","Dir=V")</f>
        <v>0</v>
      </c>
      <c r="M2">
        <f>BDH("CARR US Equity","BS_CUR_ASSET_REPORT","2016-06-30","2021-06-30","Per=Y","Days=T","Dir=V")</f>
        <v>0</v>
      </c>
      <c r="O2">
        <f>BDH("CARR US Equity","BS_CUR_LIAB","2016-06-30","2021-06-30","Per=Y","Days=T","Dir=V")</f>
        <v>0</v>
      </c>
      <c r="Q2">
        <f>BDH("CARR US Equity","BS_SHAREHOLDER_EQY_ENDING_PERIOD","2016-06-30","2021-06-30","Per=Y","Days=T","Dir=V")</f>
        <v>0</v>
      </c>
      <c r="S2">
        <f>BDH("CARR US Equity","BS_ACCT_NOTE_RCV","2016-06-30","2021-06-30","Per=Y","Days=T","Dir=V")</f>
        <v>0</v>
      </c>
      <c r="U2">
        <f>BDH("CARR US Equity","BS_INVENTORIES","2016-06-30","2021-06-30","Per=Y","Days=T","Dir=V")</f>
        <v>0</v>
      </c>
      <c r="W2">
        <f>BDH("CARR US Equity","WORKING_CAPITAL","2016-06-30","2021-06-30","Per=Y","Days=T","Dir=V")</f>
        <v>0</v>
      </c>
      <c r="Y2">
        <f>BDH("CARR US Equity","SALES_REV_TURN","2016-06-30","2021-06-30","Per=Y","Days=T","Dir=V")</f>
        <v>0</v>
      </c>
      <c r="AA2">
        <f>BDH("CARR US Equity","EBIT","2016-06-30","2021-06-30","Per=Y","Days=T","Dir=V")</f>
        <v>0</v>
      </c>
      <c r="AC2">
        <f>BDH("CARR US Equity","EBITDA","2016-06-30","2021-06-30","Per=Y","Days=T","Dir=V")</f>
        <v>0</v>
      </c>
      <c r="AE2">
        <f>BDH("CARR US Equity","NET_INCOME","2016-06-30","2021-06-30","Per=Y","Days=T","Dir=V")</f>
        <v>0</v>
      </c>
      <c r="AG2">
        <f>BDH("CARR US Equity","IS_INT_EXPENSE","2016-06-30","2021-06-30","Per=Y","Days=T","Dir=V")</f>
        <v>0</v>
      </c>
      <c r="AI2">
        <f>BDH("CARR US Equity","IS_DEPR_EXP","2016-06-30","2021-06-30","Per=Y","Days=T","Dir=V")</f>
        <v>0</v>
      </c>
      <c r="AK2">
        <f>BDH("CARR US Equity","CF_CASH_FROM_OPER","2016-06-30","2021-06-30","Per=Y","Days=T","Dir=V")</f>
        <v>0</v>
      </c>
      <c r="AM2">
        <f>BDH("CARR US Equity","CAPITAL_EXPEND","2016-06-30","2021-06-30","Per=Y","Days=T","Dir=V")</f>
        <v>0</v>
      </c>
      <c r="AO2">
        <f>BDH("CARR US Equity","CF_FREE_CASH_FLOW","2016-06-30","2021-06-30","Per=Y","Days=T","Dir=V")</f>
        <v>0</v>
      </c>
      <c r="AQ2">
        <f>BDH("CARR US Equity","PX_LAST","2016-06-30","2021-06-30","Per=M","Days=T","Dir=V")</f>
        <v>0</v>
      </c>
      <c r="AS2">
        <f>BDH("CARR US Equity","CUR_MKT_CAP","2016-06-30","2021-06-30","Per=M","Days=T","Dir=V")</f>
        <v>0</v>
      </c>
      <c r="AU2">
        <f>BDH("CARR US Equity","EQY_SH_OUT","2016-06-30","2021-06-30","Per=M","Days=T","Dir=V")</f>
        <v>0</v>
      </c>
      <c r="AW2">
        <f>BDH("CARR US Equity","BETA_RAW_OVERRIABLE","2016-06-30","2021-06-30","Per=M","Days=T","Dir=V")</f>
        <v>0</v>
      </c>
      <c r="AY2">
        <f>BDH("CARR US Equity","PX_VOLUME","2016-06-30","2021-06-30","Per=M","Days=T","Dir=V")</f>
        <v>0</v>
      </c>
      <c r="BA2">
        <f>BDH("CARR US Equity","TURNOVER","2016-06-30","2021-06-30","Per=M","Days=T","Dir=V")</f>
        <v>0</v>
      </c>
      <c r="BC2">
        <f>BDH("CARR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BDH("DE US Equity","BS_TOT_ASSET","2016-06-30","2021-06-30","Per=Y","Days=T","Dir=V")</f>
        <v>0</v>
      </c>
      <c r="C2">
        <f>BDH("DE US Equity","BS_TOT_LIAB2","2016-06-30","2021-06-30","Per=Y","Days=T","Dir=V")</f>
        <v>0</v>
      </c>
      <c r="E2">
        <f>BDH("DE US Equity","SHORT_AND_LONG_TERM_DEBT","2016-06-30","2021-06-30","Per=Y","Days=T","Dir=V")</f>
        <v>0</v>
      </c>
      <c r="G2">
        <f>BDH("DE US Equity","BS_ST_BORROW","2016-06-30","2021-06-30","Per=Y","Days=T","Dir=V")</f>
        <v>0</v>
      </c>
      <c r="I2">
        <f>BDH("DE US Equity","BS_LT_BORROW","2016-06-30","2021-06-30","Per=Y","Days=T","Dir=V")</f>
        <v>0</v>
      </c>
      <c r="K2">
        <f>BDH("DE US Equity","BS_CASH_NEAR_CASH_ITEM","2016-06-30","2021-06-30","Per=Y","Days=T","Dir=V")</f>
        <v>0</v>
      </c>
      <c r="M2">
        <f>BDH("DE US Equity","BS_CUR_ASSET_REPORT","2016-06-30","2021-06-30","Per=Y","Days=T","Dir=V")</f>
        <v>0</v>
      </c>
      <c r="O2">
        <f>BDH("DE US Equity","BS_CUR_LIAB","2016-06-30","2021-06-30","Per=Y","Days=T","Dir=V")</f>
        <v>0</v>
      </c>
      <c r="Q2">
        <f>BDH("DE US Equity","BS_SHAREHOLDER_EQY_ENDING_PERIOD","2016-06-30","2021-06-30","Per=Y","Days=T","Dir=V")</f>
        <v>0</v>
      </c>
      <c r="S2">
        <f>BDH("DE US Equity","BS_ACCT_NOTE_RCV","2016-06-30","2021-06-30","Per=Y","Days=T","Dir=V")</f>
        <v>0</v>
      </c>
      <c r="U2">
        <f>BDH("DE US Equity","BS_INVENTORIES","2016-06-30","2021-06-30","Per=Y","Days=T","Dir=V")</f>
        <v>0</v>
      </c>
      <c r="W2">
        <f>BDH("DE US Equity","WORKING_CAPITAL","2016-06-30","2021-06-30","Per=Y","Days=T","Dir=V")</f>
        <v>0</v>
      </c>
      <c r="Y2">
        <f>BDH("DE US Equity","SALES_REV_TURN","2016-06-30","2021-06-30","Per=Y","Days=T","Dir=V")</f>
        <v>0</v>
      </c>
      <c r="AA2">
        <f>BDH("DE US Equity","EBIT","2016-06-30","2021-06-30","Per=Y","Days=T","Dir=V")</f>
        <v>0</v>
      </c>
      <c r="AC2">
        <f>BDH("DE US Equity","EBITDA","2016-06-30","2021-06-30","Per=Y","Days=T","Dir=V")</f>
        <v>0</v>
      </c>
      <c r="AE2">
        <f>BDH("DE US Equity","NET_INCOME","2016-06-30","2021-06-30","Per=Y","Days=T","Dir=V")</f>
        <v>0</v>
      </c>
      <c r="AG2">
        <f>BDH("DE US Equity","IS_INT_EXPENSE","2016-06-30","2021-06-30","Per=Y","Days=T","Dir=V")</f>
        <v>0</v>
      </c>
      <c r="AI2">
        <f>BDH("DE US Equity","IS_DEPR_EXP","2016-06-30","2021-06-30","Per=Y","Days=T","Dir=V")</f>
        <v>0</v>
      </c>
      <c r="AK2">
        <f>BDH("DE US Equity","CF_CASH_FROM_OPER","2016-06-30","2021-06-30","Per=Y","Days=T","Dir=V")</f>
        <v>0</v>
      </c>
      <c r="AM2">
        <f>BDH("DE US Equity","CAPITAL_EXPEND","2016-06-30","2021-06-30","Per=Y","Days=T","Dir=V")</f>
        <v>0</v>
      </c>
      <c r="AO2">
        <f>BDH("DE US Equity","CF_FREE_CASH_FLOW","2016-06-30","2021-06-30","Per=Y","Days=T","Dir=V")</f>
        <v>0</v>
      </c>
      <c r="AQ2">
        <f>BDH("DE US Equity","PX_LAST","2016-06-30","2021-06-30","Per=M","Days=T","Dir=V")</f>
        <v>0</v>
      </c>
      <c r="AS2">
        <f>BDH("DE US Equity","CUR_MKT_CAP","2016-06-30","2021-06-30","Per=M","Days=T","Dir=V")</f>
        <v>0</v>
      </c>
      <c r="AU2">
        <f>BDH("DE US Equity","EQY_SH_OUT","2016-06-30","2021-06-30","Per=M","Days=T","Dir=V")</f>
        <v>0</v>
      </c>
      <c r="AW2">
        <f>BDH("DE US Equity","BETA_RAW_OVERRIABLE","2016-06-30","2021-06-30","Per=M","Days=T","Dir=V")</f>
        <v>0</v>
      </c>
      <c r="AY2">
        <f>BDH("DE US Equity","PX_VOLUME","2016-06-30","2021-06-30","Per=M","Days=T","Dir=V")</f>
        <v>0</v>
      </c>
      <c r="BA2">
        <f>BDH("DE US Equity","TURNOVER","2016-06-30","2021-06-30","Per=M","Days=T","Dir=V")</f>
        <v>0</v>
      </c>
      <c r="BC2">
        <f>BDH("DE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BDH("RRX US Equity","BS_TOT_ASSET","2016-06-30","2021-06-30","Per=Y","Days=T","Dir=V")</f>
        <v>0</v>
      </c>
      <c r="C2">
        <f>BDH("RRX US Equity","BS_TOT_LIAB2","2016-06-30","2021-06-30","Per=Y","Days=T","Dir=V")</f>
        <v>0</v>
      </c>
      <c r="E2">
        <f>BDH("RRX US Equity","SHORT_AND_LONG_TERM_DEBT","2016-06-30","2021-06-30","Per=Y","Days=T","Dir=V")</f>
        <v>0</v>
      </c>
      <c r="G2">
        <f>BDH("RRX US Equity","BS_ST_BORROW","2016-06-30","2021-06-30","Per=Y","Days=T","Dir=V")</f>
        <v>0</v>
      </c>
      <c r="I2">
        <f>BDH("RRX US Equity","BS_LT_BORROW","2016-06-30","2021-06-30","Per=Y","Days=T","Dir=V")</f>
        <v>0</v>
      </c>
      <c r="K2">
        <f>BDH("RRX US Equity","BS_CASH_NEAR_CASH_ITEM","2016-06-30","2021-06-30","Per=Y","Days=T","Dir=V")</f>
        <v>0</v>
      </c>
      <c r="M2">
        <f>BDH("RRX US Equity","BS_CUR_ASSET_REPORT","2016-06-30","2021-06-30","Per=Y","Days=T","Dir=V")</f>
        <v>0</v>
      </c>
      <c r="O2">
        <f>BDH("RRX US Equity","BS_CUR_LIAB","2016-06-30","2021-06-30","Per=Y","Days=T","Dir=V")</f>
        <v>0</v>
      </c>
      <c r="Q2">
        <f>BDH("RRX US Equity","BS_SHAREHOLDER_EQY_ENDING_PERIOD","2016-06-30","2021-06-30","Per=Y","Days=T","Dir=V")</f>
        <v>0</v>
      </c>
      <c r="S2">
        <f>BDH("RRX US Equity","BS_ACCT_NOTE_RCV","2016-06-30","2021-06-30","Per=Y","Days=T","Dir=V")</f>
        <v>0</v>
      </c>
      <c r="U2">
        <f>BDH("RRX US Equity","BS_INVENTORIES","2016-06-30","2021-06-30","Per=Y","Days=T","Dir=V")</f>
        <v>0</v>
      </c>
      <c r="W2">
        <f>BDH("RRX US Equity","WORKING_CAPITAL","2016-06-30","2021-06-30","Per=Y","Days=T","Dir=V")</f>
        <v>0</v>
      </c>
      <c r="Y2">
        <f>BDH("RRX US Equity","SALES_REV_TURN","2016-06-30","2021-06-30","Per=Y","Days=T","Dir=V")</f>
        <v>0</v>
      </c>
      <c r="AA2">
        <f>BDH("RRX US Equity","EBIT","2016-06-30","2021-06-30","Per=Y","Days=T","Dir=V")</f>
        <v>0</v>
      </c>
      <c r="AC2">
        <f>BDH("RRX US Equity","EBITDA","2016-06-30","2021-06-30","Per=Y","Days=T","Dir=V")</f>
        <v>0</v>
      </c>
      <c r="AE2">
        <f>BDH("RRX US Equity","NET_INCOME","2016-06-30","2021-06-30","Per=Y","Days=T","Dir=V")</f>
        <v>0</v>
      </c>
      <c r="AG2">
        <f>BDH("RRX US Equity","IS_INT_EXPENSE","2016-06-30","2021-06-30","Per=Y","Days=T","Dir=V")</f>
        <v>0</v>
      </c>
      <c r="AI2">
        <f>BDH("RRX US Equity","IS_DEPR_EXP","2016-06-30","2021-06-30","Per=Y","Days=T","Dir=V")</f>
        <v>0</v>
      </c>
      <c r="AK2">
        <f>BDH("RRX US Equity","CF_CASH_FROM_OPER","2016-06-30","2021-06-30","Per=Y","Days=T","Dir=V")</f>
        <v>0</v>
      </c>
      <c r="AM2">
        <f>BDH("RRX US Equity","CAPITAL_EXPEND","2016-06-30","2021-06-30","Per=Y","Days=T","Dir=V")</f>
        <v>0</v>
      </c>
      <c r="AO2">
        <f>BDH("RRX US Equity","CF_FREE_CASH_FLOW","2016-06-30","2021-06-30","Per=Y","Days=T","Dir=V")</f>
        <v>0</v>
      </c>
      <c r="AQ2">
        <f>BDH("RRX US Equity","PX_LAST","2016-06-30","2021-06-30","Per=M","Days=T","Dir=V")</f>
        <v>0</v>
      </c>
      <c r="AS2">
        <f>BDH("RRX US Equity","CUR_MKT_CAP","2016-06-30","2021-06-30","Per=M","Days=T","Dir=V")</f>
        <v>0</v>
      </c>
      <c r="AU2">
        <f>BDH("RRX US Equity","EQY_SH_OUT","2016-06-30","2021-06-30","Per=M","Days=T","Dir=V")</f>
        <v>0</v>
      </c>
      <c r="AW2">
        <f>BDH("RRX US Equity","BETA_RAW_OVERRIABLE","2016-06-30","2021-06-30","Per=M","Days=T","Dir=V")</f>
        <v>0</v>
      </c>
      <c r="AY2">
        <f>BDH("RRX US Equity","PX_VOLUME","2016-06-30","2021-06-30","Per=M","Days=T","Dir=V")</f>
        <v>0</v>
      </c>
      <c r="BA2">
        <f>BDH("RRX US Equity","TURNOVER","2016-06-30","2021-06-30","Per=M","Days=T","Dir=V")</f>
        <v>0</v>
      </c>
      <c r="BC2">
        <f>BDH("RRX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BDH("SYPR US Equity","BS_TOT_ASSET","2016-06-30","2021-06-30","Per=Y","Days=T","Dir=V")</f>
        <v>0</v>
      </c>
      <c r="C2">
        <f>BDH("SYPR US Equity","BS_TOT_LIAB2","2016-06-30","2021-06-30","Per=Y","Days=T","Dir=V")</f>
        <v>0</v>
      </c>
      <c r="E2">
        <f>BDH("SYPR US Equity","SHORT_AND_LONG_TERM_DEBT","2016-06-30","2021-06-30","Per=Y","Days=T","Dir=V")</f>
        <v>0</v>
      </c>
      <c r="G2">
        <f>BDH("SYPR US Equity","BS_ST_BORROW","2016-06-30","2021-06-30","Per=Y","Days=T","Dir=V")</f>
        <v>0</v>
      </c>
      <c r="I2">
        <f>BDH("SYPR US Equity","BS_LT_BORROW","2016-06-30","2021-06-30","Per=Y","Days=T","Dir=V")</f>
        <v>0</v>
      </c>
      <c r="K2">
        <f>BDH("SYPR US Equity","BS_CASH_NEAR_CASH_ITEM","2016-06-30","2021-06-30","Per=Y","Days=T","Dir=V")</f>
        <v>0</v>
      </c>
      <c r="M2">
        <f>BDH("SYPR US Equity","BS_CUR_ASSET_REPORT","2016-06-30","2021-06-30","Per=Y","Days=T","Dir=V")</f>
        <v>0</v>
      </c>
      <c r="O2">
        <f>BDH("SYPR US Equity","BS_CUR_LIAB","2016-06-30","2021-06-30","Per=Y","Days=T","Dir=V")</f>
        <v>0</v>
      </c>
      <c r="Q2">
        <f>BDH("SYPR US Equity","BS_SHAREHOLDER_EQY_ENDING_PERIOD","2016-06-30","2021-06-30","Per=Y","Days=T","Dir=V")</f>
        <v>0</v>
      </c>
      <c r="S2">
        <f>BDH("SYPR US Equity","BS_ACCT_NOTE_RCV","2016-06-30","2021-06-30","Per=Y","Days=T","Dir=V")</f>
        <v>0</v>
      </c>
      <c r="U2">
        <f>BDH("SYPR US Equity","BS_INVENTORIES","2016-06-30","2021-06-30","Per=Y","Days=T","Dir=V")</f>
        <v>0</v>
      </c>
      <c r="W2">
        <f>BDH("SYPR US Equity","WORKING_CAPITAL","2016-06-30","2021-06-30","Per=Y","Days=T","Dir=V")</f>
        <v>0</v>
      </c>
      <c r="Y2">
        <f>BDH("SYPR US Equity","SALES_REV_TURN","2016-06-30","2021-06-30","Per=Y","Days=T","Dir=V")</f>
        <v>0</v>
      </c>
      <c r="AA2">
        <f>BDH("SYPR US Equity","EBIT","2016-06-30","2021-06-30","Per=Y","Days=T","Dir=V")</f>
        <v>0</v>
      </c>
      <c r="AC2">
        <f>BDH("SYPR US Equity","EBITDA","2016-06-30","2021-06-30","Per=Y","Days=T","Dir=V")</f>
        <v>0</v>
      </c>
      <c r="AE2">
        <f>BDH("SYPR US Equity","NET_INCOME","2016-06-30","2021-06-30","Per=Y","Days=T","Dir=V")</f>
        <v>0</v>
      </c>
      <c r="AG2">
        <f>BDH("SYPR US Equity","IS_INT_EXPENSE","2016-06-30","2021-06-30","Per=Y","Days=T","Dir=V")</f>
        <v>0</v>
      </c>
      <c r="AI2">
        <f>BDH("SYPR US Equity","IS_DEPR_EXP","2016-06-30","2021-06-30","Per=Y","Days=T","Dir=V")</f>
        <v>0</v>
      </c>
      <c r="AK2">
        <f>BDH("SYPR US Equity","CF_CASH_FROM_OPER","2016-06-30","2021-06-30","Per=Y","Days=T","Dir=V")</f>
        <v>0</v>
      </c>
      <c r="AM2">
        <f>BDH("SYPR US Equity","CAPITAL_EXPEND","2016-06-30","2021-06-30","Per=Y","Days=T","Dir=V")</f>
        <v>0</v>
      </c>
      <c r="AO2">
        <f>BDH("SYPR US Equity","CF_FREE_CASH_FLOW","2016-06-30","2021-06-30","Per=Y","Days=T","Dir=V")</f>
        <v>0</v>
      </c>
      <c r="AQ2">
        <f>BDH("SYPR US Equity","PX_LAST","2016-06-30","2021-06-30","Per=M","Days=T","Dir=V")</f>
        <v>0</v>
      </c>
      <c r="AS2">
        <f>BDH("SYPR US Equity","CUR_MKT_CAP","2016-06-30","2021-06-30","Per=M","Days=T","Dir=V")</f>
        <v>0</v>
      </c>
      <c r="AU2">
        <f>BDH("SYPR US Equity","EQY_SH_OUT","2016-06-30","2021-06-30","Per=M","Days=T","Dir=V")</f>
        <v>0</v>
      </c>
      <c r="AW2">
        <f>BDH("SYPR US Equity","BETA_RAW_OVERRIABLE","2016-06-30","2021-06-30","Per=M","Days=T","Dir=V")</f>
        <v>0</v>
      </c>
      <c r="AY2">
        <f>BDH("SYPR US Equity","PX_VOLUME","2016-06-30","2021-06-30","Per=M","Days=T","Dir=V")</f>
        <v>0</v>
      </c>
      <c r="BA2">
        <f>BDH("SYPR US Equity","TURNOVER","2016-06-30","2021-06-30","Per=M","Days=T","Dir=V")</f>
        <v>0</v>
      </c>
      <c r="BC2">
        <f>BDH("SYPR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BDH("MTRN US Equity","BS_TOT_ASSET","2016-06-30","2021-06-30","Per=Y","Days=T","Dir=V")</f>
        <v>0</v>
      </c>
      <c r="C2">
        <f>BDH("MTRN US Equity","BS_TOT_LIAB2","2016-06-30","2021-06-30","Per=Y","Days=T","Dir=V")</f>
        <v>0</v>
      </c>
      <c r="E2">
        <f>BDH("MTRN US Equity","SHORT_AND_LONG_TERM_DEBT","2016-06-30","2021-06-30","Per=Y","Days=T","Dir=V")</f>
        <v>0</v>
      </c>
      <c r="G2">
        <f>BDH("MTRN US Equity","BS_ST_BORROW","2016-06-30","2021-06-30","Per=Y","Days=T","Dir=V")</f>
        <v>0</v>
      </c>
      <c r="I2">
        <f>BDH("MTRN US Equity","BS_LT_BORROW","2016-06-30","2021-06-30","Per=Y","Days=T","Dir=V")</f>
        <v>0</v>
      </c>
      <c r="K2">
        <f>BDH("MTRN US Equity","BS_CASH_NEAR_CASH_ITEM","2016-06-30","2021-06-30","Per=Y","Days=T","Dir=V")</f>
        <v>0</v>
      </c>
      <c r="M2">
        <f>BDH("MTRN US Equity","BS_CUR_ASSET_REPORT","2016-06-30","2021-06-30","Per=Y","Days=T","Dir=V")</f>
        <v>0</v>
      </c>
      <c r="O2">
        <f>BDH("MTRN US Equity","BS_CUR_LIAB","2016-06-30","2021-06-30","Per=Y","Days=T","Dir=V")</f>
        <v>0</v>
      </c>
      <c r="Q2">
        <f>BDH("MTRN US Equity","BS_SHAREHOLDER_EQY_ENDING_PERIOD","2016-06-30","2021-06-30","Per=Y","Days=T","Dir=V")</f>
        <v>0</v>
      </c>
      <c r="S2">
        <f>BDH("MTRN US Equity","BS_ACCT_NOTE_RCV","2016-06-30","2021-06-30","Per=Y","Days=T","Dir=V")</f>
        <v>0</v>
      </c>
      <c r="U2">
        <f>BDH("MTRN US Equity","BS_INVENTORIES","2016-06-30","2021-06-30","Per=Y","Days=T","Dir=V")</f>
        <v>0</v>
      </c>
      <c r="W2">
        <f>BDH("MTRN US Equity","WORKING_CAPITAL","2016-06-30","2021-06-30","Per=Y","Days=T","Dir=V")</f>
        <v>0</v>
      </c>
      <c r="Y2">
        <f>BDH("MTRN US Equity","SALES_REV_TURN","2016-06-30","2021-06-30","Per=Y","Days=T","Dir=V")</f>
        <v>0</v>
      </c>
      <c r="AA2">
        <f>BDH("MTRN US Equity","EBIT","2016-06-30","2021-06-30","Per=Y","Days=T","Dir=V")</f>
        <v>0</v>
      </c>
      <c r="AC2">
        <f>BDH("MTRN US Equity","EBITDA","2016-06-30","2021-06-30","Per=Y","Days=T","Dir=V")</f>
        <v>0</v>
      </c>
      <c r="AE2">
        <f>BDH("MTRN US Equity","NET_INCOME","2016-06-30","2021-06-30","Per=Y","Days=T","Dir=V")</f>
        <v>0</v>
      </c>
      <c r="AG2">
        <f>BDH("MTRN US Equity","IS_INT_EXPENSE","2016-06-30","2021-06-30","Per=Y","Days=T","Dir=V")</f>
        <v>0</v>
      </c>
      <c r="AI2">
        <f>BDH("MTRN US Equity","IS_DEPR_EXP","2016-06-30","2021-06-30","Per=Y","Days=T","Dir=V")</f>
        <v>0</v>
      </c>
      <c r="AK2">
        <f>BDH("MTRN US Equity","CF_CASH_FROM_OPER","2016-06-30","2021-06-30","Per=Y","Days=T","Dir=V")</f>
        <v>0</v>
      </c>
      <c r="AM2">
        <f>BDH("MTRN US Equity","CAPITAL_EXPEND","2016-06-30","2021-06-30","Per=Y","Days=T","Dir=V")</f>
        <v>0</v>
      </c>
      <c r="AO2">
        <f>BDH("MTRN US Equity","CF_FREE_CASH_FLOW","2016-06-30","2021-06-30","Per=Y","Days=T","Dir=V")</f>
        <v>0</v>
      </c>
      <c r="AQ2">
        <f>BDH("MTRN US Equity","PX_LAST","2016-06-30","2021-06-30","Per=M","Days=T","Dir=V")</f>
        <v>0</v>
      </c>
      <c r="AS2">
        <f>BDH("MTRN US Equity","CUR_MKT_CAP","2016-06-30","2021-06-30","Per=M","Days=T","Dir=V")</f>
        <v>0</v>
      </c>
      <c r="AU2">
        <f>BDH("MTRN US Equity","EQY_SH_OUT","2016-06-30","2021-06-30","Per=M","Days=T","Dir=V")</f>
        <v>0</v>
      </c>
      <c r="AW2">
        <f>BDH("MTRN US Equity","BETA_RAW_OVERRIABLE","2016-06-30","2021-06-30","Per=M","Days=T","Dir=V")</f>
        <v>0</v>
      </c>
      <c r="AY2">
        <f>BDH("MTRN US Equity","PX_VOLUME","2016-06-30","2021-06-30","Per=M","Days=T","Dir=V")</f>
        <v>0</v>
      </c>
      <c r="BA2">
        <f>BDH("MTRN US Equity","TURNOVER","2016-06-30","2021-06-30","Per=M","Days=T","Dir=V")</f>
        <v>0</v>
      </c>
      <c r="BC2">
        <f>BDH("MTRN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BDH("RLGT US Equity","BS_TOT_ASSET","2016-06-30","2021-06-30","Per=Y","Days=T","Dir=V")</f>
        <v>0</v>
      </c>
      <c r="C2">
        <f>BDH("RLGT US Equity","BS_TOT_LIAB2","2016-06-30","2021-06-30","Per=Y","Days=T","Dir=V")</f>
        <v>0</v>
      </c>
      <c r="E2">
        <f>BDH("RLGT US Equity","SHORT_AND_LONG_TERM_DEBT","2016-06-30","2021-06-30","Per=Y","Days=T","Dir=V")</f>
        <v>0</v>
      </c>
      <c r="G2">
        <f>BDH("RLGT US Equity","BS_ST_BORROW","2016-06-30","2021-06-30","Per=Y","Days=T","Dir=V")</f>
        <v>0</v>
      </c>
      <c r="I2">
        <f>BDH("RLGT US Equity","BS_LT_BORROW","2016-06-30","2021-06-30","Per=Y","Days=T","Dir=V")</f>
        <v>0</v>
      </c>
      <c r="K2">
        <f>BDH("RLGT US Equity","BS_CASH_NEAR_CASH_ITEM","2016-06-30","2021-06-30","Per=Y","Days=T","Dir=V")</f>
        <v>0</v>
      </c>
      <c r="M2">
        <f>BDH("RLGT US Equity","BS_CUR_ASSET_REPORT","2016-06-30","2021-06-30","Per=Y","Days=T","Dir=V")</f>
        <v>0</v>
      </c>
      <c r="O2">
        <f>BDH("RLGT US Equity","BS_CUR_LIAB","2016-06-30","2021-06-30","Per=Y","Days=T","Dir=V")</f>
        <v>0</v>
      </c>
      <c r="Q2">
        <f>BDH("RLGT US Equity","BS_SHAREHOLDER_EQY_ENDING_PERIOD","2016-06-30","2021-06-30","Per=Y","Days=T","Dir=V")</f>
        <v>0</v>
      </c>
      <c r="S2">
        <f>BDH("RLGT US Equity","BS_ACCT_NOTE_RCV","2016-06-30","2021-06-30","Per=Y","Days=T","Dir=V")</f>
        <v>0</v>
      </c>
      <c r="U2">
        <f>BDH("RLGT US Equity","BS_INVENTORIES","2016-06-30","2021-06-30","Per=Y","Days=T","Dir=V")</f>
        <v>0</v>
      </c>
      <c r="W2">
        <f>BDH("RLGT US Equity","WORKING_CAPITAL","2016-06-30","2021-06-30","Per=Y","Days=T","Dir=V")</f>
        <v>0</v>
      </c>
      <c r="Y2">
        <f>BDH("RLGT US Equity","SALES_REV_TURN","2016-06-30","2021-06-30","Per=Y","Days=T","Dir=V")</f>
        <v>0</v>
      </c>
      <c r="AA2">
        <f>BDH("RLGT US Equity","EBIT","2016-06-30","2021-06-30","Per=Y","Days=T","Dir=V")</f>
        <v>0</v>
      </c>
      <c r="AC2">
        <f>BDH("RLGT US Equity","EBITDA","2016-06-30","2021-06-30","Per=Y","Days=T","Dir=V")</f>
        <v>0</v>
      </c>
      <c r="AE2">
        <f>BDH("RLGT US Equity","NET_INCOME","2016-06-30","2021-06-30","Per=Y","Days=T","Dir=V")</f>
        <v>0</v>
      </c>
      <c r="AG2">
        <f>BDH("RLGT US Equity","IS_INT_EXPENSE","2016-06-30","2021-06-30","Per=Y","Days=T","Dir=V")</f>
        <v>0</v>
      </c>
      <c r="AI2">
        <f>BDH("RLGT US Equity","IS_DEPR_EXP","2016-06-30","2021-06-30","Per=Y","Days=T","Dir=V")</f>
        <v>0</v>
      </c>
      <c r="AK2">
        <f>BDH("RLGT US Equity","CF_CASH_FROM_OPER","2016-06-30","2021-06-30","Per=Y","Days=T","Dir=V")</f>
        <v>0</v>
      </c>
      <c r="AM2">
        <f>BDH("RLGT US Equity","CAPITAL_EXPEND","2016-06-30","2021-06-30","Per=Y","Days=T","Dir=V")</f>
        <v>0</v>
      </c>
      <c r="AO2">
        <f>BDH("RLGT US Equity","CF_FREE_CASH_FLOW","2016-06-30","2021-06-30","Per=Y","Days=T","Dir=V")</f>
        <v>0</v>
      </c>
      <c r="AQ2">
        <f>BDH("RLGT US Equity","PX_LAST","2016-06-30","2021-06-30","Per=M","Days=T","Dir=V")</f>
        <v>0</v>
      </c>
      <c r="AS2">
        <f>BDH("RLGT US Equity","CUR_MKT_CAP","2016-06-30","2021-06-30","Per=M","Days=T","Dir=V")</f>
        <v>0</v>
      </c>
      <c r="AU2">
        <f>BDH("RLGT US Equity","EQY_SH_OUT","2016-06-30","2021-06-30","Per=M","Days=T","Dir=V")</f>
        <v>0</v>
      </c>
      <c r="AW2">
        <f>BDH("RLGT US Equity","BETA_RAW_OVERRIABLE","2016-06-30","2021-06-30","Per=M","Days=T","Dir=V")</f>
        <v>0</v>
      </c>
      <c r="AY2">
        <f>BDH("RLGT US Equity","PX_VOLUME","2016-06-30","2021-06-30","Per=M","Days=T","Dir=V")</f>
        <v>0</v>
      </c>
      <c r="BA2">
        <f>BDH("RLGT US Equity","TURNOVER","2016-06-30","2021-06-30","Per=M","Days=T","Dir=V")</f>
        <v>0</v>
      </c>
      <c r="BC2">
        <f>BDH("RLGT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BDH("DD US Equity","BS_TOT_ASSET","2016-06-30","2021-06-30","Per=Y","Days=T","Dir=V")</f>
        <v>0</v>
      </c>
      <c r="C2">
        <f>BDH("DD US Equity","BS_TOT_LIAB2","2016-06-30","2021-06-30","Per=Y","Days=T","Dir=V")</f>
        <v>0</v>
      </c>
      <c r="E2">
        <f>BDH("DD US Equity","SHORT_AND_LONG_TERM_DEBT","2016-06-30","2021-06-30","Per=Y","Days=T","Dir=V")</f>
        <v>0</v>
      </c>
      <c r="G2">
        <f>BDH("DD US Equity","BS_ST_BORROW","2016-06-30","2021-06-30","Per=Y","Days=T","Dir=V")</f>
        <v>0</v>
      </c>
      <c r="I2">
        <f>BDH("DD US Equity","BS_LT_BORROW","2016-06-30","2021-06-30","Per=Y","Days=T","Dir=V")</f>
        <v>0</v>
      </c>
      <c r="K2">
        <f>BDH("DD US Equity","BS_CASH_NEAR_CASH_ITEM","2016-06-30","2021-06-30","Per=Y","Days=T","Dir=V")</f>
        <v>0</v>
      </c>
      <c r="M2">
        <f>BDH("DD US Equity","BS_CUR_ASSET_REPORT","2016-06-30","2021-06-30","Per=Y","Days=T","Dir=V")</f>
        <v>0</v>
      </c>
      <c r="O2">
        <f>BDH("DD US Equity","BS_CUR_LIAB","2016-06-30","2021-06-30","Per=Y","Days=T","Dir=V")</f>
        <v>0</v>
      </c>
      <c r="Q2">
        <f>BDH("DD US Equity","BS_SHAREHOLDER_EQY_ENDING_PERIOD","2016-06-30","2021-06-30","Per=Y","Days=T","Dir=V")</f>
        <v>0</v>
      </c>
      <c r="S2">
        <f>BDH("DD US Equity","BS_ACCT_NOTE_RCV","2016-06-30","2021-06-30","Per=Y","Days=T","Dir=V")</f>
        <v>0</v>
      </c>
      <c r="U2">
        <f>BDH("DD US Equity","BS_INVENTORIES","2016-06-30","2021-06-30","Per=Y","Days=T","Dir=V")</f>
        <v>0</v>
      </c>
      <c r="W2">
        <f>BDH("DD US Equity","WORKING_CAPITAL","2016-06-30","2021-06-30","Per=Y","Days=T","Dir=V")</f>
        <v>0</v>
      </c>
      <c r="Y2">
        <f>BDH("DD US Equity","SALES_REV_TURN","2016-06-30","2021-06-30","Per=Y","Days=T","Dir=V")</f>
        <v>0</v>
      </c>
      <c r="AA2">
        <f>BDH("DD US Equity","EBIT","2016-06-30","2021-06-30","Per=Y","Days=T","Dir=V")</f>
        <v>0</v>
      </c>
      <c r="AC2">
        <f>BDH("DD US Equity","EBITDA","2016-06-30","2021-06-30","Per=Y","Days=T","Dir=V")</f>
        <v>0</v>
      </c>
      <c r="AE2">
        <f>BDH("DD US Equity","NET_INCOME","2016-06-30","2021-06-30","Per=Y","Days=T","Dir=V")</f>
        <v>0</v>
      </c>
      <c r="AG2">
        <f>BDH("DD US Equity","IS_INT_EXPENSE","2016-06-30","2021-06-30","Per=Y","Days=T","Dir=V")</f>
        <v>0</v>
      </c>
      <c r="AI2">
        <f>BDH("DD US Equity","IS_DEPR_EXP","2016-06-30","2021-06-30","Per=Y","Days=T","Dir=V")</f>
        <v>0</v>
      </c>
      <c r="AK2">
        <f>BDH("DD US Equity","CF_CASH_FROM_OPER","2016-06-30","2021-06-30","Per=Y","Days=T","Dir=V")</f>
        <v>0</v>
      </c>
      <c r="AM2">
        <f>BDH("DD US Equity","CAPITAL_EXPEND","2016-06-30","2021-06-30","Per=Y","Days=T","Dir=V")</f>
        <v>0</v>
      </c>
      <c r="AO2">
        <f>BDH("DD US Equity","CF_FREE_CASH_FLOW","2016-06-30","2021-06-30","Per=Y","Days=T","Dir=V")</f>
        <v>0</v>
      </c>
      <c r="AQ2">
        <f>BDH("DD US Equity","PX_LAST","2016-06-30","2021-06-30","Per=M","Days=T","Dir=V")</f>
        <v>0</v>
      </c>
      <c r="AS2">
        <f>BDH("DD US Equity","CUR_MKT_CAP","2016-06-30","2021-06-30","Per=M","Days=T","Dir=V")</f>
        <v>0</v>
      </c>
      <c r="AU2">
        <f>BDH("DD US Equity","EQY_SH_OUT","2016-06-30","2021-06-30","Per=M","Days=T","Dir=V")</f>
        <v>0</v>
      </c>
      <c r="AW2">
        <f>BDH("DD US Equity","BETA_RAW_OVERRIABLE","2016-06-30","2021-06-30","Per=M","Days=T","Dir=V")</f>
        <v>0</v>
      </c>
      <c r="AY2">
        <f>BDH("DD US Equity","PX_VOLUME","2016-06-30","2021-06-30","Per=M","Days=T","Dir=V")</f>
        <v>0</v>
      </c>
      <c r="BA2">
        <f>BDH("DD US Equity","TURNOVER","2016-06-30","2021-06-30","Per=M","Days=T","Dir=V")</f>
        <v>0</v>
      </c>
      <c r="BC2">
        <f>BDH("DD US Equity","SPREAD_BA_CR","2016-06-30","2021-06-30","Per=M","Days=T","Dir=V")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D2"/>
  <sheetViews>
    <sheetView workbookViewId="0"/>
  </sheetViews>
  <sheetFormatPr defaultRowHeight="15"/>
  <cols>
    <col min="1" max="56" width="16.7109375" customWidth="1"/>
  </cols>
  <sheetData>
    <row r="1" spans="1:56">
      <c r="A1" t="s">
        <v>253</v>
      </c>
      <c r="B1" t="s">
        <v>254</v>
      </c>
      <c r="C1" t="s">
        <v>255</v>
      </c>
      <c r="D1" t="s">
        <v>256</v>
      </c>
      <c r="E1" t="s">
        <v>257</v>
      </c>
      <c r="F1" t="s">
        <v>258</v>
      </c>
      <c r="G1" t="s">
        <v>259</v>
      </c>
      <c r="H1" t="s">
        <v>260</v>
      </c>
      <c r="I1" t="s">
        <v>261</v>
      </c>
      <c r="J1" t="s">
        <v>262</v>
      </c>
      <c r="K1" t="s">
        <v>263</v>
      </c>
      <c r="L1" t="s">
        <v>264</v>
      </c>
      <c r="M1" t="s">
        <v>265</v>
      </c>
      <c r="N1" t="s">
        <v>266</v>
      </c>
      <c r="O1" t="s">
        <v>267</v>
      </c>
      <c r="P1" t="s">
        <v>268</v>
      </c>
      <c r="Q1" t="s">
        <v>269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277</v>
      </c>
      <c r="Z1" t="s">
        <v>278</v>
      </c>
      <c r="AA1" t="s">
        <v>279</v>
      </c>
      <c r="AB1" t="s">
        <v>280</v>
      </c>
      <c r="AC1" t="s">
        <v>281</v>
      </c>
      <c r="AD1" t="s">
        <v>282</v>
      </c>
      <c r="AE1" t="s">
        <v>283</v>
      </c>
      <c r="AF1" t="s">
        <v>284</v>
      </c>
      <c r="AG1" t="s">
        <v>285</v>
      </c>
      <c r="AH1" t="s">
        <v>286</v>
      </c>
      <c r="AI1" t="s">
        <v>287</v>
      </c>
      <c r="AJ1" t="s">
        <v>288</v>
      </c>
      <c r="AK1" t="s">
        <v>289</v>
      </c>
      <c r="AL1" t="s">
        <v>290</v>
      </c>
      <c r="AM1" t="s">
        <v>291</v>
      </c>
      <c r="AN1" t="s">
        <v>292</v>
      </c>
      <c r="AO1" t="s">
        <v>293</v>
      </c>
      <c r="AP1" t="s">
        <v>294</v>
      </c>
      <c r="AQ1" t="s">
        <v>295</v>
      </c>
      <c r="AR1" t="s">
        <v>296</v>
      </c>
      <c r="AS1" t="s">
        <v>297</v>
      </c>
      <c r="AT1" t="s">
        <v>298</v>
      </c>
      <c r="AU1" t="s">
        <v>299</v>
      </c>
      <c r="AV1" t="s">
        <v>300</v>
      </c>
      <c r="AW1" t="s">
        <v>301</v>
      </c>
      <c r="AX1" t="s">
        <v>302</v>
      </c>
      <c r="AY1" t="s">
        <v>303</v>
      </c>
      <c r="AZ1" t="s">
        <v>304</v>
      </c>
      <c r="BA1" t="s">
        <v>305</v>
      </c>
      <c r="BB1" t="s">
        <v>306</v>
      </c>
      <c r="BC1" t="s">
        <v>307</v>
      </c>
      <c r="BD1" t="s">
        <v>308</v>
      </c>
    </row>
    <row r="2" spans="1:56">
      <c r="A2">
        <f>BDH("SAFX US Equity","BS_TOT_ASSET","2016-06-30","2021-06-30","Per=Y","Days=T","Dir=V")</f>
        <v>0</v>
      </c>
      <c r="C2">
        <f>BDH("SAFX US Equity","BS_TOT_LIAB2","2016-06-30","2021-06-30","Per=Y","Days=T","Dir=V")</f>
        <v>0</v>
      </c>
      <c r="E2">
        <f>BDH("SAFX US Equity","SHORT_AND_LONG_TERM_DEBT","2016-06-30","2021-06-30","Per=Y","Days=T","Dir=V")</f>
        <v>0</v>
      </c>
      <c r="G2">
        <f>BDH("SAFX US Equity","BS_ST_BORROW","2016-06-30","2021-06-30","Per=Y","Days=T","Dir=V")</f>
        <v>0</v>
      </c>
      <c r="I2">
        <f>BDH("SAFX US Equity","BS_LT_BORROW","2016-06-30","2021-06-30","Per=Y","Days=T","Dir=V")</f>
        <v>0</v>
      </c>
      <c r="K2">
        <f>BDH("SAFX US Equity","BS_CASH_NEAR_CASH_ITEM","2016-06-30","2021-06-30","Per=Y","Days=T","Dir=V")</f>
        <v>0</v>
      </c>
      <c r="M2">
        <f>BDH("SAFX US Equity","BS_CUR_ASSET_REPORT","2016-06-30","2021-06-30","Per=Y","Days=T","Dir=V")</f>
        <v>0</v>
      </c>
      <c r="O2">
        <f>BDH("SAFX US Equity","BS_CUR_LIAB","2016-06-30","2021-06-30","Per=Y","Days=T","Dir=V")</f>
        <v>0</v>
      </c>
      <c r="Q2">
        <f>BDH("SAFX US Equity","BS_SHAREHOLDER_EQY_ENDING_PERIOD","2016-06-30","2021-06-30","Per=Y","Days=T","Dir=V")</f>
        <v>0</v>
      </c>
      <c r="S2">
        <f>BDH("SAFX US Equity","BS_ACCT_NOTE_RCV","2016-06-30","2021-06-30","Per=Y","Days=T","Dir=V")</f>
        <v>0</v>
      </c>
      <c r="U2">
        <f>BDH("SAFX US Equity","BS_INVENTORIES","2016-06-30","2021-06-30","Per=Y","Days=T","Dir=V")</f>
        <v>0</v>
      </c>
      <c r="W2">
        <f>BDH("SAFX US Equity","WORKING_CAPITAL","2016-06-30","2021-06-30","Per=Y","Days=T","Dir=V")</f>
        <v>0</v>
      </c>
      <c r="Y2">
        <f>BDH("SAFX US Equity","SALES_REV_TURN","2016-06-30","2021-06-30","Per=Y","Days=T","Dir=V")</f>
        <v>0</v>
      </c>
      <c r="AA2">
        <f>BDH("SAFX US Equity","EBIT","2016-06-30","2021-06-30","Per=Y","Days=T","Dir=V")</f>
        <v>0</v>
      </c>
      <c r="AC2">
        <f>BDH("SAFX US Equity","EBITDA","2016-06-30","2021-06-30","Per=Y","Days=T","Dir=V")</f>
        <v>0</v>
      </c>
      <c r="AE2">
        <f>BDH("SAFX US Equity","NET_INCOME","2016-06-30","2021-06-30","Per=Y","Days=T","Dir=V")</f>
        <v>0</v>
      </c>
      <c r="AG2">
        <f>BDH("SAFX US Equity","IS_INT_EXPENSE","2016-06-30","2021-06-30","Per=Y","Days=T","Dir=V")</f>
        <v>0</v>
      </c>
      <c r="AI2">
        <f>BDH("SAFX US Equity","IS_DEPR_EXP","2016-06-30","2021-06-30","Per=Y","Days=T","Dir=V")</f>
        <v>0</v>
      </c>
      <c r="AK2">
        <f>BDH("SAFX US Equity","CF_CASH_FROM_OPER","2016-06-30","2021-06-30","Per=Y","Days=T","Dir=V")</f>
        <v>0</v>
      </c>
      <c r="AM2">
        <f>BDH("SAFX US Equity","CAPITAL_EXPEND","2016-06-30","2021-06-30","Per=Y","Days=T","Dir=V")</f>
        <v>0</v>
      </c>
      <c r="AO2">
        <f>BDH("SAFX US Equity","CF_FREE_CASH_FLOW","2016-06-30","2021-06-30","Per=Y","Days=T","Dir=V")</f>
        <v>0</v>
      </c>
      <c r="AQ2">
        <f>BDH("SAFX US Equity","PX_LAST","2016-06-30","2021-06-30","Per=M","Days=T","Dir=V")</f>
        <v>0</v>
      </c>
      <c r="AS2">
        <f>BDH("SAFX US Equity","CUR_MKT_CAP","2016-06-30","2021-06-30","Per=M","Days=T","Dir=V")</f>
        <v>0</v>
      </c>
      <c r="AU2">
        <f>BDH("SAFX US Equity","EQY_SH_OUT","2016-06-30","2021-06-30","Per=M","Days=T","Dir=V")</f>
        <v>0</v>
      </c>
      <c r="AW2">
        <f>BDH("SAFX US Equity","BETA_RAW_OVERRIABLE","2016-06-30","2021-06-30","Per=M","Days=T","Dir=V")</f>
        <v>0</v>
      </c>
      <c r="AY2">
        <f>BDH("SAFX US Equity","PX_VOLUME","2016-06-30","2021-06-30","Per=M","Days=T","Dir=V")</f>
        <v>0</v>
      </c>
      <c r="BA2">
        <f>BDH("SAFX US Equity","TURNOVER","2016-06-30","2021-06-30","Per=M","Days=T","Dir=V")</f>
        <v>0</v>
      </c>
      <c r="BC2">
        <f>BDH("SAFX US Equity","SPREAD_BA_CR","2016-06-30","2021-06-30","Per=M","Days=T","Dir=V")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Security_List</vt:lpstr>
      <vt:lpstr>NB_2813_Shattuck Labs Inc. Comm</vt:lpstr>
      <vt:lpstr>NB_2827_Savara Inc. Common Stoc</vt:lpstr>
      <vt:lpstr>NB_2224_PACS Group Inc. Common </vt:lpstr>
      <vt:lpstr>NB_696_Envoy Medical Inc Warran</vt:lpstr>
      <vt:lpstr>NB_483_BioRestorative Therapies</vt:lpstr>
      <vt:lpstr>NB_1222_GE HealthCare Technolog</vt:lpstr>
      <vt:lpstr>NB_709_Concentra Group Holdings</vt:lpstr>
      <vt:lpstr>NB_1467_Illumina Inc. Common St</vt:lpstr>
      <vt:lpstr>NB_205_Anika Therapeutics Inc. </vt:lpstr>
      <vt:lpstr>NB_359_Baxter International Inc</vt:lpstr>
      <vt:lpstr>NB_1212_GlucoTrack Inc. Common </vt:lpstr>
      <vt:lpstr>NB_2016_Nephros Inc. Common Sto</vt:lpstr>
      <vt:lpstr>NB_2123_NexGel Inc Common Stock</vt:lpstr>
      <vt:lpstr>NB_2441_Avita Medical Inc. Comm</vt:lpstr>
      <vt:lpstr>NB_2662_Shoulder Innovations In</vt:lpstr>
      <vt:lpstr>NB_1361_Hims &amp; Hers Health Inc.</vt:lpstr>
      <vt:lpstr>NB_3047_USANA Health Sciences I</vt:lpstr>
      <vt:lpstr>NB_564_Cryo-Cell International </vt:lpstr>
      <vt:lpstr>NB_710_The Cooper Companies Inc</vt:lpstr>
      <vt:lpstr>NB_528_Cardinal Health Inc. Com</vt:lpstr>
      <vt:lpstr>NB_108_2020 Biolabs Inc. Common</vt:lpstr>
      <vt:lpstr>NB_30_Archer Aviation Inc. Clas</vt:lpstr>
      <vt:lpstr>NB_317_American Vanguard Corpor</vt:lpstr>
      <vt:lpstr>NB_597_Century Aluminum Company</vt:lpstr>
      <vt:lpstr>NB_2958_Tesla Inc. Common Stock</vt:lpstr>
      <vt:lpstr>NB_0_Agilent Technologies Inc. </vt:lpstr>
      <vt:lpstr>NB_2785_E.W. Scripps Company (T</vt:lpstr>
      <vt:lpstr>NB_1073_Eagle Materials Inc Com</vt:lpstr>
      <vt:lpstr>NB_505_Babcock &amp; Wilcox Enterpr</vt:lpstr>
      <vt:lpstr>NB_2879_Terex Corporation Commo</vt:lpstr>
      <vt:lpstr>NB_566_Crown Holdings Inc.</vt:lpstr>
      <vt:lpstr>NB_1154_Forrester Research Inc.</vt:lpstr>
      <vt:lpstr>NB_84_The AES Corporation Commo</vt:lpstr>
      <vt:lpstr>NB_2949_Transcat Inc. Common St</vt:lpstr>
      <vt:lpstr>NB_1132_Comfort Systems USA Inc</vt:lpstr>
      <vt:lpstr>NB_647_Clean Harbors Inc. Commo</vt:lpstr>
      <vt:lpstr>NB_621_CHS Inc Class B Cumulati</vt:lpstr>
      <vt:lpstr>NB_217_Ampco-Pittsburgh Corpora</vt:lpstr>
      <vt:lpstr>NB_770_Cintas Corporation Commo</vt:lpstr>
      <vt:lpstr>NB_1191_H. B. Fuller Company Co</vt:lpstr>
      <vt:lpstr>NB_3174_Winnebago Industries In</vt:lpstr>
      <vt:lpstr>NB_4_AAON Inc. Common Stock</vt:lpstr>
      <vt:lpstr>NB_543_Carrier Global Corporati</vt:lpstr>
      <vt:lpstr>NB_857_Deere &amp; Company Common S</vt:lpstr>
      <vt:lpstr>NB_2540_Regal Rexnord Corporati</vt:lpstr>
      <vt:lpstr>NB_2845_Sypris Solutions Inc. C</vt:lpstr>
      <vt:lpstr>NB_1968_Materion Corporation</vt:lpstr>
      <vt:lpstr>NB_2501_Radiant Logistics Inc. </vt:lpstr>
      <vt:lpstr>NB_852_DuPont de Nemours Inc. C</vt:lpstr>
      <vt:lpstr>NB_2580_XCF Global Inc. Class 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2026-09-30T16:51:35Z</dcterms:created>
  <dcterms:modified xsi:type="dcterms:W3CDTF">2026-09-30T16:51:35Z</dcterms:modified>
</cp:coreProperties>
</file>