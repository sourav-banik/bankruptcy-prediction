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_List" sheetId="1" r:id="rId1"/>
    <sheet name="NB_1731_Middleby Corporation (T" sheetId="2" r:id="rId2"/>
    <sheet name="NB_1732_MIND Technology Inc. Co" sheetId="3" r:id="rId3"/>
    <sheet name="NB_1733_Mirion Technologies Inc" sheetId="4" r:id="rId4"/>
    <sheet name="NB_1734_MIRA Pharmaceuticals In" sheetId="5" r:id="rId5"/>
    <sheet name="NB_1735_Mirum Pharmaceuticals I" sheetId="6" r:id="rId6"/>
    <sheet name="NB_1736_Mitek Systems Inc. Comm" sheetId="7" r:id="rId7"/>
    <sheet name="NB_1737_Moving iMage Technologi" sheetId="8" r:id="rId8"/>
    <sheet name="NB_1738_McCormick &amp; Company Inc" sheetId="9" r:id="rId9"/>
    <sheet name="NB_1739_MKS Inc. Common Stock" sheetId="10" r:id="rId10"/>
    <sheet name="NB_1740_MarketWise Inc. Class A" sheetId="11" r:id="rId11"/>
    <sheet name="NB_1741_Mesa Laboratories Inc. " sheetId="12" r:id="rId12"/>
    <sheet name="NB_1742_MicroAlgo Inc. Class A " sheetId="13" r:id="rId13"/>
    <sheet name="NB_1743_Mueller Industries Inc." sheetId="14" r:id="rId14"/>
    <sheet name="NB_1744_MillerKnoll Inc. Common" sheetId="15" r:id="rId15"/>
    <sheet name="NB_1745_Martin Marietta Materia" sheetId="16" r:id="rId16"/>
    <sheet name="NB_1746_Miller Industries Inc. " sheetId="17" r:id="rId17"/>
    <sheet name="NB_1747_Milestone Scientific In" sheetId="18" r:id="rId18"/>
    <sheet name="NB_1748_MoonLake Immunotherapeu" sheetId="19" r:id="rId19"/>
    <sheet name="NB_1749_Mineralys Therapeutics " sheetId="20" r:id="rId20"/>
    <sheet name="NB_1750_MiniMed Group Inc. Comm" sheetId="21" r:id="rId21"/>
    <sheet name="NB_1751_Martin Midstream Partne" sheetId="22" r:id="rId22"/>
    <sheet name="NB_1752_3M Company Common Stock" sheetId="23" r:id="rId23"/>
    <sheet name="NB_1753_Maximus Inc. Common Sto" sheetId="24" r:id="rId24"/>
    <sheet name="NB_1754_Merit Medical Systems I" sheetId="25" r:id="rId25"/>
    <sheet name="NB_1755_MannKind Corporation Co" sheetId="26" r:id="rId26"/>
    <sheet name="NB_1756_Medicinova Inc Common S" sheetId="27" r:id="rId27"/>
    <sheet name="NB_1757_Monopar Therapeutics In" sheetId="28" r:id="rId28"/>
    <sheet name="NB_1758_Mach Natural Resources " sheetId="29" r:id="rId29"/>
    <sheet name="NB_1759_Monro Inc. Common Stock" sheetId="30" r:id="rId30"/>
    <sheet name="NB_1760_Monster Beverage Corpor" sheetId="31" r:id="rId31"/>
    <sheet name="NB_1761_Montauk Renewables Inc." sheetId="32" r:id="rId32"/>
    <sheet name="NB_1762_MNTN Inc. Class A Commo" sheetId="33" r:id="rId33"/>
    <sheet name="NB_1763_Momentus Inc. Class A C" sheetId="34" r:id="rId34"/>
    <sheet name="NB_1764_Altria Group Inc." sheetId="35" r:id="rId35"/>
    <sheet name="NB_1765_Mobia Medical Inc. Comm" sheetId="36" r:id="rId36"/>
    <sheet name="NB_1766_Mobix Labs Inc. Class A" sheetId="37" r:id="rId37"/>
    <sheet name="NB_1767_Mobix Labs Inc Warrants" sheetId="38" r:id="rId38"/>
    <sheet name="NB_1768_Modine Manufacturing Co" sheetId="39" r:id="rId39"/>
    <sheet name="NB_1769_Modular Medical Inc. Co" sheetId="40" r:id="rId40"/>
    <sheet name="NB_1770_Molina Healthcare Inc C" sheetId="41" r:id="rId41"/>
    <sheet name="NB_1771_Mosaic Company (The) Co" sheetId="42" r:id="rId42"/>
    <sheet name="NB_1772_Movado Group Inc. Commo" sheetId="43" r:id="rId43"/>
    <sheet name="NB_1773_Corvex Inc. Common Stoc" sheetId="44" r:id="rId44"/>
    <sheet name="NB_1774_MP Materials Corp. Comm" sheetId="45" r:id="rId45"/>
    <sheet name="NB_1775_Motorcar Parts  of Amer" sheetId="46" r:id="rId46"/>
    <sheet name="NB_1776_Marathon Petroleum Corp" sheetId="47" r:id="rId47"/>
    <sheet name="NB_1777_MapLight Therapeutics I" sheetId="48" r:id="rId48"/>
    <sheet name="NB_1778_MPLX LP Common Units Re" sheetId="49" r:id="rId49"/>
    <sheet name="NB_1779_M-tron Industries Inc. " sheetId="50" r:id="rId50"/>
    <sheet name="NB_1780_Mega Matrix Inc. Class " sheetId="51" r:id="rId51"/>
    <sheet name="NB_1781_Monolithic Power System" sheetId="52" r:id="rId52"/>
    <sheet name="NB_1782_Marqeta Inc. Class A Co" sheetId="53" r:id="rId53"/>
    <sheet name="NB_1783_Everspin Technologies I" sheetId="54" r:id="rId54"/>
    <sheet name="NB_1784_Mercury Systems Inc Com" sheetId="55" r:id="rId55"/>
    <sheet name="NB_1785_Meridian Holdings Inc. " sheetId="56" r:id="rId56"/>
    <sheet name="NB_1786_Merck &amp; Company Inc. Co" sheetId="57" r:id="rId57"/>
    <sheet name="NB_1787_Marker Therapeutics Inc" sheetId="58" r:id="rId58"/>
    <sheet name="NB_1788_Merlin Inc. Common Stoc" sheetId="59" r:id="rId59"/>
    <sheet name="NB_1789_Moderna Inc. Common Sto" sheetId="60" r:id="rId60"/>
    <sheet name="NB_1790_Marten Transport Ltd. C" sheetId="61" r:id="rId61"/>
    <sheet name="NB_1791_Maravai LifeSciences Ho" sheetId="62" r:id="rId62"/>
    <sheet name="NB_1792_Marvell Technology Inc." sheetId="63" r:id="rId63"/>
    <sheet name="NB_1793_MSA Safety Incorporated" sheetId="64" r:id="rId64"/>
    <sheet name="NB_1794_MultiSensor AI Holdings" sheetId="65" r:id="rId65"/>
    <sheet name="NB_1795_MultiSensor AI Holdings" sheetId="66" r:id="rId66"/>
    <sheet name="NB_1796_Mesabi Trust Common Sto" sheetId="67" r:id="rId67"/>
    <sheet name="NB_1797_MSCI Inc. Common Stock" sheetId="68" r:id="rId68"/>
    <sheet name="NB_1798_Middlesex Water Company" sheetId="69" r:id="rId69"/>
    <sheet name="NB_1799_Microsoft Corporation C" sheetId="70" r:id="rId70"/>
    <sheet name="NB_1800_Madison Square Garden E" sheetId="71" r:id="rId71"/>
    <sheet name="NB_1801_Motorsport Games Inc. C" sheetId="72" r:id="rId72"/>
    <sheet name="NB_1802_Madison Square Garden S" sheetId="73" r:id="rId73"/>
    <sheet name="NB_1803_Motorola Solutions Inc." sheetId="74" r:id="rId74"/>
    <sheet name="NB_1804_MSC Industrial Direct C" sheetId="75" r:id="rId75"/>
    <sheet name="NB_1805_Emerson Radio Corporati" sheetId="76" r:id="rId76"/>
    <sheet name="NB_1806_Maison Solutions Inc. C" sheetId="77" r:id="rId77"/>
    <sheet name="NB_1807_Strategy Inc Common Sto" sheetId="78" r:id="rId78"/>
    <sheet name="NB_1808_Match Group Inc. Common" sheetId="79" r:id="rId79"/>
    <sheet name="NB_1809_Matador Resources Compa" sheetId="80" r:id="rId80"/>
    <sheet name="NB_1810_Mannatech Incorporated " sheetId="81" r:id="rId81"/>
    <sheet name="NB_1811_Meritage Homes Corporat" sheetId="82" r:id="rId82"/>
    <sheet name="NB_1812_Vail Resorts Inc. Commo" sheetId="83" r:id="rId83"/>
    <sheet name="NB_1813_Matinas Biopharma Holdi" sheetId="84" r:id="rId84"/>
    <sheet name="NB_1814_Mesa Royalty Trust Comm" sheetId="85" r:id="rId85"/>
    <sheet name="NB_1815_Materion Corporation" sheetId="86" r:id="rId86"/>
    <sheet name="NB_1816_Matrix Service Company " sheetId="87" r:id="rId87"/>
    <sheet name="NB_1817_MACOM Technology Soluti" sheetId="88" r:id="rId88"/>
    <sheet name="NB_1818_Metallus Inc. Common Sh" sheetId="89" r:id="rId89"/>
    <sheet name="NB_1819_MetaVia Inc. Common Sto" sheetId="90" r:id="rId90"/>
    <sheet name="NB_1820_Manitowoc Company Inc. " sheetId="91" r:id="rId91"/>
    <sheet name="NB_1821_Minerals Technologies I" sheetId="92" r:id="rId92"/>
    <sheet name="NB_1822_MasTec Inc. Common Stoc" sheetId="93" r:id="rId93"/>
    <sheet name="NB_1823_Micron Technology Inc. " sheetId="94" r:id="rId94"/>
    <sheet name="NB_1824_Murphy Oil Corporation " sheetId="95" r:id="rId95"/>
    <sheet name="NB_1825_Murphy USA Inc. Common " sheetId="96" r:id="rId96"/>
    <sheet name="NB_1826_MicroVision Inc. Common" sheetId="97" r:id="rId97"/>
    <sheet name="NB_1827_MUELLER WATER PRODUCTS " sheetId="98" r:id="rId98"/>
    <sheet name="NB_1828_SOLV Energy Inc. Class " sheetId="99" r:id="rId99"/>
    <sheet name="NB_1829_Marwynn Holdings Inc. C" sheetId="100" r:id="rId100"/>
    <sheet name="NB_1830_Mexco Energy Corporatio" sheetId="101" r:id="rId101"/>
    <sheet name="NB_1831_MaxCyte Inc. Common Sto" sheetId="102" r:id="rId102"/>
    <sheet name="NB_1832_MaxLinear Inc. Common S" sheetId="103" r:id="rId103"/>
    <sheet name="NB_1833_Myers Industries Inc. C" sheetId="104" r:id="rId104"/>
    <sheet name="NB_1834_Myriad Genetics Inc. Co" sheetId="105" r:id="rId105"/>
    <sheet name="NB_1835_Myomo Inc. Common Stock" sheetId="106" r:id="rId106"/>
    <sheet name="NB_1836_PLAYSTUDIOS Inc.  Class" sheetId="107" r:id="rId107"/>
    <sheet name="NB_1837_MYR Group Inc. Common S" sheetId="108" r:id="rId108"/>
    <sheet name="NB_1838_Myseum.AI Inc. Common S" sheetId="109" r:id="rId109"/>
    <sheet name="NB_1839_The Marzetti Company Co" sheetId="110" r:id="rId110"/>
    <sheet name="NB_1840_N-able Inc. Common Stoc" sheetId="111" r:id="rId111"/>
    <sheet name="NB_1841_Niagen Bioscience Inc. " sheetId="112" r:id="rId112"/>
    <sheet name="NB_1842_Natural Alternatives In" sheetId="113" r:id="rId113"/>
    <sheet name="NB_1843_Nakamoto Inc. Common St" sheetId="114" r:id="rId114"/>
    <sheet name="NB_1844_Nathan's Famous Inc. Co" sheetId="115" r:id="rId115"/>
    <sheet name="NB_1845_Nature's Sunshine Produ" sheetId="116" r:id="rId116"/>
    <sheet name="NB_1846_Nautilus Biotechnology " sheetId="117" r:id="rId117"/>
    <sheet name="NB_1847_Navan Inc. Class A Comm" sheetId="118" r:id="rId118"/>
    <sheet name="NB_1848_NioCorp Developments Lt" sheetId="119" r:id="rId119"/>
    <sheet name="NB_1849_Neurocrine Biosciences " sheetId="120" r:id="rId120"/>
    <sheet name="NB_1850_NACCO Industries Inc. C" sheetId="121" r:id="rId121"/>
    <sheet name="NB_1851_Norwegian Cruise Line H" sheetId="122" r:id="rId122"/>
    <sheet name="NB_1852_National CineMedia Inc." sheetId="123" r:id="rId123"/>
    <sheet name="NB_1853_nCino Inc. Common Stock" sheetId="124" r:id="rId124"/>
    <sheet name="NB_1854_Noodles &amp; Company Class" sheetId="125" r:id="rId125"/>
    <sheet name="NB_1855_ENDRA Life Sciences Inc" sheetId="126" r:id="rId126"/>
    <sheet name="NB_1856_Nordson Corporation Com" sheetId="127" r:id="rId127"/>
    <sheet name="NB_1857_Noble Corporation plc A" sheetId="128" r:id="rId128"/>
    <sheet name="NB_1858_NextEra Energy Inc. Com" sheetId="129" r:id="rId129"/>
    <sheet name="NB_1859_Newmont Corporation" sheetId="130" r:id="rId130"/>
    <sheet name="NB_1860_NeoGenomics Inc. Common" sheetId="131" r:id="rId131"/>
    <sheet name="NB_1861_Neogen Corporation Comm" sheetId="132" r:id="rId132"/>
    <sheet name="NB_1862_Nephros Inc. Common Sto" sheetId="133" r:id="rId133"/>
    <sheet name="NB_1863_Minerva Neurosciences I" sheetId="134" r:id="rId134"/>
    <sheet name="NB_1864_National Energy Service" sheetId="135" r:id="rId135"/>
    <sheet name="NB_1865_Cloudflare Inc. Class A" sheetId="136" r:id="rId136"/>
    <sheet name="NB_1866_NewMarket Corp Common S" sheetId="137" r:id="rId137"/>
    <sheet name="NB_1867_Neuphoria Therapeutics " sheetId="138" r:id="rId138"/>
    <sheet name="NB_1868_NextDecade Corporation " sheetId="139" r:id="rId139"/>
    <sheet name="NB_1869_New Fortress Energy Inc" sheetId="140" r:id="rId140"/>
    <sheet name="NB_1870_New Fortress Energy Inc" sheetId="141" r:id="rId141"/>
    <sheet name="NB_1871_National Fuel Gas Compa" sheetId="142" r:id="rId142"/>
    <sheet name="NB_1872_Netflix Inc. Common Sto" sheetId="143" r:id="rId143"/>
    <sheet name="NB_1873_NGL ENERGY PARTNERS LP " sheetId="144" r:id="rId144"/>
    <sheet name="NB_1874_Natural Gas Services Gr" sheetId="145" r:id="rId145"/>
    <sheet name="NB_1875_Natural Grocers by Vita" sheetId="146" r:id="rId146"/>
    <sheet name="NB_1876_Ingevity Corporation Co" sheetId="147" r:id="rId147"/>
    <sheet name="NB_1877_National HealthCare Cor" sheetId="148" r:id="rId148"/>
    <sheet name="NB_1878_Natural Health Trends C" sheetId="149" r:id="rId149"/>
    <sheet name="NB_1879_NiSource Inc Common Sto" sheetId="150" r:id="rId150"/>
    <sheet name="NB_1880_NIO Inc. American depos" sheetId="151" r:id="rId151"/>
    <sheet name="NB_1881_NioCorp Developments Lt" sheetId="152" r:id="rId152"/>
    <sheet name="NB_1882_NIQ Global Intelligence" sheetId="153" r:id="rId153"/>
    <sheet name="NB_1883_Nixxy Inc. Common Stock" sheetId="154" r:id="rId154"/>
    <sheet name="NB_1884_NewJersey Resources Cor" sheetId="155" r:id="rId155"/>
    <sheet name="NB_1885_Nike Inc. Common Stock" sheetId="156" r:id="rId156"/>
    <sheet name="NB_1886_Nektar Therapeutics  Co" sheetId="157" r:id="rId157"/>
    <sheet name="NB_1887_Nkarta Inc. Common Stoc" sheetId="158" r:id="rId158"/>
    <sheet name="NB_1888_NLI Holdings Inc. Commo" sheetId="159" r:id="rId159"/>
    <sheet name="NB_1889_Nomad Power Solutions I" sheetId="160" r:id="rId160"/>
    <sheet name="NB_1890_Newsmax Inc. Class B Co" sheetId="161" r:id="rId161"/>
    <sheet name="NB_1891_Neumora Therapeutics In" sheetId="162" r:id="rId162"/>
    <sheet name="NB_1892_NeuroOne Medical Techno" sheetId="163" r:id="rId163"/>
    <sheet name="NB_1893_NextNav Inc. Common Sto" sheetId="164" r:id="rId164"/>
    <sheet name="NB_1894_NN Inc. Common Stock" sheetId="165" r:id="rId165"/>
    <sheet name="NB_1895_Nano Nuclear Energy Inc" sheetId="166" r:id="rId166"/>
    <sheet name="NB_1896_NanoViricides Inc. Comm" sheetId="167" r:id="rId167"/>
    <sheet name="NB_1897_Northrop Grumman Corpor" sheetId="168" r:id="rId168"/>
    <sheet name="NB_1898_Northern Oil and Gas In" sheetId="169" r:id="rId169"/>
    <sheet name="NB_1899_NOMADAR Corp. Class A C" sheetId="170" r:id="rId170"/>
    <sheet name="NB_1900_NOV Inc. Common Stock" sheetId="171" r:id="rId171"/>
    <sheet name="NB_1901_ServiceNow Inc. Common " sheetId="172" r:id="rId172"/>
    <sheet name="NB_1902_Neuropace Inc. Common S" sheetId="173" r:id="rId173"/>
    <sheet name="NB_1903_National Presto Industr" sheetId="174" r:id="rId174"/>
    <sheet name="NB_1904_NPK International Inc. " sheetId="175" r:id="rId175"/>
    <sheet name="NB_1905_Enpro Inc. Common Stock" sheetId="176" r:id="rId176"/>
    <sheet name="NB_1906_NET Power Inc. Class A " sheetId="177" r:id="rId177"/>
    <sheet name="NB_1907_NRC Health Common Stock" sheetId="178" r:id="rId178"/>
    <sheet name="NB_1908_NerdWallet Inc. Class A" sheetId="179" r:id="rId179"/>
    <sheet name="NB_1909_NRG Energy Inc. Common " sheetId="180" r:id="rId180"/>
    <sheet name="NB_1910_Nurix Therapeutics Inc." sheetId="181" r:id="rId181"/>
    <sheet name="NB_1911_Natural Resource Partne" sheetId="182" r:id="rId182"/>
    <sheet name="NB_1912_North European Oil Roya" sheetId="183" r:id="rId183"/>
    <sheet name="NB_1913_NRX Pharmaceuticals Inc" sheetId="184" r:id="rId184"/>
    <sheet name="NB_1914_Neuraxis Inc. Common St" sheetId="185" r:id="rId185"/>
    <sheet name="NB_1915_Norfolk Southern Corpor" sheetId="186" r:id="rId186"/>
    <sheet name="NB_1916_Insight Enterprises Inc" sheetId="187" r:id="rId187"/>
    <sheet name="NB_1917_Insperity Inc. Common S" sheetId="188" r:id="rId188"/>
    <sheet name="NB_1918_NAPCO Security Technolo" sheetId="189" r:id="rId189"/>
    <sheet name="NB_1919_Nortech Systems Incorpo" sheetId="190" r:id="rId190"/>
    <sheet name="NB_1920_NetApp Inc. Common Stoc" sheetId="191" r:id="rId191"/>
    <sheet name="NB_1921_NetScout Systems Inc. C" sheetId="192" r:id="rId192"/>
    <sheet name="NB_1922_NETGEAR Inc. Common Sto" sheetId="193" r:id="rId193"/>
    <sheet name="NB_1923_NeOnc Technologies Hold" sheetId="194" r:id="rId194"/>
    <sheet name="NB_1924_Northern Technologies I" sheetId="195" r:id="rId195"/>
    <sheet name="NB_1925_Intellia Therapeutics I" sheetId="196" r:id="rId196"/>
    <sheet name="NB_1926_Nutanix Inc. Class A Co" sheetId="197" r:id="rId197"/>
    <sheet name="NB_1927_Natera Inc. Common Stoc" sheetId="198" r:id="rId198"/>
    <sheet name="NB_1928_Nutriband Inc. Common S" sheetId="199" r:id="rId199"/>
    <sheet name="NB_1929_Nutriband Inc. Warrant" sheetId="200" r:id="rId200"/>
    <sheet name="NB_1930_NextTrip Inc. Common St" sheetId="201" r:id="rId201"/>
    <sheet name="NB_1931_Netskope Inc. Class A C" sheetId="202" r:id="rId202"/>
    <sheet name="NB_1932_NetSol Technologies Inc" sheetId="203" r:id="rId203"/>
    <sheet name="NB_1933_New Era Energy &amp; Digita" sheetId="204" r:id="rId204"/>
    <sheet name="NB_1934_New Era Energy &amp; Digita" sheetId="205" r:id="rId205"/>
    <sheet name="NB_1935_Eagle Nuclear Energy Co" sheetId="206" r:id="rId206"/>
    <sheet name="NB_1936_Eagle Nuclear Energy Co" sheetId="207" r:id="rId207"/>
    <sheet name="NB_1937_Nucor Corporation Commo" sheetId="208" r:id="rId208"/>
    <sheet name="NB_1938_Nu Skin Enterprises Inc" sheetId="209" r:id="rId209"/>
    <sheet name="NB_1939_Nutex Health Inc. Commo" sheetId="210" r:id="rId210"/>
    <sheet name="NB_1940_Nuvation Bio Inc. Class" sheetId="211" r:id="rId211"/>
    <sheet name="NB_1941_Nuwellis Inc. Common St" sheetId="212" r:id="rId212"/>
    <sheet name="NB_1942_Novavax Inc. Common Sto" sheetId="213" r:id="rId213"/>
    <sheet name="NB_1943_Nuvectis Pharma Inc. Co" sheetId="214" r:id="rId214"/>
    <sheet name="NB_1944_NVIDIA Corporation Comm" sheetId="215" r:id="rId215"/>
    <sheet name="NB_1945_NVE Corporation Common " sheetId="216" r:id="rId216"/>
    <sheet name="NB_1946_enVVeno Medical Corpora" sheetId="217" r:id="rId217"/>
    <sheet name="NB_1947_NVR Inc. Common Stock" sheetId="218" r:id="rId218"/>
    <sheet name="NB_1948_Envista Holdings Corpor" sheetId="219" r:id="rId219"/>
    <sheet name="NB_1949_Navitas Semiconductor C" sheetId="220" r:id="rId220"/>
    <sheet name="NB_1950_NorthWestern Energy Gro" sheetId="221" r:id="rId221"/>
    <sheet name="NB_1951_Newell Brands Inc. Comm" sheetId="222" r:id="rId222"/>
    <sheet name="NB_1952_Northwest Natural Holdi" sheetId="223" r:id="rId223"/>
    <sheet name="NB_1953_NWPX Infrastructure Inc" sheetId="224" r:id="rId224"/>
    <sheet name="NB_1954_News Corporation Class " sheetId="225" r:id="rId225"/>
    <sheet name="NB_1955_News Corporation Class " sheetId="226" r:id="rId226"/>
    <sheet name="NB_1956_Newton Golf Company Inc" sheetId="227" r:id="rId227"/>
    <sheet name="NB_1957_Quanex Building Product" sheetId="228" r:id="rId228"/>
    <sheet name="NB_1958_Nextdoor Holdings Inc. " sheetId="229" r:id="rId229"/>
    <sheet name="NB_1959_NexGel Inc Common Stock" sheetId="230" r:id="rId230"/>
    <sheet name="NB_1960_NexGel Inc Warrant" sheetId="231" r:id="rId231"/>
    <sheet name="NB_1961_Neighborhood Intelligen" sheetId="232" r:id="rId232"/>
    <sheet name="NB_1962_Nexalin Technology Inc." sheetId="233" r:id="rId233"/>
    <sheet name="NB_1963_NextPlat Corp Common St" sheetId="234" r:id="rId234"/>
    <sheet name="NB_1964_Nexstar Media Group Inc" sheetId="235" r:id="rId235"/>
    <sheet name="NB_1965_Nextpower Inc. Common S" sheetId="236" r:id="rId236"/>
    <sheet name="NB_1966_NextCure Inc. Common St" sheetId="237" r:id="rId237"/>
    <sheet name="NB_1967_NextNRG Inc. Common Sto" sheetId="238" r:id="rId238"/>
    <sheet name="NB_1968_New York Times Company " sheetId="239" r:id="rId239"/>
    <sheet name="NB_1969_OmniAb Inc. Common Stoc" sheetId="240" r:id="rId240"/>
    <sheet name="NB_1970_OmniAb Inc. Warrant" sheetId="241" r:id="rId241"/>
    <sheet name="NB_1971_Our Bond Inc. Common St" sheetId="242" r:id="rId242"/>
    <sheet name="NB_1972_Orchestra BioMed Holdin" sheetId="243" r:id="rId243"/>
    <sheet name="NB_1973_Obsidian Therapeutics I" sheetId="244" r:id="rId244"/>
    <sheet name="NB_1974_Owens Corning Inc Commo" sheetId="245" r:id="rId245"/>
    <sheet name="NB_1975_Optical Cable Corporati" sheetId="246" r:id="rId246"/>
    <sheet name="NB_1976_Ocugen Inc. Common Stoc" sheetId="247" r:id="rId247"/>
    <sheet name="NB_1977_Octave Intelligence plc" sheetId="248" r:id="rId248"/>
    <sheet name="NB_1978_Ocular Therapeutix Inc." sheetId="249" r:id="rId249"/>
    <sheet name="NB_1979_Oil-Dri Corporation Of " sheetId="250" r:id="rId250"/>
    <sheet name="NB_1980_Old Dominion Freight Li" sheetId="251" r:id="rId251"/>
  </sheets>
  <calcPr calcId="124519" fullCalcOnLoad="1"/>
</workbook>
</file>

<file path=xl/sharedStrings.xml><?xml version="1.0" encoding="utf-8"?>
<sst xmlns="http://schemas.openxmlformats.org/spreadsheetml/2006/main" count="15763" uniqueCount="1157">
  <si>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</si>
  <si>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</si>
  <si>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</si>
  <si>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</si>
  <si>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</si>
  <si>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</si>
  <si>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</si>
  <si>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</si>
  <si>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</si>
  <si>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</si>
  <si>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</si>
  <si>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bloomberg_sector</t>
  </si>
  <si>
    <t>bloomberg_industry</t>
  </si>
  <si>
    <t>NB_1731</t>
  </si>
  <si>
    <t>nonbankrupt</t>
  </si>
  <si>
    <t/>
  </si>
  <si>
    <t>MIDD</t>
  </si>
  <si>
    <t>Middleby Corporation (The) Common Stock</t>
  </si>
  <si>
    <t>Industrials</t>
  </si>
  <si>
    <t>Industrial Machinery/Components</t>
  </si>
  <si>
    <t>MIDD US Equity</t>
  </si>
  <si>
    <t>1993-06-18</t>
  </si>
  <si>
    <t>2026-05-02</t>
  </si>
  <si>
    <t>NB_1732</t>
  </si>
  <si>
    <t>MIND</t>
  </si>
  <si>
    <t>MIND Technology Inc. Common Stock (DE)</t>
  </si>
  <si>
    <t>MIND US Equity</t>
  </si>
  <si>
    <t>NB_1733</t>
  </si>
  <si>
    <t>MIR</t>
  </si>
  <si>
    <t>Mirion Technologies Inc. Class A Common Stock</t>
  </si>
  <si>
    <t>MIR US Equity</t>
  </si>
  <si>
    <t>NB_1734</t>
  </si>
  <si>
    <t>MIRA</t>
  </si>
  <si>
    <t>MIRA Pharmaceuticals Inc. Common Stock</t>
  </si>
  <si>
    <t>Health Care</t>
  </si>
  <si>
    <t>Biotechnology: Pharmaceutical Preparations</t>
  </si>
  <si>
    <t>MIRA US Equity</t>
  </si>
  <si>
    <t>NB_1735</t>
  </si>
  <si>
    <t>MIRM</t>
  </si>
  <si>
    <t>Mirum Pharmaceuticals Inc. Common Stock</t>
  </si>
  <si>
    <t>MIRM US Equity</t>
  </si>
  <si>
    <t>NB_1736</t>
  </si>
  <si>
    <t>MITK</t>
  </si>
  <si>
    <t>Mitek Systems Inc. Common Stock</t>
  </si>
  <si>
    <t>Technology</t>
  </si>
  <si>
    <t>Computer peripheral equipment</t>
  </si>
  <si>
    <t>MITK US Equity</t>
  </si>
  <si>
    <t>NB_1737</t>
  </si>
  <si>
    <t>MITQ</t>
  </si>
  <si>
    <t>Moving iMage Technologies Inc. Common Stock</t>
  </si>
  <si>
    <t>Consumer Discretionary</t>
  </si>
  <si>
    <t>MITQ US Equity</t>
  </si>
  <si>
    <t>NB_1738</t>
  </si>
  <si>
    <t>MKC</t>
  </si>
  <si>
    <t>McCormick &amp; Company Incorporated Common Stock</t>
  </si>
  <si>
    <t>Consumer Staples</t>
  </si>
  <si>
    <t>Packaged Foods</t>
  </si>
  <si>
    <t>MKC US Equity</t>
  </si>
  <si>
    <t>NB_1739</t>
  </si>
  <si>
    <t>MKSI</t>
  </si>
  <si>
    <t>MKS Inc. Common Stock</t>
  </si>
  <si>
    <t>MKSI US Equity</t>
  </si>
  <si>
    <t>NB_1740</t>
  </si>
  <si>
    <t>MKTW</t>
  </si>
  <si>
    <t>MarketWise Inc. Class A Common Stock</t>
  </si>
  <si>
    <t>Computer Software: Prepackaged Software</t>
  </si>
  <si>
    <t>MKTW US Equity</t>
  </si>
  <si>
    <t>NB_1741</t>
  </si>
  <si>
    <t>MLAB</t>
  </si>
  <si>
    <t>Mesa Laboratories Inc. Common Stock</t>
  </si>
  <si>
    <t>MLAB US Equity</t>
  </si>
  <si>
    <t>NB_1742</t>
  </si>
  <si>
    <t>MLGO</t>
  </si>
  <si>
    <t>MicroAlgo Inc. Class A Ordinary Shares</t>
  </si>
  <si>
    <t>EDP Services</t>
  </si>
  <si>
    <t>MLGO US Equity</t>
  </si>
  <si>
    <t>NB_1743</t>
  </si>
  <si>
    <t>MLI</t>
  </si>
  <si>
    <t>Mueller Industries Inc. Common Stock</t>
  </si>
  <si>
    <t>Metal Fabrications</t>
  </si>
  <si>
    <t>MLI US Equity</t>
  </si>
  <si>
    <t>NB_1744</t>
  </si>
  <si>
    <t>MLKN</t>
  </si>
  <si>
    <t>MillerKnoll Inc. Common Stock</t>
  </si>
  <si>
    <t>Office Equipment/Supplies/Services</t>
  </si>
  <si>
    <t>MLKN US Equity</t>
  </si>
  <si>
    <t>NB_1745</t>
  </si>
  <si>
    <t>MLM</t>
  </si>
  <si>
    <t>Martin Marietta Materials Inc. Common Stock</t>
  </si>
  <si>
    <t>Mining &amp; Quarrying of Nonmetallic Minerals (No Fuels)</t>
  </si>
  <si>
    <t>MLM US Equity</t>
  </si>
  <si>
    <t>NB_1746</t>
  </si>
  <si>
    <t>MLR</t>
  </si>
  <si>
    <t>Miller Industries Inc. Common Stock</t>
  </si>
  <si>
    <t>Construction/Ag Equipment/Trucks</t>
  </si>
  <si>
    <t>MLR US Equity</t>
  </si>
  <si>
    <t>NB_1747</t>
  </si>
  <si>
    <t>MLSS</t>
  </si>
  <si>
    <t>Milestone Scientific Inc. Common Stock</t>
  </si>
  <si>
    <t>Industrial Specialties</t>
  </si>
  <si>
    <t>MLSS US Equity</t>
  </si>
  <si>
    <t>NB_1748</t>
  </si>
  <si>
    <t>MLTX</t>
  </si>
  <si>
    <t>MoonLake Immunotherapeutics Class A Ordinary Shares</t>
  </si>
  <si>
    <t>MLTX US Equity</t>
  </si>
  <si>
    <t>NB_1749</t>
  </si>
  <si>
    <t>MLYS</t>
  </si>
  <si>
    <t>Mineralys Therapeutics Inc. Common Stock</t>
  </si>
  <si>
    <t>MLYS US Equity</t>
  </si>
  <si>
    <t>NB_1750</t>
  </si>
  <si>
    <t>MMED</t>
  </si>
  <si>
    <t>MiniMed Group Inc. Common Stock</t>
  </si>
  <si>
    <t>Medical/Dental Instruments</t>
  </si>
  <si>
    <t>MMED US Equity</t>
  </si>
  <si>
    <t>NB_1751</t>
  </si>
  <si>
    <t>MMLP</t>
  </si>
  <si>
    <t>Martin Midstream Partners L.P. Limited Partnership</t>
  </si>
  <si>
    <t>Energy</t>
  </si>
  <si>
    <t>Oil Refining/Marketing</t>
  </si>
  <si>
    <t>MMLP US Equity</t>
  </si>
  <si>
    <t>NB_1752</t>
  </si>
  <si>
    <t>MMM</t>
  </si>
  <si>
    <t>3M Company Common Stock</t>
  </si>
  <si>
    <t>MMM US Equity</t>
  </si>
  <si>
    <t>NB_1753</t>
  </si>
  <si>
    <t>MMS</t>
  </si>
  <si>
    <t>Maximus Inc. Common Stock</t>
  </si>
  <si>
    <t>Business Services</t>
  </si>
  <si>
    <t>MMS US Equity</t>
  </si>
  <si>
    <t>NB_1754</t>
  </si>
  <si>
    <t>MMSI</t>
  </si>
  <si>
    <t>Merit Medical Systems Inc. Common Stock</t>
  </si>
  <si>
    <t>MMSI US Equity</t>
  </si>
  <si>
    <t>NB_1755</t>
  </si>
  <si>
    <t>MNKD</t>
  </si>
  <si>
    <t>MannKind Corporation Common Stock</t>
  </si>
  <si>
    <t>MNKD US Equity</t>
  </si>
  <si>
    <t>NB_1756</t>
  </si>
  <si>
    <t>MNOV</t>
  </si>
  <si>
    <t>Medicinova Inc Common Stock</t>
  </si>
  <si>
    <t>MNOV US Equity</t>
  </si>
  <si>
    <t>NB_1757</t>
  </si>
  <si>
    <t>MNPR</t>
  </si>
  <si>
    <t>Monopar Therapeutics Inc. Common Stock</t>
  </si>
  <si>
    <t>MNPR US Equity</t>
  </si>
  <si>
    <t>NB_1758</t>
  </si>
  <si>
    <t>MNR</t>
  </si>
  <si>
    <t>Mach Natural Resources LP Common Units representing Limited Partner Interests</t>
  </si>
  <si>
    <t>Oil &amp; Gas Production</t>
  </si>
  <si>
    <t>MNR US Equity</t>
  </si>
  <si>
    <t>NB_1759</t>
  </si>
  <si>
    <t>MNRO</t>
  </si>
  <si>
    <t>Monro Inc. Common Stock</t>
  </si>
  <si>
    <t>Automotive Aftermarket</t>
  </si>
  <si>
    <t>MNRO US Equity</t>
  </si>
  <si>
    <t>NB_1760</t>
  </si>
  <si>
    <t>MNST</t>
  </si>
  <si>
    <t>Monster Beverage Corporation</t>
  </si>
  <si>
    <t>Beverages (Production/Distribution)</t>
  </si>
  <si>
    <t>MNST US Equity</t>
  </si>
  <si>
    <t>NB_1761</t>
  </si>
  <si>
    <t>MNTK</t>
  </si>
  <si>
    <t>Montauk Renewables Inc. Common Stock</t>
  </si>
  <si>
    <t>Utilities</t>
  </si>
  <si>
    <t>Natural Gas Distribution</t>
  </si>
  <si>
    <t>MNTK US Equity</t>
  </si>
  <si>
    <t>NB_1762</t>
  </si>
  <si>
    <t>MNTN</t>
  </si>
  <si>
    <t>MNTN Inc. Class A Common Stock</t>
  </si>
  <si>
    <t>Advertising</t>
  </si>
  <si>
    <t>MNTN US Equity</t>
  </si>
  <si>
    <t>NB_1763</t>
  </si>
  <si>
    <t>MNTS</t>
  </si>
  <si>
    <t>Momentus Inc. Class A Common Stock</t>
  </si>
  <si>
    <t>Military/Government/Technical</t>
  </si>
  <si>
    <t>MNTS US Equity</t>
  </si>
  <si>
    <t>NB_1764</t>
  </si>
  <si>
    <t>MO</t>
  </si>
  <si>
    <t>Altria Group Inc.</t>
  </si>
  <si>
    <t>Medicinal Chemicals and Botanical Products</t>
  </si>
  <si>
    <t>MO US Equity</t>
  </si>
  <si>
    <t>NB_1765</t>
  </si>
  <si>
    <t>MOBI</t>
  </si>
  <si>
    <t>Mobia Medical Inc. Common Stock</t>
  </si>
  <si>
    <t>MOBI US Equity</t>
  </si>
  <si>
    <t>NB_1766</t>
  </si>
  <si>
    <t>MOBX</t>
  </si>
  <si>
    <t>Mobix Labs Inc. Class A Common Stock</t>
  </si>
  <si>
    <t>Semiconductors</t>
  </si>
  <si>
    <t>MOBX US Equity</t>
  </si>
  <si>
    <t>NB_1767</t>
  </si>
  <si>
    <t>MOBXW</t>
  </si>
  <si>
    <t>Mobix Labs Inc Warrants</t>
  </si>
  <si>
    <t>MOBXW US Equity</t>
  </si>
  <si>
    <t>NB_1768</t>
  </si>
  <si>
    <t>MOD</t>
  </si>
  <si>
    <t>Modine Manufacturing Company Common Stock</t>
  </si>
  <si>
    <t>Auto Parts:O.E.M.</t>
  </si>
  <si>
    <t>MOD US Equity</t>
  </si>
  <si>
    <t>NB_1769</t>
  </si>
  <si>
    <t>MODD</t>
  </si>
  <si>
    <t>Modular Medical Inc. Common Stock</t>
  </si>
  <si>
    <t>MODD US Equity</t>
  </si>
  <si>
    <t>NB_1770</t>
  </si>
  <si>
    <t>MOH</t>
  </si>
  <si>
    <t>Molina Healthcare Inc Common Stock</t>
  </si>
  <si>
    <t>Medical Specialities</t>
  </si>
  <si>
    <t>MOH US Equity</t>
  </si>
  <si>
    <t>NB_1771</t>
  </si>
  <si>
    <t>MOS</t>
  </si>
  <si>
    <t>Mosaic Company (The) Common Stock</t>
  </si>
  <si>
    <t>Agricultural Chemicals</t>
  </si>
  <si>
    <t>MOS US Equity</t>
  </si>
  <si>
    <t>NB_1772</t>
  </si>
  <si>
    <t>MOV</t>
  </si>
  <si>
    <t>Movado Group Inc. Common Stock</t>
  </si>
  <si>
    <t>Consumer Specialties</t>
  </si>
  <si>
    <t>MOV US Equity</t>
  </si>
  <si>
    <t>NB_1773</t>
  </si>
  <si>
    <t>MOVE</t>
  </si>
  <si>
    <t>Corvex Inc. Common Stock</t>
  </si>
  <si>
    <t>MOVE US Equity</t>
  </si>
  <si>
    <t>NB_1774</t>
  </si>
  <si>
    <t>MP</t>
  </si>
  <si>
    <t>MP Materials Corp. Common Stock</t>
  </si>
  <si>
    <t>Basic Materials</t>
  </si>
  <si>
    <t>Metal Mining</t>
  </si>
  <si>
    <t>MP US Equity</t>
  </si>
  <si>
    <t>NB_1775</t>
  </si>
  <si>
    <t>MPAA</t>
  </si>
  <si>
    <t>Motorcar Parts  of America Inc. Common Stock</t>
  </si>
  <si>
    <t>MPAA US Equity</t>
  </si>
  <si>
    <t>NB_1776</t>
  </si>
  <si>
    <t>MPC</t>
  </si>
  <si>
    <t>Marathon Petroleum Corporation Common Stock</t>
  </si>
  <si>
    <t>Integrated oil Companies</t>
  </si>
  <si>
    <t>MPC US Equity</t>
  </si>
  <si>
    <t>NB_1777</t>
  </si>
  <si>
    <t>MPLT</t>
  </si>
  <si>
    <t>MapLight Therapeutics Inc. Common Stock</t>
  </si>
  <si>
    <t>MPLT US Equity</t>
  </si>
  <si>
    <t>NB_1778</t>
  </si>
  <si>
    <t>MPLX</t>
  </si>
  <si>
    <t>MPLX LP Common Units Representing Limited Partner Interests</t>
  </si>
  <si>
    <t>MPLX US Equity</t>
  </si>
  <si>
    <t>NB_1779</t>
  </si>
  <si>
    <t>MPTI</t>
  </si>
  <si>
    <t>M-tron Industries Inc. Common Stock</t>
  </si>
  <si>
    <t>MPTI US Equity</t>
  </si>
  <si>
    <t>NB_1780</t>
  </si>
  <si>
    <t>MPU</t>
  </si>
  <si>
    <t>Mega Matrix Inc. Class A Ordinary Shares</t>
  </si>
  <si>
    <t>Movies/Entertainment</t>
  </si>
  <si>
    <t>MPU US Equity</t>
  </si>
  <si>
    <t>NB_1781</t>
  </si>
  <si>
    <t>MPWR</t>
  </si>
  <si>
    <t>Monolithic Power Systems Inc. Common Stock</t>
  </si>
  <si>
    <t>MPWR US Equity</t>
  </si>
  <si>
    <t>NB_1782</t>
  </si>
  <si>
    <t>MQ</t>
  </si>
  <si>
    <t>Marqeta Inc. Class A Common Stock</t>
  </si>
  <si>
    <t>MQ US Equity</t>
  </si>
  <si>
    <t>NB_1783</t>
  </si>
  <si>
    <t>MRAM</t>
  </si>
  <si>
    <t>Everspin Technologies Inc. Common Stock</t>
  </si>
  <si>
    <t>MRAM US Equity</t>
  </si>
  <si>
    <t>NB_1784</t>
  </si>
  <si>
    <t>MRCY</t>
  </si>
  <si>
    <t>Mercury Systems Inc Common Stock</t>
  </si>
  <si>
    <t>Electrical Products</t>
  </si>
  <si>
    <t>MRCY US Equity</t>
  </si>
  <si>
    <t>NB_1785</t>
  </si>
  <si>
    <t>MRDN</t>
  </si>
  <si>
    <t>Meridian Holdings Inc. Common Stock</t>
  </si>
  <si>
    <t>MRDN US Equity</t>
  </si>
  <si>
    <t>NB_1786</t>
  </si>
  <si>
    <t>MRK</t>
  </si>
  <si>
    <t>Merck &amp; Company Inc. Common Stock (new)</t>
  </si>
  <si>
    <t>MRK US Equity</t>
  </si>
  <si>
    <t>NB_1787</t>
  </si>
  <si>
    <t>MRKR</t>
  </si>
  <si>
    <t>Marker Therapeutics Inc. Common Stock</t>
  </si>
  <si>
    <t>MRKR US Equity</t>
  </si>
  <si>
    <t>NB_1788</t>
  </si>
  <si>
    <t>MRLN</t>
  </si>
  <si>
    <t>Merlin Inc. Common Stock</t>
  </si>
  <si>
    <t>MRLN US Equity</t>
  </si>
  <si>
    <t>NB_1789</t>
  </si>
  <si>
    <t>MRNA</t>
  </si>
  <si>
    <t>Moderna Inc. Common Stock</t>
  </si>
  <si>
    <t>Biotechnology: Biological Products (No Diagnostic Substances)</t>
  </si>
  <si>
    <t>MRNA US Equity</t>
  </si>
  <si>
    <t>NB_1790</t>
  </si>
  <si>
    <t>MRTN</t>
  </si>
  <si>
    <t>Marten Transport Ltd. Common Stock</t>
  </si>
  <si>
    <t>Trucking Freight/Courier Services</t>
  </si>
  <si>
    <t>MRTN US Equity</t>
  </si>
  <si>
    <t>NB_1791</t>
  </si>
  <si>
    <t>MRVI</t>
  </si>
  <si>
    <t>Maravai LifeSciences Holdings Inc. Class A Common Stock</t>
  </si>
  <si>
    <t>MRVI US Equity</t>
  </si>
  <si>
    <t>NB_1792</t>
  </si>
  <si>
    <t>MRVL</t>
  </si>
  <si>
    <t>Marvell Technology Inc. Common Stock</t>
  </si>
  <si>
    <t>MRVL US Equity</t>
  </si>
  <si>
    <t>NB_1793</t>
  </si>
  <si>
    <t>MSA</t>
  </si>
  <si>
    <t>MSA Safety Incorporated Common Stock</t>
  </si>
  <si>
    <t>MSA US Equity</t>
  </si>
  <si>
    <t>NB_1794</t>
  </si>
  <si>
    <t>MSAI</t>
  </si>
  <si>
    <t>MultiSensor AI Holdings Inc. Common Stock</t>
  </si>
  <si>
    <t>Electronic Components</t>
  </si>
  <si>
    <t>MSAI US Equity</t>
  </si>
  <si>
    <t>NB_1795</t>
  </si>
  <si>
    <t>MSAIW</t>
  </si>
  <si>
    <t>MultiSensor AI Holdings Inc. Warrant</t>
  </si>
  <si>
    <t>MSAIW US Equity</t>
  </si>
  <si>
    <t>NB_1796</t>
  </si>
  <si>
    <t>MSB</t>
  </si>
  <si>
    <t>Mesabi Trust Common Stock</t>
  </si>
  <si>
    <t>Precious Metals</t>
  </si>
  <si>
    <t>MSB US Equity</t>
  </si>
  <si>
    <t>NB_1797</t>
  </si>
  <si>
    <t>MSCI</t>
  </si>
  <si>
    <t>MSCI Inc. Common Stock</t>
  </si>
  <si>
    <t>MSCI US Equity</t>
  </si>
  <si>
    <t>NB_1798</t>
  </si>
  <si>
    <t>MSEX</t>
  </si>
  <si>
    <t>Middlesex Water Company Common Stock</t>
  </si>
  <si>
    <t>Water Supply</t>
  </si>
  <si>
    <t>MSEX US Equity</t>
  </si>
  <si>
    <t>NB_1799</t>
  </si>
  <si>
    <t>MSFT</t>
  </si>
  <si>
    <t>Microsoft Corporation Common Stock</t>
  </si>
  <si>
    <t>MSFT US Equity</t>
  </si>
  <si>
    <t>NB_1800</t>
  </si>
  <si>
    <t>MSGE</t>
  </si>
  <si>
    <t>Madison Square Garden Entertainment Corp. Class A Common Stock</t>
  </si>
  <si>
    <t>Services-Misc. Amusement &amp; Recreation</t>
  </si>
  <si>
    <t>MSGE US Equity</t>
  </si>
  <si>
    <t>NB_1801</t>
  </si>
  <si>
    <t>MSGM</t>
  </si>
  <si>
    <t>Motorsport Games Inc. Class A Common Stock</t>
  </si>
  <si>
    <t>MSGM US Equity</t>
  </si>
  <si>
    <t>NB_1802</t>
  </si>
  <si>
    <t>MSGS</t>
  </si>
  <si>
    <t>Madison Square Garden Sports Corp. Class A Common Stock (New)</t>
  </si>
  <si>
    <t>MSGS US Equity</t>
  </si>
  <si>
    <t>NB_1803</t>
  </si>
  <si>
    <t>MSI</t>
  </si>
  <si>
    <t>Motorola Solutions Inc. Common Stock</t>
  </si>
  <si>
    <t>Radio And Television Broadcasting And Communications Equipment</t>
  </si>
  <si>
    <t>MSI US Equity</t>
  </si>
  <si>
    <t>NB_1804</t>
  </si>
  <si>
    <t>MSM</t>
  </si>
  <si>
    <t>MSC Industrial Direct Company Inc. Common Stock</t>
  </si>
  <si>
    <t>MSM US Equity</t>
  </si>
  <si>
    <t>NB_1805</t>
  </si>
  <si>
    <t>MSN</t>
  </si>
  <si>
    <t>Emerson Radio Corporation Common Stock</t>
  </si>
  <si>
    <t>Consumer Electronics/Appliances</t>
  </si>
  <si>
    <t>MSN US Equity</t>
  </si>
  <si>
    <t>NB_1806</t>
  </si>
  <si>
    <t>MSS</t>
  </si>
  <si>
    <t>Maison Solutions Inc. Class A Common Stock</t>
  </si>
  <si>
    <t>Food Chains</t>
  </si>
  <si>
    <t>MSS US Equity</t>
  </si>
  <si>
    <t>NB_1807</t>
  </si>
  <si>
    <t>MSTR</t>
  </si>
  <si>
    <t>Strategy Inc Common Stock Class A</t>
  </si>
  <si>
    <t>MSTR US Equity</t>
  </si>
  <si>
    <t>NB_1808</t>
  </si>
  <si>
    <t>MTCH</t>
  </si>
  <si>
    <t>Match Group Inc. Common Stock</t>
  </si>
  <si>
    <t>Computer Software: Programming Data Processing</t>
  </si>
  <si>
    <t>MTCH US Equity</t>
  </si>
  <si>
    <t>NB_1809</t>
  </si>
  <si>
    <t>MTDR</t>
  </si>
  <si>
    <t>Matador Resources Company Common Stock</t>
  </si>
  <si>
    <t>MTDR US Equity</t>
  </si>
  <si>
    <t>NB_1810</t>
  </si>
  <si>
    <t>MTEX</t>
  </si>
  <si>
    <t>Mannatech Incorporated Common Stock</t>
  </si>
  <si>
    <t>MTEX US Equity</t>
  </si>
  <si>
    <t>NB_1811</t>
  </si>
  <si>
    <t>MTH</t>
  </si>
  <si>
    <t>Meritage Homes Corporation Common Stock</t>
  </si>
  <si>
    <t>Homebuilding</t>
  </si>
  <si>
    <t>MTH US Equity</t>
  </si>
  <si>
    <t>NB_1812</t>
  </si>
  <si>
    <t>MTN</t>
  </si>
  <si>
    <t>Vail Resorts Inc. Common Stock</t>
  </si>
  <si>
    <t>MTN US Equity</t>
  </si>
  <si>
    <t>NB_1813</t>
  </si>
  <si>
    <t>MTNB</t>
  </si>
  <si>
    <t>Matinas Biopharma Holdings Inc. Common Stock</t>
  </si>
  <si>
    <t>MTNB US Equity</t>
  </si>
  <si>
    <t>NB_1814</t>
  </si>
  <si>
    <t>MTR</t>
  </si>
  <si>
    <t>Mesa Royalty Trust Common Stock</t>
  </si>
  <si>
    <t>MTR US Equity</t>
  </si>
  <si>
    <t>NB_1815</t>
  </si>
  <si>
    <t>MTRN</t>
  </si>
  <si>
    <t>Materion Corporation</t>
  </si>
  <si>
    <t>MTRN US Equity</t>
  </si>
  <si>
    <t>NB_1816</t>
  </si>
  <si>
    <t>MTRX</t>
  </si>
  <si>
    <t>Matrix Service Company Common Stock</t>
  </si>
  <si>
    <t>Engineering &amp; Construction</t>
  </si>
  <si>
    <t>MTRX US Equity</t>
  </si>
  <si>
    <t>NB_1817</t>
  </si>
  <si>
    <t>MTSI</t>
  </si>
  <si>
    <t>MACOM Technology Solutions Holdings Inc. Common Stock</t>
  </si>
  <si>
    <t>MTSI US Equity</t>
  </si>
  <si>
    <t>NB_1818</t>
  </si>
  <si>
    <t>MTUS</t>
  </si>
  <si>
    <t>Metallus Inc. Common Shares</t>
  </si>
  <si>
    <t>Steel/Iron Ore</t>
  </si>
  <si>
    <t>MTUS US Equity</t>
  </si>
  <si>
    <t>NB_1819</t>
  </si>
  <si>
    <t>MTVA</t>
  </si>
  <si>
    <t>MetaVia Inc. Common Stock</t>
  </si>
  <si>
    <t>MTVA US Equity</t>
  </si>
  <si>
    <t>NB_1820</t>
  </si>
  <si>
    <t>MTW</t>
  </si>
  <si>
    <t>Manitowoc Company Inc. (The) Common Stock</t>
  </si>
  <si>
    <t>MTW US Equity</t>
  </si>
  <si>
    <t>NB_1821</t>
  </si>
  <si>
    <t>MTX</t>
  </si>
  <si>
    <t>Minerals Technologies Inc. Common Stock</t>
  </si>
  <si>
    <t>Major Chemicals</t>
  </si>
  <si>
    <t>MTX US Equity</t>
  </si>
  <si>
    <t>NB_1822</t>
  </si>
  <si>
    <t>MTZ</t>
  </si>
  <si>
    <t>MasTec Inc. Common Stock</t>
  </si>
  <si>
    <t>Water Sewer Pipeline Comm &amp; Power Line Construction</t>
  </si>
  <si>
    <t>MTZ US Equity</t>
  </si>
  <si>
    <t>NB_1823</t>
  </si>
  <si>
    <t>MU</t>
  </si>
  <si>
    <t>Micron Technology Inc. Common Stock</t>
  </si>
  <si>
    <t>MU US Equity</t>
  </si>
  <si>
    <t>NB_1824</t>
  </si>
  <si>
    <t>MUR</t>
  </si>
  <si>
    <t>Murphy Oil Corporation Common Stock</t>
  </si>
  <si>
    <t>MUR US Equity</t>
  </si>
  <si>
    <t>NB_1825</t>
  </si>
  <si>
    <t>MUSA</t>
  </si>
  <si>
    <t>Murphy USA Inc. Common Stock</t>
  </si>
  <si>
    <t>Retail-Auto Dealers and Gas Stations</t>
  </si>
  <si>
    <t>MUSA US Equity</t>
  </si>
  <si>
    <t>NB_1826</t>
  </si>
  <si>
    <t>MVIS</t>
  </si>
  <si>
    <t>MicroVision Inc. Common Stock</t>
  </si>
  <si>
    <t>MVIS US Equity</t>
  </si>
  <si>
    <t>NB_1827</t>
  </si>
  <si>
    <t>MWA</t>
  </si>
  <si>
    <t>MUELLER WATER PRODUCTS Common Stock</t>
  </si>
  <si>
    <t>MWA US Equity</t>
  </si>
  <si>
    <t>NB_1828</t>
  </si>
  <si>
    <t>MWH</t>
  </si>
  <si>
    <t>SOLV Energy Inc. Class A Common Stock</t>
  </si>
  <si>
    <t>MWH US Equity</t>
  </si>
  <si>
    <t>NB_1829</t>
  </si>
  <si>
    <t>MWYN</t>
  </si>
  <si>
    <t>Marwynn Holdings Inc. Common stock</t>
  </si>
  <si>
    <t>Food Distributors</t>
  </si>
  <si>
    <t>MWYN US Equity</t>
  </si>
  <si>
    <t>NB_1830</t>
  </si>
  <si>
    <t>MXC</t>
  </si>
  <si>
    <t>Mexco Energy Corporation Common Stock</t>
  </si>
  <si>
    <t>MXC US Equity</t>
  </si>
  <si>
    <t>NB_1831</t>
  </si>
  <si>
    <t>MXCT</t>
  </si>
  <si>
    <t>MaxCyte Inc. Common Stock</t>
  </si>
  <si>
    <t>Biotechnology: Commercial Physical &amp; Biological Resarch</t>
  </si>
  <si>
    <t>MXCT US Equity</t>
  </si>
  <si>
    <t>NB_1832</t>
  </si>
  <si>
    <t>MXL</t>
  </si>
  <si>
    <t>MaxLinear Inc. Common Stock</t>
  </si>
  <si>
    <t>MXL US Equity</t>
  </si>
  <si>
    <t>NB_1833</t>
  </si>
  <si>
    <t>MYE</t>
  </si>
  <si>
    <t>Myers Industries Inc. Common Stock</t>
  </si>
  <si>
    <t>Plastic Products</t>
  </si>
  <si>
    <t>MYE US Equity</t>
  </si>
  <si>
    <t>NB_1834</t>
  </si>
  <si>
    <t>MYGN</t>
  </si>
  <si>
    <t>Myriad Genetics Inc. Common Stock</t>
  </si>
  <si>
    <t>Biotechnology: In Vitro &amp; In Vivo Diagnostic Substances</t>
  </si>
  <si>
    <t>MYGN US Equity</t>
  </si>
  <si>
    <t>NB_1835</t>
  </si>
  <si>
    <t>MYO</t>
  </si>
  <si>
    <t>Myomo Inc. Common Stock</t>
  </si>
  <si>
    <t>MYO US Equity</t>
  </si>
  <si>
    <t>NB_1836</t>
  </si>
  <si>
    <t>MYPS</t>
  </si>
  <si>
    <t>PLAYSTUDIOS Inc.  Class A Common Stock</t>
  </si>
  <si>
    <t>MYPS US Equity</t>
  </si>
  <si>
    <t>NB_1837</t>
  </si>
  <si>
    <t>MYRG</t>
  </si>
  <si>
    <t>MYR Group Inc. Common Stock</t>
  </si>
  <si>
    <t>MYRG US Equity</t>
  </si>
  <si>
    <t>NB_1838</t>
  </si>
  <si>
    <t>MYSE</t>
  </si>
  <si>
    <t>Myseum.AI Inc. Common Stock</t>
  </si>
  <si>
    <t>Telecommunications</t>
  </si>
  <si>
    <t>Telecommunications Equipment</t>
  </si>
  <si>
    <t>MYSE US Equity</t>
  </si>
  <si>
    <t>NB_1839</t>
  </si>
  <si>
    <t>MZTI</t>
  </si>
  <si>
    <t>The Marzetti Company Common Stock</t>
  </si>
  <si>
    <t>MZTI US Equity</t>
  </si>
  <si>
    <t>NB_1840</t>
  </si>
  <si>
    <t>NABL</t>
  </si>
  <si>
    <t>N-able Inc. Common Stock</t>
  </si>
  <si>
    <t>NABL US Equity</t>
  </si>
  <si>
    <t>NB_1841</t>
  </si>
  <si>
    <t>NAGE</t>
  </si>
  <si>
    <t>Niagen Bioscience Inc. Common Stock</t>
  </si>
  <si>
    <t>NAGE US Equity</t>
  </si>
  <si>
    <t>NB_1842</t>
  </si>
  <si>
    <t>NAII</t>
  </si>
  <si>
    <t>Natural Alternatives International Inc. Common Stock</t>
  </si>
  <si>
    <t>NAII US Equity</t>
  </si>
  <si>
    <t>NB_1843</t>
  </si>
  <si>
    <t>NAKA</t>
  </si>
  <si>
    <t>Nakamoto Inc. Common Stock</t>
  </si>
  <si>
    <t>Medical/Nursing Services</t>
  </si>
  <si>
    <t>NAKA US Equity</t>
  </si>
  <si>
    <t>NB_1844</t>
  </si>
  <si>
    <t>NATH</t>
  </si>
  <si>
    <t>Nathan's Famous Inc. Common Stock</t>
  </si>
  <si>
    <t>Restaurants</t>
  </si>
  <si>
    <t>NATH US Equity</t>
  </si>
  <si>
    <t>NB_1845</t>
  </si>
  <si>
    <t>NATR</t>
  </si>
  <si>
    <t>Nature's Sunshine Products Inc. Common Stock</t>
  </si>
  <si>
    <t>NATR US Equity</t>
  </si>
  <si>
    <t>NB_1846</t>
  </si>
  <si>
    <t>NAUT</t>
  </si>
  <si>
    <t>Nautilus Biotechnology Inc. Common Stock</t>
  </si>
  <si>
    <t>Biotechnology: Laboratory Analytical Instruments</t>
  </si>
  <si>
    <t>NAUT US Equity</t>
  </si>
  <si>
    <t>NB_1847</t>
  </si>
  <si>
    <t>NAVN</t>
  </si>
  <si>
    <t>Navan Inc. Class A Common Stock</t>
  </si>
  <si>
    <t>NAVN US Equity</t>
  </si>
  <si>
    <t>NB_1848</t>
  </si>
  <si>
    <t>NB</t>
  </si>
  <si>
    <t>NioCorp Developments Ltd. Common Stock</t>
  </si>
  <si>
    <t>NB US Equity</t>
  </si>
  <si>
    <t>NB_1849</t>
  </si>
  <si>
    <t>NBIX</t>
  </si>
  <si>
    <t>Neurocrine Biosciences Inc. Common Stock</t>
  </si>
  <si>
    <t>NBIX US Equity</t>
  </si>
  <si>
    <t>NB_1850</t>
  </si>
  <si>
    <t>NC</t>
  </si>
  <si>
    <t>NACCO Industries Inc. Common Stock</t>
  </si>
  <si>
    <t>Coal Mining</t>
  </si>
  <si>
    <t>NC US Equity</t>
  </si>
  <si>
    <t>NB_1851</t>
  </si>
  <si>
    <t>NCLH</t>
  </si>
  <si>
    <t>Norwegian Cruise Line Holdings Ltd. Ordinary Shares</t>
  </si>
  <si>
    <t>Marine Transportation</t>
  </si>
  <si>
    <t>NCLH US Equity</t>
  </si>
  <si>
    <t>NB_1852</t>
  </si>
  <si>
    <t>NCMI</t>
  </si>
  <si>
    <t>National CineMedia Inc. Common Stock</t>
  </si>
  <si>
    <t>NCMI US Equity</t>
  </si>
  <si>
    <t>NB_1853</t>
  </si>
  <si>
    <t>NCNO</t>
  </si>
  <si>
    <t>nCino Inc. Common Stock</t>
  </si>
  <si>
    <t>NCNO US Equity</t>
  </si>
  <si>
    <t>NB_1854</t>
  </si>
  <si>
    <t>NDLS</t>
  </si>
  <si>
    <t>Noodles &amp; Company Class A Common Stock</t>
  </si>
  <si>
    <t>NDLS US Equity</t>
  </si>
  <si>
    <t>NB_1855</t>
  </si>
  <si>
    <t>NDRA</t>
  </si>
  <si>
    <t>ENDRA Life Sciences Inc. Common Stock</t>
  </si>
  <si>
    <t>Biotechnology: Electromedical &amp; Electrotherapeutic Apparatus</t>
  </si>
  <si>
    <t>NDRA US Equity</t>
  </si>
  <si>
    <t>NB_1856</t>
  </si>
  <si>
    <t>NDSN</t>
  </si>
  <si>
    <t>Nordson Corporation Common Stock</t>
  </si>
  <si>
    <t>NDSN US Equity</t>
  </si>
  <si>
    <t>NB_1857</t>
  </si>
  <si>
    <t>NE</t>
  </si>
  <si>
    <t>Noble Corporation plc A Ordinary Shares</t>
  </si>
  <si>
    <t>NE US Equity</t>
  </si>
  <si>
    <t>NB_1858</t>
  </si>
  <si>
    <t>NEE</t>
  </si>
  <si>
    <t>NextEra Energy Inc. Common Stock</t>
  </si>
  <si>
    <t>Electric Utilities: Central</t>
  </si>
  <si>
    <t>NEE US Equity</t>
  </si>
  <si>
    <t>NB_1859</t>
  </si>
  <si>
    <t>NEM</t>
  </si>
  <si>
    <t>Newmont Corporation</t>
  </si>
  <si>
    <t>NEM US Equity</t>
  </si>
  <si>
    <t>NB_1860</t>
  </si>
  <si>
    <t>NEO</t>
  </si>
  <si>
    <t>NeoGenomics Inc. Common Stock</t>
  </si>
  <si>
    <t>Precision Instruments</t>
  </si>
  <si>
    <t>NEO US Equity</t>
  </si>
  <si>
    <t>NB_1861</t>
  </si>
  <si>
    <t>NEOG</t>
  </si>
  <si>
    <t>Neogen Corporation Common Stock</t>
  </si>
  <si>
    <t>NEOG US Equity</t>
  </si>
  <si>
    <t>NB_1862</t>
  </si>
  <si>
    <t>NEPH</t>
  </si>
  <si>
    <t>Nephros Inc. Common Stock</t>
  </si>
  <si>
    <t>NEPH US Equity</t>
  </si>
  <si>
    <t>NB_1863</t>
  </si>
  <si>
    <t>NERV</t>
  </si>
  <si>
    <t>Minerva Neurosciences Inc Common Stock</t>
  </si>
  <si>
    <t>NERV US Equity</t>
  </si>
  <si>
    <t>NB_1864</t>
  </si>
  <si>
    <t>NESR</t>
  </si>
  <si>
    <t>National Energy Services Reunited Corp Ordinary Shares</t>
  </si>
  <si>
    <t>Oilfield Services/Equipment</t>
  </si>
  <si>
    <t>NESR US Equity</t>
  </si>
  <si>
    <t>NB_1865</t>
  </si>
  <si>
    <t>NET</t>
  </si>
  <si>
    <t>Cloudflare Inc. Class A Common Stock</t>
  </si>
  <si>
    <t>NET US Equity</t>
  </si>
  <si>
    <t>NB_1866</t>
  </si>
  <si>
    <t>NEU</t>
  </si>
  <si>
    <t>NewMarket Corp Common Stock</t>
  </si>
  <si>
    <t>NEU US Equity</t>
  </si>
  <si>
    <t>NB_1867</t>
  </si>
  <si>
    <t>NEUP</t>
  </si>
  <si>
    <t>Neuphoria Therapeutics Inc. Common Stock</t>
  </si>
  <si>
    <t>NEUP US Equity</t>
  </si>
  <si>
    <t>NB_1868</t>
  </si>
  <si>
    <t>NEXT</t>
  </si>
  <si>
    <t>NextDecade Corporation Common Stock</t>
  </si>
  <si>
    <t>NEXT US Equity</t>
  </si>
  <si>
    <t>NB_1869</t>
  </si>
  <si>
    <t>NFE</t>
  </si>
  <si>
    <t>New Fortress Energy Inc. Class A Common Stock</t>
  </si>
  <si>
    <t>Oil/Gas Transmission</t>
  </si>
  <si>
    <t>NFE US Equity</t>
  </si>
  <si>
    <t>NB_1870</t>
  </si>
  <si>
    <t>NFEGP</t>
  </si>
  <si>
    <t>New Fortress Energy Inc. Series A Mandatorily Convertible Preferred Stock</t>
  </si>
  <si>
    <t>NFEGP US Equity</t>
  </si>
  <si>
    <t>NB_1871</t>
  </si>
  <si>
    <t>NFG</t>
  </si>
  <si>
    <t>National Fuel Gas Company Common Stock</t>
  </si>
  <si>
    <t>NFG US Equity</t>
  </si>
  <si>
    <t>NB_1872</t>
  </si>
  <si>
    <t>NFLX</t>
  </si>
  <si>
    <t>Netflix Inc. Common Stock</t>
  </si>
  <si>
    <t>Consumer Electronics/Video Chains</t>
  </si>
  <si>
    <t>NFLX US Equity</t>
  </si>
  <si>
    <t>NB_1873</t>
  </si>
  <si>
    <t>NGL</t>
  </si>
  <si>
    <t>NGL ENERGY PARTNERS LP Common Units representing Limited Partner Interests</t>
  </si>
  <si>
    <t>NGL US Equity</t>
  </si>
  <si>
    <t>NB_1874</t>
  </si>
  <si>
    <t>NGS</t>
  </si>
  <si>
    <t>Natural Gas Services Group Inc. Common Stock</t>
  </si>
  <si>
    <t>NGS US Equity</t>
  </si>
  <si>
    <t>NB_1875</t>
  </si>
  <si>
    <t>NGVC</t>
  </si>
  <si>
    <t>Natural Grocers by Vitamin Cottage Inc. Common Stock</t>
  </si>
  <si>
    <t>NGVC US Equity</t>
  </si>
  <si>
    <t>NB_1876</t>
  </si>
  <si>
    <t>NGVT</t>
  </si>
  <si>
    <t>Ingevity Corporation Common Stock</t>
  </si>
  <si>
    <t>NGVT US Equity</t>
  </si>
  <si>
    <t>NB_1877</t>
  </si>
  <si>
    <t>NHC</t>
  </si>
  <si>
    <t>National HealthCare Corporation Common Stock</t>
  </si>
  <si>
    <t>Hospital/Nursing Management</t>
  </si>
  <si>
    <t>NHC US Equity</t>
  </si>
  <si>
    <t>NB_1878</t>
  </si>
  <si>
    <t>NHTC</t>
  </si>
  <si>
    <t>Natural Health Trends Corp. Common Stock</t>
  </si>
  <si>
    <t>NHTC US Equity</t>
  </si>
  <si>
    <t>NB_1879</t>
  </si>
  <si>
    <t>NI</t>
  </si>
  <si>
    <t>NiSource Inc Common Stock</t>
  </si>
  <si>
    <t>Power Generation</t>
  </si>
  <si>
    <t>NI US Equity</t>
  </si>
  <si>
    <t>NB_1880</t>
  </si>
  <si>
    <t>NIO</t>
  </si>
  <si>
    <t>NIO Inc. American depositary shares each  representing one Class A ordinary share</t>
  </si>
  <si>
    <t>Auto Manufacturing</t>
  </si>
  <si>
    <t>NIO US Equity</t>
  </si>
  <si>
    <t>NB_1881</t>
  </si>
  <si>
    <t>NIOBW</t>
  </si>
  <si>
    <t>NioCorp Developments Ltd. Warrant</t>
  </si>
  <si>
    <t>NIOBW US Equity</t>
  </si>
  <si>
    <t>NB_1882</t>
  </si>
  <si>
    <t>NIQ</t>
  </si>
  <si>
    <t>NIQ Global Intelligence plc Ordinary Shares</t>
  </si>
  <si>
    <t>NIQ US Equity</t>
  </si>
  <si>
    <t>NB_1883</t>
  </si>
  <si>
    <t>NIXX</t>
  </si>
  <si>
    <t>Nixxy Inc. Common Stock</t>
  </si>
  <si>
    <t>NIXX US Equity</t>
  </si>
  <si>
    <t>NB_1884</t>
  </si>
  <si>
    <t>NJR</t>
  </si>
  <si>
    <t>NewJersey Resources Corporation Common Stock</t>
  </si>
  <si>
    <t>NJR US Equity</t>
  </si>
  <si>
    <t>NB_1885</t>
  </si>
  <si>
    <t>NKE</t>
  </si>
  <si>
    <t>Nike Inc. Common Stock</t>
  </si>
  <si>
    <t>Shoe Manufacturing</t>
  </si>
  <si>
    <t>NKE US Equity</t>
  </si>
  <si>
    <t>NB_1886</t>
  </si>
  <si>
    <t>NKTR</t>
  </si>
  <si>
    <t>Nektar Therapeutics  Common Stock</t>
  </si>
  <si>
    <t>NKTR US Equity</t>
  </si>
  <si>
    <t>NB_1887</t>
  </si>
  <si>
    <t>NKTX</t>
  </si>
  <si>
    <t>Nkarta Inc. Common Stock</t>
  </si>
  <si>
    <t>NKTX US Equity</t>
  </si>
  <si>
    <t>NB_1888</t>
  </si>
  <si>
    <t>NL</t>
  </si>
  <si>
    <t>NLI Holdings Inc. Common Stock</t>
  </si>
  <si>
    <t>NL US Equity</t>
  </si>
  <si>
    <t>NB_1889</t>
  </si>
  <si>
    <t>NMAD</t>
  </si>
  <si>
    <t>Nomad Power Solutions Inc. Common Stock</t>
  </si>
  <si>
    <t>NMAD US Equity</t>
  </si>
  <si>
    <t>NB_1890</t>
  </si>
  <si>
    <t>NMAX</t>
  </si>
  <si>
    <t>Newsmax Inc. Class B Common Stock</t>
  </si>
  <si>
    <t>Broadcasting</t>
  </si>
  <si>
    <t>NMAX US Equity</t>
  </si>
  <si>
    <t>NB_1891</t>
  </si>
  <si>
    <t>NMRA</t>
  </si>
  <si>
    <t>Neumora Therapeutics Inc. Common Stock</t>
  </si>
  <si>
    <t>NMRA US Equity</t>
  </si>
  <si>
    <t>NB_1892</t>
  </si>
  <si>
    <t>NMTC</t>
  </si>
  <si>
    <t>NeuroOne Medical Technologies Corporation Common Stock</t>
  </si>
  <si>
    <t>NMTC US Equity</t>
  </si>
  <si>
    <t>NB_1893</t>
  </si>
  <si>
    <t>NN</t>
  </si>
  <si>
    <t>NextNav Inc. Common Stock</t>
  </si>
  <si>
    <t>NN US Equity</t>
  </si>
  <si>
    <t>NB_1894</t>
  </si>
  <si>
    <t>NNBR</t>
  </si>
  <si>
    <t>NN Inc. Common Stock</t>
  </si>
  <si>
    <t>NNBR US Equity</t>
  </si>
  <si>
    <t>NB_1895</t>
  </si>
  <si>
    <t>NNE</t>
  </si>
  <si>
    <t>Nano Nuclear Energy Inc. Common Stock</t>
  </si>
  <si>
    <t>NNE US Equity</t>
  </si>
  <si>
    <t>NB_1896</t>
  </si>
  <si>
    <t>NNVC</t>
  </si>
  <si>
    <t>NanoViricides Inc. Common Stock</t>
  </si>
  <si>
    <t>NNVC US Equity</t>
  </si>
  <si>
    <t>NB_1897</t>
  </si>
  <si>
    <t>NOC</t>
  </si>
  <si>
    <t>Northrop Grumman Corporation Common Stock</t>
  </si>
  <si>
    <t>NOC US Equity</t>
  </si>
  <si>
    <t>NB_1898</t>
  </si>
  <si>
    <t>NOG</t>
  </si>
  <si>
    <t>Northern Oil and Gas Inc. Common Stock</t>
  </si>
  <si>
    <t>NOG US Equity</t>
  </si>
  <si>
    <t>NB_1899</t>
  </si>
  <si>
    <t>NOMA</t>
  </si>
  <si>
    <t>NOMADAR Corp. Class A Common Stock</t>
  </si>
  <si>
    <t>NOMA US Equity</t>
  </si>
  <si>
    <t>NB_1900</t>
  </si>
  <si>
    <t>NOV</t>
  </si>
  <si>
    <t>NOV Inc. Common Stock</t>
  </si>
  <si>
    <t>Oil and Gas Field Machinery</t>
  </si>
  <si>
    <t>NOV US Equity</t>
  </si>
  <si>
    <t>NB_1901</t>
  </si>
  <si>
    <t>NOW</t>
  </si>
  <si>
    <t>ServiceNow Inc. Common Stock</t>
  </si>
  <si>
    <t>NOW US Equity</t>
  </si>
  <si>
    <t>NB_1902</t>
  </si>
  <si>
    <t>NPCE</t>
  </si>
  <si>
    <t>Neuropace Inc. Common Stock</t>
  </si>
  <si>
    <t>NPCE US Equity</t>
  </si>
  <si>
    <t>NB_1903</t>
  </si>
  <si>
    <t>NPK</t>
  </si>
  <si>
    <t>National Presto Industries Inc. Common Stock</t>
  </si>
  <si>
    <t>Ordnance And Accessories</t>
  </si>
  <si>
    <t>NPK US Equity</t>
  </si>
  <si>
    <t>NB_1904</t>
  </si>
  <si>
    <t>NPKI</t>
  </si>
  <si>
    <t>NPK International Inc. Common Stock</t>
  </si>
  <si>
    <t>Misc Corporate Leasing Services</t>
  </si>
  <si>
    <t>NPKI US Equity</t>
  </si>
  <si>
    <t>NB_1905</t>
  </si>
  <si>
    <t>NPO</t>
  </si>
  <si>
    <t>Enpro Inc. Common Stock</t>
  </si>
  <si>
    <t>NPO US Equity</t>
  </si>
  <si>
    <t>NB_1906</t>
  </si>
  <si>
    <t>NPWR</t>
  </si>
  <si>
    <t>NET Power Inc. Class A Common Stock</t>
  </si>
  <si>
    <t>NPWR US Equity</t>
  </si>
  <si>
    <t>NB_1907</t>
  </si>
  <si>
    <t>NRC</t>
  </si>
  <si>
    <t>NRC Health Common Stock</t>
  </si>
  <si>
    <t>NRC US Equity</t>
  </si>
  <si>
    <t>NB_1908</t>
  </si>
  <si>
    <t>NRDS</t>
  </si>
  <si>
    <t>NerdWallet Inc. Class A Common Stock</t>
  </si>
  <si>
    <t>NRDS US Equity</t>
  </si>
  <si>
    <t>NB_1909</t>
  </si>
  <si>
    <t>NRG</t>
  </si>
  <si>
    <t>NRG Energy Inc. Common Stock</t>
  </si>
  <si>
    <t>NRG US Equity</t>
  </si>
  <si>
    <t>NB_1910</t>
  </si>
  <si>
    <t>NRIX</t>
  </si>
  <si>
    <t>Nurix Therapeutics Inc. Common stock</t>
  </si>
  <si>
    <t>NRIX US Equity</t>
  </si>
  <si>
    <t>NB_1911</t>
  </si>
  <si>
    <t>NRP</t>
  </si>
  <si>
    <t>Natural Resource Partners LP Limited Partnership</t>
  </si>
  <si>
    <t>NRP US Equity</t>
  </si>
  <si>
    <t>NB_1912</t>
  </si>
  <si>
    <t>NRT</t>
  </si>
  <si>
    <t>North European Oil Royality Trust Common Stock</t>
  </si>
  <si>
    <t>NRT US Equity</t>
  </si>
  <si>
    <t>NB_1913</t>
  </si>
  <si>
    <t>NRXP</t>
  </si>
  <si>
    <t>NRX Pharmaceuticals Inc. Common Stock</t>
  </si>
  <si>
    <t>NRXP US Equity</t>
  </si>
  <si>
    <t>NB_1914</t>
  </si>
  <si>
    <t>NRXS</t>
  </si>
  <si>
    <t>Neuraxis Inc. Common Stock</t>
  </si>
  <si>
    <t>NRXS US Equity</t>
  </si>
  <si>
    <t>NB_1915</t>
  </si>
  <si>
    <t>NSC</t>
  </si>
  <si>
    <t>Norfolk Southern Corporation Common Stock</t>
  </si>
  <si>
    <t>Railroads</t>
  </si>
  <si>
    <t>NSC US Equity</t>
  </si>
  <si>
    <t>NB_1916</t>
  </si>
  <si>
    <t>NSIT</t>
  </si>
  <si>
    <t>Insight Enterprises Inc. Common Stock</t>
  </si>
  <si>
    <t>Catalog/Specialty Distribution</t>
  </si>
  <si>
    <t>NSIT US Equity</t>
  </si>
  <si>
    <t>NB_1917</t>
  </si>
  <si>
    <t>NSP</t>
  </si>
  <si>
    <t>Insperity Inc. Common Stock</t>
  </si>
  <si>
    <t>Professional Services</t>
  </si>
  <si>
    <t>NSP US Equity</t>
  </si>
  <si>
    <t>NB_1918</t>
  </si>
  <si>
    <t>NSSC</t>
  </si>
  <si>
    <t>NAPCO Security Technologies Inc. Common Stock</t>
  </si>
  <si>
    <t>NSSC US Equity</t>
  </si>
  <si>
    <t>NB_1919</t>
  </si>
  <si>
    <t>NSYS</t>
  </si>
  <si>
    <t>Nortech Systems Incorporated Common Stock</t>
  </si>
  <si>
    <t>NSYS US Equity</t>
  </si>
  <si>
    <t>NB_1920</t>
  </si>
  <si>
    <t>NTAP</t>
  </si>
  <si>
    <t>NetApp Inc. Common Stock</t>
  </si>
  <si>
    <t>NTAP US Equity</t>
  </si>
  <si>
    <t>NB_1921</t>
  </si>
  <si>
    <t>NTCT</t>
  </si>
  <si>
    <t>NetScout Systems Inc. Common Stock</t>
  </si>
  <si>
    <t>NTCT US Equity</t>
  </si>
  <si>
    <t>NB_1922</t>
  </si>
  <si>
    <t>NTGR</t>
  </si>
  <si>
    <t>NETGEAR Inc. Common Stock</t>
  </si>
  <si>
    <t>NTGR US Equity</t>
  </si>
  <si>
    <t>NB_1923</t>
  </si>
  <si>
    <t>NTHI</t>
  </si>
  <si>
    <t>NeOnc Technologies Holdings Inc. Common Stock</t>
  </si>
  <si>
    <t>NTHI US Equity</t>
  </si>
  <si>
    <t>NB_1924</t>
  </si>
  <si>
    <t>NTIC</t>
  </si>
  <si>
    <t>Northern Technologies International Corporation Common Stock</t>
  </si>
  <si>
    <t>NTIC US Equity</t>
  </si>
  <si>
    <t>NB_1925</t>
  </si>
  <si>
    <t>NTLA</t>
  </si>
  <si>
    <t>Intellia Therapeutics Inc. Common Stock</t>
  </si>
  <si>
    <t>NTLA US Equity</t>
  </si>
  <si>
    <t>NB_1926</t>
  </si>
  <si>
    <t>NTNX</t>
  </si>
  <si>
    <t>Nutanix Inc. Class A Common Stock</t>
  </si>
  <si>
    <t>NTNX US Equity</t>
  </si>
  <si>
    <t>NB_1927</t>
  </si>
  <si>
    <t>NTRA</t>
  </si>
  <si>
    <t>Natera Inc. Common Stock</t>
  </si>
  <si>
    <t>NTRA US Equity</t>
  </si>
  <si>
    <t>NB_1928</t>
  </si>
  <si>
    <t>NTRB</t>
  </si>
  <si>
    <t>Nutriband Inc. Common Stock</t>
  </si>
  <si>
    <t>NTRB US Equity</t>
  </si>
  <si>
    <t>NB_1929</t>
  </si>
  <si>
    <t>NTRBW</t>
  </si>
  <si>
    <t>Nutriband Inc. Warrant</t>
  </si>
  <si>
    <t>NTRBW US Equity</t>
  </si>
  <si>
    <t>NB_1930</t>
  </si>
  <si>
    <t>NTRP</t>
  </si>
  <si>
    <t>NextTrip Inc. Common Stock</t>
  </si>
  <si>
    <t>Transportation Services</t>
  </si>
  <si>
    <t>NTRP US Equity</t>
  </si>
  <si>
    <t>NB_1931</t>
  </si>
  <si>
    <t>NTSK</t>
  </si>
  <si>
    <t>Netskope Inc. Class A Common Stock</t>
  </si>
  <si>
    <t>NTSK US Equity</t>
  </si>
  <si>
    <t>NB_1932</t>
  </si>
  <si>
    <t>NTWK</t>
  </si>
  <si>
    <t>NetSol Technologies Inc. Common  Stock</t>
  </si>
  <si>
    <t>NTWK US Equity</t>
  </si>
  <si>
    <t>NB_1933</t>
  </si>
  <si>
    <t>NUAI</t>
  </si>
  <si>
    <t>New Era Energy &amp; Digital Inc. Common Stock</t>
  </si>
  <si>
    <t>NUAI US Equity</t>
  </si>
  <si>
    <t>NB_1934</t>
  </si>
  <si>
    <t>NUAIW</t>
  </si>
  <si>
    <t>New Era Energy &amp; Digital Inc. Warrants</t>
  </si>
  <si>
    <t>NUAIW US Equity</t>
  </si>
  <si>
    <t>NB_1935</t>
  </si>
  <si>
    <t>NUCL</t>
  </si>
  <si>
    <t>Eagle Nuclear Energy Corp. Common stock</t>
  </si>
  <si>
    <t>Other Metals and Minerals</t>
  </si>
  <si>
    <t>NUCL US Equity</t>
  </si>
  <si>
    <t>NB_1936</t>
  </si>
  <si>
    <t>NUCLW</t>
  </si>
  <si>
    <t>Eagle Nuclear Energy Corp. Warrants</t>
  </si>
  <si>
    <t>NUCLW US Equity</t>
  </si>
  <si>
    <t>NB_1937</t>
  </si>
  <si>
    <t>NUE</t>
  </si>
  <si>
    <t>Nucor Corporation Common Stock</t>
  </si>
  <si>
    <t>NUE US Equity</t>
  </si>
  <si>
    <t>NB_1938</t>
  </si>
  <si>
    <t>NUS</t>
  </si>
  <si>
    <t>Nu Skin Enterprises Inc. Common Stock</t>
  </si>
  <si>
    <t>Other Pharmaceuticals</t>
  </si>
  <si>
    <t>NUS US Equity</t>
  </si>
  <si>
    <t>NB_1939</t>
  </si>
  <si>
    <t>NUTX</t>
  </si>
  <si>
    <t>Nutex Health Inc. Common Stock</t>
  </si>
  <si>
    <t>NUTX US Equity</t>
  </si>
  <si>
    <t>NB_1940</t>
  </si>
  <si>
    <t>NUVB</t>
  </si>
  <si>
    <t>Nuvation Bio Inc. Class A Common Stock</t>
  </si>
  <si>
    <t>NUVB US Equity</t>
  </si>
  <si>
    <t>NB_1941</t>
  </si>
  <si>
    <t>NUWE</t>
  </si>
  <si>
    <t>Nuwellis Inc. Common Stock</t>
  </si>
  <si>
    <t>NUWE US Equity</t>
  </si>
  <si>
    <t>NB_1942</t>
  </si>
  <si>
    <t>NVAX</t>
  </si>
  <si>
    <t>Novavax Inc. Common Stock</t>
  </si>
  <si>
    <t>NVAX US Equity</t>
  </si>
  <si>
    <t>NB_1943</t>
  </si>
  <si>
    <t>NVCT</t>
  </si>
  <si>
    <t>Nuvectis Pharma Inc. Common Stock</t>
  </si>
  <si>
    <t>NVCT US Equity</t>
  </si>
  <si>
    <t>NB_1944</t>
  </si>
  <si>
    <t>NVDA</t>
  </si>
  <si>
    <t>NVIDIA Corporation Common Stock</t>
  </si>
  <si>
    <t>NVDA US Equity</t>
  </si>
  <si>
    <t>NB_1945</t>
  </si>
  <si>
    <t>NVEC</t>
  </si>
  <si>
    <t>NVE Corporation Common Stock</t>
  </si>
  <si>
    <t>NVEC US Equity</t>
  </si>
  <si>
    <t>NB_1946</t>
  </si>
  <si>
    <t>NVNO</t>
  </si>
  <si>
    <t>enVVeno Medical Corporation Common Stock</t>
  </si>
  <si>
    <t>NVNO US Equity</t>
  </si>
  <si>
    <t>NB_1947</t>
  </si>
  <si>
    <t>NVR</t>
  </si>
  <si>
    <t>NVR Inc. Common Stock</t>
  </si>
  <si>
    <t>NVR US Equity</t>
  </si>
  <si>
    <t>NB_1948</t>
  </si>
  <si>
    <t>NVST</t>
  </si>
  <si>
    <t>Envista Holdings Corporation Common Stock</t>
  </si>
  <si>
    <t>NVST US Equity</t>
  </si>
  <si>
    <t>NB_1949</t>
  </si>
  <si>
    <t>NVTS</t>
  </si>
  <si>
    <t>Navitas Semiconductor Corporation Common Stock</t>
  </si>
  <si>
    <t>NVTS US Equity</t>
  </si>
  <si>
    <t>NB_1950</t>
  </si>
  <si>
    <t>NWE</t>
  </si>
  <si>
    <t>NorthWestern Energy Group Inc. Common Stock</t>
  </si>
  <si>
    <t>NWE US Equity</t>
  </si>
  <si>
    <t>NB_1951</t>
  </si>
  <si>
    <t>NWL</t>
  </si>
  <si>
    <t>Newell Brands Inc. Common Stock</t>
  </si>
  <si>
    <t>NWL US Equity</t>
  </si>
  <si>
    <t>NB_1952</t>
  </si>
  <si>
    <t>NWN</t>
  </si>
  <si>
    <t>Northwest Natural Holding Company Common Stock</t>
  </si>
  <si>
    <t>NWN US Equity</t>
  </si>
  <si>
    <t>NB_1953</t>
  </si>
  <si>
    <t>NWPX</t>
  </si>
  <si>
    <t>NWPX Infrastructure Inc. Common Stock</t>
  </si>
  <si>
    <t>NWPX US Equity</t>
  </si>
  <si>
    <t>NB_1954</t>
  </si>
  <si>
    <t>NWS</t>
  </si>
  <si>
    <t>News Corporation Class B Common Stock</t>
  </si>
  <si>
    <t>Newspapers/Magazines</t>
  </si>
  <si>
    <t>NWS US Equity</t>
  </si>
  <si>
    <t>NB_1955</t>
  </si>
  <si>
    <t>NWSA</t>
  </si>
  <si>
    <t>News Corporation Class A Common Stock</t>
  </si>
  <si>
    <t>NWSA US Equity</t>
  </si>
  <si>
    <t>NB_1956</t>
  </si>
  <si>
    <t>NWTG</t>
  </si>
  <si>
    <t>Newton Golf Company Inc. Common Stock</t>
  </si>
  <si>
    <t>Recreational Games/Products/Toys</t>
  </si>
  <si>
    <t>NWTG US Equity</t>
  </si>
  <si>
    <t>NB_1957</t>
  </si>
  <si>
    <t>NX</t>
  </si>
  <si>
    <t>Quanex Building Products Corporation Common Stock</t>
  </si>
  <si>
    <t>NX US Equity</t>
  </si>
  <si>
    <t>NB_1958</t>
  </si>
  <si>
    <t>NXDR</t>
  </si>
  <si>
    <t>Nextdoor Holdings Inc. Class A Common Stock</t>
  </si>
  <si>
    <t>NXDR US Equity</t>
  </si>
  <si>
    <t>NB_1959</t>
  </si>
  <si>
    <t>NXGL</t>
  </si>
  <si>
    <t>NexGel Inc Common Stock</t>
  </si>
  <si>
    <t>NXGL US Equity</t>
  </si>
  <si>
    <t>NB_1960</t>
  </si>
  <si>
    <t>NXGLW</t>
  </si>
  <si>
    <t>NexGel Inc Warrant</t>
  </si>
  <si>
    <t>NXGLW US Equity</t>
  </si>
  <si>
    <t>NB_1961</t>
  </si>
  <si>
    <t>NXH</t>
  </si>
  <si>
    <t>Neighborhood Intelligence Inc. Common Stock</t>
  </si>
  <si>
    <t>NXH US Equity</t>
  </si>
  <si>
    <t>NB_1962</t>
  </si>
  <si>
    <t>NXL</t>
  </si>
  <si>
    <t>Nexalin Technology Inc. Common Stock</t>
  </si>
  <si>
    <t>NXL US Equity</t>
  </si>
  <si>
    <t>NB_1963</t>
  </si>
  <si>
    <t>NXPL</t>
  </si>
  <si>
    <t>NextPlat Corp Common Stock</t>
  </si>
  <si>
    <t>NXPL US Equity</t>
  </si>
  <si>
    <t>NB_1964</t>
  </si>
  <si>
    <t>NXST</t>
  </si>
  <si>
    <t>Nexstar Media Group Inc. Common Stock</t>
  </si>
  <si>
    <t>NXST US Equity</t>
  </si>
  <si>
    <t>NB_1965</t>
  </si>
  <si>
    <t>NXT</t>
  </si>
  <si>
    <t>Nextpower Inc. Common Stock</t>
  </si>
  <si>
    <t>NXT US Equity</t>
  </si>
  <si>
    <t>NB_1966</t>
  </si>
  <si>
    <t>NXTC</t>
  </si>
  <si>
    <t>NextCure Inc. Common Stock</t>
  </si>
  <si>
    <t>NXTC US Equity</t>
  </si>
  <si>
    <t>NB_1967</t>
  </si>
  <si>
    <t>NXXT</t>
  </si>
  <si>
    <t>NextNRG Inc. Common Stock</t>
  </si>
  <si>
    <t>NXXT US Equity</t>
  </si>
  <si>
    <t>NB_1968</t>
  </si>
  <si>
    <t>NYT</t>
  </si>
  <si>
    <t>New York Times Company (The) Common Stock</t>
  </si>
  <si>
    <t>NYT US Equity</t>
  </si>
  <si>
    <t>NB_1969</t>
  </si>
  <si>
    <t>OABI</t>
  </si>
  <si>
    <t>OmniAb Inc. Common Stock</t>
  </si>
  <si>
    <t>OABI US Equity</t>
  </si>
  <si>
    <t>NB_1970</t>
  </si>
  <si>
    <t>OABIW</t>
  </si>
  <si>
    <t>OmniAb Inc. Warrant</t>
  </si>
  <si>
    <t>OABIW US Equity</t>
  </si>
  <si>
    <t>NB_1971</t>
  </si>
  <si>
    <t>OBAI</t>
  </si>
  <si>
    <t>Our Bond Inc. Common Stock</t>
  </si>
  <si>
    <t>OBAI US Equity</t>
  </si>
  <si>
    <t>NB_1972</t>
  </si>
  <si>
    <t>OBIO</t>
  </si>
  <si>
    <t>Orchestra BioMed Holdings Inc. Ordinary Shares</t>
  </si>
  <si>
    <t>OBIO US Equity</t>
  </si>
  <si>
    <t>NB_1973</t>
  </si>
  <si>
    <t>OBX</t>
  </si>
  <si>
    <t>Obsidian Therapeutics Inc. Common Stock</t>
  </si>
  <si>
    <t>OBX US Equity</t>
  </si>
  <si>
    <t>NB_1974</t>
  </si>
  <si>
    <t>OC</t>
  </si>
  <si>
    <t>Owens Corning Inc Common Stock New</t>
  </si>
  <si>
    <t>OC US Equity</t>
  </si>
  <si>
    <t>NB_1975</t>
  </si>
  <si>
    <t>OCC</t>
  </si>
  <si>
    <t>Optical Cable Corporation Common Stock</t>
  </si>
  <si>
    <t>OCC US Equity</t>
  </si>
  <si>
    <t>NB_1976</t>
  </si>
  <si>
    <t>OCGN</t>
  </si>
  <si>
    <t>Ocugen Inc. Common Stock</t>
  </si>
  <si>
    <t>OCGN US Equity</t>
  </si>
  <si>
    <t>NB_1977</t>
  </si>
  <si>
    <t>OCTV</t>
  </si>
  <si>
    <t>Octave Intelligence plc Class B Ordinary Shares</t>
  </si>
  <si>
    <t>OCTV US Equity</t>
  </si>
  <si>
    <t>NB_1978</t>
  </si>
  <si>
    <t>OCUL</t>
  </si>
  <si>
    <t>Ocular Therapeutix Inc. Common Stock</t>
  </si>
  <si>
    <t>OCUL US Equity</t>
  </si>
  <si>
    <t>NB_1979</t>
  </si>
  <si>
    <t>ODC</t>
  </si>
  <si>
    <t>Oil-Dri Corporation Of America Common Stock</t>
  </si>
  <si>
    <t>Miscellaneous manufacturing industries</t>
  </si>
  <si>
    <t>ODC US Equity</t>
  </si>
  <si>
    <t>NB_1980</t>
  </si>
  <si>
    <t>ODFL</t>
  </si>
  <si>
    <t>Old Dominion Freight Line Inc. Common Stock</t>
  </si>
  <si>
    <t>ODFL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</si>
  <si>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</si>
  <si>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</si>
  <si>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</si>
  <si>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</si>
  <si>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</si>
  <si>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</si>
  <si>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</si>
  <si>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</si>
  <si>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</si>
  <si>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</si>
  <si>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</si>
  <si>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</si>
  <si>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</si>
  <si>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</si>
  <si>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</si>
  <si>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</si>
  <si>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</si>
  <si>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</si>
  <si>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</si>
  <si>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</si>
  <si>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</si>
  <si>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</si>
  <si>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</si>
  <si>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</si>
  <si>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</si>
  <si>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</si>
  <si>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</si>
  <si>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</si>
  <si>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</si>
  <si>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</si>
  <si>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</si>
  <si>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</si>
  <si>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</si>
  <si>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</si>
  <si>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</si>
  <si>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</si>
  <si>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</si>
  <si>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</si>
  <si>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</si>
  <si>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</si>
  <si>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</si>
  <si>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</si>
  <si>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</si>
  <si>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</si>
  <si>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</si>
  <si>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</si>
  <si>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</si>
  <si>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</si>
  <si>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volume_Date</t>
  </si>
  <si>
    <t>volume_Value</t>
  </si>
  <si>
    <t>turnover_Date</t>
  </si>
  <si>
    <t>turnover_Value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</si>
</sst>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theme" Target="theme/theme1.xml"/><Relationship Id="rId253" Type="http://schemas.openxmlformats.org/officeDocument/2006/relationships/styles" Target="styles.xml"/><Relationship Id="rId2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cols>
    <col min="1" max="11" width="18.7109375" customWidth="1"/>
    <col min="12" max="13" width="32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15</v>
      </c>
      <c r="J2" t="s">
        <v>21</v>
      </c>
      <c r="K2" t="s">
        <v>22</v>
      </c>
      <c r="L2">
        <f>BDP($H2,"BICS_LEVEL_1_SECTOR_NAME")</f>
        <v/>
      </c>
      <c r="M2">
        <f>BDP($H2,"BICS_LEVEL_3_INDUSTRY_NAME")</f>
        <v/>
      </c>
    </row>
    <row r="3" spans="1:13">
      <c r="A3" t="s">
        <v>23</v>
      </c>
      <c r="B3" t="s">
        <v>14</v>
      </c>
      <c r="C3" t="s">
        <v>15</v>
      </c>
      <c r="D3" t="s">
        <v>24</v>
      </c>
      <c r="E3" t="s">
        <v>25</v>
      </c>
      <c r="F3" t="s">
        <v>18</v>
      </c>
      <c r="G3" t="s">
        <v>19</v>
      </c>
      <c r="H3" t="s">
        <v>26</v>
      </c>
      <c r="I3" t="s">
        <v>15</v>
      </c>
      <c r="J3" t="s">
        <v>21</v>
      </c>
      <c r="K3" t="s">
        <v>22</v>
      </c>
      <c r="L3">
        <f>BDP($H3,"BICS_LEVEL_1_SECTOR_NAME")</f>
        <v/>
      </c>
      <c r="M3">
        <f>BDP($H3,"BICS_LEVEL_3_INDUSTRY_NAME")</f>
        <v/>
      </c>
    </row>
    <row r="4" spans="1:13">
      <c r="A4" t="s">
        <v>27</v>
      </c>
      <c r="B4" t="s">
        <v>14</v>
      </c>
      <c r="C4" t="s">
        <v>15</v>
      </c>
      <c r="D4" t="s">
        <v>28</v>
      </c>
      <c r="E4" t="s">
        <v>29</v>
      </c>
      <c r="F4" t="s">
        <v>18</v>
      </c>
      <c r="G4" t="s">
        <v>19</v>
      </c>
      <c r="H4" t="s">
        <v>30</v>
      </c>
      <c r="I4" t="s">
        <v>15</v>
      </c>
      <c r="J4" t="s">
        <v>21</v>
      </c>
      <c r="K4" t="s">
        <v>22</v>
      </c>
      <c r="L4">
        <f>BDP($H4,"BICS_LEVEL_1_SECTOR_NAME")</f>
        <v/>
      </c>
      <c r="M4">
        <f>BDP($H4,"BICS_LEVEL_3_INDUSTRY_NAME")</f>
        <v/>
      </c>
    </row>
    <row r="5" spans="1:13">
      <c r="A5" t="s">
        <v>31</v>
      </c>
      <c r="B5" t="s">
        <v>14</v>
      </c>
      <c r="C5" t="s">
        <v>15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15</v>
      </c>
      <c r="J5" t="s">
        <v>21</v>
      </c>
      <c r="K5" t="s">
        <v>22</v>
      </c>
      <c r="L5">
        <f>BDP($H5,"BICS_LEVEL_1_SECTOR_NAME")</f>
        <v/>
      </c>
      <c r="M5">
        <f>BDP($H5,"BICS_LEVEL_3_INDUSTRY_NAME")</f>
        <v/>
      </c>
    </row>
    <row r="6" spans="1:13">
      <c r="A6" t="s">
        <v>37</v>
      </c>
      <c r="B6" t="s">
        <v>14</v>
      </c>
      <c r="C6" t="s">
        <v>15</v>
      </c>
      <c r="D6" t="s">
        <v>38</v>
      </c>
      <c r="E6" t="s">
        <v>39</v>
      </c>
      <c r="F6" t="s">
        <v>34</v>
      </c>
      <c r="G6" t="s">
        <v>35</v>
      </c>
      <c r="H6" t="s">
        <v>40</v>
      </c>
      <c r="I6" t="s">
        <v>15</v>
      </c>
      <c r="J6" t="s">
        <v>21</v>
      </c>
      <c r="K6" t="s">
        <v>22</v>
      </c>
      <c r="L6">
        <f>BDP($H6,"BICS_LEVEL_1_SECTOR_NAME")</f>
        <v/>
      </c>
      <c r="M6">
        <f>BDP($H6,"BICS_LEVEL_3_INDUSTRY_NAME")</f>
        <v/>
      </c>
    </row>
    <row r="7" spans="1:13">
      <c r="A7" t="s">
        <v>41</v>
      </c>
      <c r="B7" t="s">
        <v>14</v>
      </c>
      <c r="C7" t="s">
        <v>15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15</v>
      </c>
      <c r="J7" t="s">
        <v>21</v>
      </c>
      <c r="K7" t="s">
        <v>22</v>
      </c>
      <c r="L7">
        <f>BDP($H7,"BICS_LEVEL_1_SECTOR_NAME")</f>
        <v/>
      </c>
      <c r="M7">
        <f>BDP($H7,"BICS_LEVEL_3_INDUSTRY_NAME")</f>
        <v/>
      </c>
    </row>
    <row r="8" spans="1:13">
      <c r="A8" t="s">
        <v>47</v>
      </c>
      <c r="B8" t="s">
        <v>14</v>
      </c>
      <c r="C8" t="s">
        <v>15</v>
      </c>
      <c r="D8" t="s">
        <v>48</v>
      </c>
      <c r="E8" t="s">
        <v>49</v>
      </c>
      <c r="F8" t="s">
        <v>50</v>
      </c>
      <c r="G8" t="s">
        <v>19</v>
      </c>
      <c r="H8" t="s">
        <v>51</v>
      </c>
      <c r="I8" t="s">
        <v>15</v>
      </c>
      <c r="J8" t="s">
        <v>21</v>
      </c>
      <c r="K8" t="s">
        <v>22</v>
      </c>
      <c r="L8">
        <f>BDP($H8,"BICS_LEVEL_1_SECTOR_NAME")</f>
        <v/>
      </c>
      <c r="M8">
        <f>BDP($H8,"BICS_LEVEL_3_INDUSTRY_NAME")</f>
        <v/>
      </c>
    </row>
    <row r="9" spans="1:13">
      <c r="A9" t="s">
        <v>52</v>
      </c>
      <c r="B9" t="s">
        <v>14</v>
      </c>
      <c r="C9" t="s">
        <v>15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15</v>
      </c>
      <c r="J9" t="s">
        <v>21</v>
      </c>
      <c r="K9" t="s">
        <v>22</v>
      </c>
      <c r="L9">
        <f>BDP($H9,"BICS_LEVEL_1_SECTOR_NAME")</f>
        <v/>
      </c>
      <c r="M9">
        <f>BDP($H9,"BICS_LEVEL_3_INDUSTRY_NAME")</f>
        <v/>
      </c>
    </row>
    <row r="10" spans="1:13">
      <c r="A10" t="s">
        <v>58</v>
      </c>
      <c r="B10" t="s">
        <v>14</v>
      </c>
      <c r="C10" t="s">
        <v>15</v>
      </c>
      <c r="D10" t="s">
        <v>59</v>
      </c>
      <c r="E10" t="s">
        <v>60</v>
      </c>
      <c r="F10" t="s">
        <v>18</v>
      </c>
      <c r="G10" t="s">
        <v>19</v>
      </c>
      <c r="H10" t="s">
        <v>61</v>
      </c>
      <c r="I10" t="s">
        <v>15</v>
      </c>
      <c r="J10" t="s">
        <v>21</v>
      </c>
      <c r="K10" t="s">
        <v>22</v>
      </c>
      <c r="L10">
        <f>BDP($H10,"BICS_LEVEL_1_SECTOR_NAME")</f>
        <v/>
      </c>
      <c r="M10">
        <f>BDP($H10,"BICS_LEVEL_3_INDUSTRY_NAME")</f>
        <v/>
      </c>
    </row>
    <row r="11" spans="1:13">
      <c r="A11" t="s">
        <v>62</v>
      </c>
      <c r="B11" t="s">
        <v>14</v>
      </c>
      <c r="C11" t="s">
        <v>15</v>
      </c>
      <c r="D11" t="s">
        <v>63</v>
      </c>
      <c r="E11" t="s">
        <v>64</v>
      </c>
      <c r="F11" t="s">
        <v>44</v>
      </c>
      <c r="G11" t="s">
        <v>65</v>
      </c>
      <c r="H11" t="s">
        <v>66</v>
      </c>
      <c r="I11" t="s">
        <v>15</v>
      </c>
      <c r="J11" t="s">
        <v>21</v>
      </c>
      <c r="K11" t="s">
        <v>22</v>
      </c>
      <c r="L11">
        <f>BDP($H11,"BICS_LEVEL_1_SECTOR_NAME")</f>
        <v/>
      </c>
      <c r="M11">
        <f>BDP($H11,"BICS_LEVEL_3_INDUSTRY_NAME")</f>
        <v/>
      </c>
    </row>
    <row r="12" spans="1:13">
      <c r="A12" t="s">
        <v>67</v>
      </c>
      <c r="B12" t="s">
        <v>14</v>
      </c>
      <c r="C12" t="s">
        <v>15</v>
      </c>
      <c r="D12" t="s">
        <v>68</v>
      </c>
      <c r="E12" t="s">
        <v>69</v>
      </c>
      <c r="F12" t="s">
        <v>18</v>
      </c>
      <c r="G12" t="s">
        <v>19</v>
      </c>
      <c r="H12" t="s">
        <v>70</v>
      </c>
      <c r="I12" t="s">
        <v>15</v>
      </c>
      <c r="J12" t="s">
        <v>21</v>
      </c>
      <c r="K12" t="s">
        <v>22</v>
      </c>
      <c r="L12">
        <f>BDP($H12,"BICS_LEVEL_1_SECTOR_NAME")</f>
        <v/>
      </c>
      <c r="M12">
        <f>BDP($H12,"BICS_LEVEL_3_INDUSTRY_NAME")</f>
        <v/>
      </c>
    </row>
    <row r="13" spans="1:13">
      <c r="A13" t="s">
        <v>71</v>
      </c>
      <c r="B13" t="s">
        <v>14</v>
      </c>
      <c r="C13" t="s">
        <v>15</v>
      </c>
      <c r="D13" t="s">
        <v>72</v>
      </c>
      <c r="E13" t="s">
        <v>73</v>
      </c>
      <c r="F13" t="s">
        <v>44</v>
      </c>
      <c r="G13" t="s">
        <v>74</v>
      </c>
      <c r="H13" t="s">
        <v>75</v>
      </c>
      <c r="I13" t="s">
        <v>15</v>
      </c>
      <c r="J13" t="s">
        <v>21</v>
      </c>
      <c r="K13" t="s">
        <v>22</v>
      </c>
      <c r="L13">
        <f>BDP($H13,"BICS_LEVEL_1_SECTOR_NAME")</f>
        <v/>
      </c>
      <c r="M13">
        <f>BDP($H13,"BICS_LEVEL_3_INDUSTRY_NAME")</f>
        <v/>
      </c>
    </row>
    <row r="14" spans="1:13">
      <c r="A14" t="s">
        <v>76</v>
      </c>
      <c r="B14" t="s">
        <v>14</v>
      </c>
      <c r="C14" t="s">
        <v>15</v>
      </c>
      <c r="D14" t="s">
        <v>77</v>
      </c>
      <c r="E14" t="s">
        <v>78</v>
      </c>
      <c r="F14" t="s">
        <v>18</v>
      </c>
      <c r="G14" t="s">
        <v>79</v>
      </c>
      <c r="H14" t="s">
        <v>80</v>
      </c>
      <c r="I14" t="s">
        <v>15</v>
      </c>
      <c r="J14" t="s">
        <v>21</v>
      </c>
      <c r="K14" t="s">
        <v>22</v>
      </c>
      <c r="L14">
        <f>BDP($H14,"BICS_LEVEL_1_SECTOR_NAME")</f>
        <v/>
      </c>
      <c r="M14">
        <f>BDP($H14,"BICS_LEVEL_3_INDUSTRY_NAME")</f>
        <v/>
      </c>
    </row>
    <row r="15" spans="1:13">
      <c r="A15" t="s">
        <v>81</v>
      </c>
      <c r="B15" t="s">
        <v>14</v>
      </c>
      <c r="C15" t="s">
        <v>15</v>
      </c>
      <c r="D15" t="s">
        <v>82</v>
      </c>
      <c r="E15" t="s">
        <v>83</v>
      </c>
      <c r="F15" t="s">
        <v>50</v>
      </c>
      <c r="G15" t="s">
        <v>84</v>
      </c>
      <c r="H15" t="s">
        <v>85</v>
      </c>
      <c r="I15" t="s">
        <v>15</v>
      </c>
      <c r="J15" t="s">
        <v>21</v>
      </c>
      <c r="K15" t="s">
        <v>22</v>
      </c>
      <c r="L15">
        <f>BDP($H15,"BICS_LEVEL_1_SECTOR_NAME")</f>
        <v/>
      </c>
      <c r="M15">
        <f>BDP($H15,"BICS_LEVEL_3_INDUSTRY_NAME")</f>
        <v/>
      </c>
    </row>
    <row r="16" spans="1:13">
      <c r="A16" t="s">
        <v>86</v>
      </c>
      <c r="B16" t="s">
        <v>14</v>
      </c>
      <c r="C16" t="s">
        <v>15</v>
      </c>
      <c r="D16" t="s">
        <v>87</v>
      </c>
      <c r="E16" t="s">
        <v>88</v>
      </c>
      <c r="F16" t="s">
        <v>18</v>
      </c>
      <c r="G16" t="s">
        <v>89</v>
      </c>
      <c r="H16" t="s">
        <v>90</v>
      </c>
      <c r="I16" t="s">
        <v>15</v>
      </c>
      <c r="J16" t="s">
        <v>21</v>
      </c>
      <c r="K16" t="s">
        <v>22</v>
      </c>
      <c r="L16">
        <f>BDP($H16,"BICS_LEVEL_1_SECTOR_NAME")</f>
        <v/>
      </c>
      <c r="M16">
        <f>BDP($H16,"BICS_LEVEL_3_INDUSTRY_NAME")</f>
        <v/>
      </c>
    </row>
    <row r="17" spans="1:13">
      <c r="A17" t="s">
        <v>91</v>
      </c>
      <c r="B17" t="s">
        <v>14</v>
      </c>
      <c r="C17" t="s">
        <v>15</v>
      </c>
      <c r="D17" t="s">
        <v>92</v>
      </c>
      <c r="E17" t="s">
        <v>93</v>
      </c>
      <c r="F17" t="s">
        <v>50</v>
      </c>
      <c r="G17" t="s">
        <v>94</v>
      </c>
      <c r="H17" t="s">
        <v>95</v>
      </c>
      <c r="I17" t="s">
        <v>15</v>
      </c>
      <c r="J17" t="s">
        <v>21</v>
      </c>
      <c r="K17" t="s">
        <v>22</v>
      </c>
      <c r="L17">
        <f>BDP($H17,"BICS_LEVEL_1_SECTOR_NAME")</f>
        <v/>
      </c>
      <c r="M17">
        <f>BDP($H17,"BICS_LEVEL_3_INDUSTRY_NAME")</f>
        <v/>
      </c>
    </row>
    <row r="18" spans="1:13">
      <c r="A18" t="s">
        <v>96</v>
      </c>
      <c r="B18" t="s">
        <v>14</v>
      </c>
      <c r="C18" t="s">
        <v>15</v>
      </c>
      <c r="D18" t="s">
        <v>97</v>
      </c>
      <c r="E18" t="s">
        <v>98</v>
      </c>
      <c r="F18" t="s">
        <v>34</v>
      </c>
      <c r="G18" t="s">
        <v>99</v>
      </c>
      <c r="H18" t="s">
        <v>100</v>
      </c>
      <c r="I18" t="s">
        <v>15</v>
      </c>
      <c r="J18" t="s">
        <v>21</v>
      </c>
      <c r="K18" t="s">
        <v>22</v>
      </c>
      <c r="L18">
        <f>BDP($H18,"BICS_LEVEL_1_SECTOR_NAME")</f>
        <v/>
      </c>
      <c r="M18">
        <f>BDP($H18,"BICS_LEVEL_3_INDUSTRY_NAME")</f>
        <v/>
      </c>
    </row>
    <row r="19" spans="1:13">
      <c r="A19" t="s">
        <v>101</v>
      </c>
      <c r="B19" t="s">
        <v>14</v>
      </c>
      <c r="C19" t="s">
        <v>15</v>
      </c>
      <c r="D19" t="s">
        <v>102</v>
      </c>
      <c r="E19" t="s">
        <v>103</v>
      </c>
      <c r="F19" t="s">
        <v>34</v>
      </c>
      <c r="G19" t="s">
        <v>35</v>
      </c>
      <c r="H19" t="s">
        <v>104</v>
      </c>
      <c r="I19" t="s">
        <v>15</v>
      </c>
      <c r="J19" t="s">
        <v>21</v>
      </c>
      <c r="K19" t="s">
        <v>22</v>
      </c>
      <c r="L19">
        <f>BDP($H19,"BICS_LEVEL_1_SECTOR_NAME")</f>
        <v/>
      </c>
      <c r="M19">
        <f>BDP($H19,"BICS_LEVEL_3_INDUSTRY_NAME")</f>
        <v/>
      </c>
    </row>
    <row r="20" spans="1:13">
      <c r="A20" t="s">
        <v>105</v>
      </c>
      <c r="B20" t="s">
        <v>14</v>
      </c>
      <c r="C20" t="s">
        <v>15</v>
      </c>
      <c r="D20" t="s">
        <v>106</v>
      </c>
      <c r="E20" t="s">
        <v>107</v>
      </c>
      <c r="F20" t="s">
        <v>34</v>
      </c>
      <c r="G20" t="s">
        <v>35</v>
      </c>
      <c r="H20" t="s">
        <v>108</v>
      </c>
      <c r="I20" t="s">
        <v>15</v>
      </c>
      <c r="J20" t="s">
        <v>21</v>
      </c>
      <c r="K20" t="s">
        <v>22</v>
      </c>
      <c r="L20">
        <f>BDP($H20,"BICS_LEVEL_1_SECTOR_NAME")</f>
        <v/>
      </c>
      <c r="M20">
        <f>BDP($H20,"BICS_LEVEL_3_INDUSTRY_NAME")</f>
        <v/>
      </c>
    </row>
    <row r="21" spans="1:13">
      <c r="A21" t="s">
        <v>109</v>
      </c>
      <c r="B21" t="s">
        <v>14</v>
      </c>
      <c r="C21" t="s">
        <v>15</v>
      </c>
      <c r="D21" t="s">
        <v>110</v>
      </c>
      <c r="E21" t="s">
        <v>111</v>
      </c>
      <c r="F21" t="s">
        <v>34</v>
      </c>
      <c r="G21" t="s">
        <v>112</v>
      </c>
      <c r="H21" t="s">
        <v>113</v>
      </c>
      <c r="I21" t="s">
        <v>15</v>
      </c>
      <c r="J21" t="s">
        <v>21</v>
      </c>
      <c r="K21" t="s">
        <v>22</v>
      </c>
      <c r="L21">
        <f>BDP($H21,"BICS_LEVEL_1_SECTOR_NAME")</f>
        <v/>
      </c>
      <c r="M21">
        <f>BDP($H21,"BICS_LEVEL_3_INDUSTRY_NAME")</f>
        <v/>
      </c>
    </row>
    <row r="22" spans="1:13">
      <c r="A22" t="s">
        <v>114</v>
      </c>
      <c r="B22" t="s">
        <v>14</v>
      </c>
      <c r="C22" t="s">
        <v>15</v>
      </c>
      <c r="D22" t="s">
        <v>115</v>
      </c>
      <c r="E22" t="s">
        <v>116</v>
      </c>
      <c r="F22" t="s">
        <v>117</v>
      </c>
      <c r="G22" t="s">
        <v>118</v>
      </c>
      <c r="H22" t="s">
        <v>119</v>
      </c>
      <c r="I22" t="s">
        <v>15</v>
      </c>
      <c r="J22" t="s">
        <v>21</v>
      </c>
      <c r="K22" t="s">
        <v>22</v>
      </c>
      <c r="L22">
        <f>BDP($H22,"BICS_LEVEL_1_SECTOR_NAME")</f>
        <v/>
      </c>
      <c r="M22">
        <f>BDP($H22,"BICS_LEVEL_3_INDUSTRY_NAME")</f>
        <v/>
      </c>
    </row>
    <row r="23" spans="1:13">
      <c r="A23" t="s">
        <v>120</v>
      </c>
      <c r="B23" t="s">
        <v>14</v>
      </c>
      <c r="C23" t="s">
        <v>15</v>
      </c>
      <c r="D23" t="s">
        <v>121</v>
      </c>
      <c r="E23" t="s">
        <v>122</v>
      </c>
      <c r="F23" t="s">
        <v>34</v>
      </c>
      <c r="G23" t="s">
        <v>112</v>
      </c>
      <c r="H23" t="s">
        <v>123</v>
      </c>
      <c r="I23" t="s">
        <v>15</v>
      </c>
      <c r="J23" t="s">
        <v>21</v>
      </c>
      <c r="K23" t="s">
        <v>22</v>
      </c>
      <c r="L23">
        <f>BDP($H23,"BICS_LEVEL_1_SECTOR_NAME")</f>
        <v/>
      </c>
      <c r="M23">
        <f>BDP($H23,"BICS_LEVEL_3_INDUSTRY_NAME")</f>
        <v/>
      </c>
    </row>
    <row r="24" spans="1:13">
      <c r="A24" t="s">
        <v>124</v>
      </c>
      <c r="B24" t="s">
        <v>14</v>
      </c>
      <c r="C24" t="s">
        <v>15</v>
      </c>
      <c r="D24" t="s">
        <v>125</v>
      </c>
      <c r="E24" t="s">
        <v>126</v>
      </c>
      <c r="F24" t="s">
        <v>50</v>
      </c>
      <c r="G24" t="s">
        <v>127</v>
      </c>
      <c r="H24" t="s">
        <v>128</v>
      </c>
      <c r="I24" t="s">
        <v>15</v>
      </c>
      <c r="J24" t="s">
        <v>21</v>
      </c>
      <c r="K24" t="s">
        <v>22</v>
      </c>
      <c r="L24">
        <f>BDP($H24,"BICS_LEVEL_1_SECTOR_NAME")</f>
        <v/>
      </c>
      <c r="M24">
        <f>BDP($H24,"BICS_LEVEL_3_INDUSTRY_NAME")</f>
        <v/>
      </c>
    </row>
    <row r="25" spans="1:13">
      <c r="A25" t="s">
        <v>129</v>
      </c>
      <c r="B25" t="s">
        <v>14</v>
      </c>
      <c r="C25" t="s">
        <v>15</v>
      </c>
      <c r="D25" t="s">
        <v>130</v>
      </c>
      <c r="E25" t="s">
        <v>131</v>
      </c>
      <c r="F25" t="s">
        <v>34</v>
      </c>
      <c r="G25" t="s">
        <v>112</v>
      </c>
      <c r="H25" t="s">
        <v>132</v>
      </c>
      <c r="I25" t="s">
        <v>15</v>
      </c>
      <c r="J25" t="s">
        <v>21</v>
      </c>
      <c r="K25" t="s">
        <v>22</v>
      </c>
      <c r="L25">
        <f>BDP($H25,"BICS_LEVEL_1_SECTOR_NAME")</f>
        <v/>
      </c>
      <c r="M25">
        <f>BDP($H25,"BICS_LEVEL_3_INDUSTRY_NAME")</f>
        <v/>
      </c>
    </row>
    <row r="26" spans="1:13">
      <c r="A26" t="s">
        <v>133</v>
      </c>
      <c r="B26" t="s">
        <v>14</v>
      </c>
      <c r="C26" t="s">
        <v>15</v>
      </c>
      <c r="D26" t="s">
        <v>134</v>
      </c>
      <c r="E26" t="s">
        <v>135</v>
      </c>
      <c r="F26" t="s">
        <v>34</v>
      </c>
      <c r="G26" t="s">
        <v>35</v>
      </c>
      <c r="H26" t="s">
        <v>136</v>
      </c>
      <c r="I26" t="s">
        <v>15</v>
      </c>
      <c r="J26" t="s">
        <v>21</v>
      </c>
      <c r="K26" t="s">
        <v>22</v>
      </c>
      <c r="L26">
        <f>BDP($H26,"BICS_LEVEL_1_SECTOR_NAME")</f>
        <v/>
      </c>
      <c r="M26">
        <f>BDP($H26,"BICS_LEVEL_3_INDUSTRY_NAME")</f>
        <v/>
      </c>
    </row>
    <row r="27" spans="1:13">
      <c r="A27" t="s">
        <v>137</v>
      </c>
      <c r="B27" t="s">
        <v>14</v>
      </c>
      <c r="C27" t="s">
        <v>15</v>
      </c>
      <c r="D27" t="s">
        <v>138</v>
      </c>
      <c r="E27" t="s">
        <v>139</v>
      </c>
      <c r="F27" t="s">
        <v>34</v>
      </c>
      <c r="G27" t="s">
        <v>35</v>
      </c>
      <c r="H27" t="s">
        <v>140</v>
      </c>
      <c r="I27" t="s">
        <v>15</v>
      </c>
      <c r="J27" t="s">
        <v>21</v>
      </c>
      <c r="K27" t="s">
        <v>22</v>
      </c>
      <c r="L27">
        <f>BDP($H27,"BICS_LEVEL_1_SECTOR_NAME")</f>
        <v/>
      </c>
      <c r="M27">
        <f>BDP($H27,"BICS_LEVEL_3_INDUSTRY_NAME")</f>
        <v/>
      </c>
    </row>
    <row r="28" spans="1:13">
      <c r="A28" t="s">
        <v>141</v>
      </c>
      <c r="B28" t="s">
        <v>14</v>
      </c>
      <c r="C28" t="s">
        <v>15</v>
      </c>
      <c r="D28" t="s">
        <v>142</v>
      </c>
      <c r="E28" t="s">
        <v>143</v>
      </c>
      <c r="F28" t="s">
        <v>34</v>
      </c>
      <c r="G28" t="s">
        <v>35</v>
      </c>
      <c r="H28" t="s">
        <v>144</v>
      </c>
      <c r="I28" t="s">
        <v>15</v>
      </c>
      <c r="J28" t="s">
        <v>21</v>
      </c>
      <c r="K28" t="s">
        <v>22</v>
      </c>
      <c r="L28">
        <f>BDP($H28,"BICS_LEVEL_1_SECTOR_NAME")</f>
        <v/>
      </c>
      <c r="M28">
        <f>BDP($H28,"BICS_LEVEL_3_INDUSTRY_NAME")</f>
        <v/>
      </c>
    </row>
    <row r="29" spans="1:13">
      <c r="A29" t="s">
        <v>145</v>
      </c>
      <c r="B29" t="s">
        <v>14</v>
      </c>
      <c r="C29" t="s">
        <v>15</v>
      </c>
      <c r="D29" t="s">
        <v>146</v>
      </c>
      <c r="E29" t="s">
        <v>147</v>
      </c>
      <c r="F29" t="s">
        <v>117</v>
      </c>
      <c r="G29" t="s">
        <v>148</v>
      </c>
      <c r="H29" t="s">
        <v>149</v>
      </c>
      <c r="I29" t="s">
        <v>15</v>
      </c>
      <c r="J29" t="s">
        <v>21</v>
      </c>
      <c r="K29" t="s">
        <v>22</v>
      </c>
      <c r="L29">
        <f>BDP($H29,"BICS_LEVEL_1_SECTOR_NAME")</f>
        <v/>
      </c>
      <c r="M29">
        <f>BDP($H29,"BICS_LEVEL_3_INDUSTRY_NAME")</f>
        <v/>
      </c>
    </row>
    <row r="30" spans="1:13">
      <c r="A30" t="s">
        <v>150</v>
      </c>
      <c r="B30" t="s">
        <v>14</v>
      </c>
      <c r="C30" t="s">
        <v>15</v>
      </c>
      <c r="D30" t="s">
        <v>151</v>
      </c>
      <c r="E30" t="s">
        <v>152</v>
      </c>
      <c r="F30" t="s">
        <v>50</v>
      </c>
      <c r="G30" t="s">
        <v>153</v>
      </c>
      <c r="H30" t="s">
        <v>154</v>
      </c>
      <c r="I30" t="s">
        <v>15</v>
      </c>
      <c r="J30" t="s">
        <v>21</v>
      </c>
      <c r="K30" t="s">
        <v>22</v>
      </c>
      <c r="L30">
        <f>BDP($H30,"BICS_LEVEL_1_SECTOR_NAME")</f>
        <v/>
      </c>
      <c r="M30">
        <f>BDP($H30,"BICS_LEVEL_3_INDUSTRY_NAME")</f>
        <v/>
      </c>
    </row>
    <row r="31" spans="1:13">
      <c r="A31" t="s">
        <v>155</v>
      </c>
      <c r="B31" t="s">
        <v>14</v>
      </c>
      <c r="C31" t="s">
        <v>15</v>
      </c>
      <c r="D31" t="s">
        <v>156</v>
      </c>
      <c r="E31" t="s">
        <v>157</v>
      </c>
      <c r="F31" t="s">
        <v>55</v>
      </c>
      <c r="G31" t="s">
        <v>158</v>
      </c>
      <c r="H31" t="s">
        <v>159</v>
      </c>
      <c r="I31" t="s">
        <v>15</v>
      </c>
      <c r="J31" t="s">
        <v>21</v>
      </c>
      <c r="K31" t="s">
        <v>22</v>
      </c>
      <c r="L31">
        <f>BDP($H31,"BICS_LEVEL_1_SECTOR_NAME")</f>
        <v/>
      </c>
      <c r="M31">
        <f>BDP($H31,"BICS_LEVEL_3_INDUSTRY_NAME")</f>
        <v/>
      </c>
    </row>
    <row r="32" spans="1:13">
      <c r="A32" t="s">
        <v>160</v>
      </c>
      <c r="B32" t="s">
        <v>14</v>
      </c>
      <c r="C32" t="s">
        <v>15</v>
      </c>
      <c r="D32" t="s">
        <v>161</v>
      </c>
      <c r="E32" t="s">
        <v>162</v>
      </c>
      <c r="F32" t="s">
        <v>163</v>
      </c>
      <c r="G32" t="s">
        <v>164</v>
      </c>
      <c r="H32" t="s">
        <v>165</v>
      </c>
      <c r="I32" t="s">
        <v>15</v>
      </c>
      <c r="J32" t="s">
        <v>21</v>
      </c>
      <c r="K32" t="s">
        <v>22</v>
      </c>
      <c r="L32">
        <f>BDP($H32,"BICS_LEVEL_1_SECTOR_NAME")</f>
        <v/>
      </c>
      <c r="M32">
        <f>BDP($H32,"BICS_LEVEL_3_INDUSTRY_NAME")</f>
        <v/>
      </c>
    </row>
    <row r="33" spans="1:13">
      <c r="A33" t="s">
        <v>166</v>
      </c>
      <c r="B33" t="s">
        <v>14</v>
      </c>
      <c r="C33" t="s">
        <v>15</v>
      </c>
      <c r="D33" t="s">
        <v>167</v>
      </c>
      <c r="E33" t="s">
        <v>168</v>
      </c>
      <c r="F33" t="s">
        <v>50</v>
      </c>
      <c r="G33" t="s">
        <v>169</v>
      </c>
      <c r="H33" t="s">
        <v>170</v>
      </c>
      <c r="I33" t="s">
        <v>15</v>
      </c>
      <c r="J33" t="s">
        <v>21</v>
      </c>
      <c r="K33" t="s">
        <v>22</v>
      </c>
      <c r="L33">
        <f>BDP($H33,"BICS_LEVEL_1_SECTOR_NAME")</f>
        <v/>
      </c>
      <c r="M33">
        <f>BDP($H33,"BICS_LEVEL_3_INDUSTRY_NAME")</f>
        <v/>
      </c>
    </row>
    <row r="34" spans="1:13">
      <c r="A34" t="s">
        <v>171</v>
      </c>
      <c r="B34" t="s">
        <v>14</v>
      </c>
      <c r="C34" t="s">
        <v>15</v>
      </c>
      <c r="D34" t="s">
        <v>172</v>
      </c>
      <c r="E34" t="s">
        <v>173</v>
      </c>
      <c r="F34" t="s">
        <v>18</v>
      </c>
      <c r="G34" t="s">
        <v>174</v>
      </c>
      <c r="H34" t="s">
        <v>175</v>
      </c>
      <c r="I34" t="s">
        <v>15</v>
      </c>
      <c r="J34" t="s">
        <v>21</v>
      </c>
      <c r="K34" t="s">
        <v>22</v>
      </c>
      <c r="L34">
        <f>BDP($H34,"BICS_LEVEL_1_SECTOR_NAME")</f>
        <v/>
      </c>
      <c r="M34">
        <f>BDP($H34,"BICS_LEVEL_3_INDUSTRY_NAME")</f>
        <v/>
      </c>
    </row>
    <row r="35" spans="1:13">
      <c r="A35" t="s">
        <v>176</v>
      </c>
      <c r="B35" t="s">
        <v>14</v>
      </c>
      <c r="C35" t="s">
        <v>15</v>
      </c>
      <c r="D35" t="s">
        <v>177</v>
      </c>
      <c r="E35" t="s">
        <v>178</v>
      </c>
      <c r="F35" t="s">
        <v>34</v>
      </c>
      <c r="G35" t="s">
        <v>179</v>
      </c>
      <c r="H35" t="s">
        <v>180</v>
      </c>
      <c r="I35" t="s">
        <v>15</v>
      </c>
      <c r="J35" t="s">
        <v>21</v>
      </c>
      <c r="K35" t="s">
        <v>22</v>
      </c>
      <c r="L35">
        <f>BDP($H35,"BICS_LEVEL_1_SECTOR_NAME")</f>
        <v/>
      </c>
      <c r="M35">
        <f>BDP($H35,"BICS_LEVEL_3_INDUSTRY_NAME")</f>
        <v/>
      </c>
    </row>
    <row r="36" spans="1:13">
      <c r="A36" t="s">
        <v>181</v>
      </c>
      <c r="B36" t="s">
        <v>14</v>
      </c>
      <c r="C36" t="s">
        <v>15</v>
      </c>
      <c r="D36" t="s">
        <v>182</v>
      </c>
      <c r="E36" t="s">
        <v>183</v>
      </c>
      <c r="F36" t="s">
        <v>34</v>
      </c>
      <c r="G36" t="s">
        <v>112</v>
      </c>
      <c r="H36" t="s">
        <v>184</v>
      </c>
      <c r="I36" t="s">
        <v>15</v>
      </c>
      <c r="J36" t="s">
        <v>21</v>
      </c>
      <c r="K36" t="s">
        <v>22</v>
      </c>
      <c r="L36">
        <f>BDP($H36,"BICS_LEVEL_1_SECTOR_NAME")</f>
        <v/>
      </c>
      <c r="M36">
        <f>BDP($H36,"BICS_LEVEL_3_INDUSTRY_NAME")</f>
        <v/>
      </c>
    </row>
    <row r="37" spans="1:13">
      <c r="A37" t="s">
        <v>185</v>
      </c>
      <c r="B37" t="s">
        <v>14</v>
      </c>
      <c r="C37" t="s">
        <v>15</v>
      </c>
      <c r="D37" t="s">
        <v>186</v>
      </c>
      <c r="E37" t="s">
        <v>187</v>
      </c>
      <c r="F37" t="s">
        <v>44</v>
      </c>
      <c r="G37" t="s">
        <v>188</v>
      </c>
      <c r="H37" t="s">
        <v>189</v>
      </c>
      <c r="I37" t="s">
        <v>15</v>
      </c>
      <c r="J37" t="s">
        <v>21</v>
      </c>
      <c r="K37" t="s">
        <v>22</v>
      </c>
      <c r="L37">
        <f>BDP($H37,"BICS_LEVEL_1_SECTOR_NAME")</f>
        <v/>
      </c>
      <c r="M37">
        <f>BDP($H37,"BICS_LEVEL_3_INDUSTRY_NAME")</f>
        <v/>
      </c>
    </row>
    <row r="38" spans="1:13">
      <c r="A38" t="s">
        <v>190</v>
      </c>
      <c r="B38" t="s">
        <v>14</v>
      </c>
      <c r="C38" t="s">
        <v>15</v>
      </c>
      <c r="D38" t="s">
        <v>191</v>
      </c>
      <c r="E38" t="s">
        <v>192</v>
      </c>
      <c r="F38" t="s">
        <v>44</v>
      </c>
      <c r="G38" t="s">
        <v>188</v>
      </c>
      <c r="H38" t="s">
        <v>193</v>
      </c>
      <c r="I38" t="s">
        <v>15</v>
      </c>
      <c r="J38" t="s">
        <v>21</v>
      </c>
      <c r="K38" t="s">
        <v>22</v>
      </c>
      <c r="L38">
        <f>BDP($H38,"BICS_LEVEL_1_SECTOR_NAME")</f>
        <v/>
      </c>
      <c r="M38">
        <f>BDP($H38,"BICS_LEVEL_3_INDUSTRY_NAME")</f>
        <v/>
      </c>
    </row>
    <row r="39" spans="1:13">
      <c r="A39" t="s">
        <v>194</v>
      </c>
      <c r="B39" t="s">
        <v>14</v>
      </c>
      <c r="C39" t="s">
        <v>15</v>
      </c>
      <c r="D39" t="s">
        <v>195</v>
      </c>
      <c r="E39" t="s">
        <v>196</v>
      </c>
      <c r="F39" t="s">
        <v>50</v>
      </c>
      <c r="G39" t="s">
        <v>197</v>
      </c>
      <c r="H39" t="s">
        <v>198</v>
      </c>
      <c r="I39" t="s">
        <v>15</v>
      </c>
      <c r="J39" t="s">
        <v>21</v>
      </c>
      <c r="K39" t="s">
        <v>22</v>
      </c>
      <c r="L39">
        <f>BDP($H39,"BICS_LEVEL_1_SECTOR_NAME")</f>
        <v/>
      </c>
      <c r="M39">
        <f>BDP($H39,"BICS_LEVEL_3_INDUSTRY_NAME")</f>
        <v/>
      </c>
    </row>
    <row r="40" spans="1:13">
      <c r="A40" t="s">
        <v>199</v>
      </c>
      <c r="B40" t="s">
        <v>14</v>
      </c>
      <c r="C40" t="s">
        <v>15</v>
      </c>
      <c r="D40" t="s">
        <v>200</v>
      </c>
      <c r="E40" t="s">
        <v>201</v>
      </c>
      <c r="F40" t="s">
        <v>34</v>
      </c>
      <c r="G40" t="s">
        <v>112</v>
      </c>
      <c r="H40" t="s">
        <v>202</v>
      </c>
      <c r="I40" t="s">
        <v>15</v>
      </c>
      <c r="J40" t="s">
        <v>21</v>
      </c>
      <c r="K40" t="s">
        <v>22</v>
      </c>
      <c r="L40">
        <f>BDP($H40,"BICS_LEVEL_1_SECTOR_NAME")</f>
        <v/>
      </c>
      <c r="M40">
        <f>BDP($H40,"BICS_LEVEL_3_INDUSTRY_NAME")</f>
        <v/>
      </c>
    </row>
    <row r="41" spans="1:13">
      <c r="A41" t="s">
        <v>203</v>
      </c>
      <c r="B41" t="s">
        <v>14</v>
      </c>
      <c r="C41" t="s">
        <v>15</v>
      </c>
      <c r="D41" t="s">
        <v>204</v>
      </c>
      <c r="E41" t="s">
        <v>205</v>
      </c>
      <c r="F41" t="s">
        <v>34</v>
      </c>
      <c r="G41" t="s">
        <v>206</v>
      </c>
      <c r="H41" t="s">
        <v>207</v>
      </c>
      <c r="I41" t="s">
        <v>15</v>
      </c>
      <c r="J41" t="s">
        <v>21</v>
      </c>
      <c r="K41" t="s">
        <v>22</v>
      </c>
      <c r="L41">
        <f>BDP($H41,"BICS_LEVEL_1_SECTOR_NAME")</f>
        <v/>
      </c>
      <c r="M41">
        <f>BDP($H41,"BICS_LEVEL_3_INDUSTRY_NAME")</f>
        <v/>
      </c>
    </row>
    <row r="42" spans="1:13">
      <c r="A42" t="s">
        <v>208</v>
      </c>
      <c r="B42" t="s">
        <v>14</v>
      </c>
      <c r="C42" t="s">
        <v>15</v>
      </c>
      <c r="D42" t="s">
        <v>209</v>
      </c>
      <c r="E42" t="s">
        <v>210</v>
      </c>
      <c r="F42" t="s">
        <v>18</v>
      </c>
      <c r="G42" t="s">
        <v>211</v>
      </c>
      <c r="H42" t="s">
        <v>212</v>
      </c>
      <c r="I42" t="s">
        <v>15</v>
      </c>
      <c r="J42" t="s">
        <v>21</v>
      </c>
      <c r="K42" t="s">
        <v>22</v>
      </c>
      <c r="L42">
        <f>BDP($H42,"BICS_LEVEL_1_SECTOR_NAME")</f>
        <v/>
      </c>
      <c r="M42">
        <f>BDP($H42,"BICS_LEVEL_3_INDUSTRY_NAME")</f>
        <v/>
      </c>
    </row>
    <row r="43" spans="1:13">
      <c r="A43" t="s">
        <v>213</v>
      </c>
      <c r="B43" t="s">
        <v>14</v>
      </c>
      <c r="C43" t="s">
        <v>15</v>
      </c>
      <c r="D43" t="s">
        <v>214</v>
      </c>
      <c r="E43" t="s">
        <v>215</v>
      </c>
      <c r="F43" t="s">
        <v>50</v>
      </c>
      <c r="G43" t="s">
        <v>216</v>
      </c>
      <c r="H43" t="s">
        <v>217</v>
      </c>
      <c r="I43" t="s">
        <v>15</v>
      </c>
      <c r="J43" t="s">
        <v>21</v>
      </c>
      <c r="K43" t="s">
        <v>22</v>
      </c>
      <c r="L43">
        <f>BDP($H43,"BICS_LEVEL_1_SECTOR_NAME")</f>
        <v/>
      </c>
      <c r="M43">
        <f>BDP($H43,"BICS_LEVEL_3_INDUSTRY_NAME")</f>
        <v/>
      </c>
    </row>
    <row r="44" spans="1:13">
      <c r="A44" t="s">
        <v>218</v>
      </c>
      <c r="B44" t="s">
        <v>14</v>
      </c>
      <c r="C44" t="s">
        <v>15</v>
      </c>
      <c r="D44" t="s">
        <v>219</v>
      </c>
      <c r="E44" t="s">
        <v>220</v>
      </c>
      <c r="F44" t="s">
        <v>44</v>
      </c>
      <c r="G44" t="s">
        <v>74</v>
      </c>
      <c r="H44" t="s">
        <v>221</v>
      </c>
      <c r="I44" t="s">
        <v>15</v>
      </c>
      <c r="J44" t="s">
        <v>21</v>
      </c>
      <c r="K44" t="s">
        <v>22</v>
      </c>
      <c r="L44">
        <f>BDP($H44,"BICS_LEVEL_1_SECTOR_NAME")</f>
        <v/>
      </c>
      <c r="M44">
        <f>BDP($H44,"BICS_LEVEL_3_INDUSTRY_NAME")</f>
        <v/>
      </c>
    </row>
    <row r="45" spans="1:13">
      <c r="A45" t="s">
        <v>222</v>
      </c>
      <c r="B45" t="s">
        <v>14</v>
      </c>
      <c r="C45" t="s">
        <v>15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15</v>
      </c>
      <c r="J45" t="s">
        <v>21</v>
      </c>
      <c r="K45" t="s">
        <v>22</v>
      </c>
      <c r="L45">
        <f>BDP($H45,"BICS_LEVEL_1_SECTOR_NAME")</f>
        <v/>
      </c>
      <c r="M45">
        <f>BDP($H45,"BICS_LEVEL_3_INDUSTRY_NAME")</f>
        <v/>
      </c>
    </row>
    <row r="46" spans="1:13">
      <c r="A46" t="s">
        <v>228</v>
      </c>
      <c r="B46" t="s">
        <v>14</v>
      </c>
      <c r="C46" t="s">
        <v>15</v>
      </c>
      <c r="D46" t="s">
        <v>229</v>
      </c>
      <c r="E46" t="s">
        <v>230</v>
      </c>
      <c r="F46" t="s">
        <v>50</v>
      </c>
      <c r="G46" t="s">
        <v>197</v>
      </c>
      <c r="H46" t="s">
        <v>231</v>
      </c>
      <c r="I46" t="s">
        <v>15</v>
      </c>
      <c r="J46" t="s">
        <v>21</v>
      </c>
      <c r="K46" t="s">
        <v>22</v>
      </c>
      <c r="L46">
        <f>BDP($H46,"BICS_LEVEL_1_SECTOR_NAME")</f>
        <v/>
      </c>
      <c r="M46">
        <f>BDP($H46,"BICS_LEVEL_3_INDUSTRY_NAME")</f>
        <v/>
      </c>
    </row>
    <row r="47" spans="1:13">
      <c r="A47" t="s">
        <v>232</v>
      </c>
      <c r="B47" t="s">
        <v>14</v>
      </c>
      <c r="C47" t="s">
        <v>15</v>
      </c>
      <c r="D47" t="s">
        <v>233</v>
      </c>
      <c r="E47" t="s">
        <v>234</v>
      </c>
      <c r="F47" t="s">
        <v>117</v>
      </c>
      <c r="G47" t="s">
        <v>235</v>
      </c>
      <c r="H47" t="s">
        <v>236</v>
      </c>
      <c r="I47" t="s">
        <v>15</v>
      </c>
      <c r="J47" t="s">
        <v>21</v>
      </c>
      <c r="K47" t="s">
        <v>22</v>
      </c>
      <c r="L47">
        <f>BDP($H47,"BICS_LEVEL_1_SECTOR_NAME")</f>
        <v/>
      </c>
      <c r="M47">
        <f>BDP($H47,"BICS_LEVEL_3_INDUSTRY_NAME")</f>
        <v/>
      </c>
    </row>
    <row r="48" spans="1:13">
      <c r="A48" t="s">
        <v>237</v>
      </c>
      <c r="B48" t="s">
        <v>14</v>
      </c>
      <c r="C48" t="s">
        <v>15</v>
      </c>
      <c r="D48" t="s">
        <v>238</v>
      </c>
      <c r="E48" t="s">
        <v>239</v>
      </c>
      <c r="F48" t="s">
        <v>34</v>
      </c>
      <c r="G48" t="s">
        <v>35</v>
      </c>
      <c r="H48" t="s">
        <v>240</v>
      </c>
      <c r="I48" t="s">
        <v>15</v>
      </c>
      <c r="J48" t="s">
        <v>21</v>
      </c>
      <c r="K48" t="s">
        <v>22</v>
      </c>
      <c r="L48">
        <f>BDP($H48,"BICS_LEVEL_1_SECTOR_NAME")</f>
        <v/>
      </c>
      <c r="M48">
        <f>BDP($H48,"BICS_LEVEL_3_INDUSTRY_NAME")</f>
        <v/>
      </c>
    </row>
    <row r="49" spans="1:13">
      <c r="A49" t="s">
        <v>241</v>
      </c>
      <c r="B49" t="s">
        <v>14</v>
      </c>
      <c r="C49" t="s">
        <v>15</v>
      </c>
      <c r="D49" t="s">
        <v>242</v>
      </c>
      <c r="E49" t="s">
        <v>243</v>
      </c>
      <c r="F49" t="s">
        <v>117</v>
      </c>
      <c r="G49" t="s">
        <v>164</v>
      </c>
      <c r="H49" t="s">
        <v>244</v>
      </c>
      <c r="I49" t="s">
        <v>15</v>
      </c>
      <c r="J49" t="s">
        <v>21</v>
      </c>
      <c r="K49" t="s">
        <v>22</v>
      </c>
      <c r="L49">
        <f>BDP($H49,"BICS_LEVEL_1_SECTOR_NAME")</f>
        <v/>
      </c>
      <c r="M49">
        <f>BDP($H49,"BICS_LEVEL_3_INDUSTRY_NAME")</f>
        <v/>
      </c>
    </row>
    <row r="50" spans="1:13">
      <c r="A50" t="s">
        <v>245</v>
      </c>
      <c r="B50" t="s">
        <v>14</v>
      </c>
      <c r="C50" t="s">
        <v>15</v>
      </c>
      <c r="D50" t="s">
        <v>246</v>
      </c>
      <c r="E50" t="s">
        <v>247</v>
      </c>
      <c r="F50" t="s">
        <v>44</v>
      </c>
      <c r="G50" t="s">
        <v>19</v>
      </c>
      <c r="H50" t="s">
        <v>248</v>
      </c>
      <c r="I50" t="s">
        <v>15</v>
      </c>
      <c r="J50" t="s">
        <v>21</v>
      </c>
      <c r="K50" t="s">
        <v>22</v>
      </c>
      <c r="L50">
        <f>BDP($H50,"BICS_LEVEL_1_SECTOR_NAME")</f>
        <v/>
      </c>
      <c r="M50">
        <f>BDP($H50,"BICS_LEVEL_3_INDUSTRY_NAME")</f>
        <v/>
      </c>
    </row>
    <row r="51" spans="1:13">
      <c r="A51" t="s">
        <v>249</v>
      </c>
      <c r="B51" t="s">
        <v>14</v>
      </c>
      <c r="C51" t="s">
        <v>15</v>
      </c>
      <c r="D51" t="s">
        <v>250</v>
      </c>
      <c r="E51" t="s">
        <v>251</v>
      </c>
      <c r="F51" t="s">
        <v>50</v>
      </c>
      <c r="G51" t="s">
        <v>252</v>
      </c>
      <c r="H51" t="s">
        <v>253</v>
      </c>
      <c r="I51" t="s">
        <v>15</v>
      </c>
      <c r="J51" t="s">
        <v>21</v>
      </c>
      <c r="K51" t="s">
        <v>22</v>
      </c>
      <c r="L51">
        <f>BDP($H51,"BICS_LEVEL_1_SECTOR_NAME")</f>
        <v/>
      </c>
      <c r="M51">
        <f>BDP($H51,"BICS_LEVEL_3_INDUSTRY_NAME")</f>
        <v/>
      </c>
    </row>
    <row r="52" spans="1:13">
      <c r="A52" t="s">
        <v>254</v>
      </c>
      <c r="B52" t="s">
        <v>14</v>
      </c>
      <c r="C52" t="s">
        <v>15</v>
      </c>
      <c r="D52" t="s">
        <v>255</v>
      </c>
      <c r="E52" t="s">
        <v>256</v>
      </c>
      <c r="F52" t="s">
        <v>44</v>
      </c>
      <c r="G52" t="s">
        <v>188</v>
      </c>
      <c r="H52" t="s">
        <v>257</v>
      </c>
      <c r="I52" t="s">
        <v>15</v>
      </c>
      <c r="J52" t="s">
        <v>21</v>
      </c>
      <c r="K52" t="s">
        <v>22</v>
      </c>
      <c r="L52">
        <f>BDP($H52,"BICS_LEVEL_1_SECTOR_NAME")</f>
        <v/>
      </c>
      <c r="M52">
        <f>BDP($H52,"BICS_LEVEL_3_INDUSTRY_NAME")</f>
        <v/>
      </c>
    </row>
    <row r="53" spans="1:13">
      <c r="A53" t="s">
        <v>258</v>
      </c>
      <c r="B53" t="s">
        <v>14</v>
      </c>
      <c r="C53" t="s">
        <v>15</v>
      </c>
      <c r="D53" t="s">
        <v>259</v>
      </c>
      <c r="E53" t="s">
        <v>260</v>
      </c>
      <c r="F53" t="s">
        <v>44</v>
      </c>
      <c r="G53" t="s">
        <v>65</v>
      </c>
      <c r="H53" t="s">
        <v>261</v>
      </c>
      <c r="I53" t="s">
        <v>15</v>
      </c>
      <c r="J53" t="s">
        <v>21</v>
      </c>
      <c r="K53" t="s">
        <v>22</v>
      </c>
      <c r="L53">
        <f>BDP($H53,"BICS_LEVEL_1_SECTOR_NAME")</f>
        <v/>
      </c>
      <c r="M53">
        <f>BDP($H53,"BICS_LEVEL_3_INDUSTRY_NAME")</f>
        <v/>
      </c>
    </row>
    <row r="54" spans="1:13">
      <c r="A54" t="s">
        <v>262</v>
      </c>
      <c r="B54" t="s">
        <v>14</v>
      </c>
      <c r="C54" t="s">
        <v>15</v>
      </c>
      <c r="D54" t="s">
        <v>263</v>
      </c>
      <c r="E54" t="s">
        <v>264</v>
      </c>
      <c r="F54" t="s">
        <v>44</v>
      </c>
      <c r="G54" t="s">
        <v>188</v>
      </c>
      <c r="H54" t="s">
        <v>265</v>
      </c>
      <c r="I54" t="s">
        <v>15</v>
      </c>
      <c r="J54" t="s">
        <v>21</v>
      </c>
      <c r="K54" t="s">
        <v>22</v>
      </c>
      <c r="L54">
        <f>BDP($H54,"BICS_LEVEL_1_SECTOR_NAME")</f>
        <v/>
      </c>
      <c r="M54">
        <f>BDP($H54,"BICS_LEVEL_3_INDUSTRY_NAME")</f>
        <v/>
      </c>
    </row>
    <row r="55" spans="1:13">
      <c r="A55" t="s">
        <v>266</v>
      </c>
      <c r="B55" t="s">
        <v>14</v>
      </c>
      <c r="C55" t="s">
        <v>15</v>
      </c>
      <c r="D55" t="s">
        <v>267</v>
      </c>
      <c r="E55" t="s">
        <v>268</v>
      </c>
      <c r="F55" t="s">
        <v>44</v>
      </c>
      <c r="G55" t="s">
        <v>269</v>
      </c>
      <c r="H55" t="s">
        <v>270</v>
      </c>
      <c r="I55" t="s">
        <v>15</v>
      </c>
      <c r="J55" t="s">
        <v>21</v>
      </c>
      <c r="K55" t="s">
        <v>22</v>
      </c>
      <c r="L55">
        <f>BDP($H55,"BICS_LEVEL_1_SECTOR_NAME")</f>
        <v/>
      </c>
      <c r="M55">
        <f>BDP($H55,"BICS_LEVEL_3_INDUSTRY_NAME")</f>
        <v/>
      </c>
    </row>
    <row r="56" spans="1:13">
      <c r="A56" t="s">
        <v>271</v>
      </c>
      <c r="B56" t="s">
        <v>14</v>
      </c>
      <c r="C56" t="s">
        <v>15</v>
      </c>
      <c r="D56" t="s">
        <v>272</v>
      </c>
      <c r="E56" t="s">
        <v>273</v>
      </c>
      <c r="F56" t="s">
        <v>44</v>
      </c>
      <c r="G56" t="s">
        <v>65</v>
      </c>
      <c r="H56" t="s">
        <v>274</v>
      </c>
      <c r="I56" t="s">
        <v>15</v>
      </c>
      <c r="J56" t="s">
        <v>21</v>
      </c>
      <c r="K56" t="s">
        <v>22</v>
      </c>
      <c r="L56">
        <f>BDP($H56,"BICS_LEVEL_1_SECTOR_NAME")</f>
        <v/>
      </c>
      <c r="M56">
        <f>BDP($H56,"BICS_LEVEL_3_INDUSTRY_NAME")</f>
        <v/>
      </c>
    </row>
    <row r="57" spans="1:13">
      <c r="A57" t="s">
        <v>275</v>
      </c>
      <c r="B57" t="s">
        <v>14</v>
      </c>
      <c r="C57" t="s">
        <v>15</v>
      </c>
      <c r="D57" t="s">
        <v>276</v>
      </c>
      <c r="E57" t="s">
        <v>277</v>
      </c>
      <c r="F57" t="s">
        <v>34</v>
      </c>
      <c r="G57" t="s">
        <v>35</v>
      </c>
      <c r="H57" t="s">
        <v>278</v>
      </c>
      <c r="I57" t="s">
        <v>15</v>
      </c>
      <c r="J57" t="s">
        <v>21</v>
      </c>
      <c r="K57" t="s">
        <v>22</v>
      </c>
      <c r="L57">
        <f>BDP($H57,"BICS_LEVEL_1_SECTOR_NAME")</f>
        <v/>
      </c>
      <c r="M57">
        <f>BDP($H57,"BICS_LEVEL_3_INDUSTRY_NAME")</f>
        <v/>
      </c>
    </row>
    <row r="58" spans="1:13">
      <c r="A58" t="s">
        <v>279</v>
      </c>
      <c r="B58" t="s">
        <v>14</v>
      </c>
      <c r="C58" t="s">
        <v>15</v>
      </c>
      <c r="D58" t="s">
        <v>280</v>
      </c>
      <c r="E58" t="s">
        <v>281</v>
      </c>
      <c r="F58" t="s">
        <v>34</v>
      </c>
      <c r="G58" t="s">
        <v>35</v>
      </c>
      <c r="H58" t="s">
        <v>282</v>
      </c>
      <c r="I58" t="s">
        <v>15</v>
      </c>
      <c r="J58" t="s">
        <v>21</v>
      </c>
      <c r="K58" t="s">
        <v>22</v>
      </c>
      <c r="L58">
        <f>BDP($H58,"BICS_LEVEL_1_SECTOR_NAME")</f>
        <v/>
      </c>
      <c r="M58">
        <f>BDP($H58,"BICS_LEVEL_3_INDUSTRY_NAME")</f>
        <v/>
      </c>
    </row>
    <row r="59" spans="1:13">
      <c r="A59" t="s">
        <v>283</v>
      </c>
      <c r="B59" t="s">
        <v>14</v>
      </c>
      <c r="C59" t="s">
        <v>15</v>
      </c>
      <c r="D59" t="s">
        <v>284</v>
      </c>
      <c r="E59" t="s">
        <v>285</v>
      </c>
      <c r="F59" t="s">
        <v>44</v>
      </c>
      <c r="G59" t="s">
        <v>74</v>
      </c>
      <c r="H59" t="s">
        <v>286</v>
      </c>
      <c r="I59" t="s">
        <v>15</v>
      </c>
      <c r="J59" t="s">
        <v>21</v>
      </c>
      <c r="K59" t="s">
        <v>22</v>
      </c>
      <c r="L59">
        <f>BDP($H59,"BICS_LEVEL_1_SECTOR_NAME")</f>
        <v/>
      </c>
      <c r="M59">
        <f>BDP($H59,"BICS_LEVEL_3_INDUSTRY_NAME")</f>
        <v/>
      </c>
    </row>
    <row r="60" spans="1:13">
      <c r="A60" t="s">
        <v>287</v>
      </c>
      <c r="B60" t="s">
        <v>14</v>
      </c>
      <c r="C60" t="s">
        <v>15</v>
      </c>
      <c r="D60" t="s">
        <v>288</v>
      </c>
      <c r="E60" t="s">
        <v>289</v>
      </c>
      <c r="F60" t="s">
        <v>34</v>
      </c>
      <c r="G60" t="s">
        <v>290</v>
      </c>
      <c r="H60" t="s">
        <v>291</v>
      </c>
      <c r="I60" t="s">
        <v>15</v>
      </c>
      <c r="J60" t="s">
        <v>21</v>
      </c>
      <c r="K60" t="s">
        <v>22</v>
      </c>
      <c r="L60">
        <f>BDP($H60,"BICS_LEVEL_1_SECTOR_NAME")</f>
        <v/>
      </c>
      <c r="M60">
        <f>BDP($H60,"BICS_LEVEL_3_INDUSTRY_NAME")</f>
        <v/>
      </c>
    </row>
    <row r="61" spans="1:13">
      <c r="A61" t="s">
        <v>292</v>
      </c>
      <c r="B61" t="s">
        <v>14</v>
      </c>
      <c r="C61" t="s">
        <v>15</v>
      </c>
      <c r="D61" t="s">
        <v>293</v>
      </c>
      <c r="E61" t="s">
        <v>294</v>
      </c>
      <c r="F61" t="s">
        <v>18</v>
      </c>
      <c r="G61" t="s">
        <v>295</v>
      </c>
      <c r="H61" t="s">
        <v>296</v>
      </c>
      <c r="I61" t="s">
        <v>15</v>
      </c>
      <c r="J61" t="s">
        <v>21</v>
      </c>
      <c r="K61" t="s">
        <v>22</v>
      </c>
      <c r="L61">
        <f>BDP($H61,"BICS_LEVEL_1_SECTOR_NAME")</f>
        <v/>
      </c>
      <c r="M61">
        <f>BDP($H61,"BICS_LEVEL_3_INDUSTRY_NAME")</f>
        <v/>
      </c>
    </row>
    <row r="62" spans="1:13">
      <c r="A62" t="s">
        <v>297</v>
      </c>
      <c r="B62" t="s">
        <v>14</v>
      </c>
      <c r="C62" t="s">
        <v>15</v>
      </c>
      <c r="D62" t="s">
        <v>298</v>
      </c>
      <c r="E62" t="s">
        <v>299</v>
      </c>
      <c r="F62" t="s">
        <v>34</v>
      </c>
      <c r="G62" t="s">
        <v>35</v>
      </c>
      <c r="H62" t="s">
        <v>300</v>
      </c>
      <c r="I62" t="s">
        <v>15</v>
      </c>
      <c r="J62" t="s">
        <v>21</v>
      </c>
      <c r="K62" t="s">
        <v>22</v>
      </c>
      <c r="L62">
        <f>BDP($H62,"BICS_LEVEL_1_SECTOR_NAME")</f>
        <v/>
      </c>
      <c r="M62">
        <f>BDP($H62,"BICS_LEVEL_3_INDUSTRY_NAME")</f>
        <v/>
      </c>
    </row>
    <row r="63" spans="1:13">
      <c r="A63" t="s">
        <v>301</v>
      </c>
      <c r="B63" t="s">
        <v>14</v>
      </c>
      <c r="C63" t="s">
        <v>15</v>
      </c>
      <c r="D63" t="s">
        <v>302</v>
      </c>
      <c r="E63" t="s">
        <v>303</v>
      </c>
      <c r="F63" t="s">
        <v>44</v>
      </c>
      <c r="G63" t="s">
        <v>188</v>
      </c>
      <c r="H63" t="s">
        <v>304</v>
      </c>
      <c r="I63" t="s">
        <v>15</v>
      </c>
      <c r="J63" t="s">
        <v>21</v>
      </c>
      <c r="K63" t="s">
        <v>22</v>
      </c>
      <c r="L63">
        <f>BDP($H63,"BICS_LEVEL_1_SECTOR_NAME")</f>
        <v/>
      </c>
      <c r="M63">
        <f>BDP($H63,"BICS_LEVEL_3_INDUSTRY_NAME")</f>
        <v/>
      </c>
    </row>
    <row r="64" spans="1:13">
      <c r="A64" t="s">
        <v>305</v>
      </c>
      <c r="B64" t="s">
        <v>14</v>
      </c>
      <c r="C64" t="s">
        <v>15</v>
      </c>
      <c r="D64" t="s">
        <v>306</v>
      </c>
      <c r="E64" t="s">
        <v>307</v>
      </c>
      <c r="F64" t="s">
        <v>34</v>
      </c>
      <c r="G64" t="s">
        <v>99</v>
      </c>
      <c r="H64" t="s">
        <v>308</v>
      </c>
      <c r="I64" t="s">
        <v>15</v>
      </c>
      <c r="J64" t="s">
        <v>21</v>
      </c>
      <c r="K64" t="s">
        <v>22</v>
      </c>
      <c r="L64">
        <f>BDP($H64,"BICS_LEVEL_1_SECTOR_NAME")</f>
        <v/>
      </c>
      <c r="M64">
        <f>BDP($H64,"BICS_LEVEL_3_INDUSTRY_NAME")</f>
        <v/>
      </c>
    </row>
    <row r="65" spans="1:13">
      <c r="A65" t="s">
        <v>309</v>
      </c>
      <c r="B65" t="s">
        <v>14</v>
      </c>
      <c r="C65" t="s">
        <v>15</v>
      </c>
      <c r="D65" t="s">
        <v>310</v>
      </c>
      <c r="E65" t="s">
        <v>311</v>
      </c>
      <c r="F65" t="s">
        <v>44</v>
      </c>
      <c r="G65" t="s">
        <v>312</v>
      </c>
      <c r="H65" t="s">
        <v>313</v>
      </c>
      <c r="I65" t="s">
        <v>15</v>
      </c>
      <c r="J65" t="s">
        <v>21</v>
      </c>
      <c r="K65" t="s">
        <v>22</v>
      </c>
      <c r="L65">
        <f>BDP($H65,"BICS_LEVEL_1_SECTOR_NAME")</f>
        <v/>
      </c>
      <c r="M65">
        <f>BDP($H65,"BICS_LEVEL_3_INDUSTRY_NAME")</f>
        <v/>
      </c>
    </row>
    <row r="66" spans="1:13">
      <c r="A66" t="s">
        <v>314</v>
      </c>
      <c r="B66" t="s">
        <v>14</v>
      </c>
      <c r="C66" t="s">
        <v>15</v>
      </c>
      <c r="D66" t="s">
        <v>315</v>
      </c>
      <c r="E66" t="s">
        <v>316</v>
      </c>
      <c r="F66" t="s">
        <v>44</v>
      </c>
      <c r="G66" t="s">
        <v>312</v>
      </c>
      <c r="H66" t="s">
        <v>317</v>
      </c>
      <c r="I66" t="s">
        <v>15</v>
      </c>
      <c r="J66" t="s">
        <v>21</v>
      </c>
      <c r="K66" t="s">
        <v>22</v>
      </c>
      <c r="L66">
        <f>BDP($H66,"BICS_LEVEL_1_SECTOR_NAME")</f>
        <v/>
      </c>
      <c r="M66">
        <f>BDP($H66,"BICS_LEVEL_3_INDUSTRY_NAME")</f>
        <v/>
      </c>
    </row>
    <row r="67" spans="1:13">
      <c r="A67" t="s">
        <v>318</v>
      </c>
      <c r="B67" t="s">
        <v>14</v>
      </c>
      <c r="C67" t="s">
        <v>15</v>
      </c>
      <c r="D67" t="s">
        <v>319</v>
      </c>
      <c r="E67" t="s">
        <v>320</v>
      </c>
      <c r="F67" t="s">
        <v>18</v>
      </c>
      <c r="G67" t="s">
        <v>321</v>
      </c>
      <c r="H67" t="s">
        <v>322</v>
      </c>
      <c r="I67" t="s">
        <v>15</v>
      </c>
      <c r="J67" t="s">
        <v>21</v>
      </c>
      <c r="K67" t="s">
        <v>22</v>
      </c>
      <c r="L67">
        <f>BDP($H67,"BICS_LEVEL_1_SECTOR_NAME")</f>
        <v/>
      </c>
      <c r="M67">
        <f>BDP($H67,"BICS_LEVEL_3_INDUSTRY_NAME")</f>
        <v/>
      </c>
    </row>
    <row r="68" spans="1:13">
      <c r="A68" t="s">
        <v>323</v>
      </c>
      <c r="B68" t="s">
        <v>14</v>
      </c>
      <c r="C68" t="s">
        <v>15</v>
      </c>
      <c r="D68" t="s">
        <v>324</v>
      </c>
      <c r="E68" t="s">
        <v>325</v>
      </c>
      <c r="F68" t="s">
        <v>50</v>
      </c>
      <c r="G68" t="s">
        <v>127</v>
      </c>
      <c r="H68" t="s">
        <v>326</v>
      </c>
      <c r="I68" t="s">
        <v>15</v>
      </c>
      <c r="J68" t="s">
        <v>21</v>
      </c>
      <c r="K68" t="s">
        <v>22</v>
      </c>
      <c r="L68">
        <f>BDP($H68,"BICS_LEVEL_1_SECTOR_NAME")</f>
        <v/>
      </c>
      <c r="M68">
        <f>BDP($H68,"BICS_LEVEL_3_INDUSTRY_NAME")</f>
        <v/>
      </c>
    </row>
    <row r="69" spans="1:13">
      <c r="A69" t="s">
        <v>327</v>
      </c>
      <c r="B69" t="s">
        <v>14</v>
      </c>
      <c r="C69" t="s">
        <v>15</v>
      </c>
      <c r="D69" t="s">
        <v>328</v>
      </c>
      <c r="E69" t="s">
        <v>329</v>
      </c>
      <c r="F69" t="s">
        <v>163</v>
      </c>
      <c r="G69" t="s">
        <v>330</v>
      </c>
      <c r="H69" t="s">
        <v>331</v>
      </c>
      <c r="I69" t="s">
        <v>15</v>
      </c>
      <c r="J69" t="s">
        <v>21</v>
      </c>
      <c r="K69" t="s">
        <v>22</v>
      </c>
      <c r="L69">
        <f>BDP($H69,"BICS_LEVEL_1_SECTOR_NAME")</f>
        <v/>
      </c>
      <c r="M69">
        <f>BDP($H69,"BICS_LEVEL_3_INDUSTRY_NAME")</f>
        <v/>
      </c>
    </row>
    <row r="70" spans="1:13">
      <c r="A70" t="s">
        <v>332</v>
      </c>
      <c r="B70" t="s">
        <v>14</v>
      </c>
      <c r="C70" t="s">
        <v>15</v>
      </c>
      <c r="D70" t="s">
        <v>333</v>
      </c>
      <c r="E70" t="s">
        <v>334</v>
      </c>
      <c r="F70" t="s">
        <v>44</v>
      </c>
      <c r="G70" t="s">
        <v>65</v>
      </c>
      <c r="H70" t="s">
        <v>335</v>
      </c>
      <c r="I70" t="s">
        <v>15</v>
      </c>
      <c r="J70" t="s">
        <v>21</v>
      </c>
      <c r="K70" t="s">
        <v>22</v>
      </c>
      <c r="L70">
        <f>BDP($H70,"BICS_LEVEL_1_SECTOR_NAME")</f>
        <v/>
      </c>
      <c r="M70">
        <f>BDP($H70,"BICS_LEVEL_3_INDUSTRY_NAME")</f>
        <v/>
      </c>
    </row>
    <row r="71" spans="1:13">
      <c r="A71" t="s">
        <v>336</v>
      </c>
      <c r="B71" t="s">
        <v>14</v>
      </c>
      <c r="C71" t="s">
        <v>15</v>
      </c>
      <c r="D71" t="s">
        <v>337</v>
      </c>
      <c r="E71" t="s">
        <v>338</v>
      </c>
      <c r="F71" t="s">
        <v>50</v>
      </c>
      <c r="G71" t="s">
        <v>339</v>
      </c>
      <c r="H71" t="s">
        <v>340</v>
      </c>
      <c r="I71" t="s">
        <v>15</v>
      </c>
      <c r="J71" t="s">
        <v>21</v>
      </c>
      <c r="K71" t="s">
        <v>22</v>
      </c>
      <c r="L71">
        <f>BDP($H71,"BICS_LEVEL_1_SECTOR_NAME")</f>
        <v/>
      </c>
      <c r="M71">
        <f>BDP($H71,"BICS_LEVEL_3_INDUSTRY_NAME")</f>
        <v/>
      </c>
    </row>
    <row r="72" spans="1:13">
      <c r="A72" t="s">
        <v>341</v>
      </c>
      <c r="B72" t="s">
        <v>14</v>
      </c>
      <c r="C72" t="s">
        <v>15</v>
      </c>
      <c r="D72" t="s">
        <v>342</v>
      </c>
      <c r="E72" t="s">
        <v>343</v>
      </c>
      <c r="F72" t="s">
        <v>44</v>
      </c>
      <c r="G72" t="s">
        <v>65</v>
      </c>
      <c r="H72" t="s">
        <v>344</v>
      </c>
      <c r="I72" t="s">
        <v>15</v>
      </c>
      <c r="J72" t="s">
        <v>21</v>
      </c>
      <c r="K72" t="s">
        <v>22</v>
      </c>
      <c r="L72">
        <f>BDP($H72,"BICS_LEVEL_1_SECTOR_NAME")</f>
        <v/>
      </c>
      <c r="M72">
        <f>BDP($H72,"BICS_LEVEL_3_INDUSTRY_NAME")</f>
        <v/>
      </c>
    </row>
    <row r="73" spans="1:13">
      <c r="A73" t="s">
        <v>345</v>
      </c>
      <c r="B73" t="s">
        <v>14</v>
      </c>
      <c r="C73" t="s">
        <v>15</v>
      </c>
      <c r="D73" t="s">
        <v>346</v>
      </c>
      <c r="E73" t="s">
        <v>347</v>
      </c>
      <c r="F73" t="s">
        <v>50</v>
      </c>
      <c r="G73" t="s">
        <v>339</v>
      </c>
      <c r="H73" t="s">
        <v>348</v>
      </c>
      <c r="I73" t="s">
        <v>15</v>
      </c>
      <c r="J73" t="s">
        <v>21</v>
      </c>
      <c r="K73" t="s">
        <v>22</v>
      </c>
      <c r="L73">
        <f>BDP($H73,"BICS_LEVEL_1_SECTOR_NAME")</f>
        <v/>
      </c>
      <c r="M73">
        <f>BDP($H73,"BICS_LEVEL_3_INDUSTRY_NAME")</f>
        <v/>
      </c>
    </row>
    <row r="74" spans="1:13">
      <c r="A74" t="s">
        <v>349</v>
      </c>
      <c r="B74" t="s">
        <v>14</v>
      </c>
      <c r="C74" t="s">
        <v>15</v>
      </c>
      <c r="D74" t="s">
        <v>350</v>
      </c>
      <c r="E74" t="s">
        <v>351</v>
      </c>
      <c r="F74" t="s">
        <v>44</v>
      </c>
      <c r="G74" t="s">
        <v>352</v>
      </c>
      <c r="H74" t="s">
        <v>353</v>
      </c>
      <c r="I74" t="s">
        <v>15</v>
      </c>
      <c r="J74" t="s">
        <v>21</v>
      </c>
      <c r="K74" t="s">
        <v>22</v>
      </c>
      <c r="L74">
        <f>BDP($H74,"BICS_LEVEL_1_SECTOR_NAME")</f>
        <v/>
      </c>
      <c r="M74">
        <f>BDP($H74,"BICS_LEVEL_3_INDUSTRY_NAME")</f>
        <v/>
      </c>
    </row>
    <row r="75" spans="1:13">
      <c r="A75" t="s">
        <v>354</v>
      </c>
      <c r="B75" t="s">
        <v>14</v>
      </c>
      <c r="C75" t="s">
        <v>15</v>
      </c>
      <c r="D75" t="s">
        <v>355</v>
      </c>
      <c r="E75" t="s">
        <v>356</v>
      </c>
      <c r="F75" t="s">
        <v>18</v>
      </c>
      <c r="G75" t="s">
        <v>19</v>
      </c>
      <c r="H75" t="s">
        <v>357</v>
      </c>
      <c r="I75" t="s">
        <v>15</v>
      </c>
      <c r="J75" t="s">
        <v>21</v>
      </c>
      <c r="K75" t="s">
        <v>22</v>
      </c>
      <c r="L75">
        <f>BDP($H75,"BICS_LEVEL_1_SECTOR_NAME")</f>
        <v/>
      </c>
      <c r="M75">
        <f>BDP($H75,"BICS_LEVEL_3_INDUSTRY_NAME")</f>
        <v/>
      </c>
    </row>
    <row r="76" spans="1:13">
      <c r="A76" t="s">
        <v>358</v>
      </c>
      <c r="B76" t="s">
        <v>14</v>
      </c>
      <c r="C76" t="s">
        <v>15</v>
      </c>
      <c r="D76" t="s">
        <v>359</v>
      </c>
      <c r="E76" t="s">
        <v>360</v>
      </c>
      <c r="F76" t="s">
        <v>55</v>
      </c>
      <c r="G76" t="s">
        <v>361</v>
      </c>
      <c r="H76" t="s">
        <v>362</v>
      </c>
      <c r="I76" t="s">
        <v>15</v>
      </c>
      <c r="J76" t="s">
        <v>21</v>
      </c>
      <c r="K76" t="s">
        <v>22</v>
      </c>
      <c r="L76">
        <f>BDP($H76,"BICS_LEVEL_1_SECTOR_NAME")</f>
        <v/>
      </c>
      <c r="M76">
        <f>BDP($H76,"BICS_LEVEL_3_INDUSTRY_NAME")</f>
        <v/>
      </c>
    </row>
    <row r="77" spans="1:13">
      <c r="A77" t="s">
        <v>363</v>
      </c>
      <c r="B77" t="s">
        <v>14</v>
      </c>
      <c r="C77" t="s">
        <v>15</v>
      </c>
      <c r="D77" t="s">
        <v>364</v>
      </c>
      <c r="E77" t="s">
        <v>365</v>
      </c>
      <c r="F77" t="s">
        <v>55</v>
      </c>
      <c r="G77" t="s">
        <v>366</v>
      </c>
      <c r="H77" t="s">
        <v>367</v>
      </c>
      <c r="I77" t="s">
        <v>15</v>
      </c>
      <c r="J77" t="s">
        <v>21</v>
      </c>
      <c r="K77" t="s">
        <v>22</v>
      </c>
      <c r="L77">
        <f>BDP($H77,"BICS_LEVEL_1_SECTOR_NAME")</f>
        <v/>
      </c>
      <c r="M77">
        <f>BDP($H77,"BICS_LEVEL_3_INDUSTRY_NAME")</f>
        <v/>
      </c>
    </row>
    <row r="78" spans="1:13">
      <c r="A78" t="s">
        <v>368</v>
      </c>
      <c r="B78" t="s">
        <v>14</v>
      </c>
      <c r="C78" t="s">
        <v>15</v>
      </c>
      <c r="D78" t="s">
        <v>369</v>
      </c>
      <c r="E78" t="s">
        <v>370</v>
      </c>
      <c r="F78" t="s">
        <v>44</v>
      </c>
      <c r="G78" t="s">
        <v>65</v>
      </c>
      <c r="H78" t="s">
        <v>371</v>
      </c>
      <c r="I78" t="s">
        <v>15</v>
      </c>
      <c r="J78" t="s">
        <v>21</v>
      </c>
      <c r="K78" t="s">
        <v>22</v>
      </c>
      <c r="L78">
        <f>BDP($H78,"BICS_LEVEL_1_SECTOR_NAME")</f>
        <v/>
      </c>
      <c r="M78">
        <f>BDP($H78,"BICS_LEVEL_3_INDUSTRY_NAME")</f>
        <v/>
      </c>
    </row>
    <row r="79" spans="1:13">
      <c r="A79" t="s">
        <v>372</v>
      </c>
      <c r="B79" t="s">
        <v>14</v>
      </c>
      <c r="C79" t="s">
        <v>15</v>
      </c>
      <c r="D79" t="s">
        <v>373</v>
      </c>
      <c r="E79" t="s">
        <v>374</v>
      </c>
      <c r="F79" t="s">
        <v>44</v>
      </c>
      <c r="G79" t="s">
        <v>375</v>
      </c>
      <c r="H79" t="s">
        <v>376</v>
      </c>
      <c r="I79" t="s">
        <v>15</v>
      </c>
      <c r="J79" t="s">
        <v>21</v>
      </c>
      <c r="K79" t="s">
        <v>22</v>
      </c>
      <c r="L79">
        <f>BDP($H79,"BICS_LEVEL_1_SECTOR_NAME")</f>
        <v/>
      </c>
      <c r="M79">
        <f>BDP($H79,"BICS_LEVEL_3_INDUSTRY_NAME")</f>
        <v/>
      </c>
    </row>
    <row r="80" spans="1:13">
      <c r="A80" t="s">
        <v>377</v>
      </c>
      <c r="B80" t="s">
        <v>14</v>
      </c>
      <c r="C80" t="s">
        <v>15</v>
      </c>
      <c r="D80" t="s">
        <v>378</v>
      </c>
      <c r="E80" t="s">
        <v>379</v>
      </c>
      <c r="F80" t="s">
        <v>117</v>
      </c>
      <c r="G80" t="s">
        <v>148</v>
      </c>
      <c r="H80" t="s">
        <v>380</v>
      </c>
      <c r="I80" t="s">
        <v>15</v>
      </c>
      <c r="J80" t="s">
        <v>21</v>
      </c>
      <c r="K80" t="s">
        <v>22</v>
      </c>
      <c r="L80">
        <f>BDP($H80,"BICS_LEVEL_1_SECTOR_NAME")</f>
        <v/>
      </c>
      <c r="M80">
        <f>BDP($H80,"BICS_LEVEL_3_INDUSTRY_NAME")</f>
        <v/>
      </c>
    </row>
    <row r="81" spans="1:13">
      <c r="A81" t="s">
        <v>381</v>
      </c>
      <c r="B81" t="s">
        <v>14</v>
      </c>
      <c r="C81" t="s">
        <v>15</v>
      </c>
      <c r="D81" t="s">
        <v>382</v>
      </c>
      <c r="E81" t="s">
        <v>383</v>
      </c>
      <c r="F81" t="s">
        <v>34</v>
      </c>
      <c r="G81" t="s">
        <v>179</v>
      </c>
      <c r="H81" t="s">
        <v>384</v>
      </c>
      <c r="I81" t="s">
        <v>15</v>
      </c>
      <c r="J81" t="s">
        <v>21</v>
      </c>
      <c r="K81" t="s">
        <v>22</v>
      </c>
      <c r="L81">
        <f>BDP($H81,"BICS_LEVEL_1_SECTOR_NAME")</f>
        <v/>
      </c>
      <c r="M81">
        <f>BDP($H81,"BICS_LEVEL_3_INDUSTRY_NAME")</f>
        <v/>
      </c>
    </row>
    <row r="82" spans="1:13">
      <c r="A82" t="s">
        <v>385</v>
      </c>
      <c r="B82" t="s">
        <v>14</v>
      </c>
      <c r="C82" t="s">
        <v>15</v>
      </c>
      <c r="D82" t="s">
        <v>386</v>
      </c>
      <c r="E82" t="s">
        <v>387</v>
      </c>
      <c r="F82" t="s">
        <v>50</v>
      </c>
      <c r="G82" t="s">
        <v>388</v>
      </c>
      <c r="H82" t="s">
        <v>389</v>
      </c>
      <c r="I82" t="s">
        <v>15</v>
      </c>
      <c r="J82" t="s">
        <v>21</v>
      </c>
      <c r="K82" t="s">
        <v>22</v>
      </c>
      <c r="L82">
        <f>BDP($H82,"BICS_LEVEL_1_SECTOR_NAME")</f>
        <v/>
      </c>
      <c r="M82">
        <f>BDP($H82,"BICS_LEVEL_3_INDUSTRY_NAME")</f>
        <v/>
      </c>
    </row>
    <row r="83" spans="1:13">
      <c r="A83" t="s">
        <v>390</v>
      </c>
      <c r="B83" t="s">
        <v>14</v>
      </c>
      <c r="C83" t="s">
        <v>15</v>
      </c>
      <c r="D83" t="s">
        <v>391</v>
      </c>
      <c r="E83" t="s">
        <v>392</v>
      </c>
      <c r="F83" t="s">
        <v>50</v>
      </c>
      <c r="G83" t="s">
        <v>339</v>
      </c>
      <c r="H83" t="s">
        <v>393</v>
      </c>
      <c r="I83" t="s">
        <v>15</v>
      </c>
      <c r="J83" t="s">
        <v>21</v>
      </c>
      <c r="K83" t="s">
        <v>22</v>
      </c>
      <c r="L83">
        <f>BDP($H83,"BICS_LEVEL_1_SECTOR_NAME")</f>
        <v/>
      </c>
      <c r="M83">
        <f>BDP($H83,"BICS_LEVEL_3_INDUSTRY_NAME")</f>
        <v/>
      </c>
    </row>
    <row r="84" spans="1:13">
      <c r="A84" t="s">
        <v>394</v>
      </c>
      <c r="B84" t="s">
        <v>14</v>
      </c>
      <c r="C84" t="s">
        <v>15</v>
      </c>
      <c r="D84" t="s">
        <v>395</v>
      </c>
      <c r="E84" t="s">
        <v>396</v>
      </c>
      <c r="F84" t="s">
        <v>34</v>
      </c>
      <c r="G84" t="s">
        <v>35</v>
      </c>
      <c r="H84" t="s">
        <v>397</v>
      </c>
      <c r="I84" t="s">
        <v>15</v>
      </c>
      <c r="J84" t="s">
        <v>21</v>
      </c>
      <c r="K84" t="s">
        <v>22</v>
      </c>
      <c r="L84">
        <f>BDP($H84,"BICS_LEVEL_1_SECTOR_NAME")</f>
        <v/>
      </c>
      <c r="M84">
        <f>BDP($H84,"BICS_LEVEL_3_INDUSTRY_NAME")</f>
        <v/>
      </c>
    </row>
    <row r="85" spans="1:13">
      <c r="A85" t="s">
        <v>398</v>
      </c>
      <c r="B85" t="s">
        <v>14</v>
      </c>
      <c r="C85" t="s">
        <v>15</v>
      </c>
      <c r="D85" t="s">
        <v>399</v>
      </c>
      <c r="E85" t="s">
        <v>400</v>
      </c>
      <c r="F85" t="s">
        <v>117</v>
      </c>
      <c r="G85" t="s">
        <v>148</v>
      </c>
      <c r="H85" t="s">
        <v>401</v>
      </c>
      <c r="I85" t="s">
        <v>15</v>
      </c>
      <c r="J85" t="s">
        <v>21</v>
      </c>
      <c r="K85" t="s">
        <v>22</v>
      </c>
      <c r="L85">
        <f>BDP($H85,"BICS_LEVEL_1_SECTOR_NAME")</f>
        <v/>
      </c>
      <c r="M85">
        <f>BDP($H85,"BICS_LEVEL_3_INDUSTRY_NAME")</f>
        <v/>
      </c>
    </row>
    <row r="86" spans="1:13">
      <c r="A86" t="s">
        <v>402</v>
      </c>
      <c r="B86" t="s">
        <v>14</v>
      </c>
      <c r="C86" t="s">
        <v>15</v>
      </c>
      <c r="D86" t="s">
        <v>403</v>
      </c>
      <c r="E86" t="s">
        <v>404</v>
      </c>
      <c r="F86" t="s">
        <v>18</v>
      </c>
      <c r="G86" t="s">
        <v>99</v>
      </c>
      <c r="H86" t="s">
        <v>405</v>
      </c>
      <c r="I86" t="s">
        <v>15</v>
      </c>
      <c r="J86" t="s">
        <v>21</v>
      </c>
      <c r="K86" t="s">
        <v>22</v>
      </c>
      <c r="L86">
        <f>BDP($H86,"BICS_LEVEL_1_SECTOR_NAME")</f>
        <v/>
      </c>
      <c r="M86">
        <f>BDP($H86,"BICS_LEVEL_3_INDUSTRY_NAME")</f>
        <v/>
      </c>
    </row>
    <row r="87" spans="1:13">
      <c r="A87" t="s">
        <v>406</v>
      </c>
      <c r="B87" t="s">
        <v>14</v>
      </c>
      <c r="C87" t="s">
        <v>15</v>
      </c>
      <c r="D87" t="s">
        <v>407</v>
      </c>
      <c r="E87" t="s">
        <v>408</v>
      </c>
      <c r="F87" t="s">
        <v>50</v>
      </c>
      <c r="G87" t="s">
        <v>409</v>
      </c>
      <c r="H87" t="s">
        <v>410</v>
      </c>
      <c r="I87" t="s">
        <v>15</v>
      </c>
      <c r="J87" t="s">
        <v>21</v>
      </c>
      <c r="K87" t="s">
        <v>22</v>
      </c>
      <c r="L87">
        <f>BDP($H87,"BICS_LEVEL_1_SECTOR_NAME")</f>
        <v/>
      </c>
      <c r="M87">
        <f>BDP($H87,"BICS_LEVEL_3_INDUSTRY_NAME")</f>
        <v/>
      </c>
    </row>
    <row r="88" spans="1:13">
      <c r="A88" t="s">
        <v>411</v>
      </c>
      <c r="B88" t="s">
        <v>14</v>
      </c>
      <c r="C88" t="s">
        <v>15</v>
      </c>
      <c r="D88" t="s">
        <v>412</v>
      </c>
      <c r="E88" t="s">
        <v>413</v>
      </c>
      <c r="F88" t="s">
        <v>44</v>
      </c>
      <c r="G88" t="s">
        <v>188</v>
      </c>
      <c r="H88" t="s">
        <v>414</v>
      </c>
      <c r="I88" t="s">
        <v>15</v>
      </c>
      <c r="J88" t="s">
        <v>21</v>
      </c>
      <c r="K88" t="s">
        <v>22</v>
      </c>
      <c r="L88">
        <f>BDP($H88,"BICS_LEVEL_1_SECTOR_NAME")</f>
        <v/>
      </c>
      <c r="M88">
        <f>BDP($H88,"BICS_LEVEL_3_INDUSTRY_NAME")</f>
        <v/>
      </c>
    </row>
    <row r="89" spans="1:13">
      <c r="A89" t="s">
        <v>415</v>
      </c>
      <c r="B89" t="s">
        <v>14</v>
      </c>
      <c r="C89" t="s">
        <v>15</v>
      </c>
      <c r="D89" t="s">
        <v>416</v>
      </c>
      <c r="E89" t="s">
        <v>417</v>
      </c>
      <c r="F89" t="s">
        <v>18</v>
      </c>
      <c r="G89" t="s">
        <v>418</v>
      </c>
      <c r="H89" t="s">
        <v>419</v>
      </c>
      <c r="I89" t="s">
        <v>15</v>
      </c>
      <c r="J89" t="s">
        <v>21</v>
      </c>
      <c r="K89" t="s">
        <v>22</v>
      </c>
      <c r="L89">
        <f>BDP($H89,"BICS_LEVEL_1_SECTOR_NAME")</f>
        <v/>
      </c>
      <c r="M89">
        <f>BDP($H89,"BICS_LEVEL_3_INDUSTRY_NAME")</f>
        <v/>
      </c>
    </row>
    <row r="90" spans="1:13">
      <c r="A90" t="s">
        <v>420</v>
      </c>
      <c r="B90" t="s">
        <v>14</v>
      </c>
      <c r="C90" t="s">
        <v>15</v>
      </c>
      <c r="D90" t="s">
        <v>421</v>
      </c>
      <c r="E90" t="s">
        <v>422</v>
      </c>
      <c r="F90" t="s">
        <v>34</v>
      </c>
      <c r="G90" t="s">
        <v>35</v>
      </c>
      <c r="H90" t="s">
        <v>423</v>
      </c>
      <c r="I90" t="s">
        <v>15</v>
      </c>
      <c r="J90" t="s">
        <v>21</v>
      </c>
      <c r="K90" t="s">
        <v>22</v>
      </c>
      <c r="L90">
        <f>BDP($H90,"BICS_LEVEL_1_SECTOR_NAME")</f>
        <v/>
      </c>
      <c r="M90">
        <f>BDP($H90,"BICS_LEVEL_3_INDUSTRY_NAME")</f>
        <v/>
      </c>
    </row>
    <row r="91" spans="1:13">
      <c r="A91" t="s">
        <v>424</v>
      </c>
      <c r="B91" t="s">
        <v>14</v>
      </c>
      <c r="C91" t="s">
        <v>15</v>
      </c>
      <c r="D91" t="s">
        <v>425</v>
      </c>
      <c r="E91" t="s">
        <v>426</v>
      </c>
      <c r="F91" t="s">
        <v>18</v>
      </c>
      <c r="G91" t="s">
        <v>94</v>
      </c>
      <c r="H91" t="s">
        <v>427</v>
      </c>
      <c r="I91" t="s">
        <v>15</v>
      </c>
      <c r="J91" t="s">
        <v>21</v>
      </c>
      <c r="K91" t="s">
        <v>22</v>
      </c>
      <c r="L91">
        <f>BDP($H91,"BICS_LEVEL_1_SECTOR_NAME")</f>
        <v/>
      </c>
      <c r="M91">
        <f>BDP($H91,"BICS_LEVEL_3_INDUSTRY_NAME")</f>
        <v/>
      </c>
    </row>
    <row r="92" spans="1:13">
      <c r="A92" t="s">
        <v>428</v>
      </c>
      <c r="B92" t="s">
        <v>14</v>
      </c>
      <c r="C92" t="s">
        <v>15</v>
      </c>
      <c r="D92" t="s">
        <v>429</v>
      </c>
      <c r="E92" t="s">
        <v>430</v>
      </c>
      <c r="F92" t="s">
        <v>225</v>
      </c>
      <c r="G92" t="s">
        <v>431</v>
      </c>
      <c r="H92" t="s">
        <v>432</v>
      </c>
      <c r="I92" t="s">
        <v>15</v>
      </c>
      <c r="J92" t="s">
        <v>21</v>
      </c>
      <c r="K92" t="s">
        <v>22</v>
      </c>
      <c r="L92">
        <f>BDP($H92,"BICS_LEVEL_1_SECTOR_NAME")</f>
        <v/>
      </c>
      <c r="M92">
        <f>BDP($H92,"BICS_LEVEL_3_INDUSTRY_NAME")</f>
        <v/>
      </c>
    </row>
    <row r="93" spans="1:13">
      <c r="A93" t="s">
        <v>433</v>
      </c>
      <c r="B93" t="s">
        <v>14</v>
      </c>
      <c r="C93" t="s">
        <v>15</v>
      </c>
      <c r="D93" t="s">
        <v>434</v>
      </c>
      <c r="E93" t="s">
        <v>435</v>
      </c>
      <c r="F93" t="s">
        <v>18</v>
      </c>
      <c r="G93" t="s">
        <v>436</v>
      </c>
      <c r="H93" t="s">
        <v>437</v>
      </c>
      <c r="I93" t="s">
        <v>15</v>
      </c>
      <c r="J93" t="s">
        <v>21</v>
      </c>
      <c r="K93" t="s">
        <v>22</v>
      </c>
      <c r="L93">
        <f>BDP($H93,"BICS_LEVEL_1_SECTOR_NAME")</f>
        <v/>
      </c>
      <c r="M93">
        <f>BDP($H93,"BICS_LEVEL_3_INDUSTRY_NAME")</f>
        <v/>
      </c>
    </row>
    <row r="94" spans="1:13">
      <c r="A94" t="s">
        <v>438</v>
      </c>
      <c r="B94" t="s">
        <v>14</v>
      </c>
      <c r="C94" t="s">
        <v>15</v>
      </c>
      <c r="D94" t="s">
        <v>439</v>
      </c>
      <c r="E94" t="s">
        <v>440</v>
      </c>
      <c r="F94" t="s">
        <v>44</v>
      </c>
      <c r="G94" t="s">
        <v>188</v>
      </c>
      <c r="H94" t="s">
        <v>441</v>
      </c>
      <c r="I94" t="s">
        <v>15</v>
      </c>
      <c r="J94" t="s">
        <v>21</v>
      </c>
      <c r="K94" t="s">
        <v>22</v>
      </c>
      <c r="L94">
        <f>BDP($H94,"BICS_LEVEL_1_SECTOR_NAME")</f>
        <v/>
      </c>
      <c r="M94">
        <f>BDP($H94,"BICS_LEVEL_3_INDUSTRY_NAME")</f>
        <v/>
      </c>
    </row>
    <row r="95" spans="1:13">
      <c r="A95" t="s">
        <v>442</v>
      </c>
      <c r="B95" t="s">
        <v>14</v>
      </c>
      <c r="C95" t="s">
        <v>15</v>
      </c>
      <c r="D95" t="s">
        <v>443</v>
      </c>
      <c r="E95" t="s">
        <v>444</v>
      </c>
      <c r="F95" t="s">
        <v>117</v>
      </c>
      <c r="G95" t="s">
        <v>148</v>
      </c>
      <c r="H95" t="s">
        <v>445</v>
      </c>
      <c r="I95" t="s">
        <v>15</v>
      </c>
      <c r="J95" t="s">
        <v>21</v>
      </c>
      <c r="K95" t="s">
        <v>22</v>
      </c>
      <c r="L95">
        <f>BDP($H95,"BICS_LEVEL_1_SECTOR_NAME")</f>
        <v/>
      </c>
      <c r="M95">
        <f>BDP($H95,"BICS_LEVEL_3_INDUSTRY_NAME")</f>
        <v/>
      </c>
    </row>
    <row r="96" spans="1:13">
      <c r="A96" t="s">
        <v>446</v>
      </c>
      <c r="B96" t="s">
        <v>14</v>
      </c>
      <c r="C96" t="s">
        <v>15</v>
      </c>
      <c r="D96" t="s">
        <v>447</v>
      </c>
      <c r="E96" t="s">
        <v>448</v>
      </c>
      <c r="F96" t="s">
        <v>50</v>
      </c>
      <c r="G96" t="s">
        <v>449</v>
      </c>
      <c r="H96" t="s">
        <v>450</v>
      </c>
      <c r="I96" t="s">
        <v>15</v>
      </c>
      <c r="J96" t="s">
        <v>21</v>
      </c>
      <c r="K96" t="s">
        <v>22</v>
      </c>
      <c r="L96">
        <f>BDP($H96,"BICS_LEVEL_1_SECTOR_NAME")</f>
        <v/>
      </c>
      <c r="M96">
        <f>BDP($H96,"BICS_LEVEL_3_INDUSTRY_NAME")</f>
        <v/>
      </c>
    </row>
    <row r="97" spans="1:13">
      <c r="A97" t="s">
        <v>451</v>
      </c>
      <c r="B97" t="s">
        <v>14</v>
      </c>
      <c r="C97" t="s">
        <v>15</v>
      </c>
      <c r="D97" t="s">
        <v>452</v>
      </c>
      <c r="E97" t="s">
        <v>453</v>
      </c>
      <c r="F97" t="s">
        <v>44</v>
      </c>
      <c r="G97" t="s">
        <v>19</v>
      </c>
      <c r="H97" t="s">
        <v>454</v>
      </c>
      <c r="I97" t="s">
        <v>15</v>
      </c>
      <c r="J97" t="s">
        <v>21</v>
      </c>
      <c r="K97" t="s">
        <v>22</v>
      </c>
      <c r="L97">
        <f>BDP($H97,"BICS_LEVEL_1_SECTOR_NAME")</f>
        <v/>
      </c>
      <c r="M97">
        <f>BDP($H97,"BICS_LEVEL_3_INDUSTRY_NAME")</f>
        <v/>
      </c>
    </row>
    <row r="98" spans="1:13">
      <c r="A98" t="s">
        <v>455</v>
      </c>
      <c r="B98" t="s">
        <v>14</v>
      </c>
      <c r="C98" t="s">
        <v>15</v>
      </c>
      <c r="D98" t="s">
        <v>456</v>
      </c>
      <c r="E98" t="s">
        <v>457</v>
      </c>
      <c r="F98" t="s">
        <v>18</v>
      </c>
      <c r="G98" t="s">
        <v>79</v>
      </c>
      <c r="H98" t="s">
        <v>458</v>
      </c>
      <c r="I98" t="s">
        <v>15</v>
      </c>
      <c r="J98" t="s">
        <v>21</v>
      </c>
      <c r="K98" t="s">
        <v>22</v>
      </c>
      <c r="L98">
        <f>BDP($H98,"BICS_LEVEL_1_SECTOR_NAME")</f>
        <v/>
      </c>
      <c r="M98">
        <f>BDP($H98,"BICS_LEVEL_3_INDUSTRY_NAME")</f>
        <v/>
      </c>
    </row>
    <row r="99" spans="1:13">
      <c r="A99" t="s">
        <v>459</v>
      </c>
      <c r="B99" t="s">
        <v>14</v>
      </c>
      <c r="C99" t="s">
        <v>15</v>
      </c>
      <c r="D99" t="s">
        <v>460</v>
      </c>
      <c r="E99" t="s">
        <v>461</v>
      </c>
      <c r="F99" t="s">
        <v>18</v>
      </c>
      <c r="G99" t="s">
        <v>174</v>
      </c>
      <c r="H99" t="s">
        <v>462</v>
      </c>
      <c r="I99" t="s">
        <v>15</v>
      </c>
      <c r="J99" t="s">
        <v>21</v>
      </c>
      <c r="K99" t="s">
        <v>22</v>
      </c>
      <c r="L99">
        <f>BDP($H99,"BICS_LEVEL_1_SECTOR_NAME")</f>
        <v/>
      </c>
      <c r="M99">
        <f>BDP($H99,"BICS_LEVEL_3_INDUSTRY_NAME")</f>
        <v/>
      </c>
    </row>
    <row r="100" spans="1:13">
      <c r="A100" t="s">
        <v>463</v>
      </c>
      <c r="B100" t="s">
        <v>14</v>
      </c>
      <c r="C100" t="s">
        <v>15</v>
      </c>
      <c r="D100" t="s">
        <v>464</v>
      </c>
      <c r="E100" t="s">
        <v>465</v>
      </c>
      <c r="F100" t="s">
        <v>50</v>
      </c>
      <c r="G100" t="s">
        <v>466</v>
      </c>
      <c r="H100" t="s">
        <v>467</v>
      </c>
      <c r="I100" t="s">
        <v>15</v>
      </c>
      <c r="J100" t="s">
        <v>21</v>
      </c>
      <c r="K100" t="s">
        <v>22</v>
      </c>
      <c r="L100">
        <f>BDP($H100,"BICS_LEVEL_1_SECTOR_NAME")</f>
        <v/>
      </c>
      <c r="M100">
        <f>BDP($H100,"BICS_LEVEL_3_INDUSTRY_NAME")</f>
        <v/>
      </c>
    </row>
    <row r="101" spans="1:13">
      <c r="A101" t="s">
        <v>468</v>
      </c>
      <c r="B101" t="s">
        <v>14</v>
      </c>
      <c r="C101" t="s">
        <v>15</v>
      </c>
      <c r="D101" t="s">
        <v>469</v>
      </c>
      <c r="E101" t="s">
        <v>470</v>
      </c>
      <c r="F101" t="s">
        <v>117</v>
      </c>
      <c r="G101" t="s">
        <v>148</v>
      </c>
      <c r="H101" t="s">
        <v>471</v>
      </c>
      <c r="I101" t="s">
        <v>15</v>
      </c>
      <c r="J101" t="s">
        <v>21</v>
      </c>
      <c r="K101" t="s">
        <v>22</v>
      </c>
      <c r="L101">
        <f>BDP($H101,"BICS_LEVEL_1_SECTOR_NAME")</f>
        <v/>
      </c>
      <c r="M101">
        <f>BDP($H101,"BICS_LEVEL_3_INDUSTRY_NAME")</f>
        <v/>
      </c>
    </row>
    <row r="102" spans="1:13">
      <c r="A102" t="s">
        <v>472</v>
      </c>
      <c r="B102" t="s">
        <v>14</v>
      </c>
      <c r="C102" t="s">
        <v>15</v>
      </c>
      <c r="D102" t="s">
        <v>473</v>
      </c>
      <c r="E102" t="s">
        <v>474</v>
      </c>
      <c r="F102" t="s">
        <v>34</v>
      </c>
      <c r="G102" t="s">
        <v>475</v>
      </c>
      <c r="H102" t="s">
        <v>476</v>
      </c>
      <c r="I102" t="s">
        <v>15</v>
      </c>
      <c r="J102" t="s">
        <v>21</v>
      </c>
      <c r="K102" t="s">
        <v>22</v>
      </c>
      <c r="L102">
        <f>BDP($H102,"BICS_LEVEL_1_SECTOR_NAME")</f>
        <v/>
      </c>
      <c r="M102">
        <f>BDP($H102,"BICS_LEVEL_3_INDUSTRY_NAME")</f>
        <v/>
      </c>
    </row>
    <row r="103" spans="1:13">
      <c r="A103" t="s">
        <v>477</v>
      </c>
      <c r="B103" t="s">
        <v>14</v>
      </c>
      <c r="C103" t="s">
        <v>15</v>
      </c>
      <c r="D103" t="s">
        <v>478</v>
      </c>
      <c r="E103" t="s">
        <v>479</v>
      </c>
      <c r="F103" t="s">
        <v>44</v>
      </c>
      <c r="G103" t="s">
        <v>188</v>
      </c>
      <c r="H103" t="s">
        <v>480</v>
      </c>
      <c r="I103" t="s">
        <v>15</v>
      </c>
      <c r="J103" t="s">
        <v>21</v>
      </c>
      <c r="K103" t="s">
        <v>22</v>
      </c>
      <c r="L103">
        <f>BDP($H103,"BICS_LEVEL_1_SECTOR_NAME")</f>
        <v/>
      </c>
      <c r="M103">
        <f>BDP($H103,"BICS_LEVEL_3_INDUSTRY_NAME")</f>
        <v/>
      </c>
    </row>
    <row r="104" spans="1:13">
      <c r="A104" t="s">
        <v>481</v>
      </c>
      <c r="B104" t="s">
        <v>14</v>
      </c>
      <c r="C104" t="s">
        <v>15</v>
      </c>
      <c r="D104" t="s">
        <v>482</v>
      </c>
      <c r="E104" t="s">
        <v>483</v>
      </c>
      <c r="F104" t="s">
        <v>18</v>
      </c>
      <c r="G104" t="s">
        <v>484</v>
      </c>
      <c r="H104" t="s">
        <v>485</v>
      </c>
      <c r="I104" t="s">
        <v>15</v>
      </c>
      <c r="J104" t="s">
        <v>21</v>
      </c>
      <c r="K104" t="s">
        <v>22</v>
      </c>
      <c r="L104">
        <f>BDP($H104,"BICS_LEVEL_1_SECTOR_NAME")</f>
        <v/>
      </c>
      <c r="M104">
        <f>BDP($H104,"BICS_LEVEL_3_INDUSTRY_NAME")</f>
        <v/>
      </c>
    </row>
    <row r="105" spans="1:13">
      <c r="A105" t="s">
        <v>486</v>
      </c>
      <c r="B105" t="s">
        <v>14</v>
      </c>
      <c r="C105" t="s">
        <v>15</v>
      </c>
      <c r="D105" t="s">
        <v>487</v>
      </c>
      <c r="E105" t="s">
        <v>488</v>
      </c>
      <c r="F105" t="s">
        <v>34</v>
      </c>
      <c r="G105" t="s">
        <v>489</v>
      </c>
      <c r="H105" t="s">
        <v>490</v>
      </c>
      <c r="I105" t="s">
        <v>15</v>
      </c>
      <c r="J105" t="s">
        <v>21</v>
      </c>
      <c r="K105" t="s">
        <v>22</v>
      </c>
      <c r="L105">
        <f>BDP($H105,"BICS_LEVEL_1_SECTOR_NAME")</f>
        <v/>
      </c>
      <c r="M105">
        <f>BDP($H105,"BICS_LEVEL_3_INDUSTRY_NAME")</f>
        <v/>
      </c>
    </row>
    <row r="106" spans="1:13">
      <c r="A106" t="s">
        <v>491</v>
      </c>
      <c r="B106" t="s">
        <v>14</v>
      </c>
      <c r="C106" t="s">
        <v>15</v>
      </c>
      <c r="D106" t="s">
        <v>492</v>
      </c>
      <c r="E106" t="s">
        <v>493</v>
      </c>
      <c r="F106" t="s">
        <v>34</v>
      </c>
      <c r="G106" t="s">
        <v>99</v>
      </c>
      <c r="H106" t="s">
        <v>494</v>
      </c>
      <c r="I106" t="s">
        <v>15</v>
      </c>
      <c r="J106" t="s">
        <v>21</v>
      </c>
      <c r="K106" t="s">
        <v>22</v>
      </c>
      <c r="L106">
        <f>BDP($H106,"BICS_LEVEL_1_SECTOR_NAME")</f>
        <v/>
      </c>
      <c r="M106">
        <f>BDP($H106,"BICS_LEVEL_3_INDUSTRY_NAME")</f>
        <v/>
      </c>
    </row>
    <row r="107" spans="1:13">
      <c r="A107" t="s">
        <v>495</v>
      </c>
      <c r="B107" t="s">
        <v>14</v>
      </c>
      <c r="C107" t="s">
        <v>15</v>
      </c>
      <c r="D107" t="s">
        <v>496</v>
      </c>
      <c r="E107" t="s">
        <v>497</v>
      </c>
      <c r="F107" t="s">
        <v>44</v>
      </c>
      <c r="G107" t="s">
        <v>65</v>
      </c>
      <c r="H107" t="s">
        <v>498</v>
      </c>
      <c r="I107" t="s">
        <v>15</v>
      </c>
      <c r="J107" t="s">
        <v>21</v>
      </c>
      <c r="K107" t="s">
        <v>22</v>
      </c>
      <c r="L107">
        <f>BDP($H107,"BICS_LEVEL_1_SECTOR_NAME")</f>
        <v/>
      </c>
      <c r="M107">
        <f>BDP($H107,"BICS_LEVEL_3_INDUSTRY_NAME")</f>
        <v/>
      </c>
    </row>
    <row r="108" spans="1:13">
      <c r="A108" t="s">
        <v>499</v>
      </c>
      <c r="B108" t="s">
        <v>14</v>
      </c>
      <c r="C108" t="s">
        <v>15</v>
      </c>
      <c r="D108" t="s">
        <v>500</v>
      </c>
      <c r="E108" t="s">
        <v>501</v>
      </c>
      <c r="F108" t="s">
        <v>18</v>
      </c>
      <c r="G108" t="s">
        <v>436</v>
      </c>
      <c r="H108" t="s">
        <v>502</v>
      </c>
      <c r="I108" t="s">
        <v>15</v>
      </c>
      <c r="J108" t="s">
        <v>21</v>
      </c>
      <c r="K108" t="s">
        <v>22</v>
      </c>
      <c r="L108">
        <f>BDP($H108,"BICS_LEVEL_1_SECTOR_NAME")</f>
        <v/>
      </c>
      <c r="M108">
        <f>BDP($H108,"BICS_LEVEL_3_INDUSTRY_NAME")</f>
        <v/>
      </c>
    </row>
    <row r="109" spans="1:13">
      <c r="A109" t="s">
        <v>503</v>
      </c>
      <c r="B109" t="s">
        <v>14</v>
      </c>
      <c r="C109" t="s">
        <v>15</v>
      </c>
      <c r="D109" t="s">
        <v>504</v>
      </c>
      <c r="E109" t="s">
        <v>505</v>
      </c>
      <c r="F109" t="s">
        <v>506</v>
      </c>
      <c r="G109" t="s">
        <v>507</v>
      </c>
      <c r="H109" t="s">
        <v>508</v>
      </c>
      <c r="I109" t="s">
        <v>15</v>
      </c>
      <c r="J109" t="s">
        <v>21</v>
      </c>
      <c r="K109" t="s">
        <v>22</v>
      </c>
      <c r="L109">
        <f>BDP($H109,"BICS_LEVEL_1_SECTOR_NAME")</f>
        <v/>
      </c>
      <c r="M109">
        <f>BDP($H109,"BICS_LEVEL_3_INDUSTRY_NAME")</f>
        <v/>
      </c>
    </row>
    <row r="110" spans="1:13">
      <c r="A110" t="s">
        <v>509</v>
      </c>
      <c r="B110" t="s">
        <v>14</v>
      </c>
      <c r="C110" t="s">
        <v>15</v>
      </c>
      <c r="D110" t="s">
        <v>510</v>
      </c>
      <c r="E110" t="s">
        <v>511</v>
      </c>
      <c r="F110" t="s">
        <v>55</v>
      </c>
      <c r="G110" t="s">
        <v>56</v>
      </c>
      <c r="H110" t="s">
        <v>512</v>
      </c>
      <c r="I110" t="s">
        <v>15</v>
      </c>
      <c r="J110" t="s">
        <v>21</v>
      </c>
      <c r="K110" t="s">
        <v>22</v>
      </c>
      <c r="L110">
        <f>BDP($H110,"BICS_LEVEL_1_SECTOR_NAME")</f>
        <v/>
      </c>
      <c r="M110">
        <f>BDP($H110,"BICS_LEVEL_3_INDUSTRY_NAME")</f>
        <v/>
      </c>
    </row>
    <row r="111" spans="1:13">
      <c r="A111" t="s">
        <v>513</v>
      </c>
      <c r="B111" t="s">
        <v>14</v>
      </c>
      <c r="C111" t="s">
        <v>15</v>
      </c>
      <c r="D111" t="s">
        <v>514</v>
      </c>
      <c r="E111" t="s">
        <v>515</v>
      </c>
      <c r="F111" t="s">
        <v>44</v>
      </c>
      <c r="G111" t="s">
        <v>65</v>
      </c>
      <c r="H111" t="s">
        <v>516</v>
      </c>
      <c r="I111" t="s">
        <v>15</v>
      </c>
      <c r="J111" t="s">
        <v>21</v>
      </c>
      <c r="K111" t="s">
        <v>22</v>
      </c>
      <c r="L111">
        <f>BDP($H111,"BICS_LEVEL_1_SECTOR_NAME")</f>
        <v/>
      </c>
      <c r="M111">
        <f>BDP($H111,"BICS_LEVEL_3_INDUSTRY_NAME")</f>
        <v/>
      </c>
    </row>
    <row r="112" spans="1:13">
      <c r="A112" t="s">
        <v>517</v>
      </c>
      <c r="B112" t="s">
        <v>14</v>
      </c>
      <c r="C112" t="s">
        <v>15</v>
      </c>
      <c r="D112" t="s">
        <v>518</v>
      </c>
      <c r="E112" t="s">
        <v>519</v>
      </c>
      <c r="F112" t="s">
        <v>34</v>
      </c>
      <c r="G112" t="s">
        <v>179</v>
      </c>
      <c r="H112" t="s">
        <v>520</v>
      </c>
      <c r="I112" t="s">
        <v>15</v>
      </c>
      <c r="J112" t="s">
        <v>21</v>
      </c>
      <c r="K112" t="s">
        <v>22</v>
      </c>
      <c r="L112">
        <f>BDP($H112,"BICS_LEVEL_1_SECTOR_NAME")</f>
        <v/>
      </c>
      <c r="M112">
        <f>BDP($H112,"BICS_LEVEL_3_INDUSTRY_NAME")</f>
        <v/>
      </c>
    </row>
    <row r="113" spans="1:13">
      <c r="A113" t="s">
        <v>521</v>
      </c>
      <c r="B113" t="s">
        <v>14</v>
      </c>
      <c r="C113" t="s">
        <v>15</v>
      </c>
      <c r="D113" t="s">
        <v>522</v>
      </c>
      <c r="E113" t="s">
        <v>523</v>
      </c>
      <c r="F113" t="s">
        <v>34</v>
      </c>
      <c r="G113" t="s">
        <v>179</v>
      </c>
      <c r="H113" t="s">
        <v>524</v>
      </c>
      <c r="I113" t="s">
        <v>15</v>
      </c>
      <c r="J113" t="s">
        <v>21</v>
      </c>
      <c r="K113" t="s">
        <v>22</v>
      </c>
      <c r="L113">
        <f>BDP($H113,"BICS_LEVEL_1_SECTOR_NAME")</f>
        <v/>
      </c>
      <c r="M113">
        <f>BDP($H113,"BICS_LEVEL_3_INDUSTRY_NAME")</f>
        <v/>
      </c>
    </row>
    <row r="114" spans="1:13">
      <c r="A114" t="s">
        <v>525</v>
      </c>
      <c r="B114" t="s">
        <v>14</v>
      </c>
      <c r="C114" t="s">
        <v>15</v>
      </c>
      <c r="D114" t="s">
        <v>526</v>
      </c>
      <c r="E114" t="s">
        <v>527</v>
      </c>
      <c r="F114" t="s">
        <v>34</v>
      </c>
      <c r="G114" t="s">
        <v>528</v>
      </c>
      <c r="H114" t="s">
        <v>529</v>
      </c>
      <c r="I114" t="s">
        <v>15</v>
      </c>
      <c r="J114" t="s">
        <v>21</v>
      </c>
      <c r="K114" t="s">
        <v>22</v>
      </c>
      <c r="L114">
        <f>BDP($H114,"BICS_LEVEL_1_SECTOR_NAME")</f>
        <v/>
      </c>
      <c r="M114">
        <f>BDP($H114,"BICS_LEVEL_3_INDUSTRY_NAME")</f>
        <v/>
      </c>
    </row>
    <row r="115" spans="1:13">
      <c r="A115" t="s">
        <v>530</v>
      </c>
      <c r="B115" t="s">
        <v>14</v>
      </c>
      <c r="C115" t="s">
        <v>15</v>
      </c>
      <c r="D115" t="s">
        <v>531</v>
      </c>
      <c r="E115" t="s">
        <v>532</v>
      </c>
      <c r="F115" t="s">
        <v>50</v>
      </c>
      <c r="G115" t="s">
        <v>533</v>
      </c>
      <c r="H115" t="s">
        <v>534</v>
      </c>
      <c r="I115" t="s">
        <v>15</v>
      </c>
      <c r="J115" t="s">
        <v>21</v>
      </c>
      <c r="K115" t="s">
        <v>22</v>
      </c>
      <c r="L115">
        <f>BDP($H115,"BICS_LEVEL_1_SECTOR_NAME")</f>
        <v/>
      </c>
      <c r="M115">
        <f>BDP($H115,"BICS_LEVEL_3_INDUSTRY_NAME")</f>
        <v/>
      </c>
    </row>
    <row r="116" spans="1:13">
      <c r="A116" t="s">
        <v>535</v>
      </c>
      <c r="B116" t="s">
        <v>14</v>
      </c>
      <c r="C116" t="s">
        <v>15</v>
      </c>
      <c r="D116" t="s">
        <v>536</v>
      </c>
      <c r="E116" t="s">
        <v>537</v>
      </c>
      <c r="F116" t="s">
        <v>34</v>
      </c>
      <c r="G116" t="s">
        <v>35</v>
      </c>
      <c r="H116" t="s">
        <v>538</v>
      </c>
      <c r="I116" t="s">
        <v>15</v>
      </c>
      <c r="J116" t="s">
        <v>21</v>
      </c>
      <c r="K116" t="s">
        <v>22</v>
      </c>
      <c r="L116">
        <f>BDP($H116,"BICS_LEVEL_1_SECTOR_NAME")</f>
        <v/>
      </c>
      <c r="M116">
        <f>BDP($H116,"BICS_LEVEL_3_INDUSTRY_NAME")</f>
        <v/>
      </c>
    </row>
    <row r="117" spans="1:13">
      <c r="A117" t="s">
        <v>539</v>
      </c>
      <c r="B117" t="s">
        <v>14</v>
      </c>
      <c r="C117" t="s">
        <v>15</v>
      </c>
      <c r="D117" t="s">
        <v>540</v>
      </c>
      <c r="E117" t="s">
        <v>541</v>
      </c>
      <c r="F117" t="s">
        <v>18</v>
      </c>
      <c r="G117" t="s">
        <v>542</v>
      </c>
      <c r="H117" t="s">
        <v>543</v>
      </c>
      <c r="I117" t="s">
        <v>15</v>
      </c>
      <c r="J117" t="s">
        <v>21</v>
      </c>
      <c r="K117" t="s">
        <v>22</v>
      </c>
      <c r="L117">
        <f>BDP($H117,"BICS_LEVEL_1_SECTOR_NAME")</f>
        <v/>
      </c>
      <c r="M117">
        <f>BDP($H117,"BICS_LEVEL_3_INDUSTRY_NAME")</f>
        <v/>
      </c>
    </row>
    <row r="118" spans="1:13">
      <c r="A118" t="s">
        <v>544</v>
      </c>
      <c r="B118" t="s">
        <v>14</v>
      </c>
      <c r="C118" t="s">
        <v>15</v>
      </c>
      <c r="D118" t="s">
        <v>545</v>
      </c>
      <c r="E118" t="s">
        <v>546</v>
      </c>
      <c r="F118" t="s">
        <v>44</v>
      </c>
      <c r="G118" t="s">
        <v>65</v>
      </c>
      <c r="H118" t="s">
        <v>547</v>
      </c>
      <c r="I118" t="s">
        <v>15</v>
      </c>
      <c r="J118" t="s">
        <v>21</v>
      </c>
      <c r="K118" t="s">
        <v>22</v>
      </c>
      <c r="L118">
        <f>BDP($H118,"BICS_LEVEL_1_SECTOR_NAME")</f>
        <v/>
      </c>
      <c r="M118">
        <f>BDP($H118,"BICS_LEVEL_3_INDUSTRY_NAME")</f>
        <v/>
      </c>
    </row>
    <row r="119" spans="1:13">
      <c r="A119" t="s">
        <v>548</v>
      </c>
      <c r="B119" t="s">
        <v>14</v>
      </c>
      <c r="C119" t="s">
        <v>15</v>
      </c>
      <c r="D119" t="s">
        <v>549</v>
      </c>
      <c r="E119" t="s">
        <v>550</v>
      </c>
      <c r="F119" t="s">
        <v>225</v>
      </c>
      <c r="G119" t="s">
        <v>226</v>
      </c>
      <c r="H119" t="s">
        <v>551</v>
      </c>
      <c r="I119" t="s">
        <v>15</v>
      </c>
      <c r="J119" t="s">
        <v>21</v>
      </c>
      <c r="K119" t="s">
        <v>22</v>
      </c>
      <c r="L119">
        <f>BDP($H119,"BICS_LEVEL_1_SECTOR_NAME")</f>
        <v/>
      </c>
      <c r="M119">
        <f>BDP($H119,"BICS_LEVEL_3_INDUSTRY_NAME")</f>
        <v/>
      </c>
    </row>
    <row r="120" spans="1:13">
      <c r="A120" t="s">
        <v>552</v>
      </c>
      <c r="B120" t="s">
        <v>14</v>
      </c>
      <c r="C120" t="s">
        <v>15</v>
      </c>
      <c r="D120" t="s">
        <v>553</v>
      </c>
      <c r="E120" t="s">
        <v>554</v>
      </c>
      <c r="F120" t="s">
        <v>34</v>
      </c>
      <c r="G120" t="s">
        <v>290</v>
      </c>
      <c r="H120" t="s">
        <v>555</v>
      </c>
      <c r="I120" t="s">
        <v>15</v>
      </c>
      <c r="J120" t="s">
        <v>21</v>
      </c>
      <c r="K120" t="s">
        <v>22</v>
      </c>
      <c r="L120">
        <f>BDP($H120,"BICS_LEVEL_1_SECTOR_NAME")</f>
        <v/>
      </c>
      <c r="M120">
        <f>BDP($H120,"BICS_LEVEL_3_INDUSTRY_NAME")</f>
        <v/>
      </c>
    </row>
    <row r="121" spans="1:13">
      <c r="A121" t="s">
        <v>556</v>
      </c>
      <c r="B121" t="s">
        <v>14</v>
      </c>
      <c r="C121" t="s">
        <v>15</v>
      </c>
      <c r="D121" t="s">
        <v>557</v>
      </c>
      <c r="E121" t="s">
        <v>558</v>
      </c>
      <c r="F121" t="s">
        <v>117</v>
      </c>
      <c r="G121" t="s">
        <v>559</v>
      </c>
      <c r="H121" t="s">
        <v>560</v>
      </c>
      <c r="I121" t="s">
        <v>15</v>
      </c>
      <c r="J121" t="s">
        <v>21</v>
      </c>
      <c r="K121" t="s">
        <v>22</v>
      </c>
      <c r="L121">
        <f>BDP($H121,"BICS_LEVEL_1_SECTOR_NAME")</f>
        <v/>
      </c>
      <c r="M121">
        <f>BDP($H121,"BICS_LEVEL_3_INDUSTRY_NAME")</f>
        <v/>
      </c>
    </row>
    <row r="122" spans="1:13">
      <c r="A122" t="s">
        <v>561</v>
      </c>
      <c r="B122" t="s">
        <v>14</v>
      </c>
      <c r="C122" t="s">
        <v>15</v>
      </c>
      <c r="D122" t="s">
        <v>562</v>
      </c>
      <c r="E122" t="s">
        <v>563</v>
      </c>
      <c r="F122" t="s">
        <v>50</v>
      </c>
      <c r="G122" t="s">
        <v>564</v>
      </c>
      <c r="H122" t="s">
        <v>565</v>
      </c>
      <c r="I122" t="s">
        <v>15</v>
      </c>
      <c r="J122" t="s">
        <v>21</v>
      </c>
      <c r="K122" t="s">
        <v>22</v>
      </c>
      <c r="L122">
        <f>BDP($H122,"BICS_LEVEL_1_SECTOR_NAME")</f>
        <v/>
      </c>
      <c r="M122">
        <f>BDP($H122,"BICS_LEVEL_3_INDUSTRY_NAME")</f>
        <v/>
      </c>
    </row>
    <row r="123" spans="1:13">
      <c r="A123" t="s">
        <v>566</v>
      </c>
      <c r="B123" t="s">
        <v>14</v>
      </c>
      <c r="C123" t="s">
        <v>15</v>
      </c>
      <c r="D123" t="s">
        <v>567</v>
      </c>
      <c r="E123" t="s">
        <v>568</v>
      </c>
      <c r="F123" t="s">
        <v>50</v>
      </c>
      <c r="G123" t="s">
        <v>169</v>
      </c>
      <c r="H123" t="s">
        <v>569</v>
      </c>
      <c r="I123" t="s">
        <v>15</v>
      </c>
      <c r="J123" t="s">
        <v>21</v>
      </c>
      <c r="K123" t="s">
        <v>22</v>
      </c>
      <c r="L123">
        <f>BDP($H123,"BICS_LEVEL_1_SECTOR_NAME")</f>
        <v/>
      </c>
      <c r="M123">
        <f>BDP($H123,"BICS_LEVEL_3_INDUSTRY_NAME")</f>
        <v/>
      </c>
    </row>
    <row r="124" spans="1:13">
      <c r="A124" t="s">
        <v>570</v>
      </c>
      <c r="B124" t="s">
        <v>14</v>
      </c>
      <c r="C124" t="s">
        <v>15</v>
      </c>
      <c r="D124" t="s">
        <v>571</v>
      </c>
      <c r="E124" t="s">
        <v>572</v>
      </c>
      <c r="F124" t="s">
        <v>44</v>
      </c>
      <c r="G124" t="s">
        <v>65</v>
      </c>
      <c r="H124" t="s">
        <v>573</v>
      </c>
      <c r="I124" t="s">
        <v>15</v>
      </c>
      <c r="J124" t="s">
        <v>21</v>
      </c>
      <c r="K124" t="s">
        <v>22</v>
      </c>
      <c r="L124">
        <f>BDP($H124,"BICS_LEVEL_1_SECTOR_NAME")</f>
        <v/>
      </c>
      <c r="M124">
        <f>BDP($H124,"BICS_LEVEL_3_INDUSTRY_NAME")</f>
        <v/>
      </c>
    </row>
    <row r="125" spans="1:13">
      <c r="A125" t="s">
        <v>574</v>
      </c>
      <c r="B125" t="s">
        <v>14</v>
      </c>
      <c r="C125" t="s">
        <v>15</v>
      </c>
      <c r="D125" t="s">
        <v>575</v>
      </c>
      <c r="E125" t="s">
        <v>576</v>
      </c>
      <c r="F125" t="s">
        <v>50</v>
      </c>
      <c r="G125" t="s">
        <v>533</v>
      </c>
      <c r="H125" t="s">
        <v>577</v>
      </c>
      <c r="I125" t="s">
        <v>15</v>
      </c>
      <c r="J125" t="s">
        <v>21</v>
      </c>
      <c r="K125" t="s">
        <v>22</v>
      </c>
      <c r="L125">
        <f>BDP($H125,"BICS_LEVEL_1_SECTOR_NAME")</f>
        <v/>
      </c>
      <c r="M125">
        <f>BDP($H125,"BICS_LEVEL_3_INDUSTRY_NAME")</f>
        <v/>
      </c>
    </row>
    <row r="126" spans="1:13">
      <c r="A126" t="s">
        <v>578</v>
      </c>
      <c r="B126" t="s">
        <v>14</v>
      </c>
      <c r="C126" t="s">
        <v>15</v>
      </c>
      <c r="D126" t="s">
        <v>579</v>
      </c>
      <c r="E126" t="s">
        <v>580</v>
      </c>
      <c r="F126" t="s">
        <v>34</v>
      </c>
      <c r="G126" t="s">
        <v>581</v>
      </c>
      <c r="H126" t="s">
        <v>582</v>
      </c>
      <c r="I126" t="s">
        <v>15</v>
      </c>
      <c r="J126" t="s">
        <v>21</v>
      </c>
      <c r="K126" t="s">
        <v>22</v>
      </c>
      <c r="L126">
        <f>BDP($H126,"BICS_LEVEL_1_SECTOR_NAME")</f>
        <v/>
      </c>
      <c r="M126">
        <f>BDP($H126,"BICS_LEVEL_3_INDUSTRY_NAME")</f>
        <v/>
      </c>
    </row>
    <row r="127" spans="1:13">
      <c r="A127" t="s">
        <v>583</v>
      </c>
      <c r="B127" t="s">
        <v>14</v>
      </c>
      <c r="C127" t="s">
        <v>15</v>
      </c>
      <c r="D127" t="s">
        <v>584</v>
      </c>
      <c r="E127" t="s">
        <v>585</v>
      </c>
      <c r="F127" t="s">
        <v>18</v>
      </c>
      <c r="G127" t="s">
        <v>19</v>
      </c>
      <c r="H127" t="s">
        <v>586</v>
      </c>
      <c r="I127" t="s">
        <v>15</v>
      </c>
      <c r="J127" t="s">
        <v>21</v>
      </c>
      <c r="K127" t="s">
        <v>22</v>
      </c>
      <c r="L127">
        <f>BDP($H127,"BICS_LEVEL_1_SECTOR_NAME")</f>
        <v/>
      </c>
      <c r="M127">
        <f>BDP($H127,"BICS_LEVEL_3_INDUSTRY_NAME")</f>
        <v/>
      </c>
    </row>
    <row r="128" spans="1:13">
      <c r="A128" t="s">
        <v>587</v>
      </c>
      <c r="B128" t="s">
        <v>14</v>
      </c>
      <c r="C128" t="s">
        <v>15</v>
      </c>
      <c r="D128" t="s">
        <v>588</v>
      </c>
      <c r="E128" t="s">
        <v>589</v>
      </c>
      <c r="F128" t="s">
        <v>117</v>
      </c>
      <c r="G128" t="s">
        <v>148</v>
      </c>
      <c r="H128" t="s">
        <v>590</v>
      </c>
      <c r="I128" t="s">
        <v>15</v>
      </c>
      <c r="J128" t="s">
        <v>21</v>
      </c>
      <c r="K128" t="s">
        <v>22</v>
      </c>
      <c r="L128">
        <f>BDP($H128,"BICS_LEVEL_1_SECTOR_NAME")</f>
        <v/>
      </c>
      <c r="M128">
        <f>BDP($H128,"BICS_LEVEL_3_INDUSTRY_NAME")</f>
        <v/>
      </c>
    </row>
    <row r="129" spans="1:13">
      <c r="A129" t="s">
        <v>591</v>
      </c>
      <c r="B129" t="s">
        <v>14</v>
      </c>
      <c r="C129" t="s">
        <v>15</v>
      </c>
      <c r="D129" t="s">
        <v>592</v>
      </c>
      <c r="E129" t="s">
        <v>593</v>
      </c>
      <c r="F129" t="s">
        <v>163</v>
      </c>
      <c r="G129" t="s">
        <v>594</v>
      </c>
      <c r="H129" t="s">
        <v>595</v>
      </c>
      <c r="I129" t="s">
        <v>15</v>
      </c>
      <c r="J129" t="s">
        <v>21</v>
      </c>
      <c r="K129" t="s">
        <v>22</v>
      </c>
      <c r="L129">
        <f>BDP($H129,"BICS_LEVEL_1_SECTOR_NAME")</f>
        <v/>
      </c>
      <c r="M129">
        <f>BDP($H129,"BICS_LEVEL_3_INDUSTRY_NAME")</f>
        <v/>
      </c>
    </row>
    <row r="130" spans="1:13">
      <c r="A130" t="s">
        <v>596</v>
      </c>
      <c r="B130" t="s">
        <v>14</v>
      </c>
      <c r="C130" t="s">
        <v>15</v>
      </c>
      <c r="D130" t="s">
        <v>597</v>
      </c>
      <c r="E130" t="s">
        <v>598</v>
      </c>
      <c r="F130" t="s">
        <v>225</v>
      </c>
      <c r="G130" t="s">
        <v>321</v>
      </c>
      <c r="H130" t="s">
        <v>599</v>
      </c>
      <c r="I130" t="s">
        <v>15</v>
      </c>
      <c r="J130" t="s">
        <v>21</v>
      </c>
      <c r="K130" t="s">
        <v>22</v>
      </c>
      <c r="L130">
        <f>BDP($H130,"BICS_LEVEL_1_SECTOR_NAME")</f>
        <v/>
      </c>
      <c r="M130">
        <f>BDP($H130,"BICS_LEVEL_3_INDUSTRY_NAME")</f>
        <v/>
      </c>
    </row>
    <row r="131" spans="1:13">
      <c r="A131" t="s">
        <v>600</v>
      </c>
      <c r="B131" t="s">
        <v>14</v>
      </c>
      <c r="C131" t="s">
        <v>15</v>
      </c>
      <c r="D131" t="s">
        <v>601</v>
      </c>
      <c r="E131" t="s">
        <v>602</v>
      </c>
      <c r="F131" t="s">
        <v>34</v>
      </c>
      <c r="G131" t="s">
        <v>603</v>
      </c>
      <c r="H131" t="s">
        <v>604</v>
      </c>
      <c r="I131" t="s">
        <v>15</v>
      </c>
      <c r="J131" t="s">
        <v>21</v>
      </c>
      <c r="K131" t="s">
        <v>22</v>
      </c>
      <c r="L131">
        <f>BDP($H131,"BICS_LEVEL_1_SECTOR_NAME")</f>
        <v/>
      </c>
      <c r="M131">
        <f>BDP($H131,"BICS_LEVEL_3_INDUSTRY_NAME")</f>
        <v/>
      </c>
    </row>
    <row r="132" spans="1:13">
      <c r="A132" t="s">
        <v>605</v>
      </c>
      <c r="B132" t="s">
        <v>14</v>
      </c>
      <c r="C132" t="s">
        <v>15</v>
      </c>
      <c r="D132" t="s">
        <v>606</v>
      </c>
      <c r="E132" t="s">
        <v>607</v>
      </c>
      <c r="F132" t="s">
        <v>34</v>
      </c>
      <c r="G132" t="s">
        <v>489</v>
      </c>
      <c r="H132" t="s">
        <v>608</v>
      </c>
      <c r="I132" t="s">
        <v>15</v>
      </c>
      <c r="J132" t="s">
        <v>21</v>
      </c>
      <c r="K132" t="s">
        <v>22</v>
      </c>
      <c r="L132">
        <f>BDP($H132,"BICS_LEVEL_1_SECTOR_NAME")</f>
        <v/>
      </c>
      <c r="M132">
        <f>BDP($H132,"BICS_LEVEL_3_INDUSTRY_NAME")</f>
        <v/>
      </c>
    </row>
    <row r="133" spans="1:13">
      <c r="A133" t="s">
        <v>609</v>
      </c>
      <c r="B133" t="s">
        <v>14</v>
      </c>
      <c r="C133" t="s">
        <v>15</v>
      </c>
      <c r="D133" t="s">
        <v>610</v>
      </c>
      <c r="E133" t="s">
        <v>611</v>
      </c>
      <c r="F133" t="s">
        <v>34</v>
      </c>
      <c r="G133" t="s">
        <v>112</v>
      </c>
      <c r="H133" t="s">
        <v>612</v>
      </c>
      <c r="I133" t="s">
        <v>15</v>
      </c>
      <c r="J133" t="s">
        <v>21</v>
      </c>
      <c r="K133" t="s">
        <v>22</v>
      </c>
      <c r="L133">
        <f>BDP($H133,"BICS_LEVEL_1_SECTOR_NAME")</f>
        <v/>
      </c>
      <c r="M133">
        <f>BDP($H133,"BICS_LEVEL_3_INDUSTRY_NAME")</f>
        <v/>
      </c>
    </row>
    <row r="134" spans="1:13">
      <c r="A134" t="s">
        <v>613</v>
      </c>
      <c r="B134" t="s">
        <v>14</v>
      </c>
      <c r="C134" t="s">
        <v>15</v>
      </c>
      <c r="D134" t="s">
        <v>614</v>
      </c>
      <c r="E134" t="s">
        <v>615</v>
      </c>
      <c r="F134" t="s">
        <v>34</v>
      </c>
      <c r="G134" t="s">
        <v>35</v>
      </c>
      <c r="H134" t="s">
        <v>616</v>
      </c>
      <c r="I134" t="s">
        <v>15</v>
      </c>
      <c r="J134" t="s">
        <v>21</v>
      </c>
      <c r="K134" t="s">
        <v>22</v>
      </c>
      <c r="L134">
        <f>BDP($H134,"BICS_LEVEL_1_SECTOR_NAME")</f>
        <v/>
      </c>
      <c r="M134">
        <f>BDP($H134,"BICS_LEVEL_3_INDUSTRY_NAME")</f>
        <v/>
      </c>
    </row>
    <row r="135" spans="1:13">
      <c r="A135" t="s">
        <v>617</v>
      </c>
      <c r="B135" t="s">
        <v>14</v>
      </c>
      <c r="C135" t="s">
        <v>15</v>
      </c>
      <c r="D135" t="s">
        <v>618</v>
      </c>
      <c r="E135" t="s">
        <v>619</v>
      </c>
      <c r="F135" t="s">
        <v>117</v>
      </c>
      <c r="G135" t="s">
        <v>620</v>
      </c>
      <c r="H135" t="s">
        <v>621</v>
      </c>
      <c r="I135" t="s">
        <v>15</v>
      </c>
      <c r="J135" t="s">
        <v>21</v>
      </c>
      <c r="K135" t="s">
        <v>22</v>
      </c>
      <c r="L135">
        <f>BDP($H135,"BICS_LEVEL_1_SECTOR_NAME")</f>
        <v/>
      </c>
      <c r="M135">
        <f>BDP($H135,"BICS_LEVEL_3_INDUSTRY_NAME")</f>
        <v/>
      </c>
    </row>
    <row r="136" spans="1:13">
      <c r="A136" t="s">
        <v>622</v>
      </c>
      <c r="B136" t="s">
        <v>14</v>
      </c>
      <c r="C136" t="s">
        <v>15</v>
      </c>
      <c r="D136" t="s">
        <v>623</v>
      </c>
      <c r="E136" t="s">
        <v>624</v>
      </c>
      <c r="F136" t="s">
        <v>44</v>
      </c>
      <c r="G136" t="s">
        <v>65</v>
      </c>
      <c r="H136" t="s">
        <v>625</v>
      </c>
      <c r="I136" t="s">
        <v>15</v>
      </c>
      <c r="J136" t="s">
        <v>21</v>
      </c>
      <c r="K136" t="s">
        <v>22</v>
      </c>
      <c r="L136">
        <f>BDP($H136,"BICS_LEVEL_1_SECTOR_NAME")</f>
        <v/>
      </c>
      <c r="M136">
        <f>BDP($H136,"BICS_LEVEL_3_INDUSTRY_NAME")</f>
        <v/>
      </c>
    </row>
    <row r="137" spans="1:13">
      <c r="A137" t="s">
        <v>626</v>
      </c>
      <c r="B137" t="s">
        <v>14</v>
      </c>
      <c r="C137" t="s">
        <v>15</v>
      </c>
      <c r="D137" t="s">
        <v>627</v>
      </c>
      <c r="E137" t="s">
        <v>628</v>
      </c>
      <c r="F137" t="s">
        <v>18</v>
      </c>
      <c r="G137" t="s">
        <v>431</v>
      </c>
      <c r="H137" t="s">
        <v>629</v>
      </c>
      <c r="I137" t="s">
        <v>15</v>
      </c>
      <c r="J137" t="s">
        <v>21</v>
      </c>
      <c r="K137" t="s">
        <v>22</v>
      </c>
      <c r="L137">
        <f>BDP($H137,"BICS_LEVEL_1_SECTOR_NAME")</f>
        <v/>
      </c>
      <c r="M137">
        <f>BDP($H137,"BICS_LEVEL_3_INDUSTRY_NAME")</f>
        <v/>
      </c>
    </row>
    <row r="138" spans="1:13">
      <c r="A138" t="s">
        <v>630</v>
      </c>
      <c r="B138" t="s">
        <v>14</v>
      </c>
      <c r="C138" t="s">
        <v>15</v>
      </c>
      <c r="D138" t="s">
        <v>631</v>
      </c>
      <c r="E138" t="s">
        <v>632</v>
      </c>
      <c r="F138" t="s">
        <v>34</v>
      </c>
      <c r="G138" t="s">
        <v>35</v>
      </c>
      <c r="H138" t="s">
        <v>633</v>
      </c>
      <c r="I138" t="s">
        <v>15</v>
      </c>
      <c r="J138" t="s">
        <v>21</v>
      </c>
      <c r="K138" t="s">
        <v>22</v>
      </c>
      <c r="L138">
        <f>BDP($H138,"BICS_LEVEL_1_SECTOR_NAME")</f>
        <v/>
      </c>
      <c r="M138">
        <f>BDP($H138,"BICS_LEVEL_3_INDUSTRY_NAME")</f>
        <v/>
      </c>
    </row>
    <row r="139" spans="1:13">
      <c r="A139" t="s">
        <v>634</v>
      </c>
      <c r="B139" t="s">
        <v>14</v>
      </c>
      <c r="C139" t="s">
        <v>15</v>
      </c>
      <c r="D139" t="s">
        <v>635</v>
      </c>
      <c r="E139" t="s">
        <v>636</v>
      </c>
      <c r="F139" t="s">
        <v>163</v>
      </c>
      <c r="G139" t="s">
        <v>148</v>
      </c>
      <c r="H139" t="s">
        <v>637</v>
      </c>
      <c r="I139" t="s">
        <v>15</v>
      </c>
      <c r="J139" t="s">
        <v>21</v>
      </c>
      <c r="K139" t="s">
        <v>22</v>
      </c>
      <c r="L139">
        <f>BDP($H139,"BICS_LEVEL_1_SECTOR_NAME")</f>
        <v/>
      </c>
      <c r="M139">
        <f>BDP($H139,"BICS_LEVEL_3_INDUSTRY_NAME")</f>
        <v/>
      </c>
    </row>
    <row r="140" spans="1:13">
      <c r="A140" t="s">
        <v>638</v>
      </c>
      <c r="B140" t="s">
        <v>14</v>
      </c>
      <c r="C140" t="s">
        <v>15</v>
      </c>
      <c r="D140" t="s">
        <v>639</v>
      </c>
      <c r="E140" t="s">
        <v>640</v>
      </c>
      <c r="F140" t="s">
        <v>163</v>
      </c>
      <c r="G140" t="s">
        <v>641</v>
      </c>
      <c r="H140" t="s">
        <v>642</v>
      </c>
      <c r="I140" t="s">
        <v>15</v>
      </c>
      <c r="J140" t="s">
        <v>21</v>
      </c>
      <c r="K140" t="s">
        <v>22</v>
      </c>
      <c r="L140">
        <f>BDP($H140,"BICS_LEVEL_1_SECTOR_NAME")</f>
        <v/>
      </c>
      <c r="M140">
        <f>BDP($H140,"BICS_LEVEL_3_INDUSTRY_NAME")</f>
        <v/>
      </c>
    </row>
    <row r="141" spans="1:13">
      <c r="A141" t="s">
        <v>643</v>
      </c>
      <c r="B141" t="s">
        <v>14</v>
      </c>
      <c r="C141" t="s">
        <v>15</v>
      </c>
      <c r="D141" t="s">
        <v>644</v>
      </c>
      <c r="E141" t="s">
        <v>645</v>
      </c>
      <c r="F141" t="s">
        <v>163</v>
      </c>
      <c r="G141" t="s">
        <v>641</v>
      </c>
      <c r="H141" t="s">
        <v>646</v>
      </c>
      <c r="I141" t="s">
        <v>15</v>
      </c>
      <c r="J141" t="s">
        <v>21</v>
      </c>
      <c r="K141" t="s">
        <v>22</v>
      </c>
      <c r="L141">
        <f>BDP($H141,"BICS_LEVEL_1_SECTOR_NAME")</f>
        <v/>
      </c>
      <c r="M141">
        <f>BDP($H141,"BICS_LEVEL_3_INDUSTRY_NAME")</f>
        <v/>
      </c>
    </row>
    <row r="142" spans="1:13">
      <c r="A142" t="s">
        <v>647</v>
      </c>
      <c r="B142" t="s">
        <v>14</v>
      </c>
      <c r="C142" t="s">
        <v>15</v>
      </c>
      <c r="D142" t="s">
        <v>648</v>
      </c>
      <c r="E142" t="s">
        <v>649</v>
      </c>
      <c r="F142" t="s">
        <v>163</v>
      </c>
      <c r="G142" t="s">
        <v>641</v>
      </c>
      <c r="H142" t="s">
        <v>650</v>
      </c>
      <c r="I142" t="s">
        <v>15</v>
      </c>
      <c r="J142" t="s">
        <v>21</v>
      </c>
      <c r="K142" t="s">
        <v>22</v>
      </c>
      <c r="L142">
        <f>BDP($H142,"BICS_LEVEL_1_SECTOR_NAME")</f>
        <v/>
      </c>
      <c r="M142">
        <f>BDP($H142,"BICS_LEVEL_3_INDUSTRY_NAME")</f>
        <v/>
      </c>
    </row>
    <row r="143" spans="1:13">
      <c r="A143" t="s">
        <v>651</v>
      </c>
      <c r="B143" t="s">
        <v>14</v>
      </c>
      <c r="C143" t="s">
        <v>15</v>
      </c>
      <c r="D143" t="s">
        <v>652</v>
      </c>
      <c r="E143" t="s">
        <v>653</v>
      </c>
      <c r="F143" t="s">
        <v>50</v>
      </c>
      <c r="G143" t="s">
        <v>654</v>
      </c>
      <c r="H143" t="s">
        <v>655</v>
      </c>
      <c r="I143" t="s">
        <v>15</v>
      </c>
      <c r="J143" t="s">
        <v>21</v>
      </c>
      <c r="K143" t="s">
        <v>22</v>
      </c>
      <c r="L143">
        <f>BDP($H143,"BICS_LEVEL_1_SECTOR_NAME")</f>
        <v/>
      </c>
      <c r="M143">
        <f>BDP($H143,"BICS_LEVEL_3_INDUSTRY_NAME")</f>
        <v/>
      </c>
    </row>
    <row r="144" spans="1:13">
      <c r="A144" t="s">
        <v>656</v>
      </c>
      <c r="B144" t="s">
        <v>14</v>
      </c>
      <c r="C144" t="s">
        <v>15</v>
      </c>
      <c r="D144" t="s">
        <v>657</v>
      </c>
      <c r="E144" t="s">
        <v>658</v>
      </c>
      <c r="F144" t="s">
        <v>163</v>
      </c>
      <c r="G144" t="s">
        <v>164</v>
      </c>
      <c r="H144" t="s">
        <v>659</v>
      </c>
      <c r="I144" t="s">
        <v>15</v>
      </c>
      <c r="J144" t="s">
        <v>21</v>
      </c>
      <c r="K144" t="s">
        <v>22</v>
      </c>
      <c r="L144">
        <f>BDP($H144,"BICS_LEVEL_1_SECTOR_NAME")</f>
        <v/>
      </c>
      <c r="M144">
        <f>BDP($H144,"BICS_LEVEL_3_INDUSTRY_NAME")</f>
        <v/>
      </c>
    </row>
    <row r="145" spans="1:13">
      <c r="A145" t="s">
        <v>660</v>
      </c>
      <c r="B145" t="s">
        <v>14</v>
      </c>
      <c r="C145" t="s">
        <v>15</v>
      </c>
      <c r="D145" t="s">
        <v>661</v>
      </c>
      <c r="E145" t="s">
        <v>662</v>
      </c>
      <c r="F145" t="s">
        <v>117</v>
      </c>
      <c r="G145" t="s">
        <v>620</v>
      </c>
      <c r="H145" t="s">
        <v>663</v>
      </c>
      <c r="I145" t="s">
        <v>15</v>
      </c>
      <c r="J145" t="s">
        <v>21</v>
      </c>
      <c r="K145" t="s">
        <v>22</v>
      </c>
      <c r="L145">
        <f>BDP($H145,"BICS_LEVEL_1_SECTOR_NAME")</f>
        <v/>
      </c>
      <c r="M145">
        <f>BDP($H145,"BICS_LEVEL_3_INDUSTRY_NAME")</f>
        <v/>
      </c>
    </row>
    <row r="146" spans="1:13">
      <c r="A146" t="s">
        <v>664</v>
      </c>
      <c r="B146" t="s">
        <v>14</v>
      </c>
      <c r="C146" t="s">
        <v>15</v>
      </c>
      <c r="D146" t="s">
        <v>665</v>
      </c>
      <c r="E146" t="s">
        <v>666</v>
      </c>
      <c r="F146" t="s">
        <v>55</v>
      </c>
      <c r="G146" t="s">
        <v>366</v>
      </c>
      <c r="H146" t="s">
        <v>667</v>
      </c>
      <c r="I146" t="s">
        <v>15</v>
      </c>
      <c r="J146" t="s">
        <v>21</v>
      </c>
      <c r="K146" t="s">
        <v>22</v>
      </c>
      <c r="L146">
        <f>BDP($H146,"BICS_LEVEL_1_SECTOR_NAME")</f>
        <v/>
      </c>
      <c r="M146">
        <f>BDP($H146,"BICS_LEVEL_3_INDUSTRY_NAME")</f>
        <v/>
      </c>
    </row>
    <row r="147" spans="1:13">
      <c r="A147" t="s">
        <v>668</v>
      </c>
      <c r="B147" t="s">
        <v>14</v>
      </c>
      <c r="C147" t="s">
        <v>15</v>
      </c>
      <c r="D147" t="s">
        <v>669</v>
      </c>
      <c r="E147" t="s">
        <v>670</v>
      </c>
      <c r="F147" t="s">
        <v>18</v>
      </c>
      <c r="G147" t="s">
        <v>431</v>
      </c>
      <c r="H147" t="s">
        <v>671</v>
      </c>
      <c r="I147" t="s">
        <v>15</v>
      </c>
      <c r="J147" t="s">
        <v>21</v>
      </c>
      <c r="K147" t="s">
        <v>22</v>
      </c>
      <c r="L147">
        <f>BDP($H147,"BICS_LEVEL_1_SECTOR_NAME")</f>
        <v/>
      </c>
      <c r="M147">
        <f>BDP($H147,"BICS_LEVEL_3_INDUSTRY_NAME")</f>
        <v/>
      </c>
    </row>
    <row r="148" spans="1:13">
      <c r="A148" t="s">
        <v>672</v>
      </c>
      <c r="B148" t="s">
        <v>14</v>
      </c>
      <c r="C148" t="s">
        <v>15</v>
      </c>
      <c r="D148" t="s">
        <v>673</v>
      </c>
      <c r="E148" t="s">
        <v>674</v>
      </c>
      <c r="F148" t="s">
        <v>34</v>
      </c>
      <c r="G148" t="s">
        <v>675</v>
      </c>
      <c r="H148" t="s">
        <v>676</v>
      </c>
      <c r="I148" t="s">
        <v>15</v>
      </c>
      <c r="J148" t="s">
        <v>21</v>
      </c>
      <c r="K148" t="s">
        <v>22</v>
      </c>
      <c r="L148">
        <f>BDP($H148,"BICS_LEVEL_1_SECTOR_NAME")</f>
        <v/>
      </c>
      <c r="M148">
        <f>BDP($H148,"BICS_LEVEL_3_INDUSTRY_NAME")</f>
        <v/>
      </c>
    </row>
    <row r="149" spans="1:13">
      <c r="A149" t="s">
        <v>677</v>
      </c>
      <c r="B149" t="s">
        <v>14</v>
      </c>
      <c r="C149" t="s">
        <v>15</v>
      </c>
      <c r="D149" t="s">
        <v>678</v>
      </c>
      <c r="E149" t="s">
        <v>679</v>
      </c>
      <c r="F149" t="s">
        <v>50</v>
      </c>
      <c r="G149" t="s">
        <v>216</v>
      </c>
      <c r="H149" t="s">
        <v>680</v>
      </c>
      <c r="I149" t="s">
        <v>15</v>
      </c>
      <c r="J149" t="s">
        <v>21</v>
      </c>
      <c r="K149" t="s">
        <v>22</v>
      </c>
      <c r="L149">
        <f>BDP($H149,"BICS_LEVEL_1_SECTOR_NAME")</f>
        <v/>
      </c>
      <c r="M149">
        <f>BDP($H149,"BICS_LEVEL_3_INDUSTRY_NAME")</f>
        <v/>
      </c>
    </row>
    <row r="150" spans="1:13">
      <c r="A150" t="s">
        <v>681</v>
      </c>
      <c r="B150" t="s">
        <v>14</v>
      </c>
      <c r="C150" t="s">
        <v>15</v>
      </c>
      <c r="D150" t="s">
        <v>682</v>
      </c>
      <c r="E150" t="s">
        <v>683</v>
      </c>
      <c r="F150" t="s">
        <v>163</v>
      </c>
      <c r="G150" t="s">
        <v>684</v>
      </c>
      <c r="H150" t="s">
        <v>685</v>
      </c>
      <c r="I150" t="s">
        <v>15</v>
      </c>
      <c r="J150" t="s">
        <v>21</v>
      </c>
      <c r="K150" t="s">
        <v>22</v>
      </c>
      <c r="L150">
        <f>BDP($H150,"BICS_LEVEL_1_SECTOR_NAME")</f>
        <v/>
      </c>
      <c r="M150">
        <f>BDP($H150,"BICS_LEVEL_3_INDUSTRY_NAME")</f>
        <v/>
      </c>
    </row>
    <row r="151" spans="1:13">
      <c r="A151" t="s">
        <v>686</v>
      </c>
      <c r="B151" t="s">
        <v>14</v>
      </c>
      <c r="C151" t="s">
        <v>15</v>
      </c>
      <c r="D151" t="s">
        <v>687</v>
      </c>
      <c r="E151" t="s">
        <v>688</v>
      </c>
      <c r="F151" t="s">
        <v>18</v>
      </c>
      <c r="G151" t="s">
        <v>689</v>
      </c>
      <c r="H151" t="s">
        <v>690</v>
      </c>
      <c r="I151" t="s">
        <v>15</v>
      </c>
      <c r="J151" t="s">
        <v>21</v>
      </c>
      <c r="K151" t="s">
        <v>22</v>
      </c>
      <c r="L151">
        <f>BDP($H151,"BICS_LEVEL_1_SECTOR_NAME")</f>
        <v/>
      </c>
      <c r="M151">
        <f>BDP($H151,"BICS_LEVEL_3_INDUSTRY_NAME")</f>
        <v/>
      </c>
    </row>
    <row r="152" spans="1:13">
      <c r="A152" t="s">
        <v>691</v>
      </c>
      <c r="B152" t="s">
        <v>14</v>
      </c>
      <c r="C152" t="s">
        <v>15</v>
      </c>
      <c r="D152" t="s">
        <v>692</v>
      </c>
      <c r="E152" t="s">
        <v>693</v>
      </c>
      <c r="F152" t="s">
        <v>225</v>
      </c>
      <c r="G152" t="s">
        <v>226</v>
      </c>
      <c r="H152" t="s">
        <v>694</v>
      </c>
      <c r="I152" t="s">
        <v>15</v>
      </c>
      <c r="J152" t="s">
        <v>21</v>
      </c>
      <c r="K152" t="s">
        <v>22</v>
      </c>
      <c r="L152">
        <f>BDP($H152,"BICS_LEVEL_1_SECTOR_NAME")</f>
        <v/>
      </c>
      <c r="M152">
        <f>BDP($H152,"BICS_LEVEL_3_INDUSTRY_NAME")</f>
        <v/>
      </c>
    </row>
    <row r="153" spans="1:13">
      <c r="A153" t="s">
        <v>695</v>
      </c>
      <c r="B153" t="s">
        <v>14</v>
      </c>
      <c r="C153" t="s">
        <v>15</v>
      </c>
      <c r="D153" t="s">
        <v>696</v>
      </c>
      <c r="E153" t="s">
        <v>697</v>
      </c>
      <c r="F153" t="s">
        <v>44</v>
      </c>
      <c r="G153" t="s">
        <v>375</v>
      </c>
      <c r="H153" t="s">
        <v>698</v>
      </c>
      <c r="I153" t="s">
        <v>15</v>
      </c>
      <c r="J153" t="s">
        <v>21</v>
      </c>
      <c r="K153" t="s">
        <v>22</v>
      </c>
      <c r="L153">
        <f>BDP($H153,"BICS_LEVEL_1_SECTOR_NAME")</f>
        <v/>
      </c>
      <c r="M153">
        <f>BDP($H153,"BICS_LEVEL_3_INDUSTRY_NAME")</f>
        <v/>
      </c>
    </row>
    <row r="154" spans="1:13">
      <c r="A154" t="s">
        <v>699</v>
      </c>
      <c r="B154" t="s">
        <v>14</v>
      </c>
      <c r="C154" t="s">
        <v>15</v>
      </c>
      <c r="D154" t="s">
        <v>700</v>
      </c>
      <c r="E154" t="s">
        <v>701</v>
      </c>
      <c r="F154" t="s">
        <v>44</v>
      </c>
      <c r="G154" t="s">
        <v>74</v>
      </c>
      <c r="H154" t="s">
        <v>702</v>
      </c>
      <c r="I154" t="s">
        <v>15</v>
      </c>
      <c r="J154" t="s">
        <v>21</v>
      </c>
      <c r="K154" t="s">
        <v>22</v>
      </c>
      <c r="L154">
        <f>BDP($H154,"BICS_LEVEL_1_SECTOR_NAME")</f>
        <v/>
      </c>
      <c r="M154">
        <f>BDP($H154,"BICS_LEVEL_3_INDUSTRY_NAME")</f>
        <v/>
      </c>
    </row>
    <row r="155" spans="1:13">
      <c r="A155" t="s">
        <v>703</v>
      </c>
      <c r="B155" t="s">
        <v>14</v>
      </c>
      <c r="C155" t="s">
        <v>15</v>
      </c>
      <c r="D155" t="s">
        <v>704</v>
      </c>
      <c r="E155" t="s">
        <v>705</v>
      </c>
      <c r="F155" t="s">
        <v>163</v>
      </c>
      <c r="G155" t="s">
        <v>641</v>
      </c>
      <c r="H155" t="s">
        <v>706</v>
      </c>
      <c r="I155" t="s">
        <v>15</v>
      </c>
      <c r="J155" t="s">
        <v>21</v>
      </c>
      <c r="K155" t="s">
        <v>22</v>
      </c>
      <c r="L155">
        <f>BDP($H155,"BICS_LEVEL_1_SECTOR_NAME")</f>
        <v/>
      </c>
      <c r="M155">
        <f>BDP($H155,"BICS_LEVEL_3_INDUSTRY_NAME")</f>
        <v/>
      </c>
    </row>
    <row r="156" spans="1:13">
      <c r="A156" t="s">
        <v>707</v>
      </c>
      <c r="B156" t="s">
        <v>14</v>
      </c>
      <c r="C156" t="s">
        <v>15</v>
      </c>
      <c r="D156" t="s">
        <v>708</v>
      </c>
      <c r="E156" t="s">
        <v>709</v>
      </c>
      <c r="F156" t="s">
        <v>50</v>
      </c>
      <c r="G156" t="s">
        <v>710</v>
      </c>
      <c r="H156" t="s">
        <v>711</v>
      </c>
      <c r="I156" t="s">
        <v>15</v>
      </c>
      <c r="J156" t="s">
        <v>21</v>
      </c>
      <c r="K156" t="s">
        <v>22</v>
      </c>
      <c r="L156">
        <f>BDP($H156,"BICS_LEVEL_1_SECTOR_NAME")</f>
        <v/>
      </c>
      <c r="M156">
        <f>BDP($H156,"BICS_LEVEL_3_INDUSTRY_NAME")</f>
        <v/>
      </c>
    </row>
    <row r="157" spans="1:13">
      <c r="A157" t="s">
        <v>712</v>
      </c>
      <c r="B157" t="s">
        <v>14</v>
      </c>
      <c r="C157" t="s">
        <v>15</v>
      </c>
      <c r="D157" t="s">
        <v>713</v>
      </c>
      <c r="E157" t="s">
        <v>714</v>
      </c>
      <c r="F157" t="s">
        <v>34</v>
      </c>
      <c r="G157" t="s">
        <v>35</v>
      </c>
      <c r="H157" t="s">
        <v>715</v>
      </c>
      <c r="I157" t="s">
        <v>15</v>
      </c>
      <c r="J157" t="s">
        <v>21</v>
      </c>
      <c r="K157" t="s">
        <v>22</v>
      </c>
      <c r="L157">
        <f>BDP($H157,"BICS_LEVEL_1_SECTOR_NAME")</f>
        <v/>
      </c>
      <c r="M157">
        <f>BDP($H157,"BICS_LEVEL_3_INDUSTRY_NAME")</f>
        <v/>
      </c>
    </row>
    <row r="158" spans="1:13">
      <c r="A158" t="s">
        <v>716</v>
      </c>
      <c r="B158" t="s">
        <v>14</v>
      </c>
      <c r="C158" t="s">
        <v>15</v>
      </c>
      <c r="D158" t="s">
        <v>717</v>
      </c>
      <c r="E158" t="s">
        <v>718</v>
      </c>
      <c r="F158" t="s">
        <v>34</v>
      </c>
      <c r="G158" t="s">
        <v>35</v>
      </c>
      <c r="H158" t="s">
        <v>719</v>
      </c>
      <c r="I158" t="s">
        <v>15</v>
      </c>
      <c r="J158" t="s">
        <v>21</v>
      </c>
      <c r="K158" t="s">
        <v>22</v>
      </c>
      <c r="L158">
        <f>BDP($H158,"BICS_LEVEL_1_SECTOR_NAME")</f>
        <v/>
      </c>
      <c r="M158">
        <f>BDP($H158,"BICS_LEVEL_3_INDUSTRY_NAME")</f>
        <v/>
      </c>
    </row>
    <row r="159" spans="1:13">
      <c r="A159" t="s">
        <v>720</v>
      </c>
      <c r="B159" t="s">
        <v>14</v>
      </c>
      <c r="C159" t="s">
        <v>15</v>
      </c>
      <c r="D159" t="s">
        <v>721</v>
      </c>
      <c r="E159" t="s">
        <v>722</v>
      </c>
      <c r="F159" t="s">
        <v>225</v>
      </c>
      <c r="G159" t="s">
        <v>431</v>
      </c>
      <c r="H159" t="s">
        <v>723</v>
      </c>
      <c r="I159" t="s">
        <v>15</v>
      </c>
      <c r="J159" t="s">
        <v>21</v>
      </c>
      <c r="K159" t="s">
        <v>22</v>
      </c>
      <c r="L159">
        <f>BDP($H159,"BICS_LEVEL_1_SECTOR_NAME")</f>
        <v/>
      </c>
      <c r="M159">
        <f>BDP($H159,"BICS_LEVEL_3_INDUSTRY_NAME")</f>
        <v/>
      </c>
    </row>
    <row r="160" spans="1:13">
      <c r="A160" t="s">
        <v>724</v>
      </c>
      <c r="B160" t="s">
        <v>14</v>
      </c>
      <c r="C160" t="s">
        <v>15</v>
      </c>
      <c r="D160" t="s">
        <v>725</v>
      </c>
      <c r="E160" t="s">
        <v>726</v>
      </c>
      <c r="F160" t="s">
        <v>34</v>
      </c>
      <c r="G160" t="s">
        <v>35</v>
      </c>
      <c r="H160" t="s">
        <v>727</v>
      </c>
      <c r="I160" t="s">
        <v>15</v>
      </c>
      <c r="J160" t="s">
        <v>21</v>
      </c>
      <c r="K160" t="s">
        <v>22</v>
      </c>
      <c r="L160">
        <f>BDP($H160,"BICS_LEVEL_1_SECTOR_NAME")</f>
        <v/>
      </c>
      <c r="M160">
        <f>BDP($H160,"BICS_LEVEL_3_INDUSTRY_NAME")</f>
        <v/>
      </c>
    </row>
    <row r="161" spans="1:13">
      <c r="A161" t="s">
        <v>728</v>
      </c>
      <c r="B161" t="s">
        <v>14</v>
      </c>
      <c r="C161" t="s">
        <v>15</v>
      </c>
      <c r="D161" t="s">
        <v>729</v>
      </c>
      <c r="E161" t="s">
        <v>730</v>
      </c>
      <c r="F161" t="s">
        <v>18</v>
      </c>
      <c r="G161" t="s">
        <v>731</v>
      </c>
      <c r="H161" t="s">
        <v>732</v>
      </c>
      <c r="I161" t="s">
        <v>15</v>
      </c>
      <c r="J161" t="s">
        <v>21</v>
      </c>
      <c r="K161" t="s">
        <v>22</v>
      </c>
      <c r="L161">
        <f>BDP($H161,"BICS_LEVEL_1_SECTOR_NAME")</f>
        <v/>
      </c>
      <c r="M161">
        <f>BDP($H161,"BICS_LEVEL_3_INDUSTRY_NAME")</f>
        <v/>
      </c>
    </row>
    <row r="162" spans="1:13">
      <c r="A162" t="s">
        <v>733</v>
      </c>
      <c r="B162" t="s">
        <v>14</v>
      </c>
      <c r="C162" t="s">
        <v>15</v>
      </c>
      <c r="D162" t="s">
        <v>734</v>
      </c>
      <c r="E162" t="s">
        <v>735</v>
      </c>
      <c r="F162" t="s">
        <v>34</v>
      </c>
      <c r="G162" t="s">
        <v>290</v>
      </c>
      <c r="H162" t="s">
        <v>736</v>
      </c>
      <c r="I162" t="s">
        <v>15</v>
      </c>
      <c r="J162" t="s">
        <v>21</v>
      </c>
      <c r="K162" t="s">
        <v>22</v>
      </c>
      <c r="L162">
        <f>BDP($H162,"BICS_LEVEL_1_SECTOR_NAME")</f>
        <v/>
      </c>
      <c r="M162">
        <f>BDP($H162,"BICS_LEVEL_3_INDUSTRY_NAME")</f>
        <v/>
      </c>
    </row>
    <row r="163" spans="1:13">
      <c r="A163" t="s">
        <v>737</v>
      </c>
      <c r="B163" t="s">
        <v>14</v>
      </c>
      <c r="C163" t="s">
        <v>15</v>
      </c>
      <c r="D163" t="s">
        <v>738</v>
      </c>
      <c r="E163" t="s">
        <v>739</v>
      </c>
      <c r="F163" t="s">
        <v>34</v>
      </c>
      <c r="G163" t="s">
        <v>112</v>
      </c>
      <c r="H163" t="s">
        <v>740</v>
      </c>
      <c r="I163" t="s">
        <v>15</v>
      </c>
      <c r="J163" t="s">
        <v>21</v>
      </c>
      <c r="K163" t="s">
        <v>22</v>
      </c>
      <c r="L163">
        <f>BDP($H163,"BICS_LEVEL_1_SECTOR_NAME")</f>
        <v/>
      </c>
      <c r="M163">
        <f>BDP($H163,"BICS_LEVEL_3_INDUSTRY_NAME")</f>
        <v/>
      </c>
    </row>
    <row r="164" spans="1:13">
      <c r="A164" t="s">
        <v>741</v>
      </c>
      <c r="B164" t="s">
        <v>14</v>
      </c>
      <c r="C164" t="s">
        <v>15</v>
      </c>
      <c r="D164" t="s">
        <v>742</v>
      </c>
      <c r="E164" t="s">
        <v>743</v>
      </c>
      <c r="F164" t="s">
        <v>18</v>
      </c>
      <c r="G164" t="s">
        <v>19</v>
      </c>
      <c r="H164" t="s">
        <v>744</v>
      </c>
      <c r="I164" t="s">
        <v>15</v>
      </c>
      <c r="J164" t="s">
        <v>21</v>
      </c>
      <c r="K164" t="s">
        <v>22</v>
      </c>
      <c r="L164">
        <f>BDP($H164,"BICS_LEVEL_1_SECTOR_NAME")</f>
        <v/>
      </c>
      <c r="M164">
        <f>BDP($H164,"BICS_LEVEL_3_INDUSTRY_NAME")</f>
        <v/>
      </c>
    </row>
    <row r="165" spans="1:13">
      <c r="A165" t="s">
        <v>745</v>
      </c>
      <c r="B165" t="s">
        <v>14</v>
      </c>
      <c r="C165" t="s">
        <v>15</v>
      </c>
      <c r="D165" t="s">
        <v>746</v>
      </c>
      <c r="E165" t="s">
        <v>747</v>
      </c>
      <c r="F165" t="s">
        <v>18</v>
      </c>
      <c r="G165" t="s">
        <v>19</v>
      </c>
      <c r="H165" t="s">
        <v>748</v>
      </c>
      <c r="I165" t="s">
        <v>15</v>
      </c>
      <c r="J165" t="s">
        <v>21</v>
      </c>
      <c r="K165" t="s">
        <v>22</v>
      </c>
      <c r="L165">
        <f>BDP($H165,"BICS_LEVEL_1_SECTOR_NAME")</f>
        <v/>
      </c>
      <c r="M165">
        <f>BDP($H165,"BICS_LEVEL_3_INDUSTRY_NAME")</f>
        <v/>
      </c>
    </row>
    <row r="166" spans="1:13">
      <c r="A166" t="s">
        <v>749</v>
      </c>
      <c r="B166" t="s">
        <v>14</v>
      </c>
      <c r="C166" t="s">
        <v>15</v>
      </c>
      <c r="D166" t="s">
        <v>750</v>
      </c>
      <c r="E166" t="s">
        <v>751</v>
      </c>
      <c r="F166" t="s">
        <v>163</v>
      </c>
      <c r="G166" t="s">
        <v>594</v>
      </c>
      <c r="H166" t="s">
        <v>752</v>
      </c>
      <c r="I166" t="s">
        <v>15</v>
      </c>
      <c r="J166" t="s">
        <v>21</v>
      </c>
      <c r="K166" t="s">
        <v>22</v>
      </c>
      <c r="L166">
        <f>BDP($H166,"BICS_LEVEL_1_SECTOR_NAME")</f>
        <v/>
      </c>
      <c r="M166">
        <f>BDP($H166,"BICS_LEVEL_3_INDUSTRY_NAME")</f>
        <v/>
      </c>
    </row>
    <row r="167" spans="1:13">
      <c r="A167" t="s">
        <v>753</v>
      </c>
      <c r="B167" t="s">
        <v>14</v>
      </c>
      <c r="C167" t="s">
        <v>15</v>
      </c>
      <c r="D167" t="s">
        <v>754</v>
      </c>
      <c r="E167" t="s">
        <v>755</v>
      </c>
      <c r="F167" t="s">
        <v>34</v>
      </c>
      <c r="G167" t="s">
        <v>35</v>
      </c>
      <c r="H167" t="s">
        <v>756</v>
      </c>
      <c r="I167" t="s">
        <v>15</v>
      </c>
      <c r="J167" t="s">
        <v>21</v>
      </c>
      <c r="K167" t="s">
        <v>22</v>
      </c>
      <c r="L167">
        <f>BDP($H167,"BICS_LEVEL_1_SECTOR_NAME")</f>
        <v/>
      </c>
      <c r="M167">
        <f>BDP($H167,"BICS_LEVEL_3_INDUSTRY_NAME")</f>
        <v/>
      </c>
    </row>
    <row r="168" spans="1:13">
      <c r="A168" t="s">
        <v>757</v>
      </c>
      <c r="B168" t="s">
        <v>14</v>
      </c>
      <c r="C168" t="s">
        <v>15</v>
      </c>
      <c r="D168" t="s">
        <v>758</v>
      </c>
      <c r="E168" t="s">
        <v>759</v>
      </c>
      <c r="F168" t="s">
        <v>18</v>
      </c>
      <c r="G168" t="s">
        <v>19</v>
      </c>
      <c r="H168" t="s">
        <v>760</v>
      </c>
      <c r="I168" t="s">
        <v>15</v>
      </c>
      <c r="J168" t="s">
        <v>21</v>
      </c>
      <c r="K168" t="s">
        <v>22</v>
      </c>
      <c r="L168">
        <f>BDP($H168,"BICS_LEVEL_1_SECTOR_NAME")</f>
        <v/>
      </c>
      <c r="M168">
        <f>BDP($H168,"BICS_LEVEL_3_INDUSTRY_NAME")</f>
        <v/>
      </c>
    </row>
    <row r="169" spans="1:13">
      <c r="A169" t="s">
        <v>761</v>
      </c>
      <c r="B169" t="s">
        <v>14</v>
      </c>
      <c r="C169" t="s">
        <v>15</v>
      </c>
      <c r="D169" t="s">
        <v>762</v>
      </c>
      <c r="E169" t="s">
        <v>763</v>
      </c>
      <c r="F169" t="s">
        <v>117</v>
      </c>
      <c r="G169" t="s">
        <v>148</v>
      </c>
      <c r="H169" t="s">
        <v>764</v>
      </c>
      <c r="I169" t="s">
        <v>15</v>
      </c>
      <c r="J169" t="s">
        <v>21</v>
      </c>
      <c r="K169" t="s">
        <v>22</v>
      </c>
      <c r="L169">
        <f>BDP($H169,"BICS_LEVEL_1_SECTOR_NAME")</f>
        <v/>
      </c>
      <c r="M169">
        <f>BDP($H169,"BICS_LEVEL_3_INDUSTRY_NAME")</f>
        <v/>
      </c>
    </row>
    <row r="170" spans="1:13">
      <c r="A170" t="s">
        <v>765</v>
      </c>
      <c r="B170" t="s">
        <v>14</v>
      </c>
      <c r="C170" t="s">
        <v>15</v>
      </c>
      <c r="D170" t="s">
        <v>766</v>
      </c>
      <c r="E170" t="s">
        <v>767</v>
      </c>
      <c r="F170" t="s">
        <v>50</v>
      </c>
      <c r="G170" t="s">
        <v>339</v>
      </c>
      <c r="H170" t="s">
        <v>768</v>
      </c>
      <c r="I170" t="s">
        <v>15</v>
      </c>
      <c r="J170" t="s">
        <v>21</v>
      </c>
      <c r="K170" t="s">
        <v>22</v>
      </c>
      <c r="L170">
        <f>BDP($H170,"BICS_LEVEL_1_SECTOR_NAME")</f>
        <v/>
      </c>
      <c r="M170">
        <f>BDP($H170,"BICS_LEVEL_3_INDUSTRY_NAME")</f>
        <v/>
      </c>
    </row>
    <row r="171" spans="1:13">
      <c r="A171" t="s">
        <v>769</v>
      </c>
      <c r="B171" t="s">
        <v>14</v>
      </c>
      <c r="C171" t="s">
        <v>15</v>
      </c>
      <c r="D171" t="s">
        <v>770</v>
      </c>
      <c r="E171" t="s">
        <v>771</v>
      </c>
      <c r="F171" t="s">
        <v>50</v>
      </c>
      <c r="G171" t="s">
        <v>772</v>
      </c>
      <c r="H171" t="s">
        <v>773</v>
      </c>
      <c r="I171" t="s">
        <v>15</v>
      </c>
      <c r="J171" t="s">
        <v>21</v>
      </c>
      <c r="K171" t="s">
        <v>22</v>
      </c>
      <c r="L171">
        <f>BDP($H171,"BICS_LEVEL_1_SECTOR_NAME")</f>
        <v/>
      </c>
      <c r="M171">
        <f>BDP($H171,"BICS_LEVEL_3_INDUSTRY_NAME")</f>
        <v/>
      </c>
    </row>
    <row r="172" spans="1:13">
      <c r="A172" t="s">
        <v>774</v>
      </c>
      <c r="B172" t="s">
        <v>14</v>
      </c>
      <c r="C172" t="s">
        <v>15</v>
      </c>
      <c r="D172" t="s">
        <v>775</v>
      </c>
      <c r="E172" t="s">
        <v>776</v>
      </c>
      <c r="F172" t="s">
        <v>44</v>
      </c>
      <c r="G172" t="s">
        <v>65</v>
      </c>
      <c r="H172" t="s">
        <v>777</v>
      </c>
      <c r="I172" t="s">
        <v>15</v>
      </c>
      <c r="J172" t="s">
        <v>21</v>
      </c>
      <c r="K172" t="s">
        <v>22</v>
      </c>
      <c r="L172">
        <f>BDP($H172,"BICS_LEVEL_1_SECTOR_NAME")</f>
        <v/>
      </c>
      <c r="M172">
        <f>BDP($H172,"BICS_LEVEL_3_INDUSTRY_NAME")</f>
        <v/>
      </c>
    </row>
    <row r="173" spans="1:13">
      <c r="A173" t="s">
        <v>778</v>
      </c>
      <c r="B173" t="s">
        <v>14</v>
      </c>
      <c r="C173" t="s">
        <v>15</v>
      </c>
      <c r="D173" t="s">
        <v>779</v>
      </c>
      <c r="E173" t="s">
        <v>780</v>
      </c>
      <c r="F173" t="s">
        <v>34</v>
      </c>
      <c r="G173" t="s">
        <v>112</v>
      </c>
      <c r="H173" t="s">
        <v>781</v>
      </c>
      <c r="I173" t="s">
        <v>15</v>
      </c>
      <c r="J173" t="s">
        <v>21</v>
      </c>
      <c r="K173" t="s">
        <v>22</v>
      </c>
      <c r="L173">
        <f>BDP($H173,"BICS_LEVEL_1_SECTOR_NAME")</f>
        <v/>
      </c>
      <c r="M173">
        <f>BDP($H173,"BICS_LEVEL_3_INDUSTRY_NAME")</f>
        <v/>
      </c>
    </row>
    <row r="174" spans="1:13">
      <c r="A174" t="s">
        <v>782</v>
      </c>
      <c r="B174" t="s">
        <v>14</v>
      </c>
      <c r="C174" t="s">
        <v>15</v>
      </c>
      <c r="D174" t="s">
        <v>783</v>
      </c>
      <c r="E174" t="s">
        <v>784</v>
      </c>
      <c r="F174" t="s">
        <v>18</v>
      </c>
      <c r="G174" t="s">
        <v>785</v>
      </c>
      <c r="H174" t="s">
        <v>786</v>
      </c>
      <c r="I174" t="s">
        <v>15</v>
      </c>
      <c r="J174" t="s">
        <v>21</v>
      </c>
      <c r="K174" t="s">
        <v>22</v>
      </c>
      <c r="L174">
        <f>BDP($H174,"BICS_LEVEL_1_SECTOR_NAME")</f>
        <v/>
      </c>
      <c r="M174">
        <f>BDP($H174,"BICS_LEVEL_3_INDUSTRY_NAME")</f>
        <v/>
      </c>
    </row>
    <row r="175" spans="1:13">
      <c r="A175" t="s">
        <v>787</v>
      </c>
      <c r="B175" t="s">
        <v>14</v>
      </c>
      <c r="C175" t="s">
        <v>15</v>
      </c>
      <c r="D175" t="s">
        <v>788</v>
      </c>
      <c r="E175" t="s">
        <v>789</v>
      </c>
      <c r="F175" t="s">
        <v>18</v>
      </c>
      <c r="G175" t="s">
        <v>790</v>
      </c>
      <c r="H175" t="s">
        <v>791</v>
      </c>
      <c r="I175" t="s">
        <v>15</v>
      </c>
      <c r="J175" t="s">
        <v>21</v>
      </c>
      <c r="K175" t="s">
        <v>22</v>
      </c>
      <c r="L175">
        <f>BDP($H175,"BICS_LEVEL_1_SECTOR_NAME")</f>
        <v/>
      </c>
      <c r="M175">
        <f>BDP($H175,"BICS_LEVEL_3_INDUSTRY_NAME")</f>
        <v/>
      </c>
    </row>
    <row r="176" spans="1:13">
      <c r="A176" t="s">
        <v>792</v>
      </c>
      <c r="B176" t="s">
        <v>14</v>
      </c>
      <c r="C176" t="s">
        <v>15</v>
      </c>
      <c r="D176" t="s">
        <v>793</v>
      </c>
      <c r="E176" t="s">
        <v>794</v>
      </c>
      <c r="F176" t="s">
        <v>18</v>
      </c>
      <c r="G176" t="s">
        <v>79</v>
      </c>
      <c r="H176" t="s">
        <v>795</v>
      </c>
      <c r="I176" t="s">
        <v>15</v>
      </c>
      <c r="J176" t="s">
        <v>21</v>
      </c>
      <c r="K176" t="s">
        <v>22</v>
      </c>
      <c r="L176">
        <f>BDP($H176,"BICS_LEVEL_1_SECTOR_NAME")</f>
        <v/>
      </c>
      <c r="M176">
        <f>BDP($H176,"BICS_LEVEL_3_INDUSTRY_NAME")</f>
        <v/>
      </c>
    </row>
    <row r="177" spans="1:13">
      <c r="A177" t="s">
        <v>796</v>
      </c>
      <c r="B177" t="s">
        <v>14</v>
      </c>
      <c r="C177" t="s">
        <v>15</v>
      </c>
      <c r="D177" t="s">
        <v>797</v>
      </c>
      <c r="E177" t="s">
        <v>798</v>
      </c>
      <c r="F177" t="s">
        <v>117</v>
      </c>
      <c r="G177" t="s">
        <v>19</v>
      </c>
      <c r="H177" t="s">
        <v>799</v>
      </c>
      <c r="I177" t="s">
        <v>15</v>
      </c>
      <c r="J177" t="s">
        <v>21</v>
      </c>
      <c r="K177" t="s">
        <v>22</v>
      </c>
      <c r="L177">
        <f>BDP($H177,"BICS_LEVEL_1_SECTOR_NAME")</f>
        <v/>
      </c>
      <c r="M177">
        <f>BDP($H177,"BICS_LEVEL_3_INDUSTRY_NAME")</f>
        <v/>
      </c>
    </row>
    <row r="178" spans="1:13">
      <c r="A178" t="s">
        <v>800</v>
      </c>
      <c r="B178" t="s">
        <v>14</v>
      </c>
      <c r="C178" t="s">
        <v>15</v>
      </c>
      <c r="D178" t="s">
        <v>801</v>
      </c>
      <c r="E178" t="s">
        <v>802</v>
      </c>
      <c r="F178" t="s">
        <v>34</v>
      </c>
      <c r="G178" t="s">
        <v>475</v>
      </c>
      <c r="H178" t="s">
        <v>803</v>
      </c>
      <c r="I178" t="s">
        <v>15</v>
      </c>
      <c r="J178" t="s">
        <v>21</v>
      </c>
      <c r="K178" t="s">
        <v>22</v>
      </c>
      <c r="L178">
        <f>BDP($H178,"BICS_LEVEL_1_SECTOR_NAME")</f>
        <v/>
      </c>
      <c r="M178">
        <f>BDP($H178,"BICS_LEVEL_3_INDUSTRY_NAME")</f>
        <v/>
      </c>
    </row>
    <row r="179" spans="1:13">
      <c r="A179" t="s">
        <v>804</v>
      </c>
      <c r="B179" t="s">
        <v>14</v>
      </c>
      <c r="C179" t="s">
        <v>15</v>
      </c>
      <c r="D179" t="s">
        <v>805</v>
      </c>
      <c r="E179" t="s">
        <v>806</v>
      </c>
      <c r="F179" t="s">
        <v>44</v>
      </c>
      <c r="G179" t="s">
        <v>74</v>
      </c>
      <c r="H179" t="s">
        <v>807</v>
      </c>
      <c r="I179" t="s">
        <v>15</v>
      </c>
      <c r="J179" t="s">
        <v>21</v>
      </c>
      <c r="K179" t="s">
        <v>22</v>
      </c>
      <c r="L179">
        <f>BDP($H179,"BICS_LEVEL_1_SECTOR_NAME")</f>
        <v/>
      </c>
      <c r="M179">
        <f>BDP($H179,"BICS_LEVEL_3_INDUSTRY_NAME")</f>
        <v/>
      </c>
    </row>
    <row r="180" spans="1:13">
      <c r="A180" t="s">
        <v>808</v>
      </c>
      <c r="B180" t="s">
        <v>14</v>
      </c>
      <c r="C180" t="s">
        <v>15</v>
      </c>
      <c r="D180" t="s">
        <v>809</v>
      </c>
      <c r="E180" t="s">
        <v>810</v>
      </c>
      <c r="F180" t="s">
        <v>163</v>
      </c>
      <c r="G180" t="s">
        <v>594</v>
      </c>
      <c r="H180" t="s">
        <v>811</v>
      </c>
      <c r="I180" t="s">
        <v>15</v>
      </c>
      <c r="J180" t="s">
        <v>21</v>
      </c>
      <c r="K180" t="s">
        <v>22</v>
      </c>
      <c r="L180">
        <f>BDP($H180,"BICS_LEVEL_1_SECTOR_NAME")</f>
        <v/>
      </c>
      <c r="M180">
        <f>BDP($H180,"BICS_LEVEL_3_INDUSTRY_NAME")</f>
        <v/>
      </c>
    </row>
    <row r="181" spans="1:13">
      <c r="A181" t="s">
        <v>812</v>
      </c>
      <c r="B181" t="s">
        <v>14</v>
      </c>
      <c r="C181" t="s">
        <v>15</v>
      </c>
      <c r="D181" t="s">
        <v>813</v>
      </c>
      <c r="E181" t="s">
        <v>814</v>
      </c>
      <c r="F181" t="s">
        <v>34</v>
      </c>
      <c r="G181" t="s">
        <v>35</v>
      </c>
      <c r="H181" t="s">
        <v>815</v>
      </c>
      <c r="I181" t="s">
        <v>15</v>
      </c>
      <c r="J181" t="s">
        <v>21</v>
      </c>
      <c r="K181" t="s">
        <v>22</v>
      </c>
      <c r="L181">
        <f>BDP($H181,"BICS_LEVEL_1_SECTOR_NAME")</f>
        <v/>
      </c>
      <c r="M181">
        <f>BDP($H181,"BICS_LEVEL_3_INDUSTRY_NAME")</f>
        <v/>
      </c>
    </row>
    <row r="182" spans="1:13">
      <c r="A182" t="s">
        <v>816</v>
      </c>
      <c r="B182" t="s">
        <v>14</v>
      </c>
      <c r="C182" t="s">
        <v>15</v>
      </c>
      <c r="D182" t="s">
        <v>817</v>
      </c>
      <c r="E182" t="s">
        <v>818</v>
      </c>
      <c r="F182" t="s">
        <v>117</v>
      </c>
      <c r="G182" t="s">
        <v>559</v>
      </c>
      <c r="H182" t="s">
        <v>819</v>
      </c>
      <c r="I182" t="s">
        <v>15</v>
      </c>
      <c r="J182" t="s">
        <v>21</v>
      </c>
      <c r="K182" t="s">
        <v>22</v>
      </c>
      <c r="L182">
        <f>BDP($H182,"BICS_LEVEL_1_SECTOR_NAME")</f>
        <v/>
      </c>
      <c r="M182">
        <f>BDP($H182,"BICS_LEVEL_3_INDUSTRY_NAME")</f>
        <v/>
      </c>
    </row>
    <row r="183" spans="1:13">
      <c r="A183" t="s">
        <v>820</v>
      </c>
      <c r="B183" t="s">
        <v>14</v>
      </c>
      <c r="C183" t="s">
        <v>15</v>
      </c>
      <c r="D183" t="s">
        <v>821</v>
      </c>
      <c r="E183" t="s">
        <v>822</v>
      </c>
      <c r="F183" t="s">
        <v>117</v>
      </c>
      <c r="G183" t="s">
        <v>148</v>
      </c>
      <c r="H183" t="s">
        <v>823</v>
      </c>
      <c r="I183" t="s">
        <v>15</v>
      </c>
      <c r="J183" t="s">
        <v>21</v>
      </c>
      <c r="K183" t="s">
        <v>22</v>
      </c>
      <c r="L183">
        <f>BDP($H183,"BICS_LEVEL_1_SECTOR_NAME")</f>
        <v/>
      </c>
      <c r="M183">
        <f>BDP($H183,"BICS_LEVEL_3_INDUSTRY_NAME")</f>
        <v/>
      </c>
    </row>
    <row r="184" spans="1:13">
      <c r="A184" t="s">
        <v>824</v>
      </c>
      <c r="B184" t="s">
        <v>14</v>
      </c>
      <c r="C184" t="s">
        <v>15</v>
      </c>
      <c r="D184" t="s">
        <v>825</v>
      </c>
      <c r="E184" t="s">
        <v>826</v>
      </c>
      <c r="F184" t="s">
        <v>34</v>
      </c>
      <c r="G184" t="s">
        <v>35</v>
      </c>
      <c r="H184" t="s">
        <v>827</v>
      </c>
      <c r="I184" t="s">
        <v>15</v>
      </c>
      <c r="J184" t="s">
        <v>21</v>
      </c>
      <c r="K184" t="s">
        <v>22</v>
      </c>
      <c r="L184">
        <f>BDP($H184,"BICS_LEVEL_1_SECTOR_NAME")</f>
        <v/>
      </c>
      <c r="M184">
        <f>BDP($H184,"BICS_LEVEL_3_INDUSTRY_NAME")</f>
        <v/>
      </c>
    </row>
    <row r="185" spans="1:13">
      <c r="A185" t="s">
        <v>828</v>
      </c>
      <c r="B185" t="s">
        <v>14</v>
      </c>
      <c r="C185" t="s">
        <v>15</v>
      </c>
      <c r="D185" t="s">
        <v>829</v>
      </c>
      <c r="E185" t="s">
        <v>830</v>
      </c>
      <c r="F185" t="s">
        <v>34</v>
      </c>
      <c r="G185" t="s">
        <v>581</v>
      </c>
      <c r="H185" t="s">
        <v>831</v>
      </c>
      <c r="I185" t="s">
        <v>15</v>
      </c>
      <c r="J185" t="s">
        <v>21</v>
      </c>
      <c r="K185" t="s">
        <v>22</v>
      </c>
      <c r="L185">
        <f>BDP($H185,"BICS_LEVEL_1_SECTOR_NAME")</f>
        <v/>
      </c>
      <c r="M185">
        <f>BDP($H185,"BICS_LEVEL_3_INDUSTRY_NAME")</f>
        <v/>
      </c>
    </row>
    <row r="186" spans="1:13">
      <c r="A186" t="s">
        <v>832</v>
      </c>
      <c r="B186" t="s">
        <v>14</v>
      </c>
      <c r="C186" t="s">
        <v>15</v>
      </c>
      <c r="D186" t="s">
        <v>833</v>
      </c>
      <c r="E186" t="s">
        <v>834</v>
      </c>
      <c r="F186" t="s">
        <v>18</v>
      </c>
      <c r="G186" t="s">
        <v>835</v>
      </c>
      <c r="H186" t="s">
        <v>836</v>
      </c>
      <c r="I186" t="s">
        <v>15</v>
      </c>
      <c r="J186" t="s">
        <v>21</v>
      </c>
      <c r="K186" t="s">
        <v>22</v>
      </c>
      <c r="L186">
        <f>BDP($H186,"BICS_LEVEL_1_SECTOR_NAME")</f>
        <v/>
      </c>
      <c r="M186">
        <f>BDP($H186,"BICS_LEVEL_3_INDUSTRY_NAME")</f>
        <v/>
      </c>
    </row>
    <row r="187" spans="1:13">
      <c r="A187" t="s">
        <v>837</v>
      </c>
      <c r="B187" t="s">
        <v>14</v>
      </c>
      <c r="C187" t="s">
        <v>15</v>
      </c>
      <c r="D187" t="s">
        <v>838</v>
      </c>
      <c r="E187" t="s">
        <v>839</v>
      </c>
      <c r="F187" t="s">
        <v>50</v>
      </c>
      <c r="G187" t="s">
        <v>840</v>
      </c>
      <c r="H187" t="s">
        <v>841</v>
      </c>
      <c r="I187" t="s">
        <v>15</v>
      </c>
      <c r="J187" t="s">
        <v>21</v>
      </c>
      <c r="K187" t="s">
        <v>22</v>
      </c>
      <c r="L187">
        <f>BDP($H187,"BICS_LEVEL_1_SECTOR_NAME")</f>
        <v/>
      </c>
      <c r="M187">
        <f>BDP($H187,"BICS_LEVEL_3_INDUSTRY_NAME")</f>
        <v/>
      </c>
    </row>
    <row r="188" spans="1:13">
      <c r="A188" t="s">
        <v>842</v>
      </c>
      <c r="B188" t="s">
        <v>14</v>
      </c>
      <c r="C188" t="s">
        <v>15</v>
      </c>
      <c r="D188" t="s">
        <v>843</v>
      </c>
      <c r="E188" t="s">
        <v>844</v>
      </c>
      <c r="F188" t="s">
        <v>50</v>
      </c>
      <c r="G188" t="s">
        <v>845</v>
      </c>
      <c r="H188" t="s">
        <v>846</v>
      </c>
      <c r="I188" t="s">
        <v>15</v>
      </c>
      <c r="J188" t="s">
        <v>21</v>
      </c>
      <c r="K188" t="s">
        <v>22</v>
      </c>
      <c r="L188">
        <f>BDP($H188,"BICS_LEVEL_1_SECTOR_NAME")</f>
        <v/>
      </c>
      <c r="M188">
        <f>BDP($H188,"BICS_LEVEL_3_INDUSTRY_NAME")</f>
        <v/>
      </c>
    </row>
    <row r="189" spans="1:13">
      <c r="A189" t="s">
        <v>847</v>
      </c>
      <c r="B189" t="s">
        <v>14</v>
      </c>
      <c r="C189" t="s">
        <v>15</v>
      </c>
      <c r="D189" t="s">
        <v>848</v>
      </c>
      <c r="E189" t="s">
        <v>849</v>
      </c>
      <c r="F189" t="s">
        <v>506</v>
      </c>
      <c r="G189" t="s">
        <v>507</v>
      </c>
      <c r="H189" t="s">
        <v>850</v>
      </c>
      <c r="I189" t="s">
        <v>15</v>
      </c>
      <c r="J189" t="s">
        <v>21</v>
      </c>
      <c r="K189" t="s">
        <v>22</v>
      </c>
      <c r="L189">
        <f>BDP($H189,"BICS_LEVEL_1_SECTOR_NAME")</f>
        <v/>
      </c>
      <c r="M189">
        <f>BDP($H189,"BICS_LEVEL_3_INDUSTRY_NAME")</f>
        <v/>
      </c>
    </row>
    <row r="190" spans="1:13">
      <c r="A190" t="s">
        <v>851</v>
      </c>
      <c r="B190" t="s">
        <v>14</v>
      </c>
      <c r="C190" t="s">
        <v>15</v>
      </c>
      <c r="D190" t="s">
        <v>852</v>
      </c>
      <c r="E190" t="s">
        <v>853</v>
      </c>
      <c r="F190" t="s">
        <v>44</v>
      </c>
      <c r="G190" t="s">
        <v>19</v>
      </c>
      <c r="H190" t="s">
        <v>854</v>
      </c>
      <c r="I190" t="s">
        <v>15</v>
      </c>
      <c r="J190" t="s">
        <v>21</v>
      </c>
      <c r="K190" t="s">
        <v>22</v>
      </c>
      <c r="L190">
        <f>BDP($H190,"BICS_LEVEL_1_SECTOR_NAME")</f>
        <v/>
      </c>
      <c r="M190">
        <f>BDP($H190,"BICS_LEVEL_3_INDUSTRY_NAME")</f>
        <v/>
      </c>
    </row>
    <row r="191" spans="1:13">
      <c r="A191" t="s">
        <v>855</v>
      </c>
      <c r="B191" t="s">
        <v>14</v>
      </c>
      <c r="C191" t="s">
        <v>15</v>
      </c>
      <c r="D191" t="s">
        <v>856</v>
      </c>
      <c r="E191" t="s">
        <v>857</v>
      </c>
      <c r="F191" t="s">
        <v>44</v>
      </c>
      <c r="G191" t="s">
        <v>312</v>
      </c>
      <c r="H191" t="s">
        <v>858</v>
      </c>
      <c r="I191" t="s">
        <v>15</v>
      </c>
      <c r="J191" t="s">
        <v>21</v>
      </c>
      <c r="K191" t="s">
        <v>22</v>
      </c>
      <c r="L191">
        <f>BDP($H191,"BICS_LEVEL_1_SECTOR_NAME")</f>
        <v/>
      </c>
      <c r="M191">
        <f>BDP($H191,"BICS_LEVEL_3_INDUSTRY_NAME")</f>
        <v/>
      </c>
    </row>
    <row r="192" spans="1:13">
      <c r="A192" t="s">
        <v>859</v>
      </c>
      <c r="B192" t="s">
        <v>14</v>
      </c>
      <c r="C192" t="s">
        <v>15</v>
      </c>
      <c r="D192" t="s">
        <v>860</v>
      </c>
      <c r="E192" t="s">
        <v>861</v>
      </c>
      <c r="F192" t="s">
        <v>44</v>
      </c>
      <c r="G192" t="s">
        <v>74</v>
      </c>
      <c r="H192" t="s">
        <v>862</v>
      </c>
      <c r="I192" t="s">
        <v>15</v>
      </c>
      <c r="J192" t="s">
        <v>21</v>
      </c>
      <c r="K192" t="s">
        <v>22</v>
      </c>
      <c r="L192">
        <f>BDP($H192,"BICS_LEVEL_1_SECTOR_NAME")</f>
        <v/>
      </c>
      <c r="M192">
        <f>BDP($H192,"BICS_LEVEL_3_INDUSTRY_NAME")</f>
        <v/>
      </c>
    </row>
    <row r="193" spans="1:13">
      <c r="A193" t="s">
        <v>863</v>
      </c>
      <c r="B193" t="s">
        <v>14</v>
      </c>
      <c r="C193" t="s">
        <v>15</v>
      </c>
      <c r="D193" t="s">
        <v>864</v>
      </c>
      <c r="E193" t="s">
        <v>865</v>
      </c>
      <c r="F193" t="s">
        <v>163</v>
      </c>
      <c r="G193" t="s">
        <v>507</v>
      </c>
      <c r="H193" t="s">
        <v>866</v>
      </c>
      <c r="I193" t="s">
        <v>15</v>
      </c>
      <c r="J193" t="s">
        <v>21</v>
      </c>
      <c r="K193" t="s">
        <v>22</v>
      </c>
      <c r="L193">
        <f>BDP($H193,"BICS_LEVEL_1_SECTOR_NAME")</f>
        <v/>
      </c>
      <c r="M193">
        <f>BDP($H193,"BICS_LEVEL_3_INDUSTRY_NAME")</f>
        <v/>
      </c>
    </row>
    <row r="194" spans="1:13">
      <c r="A194" t="s">
        <v>867</v>
      </c>
      <c r="B194" t="s">
        <v>14</v>
      </c>
      <c r="C194" t="s">
        <v>15</v>
      </c>
      <c r="D194" t="s">
        <v>868</v>
      </c>
      <c r="E194" t="s">
        <v>869</v>
      </c>
      <c r="F194" t="s">
        <v>34</v>
      </c>
      <c r="G194" t="s">
        <v>35</v>
      </c>
      <c r="H194" t="s">
        <v>870</v>
      </c>
      <c r="I194" t="s">
        <v>15</v>
      </c>
      <c r="J194" t="s">
        <v>21</v>
      </c>
      <c r="K194" t="s">
        <v>22</v>
      </c>
      <c r="L194">
        <f>BDP($H194,"BICS_LEVEL_1_SECTOR_NAME")</f>
        <v/>
      </c>
      <c r="M194">
        <f>BDP($H194,"BICS_LEVEL_3_INDUSTRY_NAME")</f>
        <v/>
      </c>
    </row>
    <row r="195" spans="1:13">
      <c r="A195" t="s">
        <v>871</v>
      </c>
      <c r="B195" t="s">
        <v>14</v>
      </c>
      <c r="C195" t="s">
        <v>15</v>
      </c>
      <c r="D195" t="s">
        <v>872</v>
      </c>
      <c r="E195" t="s">
        <v>873</v>
      </c>
      <c r="F195" t="s">
        <v>18</v>
      </c>
      <c r="G195" t="s">
        <v>99</v>
      </c>
      <c r="H195" t="s">
        <v>874</v>
      </c>
      <c r="I195" t="s">
        <v>15</v>
      </c>
      <c r="J195" t="s">
        <v>21</v>
      </c>
      <c r="K195" t="s">
        <v>22</v>
      </c>
      <c r="L195">
        <f>BDP($H195,"BICS_LEVEL_1_SECTOR_NAME")</f>
        <v/>
      </c>
      <c r="M195">
        <f>BDP($H195,"BICS_LEVEL_3_INDUSTRY_NAME")</f>
        <v/>
      </c>
    </row>
    <row r="196" spans="1:13">
      <c r="A196" t="s">
        <v>875</v>
      </c>
      <c r="B196" t="s">
        <v>14</v>
      </c>
      <c r="C196" t="s">
        <v>15</v>
      </c>
      <c r="D196" t="s">
        <v>876</v>
      </c>
      <c r="E196" t="s">
        <v>877</v>
      </c>
      <c r="F196" t="s">
        <v>34</v>
      </c>
      <c r="G196" t="s">
        <v>489</v>
      </c>
      <c r="H196" t="s">
        <v>878</v>
      </c>
      <c r="I196" t="s">
        <v>15</v>
      </c>
      <c r="J196" t="s">
        <v>21</v>
      </c>
      <c r="K196" t="s">
        <v>22</v>
      </c>
      <c r="L196">
        <f>BDP($H196,"BICS_LEVEL_1_SECTOR_NAME")</f>
        <v/>
      </c>
      <c r="M196">
        <f>BDP($H196,"BICS_LEVEL_3_INDUSTRY_NAME")</f>
        <v/>
      </c>
    </row>
    <row r="197" spans="1:13">
      <c r="A197" t="s">
        <v>879</v>
      </c>
      <c r="B197" t="s">
        <v>14</v>
      </c>
      <c r="C197" t="s">
        <v>15</v>
      </c>
      <c r="D197" t="s">
        <v>880</v>
      </c>
      <c r="E197" t="s">
        <v>881</v>
      </c>
      <c r="F197" t="s">
        <v>44</v>
      </c>
      <c r="G197" t="s">
        <v>65</v>
      </c>
      <c r="H197" t="s">
        <v>882</v>
      </c>
      <c r="I197" t="s">
        <v>15</v>
      </c>
      <c r="J197" t="s">
        <v>21</v>
      </c>
      <c r="K197" t="s">
        <v>22</v>
      </c>
      <c r="L197">
        <f>BDP($H197,"BICS_LEVEL_1_SECTOR_NAME")</f>
        <v/>
      </c>
      <c r="M197">
        <f>BDP($H197,"BICS_LEVEL_3_INDUSTRY_NAME")</f>
        <v/>
      </c>
    </row>
    <row r="198" spans="1:13">
      <c r="A198" t="s">
        <v>883</v>
      </c>
      <c r="B198" t="s">
        <v>14</v>
      </c>
      <c r="C198" t="s">
        <v>15</v>
      </c>
      <c r="D198" t="s">
        <v>884</v>
      </c>
      <c r="E198" t="s">
        <v>885</v>
      </c>
      <c r="F198" t="s">
        <v>34</v>
      </c>
      <c r="G198" t="s">
        <v>206</v>
      </c>
      <c r="H198" t="s">
        <v>886</v>
      </c>
      <c r="I198" t="s">
        <v>15</v>
      </c>
      <c r="J198" t="s">
        <v>21</v>
      </c>
      <c r="K198" t="s">
        <v>22</v>
      </c>
      <c r="L198">
        <f>BDP($H198,"BICS_LEVEL_1_SECTOR_NAME")</f>
        <v/>
      </c>
      <c r="M198">
        <f>BDP($H198,"BICS_LEVEL_3_INDUSTRY_NAME")</f>
        <v/>
      </c>
    </row>
    <row r="199" spans="1:13">
      <c r="A199" t="s">
        <v>887</v>
      </c>
      <c r="B199" t="s">
        <v>14</v>
      </c>
      <c r="C199" t="s">
        <v>15</v>
      </c>
      <c r="D199" t="s">
        <v>888</v>
      </c>
      <c r="E199" t="s">
        <v>889</v>
      </c>
      <c r="F199" t="s">
        <v>34</v>
      </c>
      <c r="G199" t="s">
        <v>99</v>
      </c>
      <c r="H199" t="s">
        <v>890</v>
      </c>
      <c r="I199" t="s">
        <v>15</v>
      </c>
      <c r="J199" t="s">
        <v>21</v>
      </c>
      <c r="K199" t="s">
        <v>22</v>
      </c>
      <c r="L199">
        <f>BDP($H199,"BICS_LEVEL_1_SECTOR_NAME")</f>
        <v/>
      </c>
      <c r="M199">
        <f>BDP($H199,"BICS_LEVEL_3_INDUSTRY_NAME")</f>
        <v/>
      </c>
    </row>
    <row r="200" spans="1:13">
      <c r="A200" t="s">
        <v>891</v>
      </c>
      <c r="B200" t="s">
        <v>14</v>
      </c>
      <c r="C200" t="s">
        <v>15</v>
      </c>
      <c r="D200" t="s">
        <v>892</v>
      </c>
      <c r="E200" t="s">
        <v>893</v>
      </c>
      <c r="F200" t="s">
        <v>34</v>
      </c>
      <c r="G200" t="s">
        <v>99</v>
      </c>
      <c r="H200" t="s">
        <v>894</v>
      </c>
      <c r="I200" t="s">
        <v>15</v>
      </c>
      <c r="J200" t="s">
        <v>21</v>
      </c>
      <c r="K200" t="s">
        <v>22</v>
      </c>
      <c r="L200">
        <f>BDP($H200,"BICS_LEVEL_1_SECTOR_NAME")</f>
        <v/>
      </c>
      <c r="M200">
        <f>BDP($H200,"BICS_LEVEL_3_INDUSTRY_NAME")</f>
        <v/>
      </c>
    </row>
    <row r="201" spans="1:13">
      <c r="A201" t="s">
        <v>895</v>
      </c>
      <c r="B201" t="s">
        <v>14</v>
      </c>
      <c r="C201" t="s">
        <v>15</v>
      </c>
      <c r="D201" t="s">
        <v>896</v>
      </c>
      <c r="E201" t="s">
        <v>897</v>
      </c>
      <c r="F201" t="s">
        <v>50</v>
      </c>
      <c r="G201" t="s">
        <v>898</v>
      </c>
      <c r="H201" t="s">
        <v>899</v>
      </c>
      <c r="I201" t="s">
        <v>15</v>
      </c>
      <c r="J201" t="s">
        <v>21</v>
      </c>
      <c r="K201" t="s">
        <v>22</v>
      </c>
      <c r="L201">
        <f>BDP($H201,"BICS_LEVEL_1_SECTOR_NAME")</f>
        <v/>
      </c>
      <c r="M201">
        <f>BDP($H201,"BICS_LEVEL_3_INDUSTRY_NAME")</f>
        <v/>
      </c>
    </row>
    <row r="202" spans="1:13">
      <c r="A202" t="s">
        <v>900</v>
      </c>
      <c r="B202" t="s">
        <v>14</v>
      </c>
      <c r="C202" t="s">
        <v>15</v>
      </c>
      <c r="D202" t="s">
        <v>901</v>
      </c>
      <c r="E202" t="s">
        <v>902</v>
      </c>
      <c r="F202" t="s">
        <v>44</v>
      </c>
      <c r="G202" t="s">
        <v>65</v>
      </c>
      <c r="H202" t="s">
        <v>903</v>
      </c>
      <c r="I202" t="s">
        <v>15</v>
      </c>
      <c r="J202" t="s">
        <v>21</v>
      </c>
      <c r="K202" t="s">
        <v>22</v>
      </c>
      <c r="L202">
        <f>BDP($H202,"BICS_LEVEL_1_SECTOR_NAME")</f>
        <v/>
      </c>
      <c r="M202">
        <f>BDP($H202,"BICS_LEVEL_3_INDUSTRY_NAME")</f>
        <v/>
      </c>
    </row>
    <row r="203" spans="1:13">
      <c r="A203" t="s">
        <v>904</v>
      </c>
      <c r="B203" t="s">
        <v>14</v>
      </c>
      <c r="C203" t="s">
        <v>15</v>
      </c>
      <c r="D203" t="s">
        <v>905</v>
      </c>
      <c r="E203" t="s">
        <v>906</v>
      </c>
      <c r="F203" t="s">
        <v>44</v>
      </c>
      <c r="G203" t="s">
        <v>65</v>
      </c>
      <c r="H203" t="s">
        <v>907</v>
      </c>
      <c r="I203" t="s">
        <v>15</v>
      </c>
      <c r="J203" t="s">
        <v>21</v>
      </c>
      <c r="K203" t="s">
        <v>22</v>
      </c>
      <c r="L203">
        <f>BDP($H203,"BICS_LEVEL_1_SECTOR_NAME")</f>
        <v/>
      </c>
      <c r="M203">
        <f>BDP($H203,"BICS_LEVEL_3_INDUSTRY_NAME")</f>
        <v/>
      </c>
    </row>
    <row r="204" spans="1:13">
      <c r="A204" t="s">
        <v>908</v>
      </c>
      <c r="B204" t="s">
        <v>14</v>
      </c>
      <c r="C204" t="s">
        <v>15</v>
      </c>
      <c r="D204" t="s">
        <v>909</v>
      </c>
      <c r="E204" t="s">
        <v>910</v>
      </c>
      <c r="F204" t="s">
        <v>117</v>
      </c>
      <c r="G204" t="s">
        <v>148</v>
      </c>
      <c r="H204" t="s">
        <v>911</v>
      </c>
      <c r="I204" t="s">
        <v>15</v>
      </c>
      <c r="J204" t="s">
        <v>21</v>
      </c>
      <c r="K204" t="s">
        <v>22</v>
      </c>
      <c r="L204">
        <f>BDP($H204,"BICS_LEVEL_1_SECTOR_NAME")</f>
        <v/>
      </c>
      <c r="M204">
        <f>BDP($H204,"BICS_LEVEL_3_INDUSTRY_NAME")</f>
        <v/>
      </c>
    </row>
    <row r="205" spans="1:13">
      <c r="A205" t="s">
        <v>912</v>
      </c>
      <c r="B205" t="s">
        <v>14</v>
      </c>
      <c r="C205" t="s">
        <v>15</v>
      </c>
      <c r="D205" t="s">
        <v>913</v>
      </c>
      <c r="E205" t="s">
        <v>914</v>
      </c>
      <c r="F205" t="s">
        <v>117</v>
      </c>
      <c r="G205" t="s">
        <v>148</v>
      </c>
      <c r="H205" t="s">
        <v>915</v>
      </c>
      <c r="I205" t="s">
        <v>15</v>
      </c>
      <c r="J205" t="s">
        <v>21</v>
      </c>
      <c r="K205" t="s">
        <v>22</v>
      </c>
      <c r="L205">
        <f>BDP($H205,"BICS_LEVEL_1_SECTOR_NAME")</f>
        <v/>
      </c>
      <c r="M205">
        <f>BDP($H205,"BICS_LEVEL_3_INDUSTRY_NAME")</f>
        <v/>
      </c>
    </row>
    <row r="206" spans="1:13">
      <c r="A206" t="s">
        <v>916</v>
      </c>
      <c r="B206" t="s">
        <v>14</v>
      </c>
      <c r="C206" t="s">
        <v>15</v>
      </c>
      <c r="D206" t="s">
        <v>917</v>
      </c>
      <c r="E206" t="s">
        <v>918</v>
      </c>
      <c r="F206" t="s">
        <v>225</v>
      </c>
      <c r="G206" t="s">
        <v>919</v>
      </c>
      <c r="H206" t="s">
        <v>920</v>
      </c>
      <c r="I206" t="s">
        <v>15</v>
      </c>
      <c r="J206" t="s">
        <v>21</v>
      </c>
      <c r="K206" t="s">
        <v>22</v>
      </c>
      <c r="L206">
        <f>BDP($H206,"BICS_LEVEL_1_SECTOR_NAME")</f>
        <v/>
      </c>
      <c r="M206">
        <f>BDP($H206,"BICS_LEVEL_3_INDUSTRY_NAME")</f>
        <v/>
      </c>
    </row>
    <row r="207" spans="1:13">
      <c r="A207" t="s">
        <v>921</v>
      </c>
      <c r="B207" t="s">
        <v>14</v>
      </c>
      <c r="C207" t="s">
        <v>15</v>
      </c>
      <c r="D207" t="s">
        <v>922</v>
      </c>
      <c r="E207" t="s">
        <v>923</v>
      </c>
      <c r="F207" t="s">
        <v>225</v>
      </c>
      <c r="G207" t="s">
        <v>919</v>
      </c>
      <c r="H207" t="s">
        <v>924</v>
      </c>
      <c r="I207" t="s">
        <v>15</v>
      </c>
      <c r="J207" t="s">
        <v>21</v>
      </c>
      <c r="K207" t="s">
        <v>22</v>
      </c>
      <c r="L207">
        <f>BDP($H207,"BICS_LEVEL_1_SECTOR_NAME")</f>
        <v/>
      </c>
      <c r="M207">
        <f>BDP($H207,"BICS_LEVEL_3_INDUSTRY_NAME")</f>
        <v/>
      </c>
    </row>
    <row r="208" spans="1:13">
      <c r="A208" t="s">
        <v>925</v>
      </c>
      <c r="B208" t="s">
        <v>14</v>
      </c>
      <c r="C208" t="s">
        <v>15</v>
      </c>
      <c r="D208" t="s">
        <v>926</v>
      </c>
      <c r="E208" t="s">
        <v>927</v>
      </c>
      <c r="F208" t="s">
        <v>18</v>
      </c>
      <c r="G208" t="s">
        <v>418</v>
      </c>
      <c r="H208" t="s">
        <v>928</v>
      </c>
      <c r="I208" t="s">
        <v>15</v>
      </c>
      <c r="J208" t="s">
        <v>21</v>
      </c>
      <c r="K208" t="s">
        <v>22</v>
      </c>
      <c r="L208">
        <f>BDP($H208,"BICS_LEVEL_1_SECTOR_NAME")</f>
        <v/>
      </c>
      <c r="M208">
        <f>BDP($H208,"BICS_LEVEL_3_INDUSTRY_NAME")</f>
        <v/>
      </c>
    </row>
    <row r="209" spans="1:13">
      <c r="A209" t="s">
        <v>929</v>
      </c>
      <c r="B209" t="s">
        <v>14</v>
      </c>
      <c r="C209" t="s">
        <v>15</v>
      </c>
      <c r="D209" t="s">
        <v>930</v>
      </c>
      <c r="E209" t="s">
        <v>931</v>
      </c>
      <c r="F209" t="s">
        <v>34</v>
      </c>
      <c r="G209" t="s">
        <v>932</v>
      </c>
      <c r="H209" t="s">
        <v>933</v>
      </c>
      <c r="I209" t="s">
        <v>15</v>
      </c>
      <c r="J209" t="s">
        <v>21</v>
      </c>
      <c r="K209" t="s">
        <v>22</v>
      </c>
      <c r="L209">
        <f>BDP($H209,"BICS_LEVEL_1_SECTOR_NAME")</f>
        <v/>
      </c>
      <c r="M209">
        <f>BDP($H209,"BICS_LEVEL_3_INDUSTRY_NAME")</f>
        <v/>
      </c>
    </row>
    <row r="210" spans="1:13">
      <c r="A210" t="s">
        <v>934</v>
      </c>
      <c r="B210" t="s">
        <v>14</v>
      </c>
      <c r="C210" t="s">
        <v>15</v>
      </c>
      <c r="D210" t="s">
        <v>935</v>
      </c>
      <c r="E210" t="s">
        <v>936</v>
      </c>
      <c r="F210" t="s">
        <v>50</v>
      </c>
      <c r="G210" t="s">
        <v>127</v>
      </c>
      <c r="H210" t="s">
        <v>937</v>
      </c>
      <c r="I210" t="s">
        <v>15</v>
      </c>
      <c r="J210" t="s">
        <v>21</v>
      </c>
      <c r="K210" t="s">
        <v>22</v>
      </c>
      <c r="L210">
        <f>BDP($H210,"BICS_LEVEL_1_SECTOR_NAME")</f>
        <v/>
      </c>
      <c r="M210">
        <f>BDP($H210,"BICS_LEVEL_3_INDUSTRY_NAME")</f>
        <v/>
      </c>
    </row>
    <row r="211" spans="1:13">
      <c r="A211" t="s">
        <v>938</v>
      </c>
      <c r="B211" t="s">
        <v>14</v>
      </c>
      <c r="C211" t="s">
        <v>15</v>
      </c>
      <c r="D211" t="s">
        <v>939</v>
      </c>
      <c r="E211" t="s">
        <v>940</v>
      </c>
      <c r="F211" t="s">
        <v>34</v>
      </c>
      <c r="G211" t="s">
        <v>35</v>
      </c>
      <c r="H211" t="s">
        <v>941</v>
      </c>
      <c r="I211" t="s">
        <v>15</v>
      </c>
      <c r="J211" t="s">
        <v>21</v>
      </c>
      <c r="K211" t="s">
        <v>22</v>
      </c>
      <c r="L211">
        <f>BDP($H211,"BICS_LEVEL_1_SECTOR_NAME")</f>
        <v/>
      </c>
      <c r="M211">
        <f>BDP($H211,"BICS_LEVEL_3_INDUSTRY_NAME")</f>
        <v/>
      </c>
    </row>
    <row r="212" spans="1:13">
      <c r="A212" t="s">
        <v>942</v>
      </c>
      <c r="B212" t="s">
        <v>14</v>
      </c>
      <c r="C212" t="s">
        <v>15</v>
      </c>
      <c r="D212" t="s">
        <v>943</v>
      </c>
      <c r="E212" t="s">
        <v>944</v>
      </c>
      <c r="F212" t="s">
        <v>34</v>
      </c>
      <c r="G212" t="s">
        <v>581</v>
      </c>
      <c r="H212" t="s">
        <v>945</v>
      </c>
      <c r="I212" t="s">
        <v>15</v>
      </c>
      <c r="J212" t="s">
        <v>21</v>
      </c>
      <c r="K212" t="s">
        <v>22</v>
      </c>
      <c r="L212">
        <f>BDP($H212,"BICS_LEVEL_1_SECTOR_NAME")</f>
        <v/>
      </c>
      <c r="M212">
        <f>BDP($H212,"BICS_LEVEL_3_INDUSTRY_NAME")</f>
        <v/>
      </c>
    </row>
    <row r="213" spans="1:13">
      <c r="A213" t="s">
        <v>946</v>
      </c>
      <c r="B213" t="s">
        <v>14</v>
      </c>
      <c r="C213" t="s">
        <v>15</v>
      </c>
      <c r="D213" t="s">
        <v>947</v>
      </c>
      <c r="E213" t="s">
        <v>948</v>
      </c>
      <c r="F213" t="s">
        <v>34</v>
      </c>
      <c r="G213" t="s">
        <v>290</v>
      </c>
      <c r="H213" t="s">
        <v>949</v>
      </c>
      <c r="I213" t="s">
        <v>15</v>
      </c>
      <c r="J213" t="s">
        <v>21</v>
      </c>
      <c r="K213" t="s">
        <v>22</v>
      </c>
      <c r="L213">
        <f>BDP($H213,"BICS_LEVEL_1_SECTOR_NAME")</f>
        <v/>
      </c>
      <c r="M213">
        <f>BDP($H213,"BICS_LEVEL_3_INDUSTRY_NAME")</f>
        <v/>
      </c>
    </row>
    <row r="214" spans="1:13">
      <c r="A214" t="s">
        <v>950</v>
      </c>
      <c r="B214" t="s">
        <v>14</v>
      </c>
      <c r="C214" t="s">
        <v>15</v>
      </c>
      <c r="D214" t="s">
        <v>951</v>
      </c>
      <c r="E214" t="s">
        <v>952</v>
      </c>
      <c r="F214" t="s">
        <v>34</v>
      </c>
      <c r="G214" t="s">
        <v>35</v>
      </c>
      <c r="H214" t="s">
        <v>953</v>
      </c>
      <c r="I214" t="s">
        <v>15</v>
      </c>
      <c r="J214" t="s">
        <v>21</v>
      </c>
      <c r="K214" t="s">
        <v>22</v>
      </c>
      <c r="L214">
        <f>BDP($H214,"BICS_LEVEL_1_SECTOR_NAME")</f>
        <v/>
      </c>
      <c r="M214">
        <f>BDP($H214,"BICS_LEVEL_3_INDUSTRY_NAME")</f>
        <v/>
      </c>
    </row>
    <row r="215" spans="1:13">
      <c r="A215" t="s">
        <v>954</v>
      </c>
      <c r="B215" t="s">
        <v>14</v>
      </c>
      <c r="C215" t="s">
        <v>15</v>
      </c>
      <c r="D215" t="s">
        <v>955</v>
      </c>
      <c r="E215" t="s">
        <v>956</v>
      </c>
      <c r="F215" t="s">
        <v>44</v>
      </c>
      <c r="G215" t="s">
        <v>188</v>
      </c>
      <c r="H215" t="s">
        <v>957</v>
      </c>
      <c r="I215" t="s">
        <v>15</v>
      </c>
      <c r="J215" t="s">
        <v>21</v>
      </c>
      <c r="K215" t="s">
        <v>22</v>
      </c>
      <c r="L215">
        <f>BDP($H215,"BICS_LEVEL_1_SECTOR_NAME")</f>
        <v/>
      </c>
      <c r="M215">
        <f>BDP($H215,"BICS_LEVEL_3_INDUSTRY_NAME")</f>
        <v/>
      </c>
    </row>
    <row r="216" spans="1:13">
      <c r="A216" t="s">
        <v>958</v>
      </c>
      <c r="B216" t="s">
        <v>14</v>
      </c>
      <c r="C216" t="s">
        <v>15</v>
      </c>
      <c r="D216" t="s">
        <v>959</v>
      </c>
      <c r="E216" t="s">
        <v>960</v>
      </c>
      <c r="F216" t="s">
        <v>44</v>
      </c>
      <c r="G216" t="s">
        <v>188</v>
      </c>
      <c r="H216" t="s">
        <v>961</v>
      </c>
      <c r="I216" t="s">
        <v>15</v>
      </c>
      <c r="J216" t="s">
        <v>21</v>
      </c>
      <c r="K216" t="s">
        <v>22</v>
      </c>
      <c r="L216">
        <f>BDP($H216,"BICS_LEVEL_1_SECTOR_NAME")</f>
        <v/>
      </c>
      <c r="M216">
        <f>BDP($H216,"BICS_LEVEL_3_INDUSTRY_NAME")</f>
        <v/>
      </c>
    </row>
    <row r="217" spans="1:13">
      <c r="A217" t="s">
        <v>962</v>
      </c>
      <c r="B217" t="s">
        <v>14</v>
      </c>
      <c r="C217" t="s">
        <v>15</v>
      </c>
      <c r="D217" t="s">
        <v>963</v>
      </c>
      <c r="E217" t="s">
        <v>964</v>
      </c>
      <c r="F217" t="s">
        <v>34</v>
      </c>
      <c r="G217" t="s">
        <v>112</v>
      </c>
      <c r="H217" t="s">
        <v>965</v>
      </c>
      <c r="I217" t="s">
        <v>15</v>
      </c>
      <c r="J217" t="s">
        <v>21</v>
      </c>
      <c r="K217" t="s">
        <v>22</v>
      </c>
      <c r="L217">
        <f>BDP($H217,"BICS_LEVEL_1_SECTOR_NAME")</f>
        <v/>
      </c>
      <c r="M217">
        <f>BDP($H217,"BICS_LEVEL_3_INDUSTRY_NAME")</f>
        <v/>
      </c>
    </row>
    <row r="218" spans="1:13">
      <c r="A218" t="s">
        <v>966</v>
      </c>
      <c r="B218" t="s">
        <v>14</v>
      </c>
      <c r="C218" t="s">
        <v>15</v>
      </c>
      <c r="D218" t="s">
        <v>967</v>
      </c>
      <c r="E218" t="s">
        <v>968</v>
      </c>
      <c r="F218" t="s">
        <v>50</v>
      </c>
      <c r="G218" t="s">
        <v>388</v>
      </c>
      <c r="H218" t="s">
        <v>969</v>
      </c>
      <c r="I218" t="s">
        <v>15</v>
      </c>
      <c r="J218" t="s">
        <v>21</v>
      </c>
      <c r="K218" t="s">
        <v>22</v>
      </c>
      <c r="L218">
        <f>BDP($H218,"BICS_LEVEL_1_SECTOR_NAME")</f>
        <v/>
      </c>
      <c r="M218">
        <f>BDP($H218,"BICS_LEVEL_3_INDUSTRY_NAME")</f>
        <v/>
      </c>
    </row>
    <row r="219" spans="1:13">
      <c r="A219" t="s">
        <v>970</v>
      </c>
      <c r="B219" t="s">
        <v>14</v>
      </c>
      <c r="C219" t="s">
        <v>15</v>
      </c>
      <c r="D219" t="s">
        <v>971</v>
      </c>
      <c r="E219" t="s">
        <v>972</v>
      </c>
      <c r="F219" t="s">
        <v>34</v>
      </c>
      <c r="G219" t="s">
        <v>112</v>
      </c>
      <c r="H219" t="s">
        <v>973</v>
      </c>
      <c r="I219" t="s">
        <v>15</v>
      </c>
      <c r="J219" t="s">
        <v>21</v>
      </c>
      <c r="K219" t="s">
        <v>22</v>
      </c>
      <c r="L219">
        <f>BDP($H219,"BICS_LEVEL_1_SECTOR_NAME")</f>
        <v/>
      </c>
      <c r="M219">
        <f>BDP($H219,"BICS_LEVEL_3_INDUSTRY_NAME")</f>
        <v/>
      </c>
    </row>
    <row r="220" spans="1:13">
      <c r="A220" t="s">
        <v>974</v>
      </c>
      <c r="B220" t="s">
        <v>14</v>
      </c>
      <c r="C220" t="s">
        <v>15</v>
      </c>
      <c r="D220" t="s">
        <v>975</v>
      </c>
      <c r="E220" t="s">
        <v>976</v>
      </c>
      <c r="F220" t="s">
        <v>44</v>
      </c>
      <c r="G220" t="s">
        <v>188</v>
      </c>
      <c r="H220" t="s">
        <v>977</v>
      </c>
      <c r="I220" t="s">
        <v>15</v>
      </c>
      <c r="J220" t="s">
        <v>21</v>
      </c>
      <c r="K220" t="s">
        <v>22</v>
      </c>
      <c r="L220">
        <f>BDP($H220,"BICS_LEVEL_1_SECTOR_NAME")</f>
        <v/>
      </c>
      <c r="M220">
        <f>BDP($H220,"BICS_LEVEL_3_INDUSTRY_NAME")</f>
        <v/>
      </c>
    </row>
    <row r="221" spans="1:13">
      <c r="A221" t="s">
        <v>978</v>
      </c>
      <c r="B221" t="s">
        <v>14</v>
      </c>
      <c r="C221" t="s">
        <v>15</v>
      </c>
      <c r="D221" t="s">
        <v>979</v>
      </c>
      <c r="E221" t="s">
        <v>980</v>
      </c>
      <c r="F221" t="s">
        <v>163</v>
      </c>
      <c r="G221" t="s">
        <v>684</v>
      </c>
      <c r="H221" t="s">
        <v>981</v>
      </c>
      <c r="I221" t="s">
        <v>15</v>
      </c>
      <c r="J221" t="s">
        <v>21</v>
      </c>
      <c r="K221" t="s">
        <v>22</v>
      </c>
      <c r="L221">
        <f>BDP($H221,"BICS_LEVEL_1_SECTOR_NAME")</f>
        <v/>
      </c>
      <c r="M221">
        <f>BDP($H221,"BICS_LEVEL_3_INDUSTRY_NAME")</f>
        <v/>
      </c>
    </row>
    <row r="222" spans="1:13">
      <c r="A222" t="s">
        <v>982</v>
      </c>
      <c r="B222" t="s">
        <v>14</v>
      </c>
      <c r="C222" t="s">
        <v>15</v>
      </c>
      <c r="D222" t="s">
        <v>983</v>
      </c>
      <c r="E222" t="s">
        <v>984</v>
      </c>
      <c r="F222" t="s">
        <v>18</v>
      </c>
      <c r="G222" t="s">
        <v>484</v>
      </c>
      <c r="H222" t="s">
        <v>985</v>
      </c>
      <c r="I222" t="s">
        <v>15</v>
      </c>
      <c r="J222" t="s">
        <v>21</v>
      </c>
      <c r="K222" t="s">
        <v>22</v>
      </c>
      <c r="L222">
        <f>BDP($H222,"BICS_LEVEL_1_SECTOR_NAME")</f>
        <v/>
      </c>
      <c r="M222">
        <f>BDP($H222,"BICS_LEVEL_3_INDUSTRY_NAME")</f>
        <v/>
      </c>
    </row>
    <row r="223" spans="1:13">
      <c r="A223" t="s">
        <v>986</v>
      </c>
      <c r="B223" t="s">
        <v>14</v>
      </c>
      <c r="C223" t="s">
        <v>15</v>
      </c>
      <c r="D223" t="s">
        <v>987</v>
      </c>
      <c r="E223" t="s">
        <v>988</v>
      </c>
      <c r="F223" t="s">
        <v>163</v>
      </c>
      <c r="G223" t="s">
        <v>641</v>
      </c>
      <c r="H223" t="s">
        <v>989</v>
      </c>
      <c r="I223" t="s">
        <v>15</v>
      </c>
      <c r="J223" t="s">
        <v>21</v>
      </c>
      <c r="K223" t="s">
        <v>22</v>
      </c>
      <c r="L223">
        <f>BDP($H223,"BICS_LEVEL_1_SECTOR_NAME")</f>
        <v/>
      </c>
      <c r="M223">
        <f>BDP($H223,"BICS_LEVEL_3_INDUSTRY_NAME")</f>
        <v/>
      </c>
    </row>
    <row r="224" spans="1:13">
      <c r="A224" t="s">
        <v>990</v>
      </c>
      <c r="B224" t="s">
        <v>14</v>
      </c>
      <c r="C224" t="s">
        <v>15</v>
      </c>
      <c r="D224" t="s">
        <v>991</v>
      </c>
      <c r="E224" t="s">
        <v>992</v>
      </c>
      <c r="F224" t="s">
        <v>18</v>
      </c>
      <c r="G224" t="s">
        <v>418</v>
      </c>
      <c r="H224" t="s">
        <v>993</v>
      </c>
      <c r="I224" t="s">
        <v>15</v>
      </c>
      <c r="J224" t="s">
        <v>21</v>
      </c>
      <c r="K224" t="s">
        <v>22</v>
      </c>
      <c r="L224">
        <f>BDP($H224,"BICS_LEVEL_1_SECTOR_NAME")</f>
        <v/>
      </c>
      <c r="M224">
        <f>BDP($H224,"BICS_LEVEL_3_INDUSTRY_NAME")</f>
        <v/>
      </c>
    </row>
    <row r="225" spans="1:13">
      <c r="A225" t="s">
        <v>994</v>
      </c>
      <c r="B225" t="s">
        <v>14</v>
      </c>
      <c r="C225" t="s">
        <v>15</v>
      </c>
      <c r="D225" t="s">
        <v>995</v>
      </c>
      <c r="E225" t="s">
        <v>996</v>
      </c>
      <c r="F225" t="s">
        <v>50</v>
      </c>
      <c r="G225" t="s">
        <v>997</v>
      </c>
      <c r="H225" t="s">
        <v>998</v>
      </c>
      <c r="I225" t="s">
        <v>15</v>
      </c>
      <c r="J225" t="s">
        <v>21</v>
      </c>
      <c r="K225" t="s">
        <v>22</v>
      </c>
      <c r="L225">
        <f>BDP($H225,"BICS_LEVEL_1_SECTOR_NAME")</f>
        <v/>
      </c>
      <c r="M225">
        <f>BDP($H225,"BICS_LEVEL_3_INDUSTRY_NAME")</f>
        <v/>
      </c>
    </row>
    <row r="226" spans="1:13">
      <c r="A226" t="s">
        <v>999</v>
      </c>
      <c r="B226" t="s">
        <v>14</v>
      </c>
      <c r="C226" t="s">
        <v>15</v>
      </c>
      <c r="D226" t="s">
        <v>1000</v>
      </c>
      <c r="E226" t="s">
        <v>1001</v>
      </c>
      <c r="F226" t="s">
        <v>50</v>
      </c>
      <c r="G226" t="s">
        <v>997</v>
      </c>
      <c r="H226" t="s">
        <v>1002</v>
      </c>
      <c r="I226" t="s">
        <v>15</v>
      </c>
      <c r="J226" t="s">
        <v>21</v>
      </c>
      <c r="K226" t="s">
        <v>22</v>
      </c>
      <c r="L226">
        <f>BDP($H226,"BICS_LEVEL_1_SECTOR_NAME")</f>
        <v/>
      </c>
      <c r="M226">
        <f>BDP($H226,"BICS_LEVEL_3_INDUSTRY_NAME")</f>
        <v/>
      </c>
    </row>
    <row r="227" spans="1:13">
      <c r="A227" t="s">
        <v>1003</v>
      </c>
      <c r="B227" t="s">
        <v>14</v>
      </c>
      <c r="C227" t="s">
        <v>15</v>
      </c>
      <c r="D227" t="s">
        <v>1004</v>
      </c>
      <c r="E227" t="s">
        <v>1005</v>
      </c>
      <c r="F227" t="s">
        <v>50</v>
      </c>
      <c r="G227" t="s">
        <v>1006</v>
      </c>
      <c r="H227" t="s">
        <v>1007</v>
      </c>
      <c r="I227" t="s">
        <v>15</v>
      </c>
      <c r="J227" t="s">
        <v>21</v>
      </c>
      <c r="K227" t="s">
        <v>22</v>
      </c>
      <c r="L227">
        <f>BDP($H227,"BICS_LEVEL_1_SECTOR_NAME")</f>
        <v/>
      </c>
      <c r="M227">
        <f>BDP($H227,"BICS_LEVEL_3_INDUSTRY_NAME")</f>
        <v/>
      </c>
    </row>
    <row r="228" spans="1:13">
      <c r="A228" t="s">
        <v>1008</v>
      </c>
      <c r="B228" t="s">
        <v>14</v>
      </c>
      <c r="C228" t="s">
        <v>15</v>
      </c>
      <c r="D228" t="s">
        <v>1009</v>
      </c>
      <c r="E228" t="s">
        <v>1010</v>
      </c>
      <c r="F228" t="s">
        <v>18</v>
      </c>
      <c r="G228" t="s">
        <v>79</v>
      </c>
      <c r="H228" t="s">
        <v>1011</v>
      </c>
      <c r="I228" t="s">
        <v>15</v>
      </c>
      <c r="J228" t="s">
        <v>21</v>
      </c>
      <c r="K228" t="s">
        <v>22</v>
      </c>
      <c r="L228">
        <f>BDP($H228,"BICS_LEVEL_1_SECTOR_NAME")</f>
        <v/>
      </c>
      <c r="M228">
        <f>BDP($H228,"BICS_LEVEL_3_INDUSTRY_NAME")</f>
        <v/>
      </c>
    </row>
    <row r="229" spans="1:13">
      <c r="A229" t="s">
        <v>1012</v>
      </c>
      <c r="B229" t="s">
        <v>14</v>
      </c>
      <c r="C229" t="s">
        <v>15</v>
      </c>
      <c r="D229" t="s">
        <v>1013</v>
      </c>
      <c r="E229" t="s">
        <v>1014</v>
      </c>
      <c r="F229" t="s">
        <v>44</v>
      </c>
      <c r="G229" t="s">
        <v>375</v>
      </c>
      <c r="H229" t="s">
        <v>1015</v>
      </c>
      <c r="I229" t="s">
        <v>15</v>
      </c>
      <c r="J229" t="s">
        <v>21</v>
      </c>
      <c r="K229" t="s">
        <v>22</v>
      </c>
      <c r="L229">
        <f>BDP($H229,"BICS_LEVEL_1_SECTOR_NAME")</f>
        <v/>
      </c>
      <c r="M229">
        <f>BDP($H229,"BICS_LEVEL_3_INDUSTRY_NAME")</f>
        <v/>
      </c>
    </row>
    <row r="230" spans="1:13">
      <c r="A230" t="s">
        <v>1016</v>
      </c>
      <c r="B230" t="s">
        <v>14</v>
      </c>
      <c r="C230" t="s">
        <v>15</v>
      </c>
      <c r="D230" t="s">
        <v>1017</v>
      </c>
      <c r="E230" t="s">
        <v>1018</v>
      </c>
      <c r="F230" t="s">
        <v>34</v>
      </c>
      <c r="G230" t="s">
        <v>112</v>
      </c>
      <c r="H230" t="s">
        <v>1019</v>
      </c>
      <c r="I230" t="s">
        <v>15</v>
      </c>
      <c r="J230" t="s">
        <v>21</v>
      </c>
      <c r="K230" t="s">
        <v>22</v>
      </c>
      <c r="L230">
        <f>BDP($H230,"BICS_LEVEL_1_SECTOR_NAME")</f>
        <v/>
      </c>
      <c r="M230">
        <f>BDP($H230,"BICS_LEVEL_3_INDUSTRY_NAME")</f>
        <v/>
      </c>
    </row>
    <row r="231" spans="1:13">
      <c r="A231" t="s">
        <v>1020</v>
      </c>
      <c r="B231" t="s">
        <v>14</v>
      </c>
      <c r="C231" t="s">
        <v>15</v>
      </c>
      <c r="D231" t="s">
        <v>1021</v>
      </c>
      <c r="E231" t="s">
        <v>1022</v>
      </c>
      <c r="F231" t="s">
        <v>34</v>
      </c>
      <c r="G231" t="s">
        <v>112</v>
      </c>
      <c r="H231" t="s">
        <v>1023</v>
      </c>
      <c r="I231" t="s">
        <v>15</v>
      </c>
      <c r="J231" t="s">
        <v>21</v>
      </c>
      <c r="K231" t="s">
        <v>22</v>
      </c>
      <c r="L231">
        <f>BDP($H231,"BICS_LEVEL_1_SECTOR_NAME")</f>
        <v/>
      </c>
      <c r="M231">
        <f>BDP($H231,"BICS_LEVEL_3_INDUSTRY_NAME")</f>
        <v/>
      </c>
    </row>
    <row r="232" spans="1:13">
      <c r="A232" t="s">
        <v>1024</v>
      </c>
      <c r="B232" t="s">
        <v>14</v>
      </c>
      <c r="C232" t="s">
        <v>15</v>
      </c>
      <c r="D232" t="s">
        <v>1025</v>
      </c>
      <c r="E232" t="s">
        <v>1026</v>
      </c>
      <c r="F232" t="s">
        <v>50</v>
      </c>
      <c r="G232" t="s">
        <v>840</v>
      </c>
      <c r="H232" t="s">
        <v>1027</v>
      </c>
      <c r="I232" t="s">
        <v>15</v>
      </c>
      <c r="J232" t="s">
        <v>21</v>
      </c>
      <c r="K232" t="s">
        <v>22</v>
      </c>
      <c r="L232">
        <f>BDP($H232,"BICS_LEVEL_1_SECTOR_NAME")</f>
        <v/>
      </c>
      <c r="M232">
        <f>BDP($H232,"BICS_LEVEL_3_INDUSTRY_NAME")</f>
        <v/>
      </c>
    </row>
    <row r="233" spans="1:13">
      <c r="A233" t="s">
        <v>1028</v>
      </c>
      <c r="B233" t="s">
        <v>14</v>
      </c>
      <c r="C233" t="s">
        <v>15</v>
      </c>
      <c r="D233" t="s">
        <v>1029</v>
      </c>
      <c r="E233" t="s">
        <v>1030</v>
      </c>
      <c r="F233" t="s">
        <v>34</v>
      </c>
      <c r="G233" t="s">
        <v>581</v>
      </c>
      <c r="H233" t="s">
        <v>1031</v>
      </c>
      <c r="I233" t="s">
        <v>15</v>
      </c>
      <c r="J233" t="s">
        <v>21</v>
      </c>
      <c r="K233" t="s">
        <v>22</v>
      </c>
      <c r="L233">
        <f>BDP($H233,"BICS_LEVEL_1_SECTOR_NAME")</f>
        <v/>
      </c>
      <c r="M233">
        <f>BDP($H233,"BICS_LEVEL_3_INDUSTRY_NAME")</f>
        <v/>
      </c>
    </row>
    <row r="234" spans="1:13">
      <c r="A234" t="s">
        <v>1032</v>
      </c>
      <c r="B234" t="s">
        <v>14</v>
      </c>
      <c r="C234" t="s">
        <v>15</v>
      </c>
      <c r="D234" t="s">
        <v>1033</v>
      </c>
      <c r="E234" t="s">
        <v>1034</v>
      </c>
      <c r="F234" t="s">
        <v>506</v>
      </c>
      <c r="G234" t="s">
        <v>507</v>
      </c>
      <c r="H234" t="s">
        <v>1035</v>
      </c>
      <c r="I234" t="s">
        <v>15</v>
      </c>
      <c r="J234" t="s">
        <v>21</v>
      </c>
      <c r="K234" t="s">
        <v>22</v>
      </c>
      <c r="L234">
        <f>BDP($H234,"BICS_LEVEL_1_SECTOR_NAME")</f>
        <v/>
      </c>
      <c r="M234">
        <f>BDP($H234,"BICS_LEVEL_3_INDUSTRY_NAME")</f>
        <v/>
      </c>
    </row>
    <row r="235" spans="1:13">
      <c r="A235" t="s">
        <v>1036</v>
      </c>
      <c r="B235" t="s">
        <v>14</v>
      </c>
      <c r="C235" t="s">
        <v>15</v>
      </c>
      <c r="D235" t="s">
        <v>1037</v>
      </c>
      <c r="E235" t="s">
        <v>1038</v>
      </c>
      <c r="F235" t="s">
        <v>18</v>
      </c>
      <c r="G235" t="s">
        <v>731</v>
      </c>
      <c r="H235" t="s">
        <v>1039</v>
      </c>
      <c r="I235" t="s">
        <v>15</v>
      </c>
      <c r="J235" t="s">
        <v>21</v>
      </c>
      <c r="K235" t="s">
        <v>22</v>
      </c>
      <c r="L235">
        <f>BDP($H235,"BICS_LEVEL_1_SECTOR_NAME")</f>
        <v/>
      </c>
      <c r="M235">
        <f>BDP($H235,"BICS_LEVEL_3_INDUSTRY_NAME")</f>
        <v/>
      </c>
    </row>
    <row r="236" spans="1:13">
      <c r="A236" t="s">
        <v>1040</v>
      </c>
      <c r="B236" t="s">
        <v>14</v>
      </c>
      <c r="C236" t="s">
        <v>15</v>
      </c>
      <c r="D236" t="s">
        <v>1041</v>
      </c>
      <c r="E236" t="s">
        <v>1042</v>
      </c>
      <c r="F236" t="s">
        <v>44</v>
      </c>
      <c r="G236" t="s">
        <v>188</v>
      </c>
      <c r="H236" t="s">
        <v>1043</v>
      </c>
      <c r="I236" t="s">
        <v>15</v>
      </c>
      <c r="J236" t="s">
        <v>21</v>
      </c>
      <c r="K236" t="s">
        <v>22</v>
      </c>
      <c r="L236">
        <f>BDP($H236,"BICS_LEVEL_1_SECTOR_NAME")</f>
        <v/>
      </c>
      <c r="M236">
        <f>BDP($H236,"BICS_LEVEL_3_INDUSTRY_NAME")</f>
        <v/>
      </c>
    </row>
    <row r="237" spans="1:13">
      <c r="A237" t="s">
        <v>1044</v>
      </c>
      <c r="B237" t="s">
        <v>14</v>
      </c>
      <c r="C237" t="s">
        <v>15</v>
      </c>
      <c r="D237" t="s">
        <v>1045</v>
      </c>
      <c r="E237" t="s">
        <v>1046</v>
      </c>
      <c r="F237" t="s">
        <v>34</v>
      </c>
      <c r="G237" t="s">
        <v>35</v>
      </c>
      <c r="H237" t="s">
        <v>1047</v>
      </c>
      <c r="I237" t="s">
        <v>15</v>
      </c>
      <c r="J237" t="s">
        <v>21</v>
      </c>
      <c r="K237" t="s">
        <v>22</v>
      </c>
      <c r="L237">
        <f>BDP($H237,"BICS_LEVEL_1_SECTOR_NAME")</f>
        <v/>
      </c>
      <c r="M237">
        <f>BDP($H237,"BICS_LEVEL_3_INDUSTRY_NAME")</f>
        <v/>
      </c>
    </row>
    <row r="238" spans="1:13">
      <c r="A238" t="s">
        <v>1048</v>
      </c>
      <c r="B238" t="s">
        <v>14</v>
      </c>
      <c r="C238" t="s">
        <v>15</v>
      </c>
      <c r="D238" t="s">
        <v>1049</v>
      </c>
      <c r="E238" t="s">
        <v>1050</v>
      </c>
      <c r="F238" t="s">
        <v>50</v>
      </c>
      <c r="G238" t="s">
        <v>449</v>
      </c>
      <c r="H238" t="s">
        <v>1051</v>
      </c>
      <c r="I238" t="s">
        <v>15</v>
      </c>
      <c r="J238" t="s">
        <v>21</v>
      </c>
      <c r="K238" t="s">
        <v>22</v>
      </c>
      <c r="L238">
        <f>BDP($H238,"BICS_LEVEL_1_SECTOR_NAME")</f>
        <v/>
      </c>
      <c r="M238">
        <f>BDP($H238,"BICS_LEVEL_3_INDUSTRY_NAME")</f>
        <v/>
      </c>
    </row>
    <row r="239" spans="1:13">
      <c r="A239" t="s">
        <v>1052</v>
      </c>
      <c r="B239" t="s">
        <v>14</v>
      </c>
      <c r="C239" t="s">
        <v>15</v>
      </c>
      <c r="D239" t="s">
        <v>1053</v>
      </c>
      <c r="E239" t="s">
        <v>1054</v>
      </c>
      <c r="F239" t="s">
        <v>50</v>
      </c>
      <c r="G239" t="s">
        <v>997</v>
      </c>
      <c r="H239" t="s">
        <v>1055</v>
      </c>
      <c r="I239" t="s">
        <v>15</v>
      </c>
      <c r="J239" t="s">
        <v>21</v>
      </c>
      <c r="K239" t="s">
        <v>22</v>
      </c>
      <c r="L239">
        <f>BDP($H239,"BICS_LEVEL_1_SECTOR_NAME")</f>
        <v/>
      </c>
      <c r="M239">
        <f>BDP($H239,"BICS_LEVEL_3_INDUSTRY_NAME")</f>
        <v/>
      </c>
    </row>
    <row r="240" spans="1:13">
      <c r="A240" t="s">
        <v>1056</v>
      </c>
      <c r="B240" t="s">
        <v>14</v>
      </c>
      <c r="C240" t="s">
        <v>15</v>
      </c>
      <c r="D240" t="s">
        <v>1057</v>
      </c>
      <c r="E240" t="s">
        <v>1058</v>
      </c>
      <c r="F240" t="s">
        <v>34</v>
      </c>
      <c r="G240" t="s">
        <v>475</v>
      </c>
      <c r="H240" t="s">
        <v>1059</v>
      </c>
      <c r="I240" t="s">
        <v>15</v>
      </c>
      <c r="J240" t="s">
        <v>21</v>
      </c>
      <c r="K240" t="s">
        <v>22</v>
      </c>
      <c r="L240">
        <f>BDP($H240,"BICS_LEVEL_1_SECTOR_NAME")</f>
        <v/>
      </c>
      <c r="M240">
        <f>BDP($H240,"BICS_LEVEL_3_INDUSTRY_NAME")</f>
        <v/>
      </c>
    </row>
    <row r="241" spans="1:13">
      <c r="A241" t="s">
        <v>1060</v>
      </c>
      <c r="B241" t="s">
        <v>14</v>
      </c>
      <c r="C241" t="s">
        <v>15</v>
      </c>
      <c r="D241" t="s">
        <v>1061</v>
      </c>
      <c r="E241" t="s">
        <v>1062</v>
      </c>
      <c r="F241" t="s">
        <v>34</v>
      </c>
      <c r="G241" t="s">
        <v>475</v>
      </c>
      <c r="H241" t="s">
        <v>1063</v>
      </c>
      <c r="I241" t="s">
        <v>15</v>
      </c>
      <c r="J241" t="s">
        <v>21</v>
      </c>
      <c r="K241" t="s">
        <v>22</v>
      </c>
      <c r="L241">
        <f>BDP($H241,"BICS_LEVEL_1_SECTOR_NAME")</f>
        <v/>
      </c>
      <c r="M241">
        <f>BDP($H241,"BICS_LEVEL_3_INDUSTRY_NAME")</f>
        <v/>
      </c>
    </row>
    <row r="242" spans="1:13">
      <c r="A242" t="s">
        <v>1064</v>
      </c>
      <c r="B242" t="s">
        <v>14</v>
      </c>
      <c r="C242" t="s">
        <v>15</v>
      </c>
      <c r="D242" t="s">
        <v>1065</v>
      </c>
      <c r="E242" t="s">
        <v>1066</v>
      </c>
      <c r="F242" t="s">
        <v>50</v>
      </c>
      <c r="G242" t="s">
        <v>507</v>
      </c>
      <c r="H242" t="s">
        <v>1067</v>
      </c>
      <c r="I242" t="s">
        <v>15</v>
      </c>
      <c r="J242" t="s">
        <v>21</v>
      </c>
      <c r="K242" t="s">
        <v>22</v>
      </c>
      <c r="L242">
        <f>BDP($H242,"BICS_LEVEL_1_SECTOR_NAME")</f>
        <v/>
      </c>
      <c r="M242">
        <f>BDP($H242,"BICS_LEVEL_3_INDUSTRY_NAME")</f>
        <v/>
      </c>
    </row>
    <row r="243" spans="1:13">
      <c r="A243" t="s">
        <v>1068</v>
      </c>
      <c r="B243" t="s">
        <v>14</v>
      </c>
      <c r="C243" t="s">
        <v>15</v>
      </c>
      <c r="D243" t="s">
        <v>1069</v>
      </c>
      <c r="E243" t="s">
        <v>1070</v>
      </c>
      <c r="F243" t="s">
        <v>34</v>
      </c>
      <c r="G243" t="s">
        <v>179</v>
      </c>
      <c r="H243" t="s">
        <v>1071</v>
      </c>
      <c r="I243" t="s">
        <v>15</v>
      </c>
      <c r="J243" t="s">
        <v>21</v>
      </c>
      <c r="K243" t="s">
        <v>22</v>
      </c>
      <c r="L243">
        <f>BDP($H243,"BICS_LEVEL_1_SECTOR_NAME")</f>
        <v/>
      </c>
      <c r="M243">
        <f>BDP($H243,"BICS_LEVEL_3_INDUSTRY_NAME")</f>
        <v/>
      </c>
    </row>
    <row r="244" spans="1:13">
      <c r="A244" t="s">
        <v>1072</v>
      </c>
      <c r="B244" t="s">
        <v>14</v>
      </c>
      <c r="C244" t="s">
        <v>15</v>
      </c>
      <c r="D244" t="s">
        <v>1073</v>
      </c>
      <c r="E244" t="s">
        <v>1074</v>
      </c>
      <c r="F244" t="s">
        <v>34</v>
      </c>
      <c r="G244" t="s">
        <v>35</v>
      </c>
      <c r="H244" t="s">
        <v>1075</v>
      </c>
      <c r="I244" t="s">
        <v>15</v>
      </c>
      <c r="J244" t="s">
        <v>21</v>
      </c>
      <c r="K244" t="s">
        <v>22</v>
      </c>
      <c r="L244">
        <f>BDP($H244,"BICS_LEVEL_1_SECTOR_NAME")</f>
        <v/>
      </c>
      <c r="M244">
        <f>BDP($H244,"BICS_LEVEL_3_INDUSTRY_NAME")</f>
        <v/>
      </c>
    </row>
    <row r="245" spans="1:13">
      <c r="A245" t="s">
        <v>1076</v>
      </c>
      <c r="B245" t="s">
        <v>14</v>
      </c>
      <c r="C245" t="s">
        <v>15</v>
      </c>
      <c r="D245" t="s">
        <v>1077</v>
      </c>
      <c r="E245" t="s">
        <v>1078</v>
      </c>
      <c r="F245" t="s">
        <v>18</v>
      </c>
      <c r="G245" t="s">
        <v>19</v>
      </c>
      <c r="H245" t="s">
        <v>1079</v>
      </c>
      <c r="I245" t="s">
        <v>15</v>
      </c>
      <c r="J245" t="s">
        <v>21</v>
      </c>
      <c r="K245" t="s">
        <v>22</v>
      </c>
      <c r="L245">
        <f>BDP($H245,"BICS_LEVEL_1_SECTOR_NAME")</f>
        <v/>
      </c>
      <c r="M245">
        <f>BDP($H245,"BICS_LEVEL_3_INDUSTRY_NAME")</f>
        <v/>
      </c>
    </row>
    <row r="246" spans="1:13">
      <c r="A246" t="s">
        <v>1080</v>
      </c>
      <c r="B246" t="s">
        <v>14</v>
      </c>
      <c r="C246" t="s">
        <v>15</v>
      </c>
      <c r="D246" t="s">
        <v>1081</v>
      </c>
      <c r="E246" t="s">
        <v>1082</v>
      </c>
      <c r="F246" t="s">
        <v>18</v>
      </c>
      <c r="G246" t="s">
        <v>507</v>
      </c>
      <c r="H246" t="s">
        <v>1083</v>
      </c>
      <c r="I246" t="s">
        <v>15</v>
      </c>
      <c r="J246" t="s">
        <v>21</v>
      </c>
      <c r="K246" t="s">
        <v>22</v>
      </c>
      <c r="L246">
        <f>BDP($H246,"BICS_LEVEL_1_SECTOR_NAME")</f>
        <v/>
      </c>
      <c r="M246">
        <f>BDP($H246,"BICS_LEVEL_3_INDUSTRY_NAME")</f>
        <v/>
      </c>
    </row>
    <row r="247" spans="1:13">
      <c r="A247" t="s">
        <v>1084</v>
      </c>
      <c r="B247" t="s">
        <v>14</v>
      </c>
      <c r="C247" t="s">
        <v>15</v>
      </c>
      <c r="D247" t="s">
        <v>1085</v>
      </c>
      <c r="E247" t="s">
        <v>1086</v>
      </c>
      <c r="F247" t="s">
        <v>34</v>
      </c>
      <c r="G247" t="s">
        <v>290</v>
      </c>
      <c r="H247" t="s">
        <v>1087</v>
      </c>
      <c r="I247" t="s">
        <v>15</v>
      </c>
      <c r="J247" t="s">
        <v>21</v>
      </c>
      <c r="K247" t="s">
        <v>22</v>
      </c>
      <c r="L247">
        <f>BDP($H247,"BICS_LEVEL_1_SECTOR_NAME")</f>
        <v/>
      </c>
      <c r="M247">
        <f>BDP($H247,"BICS_LEVEL_3_INDUSTRY_NAME")</f>
        <v/>
      </c>
    </row>
    <row r="248" spans="1:13">
      <c r="A248" t="s">
        <v>1088</v>
      </c>
      <c r="B248" t="s">
        <v>14</v>
      </c>
      <c r="C248" t="s">
        <v>15</v>
      </c>
      <c r="D248" t="s">
        <v>1089</v>
      </c>
      <c r="E248" t="s">
        <v>1090</v>
      </c>
      <c r="F248" t="s">
        <v>44</v>
      </c>
      <c r="G248" t="s">
        <v>65</v>
      </c>
      <c r="H248" t="s">
        <v>1091</v>
      </c>
      <c r="I248" t="s">
        <v>15</v>
      </c>
      <c r="J248" t="s">
        <v>21</v>
      </c>
      <c r="K248" t="s">
        <v>22</v>
      </c>
      <c r="L248">
        <f>BDP($H248,"BICS_LEVEL_1_SECTOR_NAME")</f>
        <v/>
      </c>
      <c r="M248">
        <f>BDP($H248,"BICS_LEVEL_3_INDUSTRY_NAME")</f>
        <v/>
      </c>
    </row>
    <row r="249" spans="1:13">
      <c r="A249" t="s">
        <v>1092</v>
      </c>
      <c r="B249" t="s">
        <v>14</v>
      </c>
      <c r="C249" t="s">
        <v>15</v>
      </c>
      <c r="D249" t="s">
        <v>1093</v>
      </c>
      <c r="E249" t="s">
        <v>1094</v>
      </c>
      <c r="F249" t="s">
        <v>34</v>
      </c>
      <c r="G249" t="s">
        <v>35</v>
      </c>
      <c r="H249" t="s">
        <v>1095</v>
      </c>
      <c r="I249" t="s">
        <v>15</v>
      </c>
      <c r="J249" t="s">
        <v>21</v>
      </c>
      <c r="K249" t="s">
        <v>22</v>
      </c>
      <c r="L249">
        <f>BDP($H249,"BICS_LEVEL_1_SECTOR_NAME")</f>
        <v/>
      </c>
      <c r="M249">
        <f>BDP($H249,"BICS_LEVEL_3_INDUSTRY_NAME")</f>
        <v/>
      </c>
    </row>
    <row r="250" spans="1:13">
      <c r="A250" t="s">
        <v>1096</v>
      </c>
      <c r="B250" t="s">
        <v>14</v>
      </c>
      <c r="C250" t="s">
        <v>15</v>
      </c>
      <c r="D250" t="s">
        <v>1097</v>
      </c>
      <c r="E250" t="s">
        <v>1098</v>
      </c>
      <c r="F250" t="s">
        <v>50</v>
      </c>
      <c r="G250" t="s">
        <v>1099</v>
      </c>
      <c r="H250" t="s">
        <v>1100</v>
      </c>
      <c r="I250" t="s">
        <v>15</v>
      </c>
      <c r="J250" t="s">
        <v>21</v>
      </c>
      <c r="K250" t="s">
        <v>22</v>
      </c>
      <c r="L250">
        <f>BDP($H250,"BICS_LEVEL_1_SECTOR_NAME")</f>
        <v/>
      </c>
      <c r="M250">
        <f>BDP($H250,"BICS_LEVEL_3_INDUSTRY_NAME")</f>
        <v/>
      </c>
    </row>
    <row r="251" spans="1:13">
      <c r="A251" t="s">
        <v>1101</v>
      </c>
      <c r="B251" t="s">
        <v>14</v>
      </c>
      <c r="C251" t="s">
        <v>15</v>
      </c>
      <c r="D251" t="s">
        <v>1102</v>
      </c>
      <c r="E251" t="s">
        <v>1103</v>
      </c>
      <c r="F251" t="s">
        <v>18</v>
      </c>
      <c r="G251" t="s">
        <v>295</v>
      </c>
      <c r="H251" t="s">
        <v>1104</v>
      </c>
      <c r="I251" t="s">
        <v>15</v>
      </c>
      <c r="J251" t="s">
        <v>21</v>
      </c>
      <c r="K251" t="s">
        <v>22</v>
      </c>
      <c r="L251">
        <f>BDP($H251,"BICS_LEVEL_1_SECTOR_NAME")</f>
        <v/>
      </c>
      <c r="M251">
        <f>BDP($H251,"BICS_LEVEL_3_INDUSTRY_NAME")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BDH("MIDD US Equity","BS_TOT_ASSET","1993-06-18","2026-05-02","Per=Y","Days=T","Dir=V")</f>
        <v>0</v>
      </c>
      <c r="C2">
        <f>BDH("MIDD US Equity","BS_TOT_LIAB2","1993-06-18","2026-05-02","Per=Y","Days=T","Dir=V")</f>
        <v>0</v>
      </c>
      <c r="E2">
        <f>BDH("MIDD US Equity","SHORT_AND_LONG_TERM_DEBT","1993-06-18","2026-05-02","Per=Y","Days=T","Dir=V")</f>
        <v>0</v>
      </c>
      <c r="G2">
        <f>BDH("MIDD US Equity","BS_ST_BORROW","1993-06-18","2026-05-02","Per=Y","Days=T","Dir=V")</f>
        <v>0</v>
      </c>
      <c r="I2">
        <f>BDH("MIDD US Equity","BS_LT_BORROW","1993-06-18","2026-05-02","Per=Y","Days=T","Dir=V")</f>
        <v>0</v>
      </c>
      <c r="K2">
        <f>BDH("MIDD US Equity","BS_CASH_NEAR_CASH_ITEM","1993-06-18","2026-05-02","Per=Y","Days=T","Dir=V")</f>
        <v>0</v>
      </c>
      <c r="M2">
        <f>BDH("MIDD US Equity","BS_CUR_ASSET_REPORT","1993-06-18","2026-05-02","Per=Y","Days=T","Dir=V")</f>
        <v>0</v>
      </c>
      <c r="O2">
        <f>BDH("MIDD US Equity","BS_CUR_LIAB","1993-06-18","2026-05-02","Per=Y","Days=T","Dir=V")</f>
        <v>0</v>
      </c>
      <c r="Q2">
        <f>BDH("MIDD US Equity","BS_SHAREHOLDER_EQY_ENDING_PERIOD","1993-06-18","2026-05-02","Per=Y","Days=T","Dir=V")</f>
        <v>0</v>
      </c>
      <c r="S2">
        <f>BDH("MIDD US Equity","BS_ACCT_NOTE_RCV","1993-06-18","2026-05-02","Per=Y","Days=T","Dir=V")</f>
        <v>0</v>
      </c>
      <c r="U2">
        <f>BDH("MIDD US Equity","BS_INVENTORIES","1993-06-18","2026-05-02","Per=Y","Days=T","Dir=V")</f>
        <v>0</v>
      </c>
      <c r="W2">
        <f>BDH("MIDD US Equity","WORKING_CAPITAL","1993-06-18","2026-05-02","Per=Y","Days=T","Dir=V")</f>
        <v>0</v>
      </c>
      <c r="Y2">
        <f>BDH("MIDD US Equity","SALES_REV_TURN","1993-06-18","2026-05-02","Per=Y","Days=T","Dir=V")</f>
        <v>0</v>
      </c>
      <c r="AA2">
        <f>BDH("MIDD US Equity","EBIT","1993-06-18","2026-05-02","Per=Y","Days=T","Dir=V")</f>
        <v>0</v>
      </c>
      <c r="AC2">
        <f>BDH("MIDD US Equity","EBITDA","1993-06-18","2026-05-02","Per=Y","Days=T","Dir=V")</f>
        <v>0</v>
      </c>
      <c r="AE2">
        <f>BDH("MIDD US Equity","NET_INCOME","1993-06-18","2026-05-02","Per=Y","Days=T","Dir=V")</f>
        <v>0</v>
      </c>
      <c r="AG2">
        <f>BDH("MIDD US Equity","IS_INT_EXPENSE","1993-06-18","2026-05-02","Per=Y","Days=T","Dir=V")</f>
        <v>0</v>
      </c>
      <c r="AI2">
        <f>BDH("MIDD US Equity","IS_DEPR_EXP","1993-06-18","2026-05-02","Per=Y","Days=T","Dir=V")</f>
        <v>0</v>
      </c>
      <c r="AK2">
        <f>BDH("MIDD US Equity","CF_CASH_FROM_OPER","1993-06-18","2026-05-02","Per=Y","Days=T","Dir=V")</f>
        <v>0</v>
      </c>
      <c r="AM2">
        <f>BDH("MIDD US Equity","CAPITAL_EXPEND","1993-06-18","2026-05-02","Per=Y","Days=T","Dir=V")</f>
        <v>0</v>
      </c>
      <c r="AO2">
        <f>BDH("MIDD US Equity","CF_FREE_CASH_FLOW","1993-06-18","2026-05-02","Per=Y","Days=T","Dir=V")</f>
        <v>0</v>
      </c>
      <c r="AQ2">
        <f>BDH("MIDD US Equity","PX_LAST","1993-06-18","2026-05-02","Per=M","Days=T","Dir=V")</f>
        <v>0</v>
      </c>
      <c r="AS2">
        <f>BDH("MIDD US Equity","CUR_MKT_CAP","1993-06-18","2026-05-02","Per=M","Days=T","Dir=V")</f>
        <v>0</v>
      </c>
      <c r="AU2">
        <f>BDH("MIDD US Equity","EQY_SH_OUT","1993-06-18","2026-05-02","Per=M","Days=T","Dir=V")</f>
        <v>0</v>
      </c>
      <c r="AW2">
        <f>BDH("MIDD US Equity","PX_VOLUME","1993-06-18","2026-05-02","Per=M","Days=T","Dir=V")</f>
        <v>0</v>
      </c>
      <c r="AY2">
        <f>BDH("MIDD US Equity","TURNOVER","1993-06-18","2026-05-02","Per=M","Days=T","Dir=V")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BDH("MIND US Equity","BS_TOT_ASSET","1993-06-18","2026-05-02","Per=Y","Days=T","Dir=V")</f>
        <v>0</v>
      </c>
      <c r="C2">
        <f>BDH("MIND US Equity","BS_TOT_LIAB2","1993-06-18","2026-05-02","Per=Y","Days=T","Dir=V")</f>
        <v>0</v>
      </c>
      <c r="E2">
        <f>BDH("MIND US Equity","SHORT_AND_LONG_TERM_DEBT","1993-06-18","2026-05-02","Per=Y","Days=T","Dir=V")</f>
        <v>0</v>
      </c>
      <c r="G2">
        <f>BDH("MIND US Equity","BS_ST_BORROW","1993-06-18","2026-05-02","Per=Y","Days=T","Dir=V")</f>
        <v>0</v>
      </c>
      <c r="I2">
        <f>BDH("MIND US Equity","BS_LT_BORROW","1993-06-18","2026-05-02","Per=Y","Days=T","Dir=V")</f>
        <v>0</v>
      </c>
      <c r="K2">
        <f>BDH("MIND US Equity","BS_CASH_NEAR_CASH_ITEM","1993-06-18","2026-05-02","Per=Y","Days=T","Dir=V")</f>
        <v>0</v>
      </c>
      <c r="M2">
        <f>BDH("MIND US Equity","BS_CUR_ASSET_REPORT","1993-06-18","2026-05-02","Per=Y","Days=T","Dir=V")</f>
        <v>0</v>
      </c>
      <c r="O2">
        <f>BDH("MIND US Equity","BS_CUR_LIAB","1993-06-18","2026-05-02","Per=Y","Days=T","Dir=V")</f>
        <v>0</v>
      </c>
      <c r="Q2">
        <f>BDH("MIND US Equity","BS_SHAREHOLDER_EQY_ENDING_PERIOD","1993-06-18","2026-05-02","Per=Y","Days=T","Dir=V")</f>
        <v>0</v>
      </c>
      <c r="S2">
        <f>BDH("MIND US Equity","BS_ACCT_NOTE_RCV","1993-06-18","2026-05-02","Per=Y","Days=T","Dir=V")</f>
        <v>0</v>
      </c>
      <c r="U2">
        <f>BDH("MIND US Equity","BS_INVENTORIES","1993-06-18","2026-05-02","Per=Y","Days=T","Dir=V")</f>
        <v>0</v>
      </c>
      <c r="W2">
        <f>BDH("MIND US Equity","WORKING_CAPITAL","1993-06-18","2026-05-02","Per=Y","Days=T","Dir=V")</f>
        <v>0</v>
      </c>
      <c r="Y2">
        <f>BDH("MIND US Equity","SALES_REV_TURN","1993-06-18","2026-05-02","Per=Y","Days=T","Dir=V")</f>
        <v>0</v>
      </c>
      <c r="AA2">
        <f>BDH("MIND US Equity","EBIT","1993-06-18","2026-05-02","Per=Y","Days=T","Dir=V")</f>
        <v>0</v>
      </c>
      <c r="AC2">
        <f>BDH("MIND US Equity","EBITDA","1993-06-18","2026-05-02","Per=Y","Days=T","Dir=V")</f>
        <v>0</v>
      </c>
      <c r="AE2">
        <f>BDH("MIND US Equity","NET_INCOME","1993-06-18","2026-05-02","Per=Y","Days=T","Dir=V")</f>
        <v>0</v>
      </c>
      <c r="AG2">
        <f>BDH("MIND US Equity","IS_INT_EXPENSE","1993-06-18","2026-05-02","Per=Y","Days=T","Dir=V")</f>
        <v>0</v>
      </c>
      <c r="AI2">
        <f>BDH("MIND US Equity","IS_DEPR_EXP","1993-06-18","2026-05-02","Per=Y","Days=T","Dir=V")</f>
        <v>0</v>
      </c>
      <c r="AK2">
        <f>BDH("MIND US Equity","CF_CASH_FROM_OPER","1993-06-18","2026-05-02","Per=Y","Days=T","Dir=V")</f>
        <v>0</v>
      </c>
      <c r="AM2">
        <f>BDH("MIND US Equity","CAPITAL_EXPEND","1993-06-18","2026-05-02","Per=Y","Days=T","Dir=V")</f>
        <v>0</v>
      </c>
      <c r="AO2">
        <f>BDH("MIND US Equity","CF_FREE_CASH_FLOW","1993-06-18","2026-05-02","Per=Y","Days=T","Dir=V")</f>
        <v>0</v>
      </c>
      <c r="AQ2">
        <f>BDH("MIND US Equity","PX_LAST","1993-06-18","2026-05-02","Per=M","Days=T","Dir=V")</f>
        <v>0</v>
      </c>
      <c r="AS2">
        <f>BDH("MIND US Equity","CUR_MKT_CAP","1993-06-18","2026-05-02","Per=M","Days=T","Dir=V")</f>
        <v>0</v>
      </c>
      <c r="AU2">
        <f>BDH("MIND US Equity","EQY_SH_OUT","1993-06-18","2026-05-02","Per=M","Days=T","Dir=V")</f>
        <v>0</v>
      </c>
      <c r="AW2">
        <f>BDH("MIND US Equity","PX_VOLUME","1993-06-18","2026-05-02","Per=M","Days=T","Dir=V")</f>
        <v>0</v>
      </c>
      <c r="AY2">
        <f>BDH("MIND US Equity","TURNOVER","1993-06-18","2026-05-02","Per=M","Days=T","Dir=V")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BDH("MIR US Equity","BS_TOT_ASSET","1993-06-18","2026-05-02","Per=Y","Days=T","Dir=V")</f>
        <v>0</v>
      </c>
      <c r="C2">
        <f>BDH("MIR US Equity","BS_TOT_LIAB2","1993-06-18","2026-05-02","Per=Y","Days=T","Dir=V")</f>
        <v>0</v>
      </c>
      <c r="E2">
        <f>BDH("MIR US Equity","SHORT_AND_LONG_TERM_DEBT","1993-06-18","2026-05-02","Per=Y","Days=T","Dir=V")</f>
        <v>0</v>
      </c>
      <c r="G2">
        <f>BDH("MIR US Equity","BS_ST_BORROW","1993-06-18","2026-05-02","Per=Y","Days=T","Dir=V")</f>
        <v>0</v>
      </c>
      <c r="I2">
        <f>BDH("MIR US Equity","BS_LT_BORROW","1993-06-18","2026-05-02","Per=Y","Days=T","Dir=V")</f>
        <v>0</v>
      </c>
      <c r="K2">
        <f>BDH("MIR US Equity","BS_CASH_NEAR_CASH_ITEM","1993-06-18","2026-05-02","Per=Y","Days=T","Dir=V")</f>
        <v>0</v>
      </c>
      <c r="M2">
        <f>BDH("MIR US Equity","BS_CUR_ASSET_REPORT","1993-06-18","2026-05-02","Per=Y","Days=T","Dir=V")</f>
        <v>0</v>
      </c>
      <c r="O2">
        <f>BDH("MIR US Equity","BS_CUR_LIAB","1993-06-18","2026-05-02","Per=Y","Days=T","Dir=V")</f>
        <v>0</v>
      </c>
      <c r="Q2">
        <f>BDH("MIR US Equity","BS_SHAREHOLDER_EQY_ENDING_PERIOD","1993-06-18","2026-05-02","Per=Y","Days=T","Dir=V")</f>
        <v>0</v>
      </c>
      <c r="S2">
        <f>BDH("MIR US Equity","BS_ACCT_NOTE_RCV","1993-06-18","2026-05-02","Per=Y","Days=T","Dir=V")</f>
        <v>0</v>
      </c>
      <c r="U2">
        <f>BDH("MIR US Equity","BS_INVENTORIES","1993-06-18","2026-05-02","Per=Y","Days=T","Dir=V")</f>
        <v>0</v>
      </c>
      <c r="W2">
        <f>BDH("MIR US Equity","WORKING_CAPITAL","1993-06-18","2026-05-02","Per=Y","Days=T","Dir=V")</f>
        <v>0</v>
      </c>
      <c r="Y2">
        <f>BDH("MIR US Equity","SALES_REV_TURN","1993-06-18","2026-05-02","Per=Y","Days=T","Dir=V")</f>
        <v>0</v>
      </c>
      <c r="AA2">
        <f>BDH("MIR US Equity","EBIT","1993-06-18","2026-05-02","Per=Y","Days=T","Dir=V")</f>
        <v>0</v>
      </c>
      <c r="AC2">
        <f>BDH("MIR US Equity","EBITDA","1993-06-18","2026-05-02","Per=Y","Days=T","Dir=V")</f>
        <v>0</v>
      </c>
      <c r="AE2">
        <f>BDH("MIR US Equity","NET_INCOME","1993-06-18","2026-05-02","Per=Y","Days=T","Dir=V")</f>
        <v>0</v>
      </c>
      <c r="AG2">
        <f>BDH("MIR US Equity","IS_INT_EXPENSE","1993-06-18","2026-05-02","Per=Y","Days=T","Dir=V")</f>
        <v>0</v>
      </c>
      <c r="AI2">
        <f>BDH("MIR US Equity","IS_DEPR_EXP","1993-06-18","2026-05-02","Per=Y","Days=T","Dir=V")</f>
        <v>0</v>
      </c>
      <c r="AK2">
        <f>BDH("MIR US Equity","CF_CASH_FROM_OPER","1993-06-18","2026-05-02","Per=Y","Days=T","Dir=V")</f>
        <v>0</v>
      </c>
      <c r="AM2">
        <f>BDH("MIR US Equity","CAPITAL_EXPEND","1993-06-18","2026-05-02","Per=Y","Days=T","Dir=V")</f>
        <v>0</v>
      </c>
      <c r="AO2">
        <f>BDH("MIR US Equity","CF_FREE_CASH_FLOW","1993-06-18","2026-05-02","Per=Y","Days=T","Dir=V")</f>
        <v>0</v>
      </c>
      <c r="AQ2">
        <f>BDH("MIR US Equity","PX_LAST","1993-06-18","2026-05-02","Per=M","Days=T","Dir=V")</f>
        <v>0</v>
      </c>
      <c r="AS2">
        <f>BDH("MIR US Equity","CUR_MKT_CAP","1993-06-18","2026-05-02","Per=M","Days=T","Dir=V")</f>
        <v>0</v>
      </c>
      <c r="AU2">
        <f>BDH("MIR US Equity","EQY_SH_OUT","1993-06-18","2026-05-02","Per=M","Days=T","Dir=V")</f>
        <v>0</v>
      </c>
      <c r="AW2">
        <f>BDH("MIR US Equity","PX_VOLUME","1993-06-18","2026-05-02","Per=M","Days=T","Dir=V")</f>
        <v>0</v>
      </c>
      <c r="AY2">
        <f>BDH("MIR US Equity","TURNOVER","1993-06-18","2026-05-02","Per=M","Days=T","Dir=V")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BDH("MIRA US Equity","BS_TOT_ASSET","1993-06-18","2026-05-02","Per=Y","Days=T","Dir=V")</f>
        <v>0</v>
      </c>
      <c r="C2">
        <f>BDH("MIRA US Equity","BS_TOT_LIAB2","1993-06-18","2026-05-02","Per=Y","Days=T","Dir=V")</f>
        <v>0</v>
      </c>
      <c r="E2">
        <f>BDH("MIRA US Equity","SHORT_AND_LONG_TERM_DEBT","1993-06-18","2026-05-02","Per=Y","Days=T","Dir=V")</f>
        <v>0</v>
      </c>
      <c r="G2">
        <f>BDH("MIRA US Equity","BS_ST_BORROW","1993-06-18","2026-05-02","Per=Y","Days=T","Dir=V")</f>
        <v>0</v>
      </c>
      <c r="I2">
        <f>BDH("MIRA US Equity","BS_LT_BORROW","1993-06-18","2026-05-02","Per=Y","Days=T","Dir=V")</f>
        <v>0</v>
      </c>
      <c r="K2">
        <f>BDH("MIRA US Equity","BS_CASH_NEAR_CASH_ITEM","1993-06-18","2026-05-02","Per=Y","Days=T","Dir=V")</f>
        <v>0</v>
      </c>
      <c r="M2">
        <f>BDH("MIRA US Equity","BS_CUR_ASSET_REPORT","1993-06-18","2026-05-02","Per=Y","Days=T","Dir=V")</f>
        <v>0</v>
      </c>
      <c r="O2">
        <f>BDH("MIRA US Equity","BS_CUR_LIAB","1993-06-18","2026-05-02","Per=Y","Days=T","Dir=V")</f>
        <v>0</v>
      </c>
      <c r="Q2">
        <f>BDH("MIRA US Equity","BS_SHAREHOLDER_EQY_ENDING_PERIOD","1993-06-18","2026-05-02","Per=Y","Days=T","Dir=V")</f>
        <v>0</v>
      </c>
      <c r="S2">
        <f>BDH("MIRA US Equity","BS_ACCT_NOTE_RCV","1993-06-18","2026-05-02","Per=Y","Days=T","Dir=V")</f>
        <v>0</v>
      </c>
      <c r="U2">
        <f>BDH("MIRA US Equity","BS_INVENTORIES","1993-06-18","2026-05-02","Per=Y","Days=T","Dir=V")</f>
        <v>0</v>
      </c>
      <c r="W2">
        <f>BDH("MIRA US Equity","WORKING_CAPITAL","1993-06-18","2026-05-02","Per=Y","Days=T","Dir=V")</f>
        <v>0</v>
      </c>
      <c r="Y2">
        <f>BDH("MIRA US Equity","SALES_REV_TURN","1993-06-18","2026-05-02","Per=Y","Days=T","Dir=V")</f>
        <v>0</v>
      </c>
      <c r="AA2">
        <f>BDH("MIRA US Equity","EBIT","1993-06-18","2026-05-02","Per=Y","Days=T","Dir=V")</f>
        <v>0</v>
      </c>
      <c r="AC2">
        <f>BDH("MIRA US Equity","EBITDA","1993-06-18","2026-05-02","Per=Y","Days=T","Dir=V")</f>
        <v>0</v>
      </c>
      <c r="AE2">
        <f>BDH("MIRA US Equity","NET_INCOME","1993-06-18","2026-05-02","Per=Y","Days=T","Dir=V")</f>
        <v>0</v>
      </c>
      <c r="AG2">
        <f>BDH("MIRA US Equity","IS_INT_EXPENSE","1993-06-18","2026-05-02","Per=Y","Days=T","Dir=V")</f>
        <v>0</v>
      </c>
      <c r="AI2">
        <f>BDH("MIRA US Equity","IS_DEPR_EXP","1993-06-18","2026-05-02","Per=Y","Days=T","Dir=V")</f>
        <v>0</v>
      </c>
      <c r="AK2">
        <f>BDH("MIRA US Equity","CF_CASH_FROM_OPER","1993-06-18","2026-05-02","Per=Y","Days=T","Dir=V")</f>
        <v>0</v>
      </c>
      <c r="AM2">
        <f>BDH("MIRA US Equity","CAPITAL_EXPEND","1993-06-18","2026-05-02","Per=Y","Days=T","Dir=V")</f>
        <v>0</v>
      </c>
      <c r="AO2">
        <f>BDH("MIRA US Equity","CF_FREE_CASH_FLOW","1993-06-18","2026-05-02","Per=Y","Days=T","Dir=V")</f>
        <v>0</v>
      </c>
      <c r="AQ2">
        <f>BDH("MIRA US Equity","PX_LAST","1993-06-18","2026-05-02","Per=M","Days=T","Dir=V")</f>
        <v>0</v>
      </c>
      <c r="AS2">
        <f>BDH("MIRA US Equity","CUR_MKT_CAP","1993-06-18","2026-05-02","Per=M","Days=T","Dir=V")</f>
        <v>0</v>
      </c>
      <c r="AU2">
        <f>BDH("MIRA US Equity","EQY_SH_OUT","1993-06-18","2026-05-02","Per=M","Days=T","Dir=V")</f>
        <v>0</v>
      </c>
      <c r="AW2">
        <f>BDH("MIRA US Equity","PX_VOLUME","1993-06-18","2026-05-02","Per=M","Days=T","Dir=V")</f>
        <v>0</v>
      </c>
      <c r="AY2">
        <f>BDH("MIRA US Equity","TURNOVER","1993-06-18","2026-05-02","Per=M","Days=T","Dir=V")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BDH("MIRM US Equity","BS_TOT_ASSET","1993-06-18","2026-05-02","Per=Y","Days=T","Dir=V")</f>
        <v>0</v>
      </c>
      <c r="C2">
        <f>BDH("MIRM US Equity","BS_TOT_LIAB2","1993-06-18","2026-05-02","Per=Y","Days=T","Dir=V")</f>
        <v>0</v>
      </c>
      <c r="E2">
        <f>BDH("MIRM US Equity","SHORT_AND_LONG_TERM_DEBT","1993-06-18","2026-05-02","Per=Y","Days=T","Dir=V")</f>
        <v>0</v>
      </c>
      <c r="G2">
        <f>BDH("MIRM US Equity","BS_ST_BORROW","1993-06-18","2026-05-02","Per=Y","Days=T","Dir=V")</f>
        <v>0</v>
      </c>
      <c r="I2">
        <f>BDH("MIRM US Equity","BS_LT_BORROW","1993-06-18","2026-05-02","Per=Y","Days=T","Dir=V")</f>
        <v>0</v>
      </c>
      <c r="K2">
        <f>BDH("MIRM US Equity","BS_CASH_NEAR_CASH_ITEM","1993-06-18","2026-05-02","Per=Y","Days=T","Dir=V")</f>
        <v>0</v>
      </c>
      <c r="M2">
        <f>BDH("MIRM US Equity","BS_CUR_ASSET_REPORT","1993-06-18","2026-05-02","Per=Y","Days=T","Dir=V")</f>
        <v>0</v>
      </c>
      <c r="O2">
        <f>BDH("MIRM US Equity","BS_CUR_LIAB","1993-06-18","2026-05-02","Per=Y","Days=T","Dir=V")</f>
        <v>0</v>
      </c>
      <c r="Q2">
        <f>BDH("MIRM US Equity","BS_SHAREHOLDER_EQY_ENDING_PERIOD","1993-06-18","2026-05-02","Per=Y","Days=T","Dir=V")</f>
        <v>0</v>
      </c>
      <c r="S2">
        <f>BDH("MIRM US Equity","BS_ACCT_NOTE_RCV","1993-06-18","2026-05-02","Per=Y","Days=T","Dir=V")</f>
        <v>0</v>
      </c>
      <c r="U2">
        <f>BDH("MIRM US Equity","BS_INVENTORIES","1993-06-18","2026-05-02","Per=Y","Days=T","Dir=V")</f>
        <v>0</v>
      </c>
      <c r="W2">
        <f>BDH("MIRM US Equity","WORKING_CAPITAL","1993-06-18","2026-05-02","Per=Y","Days=T","Dir=V")</f>
        <v>0</v>
      </c>
      <c r="Y2">
        <f>BDH("MIRM US Equity","SALES_REV_TURN","1993-06-18","2026-05-02","Per=Y","Days=T","Dir=V")</f>
        <v>0</v>
      </c>
      <c r="AA2">
        <f>BDH("MIRM US Equity","EBIT","1993-06-18","2026-05-02","Per=Y","Days=T","Dir=V")</f>
        <v>0</v>
      </c>
      <c r="AC2">
        <f>BDH("MIRM US Equity","EBITDA","1993-06-18","2026-05-02","Per=Y","Days=T","Dir=V")</f>
        <v>0</v>
      </c>
      <c r="AE2">
        <f>BDH("MIRM US Equity","NET_INCOME","1993-06-18","2026-05-02","Per=Y","Days=T","Dir=V")</f>
        <v>0</v>
      </c>
      <c r="AG2">
        <f>BDH("MIRM US Equity","IS_INT_EXPENSE","1993-06-18","2026-05-02","Per=Y","Days=T","Dir=V")</f>
        <v>0</v>
      </c>
      <c r="AI2">
        <f>BDH("MIRM US Equity","IS_DEPR_EXP","1993-06-18","2026-05-02","Per=Y","Days=T","Dir=V")</f>
        <v>0</v>
      </c>
      <c r="AK2">
        <f>BDH("MIRM US Equity","CF_CASH_FROM_OPER","1993-06-18","2026-05-02","Per=Y","Days=T","Dir=V")</f>
        <v>0</v>
      </c>
      <c r="AM2">
        <f>BDH("MIRM US Equity","CAPITAL_EXPEND","1993-06-18","2026-05-02","Per=Y","Days=T","Dir=V")</f>
        <v>0</v>
      </c>
      <c r="AO2">
        <f>BDH("MIRM US Equity","CF_FREE_CASH_FLOW","1993-06-18","2026-05-02","Per=Y","Days=T","Dir=V")</f>
        <v>0</v>
      </c>
      <c r="AQ2">
        <f>BDH("MIRM US Equity","PX_LAST","1993-06-18","2026-05-02","Per=M","Days=T","Dir=V")</f>
        <v>0</v>
      </c>
      <c r="AS2">
        <f>BDH("MIRM US Equity","CUR_MKT_CAP","1993-06-18","2026-05-02","Per=M","Days=T","Dir=V")</f>
        <v>0</v>
      </c>
      <c r="AU2">
        <f>BDH("MIRM US Equity","EQY_SH_OUT","1993-06-18","2026-05-02","Per=M","Days=T","Dir=V")</f>
        <v>0</v>
      </c>
      <c r="AW2">
        <f>BDH("MIRM US Equity","PX_VOLUME","1993-06-18","2026-05-02","Per=M","Days=T","Dir=V")</f>
        <v>0</v>
      </c>
      <c r="AY2">
        <f>BDH("MIRM US Equity","TURNOVER","1993-06-18","2026-05-02","Per=M","Days=T","Dir=V")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BDH("MITK US Equity","BS_TOT_ASSET","1993-06-18","2026-05-02","Per=Y","Days=T","Dir=V")</f>
        <v>0</v>
      </c>
      <c r="C2">
        <f>BDH("MITK US Equity","BS_TOT_LIAB2","1993-06-18","2026-05-02","Per=Y","Days=T","Dir=V")</f>
        <v>0</v>
      </c>
      <c r="E2">
        <f>BDH("MITK US Equity","SHORT_AND_LONG_TERM_DEBT","1993-06-18","2026-05-02","Per=Y","Days=T","Dir=V")</f>
        <v>0</v>
      </c>
      <c r="G2">
        <f>BDH("MITK US Equity","BS_ST_BORROW","1993-06-18","2026-05-02","Per=Y","Days=T","Dir=V")</f>
        <v>0</v>
      </c>
      <c r="I2">
        <f>BDH("MITK US Equity","BS_LT_BORROW","1993-06-18","2026-05-02","Per=Y","Days=T","Dir=V")</f>
        <v>0</v>
      </c>
      <c r="K2">
        <f>BDH("MITK US Equity","BS_CASH_NEAR_CASH_ITEM","1993-06-18","2026-05-02","Per=Y","Days=T","Dir=V")</f>
        <v>0</v>
      </c>
      <c r="M2">
        <f>BDH("MITK US Equity","BS_CUR_ASSET_REPORT","1993-06-18","2026-05-02","Per=Y","Days=T","Dir=V")</f>
        <v>0</v>
      </c>
      <c r="O2">
        <f>BDH("MITK US Equity","BS_CUR_LIAB","1993-06-18","2026-05-02","Per=Y","Days=T","Dir=V")</f>
        <v>0</v>
      </c>
      <c r="Q2">
        <f>BDH("MITK US Equity","BS_SHAREHOLDER_EQY_ENDING_PERIOD","1993-06-18","2026-05-02","Per=Y","Days=T","Dir=V")</f>
        <v>0</v>
      </c>
      <c r="S2">
        <f>BDH("MITK US Equity","BS_ACCT_NOTE_RCV","1993-06-18","2026-05-02","Per=Y","Days=T","Dir=V")</f>
        <v>0</v>
      </c>
      <c r="U2">
        <f>BDH("MITK US Equity","BS_INVENTORIES","1993-06-18","2026-05-02","Per=Y","Days=T","Dir=V")</f>
        <v>0</v>
      </c>
      <c r="W2">
        <f>BDH("MITK US Equity","WORKING_CAPITAL","1993-06-18","2026-05-02","Per=Y","Days=T","Dir=V")</f>
        <v>0</v>
      </c>
      <c r="Y2">
        <f>BDH("MITK US Equity","SALES_REV_TURN","1993-06-18","2026-05-02","Per=Y","Days=T","Dir=V")</f>
        <v>0</v>
      </c>
      <c r="AA2">
        <f>BDH("MITK US Equity","EBIT","1993-06-18","2026-05-02","Per=Y","Days=T","Dir=V")</f>
        <v>0</v>
      </c>
      <c r="AC2">
        <f>BDH("MITK US Equity","EBITDA","1993-06-18","2026-05-02","Per=Y","Days=T","Dir=V")</f>
        <v>0</v>
      </c>
      <c r="AE2">
        <f>BDH("MITK US Equity","NET_INCOME","1993-06-18","2026-05-02","Per=Y","Days=T","Dir=V")</f>
        <v>0</v>
      </c>
      <c r="AG2">
        <f>BDH("MITK US Equity","IS_INT_EXPENSE","1993-06-18","2026-05-02","Per=Y","Days=T","Dir=V")</f>
        <v>0</v>
      </c>
      <c r="AI2">
        <f>BDH("MITK US Equity","IS_DEPR_EXP","1993-06-18","2026-05-02","Per=Y","Days=T","Dir=V")</f>
        <v>0</v>
      </c>
      <c r="AK2">
        <f>BDH("MITK US Equity","CF_CASH_FROM_OPER","1993-06-18","2026-05-02","Per=Y","Days=T","Dir=V")</f>
        <v>0</v>
      </c>
      <c r="AM2">
        <f>BDH("MITK US Equity","CAPITAL_EXPEND","1993-06-18","2026-05-02","Per=Y","Days=T","Dir=V")</f>
        <v>0</v>
      </c>
      <c r="AO2">
        <f>BDH("MITK US Equity","CF_FREE_CASH_FLOW","1993-06-18","2026-05-02","Per=Y","Days=T","Dir=V")</f>
        <v>0</v>
      </c>
      <c r="AQ2">
        <f>BDH("MITK US Equity","PX_LAST","1993-06-18","2026-05-02","Per=M","Days=T","Dir=V")</f>
        <v>0</v>
      </c>
      <c r="AS2">
        <f>BDH("MITK US Equity","CUR_MKT_CAP","1993-06-18","2026-05-02","Per=M","Days=T","Dir=V")</f>
        <v>0</v>
      </c>
      <c r="AU2">
        <f>BDH("MITK US Equity","EQY_SH_OUT","1993-06-18","2026-05-02","Per=M","Days=T","Dir=V")</f>
        <v>0</v>
      </c>
      <c r="AW2">
        <f>BDH("MITK US Equity","PX_VOLUME","1993-06-18","2026-05-02","Per=M","Days=T","Dir=V")</f>
        <v>0</v>
      </c>
      <c r="AY2">
        <f>BDH("MITK US Equity","TURNOVER","1993-06-18","2026-05-02","Per=M","Days=T","Dir=V")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BDH("MITQ US Equity","BS_TOT_ASSET","1993-06-18","2026-05-02","Per=Y","Days=T","Dir=V")</f>
        <v>0</v>
      </c>
      <c r="C2">
        <f>BDH("MITQ US Equity","BS_TOT_LIAB2","1993-06-18","2026-05-02","Per=Y","Days=T","Dir=V")</f>
        <v>0</v>
      </c>
      <c r="E2">
        <f>BDH("MITQ US Equity","SHORT_AND_LONG_TERM_DEBT","1993-06-18","2026-05-02","Per=Y","Days=T","Dir=V")</f>
        <v>0</v>
      </c>
      <c r="G2">
        <f>BDH("MITQ US Equity","BS_ST_BORROW","1993-06-18","2026-05-02","Per=Y","Days=T","Dir=V")</f>
        <v>0</v>
      </c>
      <c r="I2">
        <f>BDH("MITQ US Equity","BS_LT_BORROW","1993-06-18","2026-05-02","Per=Y","Days=T","Dir=V")</f>
        <v>0</v>
      </c>
      <c r="K2">
        <f>BDH("MITQ US Equity","BS_CASH_NEAR_CASH_ITEM","1993-06-18","2026-05-02","Per=Y","Days=T","Dir=V")</f>
        <v>0</v>
      </c>
      <c r="M2">
        <f>BDH("MITQ US Equity","BS_CUR_ASSET_REPORT","1993-06-18","2026-05-02","Per=Y","Days=T","Dir=V")</f>
        <v>0</v>
      </c>
      <c r="O2">
        <f>BDH("MITQ US Equity","BS_CUR_LIAB","1993-06-18","2026-05-02","Per=Y","Days=T","Dir=V")</f>
        <v>0</v>
      </c>
      <c r="Q2">
        <f>BDH("MITQ US Equity","BS_SHAREHOLDER_EQY_ENDING_PERIOD","1993-06-18","2026-05-02","Per=Y","Days=T","Dir=V")</f>
        <v>0</v>
      </c>
      <c r="S2">
        <f>BDH("MITQ US Equity","BS_ACCT_NOTE_RCV","1993-06-18","2026-05-02","Per=Y","Days=T","Dir=V")</f>
        <v>0</v>
      </c>
      <c r="U2">
        <f>BDH("MITQ US Equity","BS_INVENTORIES","1993-06-18","2026-05-02","Per=Y","Days=T","Dir=V")</f>
        <v>0</v>
      </c>
      <c r="W2">
        <f>BDH("MITQ US Equity","WORKING_CAPITAL","1993-06-18","2026-05-02","Per=Y","Days=T","Dir=V")</f>
        <v>0</v>
      </c>
      <c r="Y2">
        <f>BDH("MITQ US Equity","SALES_REV_TURN","1993-06-18","2026-05-02","Per=Y","Days=T","Dir=V")</f>
        <v>0</v>
      </c>
      <c r="AA2">
        <f>BDH("MITQ US Equity","EBIT","1993-06-18","2026-05-02","Per=Y","Days=T","Dir=V")</f>
        <v>0</v>
      </c>
      <c r="AC2">
        <f>BDH("MITQ US Equity","EBITDA","1993-06-18","2026-05-02","Per=Y","Days=T","Dir=V")</f>
        <v>0</v>
      </c>
      <c r="AE2">
        <f>BDH("MITQ US Equity","NET_INCOME","1993-06-18","2026-05-02","Per=Y","Days=T","Dir=V")</f>
        <v>0</v>
      </c>
      <c r="AG2">
        <f>BDH("MITQ US Equity","IS_INT_EXPENSE","1993-06-18","2026-05-02","Per=Y","Days=T","Dir=V")</f>
        <v>0</v>
      </c>
      <c r="AI2">
        <f>BDH("MITQ US Equity","IS_DEPR_EXP","1993-06-18","2026-05-02","Per=Y","Days=T","Dir=V")</f>
        <v>0</v>
      </c>
      <c r="AK2">
        <f>BDH("MITQ US Equity","CF_CASH_FROM_OPER","1993-06-18","2026-05-02","Per=Y","Days=T","Dir=V")</f>
        <v>0</v>
      </c>
      <c r="AM2">
        <f>BDH("MITQ US Equity","CAPITAL_EXPEND","1993-06-18","2026-05-02","Per=Y","Days=T","Dir=V")</f>
        <v>0</v>
      </c>
      <c r="AO2">
        <f>BDH("MITQ US Equity","CF_FREE_CASH_FLOW","1993-06-18","2026-05-02","Per=Y","Days=T","Dir=V")</f>
        <v>0</v>
      </c>
      <c r="AQ2">
        <f>BDH("MITQ US Equity","PX_LAST","1993-06-18","2026-05-02","Per=M","Days=T","Dir=V")</f>
        <v>0</v>
      </c>
      <c r="AS2">
        <f>BDH("MITQ US Equity","CUR_MKT_CAP","1993-06-18","2026-05-02","Per=M","Days=T","Dir=V")</f>
        <v>0</v>
      </c>
      <c r="AU2">
        <f>BDH("MITQ US Equity","EQY_SH_OUT","1993-06-18","2026-05-02","Per=M","Days=T","Dir=V")</f>
        <v>0</v>
      </c>
      <c r="AW2">
        <f>BDH("MITQ US Equity","PX_VOLUME","1993-06-18","2026-05-02","Per=M","Days=T","Dir=V")</f>
        <v>0</v>
      </c>
      <c r="AY2">
        <f>BDH("MITQ US Equity","TURNOVER","1993-06-18","2026-05-02","Per=M","Days=T","Dir=V")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BDH("MKC US Equity","BS_TOT_ASSET","1993-06-18","2026-05-02","Per=Y","Days=T","Dir=V")</f>
        <v>0</v>
      </c>
      <c r="C2">
        <f>BDH("MKC US Equity","BS_TOT_LIAB2","1993-06-18","2026-05-02","Per=Y","Days=T","Dir=V")</f>
        <v>0</v>
      </c>
      <c r="E2">
        <f>BDH("MKC US Equity","SHORT_AND_LONG_TERM_DEBT","1993-06-18","2026-05-02","Per=Y","Days=T","Dir=V")</f>
        <v>0</v>
      </c>
      <c r="G2">
        <f>BDH("MKC US Equity","BS_ST_BORROW","1993-06-18","2026-05-02","Per=Y","Days=T","Dir=V")</f>
        <v>0</v>
      </c>
      <c r="I2">
        <f>BDH("MKC US Equity","BS_LT_BORROW","1993-06-18","2026-05-02","Per=Y","Days=T","Dir=V")</f>
        <v>0</v>
      </c>
      <c r="K2">
        <f>BDH("MKC US Equity","BS_CASH_NEAR_CASH_ITEM","1993-06-18","2026-05-02","Per=Y","Days=T","Dir=V")</f>
        <v>0</v>
      </c>
      <c r="M2">
        <f>BDH("MKC US Equity","BS_CUR_ASSET_REPORT","1993-06-18","2026-05-02","Per=Y","Days=T","Dir=V")</f>
        <v>0</v>
      </c>
      <c r="O2">
        <f>BDH("MKC US Equity","BS_CUR_LIAB","1993-06-18","2026-05-02","Per=Y","Days=T","Dir=V")</f>
        <v>0</v>
      </c>
      <c r="Q2">
        <f>BDH("MKC US Equity","BS_SHAREHOLDER_EQY_ENDING_PERIOD","1993-06-18","2026-05-02","Per=Y","Days=T","Dir=V")</f>
        <v>0</v>
      </c>
      <c r="S2">
        <f>BDH("MKC US Equity","BS_ACCT_NOTE_RCV","1993-06-18","2026-05-02","Per=Y","Days=T","Dir=V")</f>
        <v>0</v>
      </c>
      <c r="U2">
        <f>BDH("MKC US Equity","BS_INVENTORIES","1993-06-18","2026-05-02","Per=Y","Days=T","Dir=V")</f>
        <v>0</v>
      </c>
      <c r="W2">
        <f>BDH("MKC US Equity","WORKING_CAPITAL","1993-06-18","2026-05-02","Per=Y","Days=T","Dir=V")</f>
        <v>0</v>
      </c>
      <c r="Y2">
        <f>BDH("MKC US Equity","SALES_REV_TURN","1993-06-18","2026-05-02","Per=Y","Days=T","Dir=V")</f>
        <v>0</v>
      </c>
      <c r="AA2">
        <f>BDH("MKC US Equity","EBIT","1993-06-18","2026-05-02","Per=Y","Days=T","Dir=V")</f>
        <v>0</v>
      </c>
      <c r="AC2">
        <f>BDH("MKC US Equity","EBITDA","1993-06-18","2026-05-02","Per=Y","Days=T","Dir=V")</f>
        <v>0</v>
      </c>
      <c r="AE2">
        <f>BDH("MKC US Equity","NET_INCOME","1993-06-18","2026-05-02","Per=Y","Days=T","Dir=V")</f>
        <v>0</v>
      </c>
      <c r="AG2">
        <f>BDH("MKC US Equity","IS_INT_EXPENSE","1993-06-18","2026-05-02","Per=Y","Days=T","Dir=V")</f>
        <v>0</v>
      </c>
      <c r="AI2">
        <f>BDH("MKC US Equity","IS_DEPR_EXP","1993-06-18","2026-05-02","Per=Y","Days=T","Dir=V")</f>
        <v>0</v>
      </c>
      <c r="AK2">
        <f>BDH("MKC US Equity","CF_CASH_FROM_OPER","1993-06-18","2026-05-02","Per=Y","Days=T","Dir=V")</f>
        <v>0</v>
      </c>
      <c r="AM2">
        <f>BDH("MKC US Equity","CAPITAL_EXPEND","1993-06-18","2026-05-02","Per=Y","Days=T","Dir=V")</f>
        <v>0</v>
      </c>
      <c r="AO2">
        <f>BDH("MKC US Equity","CF_FREE_CASH_FLOW","1993-06-18","2026-05-02","Per=Y","Days=T","Dir=V")</f>
        <v>0</v>
      </c>
      <c r="AQ2">
        <f>BDH("MKC US Equity","PX_LAST","1993-06-18","2026-05-02","Per=M","Days=T","Dir=V")</f>
        <v>0</v>
      </c>
      <c r="AS2">
        <f>BDH("MKC US Equity","CUR_MKT_CAP","1993-06-18","2026-05-02","Per=M","Days=T","Dir=V")</f>
        <v>0</v>
      </c>
      <c r="AU2">
        <f>BDH("MKC US Equity","EQY_SH_OUT","1993-06-18","2026-05-02","Per=M","Days=T","Dir=V")</f>
        <v>0</v>
      </c>
      <c r="AW2">
        <f>BDH("MKC US Equity","PX_VOLUME","1993-06-18","2026-05-02","Per=M","Days=T","Dir=V")</f>
        <v>0</v>
      </c>
      <c r="AY2">
        <f>BDH("MKC US Equity","TURNOVER","1993-06-18","2026-05-02","Per=M","Days=T","Dir=V")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BDH("MKSI US Equity","BS_TOT_ASSET","1993-06-18","2026-05-02","Per=Y","Days=T","Dir=V")</f>
        <v>0</v>
      </c>
      <c r="C2">
        <f>BDH("MKSI US Equity","BS_TOT_LIAB2","1993-06-18","2026-05-02","Per=Y","Days=T","Dir=V")</f>
        <v>0</v>
      </c>
      <c r="E2">
        <f>BDH("MKSI US Equity","SHORT_AND_LONG_TERM_DEBT","1993-06-18","2026-05-02","Per=Y","Days=T","Dir=V")</f>
        <v>0</v>
      </c>
      <c r="G2">
        <f>BDH("MKSI US Equity","BS_ST_BORROW","1993-06-18","2026-05-02","Per=Y","Days=T","Dir=V")</f>
        <v>0</v>
      </c>
      <c r="I2">
        <f>BDH("MKSI US Equity","BS_LT_BORROW","1993-06-18","2026-05-02","Per=Y","Days=T","Dir=V")</f>
        <v>0</v>
      </c>
      <c r="K2">
        <f>BDH("MKSI US Equity","BS_CASH_NEAR_CASH_ITEM","1993-06-18","2026-05-02","Per=Y","Days=T","Dir=V")</f>
        <v>0</v>
      </c>
      <c r="M2">
        <f>BDH("MKSI US Equity","BS_CUR_ASSET_REPORT","1993-06-18","2026-05-02","Per=Y","Days=T","Dir=V")</f>
        <v>0</v>
      </c>
      <c r="O2">
        <f>BDH("MKSI US Equity","BS_CUR_LIAB","1993-06-18","2026-05-02","Per=Y","Days=T","Dir=V")</f>
        <v>0</v>
      </c>
      <c r="Q2">
        <f>BDH("MKSI US Equity","BS_SHAREHOLDER_EQY_ENDING_PERIOD","1993-06-18","2026-05-02","Per=Y","Days=T","Dir=V")</f>
        <v>0</v>
      </c>
      <c r="S2">
        <f>BDH("MKSI US Equity","BS_ACCT_NOTE_RCV","1993-06-18","2026-05-02","Per=Y","Days=T","Dir=V")</f>
        <v>0</v>
      </c>
      <c r="U2">
        <f>BDH("MKSI US Equity","BS_INVENTORIES","1993-06-18","2026-05-02","Per=Y","Days=T","Dir=V")</f>
        <v>0</v>
      </c>
      <c r="W2">
        <f>BDH("MKSI US Equity","WORKING_CAPITAL","1993-06-18","2026-05-02","Per=Y","Days=T","Dir=V")</f>
        <v>0</v>
      </c>
      <c r="Y2">
        <f>BDH("MKSI US Equity","SALES_REV_TURN","1993-06-18","2026-05-02","Per=Y","Days=T","Dir=V")</f>
        <v>0</v>
      </c>
      <c r="AA2">
        <f>BDH("MKSI US Equity","EBIT","1993-06-18","2026-05-02","Per=Y","Days=T","Dir=V")</f>
        <v>0</v>
      </c>
      <c r="AC2">
        <f>BDH("MKSI US Equity","EBITDA","1993-06-18","2026-05-02","Per=Y","Days=T","Dir=V")</f>
        <v>0</v>
      </c>
      <c r="AE2">
        <f>BDH("MKSI US Equity","NET_INCOME","1993-06-18","2026-05-02","Per=Y","Days=T","Dir=V")</f>
        <v>0</v>
      </c>
      <c r="AG2">
        <f>BDH("MKSI US Equity","IS_INT_EXPENSE","1993-06-18","2026-05-02","Per=Y","Days=T","Dir=V")</f>
        <v>0</v>
      </c>
      <c r="AI2">
        <f>BDH("MKSI US Equity","IS_DEPR_EXP","1993-06-18","2026-05-02","Per=Y","Days=T","Dir=V")</f>
        <v>0</v>
      </c>
      <c r="AK2">
        <f>BDH("MKSI US Equity","CF_CASH_FROM_OPER","1993-06-18","2026-05-02","Per=Y","Days=T","Dir=V")</f>
        <v>0</v>
      </c>
      <c r="AM2">
        <f>BDH("MKSI US Equity","CAPITAL_EXPEND","1993-06-18","2026-05-02","Per=Y","Days=T","Dir=V")</f>
        <v>0</v>
      </c>
      <c r="AO2">
        <f>BDH("MKSI US Equity","CF_FREE_CASH_FLOW","1993-06-18","2026-05-02","Per=Y","Days=T","Dir=V")</f>
        <v>0</v>
      </c>
      <c r="AQ2">
        <f>BDH("MKSI US Equity","PX_LAST","1993-06-18","2026-05-02","Per=M","Days=T","Dir=V")</f>
        <v>0</v>
      </c>
      <c r="AS2">
        <f>BDH("MKSI US Equity","CUR_MKT_CAP","1993-06-18","2026-05-02","Per=M","Days=T","Dir=V")</f>
        <v>0</v>
      </c>
      <c r="AU2">
        <f>BDH("MKSI US Equity","EQY_SH_OUT","1993-06-18","2026-05-02","Per=M","Days=T","Dir=V")</f>
        <v>0</v>
      </c>
      <c r="AW2">
        <f>BDH("MKSI US Equity","PX_VOLUME","1993-06-18","2026-05-02","Per=M","Days=T","Dir=V")</f>
        <v>0</v>
      </c>
      <c r="AY2">
        <f>BDH("MKSI US Equity","TURNOVER","1993-06-18","2026-05-02","Per=M","Days=T","Dir=V")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BDH("MKTW US Equity","BS_TOT_ASSET","1993-06-18","2026-05-02","Per=Y","Days=T","Dir=V")</f>
        <v>0</v>
      </c>
      <c r="C2">
        <f>BDH("MKTW US Equity","BS_TOT_LIAB2","1993-06-18","2026-05-02","Per=Y","Days=T","Dir=V")</f>
        <v>0</v>
      </c>
      <c r="E2">
        <f>BDH("MKTW US Equity","SHORT_AND_LONG_TERM_DEBT","1993-06-18","2026-05-02","Per=Y","Days=T","Dir=V")</f>
        <v>0</v>
      </c>
      <c r="G2">
        <f>BDH("MKTW US Equity","BS_ST_BORROW","1993-06-18","2026-05-02","Per=Y","Days=T","Dir=V")</f>
        <v>0</v>
      </c>
      <c r="I2">
        <f>BDH("MKTW US Equity","BS_LT_BORROW","1993-06-18","2026-05-02","Per=Y","Days=T","Dir=V")</f>
        <v>0</v>
      </c>
      <c r="K2">
        <f>BDH("MKTW US Equity","BS_CASH_NEAR_CASH_ITEM","1993-06-18","2026-05-02","Per=Y","Days=T","Dir=V")</f>
        <v>0</v>
      </c>
      <c r="M2">
        <f>BDH("MKTW US Equity","BS_CUR_ASSET_REPORT","1993-06-18","2026-05-02","Per=Y","Days=T","Dir=V")</f>
        <v>0</v>
      </c>
      <c r="O2">
        <f>BDH("MKTW US Equity","BS_CUR_LIAB","1993-06-18","2026-05-02","Per=Y","Days=T","Dir=V")</f>
        <v>0</v>
      </c>
      <c r="Q2">
        <f>BDH("MKTW US Equity","BS_SHAREHOLDER_EQY_ENDING_PERIOD","1993-06-18","2026-05-02","Per=Y","Days=T","Dir=V")</f>
        <v>0</v>
      </c>
      <c r="S2">
        <f>BDH("MKTW US Equity","BS_ACCT_NOTE_RCV","1993-06-18","2026-05-02","Per=Y","Days=T","Dir=V")</f>
        <v>0</v>
      </c>
      <c r="U2">
        <f>BDH("MKTW US Equity","BS_INVENTORIES","1993-06-18","2026-05-02","Per=Y","Days=T","Dir=V")</f>
        <v>0</v>
      </c>
      <c r="W2">
        <f>BDH("MKTW US Equity","WORKING_CAPITAL","1993-06-18","2026-05-02","Per=Y","Days=T","Dir=V")</f>
        <v>0</v>
      </c>
      <c r="Y2">
        <f>BDH("MKTW US Equity","SALES_REV_TURN","1993-06-18","2026-05-02","Per=Y","Days=T","Dir=V")</f>
        <v>0</v>
      </c>
      <c r="AA2">
        <f>BDH("MKTW US Equity","EBIT","1993-06-18","2026-05-02","Per=Y","Days=T","Dir=V")</f>
        <v>0</v>
      </c>
      <c r="AC2">
        <f>BDH("MKTW US Equity","EBITDA","1993-06-18","2026-05-02","Per=Y","Days=T","Dir=V")</f>
        <v>0</v>
      </c>
      <c r="AE2">
        <f>BDH("MKTW US Equity","NET_INCOME","1993-06-18","2026-05-02","Per=Y","Days=T","Dir=V")</f>
        <v>0</v>
      </c>
      <c r="AG2">
        <f>BDH("MKTW US Equity","IS_INT_EXPENSE","1993-06-18","2026-05-02","Per=Y","Days=T","Dir=V")</f>
        <v>0</v>
      </c>
      <c r="AI2">
        <f>BDH("MKTW US Equity","IS_DEPR_EXP","1993-06-18","2026-05-02","Per=Y","Days=T","Dir=V")</f>
        <v>0</v>
      </c>
      <c r="AK2">
        <f>BDH("MKTW US Equity","CF_CASH_FROM_OPER","1993-06-18","2026-05-02","Per=Y","Days=T","Dir=V")</f>
        <v>0</v>
      </c>
      <c r="AM2">
        <f>BDH("MKTW US Equity","CAPITAL_EXPEND","1993-06-18","2026-05-02","Per=Y","Days=T","Dir=V")</f>
        <v>0</v>
      </c>
      <c r="AO2">
        <f>BDH("MKTW US Equity","CF_FREE_CASH_FLOW","1993-06-18","2026-05-02","Per=Y","Days=T","Dir=V")</f>
        <v>0</v>
      </c>
      <c r="AQ2">
        <f>BDH("MKTW US Equity","PX_LAST","1993-06-18","2026-05-02","Per=M","Days=T","Dir=V")</f>
        <v>0</v>
      </c>
      <c r="AS2">
        <f>BDH("MKTW US Equity","CUR_MKT_CAP","1993-06-18","2026-05-02","Per=M","Days=T","Dir=V")</f>
        <v>0</v>
      </c>
      <c r="AU2">
        <f>BDH("MKTW US Equity","EQY_SH_OUT","1993-06-18","2026-05-02","Per=M","Days=T","Dir=V")</f>
        <v>0</v>
      </c>
      <c r="AW2">
        <f>BDH("MKTW US Equity","PX_VOLUME","1993-06-18","2026-05-02","Per=M","Days=T","Dir=V")</f>
        <v>0</v>
      </c>
      <c r="AY2">
        <f>BDH("MKTW US Equity","TURNOVER","1993-06-18","2026-05-02","Per=M","Days=T","Dir=V")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BDH("MLAB US Equity","BS_TOT_ASSET","1993-06-18","2026-05-02","Per=Y","Days=T","Dir=V")</f>
        <v>0</v>
      </c>
      <c r="C2">
        <f>BDH("MLAB US Equity","BS_TOT_LIAB2","1993-06-18","2026-05-02","Per=Y","Days=T","Dir=V")</f>
        <v>0</v>
      </c>
      <c r="E2">
        <f>BDH("MLAB US Equity","SHORT_AND_LONG_TERM_DEBT","1993-06-18","2026-05-02","Per=Y","Days=T","Dir=V")</f>
        <v>0</v>
      </c>
      <c r="G2">
        <f>BDH("MLAB US Equity","BS_ST_BORROW","1993-06-18","2026-05-02","Per=Y","Days=T","Dir=V")</f>
        <v>0</v>
      </c>
      <c r="I2">
        <f>BDH("MLAB US Equity","BS_LT_BORROW","1993-06-18","2026-05-02","Per=Y","Days=T","Dir=V")</f>
        <v>0</v>
      </c>
      <c r="K2">
        <f>BDH("MLAB US Equity","BS_CASH_NEAR_CASH_ITEM","1993-06-18","2026-05-02","Per=Y","Days=T","Dir=V")</f>
        <v>0</v>
      </c>
      <c r="M2">
        <f>BDH("MLAB US Equity","BS_CUR_ASSET_REPORT","1993-06-18","2026-05-02","Per=Y","Days=T","Dir=V")</f>
        <v>0</v>
      </c>
      <c r="O2">
        <f>BDH("MLAB US Equity","BS_CUR_LIAB","1993-06-18","2026-05-02","Per=Y","Days=T","Dir=V")</f>
        <v>0</v>
      </c>
      <c r="Q2">
        <f>BDH("MLAB US Equity","BS_SHAREHOLDER_EQY_ENDING_PERIOD","1993-06-18","2026-05-02","Per=Y","Days=T","Dir=V")</f>
        <v>0</v>
      </c>
      <c r="S2">
        <f>BDH("MLAB US Equity","BS_ACCT_NOTE_RCV","1993-06-18","2026-05-02","Per=Y","Days=T","Dir=V")</f>
        <v>0</v>
      </c>
      <c r="U2">
        <f>BDH("MLAB US Equity","BS_INVENTORIES","1993-06-18","2026-05-02","Per=Y","Days=T","Dir=V")</f>
        <v>0</v>
      </c>
      <c r="W2">
        <f>BDH("MLAB US Equity","WORKING_CAPITAL","1993-06-18","2026-05-02","Per=Y","Days=T","Dir=V")</f>
        <v>0</v>
      </c>
      <c r="Y2">
        <f>BDH("MLAB US Equity","SALES_REV_TURN","1993-06-18","2026-05-02","Per=Y","Days=T","Dir=V")</f>
        <v>0</v>
      </c>
      <c r="AA2">
        <f>BDH("MLAB US Equity","EBIT","1993-06-18","2026-05-02","Per=Y","Days=T","Dir=V")</f>
        <v>0</v>
      </c>
      <c r="AC2">
        <f>BDH("MLAB US Equity","EBITDA","1993-06-18","2026-05-02","Per=Y","Days=T","Dir=V")</f>
        <v>0</v>
      </c>
      <c r="AE2">
        <f>BDH("MLAB US Equity","NET_INCOME","1993-06-18","2026-05-02","Per=Y","Days=T","Dir=V")</f>
        <v>0</v>
      </c>
      <c r="AG2">
        <f>BDH("MLAB US Equity","IS_INT_EXPENSE","1993-06-18","2026-05-02","Per=Y","Days=T","Dir=V")</f>
        <v>0</v>
      </c>
      <c r="AI2">
        <f>BDH("MLAB US Equity","IS_DEPR_EXP","1993-06-18","2026-05-02","Per=Y","Days=T","Dir=V")</f>
        <v>0</v>
      </c>
      <c r="AK2">
        <f>BDH("MLAB US Equity","CF_CASH_FROM_OPER","1993-06-18","2026-05-02","Per=Y","Days=T","Dir=V")</f>
        <v>0</v>
      </c>
      <c r="AM2">
        <f>BDH("MLAB US Equity","CAPITAL_EXPEND","1993-06-18","2026-05-02","Per=Y","Days=T","Dir=V")</f>
        <v>0</v>
      </c>
      <c r="AO2">
        <f>BDH("MLAB US Equity","CF_FREE_CASH_FLOW","1993-06-18","2026-05-02","Per=Y","Days=T","Dir=V")</f>
        <v>0</v>
      </c>
      <c r="AQ2">
        <f>BDH("MLAB US Equity","PX_LAST","1993-06-18","2026-05-02","Per=M","Days=T","Dir=V")</f>
        <v>0</v>
      </c>
      <c r="AS2">
        <f>BDH("MLAB US Equity","CUR_MKT_CAP","1993-06-18","2026-05-02","Per=M","Days=T","Dir=V")</f>
        <v>0</v>
      </c>
      <c r="AU2">
        <f>BDH("MLAB US Equity","EQY_SH_OUT","1993-06-18","2026-05-02","Per=M","Days=T","Dir=V")</f>
        <v>0</v>
      </c>
      <c r="AW2">
        <f>BDH("MLAB US Equity","PX_VOLUME","1993-06-18","2026-05-02","Per=M","Days=T","Dir=V")</f>
        <v>0</v>
      </c>
      <c r="AY2">
        <f>BDH("MLAB US Equity","TURNOVER","1993-06-18","2026-05-02","Per=M","Days=T","Dir=V")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BDH("MLGO US Equity","BS_TOT_ASSET","1993-06-18","2026-05-02","Per=Y","Days=T","Dir=V")</f>
        <v>0</v>
      </c>
      <c r="C2">
        <f>BDH("MLGO US Equity","BS_TOT_LIAB2","1993-06-18","2026-05-02","Per=Y","Days=T","Dir=V")</f>
        <v>0</v>
      </c>
      <c r="E2">
        <f>BDH("MLGO US Equity","SHORT_AND_LONG_TERM_DEBT","1993-06-18","2026-05-02","Per=Y","Days=T","Dir=V")</f>
        <v>0</v>
      </c>
      <c r="G2">
        <f>BDH("MLGO US Equity","BS_ST_BORROW","1993-06-18","2026-05-02","Per=Y","Days=T","Dir=V")</f>
        <v>0</v>
      </c>
      <c r="I2">
        <f>BDH("MLGO US Equity","BS_LT_BORROW","1993-06-18","2026-05-02","Per=Y","Days=T","Dir=V")</f>
        <v>0</v>
      </c>
      <c r="K2">
        <f>BDH("MLGO US Equity","BS_CASH_NEAR_CASH_ITEM","1993-06-18","2026-05-02","Per=Y","Days=T","Dir=V")</f>
        <v>0</v>
      </c>
      <c r="M2">
        <f>BDH("MLGO US Equity","BS_CUR_ASSET_REPORT","1993-06-18","2026-05-02","Per=Y","Days=T","Dir=V")</f>
        <v>0</v>
      </c>
      <c r="O2">
        <f>BDH("MLGO US Equity","BS_CUR_LIAB","1993-06-18","2026-05-02","Per=Y","Days=T","Dir=V")</f>
        <v>0</v>
      </c>
      <c r="Q2">
        <f>BDH("MLGO US Equity","BS_SHAREHOLDER_EQY_ENDING_PERIOD","1993-06-18","2026-05-02","Per=Y","Days=T","Dir=V")</f>
        <v>0</v>
      </c>
      <c r="S2">
        <f>BDH("MLGO US Equity","BS_ACCT_NOTE_RCV","1993-06-18","2026-05-02","Per=Y","Days=T","Dir=V")</f>
        <v>0</v>
      </c>
      <c r="U2">
        <f>BDH("MLGO US Equity","BS_INVENTORIES","1993-06-18","2026-05-02","Per=Y","Days=T","Dir=V")</f>
        <v>0</v>
      </c>
      <c r="W2">
        <f>BDH("MLGO US Equity","WORKING_CAPITAL","1993-06-18","2026-05-02","Per=Y","Days=T","Dir=V")</f>
        <v>0</v>
      </c>
      <c r="Y2">
        <f>BDH("MLGO US Equity","SALES_REV_TURN","1993-06-18","2026-05-02","Per=Y","Days=T","Dir=V")</f>
        <v>0</v>
      </c>
      <c r="AA2">
        <f>BDH("MLGO US Equity","EBIT","1993-06-18","2026-05-02","Per=Y","Days=T","Dir=V")</f>
        <v>0</v>
      </c>
      <c r="AC2">
        <f>BDH("MLGO US Equity","EBITDA","1993-06-18","2026-05-02","Per=Y","Days=T","Dir=V")</f>
        <v>0</v>
      </c>
      <c r="AE2">
        <f>BDH("MLGO US Equity","NET_INCOME","1993-06-18","2026-05-02","Per=Y","Days=T","Dir=V")</f>
        <v>0</v>
      </c>
      <c r="AG2">
        <f>BDH("MLGO US Equity","IS_INT_EXPENSE","1993-06-18","2026-05-02","Per=Y","Days=T","Dir=V")</f>
        <v>0</v>
      </c>
      <c r="AI2">
        <f>BDH("MLGO US Equity","IS_DEPR_EXP","1993-06-18","2026-05-02","Per=Y","Days=T","Dir=V")</f>
        <v>0</v>
      </c>
      <c r="AK2">
        <f>BDH("MLGO US Equity","CF_CASH_FROM_OPER","1993-06-18","2026-05-02","Per=Y","Days=T","Dir=V")</f>
        <v>0</v>
      </c>
      <c r="AM2">
        <f>BDH("MLGO US Equity","CAPITAL_EXPEND","1993-06-18","2026-05-02","Per=Y","Days=T","Dir=V")</f>
        <v>0</v>
      </c>
      <c r="AO2">
        <f>BDH("MLGO US Equity","CF_FREE_CASH_FLOW","1993-06-18","2026-05-02","Per=Y","Days=T","Dir=V")</f>
        <v>0</v>
      </c>
      <c r="AQ2">
        <f>BDH("MLGO US Equity","PX_LAST","1993-06-18","2026-05-02","Per=M","Days=T","Dir=V")</f>
        <v>0</v>
      </c>
      <c r="AS2">
        <f>BDH("MLGO US Equity","CUR_MKT_CAP","1993-06-18","2026-05-02","Per=M","Days=T","Dir=V")</f>
        <v>0</v>
      </c>
      <c r="AU2">
        <f>BDH("MLGO US Equity","EQY_SH_OUT","1993-06-18","2026-05-02","Per=M","Days=T","Dir=V")</f>
        <v>0</v>
      </c>
      <c r="AW2">
        <f>BDH("MLGO US Equity","PX_VOLUME","1993-06-18","2026-05-02","Per=M","Days=T","Dir=V")</f>
        <v>0</v>
      </c>
      <c r="AY2">
        <f>BDH("MLGO US Equity","TURNOVER","1993-06-18","2026-05-02","Per=M","Days=T","Dir=V")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BDH("MLI US Equity","BS_TOT_ASSET","1993-06-18","2026-05-02","Per=Y","Days=T","Dir=V")</f>
        <v>0</v>
      </c>
      <c r="C2">
        <f>BDH("MLI US Equity","BS_TOT_LIAB2","1993-06-18","2026-05-02","Per=Y","Days=T","Dir=V")</f>
        <v>0</v>
      </c>
      <c r="E2">
        <f>BDH("MLI US Equity","SHORT_AND_LONG_TERM_DEBT","1993-06-18","2026-05-02","Per=Y","Days=T","Dir=V")</f>
        <v>0</v>
      </c>
      <c r="G2">
        <f>BDH("MLI US Equity","BS_ST_BORROW","1993-06-18","2026-05-02","Per=Y","Days=T","Dir=V")</f>
        <v>0</v>
      </c>
      <c r="I2">
        <f>BDH("MLI US Equity","BS_LT_BORROW","1993-06-18","2026-05-02","Per=Y","Days=T","Dir=V")</f>
        <v>0</v>
      </c>
      <c r="K2">
        <f>BDH("MLI US Equity","BS_CASH_NEAR_CASH_ITEM","1993-06-18","2026-05-02","Per=Y","Days=T","Dir=V")</f>
        <v>0</v>
      </c>
      <c r="M2">
        <f>BDH("MLI US Equity","BS_CUR_ASSET_REPORT","1993-06-18","2026-05-02","Per=Y","Days=T","Dir=V")</f>
        <v>0</v>
      </c>
      <c r="O2">
        <f>BDH("MLI US Equity","BS_CUR_LIAB","1993-06-18","2026-05-02","Per=Y","Days=T","Dir=V")</f>
        <v>0</v>
      </c>
      <c r="Q2">
        <f>BDH("MLI US Equity","BS_SHAREHOLDER_EQY_ENDING_PERIOD","1993-06-18","2026-05-02","Per=Y","Days=T","Dir=V")</f>
        <v>0</v>
      </c>
      <c r="S2">
        <f>BDH("MLI US Equity","BS_ACCT_NOTE_RCV","1993-06-18","2026-05-02","Per=Y","Days=T","Dir=V")</f>
        <v>0</v>
      </c>
      <c r="U2">
        <f>BDH("MLI US Equity","BS_INVENTORIES","1993-06-18","2026-05-02","Per=Y","Days=T","Dir=V")</f>
        <v>0</v>
      </c>
      <c r="W2">
        <f>BDH("MLI US Equity","WORKING_CAPITAL","1993-06-18","2026-05-02","Per=Y","Days=T","Dir=V")</f>
        <v>0</v>
      </c>
      <c r="Y2">
        <f>BDH("MLI US Equity","SALES_REV_TURN","1993-06-18","2026-05-02","Per=Y","Days=T","Dir=V")</f>
        <v>0</v>
      </c>
      <c r="AA2">
        <f>BDH("MLI US Equity","EBIT","1993-06-18","2026-05-02","Per=Y","Days=T","Dir=V")</f>
        <v>0</v>
      </c>
      <c r="AC2">
        <f>BDH("MLI US Equity","EBITDA","1993-06-18","2026-05-02","Per=Y","Days=T","Dir=V")</f>
        <v>0</v>
      </c>
      <c r="AE2">
        <f>BDH("MLI US Equity","NET_INCOME","1993-06-18","2026-05-02","Per=Y","Days=T","Dir=V")</f>
        <v>0</v>
      </c>
      <c r="AG2">
        <f>BDH("MLI US Equity","IS_INT_EXPENSE","1993-06-18","2026-05-02","Per=Y","Days=T","Dir=V")</f>
        <v>0</v>
      </c>
      <c r="AI2">
        <f>BDH("MLI US Equity","IS_DEPR_EXP","1993-06-18","2026-05-02","Per=Y","Days=T","Dir=V")</f>
        <v>0</v>
      </c>
      <c r="AK2">
        <f>BDH("MLI US Equity","CF_CASH_FROM_OPER","1993-06-18","2026-05-02","Per=Y","Days=T","Dir=V")</f>
        <v>0</v>
      </c>
      <c r="AM2">
        <f>BDH("MLI US Equity","CAPITAL_EXPEND","1993-06-18","2026-05-02","Per=Y","Days=T","Dir=V")</f>
        <v>0</v>
      </c>
      <c r="AO2">
        <f>BDH("MLI US Equity","CF_FREE_CASH_FLOW","1993-06-18","2026-05-02","Per=Y","Days=T","Dir=V")</f>
        <v>0</v>
      </c>
      <c r="AQ2">
        <f>BDH("MLI US Equity","PX_LAST","1993-06-18","2026-05-02","Per=M","Days=T","Dir=V")</f>
        <v>0</v>
      </c>
      <c r="AS2">
        <f>BDH("MLI US Equity","CUR_MKT_CAP","1993-06-18","2026-05-02","Per=M","Days=T","Dir=V")</f>
        <v>0</v>
      </c>
      <c r="AU2">
        <f>BDH("MLI US Equity","EQY_SH_OUT","1993-06-18","2026-05-02","Per=M","Days=T","Dir=V")</f>
        <v>0</v>
      </c>
      <c r="AW2">
        <f>BDH("MLI US Equity","PX_VOLUME","1993-06-18","2026-05-02","Per=M","Days=T","Dir=V")</f>
        <v>0</v>
      </c>
      <c r="AY2">
        <f>BDH("MLI US Equity","TURNOVER","1993-06-18","2026-05-02","Per=M","Days=T","Dir=V")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BDH("MLKN US Equity","BS_TOT_ASSET","1993-06-18","2026-05-02","Per=Y","Days=T","Dir=V")</f>
        <v>0</v>
      </c>
      <c r="C2">
        <f>BDH("MLKN US Equity","BS_TOT_LIAB2","1993-06-18","2026-05-02","Per=Y","Days=T","Dir=V")</f>
        <v>0</v>
      </c>
      <c r="E2">
        <f>BDH("MLKN US Equity","SHORT_AND_LONG_TERM_DEBT","1993-06-18","2026-05-02","Per=Y","Days=T","Dir=V")</f>
        <v>0</v>
      </c>
      <c r="G2">
        <f>BDH("MLKN US Equity","BS_ST_BORROW","1993-06-18","2026-05-02","Per=Y","Days=T","Dir=V")</f>
        <v>0</v>
      </c>
      <c r="I2">
        <f>BDH("MLKN US Equity","BS_LT_BORROW","1993-06-18","2026-05-02","Per=Y","Days=T","Dir=V")</f>
        <v>0</v>
      </c>
      <c r="K2">
        <f>BDH("MLKN US Equity","BS_CASH_NEAR_CASH_ITEM","1993-06-18","2026-05-02","Per=Y","Days=T","Dir=V")</f>
        <v>0</v>
      </c>
      <c r="M2">
        <f>BDH("MLKN US Equity","BS_CUR_ASSET_REPORT","1993-06-18","2026-05-02","Per=Y","Days=T","Dir=V")</f>
        <v>0</v>
      </c>
      <c r="O2">
        <f>BDH("MLKN US Equity","BS_CUR_LIAB","1993-06-18","2026-05-02","Per=Y","Days=T","Dir=V")</f>
        <v>0</v>
      </c>
      <c r="Q2">
        <f>BDH("MLKN US Equity","BS_SHAREHOLDER_EQY_ENDING_PERIOD","1993-06-18","2026-05-02","Per=Y","Days=T","Dir=V")</f>
        <v>0</v>
      </c>
      <c r="S2">
        <f>BDH("MLKN US Equity","BS_ACCT_NOTE_RCV","1993-06-18","2026-05-02","Per=Y","Days=T","Dir=V")</f>
        <v>0</v>
      </c>
      <c r="U2">
        <f>BDH("MLKN US Equity","BS_INVENTORIES","1993-06-18","2026-05-02","Per=Y","Days=T","Dir=V")</f>
        <v>0</v>
      </c>
      <c r="W2">
        <f>BDH("MLKN US Equity","WORKING_CAPITAL","1993-06-18","2026-05-02","Per=Y","Days=T","Dir=V")</f>
        <v>0</v>
      </c>
      <c r="Y2">
        <f>BDH("MLKN US Equity","SALES_REV_TURN","1993-06-18","2026-05-02","Per=Y","Days=T","Dir=V")</f>
        <v>0</v>
      </c>
      <c r="AA2">
        <f>BDH("MLKN US Equity","EBIT","1993-06-18","2026-05-02","Per=Y","Days=T","Dir=V")</f>
        <v>0</v>
      </c>
      <c r="AC2">
        <f>BDH("MLKN US Equity","EBITDA","1993-06-18","2026-05-02","Per=Y","Days=T","Dir=V")</f>
        <v>0</v>
      </c>
      <c r="AE2">
        <f>BDH("MLKN US Equity","NET_INCOME","1993-06-18","2026-05-02","Per=Y","Days=T","Dir=V")</f>
        <v>0</v>
      </c>
      <c r="AG2">
        <f>BDH("MLKN US Equity","IS_INT_EXPENSE","1993-06-18","2026-05-02","Per=Y","Days=T","Dir=V")</f>
        <v>0</v>
      </c>
      <c r="AI2">
        <f>BDH("MLKN US Equity","IS_DEPR_EXP","1993-06-18","2026-05-02","Per=Y","Days=T","Dir=V")</f>
        <v>0</v>
      </c>
      <c r="AK2">
        <f>BDH("MLKN US Equity","CF_CASH_FROM_OPER","1993-06-18","2026-05-02","Per=Y","Days=T","Dir=V")</f>
        <v>0</v>
      </c>
      <c r="AM2">
        <f>BDH("MLKN US Equity","CAPITAL_EXPEND","1993-06-18","2026-05-02","Per=Y","Days=T","Dir=V")</f>
        <v>0</v>
      </c>
      <c r="AO2">
        <f>BDH("MLKN US Equity","CF_FREE_CASH_FLOW","1993-06-18","2026-05-02","Per=Y","Days=T","Dir=V")</f>
        <v>0</v>
      </c>
      <c r="AQ2">
        <f>BDH("MLKN US Equity","PX_LAST","1993-06-18","2026-05-02","Per=M","Days=T","Dir=V")</f>
        <v>0</v>
      </c>
      <c r="AS2">
        <f>BDH("MLKN US Equity","CUR_MKT_CAP","1993-06-18","2026-05-02","Per=M","Days=T","Dir=V")</f>
        <v>0</v>
      </c>
      <c r="AU2">
        <f>BDH("MLKN US Equity","EQY_SH_OUT","1993-06-18","2026-05-02","Per=M","Days=T","Dir=V")</f>
        <v>0</v>
      </c>
      <c r="AW2">
        <f>BDH("MLKN US Equity","PX_VOLUME","1993-06-18","2026-05-02","Per=M","Days=T","Dir=V")</f>
        <v>0</v>
      </c>
      <c r="AY2">
        <f>BDH("MLKN US Equity","TURNOVER","1993-06-18","2026-05-02","Per=M","Days=T","Dir=V")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BDH("MLM US Equity","BS_TOT_ASSET","1993-06-18","2026-05-02","Per=Y","Days=T","Dir=V")</f>
        <v>0</v>
      </c>
      <c r="C2">
        <f>BDH("MLM US Equity","BS_TOT_LIAB2","1993-06-18","2026-05-02","Per=Y","Days=T","Dir=V")</f>
        <v>0</v>
      </c>
      <c r="E2">
        <f>BDH("MLM US Equity","SHORT_AND_LONG_TERM_DEBT","1993-06-18","2026-05-02","Per=Y","Days=T","Dir=V")</f>
        <v>0</v>
      </c>
      <c r="G2">
        <f>BDH("MLM US Equity","BS_ST_BORROW","1993-06-18","2026-05-02","Per=Y","Days=T","Dir=V")</f>
        <v>0</v>
      </c>
      <c r="I2">
        <f>BDH("MLM US Equity","BS_LT_BORROW","1993-06-18","2026-05-02","Per=Y","Days=T","Dir=V")</f>
        <v>0</v>
      </c>
      <c r="K2">
        <f>BDH("MLM US Equity","BS_CASH_NEAR_CASH_ITEM","1993-06-18","2026-05-02","Per=Y","Days=T","Dir=V")</f>
        <v>0</v>
      </c>
      <c r="M2">
        <f>BDH("MLM US Equity","BS_CUR_ASSET_REPORT","1993-06-18","2026-05-02","Per=Y","Days=T","Dir=V")</f>
        <v>0</v>
      </c>
      <c r="O2">
        <f>BDH("MLM US Equity","BS_CUR_LIAB","1993-06-18","2026-05-02","Per=Y","Days=T","Dir=V")</f>
        <v>0</v>
      </c>
      <c r="Q2">
        <f>BDH("MLM US Equity","BS_SHAREHOLDER_EQY_ENDING_PERIOD","1993-06-18","2026-05-02","Per=Y","Days=T","Dir=V")</f>
        <v>0</v>
      </c>
      <c r="S2">
        <f>BDH("MLM US Equity","BS_ACCT_NOTE_RCV","1993-06-18","2026-05-02","Per=Y","Days=T","Dir=V")</f>
        <v>0</v>
      </c>
      <c r="U2">
        <f>BDH("MLM US Equity","BS_INVENTORIES","1993-06-18","2026-05-02","Per=Y","Days=T","Dir=V")</f>
        <v>0</v>
      </c>
      <c r="W2">
        <f>BDH("MLM US Equity","WORKING_CAPITAL","1993-06-18","2026-05-02","Per=Y","Days=T","Dir=V")</f>
        <v>0</v>
      </c>
      <c r="Y2">
        <f>BDH("MLM US Equity","SALES_REV_TURN","1993-06-18","2026-05-02","Per=Y","Days=T","Dir=V")</f>
        <v>0</v>
      </c>
      <c r="AA2">
        <f>BDH("MLM US Equity","EBIT","1993-06-18","2026-05-02","Per=Y","Days=T","Dir=V")</f>
        <v>0</v>
      </c>
      <c r="AC2">
        <f>BDH("MLM US Equity","EBITDA","1993-06-18","2026-05-02","Per=Y","Days=T","Dir=V")</f>
        <v>0</v>
      </c>
      <c r="AE2">
        <f>BDH("MLM US Equity","NET_INCOME","1993-06-18","2026-05-02","Per=Y","Days=T","Dir=V")</f>
        <v>0</v>
      </c>
      <c r="AG2">
        <f>BDH("MLM US Equity","IS_INT_EXPENSE","1993-06-18","2026-05-02","Per=Y","Days=T","Dir=V")</f>
        <v>0</v>
      </c>
      <c r="AI2">
        <f>BDH("MLM US Equity","IS_DEPR_EXP","1993-06-18","2026-05-02","Per=Y","Days=T","Dir=V")</f>
        <v>0</v>
      </c>
      <c r="AK2">
        <f>BDH("MLM US Equity","CF_CASH_FROM_OPER","1993-06-18","2026-05-02","Per=Y","Days=T","Dir=V")</f>
        <v>0</v>
      </c>
      <c r="AM2">
        <f>BDH("MLM US Equity","CAPITAL_EXPEND","1993-06-18","2026-05-02","Per=Y","Days=T","Dir=V")</f>
        <v>0</v>
      </c>
      <c r="AO2">
        <f>BDH("MLM US Equity","CF_FREE_CASH_FLOW","1993-06-18","2026-05-02","Per=Y","Days=T","Dir=V")</f>
        <v>0</v>
      </c>
      <c r="AQ2">
        <f>BDH("MLM US Equity","PX_LAST","1993-06-18","2026-05-02","Per=M","Days=T","Dir=V")</f>
        <v>0</v>
      </c>
      <c r="AS2">
        <f>BDH("MLM US Equity","CUR_MKT_CAP","1993-06-18","2026-05-02","Per=M","Days=T","Dir=V")</f>
        <v>0</v>
      </c>
      <c r="AU2">
        <f>BDH("MLM US Equity","EQY_SH_OUT","1993-06-18","2026-05-02","Per=M","Days=T","Dir=V")</f>
        <v>0</v>
      </c>
      <c r="AW2">
        <f>BDH("MLM US Equity","PX_VOLUME","1993-06-18","2026-05-02","Per=M","Days=T","Dir=V")</f>
        <v>0</v>
      </c>
      <c r="AY2">
        <f>BDH("MLM US Equity","TURNOVER","1993-06-18","2026-05-02","Per=M","Days=T","Dir=V")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BDH("MLR US Equity","BS_TOT_ASSET","1993-06-18","2026-05-02","Per=Y","Days=T","Dir=V")</f>
        <v>0</v>
      </c>
      <c r="C2">
        <f>BDH("MLR US Equity","BS_TOT_LIAB2","1993-06-18","2026-05-02","Per=Y","Days=T","Dir=V")</f>
        <v>0</v>
      </c>
      <c r="E2">
        <f>BDH("MLR US Equity","SHORT_AND_LONG_TERM_DEBT","1993-06-18","2026-05-02","Per=Y","Days=T","Dir=V")</f>
        <v>0</v>
      </c>
      <c r="G2">
        <f>BDH("MLR US Equity","BS_ST_BORROW","1993-06-18","2026-05-02","Per=Y","Days=T","Dir=V")</f>
        <v>0</v>
      </c>
      <c r="I2">
        <f>BDH("MLR US Equity","BS_LT_BORROW","1993-06-18","2026-05-02","Per=Y","Days=T","Dir=V")</f>
        <v>0</v>
      </c>
      <c r="K2">
        <f>BDH("MLR US Equity","BS_CASH_NEAR_CASH_ITEM","1993-06-18","2026-05-02","Per=Y","Days=T","Dir=V")</f>
        <v>0</v>
      </c>
      <c r="M2">
        <f>BDH("MLR US Equity","BS_CUR_ASSET_REPORT","1993-06-18","2026-05-02","Per=Y","Days=T","Dir=V")</f>
        <v>0</v>
      </c>
      <c r="O2">
        <f>BDH("MLR US Equity","BS_CUR_LIAB","1993-06-18","2026-05-02","Per=Y","Days=T","Dir=V")</f>
        <v>0</v>
      </c>
      <c r="Q2">
        <f>BDH("MLR US Equity","BS_SHAREHOLDER_EQY_ENDING_PERIOD","1993-06-18","2026-05-02","Per=Y","Days=T","Dir=V")</f>
        <v>0</v>
      </c>
      <c r="S2">
        <f>BDH("MLR US Equity","BS_ACCT_NOTE_RCV","1993-06-18","2026-05-02","Per=Y","Days=T","Dir=V")</f>
        <v>0</v>
      </c>
      <c r="U2">
        <f>BDH("MLR US Equity","BS_INVENTORIES","1993-06-18","2026-05-02","Per=Y","Days=T","Dir=V")</f>
        <v>0</v>
      </c>
      <c r="W2">
        <f>BDH("MLR US Equity","WORKING_CAPITAL","1993-06-18","2026-05-02","Per=Y","Days=T","Dir=V")</f>
        <v>0</v>
      </c>
      <c r="Y2">
        <f>BDH("MLR US Equity","SALES_REV_TURN","1993-06-18","2026-05-02","Per=Y","Days=T","Dir=V")</f>
        <v>0</v>
      </c>
      <c r="AA2">
        <f>BDH("MLR US Equity","EBIT","1993-06-18","2026-05-02","Per=Y","Days=T","Dir=V")</f>
        <v>0</v>
      </c>
      <c r="AC2">
        <f>BDH("MLR US Equity","EBITDA","1993-06-18","2026-05-02","Per=Y","Days=T","Dir=V")</f>
        <v>0</v>
      </c>
      <c r="AE2">
        <f>BDH("MLR US Equity","NET_INCOME","1993-06-18","2026-05-02","Per=Y","Days=T","Dir=V")</f>
        <v>0</v>
      </c>
      <c r="AG2">
        <f>BDH("MLR US Equity","IS_INT_EXPENSE","1993-06-18","2026-05-02","Per=Y","Days=T","Dir=V")</f>
        <v>0</v>
      </c>
      <c r="AI2">
        <f>BDH("MLR US Equity","IS_DEPR_EXP","1993-06-18","2026-05-02","Per=Y","Days=T","Dir=V")</f>
        <v>0</v>
      </c>
      <c r="AK2">
        <f>BDH("MLR US Equity","CF_CASH_FROM_OPER","1993-06-18","2026-05-02","Per=Y","Days=T","Dir=V")</f>
        <v>0</v>
      </c>
      <c r="AM2">
        <f>BDH("MLR US Equity","CAPITAL_EXPEND","1993-06-18","2026-05-02","Per=Y","Days=T","Dir=V")</f>
        <v>0</v>
      </c>
      <c r="AO2">
        <f>BDH("MLR US Equity","CF_FREE_CASH_FLOW","1993-06-18","2026-05-02","Per=Y","Days=T","Dir=V")</f>
        <v>0</v>
      </c>
      <c r="AQ2">
        <f>BDH("MLR US Equity","PX_LAST","1993-06-18","2026-05-02","Per=M","Days=T","Dir=V")</f>
        <v>0</v>
      </c>
      <c r="AS2">
        <f>BDH("MLR US Equity","CUR_MKT_CAP","1993-06-18","2026-05-02","Per=M","Days=T","Dir=V")</f>
        <v>0</v>
      </c>
      <c r="AU2">
        <f>BDH("MLR US Equity","EQY_SH_OUT","1993-06-18","2026-05-02","Per=M","Days=T","Dir=V")</f>
        <v>0</v>
      </c>
      <c r="AW2">
        <f>BDH("MLR US Equity","PX_VOLUME","1993-06-18","2026-05-02","Per=M","Days=T","Dir=V")</f>
        <v>0</v>
      </c>
      <c r="AY2">
        <f>BDH("MLR US Equity","TURNOVER","1993-06-18","2026-05-02","Per=M","Days=T","Dir=V")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BDH("MLSS US Equity","BS_TOT_ASSET","1993-06-18","2026-05-02","Per=Y","Days=T","Dir=V")</f>
        <v>0</v>
      </c>
      <c r="C2">
        <f>BDH("MLSS US Equity","BS_TOT_LIAB2","1993-06-18","2026-05-02","Per=Y","Days=T","Dir=V")</f>
        <v>0</v>
      </c>
      <c r="E2">
        <f>BDH("MLSS US Equity","SHORT_AND_LONG_TERM_DEBT","1993-06-18","2026-05-02","Per=Y","Days=T","Dir=V")</f>
        <v>0</v>
      </c>
      <c r="G2">
        <f>BDH("MLSS US Equity","BS_ST_BORROW","1993-06-18","2026-05-02","Per=Y","Days=T","Dir=V")</f>
        <v>0</v>
      </c>
      <c r="I2">
        <f>BDH("MLSS US Equity","BS_LT_BORROW","1993-06-18","2026-05-02","Per=Y","Days=T","Dir=V")</f>
        <v>0</v>
      </c>
      <c r="K2">
        <f>BDH("MLSS US Equity","BS_CASH_NEAR_CASH_ITEM","1993-06-18","2026-05-02","Per=Y","Days=T","Dir=V")</f>
        <v>0</v>
      </c>
      <c r="M2">
        <f>BDH("MLSS US Equity","BS_CUR_ASSET_REPORT","1993-06-18","2026-05-02","Per=Y","Days=T","Dir=V")</f>
        <v>0</v>
      </c>
      <c r="O2">
        <f>BDH("MLSS US Equity","BS_CUR_LIAB","1993-06-18","2026-05-02","Per=Y","Days=T","Dir=V")</f>
        <v>0</v>
      </c>
      <c r="Q2">
        <f>BDH("MLSS US Equity","BS_SHAREHOLDER_EQY_ENDING_PERIOD","1993-06-18","2026-05-02","Per=Y","Days=T","Dir=V")</f>
        <v>0</v>
      </c>
      <c r="S2">
        <f>BDH("MLSS US Equity","BS_ACCT_NOTE_RCV","1993-06-18","2026-05-02","Per=Y","Days=T","Dir=V")</f>
        <v>0</v>
      </c>
      <c r="U2">
        <f>BDH("MLSS US Equity","BS_INVENTORIES","1993-06-18","2026-05-02","Per=Y","Days=T","Dir=V")</f>
        <v>0</v>
      </c>
      <c r="W2">
        <f>BDH("MLSS US Equity","WORKING_CAPITAL","1993-06-18","2026-05-02","Per=Y","Days=T","Dir=V")</f>
        <v>0</v>
      </c>
      <c r="Y2">
        <f>BDH("MLSS US Equity","SALES_REV_TURN","1993-06-18","2026-05-02","Per=Y","Days=T","Dir=V")</f>
        <v>0</v>
      </c>
      <c r="AA2">
        <f>BDH("MLSS US Equity","EBIT","1993-06-18","2026-05-02","Per=Y","Days=T","Dir=V")</f>
        <v>0</v>
      </c>
      <c r="AC2">
        <f>BDH("MLSS US Equity","EBITDA","1993-06-18","2026-05-02","Per=Y","Days=T","Dir=V")</f>
        <v>0</v>
      </c>
      <c r="AE2">
        <f>BDH("MLSS US Equity","NET_INCOME","1993-06-18","2026-05-02","Per=Y","Days=T","Dir=V")</f>
        <v>0</v>
      </c>
      <c r="AG2">
        <f>BDH("MLSS US Equity","IS_INT_EXPENSE","1993-06-18","2026-05-02","Per=Y","Days=T","Dir=V")</f>
        <v>0</v>
      </c>
      <c r="AI2">
        <f>BDH("MLSS US Equity","IS_DEPR_EXP","1993-06-18","2026-05-02","Per=Y","Days=T","Dir=V")</f>
        <v>0</v>
      </c>
      <c r="AK2">
        <f>BDH("MLSS US Equity","CF_CASH_FROM_OPER","1993-06-18","2026-05-02","Per=Y","Days=T","Dir=V")</f>
        <v>0</v>
      </c>
      <c r="AM2">
        <f>BDH("MLSS US Equity","CAPITAL_EXPEND","1993-06-18","2026-05-02","Per=Y","Days=T","Dir=V")</f>
        <v>0</v>
      </c>
      <c r="AO2">
        <f>BDH("MLSS US Equity","CF_FREE_CASH_FLOW","1993-06-18","2026-05-02","Per=Y","Days=T","Dir=V")</f>
        <v>0</v>
      </c>
      <c r="AQ2">
        <f>BDH("MLSS US Equity","PX_LAST","1993-06-18","2026-05-02","Per=M","Days=T","Dir=V")</f>
        <v>0</v>
      </c>
      <c r="AS2">
        <f>BDH("MLSS US Equity","CUR_MKT_CAP","1993-06-18","2026-05-02","Per=M","Days=T","Dir=V")</f>
        <v>0</v>
      </c>
      <c r="AU2">
        <f>BDH("MLSS US Equity","EQY_SH_OUT","1993-06-18","2026-05-02","Per=M","Days=T","Dir=V")</f>
        <v>0</v>
      </c>
      <c r="AW2">
        <f>BDH("MLSS US Equity","PX_VOLUME","1993-06-18","2026-05-02","Per=M","Days=T","Dir=V")</f>
        <v>0</v>
      </c>
      <c r="AY2">
        <f>BDH("MLSS US Equity","TURNOVER","1993-06-18","2026-05-02","Per=M","Days=T","Dir=V")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BDH("MLTX US Equity","BS_TOT_ASSET","1993-06-18","2026-05-02","Per=Y","Days=T","Dir=V")</f>
        <v>0</v>
      </c>
      <c r="C2">
        <f>BDH("MLTX US Equity","BS_TOT_LIAB2","1993-06-18","2026-05-02","Per=Y","Days=T","Dir=V")</f>
        <v>0</v>
      </c>
      <c r="E2">
        <f>BDH("MLTX US Equity","SHORT_AND_LONG_TERM_DEBT","1993-06-18","2026-05-02","Per=Y","Days=T","Dir=V")</f>
        <v>0</v>
      </c>
      <c r="G2">
        <f>BDH("MLTX US Equity","BS_ST_BORROW","1993-06-18","2026-05-02","Per=Y","Days=T","Dir=V")</f>
        <v>0</v>
      </c>
      <c r="I2">
        <f>BDH("MLTX US Equity","BS_LT_BORROW","1993-06-18","2026-05-02","Per=Y","Days=T","Dir=V")</f>
        <v>0</v>
      </c>
      <c r="K2">
        <f>BDH("MLTX US Equity","BS_CASH_NEAR_CASH_ITEM","1993-06-18","2026-05-02","Per=Y","Days=T","Dir=V")</f>
        <v>0</v>
      </c>
      <c r="M2">
        <f>BDH("MLTX US Equity","BS_CUR_ASSET_REPORT","1993-06-18","2026-05-02","Per=Y","Days=T","Dir=V")</f>
        <v>0</v>
      </c>
      <c r="O2">
        <f>BDH("MLTX US Equity","BS_CUR_LIAB","1993-06-18","2026-05-02","Per=Y","Days=T","Dir=V")</f>
        <v>0</v>
      </c>
      <c r="Q2">
        <f>BDH("MLTX US Equity","BS_SHAREHOLDER_EQY_ENDING_PERIOD","1993-06-18","2026-05-02","Per=Y","Days=T","Dir=V")</f>
        <v>0</v>
      </c>
      <c r="S2">
        <f>BDH("MLTX US Equity","BS_ACCT_NOTE_RCV","1993-06-18","2026-05-02","Per=Y","Days=T","Dir=V")</f>
        <v>0</v>
      </c>
      <c r="U2">
        <f>BDH("MLTX US Equity","BS_INVENTORIES","1993-06-18","2026-05-02","Per=Y","Days=T","Dir=V")</f>
        <v>0</v>
      </c>
      <c r="W2">
        <f>BDH("MLTX US Equity","WORKING_CAPITAL","1993-06-18","2026-05-02","Per=Y","Days=T","Dir=V")</f>
        <v>0</v>
      </c>
      <c r="Y2">
        <f>BDH("MLTX US Equity","SALES_REV_TURN","1993-06-18","2026-05-02","Per=Y","Days=T","Dir=V")</f>
        <v>0</v>
      </c>
      <c r="AA2">
        <f>BDH("MLTX US Equity","EBIT","1993-06-18","2026-05-02","Per=Y","Days=T","Dir=V")</f>
        <v>0</v>
      </c>
      <c r="AC2">
        <f>BDH("MLTX US Equity","EBITDA","1993-06-18","2026-05-02","Per=Y","Days=T","Dir=V")</f>
        <v>0</v>
      </c>
      <c r="AE2">
        <f>BDH("MLTX US Equity","NET_INCOME","1993-06-18","2026-05-02","Per=Y","Days=T","Dir=V")</f>
        <v>0</v>
      </c>
      <c r="AG2">
        <f>BDH("MLTX US Equity","IS_INT_EXPENSE","1993-06-18","2026-05-02","Per=Y","Days=T","Dir=V")</f>
        <v>0</v>
      </c>
      <c r="AI2">
        <f>BDH("MLTX US Equity","IS_DEPR_EXP","1993-06-18","2026-05-02","Per=Y","Days=T","Dir=V")</f>
        <v>0</v>
      </c>
      <c r="AK2">
        <f>BDH("MLTX US Equity","CF_CASH_FROM_OPER","1993-06-18","2026-05-02","Per=Y","Days=T","Dir=V")</f>
        <v>0</v>
      </c>
      <c r="AM2">
        <f>BDH("MLTX US Equity","CAPITAL_EXPEND","1993-06-18","2026-05-02","Per=Y","Days=T","Dir=V")</f>
        <v>0</v>
      </c>
      <c r="AO2">
        <f>BDH("MLTX US Equity","CF_FREE_CASH_FLOW","1993-06-18","2026-05-02","Per=Y","Days=T","Dir=V")</f>
        <v>0</v>
      </c>
      <c r="AQ2">
        <f>BDH("MLTX US Equity","PX_LAST","1993-06-18","2026-05-02","Per=M","Days=T","Dir=V")</f>
        <v>0</v>
      </c>
      <c r="AS2">
        <f>BDH("MLTX US Equity","CUR_MKT_CAP","1993-06-18","2026-05-02","Per=M","Days=T","Dir=V")</f>
        <v>0</v>
      </c>
      <c r="AU2">
        <f>BDH("MLTX US Equity","EQY_SH_OUT","1993-06-18","2026-05-02","Per=M","Days=T","Dir=V")</f>
        <v>0</v>
      </c>
      <c r="AW2">
        <f>BDH("MLTX US Equity","PX_VOLUME","1993-06-18","2026-05-02","Per=M","Days=T","Dir=V")</f>
        <v>0</v>
      </c>
      <c r="AY2">
        <f>BDH("MLTX US Equity","TURNOVER","1993-06-18","2026-05-02","Per=M","Days=T","Dir=V")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BDH("MLYS US Equity","BS_TOT_ASSET","1993-06-18","2026-05-02","Per=Y","Days=T","Dir=V")</f>
        <v>0</v>
      </c>
      <c r="C2">
        <f>BDH("MLYS US Equity","BS_TOT_LIAB2","1993-06-18","2026-05-02","Per=Y","Days=T","Dir=V")</f>
        <v>0</v>
      </c>
      <c r="E2">
        <f>BDH("MLYS US Equity","SHORT_AND_LONG_TERM_DEBT","1993-06-18","2026-05-02","Per=Y","Days=T","Dir=V")</f>
        <v>0</v>
      </c>
      <c r="G2">
        <f>BDH("MLYS US Equity","BS_ST_BORROW","1993-06-18","2026-05-02","Per=Y","Days=T","Dir=V")</f>
        <v>0</v>
      </c>
      <c r="I2">
        <f>BDH("MLYS US Equity","BS_LT_BORROW","1993-06-18","2026-05-02","Per=Y","Days=T","Dir=V")</f>
        <v>0</v>
      </c>
      <c r="K2">
        <f>BDH("MLYS US Equity","BS_CASH_NEAR_CASH_ITEM","1993-06-18","2026-05-02","Per=Y","Days=T","Dir=V")</f>
        <v>0</v>
      </c>
      <c r="M2">
        <f>BDH("MLYS US Equity","BS_CUR_ASSET_REPORT","1993-06-18","2026-05-02","Per=Y","Days=T","Dir=V")</f>
        <v>0</v>
      </c>
      <c r="O2">
        <f>BDH("MLYS US Equity","BS_CUR_LIAB","1993-06-18","2026-05-02","Per=Y","Days=T","Dir=V")</f>
        <v>0</v>
      </c>
      <c r="Q2">
        <f>BDH("MLYS US Equity","BS_SHAREHOLDER_EQY_ENDING_PERIOD","1993-06-18","2026-05-02","Per=Y","Days=T","Dir=V")</f>
        <v>0</v>
      </c>
      <c r="S2">
        <f>BDH("MLYS US Equity","BS_ACCT_NOTE_RCV","1993-06-18","2026-05-02","Per=Y","Days=T","Dir=V")</f>
        <v>0</v>
      </c>
      <c r="U2">
        <f>BDH("MLYS US Equity","BS_INVENTORIES","1993-06-18","2026-05-02","Per=Y","Days=T","Dir=V")</f>
        <v>0</v>
      </c>
      <c r="W2">
        <f>BDH("MLYS US Equity","WORKING_CAPITAL","1993-06-18","2026-05-02","Per=Y","Days=T","Dir=V")</f>
        <v>0</v>
      </c>
      <c r="Y2">
        <f>BDH("MLYS US Equity","SALES_REV_TURN","1993-06-18","2026-05-02","Per=Y","Days=T","Dir=V")</f>
        <v>0</v>
      </c>
      <c r="AA2">
        <f>BDH("MLYS US Equity","EBIT","1993-06-18","2026-05-02","Per=Y","Days=T","Dir=V")</f>
        <v>0</v>
      </c>
      <c r="AC2">
        <f>BDH("MLYS US Equity","EBITDA","1993-06-18","2026-05-02","Per=Y","Days=T","Dir=V")</f>
        <v>0</v>
      </c>
      <c r="AE2">
        <f>BDH("MLYS US Equity","NET_INCOME","1993-06-18","2026-05-02","Per=Y","Days=T","Dir=V")</f>
        <v>0</v>
      </c>
      <c r="AG2">
        <f>BDH("MLYS US Equity","IS_INT_EXPENSE","1993-06-18","2026-05-02","Per=Y","Days=T","Dir=V")</f>
        <v>0</v>
      </c>
      <c r="AI2">
        <f>BDH("MLYS US Equity","IS_DEPR_EXP","1993-06-18","2026-05-02","Per=Y","Days=T","Dir=V")</f>
        <v>0</v>
      </c>
      <c r="AK2">
        <f>BDH("MLYS US Equity","CF_CASH_FROM_OPER","1993-06-18","2026-05-02","Per=Y","Days=T","Dir=V")</f>
        <v>0</v>
      </c>
      <c r="AM2">
        <f>BDH("MLYS US Equity","CAPITAL_EXPEND","1993-06-18","2026-05-02","Per=Y","Days=T","Dir=V")</f>
        <v>0</v>
      </c>
      <c r="AO2">
        <f>BDH("MLYS US Equity","CF_FREE_CASH_FLOW","1993-06-18","2026-05-02","Per=Y","Days=T","Dir=V")</f>
        <v>0</v>
      </c>
      <c r="AQ2">
        <f>BDH("MLYS US Equity","PX_LAST","1993-06-18","2026-05-02","Per=M","Days=T","Dir=V")</f>
        <v>0</v>
      </c>
      <c r="AS2">
        <f>BDH("MLYS US Equity","CUR_MKT_CAP","1993-06-18","2026-05-02","Per=M","Days=T","Dir=V")</f>
        <v>0</v>
      </c>
      <c r="AU2">
        <f>BDH("MLYS US Equity","EQY_SH_OUT","1993-06-18","2026-05-02","Per=M","Days=T","Dir=V")</f>
        <v>0</v>
      </c>
      <c r="AW2">
        <f>BDH("MLYS US Equity","PX_VOLUME","1993-06-18","2026-05-02","Per=M","Days=T","Dir=V")</f>
        <v>0</v>
      </c>
      <c r="AY2">
        <f>BDH("MLYS US Equity","TURNOVER","1993-06-18","2026-05-02","Per=M","Days=T","Dir=V")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BDH("MMED US Equity","BS_TOT_ASSET","1993-06-18","2026-05-02","Per=Y","Days=T","Dir=V")</f>
        <v>0</v>
      </c>
      <c r="C2">
        <f>BDH("MMED US Equity","BS_TOT_LIAB2","1993-06-18","2026-05-02","Per=Y","Days=T","Dir=V")</f>
        <v>0</v>
      </c>
      <c r="E2">
        <f>BDH("MMED US Equity","SHORT_AND_LONG_TERM_DEBT","1993-06-18","2026-05-02","Per=Y","Days=T","Dir=V")</f>
        <v>0</v>
      </c>
      <c r="G2">
        <f>BDH("MMED US Equity","BS_ST_BORROW","1993-06-18","2026-05-02","Per=Y","Days=T","Dir=V")</f>
        <v>0</v>
      </c>
      <c r="I2">
        <f>BDH("MMED US Equity","BS_LT_BORROW","1993-06-18","2026-05-02","Per=Y","Days=T","Dir=V")</f>
        <v>0</v>
      </c>
      <c r="K2">
        <f>BDH("MMED US Equity","BS_CASH_NEAR_CASH_ITEM","1993-06-18","2026-05-02","Per=Y","Days=T","Dir=V")</f>
        <v>0</v>
      </c>
      <c r="M2">
        <f>BDH("MMED US Equity","BS_CUR_ASSET_REPORT","1993-06-18","2026-05-02","Per=Y","Days=T","Dir=V")</f>
        <v>0</v>
      </c>
      <c r="O2">
        <f>BDH("MMED US Equity","BS_CUR_LIAB","1993-06-18","2026-05-02","Per=Y","Days=T","Dir=V")</f>
        <v>0</v>
      </c>
      <c r="Q2">
        <f>BDH("MMED US Equity","BS_SHAREHOLDER_EQY_ENDING_PERIOD","1993-06-18","2026-05-02","Per=Y","Days=T","Dir=V")</f>
        <v>0</v>
      </c>
      <c r="S2">
        <f>BDH("MMED US Equity","BS_ACCT_NOTE_RCV","1993-06-18","2026-05-02","Per=Y","Days=T","Dir=V")</f>
        <v>0</v>
      </c>
      <c r="U2">
        <f>BDH("MMED US Equity","BS_INVENTORIES","1993-06-18","2026-05-02","Per=Y","Days=T","Dir=V")</f>
        <v>0</v>
      </c>
      <c r="W2">
        <f>BDH("MMED US Equity","WORKING_CAPITAL","1993-06-18","2026-05-02","Per=Y","Days=T","Dir=V")</f>
        <v>0</v>
      </c>
      <c r="Y2">
        <f>BDH("MMED US Equity","SALES_REV_TURN","1993-06-18","2026-05-02","Per=Y","Days=T","Dir=V")</f>
        <v>0</v>
      </c>
      <c r="AA2">
        <f>BDH("MMED US Equity","EBIT","1993-06-18","2026-05-02","Per=Y","Days=T","Dir=V")</f>
        <v>0</v>
      </c>
      <c r="AC2">
        <f>BDH("MMED US Equity","EBITDA","1993-06-18","2026-05-02","Per=Y","Days=T","Dir=V")</f>
        <v>0</v>
      </c>
      <c r="AE2">
        <f>BDH("MMED US Equity","NET_INCOME","1993-06-18","2026-05-02","Per=Y","Days=T","Dir=V")</f>
        <v>0</v>
      </c>
      <c r="AG2">
        <f>BDH("MMED US Equity","IS_INT_EXPENSE","1993-06-18","2026-05-02","Per=Y","Days=T","Dir=V")</f>
        <v>0</v>
      </c>
      <c r="AI2">
        <f>BDH("MMED US Equity","IS_DEPR_EXP","1993-06-18","2026-05-02","Per=Y","Days=T","Dir=V")</f>
        <v>0</v>
      </c>
      <c r="AK2">
        <f>BDH("MMED US Equity","CF_CASH_FROM_OPER","1993-06-18","2026-05-02","Per=Y","Days=T","Dir=V")</f>
        <v>0</v>
      </c>
      <c r="AM2">
        <f>BDH("MMED US Equity","CAPITAL_EXPEND","1993-06-18","2026-05-02","Per=Y","Days=T","Dir=V")</f>
        <v>0</v>
      </c>
      <c r="AO2">
        <f>BDH("MMED US Equity","CF_FREE_CASH_FLOW","1993-06-18","2026-05-02","Per=Y","Days=T","Dir=V")</f>
        <v>0</v>
      </c>
      <c r="AQ2">
        <f>BDH("MMED US Equity","PX_LAST","1993-06-18","2026-05-02","Per=M","Days=T","Dir=V")</f>
        <v>0</v>
      </c>
      <c r="AS2">
        <f>BDH("MMED US Equity","CUR_MKT_CAP","1993-06-18","2026-05-02","Per=M","Days=T","Dir=V")</f>
        <v>0</v>
      </c>
      <c r="AU2">
        <f>BDH("MMED US Equity","EQY_SH_OUT","1993-06-18","2026-05-02","Per=M","Days=T","Dir=V")</f>
        <v>0</v>
      </c>
      <c r="AW2">
        <f>BDH("MMED US Equity","PX_VOLUME","1993-06-18","2026-05-02","Per=M","Days=T","Dir=V")</f>
        <v>0</v>
      </c>
      <c r="AY2">
        <f>BDH("MMED US Equity","TURNOVER","1993-06-18","2026-05-02","Per=M","Days=T","Dir=V")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BDH("MMLP US Equity","BS_TOT_ASSET","1993-06-18","2026-05-02","Per=Y","Days=T","Dir=V")</f>
        <v>0</v>
      </c>
      <c r="C2">
        <f>BDH("MMLP US Equity","BS_TOT_LIAB2","1993-06-18","2026-05-02","Per=Y","Days=T","Dir=V")</f>
        <v>0</v>
      </c>
      <c r="E2">
        <f>BDH("MMLP US Equity","SHORT_AND_LONG_TERM_DEBT","1993-06-18","2026-05-02","Per=Y","Days=T","Dir=V")</f>
        <v>0</v>
      </c>
      <c r="G2">
        <f>BDH("MMLP US Equity","BS_ST_BORROW","1993-06-18","2026-05-02","Per=Y","Days=T","Dir=V")</f>
        <v>0</v>
      </c>
      <c r="I2">
        <f>BDH("MMLP US Equity","BS_LT_BORROW","1993-06-18","2026-05-02","Per=Y","Days=T","Dir=V")</f>
        <v>0</v>
      </c>
      <c r="K2">
        <f>BDH("MMLP US Equity","BS_CASH_NEAR_CASH_ITEM","1993-06-18","2026-05-02","Per=Y","Days=T","Dir=V")</f>
        <v>0</v>
      </c>
      <c r="M2">
        <f>BDH("MMLP US Equity","BS_CUR_ASSET_REPORT","1993-06-18","2026-05-02","Per=Y","Days=T","Dir=V")</f>
        <v>0</v>
      </c>
      <c r="O2">
        <f>BDH("MMLP US Equity","BS_CUR_LIAB","1993-06-18","2026-05-02","Per=Y","Days=T","Dir=V")</f>
        <v>0</v>
      </c>
      <c r="Q2">
        <f>BDH("MMLP US Equity","BS_SHAREHOLDER_EQY_ENDING_PERIOD","1993-06-18","2026-05-02","Per=Y","Days=T","Dir=V")</f>
        <v>0</v>
      </c>
      <c r="S2">
        <f>BDH("MMLP US Equity","BS_ACCT_NOTE_RCV","1993-06-18","2026-05-02","Per=Y","Days=T","Dir=V")</f>
        <v>0</v>
      </c>
      <c r="U2">
        <f>BDH("MMLP US Equity","BS_INVENTORIES","1993-06-18","2026-05-02","Per=Y","Days=T","Dir=V")</f>
        <v>0</v>
      </c>
      <c r="W2">
        <f>BDH("MMLP US Equity","WORKING_CAPITAL","1993-06-18","2026-05-02","Per=Y","Days=T","Dir=V")</f>
        <v>0</v>
      </c>
      <c r="Y2">
        <f>BDH("MMLP US Equity","SALES_REV_TURN","1993-06-18","2026-05-02","Per=Y","Days=T","Dir=V")</f>
        <v>0</v>
      </c>
      <c r="AA2">
        <f>BDH("MMLP US Equity","EBIT","1993-06-18","2026-05-02","Per=Y","Days=T","Dir=V")</f>
        <v>0</v>
      </c>
      <c r="AC2">
        <f>BDH("MMLP US Equity","EBITDA","1993-06-18","2026-05-02","Per=Y","Days=T","Dir=V")</f>
        <v>0</v>
      </c>
      <c r="AE2">
        <f>BDH("MMLP US Equity","NET_INCOME","1993-06-18","2026-05-02","Per=Y","Days=T","Dir=V")</f>
        <v>0</v>
      </c>
      <c r="AG2">
        <f>BDH("MMLP US Equity","IS_INT_EXPENSE","1993-06-18","2026-05-02","Per=Y","Days=T","Dir=V")</f>
        <v>0</v>
      </c>
      <c r="AI2">
        <f>BDH("MMLP US Equity","IS_DEPR_EXP","1993-06-18","2026-05-02","Per=Y","Days=T","Dir=V")</f>
        <v>0</v>
      </c>
      <c r="AK2">
        <f>BDH("MMLP US Equity","CF_CASH_FROM_OPER","1993-06-18","2026-05-02","Per=Y","Days=T","Dir=V")</f>
        <v>0</v>
      </c>
      <c r="AM2">
        <f>BDH("MMLP US Equity","CAPITAL_EXPEND","1993-06-18","2026-05-02","Per=Y","Days=T","Dir=V")</f>
        <v>0</v>
      </c>
      <c r="AO2">
        <f>BDH("MMLP US Equity","CF_FREE_CASH_FLOW","1993-06-18","2026-05-02","Per=Y","Days=T","Dir=V")</f>
        <v>0</v>
      </c>
      <c r="AQ2">
        <f>BDH("MMLP US Equity","PX_LAST","1993-06-18","2026-05-02","Per=M","Days=T","Dir=V")</f>
        <v>0</v>
      </c>
      <c r="AS2">
        <f>BDH("MMLP US Equity","CUR_MKT_CAP","1993-06-18","2026-05-02","Per=M","Days=T","Dir=V")</f>
        <v>0</v>
      </c>
      <c r="AU2">
        <f>BDH("MMLP US Equity","EQY_SH_OUT","1993-06-18","2026-05-02","Per=M","Days=T","Dir=V")</f>
        <v>0</v>
      </c>
      <c r="AW2">
        <f>BDH("MMLP US Equity","PX_VOLUME","1993-06-18","2026-05-02","Per=M","Days=T","Dir=V")</f>
        <v>0</v>
      </c>
      <c r="AY2">
        <f>BDH("MMLP US Equity","TURNOVER","1993-06-18","2026-05-02","Per=M","Days=T","Dir=V")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BDH("MMM US Equity","BS_TOT_ASSET","1993-06-18","2026-05-02","Per=Y","Days=T","Dir=V")</f>
        <v>0</v>
      </c>
      <c r="C2">
        <f>BDH("MMM US Equity","BS_TOT_LIAB2","1993-06-18","2026-05-02","Per=Y","Days=T","Dir=V")</f>
        <v>0</v>
      </c>
      <c r="E2">
        <f>BDH("MMM US Equity","SHORT_AND_LONG_TERM_DEBT","1993-06-18","2026-05-02","Per=Y","Days=T","Dir=V")</f>
        <v>0</v>
      </c>
      <c r="G2">
        <f>BDH("MMM US Equity","BS_ST_BORROW","1993-06-18","2026-05-02","Per=Y","Days=T","Dir=V")</f>
        <v>0</v>
      </c>
      <c r="I2">
        <f>BDH("MMM US Equity","BS_LT_BORROW","1993-06-18","2026-05-02","Per=Y","Days=T","Dir=V")</f>
        <v>0</v>
      </c>
      <c r="K2">
        <f>BDH("MMM US Equity","BS_CASH_NEAR_CASH_ITEM","1993-06-18","2026-05-02","Per=Y","Days=T","Dir=V")</f>
        <v>0</v>
      </c>
      <c r="M2">
        <f>BDH("MMM US Equity","BS_CUR_ASSET_REPORT","1993-06-18","2026-05-02","Per=Y","Days=T","Dir=V")</f>
        <v>0</v>
      </c>
      <c r="O2">
        <f>BDH("MMM US Equity","BS_CUR_LIAB","1993-06-18","2026-05-02","Per=Y","Days=T","Dir=V")</f>
        <v>0</v>
      </c>
      <c r="Q2">
        <f>BDH("MMM US Equity","BS_SHAREHOLDER_EQY_ENDING_PERIOD","1993-06-18","2026-05-02","Per=Y","Days=T","Dir=V")</f>
        <v>0</v>
      </c>
      <c r="S2">
        <f>BDH("MMM US Equity","BS_ACCT_NOTE_RCV","1993-06-18","2026-05-02","Per=Y","Days=T","Dir=V")</f>
        <v>0</v>
      </c>
      <c r="U2">
        <f>BDH("MMM US Equity","BS_INVENTORIES","1993-06-18","2026-05-02","Per=Y","Days=T","Dir=V")</f>
        <v>0</v>
      </c>
      <c r="W2">
        <f>BDH("MMM US Equity","WORKING_CAPITAL","1993-06-18","2026-05-02","Per=Y","Days=T","Dir=V")</f>
        <v>0</v>
      </c>
      <c r="Y2">
        <f>BDH("MMM US Equity","SALES_REV_TURN","1993-06-18","2026-05-02","Per=Y","Days=T","Dir=V")</f>
        <v>0</v>
      </c>
      <c r="AA2">
        <f>BDH("MMM US Equity","EBIT","1993-06-18","2026-05-02","Per=Y","Days=T","Dir=V")</f>
        <v>0</v>
      </c>
      <c r="AC2">
        <f>BDH("MMM US Equity","EBITDA","1993-06-18","2026-05-02","Per=Y","Days=T","Dir=V")</f>
        <v>0</v>
      </c>
      <c r="AE2">
        <f>BDH("MMM US Equity","NET_INCOME","1993-06-18","2026-05-02","Per=Y","Days=T","Dir=V")</f>
        <v>0</v>
      </c>
      <c r="AG2">
        <f>BDH("MMM US Equity","IS_INT_EXPENSE","1993-06-18","2026-05-02","Per=Y","Days=T","Dir=V")</f>
        <v>0</v>
      </c>
      <c r="AI2">
        <f>BDH("MMM US Equity","IS_DEPR_EXP","1993-06-18","2026-05-02","Per=Y","Days=T","Dir=V")</f>
        <v>0</v>
      </c>
      <c r="AK2">
        <f>BDH("MMM US Equity","CF_CASH_FROM_OPER","1993-06-18","2026-05-02","Per=Y","Days=T","Dir=V")</f>
        <v>0</v>
      </c>
      <c r="AM2">
        <f>BDH("MMM US Equity","CAPITAL_EXPEND","1993-06-18","2026-05-02","Per=Y","Days=T","Dir=V")</f>
        <v>0</v>
      </c>
      <c r="AO2">
        <f>BDH("MMM US Equity","CF_FREE_CASH_FLOW","1993-06-18","2026-05-02","Per=Y","Days=T","Dir=V")</f>
        <v>0</v>
      </c>
      <c r="AQ2">
        <f>BDH("MMM US Equity","PX_LAST","1993-06-18","2026-05-02","Per=M","Days=T","Dir=V")</f>
        <v>0</v>
      </c>
      <c r="AS2">
        <f>BDH("MMM US Equity","CUR_MKT_CAP","1993-06-18","2026-05-02","Per=M","Days=T","Dir=V")</f>
        <v>0</v>
      </c>
      <c r="AU2">
        <f>BDH("MMM US Equity","EQY_SH_OUT","1993-06-18","2026-05-02","Per=M","Days=T","Dir=V")</f>
        <v>0</v>
      </c>
      <c r="AW2">
        <f>BDH("MMM US Equity","PX_VOLUME","1993-06-18","2026-05-02","Per=M","Days=T","Dir=V")</f>
        <v>0</v>
      </c>
      <c r="AY2">
        <f>BDH("MMM US Equity","TURNOVER","1993-06-18","2026-05-02","Per=M","Days=T","Dir=V")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BDH("MMS US Equity","BS_TOT_ASSET","1993-06-18","2026-05-02","Per=Y","Days=T","Dir=V")</f>
        <v>0</v>
      </c>
      <c r="C2">
        <f>BDH("MMS US Equity","BS_TOT_LIAB2","1993-06-18","2026-05-02","Per=Y","Days=T","Dir=V")</f>
        <v>0</v>
      </c>
      <c r="E2">
        <f>BDH("MMS US Equity","SHORT_AND_LONG_TERM_DEBT","1993-06-18","2026-05-02","Per=Y","Days=T","Dir=V")</f>
        <v>0</v>
      </c>
      <c r="G2">
        <f>BDH("MMS US Equity","BS_ST_BORROW","1993-06-18","2026-05-02","Per=Y","Days=T","Dir=V")</f>
        <v>0</v>
      </c>
      <c r="I2">
        <f>BDH("MMS US Equity","BS_LT_BORROW","1993-06-18","2026-05-02","Per=Y","Days=T","Dir=V")</f>
        <v>0</v>
      </c>
      <c r="K2">
        <f>BDH("MMS US Equity","BS_CASH_NEAR_CASH_ITEM","1993-06-18","2026-05-02","Per=Y","Days=T","Dir=V")</f>
        <v>0</v>
      </c>
      <c r="M2">
        <f>BDH("MMS US Equity","BS_CUR_ASSET_REPORT","1993-06-18","2026-05-02","Per=Y","Days=T","Dir=V")</f>
        <v>0</v>
      </c>
      <c r="O2">
        <f>BDH("MMS US Equity","BS_CUR_LIAB","1993-06-18","2026-05-02","Per=Y","Days=T","Dir=V")</f>
        <v>0</v>
      </c>
      <c r="Q2">
        <f>BDH("MMS US Equity","BS_SHAREHOLDER_EQY_ENDING_PERIOD","1993-06-18","2026-05-02","Per=Y","Days=T","Dir=V")</f>
        <v>0</v>
      </c>
      <c r="S2">
        <f>BDH("MMS US Equity","BS_ACCT_NOTE_RCV","1993-06-18","2026-05-02","Per=Y","Days=T","Dir=V")</f>
        <v>0</v>
      </c>
      <c r="U2">
        <f>BDH("MMS US Equity","BS_INVENTORIES","1993-06-18","2026-05-02","Per=Y","Days=T","Dir=V")</f>
        <v>0</v>
      </c>
      <c r="W2">
        <f>BDH("MMS US Equity","WORKING_CAPITAL","1993-06-18","2026-05-02","Per=Y","Days=T","Dir=V")</f>
        <v>0</v>
      </c>
      <c r="Y2">
        <f>BDH("MMS US Equity","SALES_REV_TURN","1993-06-18","2026-05-02","Per=Y","Days=T","Dir=V")</f>
        <v>0</v>
      </c>
      <c r="AA2">
        <f>BDH("MMS US Equity","EBIT","1993-06-18","2026-05-02","Per=Y","Days=T","Dir=V")</f>
        <v>0</v>
      </c>
      <c r="AC2">
        <f>BDH("MMS US Equity","EBITDA","1993-06-18","2026-05-02","Per=Y","Days=T","Dir=V")</f>
        <v>0</v>
      </c>
      <c r="AE2">
        <f>BDH("MMS US Equity","NET_INCOME","1993-06-18","2026-05-02","Per=Y","Days=T","Dir=V")</f>
        <v>0</v>
      </c>
      <c r="AG2">
        <f>BDH("MMS US Equity","IS_INT_EXPENSE","1993-06-18","2026-05-02","Per=Y","Days=T","Dir=V")</f>
        <v>0</v>
      </c>
      <c r="AI2">
        <f>BDH("MMS US Equity","IS_DEPR_EXP","1993-06-18","2026-05-02","Per=Y","Days=T","Dir=V")</f>
        <v>0</v>
      </c>
      <c r="AK2">
        <f>BDH("MMS US Equity","CF_CASH_FROM_OPER","1993-06-18","2026-05-02","Per=Y","Days=T","Dir=V")</f>
        <v>0</v>
      </c>
      <c r="AM2">
        <f>BDH("MMS US Equity","CAPITAL_EXPEND","1993-06-18","2026-05-02","Per=Y","Days=T","Dir=V")</f>
        <v>0</v>
      </c>
      <c r="AO2">
        <f>BDH("MMS US Equity","CF_FREE_CASH_FLOW","1993-06-18","2026-05-02","Per=Y","Days=T","Dir=V")</f>
        <v>0</v>
      </c>
      <c r="AQ2">
        <f>BDH("MMS US Equity","PX_LAST","1993-06-18","2026-05-02","Per=M","Days=T","Dir=V")</f>
        <v>0</v>
      </c>
      <c r="AS2">
        <f>BDH("MMS US Equity","CUR_MKT_CAP","1993-06-18","2026-05-02","Per=M","Days=T","Dir=V")</f>
        <v>0</v>
      </c>
      <c r="AU2">
        <f>BDH("MMS US Equity","EQY_SH_OUT","1993-06-18","2026-05-02","Per=M","Days=T","Dir=V")</f>
        <v>0</v>
      </c>
      <c r="AW2">
        <f>BDH("MMS US Equity","PX_VOLUME","1993-06-18","2026-05-02","Per=M","Days=T","Dir=V")</f>
        <v>0</v>
      </c>
      <c r="AY2">
        <f>BDH("MMS US Equity","TURNOVER","1993-06-18","2026-05-02","Per=M","Days=T","Dir=V")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BDH("MMSI US Equity","BS_TOT_ASSET","1993-06-18","2026-05-02","Per=Y","Days=T","Dir=V")</f>
        <v>0</v>
      </c>
      <c r="C2">
        <f>BDH("MMSI US Equity","BS_TOT_LIAB2","1993-06-18","2026-05-02","Per=Y","Days=T","Dir=V")</f>
        <v>0</v>
      </c>
      <c r="E2">
        <f>BDH("MMSI US Equity","SHORT_AND_LONG_TERM_DEBT","1993-06-18","2026-05-02","Per=Y","Days=T","Dir=V")</f>
        <v>0</v>
      </c>
      <c r="G2">
        <f>BDH("MMSI US Equity","BS_ST_BORROW","1993-06-18","2026-05-02","Per=Y","Days=T","Dir=V")</f>
        <v>0</v>
      </c>
      <c r="I2">
        <f>BDH("MMSI US Equity","BS_LT_BORROW","1993-06-18","2026-05-02","Per=Y","Days=T","Dir=V")</f>
        <v>0</v>
      </c>
      <c r="K2">
        <f>BDH("MMSI US Equity","BS_CASH_NEAR_CASH_ITEM","1993-06-18","2026-05-02","Per=Y","Days=T","Dir=V")</f>
        <v>0</v>
      </c>
      <c r="M2">
        <f>BDH("MMSI US Equity","BS_CUR_ASSET_REPORT","1993-06-18","2026-05-02","Per=Y","Days=T","Dir=V")</f>
        <v>0</v>
      </c>
      <c r="O2">
        <f>BDH("MMSI US Equity","BS_CUR_LIAB","1993-06-18","2026-05-02","Per=Y","Days=T","Dir=V")</f>
        <v>0</v>
      </c>
      <c r="Q2">
        <f>BDH("MMSI US Equity","BS_SHAREHOLDER_EQY_ENDING_PERIOD","1993-06-18","2026-05-02","Per=Y","Days=T","Dir=V")</f>
        <v>0</v>
      </c>
      <c r="S2">
        <f>BDH("MMSI US Equity","BS_ACCT_NOTE_RCV","1993-06-18","2026-05-02","Per=Y","Days=T","Dir=V")</f>
        <v>0</v>
      </c>
      <c r="U2">
        <f>BDH("MMSI US Equity","BS_INVENTORIES","1993-06-18","2026-05-02","Per=Y","Days=T","Dir=V")</f>
        <v>0</v>
      </c>
      <c r="W2">
        <f>BDH("MMSI US Equity","WORKING_CAPITAL","1993-06-18","2026-05-02","Per=Y","Days=T","Dir=V")</f>
        <v>0</v>
      </c>
      <c r="Y2">
        <f>BDH("MMSI US Equity","SALES_REV_TURN","1993-06-18","2026-05-02","Per=Y","Days=T","Dir=V")</f>
        <v>0</v>
      </c>
      <c r="AA2">
        <f>BDH("MMSI US Equity","EBIT","1993-06-18","2026-05-02","Per=Y","Days=T","Dir=V")</f>
        <v>0</v>
      </c>
      <c r="AC2">
        <f>BDH("MMSI US Equity","EBITDA","1993-06-18","2026-05-02","Per=Y","Days=T","Dir=V")</f>
        <v>0</v>
      </c>
      <c r="AE2">
        <f>BDH("MMSI US Equity","NET_INCOME","1993-06-18","2026-05-02","Per=Y","Days=T","Dir=V")</f>
        <v>0</v>
      </c>
      <c r="AG2">
        <f>BDH("MMSI US Equity","IS_INT_EXPENSE","1993-06-18","2026-05-02","Per=Y","Days=T","Dir=V")</f>
        <v>0</v>
      </c>
      <c r="AI2">
        <f>BDH("MMSI US Equity","IS_DEPR_EXP","1993-06-18","2026-05-02","Per=Y","Days=T","Dir=V")</f>
        <v>0</v>
      </c>
      <c r="AK2">
        <f>BDH("MMSI US Equity","CF_CASH_FROM_OPER","1993-06-18","2026-05-02","Per=Y","Days=T","Dir=V")</f>
        <v>0</v>
      </c>
      <c r="AM2">
        <f>BDH("MMSI US Equity","CAPITAL_EXPEND","1993-06-18","2026-05-02","Per=Y","Days=T","Dir=V")</f>
        <v>0</v>
      </c>
      <c r="AO2">
        <f>BDH("MMSI US Equity","CF_FREE_CASH_FLOW","1993-06-18","2026-05-02","Per=Y","Days=T","Dir=V")</f>
        <v>0</v>
      </c>
      <c r="AQ2">
        <f>BDH("MMSI US Equity","PX_LAST","1993-06-18","2026-05-02","Per=M","Days=T","Dir=V")</f>
        <v>0</v>
      </c>
      <c r="AS2">
        <f>BDH("MMSI US Equity","CUR_MKT_CAP","1993-06-18","2026-05-02","Per=M","Days=T","Dir=V")</f>
        <v>0</v>
      </c>
      <c r="AU2">
        <f>BDH("MMSI US Equity","EQY_SH_OUT","1993-06-18","2026-05-02","Per=M","Days=T","Dir=V")</f>
        <v>0</v>
      </c>
      <c r="AW2">
        <f>BDH("MMSI US Equity","PX_VOLUME","1993-06-18","2026-05-02","Per=M","Days=T","Dir=V")</f>
        <v>0</v>
      </c>
      <c r="AY2">
        <f>BDH("MMSI US Equity","TURNOVER","1993-06-18","2026-05-02","Per=M","Days=T","Dir=V")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BDH("MNKD US Equity","BS_TOT_ASSET","1993-06-18","2026-05-02","Per=Y","Days=T","Dir=V")</f>
        <v>0</v>
      </c>
      <c r="C2">
        <f>BDH("MNKD US Equity","BS_TOT_LIAB2","1993-06-18","2026-05-02","Per=Y","Days=T","Dir=V")</f>
        <v>0</v>
      </c>
      <c r="E2">
        <f>BDH("MNKD US Equity","SHORT_AND_LONG_TERM_DEBT","1993-06-18","2026-05-02","Per=Y","Days=T","Dir=V")</f>
        <v>0</v>
      </c>
      <c r="G2">
        <f>BDH("MNKD US Equity","BS_ST_BORROW","1993-06-18","2026-05-02","Per=Y","Days=T","Dir=V")</f>
        <v>0</v>
      </c>
      <c r="I2">
        <f>BDH("MNKD US Equity","BS_LT_BORROW","1993-06-18","2026-05-02","Per=Y","Days=T","Dir=V")</f>
        <v>0</v>
      </c>
      <c r="K2">
        <f>BDH("MNKD US Equity","BS_CASH_NEAR_CASH_ITEM","1993-06-18","2026-05-02","Per=Y","Days=T","Dir=V")</f>
        <v>0</v>
      </c>
      <c r="M2">
        <f>BDH("MNKD US Equity","BS_CUR_ASSET_REPORT","1993-06-18","2026-05-02","Per=Y","Days=T","Dir=V")</f>
        <v>0</v>
      </c>
      <c r="O2">
        <f>BDH("MNKD US Equity","BS_CUR_LIAB","1993-06-18","2026-05-02","Per=Y","Days=T","Dir=V")</f>
        <v>0</v>
      </c>
      <c r="Q2">
        <f>BDH("MNKD US Equity","BS_SHAREHOLDER_EQY_ENDING_PERIOD","1993-06-18","2026-05-02","Per=Y","Days=T","Dir=V")</f>
        <v>0</v>
      </c>
      <c r="S2">
        <f>BDH("MNKD US Equity","BS_ACCT_NOTE_RCV","1993-06-18","2026-05-02","Per=Y","Days=T","Dir=V")</f>
        <v>0</v>
      </c>
      <c r="U2">
        <f>BDH("MNKD US Equity","BS_INVENTORIES","1993-06-18","2026-05-02","Per=Y","Days=T","Dir=V")</f>
        <v>0</v>
      </c>
      <c r="W2">
        <f>BDH("MNKD US Equity","WORKING_CAPITAL","1993-06-18","2026-05-02","Per=Y","Days=T","Dir=V")</f>
        <v>0</v>
      </c>
      <c r="Y2">
        <f>BDH("MNKD US Equity","SALES_REV_TURN","1993-06-18","2026-05-02","Per=Y","Days=T","Dir=V")</f>
        <v>0</v>
      </c>
      <c r="AA2">
        <f>BDH("MNKD US Equity","EBIT","1993-06-18","2026-05-02","Per=Y","Days=T","Dir=V")</f>
        <v>0</v>
      </c>
      <c r="AC2">
        <f>BDH("MNKD US Equity","EBITDA","1993-06-18","2026-05-02","Per=Y","Days=T","Dir=V")</f>
        <v>0</v>
      </c>
      <c r="AE2">
        <f>BDH("MNKD US Equity","NET_INCOME","1993-06-18","2026-05-02","Per=Y","Days=T","Dir=V")</f>
        <v>0</v>
      </c>
      <c r="AG2">
        <f>BDH("MNKD US Equity","IS_INT_EXPENSE","1993-06-18","2026-05-02","Per=Y","Days=T","Dir=V")</f>
        <v>0</v>
      </c>
      <c r="AI2">
        <f>BDH("MNKD US Equity","IS_DEPR_EXP","1993-06-18","2026-05-02","Per=Y","Days=T","Dir=V")</f>
        <v>0</v>
      </c>
      <c r="AK2">
        <f>BDH("MNKD US Equity","CF_CASH_FROM_OPER","1993-06-18","2026-05-02","Per=Y","Days=T","Dir=V")</f>
        <v>0</v>
      </c>
      <c r="AM2">
        <f>BDH("MNKD US Equity","CAPITAL_EXPEND","1993-06-18","2026-05-02","Per=Y","Days=T","Dir=V")</f>
        <v>0</v>
      </c>
      <c r="AO2">
        <f>BDH("MNKD US Equity","CF_FREE_CASH_FLOW","1993-06-18","2026-05-02","Per=Y","Days=T","Dir=V")</f>
        <v>0</v>
      </c>
      <c r="AQ2">
        <f>BDH("MNKD US Equity","PX_LAST","1993-06-18","2026-05-02","Per=M","Days=T","Dir=V")</f>
        <v>0</v>
      </c>
      <c r="AS2">
        <f>BDH("MNKD US Equity","CUR_MKT_CAP","1993-06-18","2026-05-02","Per=M","Days=T","Dir=V")</f>
        <v>0</v>
      </c>
      <c r="AU2">
        <f>BDH("MNKD US Equity","EQY_SH_OUT","1993-06-18","2026-05-02","Per=M","Days=T","Dir=V")</f>
        <v>0</v>
      </c>
      <c r="AW2">
        <f>BDH("MNKD US Equity","PX_VOLUME","1993-06-18","2026-05-02","Per=M","Days=T","Dir=V")</f>
        <v>0</v>
      </c>
      <c r="AY2">
        <f>BDH("MNKD US Equity","TURNOVER","1993-06-18","2026-05-02","Per=M","Days=T","Dir=V")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BDH("MNOV US Equity","BS_TOT_ASSET","1993-06-18","2026-05-02","Per=Y","Days=T","Dir=V")</f>
        <v>0</v>
      </c>
      <c r="C2">
        <f>BDH("MNOV US Equity","BS_TOT_LIAB2","1993-06-18","2026-05-02","Per=Y","Days=T","Dir=V")</f>
        <v>0</v>
      </c>
      <c r="E2">
        <f>BDH("MNOV US Equity","SHORT_AND_LONG_TERM_DEBT","1993-06-18","2026-05-02","Per=Y","Days=T","Dir=V")</f>
        <v>0</v>
      </c>
      <c r="G2">
        <f>BDH("MNOV US Equity","BS_ST_BORROW","1993-06-18","2026-05-02","Per=Y","Days=T","Dir=V")</f>
        <v>0</v>
      </c>
      <c r="I2">
        <f>BDH("MNOV US Equity","BS_LT_BORROW","1993-06-18","2026-05-02","Per=Y","Days=T","Dir=V")</f>
        <v>0</v>
      </c>
      <c r="K2">
        <f>BDH("MNOV US Equity","BS_CASH_NEAR_CASH_ITEM","1993-06-18","2026-05-02","Per=Y","Days=T","Dir=V")</f>
        <v>0</v>
      </c>
      <c r="M2">
        <f>BDH("MNOV US Equity","BS_CUR_ASSET_REPORT","1993-06-18","2026-05-02","Per=Y","Days=T","Dir=V")</f>
        <v>0</v>
      </c>
      <c r="O2">
        <f>BDH("MNOV US Equity","BS_CUR_LIAB","1993-06-18","2026-05-02","Per=Y","Days=T","Dir=V")</f>
        <v>0</v>
      </c>
      <c r="Q2">
        <f>BDH("MNOV US Equity","BS_SHAREHOLDER_EQY_ENDING_PERIOD","1993-06-18","2026-05-02","Per=Y","Days=T","Dir=V")</f>
        <v>0</v>
      </c>
      <c r="S2">
        <f>BDH("MNOV US Equity","BS_ACCT_NOTE_RCV","1993-06-18","2026-05-02","Per=Y","Days=T","Dir=V")</f>
        <v>0</v>
      </c>
      <c r="U2">
        <f>BDH("MNOV US Equity","BS_INVENTORIES","1993-06-18","2026-05-02","Per=Y","Days=T","Dir=V")</f>
        <v>0</v>
      </c>
      <c r="W2">
        <f>BDH("MNOV US Equity","WORKING_CAPITAL","1993-06-18","2026-05-02","Per=Y","Days=T","Dir=V")</f>
        <v>0</v>
      </c>
      <c r="Y2">
        <f>BDH("MNOV US Equity","SALES_REV_TURN","1993-06-18","2026-05-02","Per=Y","Days=T","Dir=V")</f>
        <v>0</v>
      </c>
      <c r="AA2">
        <f>BDH("MNOV US Equity","EBIT","1993-06-18","2026-05-02","Per=Y","Days=T","Dir=V")</f>
        <v>0</v>
      </c>
      <c r="AC2">
        <f>BDH("MNOV US Equity","EBITDA","1993-06-18","2026-05-02","Per=Y","Days=T","Dir=V")</f>
        <v>0</v>
      </c>
      <c r="AE2">
        <f>BDH("MNOV US Equity","NET_INCOME","1993-06-18","2026-05-02","Per=Y","Days=T","Dir=V")</f>
        <v>0</v>
      </c>
      <c r="AG2">
        <f>BDH("MNOV US Equity","IS_INT_EXPENSE","1993-06-18","2026-05-02","Per=Y","Days=T","Dir=V")</f>
        <v>0</v>
      </c>
      <c r="AI2">
        <f>BDH("MNOV US Equity","IS_DEPR_EXP","1993-06-18","2026-05-02","Per=Y","Days=T","Dir=V")</f>
        <v>0</v>
      </c>
      <c r="AK2">
        <f>BDH("MNOV US Equity","CF_CASH_FROM_OPER","1993-06-18","2026-05-02","Per=Y","Days=T","Dir=V")</f>
        <v>0</v>
      </c>
      <c r="AM2">
        <f>BDH("MNOV US Equity","CAPITAL_EXPEND","1993-06-18","2026-05-02","Per=Y","Days=T","Dir=V")</f>
        <v>0</v>
      </c>
      <c r="AO2">
        <f>BDH("MNOV US Equity","CF_FREE_CASH_FLOW","1993-06-18","2026-05-02","Per=Y","Days=T","Dir=V")</f>
        <v>0</v>
      </c>
      <c r="AQ2">
        <f>BDH("MNOV US Equity","PX_LAST","1993-06-18","2026-05-02","Per=M","Days=T","Dir=V")</f>
        <v>0</v>
      </c>
      <c r="AS2">
        <f>BDH("MNOV US Equity","CUR_MKT_CAP","1993-06-18","2026-05-02","Per=M","Days=T","Dir=V")</f>
        <v>0</v>
      </c>
      <c r="AU2">
        <f>BDH("MNOV US Equity","EQY_SH_OUT","1993-06-18","2026-05-02","Per=M","Days=T","Dir=V")</f>
        <v>0</v>
      </c>
      <c r="AW2">
        <f>BDH("MNOV US Equity","PX_VOLUME","1993-06-18","2026-05-02","Per=M","Days=T","Dir=V")</f>
        <v>0</v>
      </c>
      <c r="AY2">
        <f>BDH("MNOV US Equity","TURNOVER","1993-06-18","2026-05-02","Per=M","Days=T","Dir=V")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BDH("MNPR US Equity","BS_TOT_ASSET","1993-06-18","2026-05-02","Per=Y","Days=T","Dir=V")</f>
        <v>0</v>
      </c>
      <c r="C2">
        <f>BDH("MNPR US Equity","BS_TOT_LIAB2","1993-06-18","2026-05-02","Per=Y","Days=T","Dir=V")</f>
        <v>0</v>
      </c>
      <c r="E2">
        <f>BDH("MNPR US Equity","SHORT_AND_LONG_TERM_DEBT","1993-06-18","2026-05-02","Per=Y","Days=T","Dir=V")</f>
        <v>0</v>
      </c>
      <c r="G2">
        <f>BDH("MNPR US Equity","BS_ST_BORROW","1993-06-18","2026-05-02","Per=Y","Days=T","Dir=V")</f>
        <v>0</v>
      </c>
      <c r="I2">
        <f>BDH("MNPR US Equity","BS_LT_BORROW","1993-06-18","2026-05-02","Per=Y","Days=T","Dir=V")</f>
        <v>0</v>
      </c>
      <c r="K2">
        <f>BDH("MNPR US Equity","BS_CASH_NEAR_CASH_ITEM","1993-06-18","2026-05-02","Per=Y","Days=T","Dir=V")</f>
        <v>0</v>
      </c>
      <c r="M2">
        <f>BDH("MNPR US Equity","BS_CUR_ASSET_REPORT","1993-06-18","2026-05-02","Per=Y","Days=T","Dir=V")</f>
        <v>0</v>
      </c>
      <c r="O2">
        <f>BDH("MNPR US Equity","BS_CUR_LIAB","1993-06-18","2026-05-02","Per=Y","Days=T","Dir=V")</f>
        <v>0</v>
      </c>
      <c r="Q2">
        <f>BDH("MNPR US Equity","BS_SHAREHOLDER_EQY_ENDING_PERIOD","1993-06-18","2026-05-02","Per=Y","Days=T","Dir=V")</f>
        <v>0</v>
      </c>
      <c r="S2">
        <f>BDH("MNPR US Equity","BS_ACCT_NOTE_RCV","1993-06-18","2026-05-02","Per=Y","Days=T","Dir=V")</f>
        <v>0</v>
      </c>
      <c r="U2">
        <f>BDH("MNPR US Equity","BS_INVENTORIES","1993-06-18","2026-05-02","Per=Y","Days=T","Dir=V")</f>
        <v>0</v>
      </c>
      <c r="W2">
        <f>BDH("MNPR US Equity","WORKING_CAPITAL","1993-06-18","2026-05-02","Per=Y","Days=T","Dir=V")</f>
        <v>0</v>
      </c>
      <c r="Y2">
        <f>BDH("MNPR US Equity","SALES_REV_TURN","1993-06-18","2026-05-02","Per=Y","Days=T","Dir=V")</f>
        <v>0</v>
      </c>
      <c r="AA2">
        <f>BDH("MNPR US Equity","EBIT","1993-06-18","2026-05-02","Per=Y","Days=T","Dir=V")</f>
        <v>0</v>
      </c>
      <c r="AC2">
        <f>BDH("MNPR US Equity","EBITDA","1993-06-18","2026-05-02","Per=Y","Days=T","Dir=V")</f>
        <v>0</v>
      </c>
      <c r="AE2">
        <f>BDH("MNPR US Equity","NET_INCOME","1993-06-18","2026-05-02","Per=Y","Days=T","Dir=V")</f>
        <v>0</v>
      </c>
      <c r="AG2">
        <f>BDH("MNPR US Equity","IS_INT_EXPENSE","1993-06-18","2026-05-02","Per=Y","Days=T","Dir=V")</f>
        <v>0</v>
      </c>
      <c r="AI2">
        <f>BDH("MNPR US Equity","IS_DEPR_EXP","1993-06-18","2026-05-02","Per=Y","Days=T","Dir=V")</f>
        <v>0</v>
      </c>
      <c r="AK2">
        <f>BDH("MNPR US Equity","CF_CASH_FROM_OPER","1993-06-18","2026-05-02","Per=Y","Days=T","Dir=V")</f>
        <v>0</v>
      </c>
      <c r="AM2">
        <f>BDH("MNPR US Equity","CAPITAL_EXPEND","1993-06-18","2026-05-02","Per=Y","Days=T","Dir=V")</f>
        <v>0</v>
      </c>
      <c r="AO2">
        <f>BDH("MNPR US Equity","CF_FREE_CASH_FLOW","1993-06-18","2026-05-02","Per=Y","Days=T","Dir=V")</f>
        <v>0</v>
      </c>
      <c r="AQ2">
        <f>BDH("MNPR US Equity","PX_LAST","1993-06-18","2026-05-02","Per=M","Days=T","Dir=V")</f>
        <v>0</v>
      </c>
      <c r="AS2">
        <f>BDH("MNPR US Equity","CUR_MKT_CAP","1993-06-18","2026-05-02","Per=M","Days=T","Dir=V")</f>
        <v>0</v>
      </c>
      <c r="AU2">
        <f>BDH("MNPR US Equity","EQY_SH_OUT","1993-06-18","2026-05-02","Per=M","Days=T","Dir=V")</f>
        <v>0</v>
      </c>
      <c r="AW2">
        <f>BDH("MNPR US Equity","PX_VOLUME","1993-06-18","2026-05-02","Per=M","Days=T","Dir=V")</f>
        <v>0</v>
      </c>
      <c r="AY2">
        <f>BDH("MNPR US Equity","TURNOVER","1993-06-18","2026-05-02","Per=M","Days=T","Dir=V")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BDH("MNR US Equity","BS_TOT_ASSET","1993-06-18","2026-05-02","Per=Y","Days=T","Dir=V")</f>
        <v>0</v>
      </c>
      <c r="C2">
        <f>BDH("MNR US Equity","BS_TOT_LIAB2","1993-06-18","2026-05-02","Per=Y","Days=T","Dir=V")</f>
        <v>0</v>
      </c>
      <c r="E2">
        <f>BDH("MNR US Equity","SHORT_AND_LONG_TERM_DEBT","1993-06-18","2026-05-02","Per=Y","Days=T","Dir=V")</f>
        <v>0</v>
      </c>
      <c r="G2">
        <f>BDH("MNR US Equity","BS_ST_BORROW","1993-06-18","2026-05-02","Per=Y","Days=T","Dir=V")</f>
        <v>0</v>
      </c>
      <c r="I2">
        <f>BDH("MNR US Equity","BS_LT_BORROW","1993-06-18","2026-05-02","Per=Y","Days=T","Dir=V")</f>
        <v>0</v>
      </c>
      <c r="K2">
        <f>BDH("MNR US Equity","BS_CASH_NEAR_CASH_ITEM","1993-06-18","2026-05-02","Per=Y","Days=T","Dir=V")</f>
        <v>0</v>
      </c>
      <c r="M2">
        <f>BDH("MNR US Equity","BS_CUR_ASSET_REPORT","1993-06-18","2026-05-02","Per=Y","Days=T","Dir=V")</f>
        <v>0</v>
      </c>
      <c r="O2">
        <f>BDH("MNR US Equity","BS_CUR_LIAB","1993-06-18","2026-05-02","Per=Y","Days=T","Dir=V")</f>
        <v>0</v>
      </c>
      <c r="Q2">
        <f>BDH("MNR US Equity","BS_SHAREHOLDER_EQY_ENDING_PERIOD","1993-06-18","2026-05-02","Per=Y","Days=T","Dir=V")</f>
        <v>0</v>
      </c>
      <c r="S2">
        <f>BDH("MNR US Equity","BS_ACCT_NOTE_RCV","1993-06-18","2026-05-02","Per=Y","Days=T","Dir=V")</f>
        <v>0</v>
      </c>
      <c r="U2">
        <f>BDH("MNR US Equity","BS_INVENTORIES","1993-06-18","2026-05-02","Per=Y","Days=T","Dir=V")</f>
        <v>0</v>
      </c>
      <c r="W2">
        <f>BDH("MNR US Equity","WORKING_CAPITAL","1993-06-18","2026-05-02","Per=Y","Days=T","Dir=V")</f>
        <v>0</v>
      </c>
      <c r="Y2">
        <f>BDH("MNR US Equity","SALES_REV_TURN","1993-06-18","2026-05-02","Per=Y","Days=T","Dir=V")</f>
        <v>0</v>
      </c>
      <c r="AA2">
        <f>BDH("MNR US Equity","EBIT","1993-06-18","2026-05-02","Per=Y","Days=T","Dir=V")</f>
        <v>0</v>
      </c>
      <c r="AC2">
        <f>BDH("MNR US Equity","EBITDA","1993-06-18","2026-05-02","Per=Y","Days=T","Dir=V")</f>
        <v>0</v>
      </c>
      <c r="AE2">
        <f>BDH("MNR US Equity","NET_INCOME","1993-06-18","2026-05-02","Per=Y","Days=T","Dir=V")</f>
        <v>0</v>
      </c>
      <c r="AG2">
        <f>BDH("MNR US Equity","IS_INT_EXPENSE","1993-06-18","2026-05-02","Per=Y","Days=T","Dir=V")</f>
        <v>0</v>
      </c>
      <c r="AI2">
        <f>BDH("MNR US Equity","IS_DEPR_EXP","1993-06-18","2026-05-02","Per=Y","Days=T","Dir=V")</f>
        <v>0</v>
      </c>
      <c r="AK2">
        <f>BDH("MNR US Equity","CF_CASH_FROM_OPER","1993-06-18","2026-05-02","Per=Y","Days=T","Dir=V")</f>
        <v>0</v>
      </c>
      <c r="AM2">
        <f>BDH("MNR US Equity","CAPITAL_EXPEND","1993-06-18","2026-05-02","Per=Y","Days=T","Dir=V")</f>
        <v>0</v>
      </c>
      <c r="AO2">
        <f>BDH("MNR US Equity","CF_FREE_CASH_FLOW","1993-06-18","2026-05-02","Per=Y","Days=T","Dir=V")</f>
        <v>0</v>
      </c>
      <c r="AQ2">
        <f>BDH("MNR US Equity","PX_LAST","1993-06-18","2026-05-02","Per=M","Days=T","Dir=V")</f>
        <v>0</v>
      </c>
      <c r="AS2">
        <f>BDH("MNR US Equity","CUR_MKT_CAP","1993-06-18","2026-05-02","Per=M","Days=T","Dir=V")</f>
        <v>0</v>
      </c>
      <c r="AU2">
        <f>BDH("MNR US Equity","EQY_SH_OUT","1993-06-18","2026-05-02","Per=M","Days=T","Dir=V")</f>
        <v>0</v>
      </c>
      <c r="AW2">
        <f>BDH("MNR US Equity","PX_VOLUME","1993-06-18","2026-05-02","Per=M","Days=T","Dir=V")</f>
        <v>0</v>
      </c>
      <c r="AY2">
        <f>BDH("MNR US Equity","TURNOVER","1993-06-18","2026-05-02","Per=M","Days=T","Dir=V")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BDH("MNRO US Equity","BS_TOT_ASSET","1993-06-18","2026-05-02","Per=Y","Days=T","Dir=V")</f>
        <v>0</v>
      </c>
      <c r="C2">
        <f>BDH("MNRO US Equity","BS_TOT_LIAB2","1993-06-18","2026-05-02","Per=Y","Days=T","Dir=V")</f>
        <v>0</v>
      </c>
      <c r="E2">
        <f>BDH("MNRO US Equity","SHORT_AND_LONG_TERM_DEBT","1993-06-18","2026-05-02","Per=Y","Days=T","Dir=V")</f>
        <v>0</v>
      </c>
      <c r="G2">
        <f>BDH("MNRO US Equity","BS_ST_BORROW","1993-06-18","2026-05-02","Per=Y","Days=T","Dir=V")</f>
        <v>0</v>
      </c>
      <c r="I2">
        <f>BDH("MNRO US Equity","BS_LT_BORROW","1993-06-18","2026-05-02","Per=Y","Days=T","Dir=V")</f>
        <v>0</v>
      </c>
      <c r="K2">
        <f>BDH("MNRO US Equity","BS_CASH_NEAR_CASH_ITEM","1993-06-18","2026-05-02","Per=Y","Days=T","Dir=V")</f>
        <v>0</v>
      </c>
      <c r="M2">
        <f>BDH("MNRO US Equity","BS_CUR_ASSET_REPORT","1993-06-18","2026-05-02","Per=Y","Days=T","Dir=V")</f>
        <v>0</v>
      </c>
      <c r="O2">
        <f>BDH("MNRO US Equity","BS_CUR_LIAB","1993-06-18","2026-05-02","Per=Y","Days=T","Dir=V")</f>
        <v>0</v>
      </c>
      <c r="Q2">
        <f>BDH("MNRO US Equity","BS_SHAREHOLDER_EQY_ENDING_PERIOD","1993-06-18","2026-05-02","Per=Y","Days=T","Dir=V")</f>
        <v>0</v>
      </c>
      <c r="S2">
        <f>BDH("MNRO US Equity","BS_ACCT_NOTE_RCV","1993-06-18","2026-05-02","Per=Y","Days=T","Dir=V")</f>
        <v>0</v>
      </c>
      <c r="U2">
        <f>BDH("MNRO US Equity","BS_INVENTORIES","1993-06-18","2026-05-02","Per=Y","Days=T","Dir=V")</f>
        <v>0</v>
      </c>
      <c r="W2">
        <f>BDH("MNRO US Equity","WORKING_CAPITAL","1993-06-18","2026-05-02","Per=Y","Days=T","Dir=V")</f>
        <v>0</v>
      </c>
      <c r="Y2">
        <f>BDH("MNRO US Equity","SALES_REV_TURN","1993-06-18","2026-05-02","Per=Y","Days=T","Dir=V")</f>
        <v>0</v>
      </c>
      <c r="AA2">
        <f>BDH("MNRO US Equity","EBIT","1993-06-18","2026-05-02","Per=Y","Days=T","Dir=V")</f>
        <v>0</v>
      </c>
      <c r="AC2">
        <f>BDH("MNRO US Equity","EBITDA","1993-06-18","2026-05-02","Per=Y","Days=T","Dir=V")</f>
        <v>0</v>
      </c>
      <c r="AE2">
        <f>BDH("MNRO US Equity","NET_INCOME","1993-06-18","2026-05-02","Per=Y","Days=T","Dir=V")</f>
        <v>0</v>
      </c>
      <c r="AG2">
        <f>BDH("MNRO US Equity","IS_INT_EXPENSE","1993-06-18","2026-05-02","Per=Y","Days=T","Dir=V")</f>
        <v>0</v>
      </c>
      <c r="AI2">
        <f>BDH("MNRO US Equity","IS_DEPR_EXP","1993-06-18","2026-05-02","Per=Y","Days=T","Dir=V")</f>
        <v>0</v>
      </c>
      <c r="AK2">
        <f>BDH("MNRO US Equity","CF_CASH_FROM_OPER","1993-06-18","2026-05-02","Per=Y","Days=T","Dir=V")</f>
        <v>0</v>
      </c>
      <c r="AM2">
        <f>BDH("MNRO US Equity","CAPITAL_EXPEND","1993-06-18","2026-05-02","Per=Y","Days=T","Dir=V")</f>
        <v>0</v>
      </c>
      <c r="AO2">
        <f>BDH("MNRO US Equity","CF_FREE_CASH_FLOW","1993-06-18","2026-05-02","Per=Y","Days=T","Dir=V")</f>
        <v>0</v>
      </c>
      <c r="AQ2">
        <f>BDH("MNRO US Equity","PX_LAST","1993-06-18","2026-05-02","Per=M","Days=T","Dir=V")</f>
        <v>0</v>
      </c>
      <c r="AS2">
        <f>BDH("MNRO US Equity","CUR_MKT_CAP","1993-06-18","2026-05-02","Per=M","Days=T","Dir=V")</f>
        <v>0</v>
      </c>
      <c r="AU2">
        <f>BDH("MNRO US Equity","EQY_SH_OUT","1993-06-18","2026-05-02","Per=M","Days=T","Dir=V")</f>
        <v>0</v>
      </c>
      <c r="AW2">
        <f>BDH("MNRO US Equity","PX_VOLUME","1993-06-18","2026-05-02","Per=M","Days=T","Dir=V")</f>
        <v>0</v>
      </c>
      <c r="AY2">
        <f>BDH("MNRO US Equity","TURNOVER","1993-06-18","2026-05-02","Per=M","Days=T","Dir=V")</f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BDH("MNST US Equity","BS_TOT_ASSET","1993-06-18","2026-05-02","Per=Y","Days=T","Dir=V")</f>
        <v>0</v>
      </c>
      <c r="C2">
        <f>BDH("MNST US Equity","BS_TOT_LIAB2","1993-06-18","2026-05-02","Per=Y","Days=T","Dir=V")</f>
        <v>0</v>
      </c>
      <c r="E2">
        <f>BDH("MNST US Equity","SHORT_AND_LONG_TERM_DEBT","1993-06-18","2026-05-02","Per=Y","Days=T","Dir=V")</f>
        <v>0</v>
      </c>
      <c r="G2">
        <f>BDH("MNST US Equity","BS_ST_BORROW","1993-06-18","2026-05-02","Per=Y","Days=T","Dir=V")</f>
        <v>0</v>
      </c>
      <c r="I2">
        <f>BDH("MNST US Equity","BS_LT_BORROW","1993-06-18","2026-05-02","Per=Y","Days=T","Dir=V")</f>
        <v>0</v>
      </c>
      <c r="K2">
        <f>BDH("MNST US Equity","BS_CASH_NEAR_CASH_ITEM","1993-06-18","2026-05-02","Per=Y","Days=T","Dir=V")</f>
        <v>0</v>
      </c>
      <c r="M2">
        <f>BDH("MNST US Equity","BS_CUR_ASSET_REPORT","1993-06-18","2026-05-02","Per=Y","Days=T","Dir=V")</f>
        <v>0</v>
      </c>
      <c r="O2">
        <f>BDH("MNST US Equity","BS_CUR_LIAB","1993-06-18","2026-05-02","Per=Y","Days=T","Dir=V")</f>
        <v>0</v>
      </c>
      <c r="Q2">
        <f>BDH("MNST US Equity","BS_SHAREHOLDER_EQY_ENDING_PERIOD","1993-06-18","2026-05-02","Per=Y","Days=T","Dir=V")</f>
        <v>0</v>
      </c>
      <c r="S2">
        <f>BDH("MNST US Equity","BS_ACCT_NOTE_RCV","1993-06-18","2026-05-02","Per=Y","Days=T","Dir=V")</f>
        <v>0</v>
      </c>
      <c r="U2">
        <f>BDH("MNST US Equity","BS_INVENTORIES","1993-06-18","2026-05-02","Per=Y","Days=T","Dir=V")</f>
        <v>0</v>
      </c>
      <c r="W2">
        <f>BDH("MNST US Equity","WORKING_CAPITAL","1993-06-18","2026-05-02","Per=Y","Days=T","Dir=V")</f>
        <v>0</v>
      </c>
      <c r="Y2">
        <f>BDH("MNST US Equity","SALES_REV_TURN","1993-06-18","2026-05-02","Per=Y","Days=T","Dir=V")</f>
        <v>0</v>
      </c>
      <c r="AA2">
        <f>BDH("MNST US Equity","EBIT","1993-06-18","2026-05-02","Per=Y","Days=T","Dir=V")</f>
        <v>0</v>
      </c>
      <c r="AC2">
        <f>BDH("MNST US Equity","EBITDA","1993-06-18","2026-05-02","Per=Y","Days=T","Dir=V")</f>
        <v>0</v>
      </c>
      <c r="AE2">
        <f>BDH("MNST US Equity","NET_INCOME","1993-06-18","2026-05-02","Per=Y","Days=T","Dir=V")</f>
        <v>0</v>
      </c>
      <c r="AG2">
        <f>BDH("MNST US Equity","IS_INT_EXPENSE","1993-06-18","2026-05-02","Per=Y","Days=T","Dir=V")</f>
        <v>0</v>
      </c>
      <c r="AI2">
        <f>BDH("MNST US Equity","IS_DEPR_EXP","1993-06-18","2026-05-02","Per=Y","Days=T","Dir=V")</f>
        <v>0</v>
      </c>
      <c r="AK2">
        <f>BDH("MNST US Equity","CF_CASH_FROM_OPER","1993-06-18","2026-05-02","Per=Y","Days=T","Dir=V")</f>
        <v>0</v>
      </c>
      <c r="AM2">
        <f>BDH("MNST US Equity","CAPITAL_EXPEND","1993-06-18","2026-05-02","Per=Y","Days=T","Dir=V")</f>
        <v>0</v>
      </c>
      <c r="AO2">
        <f>BDH("MNST US Equity","CF_FREE_CASH_FLOW","1993-06-18","2026-05-02","Per=Y","Days=T","Dir=V")</f>
        <v>0</v>
      </c>
      <c r="AQ2">
        <f>BDH("MNST US Equity","PX_LAST","1993-06-18","2026-05-02","Per=M","Days=T","Dir=V")</f>
        <v>0</v>
      </c>
      <c r="AS2">
        <f>BDH("MNST US Equity","CUR_MKT_CAP","1993-06-18","2026-05-02","Per=M","Days=T","Dir=V")</f>
        <v>0</v>
      </c>
      <c r="AU2">
        <f>BDH("MNST US Equity","EQY_SH_OUT","1993-06-18","2026-05-02","Per=M","Days=T","Dir=V")</f>
        <v>0</v>
      </c>
      <c r="AW2">
        <f>BDH("MNST US Equity","PX_VOLUME","1993-06-18","2026-05-02","Per=M","Days=T","Dir=V")</f>
        <v>0</v>
      </c>
      <c r="AY2">
        <f>BDH("MNST US Equity","TURNOVER","1993-06-18","2026-05-02","Per=M","Days=T","Dir=V")</f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BDH("MNTK US Equity","BS_TOT_ASSET","1993-06-18","2026-05-02","Per=Y","Days=T","Dir=V")</f>
        <v>0</v>
      </c>
      <c r="C2">
        <f>BDH("MNTK US Equity","BS_TOT_LIAB2","1993-06-18","2026-05-02","Per=Y","Days=T","Dir=V")</f>
        <v>0</v>
      </c>
      <c r="E2">
        <f>BDH("MNTK US Equity","SHORT_AND_LONG_TERM_DEBT","1993-06-18","2026-05-02","Per=Y","Days=T","Dir=V")</f>
        <v>0</v>
      </c>
      <c r="G2">
        <f>BDH("MNTK US Equity","BS_ST_BORROW","1993-06-18","2026-05-02","Per=Y","Days=T","Dir=V")</f>
        <v>0</v>
      </c>
      <c r="I2">
        <f>BDH("MNTK US Equity","BS_LT_BORROW","1993-06-18","2026-05-02","Per=Y","Days=T","Dir=V")</f>
        <v>0</v>
      </c>
      <c r="K2">
        <f>BDH("MNTK US Equity","BS_CASH_NEAR_CASH_ITEM","1993-06-18","2026-05-02","Per=Y","Days=T","Dir=V")</f>
        <v>0</v>
      </c>
      <c r="M2">
        <f>BDH("MNTK US Equity","BS_CUR_ASSET_REPORT","1993-06-18","2026-05-02","Per=Y","Days=T","Dir=V")</f>
        <v>0</v>
      </c>
      <c r="O2">
        <f>BDH("MNTK US Equity","BS_CUR_LIAB","1993-06-18","2026-05-02","Per=Y","Days=T","Dir=V")</f>
        <v>0</v>
      </c>
      <c r="Q2">
        <f>BDH("MNTK US Equity","BS_SHAREHOLDER_EQY_ENDING_PERIOD","1993-06-18","2026-05-02","Per=Y","Days=T","Dir=V")</f>
        <v>0</v>
      </c>
      <c r="S2">
        <f>BDH("MNTK US Equity","BS_ACCT_NOTE_RCV","1993-06-18","2026-05-02","Per=Y","Days=T","Dir=V")</f>
        <v>0</v>
      </c>
      <c r="U2">
        <f>BDH("MNTK US Equity","BS_INVENTORIES","1993-06-18","2026-05-02","Per=Y","Days=T","Dir=V")</f>
        <v>0</v>
      </c>
      <c r="W2">
        <f>BDH("MNTK US Equity","WORKING_CAPITAL","1993-06-18","2026-05-02","Per=Y","Days=T","Dir=V")</f>
        <v>0</v>
      </c>
      <c r="Y2">
        <f>BDH("MNTK US Equity","SALES_REV_TURN","1993-06-18","2026-05-02","Per=Y","Days=T","Dir=V")</f>
        <v>0</v>
      </c>
      <c r="AA2">
        <f>BDH("MNTK US Equity","EBIT","1993-06-18","2026-05-02","Per=Y","Days=T","Dir=V")</f>
        <v>0</v>
      </c>
      <c r="AC2">
        <f>BDH("MNTK US Equity","EBITDA","1993-06-18","2026-05-02","Per=Y","Days=T","Dir=V")</f>
        <v>0</v>
      </c>
      <c r="AE2">
        <f>BDH("MNTK US Equity","NET_INCOME","1993-06-18","2026-05-02","Per=Y","Days=T","Dir=V")</f>
        <v>0</v>
      </c>
      <c r="AG2">
        <f>BDH("MNTK US Equity","IS_INT_EXPENSE","1993-06-18","2026-05-02","Per=Y","Days=T","Dir=V")</f>
        <v>0</v>
      </c>
      <c r="AI2">
        <f>BDH("MNTK US Equity","IS_DEPR_EXP","1993-06-18","2026-05-02","Per=Y","Days=T","Dir=V")</f>
        <v>0</v>
      </c>
      <c r="AK2">
        <f>BDH("MNTK US Equity","CF_CASH_FROM_OPER","1993-06-18","2026-05-02","Per=Y","Days=T","Dir=V")</f>
        <v>0</v>
      </c>
      <c r="AM2">
        <f>BDH("MNTK US Equity","CAPITAL_EXPEND","1993-06-18","2026-05-02","Per=Y","Days=T","Dir=V")</f>
        <v>0</v>
      </c>
      <c r="AO2">
        <f>BDH("MNTK US Equity","CF_FREE_CASH_FLOW","1993-06-18","2026-05-02","Per=Y","Days=T","Dir=V")</f>
        <v>0</v>
      </c>
      <c r="AQ2">
        <f>BDH("MNTK US Equity","PX_LAST","1993-06-18","2026-05-02","Per=M","Days=T","Dir=V")</f>
        <v>0</v>
      </c>
      <c r="AS2">
        <f>BDH("MNTK US Equity","CUR_MKT_CAP","1993-06-18","2026-05-02","Per=M","Days=T","Dir=V")</f>
        <v>0</v>
      </c>
      <c r="AU2">
        <f>BDH("MNTK US Equity","EQY_SH_OUT","1993-06-18","2026-05-02","Per=M","Days=T","Dir=V")</f>
        <v>0</v>
      </c>
      <c r="AW2">
        <f>BDH("MNTK US Equity","PX_VOLUME","1993-06-18","2026-05-02","Per=M","Days=T","Dir=V")</f>
        <v>0</v>
      </c>
      <c r="AY2">
        <f>BDH("MNTK US Equity","TURNOVER","1993-06-18","2026-05-02","Per=M","Days=T","Dir=V")</f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BDH("MNTN US Equity","BS_TOT_ASSET","1993-06-18","2026-05-02","Per=Y","Days=T","Dir=V")</f>
        <v>0</v>
      </c>
      <c r="C2">
        <f>BDH("MNTN US Equity","BS_TOT_LIAB2","1993-06-18","2026-05-02","Per=Y","Days=T","Dir=V")</f>
        <v>0</v>
      </c>
      <c r="E2">
        <f>BDH("MNTN US Equity","SHORT_AND_LONG_TERM_DEBT","1993-06-18","2026-05-02","Per=Y","Days=T","Dir=V")</f>
        <v>0</v>
      </c>
      <c r="G2">
        <f>BDH("MNTN US Equity","BS_ST_BORROW","1993-06-18","2026-05-02","Per=Y","Days=T","Dir=V")</f>
        <v>0</v>
      </c>
      <c r="I2">
        <f>BDH("MNTN US Equity","BS_LT_BORROW","1993-06-18","2026-05-02","Per=Y","Days=T","Dir=V")</f>
        <v>0</v>
      </c>
      <c r="K2">
        <f>BDH("MNTN US Equity","BS_CASH_NEAR_CASH_ITEM","1993-06-18","2026-05-02","Per=Y","Days=T","Dir=V")</f>
        <v>0</v>
      </c>
      <c r="M2">
        <f>BDH("MNTN US Equity","BS_CUR_ASSET_REPORT","1993-06-18","2026-05-02","Per=Y","Days=T","Dir=V")</f>
        <v>0</v>
      </c>
      <c r="O2">
        <f>BDH("MNTN US Equity","BS_CUR_LIAB","1993-06-18","2026-05-02","Per=Y","Days=T","Dir=V")</f>
        <v>0</v>
      </c>
      <c r="Q2">
        <f>BDH("MNTN US Equity","BS_SHAREHOLDER_EQY_ENDING_PERIOD","1993-06-18","2026-05-02","Per=Y","Days=T","Dir=V")</f>
        <v>0</v>
      </c>
      <c r="S2">
        <f>BDH("MNTN US Equity","BS_ACCT_NOTE_RCV","1993-06-18","2026-05-02","Per=Y","Days=T","Dir=V")</f>
        <v>0</v>
      </c>
      <c r="U2">
        <f>BDH("MNTN US Equity","BS_INVENTORIES","1993-06-18","2026-05-02","Per=Y","Days=T","Dir=V")</f>
        <v>0</v>
      </c>
      <c r="W2">
        <f>BDH("MNTN US Equity","WORKING_CAPITAL","1993-06-18","2026-05-02","Per=Y","Days=T","Dir=V")</f>
        <v>0</v>
      </c>
      <c r="Y2">
        <f>BDH("MNTN US Equity","SALES_REV_TURN","1993-06-18","2026-05-02","Per=Y","Days=T","Dir=V")</f>
        <v>0</v>
      </c>
      <c r="AA2">
        <f>BDH("MNTN US Equity","EBIT","1993-06-18","2026-05-02","Per=Y","Days=T","Dir=V")</f>
        <v>0</v>
      </c>
      <c r="AC2">
        <f>BDH("MNTN US Equity","EBITDA","1993-06-18","2026-05-02","Per=Y","Days=T","Dir=V")</f>
        <v>0</v>
      </c>
      <c r="AE2">
        <f>BDH("MNTN US Equity","NET_INCOME","1993-06-18","2026-05-02","Per=Y","Days=T","Dir=V")</f>
        <v>0</v>
      </c>
      <c r="AG2">
        <f>BDH("MNTN US Equity","IS_INT_EXPENSE","1993-06-18","2026-05-02","Per=Y","Days=T","Dir=V")</f>
        <v>0</v>
      </c>
      <c r="AI2">
        <f>BDH("MNTN US Equity","IS_DEPR_EXP","1993-06-18","2026-05-02","Per=Y","Days=T","Dir=V")</f>
        <v>0</v>
      </c>
      <c r="AK2">
        <f>BDH("MNTN US Equity","CF_CASH_FROM_OPER","1993-06-18","2026-05-02","Per=Y","Days=T","Dir=V")</f>
        <v>0</v>
      </c>
      <c r="AM2">
        <f>BDH("MNTN US Equity","CAPITAL_EXPEND","1993-06-18","2026-05-02","Per=Y","Days=T","Dir=V")</f>
        <v>0</v>
      </c>
      <c r="AO2">
        <f>BDH("MNTN US Equity","CF_FREE_CASH_FLOW","1993-06-18","2026-05-02","Per=Y","Days=T","Dir=V")</f>
        <v>0</v>
      </c>
      <c r="AQ2">
        <f>BDH("MNTN US Equity","PX_LAST","1993-06-18","2026-05-02","Per=M","Days=T","Dir=V")</f>
        <v>0</v>
      </c>
      <c r="AS2">
        <f>BDH("MNTN US Equity","CUR_MKT_CAP","1993-06-18","2026-05-02","Per=M","Days=T","Dir=V")</f>
        <v>0</v>
      </c>
      <c r="AU2">
        <f>BDH("MNTN US Equity","EQY_SH_OUT","1993-06-18","2026-05-02","Per=M","Days=T","Dir=V")</f>
        <v>0</v>
      </c>
      <c r="AW2">
        <f>BDH("MNTN US Equity","PX_VOLUME","1993-06-18","2026-05-02","Per=M","Days=T","Dir=V")</f>
        <v>0</v>
      </c>
      <c r="AY2">
        <f>BDH("MNTN US Equity","TURNOVER","1993-06-18","2026-05-02","Per=M","Days=T","Dir=V")</f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BDH("MNTS US Equity","BS_TOT_ASSET","1993-06-18","2026-05-02","Per=Y","Days=T","Dir=V")</f>
        <v>0</v>
      </c>
      <c r="C2">
        <f>BDH("MNTS US Equity","BS_TOT_LIAB2","1993-06-18","2026-05-02","Per=Y","Days=T","Dir=V")</f>
        <v>0</v>
      </c>
      <c r="E2">
        <f>BDH("MNTS US Equity","SHORT_AND_LONG_TERM_DEBT","1993-06-18","2026-05-02","Per=Y","Days=T","Dir=V")</f>
        <v>0</v>
      </c>
      <c r="G2">
        <f>BDH("MNTS US Equity","BS_ST_BORROW","1993-06-18","2026-05-02","Per=Y","Days=T","Dir=V")</f>
        <v>0</v>
      </c>
      <c r="I2">
        <f>BDH("MNTS US Equity","BS_LT_BORROW","1993-06-18","2026-05-02","Per=Y","Days=T","Dir=V")</f>
        <v>0</v>
      </c>
      <c r="K2">
        <f>BDH("MNTS US Equity","BS_CASH_NEAR_CASH_ITEM","1993-06-18","2026-05-02","Per=Y","Days=T","Dir=V")</f>
        <v>0</v>
      </c>
      <c r="M2">
        <f>BDH("MNTS US Equity","BS_CUR_ASSET_REPORT","1993-06-18","2026-05-02","Per=Y","Days=T","Dir=V")</f>
        <v>0</v>
      </c>
      <c r="O2">
        <f>BDH("MNTS US Equity","BS_CUR_LIAB","1993-06-18","2026-05-02","Per=Y","Days=T","Dir=V")</f>
        <v>0</v>
      </c>
      <c r="Q2">
        <f>BDH("MNTS US Equity","BS_SHAREHOLDER_EQY_ENDING_PERIOD","1993-06-18","2026-05-02","Per=Y","Days=T","Dir=V")</f>
        <v>0</v>
      </c>
      <c r="S2">
        <f>BDH("MNTS US Equity","BS_ACCT_NOTE_RCV","1993-06-18","2026-05-02","Per=Y","Days=T","Dir=V")</f>
        <v>0</v>
      </c>
      <c r="U2">
        <f>BDH("MNTS US Equity","BS_INVENTORIES","1993-06-18","2026-05-02","Per=Y","Days=T","Dir=V")</f>
        <v>0</v>
      </c>
      <c r="W2">
        <f>BDH("MNTS US Equity","WORKING_CAPITAL","1993-06-18","2026-05-02","Per=Y","Days=T","Dir=V")</f>
        <v>0</v>
      </c>
      <c r="Y2">
        <f>BDH("MNTS US Equity","SALES_REV_TURN","1993-06-18","2026-05-02","Per=Y","Days=T","Dir=V")</f>
        <v>0</v>
      </c>
      <c r="AA2">
        <f>BDH("MNTS US Equity","EBIT","1993-06-18","2026-05-02","Per=Y","Days=T","Dir=V")</f>
        <v>0</v>
      </c>
      <c r="AC2">
        <f>BDH("MNTS US Equity","EBITDA","1993-06-18","2026-05-02","Per=Y","Days=T","Dir=V")</f>
        <v>0</v>
      </c>
      <c r="AE2">
        <f>BDH("MNTS US Equity","NET_INCOME","1993-06-18","2026-05-02","Per=Y","Days=T","Dir=V")</f>
        <v>0</v>
      </c>
      <c r="AG2">
        <f>BDH("MNTS US Equity","IS_INT_EXPENSE","1993-06-18","2026-05-02","Per=Y","Days=T","Dir=V")</f>
        <v>0</v>
      </c>
      <c r="AI2">
        <f>BDH("MNTS US Equity","IS_DEPR_EXP","1993-06-18","2026-05-02","Per=Y","Days=T","Dir=V")</f>
        <v>0</v>
      </c>
      <c r="AK2">
        <f>BDH("MNTS US Equity","CF_CASH_FROM_OPER","1993-06-18","2026-05-02","Per=Y","Days=T","Dir=V")</f>
        <v>0</v>
      </c>
      <c r="AM2">
        <f>BDH("MNTS US Equity","CAPITAL_EXPEND","1993-06-18","2026-05-02","Per=Y","Days=T","Dir=V")</f>
        <v>0</v>
      </c>
      <c r="AO2">
        <f>BDH("MNTS US Equity","CF_FREE_CASH_FLOW","1993-06-18","2026-05-02","Per=Y","Days=T","Dir=V")</f>
        <v>0</v>
      </c>
      <c r="AQ2">
        <f>BDH("MNTS US Equity","PX_LAST","1993-06-18","2026-05-02","Per=M","Days=T","Dir=V")</f>
        <v>0</v>
      </c>
      <c r="AS2">
        <f>BDH("MNTS US Equity","CUR_MKT_CAP","1993-06-18","2026-05-02","Per=M","Days=T","Dir=V")</f>
        <v>0</v>
      </c>
      <c r="AU2">
        <f>BDH("MNTS US Equity","EQY_SH_OUT","1993-06-18","2026-05-02","Per=M","Days=T","Dir=V")</f>
        <v>0</v>
      </c>
      <c r="AW2">
        <f>BDH("MNTS US Equity","PX_VOLUME","1993-06-18","2026-05-02","Per=M","Days=T","Dir=V")</f>
        <v>0</v>
      </c>
      <c r="AY2">
        <f>BDH("MNTS US Equity","TURNOVER","1993-06-18","2026-05-02","Per=M","Days=T","Dir=V")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BDH("MO US Equity","BS_TOT_ASSET","1993-06-18","2026-05-02","Per=Y","Days=T","Dir=V")</f>
        <v>0</v>
      </c>
      <c r="C2">
        <f>BDH("MO US Equity","BS_TOT_LIAB2","1993-06-18","2026-05-02","Per=Y","Days=T","Dir=V")</f>
        <v>0</v>
      </c>
      <c r="E2">
        <f>BDH("MO US Equity","SHORT_AND_LONG_TERM_DEBT","1993-06-18","2026-05-02","Per=Y","Days=T","Dir=V")</f>
        <v>0</v>
      </c>
      <c r="G2">
        <f>BDH("MO US Equity","BS_ST_BORROW","1993-06-18","2026-05-02","Per=Y","Days=T","Dir=V")</f>
        <v>0</v>
      </c>
      <c r="I2">
        <f>BDH("MO US Equity","BS_LT_BORROW","1993-06-18","2026-05-02","Per=Y","Days=T","Dir=V")</f>
        <v>0</v>
      </c>
      <c r="K2">
        <f>BDH("MO US Equity","BS_CASH_NEAR_CASH_ITEM","1993-06-18","2026-05-02","Per=Y","Days=T","Dir=V")</f>
        <v>0</v>
      </c>
      <c r="M2">
        <f>BDH("MO US Equity","BS_CUR_ASSET_REPORT","1993-06-18","2026-05-02","Per=Y","Days=T","Dir=V")</f>
        <v>0</v>
      </c>
      <c r="O2">
        <f>BDH("MO US Equity","BS_CUR_LIAB","1993-06-18","2026-05-02","Per=Y","Days=T","Dir=V")</f>
        <v>0</v>
      </c>
      <c r="Q2">
        <f>BDH("MO US Equity","BS_SHAREHOLDER_EQY_ENDING_PERIOD","1993-06-18","2026-05-02","Per=Y","Days=T","Dir=V")</f>
        <v>0</v>
      </c>
      <c r="S2">
        <f>BDH("MO US Equity","BS_ACCT_NOTE_RCV","1993-06-18","2026-05-02","Per=Y","Days=T","Dir=V")</f>
        <v>0</v>
      </c>
      <c r="U2">
        <f>BDH("MO US Equity","BS_INVENTORIES","1993-06-18","2026-05-02","Per=Y","Days=T","Dir=V")</f>
        <v>0</v>
      </c>
      <c r="W2">
        <f>BDH("MO US Equity","WORKING_CAPITAL","1993-06-18","2026-05-02","Per=Y","Days=T","Dir=V")</f>
        <v>0</v>
      </c>
      <c r="Y2">
        <f>BDH("MO US Equity","SALES_REV_TURN","1993-06-18","2026-05-02","Per=Y","Days=T","Dir=V")</f>
        <v>0</v>
      </c>
      <c r="AA2">
        <f>BDH("MO US Equity","EBIT","1993-06-18","2026-05-02","Per=Y","Days=T","Dir=V")</f>
        <v>0</v>
      </c>
      <c r="AC2">
        <f>BDH("MO US Equity","EBITDA","1993-06-18","2026-05-02","Per=Y","Days=T","Dir=V")</f>
        <v>0</v>
      </c>
      <c r="AE2">
        <f>BDH("MO US Equity","NET_INCOME","1993-06-18","2026-05-02","Per=Y","Days=T","Dir=V")</f>
        <v>0</v>
      </c>
      <c r="AG2">
        <f>BDH("MO US Equity","IS_INT_EXPENSE","1993-06-18","2026-05-02","Per=Y","Days=T","Dir=V")</f>
        <v>0</v>
      </c>
      <c r="AI2">
        <f>BDH("MO US Equity","IS_DEPR_EXP","1993-06-18","2026-05-02","Per=Y","Days=T","Dir=V")</f>
        <v>0</v>
      </c>
      <c r="AK2">
        <f>BDH("MO US Equity","CF_CASH_FROM_OPER","1993-06-18","2026-05-02","Per=Y","Days=T","Dir=V")</f>
        <v>0</v>
      </c>
      <c r="AM2">
        <f>BDH("MO US Equity","CAPITAL_EXPEND","1993-06-18","2026-05-02","Per=Y","Days=T","Dir=V")</f>
        <v>0</v>
      </c>
      <c r="AO2">
        <f>BDH("MO US Equity","CF_FREE_CASH_FLOW","1993-06-18","2026-05-02","Per=Y","Days=T","Dir=V")</f>
        <v>0</v>
      </c>
      <c r="AQ2">
        <f>BDH("MO US Equity","PX_LAST","1993-06-18","2026-05-02","Per=M","Days=T","Dir=V")</f>
        <v>0</v>
      </c>
      <c r="AS2">
        <f>BDH("MO US Equity","CUR_MKT_CAP","1993-06-18","2026-05-02","Per=M","Days=T","Dir=V")</f>
        <v>0</v>
      </c>
      <c r="AU2">
        <f>BDH("MO US Equity","EQY_SH_OUT","1993-06-18","2026-05-02","Per=M","Days=T","Dir=V")</f>
        <v>0</v>
      </c>
      <c r="AW2">
        <f>BDH("MO US Equity","PX_VOLUME","1993-06-18","2026-05-02","Per=M","Days=T","Dir=V")</f>
        <v>0</v>
      </c>
      <c r="AY2">
        <f>BDH("MO US Equity","TURNOVER","1993-06-18","2026-05-02","Per=M","Days=T","Dir=V")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BDH("MOBI US Equity","BS_TOT_ASSET","1993-06-18","2026-05-02","Per=Y","Days=T","Dir=V")</f>
        <v>0</v>
      </c>
      <c r="C2">
        <f>BDH("MOBI US Equity","BS_TOT_LIAB2","1993-06-18","2026-05-02","Per=Y","Days=T","Dir=V")</f>
        <v>0</v>
      </c>
      <c r="E2">
        <f>BDH("MOBI US Equity","SHORT_AND_LONG_TERM_DEBT","1993-06-18","2026-05-02","Per=Y","Days=T","Dir=V")</f>
        <v>0</v>
      </c>
      <c r="G2">
        <f>BDH("MOBI US Equity","BS_ST_BORROW","1993-06-18","2026-05-02","Per=Y","Days=T","Dir=V")</f>
        <v>0</v>
      </c>
      <c r="I2">
        <f>BDH("MOBI US Equity","BS_LT_BORROW","1993-06-18","2026-05-02","Per=Y","Days=T","Dir=V")</f>
        <v>0</v>
      </c>
      <c r="K2">
        <f>BDH("MOBI US Equity","BS_CASH_NEAR_CASH_ITEM","1993-06-18","2026-05-02","Per=Y","Days=T","Dir=V")</f>
        <v>0</v>
      </c>
      <c r="M2">
        <f>BDH("MOBI US Equity","BS_CUR_ASSET_REPORT","1993-06-18","2026-05-02","Per=Y","Days=T","Dir=V")</f>
        <v>0</v>
      </c>
      <c r="O2">
        <f>BDH("MOBI US Equity","BS_CUR_LIAB","1993-06-18","2026-05-02","Per=Y","Days=T","Dir=V")</f>
        <v>0</v>
      </c>
      <c r="Q2">
        <f>BDH("MOBI US Equity","BS_SHAREHOLDER_EQY_ENDING_PERIOD","1993-06-18","2026-05-02","Per=Y","Days=T","Dir=V")</f>
        <v>0</v>
      </c>
      <c r="S2">
        <f>BDH("MOBI US Equity","BS_ACCT_NOTE_RCV","1993-06-18","2026-05-02","Per=Y","Days=T","Dir=V")</f>
        <v>0</v>
      </c>
      <c r="U2">
        <f>BDH("MOBI US Equity","BS_INVENTORIES","1993-06-18","2026-05-02","Per=Y","Days=T","Dir=V")</f>
        <v>0</v>
      </c>
      <c r="W2">
        <f>BDH("MOBI US Equity","WORKING_CAPITAL","1993-06-18","2026-05-02","Per=Y","Days=T","Dir=V")</f>
        <v>0</v>
      </c>
      <c r="Y2">
        <f>BDH("MOBI US Equity","SALES_REV_TURN","1993-06-18","2026-05-02","Per=Y","Days=T","Dir=V")</f>
        <v>0</v>
      </c>
      <c r="AA2">
        <f>BDH("MOBI US Equity","EBIT","1993-06-18","2026-05-02","Per=Y","Days=T","Dir=V")</f>
        <v>0</v>
      </c>
      <c r="AC2">
        <f>BDH("MOBI US Equity","EBITDA","1993-06-18","2026-05-02","Per=Y","Days=T","Dir=V")</f>
        <v>0</v>
      </c>
      <c r="AE2">
        <f>BDH("MOBI US Equity","NET_INCOME","1993-06-18","2026-05-02","Per=Y","Days=T","Dir=V")</f>
        <v>0</v>
      </c>
      <c r="AG2">
        <f>BDH("MOBI US Equity","IS_INT_EXPENSE","1993-06-18","2026-05-02","Per=Y","Days=T","Dir=V")</f>
        <v>0</v>
      </c>
      <c r="AI2">
        <f>BDH("MOBI US Equity","IS_DEPR_EXP","1993-06-18","2026-05-02","Per=Y","Days=T","Dir=V")</f>
        <v>0</v>
      </c>
      <c r="AK2">
        <f>BDH("MOBI US Equity","CF_CASH_FROM_OPER","1993-06-18","2026-05-02","Per=Y","Days=T","Dir=V")</f>
        <v>0</v>
      </c>
      <c r="AM2">
        <f>BDH("MOBI US Equity","CAPITAL_EXPEND","1993-06-18","2026-05-02","Per=Y","Days=T","Dir=V")</f>
        <v>0</v>
      </c>
      <c r="AO2">
        <f>BDH("MOBI US Equity","CF_FREE_CASH_FLOW","1993-06-18","2026-05-02","Per=Y","Days=T","Dir=V")</f>
        <v>0</v>
      </c>
      <c r="AQ2">
        <f>BDH("MOBI US Equity","PX_LAST","1993-06-18","2026-05-02","Per=M","Days=T","Dir=V")</f>
        <v>0</v>
      </c>
      <c r="AS2">
        <f>BDH("MOBI US Equity","CUR_MKT_CAP","1993-06-18","2026-05-02","Per=M","Days=T","Dir=V")</f>
        <v>0</v>
      </c>
      <c r="AU2">
        <f>BDH("MOBI US Equity","EQY_SH_OUT","1993-06-18","2026-05-02","Per=M","Days=T","Dir=V")</f>
        <v>0</v>
      </c>
      <c r="AW2">
        <f>BDH("MOBI US Equity","PX_VOLUME","1993-06-18","2026-05-02","Per=M","Days=T","Dir=V")</f>
        <v>0</v>
      </c>
      <c r="AY2">
        <f>BDH("MOBI US Equity","TURNOVER","1993-06-18","2026-05-02","Per=M","Days=T","Dir=V")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BDH("MOBX US Equity","BS_TOT_ASSET","1993-06-18","2026-05-02","Per=Y","Days=T","Dir=V")</f>
        <v>0</v>
      </c>
      <c r="C2">
        <f>BDH("MOBX US Equity","BS_TOT_LIAB2","1993-06-18","2026-05-02","Per=Y","Days=T","Dir=V")</f>
        <v>0</v>
      </c>
      <c r="E2">
        <f>BDH("MOBX US Equity","SHORT_AND_LONG_TERM_DEBT","1993-06-18","2026-05-02","Per=Y","Days=T","Dir=V")</f>
        <v>0</v>
      </c>
      <c r="G2">
        <f>BDH("MOBX US Equity","BS_ST_BORROW","1993-06-18","2026-05-02","Per=Y","Days=T","Dir=V")</f>
        <v>0</v>
      </c>
      <c r="I2">
        <f>BDH("MOBX US Equity","BS_LT_BORROW","1993-06-18","2026-05-02","Per=Y","Days=T","Dir=V")</f>
        <v>0</v>
      </c>
      <c r="K2">
        <f>BDH("MOBX US Equity","BS_CASH_NEAR_CASH_ITEM","1993-06-18","2026-05-02","Per=Y","Days=T","Dir=V")</f>
        <v>0</v>
      </c>
      <c r="M2">
        <f>BDH("MOBX US Equity","BS_CUR_ASSET_REPORT","1993-06-18","2026-05-02","Per=Y","Days=T","Dir=V")</f>
        <v>0</v>
      </c>
      <c r="O2">
        <f>BDH("MOBX US Equity","BS_CUR_LIAB","1993-06-18","2026-05-02","Per=Y","Days=T","Dir=V")</f>
        <v>0</v>
      </c>
      <c r="Q2">
        <f>BDH("MOBX US Equity","BS_SHAREHOLDER_EQY_ENDING_PERIOD","1993-06-18","2026-05-02","Per=Y","Days=T","Dir=V")</f>
        <v>0</v>
      </c>
      <c r="S2">
        <f>BDH("MOBX US Equity","BS_ACCT_NOTE_RCV","1993-06-18","2026-05-02","Per=Y","Days=T","Dir=V")</f>
        <v>0</v>
      </c>
      <c r="U2">
        <f>BDH("MOBX US Equity","BS_INVENTORIES","1993-06-18","2026-05-02","Per=Y","Days=T","Dir=V")</f>
        <v>0</v>
      </c>
      <c r="W2">
        <f>BDH("MOBX US Equity","WORKING_CAPITAL","1993-06-18","2026-05-02","Per=Y","Days=T","Dir=V")</f>
        <v>0</v>
      </c>
      <c r="Y2">
        <f>BDH("MOBX US Equity","SALES_REV_TURN","1993-06-18","2026-05-02","Per=Y","Days=T","Dir=V")</f>
        <v>0</v>
      </c>
      <c r="AA2">
        <f>BDH("MOBX US Equity","EBIT","1993-06-18","2026-05-02","Per=Y","Days=T","Dir=V")</f>
        <v>0</v>
      </c>
      <c r="AC2">
        <f>BDH("MOBX US Equity","EBITDA","1993-06-18","2026-05-02","Per=Y","Days=T","Dir=V")</f>
        <v>0</v>
      </c>
      <c r="AE2">
        <f>BDH("MOBX US Equity","NET_INCOME","1993-06-18","2026-05-02","Per=Y","Days=T","Dir=V")</f>
        <v>0</v>
      </c>
      <c r="AG2">
        <f>BDH("MOBX US Equity","IS_INT_EXPENSE","1993-06-18","2026-05-02","Per=Y","Days=T","Dir=V")</f>
        <v>0</v>
      </c>
      <c r="AI2">
        <f>BDH("MOBX US Equity","IS_DEPR_EXP","1993-06-18","2026-05-02","Per=Y","Days=T","Dir=V")</f>
        <v>0</v>
      </c>
      <c r="AK2">
        <f>BDH("MOBX US Equity","CF_CASH_FROM_OPER","1993-06-18","2026-05-02","Per=Y","Days=T","Dir=V")</f>
        <v>0</v>
      </c>
      <c r="AM2">
        <f>BDH("MOBX US Equity","CAPITAL_EXPEND","1993-06-18","2026-05-02","Per=Y","Days=T","Dir=V")</f>
        <v>0</v>
      </c>
      <c r="AO2">
        <f>BDH("MOBX US Equity","CF_FREE_CASH_FLOW","1993-06-18","2026-05-02","Per=Y","Days=T","Dir=V")</f>
        <v>0</v>
      </c>
      <c r="AQ2">
        <f>BDH("MOBX US Equity","PX_LAST","1993-06-18","2026-05-02","Per=M","Days=T","Dir=V")</f>
        <v>0</v>
      </c>
      <c r="AS2">
        <f>BDH("MOBX US Equity","CUR_MKT_CAP","1993-06-18","2026-05-02","Per=M","Days=T","Dir=V")</f>
        <v>0</v>
      </c>
      <c r="AU2">
        <f>BDH("MOBX US Equity","EQY_SH_OUT","1993-06-18","2026-05-02","Per=M","Days=T","Dir=V")</f>
        <v>0</v>
      </c>
      <c r="AW2">
        <f>BDH("MOBX US Equity","PX_VOLUME","1993-06-18","2026-05-02","Per=M","Days=T","Dir=V")</f>
        <v>0</v>
      </c>
      <c r="AY2">
        <f>BDH("MOBX US Equity","TURNOVER","1993-06-18","2026-05-02","Per=M","Days=T","Dir=V")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BDH("MOBXW US Equity","BS_TOT_ASSET","1993-06-18","2026-05-02","Per=Y","Days=T","Dir=V")</f>
        <v>0</v>
      </c>
      <c r="C2">
        <f>BDH("MOBXW US Equity","BS_TOT_LIAB2","1993-06-18","2026-05-02","Per=Y","Days=T","Dir=V")</f>
        <v>0</v>
      </c>
      <c r="E2">
        <f>BDH("MOBXW US Equity","SHORT_AND_LONG_TERM_DEBT","1993-06-18","2026-05-02","Per=Y","Days=T","Dir=V")</f>
        <v>0</v>
      </c>
      <c r="G2">
        <f>BDH("MOBXW US Equity","BS_ST_BORROW","1993-06-18","2026-05-02","Per=Y","Days=T","Dir=V")</f>
        <v>0</v>
      </c>
      <c r="I2">
        <f>BDH("MOBXW US Equity","BS_LT_BORROW","1993-06-18","2026-05-02","Per=Y","Days=T","Dir=V")</f>
        <v>0</v>
      </c>
      <c r="K2">
        <f>BDH("MOBXW US Equity","BS_CASH_NEAR_CASH_ITEM","1993-06-18","2026-05-02","Per=Y","Days=T","Dir=V")</f>
        <v>0</v>
      </c>
      <c r="M2">
        <f>BDH("MOBXW US Equity","BS_CUR_ASSET_REPORT","1993-06-18","2026-05-02","Per=Y","Days=T","Dir=V")</f>
        <v>0</v>
      </c>
      <c r="O2">
        <f>BDH("MOBXW US Equity","BS_CUR_LIAB","1993-06-18","2026-05-02","Per=Y","Days=T","Dir=V")</f>
        <v>0</v>
      </c>
      <c r="Q2">
        <f>BDH("MOBXW US Equity","BS_SHAREHOLDER_EQY_ENDING_PERIOD","1993-06-18","2026-05-02","Per=Y","Days=T","Dir=V")</f>
        <v>0</v>
      </c>
      <c r="S2">
        <f>BDH("MOBXW US Equity","BS_ACCT_NOTE_RCV","1993-06-18","2026-05-02","Per=Y","Days=T","Dir=V")</f>
        <v>0</v>
      </c>
      <c r="U2">
        <f>BDH("MOBXW US Equity","BS_INVENTORIES","1993-06-18","2026-05-02","Per=Y","Days=T","Dir=V")</f>
        <v>0</v>
      </c>
      <c r="W2">
        <f>BDH("MOBXW US Equity","WORKING_CAPITAL","1993-06-18","2026-05-02","Per=Y","Days=T","Dir=V")</f>
        <v>0</v>
      </c>
      <c r="Y2">
        <f>BDH("MOBXW US Equity","SALES_REV_TURN","1993-06-18","2026-05-02","Per=Y","Days=T","Dir=V")</f>
        <v>0</v>
      </c>
      <c r="AA2">
        <f>BDH("MOBXW US Equity","EBIT","1993-06-18","2026-05-02","Per=Y","Days=T","Dir=V")</f>
        <v>0</v>
      </c>
      <c r="AC2">
        <f>BDH("MOBXW US Equity","EBITDA","1993-06-18","2026-05-02","Per=Y","Days=T","Dir=V")</f>
        <v>0</v>
      </c>
      <c r="AE2">
        <f>BDH("MOBXW US Equity","NET_INCOME","1993-06-18","2026-05-02","Per=Y","Days=T","Dir=V")</f>
        <v>0</v>
      </c>
      <c r="AG2">
        <f>BDH("MOBXW US Equity","IS_INT_EXPENSE","1993-06-18","2026-05-02","Per=Y","Days=T","Dir=V")</f>
        <v>0</v>
      </c>
      <c r="AI2">
        <f>BDH("MOBXW US Equity","IS_DEPR_EXP","1993-06-18","2026-05-02","Per=Y","Days=T","Dir=V")</f>
        <v>0</v>
      </c>
      <c r="AK2">
        <f>BDH("MOBXW US Equity","CF_CASH_FROM_OPER","1993-06-18","2026-05-02","Per=Y","Days=T","Dir=V")</f>
        <v>0</v>
      </c>
      <c r="AM2">
        <f>BDH("MOBXW US Equity","CAPITAL_EXPEND","1993-06-18","2026-05-02","Per=Y","Days=T","Dir=V")</f>
        <v>0</v>
      </c>
      <c r="AO2">
        <f>BDH("MOBXW US Equity","CF_FREE_CASH_FLOW","1993-06-18","2026-05-02","Per=Y","Days=T","Dir=V")</f>
        <v>0</v>
      </c>
      <c r="AQ2">
        <f>BDH("MOBXW US Equity","PX_LAST","1993-06-18","2026-05-02","Per=M","Days=T","Dir=V")</f>
        <v>0</v>
      </c>
      <c r="AS2">
        <f>BDH("MOBXW US Equity","CUR_MKT_CAP","1993-06-18","2026-05-02","Per=M","Days=T","Dir=V")</f>
        <v>0</v>
      </c>
      <c r="AU2">
        <f>BDH("MOBXW US Equity","EQY_SH_OUT","1993-06-18","2026-05-02","Per=M","Days=T","Dir=V")</f>
        <v>0</v>
      </c>
      <c r="AW2">
        <f>BDH("MOBXW US Equity","PX_VOLUME","1993-06-18","2026-05-02","Per=M","Days=T","Dir=V")</f>
        <v>0</v>
      </c>
      <c r="AY2">
        <f>BDH("MOBXW US Equity","TURNOVER","1993-06-18","2026-05-02","Per=M","Days=T","Dir=V")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BDH("MOD US Equity","BS_TOT_ASSET","1993-06-18","2026-05-02","Per=Y","Days=T","Dir=V")</f>
        <v>0</v>
      </c>
      <c r="C2">
        <f>BDH("MOD US Equity","BS_TOT_LIAB2","1993-06-18","2026-05-02","Per=Y","Days=T","Dir=V")</f>
        <v>0</v>
      </c>
      <c r="E2">
        <f>BDH("MOD US Equity","SHORT_AND_LONG_TERM_DEBT","1993-06-18","2026-05-02","Per=Y","Days=T","Dir=V")</f>
        <v>0</v>
      </c>
      <c r="G2">
        <f>BDH("MOD US Equity","BS_ST_BORROW","1993-06-18","2026-05-02","Per=Y","Days=T","Dir=V")</f>
        <v>0</v>
      </c>
      <c r="I2">
        <f>BDH("MOD US Equity","BS_LT_BORROW","1993-06-18","2026-05-02","Per=Y","Days=T","Dir=V")</f>
        <v>0</v>
      </c>
      <c r="K2">
        <f>BDH("MOD US Equity","BS_CASH_NEAR_CASH_ITEM","1993-06-18","2026-05-02","Per=Y","Days=T","Dir=V")</f>
        <v>0</v>
      </c>
      <c r="M2">
        <f>BDH("MOD US Equity","BS_CUR_ASSET_REPORT","1993-06-18","2026-05-02","Per=Y","Days=T","Dir=V")</f>
        <v>0</v>
      </c>
      <c r="O2">
        <f>BDH("MOD US Equity","BS_CUR_LIAB","1993-06-18","2026-05-02","Per=Y","Days=T","Dir=V")</f>
        <v>0</v>
      </c>
      <c r="Q2">
        <f>BDH("MOD US Equity","BS_SHAREHOLDER_EQY_ENDING_PERIOD","1993-06-18","2026-05-02","Per=Y","Days=T","Dir=V")</f>
        <v>0</v>
      </c>
      <c r="S2">
        <f>BDH("MOD US Equity","BS_ACCT_NOTE_RCV","1993-06-18","2026-05-02","Per=Y","Days=T","Dir=V")</f>
        <v>0</v>
      </c>
      <c r="U2">
        <f>BDH("MOD US Equity","BS_INVENTORIES","1993-06-18","2026-05-02","Per=Y","Days=T","Dir=V")</f>
        <v>0</v>
      </c>
      <c r="W2">
        <f>BDH("MOD US Equity","WORKING_CAPITAL","1993-06-18","2026-05-02","Per=Y","Days=T","Dir=V")</f>
        <v>0</v>
      </c>
      <c r="Y2">
        <f>BDH("MOD US Equity","SALES_REV_TURN","1993-06-18","2026-05-02","Per=Y","Days=T","Dir=V")</f>
        <v>0</v>
      </c>
      <c r="AA2">
        <f>BDH("MOD US Equity","EBIT","1993-06-18","2026-05-02","Per=Y","Days=T","Dir=V")</f>
        <v>0</v>
      </c>
      <c r="AC2">
        <f>BDH("MOD US Equity","EBITDA","1993-06-18","2026-05-02","Per=Y","Days=T","Dir=V")</f>
        <v>0</v>
      </c>
      <c r="AE2">
        <f>BDH("MOD US Equity","NET_INCOME","1993-06-18","2026-05-02","Per=Y","Days=T","Dir=V")</f>
        <v>0</v>
      </c>
      <c r="AG2">
        <f>BDH("MOD US Equity","IS_INT_EXPENSE","1993-06-18","2026-05-02","Per=Y","Days=T","Dir=V")</f>
        <v>0</v>
      </c>
      <c r="AI2">
        <f>BDH("MOD US Equity","IS_DEPR_EXP","1993-06-18","2026-05-02","Per=Y","Days=T","Dir=V")</f>
        <v>0</v>
      </c>
      <c r="AK2">
        <f>BDH("MOD US Equity","CF_CASH_FROM_OPER","1993-06-18","2026-05-02","Per=Y","Days=T","Dir=V")</f>
        <v>0</v>
      </c>
      <c r="AM2">
        <f>BDH("MOD US Equity","CAPITAL_EXPEND","1993-06-18","2026-05-02","Per=Y","Days=T","Dir=V")</f>
        <v>0</v>
      </c>
      <c r="AO2">
        <f>BDH("MOD US Equity","CF_FREE_CASH_FLOW","1993-06-18","2026-05-02","Per=Y","Days=T","Dir=V")</f>
        <v>0</v>
      </c>
      <c r="AQ2">
        <f>BDH("MOD US Equity","PX_LAST","1993-06-18","2026-05-02","Per=M","Days=T","Dir=V")</f>
        <v>0</v>
      </c>
      <c r="AS2">
        <f>BDH("MOD US Equity","CUR_MKT_CAP","1993-06-18","2026-05-02","Per=M","Days=T","Dir=V")</f>
        <v>0</v>
      </c>
      <c r="AU2">
        <f>BDH("MOD US Equity","EQY_SH_OUT","1993-06-18","2026-05-02","Per=M","Days=T","Dir=V")</f>
        <v>0</v>
      </c>
      <c r="AW2">
        <f>BDH("MOD US Equity","PX_VOLUME","1993-06-18","2026-05-02","Per=M","Days=T","Dir=V")</f>
        <v>0</v>
      </c>
      <c r="AY2">
        <f>BDH("MOD US Equity","TURNOVER","1993-06-18","2026-05-02","Per=M","Days=T","Dir=V")</f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BDH("MODD US Equity","BS_TOT_ASSET","1993-06-18","2026-05-02","Per=Y","Days=T","Dir=V")</f>
        <v>0</v>
      </c>
      <c r="C2">
        <f>BDH("MODD US Equity","BS_TOT_LIAB2","1993-06-18","2026-05-02","Per=Y","Days=T","Dir=V")</f>
        <v>0</v>
      </c>
      <c r="E2">
        <f>BDH("MODD US Equity","SHORT_AND_LONG_TERM_DEBT","1993-06-18","2026-05-02","Per=Y","Days=T","Dir=V")</f>
        <v>0</v>
      </c>
      <c r="G2">
        <f>BDH("MODD US Equity","BS_ST_BORROW","1993-06-18","2026-05-02","Per=Y","Days=T","Dir=V")</f>
        <v>0</v>
      </c>
      <c r="I2">
        <f>BDH("MODD US Equity","BS_LT_BORROW","1993-06-18","2026-05-02","Per=Y","Days=T","Dir=V")</f>
        <v>0</v>
      </c>
      <c r="K2">
        <f>BDH("MODD US Equity","BS_CASH_NEAR_CASH_ITEM","1993-06-18","2026-05-02","Per=Y","Days=T","Dir=V")</f>
        <v>0</v>
      </c>
      <c r="M2">
        <f>BDH("MODD US Equity","BS_CUR_ASSET_REPORT","1993-06-18","2026-05-02","Per=Y","Days=T","Dir=V")</f>
        <v>0</v>
      </c>
      <c r="O2">
        <f>BDH("MODD US Equity","BS_CUR_LIAB","1993-06-18","2026-05-02","Per=Y","Days=T","Dir=V")</f>
        <v>0</v>
      </c>
      <c r="Q2">
        <f>BDH("MODD US Equity","BS_SHAREHOLDER_EQY_ENDING_PERIOD","1993-06-18","2026-05-02","Per=Y","Days=T","Dir=V")</f>
        <v>0</v>
      </c>
      <c r="S2">
        <f>BDH("MODD US Equity","BS_ACCT_NOTE_RCV","1993-06-18","2026-05-02","Per=Y","Days=T","Dir=V")</f>
        <v>0</v>
      </c>
      <c r="U2">
        <f>BDH("MODD US Equity","BS_INVENTORIES","1993-06-18","2026-05-02","Per=Y","Days=T","Dir=V")</f>
        <v>0</v>
      </c>
      <c r="W2">
        <f>BDH("MODD US Equity","WORKING_CAPITAL","1993-06-18","2026-05-02","Per=Y","Days=T","Dir=V")</f>
        <v>0</v>
      </c>
      <c r="Y2">
        <f>BDH("MODD US Equity","SALES_REV_TURN","1993-06-18","2026-05-02","Per=Y","Days=T","Dir=V")</f>
        <v>0</v>
      </c>
      <c r="AA2">
        <f>BDH("MODD US Equity","EBIT","1993-06-18","2026-05-02","Per=Y","Days=T","Dir=V")</f>
        <v>0</v>
      </c>
      <c r="AC2">
        <f>BDH("MODD US Equity","EBITDA","1993-06-18","2026-05-02","Per=Y","Days=T","Dir=V")</f>
        <v>0</v>
      </c>
      <c r="AE2">
        <f>BDH("MODD US Equity","NET_INCOME","1993-06-18","2026-05-02","Per=Y","Days=T","Dir=V")</f>
        <v>0</v>
      </c>
      <c r="AG2">
        <f>BDH("MODD US Equity","IS_INT_EXPENSE","1993-06-18","2026-05-02","Per=Y","Days=T","Dir=V")</f>
        <v>0</v>
      </c>
      <c r="AI2">
        <f>BDH("MODD US Equity","IS_DEPR_EXP","1993-06-18","2026-05-02","Per=Y","Days=T","Dir=V")</f>
        <v>0</v>
      </c>
      <c r="AK2">
        <f>BDH("MODD US Equity","CF_CASH_FROM_OPER","1993-06-18","2026-05-02","Per=Y","Days=T","Dir=V")</f>
        <v>0</v>
      </c>
      <c r="AM2">
        <f>BDH("MODD US Equity","CAPITAL_EXPEND","1993-06-18","2026-05-02","Per=Y","Days=T","Dir=V")</f>
        <v>0</v>
      </c>
      <c r="AO2">
        <f>BDH("MODD US Equity","CF_FREE_CASH_FLOW","1993-06-18","2026-05-02","Per=Y","Days=T","Dir=V")</f>
        <v>0</v>
      </c>
      <c r="AQ2">
        <f>BDH("MODD US Equity","PX_LAST","1993-06-18","2026-05-02","Per=M","Days=T","Dir=V")</f>
        <v>0</v>
      </c>
      <c r="AS2">
        <f>BDH("MODD US Equity","CUR_MKT_CAP","1993-06-18","2026-05-02","Per=M","Days=T","Dir=V")</f>
        <v>0</v>
      </c>
      <c r="AU2">
        <f>BDH("MODD US Equity","EQY_SH_OUT","1993-06-18","2026-05-02","Per=M","Days=T","Dir=V")</f>
        <v>0</v>
      </c>
      <c r="AW2">
        <f>BDH("MODD US Equity","PX_VOLUME","1993-06-18","2026-05-02","Per=M","Days=T","Dir=V")</f>
        <v>0</v>
      </c>
      <c r="AY2">
        <f>BDH("MODD US Equity","TURNOVER","1993-06-18","2026-05-02","Per=M","Days=T","Dir=V")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BDH("MOH US Equity","BS_TOT_ASSET","1993-06-18","2026-05-02","Per=Y","Days=T","Dir=V")</f>
        <v>0</v>
      </c>
      <c r="C2">
        <f>BDH("MOH US Equity","BS_TOT_LIAB2","1993-06-18","2026-05-02","Per=Y","Days=T","Dir=V")</f>
        <v>0</v>
      </c>
      <c r="E2">
        <f>BDH("MOH US Equity","SHORT_AND_LONG_TERM_DEBT","1993-06-18","2026-05-02","Per=Y","Days=T","Dir=V")</f>
        <v>0</v>
      </c>
      <c r="G2">
        <f>BDH("MOH US Equity","BS_ST_BORROW","1993-06-18","2026-05-02","Per=Y","Days=T","Dir=V")</f>
        <v>0</v>
      </c>
      <c r="I2">
        <f>BDH("MOH US Equity","BS_LT_BORROW","1993-06-18","2026-05-02","Per=Y","Days=T","Dir=V")</f>
        <v>0</v>
      </c>
      <c r="K2">
        <f>BDH("MOH US Equity","BS_CASH_NEAR_CASH_ITEM","1993-06-18","2026-05-02","Per=Y","Days=T","Dir=V")</f>
        <v>0</v>
      </c>
      <c r="M2">
        <f>BDH("MOH US Equity","BS_CUR_ASSET_REPORT","1993-06-18","2026-05-02","Per=Y","Days=T","Dir=V")</f>
        <v>0</v>
      </c>
      <c r="O2">
        <f>BDH("MOH US Equity","BS_CUR_LIAB","1993-06-18","2026-05-02","Per=Y","Days=T","Dir=V")</f>
        <v>0</v>
      </c>
      <c r="Q2">
        <f>BDH("MOH US Equity","BS_SHAREHOLDER_EQY_ENDING_PERIOD","1993-06-18","2026-05-02","Per=Y","Days=T","Dir=V")</f>
        <v>0</v>
      </c>
      <c r="S2">
        <f>BDH("MOH US Equity","BS_ACCT_NOTE_RCV","1993-06-18","2026-05-02","Per=Y","Days=T","Dir=V")</f>
        <v>0</v>
      </c>
      <c r="U2">
        <f>BDH("MOH US Equity","BS_INVENTORIES","1993-06-18","2026-05-02","Per=Y","Days=T","Dir=V")</f>
        <v>0</v>
      </c>
      <c r="W2">
        <f>BDH("MOH US Equity","WORKING_CAPITAL","1993-06-18","2026-05-02","Per=Y","Days=T","Dir=V")</f>
        <v>0</v>
      </c>
      <c r="Y2">
        <f>BDH("MOH US Equity","SALES_REV_TURN","1993-06-18","2026-05-02","Per=Y","Days=T","Dir=V")</f>
        <v>0</v>
      </c>
      <c r="AA2">
        <f>BDH("MOH US Equity","EBIT","1993-06-18","2026-05-02","Per=Y","Days=T","Dir=V")</f>
        <v>0</v>
      </c>
      <c r="AC2">
        <f>BDH("MOH US Equity","EBITDA","1993-06-18","2026-05-02","Per=Y","Days=T","Dir=V")</f>
        <v>0</v>
      </c>
      <c r="AE2">
        <f>BDH("MOH US Equity","NET_INCOME","1993-06-18","2026-05-02","Per=Y","Days=T","Dir=V")</f>
        <v>0</v>
      </c>
      <c r="AG2">
        <f>BDH("MOH US Equity","IS_INT_EXPENSE","1993-06-18","2026-05-02","Per=Y","Days=T","Dir=V")</f>
        <v>0</v>
      </c>
      <c r="AI2">
        <f>BDH("MOH US Equity","IS_DEPR_EXP","1993-06-18","2026-05-02","Per=Y","Days=T","Dir=V")</f>
        <v>0</v>
      </c>
      <c r="AK2">
        <f>BDH("MOH US Equity","CF_CASH_FROM_OPER","1993-06-18","2026-05-02","Per=Y","Days=T","Dir=V")</f>
        <v>0</v>
      </c>
      <c r="AM2">
        <f>BDH("MOH US Equity","CAPITAL_EXPEND","1993-06-18","2026-05-02","Per=Y","Days=T","Dir=V")</f>
        <v>0</v>
      </c>
      <c r="AO2">
        <f>BDH("MOH US Equity","CF_FREE_CASH_FLOW","1993-06-18","2026-05-02","Per=Y","Days=T","Dir=V")</f>
        <v>0</v>
      </c>
      <c r="AQ2">
        <f>BDH("MOH US Equity","PX_LAST","1993-06-18","2026-05-02","Per=M","Days=T","Dir=V")</f>
        <v>0</v>
      </c>
      <c r="AS2">
        <f>BDH("MOH US Equity","CUR_MKT_CAP","1993-06-18","2026-05-02","Per=M","Days=T","Dir=V")</f>
        <v>0</v>
      </c>
      <c r="AU2">
        <f>BDH("MOH US Equity","EQY_SH_OUT","1993-06-18","2026-05-02","Per=M","Days=T","Dir=V")</f>
        <v>0</v>
      </c>
      <c r="AW2">
        <f>BDH("MOH US Equity","PX_VOLUME","1993-06-18","2026-05-02","Per=M","Days=T","Dir=V")</f>
        <v>0</v>
      </c>
      <c r="AY2">
        <f>BDH("MOH US Equity","TURNOVER","1993-06-18","2026-05-02","Per=M","Days=T","Dir=V")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BDH("MOS US Equity","BS_TOT_ASSET","1993-06-18","2026-05-02","Per=Y","Days=T","Dir=V")</f>
        <v>0</v>
      </c>
      <c r="C2">
        <f>BDH("MOS US Equity","BS_TOT_LIAB2","1993-06-18","2026-05-02","Per=Y","Days=T","Dir=V")</f>
        <v>0</v>
      </c>
      <c r="E2">
        <f>BDH("MOS US Equity","SHORT_AND_LONG_TERM_DEBT","1993-06-18","2026-05-02","Per=Y","Days=T","Dir=V")</f>
        <v>0</v>
      </c>
      <c r="G2">
        <f>BDH("MOS US Equity","BS_ST_BORROW","1993-06-18","2026-05-02","Per=Y","Days=T","Dir=V")</f>
        <v>0</v>
      </c>
      <c r="I2">
        <f>BDH("MOS US Equity","BS_LT_BORROW","1993-06-18","2026-05-02","Per=Y","Days=T","Dir=V")</f>
        <v>0</v>
      </c>
      <c r="K2">
        <f>BDH("MOS US Equity","BS_CASH_NEAR_CASH_ITEM","1993-06-18","2026-05-02","Per=Y","Days=T","Dir=V")</f>
        <v>0</v>
      </c>
      <c r="M2">
        <f>BDH("MOS US Equity","BS_CUR_ASSET_REPORT","1993-06-18","2026-05-02","Per=Y","Days=T","Dir=V")</f>
        <v>0</v>
      </c>
      <c r="O2">
        <f>BDH("MOS US Equity","BS_CUR_LIAB","1993-06-18","2026-05-02","Per=Y","Days=T","Dir=V")</f>
        <v>0</v>
      </c>
      <c r="Q2">
        <f>BDH("MOS US Equity","BS_SHAREHOLDER_EQY_ENDING_PERIOD","1993-06-18","2026-05-02","Per=Y","Days=T","Dir=V")</f>
        <v>0</v>
      </c>
      <c r="S2">
        <f>BDH("MOS US Equity","BS_ACCT_NOTE_RCV","1993-06-18","2026-05-02","Per=Y","Days=T","Dir=V")</f>
        <v>0</v>
      </c>
      <c r="U2">
        <f>BDH("MOS US Equity","BS_INVENTORIES","1993-06-18","2026-05-02","Per=Y","Days=T","Dir=V")</f>
        <v>0</v>
      </c>
      <c r="W2">
        <f>BDH("MOS US Equity","WORKING_CAPITAL","1993-06-18","2026-05-02","Per=Y","Days=T","Dir=V")</f>
        <v>0</v>
      </c>
      <c r="Y2">
        <f>BDH("MOS US Equity","SALES_REV_TURN","1993-06-18","2026-05-02","Per=Y","Days=T","Dir=V")</f>
        <v>0</v>
      </c>
      <c r="AA2">
        <f>BDH("MOS US Equity","EBIT","1993-06-18","2026-05-02","Per=Y","Days=T","Dir=V")</f>
        <v>0</v>
      </c>
      <c r="AC2">
        <f>BDH("MOS US Equity","EBITDA","1993-06-18","2026-05-02","Per=Y","Days=T","Dir=V")</f>
        <v>0</v>
      </c>
      <c r="AE2">
        <f>BDH("MOS US Equity","NET_INCOME","1993-06-18","2026-05-02","Per=Y","Days=T","Dir=V")</f>
        <v>0</v>
      </c>
      <c r="AG2">
        <f>BDH("MOS US Equity","IS_INT_EXPENSE","1993-06-18","2026-05-02","Per=Y","Days=T","Dir=V")</f>
        <v>0</v>
      </c>
      <c r="AI2">
        <f>BDH("MOS US Equity","IS_DEPR_EXP","1993-06-18","2026-05-02","Per=Y","Days=T","Dir=V")</f>
        <v>0</v>
      </c>
      <c r="AK2">
        <f>BDH("MOS US Equity","CF_CASH_FROM_OPER","1993-06-18","2026-05-02","Per=Y","Days=T","Dir=V")</f>
        <v>0</v>
      </c>
      <c r="AM2">
        <f>BDH("MOS US Equity","CAPITAL_EXPEND","1993-06-18","2026-05-02","Per=Y","Days=T","Dir=V")</f>
        <v>0</v>
      </c>
      <c r="AO2">
        <f>BDH("MOS US Equity","CF_FREE_CASH_FLOW","1993-06-18","2026-05-02","Per=Y","Days=T","Dir=V")</f>
        <v>0</v>
      </c>
      <c r="AQ2">
        <f>BDH("MOS US Equity","PX_LAST","1993-06-18","2026-05-02","Per=M","Days=T","Dir=V")</f>
        <v>0</v>
      </c>
      <c r="AS2">
        <f>BDH("MOS US Equity","CUR_MKT_CAP","1993-06-18","2026-05-02","Per=M","Days=T","Dir=V")</f>
        <v>0</v>
      </c>
      <c r="AU2">
        <f>BDH("MOS US Equity","EQY_SH_OUT","1993-06-18","2026-05-02","Per=M","Days=T","Dir=V")</f>
        <v>0</v>
      </c>
      <c r="AW2">
        <f>BDH("MOS US Equity","PX_VOLUME","1993-06-18","2026-05-02","Per=M","Days=T","Dir=V")</f>
        <v>0</v>
      </c>
      <c r="AY2">
        <f>BDH("MOS US Equity","TURNOVER","1993-06-18","2026-05-02","Per=M","Days=T","Dir=V")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BDH("MOV US Equity","BS_TOT_ASSET","1993-06-18","2026-05-02","Per=Y","Days=T","Dir=V")</f>
        <v>0</v>
      </c>
      <c r="C2">
        <f>BDH("MOV US Equity","BS_TOT_LIAB2","1993-06-18","2026-05-02","Per=Y","Days=T","Dir=V")</f>
        <v>0</v>
      </c>
      <c r="E2">
        <f>BDH("MOV US Equity","SHORT_AND_LONG_TERM_DEBT","1993-06-18","2026-05-02","Per=Y","Days=T","Dir=V")</f>
        <v>0</v>
      </c>
      <c r="G2">
        <f>BDH("MOV US Equity","BS_ST_BORROW","1993-06-18","2026-05-02","Per=Y","Days=T","Dir=V")</f>
        <v>0</v>
      </c>
      <c r="I2">
        <f>BDH("MOV US Equity","BS_LT_BORROW","1993-06-18","2026-05-02","Per=Y","Days=T","Dir=V")</f>
        <v>0</v>
      </c>
      <c r="K2">
        <f>BDH("MOV US Equity","BS_CASH_NEAR_CASH_ITEM","1993-06-18","2026-05-02","Per=Y","Days=T","Dir=V")</f>
        <v>0</v>
      </c>
      <c r="M2">
        <f>BDH("MOV US Equity","BS_CUR_ASSET_REPORT","1993-06-18","2026-05-02","Per=Y","Days=T","Dir=V")</f>
        <v>0</v>
      </c>
      <c r="O2">
        <f>BDH("MOV US Equity","BS_CUR_LIAB","1993-06-18","2026-05-02","Per=Y","Days=T","Dir=V")</f>
        <v>0</v>
      </c>
      <c r="Q2">
        <f>BDH("MOV US Equity","BS_SHAREHOLDER_EQY_ENDING_PERIOD","1993-06-18","2026-05-02","Per=Y","Days=T","Dir=V")</f>
        <v>0</v>
      </c>
      <c r="S2">
        <f>BDH("MOV US Equity","BS_ACCT_NOTE_RCV","1993-06-18","2026-05-02","Per=Y","Days=T","Dir=V")</f>
        <v>0</v>
      </c>
      <c r="U2">
        <f>BDH("MOV US Equity","BS_INVENTORIES","1993-06-18","2026-05-02","Per=Y","Days=T","Dir=V")</f>
        <v>0</v>
      </c>
      <c r="W2">
        <f>BDH("MOV US Equity","WORKING_CAPITAL","1993-06-18","2026-05-02","Per=Y","Days=T","Dir=V")</f>
        <v>0</v>
      </c>
      <c r="Y2">
        <f>BDH("MOV US Equity","SALES_REV_TURN","1993-06-18","2026-05-02","Per=Y","Days=T","Dir=V")</f>
        <v>0</v>
      </c>
      <c r="AA2">
        <f>BDH("MOV US Equity","EBIT","1993-06-18","2026-05-02","Per=Y","Days=T","Dir=V")</f>
        <v>0</v>
      </c>
      <c r="AC2">
        <f>BDH("MOV US Equity","EBITDA","1993-06-18","2026-05-02","Per=Y","Days=T","Dir=V")</f>
        <v>0</v>
      </c>
      <c r="AE2">
        <f>BDH("MOV US Equity","NET_INCOME","1993-06-18","2026-05-02","Per=Y","Days=T","Dir=V")</f>
        <v>0</v>
      </c>
      <c r="AG2">
        <f>BDH("MOV US Equity","IS_INT_EXPENSE","1993-06-18","2026-05-02","Per=Y","Days=T","Dir=V")</f>
        <v>0</v>
      </c>
      <c r="AI2">
        <f>BDH("MOV US Equity","IS_DEPR_EXP","1993-06-18","2026-05-02","Per=Y","Days=T","Dir=V")</f>
        <v>0</v>
      </c>
      <c r="AK2">
        <f>BDH("MOV US Equity","CF_CASH_FROM_OPER","1993-06-18","2026-05-02","Per=Y","Days=T","Dir=V")</f>
        <v>0</v>
      </c>
      <c r="AM2">
        <f>BDH("MOV US Equity","CAPITAL_EXPEND","1993-06-18","2026-05-02","Per=Y","Days=T","Dir=V")</f>
        <v>0</v>
      </c>
      <c r="AO2">
        <f>BDH("MOV US Equity","CF_FREE_CASH_FLOW","1993-06-18","2026-05-02","Per=Y","Days=T","Dir=V")</f>
        <v>0</v>
      </c>
      <c r="AQ2">
        <f>BDH("MOV US Equity","PX_LAST","1993-06-18","2026-05-02","Per=M","Days=T","Dir=V")</f>
        <v>0</v>
      </c>
      <c r="AS2">
        <f>BDH("MOV US Equity","CUR_MKT_CAP","1993-06-18","2026-05-02","Per=M","Days=T","Dir=V")</f>
        <v>0</v>
      </c>
      <c r="AU2">
        <f>BDH("MOV US Equity","EQY_SH_OUT","1993-06-18","2026-05-02","Per=M","Days=T","Dir=V")</f>
        <v>0</v>
      </c>
      <c r="AW2">
        <f>BDH("MOV US Equity","PX_VOLUME","1993-06-18","2026-05-02","Per=M","Days=T","Dir=V")</f>
        <v>0</v>
      </c>
      <c r="AY2">
        <f>BDH("MOV US Equity","TURNOVER","1993-06-18","2026-05-02","Per=M","Days=T","Dir=V")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BDH("MOVE US Equity","BS_TOT_ASSET","1993-06-18","2026-05-02","Per=Y","Days=T","Dir=V")</f>
        <v>0</v>
      </c>
      <c r="C2">
        <f>BDH("MOVE US Equity","BS_TOT_LIAB2","1993-06-18","2026-05-02","Per=Y","Days=T","Dir=V")</f>
        <v>0</v>
      </c>
      <c r="E2">
        <f>BDH("MOVE US Equity","SHORT_AND_LONG_TERM_DEBT","1993-06-18","2026-05-02","Per=Y","Days=T","Dir=V")</f>
        <v>0</v>
      </c>
      <c r="G2">
        <f>BDH("MOVE US Equity","BS_ST_BORROW","1993-06-18","2026-05-02","Per=Y","Days=T","Dir=V")</f>
        <v>0</v>
      </c>
      <c r="I2">
        <f>BDH("MOVE US Equity","BS_LT_BORROW","1993-06-18","2026-05-02","Per=Y","Days=T","Dir=V")</f>
        <v>0</v>
      </c>
      <c r="K2">
        <f>BDH("MOVE US Equity","BS_CASH_NEAR_CASH_ITEM","1993-06-18","2026-05-02","Per=Y","Days=T","Dir=V")</f>
        <v>0</v>
      </c>
      <c r="M2">
        <f>BDH("MOVE US Equity","BS_CUR_ASSET_REPORT","1993-06-18","2026-05-02","Per=Y","Days=T","Dir=V")</f>
        <v>0</v>
      </c>
      <c r="O2">
        <f>BDH("MOVE US Equity","BS_CUR_LIAB","1993-06-18","2026-05-02","Per=Y","Days=T","Dir=V")</f>
        <v>0</v>
      </c>
      <c r="Q2">
        <f>BDH("MOVE US Equity","BS_SHAREHOLDER_EQY_ENDING_PERIOD","1993-06-18","2026-05-02","Per=Y","Days=T","Dir=V")</f>
        <v>0</v>
      </c>
      <c r="S2">
        <f>BDH("MOVE US Equity","BS_ACCT_NOTE_RCV","1993-06-18","2026-05-02","Per=Y","Days=T","Dir=V")</f>
        <v>0</v>
      </c>
      <c r="U2">
        <f>BDH("MOVE US Equity","BS_INVENTORIES","1993-06-18","2026-05-02","Per=Y","Days=T","Dir=V")</f>
        <v>0</v>
      </c>
      <c r="W2">
        <f>BDH("MOVE US Equity","WORKING_CAPITAL","1993-06-18","2026-05-02","Per=Y","Days=T","Dir=V")</f>
        <v>0</v>
      </c>
      <c r="Y2">
        <f>BDH("MOVE US Equity","SALES_REV_TURN","1993-06-18","2026-05-02","Per=Y","Days=T","Dir=V")</f>
        <v>0</v>
      </c>
      <c r="AA2">
        <f>BDH("MOVE US Equity","EBIT","1993-06-18","2026-05-02","Per=Y","Days=T","Dir=V")</f>
        <v>0</v>
      </c>
      <c r="AC2">
        <f>BDH("MOVE US Equity","EBITDA","1993-06-18","2026-05-02","Per=Y","Days=T","Dir=V")</f>
        <v>0</v>
      </c>
      <c r="AE2">
        <f>BDH("MOVE US Equity","NET_INCOME","1993-06-18","2026-05-02","Per=Y","Days=T","Dir=V")</f>
        <v>0</v>
      </c>
      <c r="AG2">
        <f>BDH("MOVE US Equity","IS_INT_EXPENSE","1993-06-18","2026-05-02","Per=Y","Days=T","Dir=V")</f>
        <v>0</v>
      </c>
      <c r="AI2">
        <f>BDH("MOVE US Equity","IS_DEPR_EXP","1993-06-18","2026-05-02","Per=Y","Days=T","Dir=V")</f>
        <v>0</v>
      </c>
      <c r="AK2">
        <f>BDH("MOVE US Equity","CF_CASH_FROM_OPER","1993-06-18","2026-05-02","Per=Y","Days=T","Dir=V")</f>
        <v>0</v>
      </c>
      <c r="AM2">
        <f>BDH("MOVE US Equity","CAPITAL_EXPEND","1993-06-18","2026-05-02","Per=Y","Days=T","Dir=V")</f>
        <v>0</v>
      </c>
      <c r="AO2">
        <f>BDH("MOVE US Equity","CF_FREE_CASH_FLOW","1993-06-18","2026-05-02","Per=Y","Days=T","Dir=V")</f>
        <v>0</v>
      </c>
      <c r="AQ2">
        <f>BDH("MOVE US Equity","PX_LAST","1993-06-18","2026-05-02","Per=M","Days=T","Dir=V")</f>
        <v>0</v>
      </c>
      <c r="AS2">
        <f>BDH("MOVE US Equity","CUR_MKT_CAP","1993-06-18","2026-05-02","Per=M","Days=T","Dir=V")</f>
        <v>0</v>
      </c>
      <c r="AU2">
        <f>BDH("MOVE US Equity","EQY_SH_OUT","1993-06-18","2026-05-02","Per=M","Days=T","Dir=V")</f>
        <v>0</v>
      </c>
      <c r="AW2">
        <f>BDH("MOVE US Equity","PX_VOLUME","1993-06-18","2026-05-02","Per=M","Days=T","Dir=V")</f>
        <v>0</v>
      </c>
      <c r="AY2">
        <f>BDH("MOVE US Equity","TURNOVER","1993-06-18","2026-05-02","Per=M","Days=T","Dir=V")</f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BDH("MP US Equity","BS_TOT_ASSET","1993-06-18","2026-05-02","Per=Y","Days=T","Dir=V")</f>
        <v>0</v>
      </c>
      <c r="C2">
        <f>BDH("MP US Equity","BS_TOT_LIAB2","1993-06-18","2026-05-02","Per=Y","Days=T","Dir=V")</f>
        <v>0</v>
      </c>
      <c r="E2">
        <f>BDH("MP US Equity","SHORT_AND_LONG_TERM_DEBT","1993-06-18","2026-05-02","Per=Y","Days=T","Dir=V")</f>
        <v>0</v>
      </c>
      <c r="G2">
        <f>BDH("MP US Equity","BS_ST_BORROW","1993-06-18","2026-05-02","Per=Y","Days=T","Dir=V")</f>
        <v>0</v>
      </c>
      <c r="I2">
        <f>BDH("MP US Equity","BS_LT_BORROW","1993-06-18","2026-05-02","Per=Y","Days=T","Dir=V")</f>
        <v>0</v>
      </c>
      <c r="K2">
        <f>BDH("MP US Equity","BS_CASH_NEAR_CASH_ITEM","1993-06-18","2026-05-02","Per=Y","Days=T","Dir=V")</f>
        <v>0</v>
      </c>
      <c r="M2">
        <f>BDH("MP US Equity","BS_CUR_ASSET_REPORT","1993-06-18","2026-05-02","Per=Y","Days=T","Dir=V")</f>
        <v>0</v>
      </c>
      <c r="O2">
        <f>BDH("MP US Equity","BS_CUR_LIAB","1993-06-18","2026-05-02","Per=Y","Days=T","Dir=V")</f>
        <v>0</v>
      </c>
      <c r="Q2">
        <f>BDH("MP US Equity","BS_SHAREHOLDER_EQY_ENDING_PERIOD","1993-06-18","2026-05-02","Per=Y","Days=T","Dir=V")</f>
        <v>0</v>
      </c>
      <c r="S2">
        <f>BDH("MP US Equity","BS_ACCT_NOTE_RCV","1993-06-18","2026-05-02","Per=Y","Days=T","Dir=V")</f>
        <v>0</v>
      </c>
      <c r="U2">
        <f>BDH("MP US Equity","BS_INVENTORIES","1993-06-18","2026-05-02","Per=Y","Days=T","Dir=V")</f>
        <v>0</v>
      </c>
      <c r="W2">
        <f>BDH("MP US Equity","WORKING_CAPITAL","1993-06-18","2026-05-02","Per=Y","Days=T","Dir=V")</f>
        <v>0</v>
      </c>
      <c r="Y2">
        <f>BDH("MP US Equity","SALES_REV_TURN","1993-06-18","2026-05-02","Per=Y","Days=T","Dir=V")</f>
        <v>0</v>
      </c>
      <c r="AA2">
        <f>BDH("MP US Equity","EBIT","1993-06-18","2026-05-02","Per=Y","Days=T","Dir=V")</f>
        <v>0</v>
      </c>
      <c r="AC2">
        <f>BDH("MP US Equity","EBITDA","1993-06-18","2026-05-02","Per=Y","Days=T","Dir=V")</f>
        <v>0</v>
      </c>
      <c r="AE2">
        <f>BDH("MP US Equity","NET_INCOME","1993-06-18","2026-05-02","Per=Y","Days=T","Dir=V")</f>
        <v>0</v>
      </c>
      <c r="AG2">
        <f>BDH("MP US Equity","IS_INT_EXPENSE","1993-06-18","2026-05-02","Per=Y","Days=T","Dir=V")</f>
        <v>0</v>
      </c>
      <c r="AI2">
        <f>BDH("MP US Equity","IS_DEPR_EXP","1993-06-18","2026-05-02","Per=Y","Days=T","Dir=V")</f>
        <v>0</v>
      </c>
      <c r="AK2">
        <f>BDH("MP US Equity","CF_CASH_FROM_OPER","1993-06-18","2026-05-02","Per=Y","Days=T","Dir=V")</f>
        <v>0</v>
      </c>
      <c r="AM2">
        <f>BDH("MP US Equity","CAPITAL_EXPEND","1993-06-18","2026-05-02","Per=Y","Days=T","Dir=V")</f>
        <v>0</v>
      </c>
      <c r="AO2">
        <f>BDH("MP US Equity","CF_FREE_CASH_FLOW","1993-06-18","2026-05-02","Per=Y","Days=T","Dir=V")</f>
        <v>0</v>
      </c>
      <c r="AQ2">
        <f>BDH("MP US Equity","PX_LAST","1993-06-18","2026-05-02","Per=M","Days=T","Dir=V")</f>
        <v>0</v>
      </c>
      <c r="AS2">
        <f>BDH("MP US Equity","CUR_MKT_CAP","1993-06-18","2026-05-02","Per=M","Days=T","Dir=V")</f>
        <v>0</v>
      </c>
      <c r="AU2">
        <f>BDH("MP US Equity","EQY_SH_OUT","1993-06-18","2026-05-02","Per=M","Days=T","Dir=V")</f>
        <v>0</v>
      </c>
      <c r="AW2">
        <f>BDH("MP US Equity","PX_VOLUME","1993-06-18","2026-05-02","Per=M","Days=T","Dir=V")</f>
        <v>0</v>
      </c>
      <c r="AY2">
        <f>BDH("MP US Equity","TURNOVER","1993-06-18","2026-05-02","Per=M","Days=T","Dir=V")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BDH("MPAA US Equity","BS_TOT_ASSET","1993-06-18","2026-05-02","Per=Y","Days=T","Dir=V")</f>
        <v>0</v>
      </c>
      <c r="C2">
        <f>BDH("MPAA US Equity","BS_TOT_LIAB2","1993-06-18","2026-05-02","Per=Y","Days=T","Dir=V")</f>
        <v>0</v>
      </c>
      <c r="E2">
        <f>BDH("MPAA US Equity","SHORT_AND_LONG_TERM_DEBT","1993-06-18","2026-05-02","Per=Y","Days=T","Dir=V")</f>
        <v>0</v>
      </c>
      <c r="G2">
        <f>BDH("MPAA US Equity","BS_ST_BORROW","1993-06-18","2026-05-02","Per=Y","Days=T","Dir=V")</f>
        <v>0</v>
      </c>
      <c r="I2">
        <f>BDH("MPAA US Equity","BS_LT_BORROW","1993-06-18","2026-05-02","Per=Y","Days=T","Dir=V")</f>
        <v>0</v>
      </c>
      <c r="K2">
        <f>BDH("MPAA US Equity","BS_CASH_NEAR_CASH_ITEM","1993-06-18","2026-05-02","Per=Y","Days=T","Dir=V")</f>
        <v>0</v>
      </c>
      <c r="M2">
        <f>BDH("MPAA US Equity","BS_CUR_ASSET_REPORT","1993-06-18","2026-05-02","Per=Y","Days=T","Dir=V")</f>
        <v>0</v>
      </c>
      <c r="O2">
        <f>BDH("MPAA US Equity","BS_CUR_LIAB","1993-06-18","2026-05-02","Per=Y","Days=T","Dir=V")</f>
        <v>0</v>
      </c>
      <c r="Q2">
        <f>BDH("MPAA US Equity","BS_SHAREHOLDER_EQY_ENDING_PERIOD","1993-06-18","2026-05-02","Per=Y","Days=T","Dir=V")</f>
        <v>0</v>
      </c>
      <c r="S2">
        <f>BDH("MPAA US Equity","BS_ACCT_NOTE_RCV","1993-06-18","2026-05-02","Per=Y","Days=T","Dir=V")</f>
        <v>0</v>
      </c>
      <c r="U2">
        <f>BDH("MPAA US Equity","BS_INVENTORIES","1993-06-18","2026-05-02","Per=Y","Days=T","Dir=V")</f>
        <v>0</v>
      </c>
      <c r="W2">
        <f>BDH("MPAA US Equity","WORKING_CAPITAL","1993-06-18","2026-05-02","Per=Y","Days=T","Dir=V")</f>
        <v>0</v>
      </c>
      <c r="Y2">
        <f>BDH("MPAA US Equity","SALES_REV_TURN","1993-06-18","2026-05-02","Per=Y","Days=T","Dir=V")</f>
        <v>0</v>
      </c>
      <c r="AA2">
        <f>BDH("MPAA US Equity","EBIT","1993-06-18","2026-05-02","Per=Y","Days=T","Dir=V")</f>
        <v>0</v>
      </c>
      <c r="AC2">
        <f>BDH("MPAA US Equity","EBITDA","1993-06-18","2026-05-02","Per=Y","Days=T","Dir=V")</f>
        <v>0</v>
      </c>
      <c r="AE2">
        <f>BDH("MPAA US Equity","NET_INCOME","1993-06-18","2026-05-02","Per=Y","Days=T","Dir=V")</f>
        <v>0</v>
      </c>
      <c r="AG2">
        <f>BDH("MPAA US Equity","IS_INT_EXPENSE","1993-06-18","2026-05-02","Per=Y","Days=T","Dir=V")</f>
        <v>0</v>
      </c>
      <c r="AI2">
        <f>BDH("MPAA US Equity","IS_DEPR_EXP","1993-06-18","2026-05-02","Per=Y","Days=T","Dir=V")</f>
        <v>0</v>
      </c>
      <c r="AK2">
        <f>BDH("MPAA US Equity","CF_CASH_FROM_OPER","1993-06-18","2026-05-02","Per=Y","Days=T","Dir=V")</f>
        <v>0</v>
      </c>
      <c r="AM2">
        <f>BDH("MPAA US Equity","CAPITAL_EXPEND","1993-06-18","2026-05-02","Per=Y","Days=T","Dir=V")</f>
        <v>0</v>
      </c>
      <c r="AO2">
        <f>BDH("MPAA US Equity","CF_FREE_CASH_FLOW","1993-06-18","2026-05-02","Per=Y","Days=T","Dir=V")</f>
        <v>0</v>
      </c>
      <c r="AQ2">
        <f>BDH("MPAA US Equity","PX_LAST","1993-06-18","2026-05-02","Per=M","Days=T","Dir=V")</f>
        <v>0</v>
      </c>
      <c r="AS2">
        <f>BDH("MPAA US Equity","CUR_MKT_CAP","1993-06-18","2026-05-02","Per=M","Days=T","Dir=V")</f>
        <v>0</v>
      </c>
      <c r="AU2">
        <f>BDH("MPAA US Equity","EQY_SH_OUT","1993-06-18","2026-05-02","Per=M","Days=T","Dir=V")</f>
        <v>0</v>
      </c>
      <c r="AW2">
        <f>BDH("MPAA US Equity","PX_VOLUME","1993-06-18","2026-05-02","Per=M","Days=T","Dir=V")</f>
        <v>0</v>
      </c>
      <c r="AY2">
        <f>BDH("MPAA US Equity","TURNOVER","1993-06-18","2026-05-02","Per=M","Days=T","Dir=V")</f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BDH("MPC US Equity","BS_TOT_ASSET","1993-06-18","2026-05-02","Per=Y","Days=T","Dir=V")</f>
        <v>0</v>
      </c>
      <c r="C2">
        <f>BDH("MPC US Equity","BS_TOT_LIAB2","1993-06-18","2026-05-02","Per=Y","Days=T","Dir=V")</f>
        <v>0</v>
      </c>
      <c r="E2">
        <f>BDH("MPC US Equity","SHORT_AND_LONG_TERM_DEBT","1993-06-18","2026-05-02","Per=Y","Days=T","Dir=V")</f>
        <v>0</v>
      </c>
      <c r="G2">
        <f>BDH("MPC US Equity","BS_ST_BORROW","1993-06-18","2026-05-02","Per=Y","Days=T","Dir=V")</f>
        <v>0</v>
      </c>
      <c r="I2">
        <f>BDH("MPC US Equity","BS_LT_BORROW","1993-06-18","2026-05-02","Per=Y","Days=T","Dir=V")</f>
        <v>0</v>
      </c>
      <c r="K2">
        <f>BDH("MPC US Equity","BS_CASH_NEAR_CASH_ITEM","1993-06-18","2026-05-02","Per=Y","Days=T","Dir=V")</f>
        <v>0</v>
      </c>
      <c r="M2">
        <f>BDH("MPC US Equity","BS_CUR_ASSET_REPORT","1993-06-18","2026-05-02","Per=Y","Days=T","Dir=V")</f>
        <v>0</v>
      </c>
      <c r="O2">
        <f>BDH("MPC US Equity","BS_CUR_LIAB","1993-06-18","2026-05-02","Per=Y","Days=T","Dir=V")</f>
        <v>0</v>
      </c>
      <c r="Q2">
        <f>BDH("MPC US Equity","BS_SHAREHOLDER_EQY_ENDING_PERIOD","1993-06-18","2026-05-02","Per=Y","Days=T","Dir=V")</f>
        <v>0</v>
      </c>
      <c r="S2">
        <f>BDH("MPC US Equity","BS_ACCT_NOTE_RCV","1993-06-18","2026-05-02","Per=Y","Days=T","Dir=V")</f>
        <v>0</v>
      </c>
      <c r="U2">
        <f>BDH("MPC US Equity","BS_INVENTORIES","1993-06-18","2026-05-02","Per=Y","Days=T","Dir=V")</f>
        <v>0</v>
      </c>
      <c r="W2">
        <f>BDH("MPC US Equity","WORKING_CAPITAL","1993-06-18","2026-05-02","Per=Y","Days=T","Dir=V")</f>
        <v>0</v>
      </c>
      <c r="Y2">
        <f>BDH("MPC US Equity","SALES_REV_TURN","1993-06-18","2026-05-02","Per=Y","Days=T","Dir=V")</f>
        <v>0</v>
      </c>
      <c r="AA2">
        <f>BDH("MPC US Equity","EBIT","1993-06-18","2026-05-02","Per=Y","Days=T","Dir=V")</f>
        <v>0</v>
      </c>
      <c r="AC2">
        <f>BDH("MPC US Equity","EBITDA","1993-06-18","2026-05-02","Per=Y","Days=T","Dir=V")</f>
        <v>0</v>
      </c>
      <c r="AE2">
        <f>BDH("MPC US Equity","NET_INCOME","1993-06-18","2026-05-02","Per=Y","Days=T","Dir=V")</f>
        <v>0</v>
      </c>
      <c r="AG2">
        <f>BDH("MPC US Equity","IS_INT_EXPENSE","1993-06-18","2026-05-02","Per=Y","Days=T","Dir=V")</f>
        <v>0</v>
      </c>
      <c r="AI2">
        <f>BDH("MPC US Equity","IS_DEPR_EXP","1993-06-18","2026-05-02","Per=Y","Days=T","Dir=V")</f>
        <v>0</v>
      </c>
      <c r="AK2">
        <f>BDH("MPC US Equity","CF_CASH_FROM_OPER","1993-06-18","2026-05-02","Per=Y","Days=T","Dir=V")</f>
        <v>0</v>
      </c>
      <c r="AM2">
        <f>BDH("MPC US Equity","CAPITAL_EXPEND","1993-06-18","2026-05-02","Per=Y","Days=T","Dir=V")</f>
        <v>0</v>
      </c>
      <c r="AO2">
        <f>BDH("MPC US Equity","CF_FREE_CASH_FLOW","1993-06-18","2026-05-02","Per=Y","Days=T","Dir=V")</f>
        <v>0</v>
      </c>
      <c r="AQ2">
        <f>BDH("MPC US Equity","PX_LAST","1993-06-18","2026-05-02","Per=M","Days=T","Dir=V")</f>
        <v>0</v>
      </c>
      <c r="AS2">
        <f>BDH("MPC US Equity","CUR_MKT_CAP","1993-06-18","2026-05-02","Per=M","Days=T","Dir=V")</f>
        <v>0</v>
      </c>
      <c r="AU2">
        <f>BDH("MPC US Equity","EQY_SH_OUT","1993-06-18","2026-05-02","Per=M","Days=T","Dir=V")</f>
        <v>0</v>
      </c>
      <c r="AW2">
        <f>BDH("MPC US Equity","PX_VOLUME","1993-06-18","2026-05-02","Per=M","Days=T","Dir=V")</f>
        <v>0</v>
      </c>
      <c r="AY2">
        <f>BDH("MPC US Equity","TURNOVER","1993-06-18","2026-05-02","Per=M","Days=T","Dir=V")</f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BDH("MPLT US Equity","BS_TOT_ASSET","1993-06-18","2026-05-02","Per=Y","Days=T","Dir=V")</f>
        <v>0</v>
      </c>
      <c r="C2">
        <f>BDH("MPLT US Equity","BS_TOT_LIAB2","1993-06-18","2026-05-02","Per=Y","Days=T","Dir=V")</f>
        <v>0</v>
      </c>
      <c r="E2">
        <f>BDH("MPLT US Equity","SHORT_AND_LONG_TERM_DEBT","1993-06-18","2026-05-02","Per=Y","Days=T","Dir=V")</f>
        <v>0</v>
      </c>
      <c r="G2">
        <f>BDH("MPLT US Equity","BS_ST_BORROW","1993-06-18","2026-05-02","Per=Y","Days=T","Dir=V")</f>
        <v>0</v>
      </c>
      <c r="I2">
        <f>BDH("MPLT US Equity","BS_LT_BORROW","1993-06-18","2026-05-02","Per=Y","Days=T","Dir=V")</f>
        <v>0</v>
      </c>
      <c r="K2">
        <f>BDH("MPLT US Equity","BS_CASH_NEAR_CASH_ITEM","1993-06-18","2026-05-02","Per=Y","Days=T","Dir=V")</f>
        <v>0</v>
      </c>
      <c r="M2">
        <f>BDH("MPLT US Equity","BS_CUR_ASSET_REPORT","1993-06-18","2026-05-02","Per=Y","Days=T","Dir=V")</f>
        <v>0</v>
      </c>
      <c r="O2">
        <f>BDH("MPLT US Equity","BS_CUR_LIAB","1993-06-18","2026-05-02","Per=Y","Days=T","Dir=V")</f>
        <v>0</v>
      </c>
      <c r="Q2">
        <f>BDH("MPLT US Equity","BS_SHAREHOLDER_EQY_ENDING_PERIOD","1993-06-18","2026-05-02","Per=Y","Days=T","Dir=V")</f>
        <v>0</v>
      </c>
      <c r="S2">
        <f>BDH("MPLT US Equity","BS_ACCT_NOTE_RCV","1993-06-18","2026-05-02","Per=Y","Days=T","Dir=V")</f>
        <v>0</v>
      </c>
      <c r="U2">
        <f>BDH("MPLT US Equity","BS_INVENTORIES","1993-06-18","2026-05-02","Per=Y","Days=T","Dir=V")</f>
        <v>0</v>
      </c>
      <c r="W2">
        <f>BDH("MPLT US Equity","WORKING_CAPITAL","1993-06-18","2026-05-02","Per=Y","Days=T","Dir=V")</f>
        <v>0</v>
      </c>
      <c r="Y2">
        <f>BDH("MPLT US Equity","SALES_REV_TURN","1993-06-18","2026-05-02","Per=Y","Days=T","Dir=V")</f>
        <v>0</v>
      </c>
      <c r="AA2">
        <f>BDH("MPLT US Equity","EBIT","1993-06-18","2026-05-02","Per=Y","Days=T","Dir=V")</f>
        <v>0</v>
      </c>
      <c r="AC2">
        <f>BDH("MPLT US Equity","EBITDA","1993-06-18","2026-05-02","Per=Y","Days=T","Dir=V")</f>
        <v>0</v>
      </c>
      <c r="AE2">
        <f>BDH("MPLT US Equity","NET_INCOME","1993-06-18","2026-05-02","Per=Y","Days=T","Dir=V")</f>
        <v>0</v>
      </c>
      <c r="AG2">
        <f>BDH("MPLT US Equity","IS_INT_EXPENSE","1993-06-18","2026-05-02","Per=Y","Days=T","Dir=V")</f>
        <v>0</v>
      </c>
      <c r="AI2">
        <f>BDH("MPLT US Equity","IS_DEPR_EXP","1993-06-18","2026-05-02","Per=Y","Days=T","Dir=V")</f>
        <v>0</v>
      </c>
      <c r="AK2">
        <f>BDH("MPLT US Equity","CF_CASH_FROM_OPER","1993-06-18","2026-05-02","Per=Y","Days=T","Dir=V")</f>
        <v>0</v>
      </c>
      <c r="AM2">
        <f>BDH("MPLT US Equity","CAPITAL_EXPEND","1993-06-18","2026-05-02","Per=Y","Days=T","Dir=V")</f>
        <v>0</v>
      </c>
      <c r="AO2">
        <f>BDH("MPLT US Equity","CF_FREE_CASH_FLOW","1993-06-18","2026-05-02","Per=Y","Days=T","Dir=V")</f>
        <v>0</v>
      </c>
      <c r="AQ2">
        <f>BDH("MPLT US Equity","PX_LAST","1993-06-18","2026-05-02","Per=M","Days=T","Dir=V")</f>
        <v>0</v>
      </c>
      <c r="AS2">
        <f>BDH("MPLT US Equity","CUR_MKT_CAP","1993-06-18","2026-05-02","Per=M","Days=T","Dir=V")</f>
        <v>0</v>
      </c>
      <c r="AU2">
        <f>BDH("MPLT US Equity","EQY_SH_OUT","1993-06-18","2026-05-02","Per=M","Days=T","Dir=V")</f>
        <v>0</v>
      </c>
      <c r="AW2">
        <f>BDH("MPLT US Equity","PX_VOLUME","1993-06-18","2026-05-02","Per=M","Days=T","Dir=V")</f>
        <v>0</v>
      </c>
      <c r="AY2">
        <f>BDH("MPLT US Equity","TURNOVER","1993-06-18","2026-05-02","Per=M","Days=T","Dir=V")</f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BDH("MPLX US Equity","BS_TOT_ASSET","1993-06-18","2026-05-02","Per=Y","Days=T","Dir=V")</f>
        <v>0</v>
      </c>
      <c r="C2">
        <f>BDH("MPLX US Equity","BS_TOT_LIAB2","1993-06-18","2026-05-02","Per=Y","Days=T","Dir=V")</f>
        <v>0</v>
      </c>
      <c r="E2">
        <f>BDH("MPLX US Equity","SHORT_AND_LONG_TERM_DEBT","1993-06-18","2026-05-02","Per=Y","Days=T","Dir=V")</f>
        <v>0</v>
      </c>
      <c r="G2">
        <f>BDH("MPLX US Equity","BS_ST_BORROW","1993-06-18","2026-05-02","Per=Y","Days=T","Dir=V")</f>
        <v>0</v>
      </c>
      <c r="I2">
        <f>BDH("MPLX US Equity","BS_LT_BORROW","1993-06-18","2026-05-02","Per=Y","Days=T","Dir=V")</f>
        <v>0</v>
      </c>
      <c r="K2">
        <f>BDH("MPLX US Equity","BS_CASH_NEAR_CASH_ITEM","1993-06-18","2026-05-02","Per=Y","Days=T","Dir=V")</f>
        <v>0</v>
      </c>
      <c r="M2">
        <f>BDH("MPLX US Equity","BS_CUR_ASSET_REPORT","1993-06-18","2026-05-02","Per=Y","Days=T","Dir=V")</f>
        <v>0</v>
      </c>
      <c r="O2">
        <f>BDH("MPLX US Equity","BS_CUR_LIAB","1993-06-18","2026-05-02","Per=Y","Days=T","Dir=V")</f>
        <v>0</v>
      </c>
      <c r="Q2">
        <f>BDH("MPLX US Equity","BS_SHAREHOLDER_EQY_ENDING_PERIOD","1993-06-18","2026-05-02","Per=Y","Days=T","Dir=V")</f>
        <v>0</v>
      </c>
      <c r="S2">
        <f>BDH("MPLX US Equity","BS_ACCT_NOTE_RCV","1993-06-18","2026-05-02","Per=Y","Days=T","Dir=V")</f>
        <v>0</v>
      </c>
      <c r="U2">
        <f>BDH("MPLX US Equity","BS_INVENTORIES","1993-06-18","2026-05-02","Per=Y","Days=T","Dir=V")</f>
        <v>0</v>
      </c>
      <c r="W2">
        <f>BDH("MPLX US Equity","WORKING_CAPITAL","1993-06-18","2026-05-02","Per=Y","Days=T","Dir=V")</f>
        <v>0</v>
      </c>
      <c r="Y2">
        <f>BDH("MPLX US Equity","SALES_REV_TURN","1993-06-18","2026-05-02","Per=Y","Days=T","Dir=V")</f>
        <v>0</v>
      </c>
      <c r="AA2">
        <f>BDH("MPLX US Equity","EBIT","1993-06-18","2026-05-02","Per=Y","Days=T","Dir=V")</f>
        <v>0</v>
      </c>
      <c r="AC2">
        <f>BDH("MPLX US Equity","EBITDA","1993-06-18","2026-05-02","Per=Y","Days=T","Dir=V")</f>
        <v>0</v>
      </c>
      <c r="AE2">
        <f>BDH("MPLX US Equity","NET_INCOME","1993-06-18","2026-05-02","Per=Y","Days=T","Dir=V")</f>
        <v>0</v>
      </c>
      <c r="AG2">
        <f>BDH("MPLX US Equity","IS_INT_EXPENSE","1993-06-18","2026-05-02","Per=Y","Days=T","Dir=V")</f>
        <v>0</v>
      </c>
      <c r="AI2">
        <f>BDH("MPLX US Equity","IS_DEPR_EXP","1993-06-18","2026-05-02","Per=Y","Days=T","Dir=V")</f>
        <v>0</v>
      </c>
      <c r="AK2">
        <f>BDH("MPLX US Equity","CF_CASH_FROM_OPER","1993-06-18","2026-05-02","Per=Y","Days=T","Dir=V")</f>
        <v>0</v>
      </c>
      <c r="AM2">
        <f>BDH("MPLX US Equity","CAPITAL_EXPEND","1993-06-18","2026-05-02","Per=Y","Days=T","Dir=V")</f>
        <v>0</v>
      </c>
      <c r="AO2">
        <f>BDH("MPLX US Equity","CF_FREE_CASH_FLOW","1993-06-18","2026-05-02","Per=Y","Days=T","Dir=V")</f>
        <v>0</v>
      </c>
      <c r="AQ2">
        <f>BDH("MPLX US Equity","PX_LAST","1993-06-18","2026-05-02","Per=M","Days=T","Dir=V")</f>
        <v>0</v>
      </c>
      <c r="AS2">
        <f>BDH("MPLX US Equity","CUR_MKT_CAP","1993-06-18","2026-05-02","Per=M","Days=T","Dir=V")</f>
        <v>0</v>
      </c>
      <c r="AU2">
        <f>BDH("MPLX US Equity","EQY_SH_OUT","1993-06-18","2026-05-02","Per=M","Days=T","Dir=V")</f>
        <v>0</v>
      </c>
      <c r="AW2">
        <f>BDH("MPLX US Equity","PX_VOLUME","1993-06-18","2026-05-02","Per=M","Days=T","Dir=V")</f>
        <v>0</v>
      </c>
      <c r="AY2">
        <f>BDH("MPLX US Equity","TURNOVER","1993-06-18","2026-05-02","Per=M","Days=T","Dir=V")</f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BDH("MPTI US Equity","BS_TOT_ASSET","1993-06-18","2026-05-02","Per=Y","Days=T","Dir=V")</f>
        <v>0</v>
      </c>
      <c r="C2">
        <f>BDH("MPTI US Equity","BS_TOT_LIAB2","1993-06-18","2026-05-02","Per=Y","Days=T","Dir=V")</f>
        <v>0</v>
      </c>
      <c r="E2">
        <f>BDH("MPTI US Equity","SHORT_AND_LONG_TERM_DEBT","1993-06-18","2026-05-02","Per=Y","Days=T","Dir=V")</f>
        <v>0</v>
      </c>
      <c r="G2">
        <f>BDH("MPTI US Equity","BS_ST_BORROW","1993-06-18","2026-05-02","Per=Y","Days=T","Dir=V")</f>
        <v>0</v>
      </c>
      <c r="I2">
        <f>BDH("MPTI US Equity","BS_LT_BORROW","1993-06-18","2026-05-02","Per=Y","Days=T","Dir=V")</f>
        <v>0</v>
      </c>
      <c r="K2">
        <f>BDH("MPTI US Equity","BS_CASH_NEAR_CASH_ITEM","1993-06-18","2026-05-02","Per=Y","Days=T","Dir=V")</f>
        <v>0</v>
      </c>
      <c r="M2">
        <f>BDH("MPTI US Equity","BS_CUR_ASSET_REPORT","1993-06-18","2026-05-02","Per=Y","Days=T","Dir=V")</f>
        <v>0</v>
      </c>
      <c r="O2">
        <f>BDH("MPTI US Equity","BS_CUR_LIAB","1993-06-18","2026-05-02","Per=Y","Days=T","Dir=V")</f>
        <v>0</v>
      </c>
      <c r="Q2">
        <f>BDH("MPTI US Equity","BS_SHAREHOLDER_EQY_ENDING_PERIOD","1993-06-18","2026-05-02","Per=Y","Days=T","Dir=V")</f>
        <v>0</v>
      </c>
      <c r="S2">
        <f>BDH("MPTI US Equity","BS_ACCT_NOTE_RCV","1993-06-18","2026-05-02","Per=Y","Days=T","Dir=V")</f>
        <v>0</v>
      </c>
      <c r="U2">
        <f>BDH("MPTI US Equity","BS_INVENTORIES","1993-06-18","2026-05-02","Per=Y","Days=T","Dir=V")</f>
        <v>0</v>
      </c>
      <c r="W2">
        <f>BDH("MPTI US Equity","WORKING_CAPITAL","1993-06-18","2026-05-02","Per=Y","Days=T","Dir=V")</f>
        <v>0</v>
      </c>
      <c r="Y2">
        <f>BDH("MPTI US Equity","SALES_REV_TURN","1993-06-18","2026-05-02","Per=Y","Days=T","Dir=V")</f>
        <v>0</v>
      </c>
      <c r="AA2">
        <f>BDH("MPTI US Equity","EBIT","1993-06-18","2026-05-02","Per=Y","Days=T","Dir=V")</f>
        <v>0</v>
      </c>
      <c r="AC2">
        <f>BDH("MPTI US Equity","EBITDA","1993-06-18","2026-05-02","Per=Y","Days=T","Dir=V")</f>
        <v>0</v>
      </c>
      <c r="AE2">
        <f>BDH("MPTI US Equity","NET_INCOME","1993-06-18","2026-05-02","Per=Y","Days=T","Dir=V")</f>
        <v>0</v>
      </c>
      <c r="AG2">
        <f>BDH("MPTI US Equity","IS_INT_EXPENSE","1993-06-18","2026-05-02","Per=Y","Days=T","Dir=V")</f>
        <v>0</v>
      </c>
      <c r="AI2">
        <f>BDH("MPTI US Equity","IS_DEPR_EXP","1993-06-18","2026-05-02","Per=Y","Days=T","Dir=V")</f>
        <v>0</v>
      </c>
      <c r="AK2">
        <f>BDH("MPTI US Equity","CF_CASH_FROM_OPER","1993-06-18","2026-05-02","Per=Y","Days=T","Dir=V")</f>
        <v>0</v>
      </c>
      <c r="AM2">
        <f>BDH("MPTI US Equity","CAPITAL_EXPEND","1993-06-18","2026-05-02","Per=Y","Days=T","Dir=V")</f>
        <v>0</v>
      </c>
      <c r="AO2">
        <f>BDH("MPTI US Equity","CF_FREE_CASH_FLOW","1993-06-18","2026-05-02","Per=Y","Days=T","Dir=V")</f>
        <v>0</v>
      </c>
      <c r="AQ2">
        <f>BDH("MPTI US Equity","PX_LAST","1993-06-18","2026-05-02","Per=M","Days=T","Dir=V")</f>
        <v>0</v>
      </c>
      <c r="AS2">
        <f>BDH("MPTI US Equity","CUR_MKT_CAP","1993-06-18","2026-05-02","Per=M","Days=T","Dir=V")</f>
        <v>0</v>
      </c>
      <c r="AU2">
        <f>BDH("MPTI US Equity","EQY_SH_OUT","1993-06-18","2026-05-02","Per=M","Days=T","Dir=V")</f>
        <v>0</v>
      </c>
      <c r="AW2">
        <f>BDH("MPTI US Equity","PX_VOLUME","1993-06-18","2026-05-02","Per=M","Days=T","Dir=V")</f>
        <v>0</v>
      </c>
      <c r="AY2">
        <f>BDH("MPTI US Equity","TURNOVER","1993-06-18","2026-05-02","Per=M","Days=T","Dir=V")</f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BDH("MPU US Equity","BS_TOT_ASSET","1993-06-18","2026-05-02","Per=Y","Days=T","Dir=V")</f>
        <v>0</v>
      </c>
      <c r="C2">
        <f>BDH("MPU US Equity","BS_TOT_LIAB2","1993-06-18","2026-05-02","Per=Y","Days=T","Dir=V")</f>
        <v>0</v>
      </c>
      <c r="E2">
        <f>BDH("MPU US Equity","SHORT_AND_LONG_TERM_DEBT","1993-06-18","2026-05-02","Per=Y","Days=T","Dir=V")</f>
        <v>0</v>
      </c>
      <c r="G2">
        <f>BDH("MPU US Equity","BS_ST_BORROW","1993-06-18","2026-05-02","Per=Y","Days=T","Dir=V")</f>
        <v>0</v>
      </c>
      <c r="I2">
        <f>BDH("MPU US Equity","BS_LT_BORROW","1993-06-18","2026-05-02","Per=Y","Days=T","Dir=V")</f>
        <v>0</v>
      </c>
      <c r="K2">
        <f>BDH("MPU US Equity","BS_CASH_NEAR_CASH_ITEM","1993-06-18","2026-05-02","Per=Y","Days=T","Dir=V")</f>
        <v>0</v>
      </c>
      <c r="M2">
        <f>BDH("MPU US Equity","BS_CUR_ASSET_REPORT","1993-06-18","2026-05-02","Per=Y","Days=T","Dir=V")</f>
        <v>0</v>
      </c>
      <c r="O2">
        <f>BDH("MPU US Equity","BS_CUR_LIAB","1993-06-18","2026-05-02","Per=Y","Days=T","Dir=V")</f>
        <v>0</v>
      </c>
      <c r="Q2">
        <f>BDH("MPU US Equity","BS_SHAREHOLDER_EQY_ENDING_PERIOD","1993-06-18","2026-05-02","Per=Y","Days=T","Dir=V")</f>
        <v>0</v>
      </c>
      <c r="S2">
        <f>BDH("MPU US Equity","BS_ACCT_NOTE_RCV","1993-06-18","2026-05-02","Per=Y","Days=T","Dir=V")</f>
        <v>0</v>
      </c>
      <c r="U2">
        <f>BDH("MPU US Equity","BS_INVENTORIES","1993-06-18","2026-05-02","Per=Y","Days=T","Dir=V")</f>
        <v>0</v>
      </c>
      <c r="W2">
        <f>BDH("MPU US Equity","WORKING_CAPITAL","1993-06-18","2026-05-02","Per=Y","Days=T","Dir=V")</f>
        <v>0</v>
      </c>
      <c r="Y2">
        <f>BDH("MPU US Equity","SALES_REV_TURN","1993-06-18","2026-05-02","Per=Y","Days=T","Dir=V")</f>
        <v>0</v>
      </c>
      <c r="AA2">
        <f>BDH("MPU US Equity","EBIT","1993-06-18","2026-05-02","Per=Y","Days=T","Dir=V")</f>
        <v>0</v>
      </c>
      <c r="AC2">
        <f>BDH("MPU US Equity","EBITDA","1993-06-18","2026-05-02","Per=Y","Days=T","Dir=V")</f>
        <v>0</v>
      </c>
      <c r="AE2">
        <f>BDH("MPU US Equity","NET_INCOME","1993-06-18","2026-05-02","Per=Y","Days=T","Dir=V")</f>
        <v>0</v>
      </c>
      <c r="AG2">
        <f>BDH("MPU US Equity","IS_INT_EXPENSE","1993-06-18","2026-05-02","Per=Y","Days=T","Dir=V")</f>
        <v>0</v>
      </c>
      <c r="AI2">
        <f>BDH("MPU US Equity","IS_DEPR_EXP","1993-06-18","2026-05-02","Per=Y","Days=T","Dir=V")</f>
        <v>0</v>
      </c>
      <c r="AK2">
        <f>BDH("MPU US Equity","CF_CASH_FROM_OPER","1993-06-18","2026-05-02","Per=Y","Days=T","Dir=V")</f>
        <v>0</v>
      </c>
      <c r="AM2">
        <f>BDH("MPU US Equity","CAPITAL_EXPEND","1993-06-18","2026-05-02","Per=Y","Days=T","Dir=V")</f>
        <v>0</v>
      </c>
      <c r="AO2">
        <f>BDH("MPU US Equity","CF_FREE_CASH_FLOW","1993-06-18","2026-05-02","Per=Y","Days=T","Dir=V")</f>
        <v>0</v>
      </c>
      <c r="AQ2">
        <f>BDH("MPU US Equity","PX_LAST","1993-06-18","2026-05-02","Per=M","Days=T","Dir=V")</f>
        <v>0</v>
      </c>
      <c r="AS2">
        <f>BDH("MPU US Equity","CUR_MKT_CAP","1993-06-18","2026-05-02","Per=M","Days=T","Dir=V")</f>
        <v>0</v>
      </c>
      <c r="AU2">
        <f>BDH("MPU US Equity","EQY_SH_OUT","1993-06-18","2026-05-02","Per=M","Days=T","Dir=V")</f>
        <v>0</v>
      </c>
      <c r="AW2">
        <f>BDH("MPU US Equity","PX_VOLUME","1993-06-18","2026-05-02","Per=M","Days=T","Dir=V")</f>
        <v>0</v>
      </c>
      <c r="AY2">
        <f>BDH("MPU US Equity","TURNOVER","1993-06-18","2026-05-02","Per=M","Days=T","Dir=V")</f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BDH("MPWR US Equity","BS_TOT_ASSET","1993-06-18","2026-05-02","Per=Y","Days=T","Dir=V")</f>
        <v>0</v>
      </c>
      <c r="C2">
        <f>BDH("MPWR US Equity","BS_TOT_LIAB2","1993-06-18","2026-05-02","Per=Y","Days=T","Dir=V")</f>
        <v>0</v>
      </c>
      <c r="E2">
        <f>BDH("MPWR US Equity","SHORT_AND_LONG_TERM_DEBT","1993-06-18","2026-05-02","Per=Y","Days=T","Dir=V")</f>
        <v>0</v>
      </c>
      <c r="G2">
        <f>BDH("MPWR US Equity","BS_ST_BORROW","1993-06-18","2026-05-02","Per=Y","Days=T","Dir=V")</f>
        <v>0</v>
      </c>
      <c r="I2">
        <f>BDH("MPWR US Equity","BS_LT_BORROW","1993-06-18","2026-05-02","Per=Y","Days=T","Dir=V")</f>
        <v>0</v>
      </c>
      <c r="K2">
        <f>BDH("MPWR US Equity","BS_CASH_NEAR_CASH_ITEM","1993-06-18","2026-05-02","Per=Y","Days=T","Dir=V")</f>
        <v>0</v>
      </c>
      <c r="M2">
        <f>BDH("MPWR US Equity","BS_CUR_ASSET_REPORT","1993-06-18","2026-05-02","Per=Y","Days=T","Dir=V")</f>
        <v>0</v>
      </c>
      <c r="O2">
        <f>BDH("MPWR US Equity","BS_CUR_LIAB","1993-06-18","2026-05-02","Per=Y","Days=T","Dir=V")</f>
        <v>0</v>
      </c>
      <c r="Q2">
        <f>BDH("MPWR US Equity","BS_SHAREHOLDER_EQY_ENDING_PERIOD","1993-06-18","2026-05-02","Per=Y","Days=T","Dir=V")</f>
        <v>0</v>
      </c>
      <c r="S2">
        <f>BDH("MPWR US Equity","BS_ACCT_NOTE_RCV","1993-06-18","2026-05-02","Per=Y","Days=T","Dir=V")</f>
        <v>0</v>
      </c>
      <c r="U2">
        <f>BDH("MPWR US Equity","BS_INVENTORIES","1993-06-18","2026-05-02","Per=Y","Days=T","Dir=V")</f>
        <v>0</v>
      </c>
      <c r="W2">
        <f>BDH("MPWR US Equity","WORKING_CAPITAL","1993-06-18","2026-05-02","Per=Y","Days=T","Dir=V")</f>
        <v>0</v>
      </c>
      <c r="Y2">
        <f>BDH("MPWR US Equity","SALES_REV_TURN","1993-06-18","2026-05-02","Per=Y","Days=T","Dir=V")</f>
        <v>0</v>
      </c>
      <c r="AA2">
        <f>BDH("MPWR US Equity","EBIT","1993-06-18","2026-05-02","Per=Y","Days=T","Dir=V")</f>
        <v>0</v>
      </c>
      <c r="AC2">
        <f>BDH("MPWR US Equity","EBITDA","1993-06-18","2026-05-02","Per=Y","Days=T","Dir=V")</f>
        <v>0</v>
      </c>
      <c r="AE2">
        <f>BDH("MPWR US Equity","NET_INCOME","1993-06-18","2026-05-02","Per=Y","Days=T","Dir=V")</f>
        <v>0</v>
      </c>
      <c r="AG2">
        <f>BDH("MPWR US Equity","IS_INT_EXPENSE","1993-06-18","2026-05-02","Per=Y","Days=T","Dir=V")</f>
        <v>0</v>
      </c>
      <c r="AI2">
        <f>BDH("MPWR US Equity","IS_DEPR_EXP","1993-06-18","2026-05-02","Per=Y","Days=T","Dir=V")</f>
        <v>0</v>
      </c>
      <c r="AK2">
        <f>BDH("MPWR US Equity","CF_CASH_FROM_OPER","1993-06-18","2026-05-02","Per=Y","Days=T","Dir=V")</f>
        <v>0</v>
      </c>
      <c r="AM2">
        <f>BDH("MPWR US Equity","CAPITAL_EXPEND","1993-06-18","2026-05-02","Per=Y","Days=T","Dir=V")</f>
        <v>0</v>
      </c>
      <c r="AO2">
        <f>BDH("MPWR US Equity","CF_FREE_CASH_FLOW","1993-06-18","2026-05-02","Per=Y","Days=T","Dir=V")</f>
        <v>0</v>
      </c>
      <c r="AQ2">
        <f>BDH("MPWR US Equity","PX_LAST","1993-06-18","2026-05-02","Per=M","Days=T","Dir=V")</f>
        <v>0</v>
      </c>
      <c r="AS2">
        <f>BDH("MPWR US Equity","CUR_MKT_CAP","1993-06-18","2026-05-02","Per=M","Days=T","Dir=V")</f>
        <v>0</v>
      </c>
      <c r="AU2">
        <f>BDH("MPWR US Equity","EQY_SH_OUT","1993-06-18","2026-05-02","Per=M","Days=T","Dir=V")</f>
        <v>0</v>
      </c>
      <c r="AW2">
        <f>BDH("MPWR US Equity","PX_VOLUME","1993-06-18","2026-05-02","Per=M","Days=T","Dir=V")</f>
        <v>0</v>
      </c>
      <c r="AY2">
        <f>BDH("MPWR US Equity","TURNOVER","1993-06-18","2026-05-02","Per=M","Days=T","Dir=V")</f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BDH("MQ US Equity","BS_TOT_ASSET","1993-06-18","2026-05-02","Per=Y","Days=T","Dir=V")</f>
        <v>0</v>
      </c>
      <c r="C2">
        <f>BDH("MQ US Equity","BS_TOT_LIAB2","1993-06-18","2026-05-02","Per=Y","Days=T","Dir=V")</f>
        <v>0</v>
      </c>
      <c r="E2">
        <f>BDH("MQ US Equity","SHORT_AND_LONG_TERM_DEBT","1993-06-18","2026-05-02","Per=Y","Days=T","Dir=V")</f>
        <v>0</v>
      </c>
      <c r="G2">
        <f>BDH("MQ US Equity","BS_ST_BORROW","1993-06-18","2026-05-02","Per=Y","Days=T","Dir=V")</f>
        <v>0</v>
      </c>
      <c r="I2">
        <f>BDH("MQ US Equity","BS_LT_BORROW","1993-06-18","2026-05-02","Per=Y","Days=T","Dir=V")</f>
        <v>0</v>
      </c>
      <c r="K2">
        <f>BDH("MQ US Equity","BS_CASH_NEAR_CASH_ITEM","1993-06-18","2026-05-02","Per=Y","Days=T","Dir=V")</f>
        <v>0</v>
      </c>
      <c r="M2">
        <f>BDH("MQ US Equity","BS_CUR_ASSET_REPORT","1993-06-18","2026-05-02","Per=Y","Days=T","Dir=V")</f>
        <v>0</v>
      </c>
      <c r="O2">
        <f>BDH("MQ US Equity","BS_CUR_LIAB","1993-06-18","2026-05-02","Per=Y","Days=T","Dir=V")</f>
        <v>0</v>
      </c>
      <c r="Q2">
        <f>BDH("MQ US Equity","BS_SHAREHOLDER_EQY_ENDING_PERIOD","1993-06-18","2026-05-02","Per=Y","Days=T","Dir=V")</f>
        <v>0</v>
      </c>
      <c r="S2">
        <f>BDH("MQ US Equity","BS_ACCT_NOTE_RCV","1993-06-18","2026-05-02","Per=Y","Days=T","Dir=V")</f>
        <v>0</v>
      </c>
      <c r="U2">
        <f>BDH("MQ US Equity","BS_INVENTORIES","1993-06-18","2026-05-02","Per=Y","Days=T","Dir=V")</f>
        <v>0</v>
      </c>
      <c r="W2">
        <f>BDH("MQ US Equity","WORKING_CAPITAL","1993-06-18","2026-05-02","Per=Y","Days=T","Dir=V")</f>
        <v>0</v>
      </c>
      <c r="Y2">
        <f>BDH("MQ US Equity","SALES_REV_TURN","1993-06-18","2026-05-02","Per=Y","Days=T","Dir=V")</f>
        <v>0</v>
      </c>
      <c r="AA2">
        <f>BDH("MQ US Equity","EBIT","1993-06-18","2026-05-02","Per=Y","Days=T","Dir=V")</f>
        <v>0</v>
      </c>
      <c r="AC2">
        <f>BDH("MQ US Equity","EBITDA","1993-06-18","2026-05-02","Per=Y","Days=T","Dir=V")</f>
        <v>0</v>
      </c>
      <c r="AE2">
        <f>BDH("MQ US Equity","NET_INCOME","1993-06-18","2026-05-02","Per=Y","Days=T","Dir=V")</f>
        <v>0</v>
      </c>
      <c r="AG2">
        <f>BDH("MQ US Equity","IS_INT_EXPENSE","1993-06-18","2026-05-02","Per=Y","Days=T","Dir=V")</f>
        <v>0</v>
      </c>
      <c r="AI2">
        <f>BDH("MQ US Equity","IS_DEPR_EXP","1993-06-18","2026-05-02","Per=Y","Days=T","Dir=V")</f>
        <v>0</v>
      </c>
      <c r="AK2">
        <f>BDH("MQ US Equity","CF_CASH_FROM_OPER","1993-06-18","2026-05-02","Per=Y","Days=T","Dir=V")</f>
        <v>0</v>
      </c>
      <c r="AM2">
        <f>BDH("MQ US Equity","CAPITAL_EXPEND","1993-06-18","2026-05-02","Per=Y","Days=T","Dir=V")</f>
        <v>0</v>
      </c>
      <c r="AO2">
        <f>BDH("MQ US Equity","CF_FREE_CASH_FLOW","1993-06-18","2026-05-02","Per=Y","Days=T","Dir=V")</f>
        <v>0</v>
      </c>
      <c r="AQ2">
        <f>BDH("MQ US Equity","PX_LAST","1993-06-18","2026-05-02","Per=M","Days=T","Dir=V")</f>
        <v>0</v>
      </c>
      <c r="AS2">
        <f>BDH("MQ US Equity","CUR_MKT_CAP","1993-06-18","2026-05-02","Per=M","Days=T","Dir=V")</f>
        <v>0</v>
      </c>
      <c r="AU2">
        <f>BDH("MQ US Equity","EQY_SH_OUT","1993-06-18","2026-05-02","Per=M","Days=T","Dir=V")</f>
        <v>0</v>
      </c>
      <c r="AW2">
        <f>BDH("MQ US Equity","PX_VOLUME","1993-06-18","2026-05-02","Per=M","Days=T","Dir=V")</f>
        <v>0</v>
      </c>
      <c r="AY2">
        <f>BDH("MQ US Equity","TURNOVER","1993-06-18","2026-05-02","Per=M","Days=T","Dir=V")</f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BDH("MRAM US Equity","BS_TOT_ASSET","1993-06-18","2026-05-02","Per=Y","Days=T","Dir=V")</f>
        <v>0</v>
      </c>
      <c r="C2">
        <f>BDH("MRAM US Equity","BS_TOT_LIAB2","1993-06-18","2026-05-02","Per=Y","Days=T","Dir=V")</f>
        <v>0</v>
      </c>
      <c r="E2">
        <f>BDH("MRAM US Equity","SHORT_AND_LONG_TERM_DEBT","1993-06-18","2026-05-02","Per=Y","Days=T","Dir=V")</f>
        <v>0</v>
      </c>
      <c r="G2">
        <f>BDH("MRAM US Equity","BS_ST_BORROW","1993-06-18","2026-05-02","Per=Y","Days=T","Dir=V")</f>
        <v>0</v>
      </c>
      <c r="I2">
        <f>BDH("MRAM US Equity","BS_LT_BORROW","1993-06-18","2026-05-02","Per=Y","Days=T","Dir=V")</f>
        <v>0</v>
      </c>
      <c r="K2">
        <f>BDH("MRAM US Equity","BS_CASH_NEAR_CASH_ITEM","1993-06-18","2026-05-02","Per=Y","Days=T","Dir=V")</f>
        <v>0</v>
      </c>
      <c r="M2">
        <f>BDH("MRAM US Equity","BS_CUR_ASSET_REPORT","1993-06-18","2026-05-02","Per=Y","Days=T","Dir=V")</f>
        <v>0</v>
      </c>
      <c r="O2">
        <f>BDH("MRAM US Equity","BS_CUR_LIAB","1993-06-18","2026-05-02","Per=Y","Days=T","Dir=V")</f>
        <v>0</v>
      </c>
      <c r="Q2">
        <f>BDH("MRAM US Equity","BS_SHAREHOLDER_EQY_ENDING_PERIOD","1993-06-18","2026-05-02","Per=Y","Days=T","Dir=V")</f>
        <v>0</v>
      </c>
      <c r="S2">
        <f>BDH("MRAM US Equity","BS_ACCT_NOTE_RCV","1993-06-18","2026-05-02","Per=Y","Days=T","Dir=V")</f>
        <v>0</v>
      </c>
      <c r="U2">
        <f>BDH("MRAM US Equity","BS_INVENTORIES","1993-06-18","2026-05-02","Per=Y","Days=T","Dir=V")</f>
        <v>0</v>
      </c>
      <c r="W2">
        <f>BDH("MRAM US Equity","WORKING_CAPITAL","1993-06-18","2026-05-02","Per=Y","Days=T","Dir=V")</f>
        <v>0</v>
      </c>
      <c r="Y2">
        <f>BDH("MRAM US Equity","SALES_REV_TURN","1993-06-18","2026-05-02","Per=Y","Days=T","Dir=V")</f>
        <v>0</v>
      </c>
      <c r="AA2">
        <f>BDH("MRAM US Equity","EBIT","1993-06-18","2026-05-02","Per=Y","Days=T","Dir=V")</f>
        <v>0</v>
      </c>
      <c r="AC2">
        <f>BDH("MRAM US Equity","EBITDA","1993-06-18","2026-05-02","Per=Y","Days=T","Dir=V")</f>
        <v>0</v>
      </c>
      <c r="AE2">
        <f>BDH("MRAM US Equity","NET_INCOME","1993-06-18","2026-05-02","Per=Y","Days=T","Dir=V")</f>
        <v>0</v>
      </c>
      <c r="AG2">
        <f>BDH("MRAM US Equity","IS_INT_EXPENSE","1993-06-18","2026-05-02","Per=Y","Days=T","Dir=V")</f>
        <v>0</v>
      </c>
      <c r="AI2">
        <f>BDH("MRAM US Equity","IS_DEPR_EXP","1993-06-18","2026-05-02","Per=Y","Days=T","Dir=V")</f>
        <v>0</v>
      </c>
      <c r="AK2">
        <f>BDH("MRAM US Equity","CF_CASH_FROM_OPER","1993-06-18","2026-05-02","Per=Y","Days=T","Dir=V")</f>
        <v>0</v>
      </c>
      <c r="AM2">
        <f>BDH("MRAM US Equity","CAPITAL_EXPEND","1993-06-18","2026-05-02","Per=Y","Days=T","Dir=V")</f>
        <v>0</v>
      </c>
      <c r="AO2">
        <f>BDH("MRAM US Equity","CF_FREE_CASH_FLOW","1993-06-18","2026-05-02","Per=Y","Days=T","Dir=V")</f>
        <v>0</v>
      </c>
      <c r="AQ2">
        <f>BDH("MRAM US Equity","PX_LAST","1993-06-18","2026-05-02","Per=M","Days=T","Dir=V")</f>
        <v>0</v>
      </c>
      <c r="AS2">
        <f>BDH("MRAM US Equity","CUR_MKT_CAP","1993-06-18","2026-05-02","Per=M","Days=T","Dir=V")</f>
        <v>0</v>
      </c>
      <c r="AU2">
        <f>BDH("MRAM US Equity","EQY_SH_OUT","1993-06-18","2026-05-02","Per=M","Days=T","Dir=V")</f>
        <v>0</v>
      </c>
      <c r="AW2">
        <f>BDH("MRAM US Equity","PX_VOLUME","1993-06-18","2026-05-02","Per=M","Days=T","Dir=V")</f>
        <v>0</v>
      </c>
      <c r="AY2">
        <f>BDH("MRAM US Equity","TURNOVER","1993-06-18","2026-05-02","Per=M","Days=T","Dir=V")</f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BDH("MRCY US Equity","BS_TOT_ASSET","1993-06-18","2026-05-02","Per=Y","Days=T","Dir=V")</f>
        <v>0</v>
      </c>
      <c r="C2">
        <f>BDH("MRCY US Equity","BS_TOT_LIAB2","1993-06-18","2026-05-02","Per=Y","Days=T","Dir=V")</f>
        <v>0</v>
      </c>
      <c r="E2">
        <f>BDH("MRCY US Equity","SHORT_AND_LONG_TERM_DEBT","1993-06-18","2026-05-02","Per=Y","Days=T","Dir=V")</f>
        <v>0</v>
      </c>
      <c r="G2">
        <f>BDH("MRCY US Equity","BS_ST_BORROW","1993-06-18","2026-05-02","Per=Y","Days=T","Dir=V")</f>
        <v>0</v>
      </c>
      <c r="I2">
        <f>BDH("MRCY US Equity","BS_LT_BORROW","1993-06-18","2026-05-02","Per=Y","Days=T","Dir=V")</f>
        <v>0</v>
      </c>
      <c r="K2">
        <f>BDH("MRCY US Equity","BS_CASH_NEAR_CASH_ITEM","1993-06-18","2026-05-02","Per=Y","Days=T","Dir=V")</f>
        <v>0</v>
      </c>
      <c r="M2">
        <f>BDH("MRCY US Equity","BS_CUR_ASSET_REPORT","1993-06-18","2026-05-02","Per=Y","Days=T","Dir=V")</f>
        <v>0</v>
      </c>
      <c r="O2">
        <f>BDH("MRCY US Equity","BS_CUR_LIAB","1993-06-18","2026-05-02","Per=Y","Days=T","Dir=V")</f>
        <v>0</v>
      </c>
      <c r="Q2">
        <f>BDH("MRCY US Equity","BS_SHAREHOLDER_EQY_ENDING_PERIOD","1993-06-18","2026-05-02","Per=Y","Days=T","Dir=V")</f>
        <v>0</v>
      </c>
      <c r="S2">
        <f>BDH("MRCY US Equity","BS_ACCT_NOTE_RCV","1993-06-18","2026-05-02","Per=Y","Days=T","Dir=V")</f>
        <v>0</v>
      </c>
      <c r="U2">
        <f>BDH("MRCY US Equity","BS_INVENTORIES","1993-06-18","2026-05-02","Per=Y","Days=T","Dir=V")</f>
        <v>0</v>
      </c>
      <c r="W2">
        <f>BDH("MRCY US Equity","WORKING_CAPITAL","1993-06-18","2026-05-02","Per=Y","Days=T","Dir=V")</f>
        <v>0</v>
      </c>
      <c r="Y2">
        <f>BDH("MRCY US Equity","SALES_REV_TURN","1993-06-18","2026-05-02","Per=Y","Days=T","Dir=V")</f>
        <v>0</v>
      </c>
      <c r="AA2">
        <f>BDH("MRCY US Equity","EBIT","1993-06-18","2026-05-02","Per=Y","Days=T","Dir=V")</f>
        <v>0</v>
      </c>
      <c r="AC2">
        <f>BDH("MRCY US Equity","EBITDA","1993-06-18","2026-05-02","Per=Y","Days=T","Dir=V")</f>
        <v>0</v>
      </c>
      <c r="AE2">
        <f>BDH("MRCY US Equity","NET_INCOME","1993-06-18","2026-05-02","Per=Y","Days=T","Dir=V")</f>
        <v>0</v>
      </c>
      <c r="AG2">
        <f>BDH("MRCY US Equity","IS_INT_EXPENSE","1993-06-18","2026-05-02","Per=Y","Days=T","Dir=V")</f>
        <v>0</v>
      </c>
      <c r="AI2">
        <f>BDH("MRCY US Equity","IS_DEPR_EXP","1993-06-18","2026-05-02","Per=Y","Days=T","Dir=V")</f>
        <v>0</v>
      </c>
      <c r="AK2">
        <f>BDH("MRCY US Equity","CF_CASH_FROM_OPER","1993-06-18","2026-05-02","Per=Y","Days=T","Dir=V")</f>
        <v>0</v>
      </c>
      <c r="AM2">
        <f>BDH("MRCY US Equity","CAPITAL_EXPEND","1993-06-18","2026-05-02","Per=Y","Days=T","Dir=V")</f>
        <v>0</v>
      </c>
      <c r="AO2">
        <f>BDH("MRCY US Equity","CF_FREE_CASH_FLOW","1993-06-18","2026-05-02","Per=Y","Days=T","Dir=V")</f>
        <v>0</v>
      </c>
      <c r="AQ2">
        <f>BDH("MRCY US Equity","PX_LAST","1993-06-18","2026-05-02","Per=M","Days=T","Dir=V")</f>
        <v>0</v>
      </c>
      <c r="AS2">
        <f>BDH("MRCY US Equity","CUR_MKT_CAP","1993-06-18","2026-05-02","Per=M","Days=T","Dir=V")</f>
        <v>0</v>
      </c>
      <c r="AU2">
        <f>BDH("MRCY US Equity","EQY_SH_OUT","1993-06-18","2026-05-02","Per=M","Days=T","Dir=V")</f>
        <v>0</v>
      </c>
      <c r="AW2">
        <f>BDH("MRCY US Equity","PX_VOLUME","1993-06-18","2026-05-02","Per=M","Days=T","Dir=V")</f>
        <v>0</v>
      </c>
      <c r="AY2">
        <f>BDH("MRCY US Equity","TURNOVER","1993-06-18","2026-05-02","Per=M","Days=T","Dir=V")</f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BDH("MRDN US Equity","BS_TOT_ASSET","1993-06-18","2026-05-02","Per=Y","Days=T","Dir=V")</f>
        <v>0</v>
      </c>
      <c r="C2">
        <f>BDH("MRDN US Equity","BS_TOT_LIAB2","1993-06-18","2026-05-02","Per=Y","Days=T","Dir=V")</f>
        <v>0</v>
      </c>
      <c r="E2">
        <f>BDH("MRDN US Equity","SHORT_AND_LONG_TERM_DEBT","1993-06-18","2026-05-02","Per=Y","Days=T","Dir=V")</f>
        <v>0</v>
      </c>
      <c r="G2">
        <f>BDH("MRDN US Equity","BS_ST_BORROW","1993-06-18","2026-05-02","Per=Y","Days=T","Dir=V")</f>
        <v>0</v>
      </c>
      <c r="I2">
        <f>BDH("MRDN US Equity","BS_LT_BORROW","1993-06-18","2026-05-02","Per=Y","Days=T","Dir=V")</f>
        <v>0</v>
      </c>
      <c r="K2">
        <f>BDH("MRDN US Equity","BS_CASH_NEAR_CASH_ITEM","1993-06-18","2026-05-02","Per=Y","Days=T","Dir=V")</f>
        <v>0</v>
      </c>
      <c r="M2">
        <f>BDH("MRDN US Equity","BS_CUR_ASSET_REPORT","1993-06-18","2026-05-02","Per=Y","Days=T","Dir=V")</f>
        <v>0</v>
      </c>
      <c r="O2">
        <f>BDH("MRDN US Equity","BS_CUR_LIAB","1993-06-18","2026-05-02","Per=Y","Days=T","Dir=V")</f>
        <v>0</v>
      </c>
      <c r="Q2">
        <f>BDH("MRDN US Equity","BS_SHAREHOLDER_EQY_ENDING_PERIOD","1993-06-18","2026-05-02","Per=Y","Days=T","Dir=V")</f>
        <v>0</v>
      </c>
      <c r="S2">
        <f>BDH("MRDN US Equity","BS_ACCT_NOTE_RCV","1993-06-18","2026-05-02","Per=Y","Days=T","Dir=V")</f>
        <v>0</v>
      </c>
      <c r="U2">
        <f>BDH("MRDN US Equity","BS_INVENTORIES","1993-06-18","2026-05-02","Per=Y","Days=T","Dir=V")</f>
        <v>0</v>
      </c>
      <c r="W2">
        <f>BDH("MRDN US Equity","WORKING_CAPITAL","1993-06-18","2026-05-02","Per=Y","Days=T","Dir=V")</f>
        <v>0</v>
      </c>
      <c r="Y2">
        <f>BDH("MRDN US Equity","SALES_REV_TURN","1993-06-18","2026-05-02","Per=Y","Days=T","Dir=V")</f>
        <v>0</v>
      </c>
      <c r="AA2">
        <f>BDH("MRDN US Equity","EBIT","1993-06-18","2026-05-02","Per=Y","Days=T","Dir=V")</f>
        <v>0</v>
      </c>
      <c r="AC2">
        <f>BDH("MRDN US Equity","EBITDA","1993-06-18","2026-05-02","Per=Y","Days=T","Dir=V")</f>
        <v>0</v>
      </c>
      <c r="AE2">
        <f>BDH("MRDN US Equity","NET_INCOME","1993-06-18","2026-05-02","Per=Y","Days=T","Dir=V")</f>
        <v>0</v>
      </c>
      <c r="AG2">
        <f>BDH("MRDN US Equity","IS_INT_EXPENSE","1993-06-18","2026-05-02","Per=Y","Days=T","Dir=V")</f>
        <v>0</v>
      </c>
      <c r="AI2">
        <f>BDH("MRDN US Equity","IS_DEPR_EXP","1993-06-18","2026-05-02","Per=Y","Days=T","Dir=V")</f>
        <v>0</v>
      </c>
      <c r="AK2">
        <f>BDH("MRDN US Equity","CF_CASH_FROM_OPER","1993-06-18","2026-05-02","Per=Y","Days=T","Dir=V")</f>
        <v>0</v>
      </c>
      <c r="AM2">
        <f>BDH("MRDN US Equity","CAPITAL_EXPEND","1993-06-18","2026-05-02","Per=Y","Days=T","Dir=V")</f>
        <v>0</v>
      </c>
      <c r="AO2">
        <f>BDH("MRDN US Equity","CF_FREE_CASH_FLOW","1993-06-18","2026-05-02","Per=Y","Days=T","Dir=V")</f>
        <v>0</v>
      </c>
      <c r="AQ2">
        <f>BDH("MRDN US Equity","PX_LAST","1993-06-18","2026-05-02","Per=M","Days=T","Dir=V")</f>
        <v>0</v>
      </c>
      <c r="AS2">
        <f>BDH("MRDN US Equity","CUR_MKT_CAP","1993-06-18","2026-05-02","Per=M","Days=T","Dir=V")</f>
        <v>0</v>
      </c>
      <c r="AU2">
        <f>BDH("MRDN US Equity","EQY_SH_OUT","1993-06-18","2026-05-02","Per=M","Days=T","Dir=V")</f>
        <v>0</v>
      </c>
      <c r="AW2">
        <f>BDH("MRDN US Equity","PX_VOLUME","1993-06-18","2026-05-02","Per=M","Days=T","Dir=V")</f>
        <v>0</v>
      </c>
      <c r="AY2">
        <f>BDH("MRDN US Equity","TURNOVER","1993-06-18","2026-05-02","Per=M","Days=T","Dir=V")</f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BDH("MRK US Equity","BS_TOT_ASSET","1993-06-18","2026-05-02","Per=Y","Days=T","Dir=V")</f>
        <v>0</v>
      </c>
      <c r="C2">
        <f>BDH("MRK US Equity","BS_TOT_LIAB2","1993-06-18","2026-05-02","Per=Y","Days=T","Dir=V")</f>
        <v>0</v>
      </c>
      <c r="E2">
        <f>BDH("MRK US Equity","SHORT_AND_LONG_TERM_DEBT","1993-06-18","2026-05-02","Per=Y","Days=T","Dir=V")</f>
        <v>0</v>
      </c>
      <c r="G2">
        <f>BDH("MRK US Equity","BS_ST_BORROW","1993-06-18","2026-05-02","Per=Y","Days=T","Dir=V")</f>
        <v>0</v>
      </c>
      <c r="I2">
        <f>BDH("MRK US Equity","BS_LT_BORROW","1993-06-18","2026-05-02","Per=Y","Days=T","Dir=V")</f>
        <v>0</v>
      </c>
      <c r="K2">
        <f>BDH("MRK US Equity","BS_CASH_NEAR_CASH_ITEM","1993-06-18","2026-05-02","Per=Y","Days=T","Dir=V")</f>
        <v>0</v>
      </c>
      <c r="M2">
        <f>BDH("MRK US Equity","BS_CUR_ASSET_REPORT","1993-06-18","2026-05-02","Per=Y","Days=T","Dir=V")</f>
        <v>0</v>
      </c>
      <c r="O2">
        <f>BDH("MRK US Equity","BS_CUR_LIAB","1993-06-18","2026-05-02","Per=Y","Days=T","Dir=V")</f>
        <v>0</v>
      </c>
      <c r="Q2">
        <f>BDH("MRK US Equity","BS_SHAREHOLDER_EQY_ENDING_PERIOD","1993-06-18","2026-05-02","Per=Y","Days=T","Dir=V")</f>
        <v>0</v>
      </c>
      <c r="S2">
        <f>BDH("MRK US Equity","BS_ACCT_NOTE_RCV","1993-06-18","2026-05-02","Per=Y","Days=T","Dir=V")</f>
        <v>0</v>
      </c>
      <c r="U2">
        <f>BDH("MRK US Equity","BS_INVENTORIES","1993-06-18","2026-05-02","Per=Y","Days=T","Dir=V")</f>
        <v>0</v>
      </c>
      <c r="W2">
        <f>BDH("MRK US Equity","WORKING_CAPITAL","1993-06-18","2026-05-02","Per=Y","Days=T","Dir=V")</f>
        <v>0</v>
      </c>
      <c r="Y2">
        <f>BDH("MRK US Equity","SALES_REV_TURN","1993-06-18","2026-05-02","Per=Y","Days=T","Dir=V")</f>
        <v>0</v>
      </c>
      <c r="AA2">
        <f>BDH("MRK US Equity","EBIT","1993-06-18","2026-05-02","Per=Y","Days=T","Dir=V")</f>
        <v>0</v>
      </c>
      <c r="AC2">
        <f>BDH("MRK US Equity","EBITDA","1993-06-18","2026-05-02","Per=Y","Days=T","Dir=V")</f>
        <v>0</v>
      </c>
      <c r="AE2">
        <f>BDH("MRK US Equity","NET_INCOME","1993-06-18","2026-05-02","Per=Y","Days=T","Dir=V")</f>
        <v>0</v>
      </c>
      <c r="AG2">
        <f>BDH("MRK US Equity","IS_INT_EXPENSE","1993-06-18","2026-05-02","Per=Y","Days=T","Dir=V")</f>
        <v>0</v>
      </c>
      <c r="AI2">
        <f>BDH("MRK US Equity","IS_DEPR_EXP","1993-06-18","2026-05-02","Per=Y","Days=T","Dir=V")</f>
        <v>0</v>
      </c>
      <c r="AK2">
        <f>BDH("MRK US Equity","CF_CASH_FROM_OPER","1993-06-18","2026-05-02","Per=Y","Days=T","Dir=V")</f>
        <v>0</v>
      </c>
      <c r="AM2">
        <f>BDH("MRK US Equity","CAPITAL_EXPEND","1993-06-18","2026-05-02","Per=Y","Days=T","Dir=V")</f>
        <v>0</v>
      </c>
      <c r="AO2">
        <f>BDH("MRK US Equity","CF_FREE_CASH_FLOW","1993-06-18","2026-05-02","Per=Y","Days=T","Dir=V")</f>
        <v>0</v>
      </c>
      <c r="AQ2">
        <f>BDH("MRK US Equity","PX_LAST","1993-06-18","2026-05-02","Per=M","Days=T","Dir=V")</f>
        <v>0</v>
      </c>
      <c r="AS2">
        <f>BDH("MRK US Equity","CUR_MKT_CAP","1993-06-18","2026-05-02","Per=M","Days=T","Dir=V")</f>
        <v>0</v>
      </c>
      <c r="AU2">
        <f>BDH("MRK US Equity","EQY_SH_OUT","1993-06-18","2026-05-02","Per=M","Days=T","Dir=V")</f>
        <v>0</v>
      </c>
      <c r="AW2">
        <f>BDH("MRK US Equity","PX_VOLUME","1993-06-18","2026-05-02","Per=M","Days=T","Dir=V")</f>
        <v>0</v>
      </c>
      <c r="AY2">
        <f>BDH("MRK US Equity","TURNOVER","1993-06-18","2026-05-02","Per=M","Days=T","Dir=V")</f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BDH("MRKR US Equity","BS_TOT_ASSET","1993-06-18","2026-05-02","Per=Y","Days=T","Dir=V")</f>
        <v>0</v>
      </c>
      <c r="C2">
        <f>BDH("MRKR US Equity","BS_TOT_LIAB2","1993-06-18","2026-05-02","Per=Y","Days=T","Dir=V")</f>
        <v>0</v>
      </c>
      <c r="E2">
        <f>BDH("MRKR US Equity","SHORT_AND_LONG_TERM_DEBT","1993-06-18","2026-05-02","Per=Y","Days=T","Dir=V")</f>
        <v>0</v>
      </c>
      <c r="G2">
        <f>BDH("MRKR US Equity","BS_ST_BORROW","1993-06-18","2026-05-02","Per=Y","Days=T","Dir=V")</f>
        <v>0</v>
      </c>
      <c r="I2">
        <f>BDH("MRKR US Equity","BS_LT_BORROW","1993-06-18","2026-05-02","Per=Y","Days=T","Dir=V")</f>
        <v>0</v>
      </c>
      <c r="K2">
        <f>BDH("MRKR US Equity","BS_CASH_NEAR_CASH_ITEM","1993-06-18","2026-05-02","Per=Y","Days=T","Dir=V")</f>
        <v>0</v>
      </c>
      <c r="M2">
        <f>BDH("MRKR US Equity","BS_CUR_ASSET_REPORT","1993-06-18","2026-05-02","Per=Y","Days=T","Dir=V")</f>
        <v>0</v>
      </c>
      <c r="O2">
        <f>BDH("MRKR US Equity","BS_CUR_LIAB","1993-06-18","2026-05-02","Per=Y","Days=T","Dir=V")</f>
        <v>0</v>
      </c>
      <c r="Q2">
        <f>BDH("MRKR US Equity","BS_SHAREHOLDER_EQY_ENDING_PERIOD","1993-06-18","2026-05-02","Per=Y","Days=T","Dir=V")</f>
        <v>0</v>
      </c>
      <c r="S2">
        <f>BDH("MRKR US Equity","BS_ACCT_NOTE_RCV","1993-06-18","2026-05-02","Per=Y","Days=T","Dir=V")</f>
        <v>0</v>
      </c>
      <c r="U2">
        <f>BDH("MRKR US Equity","BS_INVENTORIES","1993-06-18","2026-05-02","Per=Y","Days=T","Dir=V")</f>
        <v>0</v>
      </c>
      <c r="W2">
        <f>BDH("MRKR US Equity","WORKING_CAPITAL","1993-06-18","2026-05-02","Per=Y","Days=T","Dir=V")</f>
        <v>0</v>
      </c>
      <c r="Y2">
        <f>BDH("MRKR US Equity","SALES_REV_TURN","1993-06-18","2026-05-02","Per=Y","Days=T","Dir=V")</f>
        <v>0</v>
      </c>
      <c r="AA2">
        <f>BDH("MRKR US Equity","EBIT","1993-06-18","2026-05-02","Per=Y","Days=T","Dir=V")</f>
        <v>0</v>
      </c>
      <c r="AC2">
        <f>BDH("MRKR US Equity","EBITDA","1993-06-18","2026-05-02","Per=Y","Days=T","Dir=V")</f>
        <v>0</v>
      </c>
      <c r="AE2">
        <f>BDH("MRKR US Equity","NET_INCOME","1993-06-18","2026-05-02","Per=Y","Days=T","Dir=V")</f>
        <v>0</v>
      </c>
      <c r="AG2">
        <f>BDH("MRKR US Equity","IS_INT_EXPENSE","1993-06-18","2026-05-02","Per=Y","Days=T","Dir=V")</f>
        <v>0</v>
      </c>
      <c r="AI2">
        <f>BDH("MRKR US Equity","IS_DEPR_EXP","1993-06-18","2026-05-02","Per=Y","Days=T","Dir=V")</f>
        <v>0</v>
      </c>
      <c r="AK2">
        <f>BDH("MRKR US Equity","CF_CASH_FROM_OPER","1993-06-18","2026-05-02","Per=Y","Days=T","Dir=V")</f>
        <v>0</v>
      </c>
      <c r="AM2">
        <f>BDH("MRKR US Equity","CAPITAL_EXPEND","1993-06-18","2026-05-02","Per=Y","Days=T","Dir=V")</f>
        <v>0</v>
      </c>
      <c r="AO2">
        <f>BDH("MRKR US Equity","CF_FREE_CASH_FLOW","1993-06-18","2026-05-02","Per=Y","Days=T","Dir=V")</f>
        <v>0</v>
      </c>
      <c r="AQ2">
        <f>BDH("MRKR US Equity","PX_LAST","1993-06-18","2026-05-02","Per=M","Days=T","Dir=V")</f>
        <v>0</v>
      </c>
      <c r="AS2">
        <f>BDH("MRKR US Equity","CUR_MKT_CAP","1993-06-18","2026-05-02","Per=M","Days=T","Dir=V")</f>
        <v>0</v>
      </c>
      <c r="AU2">
        <f>BDH("MRKR US Equity","EQY_SH_OUT","1993-06-18","2026-05-02","Per=M","Days=T","Dir=V")</f>
        <v>0</v>
      </c>
      <c r="AW2">
        <f>BDH("MRKR US Equity","PX_VOLUME","1993-06-18","2026-05-02","Per=M","Days=T","Dir=V")</f>
        <v>0</v>
      </c>
      <c r="AY2">
        <f>BDH("MRKR US Equity","TURNOVER","1993-06-18","2026-05-02","Per=M","Days=T","Dir=V")</f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BDH("MRLN US Equity","BS_TOT_ASSET","1993-06-18","2026-05-02","Per=Y","Days=T","Dir=V")</f>
        <v>0</v>
      </c>
      <c r="C2">
        <f>BDH("MRLN US Equity","BS_TOT_LIAB2","1993-06-18","2026-05-02","Per=Y","Days=T","Dir=V")</f>
        <v>0</v>
      </c>
      <c r="E2">
        <f>BDH("MRLN US Equity","SHORT_AND_LONG_TERM_DEBT","1993-06-18","2026-05-02","Per=Y","Days=T","Dir=V")</f>
        <v>0</v>
      </c>
      <c r="G2">
        <f>BDH("MRLN US Equity","BS_ST_BORROW","1993-06-18","2026-05-02","Per=Y","Days=T","Dir=V")</f>
        <v>0</v>
      </c>
      <c r="I2">
        <f>BDH("MRLN US Equity","BS_LT_BORROW","1993-06-18","2026-05-02","Per=Y","Days=T","Dir=V")</f>
        <v>0</v>
      </c>
      <c r="K2">
        <f>BDH("MRLN US Equity","BS_CASH_NEAR_CASH_ITEM","1993-06-18","2026-05-02","Per=Y","Days=T","Dir=V")</f>
        <v>0</v>
      </c>
      <c r="M2">
        <f>BDH("MRLN US Equity","BS_CUR_ASSET_REPORT","1993-06-18","2026-05-02","Per=Y","Days=T","Dir=V")</f>
        <v>0</v>
      </c>
      <c r="O2">
        <f>BDH("MRLN US Equity","BS_CUR_LIAB","1993-06-18","2026-05-02","Per=Y","Days=T","Dir=V")</f>
        <v>0</v>
      </c>
      <c r="Q2">
        <f>BDH("MRLN US Equity","BS_SHAREHOLDER_EQY_ENDING_PERIOD","1993-06-18","2026-05-02","Per=Y","Days=T","Dir=V")</f>
        <v>0</v>
      </c>
      <c r="S2">
        <f>BDH("MRLN US Equity","BS_ACCT_NOTE_RCV","1993-06-18","2026-05-02","Per=Y","Days=T","Dir=V")</f>
        <v>0</v>
      </c>
      <c r="U2">
        <f>BDH("MRLN US Equity","BS_INVENTORIES","1993-06-18","2026-05-02","Per=Y","Days=T","Dir=V")</f>
        <v>0</v>
      </c>
      <c r="W2">
        <f>BDH("MRLN US Equity","WORKING_CAPITAL","1993-06-18","2026-05-02","Per=Y","Days=T","Dir=V")</f>
        <v>0</v>
      </c>
      <c r="Y2">
        <f>BDH("MRLN US Equity","SALES_REV_TURN","1993-06-18","2026-05-02","Per=Y","Days=T","Dir=V")</f>
        <v>0</v>
      </c>
      <c r="AA2">
        <f>BDH("MRLN US Equity","EBIT","1993-06-18","2026-05-02","Per=Y","Days=T","Dir=V")</f>
        <v>0</v>
      </c>
      <c r="AC2">
        <f>BDH("MRLN US Equity","EBITDA","1993-06-18","2026-05-02","Per=Y","Days=T","Dir=V")</f>
        <v>0</v>
      </c>
      <c r="AE2">
        <f>BDH("MRLN US Equity","NET_INCOME","1993-06-18","2026-05-02","Per=Y","Days=T","Dir=V")</f>
        <v>0</v>
      </c>
      <c r="AG2">
        <f>BDH("MRLN US Equity","IS_INT_EXPENSE","1993-06-18","2026-05-02","Per=Y","Days=T","Dir=V")</f>
        <v>0</v>
      </c>
      <c r="AI2">
        <f>BDH("MRLN US Equity","IS_DEPR_EXP","1993-06-18","2026-05-02","Per=Y","Days=T","Dir=V")</f>
        <v>0</v>
      </c>
      <c r="AK2">
        <f>BDH("MRLN US Equity","CF_CASH_FROM_OPER","1993-06-18","2026-05-02","Per=Y","Days=T","Dir=V")</f>
        <v>0</v>
      </c>
      <c r="AM2">
        <f>BDH("MRLN US Equity","CAPITAL_EXPEND","1993-06-18","2026-05-02","Per=Y","Days=T","Dir=V")</f>
        <v>0</v>
      </c>
      <c r="AO2">
        <f>BDH("MRLN US Equity","CF_FREE_CASH_FLOW","1993-06-18","2026-05-02","Per=Y","Days=T","Dir=V")</f>
        <v>0</v>
      </c>
      <c r="AQ2">
        <f>BDH("MRLN US Equity","PX_LAST","1993-06-18","2026-05-02","Per=M","Days=T","Dir=V")</f>
        <v>0</v>
      </c>
      <c r="AS2">
        <f>BDH("MRLN US Equity","CUR_MKT_CAP","1993-06-18","2026-05-02","Per=M","Days=T","Dir=V")</f>
        <v>0</v>
      </c>
      <c r="AU2">
        <f>BDH("MRLN US Equity","EQY_SH_OUT","1993-06-18","2026-05-02","Per=M","Days=T","Dir=V")</f>
        <v>0</v>
      </c>
      <c r="AW2">
        <f>BDH("MRLN US Equity","PX_VOLUME","1993-06-18","2026-05-02","Per=M","Days=T","Dir=V")</f>
        <v>0</v>
      </c>
      <c r="AY2">
        <f>BDH("MRLN US Equity","TURNOVER","1993-06-18","2026-05-02","Per=M","Days=T","Dir=V")</f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BDH("MRNA US Equity","BS_TOT_ASSET","1993-06-18","2026-05-02","Per=Y","Days=T","Dir=V")</f>
        <v>0</v>
      </c>
      <c r="C2">
        <f>BDH("MRNA US Equity","BS_TOT_LIAB2","1993-06-18","2026-05-02","Per=Y","Days=T","Dir=V")</f>
        <v>0</v>
      </c>
      <c r="E2">
        <f>BDH("MRNA US Equity","SHORT_AND_LONG_TERM_DEBT","1993-06-18","2026-05-02","Per=Y","Days=T","Dir=V")</f>
        <v>0</v>
      </c>
      <c r="G2">
        <f>BDH("MRNA US Equity","BS_ST_BORROW","1993-06-18","2026-05-02","Per=Y","Days=T","Dir=V")</f>
        <v>0</v>
      </c>
      <c r="I2">
        <f>BDH("MRNA US Equity","BS_LT_BORROW","1993-06-18","2026-05-02","Per=Y","Days=T","Dir=V")</f>
        <v>0</v>
      </c>
      <c r="K2">
        <f>BDH("MRNA US Equity","BS_CASH_NEAR_CASH_ITEM","1993-06-18","2026-05-02","Per=Y","Days=T","Dir=V")</f>
        <v>0</v>
      </c>
      <c r="M2">
        <f>BDH("MRNA US Equity","BS_CUR_ASSET_REPORT","1993-06-18","2026-05-02","Per=Y","Days=T","Dir=V")</f>
        <v>0</v>
      </c>
      <c r="O2">
        <f>BDH("MRNA US Equity","BS_CUR_LIAB","1993-06-18","2026-05-02","Per=Y","Days=T","Dir=V")</f>
        <v>0</v>
      </c>
      <c r="Q2">
        <f>BDH("MRNA US Equity","BS_SHAREHOLDER_EQY_ENDING_PERIOD","1993-06-18","2026-05-02","Per=Y","Days=T","Dir=V")</f>
        <v>0</v>
      </c>
      <c r="S2">
        <f>BDH("MRNA US Equity","BS_ACCT_NOTE_RCV","1993-06-18","2026-05-02","Per=Y","Days=T","Dir=V")</f>
        <v>0</v>
      </c>
      <c r="U2">
        <f>BDH("MRNA US Equity","BS_INVENTORIES","1993-06-18","2026-05-02","Per=Y","Days=T","Dir=V")</f>
        <v>0</v>
      </c>
      <c r="W2">
        <f>BDH("MRNA US Equity","WORKING_CAPITAL","1993-06-18","2026-05-02","Per=Y","Days=T","Dir=V")</f>
        <v>0</v>
      </c>
      <c r="Y2">
        <f>BDH("MRNA US Equity","SALES_REV_TURN","1993-06-18","2026-05-02","Per=Y","Days=T","Dir=V")</f>
        <v>0</v>
      </c>
      <c r="AA2">
        <f>BDH("MRNA US Equity","EBIT","1993-06-18","2026-05-02","Per=Y","Days=T","Dir=V")</f>
        <v>0</v>
      </c>
      <c r="AC2">
        <f>BDH("MRNA US Equity","EBITDA","1993-06-18","2026-05-02","Per=Y","Days=T","Dir=V")</f>
        <v>0</v>
      </c>
      <c r="AE2">
        <f>BDH("MRNA US Equity","NET_INCOME","1993-06-18","2026-05-02","Per=Y","Days=T","Dir=V")</f>
        <v>0</v>
      </c>
      <c r="AG2">
        <f>BDH("MRNA US Equity","IS_INT_EXPENSE","1993-06-18","2026-05-02","Per=Y","Days=T","Dir=V")</f>
        <v>0</v>
      </c>
      <c r="AI2">
        <f>BDH("MRNA US Equity","IS_DEPR_EXP","1993-06-18","2026-05-02","Per=Y","Days=T","Dir=V")</f>
        <v>0</v>
      </c>
      <c r="AK2">
        <f>BDH("MRNA US Equity","CF_CASH_FROM_OPER","1993-06-18","2026-05-02","Per=Y","Days=T","Dir=V")</f>
        <v>0</v>
      </c>
      <c r="AM2">
        <f>BDH("MRNA US Equity","CAPITAL_EXPEND","1993-06-18","2026-05-02","Per=Y","Days=T","Dir=V")</f>
        <v>0</v>
      </c>
      <c r="AO2">
        <f>BDH("MRNA US Equity","CF_FREE_CASH_FLOW","1993-06-18","2026-05-02","Per=Y","Days=T","Dir=V")</f>
        <v>0</v>
      </c>
      <c r="AQ2">
        <f>BDH("MRNA US Equity","PX_LAST","1993-06-18","2026-05-02","Per=M","Days=T","Dir=V")</f>
        <v>0</v>
      </c>
      <c r="AS2">
        <f>BDH("MRNA US Equity","CUR_MKT_CAP","1993-06-18","2026-05-02","Per=M","Days=T","Dir=V")</f>
        <v>0</v>
      </c>
      <c r="AU2">
        <f>BDH("MRNA US Equity","EQY_SH_OUT","1993-06-18","2026-05-02","Per=M","Days=T","Dir=V")</f>
        <v>0</v>
      </c>
      <c r="AW2">
        <f>BDH("MRNA US Equity","PX_VOLUME","1993-06-18","2026-05-02","Per=M","Days=T","Dir=V")</f>
        <v>0</v>
      </c>
      <c r="AY2">
        <f>BDH("MRNA US Equity","TURNOVER","1993-06-18","2026-05-02","Per=M","Days=T","Dir=V")</f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BDH("MRTN US Equity","BS_TOT_ASSET","1993-06-18","2026-05-02","Per=Y","Days=T","Dir=V")</f>
        <v>0</v>
      </c>
      <c r="C2">
        <f>BDH("MRTN US Equity","BS_TOT_LIAB2","1993-06-18","2026-05-02","Per=Y","Days=T","Dir=V")</f>
        <v>0</v>
      </c>
      <c r="E2">
        <f>BDH("MRTN US Equity","SHORT_AND_LONG_TERM_DEBT","1993-06-18","2026-05-02","Per=Y","Days=T","Dir=V")</f>
        <v>0</v>
      </c>
      <c r="G2">
        <f>BDH("MRTN US Equity","BS_ST_BORROW","1993-06-18","2026-05-02","Per=Y","Days=T","Dir=V")</f>
        <v>0</v>
      </c>
      <c r="I2">
        <f>BDH("MRTN US Equity","BS_LT_BORROW","1993-06-18","2026-05-02","Per=Y","Days=T","Dir=V")</f>
        <v>0</v>
      </c>
      <c r="K2">
        <f>BDH("MRTN US Equity","BS_CASH_NEAR_CASH_ITEM","1993-06-18","2026-05-02","Per=Y","Days=T","Dir=V")</f>
        <v>0</v>
      </c>
      <c r="M2">
        <f>BDH("MRTN US Equity","BS_CUR_ASSET_REPORT","1993-06-18","2026-05-02","Per=Y","Days=T","Dir=V")</f>
        <v>0</v>
      </c>
      <c r="O2">
        <f>BDH("MRTN US Equity","BS_CUR_LIAB","1993-06-18","2026-05-02","Per=Y","Days=T","Dir=V")</f>
        <v>0</v>
      </c>
      <c r="Q2">
        <f>BDH("MRTN US Equity","BS_SHAREHOLDER_EQY_ENDING_PERIOD","1993-06-18","2026-05-02","Per=Y","Days=T","Dir=V")</f>
        <v>0</v>
      </c>
      <c r="S2">
        <f>BDH("MRTN US Equity","BS_ACCT_NOTE_RCV","1993-06-18","2026-05-02","Per=Y","Days=T","Dir=V")</f>
        <v>0</v>
      </c>
      <c r="U2">
        <f>BDH("MRTN US Equity","BS_INVENTORIES","1993-06-18","2026-05-02","Per=Y","Days=T","Dir=V")</f>
        <v>0</v>
      </c>
      <c r="W2">
        <f>BDH("MRTN US Equity","WORKING_CAPITAL","1993-06-18","2026-05-02","Per=Y","Days=T","Dir=V")</f>
        <v>0</v>
      </c>
      <c r="Y2">
        <f>BDH("MRTN US Equity","SALES_REV_TURN","1993-06-18","2026-05-02","Per=Y","Days=T","Dir=V")</f>
        <v>0</v>
      </c>
      <c r="AA2">
        <f>BDH("MRTN US Equity","EBIT","1993-06-18","2026-05-02","Per=Y","Days=T","Dir=V")</f>
        <v>0</v>
      </c>
      <c r="AC2">
        <f>BDH("MRTN US Equity","EBITDA","1993-06-18","2026-05-02","Per=Y","Days=T","Dir=V")</f>
        <v>0</v>
      </c>
      <c r="AE2">
        <f>BDH("MRTN US Equity","NET_INCOME","1993-06-18","2026-05-02","Per=Y","Days=T","Dir=V")</f>
        <v>0</v>
      </c>
      <c r="AG2">
        <f>BDH("MRTN US Equity","IS_INT_EXPENSE","1993-06-18","2026-05-02","Per=Y","Days=T","Dir=V")</f>
        <v>0</v>
      </c>
      <c r="AI2">
        <f>BDH("MRTN US Equity","IS_DEPR_EXP","1993-06-18","2026-05-02","Per=Y","Days=T","Dir=V")</f>
        <v>0</v>
      </c>
      <c r="AK2">
        <f>BDH("MRTN US Equity","CF_CASH_FROM_OPER","1993-06-18","2026-05-02","Per=Y","Days=T","Dir=V")</f>
        <v>0</v>
      </c>
      <c r="AM2">
        <f>BDH("MRTN US Equity","CAPITAL_EXPEND","1993-06-18","2026-05-02","Per=Y","Days=T","Dir=V")</f>
        <v>0</v>
      </c>
      <c r="AO2">
        <f>BDH("MRTN US Equity","CF_FREE_CASH_FLOW","1993-06-18","2026-05-02","Per=Y","Days=T","Dir=V")</f>
        <v>0</v>
      </c>
      <c r="AQ2">
        <f>BDH("MRTN US Equity","PX_LAST","1993-06-18","2026-05-02","Per=M","Days=T","Dir=V")</f>
        <v>0</v>
      </c>
      <c r="AS2">
        <f>BDH("MRTN US Equity","CUR_MKT_CAP","1993-06-18","2026-05-02","Per=M","Days=T","Dir=V")</f>
        <v>0</v>
      </c>
      <c r="AU2">
        <f>BDH("MRTN US Equity","EQY_SH_OUT","1993-06-18","2026-05-02","Per=M","Days=T","Dir=V")</f>
        <v>0</v>
      </c>
      <c r="AW2">
        <f>BDH("MRTN US Equity","PX_VOLUME","1993-06-18","2026-05-02","Per=M","Days=T","Dir=V")</f>
        <v>0</v>
      </c>
      <c r="AY2">
        <f>BDH("MRTN US Equity","TURNOVER","1993-06-18","2026-05-02","Per=M","Days=T","Dir=V")</f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BDH("MRVI US Equity","BS_TOT_ASSET","1993-06-18","2026-05-02","Per=Y","Days=T","Dir=V")</f>
        <v>0</v>
      </c>
      <c r="C2">
        <f>BDH("MRVI US Equity","BS_TOT_LIAB2","1993-06-18","2026-05-02","Per=Y","Days=T","Dir=V")</f>
        <v>0</v>
      </c>
      <c r="E2">
        <f>BDH("MRVI US Equity","SHORT_AND_LONG_TERM_DEBT","1993-06-18","2026-05-02","Per=Y","Days=T","Dir=V")</f>
        <v>0</v>
      </c>
      <c r="G2">
        <f>BDH("MRVI US Equity","BS_ST_BORROW","1993-06-18","2026-05-02","Per=Y","Days=T","Dir=V")</f>
        <v>0</v>
      </c>
      <c r="I2">
        <f>BDH("MRVI US Equity","BS_LT_BORROW","1993-06-18","2026-05-02","Per=Y","Days=T","Dir=V")</f>
        <v>0</v>
      </c>
      <c r="K2">
        <f>BDH("MRVI US Equity","BS_CASH_NEAR_CASH_ITEM","1993-06-18","2026-05-02","Per=Y","Days=T","Dir=V")</f>
        <v>0</v>
      </c>
      <c r="M2">
        <f>BDH("MRVI US Equity","BS_CUR_ASSET_REPORT","1993-06-18","2026-05-02","Per=Y","Days=T","Dir=V")</f>
        <v>0</v>
      </c>
      <c r="O2">
        <f>BDH("MRVI US Equity","BS_CUR_LIAB","1993-06-18","2026-05-02","Per=Y","Days=T","Dir=V")</f>
        <v>0</v>
      </c>
      <c r="Q2">
        <f>BDH("MRVI US Equity","BS_SHAREHOLDER_EQY_ENDING_PERIOD","1993-06-18","2026-05-02","Per=Y","Days=T","Dir=V")</f>
        <v>0</v>
      </c>
      <c r="S2">
        <f>BDH("MRVI US Equity","BS_ACCT_NOTE_RCV","1993-06-18","2026-05-02","Per=Y","Days=T","Dir=V")</f>
        <v>0</v>
      </c>
      <c r="U2">
        <f>BDH("MRVI US Equity","BS_INVENTORIES","1993-06-18","2026-05-02","Per=Y","Days=T","Dir=V")</f>
        <v>0</v>
      </c>
      <c r="W2">
        <f>BDH("MRVI US Equity","WORKING_CAPITAL","1993-06-18","2026-05-02","Per=Y","Days=T","Dir=V")</f>
        <v>0</v>
      </c>
      <c r="Y2">
        <f>BDH("MRVI US Equity","SALES_REV_TURN","1993-06-18","2026-05-02","Per=Y","Days=T","Dir=V")</f>
        <v>0</v>
      </c>
      <c r="AA2">
        <f>BDH("MRVI US Equity","EBIT","1993-06-18","2026-05-02","Per=Y","Days=T","Dir=V")</f>
        <v>0</v>
      </c>
      <c r="AC2">
        <f>BDH("MRVI US Equity","EBITDA","1993-06-18","2026-05-02","Per=Y","Days=T","Dir=V")</f>
        <v>0</v>
      </c>
      <c r="AE2">
        <f>BDH("MRVI US Equity","NET_INCOME","1993-06-18","2026-05-02","Per=Y","Days=T","Dir=V")</f>
        <v>0</v>
      </c>
      <c r="AG2">
        <f>BDH("MRVI US Equity","IS_INT_EXPENSE","1993-06-18","2026-05-02","Per=Y","Days=T","Dir=V")</f>
        <v>0</v>
      </c>
      <c r="AI2">
        <f>BDH("MRVI US Equity","IS_DEPR_EXP","1993-06-18","2026-05-02","Per=Y","Days=T","Dir=V")</f>
        <v>0</v>
      </c>
      <c r="AK2">
        <f>BDH("MRVI US Equity","CF_CASH_FROM_OPER","1993-06-18","2026-05-02","Per=Y","Days=T","Dir=V")</f>
        <v>0</v>
      </c>
      <c r="AM2">
        <f>BDH("MRVI US Equity","CAPITAL_EXPEND","1993-06-18","2026-05-02","Per=Y","Days=T","Dir=V")</f>
        <v>0</v>
      </c>
      <c r="AO2">
        <f>BDH("MRVI US Equity","CF_FREE_CASH_FLOW","1993-06-18","2026-05-02","Per=Y","Days=T","Dir=V")</f>
        <v>0</v>
      </c>
      <c r="AQ2">
        <f>BDH("MRVI US Equity","PX_LAST","1993-06-18","2026-05-02","Per=M","Days=T","Dir=V")</f>
        <v>0</v>
      </c>
      <c r="AS2">
        <f>BDH("MRVI US Equity","CUR_MKT_CAP","1993-06-18","2026-05-02","Per=M","Days=T","Dir=V")</f>
        <v>0</v>
      </c>
      <c r="AU2">
        <f>BDH("MRVI US Equity","EQY_SH_OUT","1993-06-18","2026-05-02","Per=M","Days=T","Dir=V")</f>
        <v>0</v>
      </c>
      <c r="AW2">
        <f>BDH("MRVI US Equity","PX_VOLUME","1993-06-18","2026-05-02","Per=M","Days=T","Dir=V")</f>
        <v>0</v>
      </c>
      <c r="AY2">
        <f>BDH("MRVI US Equity","TURNOVER","1993-06-18","2026-05-02","Per=M","Days=T","Dir=V")</f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BDH("MRVL US Equity","BS_TOT_ASSET","1993-06-18","2026-05-02","Per=Y","Days=T","Dir=V")</f>
        <v>0</v>
      </c>
      <c r="C2">
        <f>BDH("MRVL US Equity","BS_TOT_LIAB2","1993-06-18","2026-05-02","Per=Y","Days=T","Dir=V")</f>
        <v>0</v>
      </c>
      <c r="E2">
        <f>BDH("MRVL US Equity","SHORT_AND_LONG_TERM_DEBT","1993-06-18","2026-05-02","Per=Y","Days=T","Dir=V")</f>
        <v>0</v>
      </c>
      <c r="G2">
        <f>BDH("MRVL US Equity","BS_ST_BORROW","1993-06-18","2026-05-02","Per=Y","Days=T","Dir=V")</f>
        <v>0</v>
      </c>
      <c r="I2">
        <f>BDH("MRVL US Equity","BS_LT_BORROW","1993-06-18","2026-05-02","Per=Y","Days=T","Dir=V")</f>
        <v>0</v>
      </c>
      <c r="K2">
        <f>BDH("MRVL US Equity","BS_CASH_NEAR_CASH_ITEM","1993-06-18","2026-05-02","Per=Y","Days=T","Dir=V")</f>
        <v>0</v>
      </c>
      <c r="M2">
        <f>BDH("MRVL US Equity","BS_CUR_ASSET_REPORT","1993-06-18","2026-05-02","Per=Y","Days=T","Dir=V")</f>
        <v>0</v>
      </c>
      <c r="O2">
        <f>BDH("MRVL US Equity","BS_CUR_LIAB","1993-06-18","2026-05-02","Per=Y","Days=T","Dir=V")</f>
        <v>0</v>
      </c>
      <c r="Q2">
        <f>BDH("MRVL US Equity","BS_SHAREHOLDER_EQY_ENDING_PERIOD","1993-06-18","2026-05-02","Per=Y","Days=T","Dir=V")</f>
        <v>0</v>
      </c>
      <c r="S2">
        <f>BDH("MRVL US Equity","BS_ACCT_NOTE_RCV","1993-06-18","2026-05-02","Per=Y","Days=T","Dir=V")</f>
        <v>0</v>
      </c>
      <c r="U2">
        <f>BDH("MRVL US Equity","BS_INVENTORIES","1993-06-18","2026-05-02","Per=Y","Days=T","Dir=V")</f>
        <v>0</v>
      </c>
      <c r="W2">
        <f>BDH("MRVL US Equity","WORKING_CAPITAL","1993-06-18","2026-05-02","Per=Y","Days=T","Dir=V")</f>
        <v>0</v>
      </c>
      <c r="Y2">
        <f>BDH("MRVL US Equity","SALES_REV_TURN","1993-06-18","2026-05-02","Per=Y","Days=T","Dir=V")</f>
        <v>0</v>
      </c>
      <c r="AA2">
        <f>BDH("MRVL US Equity","EBIT","1993-06-18","2026-05-02","Per=Y","Days=T","Dir=V")</f>
        <v>0</v>
      </c>
      <c r="AC2">
        <f>BDH("MRVL US Equity","EBITDA","1993-06-18","2026-05-02","Per=Y","Days=T","Dir=V")</f>
        <v>0</v>
      </c>
      <c r="AE2">
        <f>BDH("MRVL US Equity","NET_INCOME","1993-06-18","2026-05-02","Per=Y","Days=T","Dir=V")</f>
        <v>0</v>
      </c>
      <c r="AG2">
        <f>BDH("MRVL US Equity","IS_INT_EXPENSE","1993-06-18","2026-05-02","Per=Y","Days=T","Dir=V")</f>
        <v>0</v>
      </c>
      <c r="AI2">
        <f>BDH("MRVL US Equity","IS_DEPR_EXP","1993-06-18","2026-05-02","Per=Y","Days=T","Dir=V")</f>
        <v>0</v>
      </c>
      <c r="AK2">
        <f>BDH("MRVL US Equity","CF_CASH_FROM_OPER","1993-06-18","2026-05-02","Per=Y","Days=T","Dir=V")</f>
        <v>0</v>
      </c>
      <c r="AM2">
        <f>BDH("MRVL US Equity","CAPITAL_EXPEND","1993-06-18","2026-05-02","Per=Y","Days=T","Dir=V")</f>
        <v>0</v>
      </c>
      <c r="AO2">
        <f>BDH("MRVL US Equity","CF_FREE_CASH_FLOW","1993-06-18","2026-05-02","Per=Y","Days=T","Dir=V")</f>
        <v>0</v>
      </c>
      <c r="AQ2">
        <f>BDH("MRVL US Equity","PX_LAST","1993-06-18","2026-05-02","Per=M","Days=T","Dir=V")</f>
        <v>0</v>
      </c>
      <c r="AS2">
        <f>BDH("MRVL US Equity","CUR_MKT_CAP","1993-06-18","2026-05-02","Per=M","Days=T","Dir=V")</f>
        <v>0</v>
      </c>
      <c r="AU2">
        <f>BDH("MRVL US Equity","EQY_SH_OUT","1993-06-18","2026-05-02","Per=M","Days=T","Dir=V")</f>
        <v>0</v>
      </c>
      <c r="AW2">
        <f>BDH("MRVL US Equity","PX_VOLUME","1993-06-18","2026-05-02","Per=M","Days=T","Dir=V")</f>
        <v>0</v>
      </c>
      <c r="AY2">
        <f>BDH("MRVL US Equity","TURNOVER","1993-06-18","2026-05-02","Per=M","Days=T","Dir=V")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BDH("MSA US Equity","BS_TOT_ASSET","1993-06-18","2026-05-02","Per=Y","Days=T","Dir=V")</f>
        <v>0</v>
      </c>
      <c r="C2">
        <f>BDH("MSA US Equity","BS_TOT_LIAB2","1993-06-18","2026-05-02","Per=Y","Days=T","Dir=V")</f>
        <v>0</v>
      </c>
      <c r="E2">
        <f>BDH("MSA US Equity","SHORT_AND_LONG_TERM_DEBT","1993-06-18","2026-05-02","Per=Y","Days=T","Dir=V")</f>
        <v>0</v>
      </c>
      <c r="G2">
        <f>BDH("MSA US Equity","BS_ST_BORROW","1993-06-18","2026-05-02","Per=Y","Days=T","Dir=V")</f>
        <v>0</v>
      </c>
      <c r="I2">
        <f>BDH("MSA US Equity","BS_LT_BORROW","1993-06-18","2026-05-02","Per=Y","Days=T","Dir=V")</f>
        <v>0</v>
      </c>
      <c r="K2">
        <f>BDH("MSA US Equity","BS_CASH_NEAR_CASH_ITEM","1993-06-18","2026-05-02","Per=Y","Days=T","Dir=V")</f>
        <v>0</v>
      </c>
      <c r="M2">
        <f>BDH("MSA US Equity","BS_CUR_ASSET_REPORT","1993-06-18","2026-05-02","Per=Y","Days=T","Dir=V")</f>
        <v>0</v>
      </c>
      <c r="O2">
        <f>BDH("MSA US Equity","BS_CUR_LIAB","1993-06-18","2026-05-02","Per=Y","Days=T","Dir=V")</f>
        <v>0</v>
      </c>
      <c r="Q2">
        <f>BDH("MSA US Equity","BS_SHAREHOLDER_EQY_ENDING_PERIOD","1993-06-18","2026-05-02","Per=Y","Days=T","Dir=V")</f>
        <v>0</v>
      </c>
      <c r="S2">
        <f>BDH("MSA US Equity","BS_ACCT_NOTE_RCV","1993-06-18","2026-05-02","Per=Y","Days=T","Dir=V")</f>
        <v>0</v>
      </c>
      <c r="U2">
        <f>BDH("MSA US Equity","BS_INVENTORIES","1993-06-18","2026-05-02","Per=Y","Days=T","Dir=V")</f>
        <v>0</v>
      </c>
      <c r="W2">
        <f>BDH("MSA US Equity","WORKING_CAPITAL","1993-06-18","2026-05-02","Per=Y","Days=T","Dir=V")</f>
        <v>0</v>
      </c>
      <c r="Y2">
        <f>BDH("MSA US Equity","SALES_REV_TURN","1993-06-18","2026-05-02","Per=Y","Days=T","Dir=V")</f>
        <v>0</v>
      </c>
      <c r="AA2">
        <f>BDH("MSA US Equity","EBIT","1993-06-18","2026-05-02","Per=Y","Days=T","Dir=V")</f>
        <v>0</v>
      </c>
      <c r="AC2">
        <f>BDH("MSA US Equity","EBITDA","1993-06-18","2026-05-02","Per=Y","Days=T","Dir=V")</f>
        <v>0</v>
      </c>
      <c r="AE2">
        <f>BDH("MSA US Equity","NET_INCOME","1993-06-18","2026-05-02","Per=Y","Days=T","Dir=V")</f>
        <v>0</v>
      </c>
      <c r="AG2">
        <f>BDH("MSA US Equity","IS_INT_EXPENSE","1993-06-18","2026-05-02","Per=Y","Days=T","Dir=V")</f>
        <v>0</v>
      </c>
      <c r="AI2">
        <f>BDH("MSA US Equity","IS_DEPR_EXP","1993-06-18","2026-05-02","Per=Y","Days=T","Dir=V")</f>
        <v>0</v>
      </c>
      <c r="AK2">
        <f>BDH("MSA US Equity","CF_CASH_FROM_OPER","1993-06-18","2026-05-02","Per=Y","Days=T","Dir=V")</f>
        <v>0</v>
      </c>
      <c r="AM2">
        <f>BDH("MSA US Equity","CAPITAL_EXPEND","1993-06-18","2026-05-02","Per=Y","Days=T","Dir=V")</f>
        <v>0</v>
      </c>
      <c r="AO2">
        <f>BDH("MSA US Equity","CF_FREE_CASH_FLOW","1993-06-18","2026-05-02","Per=Y","Days=T","Dir=V")</f>
        <v>0</v>
      </c>
      <c r="AQ2">
        <f>BDH("MSA US Equity","PX_LAST","1993-06-18","2026-05-02","Per=M","Days=T","Dir=V")</f>
        <v>0</v>
      </c>
      <c r="AS2">
        <f>BDH("MSA US Equity","CUR_MKT_CAP","1993-06-18","2026-05-02","Per=M","Days=T","Dir=V")</f>
        <v>0</v>
      </c>
      <c r="AU2">
        <f>BDH("MSA US Equity","EQY_SH_OUT","1993-06-18","2026-05-02","Per=M","Days=T","Dir=V")</f>
        <v>0</v>
      </c>
      <c r="AW2">
        <f>BDH("MSA US Equity","PX_VOLUME","1993-06-18","2026-05-02","Per=M","Days=T","Dir=V")</f>
        <v>0</v>
      </c>
      <c r="AY2">
        <f>BDH("MSA US Equity","TURNOVER","1993-06-18","2026-05-02","Per=M","Days=T","Dir=V")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BDH("MSAI US Equity","BS_TOT_ASSET","1993-06-18","2026-05-02","Per=Y","Days=T","Dir=V")</f>
        <v>0</v>
      </c>
      <c r="C2">
        <f>BDH("MSAI US Equity","BS_TOT_LIAB2","1993-06-18","2026-05-02","Per=Y","Days=T","Dir=V")</f>
        <v>0</v>
      </c>
      <c r="E2">
        <f>BDH("MSAI US Equity","SHORT_AND_LONG_TERM_DEBT","1993-06-18","2026-05-02","Per=Y","Days=T","Dir=V")</f>
        <v>0</v>
      </c>
      <c r="G2">
        <f>BDH("MSAI US Equity","BS_ST_BORROW","1993-06-18","2026-05-02","Per=Y","Days=T","Dir=V")</f>
        <v>0</v>
      </c>
      <c r="I2">
        <f>BDH("MSAI US Equity","BS_LT_BORROW","1993-06-18","2026-05-02","Per=Y","Days=T","Dir=V")</f>
        <v>0</v>
      </c>
      <c r="K2">
        <f>BDH("MSAI US Equity","BS_CASH_NEAR_CASH_ITEM","1993-06-18","2026-05-02","Per=Y","Days=T","Dir=V")</f>
        <v>0</v>
      </c>
      <c r="M2">
        <f>BDH("MSAI US Equity","BS_CUR_ASSET_REPORT","1993-06-18","2026-05-02","Per=Y","Days=T","Dir=V")</f>
        <v>0</v>
      </c>
      <c r="O2">
        <f>BDH("MSAI US Equity","BS_CUR_LIAB","1993-06-18","2026-05-02","Per=Y","Days=T","Dir=V")</f>
        <v>0</v>
      </c>
      <c r="Q2">
        <f>BDH("MSAI US Equity","BS_SHAREHOLDER_EQY_ENDING_PERIOD","1993-06-18","2026-05-02","Per=Y","Days=T","Dir=V")</f>
        <v>0</v>
      </c>
      <c r="S2">
        <f>BDH("MSAI US Equity","BS_ACCT_NOTE_RCV","1993-06-18","2026-05-02","Per=Y","Days=T","Dir=V")</f>
        <v>0</v>
      </c>
      <c r="U2">
        <f>BDH("MSAI US Equity","BS_INVENTORIES","1993-06-18","2026-05-02","Per=Y","Days=T","Dir=V")</f>
        <v>0</v>
      </c>
      <c r="W2">
        <f>BDH("MSAI US Equity","WORKING_CAPITAL","1993-06-18","2026-05-02","Per=Y","Days=T","Dir=V")</f>
        <v>0</v>
      </c>
      <c r="Y2">
        <f>BDH("MSAI US Equity","SALES_REV_TURN","1993-06-18","2026-05-02","Per=Y","Days=T","Dir=V")</f>
        <v>0</v>
      </c>
      <c r="AA2">
        <f>BDH("MSAI US Equity","EBIT","1993-06-18","2026-05-02","Per=Y","Days=T","Dir=V")</f>
        <v>0</v>
      </c>
      <c r="AC2">
        <f>BDH("MSAI US Equity","EBITDA","1993-06-18","2026-05-02","Per=Y","Days=T","Dir=V")</f>
        <v>0</v>
      </c>
      <c r="AE2">
        <f>BDH("MSAI US Equity","NET_INCOME","1993-06-18","2026-05-02","Per=Y","Days=T","Dir=V")</f>
        <v>0</v>
      </c>
      <c r="AG2">
        <f>BDH("MSAI US Equity","IS_INT_EXPENSE","1993-06-18","2026-05-02","Per=Y","Days=T","Dir=V")</f>
        <v>0</v>
      </c>
      <c r="AI2">
        <f>BDH("MSAI US Equity","IS_DEPR_EXP","1993-06-18","2026-05-02","Per=Y","Days=T","Dir=V")</f>
        <v>0</v>
      </c>
      <c r="AK2">
        <f>BDH("MSAI US Equity","CF_CASH_FROM_OPER","1993-06-18","2026-05-02","Per=Y","Days=T","Dir=V")</f>
        <v>0</v>
      </c>
      <c r="AM2">
        <f>BDH("MSAI US Equity","CAPITAL_EXPEND","1993-06-18","2026-05-02","Per=Y","Days=T","Dir=V")</f>
        <v>0</v>
      </c>
      <c r="AO2">
        <f>BDH("MSAI US Equity","CF_FREE_CASH_FLOW","1993-06-18","2026-05-02","Per=Y","Days=T","Dir=V")</f>
        <v>0</v>
      </c>
      <c r="AQ2">
        <f>BDH("MSAI US Equity","PX_LAST","1993-06-18","2026-05-02","Per=M","Days=T","Dir=V")</f>
        <v>0</v>
      </c>
      <c r="AS2">
        <f>BDH("MSAI US Equity","CUR_MKT_CAP","1993-06-18","2026-05-02","Per=M","Days=T","Dir=V")</f>
        <v>0</v>
      </c>
      <c r="AU2">
        <f>BDH("MSAI US Equity","EQY_SH_OUT","1993-06-18","2026-05-02","Per=M","Days=T","Dir=V")</f>
        <v>0</v>
      </c>
      <c r="AW2">
        <f>BDH("MSAI US Equity","PX_VOLUME","1993-06-18","2026-05-02","Per=M","Days=T","Dir=V")</f>
        <v>0</v>
      </c>
      <c r="AY2">
        <f>BDH("MSAI US Equity","TURNOVER","1993-06-18","2026-05-02","Per=M","Days=T","Dir=V")</f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BDH("MSAIW US Equity","BS_TOT_ASSET","1993-06-18","2026-05-02","Per=Y","Days=T","Dir=V")</f>
        <v>0</v>
      </c>
      <c r="C2">
        <f>BDH("MSAIW US Equity","BS_TOT_LIAB2","1993-06-18","2026-05-02","Per=Y","Days=T","Dir=V")</f>
        <v>0</v>
      </c>
      <c r="E2">
        <f>BDH("MSAIW US Equity","SHORT_AND_LONG_TERM_DEBT","1993-06-18","2026-05-02","Per=Y","Days=T","Dir=V")</f>
        <v>0</v>
      </c>
      <c r="G2">
        <f>BDH("MSAIW US Equity","BS_ST_BORROW","1993-06-18","2026-05-02","Per=Y","Days=T","Dir=V")</f>
        <v>0</v>
      </c>
      <c r="I2">
        <f>BDH("MSAIW US Equity","BS_LT_BORROW","1993-06-18","2026-05-02","Per=Y","Days=T","Dir=V")</f>
        <v>0</v>
      </c>
      <c r="K2">
        <f>BDH("MSAIW US Equity","BS_CASH_NEAR_CASH_ITEM","1993-06-18","2026-05-02","Per=Y","Days=T","Dir=V")</f>
        <v>0</v>
      </c>
      <c r="M2">
        <f>BDH("MSAIW US Equity","BS_CUR_ASSET_REPORT","1993-06-18","2026-05-02","Per=Y","Days=T","Dir=V")</f>
        <v>0</v>
      </c>
      <c r="O2">
        <f>BDH("MSAIW US Equity","BS_CUR_LIAB","1993-06-18","2026-05-02","Per=Y","Days=T","Dir=V")</f>
        <v>0</v>
      </c>
      <c r="Q2">
        <f>BDH("MSAIW US Equity","BS_SHAREHOLDER_EQY_ENDING_PERIOD","1993-06-18","2026-05-02","Per=Y","Days=T","Dir=V")</f>
        <v>0</v>
      </c>
      <c r="S2">
        <f>BDH("MSAIW US Equity","BS_ACCT_NOTE_RCV","1993-06-18","2026-05-02","Per=Y","Days=T","Dir=V")</f>
        <v>0</v>
      </c>
      <c r="U2">
        <f>BDH("MSAIW US Equity","BS_INVENTORIES","1993-06-18","2026-05-02","Per=Y","Days=T","Dir=V")</f>
        <v>0</v>
      </c>
      <c r="W2">
        <f>BDH("MSAIW US Equity","WORKING_CAPITAL","1993-06-18","2026-05-02","Per=Y","Days=T","Dir=V")</f>
        <v>0</v>
      </c>
      <c r="Y2">
        <f>BDH("MSAIW US Equity","SALES_REV_TURN","1993-06-18","2026-05-02","Per=Y","Days=T","Dir=V")</f>
        <v>0</v>
      </c>
      <c r="AA2">
        <f>BDH("MSAIW US Equity","EBIT","1993-06-18","2026-05-02","Per=Y","Days=T","Dir=V")</f>
        <v>0</v>
      </c>
      <c r="AC2">
        <f>BDH("MSAIW US Equity","EBITDA","1993-06-18","2026-05-02","Per=Y","Days=T","Dir=V")</f>
        <v>0</v>
      </c>
      <c r="AE2">
        <f>BDH("MSAIW US Equity","NET_INCOME","1993-06-18","2026-05-02","Per=Y","Days=T","Dir=V")</f>
        <v>0</v>
      </c>
      <c r="AG2">
        <f>BDH("MSAIW US Equity","IS_INT_EXPENSE","1993-06-18","2026-05-02","Per=Y","Days=T","Dir=V")</f>
        <v>0</v>
      </c>
      <c r="AI2">
        <f>BDH("MSAIW US Equity","IS_DEPR_EXP","1993-06-18","2026-05-02","Per=Y","Days=T","Dir=V")</f>
        <v>0</v>
      </c>
      <c r="AK2">
        <f>BDH("MSAIW US Equity","CF_CASH_FROM_OPER","1993-06-18","2026-05-02","Per=Y","Days=T","Dir=V")</f>
        <v>0</v>
      </c>
      <c r="AM2">
        <f>BDH("MSAIW US Equity","CAPITAL_EXPEND","1993-06-18","2026-05-02","Per=Y","Days=T","Dir=V")</f>
        <v>0</v>
      </c>
      <c r="AO2">
        <f>BDH("MSAIW US Equity","CF_FREE_CASH_FLOW","1993-06-18","2026-05-02","Per=Y","Days=T","Dir=V")</f>
        <v>0</v>
      </c>
      <c r="AQ2">
        <f>BDH("MSAIW US Equity","PX_LAST","1993-06-18","2026-05-02","Per=M","Days=T","Dir=V")</f>
        <v>0</v>
      </c>
      <c r="AS2">
        <f>BDH("MSAIW US Equity","CUR_MKT_CAP","1993-06-18","2026-05-02","Per=M","Days=T","Dir=V")</f>
        <v>0</v>
      </c>
      <c r="AU2">
        <f>BDH("MSAIW US Equity","EQY_SH_OUT","1993-06-18","2026-05-02","Per=M","Days=T","Dir=V")</f>
        <v>0</v>
      </c>
      <c r="AW2">
        <f>BDH("MSAIW US Equity","PX_VOLUME","1993-06-18","2026-05-02","Per=M","Days=T","Dir=V")</f>
        <v>0</v>
      </c>
      <c r="AY2">
        <f>BDH("MSAIW US Equity","TURNOVER","1993-06-18","2026-05-02","Per=M","Days=T","Dir=V")</f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BDH("MSB US Equity","BS_TOT_ASSET","1993-06-18","2026-05-02","Per=Y","Days=T","Dir=V")</f>
        <v>0</v>
      </c>
      <c r="C2">
        <f>BDH("MSB US Equity","BS_TOT_LIAB2","1993-06-18","2026-05-02","Per=Y","Days=T","Dir=V")</f>
        <v>0</v>
      </c>
      <c r="E2">
        <f>BDH("MSB US Equity","SHORT_AND_LONG_TERM_DEBT","1993-06-18","2026-05-02","Per=Y","Days=T","Dir=V")</f>
        <v>0</v>
      </c>
      <c r="G2">
        <f>BDH("MSB US Equity","BS_ST_BORROW","1993-06-18","2026-05-02","Per=Y","Days=T","Dir=V")</f>
        <v>0</v>
      </c>
      <c r="I2">
        <f>BDH("MSB US Equity","BS_LT_BORROW","1993-06-18","2026-05-02","Per=Y","Days=T","Dir=V")</f>
        <v>0</v>
      </c>
      <c r="K2">
        <f>BDH("MSB US Equity","BS_CASH_NEAR_CASH_ITEM","1993-06-18","2026-05-02","Per=Y","Days=T","Dir=V")</f>
        <v>0</v>
      </c>
      <c r="M2">
        <f>BDH("MSB US Equity","BS_CUR_ASSET_REPORT","1993-06-18","2026-05-02","Per=Y","Days=T","Dir=V")</f>
        <v>0</v>
      </c>
      <c r="O2">
        <f>BDH("MSB US Equity","BS_CUR_LIAB","1993-06-18","2026-05-02","Per=Y","Days=T","Dir=V")</f>
        <v>0</v>
      </c>
      <c r="Q2">
        <f>BDH("MSB US Equity","BS_SHAREHOLDER_EQY_ENDING_PERIOD","1993-06-18","2026-05-02","Per=Y","Days=T","Dir=V")</f>
        <v>0</v>
      </c>
      <c r="S2">
        <f>BDH("MSB US Equity","BS_ACCT_NOTE_RCV","1993-06-18","2026-05-02","Per=Y","Days=T","Dir=V")</f>
        <v>0</v>
      </c>
      <c r="U2">
        <f>BDH("MSB US Equity","BS_INVENTORIES","1993-06-18","2026-05-02","Per=Y","Days=T","Dir=V")</f>
        <v>0</v>
      </c>
      <c r="W2">
        <f>BDH("MSB US Equity","WORKING_CAPITAL","1993-06-18","2026-05-02","Per=Y","Days=T","Dir=V")</f>
        <v>0</v>
      </c>
      <c r="Y2">
        <f>BDH("MSB US Equity","SALES_REV_TURN","1993-06-18","2026-05-02","Per=Y","Days=T","Dir=V")</f>
        <v>0</v>
      </c>
      <c r="AA2">
        <f>BDH("MSB US Equity","EBIT","1993-06-18","2026-05-02","Per=Y","Days=T","Dir=V")</f>
        <v>0</v>
      </c>
      <c r="AC2">
        <f>BDH("MSB US Equity","EBITDA","1993-06-18","2026-05-02","Per=Y","Days=T","Dir=V")</f>
        <v>0</v>
      </c>
      <c r="AE2">
        <f>BDH("MSB US Equity","NET_INCOME","1993-06-18","2026-05-02","Per=Y","Days=T","Dir=V")</f>
        <v>0</v>
      </c>
      <c r="AG2">
        <f>BDH("MSB US Equity","IS_INT_EXPENSE","1993-06-18","2026-05-02","Per=Y","Days=T","Dir=V")</f>
        <v>0</v>
      </c>
      <c r="AI2">
        <f>BDH("MSB US Equity","IS_DEPR_EXP","1993-06-18","2026-05-02","Per=Y","Days=T","Dir=V")</f>
        <v>0</v>
      </c>
      <c r="AK2">
        <f>BDH("MSB US Equity","CF_CASH_FROM_OPER","1993-06-18","2026-05-02","Per=Y","Days=T","Dir=V")</f>
        <v>0</v>
      </c>
      <c r="AM2">
        <f>BDH("MSB US Equity","CAPITAL_EXPEND","1993-06-18","2026-05-02","Per=Y","Days=T","Dir=V")</f>
        <v>0</v>
      </c>
      <c r="AO2">
        <f>BDH("MSB US Equity","CF_FREE_CASH_FLOW","1993-06-18","2026-05-02","Per=Y","Days=T","Dir=V")</f>
        <v>0</v>
      </c>
      <c r="AQ2">
        <f>BDH("MSB US Equity","PX_LAST","1993-06-18","2026-05-02","Per=M","Days=T","Dir=V")</f>
        <v>0</v>
      </c>
      <c r="AS2">
        <f>BDH("MSB US Equity","CUR_MKT_CAP","1993-06-18","2026-05-02","Per=M","Days=T","Dir=V")</f>
        <v>0</v>
      </c>
      <c r="AU2">
        <f>BDH("MSB US Equity","EQY_SH_OUT","1993-06-18","2026-05-02","Per=M","Days=T","Dir=V")</f>
        <v>0</v>
      </c>
      <c r="AW2">
        <f>BDH("MSB US Equity","PX_VOLUME","1993-06-18","2026-05-02","Per=M","Days=T","Dir=V")</f>
        <v>0</v>
      </c>
      <c r="AY2">
        <f>BDH("MSB US Equity","TURNOVER","1993-06-18","2026-05-02","Per=M","Days=T","Dir=V")</f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BDH("MSCI US Equity","BS_TOT_ASSET","1993-06-18","2026-05-02","Per=Y","Days=T","Dir=V")</f>
        <v>0</v>
      </c>
      <c r="C2">
        <f>BDH("MSCI US Equity","BS_TOT_LIAB2","1993-06-18","2026-05-02","Per=Y","Days=T","Dir=V")</f>
        <v>0</v>
      </c>
      <c r="E2">
        <f>BDH("MSCI US Equity","SHORT_AND_LONG_TERM_DEBT","1993-06-18","2026-05-02","Per=Y","Days=T","Dir=V")</f>
        <v>0</v>
      </c>
      <c r="G2">
        <f>BDH("MSCI US Equity","BS_ST_BORROW","1993-06-18","2026-05-02","Per=Y","Days=T","Dir=V")</f>
        <v>0</v>
      </c>
      <c r="I2">
        <f>BDH("MSCI US Equity","BS_LT_BORROW","1993-06-18","2026-05-02","Per=Y","Days=T","Dir=V")</f>
        <v>0</v>
      </c>
      <c r="K2">
        <f>BDH("MSCI US Equity","BS_CASH_NEAR_CASH_ITEM","1993-06-18","2026-05-02","Per=Y","Days=T","Dir=V")</f>
        <v>0</v>
      </c>
      <c r="M2">
        <f>BDH("MSCI US Equity","BS_CUR_ASSET_REPORT","1993-06-18","2026-05-02","Per=Y","Days=T","Dir=V")</f>
        <v>0</v>
      </c>
      <c r="O2">
        <f>BDH("MSCI US Equity","BS_CUR_LIAB","1993-06-18","2026-05-02","Per=Y","Days=T","Dir=V")</f>
        <v>0</v>
      </c>
      <c r="Q2">
        <f>BDH("MSCI US Equity","BS_SHAREHOLDER_EQY_ENDING_PERIOD","1993-06-18","2026-05-02","Per=Y","Days=T","Dir=V")</f>
        <v>0</v>
      </c>
      <c r="S2">
        <f>BDH("MSCI US Equity","BS_ACCT_NOTE_RCV","1993-06-18","2026-05-02","Per=Y","Days=T","Dir=V")</f>
        <v>0</v>
      </c>
      <c r="U2">
        <f>BDH("MSCI US Equity","BS_INVENTORIES","1993-06-18","2026-05-02","Per=Y","Days=T","Dir=V")</f>
        <v>0</v>
      </c>
      <c r="W2">
        <f>BDH("MSCI US Equity","WORKING_CAPITAL","1993-06-18","2026-05-02","Per=Y","Days=T","Dir=V")</f>
        <v>0</v>
      </c>
      <c r="Y2">
        <f>BDH("MSCI US Equity","SALES_REV_TURN","1993-06-18","2026-05-02","Per=Y","Days=T","Dir=V")</f>
        <v>0</v>
      </c>
      <c r="AA2">
        <f>BDH("MSCI US Equity","EBIT","1993-06-18","2026-05-02","Per=Y","Days=T","Dir=V")</f>
        <v>0</v>
      </c>
      <c r="AC2">
        <f>BDH("MSCI US Equity","EBITDA","1993-06-18","2026-05-02","Per=Y","Days=T","Dir=V")</f>
        <v>0</v>
      </c>
      <c r="AE2">
        <f>BDH("MSCI US Equity","NET_INCOME","1993-06-18","2026-05-02","Per=Y","Days=T","Dir=V")</f>
        <v>0</v>
      </c>
      <c r="AG2">
        <f>BDH("MSCI US Equity","IS_INT_EXPENSE","1993-06-18","2026-05-02","Per=Y","Days=T","Dir=V")</f>
        <v>0</v>
      </c>
      <c r="AI2">
        <f>BDH("MSCI US Equity","IS_DEPR_EXP","1993-06-18","2026-05-02","Per=Y","Days=T","Dir=V")</f>
        <v>0</v>
      </c>
      <c r="AK2">
        <f>BDH("MSCI US Equity","CF_CASH_FROM_OPER","1993-06-18","2026-05-02","Per=Y","Days=T","Dir=V")</f>
        <v>0</v>
      </c>
      <c r="AM2">
        <f>BDH("MSCI US Equity","CAPITAL_EXPEND","1993-06-18","2026-05-02","Per=Y","Days=T","Dir=V")</f>
        <v>0</v>
      </c>
      <c r="AO2">
        <f>BDH("MSCI US Equity","CF_FREE_CASH_FLOW","1993-06-18","2026-05-02","Per=Y","Days=T","Dir=V")</f>
        <v>0</v>
      </c>
      <c r="AQ2">
        <f>BDH("MSCI US Equity","PX_LAST","1993-06-18","2026-05-02","Per=M","Days=T","Dir=V")</f>
        <v>0</v>
      </c>
      <c r="AS2">
        <f>BDH("MSCI US Equity","CUR_MKT_CAP","1993-06-18","2026-05-02","Per=M","Days=T","Dir=V")</f>
        <v>0</v>
      </c>
      <c r="AU2">
        <f>BDH("MSCI US Equity","EQY_SH_OUT","1993-06-18","2026-05-02","Per=M","Days=T","Dir=V")</f>
        <v>0</v>
      </c>
      <c r="AW2">
        <f>BDH("MSCI US Equity","PX_VOLUME","1993-06-18","2026-05-02","Per=M","Days=T","Dir=V")</f>
        <v>0</v>
      </c>
      <c r="AY2">
        <f>BDH("MSCI US Equity","TURNOVER","1993-06-18","2026-05-02","Per=M","Days=T","Dir=V")</f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BDH("MSEX US Equity","BS_TOT_ASSET","1993-06-18","2026-05-02","Per=Y","Days=T","Dir=V")</f>
        <v>0</v>
      </c>
      <c r="C2">
        <f>BDH("MSEX US Equity","BS_TOT_LIAB2","1993-06-18","2026-05-02","Per=Y","Days=T","Dir=V")</f>
        <v>0</v>
      </c>
      <c r="E2">
        <f>BDH("MSEX US Equity","SHORT_AND_LONG_TERM_DEBT","1993-06-18","2026-05-02","Per=Y","Days=T","Dir=V")</f>
        <v>0</v>
      </c>
      <c r="G2">
        <f>BDH("MSEX US Equity","BS_ST_BORROW","1993-06-18","2026-05-02","Per=Y","Days=T","Dir=V")</f>
        <v>0</v>
      </c>
      <c r="I2">
        <f>BDH("MSEX US Equity","BS_LT_BORROW","1993-06-18","2026-05-02","Per=Y","Days=T","Dir=V")</f>
        <v>0</v>
      </c>
      <c r="K2">
        <f>BDH("MSEX US Equity","BS_CASH_NEAR_CASH_ITEM","1993-06-18","2026-05-02","Per=Y","Days=T","Dir=V")</f>
        <v>0</v>
      </c>
      <c r="M2">
        <f>BDH("MSEX US Equity","BS_CUR_ASSET_REPORT","1993-06-18","2026-05-02","Per=Y","Days=T","Dir=V")</f>
        <v>0</v>
      </c>
      <c r="O2">
        <f>BDH("MSEX US Equity","BS_CUR_LIAB","1993-06-18","2026-05-02","Per=Y","Days=T","Dir=V")</f>
        <v>0</v>
      </c>
      <c r="Q2">
        <f>BDH("MSEX US Equity","BS_SHAREHOLDER_EQY_ENDING_PERIOD","1993-06-18","2026-05-02","Per=Y","Days=T","Dir=V")</f>
        <v>0</v>
      </c>
      <c r="S2">
        <f>BDH("MSEX US Equity","BS_ACCT_NOTE_RCV","1993-06-18","2026-05-02","Per=Y","Days=T","Dir=V")</f>
        <v>0</v>
      </c>
      <c r="U2">
        <f>BDH("MSEX US Equity","BS_INVENTORIES","1993-06-18","2026-05-02","Per=Y","Days=T","Dir=V")</f>
        <v>0</v>
      </c>
      <c r="W2">
        <f>BDH("MSEX US Equity","WORKING_CAPITAL","1993-06-18","2026-05-02","Per=Y","Days=T","Dir=V")</f>
        <v>0</v>
      </c>
      <c r="Y2">
        <f>BDH("MSEX US Equity","SALES_REV_TURN","1993-06-18","2026-05-02","Per=Y","Days=T","Dir=V")</f>
        <v>0</v>
      </c>
      <c r="AA2">
        <f>BDH("MSEX US Equity","EBIT","1993-06-18","2026-05-02","Per=Y","Days=T","Dir=V")</f>
        <v>0</v>
      </c>
      <c r="AC2">
        <f>BDH("MSEX US Equity","EBITDA","1993-06-18","2026-05-02","Per=Y","Days=T","Dir=V")</f>
        <v>0</v>
      </c>
      <c r="AE2">
        <f>BDH("MSEX US Equity","NET_INCOME","1993-06-18","2026-05-02","Per=Y","Days=T","Dir=V")</f>
        <v>0</v>
      </c>
      <c r="AG2">
        <f>BDH("MSEX US Equity","IS_INT_EXPENSE","1993-06-18","2026-05-02","Per=Y","Days=T","Dir=V")</f>
        <v>0</v>
      </c>
      <c r="AI2">
        <f>BDH("MSEX US Equity","IS_DEPR_EXP","1993-06-18","2026-05-02","Per=Y","Days=T","Dir=V")</f>
        <v>0</v>
      </c>
      <c r="AK2">
        <f>BDH("MSEX US Equity","CF_CASH_FROM_OPER","1993-06-18","2026-05-02","Per=Y","Days=T","Dir=V")</f>
        <v>0</v>
      </c>
      <c r="AM2">
        <f>BDH("MSEX US Equity","CAPITAL_EXPEND","1993-06-18","2026-05-02","Per=Y","Days=T","Dir=V")</f>
        <v>0</v>
      </c>
      <c r="AO2">
        <f>BDH("MSEX US Equity","CF_FREE_CASH_FLOW","1993-06-18","2026-05-02","Per=Y","Days=T","Dir=V")</f>
        <v>0</v>
      </c>
      <c r="AQ2">
        <f>BDH("MSEX US Equity","PX_LAST","1993-06-18","2026-05-02","Per=M","Days=T","Dir=V")</f>
        <v>0</v>
      </c>
      <c r="AS2">
        <f>BDH("MSEX US Equity","CUR_MKT_CAP","1993-06-18","2026-05-02","Per=M","Days=T","Dir=V")</f>
        <v>0</v>
      </c>
      <c r="AU2">
        <f>BDH("MSEX US Equity","EQY_SH_OUT","1993-06-18","2026-05-02","Per=M","Days=T","Dir=V")</f>
        <v>0</v>
      </c>
      <c r="AW2">
        <f>BDH("MSEX US Equity","PX_VOLUME","1993-06-18","2026-05-02","Per=M","Days=T","Dir=V")</f>
        <v>0</v>
      </c>
      <c r="AY2">
        <f>BDH("MSEX US Equity","TURNOVER","1993-06-18","2026-05-02","Per=M","Days=T","Dir=V")</f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BDH("MSFT US Equity","BS_TOT_ASSET","1993-06-18","2026-05-02","Per=Y","Days=T","Dir=V")</f>
        <v>0</v>
      </c>
      <c r="C2">
        <f>BDH("MSFT US Equity","BS_TOT_LIAB2","1993-06-18","2026-05-02","Per=Y","Days=T","Dir=V")</f>
        <v>0</v>
      </c>
      <c r="E2">
        <f>BDH("MSFT US Equity","SHORT_AND_LONG_TERM_DEBT","1993-06-18","2026-05-02","Per=Y","Days=T","Dir=V")</f>
        <v>0</v>
      </c>
      <c r="G2">
        <f>BDH("MSFT US Equity","BS_ST_BORROW","1993-06-18","2026-05-02","Per=Y","Days=T","Dir=V")</f>
        <v>0</v>
      </c>
      <c r="I2">
        <f>BDH("MSFT US Equity","BS_LT_BORROW","1993-06-18","2026-05-02","Per=Y","Days=T","Dir=V")</f>
        <v>0</v>
      </c>
      <c r="K2">
        <f>BDH("MSFT US Equity","BS_CASH_NEAR_CASH_ITEM","1993-06-18","2026-05-02","Per=Y","Days=T","Dir=V")</f>
        <v>0</v>
      </c>
      <c r="M2">
        <f>BDH("MSFT US Equity","BS_CUR_ASSET_REPORT","1993-06-18","2026-05-02","Per=Y","Days=T","Dir=V")</f>
        <v>0</v>
      </c>
      <c r="O2">
        <f>BDH("MSFT US Equity","BS_CUR_LIAB","1993-06-18","2026-05-02","Per=Y","Days=T","Dir=V")</f>
        <v>0</v>
      </c>
      <c r="Q2">
        <f>BDH("MSFT US Equity","BS_SHAREHOLDER_EQY_ENDING_PERIOD","1993-06-18","2026-05-02","Per=Y","Days=T","Dir=V")</f>
        <v>0</v>
      </c>
      <c r="S2">
        <f>BDH("MSFT US Equity","BS_ACCT_NOTE_RCV","1993-06-18","2026-05-02","Per=Y","Days=T","Dir=V")</f>
        <v>0</v>
      </c>
      <c r="U2">
        <f>BDH("MSFT US Equity","BS_INVENTORIES","1993-06-18","2026-05-02","Per=Y","Days=T","Dir=V")</f>
        <v>0</v>
      </c>
      <c r="W2">
        <f>BDH("MSFT US Equity","WORKING_CAPITAL","1993-06-18","2026-05-02","Per=Y","Days=T","Dir=V")</f>
        <v>0</v>
      </c>
      <c r="Y2">
        <f>BDH("MSFT US Equity","SALES_REV_TURN","1993-06-18","2026-05-02","Per=Y","Days=T","Dir=V")</f>
        <v>0</v>
      </c>
      <c r="AA2">
        <f>BDH("MSFT US Equity","EBIT","1993-06-18","2026-05-02","Per=Y","Days=T","Dir=V")</f>
        <v>0</v>
      </c>
      <c r="AC2">
        <f>BDH("MSFT US Equity","EBITDA","1993-06-18","2026-05-02","Per=Y","Days=T","Dir=V")</f>
        <v>0</v>
      </c>
      <c r="AE2">
        <f>BDH("MSFT US Equity","NET_INCOME","1993-06-18","2026-05-02","Per=Y","Days=T","Dir=V")</f>
        <v>0</v>
      </c>
      <c r="AG2">
        <f>BDH("MSFT US Equity","IS_INT_EXPENSE","1993-06-18","2026-05-02","Per=Y","Days=T","Dir=V")</f>
        <v>0</v>
      </c>
      <c r="AI2">
        <f>BDH("MSFT US Equity","IS_DEPR_EXP","1993-06-18","2026-05-02","Per=Y","Days=T","Dir=V")</f>
        <v>0</v>
      </c>
      <c r="AK2">
        <f>BDH("MSFT US Equity","CF_CASH_FROM_OPER","1993-06-18","2026-05-02","Per=Y","Days=T","Dir=V")</f>
        <v>0</v>
      </c>
      <c r="AM2">
        <f>BDH("MSFT US Equity","CAPITAL_EXPEND","1993-06-18","2026-05-02","Per=Y","Days=T","Dir=V")</f>
        <v>0</v>
      </c>
      <c r="AO2">
        <f>BDH("MSFT US Equity","CF_FREE_CASH_FLOW","1993-06-18","2026-05-02","Per=Y","Days=T","Dir=V")</f>
        <v>0</v>
      </c>
      <c r="AQ2">
        <f>BDH("MSFT US Equity","PX_LAST","1993-06-18","2026-05-02","Per=M","Days=T","Dir=V")</f>
        <v>0</v>
      </c>
      <c r="AS2">
        <f>BDH("MSFT US Equity","CUR_MKT_CAP","1993-06-18","2026-05-02","Per=M","Days=T","Dir=V")</f>
        <v>0</v>
      </c>
      <c r="AU2">
        <f>BDH("MSFT US Equity","EQY_SH_OUT","1993-06-18","2026-05-02","Per=M","Days=T","Dir=V")</f>
        <v>0</v>
      </c>
      <c r="AW2">
        <f>BDH("MSFT US Equity","PX_VOLUME","1993-06-18","2026-05-02","Per=M","Days=T","Dir=V")</f>
        <v>0</v>
      </c>
      <c r="AY2">
        <f>BDH("MSFT US Equity","TURNOVER","1993-06-18","2026-05-02","Per=M","Days=T","Dir=V")</f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BDH("MSGE US Equity","BS_TOT_ASSET","1993-06-18","2026-05-02","Per=Y","Days=T","Dir=V")</f>
        <v>0</v>
      </c>
      <c r="C2">
        <f>BDH("MSGE US Equity","BS_TOT_LIAB2","1993-06-18","2026-05-02","Per=Y","Days=T","Dir=V")</f>
        <v>0</v>
      </c>
      <c r="E2">
        <f>BDH("MSGE US Equity","SHORT_AND_LONG_TERM_DEBT","1993-06-18","2026-05-02","Per=Y","Days=T","Dir=V")</f>
        <v>0</v>
      </c>
      <c r="G2">
        <f>BDH("MSGE US Equity","BS_ST_BORROW","1993-06-18","2026-05-02","Per=Y","Days=T","Dir=V")</f>
        <v>0</v>
      </c>
      <c r="I2">
        <f>BDH("MSGE US Equity","BS_LT_BORROW","1993-06-18","2026-05-02","Per=Y","Days=T","Dir=V")</f>
        <v>0</v>
      </c>
      <c r="K2">
        <f>BDH("MSGE US Equity","BS_CASH_NEAR_CASH_ITEM","1993-06-18","2026-05-02","Per=Y","Days=T","Dir=V")</f>
        <v>0</v>
      </c>
      <c r="M2">
        <f>BDH("MSGE US Equity","BS_CUR_ASSET_REPORT","1993-06-18","2026-05-02","Per=Y","Days=T","Dir=V")</f>
        <v>0</v>
      </c>
      <c r="O2">
        <f>BDH("MSGE US Equity","BS_CUR_LIAB","1993-06-18","2026-05-02","Per=Y","Days=T","Dir=V")</f>
        <v>0</v>
      </c>
      <c r="Q2">
        <f>BDH("MSGE US Equity","BS_SHAREHOLDER_EQY_ENDING_PERIOD","1993-06-18","2026-05-02","Per=Y","Days=T","Dir=V")</f>
        <v>0</v>
      </c>
      <c r="S2">
        <f>BDH("MSGE US Equity","BS_ACCT_NOTE_RCV","1993-06-18","2026-05-02","Per=Y","Days=T","Dir=V")</f>
        <v>0</v>
      </c>
      <c r="U2">
        <f>BDH("MSGE US Equity","BS_INVENTORIES","1993-06-18","2026-05-02","Per=Y","Days=T","Dir=V")</f>
        <v>0</v>
      </c>
      <c r="W2">
        <f>BDH("MSGE US Equity","WORKING_CAPITAL","1993-06-18","2026-05-02","Per=Y","Days=T","Dir=V")</f>
        <v>0</v>
      </c>
      <c r="Y2">
        <f>BDH("MSGE US Equity","SALES_REV_TURN","1993-06-18","2026-05-02","Per=Y","Days=T","Dir=V")</f>
        <v>0</v>
      </c>
      <c r="AA2">
        <f>BDH("MSGE US Equity","EBIT","1993-06-18","2026-05-02","Per=Y","Days=T","Dir=V")</f>
        <v>0</v>
      </c>
      <c r="AC2">
        <f>BDH("MSGE US Equity","EBITDA","1993-06-18","2026-05-02","Per=Y","Days=T","Dir=V")</f>
        <v>0</v>
      </c>
      <c r="AE2">
        <f>BDH("MSGE US Equity","NET_INCOME","1993-06-18","2026-05-02","Per=Y","Days=T","Dir=V")</f>
        <v>0</v>
      </c>
      <c r="AG2">
        <f>BDH("MSGE US Equity","IS_INT_EXPENSE","1993-06-18","2026-05-02","Per=Y","Days=T","Dir=V")</f>
        <v>0</v>
      </c>
      <c r="AI2">
        <f>BDH("MSGE US Equity","IS_DEPR_EXP","1993-06-18","2026-05-02","Per=Y","Days=T","Dir=V")</f>
        <v>0</v>
      </c>
      <c r="AK2">
        <f>BDH("MSGE US Equity","CF_CASH_FROM_OPER","1993-06-18","2026-05-02","Per=Y","Days=T","Dir=V")</f>
        <v>0</v>
      </c>
      <c r="AM2">
        <f>BDH("MSGE US Equity","CAPITAL_EXPEND","1993-06-18","2026-05-02","Per=Y","Days=T","Dir=V")</f>
        <v>0</v>
      </c>
      <c r="AO2">
        <f>BDH("MSGE US Equity","CF_FREE_CASH_FLOW","1993-06-18","2026-05-02","Per=Y","Days=T","Dir=V")</f>
        <v>0</v>
      </c>
      <c r="AQ2">
        <f>BDH("MSGE US Equity","PX_LAST","1993-06-18","2026-05-02","Per=M","Days=T","Dir=V")</f>
        <v>0</v>
      </c>
      <c r="AS2">
        <f>BDH("MSGE US Equity","CUR_MKT_CAP","1993-06-18","2026-05-02","Per=M","Days=T","Dir=V")</f>
        <v>0</v>
      </c>
      <c r="AU2">
        <f>BDH("MSGE US Equity","EQY_SH_OUT","1993-06-18","2026-05-02","Per=M","Days=T","Dir=V")</f>
        <v>0</v>
      </c>
      <c r="AW2">
        <f>BDH("MSGE US Equity","PX_VOLUME","1993-06-18","2026-05-02","Per=M","Days=T","Dir=V")</f>
        <v>0</v>
      </c>
      <c r="AY2">
        <f>BDH("MSGE US Equity","TURNOVER","1993-06-18","2026-05-02","Per=M","Days=T","Dir=V")</f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BDH("MSGM US Equity","BS_TOT_ASSET","1993-06-18","2026-05-02","Per=Y","Days=T","Dir=V")</f>
        <v>0</v>
      </c>
      <c r="C2">
        <f>BDH("MSGM US Equity","BS_TOT_LIAB2","1993-06-18","2026-05-02","Per=Y","Days=T","Dir=V")</f>
        <v>0</v>
      </c>
      <c r="E2">
        <f>BDH("MSGM US Equity","SHORT_AND_LONG_TERM_DEBT","1993-06-18","2026-05-02","Per=Y","Days=T","Dir=V")</f>
        <v>0</v>
      </c>
      <c r="G2">
        <f>BDH("MSGM US Equity","BS_ST_BORROW","1993-06-18","2026-05-02","Per=Y","Days=T","Dir=V")</f>
        <v>0</v>
      </c>
      <c r="I2">
        <f>BDH("MSGM US Equity","BS_LT_BORROW","1993-06-18","2026-05-02","Per=Y","Days=T","Dir=V")</f>
        <v>0</v>
      </c>
      <c r="K2">
        <f>BDH("MSGM US Equity","BS_CASH_NEAR_CASH_ITEM","1993-06-18","2026-05-02","Per=Y","Days=T","Dir=V")</f>
        <v>0</v>
      </c>
      <c r="M2">
        <f>BDH("MSGM US Equity","BS_CUR_ASSET_REPORT","1993-06-18","2026-05-02","Per=Y","Days=T","Dir=V")</f>
        <v>0</v>
      </c>
      <c r="O2">
        <f>BDH("MSGM US Equity","BS_CUR_LIAB","1993-06-18","2026-05-02","Per=Y","Days=T","Dir=V")</f>
        <v>0</v>
      </c>
      <c r="Q2">
        <f>BDH("MSGM US Equity","BS_SHAREHOLDER_EQY_ENDING_PERIOD","1993-06-18","2026-05-02","Per=Y","Days=T","Dir=V")</f>
        <v>0</v>
      </c>
      <c r="S2">
        <f>BDH("MSGM US Equity","BS_ACCT_NOTE_RCV","1993-06-18","2026-05-02","Per=Y","Days=T","Dir=V")</f>
        <v>0</v>
      </c>
      <c r="U2">
        <f>BDH("MSGM US Equity","BS_INVENTORIES","1993-06-18","2026-05-02","Per=Y","Days=T","Dir=V")</f>
        <v>0</v>
      </c>
      <c r="W2">
        <f>BDH("MSGM US Equity","WORKING_CAPITAL","1993-06-18","2026-05-02","Per=Y","Days=T","Dir=V")</f>
        <v>0</v>
      </c>
      <c r="Y2">
        <f>BDH("MSGM US Equity","SALES_REV_TURN","1993-06-18","2026-05-02","Per=Y","Days=T","Dir=V")</f>
        <v>0</v>
      </c>
      <c r="AA2">
        <f>BDH("MSGM US Equity","EBIT","1993-06-18","2026-05-02","Per=Y","Days=T","Dir=V")</f>
        <v>0</v>
      </c>
      <c r="AC2">
        <f>BDH("MSGM US Equity","EBITDA","1993-06-18","2026-05-02","Per=Y","Days=T","Dir=V")</f>
        <v>0</v>
      </c>
      <c r="AE2">
        <f>BDH("MSGM US Equity","NET_INCOME","1993-06-18","2026-05-02","Per=Y","Days=T","Dir=V")</f>
        <v>0</v>
      </c>
      <c r="AG2">
        <f>BDH("MSGM US Equity","IS_INT_EXPENSE","1993-06-18","2026-05-02","Per=Y","Days=T","Dir=V")</f>
        <v>0</v>
      </c>
      <c r="AI2">
        <f>BDH("MSGM US Equity","IS_DEPR_EXP","1993-06-18","2026-05-02","Per=Y","Days=T","Dir=V")</f>
        <v>0</v>
      </c>
      <c r="AK2">
        <f>BDH("MSGM US Equity","CF_CASH_FROM_OPER","1993-06-18","2026-05-02","Per=Y","Days=T","Dir=V")</f>
        <v>0</v>
      </c>
      <c r="AM2">
        <f>BDH("MSGM US Equity","CAPITAL_EXPEND","1993-06-18","2026-05-02","Per=Y","Days=T","Dir=V")</f>
        <v>0</v>
      </c>
      <c r="AO2">
        <f>BDH("MSGM US Equity","CF_FREE_CASH_FLOW","1993-06-18","2026-05-02","Per=Y","Days=T","Dir=V")</f>
        <v>0</v>
      </c>
      <c r="AQ2">
        <f>BDH("MSGM US Equity","PX_LAST","1993-06-18","2026-05-02","Per=M","Days=T","Dir=V")</f>
        <v>0</v>
      </c>
      <c r="AS2">
        <f>BDH("MSGM US Equity","CUR_MKT_CAP","1993-06-18","2026-05-02","Per=M","Days=T","Dir=V")</f>
        <v>0</v>
      </c>
      <c r="AU2">
        <f>BDH("MSGM US Equity","EQY_SH_OUT","1993-06-18","2026-05-02","Per=M","Days=T","Dir=V")</f>
        <v>0</v>
      </c>
      <c r="AW2">
        <f>BDH("MSGM US Equity","PX_VOLUME","1993-06-18","2026-05-02","Per=M","Days=T","Dir=V")</f>
        <v>0</v>
      </c>
      <c r="AY2">
        <f>BDH("MSGM US Equity","TURNOVER","1993-06-18","2026-05-02","Per=M","Days=T","Dir=V")</f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BDH("MSGS US Equity","BS_TOT_ASSET","1993-06-18","2026-05-02","Per=Y","Days=T","Dir=V")</f>
        <v>0</v>
      </c>
      <c r="C2">
        <f>BDH("MSGS US Equity","BS_TOT_LIAB2","1993-06-18","2026-05-02","Per=Y","Days=T","Dir=V")</f>
        <v>0</v>
      </c>
      <c r="E2">
        <f>BDH("MSGS US Equity","SHORT_AND_LONG_TERM_DEBT","1993-06-18","2026-05-02","Per=Y","Days=T","Dir=V")</f>
        <v>0</v>
      </c>
      <c r="G2">
        <f>BDH("MSGS US Equity","BS_ST_BORROW","1993-06-18","2026-05-02","Per=Y","Days=T","Dir=V")</f>
        <v>0</v>
      </c>
      <c r="I2">
        <f>BDH("MSGS US Equity","BS_LT_BORROW","1993-06-18","2026-05-02","Per=Y","Days=T","Dir=V")</f>
        <v>0</v>
      </c>
      <c r="K2">
        <f>BDH("MSGS US Equity","BS_CASH_NEAR_CASH_ITEM","1993-06-18","2026-05-02","Per=Y","Days=T","Dir=V")</f>
        <v>0</v>
      </c>
      <c r="M2">
        <f>BDH("MSGS US Equity","BS_CUR_ASSET_REPORT","1993-06-18","2026-05-02","Per=Y","Days=T","Dir=V")</f>
        <v>0</v>
      </c>
      <c r="O2">
        <f>BDH("MSGS US Equity","BS_CUR_LIAB","1993-06-18","2026-05-02","Per=Y","Days=T","Dir=V")</f>
        <v>0</v>
      </c>
      <c r="Q2">
        <f>BDH("MSGS US Equity","BS_SHAREHOLDER_EQY_ENDING_PERIOD","1993-06-18","2026-05-02","Per=Y","Days=T","Dir=V")</f>
        <v>0</v>
      </c>
      <c r="S2">
        <f>BDH("MSGS US Equity","BS_ACCT_NOTE_RCV","1993-06-18","2026-05-02","Per=Y","Days=T","Dir=V")</f>
        <v>0</v>
      </c>
      <c r="U2">
        <f>BDH("MSGS US Equity","BS_INVENTORIES","1993-06-18","2026-05-02","Per=Y","Days=T","Dir=V")</f>
        <v>0</v>
      </c>
      <c r="W2">
        <f>BDH("MSGS US Equity","WORKING_CAPITAL","1993-06-18","2026-05-02","Per=Y","Days=T","Dir=V")</f>
        <v>0</v>
      </c>
      <c r="Y2">
        <f>BDH("MSGS US Equity","SALES_REV_TURN","1993-06-18","2026-05-02","Per=Y","Days=T","Dir=V")</f>
        <v>0</v>
      </c>
      <c r="AA2">
        <f>BDH("MSGS US Equity","EBIT","1993-06-18","2026-05-02","Per=Y","Days=T","Dir=V")</f>
        <v>0</v>
      </c>
      <c r="AC2">
        <f>BDH("MSGS US Equity","EBITDA","1993-06-18","2026-05-02","Per=Y","Days=T","Dir=V")</f>
        <v>0</v>
      </c>
      <c r="AE2">
        <f>BDH("MSGS US Equity","NET_INCOME","1993-06-18","2026-05-02","Per=Y","Days=T","Dir=V")</f>
        <v>0</v>
      </c>
      <c r="AG2">
        <f>BDH("MSGS US Equity","IS_INT_EXPENSE","1993-06-18","2026-05-02","Per=Y","Days=T","Dir=V")</f>
        <v>0</v>
      </c>
      <c r="AI2">
        <f>BDH("MSGS US Equity","IS_DEPR_EXP","1993-06-18","2026-05-02","Per=Y","Days=T","Dir=V")</f>
        <v>0</v>
      </c>
      <c r="AK2">
        <f>BDH("MSGS US Equity","CF_CASH_FROM_OPER","1993-06-18","2026-05-02","Per=Y","Days=T","Dir=V")</f>
        <v>0</v>
      </c>
      <c r="AM2">
        <f>BDH("MSGS US Equity","CAPITAL_EXPEND","1993-06-18","2026-05-02","Per=Y","Days=T","Dir=V")</f>
        <v>0</v>
      </c>
      <c r="AO2">
        <f>BDH("MSGS US Equity","CF_FREE_CASH_FLOW","1993-06-18","2026-05-02","Per=Y","Days=T","Dir=V")</f>
        <v>0</v>
      </c>
      <c r="AQ2">
        <f>BDH("MSGS US Equity","PX_LAST","1993-06-18","2026-05-02","Per=M","Days=T","Dir=V")</f>
        <v>0</v>
      </c>
      <c r="AS2">
        <f>BDH("MSGS US Equity","CUR_MKT_CAP","1993-06-18","2026-05-02","Per=M","Days=T","Dir=V")</f>
        <v>0</v>
      </c>
      <c r="AU2">
        <f>BDH("MSGS US Equity","EQY_SH_OUT","1993-06-18","2026-05-02","Per=M","Days=T","Dir=V")</f>
        <v>0</v>
      </c>
      <c r="AW2">
        <f>BDH("MSGS US Equity","PX_VOLUME","1993-06-18","2026-05-02","Per=M","Days=T","Dir=V")</f>
        <v>0</v>
      </c>
      <c r="AY2">
        <f>BDH("MSGS US Equity","TURNOVER","1993-06-18","2026-05-02","Per=M","Days=T","Dir=V")</f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BDH("MSI US Equity","BS_TOT_ASSET","1993-06-18","2026-05-02","Per=Y","Days=T","Dir=V")</f>
        <v>0</v>
      </c>
      <c r="C2">
        <f>BDH("MSI US Equity","BS_TOT_LIAB2","1993-06-18","2026-05-02","Per=Y","Days=T","Dir=V")</f>
        <v>0</v>
      </c>
      <c r="E2">
        <f>BDH("MSI US Equity","SHORT_AND_LONG_TERM_DEBT","1993-06-18","2026-05-02","Per=Y","Days=T","Dir=V")</f>
        <v>0</v>
      </c>
      <c r="G2">
        <f>BDH("MSI US Equity","BS_ST_BORROW","1993-06-18","2026-05-02","Per=Y","Days=T","Dir=V")</f>
        <v>0</v>
      </c>
      <c r="I2">
        <f>BDH("MSI US Equity","BS_LT_BORROW","1993-06-18","2026-05-02","Per=Y","Days=T","Dir=V")</f>
        <v>0</v>
      </c>
      <c r="K2">
        <f>BDH("MSI US Equity","BS_CASH_NEAR_CASH_ITEM","1993-06-18","2026-05-02","Per=Y","Days=T","Dir=V")</f>
        <v>0</v>
      </c>
      <c r="M2">
        <f>BDH("MSI US Equity","BS_CUR_ASSET_REPORT","1993-06-18","2026-05-02","Per=Y","Days=T","Dir=V")</f>
        <v>0</v>
      </c>
      <c r="O2">
        <f>BDH("MSI US Equity","BS_CUR_LIAB","1993-06-18","2026-05-02","Per=Y","Days=T","Dir=V")</f>
        <v>0</v>
      </c>
      <c r="Q2">
        <f>BDH("MSI US Equity","BS_SHAREHOLDER_EQY_ENDING_PERIOD","1993-06-18","2026-05-02","Per=Y","Days=T","Dir=V")</f>
        <v>0</v>
      </c>
      <c r="S2">
        <f>BDH("MSI US Equity","BS_ACCT_NOTE_RCV","1993-06-18","2026-05-02","Per=Y","Days=T","Dir=V")</f>
        <v>0</v>
      </c>
      <c r="U2">
        <f>BDH("MSI US Equity","BS_INVENTORIES","1993-06-18","2026-05-02","Per=Y","Days=T","Dir=V")</f>
        <v>0</v>
      </c>
      <c r="W2">
        <f>BDH("MSI US Equity","WORKING_CAPITAL","1993-06-18","2026-05-02","Per=Y","Days=T","Dir=V")</f>
        <v>0</v>
      </c>
      <c r="Y2">
        <f>BDH("MSI US Equity","SALES_REV_TURN","1993-06-18","2026-05-02","Per=Y","Days=T","Dir=V")</f>
        <v>0</v>
      </c>
      <c r="AA2">
        <f>BDH("MSI US Equity","EBIT","1993-06-18","2026-05-02","Per=Y","Days=T","Dir=V")</f>
        <v>0</v>
      </c>
      <c r="AC2">
        <f>BDH("MSI US Equity","EBITDA","1993-06-18","2026-05-02","Per=Y","Days=T","Dir=V")</f>
        <v>0</v>
      </c>
      <c r="AE2">
        <f>BDH("MSI US Equity","NET_INCOME","1993-06-18","2026-05-02","Per=Y","Days=T","Dir=V")</f>
        <v>0</v>
      </c>
      <c r="AG2">
        <f>BDH("MSI US Equity","IS_INT_EXPENSE","1993-06-18","2026-05-02","Per=Y","Days=T","Dir=V")</f>
        <v>0</v>
      </c>
      <c r="AI2">
        <f>BDH("MSI US Equity","IS_DEPR_EXP","1993-06-18","2026-05-02","Per=Y","Days=T","Dir=V")</f>
        <v>0</v>
      </c>
      <c r="AK2">
        <f>BDH("MSI US Equity","CF_CASH_FROM_OPER","1993-06-18","2026-05-02","Per=Y","Days=T","Dir=V")</f>
        <v>0</v>
      </c>
      <c r="AM2">
        <f>BDH("MSI US Equity","CAPITAL_EXPEND","1993-06-18","2026-05-02","Per=Y","Days=T","Dir=V")</f>
        <v>0</v>
      </c>
      <c r="AO2">
        <f>BDH("MSI US Equity","CF_FREE_CASH_FLOW","1993-06-18","2026-05-02","Per=Y","Days=T","Dir=V")</f>
        <v>0</v>
      </c>
      <c r="AQ2">
        <f>BDH("MSI US Equity","PX_LAST","1993-06-18","2026-05-02","Per=M","Days=T","Dir=V")</f>
        <v>0</v>
      </c>
      <c r="AS2">
        <f>BDH("MSI US Equity","CUR_MKT_CAP","1993-06-18","2026-05-02","Per=M","Days=T","Dir=V")</f>
        <v>0</v>
      </c>
      <c r="AU2">
        <f>BDH("MSI US Equity","EQY_SH_OUT","1993-06-18","2026-05-02","Per=M","Days=T","Dir=V")</f>
        <v>0</v>
      </c>
      <c r="AW2">
        <f>BDH("MSI US Equity","PX_VOLUME","1993-06-18","2026-05-02","Per=M","Days=T","Dir=V")</f>
        <v>0</v>
      </c>
      <c r="AY2">
        <f>BDH("MSI US Equity","TURNOVER","1993-06-18","2026-05-02","Per=M","Days=T","Dir=V")</f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BDH("MSM US Equity","BS_TOT_ASSET","1993-06-18","2026-05-02","Per=Y","Days=T","Dir=V")</f>
        <v>0</v>
      </c>
      <c r="C2">
        <f>BDH("MSM US Equity","BS_TOT_LIAB2","1993-06-18","2026-05-02","Per=Y","Days=T","Dir=V")</f>
        <v>0</v>
      </c>
      <c r="E2">
        <f>BDH("MSM US Equity","SHORT_AND_LONG_TERM_DEBT","1993-06-18","2026-05-02","Per=Y","Days=T","Dir=V")</f>
        <v>0</v>
      </c>
      <c r="G2">
        <f>BDH("MSM US Equity","BS_ST_BORROW","1993-06-18","2026-05-02","Per=Y","Days=T","Dir=V")</f>
        <v>0</v>
      </c>
      <c r="I2">
        <f>BDH("MSM US Equity","BS_LT_BORROW","1993-06-18","2026-05-02","Per=Y","Days=T","Dir=V")</f>
        <v>0</v>
      </c>
      <c r="K2">
        <f>BDH("MSM US Equity","BS_CASH_NEAR_CASH_ITEM","1993-06-18","2026-05-02","Per=Y","Days=T","Dir=V")</f>
        <v>0</v>
      </c>
      <c r="M2">
        <f>BDH("MSM US Equity","BS_CUR_ASSET_REPORT","1993-06-18","2026-05-02","Per=Y","Days=T","Dir=V")</f>
        <v>0</v>
      </c>
      <c r="O2">
        <f>BDH("MSM US Equity","BS_CUR_LIAB","1993-06-18","2026-05-02","Per=Y","Days=T","Dir=V")</f>
        <v>0</v>
      </c>
      <c r="Q2">
        <f>BDH("MSM US Equity","BS_SHAREHOLDER_EQY_ENDING_PERIOD","1993-06-18","2026-05-02","Per=Y","Days=T","Dir=V")</f>
        <v>0</v>
      </c>
      <c r="S2">
        <f>BDH("MSM US Equity","BS_ACCT_NOTE_RCV","1993-06-18","2026-05-02","Per=Y","Days=T","Dir=V")</f>
        <v>0</v>
      </c>
      <c r="U2">
        <f>BDH("MSM US Equity","BS_INVENTORIES","1993-06-18","2026-05-02","Per=Y","Days=T","Dir=V")</f>
        <v>0</v>
      </c>
      <c r="W2">
        <f>BDH("MSM US Equity","WORKING_CAPITAL","1993-06-18","2026-05-02","Per=Y","Days=T","Dir=V")</f>
        <v>0</v>
      </c>
      <c r="Y2">
        <f>BDH("MSM US Equity","SALES_REV_TURN","1993-06-18","2026-05-02","Per=Y","Days=T","Dir=V")</f>
        <v>0</v>
      </c>
      <c r="AA2">
        <f>BDH("MSM US Equity","EBIT","1993-06-18","2026-05-02","Per=Y","Days=T","Dir=V")</f>
        <v>0</v>
      </c>
      <c r="AC2">
        <f>BDH("MSM US Equity","EBITDA","1993-06-18","2026-05-02","Per=Y","Days=T","Dir=V")</f>
        <v>0</v>
      </c>
      <c r="AE2">
        <f>BDH("MSM US Equity","NET_INCOME","1993-06-18","2026-05-02","Per=Y","Days=T","Dir=V")</f>
        <v>0</v>
      </c>
      <c r="AG2">
        <f>BDH("MSM US Equity","IS_INT_EXPENSE","1993-06-18","2026-05-02","Per=Y","Days=T","Dir=V")</f>
        <v>0</v>
      </c>
      <c r="AI2">
        <f>BDH("MSM US Equity","IS_DEPR_EXP","1993-06-18","2026-05-02","Per=Y","Days=T","Dir=V")</f>
        <v>0</v>
      </c>
      <c r="AK2">
        <f>BDH("MSM US Equity","CF_CASH_FROM_OPER","1993-06-18","2026-05-02","Per=Y","Days=T","Dir=V")</f>
        <v>0</v>
      </c>
      <c r="AM2">
        <f>BDH("MSM US Equity","CAPITAL_EXPEND","1993-06-18","2026-05-02","Per=Y","Days=T","Dir=V")</f>
        <v>0</v>
      </c>
      <c r="AO2">
        <f>BDH("MSM US Equity","CF_FREE_CASH_FLOW","1993-06-18","2026-05-02","Per=Y","Days=T","Dir=V")</f>
        <v>0</v>
      </c>
      <c r="AQ2">
        <f>BDH("MSM US Equity","PX_LAST","1993-06-18","2026-05-02","Per=M","Days=T","Dir=V")</f>
        <v>0</v>
      </c>
      <c r="AS2">
        <f>BDH("MSM US Equity","CUR_MKT_CAP","1993-06-18","2026-05-02","Per=M","Days=T","Dir=V")</f>
        <v>0</v>
      </c>
      <c r="AU2">
        <f>BDH("MSM US Equity","EQY_SH_OUT","1993-06-18","2026-05-02","Per=M","Days=T","Dir=V")</f>
        <v>0</v>
      </c>
      <c r="AW2">
        <f>BDH("MSM US Equity","PX_VOLUME","1993-06-18","2026-05-02","Per=M","Days=T","Dir=V")</f>
        <v>0</v>
      </c>
      <c r="AY2">
        <f>BDH("MSM US Equity","TURNOVER","1993-06-18","2026-05-02","Per=M","Days=T","Dir=V")</f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BDH("MSN US Equity","BS_TOT_ASSET","1993-06-18","2026-05-02","Per=Y","Days=T","Dir=V")</f>
        <v>0</v>
      </c>
      <c r="C2">
        <f>BDH("MSN US Equity","BS_TOT_LIAB2","1993-06-18","2026-05-02","Per=Y","Days=T","Dir=V")</f>
        <v>0</v>
      </c>
      <c r="E2">
        <f>BDH("MSN US Equity","SHORT_AND_LONG_TERM_DEBT","1993-06-18","2026-05-02","Per=Y","Days=T","Dir=V")</f>
        <v>0</v>
      </c>
      <c r="G2">
        <f>BDH("MSN US Equity","BS_ST_BORROW","1993-06-18","2026-05-02","Per=Y","Days=T","Dir=V")</f>
        <v>0</v>
      </c>
      <c r="I2">
        <f>BDH("MSN US Equity","BS_LT_BORROW","1993-06-18","2026-05-02","Per=Y","Days=T","Dir=V")</f>
        <v>0</v>
      </c>
      <c r="K2">
        <f>BDH("MSN US Equity","BS_CASH_NEAR_CASH_ITEM","1993-06-18","2026-05-02","Per=Y","Days=T","Dir=V")</f>
        <v>0</v>
      </c>
      <c r="M2">
        <f>BDH("MSN US Equity","BS_CUR_ASSET_REPORT","1993-06-18","2026-05-02","Per=Y","Days=T","Dir=V")</f>
        <v>0</v>
      </c>
      <c r="O2">
        <f>BDH("MSN US Equity","BS_CUR_LIAB","1993-06-18","2026-05-02","Per=Y","Days=T","Dir=V")</f>
        <v>0</v>
      </c>
      <c r="Q2">
        <f>BDH("MSN US Equity","BS_SHAREHOLDER_EQY_ENDING_PERIOD","1993-06-18","2026-05-02","Per=Y","Days=T","Dir=V")</f>
        <v>0</v>
      </c>
      <c r="S2">
        <f>BDH("MSN US Equity","BS_ACCT_NOTE_RCV","1993-06-18","2026-05-02","Per=Y","Days=T","Dir=V")</f>
        <v>0</v>
      </c>
      <c r="U2">
        <f>BDH("MSN US Equity","BS_INVENTORIES","1993-06-18","2026-05-02","Per=Y","Days=T","Dir=V")</f>
        <v>0</v>
      </c>
      <c r="W2">
        <f>BDH("MSN US Equity","WORKING_CAPITAL","1993-06-18","2026-05-02","Per=Y","Days=T","Dir=V")</f>
        <v>0</v>
      </c>
      <c r="Y2">
        <f>BDH("MSN US Equity","SALES_REV_TURN","1993-06-18","2026-05-02","Per=Y","Days=T","Dir=V")</f>
        <v>0</v>
      </c>
      <c r="AA2">
        <f>BDH("MSN US Equity","EBIT","1993-06-18","2026-05-02","Per=Y","Days=T","Dir=V")</f>
        <v>0</v>
      </c>
      <c r="AC2">
        <f>BDH("MSN US Equity","EBITDA","1993-06-18","2026-05-02","Per=Y","Days=T","Dir=V")</f>
        <v>0</v>
      </c>
      <c r="AE2">
        <f>BDH("MSN US Equity","NET_INCOME","1993-06-18","2026-05-02","Per=Y","Days=T","Dir=V")</f>
        <v>0</v>
      </c>
      <c r="AG2">
        <f>BDH("MSN US Equity","IS_INT_EXPENSE","1993-06-18","2026-05-02","Per=Y","Days=T","Dir=V")</f>
        <v>0</v>
      </c>
      <c r="AI2">
        <f>BDH("MSN US Equity","IS_DEPR_EXP","1993-06-18","2026-05-02","Per=Y","Days=T","Dir=V")</f>
        <v>0</v>
      </c>
      <c r="AK2">
        <f>BDH("MSN US Equity","CF_CASH_FROM_OPER","1993-06-18","2026-05-02","Per=Y","Days=T","Dir=V")</f>
        <v>0</v>
      </c>
      <c r="AM2">
        <f>BDH("MSN US Equity","CAPITAL_EXPEND","1993-06-18","2026-05-02","Per=Y","Days=T","Dir=V")</f>
        <v>0</v>
      </c>
      <c r="AO2">
        <f>BDH("MSN US Equity","CF_FREE_CASH_FLOW","1993-06-18","2026-05-02","Per=Y","Days=T","Dir=V")</f>
        <v>0</v>
      </c>
      <c r="AQ2">
        <f>BDH("MSN US Equity","PX_LAST","1993-06-18","2026-05-02","Per=M","Days=T","Dir=V")</f>
        <v>0</v>
      </c>
      <c r="AS2">
        <f>BDH("MSN US Equity","CUR_MKT_CAP","1993-06-18","2026-05-02","Per=M","Days=T","Dir=V")</f>
        <v>0</v>
      </c>
      <c r="AU2">
        <f>BDH("MSN US Equity","EQY_SH_OUT","1993-06-18","2026-05-02","Per=M","Days=T","Dir=V")</f>
        <v>0</v>
      </c>
      <c r="AW2">
        <f>BDH("MSN US Equity","PX_VOLUME","1993-06-18","2026-05-02","Per=M","Days=T","Dir=V")</f>
        <v>0</v>
      </c>
      <c r="AY2">
        <f>BDH("MSN US Equity","TURNOVER","1993-06-18","2026-05-02","Per=M","Days=T","Dir=V")</f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BDH("MSS US Equity","BS_TOT_ASSET","1993-06-18","2026-05-02","Per=Y","Days=T","Dir=V")</f>
        <v>0</v>
      </c>
      <c r="C2">
        <f>BDH("MSS US Equity","BS_TOT_LIAB2","1993-06-18","2026-05-02","Per=Y","Days=T","Dir=V")</f>
        <v>0</v>
      </c>
      <c r="E2">
        <f>BDH("MSS US Equity","SHORT_AND_LONG_TERM_DEBT","1993-06-18","2026-05-02","Per=Y","Days=T","Dir=V")</f>
        <v>0</v>
      </c>
      <c r="G2">
        <f>BDH("MSS US Equity","BS_ST_BORROW","1993-06-18","2026-05-02","Per=Y","Days=T","Dir=V")</f>
        <v>0</v>
      </c>
      <c r="I2">
        <f>BDH("MSS US Equity","BS_LT_BORROW","1993-06-18","2026-05-02","Per=Y","Days=T","Dir=V")</f>
        <v>0</v>
      </c>
      <c r="K2">
        <f>BDH("MSS US Equity","BS_CASH_NEAR_CASH_ITEM","1993-06-18","2026-05-02","Per=Y","Days=T","Dir=V")</f>
        <v>0</v>
      </c>
      <c r="M2">
        <f>BDH("MSS US Equity","BS_CUR_ASSET_REPORT","1993-06-18","2026-05-02","Per=Y","Days=T","Dir=V")</f>
        <v>0</v>
      </c>
      <c r="O2">
        <f>BDH("MSS US Equity","BS_CUR_LIAB","1993-06-18","2026-05-02","Per=Y","Days=T","Dir=V")</f>
        <v>0</v>
      </c>
      <c r="Q2">
        <f>BDH("MSS US Equity","BS_SHAREHOLDER_EQY_ENDING_PERIOD","1993-06-18","2026-05-02","Per=Y","Days=T","Dir=V")</f>
        <v>0</v>
      </c>
      <c r="S2">
        <f>BDH("MSS US Equity","BS_ACCT_NOTE_RCV","1993-06-18","2026-05-02","Per=Y","Days=T","Dir=V")</f>
        <v>0</v>
      </c>
      <c r="U2">
        <f>BDH("MSS US Equity","BS_INVENTORIES","1993-06-18","2026-05-02","Per=Y","Days=T","Dir=V")</f>
        <v>0</v>
      </c>
      <c r="W2">
        <f>BDH("MSS US Equity","WORKING_CAPITAL","1993-06-18","2026-05-02","Per=Y","Days=T","Dir=V")</f>
        <v>0</v>
      </c>
      <c r="Y2">
        <f>BDH("MSS US Equity","SALES_REV_TURN","1993-06-18","2026-05-02","Per=Y","Days=T","Dir=V")</f>
        <v>0</v>
      </c>
      <c r="AA2">
        <f>BDH("MSS US Equity","EBIT","1993-06-18","2026-05-02","Per=Y","Days=T","Dir=V")</f>
        <v>0</v>
      </c>
      <c r="AC2">
        <f>BDH("MSS US Equity","EBITDA","1993-06-18","2026-05-02","Per=Y","Days=T","Dir=V")</f>
        <v>0</v>
      </c>
      <c r="AE2">
        <f>BDH("MSS US Equity","NET_INCOME","1993-06-18","2026-05-02","Per=Y","Days=T","Dir=V")</f>
        <v>0</v>
      </c>
      <c r="AG2">
        <f>BDH("MSS US Equity","IS_INT_EXPENSE","1993-06-18","2026-05-02","Per=Y","Days=T","Dir=V")</f>
        <v>0</v>
      </c>
      <c r="AI2">
        <f>BDH("MSS US Equity","IS_DEPR_EXP","1993-06-18","2026-05-02","Per=Y","Days=T","Dir=V")</f>
        <v>0</v>
      </c>
      <c r="AK2">
        <f>BDH("MSS US Equity","CF_CASH_FROM_OPER","1993-06-18","2026-05-02","Per=Y","Days=T","Dir=V")</f>
        <v>0</v>
      </c>
      <c r="AM2">
        <f>BDH("MSS US Equity","CAPITAL_EXPEND","1993-06-18","2026-05-02","Per=Y","Days=T","Dir=V")</f>
        <v>0</v>
      </c>
      <c r="AO2">
        <f>BDH("MSS US Equity","CF_FREE_CASH_FLOW","1993-06-18","2026-05-02","Per=Y","Days=T","Dir=V")</f>
        <v>0</v>
      </c>
      <c r="AQ2">
        <f>BDH("MSS US Equity","PX_LAST","1993-06-18","2026-05-02","Per=M","Days=T","Dir=V")</f>
        <v>0</v>
      </c>
      <c r="AS2">
        <f>BDH("MSS US Equity","CUR_MKT_CAP","1993-06-18","2026-05-02","Per=M","Days=T","Dir=V")</f>
        <v>0</v>
      </c>
      <c r="AU2">
        <f>BDH("MSS US Equity","EQY_SH_OUT","1993-06-18","2026-05-02","Per=M","Days=T","Dir=V")</f>
        <v>0</v>
      </c>
      <c r="AW2">
        <f>BDH("MSS US Equity","PX_VOLUME","1993-06-18","2026-05-02","Per=M","Days=T","Dir=V")</f>
        <v>0</v>
      </c>
      <c r="AY2">
        <f>BDH("MSS US Equity","TURNOVER","1993-06-18","2026-05-02","Per=M","Days=T","Dir=V")</f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BDH("MSTR US Equity","BS_TOT_ASSET","1993-06-18","2026-05-02","Per=Y","Days=T","Dir=V")</f>
        <v>0</v>
      </c>
      <c r="C2">
        <f>BDH("MSTR US Equity","BS_TOT_LIAB2","1993-06-18","2026-05-02","Per=Y","Days=T","Dir=V")</f>
        <v>0</v>
      </c>
      <c r="E2">
        <f>BDH("MSTR US Equity","SHORT_AND_LONG_TERM_DEBT","1993-06-18","2026-05-02","Per=Y","Days=T","Dir=V")</f>
        <v>0</v>
      </c>
      <c r="G2">
        <f>BDH("MSTR US Equity","BS_ST_BORROW","1993-06-18","2026-05-02","Per=Y","Days=T","Dir=V")</f>
        <v>0</v>
      </c>
      <c r="I2">
        <f>BDH("MSTR US Equity","BS_LT_BORROW","1993-06-18","2026-05-02","Per=Y","Days=T","Dir=V")</f>
        <v>0</v>
      </c>
      <c r="K2">
        <f>BDH("MSTR US Equity","BS_CASH_NEAR_CASH_ITEM","1993-06-18","2026-05-02","Per=Y","Days=T","Dir=V")</f>
        <v>0</v>
      </c>
      <c r="M2">
        <f>BDH("MSTR US Equity","BS_CUR_ASSET_REPORT","1993-06-18","2026-05-02","Per=Y","Days=T","Dir=V")</f>
        <v>0</v>
      </c>
      <c r="O2">
        <f>BDH("MSTR US Equity","BS_CUR_LIAB","1993-06-18","2026-05-02","Per=Y","Days=T","Dir=V")</f>
        <v>0</v>
      </c>
      <c r="Q2">
        <f>BDH("MSTR US Equity","BS_SHAREHOLDER_EQY_ENDING_PERIOD","1993-06-18","2026-05-02","Per=Y","Days=T","Dir=V")</f>
        <v>0</v>
      </c>
      <c r="S2">
        <f>BDH("MSTR US Equity","BS_ACCT_NOTE_RCV","1993-06-18","2026-05-02","Per=Y","Days=T","Dir=V")</f>
        <v>0</v>
      </c>
      <c r="U2">
        <f>BDH("MSTR US Equity","BS_INVENTORIES","1993-06-18","2026-05-02","Per=Y","Days=T","Dir=V")</f>
        <v>0</v>
      </c>
      <c r="W2">
        <f>BDH("MSTR US Equity","WORKING_CAPITAL","1993-06-18","2026-05-02","Per=Y","Days=T","Dir=V")</f>
        <v>0</v>
      </c>
      <c r="Y2">
        <f>BDH("MSTR US Equity","SALES_REV_TURN","1993-06-18","2026-05-02","Per=Y","Days=T","Dir=V")</f>
        <v>0</v>
      </c>
      <c r="AA2">
        <f>BDH("MSTR US Equity","EBIT","1993-06-18","2026-05-02","Per=Y","Days=T","Dir=V")</f>
        <v>0</v>
      </c>
      <c r="AC2">
        <f>BDH("MSTR US Equity","EBITDA","1993-06-18","2026-05-02","Per=Y","Days=T","Dir=V")</f>
        <v>0</v>
      </c>
      <c r="AE2">
        <f>BDH("MSTR US Equity","NET_INCOME","1993-06-18","2026-05-02","Per=Y","Days=T","Dir=V")</f>
        <v>0</v>
      </c>
      <c r="AG2">
        <f>BDH("MSTR US Equity","IS_INT_EXPENSE","1993-06-18","2026-05-02","Per=Y","Days=T","Dir=V")</f>
        <v>0</v>
      </c>
      <c r="AI2">
        <f>BDH("MSTR US Equity","IS_DEPR_EXP","1993-06-18","2026-05-02","Per=Y","Days=T","Dir=V")</f>
        <v>0</v>
      </c>
      <c r="AK2">
        <f>BDH("MSTR US Equity","CF_CASH_FROM_OPER","1993-06-18","2026-05-02","Per=Y","Days=T","Dir=V")</f>
        <v>0</v>
      </c>
      <c r="AM2">
        <f>BDH("MSTR US Equity","CAPITAL_EXPEND","1993-06-18","2026-05-02","Per=Y","Days=T","Dir=V")</f>
        <v>0</v>
      </c>
      <c r="AO2">
        <f>BDH("MSTR US Equity","CF_FREE_CASH_FLOW","1993-06-18","2026-05-02","Per=Y","Days=T","Dir=V")</f>
        <v>0</v>
      </c>
      <c r="AQ2">
        <f>BDH("MSTR US Equity","PX_LAST","1993-06-18","2026-05-02","Per=M","Days=T","Dir=V")</f>
        <v>0</v>
      </c>
      <c r="AS2">
        <f>BDH("MSTR US Equity","CUR_MKT_CAP","1993-06-18","2026-05-02","Per=M","Days=T","Dir=V")</f>
        <v>0</v>
      </c>
      <c r="AU2">
        <f>BDH("MSTR US Equity","EQY_SH_OUT","1993-06-18","2026-05-02","Per=M","Days=T","Dir=V")</f>
        <v>0</v>
      </c>
      <c r="AW2">
        <f>BDH("MSTR US Equity","PX_VOLUME","1993-06-18","2026-05-02","Per=M","Days=T","Dir=V")</f>
        <v>0</v>
      </c>
      <c r="AY2">
        <f>BDH("MSTR US Equity","TURNOVER","1993-06-18","2026-05-02","Per=M","Days=T","Dir=V")</f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BDH("MTCH US Equity","BS_TOT_ASSET","1993-06-18","2026-05-02","Per=Y","Days=T","Dir=V")</f>
        <v>0</v>
      </c>
      <c r="C2">
        <f>BDH("MTCH US Equity","BS_TOT_LIAB2","1993-06-18","2026-05-02","Per=Y","Days=T","Dir=V")</f>
        <v>0</v>
      </c>
      <c r="E2">
        <f>BDH("MTCH US Equity","SHORT_AND_LONG_TERM_DEBT","1993-06-18","2026-05-02","Per=Y","Days=T","Dir=V")</f>
        <v>0</v>
      </c>
      <c r="G2">
        <f>BDH("MTCH US Equity","BS_ST_BORROW","1993-06-18","2026-05-02","Per=Y","Days=T","Dir=V")</f>
        <v>0</v>
      </c>
      <c r="I2">
        <f>BDH("MTCH US Equity","BS_LT_BORROW","1993-06-18","2026-05-02","Per=Y","Days=T","Dir=V")</f>
        <v>0</v>
      </c>
      <c r="K2">
        <f>BDH("MTCH US Equity","BS_CASH_NEAR_CASH_ITEM","1993-06-18","2026-05-02","Per=Y","Days=T","Dir=V")</f>
        <v>0</v>
      </c>
      <c r="M2">
        <f>BDH("MTCH US Equity","BS_CUR_ASSET_REPORT","1993-06-18","2026-05-02","Per=Y","Days=T","Dir=V")</f>
        <v>0</v>
      </c>
      <c r="O2">
        <f>BDH("MTCH US Equity","BS_CUR_LIAB","1993-06-18","2026-05-02","Per=Y","Days=T","Dir=V")</f>
        <v>0</v>
      </c>
      <c r="Q2">
        <f>BDH("MTCH US Equity","BS_SHAREHOLDER_EQY_ENDING_PERIOD","1993-06-18","2026-05-02","Per=Y","Days=T","Dir=V")</f>
        <v>0</v>
      </c>
      <c r="S2">
        <f>BDH("MTCH US Equity","BS_ACCT_NOTE_RCV","1993-06-18","2026-05-02","Per=Y","Days=T","Dir=V")</f>
        <v>0</v>
      </c>
      <c r="U2">
        <f>BDH("MTCH US Equity","BS_INVENTORIES","1993-06-18","2026-05-02","Per=Y","Days=T","Dir=V")</f>
        <v>0</v>
      </c>
      <c r="W2">
        <f>BDH("MTCH US Equity","WORKING_CAPITAL","1993-06-18","2026-05-02","Per=Y","Days=T","Dir=V")</f>
        <v>0</v>
      </c>
      <c r="Y2">
        <f>BDH("MTCH US Equity","SALES_REV_TURN","1993-06-18","2026-05-02","Per=Y","Days=T","Dir=V")</f>
        <v>0</v>
      </c>
      <c r="AA2">
        <f>BDH("MTCH US Equity","EBIT","1993-06-18","2026-05-02","Per=Y","Days=T","Dir=V")</f>
        <v>0</v>
      </c>
      <c r="AC2">
        <f>BDH("MTCH US Equity","EBITDA","1993-06-18","2026-05-02","Per=Y","Days=T","Dir=V")</f>
        <v>0</v>
      </c>
      <c r="AE2">
        <f>BDH("MTCH US Equity","NET_INCOME","1993-06-18","2026-05-02","Per=Y","Days=T","Dir=V")</f>
        <v>0</v>
      </c>
      <c r="AG2">
        <f>BDH("MTCH US Equity","IS_INT_EXPENSE","1993-06-18","2026-05-02","Per=Y","Days=T","Dir=V")</f>
        <v>0</v>
      </c>
      <c r="AI2">
        <f>BDH("MTCH US Equity","IS_DEPR_EXP","1993-06-18","2026-05-02","Per=Y","Days=T","Dir=V")</f>
        <v>0</v>
      </c>
      <c r="AK2">
        <f>BDH("MTCH US Equity","CF_CASH_FROM_OPER","1993-06-18","2026-05-02","Per=Y","Days=T","Dir=V")</f>
        <v>0</v>
      </c>
      <c r="AM2">
        <f>BDH("MTCH US Equity","CAPITAL_EXPEND","1993-06-18","2026-05-02","Per=Y","Days=T","Dir=V")</f>
        <v>0</v>
      </c>
      <c r="AO2">
        <f>BDH("MTCH US Equity","CF_FREE_CASH_FLOW","1993-06-18","2026-05-02","Per=Y","Days=T","Dir=V")</f>
        <v>0</v>
      </c>
      <c r="AQ2">
        <f>BDH("MTCH US Equity","PX_LAST","1993-06-18","2026-05-02","Per=M","Days=T","Dir=V")</f>
        <v>0</v>
      </c>
      <c r="AS2">
        <f>BDH("MTCH US Equity","CUR_MKT_CAP","1993-06-18","2026-05-02","Per=M","Days=T","Dir=V")</f>
        <v>0</v>
      </c>
      <c r="AU2">
        <f>BDH("MTCH US Equity","EQY_SH_OUT","1993-06-18","2026-05-02","Per=M","Days=T","Dir=V")</f>
        <v>0</v>
      </c>
      <c r="AW2">
        <f>BDH("MTCH US Equity","PX_VOLUME","1993-06-18","2026-05-02","Per=M","Days=T","Dir=V")</f>
        <v>0</v>
      </c>
      <c r="AY2">
        <f>BDH("MTCH US Equity","TURNOVER","1993-06-18","2026-05-02","Per=M","Days=T","Dir=V")</f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BDH("MTDR US Equity","BS_TOT_ASSET","1993-06-18","2026-05-02","Per=Y","Days=T","Dir=V")</f>
        <v>0</v>
      </c>
      <c r="C2">
        <f>BDH("MTDR US Equity","BS_TOT_LIAB2","1993-06-18","2026-05-02","Per=Y","Days=T","Dir=V")</f>
        <v>0</v>
      </c>
      <c r="E2">
        <f>BDH("MTDR US Equity","SHORT_AND_LONG_TERM_DEBT","1993-06-18","2026-05-02","Per=Y","Days=T","Dir=V")</f>
        <v>0</v>
      </c>
      <c r="G2">
        <f>BDH("MTDR US Equity","BS_ST_BORROW","1993-06-18","2026-05-02","Per=Y","Days=T","Dir=V")</f>
        <v>0</v>
      </c>
      <c r="I2">
        <f>BDH("MTDR US Equity","BS_LT_BORROW","1993-06-18","2026-05-02","Per=Y","Days=T","Dir=V")</f>
        <v>0</v>
      </c>
      <c r="K2">
        <f>BDH("MTDR US Equity","BS_CASH_NEAR_CASH_ITEM","1993-06-18","2026-05-02","Per=Y","Days=T","Dir=V")</f>
        <v>0</v>
      </c>
      <c r="M2">
        <f>BDH("MTDR US Equity","BS_CUR_ASSET_REPORT","1993-06-18","2026-05-02","Per=Y","Days=T","Dir=V")</f>
        <v>0</v>
      </c>
      <c r="O2">
        <f>BDH("MTDR US Equity","BS_CUR_LIAB","1993-06-18","2026-05-02","Per=Y","Days=T","Dir=V")</f>
        <v>0</v>
      </c>
      <c r="Q2">
        <f>BDH("MTDR US Equity","BS_SHAREHOLDER_EQY_ENDING_PERIOD","1993-06-18","2026-05-02","Per=Y","Days=T","Dir=V")</f>
        <v>0</v>
      </c>
      <c r="S2">
        <f>BDH("MTDR US Equity","BS_ACCT_NOTE_RCV","1993-06-18","2026-05-02","Per=Y","Days=T","Dir=V")</f>
        <v>0</v>
      </c>
      <c r="U2">
        <f>BDH("MTDR US Equity","BS_INVENTORIES","1993-06-18","2026-05-02","Per=Y","Days=T","Dir=V")</f>
        <v>0</v>
      </c>
      <c r="W2">
        <f>BDH("MTDR US Equity","WORKING_CAPITAL","1993-06-18","2026-05-02","Per=Y","Days=T","Dir=V")</f>
        <v>0</v>
      </c>
      <c r="Y2">
        <f>BDH("MTDR US Equity","SALES_REV_TURN","1993-06-18","2026-05-02","Per=Y","Days=T","Dir=V")</f>
        <v>0</v>
      </c>
      <c r="AA2">
        <f>BDH("MTDR US Equity","EBIT","1993-06-18","2026-05-02","Per=Y","Days=T","Dir=V")</f>
        <v>0</v>
      </c>
      <c r="AC2">
        <f>BDH("MTDR US Equity","EBITDA","1993-06-18","2026-05-02","Per=Y","Days=T","Dir=V")</f>
        <v>0</v>
      </c>
      <c r="AE2">
        <f>BDH("MTDR US Equity","NET_INCOME","1993-06-18","2026-05-02","Per=Y","Days=T","Dir=V")</f>
        <v>0</v>
      </c>
      <c r="AG2">
        <f>BDH("MTDR US Equity","IS_INT_EXPENSE","1993-06-18","2026-05-02","Per=Y","Days=T","Dir=V")</f>
        <v>0</v>
      </c>
      <c r="AI2">
        <f>BDH("MTDR US Equity","IS_DEPR_EXP","1993-06-18","2026-05-02","Per=Y","Days=T","Dir=V")</f>
        <v>0</v>
      </c>
      <c r="AK2">
        <f>BDH("MTDR US Equity","CF_CASH_FROM_OPER","1993-06-18","2026-05-02","Per=Y","Days=T","Dir=V")</f>
        <v>0</v>
      </c>
      <c r="AM2">
        <f>BDH("MTDR US Equity","CAPITAL_EXPEND","1993-06-18","2026-05-02","Per=Y","Days=T","Dir=V")</f>
        <v>0</v>
      </c>
      <c r="AO2">
        <f>BDH("MTDR US Equity","CF_FREE_CASH_FLOW","1993-06-18","2026-05-02","Per=Y","Days=T","Dir=V")</f>
        <v>0</v>
      </c>
      <c r="AQ2">
        <f>BDH("MTDR US Equity","PX_LAST","1993-06-18","2026-05-02","Per=M","Days=T","Dir=V")</f>
        <v>0</v>
      </c>
      <c r="AS2">
        <f>BDH("MTDR US Equity","CUR_MKT_CAP","1993-06-18","2026-05-02","Per=M","Days=T","Dir=V")</f>
        <v>0</v>
      </c>
      <c r="AU2">
        <f>BDH("MTDR US Equity","EQY_SH_OUT","1993-06-18","2026-05-02","Per=M","Days=T","Dir=V")</f>
        <v>0</v>
      </c>
      <c r="AW2">
        <f>BDH("MTDR US Equity","PX_VOLUME","1993-06-18","2026-05-02","Per=M","Days=T","Dir=V")</f>
        <v>0</v>
      </c>
      <c r="AY2">
        <f>BDH("MTDR US Equity","TURNOVER","1993-06-18","2026-05-02","Per=M","Days=T","Dir=V")</f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BDH("MTEX US Equity","BS_TOT_ASSET","1993-06-18","2026-05-02","Per=Y","Days=T","Dir=V")</f>
        <v>0</v>
      </c>
      <c r="C2">
        <f>BDH("MTEX US Equity","BS_TOT_LIAB2","1993-06-18","2026-05-02","Per=Y","Days=T","Dir=V")</f>
        <v>0</v>
      </c>
      <c r="E2">
        <f>BDH("MTEX US Equity","SHORT_AND_LONG_TERM_DEBT","1993-06-18","2026-05-02","Per=Y","Days=T","Dir=V")</f>
        <v>0</v>
      </c>
      <c r="G2">
        <f>BDH("MTEX US Equity","BS_ST_BORROW","1993-06-18","2026-05-02","Per=Y","Days=T","Dir=V")</f>
        <v>0</v>
      </c>
      <c r="I2">
        <f>BDH("MTEX US Equity","BS_LT_BORROW","1993-06-18","2026-05-02","Per=Y","Days=T","Dir=V")</f>
        <v>0</v>
      </c>
      <c r="K2">
        <f>BDH("MTEX US Equity","BS_CASH_NEAR_CASH_ITEM","1993-06-18","2026-05-02","Per=Y","Days=T","Dir=V")</f>
        <v>0</v>
      </c>
      <c r="M2">
        <f>BDH("MTEX US Equity","BS_CUR_ASSET_REPORT","1993-06-18","2026-05-02","Per=Y","Days=T","Dir=V")</f>
        <v>0</v>
      </c>
      <c r="O2">
        <f>BDH("MTEX US Equity","BS_CUR_LIAB","1993-06-18","2026-05-02","Per=Y","Days=T","Dir=V")</f>
        <v>0</v>
      </c>
      <c r="Q2">
        <f>BDH("MTEX US Equity","BS_SHAREHOLDER_EQY_ENDING_PERIOD","1993-06-18","2026-05-02","Per=Y","Days=T","Dir=V")</f>
        <v>0</v>
      </c>
      <c r="S2">
        <f>BDH("MTEX US Equity","BS_ACCT_NOTE_RCV","1993-06-18","2026-05-02","Per=Y","Days=T","Dir=V")</f>
        <v>0</v>
      </c>
      <c r="U2">
        <f>BDH("MTEX US Equity","BS_INVENTORIES","1993-06-18","2026-05-02","Per=Y","Days=T","Dir=V")</f>
        <v>0</v>
      </c>
      <c r="W2">
        <f>BDH("MTEX US Equity","WORKING_CAPITAL","1993-06-18","2026-05-02","Per=Y","Days=T","Dir=V")</f>
        <v>0</v>
      </c>
      <c r="Y2">
        <f>BDH("MTEX US Equity","SALES_REV_TURN","1993-06-18","2026-05-02","Per=Y","Days=T","Dir=V")</f>
        <v>0</v>
      </c>
      <c r="AA2">
        <f>BDH("MTEX US Equity","EBIT","1993-06-18","2026-05-02","Per=Y","Days=T","Dir=V")</f>
        <v>0</v>
      </c>
      <c r="AC2">
        <f>BDH("MTEX US Equity","EBITDA","1993-06-18","2026-05-02","Per=Y","Days=T","Dir=V")</f>
        <v>0</v>
      </c>
      <c r="AE2">
        <f>BDH("MTEX US Equity","NET_INCOME","1993-06-18","2026-05-02","Per=Y","Days=T","Dir=V")</f>
        <v>0</v>
      </c>
      <c r="AG2">
        <f>BDH("MTEX US Equity","IS_INT_EXPENSE","1993-06-18","2026-05-02","Per=Y","Days=T","Dir=V")</f>
        <v>0</v>
      </c>
      <c r="AI2">
        <f>BDH("MTEX US Equity","IS_DEPR_EXP","1993-06-18","2026-05-02","Per=Y","Days=T","Dir=V")</f>
        <v>0</v>
      </c>
      <c r="AK2">
        <f>BDH("MTEX US Equity","CF_CASH_FROM_OPER","1993-06-18","2026-05-02","Per=Y","Days=T","Dir=V")</f>
        <v>0</v>
      </c>
      <c r="AM2">
        <f>BDH("MTEX US Equity","CAPITAL_EXPEND","1993-06-18","2026-05-02","Per=Y","Days=T","Dir=V")</f>
        <v>0</v>
      </c>
      <c r="AO2">
        <f>BDH("MTEX US Equity","CF_FREE_CASH_FLOW","1993-06-18","2026-05-02","Per=Y","Days=T","Dir=V")</f>
        <v>0</v>
      </c>
      <c r="AQ2">
        <f>BDH("MTEX US Equity","PX_LAST","1993-06-18","2026-05-02","Per=M","Days=T","Dir=V")</f>
        <v>0</v>
      </c>
      <c r="AS2">
        <f>BDH("MTEX US Equity","CUR_MKT_CAP","1993-06-18","2026-05-02","Per=M","Days=T","Dir=V")</f>
        <v>0</v>
      </c>
      <c r="AU2">
        <f>BDH("MTEX US Equity","EQY_SH_OUT","1993-06-18","2026-05-02","Per=M","Days=T","Dir=V")</f>
        <v>0</v>
      </c>
      <c r="AW2">
        <f>BDH("MTEX US Equity","PX_VOLUME","1993-06-18","2026-05-02","Per=M","Days=T","Dir=V")</f>
        <v>0</v>
      </c>
      <c r="AY2">
        <f>BDH("MTEX US Equity","TURNOVER","1993-06-18","2026-05-02","Per=M","Days=T","Dir=V")</f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BDH("MTH US Equity","BS_TOT_ASSET","1993-06-18","2026-05-02","Per=Y","Days=T","Dir=V")</f>
        <v>0</v>
      </c>
      <c r="C2">
        <f>BDH("MTH US Equity","BS_TOT_LIAB2","1993-06-18","2026-05-02","Per=Y","Days=T","Dir=V")</f>
        <v>0</v>
      </c>
      <c r="E2">
        <f>BDH("MTH US Equity","SHORT_AND_LONG_TERM_DEBT","1993-06-18","2026-05-02","Per=Y","Days=T","Dir=V")</f>
        <v>0</v>
      </c>
      <c r="G2">
        <f>BDH("MTH US Equity","BS_ST_BORROW","1993-06-18","2026-05-02","Per=Y","Days=T","Dir=V")</f>
        <v>0</v>
      </c>
      <c r="I2">
        <f>BDH("MTH US Equity","BS_LT_BORROW","1993-06-18","2026-05-02","Per=Y","Days=T","Dir=V")</f>
        <v>0</v>
      </c>
      <c r="K2">
        <f>BDH("MTH US Equity","BS_CASH_NEAR_CASH_ITEM","1993-06-18","2026-05-02","Per=Y","Days=T","Dir=V")</f>
        <v>0</v>
      </c>
      <c r="M2">
        <f>BDH("MTH US Equity","BS_CUR_ASSET_REPORT","1993-06-18","2026-05-02","Per=Y","Days=T","Dir=V")</f>
        <v>0</v>
      </c>
      <c r="O2">
        <f>BDH("MTH US Equity","BS_CUR_LIAB","1993-06-18","2026-05-02","Per=Y","Days=T","Dir=V")</f>
        <v>0</v>
      </c>
      <c r="Q2">
        <f>BDH("MTH US Equity","BS_SHAREHOLDER_EQY_ENDING_PERIOD","1993-06-18","2026-05-02","Per=Y","Days=T","Dir=V")</f>
        <v>0</v>
      </c>
      <c r="S2">
        <f>BDH("MTH US Equity","BS_ACCT_NOTE_RCV","1993-06-18","2026-05-02","Per=Y","Days=T","Dir=V")</f>
        <v>0</v>
      </c>
      <c r="U2">
        <f>BDH("MTH US Equity","BS_INVENTORIES","1993-06-18","2026-05-02","Per=Y","Days=T","Dir=V")</f>
        <v>0</v>
      </c>
      <c r="W2">
        <f>BDH("MTH US Equity","WORKING_CAPITAL","1993-06-18","2026-05-02","Per=Y","Days=T","Dir=V")</f>
        <v>0</v>
      </c>
      <c r="Y2">
        <f>BDH("MTH US Equity","SALES_REV_TURN","1993-06-18","2026-05-02","Per=Y","Days=T","Dir=V")</f>
        <v>0</v>
      </c>
      <c r="AA2">
        <f>BDH("MTH US Equity","EBIT","1993-06-18","2026-05-02","Per=Y","Days=T","Dir=V")</f>
        <v>0</v>
      </c>
      <c r="AC2">
        <f>BDH("MTH US Equity","EBITDA","1993-06-18","2026-05-02","Per=Y","Days=T","Dir=V")</f>
        <v>0</v>
      </c>
      <c r="AE2">
        <f>BDH("MTH US Equity","NET_INCOME","1993-06-18","2026-05-02","Per=Y","Days=T","Dir=V")</f>
        <v>0</v>
      </c>
      <c r="AG2">
        <f>BDH("MTH US Equity","IS_INT_EXPENSE","1993-06-18","2026-05-02","Per=Y","Days=T","Dir=V")</f>
        <v>0</v>
      </c>
      <c r="AI2">
        <f>BDH("MTH US Equity","IS_DEPR_EXP","1993-06-18","2026-05-02","Per=Y","Days=T","Dir=V")</f>
        <v>0</v>
      </c>
      <c r="AK2">
        <f>BDH("MTH US Equity","CF_CASH_FROM_OPER","1993-06-18","2026-05-02","Per=Y","Days=T","Dir=V")</f>
        <v>0</v>
      </c>
      <c r="AM2">
        <f>BDH("MTH US Equity","CAPITAL_EXPEND","1993-06-18","2026-05-02","Per=Y","Days=T","Dir=V")</f>
        <v>0</v>
      </c>
      <c r="AO2">
        <f>BDH("MTH US Equity","CF_FREE_CASH_FLOW","1993-06-18","2026-05-02","Per=Y","Days=T","Dir=V")</f>
        <v>0</v>
      </c>
      <c r="AQ2">
        <f>BDH("MTH US Equity","PX_LAST","1993-06-18","2026-05-02","Per=M","Days=T","Dir=V")</f>
        <v>0</v>
      </c>
      <c r="AS2">
        <f>BDH("MTH US Equity","CUR_MKT_CAP","1993-06-18","2026-05-02","Per=M","Days=T","Dir=V")</f>
        <v>0</v>
      </c>
      <c r="AU2">
        <f>BDH("MTH US Equity","EQY_SH_OUT","1993-06-18","2026-05-02","Per=M","Days=T","Dir=V")</f>
        <v>0</v>
      </c>
      <c r="AW2">
        <f>BDH("MTH US Equity","PX_VOLUME","1993-06-18","2026-05-02","Per=M","Days=T","Dir=V")</f>
        <v>0</v>
      </c>
      <c r="AY2">
        <f>BDH("MTH US Equity","TURNOVER","1993-06-18","2026-05-02","Per=M","Days=T","Dir=V")</f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BDH("MTN US Equity","BS_TOT_ASSET","1993-06-18","2026-05-02","Per=Y","Days=T","Dir=V")</f>
        <v>0</v>
      </c>
      <c r="C2">
        <f>BDH("MTN US Equity","BS_TOT_LIAB2","1993-06-18","2026-05-02","Per=Y","Days=T","Dir=V")</f>
        <v>0</v>
      </c>
      <c r="E2">
        <f>BDH("MTN US Equity","SHORT_AND_LONG_TERM_DEBT","1993-06-18","2026-05-02","Per=Y","Days=T","Dir=V")</f>
        <v>0</v>
      </c>
      <c r="G2">
        <f>BDH("MTN US Equity","BS_ST_BORROW","1993-06-18","2026-05-02","Per=Y","Days=T","Dir=V")</f>
        <v>0</v>
      </c>
      <c r="I2">
        <f>BDH("MTN US Equity","BS_LT_BORROW","1993-06-18","2026-05-02","Per=Y","Days=T","Dir=V")</f>
        <v>0</v>
      </c>
      <c r="K2">
        <f>BDH("MTN US Equity","BS_CASH_NEAR_CASH_ITEM","1993-06-18","2026-05-02","Per=Y","Days=T","Dir=V")</f>
        <v>0</v>
      </c>
      <c r="M2">
        <f>BDH("MTN US Equity","BS_CUR_ASSET_REPORT","1993-06-18","2026-05-02","Per=Y","Days=T","Dir=V")</f>
        <v>0</v>
      </c>
      <c r="O2">
        <f>BDH("MTN US Equity","BS_CUR_LIAB","1993-06-18","2026-05-02","Per=Y","Days=T","Dir=V")</f>
        <v>0</v>
      </c>
      <c r="Q2">
        <f>BDH("MTN US Equity","BS_SHAREHOLDER_EQY_ENDING_PERIOD","1993-06-18","2026-05-02","Per=Y","Days=T","Dir=V")</f>
        <v>0</v>
      </c>
      <c r="S2">
        <f>BDH("MTN US Equity","BS_ACCT_NOTE_RCV","1993-06-18","2026-05-02","Per=Y","Days=T","Dir=V")</f>
        <v>0</v>
      </c>
      <c r="U2">
        <f>BDH("MTN US Equity","BS_INVENTORIES","1993-06-18","2026-05-02","Per=Y","Days=T","Dir=V")</f>
        <v>0</v>
      </c>
      <c r="W2">
        <f>BDH("MTN US Equity","WORKING_CAPITAL","1993-06-18","2026-05-02","Per=Y","Days=T","Dir=V")</f>
        <v>0</v>
      </c>
      <c r="Y2">
        <f>BDH("MTN US Equity","SALES_REV_TURN","1993-06-18","2026-05-02","Per=Y","Days=T","Dir=V")</f>
        <v>0</v>
      </c>
      <c r="AA2">
        <f>BDH("MTN US Equity","EBIT","1993-06-18","2026-05-02","Per=Y","Days=T","Dir=V")</f>
        <v>0</v>
      </c>
      <c r="AC2">
        <f>BDH("MTN US Equity","EBITDA","1993-06-18","2026-05-02","Per=Y","Days=T","Dir=V")</f>
        <v>0</v>
      </c>
      <c r="AE2">
        <f>BDH("MTN US Equity","NET_INCOME","1993-06-18","2026-05-02","Per=Y","Days=T","Dir=V")</f>
        <v>0</v>
      </c>
      <c r="AG2">
        <f>BDH("MTN US Equity","IS_INT_EXPENSE","1993-06-18","2026-05-02","Per=Y","Days=T","Dir=V")</f>
        <v>0</v>
      </c>
      <c r="AI2">
        <f>BDH("MTN US Equity","IS_DEPR_EXP","1993-06-18","2026-05-02","Per=Y","Days=T","Dir=V")</f>
        <v>0</v>
      </c>
      <c r="AK2">
        <f>BDH("MTN US Equity","CF_CASH_FROM_OPER","1993-06-18","2026-05-02","Per=Y","Days=T","Dir=V")</f>
        <v>0</v>
      </c>
      <c r="AM2">
        <f>BDH("MTN US Equity","CAPITAL_EXPEND","1993-06-18","2026-05-02","Per=Y","Days=T","Dir=V")</f>
        <v>0</v>
      </c>
      <c r="AO2">
        <f>BDH("MTN US Equity","CF_FREE_CASH_FLOW","1993-06-18","2026-05-02","Per=Y","Days=T","Dir=V")</f>
        <v>0</v>
      </c>
      <c r="AQ2">
        <f>BDH("MTN US Equity","PX_LAST","1993-06-18","2026-05-02","Per=M","Days=T","Dir=V")</f>
        <v>0</v>
      </c>
      <c r="AS2">
        <f>BDH("MTN US Equity","CUR_MKT_CAP","1993-06-18","2026-05-02","Per=M","Days=T","Dir=V")</f>
        <v>0</v>
      </c>
      <c r="AU2">
        <f>BDH("MTN US Equity","EQY_SH_OUT","1993-06-18","2026-05-02","Per=M","Days=T","Dir=V")</f>
        <v>0</v>
      </c>
      <c r="AW2">
        <f>BDH("MTN US Equity","PX_VOLUME","1993-06-18","2026-05-02","Per=M","Days=T","Dir=V")</f>
        <v>0</v>
      </c>
      <c r="AY2">
        <f>BDH("MTN US Equity","TURNOVER","1993-06-18","2026-05-02","Per=M","Days=T","Dir=V")</f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BDH("MTNB US Equity","BS_TOT_ASSET","1993-06-18","2026-05-02","Per=Y","Days=T","Dir=V")</f>
        <v>0</v>
      </c>
      <c r="C2">
        <f>BDH("MTNB US Equity","BS_TOT_LIAB2","1993-06-18","2026-05-02","Per=Y","Days=T","Dir=V")</f>
        <v>0</v>
      </c>
      <c r="E2">
        <f>BDH("MTNB US Equity","SHORT_AND_LONG_TERM_DEBT","1993-06-18","2026-05-02","Per=Y","Days=T","Dir=V")</f>
        <v>0</v>
      </c>
      <c r="G2">
        <f>BDH("MTNB US Equity","BS_ST_BORROW","1993-06-18","2026-05-02","Per=Y","Days=T","Dir=V")</f>
        <v>0</v>
      </c>
      <c r="I2">
        <f>BDH("MTNB US Equity","BS_LT_BORROW","1993-06-18","2026-05-02","Per=Y","Days=T","Dir=V")</f>
        <v>0</v>
      </c>
      <c r="K2">
        <f>BDH("MTNB US Equity","BS_CASH_NEAR_CASH_ITEM","1993-06-18","2026-05-02","Per=Y","Days=T","Dir=V")</f>
        <v>0</v>
      </c>
      <c r="M2">
        <f>BDH("MTNB US Equity","BS_CUR_ASSET_REPORT","1993-06-18","2026-05-02","Per=Y","Days=T","Dir=V")</f>
        <v>0</v>
      </c>
      <c r="O2">
        <f>BDH("MTNB US Equity","BS_CUR_LIAB","1993-06-18","2026-05-02","Per=Y","Days=T","Dir=V")</f>
        <v>0</v>
      </c>
      <c r="Q2">
        <f>BDH("MTNB US Equity","BS_SHAREHOLDER_EQY_ENDING_PERIOD","1993-06-18","2026-05-02","Per=Y","Days=T","Dir=V")</f>
        <v>0</v>
      </c>
      <c r="S2">
        <f>BDH("MTNB US Equity","BS_ACCT_NOTE_RCV","1993-06-18","2026-05-02","Per=Y","Days=T","Dir=V")</f>
        <v>0</v>
      </c>
      <c r="U2">
        <f>BDH("MTNB US Equity","BS_INVENTORIES","1993-06-18","2026-05-02","Per=Y","Days=T","Dir=V")</f>
        <v>0</v>
      </c>
      <c r="W2">
        <f>BDH("MTNB US Equity","WORKING_CAPITAL","1993-06-18","2026-05-02","Per=Y","Days=T","Dir=V")</f>
        <v>0</v>
      </c>
      <c r="Y2">
        <f>BDH("MTNB US Equity","SALES_REV_TURN","1993-06-18","2026-05-02","Per=Y","Days=T","Dir=V")</f>
        <v>0</v>
      </c>
      <c r="AA2">
        <f>BDH("MTNB US Equity","EBIT","1993-06-18","2026-05-02","Per=Y","Days=T","Dir=V")</f>
        <v>0</v>
      </c>
      <c r="AC2">
        <f>BDH("MTNB US Equity","EBITDA","1993-06-18","2026-05-02","Per=Y","Days=T","Dir=V")</f>
        <v>0</v>
      </c>
      <c r="AE2">
        <f>BDH("MTNB US Equity","NET_INCOME","1993-06-18","2026-05-02","Per=Y","Days=T","Dir=V")</f>
        <v>0</v>
      </c>
      <c r="AG2">
        <f>BDH("MTNB US Equity","IS_INT_EXPENSE","1993-06-18","2026-05-02","Per=Y","Days=T","Dir=V")</f>
        <v>0</v>
      </c>
      <c r="AI2">
        <f>BDH("MTNB US Equity","IS_DEPR_EXP","1993-06-18","2026-05-02","Per=Y","Days=T","Dir=V")</f>
        <v>0</v>
      </c>
      <c r="AK2">
        <f>BDH("MTNB US Equity","CF_CASH_FROM_OPER","1993-06-18","2026-05-02","Per=Y","Days=T","Dir=V")</f>
        <v>0</v>
      </c>
      <c r="AM2">
        <f>BDH("MTNB US Equity","CAPITAL_EXPEND","1993-06-18","2026-05-02","Per=Y","Days=T","Dir=V")</f>
        <v>0</v>
      </c>
      <c r="AO2">
        <f>BDH("MTNB US Equity","CF_FREE_CASH_FLOW","1993-06-18","2026-05-02","Per=Y","Days=T","Dir=V")</f>
        <v>0</v>
      </c>
      <c r="AQ2">
        <f>BDH("MTNB US Equity","PX_LAST","1993-06-18","2026-05-02","Per=M","Days=T","Dir=V")</f>
        <v>0</v>
      </c>
      <c r="AS2">
        <f>BDH("MTNB US Equity","CUR_MKT_CAP","1993-06-18","2026-05-02","Per=M","Days=T","Dir=V")</f>
        <v>0</v>
      </c>
      <c r="AU2">
        <f>BDH("MTNB US Equity","EQY_SH_OUT","1993-06-18","2026-05-02","Per=M","Days=T","Dir=V")</f>
        <v>0</v>
      </c>
      <c r="AW2">
        <f>BDH("MTNB US Equity","PX_VOLUME","1993-06-18","2026-05-02","Per=M","Days=T","Dir=V")</f>
        <v>0</v>
      </c>
      <c r="AY2">
        <f>BDH("MTNB US Equity","TURNOVER","1993-06-18","2026-05-02","Per=M","Days=T","Dir=V")</f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BDH("MTR US Equity","BS_TOT_ASSET","1993-06-18","2026-05-02","Per=Y","Days=T","Dir=V")</f>
        <v>0</v>
      </c>
      <c r="C2">
        <f>BDH("MTR US Equity","BS_TOT_LIAB2","1993-06-18","2026-05-02","Per=Y","Days=T","Dir=V")</f>
        <v>0</v>
      </c>
      <c r="E2">
        <f>BDH("MTR US Equity","SHORT_AND_LONG_TERM_DEBT","1993-06-18","2026-05-02","Per=Y","Days=T","Dir=V")</f>
        <v>0</v>
      </c>
      <c r="G2">
        <f>BDH("MTR US Equity","BS_ST_BORROW","1993-06-18","2026-05-02","Per=Y","Days=T","Dir=V")</f>
        <v>0</v>
      </c>
      <c r="I2">
        <f>BDH("MTR US Equity","BS_LT_BORROW","1993-06-18","2026-05-02","Per=Y","Days=T","Dir=V")</f>
        <v>0</v>
      </c>
      <c r="K2">
        <f>BDH("MTR US Equity","BS_CASH_NEAR_CASH_ITEM","1993-06-18","2026-05-02","Per=Y","Days=T","Dir=V")</f>
        <v>0</v>
      </c>
      <c r="M2">
        <f>BDH("MTR US Equity","BS_CUR_ASSET_REPORT","1993-06-18","2026-05-02","Per=Y","Days=T","Dir=V")</f>
        <v>0</v>
      </c>
      <c r="O2">
        <f>BDH("MTR US Equity","BS_CUR_LIAB","1993-06-18","2026-05-02","Per=Y","Days=T","Dir=V")</f>
        <v>0</v>
      </c>
      <c r="Q2">
        <f>BDH("MTR US Equity","BS_SHAREHOLDER_EQY_ENDING_PERIOD","1993-06-18","2026-05-02","Per=Y","Days=T","Dir=V")</f>
        <v>0</v>
      </c>
      <c r="S2">
        <f>BDH("MTR US Equity","BS_ACCT_NOTE_RCV","1993-06-18","2026-05-02","Per=Y","Days=T","Dir=V")</f>
        <v>0</v>
      </c>
      <c r="U2">
        <f>BDH("MTR US Equity","BS_INVENTORIES","1993-06-18","2026-05-02","Per=Y","Days=T","Dir=V")</f>
        <v>0</v>
      </c>
      <c r="W2">
        <f>BDH("MTR US Equity","WORKING_CAPITAL","1993-06-18","2026-05-02","Per=Y","Days=T","Dir=V")</f>
        <v>0</v>
      </c>
      <c r="Y2">
        <f>BDH("MTR US Equity","SALES_REV_TURN","1993-06-18","2026-05-02","Per=Y","Days=T","Dir=V")</f>
        <v>0</v>
      </c>
      <c r="AA2">
        <f>BDH("MTR US Equity","EBIT","1993-06-18","2026-05-02","Per=Y","Days=T","Dir=V")</f>
        <v>0</v>
      </c>
      <c r="AC2">
        <f>BDH("MTR US Equity","EBITDA","1993-06-18","2026-05-02","Per=Y","Days=T","Dir=V")</f>
        <v>0</v>
      </c>
      <c r="AE2">
        <f>BDH("MTR US Equity","NET_INCOME","1993-06-18","2026-05-02","Per=Y","Days=T","Dir=V")</f>
        <v>0</v>
      </c>
      <c r="AG2">
        <f>BDH("MTR US Equity","IS_INT_EXPENSE","1993-06-18","2026-05-02","Per=Y","Days=T","Dir=V")</f>
        <v>0</v>
      </c>
      <c r="AI2">
        <f>BDH("MTR US Equity","IS_DEPR_EXP","1993-06-18","2026-05-02","Per=Y","Days=T","Dir=V")</f>
        <v>0</v>
      </c>
      <c r="AK2">
        <f>BDH("MTR US Equity","CF_CASH_FROM_OPER","1993-06-18","2026-05-02","Per=Y","Days=T","Dir=V")</f>
        <v>0</v>
      </c>
      <c r="AM2">
        <f>BDH("MTR US Equity","CAPITAL_EXPEND","1993-06-18","2026-05-02","Per=Y","Days=T","Dir=V")</f>
        <v>0</v>
      </c>
      <c r="AO2">
        <f>BDH("MTR US Equity","CF_FREE_CASH_FLOW","1993-06-18","2026-05-02","Per=Y","Days=T","Dir=V")</f>
        <v>0</v>
      </c>
      <c r="AQ2">
        <f>BDH("MTR US Equity","PX_LAST","1993-06-18","2026-05-02","Per=M","Days=T","Dir=V")</f>
        <v>0</v>
      </c>
      <c r="AS2">
        <f>BDH("MTR US Equity","CUR_MKT_CAP","1993-06-18","2026-05-02","Per=M","Days=T","Dir=V")</f>
        <v>0</v>
      </c>
      <c r="AU2">
        <f>BDH("MTR US Equity","EQY_SH_OUT","1993-06-18","2026-05-02","Per=M","Days=T","Dir=V")</f>
        <v>0</v>
      </c>
      <c r="AW2">
        <f>BDH("MTR US Equity","PX_VOLUME","1993-06-18","2026-05-02","Per=M","Days=T","Dir=V")</f>
        <v>0</v>
      </c>
      <c r="AY2">
        <f>BDH("MTR US Equity","TURNOVER","1993-06-18","2026-05-02","Per=M","Days=T","Dir=V")</f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BDH("MTRN US Equity","BS_TOT_ASSET","1993-06-18","2026-05-02","Per=Y","Days=T","Dir=V")</f>
        <v>0</v>
      </c>
      <c r="C2">
        <f>BDH("MTRN US Equity","BS_TOT_LIAB2","1993-06-18","2026-05-02","Per=Y","Days=T","Dir=V")</f>
        <v>0</v>
      </c>
      <c r="E2">
        <f>BDH("MTRN US Equity","SHORT_AND_LONG_TERM_DEBT","1993-06-18","2026-05-02","Per=Y","Days=T","Dir=V")</f>
        <v>0</v>
      </c>
      <c r="G2">
        <f>BDH("MTRN US Equity","BS_ST_BORROW","1993-06-18","2026-05-02","Per=Y","Days=T","Dir=V")</f>
        <v>0</v>
      </c>
      <c r="I2">
        <f>BDH("MTRN US Equity","BS_LT_BORROW","1993-06-18","2026-05-02","Per=Y","Days=T","Dir=V")</f>
        <v>0</v>
      </c>
      <c r="K2">
        <f>BDH("MTRN US Equity","BS_CASH_NEAR_CASH_ITEM","1993-06-18","2026-05-02","Per=Y","Days=T","Dir=V")</f>
        <v>0</v>
      </c>
      <c r="M2">
        <f>BDH("MTRN US Equity","BS_CUR_ASSET_REPORT","1993-06-18","2026-05-02","Per=Y","Days=T","Dir=V")</f>
        <v>0</v>
      </c>
      <c r="O2">
        <f>BDH("MTRN US Equity","BS_CUR_LIAB","1993-06-18","2026-05-02","Per=Y","Days=T","Dir=V")</f>
        <v>0</v>
      </c>
      <c r="Q2">
        <f>BDH("MTRN US Equity","BS_SHAREHOLDER_EQY_ENDING_PERIOD","1993-06-18","2026-05-02","Per=Y","Days=T","Dir=V")</f>
        <v>0</v>
      </c>
      <c r="S2">
        <f>BDH("MTRN US Equity","BS_ACCT_NOTE_RCV","1993-06-18","2026-05-02","Per=Y","Days=T","Dir=V")</f>
        <v>0</v>
      </c>
      <c r="U2">
        <f>BDH("MTRN US Equity","BS_INVENTORIES","1993-06-18","2026-05-02","Per=Y","Days=T","Dir=V")</f>
        <v>0</v>
      </c>
      <c r="W2">
        <f>BDH("MTRN US Equity","WORKING_CAPITAL","1993-06-18","2026-05-02","Per=Y","Days=T","Dir=V")</f>
        <v>0</v>
      </c>
      <c r="Y2">
        <f>BDH("MTRN US Equity","SALES_REV_TURN","1993-06-18","2026-05-02","Per=Y","Days=T","Dir=V")</f>
        <v>0</v>
      </c>
      <c r="AA2">
        <f>BDH("MTRN US Equity","EBIT","1993-06-18","2026-05-02","Per=Y","Days=T","Dir=V")</f>
        <v>0</v>
      </c>
      <c r="AC2">
        <f>BDH("MTRN US Equity","EBITDA","1993-06-18","2026-05-02","Per=Y","Days=T","Dir=V")</f>
        <v>0</v>
      </c>
      <c r="AE2">
        <f>BDH("MTRN US Equity","NET_INCOME","1993-06-18","2026-05-02","Per=Y","Days=T","Dir=V")</f>
        <v>0</v>
      </c>
      <c r="AG2">
        <f>BDH("MTRN US Equity","IS_INT_EXPENSE","1993-06-18","2026-05-02","Per=Y","Days=T","Dir=V")</f>
        <v>0</v>
      </c>
      <c r="AI2">
        <f>BDH("MTRN US Equity","IS_DEPR_EXP","1993-06-18","2026-05-02","Per=Y","Days=T","Dir=V")</f>
        <v>0</v>
      </c>
      <c r="AK2">
        <f>BDH("MTRN US Equity","CF_CASH_FROM_OPER","1993-06-18","2026-05-02","Per=Y","Days=T","Dir=V")</f>
        <v>0</v>
      </c>
      <c r="AM2">
        <f>BDH("MTRN US Equity","CAPITAL_EXPEND","1993-06-18","2026-05-02","Per=Y","Days=T","Dir=V")</f>
        <v>0</v>
      </c>
      <c r="AO2">
        <f>BDH("MTRN US Equity","CF_FREE_CASH_FLOW","1993-06-18","2026-05-02","Per=Y","Days=T","Dir=V")</f>
        <v>0</v>
      </c>
      <c r="AQ2">
        <f>BDH("MTRN US Equity","PX_LAST","1993-06-18","2026-05-02","Per=M","Days=T","Dir=V")</f>
        <v>0</v>
      </c>
      <c r="AS2">
        <f>BDH("MTRN US Equity","CUR_MKT_CAP","1993-06-18","2026-05-02","Per=M","Days=T","Dir=V")</f>
        <v>0</v>
      </c>
      <c r="AU2">
        <f>BDH("MTRN US Equity","EQY_SH_OUT","1993-06-18","2026-05-02","Per=M","Days=T","Dir=V")</f>
        <v>0</v>
      </c>
      <c r="AW2">
        <f>BDH("MTRN US Equity","PX_VOLUME","1993-06-18","2026-05-02","Per=M","Days=T","Dir=V")</f>
        <v>0</v>
      </c>
      <c r="AY2">
        <f>BDH("MTRN US Equity","TURNOVER","1993-06-18","2026-05-02","Per=M","Days=T","Dir=V")</f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BDH("MTRX US Equity","BS_TOT_ASSET","1993-06-18","2026-05-02","Per=Y","Days=T","Dir=V")</f>
        <v>0</v>
      </c>
      <c r="C2">
        <f>BDH("MTRX US Equity","BS_TOT_LIAB2","1993-06-18","2026-05-02","Per=Y","Days=T","Dir=V")</f>
        <v>0</v>
      </c>
      <c r="E2">
        <f>BDH("MTRX US Equity","SHORT_AND_LONG_TERM_DEBT","1993-06-18","2026-05-02","Per=Y","Days=T","Dir=V")</f>
        <v>0</v>
      </c>
      <c r="G2">
        <f>BDH("MTRX US Equity","BS_ST_BORROW","1993-06-18","2026-05-02","Per=Y","Days=T","Dir=V")</f>
        <v>0</v>
      </c>
      <c r="I2">
        <f>BDH("MTRX US Equity","BS_LT_BORROW","1993-06-18","2026-05-02","Per=Y","Days=T","Dir=V")</f>
        <v>0</v>
      </c>
      <c r="K2">
        <f>BDH("MTRX US Equity","BS_CASH_NEAR_CASH_ITEM","1993-06-18","2026-05-02","Per=Y","Days=T","Dir=V")</f>
        <v>0</v>
      </c>
      <c r="M2">
        <f>BDH("MTRX US Equity","BS_CUR_ASSET_REPORT","1993-06-18","2026-05-02","Per=Y","Days=T","Dir=V")</f>
        <v>0</v>
      </c>
      <c r="O2">
        <f>BDH("MTRX US Equity","BS_CUR_LIAB","1993-06-18","2026-05-02","Per=Y","Days=T","Dir=V")</f>
        <v>0</v>
      </c>
      <c r="Q2">
        <f>BDH("MTRX US Equity","BS_SHAREHOLDER_EQY_ENDING_PERIOD","1993-06-18","2026-05-02","Per=Y","Days=T","Dir=V")</f>
        <v>0</v>
      </c>
      <c r="S2">
        <f>BDH("MTRX US Equity","BS_ACCT_NOTE_RCV","1993-06-18","2026-05-02","Per=Y","Days=T","Dir=V")</f>
        <v>0</v>
      </c>
      <c r="U2">
        <f>BDH("MTRX US Equity","BS_INVENTORIES","1993-06-18","2026-05-02","Per=Y","Days=T","Dir=V")</f>
        <v>0</v>
      </c>
      <c r="W2">
        <f>BDH("MTRX US Equity","WORKING_CAPITAL","1993-06-18","2026-05-02","Per=Y","Days=T","Dir=V")</f>
        <v>0</v>
      </c>
      <c r="Y2">
        <f>BDH("MTRX US Equity","SALES_REV_TURN","1993-06-18","2026-05-02","Per=Y","Days=T","Dir=V")</f>
        <v>0</v>
      </c>
      <c r="AA2">
        <f>BDH("MTRX US Equity","EBIT","1993-06-18","2026-05-02","Per=Y","Days=T","Dir=V")</f>
        <v>0</v>
      </c>
      <c r="AC2">
        <f>BDH("MTRX US Equity","EBITDA","1993-06-18","2026-05-02","Per=Y","Days=T","Dir=V")</f>
        <v>0</v>
      </c>
      <c r="AE2">
        <f>BDH("MTRX US Equity","NET_INCOME","1993-06-18","2026-05-02","Per=Y","Days=T","Dir=V")</f>
        <v>0</v>
      </c>
      <c r="AG2">
        <f>BDH("MTRX US Equity","IS_INT_EXPENSE","1993-06-18","2026-05-02","Per=Y","Days=T","Dir=V")</f>
        <v>0</v>
      </c>
      <c r="AI2">
        <f>BDH("MTRX US Equity","IS_DEPR_EXP","1993-06-18","2026-05-02","Per=Y","Days=T","Dir=V")</f>
        <v>0</v>
      </c>
      <c r="AK2">
        <f>BDH("MTRX US Equity","CF_CASH_FROM_OPER","1993-06-18","2026-05-02","Per=Y","Days=T","Dir=V")</f>
        <v>0</v>
      </c>
      <c r="AM2">
        <f>BDH("MTRX US Equity","CAPITAL_EXPEND","1993-06-18","2026-05-02","Per=Y","Days=T","Dir=V")</f>
        <v>0</v>
      </c>
      <c r="AO2">
        <f>BDH("MTRX US Equity","CF_FREE_CASH_FLOW","1993-06-18","2026-05-02","Per=Y","Days=T","Dir=V")</f>
        <v>0</v>
      </c>
      <c r="AQ2">
        <f>BDH("MTRX US Equity","PX_LAST","1993-06-18","2026-05-02","Per=M","Days=T","Dir=V")</f>
        <v>0</v>
      </c>
      <c r="AS2">
        <f>BDH("MTRX US Equity","CUR_MKT_CAP","1993-06-18","2026-05-02","Per=M","Days=T","Dir=V")</f>
        <v>0</v>
      </c>
      <c r="AU2">
        <f>BDH("MTRX US Equity","EQY_SH_OUT","1993-06-18","2026-05-02","Per=M","Days=T","Dir=V")</f>
        <v>0</v>
      </c>
      <c r="AW2">
        <f>BDH("MTRX US Equity","PX_VOLUME","1993-06-18","2026-05-02","Per=M","Days=T","Dir=V")</f>
        <v>0</v>
      </c>
      <c r="AY2">
        <f>BDH("MTRX US Equity","TURNOVER","1993-06-18","2026-05-02","Per=M","Days=T","Dir=V")</f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BDH("MTSI US Equity","BS_TOT_ASSET","1993-06-18","2026-05-02","Per=Y","Days=T","Dir=V")</f>
        <v>0</v>
      </c>
      <c r="C2">
        <f>BDH("MTSI US Equity","BS_TOT_LIAB2","1993-06-18","2026-05-02","Per=Y","Days=T","Dir=V")</f>
        <v>0</v>
      </c>
      <c r="E2">
        <f>BDH("MTSI US Equity","SHORT_AND_LONG_TERM_DEBT","1993-06-18","2026-05-02","Per=Y","Days=T","Dir=V")</f>
        <v>0</v>
      </c>
      <c r="G2">
        <f>BDH("MTSI US Equity","BS_ST_BORROW","1993-06-18","2026-05-02","Per=Y","Days=T","Dir=V")</f>
        <v>0</v>
      </c>
      <c r="I2">
        <f>BDH("MTSI US Equity","BS_LT_BORROW","1993-06-18","2026-05-02","Per=Y","Days=T","Dir=V")</f>
        <v>0</v>
      </c>
      <c r="K2">
        <f>BDH("MTSI US Equity","BS_CASH_NEAR_CASH_ITEM","1993-06-18","2026-05-02","Per=Y","Days=T","Dir=V")</f>
        <v>0</v>
      </c>
      <c r="M2">
        <f>BDH("MTSI US Equity","BS_CUR_ASSET_REPORT","1993-06-18","2026-05-02","Per=Y","Days=T","Dir=V")</f>
        <v>0</v>
      </c>
      <c r="O2">
        <f>BDH("MTSI US Equity","BS_CUR_LIAB","1993-06-18","2026-05-02","Per=Y","Days=T","Dir=V")</f>
        <v>0</v>
      </c>
      <c r="Q2">
        <f>BDH("MTSI US Equity","BS_SHAREHOLDER_EQY_ENDING_PERIOD","1993-06-18","2026-05-02","Per=Y","Days=T","Dir=V")</f>
        <v>0</v>
      </c>
      <c r="S2">
        <f>BDH("MTSI US Equity","BS_ACCT_NOTE_RCV","1993-06-18","2026-05-02","Per=Y","Days=T","Dir=V")</f>
        <v>0</v>
      </c>
      <c r="U2">
        <f>BDH("MTSI US Equity","BS_INVENTORIES","1993-06-18","2026-05-02","Per=Y","Days=T","Dir=V")</f>
        <v>0</v>
      </c>
      <c r="W2">
        <f>BDH("MTSI US Equity","WORKING_CAPITAL","1993-06-18","2026-05-02","Per=Y","Days=T","Dir=V")</f>
        <v>0</v>
      </c>
      <c r="Y2">
        <f>BDH("MTSI US Equity","SALES_REV_TURN","1993-06-18","2026-05-02","Per=Y","Days=T","Dir=V")</f>
        <v>0</v>
      </c>
      <c r="AA2">
        <f>BDH("MTSI US Equity","EBIT","1993-06-18","2026-05-02","Per=Y","Days=T","Dir=V")</f>
        <v>0</v>
      </c>
      <c r="AC2">
        <f>BDH("MTSI US Equity","EBITDA","1993-06-18","2026-05-02","Per=Y","Days=T","Dir=V")</f>
        <v>0</v>
      </c>
      <c r="AE2">
        <f>BDH("MTSI US Equity","NET_INCOME","1993-06-18","2026-05-02","Per=Y","Days=T","Dir=V")</f>
        <v>0</v>
      </c>
      <c r="AG2">
        <f>BDH("MTSI US Equity","IS_INT_EXPENSE","1993-06-18","2026-05-02","Per=Y","Days=T","Dir=V")</f>
        <v>0</v>
      </c>
      <c r="AI2">
        <f>BDH("MTSI US Equity","IS_DEPR_EXP","1993-06-18","2026-05-02","Per=Y","Days=T","Dir=V")</f>
        <v>0</v>
      </c>
      <c r="AK2">
        <f>BDH("MTSI US Equity","CF_CASH_FROM_OPER","1993-06-18","2026-05-02","Per=Y","Days=T","Dir=V")</f>
        <v>0</v>
      </c>
      <c r="AM2">
        <f>BDH("MTSI US Equity","CAPITAL_EXPEND","1993-06-18","2026-05-02","Per=Y","Days=T","Dir=V")</f>
        <v>0</v>
      </c>
      <c r="AO2">
        <f>BDH("MTSI US Equity","CF_FREE_CASH_FLOW","1993-06-18","2026-05-02","Per=Y","Days=T","Dir=V")</f>
        <v>0</v>
      </c>
      <c r="AQ2">
        <f>BDH("MTSI US Equity","PX_LAST","1993-06-18","2026-05-02","Per=M","Days=T","Dir=V")</f>
        <v>0</v>
      </c>
      <c r="AS2">
        <f>BDH("MTSI US Equity","CUR_MKT_CAP","1993-06-18","2026-05-02","Per=M","Days=T","Dir=V")</f>
        <v>0</v>
      </c>
      <c r="AU2">
        <f>BDH("MTSI US Equity","EQY_SH_OUT","1993-06-18","2026-05-02","Per=M","Days=T","Dir=V")</f>
        <v>0</v>
      </c>
      <c r="AW2">
        <f>BDH("MTSI US Equity","PX_VOLUME","1993-06-18","2026-05-02","Per=M","Days=T","Dir=V")</f>
        <v>0</v>
      </c>
      <c r="AY2">
        <f>BDH("MTSI US Equity","TURNOVER","1993-06-18","2026-05-02","Per=M","Days=T","Dir=V")</f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BDH("MTUS US Equity","BS_TOT_ASSET","1993-06-18","2026-05-02","Per=Y","Days=T","Dir=V")</f>
        <v>0</v>
      </c>
      <c r="C2">
        <f>BDH("MTUS US Equity","BS_TOT_LIAB2","1993-06-18","2026-05-02","Per=Y","Days=T","Dir=V")</f>
        <v>0</v>
      </c>
      <c r="E2">
        <f>BDH("MTUS US Equity","SHORT_AND_LONG_TERM_DEBT","1993-06-18","2026-05-02","Per=Y","Days=T","Dir=V")</f>
        <v>0</v>
      </c>
      <c r="G2">
        <f>BDH("MTUS US Equity","BS_ST_BORROW","1993-06-18","2026-05-02","Per=Y","Days=T","Dir=V")</f>
        <v>0</v>
      </c>
      <c r="I2">
        <f>BDH("MTUS US Equity","BS_LT_BORROW","1993-06-18","2026-05-02","Per=Y","Days=T","Dir=V")</f>
        <v>0</v>
      </c>
      <c r="K2">
        <f>BDH("MTUS US Equity","BS_CASH_NEAR_CASH_ITEM","1993-06-18","2026-05-02","Per=Y","Days=T","Dir=V")</f>
        <v>0</v>
      </c>
      <c r="M2">
        <f>BDH("MTUS US Equity","BS_CUR_ASSET_REPORT","1993-06-18","2026-05-02","Per=Y","Days=T","Dir=V")</f>
        <v>0</v>
      </c>
      <c r="O2">
        <f>BDH("MTUS US Equity","BS_CUR_LIAB","1993-06-18","2026-05-02","Per=Y","Days=T","Dir=V")</f>
        <v>0</v>
      </c>
      <c r="Q2">
        <f>BDH("MTUS US Equity","BS_SHAREHOLDER_EQY_ENDING_PERIOD","1993-06-18","2026-05-02","Per=Y","Days=T","Dir=V")</f>
        <v>0</v>
      </c>
      <c r="S2">
        <f>BDH("MTUS US Equity","BS_ACCT_NOTE_RCV","1993-06-18","2026-05-02","Per=Y","Days=T","Dir=V")</f>
        <v>0</v>
      </c>
      <c r="U2">
        <f>BDH("MTUS US Equity","BS_INVENTORIES","1993-06-18","2026-05-02","Per=Y","Days=T","Dir=V")</f>
        <v>0</v>
      </c>
      <c r="W2">
        <f>BDH("MTUS US Equity","WORKING_CAPITAL","1993-06-18","2026-05-02","Per=Y","Days=T","Dir=V")</f>
        <v>0</v>
      </c>
      <c r="Y2">
        <f>BDH("MTUS US Equity","SALES_REV_TURN","1993-06-18","2026-05-02","Per=Y","Days=T","Dir=V")</f>
        <v>0</v>
      </c>
      <c r="AA2">
        <f>BDH("MTUS US Equity","EBIT","1993-06-18","2026-05-02","Per=Y","Days=T","Dir=V")</f>
        <v>0</v>
      </c>
      <c r="AC2">
        <f>BDH("MTUS US Equity","EBITDA","1993-06-18","2026-05-02","Per=Y","Days=T","Dir=V")</f>
        <v>0</v>
      </c>
      <c r="AE2">
        <f>BDH("MTUS US Equity","NET_INCOME","1993-06-18","2026-05-02","Per=Y","Days=T","Dir=V")</f>
        <v>0</v>
      </c>
      <c r="AG2">
        <f>BDH("MTUS US Equity","IS_INT_EXPENSE","1993-06-18","2026-05-02","Per=Y","Days=T","Dir=V")</f>
        <v>0</v>
      </c>
      <c r="AI2">
        <f>BDH("MTUS US Equity","IS_DEPR_EXP","1993-06-18","2026-05-02","Per=Y","Days=T","Dir=V")</f>
        <v>0</v>
      </c>
      <c r="AK2">
        <f>BDH("MTUS US Equity","CF_CASH_FROM_OPER","1993-06-18","2026-05-02","Per=Y","Days=T","Dir=V")</f>
        <v>0</v>
      </c>
      <c r="AM2">
        <f>BDH("MTUS US Equity","CAPITAL_EXPEND","1993-06-18","2026-05-02","Per=Y","Days=T","Dir=V")</f>
        <v>0</v>
      </c>
      <c r="AO2">
        <f>BDH("MTUS US Equity","CF_FREE_CASH_FLOW","1993-06-18","2026-05-02","Per=Y","Days=T","Dir=V")</f>
        <v>0</v>
      </c>
      <c r="AQ2">
        <f>BDH("MTUS US Equity","PX_LAST","1993-06-18","2026-05-02","Per=M","Days=T","Dir=V")</f>
        <v>0</v>
      </c>
      <c r="AS2">
        <f>BDH("MTUS US Equity","CUR_MKT_CAP","1993-06-18","2026-05-02","Per=M","Days=T","Dir=V")</f>
        <v>0</v>
      </c>
      <c r="AU2">
        <f>BDH("MTUS US Equity","EQY_SH_OUT","1993-06-18","2026-05-02","Per=M","Days=T","Dir=V")</f>
        <v>0</v>
      </c>
      <c r="AW2">
        <f>BDH("MTUS US Equity","PX_VOLUME","1993-06-18","2026-05-02","Per=M","Days=T","Dir=V")</f>
        <v>0</v>
      </c>
      <c r="AY2">
        <f>BDH("MTUS US Equity","TURNOVER","1993-06-18","2026-05-02","Per=M","Days=T","Dir=V")</f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BDH("MTVA US Equity","BS_TOT_ASSET","1993-06-18","2026-05-02","Per=Y","Days=T","Dir=V")</f>
        <v>0</v>
      </c>
      <c r="C2">
        <f>BDH("MTVA US Equity","BS_TOT_LIAB2","1993-06-18","2026-05-02","Per=Y","Days=T","Dir=V")</f>
        <v>0</v>
      </c>
      <c r="E2">
        <f>BDH("MTVA US Equity","SHORT_AND_LONG_TERM_DEBT","1993-06-18","2026-05-02","Per=Y","Days=T","Dir=V")</f>
        <v>0</v>
      </c>
      <c r="G2">
        <f>BDH("MTVA US Equity","BS_ST_BORROW","1993-06-18","2026-05-02","Per=Y","Days=T","Dir=V")</f>
        <v>0</v>
      </c>
      <c r="I2">
        <f>BDH("MTVA US Equity","BS_LT_BORROW","1993-06-18","2026-05-02","Per=Y","Days=T","Dir=V")</f>
        <v>0</v>
      </c>
      <c r="K2">
        <f>BDH("MTVA US Equity","BS_CASH_NEAR_CASH_ITEM","1993-06-18","2026-05-02","Per=Y","Days=T","Dir=V")</f>
        <v>0</v>
      </c>
      <c r="M2">
        <f>BDH("MTVA US Equity","BS_CUR_ASSET_REPORT","1993-06-18","2026-05-02","Per=Y","Days=T","Dir=V")</f>
        <v>0</v>
      </c>
      <c r="O2">
        <f>BDH("MTVA US Equity","BS_CUR_LIAB","1993-06-18","2026-05-02","Per=Y","Days=T","Dir=V")</f>
        <v>0</v>
      </c>
      <c r="Q2">
        <f>BDH("MTVA US Equity","BS_SHAREHOLDER_EQY_ENDING_PERIOD","1993-06-18","2026-05-02","Per=Y","Days=T","Dir=V")</f>
        <v>0</v>
      </c>
      <c r="S2">
        <f>BDH("MTVA US Equity","BS_ACCT_NOTE_RCV","1993-06-18","2026-05-02","Per=Y","Days=T","Dir=V")</f>
        <v>0</v>
      </c>
      <c r="U2">
        <f>BDH("MTVA US Equity","BS_INVENTORIES","1993-06-18","2026-05-02","Per=Y","Days=T","Dir=V")</f>
        <v>0</v>
      </c>
      <c r="W2">
        <f>BDH("MTVA US Equity","WORKING_CAPITAL","1993-06-18","2026-05-02","Per=Y","Days=T","Dir=V")</f>
        <v>0</v>
      </c>
      <c r="Y2">
        <f>BDH("MTVA US Equity","SALES_REV_TURN","1993-06-18","2026-05-02","Per=Y","Days=T","Dir=V")</f>
        <v>0</v>
      </c>
      <c r="AA2">
        <f>BDH("MTVA US Equity","EBIT","1993-06-18","2026-05-02","Per=Y","Days=T","Dir=V")</f>
        <v>0</v>
      </c>
      <c r="AC2">
        <f>BDH("MTVA US Equity","EBITDA","1993-06-18","2026-05-02","Per=Y","Days=T","Dir=V")</f>
        <v>0</v>
      </c>
      <c r="AE2">
        <f>BDH("MTVA US Equity","NET_INCOME","1993-06-18","2026-05-02","Per=Y","Days=T","Dir=V")</f>
        <v>0</v>
      </c>
      <c r="AG2">
        <f>BDH("MTVA US Equity","IS_INT_EXPENSE","1993-06-18","2026-05-02","Per=Y","Days=T","Dir=V")</f>
        <v>0</v>
      </c>
      <c r="AI2">
        <f>BDH("MTVA US Equity","IS_DEPR_EXP","1993-06-18","2026-05-02","Per=Y","Days=T","Dir=V")</f>
        <v>0</v>
      </c>
      <c r="AK2">
        <f>BDH("MTVA US Equity","CF_CASH_FROM_OPER","1993-06-18","2026-05-02","Per=Y","Days=T","Dir=V")</f>
        <v>0</v>
      </c>
      <c r="AM2">
        <f>BDH("MTVA US Equity","CAPITAL_EXPEND","1993-06-18","2026-05-02","Per=Y","Days=T","Dir=V")</f>
        <v>0</v>
      </c>
      <c r="AO2">
        <f>BDH("MTVA US Equity","CF_FREE_CASH_FLOW","1993-06-18","2026-05-02","Per=Y","Days=T","Dir=V")</f>
        <v>0</v>
      </c>
      <c r="AQ2">
        <f>BDH("MTVA US Equity","PX_LAST","1993-06-18","2026-05-02","Per=M","Days=T","Dir=V")</f>
        <v>0</v>
      </c>
      <c r="AS2">
        <f>BDH("MTVA US Equity","CUR_MKT_CAP","1993-06-18","2026-05-02","Per=M","Days=T","Dir=V")</f>
        <v>0</v>
      </c>
      <c r="AU2">
        <f>BDH("MTVA US Equity","EQY_SH_OUT","1993-06-18","2026-05-02","Per=M","Days=T","Dir=V")</f>
        <v>0</v>
      </c>
      <c r="AW2">
        <f>BDH("MTVA US Equity","PX_VOLUME","1993-06-18","2026-05-02","Per=M","Days=T","Dir=V")</f>
        <v>0</v>
      </c>
      <c r="AY2">
        <f>BDH("MTVA US Equity","TURNOVER","1993-06-18","2026-05-02","Per=M","Days=T","Dir=V")</f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BDH("MTW US Equity","BS_TOT_ASSET","1993-06-18","2026-05-02","Per=Y","Days=T","Dir=V")</f>
        <v>0</v>
      </c>
      <c r="C2">
        <f>BDH("MTW US Equity","BS_TOT_LIAB2","1993-06-18","2026-05-02","Per=Y","Days=T","Dir=V")</f>
        <v>0</v>
      </c>
      <c r="E2">
        <f>BDH("MTW US Equity","SHORT_AND_LONG_TERM_DEBT","1993-06-18","2026-05-02","Per=Y","Days=T","Dir=V")</f>
        <v>0</v>
      </c>
      <c r="G2">
        <f>BDH("MTW US Equity","BS_ST_BORROW","1993-06-18","2026-05-02","Per=Y","Days=T","Dir=V")</f>
        <v>0</v>
      </c>
      <c r="I2">
        <f>BDH("MTW US Equity","BS_LT_BORROW","1993-06-18","2026-05-02","Per=Y","Days=T","Dir=V")</f>
        <v>0</v>
      </c>
      <c r="K2">
        <f>BDH("MTW US Equity","BS_CASH_NEAR_CASH_ITEM","1993-06-18","2026-05-02","Per=Y","Days=T","Dir=V")</f>
        <v>0</v>
      </c>
      <c r="M2">
        <f>BDH("MTW US Equity","BS_CUR_ASSET_REPORT","1993-06-18","2026-05-02","Per=Y","Days=T","Dir=V")</f>
        <v>0</v>
      </c>
      <c r="O2">
        <f>BDH("MTW US Equity","BS_CUR_LIAB","1993-06-18","2026-05-02","Per=Y","Days=T","Dir=V")</f>
        <v>0</v>
      </c>
      <c r="Q2">
        <f>BDH("MTW US Equity","BS_SHAREHOLDER_EQY_ENDING_PERIOD","1993-06-18","2026-05-02","Per=Y","Days=T","Dir=V")</f>
        <v>0</v>
      </c>
      <c r="S2">
        <f>BDH("MTW US Equity","BS_ACCT_NOTE_RCV","1993-06-18","2026-05-02","Per=Y","Days=T","Dir=V")</f>
        <v>0</v>
      </c>
      <c r="U2">
        <f>BDH("MTW US Equity","BS_INVENTORIES","1993-06-18","2026-05-02","Per=Y","Days=T","Dir=V")</f>
        <v>0</v>
      </c>
      <c r="W2">
        <f>BDH("MTW US Equity","WORKING_CAPITAL","1993-06-18","2026-05-02","Per=Y","Days=T","Dir=V")</f>
        <v>0</v>
      </c>
      <c r="Y2">
        <f>BDH("MTW US Equity","SALES_REV_TURN","1993-06-18","2026-05-02","Per=Y","Days=T","Dir=V")</f>
        <v>0</v>
      </c>
      <c r="AA2">
        <f>BDH("MTW US Equity","EBIT","1993-06-18","2026-05-02","Per=Y","Days=T","Dir=V")</f>
        <v>0</v>
      </c>
      <c r="AC2">
        <f>BDH("MTW US Equity","EBITDA","1993-06-18","2026-05-02","Per=Y","Days=T","Dir=V")</f>
        <v>0</v>
      </c>
      <c r="AE2">
        <f>BDH("MTW US Equity","NET_INCOME","1993-06-18","2026-05-02","Per=Y","Days=T","Dir=V")</f>
        <v>0</v>
      </c>
      <c r="AG2">
        <f>BDH("MTW US Equity","IS_INT_EXPENSE","1993-06-18","2026-05-02","Per=Y","Days=T","Dir=V")</f>
        <v>0</v>
      </c>
      <c r="AI2">
        <f>BDH("MTW US Equity","IS_DEPR_EXP","1993-06-18","2026-05-02","Per=Y","Days=T","Dir=V")</f>
        <v>0</v>
      </c>
      <c r="AK2">
        <f>BDH("MTW US Equity","CF_CASH_FROM_OPER","1993-06-18","2026-05-02","Per=Y","Days=T","Dir=V")</f>
        <v>0</v>
      </c>
      <c r="AM2">
        <f>BDH("MTW US Equity","CAPITAL_EXPEND","1993-06-18","2026-05-02","Per=Y","Days=T","Dir=V")</f>
        <v>0</v>
      </c>
      <c r="AO2">
        <f>BDH("MTW US Equity","CF_FREE_CASH_FLOW","1993-06-18","2026-05-02","Per=Y","Days=T","Dir=V")</f>
        <v>0</v>
      </c>
      <c r="AQ2">
        <f>BDH("MTW US Equity","PX_LAST","1993-06-18","2026-05-02","Per=M","Days=T","Dir=V")</f>
        <v>0</v>
      </c>
      <c r="AS2">
        <f>BDH("MTW US Equity","CUR_MKT_CAP","1993-06-18","2026-05-02","Per=M","Days=T","Dir=V")</f>
        <v>0</v>
      </c>
      <c r="AU2">
        <f>BDH("MTW US Equity","EQY_SH_OUT","1993-06-18","2026-05-02","Per=M","Days=T","Dir=V")</f>
        <v>0</v>
      </c>
      <c r="AW2">
        <f>BDH("MTW US Equity","PX_VOLUME","1993-06-18","2026-05-02","Per=M","Days=T","Dir=V")</f>
        <v>0</v>
      </c>
      <c r="AY2">
        <f>BDH("MTW US Equity","TURNOVER","1993-06-18","2026-05-02","Per=M","Days=T","Dir=V")</f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BDH("MTX US Equity","BS_TOT_ASSET","1993-06-18","2026-05-02","Per=Y","Days=T","Dir=V")</f>
        <v>0</v>
      </c>
      <c r="C2">
        <f>BDH("MTX US Equity","BS_TOT_LIAB2","1993-06-18","2026-05-02","Per=Y","Days=T","Dir=V")</f>
        <v>0</v>
      </c>
      <c r="E2">
        <f>BDH("MTX US Equity","SHORT_AND_LONG_TERM_DEBT","1993-06-18","2026-05-02","Per=Y","Days=T","Dir=V")</f>
        <v>0</v>
      </c>
      <c r="G2">
        <f>BDH("MTX US Equity","BS_ST_BORROW","1993-06-18","2026-05-02","Per=Y","Days=T","Dir=V")</f>
        <v>0</v>
      </c>
      <c r="I2">
        <f>BDH("MTX US Equity","BS_LT_BORROW","1993-06-18","2026-05-02","Per=Y","Days=T","Dir=V")</f>
        <v>0</v>
      </c>
      <c r="K2">
        <f>BDH("MTX US Equity","BS_CASH_NEAR_CASH_ITEM","1993-06-18","2026-05-02","Per=Y","Days=T","Dir=V")</f>
        <v>0</v>
      </c>
      <c r="M2">
        <f>BDH("MTX US Equity","BS_CUR_ASSET_REPORT","1993-06-18","2026-05-02","Per=Y","Days=T","Dir=V")</f>
        <v>0</v>
      </c>
      <c r="O2">
        <f>BDH("MTX US Equity","BS_CUR_LIAB","1993-06-18","2026-05-02","Per=Y","Days=T","Dir=V")</f>
        <v>0</v>
      </c>
      <c r="Q2">
        <f>BDH("MTX US Equity","BS_SHAREHOLDER_EQY_ENDING_PERIOD","1993-06-18","2026-05-02","Per=Y","Days=T","Dir=V")</f>
        <v>0</v>
      </c>
      <c r="S2">
        <f>BDH("MTX US Equity","BS_ACCT_NOTE_RCV","1993-06-18","2026-05-02","Per=Y","Days=T","Dir=V")</f>
        <v>0</v>
      </c>
      <c r="U2">
        <f>BDH("MTX US Equity","BS_INVENTORIES","1993-06-18","2026-05-02","Per=Y","Days=T","Dir=V")</f>
        <v>0</v>
      </c>
      <c r="W2">
        <f>BDH("MTX US Equity","WORKING_CAPITAL","1993-06-18","2026-05-02","Per=Y","Days=T","Dir=V")</f>
        <v>0</v>
      </c>
      <c r="Y2">
        <f>BDH("MTX US Equity","SALES_REV_TURN","1993-06-18","2026-05-02","Per=Y","Days=T","Dir=V")</f>
        <v>0</v>
      </c>
      <c r="AA2">
        <f>BDH("MTX US Equity","EBIT","1993-06-18","2026-05-02","Per=Y","Days=T","Dir=V")</f>
        <v>0</v>
      </c>
      <c r="AC2">
        <f>BDH("MTX US Equity","EBITDA","1993-06-18","2026-05-02","Per=Y","Days=T","Dir=V")</f>
        <v>0</v>
      </c>
      <c r="AE2">
        <f>BDH("MTX US Equity","NET_INCOME","1993-06-18","2026-05-02","Per=Y","Days=T","Dir=V")</f>
        <v>0</v>
      </c>
      <c r="AG2">
        <f>BDH("MTX US Equity","IS_INT_EXPENSE","1993-06-18","2026-05-02","Per=Y","Days=T","Dir=V")</f>
        <v>0</v>
      </c>
      <c r="AI2">
        <f>BDH("MTX US Equity","IS_DEPR_EXP","1993-06-18","2026-05-02","Per=Y","Days=T","Dir=V")</f>
        <v>0</v>
      </c>
      <c r="AK2">
        <f>BDH("MTX US Equity","CF_CASH_FROM_OPER","1993-06-18","2026-05-02","Per=Y","Days=T","Dir=V")</f>
        <v>0</v>
      </c>
      <c r="AM2">
        <f>BDH("MTX US Equity","CAPITAL_EXPEND","1993-06-18","2026-05-02","Per=Y","Days=T","Dir=V")</f>
        <v>0</v>
      </c>
      <c r="AO2">
        <f>BDH("MTX US Equity","CF_FREE_CASH_FLOW","1993-06-18","2026-05-02","Per=Y","Days=T","Dir=V")</f>
        <v>0</v>
      </c>
      <c r="AQ2">
        <f>BDH("MTX US Equity","PX_LAST","1993-06-18","2026-05-02","Per=M","Days=T","Dir=V")</f>
        <v>0</v>
      </c>
      <c r="AS2">
        <f>BDH("MTX US Equity","CUR_MKT_CAP","1993-06-18","2026-05-02","Per=M","Days=T","Dir=V")</f>
        <v>0</v>
      </c>
      <c r="AU2">
        <f>BDH("MTX US Equity","EQY_SH_OUT","1993-06-18","2026-05-02","Per=M","Days=T","Dir=V")</f>
        <v>0</v>
      </c>
      <c r="AW2">
        <f>BDH("MTX US Equity","PX_VOLUME","1993-06-18","2026-05-02","Per=M","Days=T","Dir=V")</f>
        <v>0</v>
      </c>
      <c r="AY2">
        <f>BDH("MTX US Equity","TURNOVER","1993-06-18","2026-05-02","Per=M","Days=T","Dir=V")</f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BDH("MTZ US Equity","BS_TOT_ASSET","1993-06-18","2026-05-02","Per=Y","Days=T","Dir=V")</f>
        <v>0</v>
      </c>
      <c r="C2">
        <f>BDH("MTZ US Equity","BS_TOT_LIAB2","1993-06-18","2026-05-02","Per=Y","Days=T","Dir=V")</f>
        <v>0</v>
      </c>
      <c r="E2">
        <f>BDH("MTZ US Equity","SHORT_AND_LONG_TERM_DEBT","1993-06-18","2026-05-02","Per=Y","Days=T","Dir=V")</f>
        <v>0</v>
      </c>
      <c r="G2">
        <f>BDH("MTZ US Equity","BS_ST_BORROW","1993-06-18","2026-05-02","Per=Y","Days=T","Dir=V")</f>
        <v>0</v>
      </c>
      <c r="I2">
        <f>BDH("MTZ US Equity","BS_LT_BORROW","1993-06-18","2026-05-02","Per=Y","Days=T","Dir=V")</f>
        <v>0</v>
      </c>
      <c r="K2">
        <f>BDH("MTZ US Equity","BS_CASH_NEAR_CASH_ITEM","1993-06-18","2026-05-02","Per=Y","Days=T","Dir=V")</f>
        <v>0</v>
      </c>
      <c r="M2">
        <f>BDH("MTZ US Equity","BS_CUR_ASSET_REPORT","1993-06-18","2026-05-02","Per=Y","Days=T","Dir=V")</f>
        <v>0</v>
      </c>
      <c r="O2">
        <f>BDH("MTZ US Equity","BS_CUR_LIAB","1993-06-18","2026-05-02","Per=Y","Days=T","Dir=V")</f>
        <v>0</v>
      </c>
      <c r="Q2">
        <f>BDH("MTZ US Equity","BS_SHAREHOLDER_EQY_ENDING_PERIOD","1993-06-18","2026-05-02","Per=Y","Days=T","Dir=V")</f>
        <v>0</v>
      </c>
      <c r="S2">
        <f>BDH("MTZ US Equity","BS_ACCT_NOTE_RCV","1993-06-18","2026-05-02","Per=Y","Days=T","Dir=V")</f>
        <v>0</v>
      </c>
      <c r="U2">
        <f>BDH("MTZ US Equity","BS_INVENTORIES","1993-06-18","2026-05-02","Per=Y","Days=T","Dir=V")</f>
        <v>0</v>
      </c>
      <c r="W2">
        <f>BDH("MTZ US Equity","WORKING_CAPITAL","1993-06-18","2026-05-02","Per=Y","Days=T","Dir=V")</f>
        <v>0</v>
      </c>
      <c r="Y2">
        <f>BDH("MTZ US Equity","SALES_REV_TURN","1993-06-18","2026-05-02","Per=Y","Days=T","Dir=V")</f>
        <v>0</v>
      </c>
      <c r="AA2">
        <f>BDH("MTZ US Equity","EBIT","1993-06-18","2026-05-02","Per=Y","Days=T","Dir=V")</f>
        <v>0</v>
      </c>
      <c r="AC2">
        <f>BDH("MTZ US Equity","EBITDA","1993-06-18","2026-05-02","Per=Y","Days=T","Dir=V")</f>
        <v>0</v>
      </c>
      <c r="AE2">
        <f>BDH("MTZ US Equity","NET_INCOME","1993-06-18","2026-05-02","Per=Y","Days=T","Dir=V")</f>
        <v>0</v>
      </c>
      <c r="AG2">
        <f>BDH("MTZ US Equity","IS_INT_EXPENSE","1993-06-18","2026-05-02","Per=Y","Days=T","Dir=V")</f>
        <v>0</v>
      </c>
      <c r="AI2">
        <f>BDH("MTZ US Equity","IS_DEPR_EXP","1993-06-18","2026-05-02","Per=Y","Days=T","Dir=V")</f>
        <v>0</v>
      </c>
      <c r="AK2">
        <f>BDH("MTZ US Equity","CF_CASH_FROM_OPER","1993-06-18","2026-05-02","Per=Y","Days=T","Dir=V")</f>
        <v>0</v>
      </c>
      <c r="AM2">
        <f>BDH("MTZ US Equity","CAPITAL_EXPEND","1993-06-18","2026-05-02","Per=Y","Days=T","Dir=V")</f>
        <v>0</v>
      </c>
      <c r="AO2">
        <f>BDH("MTZ US Equity","CF_FREE_CASH_FLOW","1993-06-18","2026-05-02","Per=Y","Days=T","Dir=V")</f>
        <v>0</v>
      </c>
      <c r="AQ2">
        <f>BDH("MTZ US Equity","PX_LAST","1993-06-18","2026-05-02","Per=M","Days=T","Dir=V")</f>
        <v>0</v>
      </c>
      <c r="AS2">
        <f>BDH("MTZ US Equity","CUR_MKT_CAP","1993-06-18","2026-05-02","Per=M","Days=T","Dir=V")</f>
        <v>0</v>
      </c>
      <c r="AU2">
        <f>BDH("MTZ US Equity","EQY_SH_OUT","1993-06-18","2026-05-02","Per=M","Days=T","Dir=V")</f>
        <v>0</v>
      </c>
      <c r="AW2">
        <f>BDH("MTZ US Equity","PX_VOLUME","1993-06-18","2026-05-02","Per=M","Days=T","Dir=V")</f>
        <v>0</v>
      </c>
      <c r="AY2">
        <f>BDH("MTZ US Equity","TURNOVER","1993-06-18","2026-05-02","Per=M","Days=T","Dir=V")</f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BDH("MU US Equity","BS_TOT_ASSET","1993-06-18","2026-05-02","Per=Y","Days=T","Dir=V")</f>
        <v>0</v>
      </c>
      <c r="C2">
        <f>BDH("MU US Equity","BS_TOT_LIAB2","1993-06-18","2026-05-02","Per=Y","Days=T","Dir=V")</f>
        <v>0</v>
      </c>
      <c r="E2">
        <f>BDH("MU US Equity","SHORT_AND_LONG_TERM_DEBT","1993-06-18","2026-05-02","Per=Y","Days=T","Dir=V")</f>
        <v>0</v>
      </c>
      <c r="G2">
        <f>BDH("MU US Equity","BS_ST_BORROW","1993-06-18","2026-05-02","Per=Y","Days=T","Dir=V")</f>
        <v>0</v>
      </c>
      <c r="I2">
        <f>BDH("MU US Equity","BS_LT_BORROW","1993-06-18","2026-05-02","Per=Y","Days=T","Dir=V")</f>
        <v>0</v>
      </c>
      <c r="K2">
        <f>BDH("MU US Equity","BS_CASH_NEAR_CASH_ITEM","1993-06-18","2026-05-02","Per=Y","Days=T","Dir=V")</f>
        <v>0</v>
      </c>
      <c r="M2">
        <f>BDH("MU US Equity","BS_CUR_ASSET_REPORT","1993-06-18","2026-05-02","Per=Y","Days=T","Dir=V")</f>
        <v>0</v>
      </c>
      <c r="O2">
        <f>BDH("MU US Equity","BS_CUR_LIAB","1993-06-18","2026-05-02","Per=Y","Days=T","Dir=V")</f>
        <v>0</v>
      </c>
      <c r="Q2">
        <f>BDH("MU US Equity","BS_SHAREHOLDER_EQY_ENDING_PERIOD","1993-06-18","2026-05-02","Per=Y","Days=T","Dir=V")</f>
        <v>0</v>
      </c>
      <c r="S2">
        <f>BDH("MU US Equity","BS_ACCT_NOTE_RCV","1993-06-18","2026-05-02","Per=Y","Days=T","Dir=V")</f>
        <v>0</v>
      </c>
      <c r="U2">
        <f>BDH("MU US Equity","BS_INVENTORIES","1993-06-18","2026-05-02","Per=Y","Days=T","Dir=V")</f>
        <v>0</v>
      </c>
      <c r="W2">
        <f>BDH("MU US Equity","WORKING_CAPITAL","1993-06-18","2026-05-02","Per=Y","Days=T","Dir=V")</f>
        <v>0</v>
      </c>
      <c r="Y2">
        <f>BDH("MU US Equity","SALES_REV_TURN","1993-06-18","2026-05-02","Per=Y","Days=T","Dir=V")</f>
        <v>0</v>
      </c>
      <c r="AA2">
        <f>BDH("MU US Equity","EBIT","1993-06-18","2026-05-02","Per=Y","Days=T","Dir=V")</f>
        <v>0</v>
      </c>
      <c r="AC2">
        <f>BDH("MU US Equity","EBITDA","1993-06-18","2026-05-02","Per=Y","Days=T","Dir=V")</f>
        <v>0</v>
      </c>
      <c r="AE2">
        <f>BDH("MU US Equity","NET_INCOME","1993-06-18","2026-05-02","Per=Y","Days=T","Dir=V")</f>
        <v>0</v>
      </c>
      <c r="AG2">
        <f>BDH("MU US Equity","IS_INT_EXPENSE","1993-06-18","2026-05-02","Per=Y","Days=T","Dir=V")</f>
        <v>0</v>
      </c>
      <c r="AI2">
        <f>BDH("MU US Equity","IS_DEPR_EXP","1993-06-18","2026-05-02","Per=Y","Days=T","Dir=V")</f>
        <v>0</v>
      </c>
      <c r="AK2">
        <f>BDH("MU US Equity","CF_CASH_FROM_OPER","1993-06-18","2026-05-02","Per=Y","Days=T","Dir=V")</f>
        <v>0</v>
      </c>
      <c r="AM2">
        <f>BDH("MU US Equity","CAPITAL_EXPEND","1993-06-18","2026-05-02","Per=Y","Days=T","Dir=V")</f>
        <v>0</v>
      </c>
      <c r="AO2">
        <f>BDH("MU US Equity","CF_FREE_CASH_FLOW","1993-06-18","2026-05-02","Per=Y","Days=T","Dir=V")</f>
        <v>0</v>
      </c>
      <c r="AQ2">
        <f>BDH("MU US Equity","PX_LAST","1993-06-18","2026-05-02","Per=M","Days=T","Dir=V")</f>
        <v>0</v>
      </c>
      <c r="AS2">
        <f>BDH("MU US Equity","CUR_MKT_CAP","1993-06-18","2026-05-02","Per=M","Days=T","Dir=V")</f>
        <v>0</v>
      </c>
      <c r="AU2">
        <f>BDH("MU US Equity","EQY_SH_OUT","1993-06-18","2026-05-02","Per=M","Days=T","Dir=V")</f>
        <v>0</v>
      </c>
      <c r="AW2">
        <f>BDH("MU US Equity","PX_VOLUME","1993-06-18","2026-05-02","Per=M","Days=T","Dir=V")</f>
        <v>0</v>
      </c>
      <c r="AY2">
        <f>BDH("MU US Equity","TURNOVER","1993-06-18","2026-05-02","Per=M","Days=T","Dir=V")</f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BDH("MUR US Equity","BS_TOT_ASSET","1993-06-18","2026-05-02","Per=Y","Days=T","Dir=V")</f>
        <v>0</v>
      </c>
      <c r="C2">
        <f>BDH("MUR US Equity","BS_TOT_LIAB2","1993-06-18","2026-05-02","Per=Y","Days=T","Dir=V")</f>
        <v>0</v>
      </c>
      <c r="E2">
        <f>BDH("MUR US Equity","SHORT_AND_LONG_TERM_DEBT","1993-06-18","2026-05-02","Per=Y","Days=T","Dir=V")</f>
        <v>0</v>
      </c>
      <c r="G2">
        <f>BDH("MUR US Equity","BS_ST_BORROW","1993-06-18","2026-05-02","Per=Y","Days=T","Dir=V")</f>
        <v>0</v>
      </c>
      <c r="I2">
        <f>BDH("MUR US Equity","BS_LT_BORROW","1993-06-18","2026-05-02","Per=Y","Days=T","Dir=V")</f>
        <v>0</v>
      </c>
      <c r="K2">
        <f>BDH("MUR US Equity","BS_CASH_NEAR_CASH_ITEM","1993-06-18","2026-05-02","Per=Y","Days=T","Dir=V")</f>
        <v>0</v>
      </c>
      <c r="M2">
        <f>BDH("MUR US Equity","BS_CUR_ASSET_REPORT","1993-06-18","2026-05-02","Per=Y","Days=T","Dir=V")</f>
        <v>0</v>
      </c>
      <c r="O2">
        <f>BDH("MUR US Equity","BS_CUR_LIAB","1993-06-18","2026-05-02","Per=Y","Days=T","Dir=V")</f>
        <v>0</v>
      </c>
      <c r="Q2">
        <f>BDH("MUR US Equity","BS_SHAREHOLDER_EQY_ENDING_PERIOD","1993-06-18","2026-05-02","Per=Y","Days=T","Dir=V")</f>
        <v>0</v>
      </c>
      <c r="S2">
        <f>BDH("MUR US Equity","BS_ACCT_NOTE_RCV","1993-06-18","2026-05-02","Per=Y","Days=T","Dir=V")</f>
        <v>0</v>
      </c>
      <c r="U2">
        <f>BDH("MUR US Equity","BS_INVENTORIES","1993-06-18","2026-05-02","Per=Y","Days=T","Dir=V")</f>
        <v>0</v>
      </c>
      <c r="W2">
        <f>BDH("MUR US Equity","WORKING_CAPITAL","1993-06-18","2026-05-02","Per=Y","Days=T","Dir=V")</f>
        <v>0</v>
      </c>
      <c r="Y2">
        <f>BDH("MUR US Equity","SALES_REV_TURN","1993-06-18","2026-05-02","Per=Y","Days=T","Dir=V")</f>
        <v>0</v>
      </c>
      <c r="AA2">
        <f>BDH("MUR US Equity","EBIT","1993-06-18","2026-05-02","Per=Y","Days=T","Dir=V")</f>
        <v>0</v>
      </c>
      <c r="AC2">
        <f>BDH("MUR US Equity","EBITDA","1993-06-18","2026-05-02","Per=Y","Days=T","Dir=V")</f>
        <v>0</v>
      </c>
      <c r="AE2">
        <f>BDH("MUR US Equity","NET_INCOME","1993-06-18","2026-05-02","Per=Y","Days=T","Dir=V")</f>
        <v>0</v>
      </c>
      <c r="AG2">
        <f>BDH("MUR US Equity","IS_INT_EXPENSE","1993-06-18","2026-05-02","Per=Y","Days=T","Dir=V")</f>
        <v>0</v>
      </c>
      <c r="AI2">
        <f>BDH("MUR US Equity","IS_DEPR_EXP","1993-06-18","2026-05-02","Per=Y","Days=T","Dir=V")</f>
        <v>0</v>
      </c>
      <c r="AK2">
        <f>BDH("MUR US Equity","CF_CASH_FROM_OPER","1993-06-18","2026-05-02","Per=Y","Days=T","Dir=V")</f>
        <v>0</v>
      </c>
      <c r="AM2">
        <f>BDH("MUR US Equity","CAPITAL_EXPEND","1993-06-18","2026-05-02","Per=Y","Days=T","Dir=V")</f>
        <v>0</v>
      </c>
      <c r="AO2">
        <f>BDH("MUR US Equity","CF_FREE_CASH_FLOW","1993-06-18","2026-05-02","Per=Y","Days=T","Dir=V")</f>
        <v>0</v>
      </c>
      <c r="AQ2">
        <f>BDH("MUR US Equity","PX_LAST","1993-06-18","2026-05-02","Per=M","Days=T","Dir=V")</f>
        <v>0</v>
      </c>
      <c r="AS2">
        <f>BDH("MUR US Equity","CUR_MKT_CAP","1993-06-18","2026-05-02","Per=M","Days=T","Dir=V")</f>
        <v>0</v>
      </c>
      <c r="AU2">
        <f>BDH("MUR US Equity","EQY_SH_OUT","1993-06-18","2026-05-02","Per=M","Days=T","Dir=V")</f>
        <v>0</v>
      </c>
      <c r="AW2">
        <f>BDH("MUR US Equity","PX_VOLUME","1993-06-18","2026-05-02","Per=M","Days=T","Dir=V")</f>
        <v>0</v>
      </c>
      <c r="AY2">
        <f>BDH("MUR US Equity","TURNOVER","1993-06-18","2026-05-02","Per=M","Days=T","Dir=V")</f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BDH("MUSA US Equity","BS_TOT_ASSET","1993-06-18","2026-05-02","Per=Y","Days=T","Dir=V")</f>
        <v>0</v>
      </c>
      <c r="C2">
        <f>BDH("MUSA US Equity","BS_TOT_LIAB2","1993-06-18","2026-05-02","Per=Y","Days=T","Dir=V")</f>
        <v>0</v>
      </c>
      <c r="E2">
        <f>BDH("MUSA US Equity","SHORT_AND_LONG_TERM_DEBT","1993-06-18","2026-05-02","Per=Y","Days=T","Dir=V")</f>
        <v>0</v>
      </c>
      <c r="G2">
        <f>BDH("MUSA US Equity","BS_ST_BORROW","1993-06-18","2026-05-02","Per=Y","Days=T","Dir=V")</f>
        <v>0</v>
      </c>
      <c r="I2">
        <f>BDH("MUSA US Equity","BS_LT_BORROW","1993-06-18","2026-05-02","Per=Y","Days=T","Dir=V")</f>
        <v>0</v>
      </c>
      <c r="K2">
        <f>BDH("MUSA US Equity","BS_CASH_NEAR_CASH_ITEM","1993-06-18","2026-05-02","Per=Y","Days=T","Dir=V")</f>
        <v>0</v>
      </c>
      <c r="M2">
        <f>BDH("MUSA US Equity","BS_CUR_ASSET_REPORT","1993-06-18","2026-05-02","Per=Y","Days=T","Dir=V")</f>
        <v>0</v>
      </c>
      <c r="O2">
        <f>BDH("MUSA US Equity","BS_CUR_LIAB","1993-06-18","2026-05-02","Per=Y","Days=T","Dir=V")</f>
        <v>0</v>
      </c>
      <c r="Q2">
        <f>BDH("MUSA US Equity","BS_SHAREHOLDER_EQY_ENDING_PERIOD","1993-06-18","2026-05-02","Per=Y","Days=T","Dir=V")</f>
        <v>0</v>
      </c>
      <c r="S2">
        <f>BDH("MUSA US Equity","BS_ACCT_NOTE_RCV","1993-06-18","2026-05-02","Per=Y","Days=T","Dir=V")</f>
        <v>0</v>
      </c>
      <c r="U2">
        <f>BDH("MUSA US Equity","BS_INVENTORIES","1993-06-18","2026-05-02","Per=Y","Days=T","Dir=V")</f>
        <v>0</v>
      </c>
      <c r="W2">
        <f>BDH("MUSA US Equity","WORKING_CAPITAL","1993-06-18","2026-05-02","Per=Y","Days=T","Dir=V")</f>
        <v>0</v>
      </c>
      <c r="Y2">
        <f>BDH("MUSA US Equity","SALES_REV_TURN","1993-06-18","2026-05-02","Per=Y","Days=T","Dir=V")</f>
        <v>0</v>
      </c>
      <c r="AA2">
        <f>BDH("MUSA US Equity","EBIT","1993-06-18","2026-05-02","Per=Y","Days=T","Dir=V")</f>
        <v>0</v>
      </c>
      <c r="AC2">
        <f>BDH("MUSA US Equity","EBITDA","1993-06-18","2026-05-02","Per=Y","Days=T","Dir=V")</f>
        <v>0</v>
      </c>
      <c r="AE2">
        <f>BDH("MUSA US Equity","NET_INCOME","1993-06-18","2026-05-02","Per=Y","Days=T","Dir=V")</f>
        <v>0</v>
      </c>
      <c r="AG2">
        <f>BDH("MUSA US Equity","IS_INT_EXPENSE","1993-06-18","2026-05-02","Per=Y","Days=T","Dir=V")</f>
        <v>0</v>
      </c>
      <c r="AI2">
        <f>BDH("MUSA US Equity","IS_DEPR_EXP","1993-06-18","2026-05-02","Per=Y","Days=T","Dir=V")</f>
        <v>0</v>
      </c>
      <c r="AK2">
        <f>BDH("MUSA US Equity","CF_CASH_FROM_OPER","1993-06-18","2026-05-02","Per=Y","Days=T","Dir=V")</f>
        <v>0</v>
      </c>
      <c r="AM2">
        <f>BDH("MUSA US Equity","CAPITAL_EXPEND","1993-06-18","2026-05-02","Per=Y","Days=T","Dir=V")</f>
        <v>0</v>
      </c>
      <c r="AO2">
        <f>BDH("MUSA US Equity","CF_FREE_CASH_FLOW","1993-06-18","2026-05-02","Per=Y","Days=T","Dir=V")</f>
        <v>0</v>
      </c>
      <c r="AQ2">
        <f>BDH("MUSA US Equity","PX_LAST","1993-06-18","2026-05-02","Per=M","Days=T","Dir=V")</f>
        <v>0</v>
      </c>
      <c r="AS2">
        <f>BDH("MUSA US Equity","CUR_MKT_CAP","1993-06-18","2026-05-02","Per=M","Days=T","Dir=V")</f>
        <v>0</v>
      </c>
      <c r="AU2">
        <f>BDH("MUSA US Equity","EQY_SH_OUT","1993-06-18","2026-05-02","Per=M","Days=T","Dir=V")</f>
        <v>0</v>
      </c>
      <c r="AW2">
        <f>BDH("MUSA US Equity","PX_VOLUME","1993-06-18","2026-05-02","Per=M","Days=T","Dir=V")</f>
        <v>0</v>
      </c>
      <c r="AY2">
        <f>BDH("MUSA US Equity","TURNOVER","1993-06-18","2026-05-02","Per=M","Days=T","Dir=V")</f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BDH("MVIS US Equity","BS_TOT_ASSET","1993-06-18","2026-05-02","Per=Y","Days=T","Dir=V")</f>
        <v>0</v>
      </c>
      <c r="C2">
        <f>BDH("MVIS US Equity","BS_TOT_LIAB2","1993-06-18","2026-05-02","Per=Y","Days=T","Dir=V")</f>
        <v>0</v>
      </c>
      <c r="E2">
        <f>BDH("MVIS US Equity","SHORT_AND_LONG_TERM_DEBT","1993-06-18","2026-05-02","Per=Y","Days=T","Dir=V")</f>
        <v>0</v>
      </c>
      <c r="G2">
        <f>BDH("MVIS US Equity","BS_ST_BORROW","1993-06-18","2026-05-02","Per=Y","Days=T","Dir=V")</f>
        <v>0</v>
      </c>
      <c r="I2">
        <f>BDH("MVIS US Equity","BS_LT_BORROW","1993-06-18","2026-05-02","Per=Y","Days=T","Dir=V")</f>
        <v>0</v>
      </c>
      <c r="K2">
        <f>BDH("MVIS US Equity","BS_CASH_NEAR_CASH_ITEM","1993-06-18","2026-05-02","Per=Y","Days=T","Dir=V")</f>
        <v>0</v>
      </c>
      <c r="M2">
        <f>BDH("MVIS US Equity","BS_CUR_ASSET_REPORT","1993-06-18","2026-05-02","Per=Y","Days=T","Dir=V")</f>
        <v>0</v>
      </c>
      <c r="O2">
        <f>BDH("MVIS US Equity","BS_CUR_LIAB","1993-06-18","2026-05-02","Per=Y","Days=T","Dir=V")</f>
        <v>0</v>
      </c>
      <c r="Q2">
        <f>BDH("MVIS US Equity","BS_SHAREHOLDER_EQY_ENDING_PERIOD","1993-06-18","2026-05-02","Per=Y","Days=T","Dir=V")</f>
        <v>0</v>
      </c>
      <c r="S2">
        <f>BDH("MVIS US Equity","BS_ACCT_NOTE_RCV","1993-06-18","2026-05-02","Per=Y","Days=T","Dir=V")</f>
        <v>0</v>
      </c>
      <c r="U2">
        <f>BDH("MVIS US Equity","BS_INVENTORIES","1993-06-18","2026-05-02","Per=Y","Days=T","Dir=V")</f>
        <v>0</v>
      </c>
      <c r="W2">
        <f>BDH("MVIS US Equity","WORKING_CAPITAL","1993-06-18","2026-05-02","Per=Y","Days=T","Dir=V")</f>
        <v>0</v>
      </c>
      <c r="Y2">
        <f>BDH("MVIS US Equity","SALES_REV_TURN","1993-06-18","2026-05-02","Per=Y","Days=T","Dir=V")</f>
        <v>0</v>
      </c>
      <c r="AA2">
        <f>BDH("MVIS US Equity","EBIT","1993-06-18","2026-05-02","Per=Y","Days=T","Dir=V")</f>
        <v>0</v>
      </c>
      <c r="AC2">
        <f>BDH("MVIS US Equity","EBITDA","1993-06-18","2026-05-02","Per=Y","Days=T","Dir=V")</f>
        <v>0</v>
      </c>
      <c r="AE2">
        <f>BDH("MVIS US Equity","NET_INCOME","1993-06-18","2026-05-02","Per=Y","Days=T","Dir=V")</f>
        <v>0</v>
      </c>
      <c r="AG2">
        <f>BDH("MVIS US Equity","IS_INT_EXPENSE","1993-06-18","2026-05-02","Per=Y","Days=T","Dir=V")</f>
        <v>0</v>
      </c>
      <c r="AI2">
        <f>BDH("MVIS US Equity","IS_DEPR_EXP","1993-06-18","2026-05-02","Per=Y","Days=T","Dir=V")</f>
        <v>0</v>
      </c>
      <c r="AK2">
        <f>BDH("MVIS US Equity","CF_CASH_FROM_OPER","1993-06-18","2026-05-02","Per=Y","Days=T","Dir=V")</f>
        <v>0</v>
      </c>
      <c r="AM2">
        <f>BDH("MVIS US Equity","CAPITAL_EXPEND","1993-06-18","2026-05-02","Per=Y","Days=T","Dir=V")</f>
        <v>0</v>
      </c>
      <c r="AO2">
        <f>BDH("MVIS US Equity","CF_FREE_CASH_FLOW","1993-06-18","2026-05-02","Per=Y","Days=T","Dir=V")</f>
        <v>0</v>
      </c>
      <c r="AQ2">
        <f>BDH("MVIS US Equity","PX_LAST","1993-06-18","2026-05-02","Per=M","Days=T","Dir=V")</f>
        <v>0</v>
      </c>
      <c r="AS2">
        <f>BDH("MVIS US Equity","CUR_MKT_CAP","1993-06-18","2026-05-02","Per=M","Days=T","Dir=V")</f>
        <v>0</v>
      </c>
      <c r="AU2">
        <f>BDH("MVIS US Equity","EQY_SH_OUT","1993-06-18","2026-05-02","Per=M","Days=T","Dir=V")</f>
        <v>0</v>
      </c>
      <c r="AW2">
        <f>BDH("MVIS US Equity","PX_VOLUME","1993-06-18","2026-05-02","Per=M","Days=T","Dir=V")</f>
        <v>0</v>
      </c>
      <c r="AY2">
        <f>BDH("MVIS US Equity","TURNOVER","1993-06-18","2026-05-02","Per=M","Days=T","Dir=V")</f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BDH("MWA US Equity","BS_TOT_ASSET","1993-06-18","2026-05-02","Per=Y","Days=T","Dir=V")</f>
        <v>0</v>
      </c>
      <c r="C2">
        <f>BDH("MWA US Equity","BS_TOT_LIAB2","1993-06-18","2026-05-02","Per=Y","Days=T","Dir=V")</f>
        <v>0</v>
      </c>
      <c r="E2">
        <f>BDH("MWA US Equity","SHORT_AND_LONG_TERM_DEBT","1993-06-18","2026-05-02","Per=Y","Days=T","Dir=V")</f>
        <v>0</v>
      </c>
      <c r="G2">
        <f>BDH("MWA US Equity","BS_ST_BORROW","1993-06-18","2026-05-02","Per=Y","Days=T","Dir=V")</f>
        <v>0</v>
      </c>
      <c r="I2">
        <f>BDH("MWA US Equity","BS_LT_BORROW","1993-06-18","2026-05-02","Per=Y","Days=T","Dir=V")</f>
        <v>0</v>
      </c>
      <c r="K2">
        <f>BDH("MWA US Equity","BS_CASH_NEAR_CASH_ITEM","1993-06-18","2026-05-02","Per=Y","Days=T","Dir=V")</f>
        <v>0</v>
      </c>
      <c r="M2">
        <f>BDH("MWA US Equity","BS_CUR_ASSET_REPORT","1993-06-18","2026-05-02","Per=Y","Days=T","Dir=V")</f>
        <v>0</v>
      </c>
      <c r="O2">
        <f>BDH("MWA US Equity","BS_CUR_LIAB","1993-06-18","2026-05-02","Per=Y","Days=T","Dir=V")</f>
        <v>0</v>
      </c>
      <c r="Q2">
        <f>BDH("MWA US Equity","BS_SHAREHOLDER_EQY_ENDING_PERIOD","1993-06-18","2026-05-02","Per=Y","Days=T","Dir=V")</f>
        <v>0</v>
      </c>
      <c r="S2">
        <f>BDH("MWA US Equity","BS_ACCT_NOTE_RCV","1993-06-18","2026-05-02","Per=Y","Days=T","Dir=V")</f>
        <v>0</v>
      </c>
      <c r="U2">
        <f>BDH("MWA US Equity","BS_INVENTORIES","1993-06-18","2026-05-02","Per=Y","Days=T","Dir=V")</f>
        <v>0</v>
      </c>
      <c r="W2">
        <f>BDH("MWA US Equity","WORKING_CAPITAL","1993-06-18","2026-05-02","Per=Y","Days=T","Dir=V")</f>
        <v>0</v>
      </c>
      <c r="Y2">
        <f>BDH("MWA US Equity","SALES_REV_TURN","1993-06-18","2026-05-02","Per=Y","Days=T","Dir=V")</f>
        <v>0</v>
      </c>
      <c r="AA2">
        <f>BDH("MWA US Equity","EBIT","1993-06-18","2026-05-02","Per=Y","Days=T","Dir=V")</f>
        <v>0</v>
      </c>
      <c r="AC2">
        <f>BDH("MWA US Equity","EBITDA","1993-06-18","2026-05-02","Per=Y","Days=T","Dir=V")</f>
        <v>0</v>
      </c>
      <c r="AE2">
        <f>BDH("MWA US Equity","NET_INCOME","1993-06-18","2026-05-02","Per=Y","Days=T","Dir=V")</f>
        <v>0</v>
      </c>
      <c r="AG2">
        <f>BDH("MWA US Equity","IS_INT_EXPENSE","1993-06-18","2026-05-02","Per=Y","Days=T","Dir=V")</f>
        <v>0</v>
      </c>
      <c r="AI2">
        <f>BDH("MWA US Equity","IS_DEPR_EXP","1993-06-18","2026-05-02","Per=Y","Days=T","Dir=V")</f>
        <v>0</v>
      </c>
      <c r="AK2">
        <f>BDH("MWA US Equity","CF_CASH_FROM_OPER","1993-06-18","2026-05-02","Per=Y","Days=T","Dir=V")</f>
        <v>0</v>
      </c>
      <c r="AM2">
        <f>BDH("MWA US Equity","CAPITAL_EXPEND","1993-06-18","2026-05-02","Per=Y","Days=T","Dir=V")</f>
        <v>0</v>
      </c>
      <c r="AO2">
        <f>BDH("MWA US Equity","CF_FREE_CASH_FLOW","1993-06-18","2026-05-02","Per=Y","Days=T","Dir=V")</f>
        <v>0</v>
      </c>
      <c r="AQ2">
        <f>BDH("MWA US Equity","PX_LAST","1993-06-18","2026-05-02","Per=M","Days=T","Dir=V")</f>
        <v>0</v>
      </c>
      <c r="AS2">
        <f>BDH("MWA US Equity","CUR_MKT_CAP","1993-06-18","2026-05-02","Per=M","Days=T","Dir=V")</f>
        <v>0</v>
      </c>
      <c r="AU2">
        <f>BDH("MWA US Equity","EQY_SH_OUT","1993-06-18","2026-05-02","Per=M","Days=T","Dir=V")</f>
        <v>0</v>
      </c>
      <c r="AW2">
        <f>BDH("MWA US Equity","PX_VOLUME","1993-06-18","2026-05-02","Per=M","Days=T","Dir=V")</f>
        <v>0</v>
      </c>
      <c r="AY2">
        <f>BDH("MWA US Equity","TURNOVER","1993-06-18","2026-05-02","Per=M","Days=T","Dir=V")</f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BDH("MWH US Equity","BS_TOT_ASSET","1993-06-18","2026-05-02","Per=Y","Days=T","Dir=V")</f>
        <v>0</v>
      </c>
      <c r="C2">
        <f>BDH("MWH US Equity","BS_TOT_LIAB2","1993-06-18","2026-05-02","Per=Y","Days=T","Dir=V")</f>
        <v>0</v>
      </c>
      <c r="E2">
        <f>BDH("MWH US Equity","SHORT_AND_LONG_TERM_DEBT","1993-06-18","2026-05-02","Per=Y","Days=T","Dir=V")</f>
        <v>0</v>
      </c>
      <c r="G2">
        <f>BDH("MWH US Equity","BS_ST_BORROW","1993-06-18","2026-05-02","Per=Y","Days=T","Dir=V")</f>
        <v>0</v>
      </c>
      <c r="I2">
        <f>BDH("MWH US Equity","BS_LT_BORROW","1993-06-18","2026-05-02","Per=Y","Days=T","Dir=V")</f>
        <v>0</v>
      </c>
      <c r="K2">
        <f>BDH("MWH US Equity","BS_CASH_NEAR_CASH_ITEM","1993-06-18","2026-05-02","Per=Y","Days=T","Dir=V")</f>
        <v>0</v>
      </c>
      <c r="M2">
        <f>BDH("MWH US Equity","BS_CUR_ASSET_REPORT","1993-06-18","2026-05-02","Per=Y","Days=T","Dir=V")</f>
        <v>0</v>
      </c>
      <c r="O2">
        <f>BDH("MWH US Equity","BS_CUR_LIAB","1993-06-18","2026-05-02","Per=Y","Days=T","Dir=V")</f>
        <v>0</v>
      </c>
      <c r="Q2">
        <f>BDH("MWH US Equity","BS_SHAREHOLDER_EQY_ENDING_PERIOD","1993-06-18","2026-05-02","Per=Y","Days=T","Dir=V")</f>
        <v>0</v>
      </c>
      <c r="S2">
        <f>BDH("MWH US Equity","BS_ACCT_NOTE_RCV","1993-06-18","2026-05-02","Per=Y","Days=T","Dir=V")</f>
        <v>0</v>
      </c>
      <c r="U2">
        <f>BDH("MWH US Equity","BS_INVENTORIES","1993-06-18","2026-05-02","Per=Y","Days=T","Dir=V")</f>
        <v>0</v>
      </c>
      <c r="W2">
        <f>BDH("MWH US Equity","WORKING_CAPITAL","1993-06-18","2026-05-02","Per=Y","Days=T","Dir=V")</f>
        <v>0</v>
      </c>
      <c r="Y2">
        <f>BDH("MWH US Equity","SALES_REV_TURN","1993-06-18","2026-05-02","Per=Y","Days=T","Dir=V")</f>
        <v>0</v>
      </c>
      <c r="AA2">
        <f>BDH("MWH US Equity","EBIT","1993-06-18","2026-05-02","Per=Y","Days=T","Dir=V")</f>
        <v>0</v>
      </c>
      <c r="AC2">
        <f>BDH("MWH US Equity","EBITDA","1993-06-18","2026-05-02","Per=Y","Days=T","Dir=V")</f>
        <v>0</v>
      </c>
      <c r="AE2">
        <f>BDH("MWH US Equity","NET_INCOME","1993-06-18","2026-05-02","Per=Y","Days=T","Dir=V")</f>
        <v>0</v>
      </c>
      <c r="AG2">
        <f>BDH("MWH US Equity","IS_INT_EXPENSE","1993-06-18","2026-05-02","Per=Y","Days=T","Dir=V")</f>
        <v>0</v>
      </c>
      <c r="AI2">
        <f>BDH("MWH US Equity","IS_DEPR_EXP","1993-06-18","2026-05-02","Per=Y","Days=T","Dir=V")</f>
        <v>0</v>
      </c>
      <c r="AK2">
        <f>BDH("MWH US Equity","CF_CASH_FROM_OPER","1993-06-18","2026-05-02","Per=Y","Days=T","Dir=V")</f>
        <v>0</v>
      </c>
      <c r="AM2">
        <f>BDH("MWH US Equity","CAPITAL_EXPEND","1993-06-18","2026-05-02","Per=Y","Days=T","Dir=V")</f>
        <v>0</v>
      </c>
      <c r="AO2">
        <f>BDH("MWH US Equity","CF_FREE_CASH_FLOW","1993-06-18","2026-05-02","Per=Y","Days=T","Dir=V")</f>
        <v>0</v>
      </c>
      <c r="AQ2">
        <f>BDH("MWH US Equity","PX_LAST","1993-06-18","2026-05-02","Per=M","Days=T","Dir=V")</f>
        <v>0</v>
      </c>
      <c r="AS2">
        <f>BDH("MWH US Equity","CUR_MKT_CAP","1993-06-18","2026-05-02","Per=M","Days=T","Dir=V")</f>
        <v>0</v>
      </c>
      <c r="AU2">
        <f>BDH("MWH US Equity","EQY_SH_OUT","1993-06-18","2026-05-02","Per=M","Days=T","Dir=V")</f>
        <v>0</v>
      </c>
      <c r="AW2">
        <f>BDH("MWH US Equity","PX_VOLUME","1993-06-18","2026-05-02","Per=M","Days=T","Dir=V")</f>
        <v>0</v>
      </c>
      <c r="AY2">
        <f>BDH("MWH US Equity","TURNOVER","1993-06-18","2026-05-02","Per=M","Days=T","Dir=V")</f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BDH("MWYN US Equity","BS_TOT_ASSET","1993-06-18","2026-05-02","Per=Y","Days=T","Dir=V")</f>
        <v>0</v>
      </c>
      <c r="C2">
        <f>BDH("MWYN US Equity","BS_TOT_LIAB2","1993-06-18","2026-05-02","Per=Y","Days=T","Dir=V")</f>
        <v>0</v>
      </c>
      <c r="E2">
        <f>BDH("MWYN US Equity","SHORT_AND_LONG_TERM_DEBT","1993-06-18","2026-05-02","Per=Y","Days=T","Dir=V")</f>
        <v>0</v>
      </c>
      <c r="G2">
        <f>BDH("MWYN US Equity","BS_ST_BORROW","1993-06-18","2026-05-02","Per=Y","Days=T","Dir=V")</f>
        <v>0</v>
      </c>
      <c r="I2">
        <f>BDH("MWYN US Equity","BS_LT_BORROW","1993-06-18","2026-05-02","Per=Y","Days=T","Dir=V")</f>
        <v>0</v>
      </c>
      <c r="K2">
        <f>BDH("MWYN US Equity","BS_CASH_NEAR_CASH_ITEM","1993-06-18","2026-05-02","Per=Y","Days=T","Dir=V")</f>
        <v>0</v>
      </c>
      <c r="M2">
        <f>BDH("MWYN US Equity","BS_CUR_ASSET_REPORT","1993-06-18","2026-05-02","Per=Y","Days=T","Dir=V")</f>
        <v>0</v>
      </c>
      <c r="O2">
        <f>BDH("MWYN US Equity","BS_CUR_LIAB","1993-06-18","2026-05-02","Per=Y","Days=T","Dir=V")</f>
        <v>0</v>
      </c>
      <c r="Q2">
        <f>BDH("MWYN US Equity","BS_SHAREHOLDER_EQY_ENDING_PERIOD","1993-06-18","2026-05-02","Per=Y","Days=T","Dir=V")</f>
        <v>0</v>
      </c>
      <c r="S2">
        <f>BDH("MWYN US Equity","BS_ACCT_NOTE_RCV","1993-06-18","2026-05-02","Per=Y","Days=T","Dir=V")</f>
        <v>0</v>
      </c>
      <c r="U2">
        <f>BDH("MWYN US Equity","BS_INVENTORIES","1993-06-18","2026-05-02","Per=Y","Days=T","Dir=V")</f>
        <v>0</v>
      </c>
      <c r="W2">
        <f>BDH("MWYN US Equity","WORKING_CAPITAL","1993-06-18","2026-05-02","Per=Y","Days=T","Dir=V")</f>
        <v>0</v>
      </c>
      <c r="Y2">
        <f>BDH("MWYN US Equity","SALES_REV_TURN","1993-06-18","2026-05-02","Per=Y","Days=T","Dir=V")</f>
        <v>0</v>
      </c>
      <c r="AA2">
        <f>BDH("MWYN US Equity","EBIT","1993-06-18","2026-05-02","Per=Y","Days=T","Dir=V")</f>
        <v>0</v>
      </c>
      <c r="AC2">
        <f>BDH("MWYN US Equity","EBITDA","1993-06-18","2026-05-02","Per=Y","Days=T","Dir=V")</f>
        <v>0</v>
      </c>
      <c r="AE2">
        <f>BDH("MWYN US Equity","NET_INCOME","1993-06-18","2026-05-02","Per=Y","Days=T","Dir=V")</f>
        <v>0</v>
      </c>
      <c r="AG2">
        <f>BDH("MWYN US Equity","IS_INT_EXPENSE","1993-06-18","2026-05-02","Per=Y","Days=T","Dir=V")</f>
        <v>0</v>
      </c>
      <c r="AI2">
        <f>BDH("MWYN US Equity","IS_DEPR_EXP","1993-06-18","2026-05-02","Per=Y","Days=T","Dir=V")</f>
        <v>0</v>
      </c>
      <c r="AK2">
        <f>BDH("MWYN US Equity","CF_CASH_FROM_OPER","1993-06-18","2026-05-02","Per=Y","Days=T","Dir=V")</f>
        <v>0</v>
      </c>
      <c r="AM2">
        <f>BDH("MWYN US Equity","CAPITAL_EXPEND","1993-06-18","2026-05-02","Per=Y","Days=T","Dir=V")</f>
        <v>0</v>
      </c>
      <c r="AO2">
        <f>BDH("MWYN US Equity","CF_FREE_CASH_FLOW","1993-06-18","2026-05-02","Per=Y","Days=T","Dir=V")</f>
        <v>0</v>
      </c>
      <c r="AQ2">
        <f>BDH("MWYN US Equity","PX_LAST","1993-06-18","2026-05-02","Per=M","Days=T","Dir=V")</f>
        <v>0</v>
      </c>
      <c r="AS2">
        <f>BDH("MWYN US Equity","CUR_MKT_CAP","1993-06-18","2026-05-02","Per=M","Days=T","Dir=V")</f>
        <v>0</v>
      </c>
      <c r="AU2">
        <f>BDH("MWYN US Equity","EQY_SH_OUT","1993-06-18","2026-05-02","Per=M","Days=T","Dir=V")</f>
        <v>0</v>
      </c>
      <c r="AW2">
        <f>BDH("MWYN US Equity","PX_VOLUME","1993-06-18","2026-05-02","Per=M","Days=T","Dir=V")</f>
        <v>0</v>
      </c>
      <c r="AY2">
        <f>BDH("MWYN US Equity","TURNOVER","1993-06-18","2026-05-02","Per=M","Days=T","Dir=V")</f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BDH("MXC US Equity","BS_TOT_ASSET","1993-06-18","2026-05-02","Per=Y","Days=T","Dir=V")</f>
        <v>0</v>
      </c>
      <c r="C2">
        <f>BDH("MXC US Equity","BS_TOT_LIAB2","1993-06-18","2026-05-02","Per=Y","Days=T","Dir=V")</f>
        <v>0</v>
      </c>
      <c r="E2">
        <f>BDH("MXC US Equity","SHORT_AND_LONG_TERM_DEBT","1993-06-18","2026-05-02","Per=Y","Days=T","Dir=V")</f>
        <v>0</v>
      </c>
      <c r="G2">
        <f>BDH("MXC US Equity","BS_ST_BORROW","1993-06-18","2026-05-02","Per=Y","Days=T","Dir=V")</f>
        <v>0</v>
      </c>
      <c r="I2">
        <f>BDH("MXC US Equity","BS_LT_BORROW","1993-06-18","2026-05-02","Per=Y","Days=T","Dir=V")</f>
        <v>0</v>
      </c>
      <c r="K2">
        <f>BDH("MXC US Equity","BS_CASH_NEAR_CASH_ITEM","1993-06-18","2026-05-02","Per=Y","Days=T","Dir=V")</f>
        <v>0</v>
      </c>
      <c r="M2">
        <f>BDH("MXC US Equity","BS_CUR_ASSET_REPORT","1993-06-18","2026-05-02","Per=Y","Days=T","Dir=V")</f>
        <v>0</v>
      </c>
      <c r="O2">
        <f>BDH("MXC US Equity","BS_CUR_LIAB","1993-06-18","2026-05-02","Per=Y","Days=T","Dir=V")</f>
        <v>0</v>
      </c>
      <c r="Q2">
        <f>BDH("MXC US Equity","BS_SHAREHOLDER_EQY_ENDING_PERIOD","1993-06-18","2026-05-02","Per=Y","Days=T","Dir=V")</f>
        <v>0</v>
      </c>
      <c r="S2">
        <f>BDH("MXC US Equity","BS_ACCT_NOTE_RCV","1993-06-18","2026-05-02","Per=Y","Days=T","Dir=V")</f>
        <v>0</v>
      </c>
      <c r="U2">
        <f>BDH("MXC US Equity","BS_INVENTORIES","1993-06-18","2026-05-02","Per=Y","Days=T","Dir=V")</f>
        <v>0</v>
      </c>
      <c r="W2">
        <f>BDH("MXC US Equity","WORKING_CAPITAL","1993-06-18","2026-05-02","Per=Y","Days=T","Dir=V")</f>
        <v>0</v>
      </c>
      <c r="Y2">
        <f>BDH("MXC US Equity","SALES_REV_TURN","1993-06-18","2026-05-02","Per=Y","Days=T","Dir=V")</f>
        <v>0</v>
      </c>
      <c r="AA2">
        <f>BDH("MXC US Equity","EBIT","1993-06-18","2026-05-02","Per=Y","Days=T","Dir=V")</f>
        <v>0</v>
      </c>
      <c r="AC2">
        <f>BDH("MXC US Equity","EBITDA","1993-06-18","2026-05-02","Per=Y","Days=T","Dir=V")</f>
        <v>0</v>
      </c>
      <c r="AE2">
        <f>BDH("MXC US Equity","NET_INCOME","1993-06-18","2026-05-02","Per=Y","Days=T","Dir=V")</f>
        <v>0</v>
      </c>
      <c r="AG2">
        <f>BDH("MXC US Equity","IS_INT_EXPENSE","1993-06-18","2026-05-02","Per=Y","Days=T","Dir=V")</f>
        <v>0</v>
      </c>
      <c r="AI2">
        <f>BDH("MXC US Equity","IS_DEPR_EXP","1993-06-18","2026-05-02","Per=Y","Days=T","Dir=V")</f>
        <v>0</v>
      </c>
      <c r="AK2">
        <f>BDH("MXC US Equity","CF_CASH_FROM_OPER","1993-06-18","2026-05-02","Per=Y","Days=T","Dir=V")</f>
        <v>0</v>
      </c>
      <c r="AM2">
        <f>BDH("MXC US Equity","CAPITAL_EXPEND","1993-06-18","2026-05-02","Per=Y","Days=T","Dir=V")</f>
        <v>0</v>
      </c>
      <c r="AO2">
        <f>BDH("MXC US Equity","CF_FREE_CASH_FLOW","1993-06-18","2026-05-02","Per=Y","Days=T","Dir=V")</f>
        <v>0</v>
      </c>
      <c r="AQ2">
        <f>BDH("MXC US Equity","PX_LAST","1993-06-18","2026-05-02","Per=M","Days=T","Dir=V")</f>
        <v>0</v>
      </c>
      <c r="AS2">
        <f>BDH("MXC US Equity","CUR_MKT_CAP","1993-06-18","2026-05-02","Per=M","Days=T","Dir=V")</f>
        <v>0</v>
      </c>
      <c r="AU2">
        <f>BDH("MXC US Equity","EQY_SH_OUT","1993-06-18","2026-05-02","Per=M","Days=T","Dir=V")</f>
        <v>0</v>
      </c>
      <c r="AW2">
        <f>BDH("MXC US Equity","PX_VOLUME","1993-06-18","2026-05-02","Per=M","Days=T","Dir=V")</f>
        <v>0</v>
      </c>
      <c r="AY2">
        <f>BDH("MXC US Equity","TURNOVER","1993-06-18","2026-05-02","Per=M","Days=T","Dir=V")</f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BDH("MXCT US Equity","BS_TOT_ASSET","1993-06-18","2026-05-02","Per=Y","Days=T","Dir=V")</f>
        <v>0</v>
      </c>
      <c r="C2">
        <f>BDH("MXCT US Equity","BS_TOT_LIAB2","1993-06-18","2026-05-02","Per=Y","Days=T","Dir=V")</f>
        <v>0</v>
      </c>
      <c r="E2">
        <f>BDH("MXCT US Equity","SHORT_AND_LONG_TERM_DEBT","1993-06-18","2026-05-02","Per=Y","Days=T","Dir=V")</f>
        <v>0</v>
      </c>
      <c r="G2">
        <f>BDH("MXCT US Equity","BS_ST_BORROW","1993-06-18","2026-05-02","Per=Y","Days=T","Dir=V")</f>
        <v>0</v>
      </c>
      <c r="I2">
        <f>BDH("MXCT US Equity","BS_LT_BORROW","1993-06-18","2026-05-02","Per=Y","Days=T","Dir=V")</f>
        <v>0</v>
      </c>
      <c r="K2">
        <f>BDH("MXCT US Equity","BS_CASH_NEAR_CASH_ITEM","1993-06-18","2026-05-02","Per=Y","Days=T","Dir=V")</f>
        <v>0</v>
      </c>
      <c r="M2">
        <f>BDH("MXCT US Equity","BS_CUR_ASSET_REPORT","1993-06-18","2026-05-02","Per=Y","Days=T","Dir=V")</f>
        <v>0</v>
      </c>
      <c r="O2">
        <f>BDH("MXCT US Equity","BS_CUR_LIAB","1993-06-18","2026-05-02","Per=Y","Days=T","Dir=V")</f>
        <v>0</v>
      </c>
      <c r="Q2">
        <f>BDH("MXCT US Equity","BS_SHAREHOLDER_EQY_ENDING_PERIOD","1993-06-18","2026-05-02","Per=Y","Days=T","Dir=V")</f>
        <v>0</v>
      </c>
      <c r="S2">
        <f>BDH("MXCT US Equity","BS_ACCT_NOTE_RCV","1993-06-18","2026-05-02","Per=Y","Days=T","Dir=V")</f>
        <v>0</v>
      </c>
      <c r="U2">
        <f>BDH("MXCT US Equity","BS_INVENTORIES","1993-06-18","2026-05-02","Per=Y","Days=T","Dir=V")</f>
        <v>0</v>
      </c>
      <c r="W2">
        <f>BDH("MXCT US Equity","WORKING_CAPITAL","1993-06-18","2026-05-02","Per=Y","Days=T","Dir=V")</f>
        <v>0</v>
      </c>
      <c r="Y2">
        <f>BDH("MXCT US Equity","SALES_REV_TURN","1993-06-18","2026-05-02","Per=Y","Days=T","Dir=V")</f>
        <v>0</v>
      </c>
      <c r="AA2">
        <f>BDH("MXCT US Equity","EBIT","1993-06-18","2026-05-02","Per=Y","Days=T","Dir=V")</f>
        <v>0</v>
      </c>
      <c r="AC2">
        <f>BDH("MXCT US Equity","EBITDA","1993-06-18","2026-05-02","Per=Y","Days=T","Dir=V")</f>
        <v>0</v>
      </c>
      <c r="AE2">
        <f>BDH("MXCT US Equity","NET_INCOME","1993-06-18","2026-05-02","Per=Y","Days=T","Dir=V")</f>
        <v>0</v>
      </c>
      <c r="AG2">
        <f>BDH("MXCT US Equity","IS_INT_EXPENSE","1993-06-18","2026-05-02","Per=Y","Days=T","Dir=V")</f>
        <v>0</v>
      </c>
      <c r="AI2">
        <f>BDH("MXCT US Equity","IS_DEPR_EXP","1993-06-18","2026-05-02","Per=Y","Days=T","Dir=V")</f>
        <v>0</v>
      </c>
      <c r="AK2">
        <f>BDH("MXCT US Equity","CF_CASH_FROM_OPER","1993-06-18","2026-05-02","Per=Y","Days=T","Dir=V")</f>
        <v>0</v>
      </c>
      <c r="AM2">
        <f>BDH("MXCT US Equity","CAPITAL_EXPEND","1993-06-18","2026-05-02","Per=Y","Days=T","Dir=V")</f>
        <v>0</v>
      </c>
      <c r="AO2">
        <f>BDH("MXCT US Equity","CF_FREE_CASH_FLOW","1993-06-18","2026-05-02","Per=Y","Days=T","Dir=V")</f>
        <v>0</v>
      </c>
      <c r="AQ2">
        <f>BDH("MXCT US Equity","PX_LAST","1993-06-18","2026-05-02","Per=M","Days=T","Dir=V")</f>
        <v>0</v>
      </c>
      <c r="AS2">
        <f>BDH("MXCT US Equity","CUR_MKT_CAP","1993-06-18","2026-05-02","Per=M","Days=T","Dir=V")</f>
        <v>0</v>
      </c>
      <c r="AU2">
        <f>BDH("MXCT US Equity","EQY_SH_OUT","1993-06-18","2026-05-02","Per=M","Days=T","Dir=V")</f>
        <v>0</v>
      </c>
      <c r="AW2">
        <f>BDH("MXCT US Equity","PX_VOLUME","1993-06-18","2026-05-02","Per=M","Days=T","Dir=V")</f>
        <v>0</v>
      </c>
      <c r="AY2">
        <f>BDH("MXCT US Equity","TURNOVER","1993-06-18","2026-05-02","Per=M","Days=T","Dir=V")</f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BDH("MXL US Equity","BS_TOT_ASSET","1993-06-18","2026-05-02","Per=Y","Days=T","Dir=V")</f>
        <v>0</v>
      </c>
      <c r="C2">
        <f>BDH("MXL US Equity","BS_TOT_LIAB2","1993-06-18","2026-05-02","Per=Y","Days=T","Dir=V")</f>
        <v>0</v>
      </c>
      <c r="E2">
        <f>BDH("MXL US Equity","SHORT_AND_LONG_TERM_DEBT","1993-06-18","2026-05-02","Per=Y","Days=T","Dir=V")</f>
        <v>0</v>
      </c>
      <c r="G2">
        <f>BDH("MXL US Equity","BS_ST_BORROW","1993-06-18","2026-05-02","Per=Y","Days=T","Dir=V")</f>
        <v>0</v>
      </c>
      <c r="I2">
        <f>BDH("MXL US Equity","BS_LT_BORROW","1993-06-18","2026-05-02","Per=Y","Days=T","Dir=V")</f>
        <v>0</v>
      </c>
      <c r="K2">
        <f>BDH("MXL US Equity","BS_CASH_NEAR_CASH_ITEM","1993-06-18","2026-05-02","Per=Y","Days=T","Dir=V")</f>
        <v>0</v>
      </c>
      <c r="M2">
        <f>BDH("MXL US Equity","BS_CUR_ASSET_REPORT","1993-06-18","2026-05-02","Per=Y","Days=T","Dir=V")</f>
        <v>0</v>
      </c>
      <c r="O2">
        <f>BDH("MXL US Equity","BS_CUR_LIAB","1993-06-18","2026-05-02","Per=Y","Days=T","Dir=V")</f>
        <v>0</v>
      </c>
      <c r="Q2">
        <f>BDH("MXL US Equity","BS_SHAREHOLDER_EQY_ENDING_PERIOD","1993-06-18","2026-05-02","Per=Y","Days=T","Dir=V")</f>
        <v>0</v>
      </c>
      <c r="S2">
        <f>BDH("MXL US Equity","BS_ACCT_NOTE_RCV","1993-06-18","2026-05-02","Per=Y","Days=T","Dir=V")</f>
        <v>0</v>
      </c>
      <c r="U2">
        <f>BDH("MXL US Equity","BS_INVENTORIES","1993-06-18","2026-05-02","Per=Y","Days=T","Dir=V")</f>
        <v>0</v>
      </c>
      <c r="W2">
        <f>BDH("MXL US Equity","WORKING_CAPITAL","1993-06-18","2026-05-02","Per=Y","Days=T","Dir=V")</f>
        <v>0</v>
      </c>
      <c r="Y2">
        <f>BDH("MXL US Equity","SALES_REV_TURN","1993-06-18","2026-05-02","Per=Y","Days=T","Dir=V")</f>
        <v>0</v>
      </c>
      <c r="AA2">
        <f>BDH("MXL US Equity","EBIT","1993-06-18","2026-05-02","Per=Y","Days=T","Dir=V")</f>
        <v>0</v>
      </c>
      <c r="AC2">
        <f>BDH("MXL US Equity","EBITDA","1993-06-18","2026-05-02","Per=Y","Days=T","Dir=V")</f>
        <v>0</v>
      </c>
      <c r="AE2">
        <f>BDH("MXL US Equity","NET_INCOME","1993-06-18","2026-05-02","Per=Y","Days=T","Dir=V")</f>
        <v>0</v>
      </c>
      <c r="AG2">
        <f>BDH("MXL US Equity","IS_INT_EXPENSE","1993-06-18","2026-05-02","Per=Y","Days=T","Dir=V")</f>
        <v>0</v>
      </c>
      <c r="AI2">
        <f>BDH("MXL US Equity","IS_DEPR_EXP","1993-06-18","2026-05-02","Per=Y","Days=T","Dir=V")</f>
        <v>0</v>
      </c>
      <c r="AK2">
        <f>BDH("MXL US Equity","CF_CASH_FROM_OPER","1993-06-18","2026-05-02","Per=Y","Days=T","Dir=V")</f>
        <v>0</v>
      </c>
      <c r="AM2">
        <f>BDH("MXL US Equity","CAPITAL_EXPEND","1993-06-18","2026-05-02","Per=Y","Days=T","Dir=V")</f>
        <v>0</v>
      </c>
      <c r="AO2">
        <f>BDH("MXL US Equity","CF_FREE_CASH_FLOW","1993-06-18","2026-05-02","Per=Y","Days=T","Dir=V")</f>
        <v>0</v>
      </c>
      <c r="AQ2">
        <f>BDH("MXL US Equity","PX_LAST","1993-06-18","2026-05-02","Per=M","Days=T","Dir=V")</f>
        <v>0</v>
      </c>
      <c r="AS2">
        <f>BDH("MXL US Equity","CUR_MKT_CAP","1993-06-18","2026-05-02","Per=M","Days=T","Dir=V")</f>
        <v>0</v>
      </c>
      <c r="AU2">
        <f>BDH("MXL US Equity","EQY_SH_OUT","1993-06-18","2026-05-02","Per=M","Days=T","Dir=V")</f>
        <v>0</v>
      </c>
      <c r="AW2">
        <f>BDH("MXL US Equity","PX_VOLUME","1993-06-18","2026-05-02","Per=M","Days=T","Dir=V")</f>
        <v>0</v>
      </c>
      <c r="AY2">
        <f>BDH("MXL US Equity","TURNOVER","1993-06-18","2026-05-02","Per=M","Days=T","Dir=V")</f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BDH("MYE US Equity","BS_TOT_ASSET","1993-06-18","2026-05-02","Per=Y","Days=T","Dir=V")</f>
        <v>0</v>
      </c>
      <c r="C2">
        <f>BDH("MYE US Equity","BS_TOT_LIAB2","1993-06-18","2026-05-02","Per=Y","Days=T","Dir=V")</f>
        <v>0</v>
      </c>
      <c r="E2">
        <f>BDH("MYE US Equity","SHORT_AND_LONG_TERM_DEBT","1993-06-18","2026-05-02","Per=Y","Days=T","Dir=V")</f>
        <v>0</v>
      </c>
      <c r="G2">
        <f>BDH("MYE US Equity","BS_ST_BORROW","1993-06-18","2026-05-02","Per=Y","Days=T","Dir=V")</f>
        <v>0</v>
      </c>
      <c r="I2">
        <f>BDH("MYE US Equity","BS_LT_BORROW","1993-06-18","2026-05-02","Per=Y","Days=T","Dir=V")</f>
        <v>0</v>
      </c>
      <c r="K2">
        <f>BDH("MYE US Equity","BS_CASH_NEAR_CASH_ITEM","1993-06-18","2026-05-02","Per=Y","Days=T","Dir=V")</f>
        <v>0</v>
      </c>
      <c r="M2">
        <f>BDH("MYE US Equity","BS_CUR_ASSET_REPORT","1993-06-18","2026-05-02","Per=Y","Days=T","Dir=V")</f>
        <v>0</v>
      </c>
      <c r="O2">
        <f>BDH("MYE US Equity","BS_CUR_LIAB","1993-06-18","2026-05-02","Per=Y","Days=T","Dir=V")</f>
        <v>0</v>
      </c>
      <c r="Q2">
        <f>BDH("MYE US Equity","BS_SHAREHOLDER_EQY_ENDING_PERIOD","1993-06-18","2026-05-02","Per=Y","Days=T","Dir=V")</f>
        <v>0</v>
      </c>
      <c r="S2">
        <f>BDH("MYE US Equity","BS_ACCT_NOTE_RCV","1993-06-18","2026-05-02","Per=Y","Days=T","Dir=V")</f>
        <v>0</v>
      </c>
      <c r="U2">
        <f>BDH("MYE US Equity","BS_INVENTORIES","1993-06-18","2026-05-02","Per=Y","Days=T","Dir=V")</f>
        <v>0</v>
      </c>
      <c r="W2">
        <f>BDH("MYE US Equity","WORKING_CAPITAL","1993-06-18","2026-05-02","Per=Y","Days=T","Dir=V")</f>
        <v>0</v>
      </c>
      <c r="Y2">
        <f>BDH("MYE US Equity","SALES_REV_TURN","1993-06-18","2026-05-02","Per=Y","Days=T","Dir=V")</f>
        <v>0</v>
      </c>
      <c r="AA2">
        <f>BDH("MYE US Equity","EBIT","1993-06-18","2026-05-02","Per=Y","Days=T","Dir=V")</f>
        <v>0</v>
      </c>
      <c r="AC2">
        <f>BDH("MYE US Equity","EBITDA","1993-06-18","2026-05-02","Per=Y","Days=T","Dir=V")</f>
        <v>0</v>
      </c>
      <c r="AE2">
        <f>BDH("MYE US Equity","NET_INCOME","1993-06-18","2026-05-02","Per=Y","Days=T","Dir=V")</f>
        <v>0</v>
      </c>
      <c r="AG2">
        <f>BDH("MYE US Equity","IS_INT_EXPENSE","1993-06-18","2026-05-02","Per=Y","Days=T","Dir=V")</f>
        <v>0</v>
      </c>
      <c r="AI2">
        <f>BDH("MYE US Equity","IS_DEPR_EXP","1993-06-18","2026-05-02","Per=Y","Days=T","Dir=V")</f>
        <v>0</v>
      </c>
      <c r="AK2">
        <f>BDH("MYE US Equity","CF_CASH_FROM_OPER","1993-06-18","2026-05-02","Per=Y","Days=T","Dir=V")</f>
        <v>0</v>
      </c>
      <c r="AM2">
        <f>BDH("MYE US Equity","CAPITAL_EXPEND","1993-06-18","2026-05-02","Per=Y","Days=T","Dir=V")</f>
        <v>0</v>
      </c>
      <c r="AO2">
        <f>BDH("MYE US Equity","CF_FREE_CASH_FLOW","1993-06-18","2026-05-02","Per=Y","Days=T","Dir=V")</f>
        <v>0</v>
      </c>
      <c r="AQ2">
        <f>BDH("MYE US Equity","PX_LAST","1993-06-18","2026-05-02","Per=M","Days=T","Dir=V")</f>
        <v>0</v>
      </c>
      <c r="AS2">
        <f>BDH("MYE US Equity","CUR_MKT_CAP","1993-06-18","2026-05-02","Per=M","Days=T","Dir=V")</f>
        <v>0</v>
      </c>
      <c r="AU2">
        <f>BDH("MYE US Equity","EQY_SH_OUT","1993-06-18","2026-05-02","Per=M","Days=T","Dir=V")</f>
        <v>0</v>
      </c>
      <c r="AW2">
        <f>BDH("MYE US Equity","PX_VOLUME","1993-06-18","2026-05-02","Per=M","Days=T","Dir=V")</f>
        <v>0</v>
      </c>
      <c r="AY2">
        <f>BDH("MYE US Equity","TURNOVER","1993-06-18","2026-05-02","Per=M","Days=T","Dir=V")</f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BDH("MYGN US Equity","BS_TOT_ASSET","1993-06-18","2026-05-02","Per=Y","Days=T","Dir=V")</f>
        <v>0</v>
      </c>
      <c r="C2">
        <f>BDH("MYGN US Equity","BS_TOT_LIAB2","1993-06-18","2026-05-02","Per=Y","Days=T","Dir=V")</f>
        <v>0</v>
      </c>
      <c r="E2">
        <f>BDH("MYGN US Equity","SHORT_AND_LONG_TERM_DEBT","1993-06-18","2026-05-02","Per=Y","Days=T","Dir=V")</f>
        <v>0</v>
      </c>
      <c r="G2">
        <f>BDH("MYGN US Equity","BS_ST_BORROW","1993-06-18","2026-05-02","Per=Y","Days=T","Dir=V")</f>
        <v>0</v>
      </c>
      <c r="I2">
        <f>BDH("MYGN US Equity","BS_LT_BORROW","1993-06-18","2026-05-02","Per=Y","Days=T","Dir=V")</f>
        <v>0</v>
      </c>
      <c r="K2">
        <f>BDH("MYGN US Equity","BS_CASH_NEAR_CASH_ITEM","1993-06-18","2026-05-02","Per=Y","Days=T","Dir=V")</f>
        <v>0</v>
      </c>
      <c r="M2">
        <f>BDH("MYGN US Equity","BS_CUR_ASSET_REPORT","1993-06-18","2026-05-02","Per=Y","Days=T","Dir=V")</f>
        <v>0</v>
      </c>
      <c r="O2">
        <f>BDH("MYGN US Equity","BS_CUR_LIAB","1993-06-18","2026-05-02","Per=Y","Days=T","Dir=V")</f>
        <v>0</v>
      </c>
      <c r="Q2">
        <f>BDH("MYGN US Equity","BS_SHAREHOLDER_EQY_ENDING_PERIOD","1993-06-18","2026-05-02","Per=Y","Days=T","Dir=V")</f>
        <v>0</v>
      </c>
      <c r="S2">
        <f>BDH("MYGN US Equity","BS_ACCT_NOTE_RCV","1993-06-18","2026-05-02","Per=Y","Days=T","Dir=V")</f>
        <v>0</v>
      </c>
      <c r="U2">
        <f>BDH("MYGN US Equity","BS_INVENTORIES","1993-06-18","2026-05-02","Per=Y","Days=T","Dir=V")</f>
        <v>0</v>
      </c>
      <c r="W2">
        <f>BDH("MYGN US Equity","WORKING_CAPITAL","1993-06-18","2026-05-02","Per=Y","Days=T","Dir=V")</f>
        <v>0</v>
      </c>
      <c r="Y2">
        <f>BDH("MYGN US Equity","SALES_REV_TURN","1993-06-18","2026-05-02","Per=Y","Days=T","Dir=V")</f>
        <v>0</v>
      </c>
      <c r="AA2">
        <f>BDH("MYGN US Equity","EBIT","1993-06-18","2026-05-02","Per=Y","Days=T","Dir=V")</f>
        <v>0</v>
      </c>
      <c r="AC2">
        <f>BDH("MYGN US Equity","EBITDA","1993-06-18","2026-05-02","Per=Y","Days=T","Dir=V")</f>
        <v>0</v>
      </c>
      <c r="AE2">
        <f>BDH("MYGN US Equity","NET_INCOME","1993-06-18","2026-05-02","Per=Y","Days=T","Dir=V")</f>
        <v>0</v>
      </c>
      <c r="AG2">
        <f>BDH("MYGN US Equity","IS_INT_EXPENSE","1993-06-18","2026-05-02","Per=Y","Days=T","Dir=V")</f>
        <v>0</v>
      </c>
      <c r="AI2">
        <f>BDH("MYGN US Equity","IS_DEPR_EXP","1993-06-18","2026-05-02","Per=Y","Days=T","Dir=V")</f>
        <v>0</v>
      </c>
      <c r="AK2">
        <f>BDH("MYGN US Equity","CF_CASH_FROM_OPER","1993-06-18","2026-05-02","Per=Y","Days=T","Dir=V")</f>
        <v>0</v>
      </c>
      <c r="AM2">
        <f>BDH("MYGN US Equity","CAPITAL_EXPEND","1993-06-18","2026-05-02","Per=Y","Days=T","Dir=V")</f>
        <v>0</v>
      </c>
      <c r="AO2">
        <f>BDH("MYGN US Equity","CF_FREE_CASH_FLOW","1993-06-18","2026-05-02","Per=Y","Days=T","Dir=V")</f>
        <v>0</v>
      </c>
      <c r="AQ2">
        <f>BDH("MYGN US Equity","PX_LAST","1993-06-18","2026-05-02","Per=M","Days=T","Dir=V")</f>
        <v>0</v>
      </c>
      <c r="AS2">
        <f>BDH("MYGN US Equity","CUR_MKT_CAP","1993-06-18","2026-05-02","Per=M","Days=T","Dir=V")</f>
        <v>0</v>
      </c>
      <c r="AU2">
        <f>BDH("MYGN US Equity","EQY_SH_OUT","1993-06-18","2026-05-02","Per=M","Days=T","Dir=V")</f>
        <v>0</v>
      </c>
      <c r="AW2">
        <f>BDH("MYGN US Equity","PX_VOLUME","1993-06-18","2026-05-02","Per=M","Days=T","Dir=V")</f>
        <v>0</v>
      </c>
      <c r="AY2">
        <f>BDH("MYGN US Equity","TURNOVER","1993-06-18","2026-05-02","Per=M","Days=T","Dir=V")</f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BDH("MYO US Equity","BS_TOT_ASSET","1993-06-18","2026-05-02","Per=Y","Days=T","Dir=V")</f>
        <v>0</v>
      </c>
      <c r="C2">
        <f>BDH("MYO US Equity","BS_TOT_LIAB2","1993-06-18","2026-05-02","Per=Y","Days=T","Dir=V")</f>
        <v>0</v>
      </c>
      <c r="E2">
        <f>BDH("MYO US Equity","SHORT_AND_LONG_TERM_DEBT","1993-06-18","2026-05-02","Per=Y","Days=T","Dir=V")</f>
        <v>0</v>
      </c>
      <c r="G2">
        <f>BDH("MYO US Equity","BS_ST_BORROW","1993-06-18","2026-05-02","Per=Y","Days=T","Dir=V")</f>
        <v>0</v>
      </c>
      <c r="I2">
        <f>BDH("MYO US Equity","BS_LT_BORROW","1993-06-18","2026-05-02","Per=Y","Days=T","Dir=V")</f>
        <v>0</v>
      </c>
      <c r="K2">
        <f>BDH("MYO US Equity","BS_CASH_NEAR_CASH_ITEM","1993-06-18","2026-05-02","Per=Y","Days=T","Dir=V")</f>
        <v>0</v>
      </c>
      <c r="M2">
        <f>BDH("MYO US Equity","BS_CUR_ASSET_REPORT","1993-06-18","2026-05-02","Per=Y","Days=T","Dir=V")</f>
        <v>0</v>
      </c>
      <c r="O2">
        <f>BDH("MYO US Equity","BS_CUR_LIAB","1993-06-18","2026-05-02","Per=Y","Days=T","Dir=V")</f>
        <v>0</v>
      </c>
      <c r="Q2">
        <f>BDH("MYO US Equity","BS_SHAREHOLDER_EQY_ENDING_PERIOD","1993-06-18","2026-05-02","Per=Y","Days=T","Dir=V")</f>
        <v>0</v>
      </c>
      <c r="S2">
        <f>BDH("MYO US Equity","BS_ACCT_NOTE_RCV","1993-06-18","2026-05-02","Per=Y","Days=T","Dir=V")</f>
        <v>0</v>
      </c>
      <c r="U2">
        <f>BDH("MYO US Equity","BS_INVENTORIES","1993-06-18","2026-05-02","Per=Y","Days=T","Dir=V")</f>
        <v>0</v>
      </c>
      <c r="W2">
        <f>BDH("MYO US Equity","WORKING_CAPITAL","1993-06-18","2026-05-02","Per=Y","Days=T","Dir=V")</f>
        <v>0</v>
      </c>
      <c r="Y2">
        <f>BDH("MYO US Equity","SALES_REV_TURN","1993-06-18","2026-05-02","Per=Y","Days=T","Dir=V")</f>
        <v>0</v>
      </c>
      <c r="AA2">
        <f>BDH("MYO US Equity","EBIT","1993-06-18","2026-05-02","Per=Y","Days=T","Dir=V")</f>
        <v>0</v>
      </c>
      <c r="AC2">
        <f>BDH("MYO US Equity","EBITDA","1993-06-18","2026-05-02","Per=Y","Days=T","Dir=V")</f>
        <v>0</v>
      </c>
      <c r="AE2">
        <f>BDH("MYO US Equity","NET_INCOME","1993-06-18","2026-05-02","Per=Y","Days=T","Dir=V")</f>
        <v>0</v>
      </c>
      <c r="AG2">
        <f>BDH("MYO US Equity","IS_INT_EXPENSE","1993-06-18","2026-05-02","Per=Y","Days=T","Dir=V")</f>
        <v>0</v>
      </c>
      <c r="AI2">
        <f>BDH("MYO US Equity","IS_DEPR_EXP","1993-06-18","2026-05-02","Per=Y","Days=T","Dir=V")</f>
        <v>0</v>
      </c>
      <c r="AK2">
        <f>BDH("MYO US Equity","CF_CASH_FROM_OPER","1993-06-18","2026-05-02","Per=Y","Days=T","Dir=V")</f>
        <v>0</v>
      </c>
      <c r="AM2">
        <f>BDH("MYO US Equity","CAPITAL_EXPEND","1993-06-18","2026-05-02","Per=Y","Days=T","Dir=V")</f>
        <v>0</v>
      </c>
      <c r="AO2">
        <f>BDH("MYO US Equity","CF_FREE_CASH_FLOW","1993-06-18","2026-05-02","Per=Y","Days=T","Dir=V")</f>
        <v>0</v>
      </c>
      <c r="AQ2">
        <f>BDH("MYO US Equity","PX_LAST","1993-06-18","2026-05-02","Per=M","Days=T","Dir=V")</f>
        <v>0</v>
      </c>
      <c r="AS2">
        <f>BDH("MYO US Equity","CUR_MKT_CAP","1993-06-18","2026-05-02","Per=M","Days=T","Dir=V")</f>
        <v>0</v>
      </c>
      <c r="AU2">
        <f>BDH("MYO US Equity","EQY_SH_OUT","1993-06-18","2026-05-02","Per=M","Days=T","Dir=V")</f>
        <v>0</v>
      </c>
      <c r="AW2">
        <f>BDH("MYO US Equity","PX_VOLUME","1993-06-18","2026-05-02","Per=M","Days=T","Dir=V")</f>
        <v>0</v>
      </c>
      <c r="AY2">
        <f>BDH("MYO US Equity","TURNOVER","1993-06-18","2026-05-02","Per=M","Days=T","Dir=V")</f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BDH("MYPS US Equity","BS_TOT_ASSET","1993-06-18","2026-05-02","Per=Y","Days=T","Dir=V")</f>
        <v>0</v>
      </c>
      <c r="C2">
        <f>BDH("MYPS US Equity","BS_TOT_LIAB2","1993-06-18","2026-05-02","Per=Y","Days=T","Dir=V")</f>
        <v>0</v>
      </c>
      <c r="E2">
        <f>BDH("MYPS US Equity","SHORT_AND_LONG_TERM_DEBT","1993-06-18","2026-05-02","Per=Y","Days=T","Dir=V")</f>
        <v>0</v>
      </c>
      <c r="G2">
        <f>BDH("MYPS US Equity","BS_ST_BORROW","1993-06-18","2026-05-02","Per=Y","Days=T","Dir=V")</f>
        <v>0</v>
      </c>
      <c r="I2">
        <f>BDH("MYPS US Equity","BS_LT_BORROW","1993-06-18","2026-05-02","Per=Y","Days=T","Dir=V")</f>
        <v>0</v>
      </c>
      <c r="K2">
        <f>BDH("MYPS US Equity","BS_CASH_NEAR_CASH_ITEM","1993-06-18","2026-05-02","Per=Y","Days=T","Dir=V")</f>
        <v>0</v>
      </c>
      <c r="M2">
        <f>BDH("MYPS US Equity","BS_CUR_ASSET_REPORT","1993-06-18","2026-05-02","Per=Y","Days=T","Dir=V")</f>
        <v>0</v>
      </c>
      <c r="O2">
        <f>BDH("MYPS US Equity","BS_CUR_LIAB","1993-06-18","2026-05-02","Per=Y","Days=T","Dir=V")</f>
        <v>0</v>
      </c>
      <c r="Q2">
        <f>BDH("MYPS US Equity","BS_SHAREHOLDER_EQY_ENDING_PERIOD","1993-06-18","2026-05-02","Per=Y","Days=T","Dir=V")</f>
        <v>0</v>
      </c>
      <c r="S2">
        <f>BDH("MYPS US Equity","BS_ACCT_NOTE_RCV","1993-06-18","2026-05-02","Per=Y","Days=T","Dir=V")</f>
        <v>0</v>
      </c>
      <c r="U2">
        <f>BDH("MYPS US Equity","BS_INVENTORIES","1993-06-18","2026-05-02","Per=Y","Days=T","Dir=V")</f>
        <v>0</v>
      </c>
      <c r="W2">
        <f>BDH("MYPS US Equity","WORKING_CAPITAL","1993-06-18","2026-05-02","Per=Y","Days=T","Dir=V")</f>
        <v>0</v>
      </c>
      <c r="Y2">
        <f>BDH("MYPS US Equity","SALES_REV_TURN","1993-06-18","2026-05-02","Per=Y","Days=T","Dir=V")</f>
        <v>0</v>
      </c>
      <c r="AA2">
        <f>BDH("MYPS US Equity","EBIT","1993-06-18","2026-05-02","Per=Y","Days=T","Dir=V")</f>
        <v>0</v>
      </c>
      <c r="AC2">
        <f>BDH("MYPS US Equity","EBITDA","1993-06-18","2026-05-02","Per=Y","Days=T","Dir=V")</f>
        <v>0</v>
      </c>
      <c r="AE2">
        <f>BDH("MYPS US Equity","NET_INCOME","1993-06-18","2026-05-02","Per=Y","Days=T","Dir=V")</f>
        <v>0</v>
      </c>
      <c r="AG2">
        <f>BDH("MYPS US Equity","IS_INT_EXPENSE","1993-06-18","2026-05-02","Per=Y","Days=T","Dir=V")</f>
        <v>0</v>
      </c>
      <c r="AI2">
        <f>BDH("MYPS US Equity","IS_DEPR_EXP","1993-06-18","2026-05-02","Per=Y","Days=T","Dir=V")</f>
        <v>0</v>
      </c>
      <c r="AK2">
        <f>BDH("MYPS US Equity","CF_CASH_FROM_OPER","1993-06-18","2026-05-02","Per=Y","Days=T","Dir=V")</f>
        <v>0</v>
      </c>
      <c r="AM2">
        <f>BDH("MYPS US Equity","CAPITAL_EXPEND","1993-06-18","2026-05-02","Per=Y","Days=T","Dir=V")</f>
        <v>0</v>
      </c>
      <c r="AO2">
        <f>BDH("MYPS US Equity","CF_FREE_CASH_FLOW","1993-06-18","2026-05-02","Per=Y","Days=T","Dir=V")</f>
        <v>0</v>
      </c>
      <c r="AQ2">
        <f>BDH("MYPS US Equity","PX_LAST","1993-06-18","2026-05-02","Per=M","Days=T","Dir=V")</f>
        <v>0</v>
      </c>
      <c r="AS2">
        <f>BDH("MYPS US Equity","CUR_MKT_CAP","1993-06-18","2026-05-02","Per=M","Days=T","Dir=V")</f>
        <v>0</v>
      </c>
      <c r="AU2">
        <f>BDH("MYPS US Equity","EQY_SH_OUT","1993-06-18","2026-05-02","Per=M","Days=T","Dir=V")</f>
        <v>0</v>
      </c>
      <c r="AW2">
        <f>BDH("MYPS US Equity","PX_VOLUME","1993-06-18","2026-05-02","Per=M","Days=T","Dir=V")</f>
        <v>0</v>
      </c>
      <c r="AY2">
        <f>BDH("MYPS US Equity","TURNOVER","1993-06-18","2026-05-02","Per=M","Days=T","Dir=V")</f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BDH("MYRG US Equity","BS_TOT_ASSET","1993-06-18","2026-05-02","Per=Y","Days=T","Dir=V")</f>
        <v>0</v>
      </c>
      <c r="C2">
        <f>BDH("MYRG US Equity","BS_TOT_LIAB2","1993-06-18","2026-05-02","Per=Y","Days=T","Dir=V")</f>
        <v>0</v>
      </c>
      <c r="E2">
        <f>BDH("MYRG US Equity","SHORT_AND_LONG_TERM_DEBT","1993-06-18","2026-05-02","Per=Y","Days=T","Dir=V")</f>
        <v>0</v>
      </c>
      <c r="G2">
        <f>BDH("MYRG US Equity","BS_ST_BORROW","1993-06-18","2026-05-02","Per=Y","Days=T","Dir=V")</f>
        <v>0</v>
      </c>
      <c r="I2">
        <f>BDH("MYRG US Equity","BS_LT_BORROW","1993-06-18","2026-05-02","Per=Y","Days=T","Dir=V")</f>
        <v>0</v>
      </c>
      <c r="K2">
        <f>BDH("MYRG US Equity","BS_CASH_NEAR_CASH_ITEM","1993-06-18","2026-05-02","Per=Y","Days=T","Dir=V")</f>
        <v>0</v>
      </c>
      <c r="M2">
        <f>BDH("MYRG US Equity","BS_CUR_ASSET_REPORT","1993-06-18","2026-05-02","Per=Y","Days=T","Dir=V")</f>
        <v>0</v>
      </c>
      <c r="O2">
        <f>BDH("MYRG US Equity","BS_CUR_LIAB","1993-06-18","2026-05-02","Per=Y","Days=T","Dir=V")</f>
        <v>0</v>
      </c>
      <c r="Q2">
        <f>BDH("MYRG US Equity","BS_SHAREHOLDER_EQY_ENDING_PERIOD","1993-06-18","2026-05-02","Per=Y","Days=T","Dir=V")</f>
        <v>0</v>
      </c>
      <c r="S2">
        <f>BDH("MYRG US Equity","BS_ACCT_NOTE_RCV","1993-06-18","2026-05-02","Per=Y","Days=T","Dir=V")</f>
        <v>0</v>
      </c>
      <c r="U2">
        <f>BDH("MYRG US Equity","BS_INVENTORIES","1993-06-18","2026-05-02","Per=Y","Days=T","Dir=V")</f>
        <v>0</v>
      </c>
      <c r="W2">
        <f>BDH("MYRG US Equity","WORKING_CAPITAL","1993-06-18","2026-05-02","Per=Y","Days=T","Dir=V")</f>
        <v>0</v>
      </c>
      <c r="Y2">
        <f>BDH("MYRG US Equity","SALES_REV_TURN","1993-06-18","2026-05-02","Per=Y","Days=T","Dir=V")</f>
        <v>0</v>
      </c>
      <c r="AA2">
        <f>BDH("MYRG US Equity","EBIT","1993-06-18","2026-05-02","Per=Y","Days=T","Dir=V")</f>
        <v>0</v>
      </c>
      <c r="AC2">
        <f>BDH("MYRG US Equity","EBITDA","1993-06-18","2026-05-02","Per=Y","Days=T","Dir=V")</f>
        <v>0</v>
      </c>
      <c r="AE2">
        <f>BDH("MYRG US Equity","NET_INCOME","1993-06-18","2026-05-02","Per=Y","Days=T","Dir=V")</f>
        <v>0</v>
      </c>
      <c r="AG2">
        <f>BDH("MYRG US Equity","IS_INT_EXPENSE","1993-06-18","2026-05-02","Per=Y","Days=T","Dir=V")</f>
        <v>0</v>
      </c>
      <c r="AI2">
        <f>BDH("MYRG US Equity","IS_DEPR_EXP","1993-06-18","2026-05-02","Per=Y","Days=T","Dir=V")</f>
        <v>0</v>
      </c>
      <c r="AK2">
        <f>BDH("MYRG US Equity","CF_CASH_FROM_OPER","1993-06-18","2026-05-02","Per=Y","Days=T","Dir=V")</f>
        <v>0</v>
      </c>
      <c r="AM2">
        <f>BDH("MYRG US Equity","CAPITAL_EXPEND","1993-06-18","2026-05-02","Per=Y","Days=T","Dir=V")</f>
        <v>0</v>
      </c>
      <c r="AO2">
        <f>BDH("MYRG US Equity","CF_FREE_CASH_FLOW","1993-06-18","2026-05-02","Per=Y","Days=T","Dir=V")</f>
        <v>0</v>
      </c>
      <c r="AQ2">
        <f>BDH("MYRG US Equity","PX_LAST","1993-06-18","2026-05-02","Per=M","Days=T","Dir=V")</f>
        <v>0</v>
      </c>
      <c r="AS2">
        <f>BDH("MYRG US Equity","CUR_MKT_CAP","1993-06-18","2026-05-02","Per=M","Days=T","Dir=V")</f>
        <v>0</v>
      </c>
      <c r="AU2">
        <f>BDH("MYRG US Equity","EQY_SH_OUT","1993-06-18","2026-05-02","Per=M","Days=T","Dir=V")</f>
        <v>0</v>
      </c>
      <c r="AW2">
        <f>BDH("MYRG US Equity","PX_VOLUME","1993-06-18","2026-05-02","Per=M","Days=T","Dir=V")</f>
        <v>0</v>
      </c>
      <c r="AY2">
        <f>BDH("MYRG US Equity","TURNOVER","1993-06-18","2026-05-02","Per=M","Days=T","Dir=V")</f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BDH("MYSE US Equity","BS_TOT_ASSET","1993-06-18","2026-05-02","Per=Y","Days=T","Dir=V")</f>
        <v>0</v>
      </c>
      <c r="C2">
        <f>BDH("MYSE US Equity","BS_TOT_LIAB2","1993-06-18","2026-05-02","Per=Y","Days=T","Dir=V")</f>
        <v>0</v>
      </c>
      <c r="E2">
        <f>BDH("MYSE US Equity","SHORT_AND_LONG_TERM_DEBT","1993-06-18","2026-05-02","Per=Y","Days=T","Dir=V")</f>
        <v>0</v>
      </c>
      <c r="G2">
        <f>BDH("MYSE US Equity","BS_ST_BORROW","1993-06-18","2026-05-02","Per=Y","Days=T","Dir=V")</f>
        <v>0</v>
      </c>
      <c r="I2">
        <f>BDH("MYSE US Equity","BS_LT_BORROW","1993-06-18","2026-05-02","Per=Y","Days=T","Dir=V")</f>
        <v>0</v>
      </c>
      <c r="K2">
        <f>BDH("MYSE US Equity","BS_CASH_NEAR_CASH_ITEM","1993-06-18","2026-05-02","Per=Y","Days=T","Dir=V")</f>
        <v>0</v>
      </c>
      <c r="M2">
        <f>BDH("MYSE US Equity","BS_CUR_ASSET_REPORT","1993-06-18","2026-05-02","Per=Y","Days=T","Dir=V")</f>
        <v>0</v>
      </c>
      <c r="O2">
        <f>BDH("MYSE US Equity","BS_CUR_LIAB","1993-06-18","2026-05-02","Per=Y","Days=T","Dir=V")</f>
        <v>0</v>
      </c>
      <c r="Q2">
        <f>BDH("MYSE US Equity","BS_SHAREHOLDER_EQY_ENDING_PERIOD","1993-06-18","2026-05-02","Per=Y","Days=T","Dir=V")</f>
        <v>0</v>
      </c>
      <c r="S2">
        <f>BDH("MYSE US Equity","BS_ACCT_NOTE_RCV","1993-06-18","2026-05-02","Per=Y","Days=T","Dir=V")</f>
        <v>0</v>
      </c>
      <c r="U2">
        <f>BDH("MYSE US Equity","BS_INVENTORIES","1993-06-18","2026-05-02","Per=Y","Days=T","Dir=V")</f>
        <v>0</v>
      </c>
      <c r="W2">
        <f>BDH("MYSE US Equity","WORKING_CAPITAL","1993-06-18","2026-05-02","Per=Y","Days=T","Dir=V")</f>
        <v>0</v>
      </c>
      <c r="Y2">
        <f>BDH("MYSE US Equity","SALES_REV_TURN","1993-06-18","2026-05-02","Per=Y","Days=T","Dir=V")</f>
        <v>0</v>
      </c>
      <c r="AA2">
        <f>BDH("MYSE US Equity","EBIT","1993-06-18","2026-05-02","Per=Y","Days=T","Dir=V")</f>
        <v>0</v>
      </c>
      <c r="AC2">
        <f>BDH("MYSE US Equity","EBITDA","1993-06-18","2026-05-02","Per=Y","Days=T","Dir=V")</f>
        <v>0</v>
      </c>
      <c r="AE2">
        <f>BDH("MYSE US Equity","NET_INCOME","1993-06-18","2026-05-02","Per=Y","Days=T","Dir=V")</f>
        <v>0</v>
      </c>
      <c r="AG2">
        <f>BDH("MYSE US Equity","IS_INT_EXPENSE","1993-06-18","2026-05-02","Per=Y","Days=T","Dir=V")</f>
        <v>0</v>
      </c>
      <c r="AI2">
        <f>BDH("MYSE US Equity","IS_DEPR_EXP","1993-06-18","2026-05-02","Per=Y","Days=T","Dir=V")</f>
        <v>0</v>
      </c>
      <c r="AK2">
        <f>BDH("MYSE US Equity","CF_CASH_FROM_OPER","1993-06-18","2026-05-02","Per=Y","Days=T","Dir=V")</f>
        <v>0</v>
      </c>
      <c r="AM2">
        <f>BDH("MYSE US Equity","CAPITAL_EXPEND","1993-06-18","2026-05-02","Per=Y","Days=T","Dir=V")</f>
        <v>0</v>
      </c>
      <c r="AO2">
        <f>BDH("MYSE US Equity","CF_FREE_CASH_FLOW","1993-06-18","2026-05-02","Per=Y","Days=T","Dir=V")</f>
        <v>0</v>
      </c>
      <c r="AQ2">
        <f>BDH("MYSE US Equity","PX_LAST","1993-06-18","2026-05-02","Per=M","Days=T","Dir=V")</f>
        <v>0</v>
      </c>
      <c r="AS2">
        <f>BDH("MYSE US Equity","CUR_MKT_CAP","1993-06-18","2026-05-02","Per=M","Days=T","Dir=V")</f>
        <v>0</v>
      </c>
      <c r="AU2">
        <f>BDH("MYSE US Equity","EQY_SH_OUT","1993-06-18","2026-05-02","Per=M","Days=T","Dir=V")</f>
        <v>0</v>
      </c>
      <c r="AW2">
        <f>BDH("MYSE US Equity","PX_VOLUME","1993-06-18","2026-05-02","Per=M","Days=T","Dir=V")</f>
        <v>0</v>
      </c>
      <c r="AY2">
        <f>BDH("MYSE US Equity","TURNOVER","1993-06-18","2026-05-02","Per=M","Days=T","Dir=V")</f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BDH("MZTI US Equity","BS_TOT_ASSET","1993-06-18","2026-05-02","Per=Y","Days=T","Dir=V")</f>
        <v>0</v>
      </c>
      <c r="C2">
        <f>BDH("MZTI US Equity","BS_TOT_LIAB2","1993-06-18","2026-05-02","Per=Y","Days=T","Dir=V")</f>
        <v>0</v>
      </c>
      <c r="E2">
        <f>BDH("MZTI US Equity","SHORT_AND_LONG_TERM_DEBT","1993-06-18","2026-05-02","Per=Y","Days=T","Dir=V")</f>
        <v>0</v>
      </c>
      <c r="G2">
        <f>BDH("MZTI US Equity","BS_ST_BORROW","1993-06-18","2026-05-02","Per=Y","Days=T","Dir=V")</f>
        <v>0</v>
      </c>
      <c r="I2">
        <f>BDH("MZTI US Equity","BS_LT_BORROW","1993-06-18","2026-05-02","Per=Y","Days=T","Dir=V")</f>
        <v>0</v>
      </c>
      <c r="K2">
        <f>BDH("MZTI US Equity","BS_CASH_NEAR_CASH_ITEM","1993-06-18","2026-05-02","Per=Y","Days=T","Dir=V")</f>
        <v>0</v>
      </c>
      <c r="M2">
        <f>BDH("MZTI US Equity","BS_CUR_ASSET_REPORT","1993-06-18","2026-05-02","Per=Y","Days=T","Dir=V")</f>
        <v>0</v>
      </c>
      <c r="O2">
        <f>BDH("MZTI US Equity","BS_CUR_LIAB","1993-06-18","2026-05-02","Per=Y","Days=T","Dir=V")</f>
        <v>0</v>
      </c>
      <c r="Q2">
        <f>BDH("MZTI US Equity","BS_SHAREHOLDER_EQY_ENDING_PERIOD","1993-06-18","2026-05-02","Per=Y","Days=T","Dir=V")</f>
        <v>0</v>
      </c>
      <c r="S2">
        <f>BDH("MZTI US Equity","BS_ACCT_NOTE_RCV","1993-06-18","2026-05-02","Per=Y","Days=T","Dir=V")</f>
        <v>0</v>
      </c>
      <c r="U2">
        <f>BDH("MZTI US Equity","BS_INVENTORIES","1993-06-18","2026-05-02","Per=Y","Days=T","Dir=V")</f>
        <v>0</v>
      </c>
      <c r="W2">
        <f>BDH("MZTI US Equity","WORKING_CAPITAL","1993-06-18","2026-05-02","Per=Y","Days=T","Dir=V")</f>
        <v>0</v>
      </c>
      <c r="Y2">
        <f>BDH("MZTI US Equity","SALES_REV_TURN","1993-06-18","2026-05-02","Per=Y","Days=T","Dir=V")</f>
        <v>0</v>
      </c>
      <c r="AA2">
        <f>BDH("MZTI US Equity","EBIT","1993-06-18","2026-05-02","Per=Y","Days=T","Dir=V")</f>
        <v>0</v>
      </c>
      <c r="AC2">
        <f>BDH("MZTI US Equity","EBITDA","1993-06-18","2026-05-02","Per=Y","Days=T","Dir=V")</f>
        <v>0</v>
      </c>
      <c r="AE2">
        <f>BDH("MZTI US Equity","NET_INCOME","1993-06-18","2026-05-02","Per=Y","Days=T","Dir=V")</f>
        <v>0</v>
      </c>
      <c r="AG2">
        <f>BDH("MZTI US Equity","IS_INT_EXPENSE","1993-06-18","2026-05-02","Per=Y","Days=T","Dir=V")</f>
        <v>0</v>
      </c>
      <c r="AI2">
        <f>BDH("MZTI US Equity","IS_DEPR_EXP","1993-06-18","2026-05-02","Per=Y","Days=T","Dir=V")</f>
        <v>0</v>
      </c>
      <c r="AK2">
        <f>BDH("MZTI US Equity","CF_CASH_FROM_OPER","1993-06-18","2026-05-02","Per=Y","Days=T","Dir=V")</f>
        <v>0</v>
      </c>
      <c r="AM2">
        <f>BDH("MZTI US Equity","CAPITAL_EXPEND","1993-06-18","2026-05-02","Per=Y","Days=T","Dir=V")</f>
        <v>0</v>
      </c>
      <c r="AO2">
        <f>BDH("MZTI US Equity","CF_FREE_CASH_FLOW","1993-06-18","2026-05-02","Per=Y","Days=T","Dir=V")</f>
        <v>0</v>
      </c>
      <c r="AQ2">
        <f>BDH("MZTI US Equity","PX_LAST","1993-06-18","2026-05-02","Per=M","Days=T","Dir=V")</f>
        <v>0</v>
      </c>
      <c r="AS2">
        <f>BDH("MZTI US Equity","CUR_MKT_CAP","1993-06-18","2026-05-02","Per=M","Days=T","Dir=V")</f>
        <v>0</v>
      </c>
      <c r="AU2">
        <f>BDH("MZTI US Equity","EQY_SH_OUT","1993-06-18","2026-05-02","Per=M","Days=T","Dir=V")</f>
        <v>0</v>
      </c>
      <c r="AW2">
        <f>BDH("MZTI US Equity","PX_VOLUME","1993-06-18","2026-05-02","Per=M","Days=T","Dir=V")</f>
        <v>0</v>
      </c>
      <c r="AY2">
        <f>BDH("MZTI US Equity","TURNOVER","1993-06-18","2026-05-02","Per=M","Days=T","Dir=V")</f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BDH("NABL US Equity","BS_TOT_ASSET","1993-06-18","2026-05-02","Per=Y","Days=T","Dir=V")</f>
        <v>0</v>
      </c>
      <c r="C2">
        <f>BDH("NABL US Equity","BS_TOT_LIAB2","1993-06-18","2026-05-02","Per=Y","Days=T","Dir=V")</f>
        <v>0</v>
      </c>
      <c r="E2">
        <f>BDH("NABL US Equity","SHORT_AND_LONG_TERM_DEBT","1993-06-18","2026-05-02","Per=Y","Days=T","Dir=V")</f>
        <v>0</v>
      </c>
      <c r="G2">
        <f>BDH("NABL US Equity","BS_ST_BORROW","1993-06-18","2026-05-02","Per=Y","Days=T","Dir=V")</f>
        <v>0</v>
      </c>
      <c r="I2">
        <f>BDH("NABL US Equity","BS_LT_BORROW","1993-06-18","2026-05-02","Per=Y","Days=T","Dir=V")</f>
        <v>0</v>
      </c>
      <c r="K2">
        <f>BDH("NABL US Equity","BS_CASH_NEAR_CASH_ITEM","1993-06-18","2026-05-02","Per=Y","Days=T","Dir=V")</f>
        <v>0</v>
      </c>
      <c r="M2">
        <f>BDH("NABL US Equity","BS_CUR_ASSET_REPORT","1993-06-18","2026-05-02","Per=Y","Days=T","Dir=V")</f>
        <v>0</v>
      </c>
      <c r="O2">
        <f>BDH("NABL US Equity","BS_CUR_LIAB","1993-06-18","2026-05-02","Per=Y","Days=T","Dir=V")</f>
        <v>0</v>
      </c>
      <c r="Q2">
        <f>BDH("NABL US Equity","BS_SHAREHOLDER_EQY_ENDING_PERIOD","1993-06-18","2026-05-02","Per=Y","Days=T","Dir=V")</f>
        <v>0</v>
      </c>
      <c r="S2">
        <f>BDH("NABL US Equity","BS_ACCT_NOTE_RCV","1993-06-18","2026-05-02","Per=Y","Days=T","Dir=V")</f>
        <v>0</v>
      </c>
      <c r="U2">
        <f>BDH("NABL US Equity","BS_INVENTORIES","1993-06-18","2026-05-02","Per=Y","Days=T","Dir=V")</f>
        <v>0</v>
      </c>
      <c r="W2">
        <f>BDH("NABL US Equity","WORKING_CAPITAL","1993-06-18","2026-05-02","Per=Y","Days=T","Dir=V")</f>
        <v>0</v>
      </c>
      <c r="Y2">
        <f>BDH("NABL US Equity","SALES_REV_TURN","1993-06-18","2026-05-02","Per=Y","Days=T","Dir=V")</f>
        <v>0</v>
      </c>
      <c r="AA2">
        <f>BDH("NABL US Equity","EBIT","1993-06-18","2026-05-02","Per=Y","Days=T","Dir=V")</f>
        <v>0</v>
      </c>
      <c r="AC2">
        <f>BDH("NABL US Equity","EBITDA","1993-06-18","2026-05-02","Per=Y","Days=T","Dir=V")</f>
        <v>0</v>
      </c>
      <c r="AE2">
        <f>BDH("NABL US Equity","NET_INCOME","1993-06-18","2026-05-02","Per=Y","Days=T","Dir=V")</f>
        <v>0</v>
      </c>
      <c r="AG2">
        <f>BDH("NABL US Equity","IS_INT_EXPENSE","1993-06-18","2026-05-02","Per=Y","Days=T","Dir=V")</f>
        <v>0</v>
      </c>
      <c r="AI2">
        <f>BDH("NABL US Equity","IS_DEPR_EXP","1993-06-18","2026-05-02","Per=Y","Days=T","Dir=V")</f>
        <v>0</v>
      </c>
      <c r="AK2">
        <f>BDH("NABL US Equity","CF_CASH_FROM_OPER","1993-06-18","2026-05-02","Per=Y","Days=T","Dir=V")</f>
        <v>0</v>
      </c>
      <c r="AM2">
        <f>BDH("NABL US Equity","CAPITAL_EXPEND","1993-06-18","2026-05-02","Per=Y","Days=T","Dir=V")</f>
        <v>0</v>
      </c>
      <c r="AO2">
        <f>BDH("NABL US Equity","CF_FREE_CASH_FLOW","1993-06-18","2026-05-02","Per=Y","Days=T","Dir=V")</f>
        <v>0</v>
      </c>
      <c r="AQ2">
        <f>BDH("NABL US Equity","PX_LAST","1993-06-18","2026-05-02","Per=M","Days=T","Dir=V")</f>
        <v>0</v>
      </c>
      <c r="AS2">
        <f>BDH("NABL US Equity","CUR_MKT_CAP","1993-06-18","2026-05-02","Per=M","Days=T","Dir=V")</f>
        <v>0</v>
      </c>
      <c r="AU2">
        <f>BDH("NABL US Equity","EQY_SH_OUT","1993-06-18","2026-05-02","Per=M","Days=T","Dir=V")</f>
        <v>0</v>
      </c>
      <c r="AW2">
        <f>BDH("NABL US Equity","PX_VOLUME","1993-06-18","2026-05-02","Per=M","Days=T","Dir=V")</f>
        <v>0</v>
      </c>
      <c r="AY2">
        <f>BDH("NABL US Equity","TURNOVER","1993-06-18","2026-05-02","Per=M","Days=T","Dir=V")</f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BDH("NAGE US Equity","BS_TOT_ASSET","1993-06-18","2026-05-02","Per=Y","Days=T","Dir=V")</f>
        <v>0</v>
      </c>
      <c r="C2">
        <f>BDH("NAGE US Equity","BS_TOT_LIAB2","1993-06-18","2026-05-02","Per=Y","Days=T","Dir=V")</f>
        <v>0</v>
      </c>
      <c r="E2">
        <f>BDH("NAGE US Equity","SHORT_AND_LONG_TERM_DEBT","1993-06-18","2026-05-02","Per=Y","Days=T","Dir=V")</f>
        <v>0</v>
      </c>
      <c r="G2">
        <f>BDH("NAGE US Equity","BS_ST_BORROW","1993-06-18","2026-05-02","Per=Y","Days=T","Dir=V")</f>
        <v>0</v>
      </c>
      <c r="I2">
        <f>BDH("NAGE US Equity","BS_LT_BORROW","1993-06-18","2026-05-02","Per=Y","Days=T","Dir=V")</f>
        <v>0</v>
      </c>
      <c r="K2">
        <f>BDH("NAGE US Equity","BS_CASH_NEAR_CASH_ITEM","1993-06-18","2026-05-02","Per=Y","Days=T","Dir=V")</f>
        <v>0</v>
      </c>
      <c r="M2">
        <f>BDH("NAGE US Equity","BS_CUR_ASSET_REPORT","1993-06-18","2026-05-02","Per=Y","Days=T","Dir=V")</f>
        <v>0</v>
      </c>
      <c r="O2">
        <f>BDH("NAGE US Equity","BS_CUR_LIAB","1993-06-18","2026-05-02","Per=Y","Days=T","Dir=V")</f>
        <v>0</v>
      </c>
      <c r="Q2">
        <f>BDH("NAGE US Equity","BS_SHAREHOLDER_EQY_ENDING_PERIOD","1993-06-18","2026-05-02","Per=Y","Days=T","Dir=V")</f>
        <v>0</v>
      </c>
      <c r="S2">
        <f>BDH("NAGE US Equity","BS_ACCT_NOTE_RCV","1993-06-18","2026-05-02","Per=Y","Days=T","Dir=V")</f>
        <v>0</v>
      </c>
      <c r="U2">
        <f>BDH("NAGE US Equity","BS_INVENTORIES","1993-06-18","2026-05-02","Per=Y","Days=T","Dir=V")</f>
        <v>0</v>
      </c>
      <c r="W2">
        <f>BDH("NAGE US Equity","WORKING_CAPITAL","1993-06-18","2026-05-02","Per=Y","Days=T","Dir=V")</f>
        <v>0</v>
      </c>
      <c r="Y2">
        <f>BDH("NAGE US Equity","SALES_REV_TURN","1993-06-18","2026-05-02","Per=Y","Days=T","Dir=V")</f>
        <v>0</v>
      </c>
      <c r="AA2">
        <f>BDH("NAGE US Equity","EBIT","1993-06-18","2026-05-02","Per=Y","Days=T","Dir=V")</f>
        <v>0</v>
      </c>
      <c r="AC2">
        <f>BDH("NAGE US Equity","EBITDA","1993-06-18","2026-05-02","Per=Y","Days=T","Dir=V")</f>
        <v>0</v>
      </c>
      <c r="AE2">
        <f>BDH("NAGE US Equity","NET_INCOME","1993-06-18","2026-05-02","Per=Y","Days=T","Dir=V")</f>
        <v>0</v>
      </c>
      <c r="AG2">
        <f>BDH("NAGE US Equity","IS_INT_EXPENSE","1993-06-18","2026-05-02","Per=Y","Days=T","Dir=V")</f>
        <v>0</v>
      </c>
      <c r="AI2">
        <f>BDH("NAGE US Equity","IS_DEPR_EXP","1993-06-18","2026-05-02","Per=Y","Days=T","Dir=V")</f>
        <v>0</v>
      </c>
      <c r="AK2">
        <f>BDH("NAGE US Equity","CF_CASH_FROM_OPER","1993-06-18","2026-05-02","Per=Y","Days=T","Dir=V")</f>
        <v>0</v>
      </c>
      <c r="AM2">
        <f>BDH("NAGE US Equity","CAPITAL_EXPEND","1993-06-18","2026-05-02","Per=Y","Days=T","Dir=V")</f>
        <v>0</v>
      </c>
      <c r="AO2">
        <f>BDH("NAGE US Equity","CF_FREE_CASH_FLOW","1993-06-18","2026-05-02","Per=Y","Days=T","Dir=V")</f>
        <v>0</v>
      </c>
      <c r="AQ2">
        <f>BDH("NAGE US Equity","PX_LAST","1993-06-18","2026-05-02","Per=M","Days=T","Dir=V")</f>
        <v>0</v>
      </c>
      <c r="AS2">
        <f>BDH("NAGE US Equity","CUR_MKT_CAP","1993-06-18","2026-05-02","Per=M","Days=T","Dir=V")</f>
        <v>0</v>
      </c>
      <c r="AU2">
        <f>BDH("NAGE US Equity","EQY_SH_OUT","1993-06-18","2026-05-02","Per=M","Days=T","Dir=V")</f>
        <v>0</v>
      </c>
      <c r="AW2">
        <f>BDH("NAGE US Equity","PX_VOLUME","1993-06-18","2026-05-02","Per=M","Days=T","Dir=V")</f>
        <v>0</v>
      </c>
      <c r="AY2">
        <f>BDH("NAGE US Equity","TURNOVER","1993-06-18","2026-05-02","Per=M","Days=T","Dir=V")</f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BDH("NAII US Equity","BS_TOT_ASSET","1993-06-18","2026-05-02","Per=Y","Days=T","Dir=V")</f>
        <v>0</v>
      </c>
      <c r="C2">
        <f>BDH("NAII US Equity","BS_TOT_LIAB2","1993-06-18","2026-05-02","Per=Y","Days=T","Dir=V")</f>
        <v>0</v>
      </c>
      <c r="E2">
        <f>BDH("NAII US Equity","SHORT_AND_LONG_TERM_DEBT","1993-06-18","2026-05-02","Per=Y","Days=T","Dir=V")</f>
        <v>0</v>
      </c>
      <c r="G2">
        <f>BDH("NAII US Equity","BS_ST_BORROW","1993-06-18","2026-05-02","Per=Y","Days=T","Dir=V")</f>
        <v>0</v>
      </c>
      <c r="I2">
        <f>BDH("NAII US Equity","BS_LT_BORROW","1993-06-18","2026-05-02","Per=Y","Days=T","Dir=V")</f>
        <v>0</v>
      </c>
      <c r="K2">
        <f>BDH("NAII US Equity","BS_CASH_NEAR_CASH_ITEM","1993-06-18","2026-05-02","Per=Y","Days=T","Dir=V")</f>
        <v>0</v>
      </c>
      <c r="M2">
        <f>BDH("NAII US Equity","BS_CUR_ASSET_REPORT","1993-06-18","2026-05-02","Per=Y","Days=T","Dir=V")</f>
        <v>0</v>
      </c>
      <c r="O2">
        <f>BDH("NAII US Equity","BS_CUR_LIAB","1993-06-18","2026-05-02","Per=Y","Days=T","Dir=V")</f>
        <v>0</v>
      </c>
      <c r="Q2">
        <f>BDH("NAII US Equity","BS_SHAREHOLDER_EQY_ENDING_PERIOD","1993-06-18","2026-05-02","Per=Y","Days=T","Dir=V")</f>
        <v>0</v>
      </c>
      <c r="S2">
        <f>BDH("NAII US Equity","BS_ACCT_NOTE_RCV","1993-06-18","2026-05-02","Per=Y","Days=T","Dir=V")</f>
        <v>0</v>
      </c>
      <c r="U2">
        <f>BDH("NAII US Equity","BS_INVENTORIES","1993-06-18","2026-05-02","Per=Y","Days=T","Dir=V")</f>
        <v>0</v>
      </c>
      <c r="W2">
        <f>BDH("NAII US Equity","WORKING_CAPITAL","1993-06-18","2026-05-02","Per=Y","Days=T","Dir=V")</f>
        <v>0</v>
      </c>
      <c r="Y2">
        <f>BDH("NAII US Equity","SALES_REV_TURN","1993-06-18","2026-05-02","Per=Y","Days=T","Dir=V")</f>
        <v>0</v>
      </c>
      <c r="AA2">
        <f>BDH("NAII US Equity","EBIT","1993-06-18","2026-05-02","Per=Y","Days=T","Dir=V")</f>
        <v>0</v>
      </c>
      <c r="AC2">
        <f>BDH("NAII US Equity","EBITDA","1993-06-18","2026-05-02","Per=Y","Days=T","Dir=V")</f>
        <v>0</v>
      </c>
      <c r="AE2">
        <f>BDH("NAII US Equity","NET_INCOME","1993-06-18","2026-05-02","Per=Y","Days=T","Dir=V")</f>
        <v>0</v>
      </c>
      <c r="AG2">
        <f>BDH("NAII US Equity","IS_INT_EXPENSE","1993-06-18","2026-05-02","Per=Y","Days=T","Dir=V")</f>
        <v>0</v>
      </c>
      <c r="AI2">
        <f>BDH("NAII US Equity","IS_DEPR_EXP","1993-06-18","2026-05-02","Per=Y","Days=T","Dir=V")</f>
        <v>0</v>
      </c>
      <c r="AK2">
        <f>BDH("NAII US Equity","CF_CASH_FROM_OPER","1993-06-18","2026-05-02","Per=Y","Days=T","Dir=V")</f>
        <v>0</v>
      </c>
      <c r="AM2">
        <f>BDH("NAII US Equity","CAPITAL_EXPEND","1993-06-18","2026-05-02","Per=Y","Days=T","Dir=V")</f>
        <v>0</v>
      </c>
      <c r="AO2">
        <f>BDH("NAII US Equity","CF_FREE_CASH_FLOW","1993-06-18","2026-05-02","Per=Y","Days=T","Dir=V")</f>
        <v>0</v>
      </c>
      <c r="AQ2">
        <f>BDH("NAII US Equity","PX_LAST","1993-06-18","2026-05-02","Per=M","Days=T","Dir=V")</f>
        <v>0</v>
      </c>
      <c r="AS2">
        <f>BDH("NAII US Equity","CUR_MKT_CAP","1993-06-18","2026-05-02","Per=M","Days=T","Dir=V")</f>
        <v>0</v>
      </c>
      <c r="AU2">
        <f>BDH("NAII US Equity","EQY_SH_OUT","1993-06-18","2026-05-02","Per=M","Days=T","Dir=V")</f>
        <v>0</v>
      </c>
      <c r="AW2">
        <f>BDH("NAII US Equity","PX_VOLUME","1993-06-18","2026-05-02","Per=M","Days=T","Dir=V")</f>
        <v>0</v>
      </c>
      <c r="AY2">
        <f>BDH("NAII US Equity","TURNOVER","1993-06-18","2026-05-02","Per=M","Days=T","Dir=V")</f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BDH("NAKA US Equity","BS_TOT_ASSET","1993-06-18","2026-05-02","Per=Y","Days=T","Dir=V")</f>
        <v>0</v>
      </c>
      <c r="C2">
        <f>BDH("NAKA US Equity","BS_TOT_LIAB2","1993-06-18","2026-05-02","Per=Y","Days=T","Dir=V")</f>
        <v>0</v>
      </c>
      <c r="E2">
        <f>BDH("NAKA US Equity","SHORT_AND_LONG_TERM_DEBT","1993-06-18","2026-05-02","Per=Y","Days=T","Dir=V")</f>
        <v>0</v>
      </c>
      <c r="G2">
        <f>BDH("NAKA US Equity","BS_ST_BORROW","1993-06-18","2026-05-02","Per=Y","Days=T","Dir=V")</f>
        <v>0</v>
      </c>
      <c r="I2">
        <f>BDH("NAKA US Equity","BS_LT_BORROW","1993-06-18","2026-05-02","Per=Y","Days=T","Dir=V")</f>
        <v>0</v>
      </c>
      <c r="K2">
        <f>BDH("NAKA US Equity","BS_CASH_NEAR_CASH_ITEM","1993-06-18","2026-05-02","Per=Y","Days=T","Dir=V")</f>
        <v>0</v>
      </c>
      <c r="M2">
        <f>BDH("NAKA US Equity","BS_CUR_ASSET_REPORT","1993-06-18","2026-05-02","Per=Y","Days=T","Dir=V")</f>
        <v>0</v>
      </c>
      <c r="O2">
        <f>BDH("NAKA US Equity","BS_CUR_LIAB","1993-06-18","2026-05-02","Per=Y","Days=T","Dir=V")</f>
        <v>0</v>
      </c>
      <c r="Q2">
        <f>BDH("NAKA US Equity","BS_SHAREHOLDER_EQY_ENDING_PERIOD","1993-06-18","2026-05-02","Per=Y","Days=T","Dir=V")</f>
        <v>0</v>
      </c>
      <c r="S2">
        <f>BDH("NAKA US Equity","BS_ACCT_NOTE_RCV","1993-06-18","2026-05-02","Per=Y","Days=T","Dir=V")</f>
        <v>0</v>
      </c>
      <c r="U2">
        <f>BDH("NAKA US Equity","BS_INVENTORIES","1993-06-18","2026-05-02","Per=Y","Days=T","Dir=V")</f>
        <v>0</v>
      </c>
      <c r="W2">
        <f>BDH("NAKA US Equity","WORKING_CAPITAL","1993-06-18","2026-05-02","Per=Y","Days=T","Dir=V")</f>
        <v>0</v>
      </c>
      <c r="Y2">
        <f>BDH("NAKA US Equity","SALES_REV_TURN","1993-06-18","2026-05-02","Per=Y","Days=T","Dir=V")</f>
        <v>0</v>
      </c>
      <c r="AA2">
        <f>BDH("NAKA US Equity","EBIT","1993-06-18","2026-05-02","Per=Y","Days=T","Dir=V")</f>
        <v>0</v>
      </c>
      <c r="AC2">
        <f>BDH("NAKA US Equity","EBITDA","1993-06-18","2026-05-02","Per=Y","Days=T","Dir=V")</f>
        <v>0</v>
      </c>
      <c r="AE2">
        <f>BDH("NAKA US Equity","NET_INCOME","1993-06-18","2026-05-02","Per=Y","Days=T","Dir=V")</f>
        <v>0</v>
      </c>
      <c r="AG2">
        <f>BDH("NAKA US Equity","IS_INT_EXPENSE","1993-06-18","2026-05-02","Per=Y","Days=T","Dir=V")</f>
        <v>0</v>
      </c>
      <c r="AI2">
        <f>BDH("NAKA US Equity","IS_DEPR_EXP","1993-06-18","2026-05-02","Per=Y","Days=T","Dir=V")</f>
        <v>0</v>
      </c>
      <c r="AK2">
        <f>BDH("NAKA US Equity","CF_CASH_FROM_OPER","1993-06-18","2026-05-02","Per=Y","Days=T","Dir=V")</f>
        <v>0</v>
      </c>
      <c r="AM2">
        <f>BDH("NAKA US Equity","CAPITAL_EXPEND","1993-06-18","2026-05-02","Per=Y","Days=T","Dir=V")</f>
        <v>0</v>
      </c>
      <c r="AO2">
        <f>BDH("NAKA US Equity","CF_FREE_CASH_FLOW","1993-06-18","2026-05-02","Per=Y","Days=T","Dir=V")</f>
        <v>0</v>
      </c>
      <c r="AQ2">
        <f>BDH("NAKA US Equity","PX_LAST","1993-06-18","2026-05-02","Per=M","Days=T","Dir=V")</f>
        <v>0</v>
      </c>
      <c r="AS2">
        <f>BDH("NAKA US Equity","CUR_MKT_CAP","1993-06-18","2026-05-02","Per=M","Days=T","Dir=V")</f>
        <v>0</v>
      </c>
      <c r="AU2">
        <f>BDH("NAKA US Equity","EQY_SH_OUT","1993-06-18","2026-05-02","Per=M","Days=T","Dir=V")</f>
        <v>0</v>
      </c>
      <c r="AW2">
        <f>BDH("NAKA US Equity","PX_VOLUME","1993-06-18","2026-05-02","Per=M","Days=T","Dir=V")</f>
        <v>0</v>
      </c>
      <c r="AY2">
        <f>BDH("NAKA US Equity","TURNOVER","1993-06-18","2026-05-02","Per=M","Days=T","Dir=V")</f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BDH("NATH US Equity","BS_TOT_ASSET","1993-06-18","2026-05-02","Per=Y","Days=T","Dir=V")</f>
        <v>0</v>
      </c>
      <c r="C2">
        <f>BDH("NATH US Equity","BS_TOT_LIAB2","1993-06-18","2026-05-02","Per=Y","Days=T","Dir=V")</f>
        <v>0</v>
      </c>
      <c r="E2">
        <f>BDH("NATH US Equity","SHORT_AND_LONG_TERM_DEBT","1993-06-18","2026-05-02","Per=Y","Days=T","Dir=V")</f>
        <v>0</v>
      </c>
      <c r="G2">
        <f>BDH("NATH US Equity","BS_ST_BORROW","1993-06-18","2026-05-02","Per=Y","Days=T","Dir=V")</f>
        <v>0</v>
      </c>
      <c r="I2">
        <f>BDH("NATH US Equity","BS_LT_BORROW","1993-06-18","2026-05-02","Per=Y","Days=T","Dir=V")</f>
        <v>0</v>
      </c>
      <c r="K2">
        <f>BDH("NATH US Equity","BS_CASH_NEAR_CASH_ITEM","1993-06-18","2026-05-02","Per=Y","Days=T","Dir=V")</f>
        <v>0</v>
      </c>
      <c r="M2">
        <f>BDH("NATH US Equity","BS_CUR_ASSET_REPORT","1993-06-18","2026-05-02","Per=Y","Days=T","Dir=V")</f>
        <v>0</v>
      </c>
      <c r="O2">
        <f>BDH("NATH US Equity","BS_CUR_LIAB","1993-06-18","2026-05-02","Per=Y","Days=T","Dir=V")</f>
        <v>0</v>
      </c>
      <c r="Q2">
        <f>BDH("NATH US Equity","BS_SHAREHOLDER_EQY_ENDING_PERIOD","1993-06-18","2026-05-02","Per=Y","Days=T","Dir=V")</f>
        <v>0</v>
      </c>
      <c r="S2">
        <f>BDH("NATH US Equity","BS_ACCT_NOTE_RCV","1993-06-18","2026-05-02","Per=Y","Days=T","Dir=V")</f>
        <v>0</v>
      </c>
      <c r="U2">
        <f>BDH("NATH US Equity","BS_INVENTORIES","1993-06-18","2026-05-02","Per=Y","Days=T","Dir=V")</f>
        <v>0</v>
      </c>
      <c r="W2">
        <f>BDH("NATH US Equity","WORKING_CAPITAL","1993-06-18","2026-05-02","Per=Y","Days=T","Dir=V")</f>
        <v>0</v>
      </c>
      <c r="Y2">
        <f>BDH("NATH US Equity","SALES_REV_TURN","1993-06-18","2026-05-02","Per=Y","Days=T","Dir=V")</f>
        <v>0</v>
      </c>
      <c r="AA2">
        <f>BDH("NATH US Equity","EBIT","1993-06-18","2026-05-02","Per=Y","Days=T","Dir=V")</f>
        <v>0</v>
      </c>
      <c r="AC2">
        <f>BDH("NATH US Equity","EBITDA","1993-06-18","2026-05-02","Per=Y","Days=T","Dir=V")</f>
        <v>0</v>
      </c>
      <c r="AE2">
        <f>BDH("NATH US Equity","NET_INCOME","1993-06-18","2026-05-02","Per=Y","Days=T","Dir=V")</f>
        <v>0</v>
      </c>
      <c r="AG2">
        <f>BDH("NATH US Equity","IS_INT_EXPENSE","1993-06-18","2026-05-02","Per=Y","Days=T","Dir=V")</f>
        <v>0</v>
      </c>
      <c r="AI2">
        <f>BDH("NATH US Equity","IS_DEPR_EXP","1993-06-18","2026-05-02","Per=Y","Days=T","Dir=V")</f>
        <v>0</v>
      </c>
      <c r="AK2">
        <f>BDH("NATH US Equity","CF_CASH_FROM_OPER","1993-06-18","2026-05-02","Per=Y","Days=T","Dir=V")</f>
        <v>0</v>
      </c>
      <c r="AM2">
        <f>BDH("NATH US Equity","CAPITAL_EXPEND","1993-06-18","2026-05-02","Per=Y","Days=T","Dir=V")</f>
        <v>0</v>
      </c>
      <c r="AO2">
        <f>BDH("NATH US Equity","CF_FREE_CASH_FLOW","1993-06-18","2026-05-02","Per=Y","Days=T","Dir=V")</f>
        <v>0</v>
      </c>
      <c r="AQ2">
        <f>BDH("NATH US Equity","PX_LAST","1993-06-18","2026-05-02","Per=M","Days=T","Dir=V")</f>
        <v>0</v>
      </c>
      <c r="AS2">
        <f>BDH("NATH US Equity","CUR_MKT_CAP","1993-06-18","2026-05-02","Per=M","Days=T","Dir=V")</f>
        <v>0</v>
      </c>
      <c r="AU2">
        <f>BDH("NATH US Equity","EQY_SH_OUT","1993-06-18","2026-05-02","Per=M","Days=T","Dir=V")</f>
        <v>0</v>
      </c>
      <c r="AW2">
        <f>BDH("NATH US Equity","PX_VOLUME","1993-06-18","2026-05-02","Per=M","Days=T","Dir=V")</f>
        <v>0</v>
      </c>
      <c r="AY2">
        <f>BDH("NATH US Equity","TURNOVER","1993-06-18","2026-05-02","Per=M","Days=T","Dir=V")</f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BDH("NATR US Equity","BS_TOT_ASSET","1993-06-18","2026-05-02","Per=Y","Days=T","Dir=V")</f>
        <v>0</v>
      </c>
      <c r="C2">
        <f>BDH("NATR US Equity","BS_TOT_LIAB2","1993-06-18","2026-05-02","Per=Y","Days=T","Dir=V")</f>
        <v>0</v>
      </c>
      <c r="E2">
        <f>BDH("NATR US Equity","SHORT_AND_LONG_TERM_DEBT","1993-06-18","2026-05-02","Per=Y","Days=T","Dir=V")</f>
        <v>0</v>
      </c>
      <c r="G2">
        <f>BDH("NATR US Equity","BS_ST_BORROW","1993-06-18","2026-05-02","Per=Y","Days=T","Dir=V")</f>
        <v>0</v>
      </c>
      <c r="I2">
        <f>BDH("NATR US Equity","BS_LT_BORROW","1993-06-18","2026-05-02","Per=Y","Days=T","Dir=V")</f>
        <v>0</v>
      </c>
      <c r="K2">
        <f>BDH("NATR US Equity","BS_CASH_NEAR_CASH_ITEM","1993-06-18","2026-05-02","Per=Y","Days=T","Dir=V")</f>
        <v>0</v>
      </c>
      <c r="M2">
        <f>BDH("NATR US Equity","BS_CUR_ASSET_REPORT","1993-06-18","2026-05-02","Per=Y","Days=T","Dir=V")</f>
        <v>0</v>
      </c>
      <c r="O2">
        <f>BDH("NATR US Equity","BS_CUR_LIAB","1993-06-18","2026-05-02","Per=Y","Days=T","Dir=V")</f>
        <v>0</v>
      </c>
      <c r="Q2">
        <f>BDH("NATR US Equity","BS_SHAREHOLDER_EQY_ENDING_PERIOD","1993-06-18","2026-05-02","Per=Y","Days=T","Dir=V")</f>
        <v>0</v>
      </c>
      <c r="S2">
        <f>BDH("NATR US Equity","BS_ACCT_NOTE_RCV","1993-06-18","2026-05-02","Per=Y","Days=T","Dir=V")</f>
        <v>0</v>
      </c>
      <c r="U2">
        <f>BDH("NATR US Equity","BS_INVENTORIES","1993-06-18","2026-05-02","Per=Y","Days=T","Dir=V")</f>
        <v>0</v>
      </c>
      <c r="W2">
        <f>BDH("NATR US Equity","WORKING_CAPITAL","1993-06-18","2026-05-02","Per=Y","Days=T","Dir=V")</f>
        <v>0</v>
      </c>
      <c r="Y2">
        <f>BDH("NATR US Equity","SALES_REV_TURN","1993-06-18","2026-05-02","Per=Y","Days=T","Dir=V")</f>
        <v>0</v>
      </c>
      <c r="AA2">
        <f>BDH("NATR US Equity","EBIT","1993-06-18","2026-05-02","Per=Y","Days=T","Dir=V")</f>
        <v>0</v>
      </c>
      <c r="AC2">
        <f>BDH("NATR US Equity","EBITDA","1993-06-18","2026-05-02","Per=Y","Days=T","Dir=V")</f>
        <v>0</v>
      </c>
      <c r="AE2">
        <f>BDH("NATR US Equity","NET_INCOME","1993-06-18","2026-05-02","Per=Y","Days=T","Dir=V")</f>
        <v>0</v>
      </c>
      <c r="AG2">
        <f>BDH("NATR US Equity","IS_INT_EXPENSE","1993-06-18","2026-05-02","Per=Y","Days=T","Dir=V")</f>
        <v>0</v>
      </c>
      <c r="AI2">
        <f>BDH("NATR US Equity","IS_DEPR_EXP","1993-06-18","2026-05-02","Per=Y","Days=T","Dir=V")</f>
        <v>0</v>
      </c>
      <c r="AK2">
        <f>BDH("NATR US Equity","CF_CASH_FROM_OPER","1993-06-18","2026-05-02","Per=Y","Days=T","Dir=V")</f>
        <v>0</v>
      </c>
      <c r="AM2">
        <f>BDH("NATR US Equity","CAPITAL_EXPEND","1993-06-18","2026-05-02","Per=Y","Days=T","Dir=V")</f>
        <v>0</v>
      </c>
      <c r="AO2">
        <f>BDH("NATR US Equity","CF_FREE_CASH_FLOW","1993-06-18","2026-05-02","Per=Y","Days=T","Dir=V")</f>
        <v>0</v>
      </c>
      <c r="AQ2">
        <f>BDH("NATR US Equity","PX_LAST","1993-06-18","2026-05-02","Per=M","Days=T","Dir=V")</f>
        <v>0</v>
      </c>
      <c r="AS2">
        <f>BDH("NATR US Equity","CUR_MKT_CAP","1993-06-18","2026-05-02","Per=M","Days=T","Dir=V")</f>
        <v>0</v>
      </c>
      <c r="AU2">
        <f>BDH("NATR US Equity","EQY_SH_OUT","1993-06-18","2026-05-02","Per=M","Days=T","Dir=V")</f>
        <v>0</v>
      </c>
      <c r="AW2">
        <f>BDH("NATR US Equity","PX_VOLUME","1993-06-18","2026-05-02","Per=M","Days=T","Dir=V")</f>
        <v>0</v>
      </c>
      <c r="AY2">
        <f>BDH("NATR US Equity","TURNOVER","1993-06-18","2026-05-02","Per=M","Days=T","Dir=V")</f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BDH("NAUT US Equity","BS_TOT_ASSET","1993-06-18","2026-05-02","Per=Y","Days=T","Dir=V")</f>
        <v>0</v>
      </c>
      <c r="C2">
        <f>BDH("NAUT US Equity","BS_TOT_LIAB2","1993-06-18","2026-05-02","Per=Y","Days=T","Dir=V")</f>
        <v>0</v>
      </c>
      <c r="E2">
        <f>BDH("NAUT US Equity","SHORT_AND_LONG_TERM_DEBT","1993-06-18","2026-05-02","Per=Y","Days=T","Dir=V")</f>
        <v>0</v>
      </c>
      <c r="G2">
        <f>BDH("NAUT US Equity","BS_ST_BORROW","1993-06-18","2026-05-02","Per=Y","Days=T","Dir=V")</f>
        <v>0</v>
      </c>
      <c r="I2">
        <f>BDH("NAUT US Equity","BS_LT_BORROW","1993-06-18","2026-05-02","Per=Y","Days=T","Dir=V")</f>
        <v>0</v>
      </c>
      <c r="K2">
        <f>BDH("NAUT US Equity","BS_CASH_NEAR_CASH_ITEM","1993-06-18","2026-05-02","Per=Y","Days=T","Dir=V")</f>
        <v>0</v>
      </c>
      <c r="M2">
        <f>BDH("NAUT US Equity","BS_CUR_ASSET_REPORT","1993-06-18","2026-05-02","Per=Y","Days=T","Dir=V")</f>
        <v>0</v>
      </c>
      <c r="O2">
        <f>BDH("NAUT US Equity","BS_CUR_LIAB","1993-06-18","2026-05-02","Per=Y","Days=T","Dir=V")</f>
        <v>0</v>
      </c>
      <c r="Q2">
        <f>BDH("NAUT US Equity","BS_SHAREHOLDER_EQY_ENDING_PERIOD","1993-06-18","2026-05-02","Per=Y","Days=T","Dir=V")</f>
        <v>0</v>
      </c>
      <c r="S2">
        <f>BDH("NAUT US Equity","BS_ACCT_NOTE_RCV","1993-06-18","2026-05-02","Per=Y","Days=T","Dir=V")</f>
        <v>0</v>
      </c>
      <c r="U2">
        <f>BDH("NAUT US Equity","BS_INVENTORIES","1993-06-18","2026-05-02","Per=Y","Days=T","Dir=V")</f>
        <v>0</v>
      </c>
      <c r="W2">
        <f>BDH("NAUT US Equity","WORKING_CAPITAL","1993-06-18","2026-05-02","Per=Y","Days=T","Dir=V")</f>
        <v>0</v>
      </c>
      <c r="Y2">
        <f>BDH("NAUT US Equity","SALES_REV_TURN","1993-06-18","2026-05-02","Per=Y","Days=T","Dir=V")</f>
        <v>0</v>
      </c>
      <c r="AA2">
        <f>BDH("NAUT US Equity","EBIT","1993-06-18","2026-05-02","Per=Y","Days=T","Dir=V")</f>
        <v>0</v>
      </c>
      <c r="AC2">
        <f>BDH("NAUT US Equity","EBITDA","1993-06-18","2026-05-02","Per=Y","Days=T","Dir=V")</f>
        <v>0</v>
      </c>
      <c r="AE2">
        <f>BDH("NAUT US Equity","NET_INCOME","1993-06-18","2026-05-02","Per=Y","Days=T","Dir=V")</f>
        <v>0</v>
      </c>
      <c r="AG2">
        <f>BDH("NAUT US Equity","IS_INT_EXPENSE","1993-06-18","2026-05-02","Per=Y","Days=T","Dir=V")</f>
        <v>0</v>
      </c>
      <c r="AI2">
        <f>BDH("NAUT US Equity","IS_DEPR_EXP","1993-06-18","2026-05-02","Per=Y","Days=T","Dir=V")</f>
        <v>0</v>
      </c>
      <c r="AK2">
        <f>BDH("NAUT US Equity","CF_CASH_FROM_OPER","1993-06-18","2026-05-02","Per=Y","Days=T","Dir=V")</f>
        <v>0</v>
      </c>
      <c r="AM2">
        <f>BDH("NAUT US Equity","CAPITAL_EXPEND","1993-06-18","2026-05-02","Per=Y","Days=T","Dir=V")</f>
        <v>0</v>
      </c>
      <c r="AO2">
        <f>BDH("NAUT US Equity","CF_FREE_CASH_FLOW","1993-06-18","2026-05-02","Per=Y","Days=T","Dir=V")</f>
        <v>0</v>
      </c>
      <c r="AQ2">
        <f>BDH("NAUT US Equity","PX_LAST","1993-06-18","2026-05-02","Per=M","Days=T","Dir=V")</f>
        <v>0</v>
      </c>
      <c r="AS2">
        <f>BDH("NAUT US Equity","CUR_MKT_CAP","1993-06-18","2026-05-02","Per=M","Days=T","Dir=V")</f>
        <v>0</v>
      </c>
      <c r="AU2">
        <f>BDH("NAUT US Equity","EQY_SH_OUT","1993-06-18","2026-05-02","Per=M","Days=T","Dir=V")</f>
        <v>0</v>
      </c>
      <c r="AW2">
        <f>BDH("NAUT US Equity","PX_VOLUME","1993-06-18","2026-05-02","Per=M","Days=T","Dir=V")</f>
        <v>0</v>
      </c>
      <c r="AY2">
        <f>BDH("NAUT US Equity","TURNOVER","1993-06-18","2026-05-02","Per=M","Days=T","Dir=V")</f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BDH("NAVN US Equity","BS_TOT_ASSET","1993-06-18","2026-05-02","Per=Y","Days=T","Dir=V")</f>
        <v>0</v>
      </c>
      <c r="C2">
        <f>BDH("NAVN US Equity","BS_TOT_LIAB2","1993-06-18","2026-05-02","Per=Y","Days=T","Dir=V")</f>
        <v>0</v>
      </c>
      <c r="E2">
        <f>BDH("NAVN US Equity","SHORT_AND_LONG_TERM_DEBT","1993-06-18","2026-05-02","Per=Y","Days=T","Dir=V")</f>
        <v>0</v>
      </c>
      <c r="G2">
        <f>BDH("NAVN US Equity","BS_ST_BORROW","1993-06-18","2026-05-02","Per=Y","Days=T","Dir=V")</f>
        <v>0</v>
      </c>
      <c r="I2">
        <f>BDH("NAVN US Equity","BS_LT_BORROW","1993-06-18","2026-05-02","Per=Y","Days=T","Dir=V")</f>
        <v>0</v>
      </c>
      <c r="K2">
        <f>BDH("NAVN US Equity","BS_CASH_NEAR_CASH_ITEM","1993-06-18","2026-05-02","Per=Y","Days=T","Dir=V")</f>
        <v>0</v>
      </c>
      <c r="M2">
        <f>BDH("NAVN US Equity","BS_CUR_ASSET_REPORT","1993-06-18","2026-05-02","Per=Y","Days=T","Dir=V")</f>
        <v>0</v>
      </c>
      <c r="O2">
        <f>BDH("NAVN US Equity","BS_CUR_LIAB","1993-06-18","2026-05-02","Per=Y","Days=T","Dir=V")</f>
        <v>0</v>
      </c>
      <c r="Q2">
        <f>BDH("NAVN US Equity","BS_SHAREHOLDER_EQY_ENDING_PERIOD","1993-06-18","2026-05-02","Per=Y","Days=T","Dir=V")</f>
        <v>0</v>
      </c>
      <c r="S2">
        <f>BDH("NAVN US Equity","BS_ACCT_NOTE_RCV","1993-06-18","2026-05-02","Per=Y","Days=T","Dir=V")</f>
        <v>0</v>
      </c>
      <c r="U2">
        <f>BDH("NAVN US Equity","BS_INVENTORIES","1993-06-18","2026-05-02","Per=Y","Days=T","Dir=V")</f>
        <v>0</v>
      </c>
      <c r="W2">
        <f>BDH("NAVN US Equity","WORKING_CAPITAL","1993-06-18","2026-05-02","Per=Y","Days=T","Dir=V")</f>
        <v>0</v>
      </c>
      <c r="Y2">
        <f>BDH("NAVN US Equity","SALES_REV_TURN","1993-06-18","2026-05-02","Per=Y","Days=T","Dir=V")</f>
        <v>0</v>
      </c>
      <c r="AA2">
        <f>BDH("NAVN US Equity","EBIT","1993-06-18","2026-05-02","Per=Y","Days=T","Dir=V")</f>
        <v>0</v>
      </c>
      <c r="AC2">
        <f>BDH("NAVN US Equity","EBITDA","1993-06-18","2026-05-02","Per=Y","Days=T","Dir=V")</f>
        <v>0</v>
      </c>
      <c r="AE2">
        <f>BDH("NAVN US Equity","NET_INCOME","1993-06-18","2026-05-02","Per=Y","Days=T","Dir=V")</f>
        <v>0</v>
      </c>
      <c r="AG2">
        <f>BDH("NAVN US Equity","IS_INT_EXPENSE","1993-06-18","2026-05-02","Per=Y","Days=T","Dir=V")</f>
        <v>0</v>
      </c>
      <c r="AI2">
        <f>BDH("NAVN US Equity","IS_DEPR_EXP","1993-06-18","2026-05-02","Per=Y","Days=T","Dir=V")</f>
        <v>0</v>
      </c>
      <c r="AK2">
        <f>BDH("NAVN US Equity","CF_CASH_FROM_OPER","1993-06-18","2026-05-02","Per=Y","Days=T","Dir=V")</f>
        <v>0</v>
      </c>
      <c r="AM2">
        <f>BDH("NAVN US Equity","CAPITAL_EXPEND","1993-06-18","2026-05-02","Per=Y","Days=T","Dir=V")</f>
        <v>0</v>
      </c>
      <c r="AO2">
        <f>BDH("NAVN US Equity","CF_FREE_CASH_FLOW","1993-06-18","2026-05-02","Per=Y","Days=T","Dir=V")</f>
        <v>0</v>
      </c>
      <c r="AQ2">
        <f>BDH("NAVN US Equity","PX_LAST","1993-06-18","2026-05-02","Per=M","Days=T","Dir=V")</f>
        <v>0</v>
      </c>
      <c r="AS2">
        <f>BDH("NAVN US Equity","CUR_MKT_CAP","1993-06-18","2026-05-02","Per=M","Days=T","Dir=V")</f>
        <v>0</v>
      </c>
      <c r="AU2">
        <f>BDH("NAVN US Equity","EQY_SH_OUT","1993-06-18","2026-05-02","Per=M","Days=T","Dir=V")</f>
        <v>0</v>
      </c>
      <c r="AW2">
        <f>BDH("NAVN US Equity","PX_VOLUME","1993-06-18","2026-05-02","Per=M","Days=T","Dir=V")</f>
        <v>0</v>
      </c>
      <c r="AY2">
        <f>BDH("NAVN US Equity","TURNOVER","1993-06-18","2026-05-02","Per=M","Days=T","Dir=V")</f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BDH("NB US Equity","BS_TOT_ASSET","1993-06-18","2026-05-02","Per=Y","Days=T","Dir=V")</f>
        <v>0</v>
      </c>
      <c r="C2">
        <f>BDH("NB US Equity","BS_TOT_LIAB2","1993-06-18","2026-05-02","Per=Y","Days=T","Dir=V")</f>
        <v>0</v>
      </c>
      <c r="E2">
        <f>BDH("NB US Equity","SHORT_AND_LONG_TERM_DEBT","1993-06-18","2026-05-02","Per=Y","Days=T","Dir=V")</f>
        <v>0</v>
      </c>
      <c r="G2">
        <f>BDH("NB US Equity","BS_ST_BORROW","1993-06-18","2026-05-02","Per=Y","Days=T","Dir=V")</f>
        <v>0</v>
      </c>
      <c r="I2">
        <f>BDH("NB US Equity","BS_LT_BORROW","1993-06-18","2026-05-02","Per=Y","Days=T","Dir=V")</f>
        <v>0</v>
      </c>
      <c r="K2">
        <f>BDH("NB US Equity","BS_CASH_NEAR_CASH_ITEM","1993-06-18","2026-05-02","Per=Y","Days=T","Dir=V")</f>
        <v>0</v>
      </c>
      <c r="M2">
        <f>BDH("NB US Equity","BS_CUR_ASSET_REPORT","1993-06-18","2026-05-02","Per=Y","Days=T","Dir=V")</f>
        <v>0</v>
      </c>
      <c r="O2">
        <f>BDH("NB US Equity","BS_CUR_LIAB","1993-06-18","2026-05-02","Per=Y","Days=T","Dir=V")</f>
        <v>0</v>
      </c>
      <c r="Q2">
        <f>BDH("NB US Equity","BS_SHAREHOLDER_EQY_ENDING_PERIOD","1993-06-18","2026-05-02","Per=Y","Days=T","Dir=V")</f>
        <v>0</v>
      </c>
      <c r="S2">
        <f>BDH("NB US Equity","BS_ACCT_NOTE_RCV","1993-06-18","2026-05-02","Per=Y","Days=T","Dir=V")</f>
        <v>0</v>
      </c>
      <c r="U2">
        <f>BDH("NB US Equity","BS_INVENTORIES","1993-06-18","2026-05-02","Per=Y","Days=T","Dir=V")</f>
        <v>0</v>
      </c>
      <c r="W2">
        <f>BDH("NB US Equity","WORKING_CAPITAL","1993-06-18","2026-05-02","Per=Y","Days=T","Dir=V")</f>
        <v>0</v>
      </c>
      <c r="Y2">
        <f>BDH("NB US Equity","SALES_REV_TURN","1993-06-18","2026-05-02","Per=Y","Days=T","Dir=V")</f>
        <v>0</v>
      </c>
      <c r="AA2">
        <f>BDH("NB US Equity","EBIT","1993-06-18","2026-05-02","Per=Y","Days=T","Dir=V")</f>
        <v>0</v>
      </c>
      <c r="AC2">
        <f>BDH("NB US Equity","EBITDA","1993-06-18","2026-05-02","Per=Y","Days=T","Dir=V")</f>
        <v>0</v>
      </c>
      <c r="AE2">
        <f>BDH("NB US Equity","NET_INCOME","1993-06-18","2026-05-02","Per=Y","Days=T","Dir=V")</f>
        <v>0</v>
      </c>
      <c r="AG2">
        <f>BDH("NB US Equity","IS_INT_EXPENSE","1993-06-18","2026-05-02","Per=Y","Days=T","Dir=V")</f>
        <v>0</v>
      </c>
      <c r="AI2">
        <f>BDH("NB US Equity","IS_DEPR_EXP","1993-06-18","2026-05-02","Per=Y","Days=T","Dir=V")</f>
        <v>0</v>
      </c>
      <c r="AK2">
        <f>BDH("NB US Equity","CF_CASH_FROM_OPER","1993-06-18","2026-05-02","Per=Y","Days=T","Dir=V")</f>
        <v>0</v>
      </c>
      <c r="AM2">
        <f>BDH("NB US Equity","CAPITAL_EXPEND","1993-06-18","2026-05-02","Per=Y","Days=T","Dir=V")</f>
        <v>0</v>
      </c>
      <c r="AO2">
        <f>BDH("NB US Equity","CF_FREE_CASH_FLOW","1993-06-18","2026-05-02","Per=Y","Days=T","Dir=V")</f>
        <v>0</v>
      </c>
      <c r="AQ2">
        <f>BDH("NB US Equity","PX_LAST","1993-06-18","2026-05-02","Per=M","Days=T","Dir=V")</f>
        <v>0</v>
      </c>
      <c r="AS2">
        <f>BDH("NB US Equity","CUR_MKT_CAP","1993-06-18","2026-05-02","Per=M","Days=T","Dir=V")</f>
        <v>0</v>
      </c>
      <c r="AU2">
        <f>BDH("NB US Equity","EQY_SH_OUT","1993-06-18","2026-05-02","Per=M","Days=T","Dir=V")</f>
        <v>0</v>
      </c>
      <c r="AW2">
        <f>BDH("NB US Equity","PX_VOLUME","1993-06-18","2026-05-02","Per=M","Days=T","Dir=V")</f>
        <v>0</v>
      </c>
      <c r="AY2">
        <f>BDH("NB US Equity","TURNOVER","1993-06-18","2026-05-02","Per=M","Days=T","Dir=V")</f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BDH("NBIX US Equity","BS_TOT_ASSET","1993-06-18","2026-05-02","Per=Y","Days=T","Dir=V")</f>
        <v>0</v>
      </c>
      <c r="C2">
        <f>BDH("NBIX US Equity","BS_TOT_LIAB2","1993-06-18","2026-05-02","Per=Y","Days=T","Dir=V")</f>
        <v>0</v>
      </c>
      <c r="E2">
        <f>BDH("NBIX US Equity","SHORT_AND_LONG_TERM_DEBT","1993-06-18","2026-05-02","Per=Y","Days=T","Dir=V")</f>
        <v>0</v>
      </c>
      <c r="G2">
        <f>BDH("NBIX US Equity","BS_ST_BORROW","1993-06-18","2026-05-02","Per=Y","Days=T","Dir=V")</f>
        <v>0</v>
      </c>
      <c r="I2">
        <f>BDH("NBIX US Equity","BS_LT_BORROW","1993-06-18","2026-05-02","Per=Y","Days=T","Dir=V")</f>
        <v>0</v>
      </c>
      <c r="K2">
        <f>BDH("NBIX US Equity","BS_CASH_NEAR_CASH_ITEM","1993-06-18","2026-05-02","Per=Y","Days=T","Dir=V")</f>
        <v>0</v>
      </c>
      <c r="M2">
        <f>BDH("NBIX US Equity","BS_CUR_ASSET_REPORT","1993-06-18","2026-05-02","Per=Y","Days=T","Dir=V")</f>
        <v>0</v>
      </c>
      <c r="O2">
        <f>BDH("NBIX US Equity","BS_CUR_LIAB","1993-06-18","2026-05-02","Per=Y","Days=T","Dir=V")</f>
        <v>0</v>
      </c>
      <c r="Q2">
        <f>BDH("NBIX US Equity","BS_SHAREHOLDER_EQY_ENDING_PERIOD","1993-06-18","2026-05-02","Per=Y","Days=T","Dir=V")</f>
        <v>0</v>
      </c>
      <c r="S2">
        <f>BDH("NBIX US Equity","BS_ACCT_NOTE_RCV","1993-06-18","2026-05-02","Per=Y","Days=T","Dir=V")</f>
        <v>0</v>
      </c>
      <c r="U2">
        <f>BDH("NBIX US Equity","BS_INVENTORIES","1993-06-18","2026-05-02","Per=Y","Days=T","Dir=V")</f>
        <v>0</v>
      </c>
      <c r="W2">
        <f>BDH("NBIX US Equity","WORKING_CAPITAL","1993-06-18","2026-05-02","Per=Y","Days=T","Dir=V")</f>
        <v>0</v>
      </c>
      <c r="Y2">
        <f>BDH("NBIX US Equity","SALES_REV_TURN","1993-06-18","2026-05-02","Per=Y","Days=T","Dir=V")</f>
        <v>0</v>
      </c>
      <c r="AA2">
        <f>BDH("NBIX US Equity","EBIT","1993-06-18","2026-05-02","Per=Y","Days=T","Dir=V")</f>
        <v>0</v>
      </c>
      <c r="AC2">
        <f>BDH("NBIX US Equity","EBITDA","1993-06-18","2026-05-02","Per=Y","Days=T","Dir=V")</f>
        <v>0</v>
      </c>
      <c r="AE2">
        <f>BDH("NBIX US Equity","NET_INCOME","1993-06-18","2026-05-02","Per=Y","Days=T","Dir=V")</f>
        <v>0</v>
      </c>
      <c r="AG2">
        <f>BDH("NBIX US Equity","IS_INT_EXPENSE","1993-06-18","2026-05-02","Per=Y","Days=T","Dir=V")</f>
        <v>0</v>
      </c>
      <c r="AI2">
        <f>BDH("NBIX US Equity","IS_DEPR_EXP","1993-06-18","2026-05-02","Per=Y","Days=T","Dir=V")</f>
        <v>0</v>
      </c>
      <c r="AK2">
        <f>BDH("NBIX US Equity","CF_CASH_FROM_OPER","1993-06-18","2026-05-02","Per=Y","Days=T","Dir=V")</f>
        <v>0</v>
      </c>
      <c r="AM2">
        <f>BDH("NBIX US Equity","CAPITAL_EXPEND","1993-06-18","2026-05-02","Per=Y","Days=T","Dir=V")</f>
        <v>0</v>
      </c>
      <c r="AO2">
        <f>BDH("NBIX US Equity","CF_FREE_CASH_FLOW","1993-06-18","2026-05-02","Per=Y","Days=T","Dir=V")</f>
        <v>0</v>
      </c>
      <c r="AQ2">
        <f>BDH("NBIX US Equity","PX_LAST","1993-06-18","2026-05-02","Per=M","Days=T","Dir=V")</f>
        <v>0</v>
      </c>
      <c r="AS2">
        <f>BDH("NBIX US Equity","CUR_MKT_CAP","1993-06-18","2026-05-02","Per=M","Days=T","Dir=V")</f>
        <v>0</v>
      </c>
      <c r="AU2">
        <f>BDH("NBIX US Equity","EQY_SH_OUT","1993-06-18","2026-05-02","Per=M","Days=T","Dir=V")</f>
        <v>0</v>
      </c>
      <c r="AW2">
        <f>BDH("NBIX US Equity","PX_VOLUME","1993-06-18","2026-05-02","Per=M","Days=T","Dir=V")</f>
        <v>0</v>
      </c>
      <c r="AY2">
        <f>BDH("NBIX US Equity","TURNOVER","1993-06-18","2026-05-02","Per=M","Days=T","Dir=V")</f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BDH("NC US Equity","BS_TOT_ASSET","1993-06-18","2026-05-02","Per=Y","Days=T","Dir=V")</f>
        <v>0</v>
      </c>
      <c r="C2">
        <f>BDH("NC US Equity","BS_TOT_LIAB2","1993-06-18","2026-05-02","Per=Y","Days=T","Dir=V")</f>
        <v>0</v>
      </c>
      <c r="E2">
        <f>BDH("NC US Equity","SHORT_AND_LONG_TERM_DEBT","1993-06-18","2026-05-02","Per=Y","Days=T","Dir=V")</f>
        <v>0</v>
      </c>
      <c r="G2">
        <f>BDH("NC US Equity","BS_ST_BORROW","1993-06-18","2026-05-02","Per=Y","Days=T","Dir=V")</f>
        <v>0</v>
      </c>
      <c r="I2">
        <f>BDH("NC US Equity","BS_LT_BORROW","1993-06-18","2026-05-02","Per=Y","Days=T","Dir=V")</f>
        <v>0</v>
      </c>
      <c r="K2">
        <f>BDH("NC US Equity","BS_CASH_NEAR_CASH_ITEM","1993-06-18","2026-05-02","Per=Y","Days=T","Dir=V")</f>
        <v>0</v>
      </c>
      <c r="M2">
        <f>BDH("NC US Equity","BS_CUR_ASSET_REPORT","1993-06-18","2026-05-02","Per=Y","Days=T","Dir=V")</f>
        <v>0</v>
      </c>
      <c r="O2">
        <f>BDH("NC US Equity","BS_CUR_LIAB","1993-06-18","2026-05-02","Per=Y","Days=T","Dir=V")</f>
        <v>0</v>
      </c>
      <c r="Q2">
        <f>BDH("NC US Equity","BS_SHAREHOLDER_EQY_ENDING_PERIOD","1993-06-18","2026-05-02","Per=Y","Days=T","Dir=V")</f>
        <v>0</v>
      </c>
      <c r="S2">
        <f>BDH("NC US Equity","BS_ACCT_NOTE_RCV","1993-06-18","2026-05-02","Per=Y","Days=T","Dir=V")</f>
        <v>0</v>
      </c>
      <c r="U2">
        <f>BDH("NC US Equity","BS_INVENTORIES","1993-06-18","2026-05-02","Per=Y","Days=T","Dir=V")</f>
        <v>0</v>
      </c>
      <c r="W2">
        <f>BDH("NC US Equity","WORKING_CAPITAL","1993-06-18","2026-05-02","Per=Y","Days=T","Dir=V")</f>
        <v>0</v>
      </c>
      <c r="Y2">
        <f>BDH("NC US Equity","SALES_REV_TURN","1993-06-18","2026-05-02","Per=Y","Days=T","Dir=V")</f>
        <v>0</v>
      </c>
      <c r="AA2">
        <f>BDH("NC US Equity","EBIT","1993-06-18","2026-05-02","Per=Y","Days=T","Dir=V")</f>
        <v>0</v>
      </c>
      <c r="AC2">
        <f>BDH("NC US Equity","EBITDA","1993-06-18","2026-05-02","Per=Y","Days=T","Dir=V")</f>
        <v>0</v>
      </c>
      <c r="AE2">
        <f>BDH("NC US Equity","NET_INCOME","1993-06-18","2026-05-02","Per=Y","Days=T","Dir=V")</f>
        <v>0</v>
      </c>
      <c r="AG2">
        <f>BDH("NC US Equity","IS_INT_EXPENSE","1993-06-18","2026-05-02","Per=Y","Days=T","Dir=V")</f>
        <v>0</v>
      </c>
      <c r="AI2">
        <f>BDH("NC US Equity","IS_DEPR_EXP","1993-06-18","2026-05-02","Per=Y","Days=T","Dir=V")</f>
        <v>0</v>
      </c>
      <c r="AK2">
        <f>BDH("NC US Equity","CF_CASH_FROM_OPER","1993-06-18","2026-05-02","Per=Y","Days=T","Dir=V")</f>
        <v>0</v>
      </c>
      <c r="AM2">
        <f>BDH("NC US Equity","CAPITAL_EXPEND","1993-06-18","2026-05-02","Per=Y","Days=T","Dir=V")</f>
        <v>0</v>
      </c>
      <c r="AO2">
        <f>BDH("NC US Equity","CF_FREE_CASH_FLOW","1993-06-18","2026-05-02","Per=Y","Days=T","Dir=V")</f>
        <v>0</v>
      </c>
      <c r="AQ2">
        <f>BDH("NC US Equity","PX_LAST","1993-06-18","2026-05-02","Per=M","Days=T","Dir=V")</f>
        <v>0</v>
      </c>
      <c r="AS2">
        <f>BDH("NC US Equity","CUR_MKT_CAP","1993-06-18","2026-05-02","Per=M","Days=T","Dir=V")</f>
        <v>0</v>
      </c>
      <c r="AU2">
        <f>BDH("NC US Equity","EQY_SH_OUT","1993-06-18","2026-05-02","Per=M","Days=T","Dir=V")</f>
        <v>0</v>
      </c>
      <c r="AW2">
        <f>BDH("NC US Equity","PX_VOLUME","1993-06-18","2026-05-02","Per=M","Days=T","Dir=V")</f>
        <v>0</v>
      </c>
      <c r="AY2">
        <f>BDH("NC US Equity","TURNOVER","1993-06-18","2026-05-02","Per=M","Days=T","Dir=V")</f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BDH("NCLH US Equity","BS_TOT_ASSET","1993-06-18","2026-05-02","Per=Y","Days=T","Dir=V")</f>
        <v>0</v>
      </c>
      <c r="C2">
        <f>BDH("NCLH US Equity","BS_TOT_LIAB2","1993-06-18","2026-05-02","Per=Y","Days=T","Dir=V")</f>
        <v>0</v>
      </c>
      <c r="E2">
        <f>BDH("NCLH US Equity","SHORT_AND_LONG_TERM_DEBT","1993-06-18","2026-05-02","Per=Y","Days=T","Dir=V")</f>
        <v>0</v>
      </c>
      <c r="G2">
        <f>BDH("NCLH US Equity","BS_ST_BORROW","1993-06-18","2026-05-02","Per=Y","Days=T","Dir=V")</f>
        <v>0</v>
      </c>
      <c r="I2">
        <f>BDH("NCLH US Equity","BS_LT_BORROW","1993-06-18","2026-05-02","Per=Y","Days=T","Dir=V")</f>
        <v>0</v>
      </c>
      <c r="K2">
        <f>BDH("NCLH US Equity","BS_CASH_NEAR_CASH_ITEM","1993-06-18","2026-05-02","Per=Y","Days=T","Dir=V")</f>
        <v>0</v>
      </c>
      <c r="M2">
        <f>BDH("NCLH US Equity","BS_CUR_ASSET_REPORT","1993-06-18","2026-05-02","Per=Y","Days=T","Dir=V")</f>
        <v>0</v>
      </c>
      <c r="O2">
        <f>BDH("NCLH US Equity","BS_CUR_LIAB","1993-06-18","2026-05-02","Per=Y","Days=T","Dir=V")</f>
        <v>0</v>
      </c>
      <c r="Q2">
        <f>BDH("NCLH US Equity","BS_SHAREHOLDER_EQY_ENDING_PERIOD","1993-06-18","2026-05-02","Per=Y","Days=T","Dir=V")</f>
        <v>0</v>
      </c>
      <c r="S2">
        <f>BDH("NCLH US Equity","BS_ACCT_NOTE_RCV","1993-06-18","2026-05-02","Per=Y","Days=T","Dir=V")</f>
        <v>0</v>
      </c>
      <c r="U2">
        <f>BDH("NCLH US Equity","BS_INVENTORIES","1993-06-18","2026-05-02","Per=Y","Days=T","Dir=V")</f>
        <v>0</v>
      </c>
      <c r="W2">
        <f>BDH("NCLH US Equity","WORKING_CAPITAL","1993-06-18","2026-05-02","Per=Y","Days=T","Dir=V")</f>
        <v>0</v>
      </c>
      <c r="Y2">
        <f>BDH("NCLH US Equity","SALES_REV_TURN","1993-06-18","2026-05-02","Per=Y","Days=T","Dir=V")</f>
        <v>0</v>
      </c>
      <c r="AA2">
        <f>BDH("NCLH US Equity","EBIT","1993-06-18","2026-05-02","Per=Y","Days=T","Dir=V")</f>
        <v>0</v>
      </c>
      <c r="AC2">
        <f>BDH("NCLH US Equity","EBITDA","1993-06-18","2026-05-02","Per=Y","Days=T","Dir=V")</f>
        <v>0</v>
      </c>
      <c r="AE2">
        <f>BDH("NCLH US Equity","NET_INCOME","1993-06-18","2026-05-02","Per=Y","Days=T","Dir=V")</f>
        <v>0</v>
      </c>
      <c r="AG2">
        <f>BDH("NCLH US Equity","IS_INT_EXPENSE","1993-06-18","2026-05-02","Per=Y","Days=T","Dir=V")</f>
        <v>0</v>
      </c>
      <c r="AI2">
        <f>BDH("NCLH US Equity","IS_DEPR_EXP","1993-06-18","2026-05-02","Per=Y","Days=T","Dir=V")</f>
        <v>0</v>
      </c>
      <c r="AK2">
        <f>BDH("NCLH US Equity","CF_CASH_FROM_OPER","1993-06-18","2026-05-02","Per=Y","Days=T","Dir=V")</f>
        <v>0</v>
      </c>
      <c r="AM2">
        <f>BDH("NCLH US Equity","CAPITAL_EXPEND","1993-06-18","2026-05-02","Per=Y","Days=T","Dir=V")</f>
        <v>0</v>
      </c>
      <c r="AO2">
        <f>BDH("NCLH US Equity","CF_FREE_CASH_FLOW","1993-06-18","2026-05-02","Per=Y","Days=T","Dir=V")</f>
        <v>0</v>
      </c>
      <c r="AQ2">
        <f>BDH("NCLH US Equity","PX_LAST","1993-06-18","2026-05-02","Per=M","Days=T","Dir=V")</f>
        <v>0</v>
      </c>
      <c r="AS2">
        <f>BDH("NCLH US Equity","CUR_MKT_CAP","1993-06-18","2026-05-02","Per=M","Days=T","Dir=V")</f>
        <v>0</v>
      </c>
      <c r="AU2">
        <f>BDH("NCLH US Equity","EQY_SH_OUT","1993-06-18","2026-05-02","Per=M","Days=T","Dir=V")</f>
        <v>0</v>
      </c>
      <c r="AW2">
        <f>BDH("NCLH US Equity","PX_VOLUME","1993-06-18","2026-05-02","Per=M","Days=T","Dir=V")</f>
        <v>0</v>
      </c>
      <c r="AY2">
        <f>BDH("NCLH US Equity","TURNOVER","1993-06-18","2026-05-02","Per=M","Days=T","Dir=V")</f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BDH("NCMI US Equity","BS_TOT_ASSET","1993-06-18","2026-05-02","Per=Y","Days=T","Dir=V")</f>
        <v>0</v>
      </c>
      <c r="C2">
        <f>BDH("NCMI US Equity","BS_TOT_LIAB2","1993-06-18","2026-05-02","Per=Y","Days=T","Dir=V")</f>
        <v>0</v>
      </c>
      <c r="E2">
        <f>BDH("NCMI US Equity","SHORT_AND_LONG_TERM_DEBT","1993-06-18","2026-05-02","Per=Y","Days=T","Dir=V")</f>
        <v>0</v>
      </c>
      <c r="G2">
        <f>BDH("NCMI US Equity","BS_ST_BORROW","1993-06-18","2026-05-02","Per=Y","Days=T","Dir=V")</f>
        <v>0</v>
      </c>
      <c r="I2">
        <f>BDH("NCMI US Equity","BS_LT_BORROW","1993-06-18","2026-05-02","Per=Y","Days=T","Dir=V")</f>
        <v>0</v>
      </c>
      <c r="K2">
        <f>BDH("NCMI US Equity","BS_CASH_NEAR_CASH_ITEM","1993-06-18","2026-05-02","Per=Y","Days=T","Dir=V")</f>
        <v>0</v>
      </c>
      <c r="M2">
        <f>BDH("NCMI US Equity","BS_CUR_ASSET_REPORT","1993-06-18","2026-05-02","Per=Y","Days=T","Dir=V")</f>
        <v>0</v>
      </c>
      <c r="O2">
        <f>BDH("NCMI US Equity","BS_CUR_LIAB","1993-06-18","2026-05-02","Per=Y","Days=T","Dir=V")</f>
        <v>0</v>
      </c>
      <c r="Q2">
        <f>BDH("NCMI US Equity","BS_SHAREHOLDER_EQY_ENDING_PERIOD","1993-06-18","2026-05-02","Per=Y","Days=T","Dir=V")</f>
        <v>0</v>
      </c>
      <c r="S2">
        <f>BDH("NCMI US Equity","BS_ACCT_NOTE_RCV","1993-06-18","2026-05-02","Per=Y","Days=T","Dir=V")</f>
        <v>0</v>
      </c>
      <c r="U2">
        <f>BDH("NCMI US Equity","BS_INVENTORIES","1993-06-18","2026-05-02","Per=Y","Days=T","Dir=V")</f>
        <v>0</v>
      </c>
      <c r="W2">
        <f>BDH("NCMI US Equity","WORKING_CAPITAL","1993-06-18","2026-05-02","Per=Y","Days=T","Dir=V")</f>
        <v>0</v>
      </c>
      <c r="Y2">
        <f>BDH("NCMI US Equity","SALES_REV_TURN","1993-06-18","2026-05-02","Per=Y","Days=T","Dir=V")</f>
        <v>0</v>
      </c>
      <c r="AA2">
        <f>BDH("NCMI US Equity","EBIT","1993-06-18","2026-05-02","Per=Y","Days=T","Dir=V")</f>
        <v>0</v>
      </c>
      <c r="AC2">
        <f>BDH("NCMI US Equity","EBITDA","1993-06-18","2026-05-02","Per=Y","Days=T","Dir=V")</f>
        <v>0</v>
      </c>
      <c r="AE2">
        <f>BDH("NCMI US Equity","NET_INCOME","1993-06-18","2026-05-02","Per=Y","Days=T","Dir=V")</f>
        <v>0</v>
      </c>
      <c r="AG2">
        <f>BDH("NCMI US Equity","IS_INT_EXPENSE","1993-06-18","2026-05-02","Per=Y","Days=T","Dir=V")</f>
        <v>0</v>
      </c>
      <c r="AI2">
        <f>BDH("NCMI US Equity","IS_DEPR_EXP","1993-06-18","2026-05-02","Per=Y","Days=T","Dir=V")</f>
        <v>0</v>
      </c>
      <c r="AK2">
        <f>BDH("NCMI US Equity","CF_CASH_FROM_OPER","1993-06-18","2026-05-02","Per=Y","Days=T","Dir=V")</f>
        <v>0</v>
      </c>
      <c r="AM2">
        <f>BDH("NCMI US Equity","CAPITAL_EXPEND","1993-06-18","2026-05-02","Per=Y","Days=T","Dir=V")</f>
        <v>0</v>
      </c>
      <c r="AO2">
        <f>BDH("NCMI US Equity","CF_FREE_CASH_FLOW","1993-06-18","2026-05-02","Per=Y","Days=T","Dir=V")</f>
        <v>0</v>
      </c>
      <c r="AQ2">
        <f>BDH("NCMI US Equity","PX_LAST","1993-06-18","2026-05-02","Per=M","Days=T","Dir=V")</f>
        <v>0</v>
      </c>
      <c r="AS2">
        <f>BDH("NCMI US Equity","CUR_MKT_CAP","1993-06-18","2026-05-02","Per=M","Days=T","Dir=V")</f>
        <v>0</v>
      </c>
      <c r="AU2">
        <f>BDH("NCMI US Equity","EQY_SH_OUT","1993-06-18","2026-05-02","Per=M","Days=T","Dir=V")</f>
        <v>0</v>
      </c>
      <c r="AW2">
        <f>BDH("NCMI US Equity","PX_VOLUME","1993-06-18","2026-05-02","Per=M","Days=T","Dir=V")</f>
        <v>0</v>
      </c>
      <c r="AY2">
        <f>BDH("NCMI US Equity","TURNOVER","1993-06-18","2026-05-02","Per=M","Days=T","Dir=V")</f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BDH("NCNO US Equity","BS_TOT_ASSET","1993-06-18","2026-05-02","Per=Y","Days=T","Dir=V")</f>
        <v>0</v>
      </c>
      <c r="C2">
        <f>BDH("NCNO US Equity","BS_TOT_LIAB2","1993-06-18","2026-05-02","Per=Y","Days=T","Dir=V")</f>
        <v>0</v>
      </c>
      <c r="E2">
        <f>BDH("NCNO US Equity","SHORT_AND_LONG_TERM_DEBT","1993-06-18","2026-05-02","Per=Y","Days=T","Dir=V")</f>
        <v>0</v>
      </c>
      <c r="G2">
        <f>BDH("NCNO US Equity","BS_ST_BORROW","1993-06-18","2026-05-02","Per=Y","Days=T","Dir=V")</f>
        <v>0</v>
      </c>
      <c r="I2">
        <f>BDH("NCNO US Equity","BS_LT_BORROW","1993-06-18","2026-05-02","Per=Y","Days=T","Dir=V")</f>
        <v>0</v>
      </c>
      <c r="K2">
        <f>BDH("NCNO US Equity","BS_CASH_NEAR_CASH_ITEM","1993-06-18","2026-05-02","Per=Y","Days=T","Dir=V")</f>
        <v>0</v>
      </c>
      <c r="M2">
        <f>BDH("NCNO US Equity","BS_CUR_ASSET_REPORT","1993-06-18","2026-05-02","Per=Y","Days=T","Dir=V")</f>
        <v>0</v>
      </c>
      <c r="O2">
        <f>BDH("NCNO US Equity","BS_CUR_LIAB","1993-06-18","2026-05-02","Per=Y","Days=T","Dir=V")</f>
        <v>0</v>
      </c>
      <c r="Q2">
        <f>BDH("NCNO US Equity","BS_SHAREHOLDER_EQY_ENDING_PERIOD","1993-06-18","2026-05-02","Per=Y","Days=T","Dir=V")</f>
        <v>0</v>
      </c>
      <c r="S2">
        <f>BDH("NCNO US Equity","BS_ACCT_NOTE_RCV","1993-06-18","2026-05-02","Per=Y","Days=T","Dir=V")</f>
        <v>0</v>
      </c>
      <c r="U2">
        <f>BDH("NCNO US Equity","BS_INVENTORIES","1993-06-18","2026-05-02","Per=Y","Days=T","Dir=V")</f>
        <v>0</v>
      </c>
      <c r="W2">
        <f>BDH("NCNO US Equity","WORKING_CAPITAL","1993-06-18","2026-05-02","Per=Y","Days=T","Dir=V")</f>
        <v>0</v>
      </c>
      <c r="Y2">
        <f>BDH("NCNO US Equity","SALES_REV_TURN","1993-06-18","2026-05-02","Per=Y","Days=T","Dir=V")</f>
        <v>0</v>
      </c>
      <c r="AA2">
        <f>BDH("NCNO US Equity","EBIT","1993-06-18","2026-05-02","Per=Y","Days=T","Dir=V")</f>
        <v>0</v>
      </c>
      <c r="AC2">
        <f>BDH("NCNO US Equity","EBITDA","1993-06-18","2026-05-02","Per=Y","Days=T","Dir=V")</f>
        <v>0</v>
      </c>
      <c r="AE2">
        <f>BDH("NCNO US Equity","NET_INCOME","1993-06-18","2026-05-02","Per=Y","Days=T","Dir=V")</f>
        <v>0</v>
      </c>
      <c r="AG2">
        <f>BDH("NCNO US Equity","IS_INT_EXPENSE","1993-06-18","2026-05-02","Per=Y","Days=T","Dir=V")</f>
        <v>0</v>
      </c>
      <c r="AI2">
        <f>BDH("NCNO US Equity","IS_DEPR_EXP","1993-06-18","2026-05-02","Per=Y","Days=T","Dir=V")</f>
        <v>0</v>
      </c>
      <c r="AK2">
        <f>BDH("NCNO US Equity","CF_CASH_FROM_OPER","1993-06-18","2026-05-02","Per=Y","Days=T","Dir=V")</f>
        <v>0</v>
      </c>
      <c r="AM2">
        <f>BDH("NCNO US Equity","CAPITAL_EXPEND","1993-06-18","2026-05-02","Per=Y","Days=T","Dir=V")</f>
        <v>0</v>
      </c>
      <c r="AO2">
        <f>BDH("NCNO US Equity","CF_FREE_CASH_FLOW","1993-06-18","2026-05-02","Per=Y","Days=T","Dir=V")</f>
        <v>0</v>
      </c>
      <c r="AQ2">
        <f>BDH("NCNO US Equity","PX_LAST","1993-06-18","2026-05-02","Per=M","Days=T","Dir=V")</f>
        <v>0</v>
      </c>
      <c r="AS2">
        <f>BDH("NCNO US Equity","CUR_MKT_CAP","1993-06-18","2026-05-02","Per=M","Days=T","Dir=V")</f>
        <v>0</v>
      </c>
      <c r="AU2">
        <f>BDH("NCNO US Equity","EQY_SH_OUT","1993-06-18","2026-05-02","Per=M","Days=T","Dir=V")</f>
        <v>0</v>
      </c>
      <c r="AW2">
        <f>BDH("NCNO US Equity","PX_VOLUME","1993-06-18","2026-05-02","Per=M","Days=T","Dir=V")</f>
        <v>0</v>
      </c>
      <c r="AY2">
        <f>BDH("NCNO US Equity","TURNOVER","1993-06-18","2026-05-02","Per=M","Days=T","Dir=V")</f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BDH("NDLS US Equity","BS_TOT_ASSET","1993-06-18","2026-05-02","Per=Y","Days=T","Dir=V")</f>
        <v>0</v>
      </c>
      <c r="C2">
        <f>BDH("NDLS US Equity","BS_TOT_LIAB2","1993-06-18","2026-05-02","Per=Y","Days=T","Dir=V")</f>
        <v>0</v>
      </c>
      <c r="E2">
        <f>BDH("NDLS US Equity","SHORT_AND_LONG_TERM_DEBT","1993-06-18","2026-05-02","Per=Y","Days=T","Dir=V")</f>
        <v>0</v>
      </c>
      <c r="G2">
        <f>BDH("NDLS US Equity","BS_ST_BORROW","1993-06-18","2026-05-02","Per=Y","Days=T","Dir=V")</f>
        <v>0</v>
      </c>
      <c r="I2">
        <f>BDH("NDLS US Equity","BS_LT_BORROW","1993-06-18","2026-05-02","Per=Y","Days=T","Dir=V")</f>
        <v>0</v>
      </c>
      <c r="K2">
        <f>BDH("NDLS US Equity","BS_CASH_NEAR_CASH_ITEM","1993-06-18","2026-05-02","Per=Y","Days=T","Dir=V")</f>
        <v>0</v>
      </c>
      <c r="M2">
        <f>BDH("NDLS US Equity","BS_CUR_ASSET_REPORT","1993-06-18","2026-05-02","Per=Y","Days=T","Dir=V")</f>
        <v>0</v>
      </c>
      <c r="O2">
        <f>BDH("NDLS US Equity","BS_CUR_LIAB","1993-06-18","2026-05-02","Per=Y","Days=T","Dir=V")</f>
        <v>0</v>
      </c>
      <c r="Q2">
        <f>BDH("NDLS US Equity","BS_SHAREHOLDER_EQY_ENDING_PERIOD","1993-06-18","2026-05-02","Per=Y","Days=T","Dir=V")</f>
        <v>0</v>
      </c>
      <c r="S2">
        <f>BDH("NDLS US Equity","BS_ACCT_NOTE_RCV","1993-06-18","2026-05-02","Per=Y","Days=T","Dir=V")</f>
        <v>0</v>
      </c>
      <c r="U2">
        <f>BDH("NDLS US Equity","BS_INVENTORIES","1993-06-18","2026-05-02","Per=Y","Days=T","Dir=V")</f>
        <v>0</v>
      </c>
      <c r="W2">
        <f>BDH("NDLS US Equity","WORKING_CAPITAL","1993-06-18","2026-05-02","Per=Y","Days=T","Dir=V")</f>
        <v>0</v>
      </c>
      <c r="Y2">
        <f>BDH("NDLS US Equity","SALES_REV_TURN","1993-06-18","2026-05-02","Per=Y","Days=T","Dir=V")</f>
        <v>0</v>
      </c>
      <c r="AA2">
        <f>BDH("NDLS US Equity","EBIT","1993-06-18","2026-05-02","Per=Y","Days=T","Dir=V")</f>
        <v>0</v>
      </c>
      <c r="AC2">
        <f>BDH("NDLS US Equity","EBITDA","1993-06-18","2026-05-02","Per=Y","Days=T","Dir=V")</f>
        <v>0</v>
      </c>
      <c r="AE2">
        <f>BDH("NDLS US Equity","NET_INCOME","1993-06-18","2026-05-02","Per=Y","Days=T","Dir=V")</f>
        <v>0</v>
      </c>
      <c r="AG2">
        <f>BDH("NDLS US Equity","IS_INT_EXPENSE","1993-06-18","2026-05-02","Per=Y","Days=T","Dir=V")</f>
        <v>0</v>
      </c>
      <c r="AI2">
        <f>BDH("NDLS US Equity","IS_DEPR_EXP","1993-06-18","2026-05-02","Per=Y","Days=T","Dir=V")</f>
        <v>0</v>
      </c>
      <c r="AK2">
        <f>BDH("NDLS US Equity","CF_CASH_FROM_OPER","1993-06-18","2026-05-02","Per=Y","Days=T","Dir=V")</f>
        <v>0</v>
      </c>
      <c r="AM2">
        <f>BDH("NDLS US Equity","CAPITAL_EXPEND","1993-06-18","2026-05-02","Per=Y","Days=T","Dir=V")</f>
        <v>0</v>
      </c>
      <c r="AO2">
        <f>BDH("NDLS US Equity","CF_FREE_CASH_FLOW","1993-06-18","2026-05-02","Per=Y","Days=T","Dir=V")</f>
        <v>0</v>
      </c>
      <c r="AQ2">
        <f>BDH("NDLS US Equity","PX_LAST","1993-06-18","2026-05-02","Per=M","Days=T","Dir=V")</f>
        <v>0</v>
      </c>
      <c r="AS2">
        <f>BDH("NDLS US Equity","CUR_MKT_CAP","1993-06-18","2026-05-02","Per=M","Days=T","Dir=V")</f>
        <v>0</v>
      </c>
      <c r="AU2">
        <f>BDH("NDLS US Equity","EQY_SH_OUT","1993-06-18","2026-05-02","Per=M","Days=T","Dir=V")</f>
        <v>0</v>
      </c>
      <c r="AW2">
        <f>BDH("NDLS US Equity","PX_VOLUME","1993-06-18","2026-05-02","Per=M","Days=T","Dir=V")</f>
        <v>0</v>
      </c>
      <c r="AY2">
        <f>BDH("NDLS US Equity","TURNOVER","1993-06-18","2026-05-02","Per=M","Days=T","Dir=V")</f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BDH("NDRA US Equity","BS_TOT_ASSET","1993-06-18","2026-05-02","Per=Y","Days=T","Dir=V")</f>
        <v>0</v>
      </c>
      <c r="C2">
        <f>BDH("NDRA US Equity","BS_TOT_LIAB2","1993-06-18","2026-05-02","Per=Y","Days=T","Dir=V")</f>
        <v>0</v>
      </c>
      <c r="E2">
        <f>BDH("NDRA US Equity","SHORT_AND_LONG_TERM_DEBT","1993-06-18","2026-05-02","Per=Y","Days=T","Dir=V")</f>
        <v>0</v>
      </c>
      <c r="G2">
        <f>BDH("NDRA US Equity","BS_ST_BORROW","1993-06-18","2026-05-02","Per=Y","Days=T","Dir=V")</f>
        <v>0</v>
      </c>
      <c r="I2">
        <f>BDH("NDRA US Equity","BS_LT_BORROW","1993-06-18","2026-05-02","Per=Y","Days=T","Dir=V")</f>
        <v>0</v>
      </c>
      <c r="K2">
        <f>BDH("NDRA US Equity","BS_CASH_NEAR_CASH_ITEM","1993-06-18","2026-05-02","Per=Y","Days=T","Dir=V")</f>
        <v>0</v>
      </c>
      <c r="M2">
        <f>BDH("NDRA US Equity","BS_CUR_ASSET_REPORT","1993-06-18","2026-05-02","Per=Y","Days=T","Dir=V")</f>
        <v>0</v>
      </c>
      <c r="O2">
        <f>BDH("NDRA US Equity","BS_CUR_LIAB","1993-06-18","2026-05-02","Per=Y","Days=T","Dir=V")</f>
        <v>0</v>
      </c>
      <c r="Q2">
        <f>BDH("NDRA US Equity","BS_SHAREHOLDER_EQY_ENDING_PERIOD","1993-06-18","2026-05-02","Per=Y","Days=T","Dir=V")</f>
        <v>0</v>
      </c>
      <c r="S2">
        <f>BDH("NDRA US Equity","BS_ACCT_NOTE_RCV","1993-06-18","2026-05-02","Per=Y","Days=T","Dir=V")</f>
        <v>0</v>
      </c>
      <c r="U2">
        <f>BDH("NDRA US Equity","BS_INVENTORIES","1993-06-18","2026-05-02","Per=Y","Days=T","Dir=V")</f>
        <v>0</v>
      </c>
      <c r="W2">
        <f>BDH("NDRA US Equity","WORKING_CAPITAL","1993-06-18","2026-05-02","Per=Y","Days=T","Dir=V")</f>
        <v>0</v>
      </c>
      <c r="Y2">
        <f>BDH("NDRA US Equity","SALES_REV_TURN","1993-06-18","2026-05-02","Per=Y","Days=T","Dir=V")</f>
        <v>0</v>
      </c>
      <c r="AA2">
        <f>BDH("NDRA US Equity","EBIT","1993-06-18","2026-05-02","Per=Y","Days=T","Dir=V")</f>
        <v>0</v>
      </c>
      <c r="AC2">
        <f>BDH("NDRA US Equity","EBITDA","1993-06-18","2026-05-02","Per=Y","Days=T","Dir=V")</f>
        <v>0</v>
      </c>
      <c r="AE2">
        <f>BDH("NDRA US Equity","NET_INCOME","1993-06-18","2026-05-02","Per=Y","Days=T","Dir=V")</f>
        <v>0</v>
      </c>
      <c r="AG2">
        <f>BDH("NDRA US Equity","IS_INT_EXPENSE","1993-06-18","2026-05-02","Per=Y","Days=T","Dir=V")</f>
        <v>0</v>
      </c>
      <c r="AI2">
        <f>BDH("NDRA US Equity","IS_DEPR_EXP","1993-06-18","2026-05-02","Per=Y","Days=T","Dir=V")</f>
        <v>0</v>
      </c>
      <c r="AK2">
        <f>BDH("NDRA US Equity","CF_CASH_FROM_OPER","1993-06-18","2026-05-02","Per=Y","Days=T","Dir=V")</f>
        <v>0</v>
      </c>
      <c r="AM2">
        <f>BDH("NDRA US Equity","CAPITAL_EXPEND","1993-06-18","2026-05-02","Per=Y","Days=T","Dir=V")</f>
        <v>0</v>
      </c>
      <c r="AO2">
        <f>BDH("NDRA US Equity","CF_FREE_CASH_FLOW","1993-06-18","2026-05-02","Per=Y","Days=T","Dir=V")</f>
        <v>0</v>
      </c>
      <c r="AQ2">
        <f>BDH("NDRA US Equity","PX_LAST","1993-06-18","2026-05-02","Per=M","Days=T","Dir=V")</f>
        <v>0</v>
      </c>
      <c r="AS2">
        <f>BDH("NDRA US Equity","CUR_MKT_CAP","1993-06-18","2026-05-02","Per=M","Days=T","Dir=V")</f>
        <v>0</v>
      </c>
      <c r="AU2">
        <f>BDH("NDRA US Equity","EQY_SH_OUT","1993-06-18","2026-05-02","Per=M","Days=T","Dir=V")</f>
        <v>0</v>
      </c>
      <c r="AW2">
        <f>BDH("NDRA US Equity","PX_VOLUME","1993-06-18","2026-05-02","Per=M","Days=T","Dir=V")</f>
        <v>0</v>
      </c>
      <c r="AY2">
        <f>BDH("NDRA US Equity","TURNOVER","1993-06-18","2026-05-02","Per=M","Days=T","Dir=V")</f>
        <v>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BDH("NDSN US Equity","BS_TOT_ASSET","1993-06-18","2026-05-02","Per=Y","Days=T","Dir=V")</f>
        <v>0</v>
      </c>
      <c r="C2">
        <f>BDH("NDSN US Equity","BS_TOT_LIAB2","1993-06-18","2026-05-02","Per=Y","Days=T","Dir=V")</f>
        <v>0</v>
      </c>
      <c r="E2">
        <f>BDH("NDSN US Equity","SHORT_AND_LONG_TERM_DEBT","1993-06-18","2026-05-02","Per=Y","Days=T","Dir=V")</f>
        <v>0</v>
      </c>
      <c r="G2">
        <f>BDH("NDSN US Equity","BS_ST_BORROW","1993-06-18","2026-05-02","Per=Y","Days=T","Dir=V")</f>
        <v>0</v>
      </c>
      <c r="I2">
        <f>BDH("NDSN US Equity","BS_LT_BORROW","1993-06-18","2026-05-02","Per=Y","Days=T","Dir=V")</f>
        <v>0</v>
      </c>
      <c r="K2">
        <f>BDH("NDSN US Equity","BS_CASH_NEAR_CASH_ITEM","1993-06-18","2026-05-02","Per=Y","Days=T","Dir=V")</f>
        <v>0</v>
      </c>
      <c r="M2">
        <f>BDH("NDSN US Equity","BS_CUR_ASSET_REPORT","1993-06-18","2026-05-02","Per=Y","Days=T","Dir=V")</f>
        <v>0</v>
      </c>
      <c r="O2">
        <f>BDH("NDSN US Equity","BS_CUR_LIAB","1993-06-18","2026-05-02","Per=Y","Days=T","Dir=V")</f>
        <v>0</v>
      </c>
      <c r="Q2">
        <f>BDH("NDSN US Equity","BS_SHAREHOLDER_EQY_ENDING_PERIOD","1993-06-18","2026-05-02","Per=Y","Days=T","Dir=V")</f>
        <v>0</v>
      </c>
      <c r="S2">
        <f>BDH("NDSN US Equity","BS_ACCT_NOTE_RCV","1993-06-18","2026-05-02","Per=Y","Days=T","Dir=V")</f>
        <v>0</v>
      </c>
      <c r="U2">
        <f>BDH("NDSN US Equity","BS_INVENTORIES","1993-06-18","2026-05-02","Per=Y","Days=T","Dir=V")</f>
        <v>0</v>
      </c>
      <c r="W2">
        <f>BDH("NDSN US Equity","WORKING_CAPITAL","1993-06-18","2026-05-02","Per=Y","Days=T","Dir=V")</f>
        <v>0</v>
      </c>
      <c r="Y2">
        <f>BDH("NDSN US Equity","SALES_REV_TURN","1993-06-18","2026-05-02","Per=Y","Days=T","Dir=V")</f>
        <v>0</v>
      </c>
      <c r="AA2">
        <f>BDH("NDSN US Equity","EBIT","1993-06-18","2026-05-02","Per=Y","Days=T","Dir=V")</f>
        <v>0</v>
      </c>
      <c r="AC2">
        <f>BDH("NDSN US Equity","EBITDA","1993-06-18","2026-05-02","Per=Y","Days=T","Dir=V")</f>
        <v>0</v>
      </c>
      <c r="AE2">
        <f>BDH("NDSN US Equity","NET_INCOME","1993-06-18","2026-05-02","Per=Y","Days=T","Dir=V")</f>
        <v>0</v>
      </c>
      <c r="AG2">
        <f>BDH("NDSN US Equity","IS_INT_EXPENSE","1993-06-18","2026-05-02","Per=Y","Days=T","Dir=V")</f>
        <v>0</v>
      </c>
      <c r="AI2">
        <f>BDH("NDSN US Equity","IS_DEPR_EXP","1993-06-18","2026-05-02","Per=Y","Days=T","Dir=V")</f>
        <v>0</v>
      </c>
      <c r="AK2">
        <f>BDH("NDSN US Equity","CF_CASH_FROM_OPER","1993-06-18","2026-05-02","Per=Y","Days=T","Dir=V")</f>
        <v>0</v>
      </c>
      <c r="AM2">
        <f>BDH("NDSN US Equity","CAPITAL_EXPEND","1993-06-18","2026-05-02","Per=Y","Days=T","Dir=V")</f>
        <v>0</v>
      </c>
      <c r="AO2">
        <f>BDH("NDSN US Equity","CF_FREE_CASH_FLOW","1993-06-18","2026-05-02","Per=Y","Days=T","Dir=V")</f>
        <v>0</v>
      </c>
      <c r="AQ2">
        <f>BDH("NDSN US Equity","PX_LAST","1993-06-18","2026-05-02","Per=M","Days=T","Dir=V")</f>
        <v>0</v>
      </c>
      <c r="AS2">
        <f>BDH("NDSN US Equity","CUR_MKT_CAP","1993-06-18","2026-05-02","Per=M","Days=T","Dir=V")</f>
        <v>0</v>
      </c>
      <c r="AU2">
        <f>BDH("NDSN US Equity","EQY_SH_OUT","1993-06-18","2026-05-02","Per=M","Days=T","Dir=V")</f>
        <v>0</v>
      </c>
      <c r="AW2">
        <f>BDH("NDSN US Equity","PX_VOLUME","1993-06-18","2026-05-02","Per=M","Days=T","Dir=V")</f>
        <v>0</v>
      </c>
      <c r="AY2">
        <f>BDH("NDSN US Equity","TURNOVER","1993-06-18","2026-05-02","Per=M","Days=T","Dir=V")</f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BDH("NE US Equity","BS_TOT_ASSET","1993-06-18","2026-05-02","Per=Y","Days=T","Dir=V")</f>
        <v>0</v>
      </c>
      <c r="C2">
        <f>BDH("NE US Equity","BS_TOT_LIAB2","1993-06-18","2026-05-02","Per=Y","Days=T","Dir=V")</f>
        <v>0</v>
      </c>
      <c r="E2">
        <f>BDH("NE US Equity","SHORT_AND_LONG_TERM_DEBT","1993-06-18","2026-05-02","Per=Y","Days=T","Dir=V")</f>
        <v>0</v>
      </c>
      <c r="G2">
        <f>BDH("NE US Equity","BS_ST_BORROW","1993-06-18","2026-05-02","Per=Y","Days=T","Dir=V")</f>
        <v>0</v>
      </c>
      <c r="I2">
        <f>BDH("NE US Equity","BS_LT_BORROW","1993-06-18","2026-05-02","Per=Y","Days=T","Dir=V")</f>
        <v>0</v>
      </c>
      <c r="K2">
        <f>BDH("NE US Equity","BS_CASH_NEAR_CASH_ITEM","1993-06-18","2026-05-02","Per=Y","Days=T","Dir=V")</f>
        <v>0</v>
      </c>
      <c r="M2">
        <f>BDH("NE US Equity","BS_CUR_ASSET_REPORT","1993-06-18","2026-05-02","Per=Y","Days=T","Dir=V")</f>
        <v>0</v>
      </c>
      <c r="O2">
        <f>BDH("NE US Equity","BS_CUR_LIAB","1993-06-18","2026-05-02","Per=Y","Days=T","Dir=V")</f>
        <v>0</v>
      </c>
      <c r="Q2">
        <f>BDH("NE US Equity","BS_SHAREHOLDER_EQY_ENDING_PERIOD","1993-06-18","2026-05-02","Per=Y","Days=T","Dir=V")</f>
        <v>0</v>
      </c>
      <c r="S2">
        <f>BDH("NE US Equity","BS_ACCT_NOTE_RCV","1993-06-18","2026-05-02","Per=Y","Days=T","Dir=V")</f>
        <v>0</v>
      </c>
      <c r="U2">
        <f>BDH("NE US Equity","BS_INVENTORIES","1993-06-18","2026-05-02","Per=Y","Days=T","Dir=V")</f>
        <v>0</v>
      </c>
      <c r="W2">
        <f>BDH("NE US Equity","WORKING_CAPITAL","1993-06-18","2026-05-02","Per=Y","Days=T","Dir=V")</f>
        <v>0</v>
      </c>
      <c r="Y2">
        <f>BDH("NE US Equity","SALES_REV_TURN","1993-06-18","2026-05-02","Per=Y","Days=T","Dir=V")</f>
        <v>0</v>
      </c>
      <c r="AA2">
        <f>BDH("NE US Equity","EBIT","1993-06-18","2026-05-02","Per=Y","Days=T","Dir=V")</f>
        <v>0</v>
      </c>
      <c r="AC2">
        <f>BDH("NE US Equity","EBITDA","1993-06-18","2026-05-02","Per=Y","Days=T","Dir=V")</f>
        <v>0</v>
      </c>
      <c r="AE2">
        <f>BDH("NE US Equity","NET_INCOME","1993-06-18","2026-05-02","Per=Y","Days=T","Dir=V")</f>
        <v>0</v>
      </c>
      <c r="AG2">
        <f>BDH("NE US Equity","IS_INT_EXPENSE","1993-06-18","2026-05-02","Per=Y","Days=T","Dir=V")</f>
        <v>0</v>
      </c>
      <c r="AI2">
        <f>BDH("NE US Equity","IS_DEPR_EXP","1993-06-18","2026-05-02","Per=Y","Days=T","Dir=V")</f>
        <v>0</v>
      </c>
      <c r="AK2">
        <f>BDH("NE US Equity","CF_CASH_FROM_OPER","1993-06-18","2026-05-02","Per=Y","Days=T","Dir=V")</f>
        <v>0</v>
      </c>
      <c r="AM2">
        <f>BDH("NE US Equity","CAPITAL_EXPEND","1993-06-18","2026-05-02","Per=Y","Days=T","Dir=V")</f>
        <v>0</v>
      </c>
      <c r="AO2">
        <f>BDH("NE US Equity","CF_FREE_CASH_FLOW","1993-06-18","2026-05-02","Per=Y","Days=T","Dir=V")</f>
        <v>0</v>
      </c>
      <c r="AQ2">
        <f>BDH("NE US Equity","PX_LAST","1993-06-18","2026-05-02","Per=M","Days=T","Dir=V")</f>
        <v>0</v>
      </c>
      <c r="AS2">
        <f>BDH("NE US Equity","CUR_MKT_CAP","1993-06-18","2026-05-02","Per=M","Days=T","Dir=V")</f>
        <v>0</v>
      </c>
      <c r="AU2">
        <f>BDH("NE US Equity","EQY_SH_OUT","1993-06-18","2026-05-02","Per=M","Days=T","Dir=V")</f>
        <v>0</v>
      </c>
      <c r="AW2">
        <f>BDH("NE US Equity","PX_VOLUME","1993-06-18","2026-05-02","Per=M","Days=T","Dir=V")</f>
        <v>0</v>
      </c>
      <c r="AY2">
        <f>BDH("NE US Equity","TURNOVER","1993-06-18","2026-05-02","Per=M","Days=T","Dir=V")</f>
        <v>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BDH("NEE US Equity","BS_TOT_ASSET","1993-06-18","2026-05-02","Per=Y","Days=T","Dir=V")</f>
        <v>0</v>
      </c>
      <c r="C2">
        <f>BDH("NEE US Equity","BS_TOT_LIAB2","1993-06-18","2026-05-02","Per=Y","Days=T","Dir=V")</f>
        <v>0</v>
      </c>
      <c r="E2">
        <f>BDH("NEE US Equity","SHORT_AND_LONG_TERM_DEBT","1993-06-18","2026-05-02","Per=Y","Days=T","Dir=V")</f>
        <v>0</v>
      </c>
      <c r="G2">
        <f>BDH("NEE US Equity","BS_ST_BORROW","1993-06-18","2026-05-02","Per=Y","Days=T","Dir=V")</f>
        <v>0</v>
      </c>
      <c r="I2">
        <f>BDH("NEE US Equity","BS_LT_BORROW","1993-06-18","2026-05-02","Per=Y","Days=T","Dir=V")</f>
        <v>0</v>
      </c>
      <c r="K2">
        <f>BDH("NEE US Equity","BS_CASH_NEAR_CASH_ITEM","1993-06-18","2026-05-02","Per=Y","Days=T","Dir=V")</f>
        <v>0</v>
      </c>
      <c r="M2">
        <f>BDH("NEE US Equity","BS_CUR_ASSET_REPORT","1993-06-18","2026-05-02","Per=Y","Days=T","Dir=V")</f>
        <v>0</v>
      </c>
      <c r="O2">
        <f>BDH("NEE US Equity","BS_CUR_LIAB","1993-06-18","2026-05-02","Per=Y","Days=T","Dir=V")</f>
        <v>0</v>
      </c>
      <c r="Q2">
        <f>BDH("NEE US Equity","BS_SHAREHOLDER_EQY_ENDING_PERIOD","1993-06-18","2026-05-02","Per=Y","Days=T","Dir=V")</f>
        <v>0</v>
      </c>
      <c r="S2">
        <f>BDH("NEE US Equity","BS_ACCT_NOTE_RCV","1993-06-18","2026-05-02","Per=Y","Days=T","Dir=V")</f>
        <v>0</v>
      </c>
      <c r="U2">
        <f>BDH("NEE US Equity","BS_INVENTORIES","1993-06-18","2026-05-02","Per=Y","Days=T","Dir=V")</f>
        <v>0</v>
      </c>
      <c r="W2">
        <f>BDH("NEE US Equity","WORKING_CAPITAL","1993-06-18","2026-05-02","Per=Y","Days=T","Dir=V")</f>
        <v>0</v>
      </c>
      <c r="Y2">
        <f>BDH("NEE US Equity","SALES_REV_TURN","1993-06-18","2026-05-02","Per=Y","Days=T","Dir=V")</f>
        <v>0</v>
      </c>
      <c r="AA2">
        <f>BDH("NEE US Equity","EBIT","1993-06-18","2026-05-02","Per=Y","Days=T","Dir=V")</f>
        <v>0</v>
      </c>
      <c r="AC2">
        <f>BDH("NEE US Equity","EBITDA","1993-06-18","2026-05-02","Per=Y","Days=T","Dir=V")</f>
        <v>0</v>
      </c>
      <c r="AE2">
        <f>BDH("NEE US Equity","NET_INCOME","1993-06-18","2026-05-02","Per=Y","Days=T","Dir=V")</f>
        <v>0</v>
      </c>
      <c r="AG2">
        <f>BDH("NEE US Equity","IS_INT_EXPENSE","1993-06-18","2026-05-02","Per=Y","Days=T","Dir=V")</f>
        <v>0</v>
      </c>
      <c r="AI2">
        <f>BDH("NEE US Equity","IS_DEPR_EXP","1993-06-18","2026-05-02","Per=Y","Days=T","Dir=V")</f>
        <v>0</v>
      </c>
      <c r="AK2">
        <f>BDH("NEE US Equity","CF_CASH_FROM_OPER","1993-06-18","2026-05-02","Per=Y","Days=T","Dir=V")</f>
        <v>0</v>
      </c>
      <c r="AM2">
        <f>BDH("NEE US Equity","CAPITAL_EXPEND","1993-06-18","2026-05-02","Per=Y","Days=T","Dir=V")</f>
        <v>0</v>
      </c>
      <c r="AO2">
        <f>BDH("NEE US Equity","CF_FREE_CASH_FLOW","1993-06-18","2026-05-02","Per=Y","Days=T","Dir=V")</f>
        <v>0</v>
      </c>
      <c r="AQ2">
        <f>BDH("NEE US Equity","PX_LAST","1993-06-18","2026-05-02","Per=M","Days=T","Dir=V")</f>
        <v>0</v>
      </c>
      <c r="AS2">
        <f>BDH("NEE US Equity","CUR_MKT_CAP","1993-06-18","2026-05-02","Per=M","Days=T","Dir=V")</f>
        <v>0</v>
      </c>
      <c r="AU2">
        <f>BDH("NEE US Equity","EQY_SH_OUT","1993-06-18","2026-05-02","Per=M","Days=T","Dir=V")</f>
        <v>0</v>
      </c>
      <c r="AW2">
        <f>BDH("NEE US Equity","PX_VOLUME","1993-06-18","2026-05-02","Per=M","Days=T","Dir=V")</f>
        <v>0</v>
      </c>
      <c r="AY2">
        <f>BDH("NEE US Equity","TURNOVER","1993-06-18","2026-05-02","Per=M","Days=T","Dir=V")</f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BDH("NEM US Equity","BS_TOT_ASSET","1993-06-18","2026-05-02","Per=Y","Days=T","Dir=V")</f>
        <v>0</v>
      </c>
      <c r="C2">
        <f>BDH("NEM US Equity","BS_TOT_LIAB2","1993-06-18","2026-05-02","Per=Y","Days=T","Dir=V")</f>
        <v>0</v>
      </c>
      <c r="E2">
        <f>BDH("NEM US Equity","SHORT_AND_LONG_TERM_DEBT","1993-06-18","2026-05-02","Per=Y","Days=T","Dir=V")</f>
        <v>0</v>
      </c>
      <c r="G2">
        <f>BDH("NEM US Equity","BS_ST_BORROW","1993-06-18","2026-05-02","Per=Y","Days=T","Dir=V")</f>
        <v>0</v>
      </c>
      <c r="I2">
        <f>BDH("NEM US Equity","BS_LT_BORROW","1993-06-18","2026-05-02","Per=Y","Days=T","Dir=V")</f>
        <v>0</v>
      </c>
      <c r="K2">
        <f>BDH("NEM US Equity","BS_CASH_NEAR_CASH_ITEM","1993-06-18","2026-05-02","Per=Y","Days=T","Dir=V")</f>
        <v>0</v>
      </c>
      <c r="M2">
        <f>BDH("NEM US Equity","BS_CUR_ASSET_REPORT","1993-06-18","2026-05-02","Per=Y","Days=T","Dir=V")</f>
        <v>0</v>
      </c>
      <c r="O2">
        <f>BDH("NEM US Equity","BS_CUR_LIAB","1993-06-18","2026-05-02","Per=Y","Days=T","Dir=V")</f>
        <v>0</v>
      </c>
      <c r="Q2">
        <f>BDH("NEM US Equity","BS_SHAREHOLDER_EQY_ENDING_PERIOD","1993-06-18","2026-05-02","Per=Y","Days=T","Dir=V")</f>
        <v>0</v>
      </c>
      <c r="S2">
        <f>BDH("NEM US Equity","BS_ACCT_NOTE_RCV","1993-06-18","2026-05-02","Per=Y","Days=T","Dir=V")</f>
        <v>0</v>
      </c>
      <c r="U2">
        <f>BDH("NEM US Equity","BS_INVENTORIES","1993-06-18","2026-05-02","Per=Y","Days=T","Dir=V")</f>
        <v>0</v>
      </c>
      <c r="W2">
        <f>BDH("NEM US Equity","WORKING_CAPITAL","1993-06-18","2026-05-02","Per=Y","Days=T","Dir=V")</f>
        <v>0</v>
      </c>
      <c r="Y2">
        <f>BDH("NEM US Equity","SALES_REV_TURN","1993-06-18","2026-05-02","Per=Y","Days=T","Dir=V")</f>
        <v>0</v>
      </c>
      <c r="AA2">
        <f>BDH("NEM US Equity","EBIT","1993-06-18","2026-05-02","Per=Y","Days=T","Dir=V")</f>
        <v>0</v>
      </c>
      <c r="AC2">
        <f>BDH("NEM US Equity","EBITDA","1993-06-18","2026-05-02","Per=Y","Days=T","Dir=V")</f>
        <v>0</v>
      </c>
      <c r="AE2">
        <f>BDH("NEM US Equity","NET_INCOME","1993-06-18","2026-05-02","Per=Y","Days=T","Dir=V")</f>
        <v>0</v>
      </c>
      <c r="AG2">
        <f>BDH("NEM US Equity","IS_INT_EXPENSE","1993-06-18","2026-05-02","Per=Y","Days=T","Dir=V")</f>
        <v>0</v>
      </c>
      <c r="AI2">
        <f>BDH("NEM US Equity","IS_DEPR_EXP","1993-06-18","2026-05-02","Per=Y","Days=T","Dir=V")</f>
        <v>0</v>
      </c>
      <c r="AK2">
        <f>BDH("NEM US Equity","CF_CASH_FROM_OPER","1993-06-18","2026-05-02","Per=Y","Days=T","Dir=V")</f>
        <v>0</v>
      </c>
      <c r="AM2">
        <f>BDH("NEM US Equity","CAPITAL_EXPEND","1993-06-18","2026-05-02","Per=Y","Days=T","Dir=V")</f>
        <v>0</v>
      </c>
      <c r="AO2">
        <f>BDH("NEM US Equity","CF_FREE_CASH_FLOW","1993-06-18","2026-05-02","Per=Y","Days=T","Dir=V")</f>
        <v>0</v>
      </c>
      <c r="AQ2">
        <f>BDH("NEM US Equity","PX_LAST","1993-06-18","2026-05-02","Per=M","Days=T","Dir=V")</f>
        <v>0</v>
      </c>
      <c r="AS2">
        <f>BDH("NEM US Equity","CUR_MKT_CAP","1993-06-18","2026-05-02","Per=M","Days=T","Dir=V")</f>
        <v>0</v>
      </c>
      <c r="AU2">
        <f>BDH("NEM US Equity","EQY_SH_OUT","1993-06-18","2026-05-02","Per=M","Days=T","Dir=V")</f>
        <v>0</v>
      </c>
      <c r="AW2">
        <f>BDH("NEM US Equity","PX_VOLUME","1993-06-18","2026-05-02","Per=M","Days=T","Dir=V")</f>
        <v>0</v>
      </c>
      <c r="AY2">
        <f>BDH("NEM US Equity","TURNOVER","1993-06-18","2026-05-02","Per=M","Days=T","Dir=V")</f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BDH("NEO US Equity","BS_TOT_ASSET","1993-06-18","2026-05-02","Per=Y","Days=T","Dir=V")</f>
        <v>0</v>
      </c>
      <c r="C2">
        <f>BDH("NEO US Equity","BS_TOT_LIAB2","1993-06-18","2026-05-02","Per=Y","Days=T","Dir=V")</f>
        <v>0</v>
      </c>
      <c r="E2">
        <f>BDH("NEO US Equity","SHORT_AND_LONG_TERM_DEBT","1993-06-18","2026-05-02","Per=Y","Days=T","Dir=V")</f>
        <v>0</v>
      </c>
      <c r="G2">
        <f>BDH("NEO US Equity","BS_ST_BORROW","1993-06-18","2026-05-02","Per=Y","Days=T","Dir=V")</f>
        <v>0</v>
      </c>
      <c r="I2">
        <f>BDH("NEO US Equity","BS_LT_BORROW","1993-06-18","2026-05-02","Per=Y","Days=T","Dir=V")</f>
        <v>0</v>
      </c>
      <c r="K2">
        <f>BDH("NEO US Equity","BS_CASH_NEAR_CASH_ITEM","1993-06-18","2026-05-02","Per=Y","Days=T","Dir=V")</f>
        <v>0</v>
      </c>
      <c r="M2">
        <f>BDH("NEO US Equity","BS_CUR_ASSET_REPORT","1993-06-18","2026-05-02","Per=Y","Days=T","Dir=V")</f>
        <v>0</v>
      </c>
      <c r="O2">
        <f>BDH("NEO US Equity","BS_CUR_LIAB","1993-06-18","2026-05-02","Per=Y","Days=T","Dir=V")</f>
        <v>0</v>
      </c>
      <c r="Q2">
        <f>BDH("NEO US Equity","BS_SHAREHOLDER_EQY_ENDING_PERIOD","1993-06-18","2026-05-02","Per=Y","Days=T","Dir=V")</f>
        <v>0</v>
      </c>
      <c r="S2">
        <f>BDH("NEO US Equity","BS_ACCT_NOTE_RCV","1993-06-18","2026-05-02","Per=Y","Days=T","Dir=V")</f>
        <v>0</v>
      </c>
      <c r="U2">
        <f>BDH("NEO US Equity","BS_INVENTORIES","1993-06-18","2026-05-02","Per=Y","Days=T","Dir=V")</f>
        <v>0</v>
      </c>
      <c r="W2">
        <f>BDH("NEO US Equity","WORKING_CAPITAL","1993-06-18","2026-05-02","Per=Y","Days=T","Dir=V")</f>
        <v>0</v>
      </c>
      <c r="Y2">
        <f>BDH("NEO US Equity","SALES_REV_TURN","1993-06-18","2026-05-02","Per=Y","Days=T","Dir=V")</f>
        <v>0</v>
      </c>
      <c r="AA2">
        <f>BDH("NEO US Equity","EBIT","1993-06-18","2026-05-02","Per=Y","Days=T","Dir=V")</f>
        <v>0</v>
      </c>
      <c r="AC2">
        <f>BDH("NEO US Equity","EBITDA","1993-06-18","2026-05-02","Per=Y","Days=T","Dir=V")</f>
        <v>0</v>
      </c>
      <c r="AE2">
        <f>BDH("NEO US Equity","NET_INCOME","1993-06-18","2026-05-02","Per=Y","Days=T","Dir=V")</f>
        <v>0</v>
      </c>
      <c r="AG2">
        <f>BDH("NEO US Equity","IS_INT_EXPENSE","1993-06-18","2026-05-02","Per=Y","Days=T","Dir=V")</f>
        <v>0</v>
      </c>
      <c r="AI2">
        <f>BDH("NEO US Equity","IS_DEPR_EXP","1993-06-18","2026-05-02","Per=Y","Days=T","Dir=V")</f>
        <v>0</v>
      </c>
      <c r="AK2">
        <f>BDH("NEO US Equity","CF_CASH_FROM_OPER","1993-06-18","2026-05-02","Per=Y","Days=T","Dir=V")</f>
        <v>0</v>
      </c>
      <c r="AM2">
        <f>BDH("NEO US Equity","CAPITAL_EXPEND","1993-06-18","2026-05-02","Per=Y","Days=T","Dir=V")</f>
        <v>0</v>
      </c>
      <c r="AO2">
        <f>BDH("NEO US Equity","CF_FREE_CASH_FLOW","1993-06-18","2026-05-02","Per=Y","Days=T","Dir=V")</f>
        <v>0</v>
      </c>
      <c r="AQ2">
        <f>BDH("NEO US Equity","PX_LAST","1993-06-18","2026-05-02","Per=M","Days=T","Dir=V")</f>
        <v>0</v>
      </c>
      <c r="AS2">
        <f>BDH("NEO US Equity","CUR_MKT_CAP","1993-06-18","2026-05-02","Per=M","Days=T","Dir=V")</f>
        <v>0</v>
      </c>
      <c r="AU2">
        <f>BDH("NEO US Equity","EQY_SH_OUT","1993-06-18","2026-05-02","Per=M","Days=T","Dir=V")</f>
        <v>0</v>
      </c>
      <c r="AW2">
        <f>BDH("NEO US Equity","PX_VOLUME","1993-06-18","2026-05-02","Per=M","Days=T","Dir=V")</f>
        <v>0</v>
      </c>
      <c r="AY2">
        <f>BDH("NEO US Equity","TURNOVER","1993-06-18","2026-05-02","Per=M","Days=T","Dir=V")</f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BDH("NEOG US Equity","BS_TOT_ASSET","1993-06-18","2026-05-02","Per=Y","Days=T","Dir=V")</f>
        <v>0</v>
      </c>
      <c r="C2">
        <f>BDH("NEOG US Equity","BS_TOT_LIAB2","1993-06-18","2026-05-02","Per=Y","Days=T","Dir=V")</f>
        <v>0</v>
      </c>
      <c r="E2">
        <f>BDH("NEOG US Equity","SHORT_AND_LONG_TERM_DEBT","1993-06-18","2026-05-02","Per=Y","Days=T","Dir=V")</f>
        <v>0</v>
      </c>
      <c r="G2">
        <f>BDH("NEOG US Equity","BS_ST_BORROW","1993-06-18","2026-05-02","Per=Y","Days=T","Dir=V")</f>
        <v>0</v>
      </c>
      <c r="I2">
        <f>BDH("NEOG US Equity","BS_LT_BORROW","1993-06-18","2026-05-02","Per=Y","Days=T","Dir=V")</f>
        <v>0</v>
      </c>
      <c r="K2">
        <f>BDH("NEOG US Equity","BS_CASH_NEAR_CASH_ITEM","1993-06-18","2026-05-02","Per=Y","Days=T","Dir=V")</f>
        <v>0</v>
      </c>
      <c r="M2">
        <f>BDH("NEOG US Equity","BS_CUR_ASSET_REPORT","1993-06-18","2026-05-02","Per=Y","Days=T","Dir=V")</f>
        <v>0</v>
      </c>
      <c r="O2">
        <f>BDH("NEOG US Equity","BS_CUR_LIAB","1993-06-18","2026-05-02","Per=Y","Days=T","Dir=V")</f>
        <v>0</v>
      </c>
      <c r="Q2">
        <f>BDH("NEOG US Equity","BS_SHAREHOLDER_EQY_ENDING_PERIOD","1993-06-18","2026-05-02","Per=Y","Days=T","Dir=V")</f>
        <v>0</v>
      </c>
      <c r="S2">
        <f>BDH("NEOG US Equity","BS_ACCT_NOTE_RCV","1993-06-18","2026-05-02","Per=Y","Days=T","Dir=V")</f>
        <v>0</v>
      </c>
      <c r="U2">
        <f>BDH("NEOG US Equity","BS_INVENTORIES","1993-06-18","2026-05-02","Per=Y","Days=T","Dir=V")</f>
        <v>0</v>
      </c>
      <c r="W2">
        <f>BDH("NEOG US Equity","WORKING_CAPITAL","1993-06-18","2026-05-02","Per=Y","Days=T","Dir=V")</f>
        <v>0</v>
      </c>
      <c r="Y2">
        <f>BDH("NEOG US Equity","SALES_REV_TURN","1993-06-18","2026-05-02","Per=Y","Days=T","Dir=V")</f>
        <v>0</v>
      </c>
      <c r="AA2">
        <f>BDH("NEOG US Equity","EBIT","1993-06-18","2026-05-02","Per=Y","Days=T","Dir=V")</f>
        <v>0</v>
      </c>
      <c r="AC2">
        <f>BDH("NEOG US Equity","EBITDA","1993-06-18","2026-05-02","Per=Y","Days=T","Dir=V")</f>
        <v>0</v>
      </c>
      <c r="AE2">
        <f>BDH("NEOG US Equity","NET_INCOME","1993-06-18","2026-05-02","Per=Y","Days=T","Dir=V")</f>
        <v>0</v>
      </c>
      <c r="AG2">
        <f>BDH("NEOG US Equity","IS_INT_EXPENSE","1993-06-18","2026-05-02","Per=Y","Days=T","Dir=V")</f>
        <v>0</v>
      </c>
      <c r="AI2">
        <f>BDH("NEOG US Equity","IS_DEPR_EXP","1993-06-18","2026-05-02","Per=Y","Days=T","Dir=V")</f>
        <v>0</v>
      </c>
      <c r="AK2">
        <f>BDH("NEOG US Equity","CF_CASH_FROM_OPER","1993-06-18","2026-05-02","Per=Y","Days=T","Dir=V")</f>
        <v>0</v>
      </c>
      <c r="AM2">
        <f>BDH("NEOG US Equity","CAPITAL_EXPEND","1993-06-18","2026-05-02","Per=Y","Days=T","Dir=V")</f>
        <v>0</v>
      </c>
      <c r="AO2">
        <f>BDH("NEOG US Equity","CF_FREE_CASH_FLOW","1993-06-18","2026-05-02","Per=Y","Days=T","Dir=V")</f>
        <v>0</v>
      </c>
      <c r="AQ2">
        <f>BDH("NEOG US Equity","PX_LAST","1993-06-18","2026-05-02","Per=M","Days=T","Dir=V")</f>
        <v>0</v>
      </c>
      <c r="AS2">
        <f>BDH("NEOG US Equity","CUR_MKT_CAP","1993-06-18","2026-05-02","Per=M","Days=T","Dir=V")</f>
        <v>0</v>
      </c>
      <c r="AU2">
        <f>BDH("NEOG US Equity","EQY_SH_OUT","1993-06-18","2026-05-02","Per=M","Days=T","Dir=V")</f>
        <v>0</v>
      </c>
      <c r="AW2">
        <f>BDH("NEOG US Equity","PX_VOLUME","1993-06-18","2026-05-02","Per=M","Days=T","Dir=V")</f>
        <v>0</v>
      </c>
      <c r="AY2">
        <f>BDH("NEOG US Equity","TURNOVER","1993-06-18","2026-05-02","Per=M","Days=T","Dir=V")</f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BDH("NEPH US Equity","BS_TOT_ASSET","1993-06-18","2026-05-02","Per=Y","Days=T","Dir=V")</f>
        <v>0</v>
      </c>
      <c r="C2">
        <f>BDH("NEPH US Equity","BS_TOT_LIAB2","1993-06-18","2026-05-02","Per=Y","Days=T","Dir=V")</f>
        <v>0</v>
      </c>
      <c r="E2">
        <f>BDH("NEPH US Equity","SHORT_AND_LONG_TERM_DEBT","1993-06-18","2026-05-02","Per=Y","Days=T","Dir=V")</f>
        <v>0</v>
      </c>
      <c r="G2">
        <f>BDH("NEPH US Equity","BS_ST_BORROW","1993-06-18","2026-05-02","Per=Y","Days=T","Dir=V")</f>
        <v>0</v>
      </c>
      <c r="I2">
        <f>BDH("NEPH US Equity","BS_LT_BORROW","1993-06-18","2026-05-02","Per=Y","Days=T","Dir=V")</f>
        <v>0</v>
      </c>
      <c r="K2">
        <f>BDH("NEPH US Equity","BS_CASH_NEAR_CASH_ITEM","1993-06-18","2026-05-02","Per=Y","Days=T","Dir=V")</f>
        <v>0</v>
      </c>
      <c r="M2">
        <f>BDH("NEPH US Equity","BS_CUR_ASSET_REPORT","1993-06-18","2026-05-02","Per=Y","Days=T","Dir=V")</f>
        <v>0</v>
      </c>
      <c r="O2">
        <f>BDH("NEPH US Equity","BS_CUR_LIAB","1993-06-18","2026-05-02","Per=Y","Days=T","Dir=V")</f>
        <v>0</v>
      </c>
      <c r="Q2">
        <f>BDH("NEPH US Equity","BS_SHAREHOLDER_EQY_ENDING_PERIOD","1993-06-18","2026-05-02","Per=Y","Days=T","Dir=V")</f>
        <v>0</v>
      </c>
      <c r="S2">
        <f>BDH("NEPH US Equity","BS_ACCT_NOTE_RCV","1993-06-18","2026-05-02","Per=Y","Days=T","Dir=V")</f>
        <v>0</v>
      </c>
      <c r="U2">
        <f>BDH("NEPH US Equity","BS_INVENTORIES","1993-06-18","2026-05-02","Per=Y","Days=T","Dir=V")</f>
        <v>0</v>
      </c>
      <c r="W2">
        <f>BDH("NEPH US Equity","WORKING_CAPITAL","1993-06-18","2026-05-02","Per=Y","Days=T","Dir=V")</f>
        <v>0</v>
      </c>
      <c r="Y2">
        <f>BDH("NEPH US Equity","SALES_REV_TURN","1993-06-18","2026-05-02","Per=Y","Days=T","Dir=V")</f>
        <v>0</v>
      </c>
      <c r="AA2">
        <f>BDH("NEPH US Equity","EBIT","1993-06-18","2026-05-02","Per=Y","Days=T","Dir=V")</f>
        <v>0</v>
      </c>
      <c r="AC2">
        <f>BDH("NEPH US Equity","EBITDA","1993-06-18","2026-05-02","Per=Y","Days=T","Dir=V")</f>
        <v>0</v>
      </c>
      <c r="AE2">
        <f>BDH("NEPH US Equity","NET_INCOME","1993-06-18","2026-05-02","Per=Y","Days=T","Dir=V")</f>
        <v>0</v>
      </c>
      <c r="AG2">
        <f>BDH("NEPH US Equity","IS_INT_EXPENSE","1993-06-18","2026-05-02","Per=Y","Days=T","Dir=V")</f>
        <v>0</v>
      </c>
      <c r="AI2">
        <f>BDH("NEPH US Equity","IS_DEPR_EXP","1993-06-18","2026-05-02","Per=Y","Days=T","Dir=V")</f>
        <v>0</v>
      </c>
      <c r="AK2">
        <f>BDH("NEPH US Equity","CF_CASH_FROM_OPER","1993-06-18","2026-05-02","Per=Y","Days=T","Dir=V")</f>
        <v>0</v>
      </c>
      <c r="AM2">
        <f>BDH("NEPH US Equity","CAPITAL_EXPEND","1993-06-18","2026-05-02","Per=Y","Days=T","Dir=V")</f>
        <v>0</v>
      </c>
      <c r="AO2">
        <f>BDH("NEPH US Equity","CF_FREE_CASH_FLOW","1993-06-18","2026-05-02","Per=Y","Days=T","Dir=V")</f>
        <v>0</v>
      </c>
      <c r="AQ2">
        <f>BDH("NEPH US Equity","PX_LAST","1993-06-18","2026-05-02","Per=M","Days=T","Dir=V")</f>
        <v>0</v>
      </c>
      <c r="AS2">
        <f>BDH("NEPH US Equity","CUR_MKT_CAP","1993-06-18","2026-05-02","Per=M","Days=T","Dir=V")</f>
        <v>0</v>
      </c>
      <c r="AU2">
        <f>BDH("NEPH US Equity","EQY_SH_OUT","1993-06-18","2026-05-02","Per=M","Days=T","Dir=V")</f>
        <v>0</v>
      </c>
      <c r="AW2">
        <f>BDH("NEPH US Equity","PX_VOLUME","1993-06-18","2026-05-02","Per=M","Days=T","Dir=V")</f>
        <v>0</v>
      </c>
      <c r="AY2">
        <f>BDH("NEPH US Equity","TURNOVER","1993-06-18","2026-05-02","Per=M","Days=T","Dir=V")</f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BDH("NERV US Equity","BS_TOT_ASSET","1993-06-18","2026-05-02","Per=Y","Days=T","Dir=V")</f>
        <v>0</v>
      </c>
      <c r="C2">
        <f>BDH("NERV US Equity","BS_TOT_LIAB2","1993-06-18","2026-05-02","Per=Y","Days=T","Dir=V")</f>
        <v>0</v>
      </c>
      <c r="E2">
        <f>BDH("NERV US Equity","SHORT_AND_LONG_TERM_DEBT","1993-06-18","2026-05-02","Per=Y","Days=T","Dir=V")</f>
        <v>0</v>
      </c>
      <c r="G2">
        <f>BDH("NERV US Equity","BS_ST_BORROW","1993-06-18","2026-05-02","Per=Y","Days=T","Dir=V")</f>
        <v>0</v>
      </c>
      <c r="I2">
        <f>BDH("NERV US Equity","BS_LT_BORROW","1993-06-18","2026-05-02","Per=Y","Days=T","Dir=V")</f>
        <v>0</v>
      </c>
      <c r="K2">
        <f>BDH("NERV US Equity","BS_CASH_NEAR_CASH_ITEM","1993-06-18","2026-05-02","Per=Y","Days=T","Dir=V")</f>
        <v>0</v>
      </c>
      <c r="M2">
        <f>BDH("NERV US Equity","BS_CUR_ASSET_REPORT","1993-06-18","2026-05-02","Per=Y","Days=T","Dir=V")</f>
        <v>0</v>
      </c>
      <c r="O2">
        <f>BDH("NERV US Equity","BS_CUR_LIAB","1993-06-18","2026-05-02","Per=Y","Days=T","Dir=V")</f>
        <v>0</v>
      </c>
      <c r="Q2">
        <f>BDH("NERV US Equity","BS_SHAREHOLDER_EQY_ENDING_PERIOD","1993-06-18","2026-05-02","Per=Y","Days=T","Dir=V")</f>
        <v>0</v>
      </c>
      <c r="S2">
        <f>BDH("NERV US Equity","BS_ACCT_NOTE_RCV","1993-06-18","2026-05-02","Per=Y","Days=T","Dir=V")</f>
        <v>0</v>
      </c>
      <c r="U2">
        <f>BDH("NERV US Equity","BS_INVENTORIES","1993-06-18","2026-05-02","Per=Y","Days=T","Dir=V")</f>
        <v>0</v>
      </c>
      <c r="W2">
        <f>BDH("NERV US Equity","WORKING_CAPITAL","1993-06-18","2026-05-02","Per=Y","Days=T","Dir=V")</f>
        <v>0</v>
      </c>
      <c r="Y2">
        <f>BDH("NERV US Equity","SALES_REV_TURN","1993-06-18","2026-05-02","Per=Y","Days=T","Dir=V")</f>
        <v>0</v>
      </c>
      <c r="AA2">
        <f>BDH("NERV US Equity","EBIT","1993-06-18","2026-05-02","Per=Y","Days=T","Dir=V")</f>
        <v>0</v>
      </c>
      <c r="AC2">
        <f>BDH("NERV US Equity","EBITDA","1993-06-18","2026-05-02","Per=Y","Days=T","Dir=V")</f>
        <v>0</v>
      </c>
      <c r="AE2">
        <f>BDH("NERV US Equity","NET_INCOME","1993-06-18","2026-05-02","Per=Y","Days=T","Dir=V")</f>
        <v>0</v>
      </c>
      <c r="AG2">
        <f>BDH("NERV US Equity","IS_INT_EXPENSE","1993-06-18","2026-05-02","Per=Y","Days=T","Dir=V")</f>
        <v>0</v>
      </c>
      <c r="AI2">
        <f>BDH("NERV US Equity","IS_DEPR_EXP","1993-06-18","2026-05-02","Per=Y","Days=T","Dir=V")</f>
        <v>0</v>
      </c>
      <c r="AK2">
        <f>BDH("NERV US Equity","CF_CASH_FROM_OPER","1993-06-18","2026-05-02","Per=Y","Days=T","Dir=V")</f>
        <v>0</v>
      </c>
      <c r="AM2">
        <f>BDH("NERV US Equity","CAPITAL_EXPEND","1993-06-18","2026-05-02","Per=Y","Days=T","Dir=V")</f>
        <v>0</v>
      </c>
      <c r="AO2">
        <f>BDH("NERV US Equity","CF_FREE_CASH_FLOW","1993-06-18","2026-05-02","Per=Y","Days=T","Dir=V")</f>
        <v>0</v>
      </c>
      <c r="AQ2">
        <f>BDH("NERV US Equity","PX_LAST","1993-06-18","2026-05-02","Per=M","Days=T","Dir=V")</f>
        <v>0</v>
      </c>
      <c r="AS2">
        <f>BDH("NERV US Equity","CUR_MKT_CAP","1993-06-18","2026-05-02","Per=M","Days=T","Dir=V")</f>
        <v>0</v>
      </c>
      <c r="AU2">
        <f>BDH("NERV US Equity","EQY_SH_OUT","1993-06-18","2026-05-02","Per=M","Days=T","Dir=V")</f>
        <v>0</v>
      </c>
      <c r="AW2">
        <f>BDH("NERV US Equity","PX_VOLUME","1993-06-18","2026-05-02","Per=M","Days=T","Dir=V")</f>
        <v>0</v>
      </c>
      <c r="AY2">
        <f>BDH("NERV US Equity","TURNOVER","1993-06-18","2026-05-02","Per=M","Days=T","Dir=V")</f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BDH("NESR US Equity","BS_TOT_ASSET","1993-06-18","2026-05-02","Per=Y","Days=T","Dir=V")</f>
        <v>0</v>
      </c>
      <c r="C2">
        <f>BDH("NESR US Equity","BS_TOT_LIAB2","1993-06-18","2026-05-02","Per=Y","Days=T","Dir=V")</f>
        <v>0</v>
      </c>
      <c r="E2">
        <f>BDH("NESR US Equity","SHORT_AND_LONG_TERM_DEBT","1993-06-18","2026-05-02","Per=Y","Days=T","Dir=V")</f>
        <v>0</v>
      </c>
      <c r="G2">
        <f>BDH("NESR US Equity","BS_ST_BORROW","1993-06-18","2026-05-02","Per=Y","Days=T","Dir=V")</f>
        <v>0</v>
      </c>
      <c r="I2">
        <f>BDH("NESR US Equity","BS_LT_BORROW","1993-06-18","2026-05-02","Per=Y","Days=T","Dir=V")</f>
        <v>0</v>
      </c>
      <c r="K2">
        <f>BDH("NESR US Equity","BS_CASH_NEAR_CASH_ITEM","1993-06-18","2026-05-02","Per=Y","Days=T","Dir=V")</f>
        <v>0</v>
      </c>
      <c r="M2">
        <f>BDH("NESR US Equity","BS_CUR_ASSET_REPORT","1993-06-18","2026-05-02","Per=Y","Days=T","Dir=V")</f>
        <v>0</v>
      </c>
      <c r="O2">
        <f>BDH("NESR US Equity","BS_CUR_LIAB","1993-06-18","2026-05-02","Per=Y","Days=T","Dir=V")</f>
        <v>0</v>
      </c>
      <c r="Q2">
        <f>BDH("NESR US Equity","BS_SHAREHOLDER_EQY_ENDING_PERIOD","1993-06-18","2026-05-02","Per=Y","Days=T","Dir=V")</f>
        <v>0</v>
      </c>
      <c r="S2">
        <f>BDH("NESR US Equity","BS_ACCT_NOTE_RCV","1993-06-18","2026-05-02","Per=Y","Days=T","Dir=V")</f>
        <v>0</v>
      </c>
      <c r="U2">
        <f>BDH("NESR US Equity","BS_INVENTORIES","1993-06-18","2026-05-02","Per=Y","Days=T","Dir=V")</f>
        <v>0</v>
      </c>
      <c r="W2">
        <f>BDH("NESR US Equity","WORKING_CAPITAL","1993-06-18","2026-05-02","Per=Y","Days=T","Dir=V")</f>
        <v>0</v>
      </c>
      <c r="Y2">
        <f>BDH("NESR US Equity","SALES_REV_TURN","1993-06-18","2026-05-02","Per=Y","Days=T","Dir=V")</f>
        <v>0</v>
      </c>
      <c r="AA2">
        <f>BDH("NESR US Equity","EBIT","1993-06-18","2026-05-02","Per=Y","Days=T","Dir=V")</f>
        <v>0</v>
      </c>
      <c r="AC2">
        <f>BDH("NESR US Equity","EBITDA","1993-06-18","2026-05-02","Per=Y","Days=T","Dir=V")</f>
        <v>0</v>
      </c>
      <c r="AE2">
        <f>BDH("NESR US Equity","NET_INCOME","1993-06-18","2026-05-02","Per=Y","Days=T","Dir=V")</f>
        <v>0</v>
      </c>
      <c r="AG2">
        <f>BDH("NESR US Equity","IS_INT_EXPENSE","1993-06-18","2026-05-02","Per=Y","Days=T","Dir=V")</f>
        <v>0</v>
      </c>
      <c r="AI2">
        <f>BDH("NESR US Equity","IS_DEPR_EXP","1993-06-18","2026-05-02","Per=Y","Days=T","Dir=V")</f>
        <v>0</v>
      </c>
      <c r="AK2">
        <f>BDH("NESR US Equity","CF_CASH_FROM_OPER","1993-06-18","2026-05-02","Per=Y","Days=T","Dir=V")</f>
        <v>0</v>
      </c>
      <c r="AM2">
        <f>BDH("NESR US Equity","CAPITAL_EXPEND","1993-06-18","2026-05-02","Per=Y","Days=T","Dir=V")</f>
        <v>0</v>
      </c>
      <c r="AO2">
        <f>BDH("NESR US Equity","CF_FREE_CASH_FLOW","1993-06-18","2026-05-02","Per=Y","Days=T","Dir=V")</f>
        <v>0</v>
      </c>
      <c r="AQ2">
        <f>BDH("NESR US Equity","PX_LAST","1993-06-18","2026-05-02","Per=M","Days=T","Dir=V")</f>
        <v>0</v>
      </c>
      <c r="AS2">
        <f>BDH("NESR US Equity","CUR_MKT_CAP","1993-06-18","2026-05-02","Per=M","Days=T","Dir=V")</f>
        <v>0</v>
      </c>
      <c r="AU2">
        <f>BDH("NESR US Equity","EQY_SH_OUT","1993-06-18","2026-05-02","Per=M","Days=T","Dir=V")</f>
        <v>0</v>
      </c>
      <c r="AW2">
        <f>BDH("NESR US Equity","PX_VOLUME","1993-06-18","2026-05-02","Per=M","Days=T","Dir=V")</f>
        <v>0</v>
      </c>
      <c r="AY2">
        <f>BDH("NESR US Equity","TURNOVER","1993-06-18","2026-05-02","Per=M","Days=T","Dir=V")</f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BDH("NET US Equity","BS_TOT_ASSET","1993-06-18","2026-05-02","Per=Y","Days=T","Dir=V")</f>
        <v>0</v>
      </c>
      <c r="C2">
        <f>BDH("NET US Equity","BS_TOT_LIAB2","1993-06-18","2026-05-02","Per=Y","Days=T","Dir=V")</f>
        <v>0</v>
      </c>
      <c r="E2">
        <f>BDH("NET US Equity","SHORT_AND_LONG_TERM_DEBT","1993-06-18","2026-05-02","Per=Y","Days=T","Dir=V")</f>
        <v>0</v>
      </c>
      <c r="G2">
        <f>BDH("NET US Equity","BS_ST_BORROW","1993-06-18","2026-05-02","Per=Y","Days=T","Dir=V")</f>
        <v>0</v>
      </c>
      <c r="I2">
        <f>BDH("NET US Equity","BS_LT_BORROW","1993-06-18","2026-05-02","Per=Y","Days=T","Dir=V")</f>
        <v>0</v>
      </c>
      <c r="K2">
        <f>BDH("NET US Equity","BS_CASH_NEAR_CASH_ITEM","1993-06-18","2026-05-02","Per=Y","Days=T","Dir=V")</f>
        <v>0</v>
      </c>
      <c r="M2">
        <f>BDH("NET US Equity","BS_CUR_ASSET_REPORT","1993-06-18","2026-05-02","Per=Y","Days=T","Dir=V")</f>
        <v>0</v>
      </c>
      <c r="O2">
        <f>BDH("NET US Equity","BS_CUR_LIAB","1993-06-18","2026-05-02","Per=Y","Days=T","Dir=V")</f>
        <v>0</v>
      </c>
      <c r="Q2">
        <f>BDH("NET US Equity","BS_SHAREHOLDER_EQY_ENDING_PERIOD","1993-06-18","2026-05-02","Per=Y","Days=T","Dir=V")</f>
        <v>0</v>
      </c>
      <c r="S2">
        <f>BDH("NET US Equity","BS_ACCT_NOTE_RCV","1993-06-18","2026-05-02","Per=Y","Days=T","Dir=V")</f>
        <v>0</v>
      </c>
      <c r="U2">
        <f>BDH("NET US Equity","BS_INVENTORIES","1993-06-18","2026-05-02","Per=Y","Days=T","Dir=V")</f>
        <v>0</v>
      </c>
      <c r="W2">
        <f>BDH("NET US Equity","WORKING_CAPITAL","1993-06-18","2026-05-02","Per=Y","Days=T","Dir=V")</f>
        <v>0</v>
      </c>
      <c r="Y2">
        <f>BDH("NET US Equity","SALES_REV_TURN","1993-06-18","2026-05-02","Per=Y","Days=T","Dir=V")</f>
        <v>0</v>
      </c>
      <c r="AA2">
        <f>BDH("NET US Equity","EBIT","1993-06-18","2026-05-02","Per=Y","Days=T","Dir=V")</f>
        <v>0</v>
      </c>
      <c r="AC2">
        <f>BDH("NET US Equity","EBITDA","1993-06-18","2026-05-02","Per=Y","Days=T","Dir=V")</f>
        <v>0</v>
      </c>
      <c r="AE2">
        <f>BDH("NET US Equity","NET_INCOME","1993-06-18","2026-05-02","Per=Y","Days=T","Dir=V")</f>
        <v>0</v>
      </c>
      <c r="AG2">
        <f>BDH("NET US Equity","IS_INT_EXPENSE","1993-06-18","2026-05-02","Per=Y","Days=T","Dir=V")</f>
        <v>0</v>
      </c>
      <c r="AI2">
        <f>BDH("NET US Equity","IS_DEPR_EXP","1993-06-18","2026-05-02","Per=Y","Days=T","Dir=V")</f>
        <v>0</v>
      </c>
      <c r="AK2">
        <f>BDH("NET US Equity","CF_CASH_FROM_OPER","1993-06-18","2026-05-02","Per=Y","Days=T","Dir=V")</f>
        <v>0</v>
      </c>
      <c r="AM2">
        <f>BDH("NET US Equity","CAPITAL_EXPEND","1993-06-18","2026-05-02","Per=Y","Days=T","Dir=V")</f>
        <v>0</v>
      </c>
      <c r="AO2">
        <f>BDH("NET US Equity","CF_FREE_CASH_FLOW","1993-06-18","2026-05-02","Per=Y","Days=T","Dir=V")</f>
        <v>0</v>
      </c>
      <c r="AQ2">
        <f>BDH("NET US Equity","PX_LAST","1993-06-18","2026-05-02","Per=M","Days=T","Dir=V")</f>
        <v>0</v>
      </c>
      <c r="AS2">
        <f>BDH("NET US Equity","CUR_MKT_CAP","1993-06-18","2026-05-02","Per=M","Days=T","Dir=V")</f>
        <v>0</v>
      </c>
      <c r="AU2">
        <f>BDH("NET US Equity","EQY_SH_OUT","1993-06-18","2026-05-02","Per=M","Days=T","Dir=V")</f>
        <v>0</v>
      </c>
      <c r="AW2">
        <f>BDH("NET US Equity","PX_VOLUME","1993-06-18","2026-05-02","Per=M","Days=T","Dir=V")</f>
        <v>0</v>
      </c>
      <c r="AY2">
        <f>BDH("NET US Equity","TURNOVER","1993-06-18","2026-05-02","Per=M","Days=T","Dir=V")</f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BDH("NEU US Equity","BS_TOT_ASSET","1993-06-18","2026-05-02","Per=Y","Days=T","Dir=V")</f>
        <v>0</v>
      </c>
      <c r="C2">
        <f>BDH("NEU US Equity","BS_TOT_LIAB2","1993-06-18","2026-05-02","Per=Y","Days=T","Dir=V")</f>
        <v>0</v>
      </c>
      <c r="E2">
        <f>BDH("NEU US Equity","SHORT_AND_LONG_TERM_DEBT","1993-06-18","2026-05-02","Per=Y","Days=T","Dir=V")</f>
        <v>0</v>
      </c>
      <c r="G2">
        <f>BDH("NEU US Equity","BS_ST_BORROW","1993-06-18","2026-05-02","Per=Y","Days=T","Dir=V")</f>
        <v>0</v>
      </c>
      <c r="I2">
        <f>BDH("NEU US Equity","BS_LT_BORROW","1993-06-18","2026-05-02","Per=Y","Days=T","Dir=V")</f>
        <v>0</v>
      </c>
      <c r="K2">
        <f>BDH("NEU US Equity","BS_CASH_NEAR_CASH_ITEM","1993-06-18","2026-05-02","Per=Y","Days=T","Dir=V")</f>
        <v>0</v>
      </c>
      <c r="M2">
        <f>BDH("NEU US Equity","BS_CUR_ASSET_REPORT","1993-06-18","2026-05-02","Per=Y","Days=T","Dir=V")</f>
        <v>0</v>
      </c>
      <c r="O2">
        <f>BDH("NEU US Equity","BS_CUR_LIAB","1993-06-18","2026-05-02","Per=Y","Days=T","Dir=V")</f>
        <v>0</v>
      </c>
      <c r="Q2">
        <f>BDH("NEU US Equity","BS_SHAREHOLDER_EQY_ENDING_PERIOD","1993-06-18","2026-05-02","Per=Y","Days=T","Dir=V")</f>
        <v>0</v>
      </c>
      <c r="S2">
        <f>BDH("NEU US Equity","BS_ACCT_NOTE_RCV","1993-06-18","2026-05-02","Per=Y","Days=T","Dir=V")</f>
        <v>0</v>
      </c>
      <c r="U2">
        <f>BDH("NEU US Equity","BS_INVENTORIES","1993-06-18","2026-05-02","Per=Y","Days=T","Dir=V")</f>
        <v>0</v>
      </c>
      <c r="W2">
        <f>BDH("NEU US Equity","WORKING_CAPITAL","1993-06-18","2026-05-02","Per=Y","Days=T","Dir=V")</f>
        <v>0</v>
      </c>
      <c r="Y2">
        <f>BDH("NEU US Equity","SALES_REV_TURN","1993-06-18","2026-05-02","Per=Y","Days=T","Dir=V")</f>
        <v>0</v>
      </c>
      <c r="AA2">
        <f>BDH("NEU US Equity","EBIT","1993-06-18","2026-05-02","Per=Y","Days=T","Dir=V")</f>
        <v>0</v>
      </c>
      <c r="AC2">
        <f>BDH("NEU US Equity","EBITDA","1993-06-18","2026-05-02","Per=Y","Days=T","Dir=V")</f>
        <v>0</v>
      </c>
      <c r="AE2">
        <f>BDH("NEU US Equity","NET_INCOME","1993-06-18","2026-05-02","Per=Y","Days=T","Dir=V")</f>
        <v>0</v>
      </c>
      <c r="AG2">
        <f>BDH("NEU US Equity","IS_INT_EXPENSE","1993-06-18","2026-05-02","Per=Y","Days=T","Dir=V")</f>
        <v>0</v>
      </c>
      <c r="AI2">
        <f>BDH("NEU US Equity","IS_DEPR_EXP","1993-06-18","2026-05-02","Per=Y","Days=T","Dir=V")</f>
        <v>0</v>
      </c>
      <c r="AK2">
        <f>BDH("NEU US Equity","CF_CASH_FROM_OPER","1993-06-18","2026-05-02","Per=Y","Days=T","Dir=V")</f>
        <v>0</v>
      </c>
      <c r="AM2">
        <f>BDH("NEU US Equity","CAPITAL_EXPEND","1993-06-18","2026-05-02","Per=Y","Days=T","Dir=V")</f>
        <v>0</v>
      </c>
      <c r="AO2">
        <f>BDH("NEU US Equity","CF_FREE_CASH_FLOW","1993-06-18","2026-05-02","Per=Y","Days=T","Dir=V")</f>
        <v>0</v>
      </c>
      <c r="AQ2">
        <f>BDH("NEU US Equity","PX_LAST","1993-06-18","2026-05-02","Per=M","Days=T","Dir=V")</f>
        <v>0</v>
      </c>
      <c r="AS2">
        <f>BDH("NEU US Equity","CUR_MKT_CAP","1993-06-18","2026-05-02","Per=M","Days=T","Dir=V")</f>
        <v>0</v>
      </c>
      <c r="AU2">
        <f>BDH("NEU US Equity","EQY_SH_OUT","1993-06-18","2026-05-02","Per=M","Days=T","Dir=V")</f>
        <v>0</v>
      </c>
      <c r="AW2">
        <f>BDH("NEU US Equity","PX_VOLUME","1993-06-18","2026-05-02","Per=M","Days=T","Dir=V")</f>
        <v>0</v>
      </c>
      <c r="AY2">
        <f>BDH("NEU US Equity","TURNOVER","1993-06-18","2026-05-02","Per=M","Days=T","Dir=V")</f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BDH("NEUP US Equity","BS_TOT_ASSET","1993-06-18","2026-05-02","Per=Y","Days=T","Dir=V")</f>
        <v>0</v>
      </c>
      <c r="C2">
        <f>BDH("NEUP US Equity","BS_TOT_LIAB2","1993-06-18","2026-05-02","Per=Y","Days=T","Dir=V")</f>
        <v>0</v>
      </c>
      <c r="E2">
        <f>BDH("NEUP US Equity","SHORT_AND_LONG_TERM_DEBT","1993-06-18","2026-05-02","Per=Y","Days=T","Dir=V")</f>
        <v>0</v>
      </c>
      <c r="G2">
        <f>BDH("NEUP US Equity","BS_ST_BORROW","1993-06-18","2026-05-02","Per=Y","Days=T","Dir=V")</f>
        <v>0</v>
      </c>
      <c r="I2">
        <f>BDH("NEUP US Equity","BS_LT_BORROW","1993-06-18","2026-05-02","Per=Y","Days=T","Dir=V")</f>
        <v>0</v>
      </c>
      <c r="K2">
        <f>BDH("NEUP US Equity","BS_CASH_NEAR_CASH_ITEM","1993-06-18","2026-05-02","Per=Y","Days=T","Dir=V")</f>
        <v>0</v>
      </c>
      <c r="M2">
        <f>BDH("NEUP US Equity","BS_CUR_ASSET_REPORT","1993-06-18","2026-05-02","Per=Y","Days=T","Dir=V")</f>
        <v>0</v>
      </c>
      <c r="O2">
        <f>BDH("NEUP US Equity","BS_CUR_LIAB","1993-06-18","2026-05-02","Per=Y","Days=T","Dir=V")</f>
        <v>0</v>
      </c>
      <c r="Q2">
        <f>BDH("NEUP US Equity","BS_SHAREHOLDER_EQY_ENDING_PERIOD","1993-06-18","2026-05-02","Per=Y","Days=T","Dir=V")</f>
        <v>0</v>
      </c>
      <c r="S2">
        <f>BDH("NEUP US Equity","BS_ACCT_NOTE_RCV","1993-06-18","2026-05-02","Per=Y","Days=T","Dir=V")</f>
        <v>0</v>
      </c>
      <c r="U2">
        <f>BDH("NEUP US Equity","BS_INVENTORIES","1993-06-18","2026-05-02","Per=Y","Days=T","Dir=V")</f>
        <v>0</v>
      </c>
      <c r="W2">
        <f>BDH("NEUP US Equity","WORKING_CAPITAL","1993-06-18","2026-05-02","Per=Y","Days=T","Dir=V")</f>
        <v>0</v>
      </c>
      <c r="Y2">
        <f>BDH("NEUP US Equity","SALES_REV_TURN","1993-06-18","2026-05-02","Per=Y","Days=T","Dir=V")</f>
        <v>0</v>
      </c>
      <c r="AA2">
        <f>BDH("NEUP US Equity","EBIT","1993-06-18","2026-05-02","Per=Y","Days=T","Dir=V")</f>
        <v>0</v>
      </c>
      <c r="AC2">
        <f>BDH("NEUP US Equity","EBITDA","1993-06-18","2026-05-02","Per=Y","Days=T","Dir=V")</f>
        <v>0</v>
      </c>
      <c r="AE2">
        <f>BDH("NEUP US Equity","NET_INCOME","1993-06-18","2026-05-02","Per=Y","Days=T","Dir=V")</f>
        <v>0</v>
      </c>
      <c r="AG2">
        <f>BDH("NEUP US Equity","IS_INT_EXPENSE","1993-06-18","2026-05-02","Per=Y","Days=T","Dir=V")</f>
        <v>0</v>
      </c>
      <c r="AI2">
        <f>BDH("NEUP US Equity","IS_DEPR_EXP","1993-06-18","2026-05-02","Per=Y","Days=T","Dir=V")</f>
        <v>0</v>
      </c>
      <c r="AK2">
        <f>BDH("NEUP US Equity","CF_CASH_FROM_OPER","1993-06-18","2026-05-02","Per=Y","Days=T","Dir=V")</f>
        <v>0</v>
      </c>
      <c r="AM2">
        <f>BDH("NEUP US Equity","CAPITAL_EXPEND","1993-06-18","2026-05-02","Per=Y","Days=T","Dir=V")</f>
        <v>0</v>
      </c>
      <c r="AO2">
        <f>BDH("NEUP US Equity","CF_FREE_CASH_FLOW","1993-06-18","2026-05-02","Per=Y","Days=T","Dir=V")</f>
        <v>0</v>
      </c>
      <c r="AQ2">
        <f>BDH("NEUP US Equity","PX_LAST","1993-06-18","2026-05-02","Per=M","Days=T","Dir=V")</f>
        <v>0</v>
      </c>
      <c r="AS2">
        <f>BDH("NEUP US Equity","CUR_MKT_CAP","1993-06-18","2026-05-02","Per=M","Days=T","Dir=V")</f>
        <v>0</v>
      </c>
      <c r="AU2">
        <f>BDH("NEUP US Equity","EQY_SH_OUT","1993-06-18","2026-05-02","Per=M","Days=T","Dir=V")</f>
        <v>0</v>
      </c>
      <c r="AW2">
        <f>BDH("NEUP US Equity","PX_VOLUME","1993-06-18","2026-05-02","Per=M","Days=T","Dir=V")</f>
        <v>0</v>
      </c>
      <c r="AY2">
        <f>BDH("NEUP US Equity","TURNOVER","1993-06-18","2026-05-02","Per=M","Days=T","Dir=V")</f>
        <v>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BDH("NEXT US Equity","BS_TOT_ASSET","1993-06-18","2026-05-02","Per=Y","Days=T","Dir=V")</f>
        <v>0</v>
      </c>
      <c r="C2">
        <f>BDH("NEXT US Equity","BS_TOT_LIAB2","1993-06-18","2026-05-02","Per=Y","Days=T","Dir=V")</f>
        <v>0</v>
      </c>
      <c r="E2">
        <f>BDH("NEXT US Equity","SHORT_AND_LONG_TERM_DEBT","1993-06-18","2026-05-02","Per=Y","Days=T","Dir=V")</f>
        <v>0</v>
      </c>
      <c r="G2">
        <f>BDH("NEXT US Equity","BS_ST_BORROW","1993-06-18","2026-05-02","Per=Y","Days=T","Dir=V")</f>
        <v>0</v>
      </c>
      <c r="I2">
        <f>BDH("NEXT US Equity","BS_LT_BORROW","1993-06-18","2026-05-02","Per=Y","Days=T","Dir=V")</f>
        <v>0</v>
      </c>
      <c r="K2">
        <f>BDH("NEXT US Equity","BS_CASH_NEAR_CASH_ITEM","1993-06-18","2026-05-02","Per=Y","Days=T","Dir=V")</f>
        <v>0</v>
      </c>
      <c r="M2">
        <f>BDH("NEXT US Equity","BS_CUR_ASSET_REPORT","1993-06-18","2026-05-02","Per=Y","Days=T","Dir=V")</f>
        <v>0</v>
      </c>
      <c r="O2">
        <f>BDH("NEXT US Equity","BS_CUR_LIAB","1993-06-18","2026-05-02","Per=Y","Days=T","Dir=V")</f>
        <v>0</v>
      </c>
      <c r="Q2">
        <f>BDH("NEXT US Equity","BS_SHAREHOLDER_EQY_ENDING_PERIOD","1993-06-18","2026-05-02","Per=Y","Days=T","Dir=V")</f>
        <v>0</v>
      </c>
      <c r="S2">
        <f>BDH("NEXT US Equity","BS_ACCT_NOTE_RCV","1993-06-18","2026-05-02","Per=Y","Days=T","Dir=V")</f>
        <v>0</v>
      </c>
      <c r="U2">
        <f>BDH("NEXT US Equity","BS_INVENTORIES","1993-06-18","2026-05-02","Per=Y","Days=T","Dir=V")</f>
        <v>0</v>
      </c>
      <c r="W2">
        <f>BDH("NEXT US Equity","WORKING_CAPITAL","1993-06-18","2026-05-02","Per=Y","Days=T","Dir=V")</f>
        <v>0</v>
      </c>
      <c r="Y2">
        <f>BDH("NEXT US Equity","SALES_REV_TURN","1993-06-18","2026-05-02","Per=Y","Days=T","Dir=V")</f>
        <v>0</v>
      </c>
      <c r="AA2">
        <f>BDH("NEXT US Equity","EBIT","1993-06-18","2026-05-02","Per=Y","Days=T","Dir=V")</f>
        <v>0</v>
      </c>
      <c r="AC2">
        <f>BDH("NEXT US Equity","EBITDA","1993-06-18","2026-05-02","Per=Y","Days=T","Dir=V")</f>
        <v>0</v>
      </c>
      <c r="AE2">
        <f>BDH("NEXT US Equity","NET_INCOME","1993-06-18","2026-05-02","Per=Y","Days=T","Dir=V")</f>
        <v>0</v>
      </c>
      <c r="AG2">
        <f>BDH("NEXT US Equity","IS_INT_EXPENSE","1993-06-18","2026-05-02","Per=Y","Days=T","Dir=V")</f>
        <v>0</v>
      </c>
      <c r="AI2">
        <f>BDH("NEXT US Equity","IS_DEPR_EXP","1993-06-18","2026-05-02","Per=Y","Days=T","Dir=V")</f>
        <v>0</v>
      </c>
      <c r="AK2">
        <f>BDH("NEXT US Equity","CF_CASH_FROM_OPER","1993-06-18","2026-05-02","Per=Y","Days=T","Dir=V")</f>
        <v>0</v>
      </c>
      <c r="AM2">
        <f>BDH("NEXT US Equity","CAPITAL_EXPEND","1993-06-18","2026-05-02","Per=Y","Days=T","Dir=V")</f>
        <v>0</v>
      </c>
      <c r="AO2">
        <f>BDH("NEXT US Equity","CF_FREE_CASH_FLOW","1993-06-18","2026-05-02","Per=Y","Days=T","Dir=V")</f>
        <v>0</v>
      </c>
      <c r="AQ2">
        <f>BDH("NEXT US Equity","PX_LAST","1993-06-18","2026-05-02","Per=M","Days=T","Dir=V")</f>
        <v>0</v>
      </c>
      <c r="AS2">
        <f>BDH("NEXT US Equity","CUR_MKT_CAP","1993-06-18","2026-05-02","Per=M","Days=T","Dir=V")</f>
        <v>0</v>
      </c>
      <c r="AU2">
        <f>BDH("NEXT US Equity","EQY_SH_OUT","1993-06-18","2026-05-02","Per=M","Days=T","Dir=V")</f>
        <v>0</v>
      </c>
      <c r="AW2">
        <f>BDH("NEXT US Equity","PX_VOLUME","1993-06-18","2026-05-02","Per=M","Days=T","Dir=V")</f>
        <v>0</v>
      </c>
      <c r="AY2">
        <f>BDH("NEXT US Equity","TURNOVER","1993-06-18","2026-05-02","Per=M","Days=T","Dir=V")</f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BDH("NFE US Equity","BS_TOT_ASSET","1993-06-18","2026-05-02","Per=Y","Days=T","Dir=V")</f>
        <v>0</v>
      </c>
      <c r="C2">
        <f>BDH("NFE US Equity","BS_TOT_LIAB2","1993-06-18","2026-05-02","Per=Y","Days=T","Dir=V")</f>
        <v>0</v>
      </c>
      <c r="E2">
        <f>BDH("NFE US Equity","SHORT_AND_LONG_TERM_DEBT","1993-06-18","2026-05-02","Per=Y","Days=T","Dir=V")</f>
        <v>0</v>
      </c>
      <c r="G2">
        <f>BDH("NFE US Equity","BS_ST_BORROW","1993-06-18","2026-05-02","Per=Y","Days=T","Dir=V")</f>
        <v>0</v>
      </c>
      <c r="I2">
        <f>BDH("NFE US Equity","BS_LT_BORROW","1993-06-18","2026-05-02","Per=Y","Days=T","Dir=V")</f>
        <v>0</v>
      </c>
      <c r="K2">
        <f>BDH("NFE US Equity","BS_CASH_NEAR_CASH_ITEM","1993-06-18","2026-05-02","Per=Y","Days=T","Dir=V")</f>
        <v>0</v>
      </c>
      <c r="M2">
        <f>BDH("NFE US Equity","BS_CUR_ASSET_REPORT","1993-06-18","2026-05-02","Per=Y","Days=T","Dir=V")</f>
        <v>0</v>
      </c>
      <c r="O2">
        <f>BDH("NFE US Equity","BS_CUR_LIAB","1993-06-18","2026-05-02","Per=Y","Days=T","Dir=V")</f>
        <v>0</v>
      </c>
      <c r="Q2">
        <f>BDH("NFE US Equity","BS_SHAREHOLDER_EQY_ENDING_PERIOD","1993-06-18","2026-05-02","Per=Y","Days=T","Dir=V")</f>
        <v>0</v>
      </c>
      <c r="S2">
        <f>BDH("NFE US Equity","BS_ACCT_NOTE_RCV","1993-06-18","2026-05-02","Per=Y","Days=T","Dir=V")</f>
        <v>0</v>
      </c>
      <c r="U2">
        <f>BDH("NFE US Equity","BS_INVENTORIES","1993-06-18","2026-05-02","Per=Y","Days=T","Dir=V")</f>
        <v>0</v>
      </c>
      <c r="W2">
        <f>BDH("NFE US Equity","WORKING_CAPITAL","1993-06-18","2026-05-02","Per=Y","Days=T","Dir=V")</f>
        <v>0</v>
      </c>
      <c r="Y2">
        <f>BDH("NFE US Equity","SALES_REV_TURN","1993-06-18","2026-05-02","Per=Y","Days=T","Dir=V")</f>
        <v>0</v>
      </c>
      <c r="AA2">
        <f>BDH("NFE US Equity","EBIT","1993-06-18","2026-05-02","Per=Y","Days=T","Dir=V")</f>
        <v>0</v>
      </c>
      <c r="AC2">
        <f>BDH("NFE US Equity","EBITDA","1993-06-18","2026-05-02","Per=Y","Days=T","Dir=V")</f>
        <v>0</v>
      </c>
      <c r="AE2">
        <f>BDH("NFE US Equity","NET_INCOME","1993-06-18","2026-05-02","Per=Y","Days=T","Dir=V")</f>
        <v>0</v>
      </c>
      <c r="AG2">
        <f>BDH("NFE US Equity","IS_INT_EXPENSE","1993-06-18","2026-05-02","Per=Y","Days=T","Dir=V")</f>
        <v>0</v>
      </c>
      <c r="AI2">
        <f>BDH("NFE US Equity","IS_DEPR_EXP","1993-06-18","2026-05-02","Per=Y","Days=T","Dir=V")</f>
        <v>0</v>
      </c>
      <c r="AK2">
        <f>BDH("NFE US Equity","CF_CASH_FROM_OPER","1993-06-18","2026-05-02","Per=Y","Days=T","Dir=V")</f>
        <v>0</v>
      </c>
      <c r="AM2">
        <f>BDH("NFE US Equity","CAPITAL_EXPEND","1993-06-18","2026-05-02","Per=Y","Days=T","Dir=V")</f>
        <v>0</v>
      </c>
      <c r="AO2">
        <f>BDH("NFE US Equity","CF_FREE_CASH_FLOW","1993-06-18","2026-05-02","Per=Y","Days=T","Dir=V")</f>
        <v>0</v>
      </c>
      <c r="AQ2">
        <f>BDH("NFE US Equity","PX_LAST","1993-06-18","2026-05-02","Per=M","Days=T","Dir=V")</f>
        <v>0</v>
      </c>
      <c r="AS2">
        <f>BDH("NFE US Equity","CUR_MKT_CAP","1993-06-18","2026-05-02","Per=M","Days=T","Dir=V")</f>
        <v>0</v>
      </c>
      <c r="AU2">
        <f>BDH("NFE US Equity","EQY_SH_OUT","1993-06-18","2026-05-02","Per=M","Days=T","Dir=V")</f>
        <v>0</v>
      </c>
      <c r="AW2">
        <f>BDH("NFE US Equity","PX_VOLUME","1993-06-18","2026-05-02","Per=M","Days=T","Dir=V")</f>
        <v>0</v>
      </c>
      <c r="AY2">
        <f>BDH("NFE US Equity","TURNOVER","1993-06-18","2026-05-02","Per=M","Days=T","Dir=V")</f>
        <v>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BDH("NFEGP US Equity","BS_TOT_ASSET","1993-06-18","2026-05-02","Per=Y","Days=T","Dir=V")</f>
        <v>0</v>
      </c>
      <c r="C2">
        <f>BDH("NFEGP US Equity","BS_TOT_LIAB2","1993-06-18","2026-05-02","Per=Y","Days=T","Dir=V")</f>
        <v>0</v>
      </c>
      <c r="E2">
        <f>BDH("NFEGP US Equity","SHORT_AND_LONG_TERM_DEBT","1993-06-18","2026-05-02","Per=Y","Days=T","Dir=V")</f>
        <v>0</v>
      </c>
      <c r="G2">
        <f>BDH("NFEGP US Equity","BS_ST_BORROW","1993-06-18","2026-05-02","Per=Y","Days=T","Dir=V")</f>
        <v>0</v>
      </c>
      <c r="I2">
        <f>BDH("NFEGP US Equity","BS_LT_BORROW","1993-06-18","2026-05-02","Per=Y","Days=T","Dir=V")</f>
        <v>0</v>
      </c>
      <c r="K2">
        <f>BDH("NFEGP US Equity","BS_CASH_NEAR_CASH_ITEM","1993-06-18","2026-05-02","Per=Y","Days=T","Dir=V")</f>
        <v>0</v>
      </c>
      <c r="M2">
        <f>BDH("NFEGP US Equity","BS_CUR_ASSET_REPORT","1993-06-18","2026-05-02","Per=Y","Days=T","Dir=V")</f>
        <v>0</v>
      </c>
      <c r="O2">
        <f>BDH("NFEGP US Equity","BS_CUR_LIAB","1993-06-18","2026-05-02","Per=Y","Days=T","Dir=V")</f>
        <v>0</v>
      </c>
      <c r="Q2">
        <f>BDH("NFEGP US Equity","BS_SHAREHOLDER_EQY_ENDING_PERIOD","1993-06-18","2026-05-02","Per=Y","Days=T","Dir=V")</f>
        <v>0</v>
      </c>
      <c r="S2">
        <f>BDH("NFEGP US Equity","BS_ACCT_NOTE_RCV","1993-06-18","2026-05-02","Per=Y","Days=T","Dir=V")</f>
        <v>0</v>
      </c>
      <c r="U2">
        <f>BDH("NFEGP US Equity","BS_INVENTORIES","1993-06-18","2026-05-02","Per=Y","Days=T","Dir=V")</f>
        <v>0</v>
      </c>
      <c r="W2">
        <f>BDH("NFEGP US Equity","WORKING_CAPITAL","1993-06-18","2026-05-02","Per=Y","Days=T","Dir=V")</f>
        <v>0</v>
      </c>
      <c r="Y2">
        <f>BDH("NFEGP US Equity","SALES_REV_TURN","1993-06-18","2026-05-02","Per=Y","Days=T","Dir=V")</f>
        <v>0</v>
      </c>
      <c r="AA2">
        <f>BDH("NFEGP US Equity","EBIT","1993-06-18","2026-05-02","Per=Y","Days=T","Dir=V")</f>
        <v>0</v>
      </c>
      <c r="AC2">
        <f>BDH("NFEGP US Equity","EBITDA","1993-06-18","2026-05-02","Per=Y","Days=T","Dir=V")</f>
        <v>0</v>
      </c>
      <c r="AE2">
        <f>BDH("NFEGP US Equity","NET_INCOME","1993-06-18","2026-05-02","Per=Y","Days=T","Dir=V")</f>
        <v>0</v>
      </c>
      <c r="AG2">
        <f>BDH("NFEGP US Equity","IS_INT_EXPENSE","1993-06-18","2026-05-02","Per=Y","Days=T","Dir=V")</f>
        <v>0</v>
      </c>
      <c r="AI2">
        <f>BDH("NFEGP US Equity","IS_DEPR_EXP","1993-06-18","2026-05-02","Per=Y","Days=T","Dir=V")</f>
        <v>0</v>
      </c>
      <c r="AK2">
        <f>BDH("NFEGP US Equity","CF_CASH_FROM_OPER","1993-06-18","2026-05-02","Per=Y","Days=T","Dir=V")</f>
        <v>0</v>
      </c>
      <c r="AM2">
        <f>BDH("NFEGP US Equity","CAPITAL_EXPEND","1993-06-18","2026-05-02","Per=Y","Days=T","Dir=V")</f>
        <v>0</v>
      </c>
      <c r="AO2">
        <f>BDH("NFEGP US Equity","CF_FREE_CASH_FLOW","1993-06-18","2026-05-02","Per=Y","Days=T","Dir=V")</f>
        <v>0</v>
      </c>
      <c r="AQ2">
        <f>BDH("NFEGP US Equity","PX_LAST","1993-06-18","2026-05-02","Per=M","Days=T","Dir=V")</f>
        <v>0</v>
      </c>
      <c r="AS2">
        <f>BDH("NFEGP US Equity","CUR_MKT_CAP","1993-06-18","2026-05-02","Per=M","Days=T","Dir=V")</f>
        <v>0</v>
      </c>
      <c r="AU2">
        <f>BDH("NFEGP US Equity","EQY_SH_OUT","1993-06-18","2026-05-02","Per=M","Days=T","Dir=V")</f>
        <v>0</v>
      </c>
      <c r="AW2">
        <f>BDH("NFEGP US Equity","PX_VOLUME","1993-06-18","2026-05-02","Per=M","Days=T","Dir=V")</f>
        <v>0</v>
      </c>
      <c r="AY2">
        <f>BDH("NFEGP US Equity","TURNOVER","1993-06-18","2026-05-02","Per=M","Days=T","Dir=V")</f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BDH("NFG US Equity","BS_TOT_ASSET","1993-06-18","2026-05-02","Per=Y","Days=T","Dir=V")</f>
        <v>0</v>
      </c>
      <c r="C2">
        <f>BDH("NFG US Equity","BS_TOT_LIAB2","1993-06-18","2026-05-02","Per=Y","Days=T","Dir=V")</f>
        <v>0</v>
      </c>
      <c r="E2">
        <f>BDH("NFG US Equity","SHORT_AND_LONG_TERM_DEBT","1993-06-18","2026-05-02","Per=Y","Days=T","Dir=V")</f>
        <v>0</v>
      </c>
      <c r="G2">
        <f>BDH("NFG US Equity","BS_ST_BORROW","1993-06-18","2026-05-02","Per=Y","Days=T","Dir=V")</f>
        <v>0</v>
      </c>
      <c r="I2">
        <f>BDH("NFG US Equity","BS_LT_BORROW","1993-06-18","2026-05-02","Per=Y","Days=T","Dir=V")</f>
        <v>0</v>
      </c>
      <c r="K2">
        <f>BDH("NFG US Equity","BS_CASH_NEAR_CASH_ITEM","1993-06-18","2026-05-02","Per=Y","Days=T","Dir=V")</f>
        <v>0</v>
      </c>
      <c r="M2">
        <f>BDH("NFG US Equity","BS_CUR_ASSET_REPORT","1993-06-18","2026-05-02","Per=Y","Days=T","Dir=V")</f>
        <v>0</v>
      </c>
      <c r="O2">
        <f>BDH("NFG US Equity","BS_CUR_LIAB","1993-06-18","2026-05-02","Per=Y","Days=T","Dir=V")</f>
        <v>0</v>
      </c>
      <c r="Q2">
        <f>BDH("NFG US Equity","BS_SHAREHOLDER_EQY_ENDING_PERIOD","1993-06-18","2026-05-02","Per=Y","Days=T","Dir=V")</f>
        <v>0</v>
      </c>
      <c r="S2">
        <f>BDH("NFG US Equity","BS_ACCT_NOTE_RCV","1993-06-18","2026-05-02","Per=Y","Days=T","Dir=V")</f>
        <v>0</v>
      </c>
      <c r="U2">
        <f>BDH("NFG US Equity","BS_INVENTORIES","1993-06-18","2026-05-02","Per=Y","Days=T","Dir=V")</f>
        <v>0</v>
      </c>
      <c r="W2">
        <f>BDH("NFG US Equity","WORKING_CAPITAL","1993-06-18","2026-05-02","Per=Y","Days=T","Dir=V")</f>
        <v>0</v>
      </c>
      <c r="Y2">
        <f>BDH("NFG US Equity","SALES_REV_TURN","1993-06-18","2026-05-02","Per=Y","Days=T","Dir=V")</f>
        <v>0</v>
      </c>
      <c r="AA2">
        <f>BDH("NFG US Equity","EBIT","1993-06-18","2026-05-02","Per=Y","Days=T","Dir=V")</f>
        <v>0</v>
      </c>
      <c r="AC2">
        <f>BDH("NFG US Equity","EBITDA","1993-06-18","2026-05-02","Per=Y","Days=T","Dir=V")</f>
        <v>0</v>
      </c>
      <c r="AE2">
        <f>BDH("NFG US Equity","NET_INCOME","1993-06-18","2026-05-02","Per=Y","Days=T","Dir=V")</f>
        <v>0</v>
      </c>
      <c r="AG2">
        <f>BDH("NFG US Equity","IS_INT_EXPENSE","1993-06-18","2026-05-02","Per=Y","Days=T","Dir=V")</f>
        <v>0</v>
      </c>
      <c r="AI2">
        <f>BDH("NFG US Equity","IS_DEPR_EXP","1993-06-18","2026-05-02","Per=Y","Days=T","Dir=V")</f>
        <v>0</v>
      </c>
      <c r="AK2">
        <f>BDH("NFG US Equity","CF_CASH_FROM_OPER","1993-06-18","2026-05-02","Per=Y","Days=T","Dir=V")</f>
        <v>0</v>
      </c>
      <c r="AM2">
        <f>BDH("NFG US Equity","CAPITAL_EXPEND","1993-06-18","2026-05-02","Per=Y","Days=T","Dir=V")</f>
        <v>0</v>
      </c>
      <c r="AO2">
        <f>BDH("NFG US Equity","CF_FREE_CASH_FLOW","1993-06-18","2026-05-02","Per=Y","Days=T","Dir=V")</f>
        <v>0</v>
      </c>
      <c r="AQ2">
        <f>BDH("NFG US Equity","PX_LAST","1993-06-18","2026-05-02","Per=M","Days=T","Dir=V")</f>
        <v>0</v>
      </c>
      <c r="AS2">
        <f>BDH("NFG US Equity","CUR_MKT_CAP","1993-06-18","2026-05-02","Per=M","Days=T","Dir=V")</f>
        <v>0</v>
      </c>
      <c r="AU2">
        <f>BDH("NFG US Equity","EQY_SH_OUT","1993-06-18","2026-05-02","Per=M","Days=T","Dir=V")</f>
        <v>0</v>
      </c>
      <c r="AW2">
        <f>BDH("NFG US Equity","PX_VOLUME","1993-06-18","2026-05-02","Per=M","Days=T","Dir=V")</f>
        <v>0</v>
      </c>
      <c r="AY2">
        <f>BDH("NFG US Equity","TURNOVER","1993-06-18","2026-05-02","Per=M","Days=T","Dir=V")</f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BDH("NFLX US Equity","BS_TOT_ASSET","1993-06-18","2026-05-02","Per=Y","Days=T","Dir=V")</f>
        <v>0</v>
      </c>
      <c r="C2">
        <f>BDH("NFLX US Equity","BS_TOT_LIAB2","1993-06-18","2026-05-02","Per=Y","Days=T","Dir=V")</f>
        <v>0</v>
      </c>
      <c r="E2">
        <f>BDH("NFLX US Equity","SHORT_AND_LONG_TERM_DEBT","1993-06-18","2026-05-02","Per=Y","Days=T","Dir=V")</f>
        <v>0</v>
      </c>
      <c r="G2">
        <f>BDH("NFLX US Equity","BS_ST_BORROW","1993-06-18","2026-05-02","Per=Y","Days=T","Dir=V")</f>
        <v>0</v>
      </c>
      <c r="I2">
        <f>BDH("NFLX US Equity","BS_LT_BORROW","1993-06-18","2026-05-02","Per=Y","Days=T","Dir=V")</f>
        <v>0</v>
      </c>
      <c r="K2">
        <f>BDH("NFLX US Equity","BS_CASH_NEAR_CASH_ITEM","1993-06-18","2026-05-02","Per=Y","Days=T","Dir=V")</f>
        <v>0</v>
      </c>
      <c r="M2">
        <f>BDH("NFLX US Equity","BS_CUR_ASSET_REPORT","1993-06-18","2026-05-02","Per=Y","Days=T","Dir=V")</f>
        <v>0</v>
      </c>
      <c r="O2">
        <f>BDH("NFLX US Equity","BS_CUR_LIAB","1993-06-18","2026-05-02","Per=Y","Days=T","Dir=V")</f>
        <v>0</v>
      </c>
      <c r="Q2">
        <f>BDH("NFLX US Equity","BS_SHAREHOLDER_EQY_ENDING_PERIOD","1993-06-18","2026-05-02","Per=Y","Days=T","Dir=V")</f>
        <v>0</v>
      </c>
      <c r="S2">
        <f>BDH("NFLX US Equity","BS_ACCT_NOTE_RCV","1993-06-18","2026-05-02","Per=Y","Days=T","Dir=V")</f>
        <v>0</v>
      </c>
      <c r="U2">
        <f>BDH("NFLX US Equity","BS_INVENTORIES","1993-06-18","2026-05-02","Per=Y","Days=T","Dir=V")</f>
        <v>0</v>
      </c>
      <c r="W2">
        <f>BDH("NFLX US Equity","WORKING_CAPITAL","1993-06-18","2026-05-02","Per=Y","Days=T","Dir=V")</f>
        <v>0</v>
      </c>
      <c r="Y2">
        <f>BDH("NFLX US Equity","SALES_REV_TURN","1993-06-18","2026-05-02","Per=Y","Days=T","Dir=V")</f>
        <v>0</v>
      </c>
      <c r="AA2">
        <f>BDH("NFLX US Equity","EBIT","1993-06-18","2026-05-02","Per=Y","Days=T","Dir=V")</f>
        <v>0</v>
      </c>
      <c r="AC2">
        <f>BDH("NFLX US Equity","EBITDA","1993-06-18","2026-05-02","Per=Y","Days=T","Dir=V")</f>
        <v>0</v>
      </c>
      <c r="AE2">
        <f>BDH("NFLX US Equity","NET_INCOME","1993-06-18","2026-05-02","Per=Y","Days=T","Dir=V")</f>
        <v>0</v>
      </c>
      <c r="AG2">
        <f>BDH("NFLX US Equity","IS_INT_EXPENSE","1993-06-18","2026-05-02","Per=Y","Days=T","Dir=V")</f>
        <v>0</v>
      </c>
      <c r="AI2">
        <f>BDH("NFLX US Equity","IS_DEPR_EXP","1993-06-18","2026-05-02","Per=Y","Days=T","Dir=V")</f>
        <v>0</v>
      </c>
      <c r="AK2">
        <f>BDH("NFLX US Equity","CF_CASH_FROM_OPER","1993-06-18","2026-05-02","Per=Y","Days=T","Dir=V")</f>
        <v>0</v>
      </c>
      <c r="AM2">
        <f>BDH("NFLX US Equity","CAPITAL_EXPEND","1993-06-18","2026-05-02","Per=Y","Days=T","Dir=V")</f>
        <v>0</v>
      </c>
      <c r="AO2">
        <f>BDH("NFLX US Equity","CF_FREE_CASH_FLOW","1993-06-18","2026-05-02","Per=Y","Days=T","Dir=V")</f>
        <v>0</v>
      </c>
      <c r="AQ2">
        <f>BDH("NFLX US Equity","PX_LAST","1993-06-18","2026-05-02","Per=M","Days=T","Dir=V")</f>
        <v>0</v>
      </c>
      <c r="AS2">
        <f>BDH("NFLX US Equity","CUR_MKT_CAP","1993-06-18","2026-05-02","Per=M","Days=T","Dir=V")</f>
        <v>0</v>
      </c>
      <c r="AU2">
        <f>BDH("NFLX US Equity","EQY_SH_OUT","1993-06-18","2026-05-02","Per=M","Days=T","Dir=V")</f>
        <v>0</v>
      </c>
      <c r="AW2">
        <f>BDH("NFLX US Equity","PX_VOLUME","1993-06-18","2026-05-02","Per=M","Days=T","Dir=V")</f>
        <v>0</v>
      </c>
      <c r="AY2">
        <f>BDH("NFLX US Equity","TURNOVER","1993-06-18","2026-05-02","Per=M","Days=T","Dir=V")</f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BDH("NGL US Equity","BS_TOT_ASSET","1993-06-18","2026-05-02","Per=Y","Days=T","Dir=V")</f>
        <v>0</v>
      </c>
      <c r="C2">
        <f>BDH("NGL US Equity","BS_TOT_LIAB2","1993-06-18","2026-05-02","Per=Y","Days=T","Dir=V")</f>
        <v>0</v>
      </c>
      <c r="E2">
        <f>BDH("NGL US Equity","SHORT_AND_LONG_TERM_DEBT","1993-06-18","2026-05-02","Per=Y","Days=T","Dir=V")</f>
        <v>0</v>
      </c>
      <c r="G2">
        <f>BDH("NGL US Equity","BS_ST_BORROW","1993-06-18","2026-05-02","Per=Y","Days=T","Dir=V")</f>
        <v>0</v>
      </c>
      <c r="I2">
        <f>BDH("NGL US Equity","BS_LT_BORROW","1993-06-18","2026-05-02","Per=Y","Days=T","Dir=V")</f>
        <v>0</v>
      </c>
      <c r="K2">
        <f>BDH("NGL US Equity","BS_CASH_NEAR_CASH_ITEM","1993-06-18","2026-05-02","Per=Y","Days=T","Dir=V")</f>
        <v>0</v>
      </c>
      <c r="M2">
        <f>BDH("NGL US Equity","BS_CUR_ASSET_REPORT","1993-06-18","2026-05-02","Per=Y","Days=T","Dir=V")</f>
        <v>0</v>
      </c>
      <c r="O2">
        <f>BDH("NGL US Equity","BS_CUR_LIAB","1993-06-18","2026-05-02","Per=Y","Days=T","Dir=V")</f>
        <v>0</v>
      </c>
      <c r="Q2">
        <f>BDH("NGL US Equity","BS_SHAREHOLDER_EQY_ENDING_PERIOD","1993-06-18","2026-05-02","Per=Y","Days=T","Dir=V")</f>
        <v>0</v>
      </c>
      <c r="S2">
        <f>BDH("NGL US Equity","BS_ACCT_NOTE_RCV","1993-06-18","2026-05-02","Per=Y","Days=T","Dir=V")</f>
        <v>0</v>
      </c>
      <c r="U2">
        <f>BDH("NGL US Equity","BS_INVENTORIES","1993-06-18","2026-05-02","Per=Y","Days=T","Dir=V")</f>
        <v>0</v>
      </c>
      <c r="W2">
        <f>BDH("NGL US Equity","WORKING_CAPITAL","1993-06-18","2026-05-02","Per=Y","Days=T","Dir=V")</f>
        <v>0</v>
      </c>
      <c r="Y2">
        <f>BDH("NGL US Equity","SALES_REV_TURN","1993-06-18","2026-05-02","Per=Y","Days=T","Dir=V")</f>
        <v>0</v>
      </c>
      <c r="AA2">
        <f>BDH("NGL US Equity","EBIT","1993-06-18","2026-05-02","Per=Y","Days=T","Dir=V")</f>
        <v>0</v>
      </c>
      <c r="AC2">
        <f>BDH("NGL US Equity","EBITDA","1993-06-18","2026-05-02","Per=Y","Days=T","Dir=V")</f>
        <v>0</v>
      </c>
      <c r="AE2">
        <f>BDH("NGL US Equity","NET_INCOME","1993-06-18","2026-05-02","Per=Y","Days=T","Dir=V")</f>
        <v>0</v>
      </c>
      <c r="AG2">
        <f>BDH("NGL US Equity","IS_INT_EXPENSE","1993-06-18","2026-05-02","Per=Y","Days=T","Dir=V")</f>
        <v>0</v>
      </c>
      <c r="AI2">
        <f>BDH("NGL US Equity","IS_DEPR_EXP","1993-06-18","2026-05-02","Per=Y","Days=T","Dir=V")</f>
        <v>0</v>
      </c>
      <c r="AK2">
        <f>BDH("NGL US Equity","CF_CASH_FROM_OPER","1993-06-18","2026-05-02","Per=Y","Days=T","Dir=V")</f>
        <v>0</v>
      </c>
      <c r="AM2">
        <f>BDH("NGL US Equity","CAPITAL_EXPEND","1993-06-18","2026-05-02","Per=Y","Days=T","Dir=V")</f>
        <v>0</v>
      </c>
      <c r="AO2">
        <f>BDH("NGL US Equity","CF_FREE_CASH_FLOW","1993-06-18","2026-05-02","Per=Y","Days=T","Dir=V")</f>
        <v>0</v>
      </c>
      <c r="AQ2">
        <f>BDH("NGL US Equity","PX_LAST","1993-06-18","2026-05-02","Per=M","Days=T","Dir=V")</f>
        <v>0</v>
      </c>
      <c r="AS2">
        <f>BDH("NGL US Equity","CUR_MKT_CAP","1993-06-18","2026-05-02","Per=M","Days=T","Dir=V")</f>
        <v>0</v>
      </c>
      <c r="AU2">
        <f>BDH("NGL US Equity","EQY_SH_OUT","1993-06-18","2026-05-02","Per=M","Days=T","Dir=V")</f>
        <v>0</v>
      </c>
      <c r="AW2">
        <f>BDH("NGL US Equity","PX_VOLUME","1993-06-18","2026-05-02","Per=M","Days=T","Dir=V")</f>
        <v>0</v>
      </c>
      <c r="AY2">
        <f>BDH("NGL US Equity","TURNOVER","1993-06-18","2026-05-02","Per=M","Days=T","Dir=V")</f>
        <v>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BDH("NGS US Equity","BS_TOT_ASSET","1993-06-18","2026-05-02","Per=Y","Days=T","Dir=V")</f>
        <v>0</v>
      </c>
      <c r="C2">
        <f>BDH("NGS US Equity","BS_TOT_LIAB2","1993-06-18","2026-05-02","Per=Y","Days=T","Dir=V")</f>
        <v>0</v>
      </c>
      <c r="E2">
        <f>BDH("NGS US Equity","SHORT_AND_LONG_TERM_DEBT","1993-06-18","2026-05-02","Per=Y","Days=T","Dir=V")</f>
        <v>0</v>
      </c>
      <c r="G2">
        <f>BDH("NGS US Equity","BS_ST_BORROW","1993-06-18","2026-05-02","Per=Y","Days=T","Dir=V")</f>
        <v>0</v>
      </c>
      <c r="I2">
        <f>BDH("NGS US Equity","BS_LT_BORROW","1993-06-18","2026-05-02","Per=Y","Days=T","Dir=V")</f>
        <v>0</v>
      </c>
      <c r="K2">
        <f>BDH("NGS US Equity","BS_CASH_NEAR_CASH_ITEM","1993-06-18","2026-05-02","Per=Y","Days=T","Dir=V")</f>
        <v>0</v>
      </c>
      <c r="M2">
        <f>BDH("NGS US Equity","BS_CUR_ASSET_REPORT","1993-06-18","2026-05-02","Per=Y","Days=T","Dir=V")</f>
        <v>0</v>
      </c>
      <c r="O2">
        <f>BDH("NGS US Equity","BS_CUR_LIAB","1993-06-18","2026-05-02","Per=Y","Days=T","Dir=V")</f>
        <v>0</v>
      </c>
      <c r="Q2">
        <f>BDH("NGS US Equity","BS_SHAREHOLDER_EQY_ENDING_PERIOD","1993-06-18","2026-05-02","Per=Y","Days=T","Dir=V")</f>
        <v>0</v>
      </c>
      <c r="S2">
        <f>BDH("NGS US Equity","BS_ACCT_NOTE_RCV","1993-06-18","2026-05-02","Per=Y","Days=T","Dir=V")</f>
        <v>0</v>
      </c>
      <c r="U2">
        <f>BDH("NGS US Equity","BS_INVENTORIES","1993-06-18","2026-05-02","Per=Y","Days=T","Dir=V")</f>
        <v>0</v>
      </c>
      <c r="W2">
        <f>BDH("NGS US Equity","WORKING_CAPITAL","1993-06-18","2026-05-02","Per=Y","Days=T","Dir=V")</f>
        <v>0</v>
      </c>
      <c r="Y2">
        <f>BDH("NGS US Equity","SALES_REV_TURN","1993-06-18","2026-05-02","Per=Y","Days=T","Dir=V")</f>
        <v>0</v>
      </c>
      <c r="AA2">
        <f>BDH("NGS US Equity","EBIT","1993-06-18","2026-05-02","Per=Y","Days=T","Dir=V")</f>
        <v>0</v>
      </c>
      <c r="AC2">
        <f>BDH("NGS US Equity","EBITDA","1993-06-18","2026-05-02","Per=Y","Days=T","Dir=V")</f>
        <v>0</v>
      </c>
      <c r="AE2">
        <f>BDH("NGS US Equity","NET_INCOME","1993-06-18","2026-05-02","Per=Y","Days=T","Dir=V")</f>
        <v>0</v>
      </c>
      <c r="AG2">
        <f>BDH("NGS US Equity","IS_INT_EXPENSE","1993-06-18","2026-05-02","Per=Y","Days=T","Dir=V")</f>
        <v>0</v>
      </c>
      <c r="AI2">
        <f>BDH("NGS US Equity","IS_DEPR_EXP","1993-06-18","2026-05-02","Per=Y","Days=T","Dir=V")</f>
        <v>0</v>
      </c>
      <c r="AK2">
        <f>BDH("NGS US Equity","CF_CASH_FROM_OPER","1993-06-18","2026-05-02","Per=Y","Days=T","Dir=V")</f>
        <v>0</v>
      </c>
      <c r="AM2">
        <f>BDH("NGS US Equity","CAPITAL_EXPEND","1993-06-18","2026-05-02","Per=Y","Days=T","Dir=V")</f>
        <v>0</v>
      </c>
      <c r="AO2">
        <f>BDH("NGS US Equity","CF_FREE_CASH_FLOW","1993-06-18","2026-05-02","Per=Y","Days=T","Dir=V")</f>
        <v>0</v>
      </c>
      <c r="AQ2">
        <f>BDH("NGS US Equity","PX_LAST","1993-06-18","2026-05-02","Per=M","Days=T","Dir=V")</f>
        <v>0</v>
      </c>
      <c r="AS2">
        <f>BDH("NGS US Equity","CUR_MKT_CAP","1993-06-18","2026-05-02","Per=M","Days=T","Dir=V")</f>
        <v>0</v>
      </c>
      <c r="AU2">
        <f>BDH("NGS US Equity","EQY_SH_OUT","1993-06-18","2026-05-02","Per=M","Days=T","Dir=V")</f>
        <v>0</v>
      </c>
      <c r="AW2">
        <f>BDH("NGS US Equity","PX_VOLUME","1993-06-18","2026-05-02","Per=M","Days=T","Dir=V")</f>
        <v>0</v>
      </c>
      <c r="AY2">
        <f>BDH("NGS US Equity","TURNOVER","1993-06-18","2026-05-02","Per=M","Days=T","Dir=V")</f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BDH("NGVC US Equity","BS_TOT_ASSET","1993-06-18","2026-05-02","Per=Y","Days=T","Dir=V")</f>
        <v>0</v>
      </c>
      <c r="C2">
        <f>BDH("NGVC US Equity","BS_TOT_LIAB2","1993-06-18","2026-05-02","Per=Y","Days=T","Dir=V")</f>
        <v>0</v>
      </c>
      <c r="E2">
        <f>BDH("NGVC US Equity","SHORT_AND_LONG_TERM_DEBT","1993-06-18","2026-05-02","Per=Y","Days=T","Dir=V")</f>
        <v>0</v>
      </c>
      <c r="G2">
        <f>BDH("NGVC US Equity","BS_ST_BORROW","1993-06-18","2026-05-02","Per=Y","Days=T","Dir=V")</f>
        <v>0</v>
      </c>
      <c r="I2">
        <f>BDH("NGVC US Equity","BS_LT_BORROW","1993-06-18","2026-05-02","Per=Y","Days=T","Dir=V")</f>
        <v>0</v>
      </c>
      <c r="K2">
        <f>BDH("NGVC US Equity","BS_CASH_NEAR_CASH_ITEM","1993-06-18","2026-05-02","Per=Y","Days=T","Dir=V")</f>
        <v>0</v>
      </c>
      <c r="M2">
        <f>BDH("NGVC US Equity","BS_CUR_ASSET_REPORT","1993-06-18","2026-05-02","Per=Y","Days=T","Dir=V")</f>
        <v>0</v>
      </c>
      <c r="O2">
        <f>BDH("NGVC US Equity","BS_CUR_LIAB","1993-06-18","2026-05-02","Per=Y","Days=T","Dir=V")</f>
        <v>0</v>
      </c>
      <c r="Q2">
        <f>BDH("NGVC US Equity","BS_SHAREHOLDER_EQY_ENDING_PERIOD","1993-06-18","2026-05-02","Per=Y","Days=T","Dir=V")</f>
        <v>0</v>
      </c>
      <c r="S2">
        <f>BDH("NGVC US Equity","BS_ACCT_NOTE_RCV","1993-06-18","2026-05-02","Per=Y","Days=T","Dir=V")</f>
        <v>0</v>
      </c>
      <c r="U2">
        <f>BDH("NGVC US Equity","BS_INVENTORIES","1993-06-18","2026-05-02","Per=Y","Days=T","Dir=V")</f>
        <v>0</v>
      </c>
      <c r="W2">
        <f>BDH("NGVC US Equity","WORKING_CAPITAL","1993-06-18","2026-05-02","Per=Y","Days=T","Dir=V")</f>
        <v>0</v>
      </c>
      <c r="Y2">
        <f>BDH("NGVC US Equity","SALES_REV_TURN","1993-06-18","2026-05-02","Per=Y","Days=T","Dir=V")</f>
        <v>0</v>
      </c>
      <c r="AA2">
        <f>BDH("NGVC US Equity","EBIT","1993-06-18","2026-05-02","Per=Y","Days=T","Dir=V")</f>
        <v>0</v>
      </c>
      <c r="AC2">
        <f>BDH("NGVC US Equity","EBITDA","1993-06-18","2026-05-02","Per=Y","Days=T","Dir=V")</f>
        <v>0</v>
      </c>
      <c r="AE2">
        <f>BDH("NGVC US Equity","NET_INCOME","1993-06-18","2026-05-02","Per=Y","Days=T","Dir=V")</f>
        <v>0</v>
      </c>
      <c r="AG2">
        <f>BDH("NGVC US Equity","IS_INT_EXPENSE","1993-06-18","2026-05-02","Per=Y","Days=T","Dir=V")</f>
        <v>0</v>
      </c>
      <c r="AI2">
        <f>BDH("NGVC US Equity","IS_DEPR_EXP","1993-06-18","2026-05-02","Per=Y","Days=T","Dir=V")</f>
        <v>0</v>
      </c>
      <c r="AK2">
        <f>BDH("NGVC US Equity","CF_CASH_FROM_OPER","1993-06-18","2026-05-02","Per=Y","Days=T","Dir=V")</f>
        <v>0</v>
      </c>
      <c r="AM2">
        <f>BDH("NGVC US Equity","CAPITAL_EXPEND","1993-06-18","2026-05-02","Per=Y","Days=T","Dir=V")</f>
        <v>0</v>
      </c>
      <c r="AO2">
        <f>BDH("NGVC US Equity","CF_FREE_CASH_FLOW","1993-06-18","2026-05-02","Per=Y","Days=T","Dir=V")</f>
        <v>0</v>
      </c>
      <c r="AQ2">
        <f>BDH("NGVC US Equity","PX_LAST","1993-06-18","2026-05-02","Per=M","Days=T","Dir=V")</f>
        <v>0</v>
      </c>
      <c r="AS2">
        <f>BDH("NGVC US Equity","CUR_MKT_CAP","1993-06-18","2026-05-02","Per=M","Days=T","Dir=V")</f>
        <v>0</v>
      </c>
      <c r="AU2">
        <f>BDH("NGVC US Equity","EQY_SH_OUT","1993-06-18","2026-05-02","Per=M","Days=T","Dir=V")</f>
        <v>0</v>
      </c>
      <c r="AW2">
        <f>BDH("NGVC US Equity","PX_VOLUME","1993-06-18","2026-05-02","Per=M","Days=T","Dir=V")</f>
        <v>0</v>
      </c>
      <c r="AY2">
        <f>BDH("NGVC US Equity","TURNOVER","1993-06-18","2026-05-02","Per=M","Days=T","Dir=V")</f>
        <v>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BDH("NGVT US Equity","BS_TOT_ASSET","1993-06-18","2026-05-02","Per=Y","Days=T","Dir=V")</f>
        <v>0</v>
      </c>
      <c r="C2">
        <f>BDH("NGVT US Equity","BS_TOT_LIAB2","1993-06-18","2026-05-02","Per=Y","Days=T","Dir=V")</f>
        <v>0</v>
      </c>
      <c r="E2">
        <f>BDH("NGVT US Equity","SHORT_AND_LONG_TERM_DEBT","1993-06-18","2026-05-02","Per=Y","Days=T","Dir=V")</f>
        <v>0</v>
      </c>
      <c r="G2">
        <f>BDH("NGVT US Equity","BS_ST_BORROW","1993-06-18","2026-05-02","Per=Y","Days=T","Dir=V")</f>
        <v>0</v>
      </c>
      <c r="I2">
        <f>BDH("NGVT US Equity","BS_LT_BORROW","1993-06-18","2026-05-02","Per=Y","Days=T","Dir=V")</f>
        <v>0</v>
      </c>
      <c r="K2">
        <f>BDH("NGVT US Equity","BS_CASH_NEAR_CASH_ITEM","1993-06-18","2026-05-02","Per=Y","Days=T","Dir=V")</f>
        <v>0</v>
      </c>
      <c r="M2">
        <f>BDH("NGVT US Equity","BS_CUR_ASSET_REPORT","1993-06-18","2026-05-02","Per=Y","Days=T","Dir=V")</f>
        <v>0</v>
      </c>
      <c r="O2">
        <f>BDH("NGVT US Equity","BS_CUR_LIAB","1993-06-18","2026-05-02","Per=Y","Days=T","Dir=V")</f>
        <v>0</v>
      </c>
      <c r="Q2">
        <f>BDH("NGVT US Equity","BS_SHAREHOLDER_EQY_ENDING_PERIOD","1993-06-18","2026-05-02","Per=Y","Days=T","Dir=V")</f>
        <v>0</v>
      </c>
      <c r="S2">
        <f>BDH("NGVT US Equity","BS_ACCT_NOTE_RCV","1993-06-18","2026-05-02","Per=Y","Days=T","Dir=V")</f>
        <v>0</v>
      </c>
      <c r="U2">
        <f>BDH("NGVT US Equity","BS_INVENTORIES","1993-06-18","2026-05-02","Per=Y","Days=T","Dir=V")</f>
        <v>0</v>
      </c>
      <c r="W2">
        <f>BDH("NGVT US Equity","WORKING_CAPITAL","1993-06-18","2026-05-02","Per=Y","Days=T","Dir=V")</f>
        <v>0</v>
      </c>
      <c r="Y2">
        <f>BDH("NGVT US Equity","SALES_REV_TURN","1993-06-18","2026-05-02","Per=Y","Days=T","Dir=V")</f>
        <v>0</v>
      </c>
      <c r="AA2">
        <f>BDH("NGVT US Equity","EBIT","1993-06-18","2026-05-02","Per=Y","Days=T","Dir=V")</f>
        <v>0</v>
      </c>
      <c r="AC2">
        <f>BDH("NGVT US Equity","EBITDA","1993-06-18","2026-05-02","Per=Y","Days=T","Dir=V")</f>
        <v>0</v>
      </c>
      <c r="AE2">
        <f>BDH("NGVT US Equity","NET_INCOME","1993-06-18","2026-05-02","Per=Y","Days=T","Dir=V")</f>
        <v>0</v>
      </c>
      <c r="AG2">
        <f>BDH("NGVT US Equity","IS_INT_EXPENSE","1993-06-18","2026-05-02","Per=Y","Days=T","Dir=V")</f>
        <v>0</v>
      </c>
      <c r="AI2">
        <f>BDH("NGVT US Equity","IS_DEPR_EXP","1993-06-18","2026-05-02","Per=Y","Days=T","Dir=V")</f>
        <v>0</v>
      </c>
      <c r="AK2">
        <f>BDH("NGVT US Equity","CF_CASH_FROM_OPER","1993-06-18","2026-05-02","Per=Y","Days=T","Dir=V")</f>
        <v>0</v>
      </c>
      <c r="AM2">
        <f>BDH("NGVT US Equity","CAPITAL_EXPEND","1993-06-18","2026-05-02","Per=Y","Days=T","Dir=V")</f>
        <v>0</v>
      </c>
      <c r="AO2">
        <f>BDH("NGVT US Equity","CF_FREE_CASH_FLOW","1993-06-18","2026-05-02","Per=Y","Days=T","Dir=V")</f>
        <v>0</v>
      </c>
      <c r="AQ2">
        <f>BDH("NGVT US Equity","PX_LAST","1993-06-18","2026-05-02","Per=M","Days=T","Dir=V")</f>
        <v>0</v>
      </c>
      <c r="AS2">
        <f>BDH("NGVT US Equity","CUR_MKT_CAP","1993-06-18","2026-05-02","Per=M","Days=T","Dir=V")</f>
        <v>0</v>
      </c>
      <c r="AU2">
        <f>BDH("NGVT US Equity","EQY_SH_OUT","1993-06-18","2026-05-02","Per=M","Days=T","Dir=V")</f>
        <v>0</v>
      </c>
      <c r="AW2">
        <f>BDH("NGVT US Equity","PX_VOLUME","1993-06-18","2026-05-02","Per=M","Days=T","Dir=V")</f>
        <v>0</v>
      </c>
      <c r="AY2">
        <f>BDH("NGVT US Equity","TURNOVER","1993-06-18","2026-05-02","Per=M","Days=T","Dir=V")</f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BDH("NHC US Equity","BS_TOT_ASSET","1993-06-18","2026-05-02","Per=Y","Days=T","Dir=V")</f>
        <v>0</v>
      </c>
      <c r="C2">
        <f>BDH("NHC US Equity","BS_TOT_LIAB2","1993-06-18","2026-05-02","Per=Y","Days=T","Dir=V")</f>
        <v>0</v>
      </c>
      <c r="E2">
        <f>BDH("NHC US Equity","SHORT_AND_LONG_TERM_DEBT","1993-06-18","2026-05-02","Per=Y","Days=T","Dir=V")</f>
        <v>0</v>
      </c>
      <c r="G2">
        <f>BDH("NHC US Equity","BS_ST_BORROW","1993-06-18","2026-05-02","Per=Y","Days=T","Dir=V")</f>
        <v>0</v>
      </c>
      <c r="I2">
        <f>BDH("NHC US Equity","BS_LT_BORROW","1993-06-18","2026-05-02","Per=Y","Days=T","Dir=V")</f>
        <v>0</v>
      </c>
      <c r="K2">
        <f>BDH("NHC US Equity","BS_CASH_NEAR_CASH_ITEM","1993-06-18","2026-05-02","Per=Y","Days=T","Dir=V")</f>
        <v>0</v>
      </c>
      <c r="M2">
        <f>BDH("NHC US Equity","BS_CUR_ASSET_REPORT","1993-06-18","2026-05-02","Per=Y","Days=T","Dir=V")</f>
        <v>0</v>
      </c>
      <c r="O2">
        <f>BDH("NHC US Equity","BS_CUR_LIAB","1993-06-18","2026-05-02","Per=Y","Days=T","Dir=V")</f>
        <v>0</v>
      </c>
      <c r="Q2">
        <f>BDH("NHC US Equity","BS_SHAREHOLDER_EQY_ENDING_PERIOD","1993-06-18","2026-05-02","Per=Y","Days=T","Dir=V")</f>
        <v>0</v>
      </c>
      <c r="S2">
        <f>BDH("NHC US Equity","BS_ACCT_NOTE_RCV","1993-06-18","2026-05-02","Per=Y","Days=T","Dir=V")</f>
        <v>0</v>
      </c>
      <c r="U2">
        <f>BDH("NHC US Equity","BS_INVENTORIES","1993-06-18","2026-05-02","Per=Y","Days=T","Dir=V")</f>
        <v>0</v>
      </c>
      <c r="W2">
        <f>BDH("NHC US Equity","WORKING_CAPITAL","1993-06-18","2026-05-02","Per=Y","Days=T","Dir=V")</f>
        <v>0</v>
      </c>
      <c r="Y2">
        <f>BDH("NHC US Equity","SALES_REV_TURN","1993-06-18","2026-05-02","Per=Y","Days=T","Dir=V")</f>
        <v>0</v>
      </c>
      <c r="AA2">
        <f>BDH("NHC US Equity","EBIT","1993-06-18","2026-05-02","Per=Y","Days=T","Dir=V")</f>
        <v>0</v>
      </c>
      <c r="AC2">
        <f>BDH("NHC US Equity","EBITDA","1993-06-18","2026-05-02","Per=Y","Days=T","Dir=V")</f>
        <v>0</v>
      </c>
      <c r="AE2">
        <f>BDH("NHC US Equity","NET_INCOME","1993-06-18","2026-05-02","Per=Y","Days=T","Dir=V")</f>
        <v>0</v>
      </c>
      <c r="AG2">
        <f>BDH("NHC US Equity","IS_INT_EXPENSE","1993-06-18","2026-05-02","Per=Y","Days=T","Dir=V")</f>
        <v>0</v>
      </c>
      <c r="AI2">
        <f>BDH("NHC US Equity","IS_DEPR_EXP","1993-06-18","2026-05-02","Per=Y","Days=T","Dir=V")</f>
        <v>0</v>
      </c>
      <c r="AK2">
        <f>BDH("NHC US Equity","CF_CASH_FROM_OPER","1993-06-18","2026-05-02","Per=Y","Days=T","Dir=V")</f>
        <v>0</v>
      </c>
      <c r="AM2">
        <f>BDH("NHC US Equity","CAPITAL_EXPEND","1993-06-18","2026-05-02","Per=Y","Days=T","Dir=V")</f>
        <v>0</v>
      </c>
      <c r="AO2">
        <f>BDH("NHC US Equity","CF_FREE_CASH_FLOW","1993-06-18","2026-05-02","Per=Y","Days=T","Dir=V")</f>
        <v>0</v>
      </c>
      <c r="AQ2">
        <f>BDH("NHC US Equity","PX_LAST","1993-06-18","2026-05-02","Per=M","Days=T","Dir=V")</f>
        <v>0</v>
      </c>
      <c r="AS2">
        <f>BDH("NHC US Equity","CUR_MKT_CAP","1993-06-18","2026-05-02","Per=M","Days=T","Dir=V")</f>
        <v>0</v>
      </c>
      <c r="AU2">
        <f>BDH("NHC US Equity","EQY_SH_OUT","1993-06-18","2026-05-02","Per=M","Days=T","Dir=V")</f>
        <v>0</v>
      </c>
      <c r="AW2">
        <f>BDH("NHC US Equity","PX_VOLUME","1993-06-18","2026-05-02","Per=M","Days=T","Dir=V")</f>
        <v>0</v>
      </c>
      <c r="AY2">
        <f>BDH("NHC US Equity","TURNOVER","1993-06-18","2026-05-02","Per=M","Days=T","Dir=V")</f>
        <v>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BDH("NHTC US Equity","BS_TOT_ASSET","1993-06-18","2026-05-02","Per=Y","Days=T","Dir=V")</f>
        <v>0</v>
      </c>
      <c r="C2">
        <f>BDH("NHTC US Equity","BS_TOT_LIAB2","1993-06-18","2026-05-02","Per=Y","Days=T","Dir=V")</f>
        <v>0</v>
      </c>
      <c r="E2">
        <f>BDH("NHTC US Equity","SHORT_AND_LONG_TERM_DEBT","1993-06-18","2026-05-02","Per=Y","Days=T","Dir=V")</f>
        <v>0</v>
      </c>
      <c r="G2">
        <f>BDH("NHTC US Equity","BS_ST_BORROW","1993-06-18","2026-05-02","Per=Y","Days=T","Dir=V")</f>
        <v>0</v>
      </c>
      <c r="I2">
        <f>BDH("NHTC US Equity","BS_LT_BORROW","1993-06-18","2026-05-02","Per=Y","Days=T","Dir=V")</f>
        <v>0</v>
      </c>
      <c r="K2">
        <f>BDH("NHTC US Equity","BS_CASH_NEAR_CASH_ITEM","1993-06-18","2026-05-02","Per=Y","Days=T","Dir=V")</f>
        <v>0</v>
      </c>
      <c r="M2">
        <f>BDH("NHTC US Equity","BS_CUR_ASSET_REPORT","1993-06-18","2026-05-02","Per=Y","Days=T","Dir=V")</f>
        <v>0</v>
      </c>
      <c r="O2">
        <f>BDH("NHTC US Equity","BS_CUR_LIAB","1993-06-18","2026-05-02","Per=Y","Days=T","Dir=V")</f>
        <v>0</v>
      </c>
      <c r="Q2">
        <f>BDH("NHTC US Equity","BS_SHAREHOLDER_EQY_ENDING_PERIOD","1993-06-18","2026-05-02","Per=Y","Days=T","Dir=V")</f>
        <v>0</v>
      </c>
      <c r="S2">
        <f>BDH("NHTC US Equity","BS_ACCT_NOTE_RCV","1993-06-18","2026-05-02","Per=Y","Days=T","Dir=V")</f>
        <v>0</v>
      </c>
      <c r="U2">
        <f>BDH("NHTC US Equity","BS_INVENTORIES","1993-06-18","2026-05-02","Per=Y","Days=T","Dir=V")</f>
        <v>0</v>
      </c>
      <c r="W2">
        <f>BDH("NHTC US Equity","WORKING_CAPITAL","1993-06-18","2026-05-02","Per=Y","Days=T","Dir=V")</f>
        <v>0</v>
      </c>
      <c r="Y2">
        <f>BDH("NHTC US Equity","SALES_REV_TURN","1993-06-18","2026-05-02","Per=Y","Days=T","Dir=V")</f>
        <v>0</v>
      </c>
      <c r="AA2">
        <f>BDH("NHTC US Equity","EBIT","1993-06-18","2026-05-02","Per=Y","Days=T","Dir=V")</f>
        <v>0</v>
      </c>
      <c r="AC2">
        <f>BDH("NHTC US Equity","EBITDA","1993-06-18","2026-05-02","Per=Y","Days=T","Dir=V")</f>
        <v>0</v>
      </c>
      <c r="AE2">
        <f>BDH("NHTC US Equity","NET_INCOME","1993-06-18","2026-05-02","Per=Y","Days=T","Dir=V")</f>
        <v>0</v>
      </c>
      <c r="AG2">
        <f>BDH("NHTC US Equity","IS_INT_EXPENSE","1993-06-18","2026-05-02","Per=Y","Days=T","Dir=V")</f>
        <v>0</v>
      </c>
      <c r="AI2">
        <f>BDH("NHTC US Equity","IS_DEPR_EXP","1993-06-18","2026-05-02","Per=Y","Days=T","Dir=V")</f>
        <v>0</v>
      </c>
      <c r="AK2">
        <f>BDH("NHTC US Equity","CF_CASH_FROM_OPER","1993-06-18","2026-05-02","Per=Y","Days=T","Dir=V")</f>
        <v>0</v>
      </c>
      <c r="AM2">
        <f>BDH("NHTC US Equity","CAPITAL_EXPEND","1993-06-18","2026-05-02","Per=Y","Days=T","Dir=V")</f>
        <v>0</v>
      </c>
      <c r="AO2">
        <f>BDH("NHTC US Equity","CF_FREE_CASH_FLOW","1993-06-18","2026-05-02","Per=Y","Days=T","Dir=V")</f>
        <v>0</v>
      </c>
      <c r="AQ2">
        <f>BDH("NHTC US Equity","PX_LAST","1993-06-18","2026-05-02","Per=M","Days=T","Dir=V")</f>
        <v>0</v>
      </c>
      <c r="AS2">
        <f>BDH("NHTC US Equity","CUR_MKT_CAP","1993-06-18","2026-05-02","Per=M","Days=T","Dir=V")</f>
        <v>0</v>
      </c>
      <c r="AU2">
        <f>BDH("NHTC US Equity","EQY_SH_OUT","1993-06-18","2026-05-02","Per=M","Days=T","Dir=V")</f>
        <v>0</v>
      </c>
      <c r="AW2">
        <f>BDH("NHTC US Equity","PX_VOLUME","1993-06-18","2026-05-02","Per=M","Days=T","Dir=V")</f>
        <v>0</v>
      </c>
      <c r="AY2">
        <f>BDH("NHTC US Equity","TURNOVER","1993-06-18","2026-05-02","Per=M","Days=T","Dir=V")</f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BDH("NI US Equity","BS_TOT_ASSET","1993-06-18","2026-05-02","Per=Y","Days=T","Dir=V")</f>
        <v>0</v>
      </c>
      <c r="C2">
        <f>BDH("NI US Equity","BS_TOT_LIAB2","1993-06-18","2026-05-02","Per=Y","Days=T","Dir=V")</f>
        <v>0</v>
      </c>
      <c r="E2">
        <f>BDH("NI US Equity","SHORT_AND_LONG_TERM_DEBT","1993-06-18","2026-05-02","Per=Y","Days=T","Dir=V")</f>
        <v>0</v>
      </c>
      <c r="G2">
        <f>BDH("NI US Equity","BS_ST_BORROW","1993-06-18","2026-05-02","Per=Y","Days=T","Dir=V")</f>
        <v>0</v>
      </c>
      <c r="I2">
        <f>BDH("NI US Equity","BS_LT_BORROW","1993-06-18","2026-05-02","Per=Y","Days=T","Dir=V")</f>
        <v>0</v>
      </c>
      <c r="K2">
        <f>BDH("NI US Equity","BS_CASH_NEAR_CASH_ITEM","1993-06-18","2026-05-02","Per=Y","Days=T","Dir=V")</f>
        <v>0</v>
      </c>
      <c r="M2">
        <f>BDH("NI US Equity","BS_CUR_ASSET_REPORT","1993-06-18","2026-05-02","Per=Y","Days=T","Dir=V")</f>
        <v>0</v>
      </c>
      <c r="O2">
        <f>BDH("NI US Equity","BS_CUR_LIAB","1993-06-18","2026-05-02","Per=Y","Days=T","Dir=V")</f>
        <v>0</v>
      </c>
      <c r="Q2">
        <f>BDH("NI US Equity","BS_SHAREHOLDER_EQY_ENDING_PERIOD","1993-06-18","2026-05-02","Per=Y","Days=T","Dir=V")</f>
        <v>0</v>
      </c>
      <c r="S2">
        <f>BDH("NI US Equity","BS_ACCT_NOTE_RCV","1993-06-18","2026-05-02","Per=Y","Days=T","Dir=V")</f>
        <v>0</v>
      </c>
      <c r="U2">
        <f>BDH("NI US Equity","BS_INVENTORIES","1993-06-18","2026-05-02","Per=Y","Days=T","Dir=V")</f>
        <v>0</v>
      </c>
      <c r="W2">
        <f>BDH("NI US Equity","WORKING_CAPITAL","1993-06-18","2026-05-02","Per=Y","Days=T","Dir=V")</f>
        <v>0</v>
      </c>
      <c r="Y2">
        <f>BDH("NI US Equity","SALES_REV_TURN","1993-06-18","2026-05-02","Per=Y","Days=T","Dir=V")</f>
        <v>0</v>
      </c>
      <c r="AA2">
        <f>BDH("NI US Equity","EBIT","1993-06-18","2026-05-02","Per=Y","Days=T","Dir=V")</f>
        <v>0</v>
      </c>
      <c r="AC2">
        <f>BDH("NI US Equity","EBITDA","1993-06-18","2026-05-02","Per=Y","Days=T","Dir=V")</f>
        <v>0</v>
      </c>
      <c r="AE2">
        <f>BDH("NI US Equity","NET_INCOME","1993-06-18","2026-05-02","Per=Y","Days=T","Dir=V")</f>
        <v>0</v>
      </c>
      <c r="AG2">
        <f>BDH("NI US Equity","IS_INT_EXPENSE","1993-06-18","2026-05-02","Per=Y","Days=T","Dir=V")</f>
        <v>0</v>
      </c>
      <c r="AI2">
        <f>BDH("NI US Equity","IS_DEPR_EXP","1993-06-18","2026-05-02","Per=Y","Days=T","Dir=V")</f>
        <v>0</v>
      </c>
      <c r="AK2">
        <f>BDH("NI US Equity","CF_CASH_FROM_OPER","1993-06-18","2026-05-02","Per=Y","Days=T","Dir=V")</f>
        <v>0</v>
      </c>
      <c r="AM2">
        <f>BDH("NI US Equity","CAPITAL_EXPEND","1993-06-18","2026-05-02","Per=Y","Days=T","Dir=V")</f>
        <v>0</v>
      </c>
      <c r="AO2">
        <f>BDH("NI US Equity","CF_FREE_CASH_FLOW","1993-06-18","2026-05-02","Per=Y","Days=T","Dir=V")</f>
        <v>0</v>
      </c>
      <c r="AQ2">
        <f>BDH("NI US Equity","PX_LAST","1993-06-18","2026-05-02","Per=M","Days=T","Dir=V")</f>
        <v>0</v>
      </c>
      <c r="AS2">
        <f>BDH("NI US Equity","CUR_MKT_CAP","1993-06-18","2026-05-02","Per=M","Days=T","Dir=V")</f>
        <v>0</v>
      </c>
      <c r="AU2">
        <f>BDH("NI US Equity","EQY_SH_OUT","1993-06-18","2026-05-02","Per=M","Days=T","Dir=V")</f>
        <v>0</v>
      </c>
      <c r="AW2">
        <f>BDH("NI US Equity","PX_VOLUME","1993-06-18","2026-05-02","Per=M","Days=T","Dir=V")</f>
        <v>0</v>
      </c>
      <c r="AY2">
        <f>BDH("NI US Equity","TURNOVER","1993-06-18","2026-05-02","Per=M","Days=T","Dir=V")</f>
        <v>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BDH("NIO US Equity","BS_TOT_ASSET","1993-06-18","2026-05-02","Per=Y","Days=T","Dir=V")</f>
        <v>0</v>
      </c>
      <c r="C2">
        <f>BDH("NIO US Equity","BS_TOT_LIAB2","1993-06-18","2026-05-02","Per=Y","Days=T","Dir=V")</f>
        <v>0</v>
      </c>
      <c r="E2">
        <f>BDH("NIO US Equity","SHORT_AND_LONG_TERM_DEBT","1993-06-18","2026-05-02","Per=Y","Days=T","Dir=V")</f>
        <v>0</v>
      </c>
      <c r="G2">
        <f>BDH("NIO US Equity","BS_ST_BORROW","1993-06-18","2026-05-02","Per=Y","Days=T","Dir=V")</f>
        <v>0</v>
      </c>
      <c r="I2">
        <f>BDH("NIO US Equity","BS_LT_BORROW","1993-06-18","2026-05-02","Per=Y","Days=T","Dir=V")</f>
        <v>0</v>
      </c>
      <c r="K2">
        <f>BDH("NIO US Equity","BS_CASH_NEAR_CASH_ITEM","1993-06-18","2026-05-02","Per=Y","Days=T","Dir=V")</f>
        <v>0</v>
      </c>
      <c r="M2">
        <f>BDH("NIO US Equity","BS_CUR_ASSET_REPORT","1993-06-18","2026-05-02","Per=Y","Days=T","Dir=V")</f>
        <v>0</v>
      </c>
      <c r="O2">
        <f>BDH("NIO US Equity","BS_CUR_LIAB","1993-06-18","2026-05-02","Per=Y","Days=T","Dir=V")</f>
        <v>0</v>
      </c>
      <c r="Q2">
        <f>BDH("NIO US Equity","BS_SHAREHOLDER_EQY_ENDING_PERIOD","1993-06-18","2026-05-02","Per=Y","Days=T","Dir=V")</f>
        <v>0</v>
      </c>
      <c r="S2">
        <f>BDH("NIO US Equity","BS_ACCT_NOTE_RCV","1993-06-18","2026-05-02","Per=Y","Days=T","Dir=V")</f>
        <v>0</v>
      </c>
      <c r="U2">
        <f>BDH("NIO US Equity","BS_INVENTORIES","1993-06-18","2026-05-02","Per=Y","Days=T","Dir=V")</f>
        <v>0</v>
      </c>
      <c r="W2">
        <f>BDH("NIO US Equity","WORKING_CAPITAL","1993-06-18","2026-05-02","Per=Y","Days=T","Dir=V")</f>
        <v>0</v>
      </c>
      <c r="Y2">
        <f>BDH("NIO US Equity","SALES_REV_TURN","1993-06-18","2026-05-02","Per=Y","Days=T","Dir=V")</f>
        <v>0</v>
      </c>
      <c r="AA2">
        <f>BDH("NIO US Equity","EBIT","1993-06-18","2026-05-02","Per=Y","Days=T","Dir=V")</f>
        <v>0</v>
      </c>
      <c r="AC2">
        <f>BDH("NIO US Equity","EBITDA","1993-06-18","2026-05-02","Per=Y","Days=T","Dir=V")</f>
        <v>0</v>
      </c>
      <c r="AE2">
        <f>BDH("NIO US Equity","NET_INCOME","1993-06-18","2026-05-02","Per=Y","Days=T","Dir=V")</f>
        <v>0</v>
      </c>
      <c r="AG2">
        <f>BDH("NIO US Equity","IS_INT_EXPENSE","1993-06-18","2026-05-02","Per=Y","Days=T","Dir=V")</f>
        <v>0</v>
      </c>
      <c r="AI2">
        <f>BDH("NIO US Equity","IS_DEPR_EXP","1993-06-18","2026-05-02","Per=Y","Days=T","Dir=V")</f>
        <v>0</v>
      </c>
      <c r="AK2">
        <f>BDH("NIO US Equity","CF_CASH_FROM_OPER","1993-06-18","2026-05-02","Per=Y","Days=T","Dir=V")</f>
        <v>0</v>
      </c>
      <c r="AM2">
        <f>BDH("NIO US Equity","CAPITAL_EXPEND","1993-06-18","2026-05-02","Per=Y","Days=T","Dir=V")</f>
        <v>0</v>
      </c>
      <c r="AO2">
        <f>BDH("NIO US Equity","CF_FREE_CASH_FLOW","1993-06-18","2026-05-02","Per=Y","Days=T","Dir=V")</f>
        <v>0</v>
      </c>
      <c r="AQ2">
        <f>BDH("NIO US Equity","PX_LAST","1993-06-18","2026-05-02","Per=M","Days=T","Dir=V")</f>
        <v>0</v>
      </c>
      <c r="AS2">
        <f>BDH("NIO US Equity","CUR_MKT_CAP","1993-06-18","2026-05-02","Per=M","Days=T","Dir=V")</f>
        <v>0</v>
      </c>
      <c r="AU2">
        <f>BDH("NIO US Equity","EQY_SH_OUT","1993-06-18","2026-05-02","Per=M","Days=T","Dir=V")</f>
        <v>0</v>
      </c>
      <c r="AW2">
        <f>BDH("NIO US Equity","PX_VOLUME","1993-06-18","2026-05-02","Per=M","Days=T","Dir=V")</f>
        <v>0</v>
      </c>
      <c r="AY2">
        <f>BDH("NIO US Equity","TURNOVER","1993-06-18","2026-05-02","Per=M","Days=T","Dir=V")</f>
        <v>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BDH("NIOBW US Equity","BS_TOT_ASSET","1993-06-18","2026-05-02","Per=Y","Days=T","Dir=V")</f>
        <v>0</v>
      </c>
      <c r="C2">
        <f>BDH("NIOBW US Equity","BS_TOT_LIAB2","1993-06-18","2026-05-02","Per=Y","Days=T","Dir=V")</f>
        <v>0</v>
      </c>
      <c r="E2">
        <f>BDH("NIOBW US Equity","SHORT_AND_LONG_TERM_DEBT","1993-06-18","2026-05-02","Per=Y","Days=T","Dir=V")</f>
        <v>0</v>
      </c>
      <c r="G2">
        <f>BDH("NIOBW US Equity","BS_ST_BORROW","1993-06-18","2026-05-02","Per=Y","Days=T","Dir=V")</f>
        <v>0</v>
      </c>
      <c r="I2">
        <f>BDH("NIOBW US Equity","BS_LT_BORROW","1993-06-18","2026-05-02","Per=Y","Days=T","Dir=V")</f>
        <v>0</v>
      </c>
      <c r="K2">
        <f>BDH("NIOBW US Equity","BS_CASH_NEAR_CASH_ITEM","1993-06-18","2026-05-02","Per=Y","Days=T","Dir=V")</f>
        <v>0</v>
      </c>
      <c r="M2">
        <f>BDH("NIOBW US Equity","BS_CUR_ASSET_REPORT","1993-06-18","2026-05-02","Per=Y","Days=T","Dir=V")</f>
        <v>0</v>
      </c>
      <c r="O2">
        <f>BDH("NIOBW US Equity","BS_CUR_LIAB","1993-06-18","2026-05-02","Per=Y","Days=T","Dir=V")</f>
        <v>0</v>
      </c>
      <c r="Q2">
        <f>BDH("NIOBW US Equity","BS_SHAREHOLDER_EQY_ENDING_PERIOD","1993-06-18","2026-05-02","Per=Y","Days=T","Dir=V")</f>
        <v>0</v>
      </c>
      <c r="S2">
        <f>BDH("NIOBW US Equity","BS_ACCT_NOTE_RCV","1993-06-18","2026-05-02","Per=Y","Days=T","Dir=V")</f>
        <v>0</v>
      </c>
      <c r="U2">
        <f>BDH("NIOBW US Equity","BS_INVENTORIES","1993-06-18","2026-05-02","Per=Y","Days=T","Dir=V")</f>
        <v>0</v>
      </c>
      <c r="W2">
        <f>BDH("NIOBW US Equity","WORKING_CAPITAL","1993-06-18","2026-05-02","Per=Y","Days=T","Dir=V")</f>
        <v>0</v>
      </c>
      <c r="Y2">
        <f>BDH("NIOBW US Equity","SALES_REV_TURN","1993-06-18","2026-05-02","Per=Y","Days=T","Dir=V")</f>
        <v>0</v>
      </c>
      <c r="AA2">
        <f>BDH("NIOBW US Equity","EBIT","1993-06-18","2026-05-02","Per=Y","Days=T","Dir=V")</f>
        <v>0</v>
      </c>
      <c r="AC2">
        <f>BDH("NIOBW US Equity","EBITDA","1993-06-18","2026-05-02","Per=Y","Days=T","Dir=V")</f>
        <v>0</v>
      </c>
      <c r="AE2">
        <f>BDH("NIOBW US Equity","NET_INCOME","1993-06-18","2026-05-02","Per=Y","Days=T","Dir=V")</f>
        <v>0</v>
      </c>
      <c r="AG2">
        <f>BDH("NIOBW US Equity","IS_INT_EXPENSE","1993-06-18","2026-05-02","Per=Y","Days=T","Dir=V")</f>
        <v>0</v>
      </c>
      <c r="AI2">
        <f>BDH("NIOBW US Equity","IS_DEPR_EXP","1993-06-18","2026-05-02","Per=Y","Days=T","Dir=V")</f>
        <v>0</v>
      </c>
      <c r="AK2">
        <f>BDH("NIOBW US Equity","CF_CASH_FROM_OPER","1993-06-18","2026-05-02","Per=Y","Days=T","Dir=V")</f>
        <v>0</v>
      </c>
      <c r="AM2">
        <f>BDH("NIOBW US Equity","CAPITAL_EXPEND","1993-06-18","2026-05-02","Per=Y","Days=T","Dir=V")</f>
        <v>0</v>
      </c>
      <c r="AO2">
        <f>BDH("NIOBW US Equity","CF_FREE_CASH_FLOW","1993-06-18","2026-05-02","Per=Y","Days=T","Dir=V")</f>
        <v>0</v>
      </c>
      <c r="AQ2">
        <f>BDH("NIOBW US Equity","PX_LAST","1993-06-18","2026-05-02","Per=M","Days=T","Dir=V")</f>
        <v>0</v>
      </c>
      <c r="AS2">
        <f>BDH("NIOBW US Equity","CUR_MKT_CAP","1993-06-18","2026-05-02","Per=M","Days=T","Dir=V")</f>
        <v>0</v>
      </c>
      <c r="AU2">
        <f>BDH("NIOBW US Equity","EQY_SH_OUT","1993-06-18","2026-05-02","Per=M","Days=T","Dir=V")</f>
        <v>0</v>
      </c>
      <c r="AW2">
        <f>BDH("NIOBW US Equity","PX_VOLUME","1993-06-18","2026-05-02","Per=M","Days=T","Dir=V")</f>
        <v>0</v>
      </c>
      <c r="AY2">
        <f>BDH("NIOBW US Equity","TURNOVER","1993-06-18","2026-05-02","Per=M","Days=T","Dir=V")</f>
        <v>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BDH("NIQ US Equity","BS_TOT_ASSET","1993-06-18","2026-05-02","Per=Y","Days=T","Dir=V")</f>
        <v>0</v>
      </c>
      <c r="C2">
        <f>BDH("NIQ US Equity","BS_TOT_LIAB2","1993-06-18","2026-05-02","Per=Y","Days=T","Dir=V")</f>
        <v>0</v>
      </c>
      <c r="E2">
        <f>BDH("NIQ US Equity","SHORT_AND_LONG_TERM_DEBT","1993-06-18","2026-05-02","Per=Y","Days=T","Dir=V")</f>
        <v>0</v>
      </c>
      <c r="G2">
        <f>BDH("NIQ US Equity","BS_ST_BORROW","1993-06-18","2026-05-02","Per=Y","Days=T","Dir=V")</f>
        <v>0</v>
      </c>
      <c r="I2">
        <f>BDH("NIQ US Equity","BS_LT_BORROW","1993-06-18","2026-05-02","Per=Y","Days=T","Dir=V")</f>
        <v>0</v>
      </c>
      <c r="K2">
        <f>BDH("NIQ US Equity","BS_CASH_NEAR_CASH_ITEM","1993-06-18","2026-05-02","Per=Y","Days=T","Dir=V")</f>
        <v>0</v>
      </c>
      <c r="M2">
        <f>BDH("NIQ US Equity","BS_CUR_ASSET_REPORT","1993-06-18","2026-05-02","Per=Y","Days=T","Dir=V")</f>
        <v>0</v>
      </c>
      <c r="O2">
        <f>BDH("NIQ US Equity","BS_CUR_LIAB","1993-06-18","2026-05-02","Per=Y","Days=T","Dir=V")</f>
        <v>0</v>
      </c>
      <c r="Q2">
        <f>BDH("NIQ US Equity","BS_SHAREHOLDER_EQY_ENDING_PERIOD","1993-06-18","2026-05-02","Per=Y","Days=T","Dir=V")</f>
        <v>0</v>
      </c>
      <c r="S2">
        <f>BDH("NIQ US Equity","BS_ACCT_NOTE_RCV","1993-06-18","2026-05-02","Per=Y","Days=T","Dir=V")</f>
        <v>0</v>
      </c>
      <c r="U2">
        <f>BDH("NIQ US Equity","BS_INVENTORIES","1993-06-18","2026-05-02","Per=Y","Days=T","Dir=V")</f>
        <v>0</v>
      </c>
      <c r="W2">
        <f>BDH("NIQ US Equity","WORKING_CAPITAL","1993-06-18","2026-05-02","Per=Y","Days=T","Dir=V")</f>
        <v>0</v>
      </c>
      <c r="Y2">
        <f>BDH("NIQ US Equity","SALES_REV_TURN","1993-06-18","2026-05-02","Per=Y","Days=T","Dir=V")</f>
        <v>0</v>
      </c>
      <c r="AA2">
        <f>BDH("NIQ US Equity","EBIT","1993-06-18","2026-05-02","Per=Y","Days=T","Dir=V")</f>
        <v>0</v>
      </c>
      <c r="AC2">
        <f>BDH("NIQ US Equity","EBITDA","1993-06-18","2026-05-02","Per=Y","Days=T","Dir=V")</f>
        <v>0</v>
      </c>
      <c r="AE2">
        <f>BDH("NIQ US Equity","NET_INCOME","1993-06-18","2026-05-02","Per=Y","Days=T","Dir=V")</f>
        <v>0</v>
      </c>
      <c r="AG2">
        <f>BDH("NIQ US Equity","IS_INT_EXPENSE","1993-06-18","2026-05-02","Per=Y","Days=T","Dir=V")</f>
        <v>0</v>
      </c>
      <c r="AI2">
        <f>BDH("NIQ US Equity","IS_DEPR_EXP","1993-06-18","2026-05-02","Per=Y","Days=T","Dir=V")</f>
        <v>0</v>
      </c>
      <c r="AK2">
        <f>BDH("NIQ US Equity","CF_CASH_FROM_OPER","1993-06-18","2026-05-02","Per=Y","Days=T","Dir=V")</f>
        <v>0</v>
      </c>
      <c r="AM2">
        <f>BDH("NIQ US Equity","CAPITAL_EXPEND","1993-06-18","2026-05-02","Per=Y","Days=T","Dir=V")</f>
        <v>0</v>
      </c>
      <c r="AO2">
        <f>BDH("NIQ US Equity","CF_FREE_CASH_FLOW","1993-06-18","2026-05-02","Per=Y","Days=T","Dir=V")</f>
        <v>0</v>
      </c>
      <c r="AQ2">
        <f>BDH("NIQ US Equity","PX_LAST","1993-06-18","2026-05-02","Per=M","Days=T","Dir=V")</f>
        <v>0</v>
      </c>
      <c r="AS2">
        <f>BDH("NIQ US Equity","CUR_MKT_CAP","1993-06-18","2026-05-02","Per=M","Days=T","Dir=V")</f>
        <v>0</v>
      </c>
      <c r="AU2">
        <f>BDH("NIQ US Equity","EQY_SH_OUT","1993-06-18","2026-05-02","Per=M","Days=T","Dir=V")</f>
        <v>0</v>
      </c>
      <c r="AW2">
        <f>BDH("NIQ US Equity","PX_VOLUME","1993-06-18","2026-05-02","Per=M","Days=T","Dir=V")</f>
        <v>0</v>
      </c>
      <c r="AY2">
        <f>BDH("NIQ US Equity","TURNOVER","1993-06-18","2026-05-02","Per=M","Days=T","Dir=V")</f>
        <v>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BDH("NIXX US Equity","BS_TOT_ASSET","1993-06-18","2026-05-02","Per=Y","Days=T","Dir=V")</f>
        <v>0</v>
      </c>
      <c r="C2">
        <f>BDH("NIXX US Equity","BS_TOT_LIAB2","1993-06-18","2026-05-02","Per=Y","Days=T","Dir=V")</f>
        <v>0</v>
      </c>
      <c r="E2">
        <f>BDH("NIXX US Equity","SHORT_AND_LONG_TERM_DEBT","1993-06-18","2026-05-02","Per=Y","Days=T","Dir=V")</f>
        <v>0</v>
      </c>
      <c r="G2">
        <f>BDH("NIXX US Equity","BS_ST_BORROW","1993-06-18","2026-05-02","Per=Y","Days=T","Dir=V")</f>
        <v>0</v>
      </c>
      <c r="I2">
        <f>BDH("NIXX US Equity","BS_LT_BORROW","1993-06-18","2026-05-02","Per=Y","Days=T","Dir=V")</f>
        <v>0</v>
      </c>
      <c r="K2">
        <f>BDH("NIXX US Equity","BS_CASH_NEAR_CASH_ITEM","1993-06-18","2026-05-02","Per=Y","Days=T","Dir=V")</f>
        <v>0</v>
      </c>
      <c r="M2">
        <f>BDH("NIXX US Equity","BS_CUR_ASSET_REPORT","1993-06-18","2026-05-02","Per=Y","Days=T","Dir=V")</f>
        <v>0</v>
      </c>
      <c r="O2">
        <f>BDH("NIXX US Equity","BS_CUR_LIAB","1993-06-18","2026-05-02","Per=Y","Days=T","Dir=V")</f>
        <v>0</v>
      </c>
      <c r="Q2">
        <f>BDH("NIXX US Equity","BS_SHAREHOLDER_EQY_ENDING_PERIOD","1993-06-18","2026-05-02","Per=Y","Days=T","Dir=V")</f>
        <v>0</v>
      </c>
      <c r="S2">
        <f>BDH("NIXX US Equity","BS_ACCT_NOTE_RCV","1993-06-18","2026-05-02","Per=Y","Days=T","Dir=V")</f>
        <v>0</v>
      </c>
      <c r="U2">
        <f>BDH("NIXX US Equity","BS_INVENTORIES","1993-06-18","2026-05-02","Per=Y","Days=T","Dir=V")</f>
        <v>0</v>
      </c>
      <c r="W2">
        <f>BDH("NIXX US Equity","WORKING_CAPITAL","1993-06-18","2026-05-02","Per=Y","Days=T","Dir=V")</f>
        <v>0</v>
      </c>
      <c r="Y2">
        <f>BDH("NIXX US Equity","SALES_REV_TURN","1993-06-18","2026-05-02","Per=Y","Days=T","Dir=V")</f>
        <v>0</v>
      </c>
      <c r="AA2">
        <f>BDH("NIXX US Equity","EBIT","1993-06-18","2026-05-02","Per=Y","Days=T","Dir=V")</f>
        <v>0</v>
      </c>
      <c r="AC2">
        <f>BDH("NIXX US Equity","EBITDA","1993-06-18","2026-05-02","Per=Y","Days=T","Dir=V")</f>
        <v>0</v>
      </c>
      <c r="AE2">
        <f>BDH("NIXX US Equity","NET_INCOME","1993-06-18","2026-05-02","Per=Y","Days=T","Dir=V")</f>
        <v>0</v>
      </c>
      <c r="AG2">
        <f>BDH("NIXX US Equity","IS_INT_EXPENSE","1993-06-18","2026-05-02","Per=Y","Days=T","Dir=V")</f>
        <v>0</v>
      </c>
      <c r="AI2">
        <f>BDH("NIXX US Equity","IS_DEPR_EXP","1993-06-18","2026-05-02","Per=Y","Days=T","Dir=V")</f>
        <v>0</v>
      </c>
      <c r="AK2">
        <f>BDH("NIXX US Equity","CF_CASH_FROM_OPER","1993-06-18","2026-05-02","Per=Y","Days=T","Dir=V")</f>
        <v>0</v>
      </c>
      <c r="AM2">
        <f>BDH("NIXX US Equity","CAPITAL_EXPEND","1993-06-18","2026-05-02","Per=Y","Days=T","Dir=V")</f>
        <v>0</v>
      </c>
      <c r="AO2">
        <f>BDH("NIXX US Equity","CF_FREE_CASH_FLOW","1993-06-18","2026-05-02","Per=Y","Days=T","Dir=V")</f>
        <v>0</v>
      </c>
      <c r="AQ2">
        <f>BDH("NIXX US Equity","PX_LAST","1993-06-18","2026-05-02","Per=M","Days=T","Dir=V")</f>
        <v>0</v>
      </c>
      <c r="AS2">
        <f>BDH("NIXX US Equity","CUR_MKT_CAP","1993-06-18","2026-05-02","Per=M","Days=T","Dir=V")</f>
        <v>0</v>
      </c>
      <c r="AU2">
        <f>BDH("NIXX US Equity","EQY_SH_OUT","1993-06-18","2026-05-02","Per=M","Days=T","Dir=V")</f>
        <v>0</v>
      </c>
      <c r="AW2">
        <f>BDH("NIXX US Equity","PX_VOLUME","1993-06-18","2026-05-02","Per=M","Days=T","Dir=V")</f>
        <v>0</v>
      </c>
      <c r="AY2">
        <f>BDH("NIXX US Equity","TURNOVER","1993-06-18","2026-05-02","Per=M","Days=T","Dir=V")</f>
        <v>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BDH("NJR US Equity","BS_TOT_ASSET","1993-06-18","2026-05-02","Per=Y","Days=T","Dir=V")</f>
        <v>0</v>
      </c>
      <c r="C2">
        <f>BDH("NJR US Equity","BS_TOT_LIAB2","1993-06-18","2026-05-02","Per=Y","Days=T","Dir=V")</f>
        <v>0</v>
      </c>
      <c r="E2">
        <f>BDH("NJR US Equity","SHORT_AND_LONG_TERM_DEBT","1993-06-18","2026-05-02","Per=Y","Days=T","Dir=V")</f>
        <v>0</v>
      </c>
      <c r="G2">
        <f>BDH("NJR US Equity","BS_ST_BORROW","1993-06-18","2026-05-02","Per=Y","Days=T","Dir=V")</f>
        <v>0</v>
      </c>
      <c r="I2">
        <f>BDH("NJR US Equity","BS_LT_BORROW","1993-06-18","2026-05-02","Per=Y","Days=T","Dir=V")</f>
        <v>0</v>
      </c>
      <c r="K2">
        <f>BDH("NJR US Equity","BS_CASH_NEAR_CASH_ITEM","1993-06-18","2026-05-02","Per=Y","Days=T","Dir=V")</f>
        <v>0</v>
      </c>
      <c r="M2">
        <f>BDH("NJR US Equity","BS_CUR_ASSET_REPORT","1993-06-18","2026-05-02","Per=Y","Days=T","Dir=V")</f>
        <v>0</v>
      </c>
      <c r="O2">
        <f>BDH("NJR US Equity","BS_CUR_LIAB","1993-06-18","2026-05-02","Per=Y","Days=T","Dir=V")</f>
        <v>0</v>
      </c>
      <c r="Q2">
        <f>BDH("NJR US Equity","BS_SHAREHOLDER_EQY_ENDING_PERIOD","1993-06-18","2026-05-02","Per=Y","Days=T","Dir=V")</f>
        <v>0</v>
      </c>
      <c r="S2">
        <f>BDH("NJR US Equity","BS_ACCT_NOTE_RCV","1993-06-18","2026-05-02","Per=Y","Days=T","Dir=V")</f>
        <v>0</v>
      </c>
      <c r="U2">
        <f>BDH("NJR US Equity","BS_INVENTORIES","1993-06-18","2026-05-02","Per=Y","Days=T","Dir=V")</f>
        <v>0</v>
      </c>
      <c r="W2">
        <f>BDH("NJR US Equity","WORKING_CAPITAL","1993-06-18","2026-05-02","Per=Y","Days=T","Dir=V")</f>
        <v>0</v>
      </c>
      <c r="Y2">
        <f>BDH("NJR US Equity","SALES_REV_TURN","1993-06-18","2026-05-02","Per=Y","Days=T","Dir=V")</f>
        <v>0</v>
      </c>
      <c r="AA2">
        <f>BDH("NJR US Equity","EBIT","1993-06-18","2026-05-02","Per=Y","Days=T","Dir=V")</f>
        <v>0</v>
      </c>
      <c r="AC2">
        <f>BDH("NJR US Equity","EBITDA","1993-06-18","2026-05-02","Per=Y","Days=T","Dir=V")</f>
        <v>0</v>
      </c>
      <c r="AE2">
        <f>BDH("NJR US Equity","NET_INCOME","1993-06-18","2026-05-02","Per=Y","Days=T","Dir=V")</f>
        <v>0</v>
      </c>
      <c r="AG2">
        <f>BDH("NJR US Equity","IS_INT_EXPENSE","1993-06-18","2026-05-02","Per=Y","Days=T","Dir=V")</f>
        <v>0</v>
      </c>
      <c r="AI2">
        <f>BDH("NJR US Equity","IS_DEPR_EXP","1993-06-18","2026-05-02","Per=Y","Days=T","Dir=V")</f>
        <v>0</v>
      </c>
      <c r="AK2">
        <f>BDH("NJR US Equity","CF_CASH_FROM_OPER","1993-06-18","2026-05-02","Per=Y","Days=T","Dir=V")</f>
        <v>0</v>
      </c>
      <c r="AM2">
        <f>BDH("NJR US Equity","CAPITAL_EXPEND","1993-06-18","2026-05-02","Per=Y","Days=T","Dir=V")</f>
        <v>0</v>
      </c>
      <c r="AO2">
        <f>BDH("NJR US Equity","CF_FREE_CASH_FLOW","1993-06-18","2026-05-02","Per=Y","Days=T","Dir=V")</f>
        <v>0</v>
      </c>
      <c r="AQ2">
        <f>BDH("NJR US Equity","PX_LAST","1993-06-18","2026-05-02","Per=M","Days=T","Dir=V")</f>
        <v>0</v>
      </c>
      <c r="AS2">
        <f>BDH("NJR US Equity","CUR_MKT_CAP","1993-06-18","2026-05-02","Per=M","Days=T","Dir=V")</f>
        <v>0</v>
      </c>
      <c r="AU2">
        <f>BDH("NJR US Equity","EQY_SH_OUT","1993-06-18","2026-05-02","Per=M","Days=T","Dir=V")</f>
        <v>0</v>
      </c>
      <c r="AW2">
        <f>BDH("NJR US Equity","PX_VOLUME","1993-06-18","2026-05-02","Per=M","Days=T","Dir=V")</f>
        <v>0</v>
      </c>
      <c r="AY2">
        <f>BDH("NJR US Equity","TURNOVER","1993-06-18","2026-05-02","Per=M","Days=T","Dir=V")</f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BDH("NKE US Equity","BS_TOT_ASSET","1993-06-18","2026-05-02","Per=Y","Days=T","Dir=V")</f>
        <v>0</v>
      </c>
      <c r="C2">
        <f>BDH("NKE US Equity","BS_TOT_LIAB2","1993-06-18","2026-05-02","Per=Y","Days=T","Dir=V")</f>
        <v>0</v>
      </c>
      <c r="E2">
        <f>BDH("NKE US Equity","SHORT_AND_LONG_TERM_DEBT","1993-06-18","2026-05-02","Per=Y","Days=T","Dir=V")</f>
        <v>0</v>
      </c>
      <c r="G2">
        <f>BDH("NKE US Equity","BS_ST_BORROW","1993-06-18","2026-05-02","Per=Y","Days=T","Dir=V")</f>
        <v>0</v>
      </c>
      <c r="I2">
        <f>BDH("NKE US Equity","BS_LT_BORROW","1993-06-18","2026-05-02","Per=Y","Days=T","Dir=V")</f>
        <v>0</v>
      </c>
      <c r="K2">
        <f>BDH("NKE US Equity","BS_CASH_NEAR_CASH_ITEM","1993-06-18","2026-05-02","Per=Y","Days=T","Dir=V")</f>
        <v>0</v>
      </c>
      <c r="M2">
        <f>BDH("NKE US Equity","BS_CUR_ASSET_REPORT","1993-06-18","2026-05-02","Per=Y","Days=T","Dir=V")</f>
        <v>0</v>
      </c>
      <c r="O2">
        <f>BDH("NKE US Equity","BS_CUR_LIAB","1993-06-18","2026-05-02","Per=Y","Days=T","Dir=V")</f>
        <v>0</v>
      </c>
      <c r="Q2">
        <f>BDH("NKE US Equity","BS_SHAREHOLDER_EQY_ENDING_PERIOD","1993-06-18","2026-05-02","Per=Y","Days=T","Dir=V")</f>
        <v>0</v>
      </c>
      <c r="S2">
        <f>BDH("NKE US Equity","BS_ACCT_NOTE_RCV","1993-06-18","2026-05-02","Per=Y","Days=T","Dir=V")</f>
        <v>0</v>
      </c>
      <c r="U2">
        <f>BDH("NKE US Equity","BS_INVENTORIES","1993-06-18","2026-05-02","Per=Y","Days=T","Dir=V")</f>
        <v>0</v>
      </c>
      <c r="W2">
        <f>BDH("NKE US Equity","WORKING_CAPITAL","1993-06-18","2026-05-02","Per=Y","Days=T","Dir=V")</f>
        <v>0</v>
      </c>
      <c r="Y2">
        <f>BDH("NKE US Equity","SALES_REV_TURN","1993-06-18","2026-05-02","Per=Y","Days=T","Dir=V")</f>
        <v>0</v>
      </c>
      <c r="AA2">
        <f>BDH("NKE US Equity","EBIT","1993-06-18","2026-05-02","Per=Y","Days=T","Dir=V")</f>
        <v>0</v>
      </c>
      <c r="AC2">
        <f>BDH("NKE US Equity","EBITDA","1993-06-18","2026-05-02","Per=Y","Days=T","Dir=V")</f>
        <v>0</v>
      </c>
      <c r="AE2">
        <f>BDH("NKE US Equity","NET_INCOME","1993-06-18","2026-05-02","Per=Y","Days=T","Dir=V")</f>
        <v>0</v>
      </c>
      <c r="AG2">
        <f>BDH("NKE US Equity","IS_INT_EXPENSE","1993-06-18","2026-05-02","Per=Y","Days=T","Dir=V")</f>
        <v>0</v>
      </c>
      <c r="AI2">
        <f>BDH("NKE US Equity","IS_DEPR_EXP","1993-06-18","2026-05-02","Per=Y","Days=T","Dir=V")</f>
        <v>0</v>
      </c>
      <c r="AK2">
        <f>BDH("NKE US Equity","CF_CASH_FROM_OPER","1993-06-18","2026-05-02","Per=Y","Days=T","Dir=V")</f>
        <v>0</v>
      </c>
      <c r="AM2">
        <f>BDH("NKE US Equity","CAPITAL_EXPEND","1993-06-18","2026-05-02","Per=Y","Days=T","Dir=V")</f>
        <v>0</v>
      </c>
      <c r="AO2">
        <f>BDH("NKE US Equity","CF_FREE_CASH_FLOW","1993-06-18","2026-05-02","Per=Y","Days=T","Dir=V")</f>
        <v>0</v>
      </c>
      <c r="AQ2">
        <f>BDH("NKE US Equity","PX_LAST","1993-06-18","2026-05-02","Per=M","Days=T","Dir=V")</f>
        <v>0</v>
      </c>
      <c r="AS2">
        <f>BDH("NKE US Equity","CUR_MKT_CAP","1993-06-18","2026-05-02","Per=M","Days=T","Dir=V")</f>
        <v>0</v>
      </c>
      <c r="AU2">
        <f>BDH("NKE US Equity","EQY_SH_OUT","1993-06-18","2026-05-02","Per=M","Days=T","Dir=V")</f>
        <v>0</v>
      </c>
      <c r="AW2">
        <f>BDH("NKE US Equity","PX_VOLUME","1993-06-18","2026-05-02","Per=M","Days=T","Dir=V")</f>
        <v>0</v>
      </c>
      <c r="AY2">
        <f>BDH("NKE US Equity","TURNOVER","1993-06-18","2026-05-02","Per=M","Days=T","Dir=V")</f>
        <v>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BDH("NKTR US Equity","BS_TOT_ASSET","1993-06-18","2026-05-02","Per=Y","Days=T","Dir=V")</f>
        <v>0</v>
      </c>
      <c r="C2">
        <f>BDH("NKTR US Equity","BS_TOT_LIAB2","1993-06-18","2026-05-02","Per=Y","Days=T","Dir=V")</f>
        <v>0</v>
      </c>
      <c r="E2">
        <f>BDH("NKTR US Equity","SHORT_AND_LONG_TERM_DEBT","1993-06-18","2026-05-02","Per=Y","Days=T","Dir=V")</f>
        <v>0</v>
      </c>
      <c r="G2">
        <f>BDH("NKTR US Equity","BS_ST_BORROW","1993-06-18","2026-05-02","Per=Y","Days=T","Dir=V")</f>
        <v>0</v>
      </c>
      <c r="I2">
        <f>BDH("NKTR US Equity","BS_LT_BORROW","1993-06-18","2026-05-02","Per=Y","Days=T","Dir=V")</f>
        <v>0</v>
      </c>
      <c r="K2">
        <f>BDH("NKTR US Equity","BS_CASH_NEAR_CASH_ITEM","1993-06-18","2026-05-02","Per=Y","Days=T","Dir=V")</f>
        <v>0</v>
      </c>
      <c r="M2">
        <f>BDH("NKTR US Equity","BS_CUR_ASSET_REPORT","1993-06-18","2026-05-02","Per=Y","Days=T","Dir=V")</f>
        <v>0</v>
      </c>
      <c r="O2">
        <f>BDH("NKTR US Equity","BS_CUR_LIAB","1993-06-18","2026-05-02","Per=Y","Days=T","Dir=V")</f>
        <v>0</v>
      </c>
      <c r="Q2">
        <f>BDH("NKTR US Equity","BS_SHAREHOLDER_EQY_ENDING_PERIOD","1993-06-18","2026-05-02","Per=Y","Days=T","Dir=V")</f>
        <v>0</v>
      </c>
      <c r="S2">
        <f>BDH("NKTR US Equity","BS_ACCT_NOTE_RCV","1993-06-18","2026-05-02","Per=Y","Days=T","Dir=V")</f>
        <v>0</v>
      </c>
      <c r="U2">
        <f>BDH("NKTR US Equity","BS_INVENTORIES","1993-06-18","2026-05-02","Per=Y","Days=T","Dir=V")</f>
        <v>0</v>
      </c>
      <c r="W2">
        <f>BDH("NKTR US Equity","WORKING_CAPITAL","1993-06-18","2026-05-02","Per=Y","Days=T","Dir=V")</f>
        <v>0</v>
      </c>
      <c r="Y2">
        <f>BDH("NKTR US Equity","SALES_REV_TURN","1993-06-18","2026-05-02","Per=Y","Days=T","Dir=V")</f>
        <v>0</v>
      </c>
      <c r="AA2">
        <f>BDH("NKTR US Equity","EBIT","1993-06-18","2026-05-02","Per=Y","Days=T","Dir=V")</f>
        <v>0</v>
      </c>
      <c r="AC2">
        <f>BDH("NKTR US Equity","EBITDA","1993-06-18","2026-05-02","Per=Y","Days=T","Dir=V")</f>
        <v>0</v>
      </c>
      <c r="AE2">
        <f>BDH("NKTR US Equity","NET_INCOME","1993-06-18","2026-05-02","Per=Y","Days=T","Dir=V")</f>
        <v>0</v>
      </c>
      <c r="AG2">
        <f>BDH("NKTR US Equity","IS_INT_EXPENSE","1993-06-18","2026-05-02","Per=Y","Days=T","Dir=V")</f>
        <v>0</v>
      </c>
      <c r="AI2">
        <f>BDH("NKTR US Equity","IS_DEPR_EXP","1993-06-18","2026-05-02","Per=Y","Days=T","Dir=V")</f>
        <v>0</v>
      </c>
      <c r="AK2">
        <f>BDH("NKTR US Equity","CF_CASH_FROM_OPER","1993-06-18","2026-05-02","Per=Y","Days=T","Dir=V")</f>
        <v>0</v>
      </c>
      <c r="AM2">
        <f>BDH("NKTR US Equity","CAPITAL_EXPEND","1993-06-18","2026-05-02","Per=Y","Days=T","Dir=V")</f>
        <v>0</v>
      </c>
      <c r="AO2">
        <f>BDH("NKTR US Equity","CF_FREE_CASH_FLOW","1993-06-18","2026-05-02","Per=Y","Days=T","Dir=V")</f>
        <v>0</v>
      </c>
      <c r="AQ2">
        <f>BDH("NKTR US Equity","PX_LAST","1993-06-18","2026-05-02","Per=M","Days=T","Dir=V")</f>
        <v>0</v>
      </c>
      <c r="AS2">
        <f>BDH("NKTR US Equity","CUR_MKT_CAP","1993-06-18","2026-05-02","Per=M","Days=T","Dir=V")</f>
        <v>0</v>
      </c>
      <c r="AU2">
        <f>BDH("NKTR US Equity","EQY_SH_OUT","1993-06-18","2026-05-02","Per=M","Days=T","Dir=V")</f>
        <v>0</v>
      </c>
      <c r="AW2">
        <f>BDH("NKTR US Equity","PX_VOLUME","1993-06-18","2026-05-02","Per=M","Days=T","Dir=V")</f>
        <v>0</v>
      </c>
      <c r="AY2">
        <f>BDH("NKTR US Equity","TURNOVER","1993-06-18","2026-05-02","Per=M","Days=T","Dir=V")</f>
        <v>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BDH("NKTX US Equity","BS_TOT_ASSET","1993-06-18","2026-05-02","Per=Y","Days=T","Dir=V")</f>
        <v>0</v>
      </c>
      <c r="C2">
        <f>BDH("NKTX US Equity","BS_TOT_LIAB2","1993-06-18","2026-05-02","Per=Y","Days=T","Dir=V")</f>
        <v>0</v>
      </c>
      <c r="E2">
        <f>BDH("NKTX US Equity","SHORT_AND_LONG_TERM_DEBT","1993-06-18","2026-05-02","Per=Y","Days=T","Dir=V")</f>
        <v>0</v>
      </c>
      <c r="G2">
        <f>BDH("NKTX US Equity","BS_ST_BORROW","1993-06-18","2026-05-02","Per=Y","Days=T","Dir=V")</f>
        <v>0</v>
      </c>
      <c r="I2">
        <f>BDH("NKTX US Equity","BS_LT_BORROW","1993-06-18","2026-05-02","Per=Y","Days=T","Dir=V")</f>
        <v>0</v>
      </c>
      <c r="K2">
        <f>BDH("NKTX US Equity","BS_CASH_NEAR_CASH_ITEM","1993-06-18","2026-05-02","Per=Y","Days=T","Dir=V")</f>
        <v>0</v>
      </c>
      <c r="M2">
        <f>BDH("NKTX US Equity","BS_CUR_ASSET_REPORT","1993-06-18","2026-05-02","Per=Y","Days=T","Dir=V")</f>
        <v>0</v>
      </c>
      <c r="O2">
        <f>BDH("NKTX US Equity","BS_CUR_LIAB","1993-06-18","2026-05-02","Per=Y","Days=T","Dir=V")</f>
        <v>0</v>
      </c>
      <c r="Q2">
        <f>BDH("NKTX US Equity","BS_SHAREHOLDER_EQY_ENDING_PERIOD","1993-06-18","2026-05-02","Per=Y","Days=T","Dir=V")</f>
        <v>0</v>
      </c>
      <c r="S2">
        <f>BDH("NKTX US Equity","BS_ACCT_NOTE_RCV","1993-06-18","2026-05-02","Per=Y","Days=T","Dir=V")</f>
        <v>0</v>
      </c>
      <c r="U2">
        <f>BDH("NKTX US Equity","BS_INVENTORIES","1993-06-18","2026-05-02","Per=Y","Days=T","Dir=V")</f>
        <v>0</v>
      </c>
      <c r="W2">
        <f>BDH("NKTX US Equity","WORKING_CAPITAL","1993-06-18","2026-05-02","Per=Y","Days=T","Dir=V")</f>
        <v>0</v>
      </c>
      <c r="Y2">
        <f>BDH("NKTX US Equity","SALES_REV_TURN","1993-06-18","2026-05-02","Per=Y","Days=T","Dir=V")</f>
        <v>0</v>
      </c>
      <c r="AA2">
        <f>BDH("NKTX US Equity","EBIT","1993-06-18","2026-05-02","Per=Y","Days=T","Dir=V")</f>
        <v>0</v>
      </c>
      <c r="AC2">
        <f>BDH("NKTX US Equity","EBITDA","1993-06-18","2026-05-02","Per=Y","Days=T","Dir=V")</f>
        <v>0</v>
      </c>
      <c r="AE2">
        <f>BDH("NKTX US Equity","NET_INCOME","1993-06-18","2026-05-02","Per=Y","Days=T","Dir=V")</f>
        <v>0</v>
      </c>
      <c r="AG2">
        <f>BDH("NKTX US Equity","IS_INT_EXPENSE","1993-06-18","2026-05-02","Per=Y","Days=T","Dir=V")</f>
        <v>0</v>
      </c>
      <c r="AI2">
        <f>BDH("NKTX US Equity","IS_DEPR_EXP","1993-06-18","2026-05-02","Per=Y","Days=T","Dir=V")</f>
        <v>0</v>
      </c>
      <c r="AK2">
        <f>BDH("NKTX US Equity","CF_CASH_FROM_OPER","1993-06-18","2026-05-02","Per=Y","Days=T","Dir=V")</f>
        <v>0</v>
      </c>
      <c r="AM2">
        <f>BDH("NKTX US Equity","CAPITAL_EXPEND","1993-06-18","2026-05-02","Per=Y","Days=T","Dir=V")</f>
        <v>0</v>
      </c>
      <c r="AO2">
        <f>BDH("NKTX US Equity","CF_FREE_CASH_FLOW","1993-06-18","2026-05-02","Per=Y","Days=T","Dir=V")</f>
        <v>0</v>
      </c>
      <c r="AQ2">
        <f>BDH("NKTX US Equity","PX_LAST","1993-06-18","2026-05-02","Per=M","Days=T","Dir=V")</f>
        <v>0</v>
      </c>
      <c r="AS2">
        <f>BDH("NKTX US Equity","CUR_MKT_CAP","1993-06-18","2026-05-02","Per=M","Days=T","Dir=V")</f>
        <v>0</v>
      </c>
      <c r="AU2">
        <f>BDH("NKTX US Equity","EQY_SH_OUT","1993-06-18","2026-05-02","Per=M","Days=T","Dir=V")</f>
        <v>0</v>
      </c>
      <c r="AW2">
        <f>BDH("NKTX US Equity","PX_VOLUME","1993-06-18","2026-05-02","Per=M","Days=T","Dir=V")</f>
        <v>0</v>
      </c>
      <c r="AY2">
        <f>BDH("NKTX US Equity","TURNOVER","1993-06-18","2026-05-02","Per=M","Days=T","Dir=V")</f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BDH("NL US Equity","BS_TOT_ASSET","1993-06-18","2026-05-02","Per=Y","Days=T","Dir=V")</f>
        <v>0</v>
      </c>
      <c r="C2">
        <f>BDH("NL US Equity","BS_TOT_LIAB2","1993-06-18","2026-05-02","Per=Y","Days=T","Dir=V")</f>
        <v>0</v>
      </c>
      <c r="E2">
        <f>BDH("NL US Equity","SHORT_AND_LONG_TERM_DEBT","1993-06-18","2026-05-02","Per=Y","Days=T","Dir=V")</f>
        <v>0</v>
      </c>
      <c r="G2">
        <f>BDH("NL US Equity","BS_ST_BORROW","1993-06-18","2026-05-02","Per=Y","Days=T","Dir=V")</f>
        <v>0</v>
      </c>
      <c r="I2">
        <f>BDH("NL US Equity","BS_LT_BORROW","1993-06-18","2026-05-02","Per=Y","Days=T","Dir=V")</f>
        <v>0</v>
      </c>
      <c r="K2">
        <f>BDH("NL US Equity","BS_CASH_NEAR_CASH_ITEM","1993-06-18","2026-05-02","Per=Y","Days=T","Dir=V")</f>
        <v>0</v>
      </c>
      <c r="M2">
        <f>BDH("NL US Equity","BS_CUR_ASSET_REPORT","1993-06-18","2026-05-02","Per=Y","Days=T","Dir=V")</f>
        <v>0</v>
      </c>
      <c r="O2">
        <f>BDH("NL US Equity","BS_CUR_LIAB","1993-06-18","2026-05-02","Per=Y","Days=T","Dir=V")</f>
        <v>0</v>
      </c>
      <c r="Q2">
        <f>BDH("NL US Equity","BS_SHAREHOLDER_EQY_ENDING_PERIOD","1993-06-18","2026-05-02","Per=Y","Days=T","Dir=V")</f>
        <v>0</v>
      </c>
      <c r="S2">
        <f>BDH("NL US Equity","BS_ACCT_NOTE_RCV","1993-06-18","2026-05-02","Per=Y","Days=T","Dir=V")</f>
        <v>0</v>
      </c>
      <c r="U2">
        <f>BDH("NL US Equity","BS_INVENTORIES","1993-06-18","2026-05-02","Per=Y","Days=T","Dir=V")</f>
        <v>0</v>
      </c>
      <c r="W2">
        <f>BDH("NL US Equity","WORKING_CAPITAL","1993-06-18","2026-05-02","Per=Y","Days=T","Dir=V")</f>
        <v>0</v>
      </c>
      <c r="Y2">
        <f>BDH("NL US Equity","SALES_REV_TURN","1993-06-18","2026-05-02","Per=Y","Days=T","Dir=V")</f>
        <v>0</v>
      </c>
      <c r="AA2">
        <f>BDH("NL US Equity","EBIT","1993-06-18","2026-05-02","Per=Y","Days=T","Dir=V")</f>
        <v>0</v>
      </c>
      <c r="AC2">
        <f>BDH("NL US Equity","EBITDA","1993-06-18","2026-05-02","Per=Y","Days=T","Dir=V")</f>
        <v>0</v>
      </c>
      <c r="AE2">
        <f>BDH("NL US Equity","NET_INCOME","1993-06-18","2026-05-02","Per=Y","Days=T","Dir=V")</f>
        <v>0</v>
      </c>
      <c r="AG2">
        <f>BDH("NL US Equity","IS_INT_EXPENSE","1993-06-18","2026-05-02","Per=Y","Days=T","Dir=V")</f>
        <v>0</v>
      </c>
      <c r="AI2">
        <f>BDH("NL US Equity","IS_DEPR_EXP","1993-06-18","2026-05-02","Per=Y","Days=T","Dir=V")</f>
        <v>0</v>
      </c>
      <c r="AK2">
        <f>BDH("NL US Equity","CF_CASH_FROM_OPER","1993-06-18","2026-05-02","Per=Y","Days=T","Dir=V")</f>
        <v>0</v>
      </c>
      <c r="AM2">
        <f>BDH("NL US Equity","CAPITAL_EXPEND","1993-06-18","2026-05-02","Per=Y","Days=T","Dir=V")</f>
        <v>0</v>
      </c>
      <c r="AO2">
        <f>BDH("NL US Equity","CF_FREE_CASH_FLOW","1993-06-18","2026-05-02","Per=Y","Days=T","Dir=V")</f>
        <v>0</v>
      </c>
      <c r="AQ2">
        <f>BDH("NL US Equity","PX_LAST","1993-06-18","2026-05-02","Per=M","Days=T","Dir=V")</f>
        <v>0</v>
      </c>
      <c r="AS2">
        <f>BDH("NL US Equity","CUR_MKT_CAP","1993-06-18","2026-05-02","Per=M","Days=T","Dir=V")</f>
        <v>0</v>
      </c>
      <c r="AU2">
        <f>BDH("NL US Equity","EQY_SH_OUT","1993-06-18","2026-05-02","Per=M","Days=T","Dir=V")</f>
        <v>0</v>
      </c>
      <c r="AW2">
        <f>BDH("NL US Equity","PX_VOLUME","1993-06-18","2026-05-02","Per=M","Days=T","Dir=V")</f>
        <v>0</v>
      </c>
      <c r="AY2">
        <f>BDH("NL US Equity","TURNOVER","1993-06-18","2026-05-02","Per=M","Days=T","Dir=V")</f>
        <v>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BDH("NMAD US Equity","BS_TOT_ASSET","1993-06-18","2026-05-02","Per=Y","Days=T","Dir=V")</f>
        <v>0</v>
      </c>
      <c r="C2">
        <f>BDH("NMAD US Equity","BS_TOT_LIAB2","1993-06-18","2026-05-02","Per=Y","Days=T","Dir=V")</f>
        <v>0</v>
      </c>
      <c r="E2">
        <f>BDH("NMAD US Equity","SHORT_AND_LONG_TERM_DEBT","1993-06-18","2026-05-02","Per=Y","Days=T","Dir=V")</f>
        <v>0</v>
      </c>
      <c r="G2">
        <f>BDH("NMAD US Equity","BS_ST_BORROW","1993-06-18","2026-05-02","Per=Y","Days=T","Dir=V")</f>
        <v>0</v>
      </c>
      <c r="I2">
        <f>BDH("NMAD US Equity","BS_LT_BORROW","1993-06-18","2026-05-02","Per=Y","Days=T","Dir=V")</f>
        <v>0</v>
      </c>
      <c r="K2">
        <f>BDH("NMAD US Equity","BS_CASH_NEAR_CASH_ITEM","1993-06-18","2026-05-02","Per=Y","Days=T","Dir=V")</f>
        <v>0</v>
      </c>
      <c r="M2">
        <f>BDH("NMAD US Equity","BS_CUR_ASSET_REPORT","1993-06-18","2026-05-02","Per=Y","Days=T","Dir=V")</f>
        <v>0</v>
      </c>
      <c r="O2">
        <f>BDH("NMAD US Equity","BS_CUR_LIAB","1993-06-18","2026-05-02","Per=Y","Days=T","Dir=V")</f>
        <v>0</v>
      </c>
      <c r="Q2">
        <f>BDH("NMAD US Equity","BS_SHAREHOLDER_EQY_ENDING_PERIOD","1993-06-18","2026-05-02","Per=Y","Days=T","Dir=V")</f>
        <v>0</v>
      </c>
      <c r="S2">
        <f>BDH("NMAD US Equity","BS_ACCT_NOTE_RCV","1993-06-18","2026-05-02","Per=Y","Days=T","Dir=V")</f>
        <v>0</v>
      </c>
      <c r="U2">
        <f>BDH("NMAD US Equity","BS_INVENTORIES","1993-06-18","2026-05-02","Per=Y","Days=T","Dir=V")</f>
        <v>0</v>
      </c>
      <c r="W2">
        <f>BDH("NMAD US Equity","WORKING_CAPITAL","1993-06-18","2026-05-02","Per=Y","Days=T","Dir=V")</f>
        <v>0</v>
      </c>
      <c r="Y2">
        <f>BDH("NMAD US Equity","SALES_REV_TURN","1993-06-18","2026-05-02","Per=Y","Days=T","Dir=V")</f>
        <v>0</v>
      </c>
      <c r="AA2">
        <f>BDH("NMAD US Equity","EBIT","1993-06-18","2026-05-02","Per=Y","Days=T","Dir=V")</f>
        <v>0</v>
      </c>
      <c r="AC2">
        <f>BDH("NMAD US Equity","EBITDA","1993-06-18","2026-05-02","Per=Y","Days=T","Dir=V")</f>
        <v>0</v>
      </c>
      <c r="AE2">
        <f>BDH("NMAD US Equity","NET_INCOME","1993-06-18","2026-05-02","Per=Y","Days=T","Dir=V")</f>
        <v>0</v>
      </c>
      <c r="AG2">
        <f>BDH("NMAD US Equity","IS_INT_EXPENSE","1993-06-18","2026-05-02","Per=Y","Days=T","Dir=V")</f>
        <v>0</v>
      </c>
      <c r="AI2">
        <f>BDH("NMAD US Equity","IS_DEPR_EXP","1993-06-18","2026-05-02","Per=Y","Days=T","Dir=V")</f>
        <v>0</v>
      </c>
      <c r="AK2">
        <f>BDH("NMAD US Equity","CF_CASH_FROM_OPER","1993-06-18","2026-05-02","Per=Y","Days=T","Dir=V")</f>
        <v>0</v>
      </c>
      <c r="AM2">
        <f>BDH("NMAD US Equity","CAPITAL_EXPEND","1993-06-18","2026-05-02","Per=Y","Days=T","Dir=V")</f>
        <v>0</v>
      </c>
      <c r="AO2">
        <f>BDH("NMAD US Equity","CF_FREE_CASH_FLOW","1993-06-18","2026-05-02","Per=Y","Days=T","Dir=V")</f>
        <v>0</v>
      </c>
      <c r="AQ2">
        <f>BDH("NMAD US Equity","PX_LAST","1993-06-18","2026-05-02","Per=M","Days=T","Dir=V")</f>
        <v>0</v>
      </c>
      <c r="AS2">
        <f>BDH("NMAD US Equity","CUR_MKT_CAP","1993-06-18","2026-05-02","Per=M","Days=T","Dir=V")</f>
        <v>0</v>
      </c>
      <c r="AU2">
        <f>BDH("NMAD US Equity","EQY_SH_OUT","1993-06-18","2026-05-02","Per=M","Days=T","Dir=V")</f>
        <v>0</v>
      </c>
      <c r="AW2">
        <f>BDH("NMAD US Equity","PX_VOLUME","1993-06-18","2026-05-02","Per=M","Days=T","Dir=V")</f>
        <v>0</v>
      </c>
      <c r="AY2">
        <f>BDH("NMAD US Equity","TURNOVER","1993-06-18","2026-05-02","Per=M","Days=T","Dir=V")</f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BDH("NMAX US Equity","BS_TOT_ASSET","1993-06-18","2026-05-02","Per=Y","Days=T","Dir=V")</f>
        <v>0</v>
      </c>
      <c r="C2">
        <f>BDH("NMAX US Equity","BS_TOT_LIAB2","1993-06-18","2026-05-02","Per=Y","Days=T","Dir=V")</f>
        <v>0</v>
      </c>
      <c r="E2">
        <f>BDH("NMAX US Equity","SHORT_AND_LONG_TERM_DEBT","1993-06-18","2026-05-02","Per=Y","Days=T","Dir=V")</f>
        <v>0</v>
      </c>
      <c r="G2">
        <f>BDH("NMAX US Equity","BS_ST_BORROW","1993-06-18","2026-05-02","Per=Y","Days=T","Dir=V")</f>
        <v>0</v>
      </c>
      <c r="I2">
        <f>BDH("NMAX US Equity","BS_LT_BORROW","1993-06-18","2026-05-02","Per=Y","Days=T","Dir=V")</f>
        <v>0</v>
      </c>
      <c r="K2">
        <f>BDH("NMAX US Equity","BS_CASH_NEAR_CASH_ITEM","1993-06-18","2026-05-02","Per=Y","Days=T","Dir=V")</f>
        <v>0</v>
      </c>
      <c r="M2">
        <f>BDH("NMAX US Equity","BS_CUR_ASSET_REPORT","1993-06-18","2026-05-02","Per=Y","Days=T","Dir=V")</f>
        <v>0</v>
      </c>
      <c r="O2">
        <f>BDH("NMAX US Equity","BS_CUR_LIAB","1993-06-18","2026-05-02","Per=Y","Days=T","Dir=V")</f>
        <v>0</v>
      </c>
      <c r="Q2">
        <f>BDH("NMAX US Equity","BS_SHAREHOLDER_EQY_ENDING_PERIOD","1993-06-18","2026-05-02","Per=Y","Days=T","Dir=V")</f>
        <v>0</v>
      </c>
      <c r="S2">
        <f>BDH("NMAX US Equity","BS_ACCT_NOTE_RCV","1993-06-18","2026-05-02","Per=Y","Days=T","Dir=V")</f>
        <v>0</v>
      </c>
      <c r="U2">
        <f>BDH("NMAX US Equity","BS_INVENTORIES","1993-06-18","2026-05-02","Per=Y","Days=T","Dir=V")</f>
        <v>0</v>
      </c>
      <c r="W2">
        <f>BDH("NMAX US Equity","WORKING_CAPITAL","1993-06-18","2026-05-02","Per=Y","Days=T","Dir=V")</f>
        <v>0</v>
      </c>
      <c r="Y2">
        <f>BDH("NMAX US Equity","SALES_REV_TURN","1993-06-18","2026-05-02","Per=Y","Days=T","Dir=V")</f>
        <v>0</v>
      </c>
      <c r="AA2">
        <f>BDH("NMAX US Equity","EBIT","1993-06-18","2026-05-02","Per=Y","Days=T","Dir=V")</f>
        <v>0</v>
      </c>
      <c r="AC2">
        <f>BDH("NMAX US Equity","EBITDA","1993-06-18","2026-05-02","Per=Y","Days=T","Dir=V")</f>
        <v>0</v>
      </c>
      <c r="AE2">
        <f>BDH("NMAX US Equity","NET_INCOME","1993-06-18","2026-05-02","Per=Y","Days=T","Dir=V")</f>
        <v>0</v>
      </c>
      <c r="AG2">
        <f>BDH("NMAX US Equity","IS_INT_EXPENSE","1993-06-18","2026-05-02","Per=Y","Days=T","Dir=V")</f>
        <v>0</v>
      </c>
      <c r="AI2">
        <f>BDH("NMAX US Equity","IS_DEPR_EXP","1993-06-18","2026-05-02","Per=Y","Days=T","Dir=V")</f>
        <v>0</v>
      </c>
      <c r="AK2">
        <f>BDH("NMAX US Equity","CF_CASH_FROM_OPER","1993-06-18","2026-05-02","Per=Y","Days=T","Dir=V")</f>
        <v>0</v>
      </c>
      <c r="AM2">
        <f>BDH("NMAX US Equity","CAPITAL_EXPEND","1993-06-18","2026-05-02","Per=Y","Days=T","Dir=V")</f>
        <v>0</v>
      </c>
      <c r="AO2">
        <f>BDH("NMAX US Equity","CF_FREE_CASH_FLOW","1993-06-18","2026-05-02","Per=Y","Days=T","Dir=V")</f>
        <v>0</v>
      </c>
      <c r="AQ2">
        <f>BDH("NMAX US Equity","PX_LAST","1993-06-18","2026-05-02","Per=M","Days=T","Dir=V")</f>
        <v>0</v>
      </c>
      <c r="AS2">
        <f>BDH("NMAX US Equity","CUR_MKT_CAP","1993-06-18","2026-05-02","Per=M","Days=T","Dir=V")</f>
        <v>0</v>
      </c>
      <c r="AU2">
        <f>BDH("NMAX US Equity","EQY_SH_OUT","1993-06-18","2026-05-02","Per=M","Days=T","Dir=V")</f>
        <v>0</v>
      </c>
      <c r="AW2">
        <f>BDH("NMAX US Equity","PX_VOLUME","1993-06-18","2026-05-02","Per=M","Days=T","Dir=V")</f>
        <v>0</v>
      </c>
      <c r="AY2">
        <f>BDH("NMAX US Equity","TURNOVER","1993-06-18","2026-05-02","Per=M","Days=T","Dir=V")</f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BDH("NMRA US Equity","BS_TOT_ASSET","1993-06-18","2026-05-02","Per=Y","Days=T","Dir=V")</f>
        <v>0</v>
      </c>
      <c r="C2">
        <f>BDH("NMRA US Equity","BS_TOT_LIAB2","1993-06-18","2026-05-02","Per=Y","Days=T","Dir=V")</f>
        <v>0</v>
      </c>
      <c r="E2">
        <f>BDH("NMRA US Equity","SHORT_AND_LONG_TERM_DEBT","1993-06-18","2026-05-02","Per=Y","Days=T","Dir=V")</f>
        <v>0</v>
      </c>
      <c r="G2">
        <f>BDH("NMRA US Equity","BS_ST_BORROW","1993-06-18","2026-05-02","Per=Y","Days=T","Dir=V")</f>
        <v>0</v>
      </c>
      <c r="I2">
        <f>BDH("NMRA US Equity","BS_LT_BORROW","1993-06-18","2026-05-02","Per=Y","Days=T","Dir=V")</f>
        <v>0</v>
      </c>
      <c r="K2">
        <f>BDH("NMRA US Equity","BS_CASH_NEAR_CASH_ITEM","1993-06-18","2026-05-02","Per=Y","Days=T","Dir=V")</f>
        <v>0</v>
      </c>
      <c r="M2">
        <f>BDH("NMRA US Equity","BS_CUR_ASSET_REPORT","1993-06-18","2026-05-02","Per=Y","Days=T","Dir=V")</f>
        <v>0</v>
      </c>
      <c r="O2">
        <f>BDH("NMRA US Equity","BS_CUR_LIAB","1993-06-18","2026-05-02","Per=Y","Days=T","Dir=V")</f>
        <v>0</v>
      </c>
      <c r="Q2">
        <f>BDH("NMRA US Equity","BS_SHAREHOLDER_EQY_ENDING_PERIOD","1993-06-18","2026-05-02","Per=Y","Days=T","Dir=V")</f>
        <v>0</v>
      </c>
      <c r="S2">
        <f>BDH("NMRA US Equity","BS_ACCT_NOTE_RCV","1993-06-18","2026-05-02","Per=Y","Days=T","Dir=V")</f>
        <v>0</v>
      </c>
      <c r="U2">
        <f>BDH("NMRA US Equity","BS_INVENTORIES","1993-06-18","2026-05-02","Per=Y","Days=T","Dir=V")</f>
        <v>0</v>
      </c>
      <c r="W2">
        <f>BDH("NMRA US Equity","WORKING_CAPITAL","1993-06-18","2026-05-02","Per=Y","Days=T","Dir=V")</f>
        <v>0</v>
      </c>
      <c r="Y2">
        <f>BDH("NMRA US Equity","SALES_REV_TURN","1993-06-18","2026-05-02","Per=Y","Days=T","Dir=V")</f>
        <v>0</v>
      </c>
      <c r="AA2">
        <f>BDH("NMRA US Equity","EBIT","1993-06-18","2026-05-02","Per=Y","Days=T","Dir=V")</f>
        <v>0</v>
      </c>
      <c r="AC2">
        <f>BDH("NMRA US Equity","EBITDA","1993-06-18","2026-05-02","Per=Y","Days=T","Dir=V")</f>
        <v>0</v>
      </c>
      <c r="AE2">
        <f>BDH("NMRA US Equity","NET_INCOME","1993-06-18","2026-05-02","Per=Y","Days=T","Dir=V")</f>
        <v>0</v>
      </c>
      <c r="AG2">
        <f>BDH("NMRA US Equity","IS_INT_EXPENSE","1993-06-18","2026-05-02","Per=Y","Days=T","Dir=V")</f>
        <v>0</v>
      </c>
      <c r="AI2">
        <f>BDH("NMRA US Equity","IS_DEPR_EXP","1993-06-18","2026-05-02","Per=Y","Days=T","Dir=V")</f>
        <v>0</v>
      </c>
      <c r="AK2">
        <f>BDH("NMRA US Equity","CF_CASH_FROM_OPER","1993-06-18","2026-05-02","Per=Y","Days=T","Dir=V")</f>
        <v>0</v>
      </c>
      <c r="AM2">
        <f>BDH("NMRA US Equity","CAPITAL_EXPEND","1993-06-18","2026-05-02","Per=Y","Days=T","Dir=V")</f>
        <v>0</v>
      </c>
      <c r="AO2">
        <f>BDH("NMRA US Equity","CF_FREE_CASH_FLOW","1993-06-18","2026-05-02","Per=Y","Days=T","Dir=V")</f>
        <v>0</v>
      </c>
      <c r="AQ2">
        <f>BDH("NMRA US Equity","PX_LAST","1993-06-18","2026-05-02","Per=M","Days=T","Dir=V")</f>
        <v>0</v>
      </c>
      <c r="AS2">
        <f>BDH("NMRA US Equity","CUR_MKT_CAP","1993-06-18","2026-05-02","Per=M","Days=T","Dir=V")</f>
        <v>0</v>
      </c>
      <c r="AU2">
        <f>BDH("NMRA US Equity","EQY_SH_OUT","1993-06-18","2026-05-02","Per=M","Days=T","Dir=V")</f>
        <v>0</v>
      </c>
      <c r="AW2">
        <f>BDH("NMRA US Equity","PX_VOLUME","1993-06-18","2026-05-02","Per=M","Days=T","Dir=V")</f>
        <v>0</v>
      </c>
      <c r="AY2">
        <f>BDH("NMRA US Equity","TURNOVER","1993-06-18","2026-05-02","Per=M","Days=T","Dir=V")</f>
        <v>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BDH("NMTC US Equity","BS_TOT_ASSET","1993-06-18","2026-05-02","Per=Y","Days=T","Dir=V")</f>
        <v>0</v>
      </c>
      <c r="C2">
        <f>BDH("NMTC US Equity","BS_TOT_LIAB2","1993-06-18","2026-05-02","Per=Y","Days=T","Dir=V")</f>
        <v>0</v>
      </c>
      <c r="E2">
        <f>BDH("NMTC US Equity","SHORT_AND_LONG_TERM_DEBT","1993-06-18","2026-05-02","Per=Y","Days=T","Dir=V")</f>
        <v>0</v>
      </c>
      <c r="G2">
        <f>BDH("NMTC US Equity","BS_ST_BORROW","1993-06-18","2026-05-02","Per=Y","Days=T","Dir=V")</f>
        <v>0</v>
      </c>
      <c r="I2">
        <f>BDH("NMTC US Equity","BS_LT_BORROW","1993-06-18","2026-05-02","Per=Y","Days=T","Dir=V")</f>
        <v>0</v>
      </c>
      <c r="K2">
        <f>BDH("NMTC US Equity","BS_CASH_NEAR_CASH_ITEM","1993-06-18","2026-05-02","Per=Y","Days=T","Dir=V")</f>
        <v>0</v>
      </c>
      <c r="M2">
        <f>BDH("NMTC US Equity","BS_CUR_ASSET_REPORT","1993-06-18","2026-05-02","Per=Y","Days=T","Dir=V")</f>
        <v>0</v>
      </c>
      <c r="O2">
        <f>BDH("NMTC US Equity","BS_CUR_LIAB","1993-06-18","2026-05-02","Per=Y","Days=T","Dir=V")</f>
        <v>0</v>
      </c>
      <c r="Q2">
        <f>BDH("NMTC US Equity","BS_SHAREHOLDER_EQY_ENDING_PERIOD","1993-06-18","2026-05-02","Per=Y","Days=T","Dir=V")</f>
        <v>0</v>
      </c>
      <c r="S2">
        <f>BDH("NMTC US Equity","BS_ACCT_NOTE_RCV","1993-06-18","2026-05-02","Per=Y","Days=T","Dir=V")</f>
        <v>0</v>
      </c>
      <c r="U2">
        <f>BDH("NMTC US Equity","BS_INVENTORIES","1993-06-18","2026-05-02","Per=Y","Days=T","Dir=V")</f>
        <v>0</v>
      </c>
      <c r="W2">
        <f>BDH("NMTC US Equity","WORKING_CAPITAL","1993-06-18","2026-05-02","Per=Y","Days=T","Dir=V")</f>
        <v>0</v>
      </c>
      <c r="Y2">
        <f>BDH("NMTC US Equity","SALES_REV_TURN","1993-06-18","2026-05-02","Per=Y","Days=T","Dir=V")</f>
        <v>0</v>
      </c>
      <c r="AA2">
        <f>BDH("NMTC US Equity","EBIT","1993-06-18","2026-05-02","Per=Y","Days=T","Dir=V")</f>
        <v>0</v>
      </c>
      <c r="AC2">
        <f>BDH("NMTC US Equity","EBITDA","1993-06-18","2026-05-02","Per=Y","Days=T","Dir=V")</f>
        <v>0</v>
      </c>
      <c r="AE2">
        <f>BDH("NMTC US Equity","NET_INCOME","1993-06-18","2026-05-02","Per=Y","Days=T","Dir=V")</f>
        <v>0</v>
      </c>
      <c r="AG2">
        <f>BDH("NMTC US Equity","IS_INT_EXPENSE","1993-06-18","2026-05-02","Per=Y","Days=T","Dir=V")</f>
        <v>0</v>
      </c>
      <c r="AI2">
        <f>BDH("NMTC US Equity","IS_DEPR_EXP","1993-06-18","2026-05-02","Per=Y","Days=T","Dir=V")</f>
        <v>0</v>
      </c>
      <c r="AK2">
        <f>BDH("NMTC US Equity","CF_CASH_FROM_OPER","1993-06-18","2026-05-02","Per=Y","Days=T","Dir=V")</f>
        <v>0</v>
      </c>
      <c r="AM2">
        <f>BDH("NMTC US Equity","CAPITAL_EXPEND","1993-06-18","2026-05-02","Per=Y","Days=T","Dir=V")</f>
        <v>0</v>
      </c>
      <c r="AO2">
        <f>BDH("NMTC US Equity","CF_FREE_CASH_FLOW","1993-06-18","2026-05-02","Per=Y","Days=T","Dir=V")</f>
        <v>0</v>
      </c>
      <c r="AQ2">
        <f>BDH("NMTC US Equity","PX_LAST","1993-06-18","2026-05-02","Per=M","Days=T","Dir=V")</f>
        <v>0</v>
      </c>
      <c r="AS2">
        <f>BDH("NMTC US Equity","CUR_MKT_CAP","1993-06-18","2026-05-02","Per=M","Days=T","Dir=V")</f>
        <v>0</v>
      </c>
      <c r="AU2">
        <f>BDH("NMTC US Equity","EQY_SH_OUT","1993-06-18","2026-05-02","Per=M","Days=T","Dir=V")</f>
        <v>0</v>
      </c>
      <c r="AW2">
        <f>BDH("NMTC US Equity","PX_VOLUME","1993-06-18","2026-05-02","Per=M","Days=T","Dir=V")</f>
        <v>0</v>
      </c>
      <c r="AY2">
        <f>BDH("NMTC US Equity","TURNOVER","1993-06-18","2026-05-02","Per=M","Days=T","Dir=V")</f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BDH("NN US Equity","BS_TOT_ASSET","1993-06-18","2026-05-02","Per=Y","Days=T","Dir=V")</f>
        <v>0</v>
      </c>
      <c r="C2">
        <f>BDH("NN US Equity","BS_TOT_LIAB2","1993-06-18","2026-05-02","Per=Y","Days=T","Dir=V")</f>
        <v>0</v>
      </c>
      <c r="E2">
        <f>BDH("NN US Equity","SHORT_AND_LONG_TERM_DEBT","1993-06-18","2026-05-02","Per=Y","Days=T","Dir=V")</f>
        <v>0</v>
      </c>
      <c r="G2">
        <f>BDH("NN US Equity","BS_ST_BORROW","1993-06-18","2026-05-02","Per=Y","Days=T","Dir=V")</f>
        <v>0</v>
      </c>
      <c r="I2">
        <f>BDH("NN US Equity","BS_LT_BORROW","1993-06-18","2026-05-02","Per=Y","Days=T","Dir=V")</f>
        <v>0</v>
      </c>
      <c r="K2">
        <f>BDH("NN US Equity","BS_CASH_NEAR_CASH_ITEM","1993-06-18","2026-05-02","Per=Y","Days=T","Dir=V")</f>
        <v>0</v>
      </c>
      <c r="M2">
        <f>BDH("NN US Equity","BS_CUR_ASSET_REPORT","1993-06-18","2026-05-02","Per=Y","Days=T","Dir=V")</f>
        <v>0</v>
      </c>
      <c r="O2">
        <f>BDH("NN US Equity","BS_CUR_LIAB","1993-06-18","2026-05-02","Per=Y","Days=T","Dir=V")</f>
        <v>0</v>
      </c>
      <c r="Q2">
        <f>BDH("NN US Equity","BS_SHAREHOLDER_EQY_ENDING_PERIOD","1993-06-18","2026-05-02","Per=Y","Days=T","Dir=V")</f>
        <v>0</v>
      </c>
      <c r="S2">
        <f>BDH("NN US Equity","BS_ACCT_NOTE_RCV","1993-06-18","2026-05-02","Per=Y","Days=T","Dir=V")</f>
        <v>0</v>
      </c>
      <c r="U2">
        <f>BDH("NN US Equity","BS_INVENTORIES","1993-06-18","2026-05-02","Per=Y","Days=T","Dir=V")</f>
        <v>0</v>
      </c>
      <c r="W2">
        <f>BDH("NN US Equity","WORKING_CAPITAL","1993-06-18","2026-05-02","Per=Y","Days=T","Dir=V")</f>
        <v>0</v>
      </c>
      <c r="Y2">
        <f>BDH("NN US Equity","SALES_REV_TURN","1993-06-18","2026-05-02","Per=Y","Days=T","Dir=V")</f>
        <v>0</v>
      </c>
      <c r="AA2">
        <f>BDH("NN US Equity","EBIT","1993-06-18","2026-05-02","Per=Y","Days=T","Dir=V")</f>
        <v>0</v>
      </c>
      <c r="AC2">
        <f>BDH("NN US Equity","EBITDA","1993-06-18","2026-05-02","Per=Y","Days=T","Dir=V")</f>
        <v>0</v>
      </c>
      <c r="AE2">
        <f>BDH("NN US Equity","NET_INCOME","1993-06-18","2026-05-02","Per=Y","Days=T","Dir=V")</f>
        <v>0</v>
      </c>
      <c r="AG2">
        <f>BDH("NN US Equity","IS_INT_EXPENSE","1993-06-18","2026-05-02","Per=Y","Days=T","Dir=V")</f>
        <v>0</v>
      </c>
      <c r="AI2">
        <f>BDH("NN US Equity","IS_DEPR_EXP","1993-06-18","2026-05-02","Per=Y","Days=T","Dir=V")</f>
        <v>0</v>
      </c>
      <c r="AK2">
        <f>BDH("NN US Equity","CF_CASH_FROM_OPER","1993-06-18","2026-05-02","Per=Y","Days=T","Dir=V")</f>
        <v>0</v>
      </c>
      <c r="AM2">
        <f>BDH("NN US Equity","CAPITAL_EXPEND","1993-06-18","2026-05-02","Per=Y","Days=T","Dir=V")</f>
        <v>0</v>
      </c>
      <c r="AO2">
        <f>BDH("NN US Equity","CF_FREE_CASH_FLOW","1993-06-18","2026-05-02","Per=Y","Days=T","Dir=V")</f>
        <v>0</v>
      </c>
      <c r="AQ2">
        <f>BDH("NN US Equity","PX_LAST","1993-06-18","2026-05-02","Per=M","Days=T","Dir=V")</f>
        <v>0</v>
      </c>
      <c r="AS2">
        <f>BDH("NN US Equity","CUR_MKT_CAP","1993-06-18","2026-05-02","Per=M","Days=T","Dir=V")</f>
        <v>0</v>
      </c>
      <c r="AU2">
        <f>BDH("NN US Equity","EQY_SH_OUT","1993-06-18","2026-05-02","Per=M","Days=T","Dir=V")</f>
        <v>0</v>
      </c>
      <c r="AW2">
        <f>BDH("NN US Equity","PX_VOLUME","1993-06-18","2026-05-02","Per=M","Days=T","Dir=V")</f>
        <v>0</v>
      </c>
      <c r="AY2">
        <f>BDH("NN US Equity","TURNOVER","1993-06-18","2026-05-02","Per=M","Days=T","Dir=V")</f>
        <v>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BDH("NNBR US Equity","BS_TOT_ASSET","1993-06-18","2026-05-02","Per=Y","Days=T","Dir=V")</f>
        <v>0</v>
      </c>
      <c r="C2">
        <f>BDH("NNBR US Equity","BS_TOT_LIAB2","1993-06-18","2026-05-02","Per=Y","Days=T","Dir=V")</f>
        <v>0</v>
      </c>
      <c r="E2">
        <f>BDH("NNBR US Equity","SHORT_AND_LONG_TERM_DEBT","1993-06-18","2026-05-02","Per=Y","Days=T","Dir=V")</f>
        <v>0</v>
      </c>
      <c r="G2">
        <f>BDH("NNBR US Equity","BS_ST_BORROW","1993-06-18","2026-05-02","Per=Y","Days=T","Dir=V")</f>
        <v>0</v>
      </c>
      <c r="I2">
        <f>BDH("NNBR US Equity","BS_LT_BORROW","1993-06-18","2026-05-02","Per=Y","Days=T","Dir=V")</f>
        <v>0</v>
      </c>
      <c r="K2">
        <f>BDH("NNBR US Equity","BS_CASH_NEAR_CASH_ITEM","1993-06-18","2026-05-02","Per=Y","Days=T","Dir=V")</f>
        <v>0</v>
      </c>
      <c r="M2">
        <f>BDH("NNBR US Equity","BS_CUR_ASSET_REPORT","1993-06-18","2026-05-02","Per=Y","Days=T","Dir=V")</f>
        <v>0</v>
      </c>
      <c r="O2">
        <f>BDH("NNBR US Equity","BS_CUR_LIAB","1993-06-18","2026-05-02","Per=Y","Days=T","Dir=V")</f>
        <v>0</v>
      </c>
      <c r="Q2">
        <f>BDH("NNBR US Equity","BS_SHAREHOLDER_EQY_ENDING_PERIOD","1993-06-18","2026-05-02","Per=Y","Days=T","Dir=V")</f>
        <v>0</v>
      </c>
      <c r="S2">
        <f>BDH("NNBR US Equity","BS_ACCT_NOTE_RCV","1993-06-18","2026-05-02","Per=Y","Days=T","Dir=V")</f>
        <v>0</v>
      </c>
      <c r="U2">
        <f>BDH("NNBR US Equity","BS_INVENTORIES","1993-06-18","2026-05-02","Per=Y","Days=T","Dir=V")</f>
        <v>0</v>
      </c>
      <c r="W2">
        <f>BDH("NNBR US Equity","WORKING_CAPITAL","1993-06-18","2026-05-02","Per=Y","Days=T","Dir=V")</f>
        <v>0</v>
      </c>
      <c r="Y2">
        <f>BDH("NNBR US Equity","SALES_REV_TURN","1993-06-18","2026-05-02","Per=Y","Days=T","Dir=V")</f>
        <v>0</v>
      </c>
      <c r="AA2">
        <f>BDH("NNBR US Equity","EBIT","1993-06-18","2026-05-02","Per=Y","Days=T","Dir=V")</f>
        <v>0</v>
      </c>
      <c r="AC2">
        <f>BDH("NNBR US Equity","EBITDA","1993-06-18","2026-05-02","Per=Y","Days=T","Dir=V")</f>
        <v>0</v>
      </c>
      <c r="AE2">
        <f>BDH("NNBR US Equity","NET_INCOME","1993-06-18","2026-05-02","Per=Y","Days=T","Dir=V")</f>
        <v>0</v>
      </c>
      <c r="AG2">
        <f>BDH("NNBR US Equity","IS_INT_EXPENSE","1993-06-18","2026-05-02","Per=Y","Days=T","Dir=V")</f>
        <v>0</v>
      </c>
      <c r="AI2">
        <f>BDH("NNBR US Equity","IS_DEPR_EXP","1993-06-18","2026-05-02","Per=Y","Days=T","Dir=V")</f>
        <v>0</v>
      </c>
      <c r="AK2">
        <f>BDH("NNBR US Equity","CF_CASH_FROM_OPER","1993-06-18","2026-05-02","Per=Y","Days=T","Dir=V")</f>
        <v>0</v>
      </c>
      <c r="AM2">
        <f>BDH("NNBR US Equity","CAPITAL_EXPEND","1993-06-18","2026-05-02","Per=Y","Days=T","Dir=V")</f>
        <v>0</v>
      </c>
      <c r="AO2">
        <f>BDH("NNBR US Equity","CF_FREE_CASH_FLOW","1993-06-18","2026-05-02","Per=Y","Days=T","Dir=V")</f>
        <v>0</v>
      </c>
      <c r="AQ2">
        <f>BDH("NNBR US Equity","PX_LAST","1993-06-18","2026-05-02","Per=M","Days=T","Dir=V")</f>
        <v>0</v>
      </c>
      <c r="AS2">
        <f>BDH("NNBR US Equity","CUR_MKT_CAP","1993-06-18","2026-05-02","Per=M","Days=T","Dir=V")</f>
        <v>0</v>
      </c>
      <c r="AU2">
        <f>BDH("NNBR US Equity","EQY_SH_OUT","1993-06-18","2026-05-02","Per=M","Days=T","Dir=V")</f>
        <v>0</v>
      </c>
      <c r="AW2">
        <f>BDH("NNBR US Equity","PX_VOLUME","1993-06-18","2026-05-02","Per=M","Days=T","Dir=V")</f>
        <v>0</v>
      </c>
      <c r="AY2">
        <f>BDH("NNBR US Equity","TURNOVER","1993-06-18","2026-05-02","Per=M","Days=T","Dir=V")</f>
        <v>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BDH("NNE US Equity","BS_TOT_ASSET","1993-06-18","2026-05-02","Per=Y","Days=T","Dir=V")</f>
        <v>0</v>
      </c>
      <c r="C2">
        <f>BDH("NNE US Equity","BS_TOT_LIAB2","1993-06-18","2026-05-02","Per=Y","Days=T","Dir=V")</f>
        <v>0</v>
      </c>
      <c r="E2">
        <f>BDH("NNE US Equity","SHORT_AND_LONG_TERM_DEBT","1993-06-18","2026-05-02","Per=Y","Days=T","Dir=V")</f>
        <v>0</v>
      </c>
      <c r="G2">
        <f>BDH("NNE US Equity","BS_ST_BORROW","1993-06-18","2026-05-02","Per=Y","Days=T","Dir=V")</f>
        <v>0</v>
      </c>
      <c r="I2">
        <f>BDH("NNE US Equity","BS_LT_BORROW","1993-06-18","2026-05-02","Per=Y","Days=T","Dir=V")</f>
        <v>0</v>
      </c>
      <c r="K2">
        <f>BDH("NNE US Equity","BS_CASH_NEAR_CASH_ITEM","1993-06-18","2026-05-02","Per=Y","Days=T","Dir=V")</f>
        <v>0</v>
      </c>
      <c r="M2">
        <f>BDH("NNE US Equity","BS_CUR_ASSET_REPORT","1993-06-18","2026-05-02","Per=Y","Days=T","Dir=V")</f>
        <v>0</v>
      </c>
      <c r="O2">
        <f>BDH("NNE US Equity","BS_CUR_LIAB","1993-06-18","2026-05-02","Per=Y","Days=T","Dir=V")</f>
        <v>0</v>
      </c>
      <c r="Q2">
        <f>BDH("NNE US Equity","BS_SHAREHOLDER_EQY_ENDING_PERIOD","1993-06-18","2026-05-02","Per=Y","Days=T","Dir=V")</f>
        <v>0</v>
      </c>
      <c r="S2">
        <f>BDH("NNE US Equity","BS_ACCT_NOTE_RCV","1993-06-18","2026-05-02","Per=Y","Days=T","Dir=V")</f>
        <v>0</v>
      </c>
      <c r="U2">
        <f>BDH("NNE US Equity","BS_INVENTORIES","1993-06-18","2026-05-02","Per=Y","Days=T","Dir=V")</f>
        <v>0</v>
      </c>
      <c r="W2">
        <f>BDH("NNE US Equity","WORKING_CAPITAL","1993-06-18","2026-05-02","Per=Y","Days=T","Dir=V")</f>
        <v>0</v>
      </c>
      <c r="Y2">
        <f>BDH("NNE US Equity","SALES_REV_TURN","1993-06-18","2026-05-02","Per=Y","Days=T","Dir=V")</f>
        <v>0</v>
      </c>
      <c r="AA2">
        <f>BDH("NNE US Equity","EBIT","1993-06-18","2026-05-02","Per=Y","Days=T","Dir=V")</f>
        <v>0</v>
      </c>
      <c r="AC2">
        <f>BDH("NNE US Equity","EBITDA","1993-06-18","2026-05-02","Per=Y","Days=T","Dir=V")</f>
        <v>0</v>
      </c>
      <c r="AE2">
        <f>BDH("NNE US Equity","NET_INCOME","1993-06-18","2026-05-02","Per=Y","Days=T","Dir=V")</f>
        <v>0</v>
      </c>
      <c r="AG2">
        <f>BDH("NNE US Equity","IS_INT_EXPENSE","1993-06-18","2026-05-02","Per=Y","Days=T","Dir=V")</f>
        <v>0</v>
      </c>
      <c r="AI2">
        <f>BDH("NNE US Equity","IS_DEPR_EXP","1993-06-18","2026-05-02","Per=Y","Days=T","Dir=V")</f>
        <v>0</v>
      </c>
      <c r="AK2">
        <f>BDH("NNE US Equity","CF_CASH_FROM_OPER","1993-06-18","2026-05-02","Per=Y","Days=T","Dir=V")</f>
        <v>0</v>
      </c>
      <c r="AM2">
        <f>BDH("NNE US Equity","CAPITAL_EXPEND","1993-06-18","2026-05-02","Per=Y","Days=T","Dir=V")</f>
        <v>0</v>
      </c>
      <c r="AO2">
        <f>BDH("NNE US Equity","CF_FREE_CASH_FLOW","1993-06-18","2026-05-02","Per=Y","Days=T","Dir=V")</f>
        <v>0</v>
      </c>
      <c r="AQ2">
        <f>BDH("NNE US Equity","PX_LAST","1993-06-18","2026-05-02","Per=M","Days=T","Dir=V")</f>
        <v>0</v>
      </c>
      <c r="AS2">
        <f>BDH("NNE US Equity","CUR_MKT_CAP","1993-06-18","2026-05-02","Per=M","Days=T","Dir=V")</f>
        <v>0</v>
      </c>
      <c r="AU2">
        <f>BDH("NNE US Equity","EQY_SH_OUT","1993-06-18","2026-05-02","Per=M","Days=T","Dir=V")</f>
        <v>0</v>
      </c>
      <c r="AW2">
        <f>BDH("NNE US Equity","PX_VOLUME","1993-06-18","2026-05-02","Per=M","Days=T","Dir=V")</f>
        <v>0</v>
      </c>
      <c r="AY2">
        <f>BDH("NNE US Equity","TURNOVER","1993-06-18","2026-05-02","Per=M","Days=T","Dir=V")</f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BDH("NNVC US Equity","BS_TOT_ASSET","1993-06-18","2026-05-02","Per=Y","Days=T","Dir=V")</f>
        <v>0</v>
      </c>
      <c r="C2">
        <f>BDH("NNVC US Equity","BS_TOT_LIAB2","1993-06-18","2026-05-02","Per=Y","Days=T","Dir=V")</f>
        <v>0</v>
      </c>
      <c r="E2">
        <f>BDH("NNVC US Equity","SHORT_AND_LONG_TERM_DEBT","1993-06-18","2026-05-02","Per=Y","Days=T","Dir=V")</f>
        <v>0</v>
      </c>
      <c r="G2">
        <f>BDH("NNVC US Equity","BS_ST_BORROW","1993-06-18","2026-05-02","Per=Y","Days=T","Dir=V")</f>
        <v>0</v>
      </c>
      <c r="I2">
        <f>BDH("NNVC US Equity","BS_LT_BORROW","1993-06-18","2026-05-02","Per=Y","Days=T","Dir=V")</f>
        <v>0</v>
      </c>
      <c r="K2">
        <f>BDH("NNVC US Equity","BS_CASH_NEAR_CASH_ITEM","1993-06-18","2026-05-02","Per=Y","Days=T","Dir=V")</f>
        <v>0</v>
      </c>
      <c r="M2">
        <f>BDH("NNVC US Equity","BS_CUR_ASSET_REPORT","1993-06-18","2026-05-02","Per=Y","Days=T","Dir=V")</f>
        <v>0</v>
      </c>
      <c r="O2">
        <f>BDH("NNVC US Equity","BS_CUR_LIAB","1993-06-18","2026-05-02","Per=Y","Days=T","Dir=V")</f>
        <v>0</v>
      </c>
      <c r="Q2">
        <f>BDH("NNVC US Equity","BS_SHAREHOLDER_EQY_ENDING_PERIOD","1993-06-18","2026-05-02","Per=Y","Days=T","Dir=V")</f>
        <v>0</v>
      </c>
      <c r="S2">
        <f>BDH("NNVC US Equity","BS_ACCT_NOTE_RCV","1993-06-18","2026-05-02","Per=Y","Days=T","Dir=V")</f>
        <v>0</v>
      </c>
      <c r="U2">
        <f>BDH("NNVC US Equity","BS_INVENTORIES","1993-06-18","2026-05-02","Per=Y","Days=T","Dir=V")</f>
        <v>0</v>
      </c>
      <c r="W2">
        <f>BDH("NNVC US Equity","WORKING_CAPITAL","1993-06-18","2026-05-02","Per=Y","Days=T","Dir=V")</f>
        <v>0</v>
      </c>
      <c r="Y2">
        <f>BDH("NNVC US Equity","SALES_REV_TURN","1993-06-18","2026-05-02","Per=Y","Days=T","Dir=V")</f>
        <v>0</v>
      </c>
      <c r="AA2">
        <f>BDH("NNVC US Equity","EBIT","1993-06-18","2026-05-02","Per=Y","Days=T","Dir=V")</f>
        <v>0</v>
      </c>
      <c r="AC2">
        <f>BDH("NNVC US Equity","EBITDA","1993-06-18","2026-05-02","Per=Y","Days=T","Dir=V")</f>
        <v>0</v>
      </c>
      <c r="AE2">
        <f>BDH("NNVC US Equity","NET_INCOME","1993-06-18","2026-05-02","Per=Y","Days=T","Dir=V")</f>
        <v>0</v>
      </c>
      <c r="AG2">
        <f>BDH("NNVC US Equity","IS_INT_EXPENSE","1993-06-18","2026-05-02","Per=Y","Days=T","Dir=V")</f>
        <v>0</v>
      </c>
      <c r="AI2">
        <f>BDH("NNVC US Equity","IS_DEPR_EXP","1993-06-18","2026-05-02","Per=Y","Days=T","Dir=V")</f>
        <v>0</v>
      </c>
      <c r="AK2">
        <f>BDH("NNVC US Equity","CF_CASH_FROM_OPER","1993-06-18","2026-05-02","Per=Y","Days=T","Dir=V")</f>
        <v>0</v>
      </c>
      <c r="AM2">
        <f>BDH("NNVC US Equity","CAPITAL_EXPEND","1993-06-18","2026-05-02","Per=Y","Days=T","Dir=V")</f>
        <v>0</v>
      </c>
      <c r="AO2">
        <f>BDH("NNVC US Equity","CF_FREE_CASH_FLOW","1993-06-18","2026-05-02","Per=Y","Days=T","Dir=V")</f>
        <v>0</v>
      </c>
      <c r="AQ2">
        <f>BDH("NNVC US Equity","PX_LAST","1993-06-18","2026-05-02","Per=M","Days=T","Dir=V")</f>
        <v>0</v>
      </c>
      <c r="AS2">
        <f>BDH("NNVC US Equity","CUR_MKT_CAP","1993-06-18","2026-05-02","Per=M","Days=T","Dir=V")</f>
        <v>0</v>
      </c>
      <c r="AU2">
        <f>BDH("NNVC US Equity","EQY_SH_OUT","1993-06-18","2026-05-02","Per=M","Days=T","Dir=V")</f>
        <v>0</v>
      </c>
      <c r="AW2">
        <f>BDH("NNVC US Equity","PX_VOLUME","1993-06-18","2026-05-02","Per=M","Days=T","Dir=V")</f>
        <v>0</v>
      </c>
      <c r="AY2">
        <f>BDH("NNVC US Equity","TURNOVER","1993-06-18","2026-05-02","Per=M","Days=T","Dir=V")</f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BDH("NOC US Equity","BS_TOT_ASSET","1993-06-18","2026-05-02","Per=Y","Days=T","Dir=V")</f>
        <v>0</v>
      </c>
      <c r="C2">
        <f>BDH("NOC US Equity","BS_TOT_LIAB2","1993-06-18","2026-05-02","Per=Y","Days=T","Dir=V")</f>
        <v>0</v>
      </c>
      <c r="E2">
        <f>BDH("NOC US Equity","SHORT_AND_LONG_TERM_DEBT","1993-06-18","2026-05-02","Per=Y","Days=T","Dir=V")</f>
        <v>0</v>
      </c>
      <c r="G2">
        <f>BDH("NOC US Equity","BS_ST_BORROW","1993-06-18","2026-05-02","Per=Y","Days=T","Dir=V")</f>
        <v>0</v>
      </c>
      <c r="I2">
        <f>BDH("NOC US Equity","BS_LT_BORROW","1993-06-18","2026-05-02","Per=Y","Days=T","Dir=V")</f>
        <v>0</v>
      </c>
      <c r="K2">
        <f>BDH("NOC US Equity","BS_CASH_NEAR_CASH_ITEM","1993-06-18","2026-05-02","Per=Y","Days=T","Dir=V")</f>
        <v>0</v>
      </c>
      <c r="M2">
        <f>BDH("NOC US Equity","BS_CUR_ASSET_REPORT","1993-06-18","2026-05-02","Per=Y","Days=T","Dir=V")</f>
        <v>0</v>
      </c>
      <c r="O2">
        <f>BDH("NOC US Equity","BS_CUR_LIAB","1993-06-18","2026-05-02","Per=Y","Days=T","Dir=V")</f>
        <v>0</v>
      </c>
      <c r="Q2">
        <f>BDH("NOC US Equity","BS_SHAREHOLDER_EQY_ENDING_PERIOD","1993-06-18","2026-05-02","Per=Y","Days=T","Dir=V")</f>
        <v>0</v>
      </c>
      <c r="S2">
        <f>BDH("NOC US Equity","BS_ACCT_NOTE_RCV","1993-06-18","2026-05-02","Per=Y","Days=T","Dir=V")</f>
        <v>0</v>
      </c>
      <c r="U2">
        <f>BDH("NOC US Equity","BS_INVENTORIES","1993-06-18","2026-05-02","Per=Y","Days=T","Dir=V")</f>
        <v>0</v>
      </c>
      <c r="W2">
        <f>BDH("NOC US Equity","WORKING_CAPITAL","1993-06-18","2026-05-02","Per=Y","Days=T","Dir=V")</f>
        <v>0</v>
      </c>
      <c r="Y2">
        <f>BDH("NOC US Equity","SALES_REV_TURN","1993-06-18","2026-05-02","Per=Y","Days=T","Dir=V")</f>
        <v>0</v>
      </c>
      <c r="AA2">
        <f>BDH("NOC US Equity","EBIT","1993-06-18","2026-05-02","Per=Y","Days=T","Dir=V")</f>
        <v>0</v>
      </c>
      <c r="AC2">
        <f>BDH("NOC US Equity","EBITDA","1993-06-18","2026-05-02","Per=Y","Days=T","Dir=V")</f>
        <v>0</v>
      </c>
      <c r="AE2">
        <f>BDH("NOC US Equity","NET_INCOME","1993-06-18","2026-05-02","Per=Y","Days=T","Dir=V")</f>
        <v>0</v>
      </c>
      <c r="AG2">
        <f>BDH("NOC US Equity","IS_INT_EXPENSE","1993-06-18","2026-05-02","Per=Y","Days=T","Dir=V")</f>
        <v>0</v>
      </c>
      <c r="AI2">
        <f>BDH("NOC US Equity","IS_DEPR_EXP","1993-06-18","2026-05-02","Per=Y","Days=T","Dir=V")</f>
        <v>0</v>
      </c>
      <c r="AK2">
        <f>BDH("NOC US Equity","CF_CASH_FROM_OPER","1993-06-18","2026-05-02","Per=Y","Days=T","Dir=V")</f>
        <v>0</v>
      </c>
      <c r="AM2">
        <f>BDH("NOC US Equity","CAPITAL_EXPEND","1993-06-18","2026-05-02","Per=Y","Days=T","Dir=V")</f>
        <v>0</v>
      </c>
      <c r="AO2">
        <f>BDH("NOC US Equity","CF_FREE_CASH_FLOW","1993-06-18","2026-05-02","Per=Y","Days=T","Dir=V")</f>
        <v>0</v>
      </c>
      <c r="AQ2">
        <f>BDH("NOC US Equity","PX_LAST","1993-06-18","2026-05-02","Per=M","Days=T","Dir=V")</f>
        <v>0</v>
      </c>
      <c r="AS2">
        <f>BDH("NOC US Equity","CUR_MKT_CAP","1993-06-18","2026-05-02","Per=M","Days=T","Dir=V")</f>
        <v>0</v>
      </c>
      <c r="AU2">
        <f>BDH("NOC US Equity","EQY_SH_OUT","1993-06-18","2026-05-02","Per=M","Days=T","Dir=V")</f>
        <v>0</v>
      </c>
      <c r="AW2">
        <f>BDH("NOC US Equity","PX_VOLUME","1993-06-18","2026-05-02","Per=M","Days=T","Dir=V")</f>
        <v>0</v>
      </c>
      <c r="AY2">
        <f>BDH("NOC US Equity","TURNOVER","1993-06-18","2026-05-02","Per=M","Days=T","Dir=V")</f>
        <v>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BDH("NOG US Equity","BS_TOT_ASSET","1993-06-18","2026-05-02","Per=Y","Days=T","Dir=V")</f>
        <v>0</v>
      </c>
      <c r="C2">
        <f>BDH("NOG US Equity","BS_TOT_LIAB2","1993-06-18","2026-05-02","Per=Y","Days=T","Dir=V")</f>
        <v>0</v>
      </c>
      <c r="E2">
        <f>BDH("NOG US Equity","SHORT_AND_LONG_TERM_DEBT","1993-06-18","2026-05-02","Per=Y","Days=T","Dir=V")</f>
        <v>0</v>
      </c>
      <c r="G2">
        <f>BDH("NOG US Equity","BS_ST_BORROW","1993-06-18","2026-05-02","Per=Y","Days=T","Dir=V")</f>
        <v>0</v>
      </c>
      <c r="I2">
        <f>BDH("NOG US Equity","BS_LT_BORROW","1993-06-18","2026-05-02","Per=Y","Days=T","Dir=V")</f>
        <v>0</v>
      </c>
      <c r="K2">
        <f>BDH("NOG US Equity","BS_CASH_NEAR_CASH_ITEM","1993-06-18","2026-05-02","Per=Y","Days=T","Dir=V")</f>
        <v>0</v>
      </c>
      <c r="M2">
        <f>BDH("NOG US Equity","BS_CUR_ASSET_REPORT","1993-06-18","2026-05-02","Per=Y","Days=T","Dir=V")</f>
        <v>0</v>
      </c>
      <c r="O2">
        <f>BDH("NOG US Equity","BS_CUR_LIAB","1993-06-18","2026-05-02","Per=Y","Days=T","Dir=V")</f>
        <v>0</v>
      </c>
      <c r="Q2">
        <f>BDH("NOG US Equity","BS_SHAREHOLDER_EQY_ENDING_PERIOD","1993-06-18","2026-05-02","Per=Y","Days=T","Dir=V")</f>
        <v>0</v>
      </c>
      <c r="S2">
        <f>BDH("NOG US Equity","BS_ACCT_NOTE_RCV","1993-06-18","2026-05-02","Per=Y","Days=T","Dir=V")</f>
        <v>0</v>
      </c>
      <c r="U2">
        <f>BDH("NOG US Equity","BS_INVENTORIES","1993-06-18","2026-05-02","Per=Y","Days=T","Dir=V")</f>
        <v>0</v>
      </c>
      <c r="W2">
        <f>BDH("NOG US Equity","WORKING_CAPITAL","1993-06-18","2026-05-02","Per=Y","Days=T","Dir=V")</f>
        <v>0</v>
      </c>
      <c r="Y2">
        <f>BDH("NOG US Equity","SALES_REV_TURN","1993-06-18","2026-05-02","Per=Y","Days=T","Dir=V")</f>
        <v>0</v>
      </c>
      <c r="AA2">
        <f>BDH("NOG US Equity","EBIT","1993-06-18","2026-05-02","Per=Y","Days=T","Dir=V")</f>
        <v>0</v>
      </c>
      <c r="AC2">
        <f>BDH("NOG US Equity","EBITDA","1993-06-18","2026-05-02","Per=Y","Days=T","Dir=V")</f>
        <v>0</v>
      </c>
      <c r="AE2">
        <f>BDH("NOG US Equity","NET_INCOME","1993-06-18","2026-05-02","Per=Y","Days=T","Dir=V")</f>
        <v>0</v>
      </c>
      <c r="AG2">
        <f>BDH("NOG US Equity","IS_INT_EXPENSE","1993-06-18","2026-05-02","Per=Y","Days=T","Dir=V")</f>
        <v>0</v>
      </c>
      <c r="AI2">
        <f>BDH("NOG US Equity","IS_DEPR_EXP","1993-06-18","2026-05-02","Per=Y","Days=T","Dir=V")</f>
        <v>0</v>
      </c>
      <c r="AK2">
        <f>BDH("NOG US Equity","CF_CASH_FROM_OPER","1993-06-18","2026-05-02","Per=Y","Days=T","Dir=V")</f>
        <v>0</v>
      </c>
      <c r="AM2">
        <f>BDH("NOG US Equity","CAPITAL_EXPEND","1993-06-18","2026-05-02","Per=Y","Days=T","Dir=V")</f>
        <v>0</v>
      </c>
      <c r="AO2">
        <f>BDH("NOG US Equity","CF_FREE_CASH_FLOW","1993-06-18","2026-05-02","Per=Y","Days=T","Dir=V")</f>
        <v>0</v>
      </c>
      <c r="AQ2">
        <f>BDH("NOG US Equity","PX_LAST","1993-06-18","2026-05-02","Per=M","Days=T","Dir=V")</f>
        <v>0</v>
      </c>
      <c r="AS2">
        <f>BDH("NOG US Equity","CUR_MKT_CAP","1993-06-18","2026-05-02","Per=M","Days=T","Dir=V")</f>
        <v>0</v>
      </c>
      <c r="AU2">
        <f>BDH("NOG US Equity","EQY_SH_OUT","1993-06-18","2026-05-02","Per=M","Days=T","Dir=V")</f>
        <v>0</v>
      </c>
      <c r="AW2">
        <f>BDH("NOG US Equity","PX_VOLUME","1993-06-18","2026-05-02","Per=M","Days=T","Dir=V")</f>
        <v>0</v>
      </c>
      <c r="AY2">
        <f>BDH("NOG US Equity","TURNOVER","1993-06-18","2026-05-02","Per=M","Days=T","Dir=V")</f>
        <v>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BDH("NOMA US Equity","BS_TOT_ASSET","1993-06-18","2026-05-02","Per=Y","Days=T","Dir=V")</f>
        <v>0</v>
      </c>
      <c r="C2">
        <f>BDH("NOMA US Equity","BS_TOT_LIAB2","1993-06-18","2026-05-02","Per=Y","Days=T","Dir=V")</f>
        <v>0</v>
      </c>
      <c r="E2">
        <f>BDH("NOMA US Equity","SHORT_AND_LONG_TERM_DEBT","1993-06-18","2026-05-02","Per=Y","Days=T","Dir=V")</f>
        <v>0</v>
      </c>
      <c r="G2">
        <f>BDH("NOMA US Equity","BS_ST_BORROW","1993-06-18","2026-05-02","Per=Y","Days=T","Dir=V")</f>
        <v>0</v>
      </c>
      <c r="I2">
        <f>BDH("NOMA US Equity","BS_LT_BORROW","1993-06-18","2026-05-02","Per=Y","Days=T","Dir=V")</f>
        <v>0</v>
      </c>
      <c r="K2">
        <f>BDH("NOMA US Equity","BS_CASH_NEAR_CASH_ITEM","1993-06-18","2026-05-02","Per=Y","Days=T","Dir=V")</f>
        <v>0</v>
      </c>
      <c r="M2">
        <f>BDH("NOMA US Equity","BS_CUR_ASSET_REPORT","1993-06-18","2026-05-02","Per=Y","Days=T","Dir=V")</f>
        <v>0</v>
      </c>
      <c r="O2">
        <f>BDH("NOMA US Equity","BS_CUR_LIAB","1993-06-18","2026-05-02","Per=Y","Days=T","Dir=V")</f>
        <v>0</v>
      </c>
      <c r="Q2">
        <f>BDH("NOMA US Equity","BS_SHAREHOLDER_EQY_ENDING_PERIOD","1993-06-18","2026-05-02","Per=Y","Days=T","Dir=V")</f>
        <v>0</v>
      </c>
      <c r="S2">
        <f>BDH("NOMA US Equity","BS_ACCT_NOTE_RCV","1993-06-18","2026-05-02","Per=Y","Days=T","Dir=V")</f>
        <v>0</v>
      </c>
      <c r="U2">
        <f>BDH("NOMA US Equity","BS_INVENTORIES","1993-06-18","2026-05-02","Per=Y","Days=T","Dir=V")</f>
        <v>0</v>
      </c>
      <c r="W2">
        <f>BDH("NOMA US Equity","WORKING_CAPITAL","1993-06-18","2026-05-02","Per=Y","Days=T","Dir=V")</f>
        <v>0</v>
      </c>
      <c r="Y2">
        <f>BDH("NOMA US Equity","SALES_REV_TURN","1993-06-18","2026-05-02","Per=Y","Days=T","Dir=V")</f>
        <v>0</v>
      </c>
      <c r="AA2">
        <f>BDH("NOMA US Equity","EBIT","1993-06-18","2026-05-02","Per=Y","Days=T","Dir=V")</f>
        <v>0</v>
      </c>
      <c r="AC2">
        <f>BDH("NOMA US Equity","EBITDA","1993-06-18","2026-05-02","Per=Y","Days=T","Dir=V")</f>
        <v>0</v>
      </c>
      <c r="AE2">
        <f>BDH("NOMA US Equity","NET_INCOME","1993-06-18","2026-05-02","Per=Y","Days=T","Dir=V")</f>
        <v>0</v>
      </c>
      <c r="AG2">
        <f>BDH("NOMA US Equity","IS_INT_EXPENSE","1993-06-18","2026-05-02","Per=Y","Days=T","Dir=V")</f>
        <v>0</v>
      </c>
      <c r="AI2">
        <f>BDH("NOMA US Equity","IS_DEPR_EXP","1993-06-18","2026-05-02","Per=Y","Days=T","Dir=V")</f>
        <v>0</v>
      </c>
      <c r="AK2">
        <f>BDH("NOMA US Equity","CF_CASH_FROM_OPER","1993-06-18","2026-05-02","Per=Y","Days=T","Dir=V")</f>
        <v>0</v>
      </c>
      <c r="AM2">
        <f>BDH("NOMA US Equity","CAPITAL_EXPEND","1993-06-18","2026-05-02","Per=Y","Days=T","Dir=V")</f>
        <v>0</v>
      </c>
      <c r="AO2">
        <f>BDH("NOMA US Equity","CF_FREE_CASH_FLOW","1993-06-18","2026-05-02","Per=Y","Days=T","Dir=V")</f>
        <v>0</v>
      </c>
      <c r="AQ2">
        <f>BDH("NOMA US Equity","PX_LAST","1993-06-18","2026-05-02","Per=M","Days=T","Dir=V")</f>
        <v>0</v>
      </c>
      <c r="AS2">
        <f>BDH("NOMA US Equity","CUR_MKT_CAP","1993-06-18","2026-05-02","Per=M","Days=T","Dir=V")</f>
        <v>0</v>
      </c>
      <c r="AU2">
        <f>BDH("NOMA US Equity","EQY_SH_OUT","1993-06-18","2026-05-02","Per=M","Days=T","Dir=V")</f>
        <v>0</v>
      </c>
      <c r="AW2">
        <f>BDH("NOMA US Equity","PX_VOLUME","1993-06-18","2026-05-02","Per=M","Days=T","Dir=V")</f>
        <v>0</v>
      </c>
      <c r="AY2">
        <f>BDH("NOMA US Equity","TURNOVER","1993-06-18","2026-05-02","Per=M","Days=T","Dir=V")</f>
        <v>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BDH("NOV US Equity","BS_TOT_ASSET","1993-06-18","2026-05-02","Per=Y","Days=T","Dir=V")</f>
        <v>0</v>
      </c>
      <c r="C2">
        <f>BDH("NOV US Equity","BS_TOT_LIAB2","1993-06-18","2026-05-02","Per=Y","Days=T","Dir=V")</f>
        <v>0</v>
      </c>
      <c r="E2">
        <f>BDH("NOV US Equity","SHORT_AND_LONG_TERM_DEBT","1993-06-18","2026-05-02","Per=Y","Days=T","Dir=V")</f>
        <v>0</v>
      </c>
      <c r="G2">
        <f>BDH("NOV US Equity","BS_ST_BORROW","1993-06-18","2026-05-02","Per=Y","Days=T","Dir=V")</f>
        <v>0</v>
      </c>
      <c r="I2">
        <f>BDH("NOV US Equity","BS_LT_BORROW","1993-06-18","2026-05-02","Per=Y","Days=T","Dir=V")</f>
        <v>0</v>
      </c>
      <c r="K2">
        <f>BDH("NOV US Equity","BS_CASH_NEAR_CASH_ITEM","1993-06-18","2026-05-02","Per=Y","Days=T","Dir=V")</f>
        <v>0</v>
      </c>
      <c r="M2">
        <f>BDH("NOV US Equity","BS_CUR_ASSET_REPORT","1993-06-18","2026-05-02","Per=Y","Days=T","Dir=V")</f>
        <v>0</v>
      </c>
      <c r="O2">
        <f>BDH("NOV US Equity","BS_CUR_LIAB","1993-06-18","2026-05-02","Per=Y","Days=T","Dir=V")</f>
        <v>0</v>
      </c>
      <c r="Q2">
        <f>BDH("NOV US Equity","BS_SHAREHOLDER_EQY_ENDING_PERIOD","1993-06-18","2026-05-02","Per=Y","Days=T","Dir=V")</f>
        <v>0</v>
      </c>
      <c r="S2">
        <f>BDH("NOV US Equity","BS_ACCT_NOTE_RCV","1993-06-18","2026-05-02","Per=Y","Days=T","Dir=V")</f>
        <v>0</v>
      </c>
      <c r="U2">
        <f>BDH("NOV US Equity","BS_INVENTORIES","1993-06-18","2026-05-02","Per=Y","Days=T","Dir=V")</f>
        <v>0</v>
      </c>
      <c r="W2">
        <f>BDH("NOV US Equity","WORKING_CAPITAL","1993-06-18","2026-05-02","Per=Y","Days=T","Dir=V")</f>
        <v>0</v>
      </c>
      <c r="Y2">
        <f>BDH("NOV US Equity","SALES_REV_TURN","1993-06-18","2026-05-02","Per=Y","Days=T","Dir=V")</f>
        <v>0</v>
      </c>
      <c r="AA2">
        <f>BDH("NOV US Equity","EBIT","1993-06-18","2026-05-02","Per=Y","Days=T","Dir=V")</f>
        <v>0</v>
      </c>
      <c r="AC2">
        <f>BDH("NOV US Equity","EBITDA","1993-06-18","2026-05-02","Per=Y","Days=T","Dir=V")</f>
        <v>0</v>
      </c>
      <c r="AE2">
        <f>BDH("NOV US Equity","NET_INCOME","1993-06-18","2026-05-02","Per=Y","Days=T","Dir=V")</f>
        <v>0</v>
      </c>
      <c r="AG2">
        <f>BDH("NOV US Equity","IS_INT_EXPENSE","1993-06-18","2026-05-02","Per=Y","Days=T","Dir=V")</f>
        <v>0</v>
      </c>
      <c r="AI2">
        <f>BDH("NOV US Equity","IS_DEPR_EXP","1993-06-18","2026-05-02","Per=Y","Days=T","Dir=V")</f>
        <v>0</v>
      </c>
      <c r="AK2">
        <f>BDH("NOV US Equity","CF_CASH_FROM_OPER","1993-06-18","2026-05-02","Per=Y","Days=T","Dir=V")</f>
        <v>0</v>
      </c>
      <c r="AM2">
        <f>BDH("NOV US Equity","CAPITAL_EXPEND","1993-06-18","2026-05-02","Per=Y","Days=T","Dir=V")</f>
        <v>0</v>
      </c>
      <c r="AO2">
        <f>BDH("NOV US Equity","CF_FREE_CASH_FLOW","1993-06-18","2026-05-02","Per=Y","Days=T","Dir=V")</f>
        <v>0</v>
      </c>
      <c r="AQ2">
        <f>BDH("NOV US Equity","PX_LAST","1993-06-18","2026-05-02","Per=M","Days=T","Dir=V")</f>
        <v>0</v>
      </c>
      <c r="AS2">
        <f>BDH("NOV US Equity","CUR_MKT_CAP","1993-06-18","2026-05-02","Per=M","Days=T","Dir=V")</f>
        <v>0</v>
      </c>
      <c r="AU2">
        <f>BDH("NOV US Equity","EQY_SH_OUT","1993-06-18","2026-05-02","Per=M","Days=T","Dir=V")</f>
        <v>0</v>
      </c>
      <c r="AW2">
        <f>BDH("NOV US Equity","PX_VOLUME","1993-06-18","2026-05-02","Per=M","Days=T","Dir=V")</f>
        <v>0</v>
      </c>
      <c r="AY2">
        <f>BDH("NOV US Equity","TURNOVER","1993-06-18","2026-05-02","Per=M","Days=T","Dir=V")</f>
        <v>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BDH("NOW US Equity","BS_TOT_ASSET","1993-06-18","2026-05-02","Per=Y","Days=T","Dir=V")</f>
        <v>0</v>
      </c>
      <c r="C2">
        <f>BDH("NOW US Equity","BS_TOT_LIAB2","1993-06-18","2026-05-02","Per=Y","Days=T","Dir=V")</f>
        <v>0</v>
      </c>
      <c r="E2">
        <f>BDH("NOW US Equity","SHORT_AND_LONG_TERM_DEBT","1993-06-18","2026-05-02","Per=Y","Days=T","Dir=V")</f>
        <v>0</v>
      </c>
      <c r="G2">
        <f>BDH("NOW US Equity","BS_ST_BORROW","1993-06-18","2026-05-02","Per=Y","Days=T","Dir=V")</f>
        <v>0</v>
      </c>
      <c r="I2">
        <f>BDH("NOW US Equity","BS_LT_BORROW","1993-06-18","2026-05-02","Per=Y","Days=T","Dir=V")</f>
        <v>0</v>
      </c>
      <c r="K2">
        <f>BDH("NOW US Equity","BS_CASH_NEAR_CASH_ITEM","1993-06-18","2026-05-02","Per=Y","Days=T","Dir=V")</f>
        <v>0</v>
      </c>
      <c r="M2">
        <f>BDH("NOW US Equity","BS_CUR_ASSET_REPORT","1993-06-18","2026-05-02","Per=Y","Days=T","Dir=V")</f>
        <v>0</v>
      </c>
      <c r="O2">
        <f>BDH("NOW US Equity","BS_CUR_LIAB","1993-06-18","2026-05-02","Per=Y","Days=T","Dir=V")</f>
        <v>0</v>
      </c>
      <c r="Q2">
        <f>BDH("NOW US Equity","BS_SHAREHOLDER_EQY_ENDING_PERIOD","1993-06-18","2026-05-02","Per=Y","Days=T","Dir=V")</f>
        <v>0</v>
      </c>
      <c r="S2">
        <f>BDH("NOW US Equity","BS_ACCT_NOTE_RCV","1993-06-18","2026-05-02","Per=Y","Days=T","Dir=V")</f>
        <v>0</v>
      </c>
      <c r="U2">
        <f>BDH("NOW US Equity","BS_INVENTORIES","1993-06-18","2026-05-02","Per=Y","Days=T","Dir=V")</f>
        <v>0</v>
      </c>
      <c r="W2">
        <f>BDH("NOW US Equity","WORKING_CAPITAL","1993-06-18","2026-05-02","Per=Y","Days=T","Dir=V")</f>
        <v>0</v>
      </c>
      <c r="Y2">
        <f>BDH("NOW US Equity","SALES_REV_TURN","1993-06-18","2026-05-02","Per=Y","Days=T","Dir=V")</f>
        <v>0</v>
      </c>
      <c r="AA2">
        <f>BDH("NOW US Equity","EBIT","1993-06-18","2026-05-02","Per=Y","Days=T","Dir=V")</f>
        <v>0</v>
      </c>
      <c r="AC2">
        <f>BDH("NOW US Equity","EBITDA","1993-06-18","2026-05-02","Per=Y","Days=T","Dir=V")</f>
        <v>0</v>
      </c>
      <c r="AE2">
        <f>BDH("NOW US Equity","NET_INCOME","1993-06-18","2026-05-02","Per=Y","Days=T","Dir=V")</f>
        <v>0</v>
      </c>
      <c r="AG2">
        <f>BDH("NOW US Equity","IS_INT_EXPENSE","1993-06-18","2026-05-02","Per=Y","Days=T","Dir=V")</f>
        <v>0</v>
      </c>
      <c r="AI2">
        <f>BDH("NOW US Equity","IS_DEPR_EXP","1993-06-18","2026-05-02","Per=Y","Days=T","Dir=V")</f>
        <v>0</v>
      </c>
      <c r="AK2">
        <f>BDH("NOW US Equity","CF_CASH_FROM_OPER","1993-06-18","2026-05-02","Per=Y","Days=T","Dir=V")</f>
        <v>0</v>
      </c>
      <c r="AM2">
        <f>BDH("NOW US Equity","CAPITAL_EXPEND","1993-06-18","2026-05-02","Per=Y","Days=T","Dir=V")</f>
        <v>0</v>
      </c>
      <c r="AO2">
        <f>BDH("NOW US Equity","CF_FREE_CASH_FLOW","1993-06-18","2026-05-02","Per=Y","Days=T","Dir=V")</f>
        <v>0</v>
      </c>
      <c r="AQ2">
        <f>BDH("NOW US Equity","PX_LAST","1993-06-18","2026-05-02","Per=M","Days=T","Dir=V")</f>
        <v>0</v>
      </c>
      <c r="AS2">
        <f>BDH("NOW US Equity","CUR_MKT_CAP","1993-06-18","2026-05-02","Per=M","Days=T","Dir=V")</f>
        <v>0</v>
      </c>
      <c r="AU2">
        <f>BDH("NOW US Equity","EQY_SH_OUT","1993-06-18","2026-05-02","Per=M","Days=T","Dir=V")</f>
        <v>0</v>
      </c>
      <c r="AW2">
        <f>BDH("NOW US Equity","PX_VOLUME","1993-06-18","2026-05-02","Per=M","Days=T","Dir=V")</f>
        <v>0</v>
      </c>
      <c r="AY2">
        <f>BDH("NOW US Equity","TURNOVER","1993-06-18","2026-05-02","Per=M","Days=T","Dir=V")</f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BDH("NPCE US Equity","BS_TOT_ASSET","1993-06-18","2026-05-02","Per=Y","Days=T","Dir=V")</f>
        <v>0</v>
      </c>
      <c r="C2">
        <f>BDH("NPCE US Equity","BS_TOT_LIAB2","1993-06-18","2026-05-02","Per=Y","Days=T","Dir=V")</f>
        <v>0</v>
      </c>
      <c r="E2">
        <f>BDH("NPCE US Equity","SHORT_AND_LONG_TERM_DEBT","1993-06-18","2026-05-02","Per=Y","Days=T","Dir=V")</f>
        <v>0</v>
      </c>
      <c r="G2">
        <f>BDH("NPCE US Equity","BS_ST_BORROW","1993-06-18","2026-05-02","Per=Y","Days=T","Dir=V")</f>
        <v>0</v>
      </c>
      <c r="I2">
        <f>BDH("NPCE US Equity","BS_LT_BORROW","1993-06-18","2026-05-02","Per=Y","Days=T","Dir=V")</f>
        <v>0</v>
      </c>
      <c r="K2">
        <f>BDH("NPCE US Equity","BS_CASH_NEAR_CASH_ITEM","1993-06-18","2026-05-02","Per=Y","Days=T","Dir=V")</f>
        <v>0</v>
      </c>
      <c r="M2">
        <f>BDH("NPCE US Equity","BS_CUR_ASSET_REPORT","1993-06-18","2026-05-02","Per=Y","Days=T","Dir=V")</f>
        <v>0</v>
      </c>
      <c r="O2">
        <f>BDH("NPCE US Equity","BS_CUR_LIAB","1993-06-18","2026-05-02","Per=Y","Days=T","Dir=V")</f>
        <v>0</v>
      </c>
      <c r="Q2">
        <f>BDH("NPCE US Equity","BS_SHAREHOLDER_EQY_ENDING_PERIOD","1993-06-18","2026-05-02","Per=Y","Days=T","Dir=V")</f>
        <v>0</v>
      </c>
      <c r="S2">
        <f>BDH("NPCE US Equity","BS_ACCT_NOTE_RCV","1993-06-18","2026-05-02","Per=Y","Days=T","Dir=V")</f>
        <v>0</v>
      </c>
      <c r="U2">
        <f>BDH("NPCE US Equity","BS_INVENTORIES","1993-06-18","2026-05-02","Per=Y","Days=T","Dir=V")</f>
        <v>0</v>
      </c>
      <c r="W2">
        <f>BDH("NPCE US Equity","WORKING_CAPITAL","1993-06-18","2026-05-02","Per=Y","Days=T","Dir=V")</f>
        <v>0</v>
      </c>
      <c r="Y2">
        <f>BDH("NPCE US Equity","SALES_REV_TURN","1993-06-18","2026-05-02","Per=Y","Days=T","Dir=V")</f>
        <v>0</v>
      </c>
      <c r="AA2">
        <f>BDH("NPCE US Equity","EBIT","1993-06-18","2026-05-02","Per=Y","Days=T","Dir=V")</f>
        <v>0</v>
      </c>
      <c r="AC2">
        <f>BDH("NPCE US Equity","EBITDA","1993-06-18","2026-05-02","Per=Y","Days=T","Dir=V")</f>
        <v>0</v>
      </c>
      <c r="AE2">
        <f>BDH("NPCE US Equity","NET_INCOME","1993-06-18","2026-05-02","Per=Y","Days=T","Dir=V")</f>
        <v>0</v>
      </c>
      <c r="AG2">
        <f>BDH("NPCE US Equity","IS_INT_EXPENSE","1993-06-18","2026-05-02","Per=Y","Days=T","Dir=V")</f>
        <v>0</v>
      </c>
      <c r="AI2">
        <f>BDH("NPCE US Equity","IS_DEPR_EXP","1993-06-18","2026-05-02","Per=Y","Days=T","Dir=V")</f>
        <v>0</v>
      </c>
      <c r="AK2">
        <f>BDH("NPCE US Equity","CF_CASH_FROM_OPER","1993-06-18","2026-05-02","Per=Y","Days=T","Dir=V")</f>
        <v>0</v>
      </c>
      <c r="AM2">
        <f>BDH("NPCE US Equity","CAPITAL_EXPEND","1993-06-18","2026-05-02","Per=Y","Days=T","Dir=V")</f>
        <v>0</v>
      </c>
      <c r="AO2">
        <f>BDH("NPCE US Equity","CF_FREE_CASH_FLOW","1993-06-18","2026-05-02","Per=Y","Days=T","Dir=V")</f>
        <v>0</v>
      </c>
      <c r="AQ2">
        <f>BDH("NPCE US Equity","PX_LAST","1993-06-18","2026-05-02","Per=M","Days=T","Dir=V")</f>
        <v>0</v>
      </c>
      <c r="AS2">
        <f>BDH("NPCE US Equity","CUR_MKT_CAP","1993-06-18","2026-05-02","Per=M","Days=T","Dir=V")</f>
        <v>0</v>
      </c>
      <c r="AU2">
        <f>BDH("NPCE US Equity","EQY_SH_OUT","1993-06-18","2026-05-02","Per=M","Days=T","Dir=V")</f>
        <v>0</v>
      </c>
      <c r="AW2">
        <f>BDH("NPCE US Equity","PX_VOLUME","1993-06-18","2026-05-02","Per=M","Days=T","Dir=V")</f>
        <v>0</v>
      </c>
      <c r="AY2">
        <f>BDH("NPCE US Equity","TURNOVER","1993-06-18","2026-05-02","Per=M","Days=T","Dir=V")</f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BDH("NPK US Equity","BS_TOT_ASSET","1993-06-18","2026-05-02","Per=Y","Days=T","Dir=V")</f>
        <v>0</v>
      </c>
      <c r="C2">
        <f>BDH("NPK US Equity","BS_TOT_LIAB2","1993-06-18","2026-05-02","Per=Y","Days=T","Dir=V")</f>
        <v>0</v>
      </c>
      <c r="E2">
        <f>BDH("NPK US Equity","SHORT_AND_LONG_TERM_DEBT","1993-06-18","2026-05-02","Per=Y","Days=T","Dir=V")</f>
        <v>0</v>
      </c>
      <c r="G2">
        <f>BDH("NPK US Equity","BS_ST_BORROW","1993-06-18","2026-05-02","Per=Y","Days=T","Dir=V")</f>
        <v>0</v>
      </c>
      <c r="I2">
        <f>BDH("NPK US Equity","BS_LT_BORROW","1993-06-18","2026-05-02","Per=Y","Days=T","Dir=V")</f>
        <v>0</v>
      </c>
      <c r="K2">
        <f>BDH("NPK US Equity","BS_CASH_NEAR_CASH_ITEM","1993-06-18","2026-05-02","Per=Y","Days=T","Dir=V")</f>
        <v>0</v>
      </c>
      <c r="M2">
        <f>BDH("NPK US Equity","BS_CUR_ASSET_REPORT","1993-06-18","2026-05-02","Per=Y","Days=T","Dir=V")</f>
        <v>0</v>
      </c>
      <c r="O2">
        <f>BDH("NPK US Equity","BS_CUR_LIAB","1993-06-18","2026-05-02","Per=Y","Days=T","Dir=V")</f>
        <v>0</v>
      </c>
      <c r="Q2">
        <f>BDH("NPK US Equity","BS_SHAREHOLDER_EQY_ENDING_PERIOD","1993-06-18","2026-05-02","Per=Y","Days=T","Dir=V")</f>
        <v>0</v>
      </c>
      <c r="S2">
        <f>BDH("NPK US Equity","BS_ACCT_NOTE_RCV","1993-06-18","2026-05-02","Per=Y","Days=T","Dir=V")</f>
        <v>0</v>
      </c>
      <c r="U2">
        <f>BDH("NPK US Equity","BS_INVENTORIES","1993-06-18","2026-05-02","Per=Y","Days=T","Dir=V")</f>
        <v>0</v>
      </c>
      <c r="W2">
        <f>BDH("NPK US Equity","WORKING_CAPITAL","1993-06-18","2026-05-02","Per=Y","Days=T","Dir=V")</f>
        <v>0</v>
      </c>
      <c r="Y2">
        <f>BDH("NPK US Equity","SALES_REV_TURN","1993-06-18","2026-05-02","Per=Y","Days=T","Dir=V")</f>
        <v>0</v>
      </c>
      <c r="AA2">
        <f>BDH("NPK US Equity","EBIT","1993-06-18","2026-05-02","Per=Y","Days=T","Dir=V")</f>
        <v>0</v>
      </c>
      <c r="AC2">
        <f>BDH("NPK US Equity","EBITDA","1993-06-18","2026-05-02","Per=Y","Days=T","Dir=V")</f>
        <v>0</v>
      </c>
      <c r="AE2">
        <f>BDH("NPK US Equity","NET_INCOME","1993-06-18","2026-05-02","Per=Y","Days=T","Dir=V")</f>
        <v>0</v>
      </c>
      <c r="AG2">
        <f>BDH("NPK US Equity","IS_INT_EXPENSE","1993-06-18","2026-05-02","Per=Y","Days=T","Dir=V")</f>
        <v>0</v>
      </c>
      <c r="AI2">
        <f>BDH("NPK US Equity","IS_DEPR_EXP","1993-06-18","2026-05-02","Per=Y","Days=T","Dir=V")</f>
        <v>0</v>
      </c>
      <c r="AK2">
        <f>BDH("NPK US Equity","CF_CASH_FROM_OPER","1993-06-18","2026-05-02","Per=Y","Days=T","Dir=V")</f>
        <v>0</v>
      </c>
      <c r="AM2">
        <f>BDH("NPK US Equity","CAPITAL_EXPEND","1993-06-18","2026-05-02","Per=Y","Days=T","Dir=V")</f>
        <v>0</v>
      </c>
      <c r="AO2">
        <f>BDH("NPK US Equity","CF_FREE_CASH_FLOW","1993-06-18","2026-05-02","Per=Y","Days=T","Dir=V")</f>
        <v>0</v>
      </c>
      <c r="AQ2">
        <f>BDH("NPK US Equity","PX_LAST","1993-06-18","2026-05-02","Per=M","Days=T","Dir=V")</f>
        <v>0</v>
      </c>
      <c r="AS2">
        <f>BDH("NPK US Equity","CUR_MKT_CAP","1993-06-18","2026-05-02","Per=M","Days=T","Dir=V")</f>
        <v>0</v>
      </c>
      <c r="AU2">
        <f>BDH("NPK US Equity","EQY_SH_OUT","1993-06-18","2026-05-02","Per=M","Days=T","Dir=V")</f>
        <v>0</v>
      </c>
      <c r="AW2">
        <f>BDH("NPK US Equity","PX_VOLUME","1993-06-18","2026-05-02","Per=M","Days=T","Dir=V")</f>
        <v>0</v>
      </c>
      <c r="AY2">
        <f>BDH("NPK US Equity","TURNOVER","1993-06-18","2026-05-02","Per=M","Days=T","Dir=V")</f>
        <v>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BDH("NPKI US Equity","BS_TOT_ASSET","1993-06-18","2026-05-02","Per=Y","Days=T","Dir=V")</f>
        <v>0</v>
      </c>
      <c r="C2">
        <f>BDH("NPKI US Equity","BS_TOT_LIAB2","1993-06-18","2026-05-02","Per=Y","Days=T","Dir=V")</f>
        <v>0</v>
      </c>
      <c r="E2">
        <f>BDH("NPKI US Equity","SHORT_AND_LONG_TERM_DEBT","1993-06-18","2026-05-02","Per=Y","Days=T","Dir=V")</f>
        <v>0</v>
      </c>
      <c r="G2">
        <f>BDH("NPKI US Equity","BS_ST_BORROW","1993-06-18","2026-05-02","Per=Y","Days=T","Dir=V")</f>
        <v>0</v>
      </c>
      <c r="I2">
        <f>BDH("NPKI US Equity","BS_LT_BORROW","1993-06-18","2026-05-02","Per=Y","Days=T","Dir=V")</f>
        <v>0</v>
      </c>
      <c r="K2">
        <f>BDH("NPKI US Equity","BS_CASH_NEAR_CASH_ITEM","1993-06-18","2026-05-02","Per=Y","Days=T","Dir=V")</f>
        <v>0</v>
      </c>
      <c r="M2">
        <f>BDH("NPKI US Equity","BS_CUR_ASSET_REPORT","1993-06-18","2026-05-02","Per=Y","Days=T","Dir=V")</f>
        <v>0</v>
      </c>
      <c r="O2">
        <f>BDH("NPKI US Equity","BS_CUR_LIAB","1993-06-18","2026-05-02","Per=Y","Days=T","Dir=V")</f>
        <v>0</v>
      </c>
      <c r="Q2">
        <f>BDH("NPKI US Equity","BS_SHAREHOLDER_EQY_ENDING_PERIOD","1993-06-18","2026-05-02","Per=Y","Days=T","Dir=V")</f>
        <v>0</v>
      </c>
      <c r="S2">
        <f>BDH("NPKI US Equity","BS_ACCT_NOTE_RCV","1993-06-18","2026-05-02","Per=Y","Days=T","Dir=V")</f>
        <v>0</v>
      </c>
      <c r="U2">
        <f>BDH("NPKI US Equity","BS_INVENTORIES","1993-06-18","2026-05-02","Per=Y","Days=T","Dir=V")</f>
        <v>0</v>
      </c>
      <c r="W2">
        <f>BDH("NPKI US Equity","WORKING_CAPITAL","1993-06-18","2026-05-02","Per=Y","Days=T","Dir=V")</f>
        <v>0</v>
      </c>
      <c r="Y2">
        <f>BDH("NPKI US Equity","SALES_REV_TURN","1993-06-18","2026-05-02","Per=Y","Days=T","Dir=V")</f>
        <v>0</v>
      </c>
      <c r="AA2">
        <f>BDH("NPKI US Equity","EBIT","1993-06-18","2026-05-02","Per=Y","Days=T","Dir=V")</f>
        <v>0</v>
      </c>
      <c r="AC2">
        <f>BDH("NPKI US Equity","EBITDA","1993-06-18","2026-05-02","Per=Y","Days=T","Dir=V")</f>
        <v>0</v>
      </c>
      <c r="AE2">
        <f>BDH("NPKI US Equity","NET_INCOME","1993-06-18","2026-05-02","Per=Y","Days=T","Dir=V")</f>
        <v>0</v>
      </c>
      <c r="AG2">
        <f>BDH("NPKI US Equity","IS_INT_EXPENSE","1993-06-18","2026-05-02","Per=Y","Days=T","Dir=V")</f>
        <v>0</v>
      </c>
      <c r="AI2">
        <f>BDH("NPKI US Equity","IS_DEPR_EXP","1993-06-18","2026-05-02","Per=Y","Days=T","Dir=V")</f>
        <v>0</v>
      </c>
      <c r="AK2">
        <f>BDH("NPKI US Equity","CF_CASH_FROM_OPER","1993-06-18","2026-05-02","Per=Y","Days=T","Dir=V")</f>
        <v>0</v>
      </c>
      <c r="AM2">
        <f>BDH("NPKI US Equity","CAPITAL_EXPEND","1993-06-18","2026-05-02","Per=Y","Days=T","Dir=V")</f>
        <v>0</v>
      </c>
      <c r="AO2">
        <f>BDH("NPKI US Equity","CF_FREE_CASH_FLOW","1993-06-18","2026-05-02","Per=Y","Days=T","Dir=V")</f>
        <v>0</v>
      </c>
      <c r="AQ2">
        <f>BDH("NPKI US Equity","PX_LAST","1993-06-18","2026-05-02","Per=M","Days=T","Dir=V")</f>
        <v>0</v>
      </c>
      <c r="AS2">
        <f>BDH("NPKI US Equity","CUR_MKT_CAP","1993-06-18","2026-05-02","Per=M","Days=T","Dir=V")</f>
        <v>0</v>
      </c>
      <c r="AU2">
        <f>BDH("NPKI US Equity","EQY_SH_OUT","1993-06-18","2026-05-02","Per=M","Days=T","Dir=V")</f>
        <v>0</v>
      </c>
      <c r="AW2">
        <f>BDH("NPKI US Equity","PX_VOLUME","1993-06-18","2026-05-02","Per=M","Days=T","Dir=V")</f>
        <v>0</v>
      </c>
      <c r="AY2">
        <f>BDH("NPKI US Equity","TURNOVER","1993-06-18","2026-05-02","Per=M","Days=T","Dir=V")</f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BDH("NPO US Equity","BS_TOT_ASSET","1993-06-18","2026-05-02","Per=Y","Days=T","Dir=V")</f>
        <v>0</v>
      </c>
      <c r="C2">
        <f>BDH("NPO US Equity","BS_TOT_LIAB2","1993-06-18","2026-05-02","Per=Y","Days=T","Dir=V")</f>
        <v>0</v>
      </c>
      <c r="E2">
        <f>BDH("NPO US Equity","SHORT_AND_LONG_TERM_DEBT","1993-06-18","2026-05-02","Per=Y","Days=T","Dir=V")</f>
        <v>0</v>
      </c>
      <c r="G2">
        <f>BDH("NPO US Equity","BS_ST_BORROW","1993-06-18","2026-05-02","Per=Y","Days=T","Dir=V")</f>
        <v>0</v>
      </c>
      <c r="I2">
        <f>BDH("NPO US Equity","BS_LT_BORROW","1993-06-18","2026-05-02","Per=Y","Days=T","Dir=V")</f>
        <v>0</v>
      </c>
      <c r="K2">
        <f>BDH("NPO US Equity","BS_CASH_NEAR_CASH_ITEM","1993-06-18","2026-05-02","Per=Y","Days=T","Dir=V")</f>
        <v>0</v>
      </c>
      <c r="M2">
        <f>BDH("NPO US Equity","BS_CUR_ASSET_REPORT","1993-06-18","2026-05-02","Per=Y","Days=T","Dir=V")</f>
        <v>0</v>
      </c>
      <c r="O2">
        <f>BDH("NPO US Equity","BS_CUR_LIAB","1993-06-18","2026-05-02","Per=Y","Days=T","Dir=V")</f>
        <v>0</v>
      </c>
      <c r="Q2">
        <f>BDH("NPO US Equity","BS_SHAREHOLDER_EQY_ENDING_PERIOD","1993-06-18","2026-05-02","Per=Y","Days=T","Dir=V")</f>
        <v>0</v>
      </c>
      <c r="S2">
        <f>BDH("NPO US Equity","BS_ACCT_NOTE_RCV","1993-06-18","2026-05-02","Per=Y","Days=T","Dir=V")</f>
        <v>0</v>
      </c>
      <c r="U2">
        <f>BDH("NPO US Equity","BS_INVENTORIES","1993-06-18","2026-05-02","Per=Y","Days=T","Dir=V")</f>
        <v>0</v>
      </c>
      <c r="W2">
        <f>BDH("NPO US Equity","WORKING_CAPITAL","1993-06-18","2026-05-02","Per=Y","Days=T","Dir=V")</f>
        <v>0</v>
      </c>
      <c r="Y2">
        <f>BDH("NPO US Equity","SALES_REV_TURN","1993-06-18","2026-05-02","Per=Y","Days=T","Dir=V")</f>
        <v>0</v>
      </c>
      <c r="AA2">
        <f>BDH("NPO US Equity","EBIT","1993-06-18","2026-05-02","Per=Y","Days=T","Dir=V")</f>
        <v>0</v>
      </c>
      <c r="AC2">
        <f>BDH("NPO US Equity","EBITDA","1993-06-18","2026-05-02","Per=Y","Days=T","Dir=V")</f>
        <v>0</v>
      </c>
      <c r="AE2">
        <f>BDH("NPO US Equity","NET_INCOME","1993-06-18","2026-05-02","Per=Y","Days=T","Dir=V")</f>
        <v>0</v>
      </c>
      <c r="AG2">
        <f>BDH("NPO US Equity","IS_INT_EXPENSE","1993-06-18","2026-05-02","Per=Y","Days=T","Dir=V")</f>
        <v>0</v>
      </c>
      <c r="AI2">
        <f>BDH("NPO US Equity","IS_DEPR_EXP","1993-06-18","2026-05-02","Per=Y","Days=T","Dir=V")</f>
        <v>0</v>
      </c>
      <c r="AK2">
        <f>BDH("NPO US Equity","CF_CASH_FROM_OPER","1993-06-18","2026-05-02","Per=Y","Days=T","Dir=V")</f>
        <v>0</v>
      </c>
      <c r="AM2">
        <f>BDH("NPO US Equity","CAPITAL_EXPEND","1993-06-18","2026-05-02","Per=Y","Days=T","Dir=V")</f>
        <v>0</v>
      </c>
      <c r="AO2">
        <f>BDH("NPO US Equity","CF_FREE_CASH_FLOW","1993-06-18","2026-05-02","Per=Y","Days=T","Dir=V")</f>
        <v>0</v>
      </c>
      <c r="AQ2">
        <f>BDH("NPO US Equity","PX_LAST","1993-06-18","2026-05-02","Per=M","Days=T","Dir=V")</f>
        <v>0</v>
      </c>
      <c r="AS2">
        <f>BDH("NPO US Equity","CUR_MKT_CAP","1993-06-18","2026-05-02","Per=M","Days=T","Dir=V")</f>
        <v>0</v>
      </c>
      <c r="AU2">
        <f>BDH("NPO US Equity","EQY_SH_OUT","1993-06-18","2026-05-02","Per=M","Days=T","Dir=V")</f>
        <v>0</v>
      </c>
      <c r="AW2">
        <f>BDH("NPO US Equity","PX_VOLUME","1993-06-18","2026-05-02","Per=M","Days=T","Dir=V")</f>
        <v>0</v>
      </c>
      <c r="AY2">
        <f>BDH("NPO US Equity","TURNOVER","1993-06-18","2026-05-02","Per=M","Days=T","Dir=V")</f>
        <v>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BDH("NPWR US Equity","BS_TOT_ASSET","1993-06-18","2026-05-02","Per=Y","Days=T","Dir=V")</f>
        <v>0</v>
      </c>
      <c r="C2">
        <f>BDH("NPWR US Equity","BS_TOT_LIAB2","1993-06-18","2026-05-02","Per=Y","Days=T","Dir=V")</f>
        <v>0</v>
      </c>
      <c r="E2">
        <f>BDH("NPWR US Equity","SHORT_AND_LONG_TERM_DEBT","1993-06-18","2026-05-02","Per=Y","Days=T","Dir=V")</f>
        <v>0</v>
      </c>
      <c r="G2">
        <f>BDH("NPWR US Equity","BS_ST_BORROW","1993-06-18","2026-05-02","Per=Y","Days=T","Dir=V")</f>
        <v>0</v>
      </c>
      <c r="I2">
        <f>BDH("NPWR US Equity","BS_LT_BORROW","1993-06-18","2026-05-02","Per=Y","Days=T","Dir=V")</f>
        <v>0</v>
      </c>
      <c r="K2">
        <f>BDH("NPWR US Equity","BS_CASH_NEAR_CASH_ITEM","1993-06-18","2026-05-02","Per=Y","Days=T","Dir=V")</f>
        <v>0</v>
      </c>
      <c r="M2">
        <f>BDH("NPWR US Equity","BS_CUR_ASSET_REPORT","1993-06-18","2026-05-02","Per=Y","Days=T","Dir=V")</f>
        <v>0</v>
      </c>
      <c r="O2">
        <f>BDH("NPWR US Equity","BS_CUR_LIAB","1993-06-18","2026-05-02","Per=Y","Days=T","Dir=V")</f>
        <v>0</v>
      </c>
      <c r="Q2">
        <f>BDH("NPWR US Equity","BS_SHAREHOLDER_EQY_ENDING_PERIOD","1993-06-18","2026-05-02","Per=Y","Days=T","Dir=V")</f>
        <v>0</v>
      </c>
      <c r="S2">
        <f>BDH("NPWR US Equity","BS_ACCT_NOTE_RCV","1993-06-18","2026-05-02","Per=Y","Days=T","Dir=V")</f>
        <v>0</v>
      </c>
      <c r="U2">
        <f>BDH("NPWR US Equity","BS_INVENTORIES","1993-06-18","2026-05-02","Per=Y","Days=T","Dir=V")</f>
        <v>0</v>
      </c>
      <c r="W2">
        <f>BDH("NPWR US Equity","WORKING_CAPITAL","1993-06-18","2026-05-02","Per=Y","Days=T","Dir=V")</f>
        <v>0</v>
      </c>
      <c r="Y2">
        <f>BDH("NPWR US Equity","SALES_REV_TURN","1993-06-18","2026-05-02","Per=Y","Days=T","Dir=V")</f>
        <v>0</v>
      </c>
      <c r="AA2">
        <f>BDH("NPWR US Equity","EBIT","1993-06-18","2026-05-02","Per=Y","Days=T","Dir=V")</f>
        <v>0</v>
      </c>
      <c r="AC2">
        <f>BDH("NPWR US Equity","EBITDA","1993-06-18","2026-05-02","Per=Y","Days=T","Dir=V")</f>
        <v>0</v>
      </c>
      <c r="AE2">
        <f>BDH("NPWR US Equity","NET_INCOME","1993-06-18","2026-05-02","Per=Y","Days=T","Dir=V")</f>
        <v>0</v>
      </c>
      <c r="AG2">
        <f>BDH("NPWR US Equity","IS_INT_EXPENSE","1993-06-18","2026-05-02","Per=Y","Days=T","Dir=V")</f>
        <v>0</v>
      </c>
      <c r="AI2">
        <f>BDH("NPWR US Equity","IS_DEPR_EXP","1993-06-18","2026-05-02","Per=Y","Days=T","Dir=V")</f>
        <v>0</v>
      </c>
      <c r="AK2">
        <f>BDH("NPWR US Equity","CF_CASH_FROM_OPER","1993-06-18","2026-05-02","Per=Y","Days=T","Dir=V")</f>
        <v>0</v>
      </c>
      <c r="AM2">
        <f>BDH("NPWR US Equity","CAPITAL_EXPEND","1993-06-18","2026-05-02","Per=Y","Days=T","Dir=V")</f>
        <v>0</v>
      </c>
      <c r="AO2">
        <f>BDH("NPWR US Equity","CF_FREE_CASH_FLOW","1993-06-18","2026-05-02","Per=Y","Days=T","Dir=V")</f>
        <v>0</v>
      </c>
      <c r="AQ2">
        <f>BDH("NPWR US Equity","PX_LAST","1993-06-18","2026-05-02","Per=M","Days=T","Dir=V")</f>
        <v>0</v>
      </c>
      <c r="AS2">
        <f>BDH("NPWR US Equity","CUR_MKT_CAP","1993-06-18","2026-05-02","Per=M","Days=T","Dir=V")</f>
        <v>0</v>
      </c>
      <c r="AU2">
        <f>BDH("NPWR US Equity","EQY_SH_OUT","1993-06-18","2026-05-02","Per=M","Days=T","Dir=V")</f>
        <v>0</v>
      </c>
      <c r="AW2">
        <f>BDH("NPWR US Equity","PX_VOLUME","1993-06-18","2026-05-02","Per=M","Days=T","Dir=V")</f>
        <v>0</v>
      </c>
      <c r="AY2">
        <f>BDH("NPWR US Equity","TURNOVER","1993-06-18","2026-05-02","Per=M","Days=T","Dir=V")</f>
        <v>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BDH("NRC US Equity","BS_TOT_ASSET","1993-06-18","2026-05-02","Per=Y","Days=T","Dir=V")</f>
        <v>0</v>
      </c>
      <c r="C2">
        <f>BDH("NRC US Equity","BS_TOT_LIAB2","1993-06-18","2026-05-02","Per=Y","Days=T","Dir=V")</f>
        <v>0</v>
      </c>
      <c r="E2">
        <f>BDH("NRC US Equity","SHORT_AND_LONG_TERM_DEBT","1993-06-18","2026-05-02","Per=Y","Days=T","Dir=V")</f>
        <v>0</v>
      </c>
      <c r="G2">
        <f>BDH("NRC US Equity","BS_ST_BORROW","1993-06-18","2026-05-02","Per=Y","Days=T","Dir=V")</f>
        <v>0</v>
      </c>
      <c r="I2">
        <f>BDH("NRC US Equity","BS_LT_BORROW","1993-06-18","2026-05-02","Per=Y","Days=T","Dir=V")</f>
        <v>0</v>
      </c>
      <c r="K2">
        <f>BDH("NRC US Equity","BS_CASH_NEAR_CASH_ITEM","1993-06-18","2026-05-02","Per=Y","Days=T","Dir=V")</f>
        <v>0</v>
      </c>
      <c r="M2">
        <f>BDH("NRC US Equity","BS_CUR_ASSET_REPORT","1993-06-18","2026-05-02","Per=Y","Days=T","Dir=V")</f>
        <v>0</v>
      </c>
      <c r="O2">
        <f>BDH("NRC US Equity","BS_CUR_LIAB","1993-06-18","2026-05-02","Per=Y","Days=T","Dir=V")</f>
        <v>0</v>
      </c>
      <c r="Q2">
        <f>BDH("NRC US Equity","BS_SHAREHOLDER_EQY_ENDING_PERIOD","1993-06-18","2026-05-02","Per=Y","Days=T","Dir=V")</f>
        <v>0</v>
      </c>
      <c r="S2">
        <f>BDH("NRC US Equity","BS_ACCT_NOTE_RCV","1993-06-18","2026-05-02","Per=Y","Days=T","Dir=V")</f>
        <v>0</v>
      </c>
      <c r="U2">
        <f>BDH("NRC US Equity","BS_INVENTORIES","1993-06-18","2026-05-02","Per=Y","Days=T","Dir=V")</f>
        <v>0</v>
      </c>
      <c r="W2">
        <f>BDH("NRC US Equity","WORKING_CAPITAL","1993-06-18","2026-05-02","Per=Y","Days=T","Dir=V")</f>
        <v>0</v>
      </c>
      <c r="Y2">
        <f>BDH("NRC US Equity","SALES_REV_TURN","1993-06-18","2026-05-02","Per=Y","Days=T","Dir=V")</f>
        <v>0</v>
      </c>
      <c r="AA2">
        <f>BDH("NRC US Equity","EBIT","1993-06-18","2026-05-02","Per=Y","Days=T","Dir=V")</f>
        <v>0</v>
      </c>
      <c r="AC2">
        <f>BDH("NRC US Equity","EBITDA","1993-06-18","2026-05-02","Per=Y","Days=T","Dir=V")</f>
        <v>0</v>
      </c>
      <c r="AE2">
        <f>BDH("NRC US Equity","NET_INCOME","1993-06-18","2026-05-02","Per=Y","Days=T","Dir=V")</f>
        <v>0</v>
      </c>
      <c r="AG2">
        <f>BDH("NRC US Equity","IS_INT_EXPENSE","1993-06-18","2026-05-02","Per=Y","Days=T","Dir=V")</f>
        <v>0</v>
      </c>
      <c r="AI2">
        <f>BDH("NRC US Equity","IS_DEPR_EXP","1993-06-18","2026-05-02","Per=Y","Days=T","Dir=V")</f>
        <v>0</v>
      </c>
      <c r="AK2">
        <f>BDH("NRC US Equity","CF_CASH_FROM_OPER","1993-06-18","2026-05-02","Per=Y","Days=T","Dir=V")</f>
        <v>0</v>
      </c>
      <c r="AM2">
        <f>BDH("NRC US Equity","CAPITAL_EXPEND","1993-06-18","2026-05-02","Per=Y","Days=T","Dir=V")</f>
        <v>0</v>
      </c>
      <c r="AO2">
        <f>BDH("NRC US Equity","CF_FREE_CASH_FLOW","1993-06-18","2026-05-02","Per=Y","Days=T","Dir=V")</f>
        <v>0</v>
      </c>
      <c r="AQ2">
        <f>BDH("NRC US Equity","PX_LAST","1993-06-18","2026-05-02","Per=M","Days=T","Dir=V")</f>
        <v>0</v>
      </c>
      <c r="AS2">
        <f>BDH("NRC US Equity","CUR_MKT_CAP","1993-06-18","2026-05-02","Per=M","Days=T","Dir=V")</f>
        <v>0</v>
      </c>
      <c r="AU2">
        <f>BDH("NRC US Equity","EQY_SH_OUT","1993-06-18","2026-05-02","Per=M","Days=T","Dir=V")</f>
        <v>0</v>
      </c>
      <c r="AW2">
        <f>BDH("NRC US Equity","PX_VOLUME","1993-06-18","2026-05-02","Per=M","Days=T","Dir=V")</f>
        <v>0</v>
      </c>
      <c r="AY2">
        <f>BDH("NRC US Equity","TURNOVER","1993-06-18","2026-05-02","Per=M","Days=T","Dir=V")</f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BDH("NRDS US Equity","BS_TOT_ASSET","1993-06-18","2026-05-02","Per=Y","Days=T","Dir=V")</f>
        <v>0</v>
      </c>
      <c r="C2">
        <f>BDH("NRDS US Equity","BS_TOT_LIAB2","1993-06-18","2026-05-02","Per=Y","Days=T","Dir=V")</f>
        <v>0</v>
      </c>
      <c r="E2">
        <f>BDH("NRDS US Equity","SHORT_AND_LONG_TERM_DEBT","1993-06-18","2026-05-02","Per=Y","Days=T","Dir=V")</f>
        <v>0</v>
      </c>
      <c r="G2">
        <f>BDH("NRDS US Equity","BS_ST_BORROW","1993-06-18","2026-05-02","Per=Y","Days=T","Dir=V")</f>
        <v>0</v>
      </c>
      <c r="I2">
        <f>BDH("NRDS US Equity","BS_LT_BORROW","1993-06-18","2026-05-02","Per=Y","Days=T","Dir=V")</f>
        <v>0</v>
      </c>
      <c r="K2">
        <f>BDH("NRDS US Equity","BS_CASH_NEAR_CASH_ITEM","1993-06-18","2026-05-02","Per=Y","Days=T","Dir=V")</f>
        <v>0</v>
      </c>
      <c r="M2">
        <f>BDH("NRDS US Equity","BS_CUR_ASSET_REPORT","1993-06-18","2026-05-02","Per=Y","Days=T","Dir=V")</f>
        <v>0</v>
      </c>
      <c r="O2">
        <f>BDH("NRDS US Equity","BS_CUR_LIAB","1993-06-18","2026-05-02","Per=Y","Days=T","Dir=V")</f>
        <v>0</v>
      </c>
      <c r="Q2">
        <f>BDH("NRDS US Equity","BS_SHAREHOLDER_EQY_ENDING_PERIOD","1993-06-18","2026-05-02","Per=Y","Days=T","Dir=V")</f>
        <v>0</v>
      </c>
      <c r="S2">
        <f>BDH("NRDS US Equity","BS_ACCT_NOTE_RCV","1993-06-18","2026-05-02","Per=Y","Days=T","Dir=V")</f>
        <v>0</v>
      </c>
      <c r="U2">
        <f>BDH("NRDS US Equity","BS_INVENTORIES","1993-06-18","2026-05-02","Per=Y","Days=T","Dir=V")</f>
        <v>0</v>
      </c>
      <c r="W2">
        <f>BDH("NRDS US Equity","WORKING_CAPITAL","1993-06-18","2026-05-02","Per=Y","Days=T","Dir=V")</f>
        <v>0</v>
      </c>
      <c r="Y2">
        <f>BDH("NRDS US Equity","SALES_REV_TURN","1993-06-18","2026-05-02","Per=Y","Days=T","Dir=V")</f>
        <v>0</v>
      </c>
      <c r="AA2">
        <f>BDH("NRDS US Equity","EBIT","1993-06-18","2026-05-02","Per=Y","Days=T","Dir=V")</f>
        <v>0</v>
      </c>
      <c r="AC2">
        <f>BDH("NRDS US Equity","EBITDA","1993-06-18","2026-05-02","Per=Y","Days=T","Dir=V")</f>
        <v>0</v>
      </c>
      <c r="AE2">
        <f>BDH("NRDS US Equity","NET_INCOME","1993-06-18","2026-05-02","Per=Y","Days=T","Dir=V")</f>
        <v>0</v>
      </c>
      <c r="AG2">
        <f>BDH("NRDS US Equity","IS_INT_EXPENSE","1993-06-18","2026-05-02","Per=Y","Days=T","Dir=V")</f>
        <v>0</v>
      </c>
      <c r="AI2">
        <f>BDH("NRDS US Equity","IS_DEPR_EXP","1993-06-18","2026-05-02","Per=Y","Days=T","Dir=V")</f>
        <v>0</v>
      </c>
      <c r="AK2">
        <f>BDH("NRDS US Equity","CF_CASH_FROM_OPER","1993-06-18","2026-05-02","Per=Y","Days=T","Dir=V")</f>
        <v>0</v>
      </c>
      <c r="AM2">
        <f>BDH("NRDS US Equity","CAPITAL_EXPEND","1993-06-18","2026-05-02","Per=Y","Days=T","Dir=V")</f>
        <v>0</v>
      </c>
      <c r="AO2">
        <f>BDH("NRDS US Equity","CF_FREE_CASH_FLOW","1993-06-18","2026-05-02","Per=Y","Days=T","Dir=V")</f>
        <v>0</v>
      </c>
      <c r="AQ2">
        <f>BDH("NRDS US Equity","PX_LAST","1993-06-18","2026-05-02","Per=M","Days=T","Dir=V")</f>
        <v>0</v>
      </c>
      <c r="AS2">
        <f>BDH("NRDS US Equity","CUR_MKT_CAP","1993-06-18","2026-05-02","Per=M","Days=T","Dir=V")</f>
        <v>0</v>
      </c>
      <c r="AU2">
        <f>BDH("NRDS US Equity","EQY_SH_OUT","1993-06-18","2026-05-02","Per=M","Days=T","Dir=V")</f>
        <v>0</v>
      </c>
      <c r="AW2">
        <f>BDH("NRDS US Equity","PX_VOLUME","1993-06-18","2026-05-02","Per=M","Days=T","Dir=V")</f>
        <v>0</v>
      </c>
      <c r="AY2">
        <f>BDH("NRDS US Equity","TURNOVER","1993-06-18","2026-05-02","Per=M","Days=T","Dir=V")</f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BDH("NRG US Equity","BS_TOT_ASSET","1993-06-18","2026-05-02","Per=Y","Days=T","Dir=V")</f>
        <v>0</v>
      </c>
      <c r="C2">
        <f>BDH("NRG US Equity","BS_TOT_LIAB2","1993-06-18","2026-05-02","Per=Y","Days=T","Dir=V")</f>
        <v>0</v>
      </c>
      <c r="E2">
        <f>BDH("NRG US Equity","SHORT_AND_LONG_TERM_DEBT","1993-06-18","2026-05-02","Per=Y","Days=T","Dir=V")</f>
        <v>0</v>
      </c>
      <c r="G2">
        <f>BDH("NRG US Equity","BS_ST_BORROW","1993-06-18","2026-05-02","Per=Y","Days=T","Dir=V")</f>
        <v>0</v>
      </c>
      <c r="I2">
        <f>BDH("NRG US Equity","BS_LT_BORROW","1993-06-18","2026-05-02","Per=Y","Days=T","Dir=V")</f>
        <v>0</v>
      </c>
      <c r="K2">
        <f>BDH("NRG US Equity","BS_CASH_NEAR_CASH_ITEM","1993-06-18","2026-05-02","Per=Y","Days=T","Dir=V")</f>
        <v>0</v>
      </c>
      <c r="M2">
        <f>BDH("NRG US Equity","BS_CUR_ASSET_REPORT","1993-06-18","2026-05-02","Per=Y","Days=T","Dir=V")</f>
        <v>0</v>
      </c>
      <c r="O2">
        <f>BDH("NRG US Equity","BS_CUR_LIAB","1993-06-18","2026-05-02","Per=Y","Days=T","Dir=V")</f>
        <v>0</v>
      </c>
      <c r="Q2">
        <f>BDH("NRG US Equity","BS_SHAREHOLDER_EQY_ENDING_PERIOD","1993-06-18","2026-05-02","Per=Y","Days=T","Dir=V")</f>
        <v>0</v>
      </c>
      <c r="S2">
        <f>BDH("NRG US Equity","BS_ACCT_NOTE_RCV","1993-06-18","2026-05-02","Per=Y","Days=T","Dir=V")</f>
        <v>0</v>
      </c>
      <c r="U2">
        <f>BDH("NRG US Equity","BS_INVENTORIES","1993-06-18","2026-05-02","Per=Y","Days=T","Dir=V")</f>
        <v>0</v>
      </c>
      <c r="W2">
        <f>BDH("NRG US Equity","WORKING_CAPITAL","1993-06-18","2026-05-02","Per=Y","Days=T","Dir=V")</f>
        <v>0</v>
      </c>
      <c r="Y2">
        <f>BDH("NRG US Equity","SALES_REV_TURN","1993-06-18","2026-05-02","Per=Y","Days=T","Dir=V")</f>
        <v>0</v>
      </c>
      <c r="AA2">
        <f>BDH("NRG US Equity","EBIT","1993-06-18","2026-05-02","Per=Y","Days=T","Dir=V")</f>
        <v>0</v>
      </c>
      <c r="AC2">
        <f>BDH("NRG US Equity","EBITDA","1993-06-18","2026-05-02","Per=Y","Days=T","Dir=V")</f>
        <v>0</v>
      </c>
      <c r="AE2">
        <f>BDH("NRG US Equity","NET_INCOME","1993-06-18","2026-05-02","Per=Y","Days=T","Dir=V")</f>
        <v>0</v>
      </c>
      <c r="AG2">
        <f>BDH("NRG US Equity","IS_INT_EXPENSE","1993-06-18","2026-05-02","Per=Y","Days=T","Dir=V")</f>
        <v>0</v>
      </c>
      <c r="AI2">
        <f>BDH("NRG US Equity","IS_DEPR_EXP","1993-06-18","2026-05-02","Per=Y","Days=T","Dir=V")</f>
        <v>0</v>
      </c>
      <c r="AK2">
        <f>BDH("NRG US Equity","CF_CASH_FROM_OPER","1993-06-18","2026-05-02","Per=Y","Days=T","Dir=V")</f>
        <v>0</v>
      </c>
      <c r="AM2">
        <f>BDH("NRG US Equity","CAPITAL_EXPEND","1993-06-18","2026-05-02","Per=Y","Days=T","Dir=V")</f>
        <v>0</v>
      </c>
      <c r="AO2">
        <f>BDH("NRG US Equity","CF_FREE_CASH_FLOW","1993-06-18","2026-05-02","Per=Y","Days=T","Dir=V")</f>
        <v>0</v>
      </c>
      <c r="AQ2">
        <f>BDH("NRG US Equity","PX_LAST","1993-06-18","2026-05-02","Per=M","Days=T","Dir=V")</f>
        <v>0</v>
      </c>
      <c r="AS2">
        <f>BDH("NRG US Equity","CUR_MKT_CAP","1993-06-18","2026-05-02","Per=M","Days=T","Dir=V")</f>
        <v>0</v>
      </c>
      <c r="AU2">
        <f>BDH("NRG US Equity","EQY_SH_OUT","1993-06-18","2026-05-02","Per=M","Days=T","Dir=V")</f>
        <v>0</v>
      </c>
      <c r="AW2">
        <f>BDH("NRG US Equity","PX_VOLUME","1993-06-18","2026-05-02","Per=M","Days=T","Dir=V")</f>
        <v>0</v>
      </c>
      <c r="AY2">
        <f>BDH("NRG US Equity","TURNOVER","1993-06-18","2026-05-02","Per=M","Days=T","Dir=V")</f>
        <v>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BDH("NRIX US Equity","BS_TOT_ASSET","1993-06-18","2026-05-02","Per=Y","Days=T","Dir=V")</f>
        <v>0</v>
      </c>
      <c r="C2">
        <f>BDH("NRIX US Equity","BS_TOT_LIAB2","1993-06-18","2026-05-02","Per=Y","Days=T","Dir=V")</f>
        <v>0</v>
      </c>
      <c r="E2">
        <f>BDH("NRIX US Equity","SHORT_AND_LONG_TERM_DEBT","1993-06-18","2026-05-02","Per=Y","Days=T","Dir=V")</f>
        <v>0</v>
      </c>
      <c r="G2">
        <f>BDH("NRIX US Equity","BS_ST_BORROW","1993-06-18","2026-05-02","Per=Y","Days=T","Dir=V")</f>
        <v>0</v>
      </c>
      <c r="I2">
        <f>BDH("NRIX US Equity","BS_LT_BORROW","1993-06-18","2026-05-02","Per=Y","Days=T","Dir=V")</f>
        <v>0</v>
      </c>
      <c r="K2">
        <f>BDH("NRIX US Equity","BS_CASH_NEAR_CASH_ITEM","1993-06-18","2026-05-02","Per=Y","Days=T","Dir=V")</f>
        <v>0</v>
      </c>
      <c r="M2">
        <f>BDH("NRIX US Equity","BS_CUR_ASSET_REPORT","1993-06-18","2026-05-02","Per=Y","Days=T","Dir=V")</f>
        <v>0</v>
      </c>
      <c r="O2">
        <f>BDH("NRIX US Equity","BS_CUR_LIAB","1993-06-18","2026-05-02","Per=Y","Days=T","Dir=V")</f>
        <v>0</v>
      </c>
      <c r="Q2">
        <f>BDH("NRIX US Equity","BS_SHAREHOLDER_EQY_ENDING_PERIOD","1993-06-18","2026-05-02","Per=Y","Days=T","Dir=V")</f>
        <v>0</v>
      </c>
      <c r="S2">
        <f>BDH("NRIX US Equity","BS_ACCT_NOTE_RCV","1993-06-18","2026-05-02","Per=Y","Days=T","Dir=V")</f>
        <v>0</v>
      </c>
      <c r="U2">
        <f>BDH("NRIX US Equity","BS_INVENTORIES","1993-06-18","2026-05-02","Per=Y","Days=T","Dir=V")</f>
        <v>0</v>
      </c>
      <c r="W2">
        <f>BDH("NRIX US Equity","WORKING_CAPITAL","1993-06-18","2026-05-02","Per=Y","Days=T","Dir=V")</f>
        <v>0</v>
      </c>
      <c r="Y2">
        <f>BDH("NRIX US Equity","SALES_REV_TURN","1993-06-18","2026-05-02","Per=Y","Days=T","Dir=V")</f>
        <v>0</v>
      </c>
      <c r="AA2">
        <f>BDH("NRIX US Equity","EBIT","1993-06-18","2026-05-02","Per=Y","Days=T","Dir=V")</f>
        <v>0</v>
      </c>
      <c r="AC2">
        <f>BDH("NRIX US Equity","EBITDA","1993-06-18","2026-05-02","Per=Y","Days=T","Dir=V")</f>
        <v>0</v>
      </c>
      <c r="AE2">
        <f>BDH("NRIX US Equity","NET_INCOME","1993-06-18","2026-05-02","Per=Y","Days=T","Dir=V")</f>
        <v>0</v>
      </c>
      <c r="AG2">
        <f>BDH("NRIX US Equity","IS_INT_EXPENSE","1993-06-18","2026-05-02","Per=Y","Days=T","Dir=V")</f>
        <v>0</v>
      </c>
      <c r="AI2">
        <f>BDH("NRIX US Equity","IS_DEPR_EXP","1993-06-18","2026-05-02","Per=Y","Days=T","Dir=V")</f>
        <v>0</v>
      </c>
      <c r="AK2">
        <f>BDH("NRIX US Equity","CF_CASH_FROM_OPER","1993-06-18","2026-05-02","Per=Y","Days=T","Dir=V")</f>
        <v>0</v>
      </c>
      <c r="AM2">
        <f>BDH("NRIX US Equity","CAPITAL_EXPEND","1993-06-18","2026-05-02","Per=Y","Days=T","Dir=V")</f>
        <v>0</v>
      </c>
      <c r="AO2">
        <f>BDH("NRIX US Equity","CF_FREE_CASH_FLOW","1993-06-18","2026-05-02","Per=Y","Days=T","Dir=V")</f>
        <v>0</v>
      </c>
      <c r="AQ2">
        <f>BDH("NRIX US Equity","PX_LAST","1993-06-18","2026-05-02","Per=M","Days=T","Dir=V")</f>
        <v>0</v>
      </c>
      <c r="AS2">
        <f>BDH("NRIX US Equity","CUR_MKT_CAP","1993-06-18","2026-05-02","Per=M","Days=T","Dir=V")</f>
        <v>0</v>
      </c>
      <c r="AU2">
        <f>BDH("NRIX US Equity","EQY_SH_OUT","1993-06-18","2026-05-02","Per=M","Days=T","Dir=V")</f>
        <v>0</v>
      </c>
      <c r="AW2">
        <f>BDH("NRIX US Equity","PX_VOLUME","1993-06-18","2026-05-02","Per=M","Days=T","Dir=V")</f>
        <v>0</v>
      </c>
      <c r="AY2">
        <f>BDH("NRIX US Equity","TURNOVER","1993-06-18","2026-05-02","Per=M","Days=T","Dir=V")</f>
        <v>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BDH("NRP US Equity","BS_TOT_ASSET","1993-06-18","2026-05-02","Per=Y","Days=T","Dir=V")</f>
        <v>0</v>
      </c>
      <c r="C2">
        <f>BDH("NRP US Equity","BS_TOT_LIAB2","1993-06-18","2026-05-02","Per=Y","Days=T","Dir=V")</f>
        <v>0</v>
      </c>
      <c r="E2">
        <f>BDH("NRP US Equity","SHORT_AND_LONG_TERM_DEBT","1993-06-18","2026-05-02","Per=Y","Days=T","Dir=V")</f>
        <v>0</v>
      </c>
      <c r="G2">
        <f>BDH("NRP US Equity","BS_ST_BORROW","1993-06-18","2026-05-02","Per=Y","Days=T","Dir=V")</f>
        <v>0</v>
      </c>
      <c r="I2">
        <f>BDH("NRP US Equity","BS_LT_BORROW","1993-06-18","2026-05-02","Per=Y","Days=T","Dir=V")</f>
        <v>0</v>
      </c>
      <c r="K2">
        <f>BDH("NRP US Equity","BS_CASH_NEAR_CASH_ITEM","1993-06-18","2026-05-02","Per=Y","Days=T","Dir=V")</f>
        <v>0</v>
      </c>
      <c r="M2">
        <f>BDH("NRP US Equity","BS_CUR_ASSET_REPORT","1993-06-18","2026-05-02","Per=Y","Days=T","Dir=V")</f>
        <v>0</v>
      </c>
      <c r="O2">
        <f>BDH("NRP US Equity","BS_CUR_LIAB","1993-06-18","2026-05-02","Per=Y","Days=T","Dir=V")</f>
        <v>0</v>
      </c>
      <c r="Q2">
        <f>BDH("NRP US Equity","BS_SHAREHOLDER_EQY_ENDING_PERIOD","1993-06-18","2026-05-02","Per=Y","Days=T","Dir=V")</f>
        <v>0</v>
      </c>
      <c r="S2">
        <f>BDH("NRP US Equity","BS_ACCT_NOTE_RCV","1993-06-18","2026-05-02","Per=Y","Days=T","Dir=V")</f>
        <v>0</v>
      </c>
      <c r="U2">
        <f>BDH("NRP US Equity","BS_INVENTORIES","1993-06-18","2026-05-02","Per=Y","Days=T","Dir=V")</f>
        <v>0</v>
      </c>
      <c r="W2">
        <f>BDH("NRP US Equity","WORKING_CAPITAL","1993-06-18","2026-05-02","Per=Y","Days=T","Dir=V")</f>
        <v>0</v>
      </c>
      <c r="Y2">
        <f>BDH("NRP US Equity","SALES_REV_TURN","1993-06-18","2026-05-02","Per=Y","Days=T","Dir=V")</f>
        <v>0</v>
      </c>
      <c r="AA2">
        <f>BDH("NRP US Equity","EBIT","1993-06-18","2026-05-02","Per=Y","Days=T","Dir=V")</f>
        <v>0</v>
      </c>
      <c r="AC2">
        <f>BDH("NRP US Equity","EBITDA","1993-06-18","2026-05-02","Per=Y","Days=T","Dir=V")</f>
        <v>0</v>
      </c>
      <c r="AE2">
        <f>BDH("NRP US Equity","NET_INCOME","1993-06-18","2026-05-02","Per=Y","Days=T","Dir=V")</f>
        <v>0</v>
      </c>
      <c r="AG2">
        <f>BDH("NRP US Equity","IS_INT_EXPENSE","1993-06-18","2026-05-02","Per=Y","Days=T","Dir=V")</f>
        <v>0</v>
      </c>
      <c r="AI2">
        <f>BDH("NRP US Equity","IS_DEPR_EXP","1993-06-18","2026-05-02","Per=Y","Days=T","Dir=V")</f>
        <v>0</v>
      </c>
      <c r="AK2">
        <f>BDH("NRP US Equity","CF_CASH_FROM_OPER","1993-06-18","2026-05-02","Per=Y","Days=T","Dir=V")</f>
        <v>0</v>
      </c>
      <c r="AM2">
        <f>BDH("NRP US Equity","CAPITAL_EXPEND","1993-06-18","2026-05-02","Per=Y","Days=T","Dir=V")</f>
        <v>0</v>
      </c>
      <c r="AO2">
        <f>BDH("NRP US Equity","CF_FREE_CASH_FLOW","1993-06-18","2026-05-02","Per=Y","Days=T","Dir=V")</f>
        <v>0</v>
      </c>
      <c r="AQ2">
        <f>BDH("NRP US Equity","PX_LAST","1993-06-18","2026-05-02","Per=M","Days=T","Dir=V")</f>
        <v>0</v>
      </c>
      <c r="AS2">
        <f>BDH("NRP US Equity","CUR_MKT_CAP","1993-06-18","2026-05-02","Per=M","Days=T","Dir=V")</f>
        <v>0</v>
      </c>
      <c r="AU2">
        <f>BDH("NRP US Equity","EQY_SH_OUT","1993-06-18","2026-05-02","Per=M","Days=T","Dir=V")</f>
        <v>0</v>
      </c>
      <c r="AW2">
        <f>BDH("NRP US Equity","PX_VOLUME","1993-06-18","2026-05-02","Per=M","Days=T","Dir=V")</f>
        <v>0</v>
      </c>
      <c r="AY2">
        <f>BDH("NRP US Equity","TURNOVER","1993-06-18","2026-05-02","Per=M","Days=T","Dir=V")</f>
        <v>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BDH("NRT US Equity","BS_TOT_ASSET","1993-06-18","2026-05-02","Per=Y","Days=T","Dir=V")</f>
        <v>0</v>
      </c>
      <c r="C2">
        <f>BDH("NRT US Equity","BS_TOT_LIAB2","1993-06-18","2026-05-02","Per=Y","Days=T","Dir=V")</f>
        <v>0</v>
      </c>
      <c r="E2">
        <f>BDH("NRT US Equity","SHORT_AND_LONG_TERM_DEBT","1993-06-18","2026-05-02","Per=Y","Days=T","Dir=V")</f>
        <v>0</v>
      </c>
      <c r="G2">
        <f>BDH("NRT US Equity","BS_ST_BORROW","1993-06-18","2026-05-02","Per=Y","Days=T","Dir=V")</f>
        <v>0</v>
      </c>
      <c r="I2">
        <f>BDH("NRT US Equity","BS_LT_BORROW","1993-06-18","2026-05-02","Per=Y","Days=T","Dir=V")</f>
        <v>0</v>
      </c>
      <c r="K2">
        <f>BDH("NRT US Equity","BS_CASH_NEAR_CASH_ITEM","1993-06-18","2026-05-02","Per=Y","Days=T","Dir=V")</f>
        <v>0</v>
      </c>
      <c r="M2">
        <f>BDH("NRT US Equity","BS_CUR_ASSET_REPORT","1993-06-18","2026-05-02","Per=Y","Days=T","Dir=V")</f>
        <v>0</v>
      </c>
      <c r="O2">
        <f>BDH("NRT US Equity","BS_CUR_LIAB","1993-06-18","2026-05-02","Per=Y","Days=T","Dir=V")</f>
        <v>0</v>
      </c>
      <c r="Q2">
        <f>BDH("NRT US Equity","BS_SHAREHOLDER_EQY_ENDING_PERIOD","1993-06-18","2026-05-02","Per=Y","Days=T","Dir=V")</f>
        <v>0</v>
      </c>
      <c r="S2">
        <f>BDH("NRT US Equity","BS_ACCT_NOTE_RCV","1993-06-18","2026-05-02","Per=Y","Days=T","Dir=V")</f>
        <v>0</v>
      </c>
      <c r="U2">
        <f>BDH("NRT US Equity","BS_INVENTORIES","1993-06-18","2026-05-02","Per=Y","Days=T","Dir=V")</f>
        <v>0</v>
      </c>
      <c r="W2">
        <f>BDH("NRT US Equity","WORKING_CAPITAL","1993-06-18","2026-05-02","Per=Y","Days=T","Dir=V")</f>
        <v>0</v>
      </c>
      <c r="Y2">
        <f>BDH("NRT US Equity","SALES_REV_TURN","1993-06-18","2026-05-02","Per=Y","Days=T","Dir=V")</f>
        <v>0</v>
      </c>
      <c r="AA2">
        <f>BDH("NRT US Equity","EBIT","1993-06-18","2026-05-02","Per=Y","Days=T","Dir=V")</f>
        <v>0</v>
      </c>
      <c r="AC2">
        <f>BDH("NRT US Equity","EBITDA","1993-06-18","2026-05-02","Per=Y","Days=T","Dir=V")</f>
        <v>0</v>
      </c>
      <c r="AE2">
        <f>BDH("NRT US Equity","NET_INCOME","1993-06-18","2026-05-02","Per=Y","Days=T","Dir=V")</f>
        <v>0</v>
      </c>
      <c r="AG2">
        <f>BDH("NRT US Equity","IS_INT_EXPENSE","1993-06-18","2026-05-02","Per=Y","Days=T","Dir=V")</f>
        <v>0</v>
      </c>
      <c r="AI2">
        <f>BDH("NRT US Equity","IS_DEPR_EXP","1993-06-18","2026-05-02","Per=Y","Days=T","Dir=V")</f>
        <v>0</v>
      </c>
      <c r="AK2">
        <f>BDH("NRT US Equity","CF_CASH_FROM_OPER","1993-06-18","2026-05-02","Per=Y","Days=T","Dir=V")</f>
        <v>0</v>
      </c>
      <c r="AM2">
        <f>BDH("NRT US Equity","CAPITAL_EXPEND","1993-06-18","2026-05-02","Per=Y","Days=T","Dir=V")</f>
        <v>0</v>
      </c>
      <c r="AO2">
        <f>BDH("NRT US Equity","CF_FREE_CASH_FLOW","1993-06-18","2026-05-02","Per=Y","Days=T","Dir=V")</f>
        <v>0</v>
      </c>
      <c r="AQ2">
        <f>BDH("NRT US Equity","PX_LAST","1993-06-18","2026-05-02","Per=M","Days=T","Dir=V")</f>
        <v>0</v>
      </c>
      <c r="AS2">
        <f>BDH("NRT US Equity","CUR_MKT_CAP","1993-06-18","2026-05-02","Per=M","Days=T","Dir=V")</f>
        <v>0</v>
      </c>
      <c r="AU2">
        <f>BDH("NRT US Equity","EQY_SH_OUT","1993-06-18","2026-05-02","Per=M","Days=T","Dir=V")</f>
        <v>0</v>
      </c>
      <c r="AW2">
        <f>BDH("NRT US Equity","PX_VOLUME","1993-06-18","2026-05-02","Per=M","Days=T","Dir=V")</f>
        <v>0</v>
      </c>
      <c r="AY2">
        <f>BDH("NRT US Equity","TURNOVER","1993-06-18","2026-05-02","Per=M","Days=T","Dir=V")</f>
        <v>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BDH("NRXP US Equity","BS_TOT_ASSET","1993-06-18","2026-05-02","Per=Y","Days=T","Dir=V")</f>
        <v>0</v>
      </c>
      <c r="C2">
        <f>BDH("NRXP US Equity","BS_TOT_LIAB2","1993-06-18","2026-05-02","Per=Y","Days=T","Dir=V")</f>
        <v>0</v>
      </c>
      <c r="E2">
        <f>BDH("NRXP US Equity","SHORT_AND_LONG_TERM_DEBT","1993-06-18","2026-05-02","Per=Y","Days=T","Dir=V")</f>
        <v>0</v>
      </c>
      <c r="G2">
        <f>BDH("NRXP US Equity","BS_ST_BORROW","1993-06-18","2026-05-02","Per=Y","Days=T","Dir=V")</f>
        <v>0</v>
      </c>
      <c r="I2">
        <f>BDH("NRXP US Equity","BS_LT_BORROW","1993-06-18","2026-05-02","Per=Y","Days=T","Dir=V")</f>
        <v>0</v>
      </c>
      <c r="K2">
        <f>BDH("NRXP US Equity","BS_CASH_NEAR_CASH_ITEM","1993-06-18","2026-05-02","Per=Y","Days=T","Dir=V")</f>
        <v>0</v>
      </c>
      <c r="M2">
        <f>BDH("NRXP US Equity","BS_CUR_ASSET_REPORT","1993-06-18","2026-05-02","Per=Y","Days=T","Dir=V")</f>
        <v>0</v>
      </c>
      <c r="O2">
        <f>BDH("NRXP US Equity","BS_CUR_LIAB","1993-06-18","2026-05-02","Per=Y","Days=T","Dir=V")</f>
        <v>0</v>
      </c>
      <c r="Q2">
        <f>BDH("NRXP US Equity","BS_SHAREHOLDER_EQY_ENDING_PERIOD","1993-06-18","2026-05-02","Per=Y","Days=T","Dir=V")</f>
        <v>0</v>
      </c>
      <c r="S2">
        <f>BDH("NRXP US Equity","BS_ACCT_NOTE_RCV","1993-06-18","2026-05-02","Per=Y","Days=T","Dir=V")</f>
        <v>0</v>
      </c>
      <c r="U2">
        <f>BDH("NRXP US Equity","BS_INVENTORIES","1993-06-18","2026-05-02","Per=Y","Days=T","Dir=V")</f>
        <v>0</v>
      </c>
      <c r="W2">
        <f>BDH("NRXP US Equity","WORKING_CAPITAL","1993-06-18","2026-05-02","Per=Y","Days=T","Dir=V")</f>
        <v>0</v>
      </c>
      <c r="Y2">
        <f>BDH("NRXP US Equity","SALES_REV_TURN","1993-06-18","2026-05-02","Per=Y","Days=T","Dir=V")</f>
        <v>0</v>
      </c>
      <c r="AA2">
        <f>BDH("NRXP US Equity","EBIT","1993-06-18","2026-05-02","Per=Y","Days=T","Dir=V")</f>
        <v>0</v>
      </c>
      <c r="AC2">
        <f>BDH("NRXP US Equity","EBITDA","1993-06-18","2026-05-02","Per=Y","Days=T","Dir=V")</f>
        <v>0</v>
      </c>
      <c r="AE2">
        <f>BDH("NRXP US Equity","NET_INCOME","1993-06-18","2026-05-02","Per=Y","Days=T","Dir=V")</f>
        <v>0</v>
      </c>
      <c r="AG2">
        <f>BDH("NRXP US Equity","IS_INT_EXPENSE","1993-06-18","2026-05-02","Per=Y","Days=T","Dir=V")</f>
        <v>0</v>
      </c>
      <c r="AI2">
        <f>BDH("NRXP US Equity","IS_DEPR_EXP","1993-06-18","2026-05-02","Per=Y","Days=T","Dir=V")</f>
        <v>0</v>
      </c>
      <c r="AK2">
        <f>BDH("NRXP US Equity","CF_CASH_FROM_OPER","1993-06-18","2026-05-02","Per=Y","Days=T","Dir=V")</f>
        <v>0</v>
      </c>
      <c r="AM2">
        <f>BDH("NRXP US Equity","CAPITAL_EXPEND","1993-06-18","2026-05-02","Per=Y","Days=T","Dir=V")</f>
        <v>0</v>
      </c>
      <c r="AO2">
        <f>BDH("NRXP US Equity","CF_FREE_CASH_FLOW","1993-06-18","2026-05-02","Per=Y","Days=T","Dir=V")</f>
        <v>0</v>
      </c>
      <c r="AQ2">
        <f>BDH("NRXP US Equity","PX_LAST","1993-06-18","2026-05-02","Per=M","Days=T","Dir=V")</f>
        <v>0</v>
      </c>
      <c r="AS2">
        <f>BDH("NRXP US Equity","CUR_MKT_CAP","1993-06-18","2026-05-02","Per=M","Days=T","Dir=V")</f>
        <v>0</v>
      </c>
      <c r="AU2">
        <f>BDH("NRXP US Equity","EQY_SH_OUT","1993-06-18","2026-05-02","Per=M","Days=T","Dir=V")</f>
        <v>0</v>
      </c>
      <c r="AW2">
        <f>BDH("NRXP US Equity","PX_VOLUME","1993-06-18","2026-05-02","Per=M","Days=T","Dir=V")</f>
        <v>0</v>
      </c>
      <c r="AY2">
        <f>BDH("NRXP US Equity","TURNOVER","1993-06-18","2026-05-02","Per=M","Days=T","Dir=V")</f>
        <v>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BDH("NRXS US Equity","BS_TOT_ASSET","1993-06-18","2026-05-02","Per=Y","Days=T","Dir=V")</f>
        <v>0</v>
      </c>
      <c r="C2">
        <f>BDH("NRXS US Equity","BS_TOT_LIAB2","1993-06-18","2026-05-02","Per=Y","Days=T","Dir=V")</f>
        <v>0</v>
      </c>
      <c r="E2">
        <f>BDH("NRXS US Equity","SHORT_AND_LONG_TERM_DEBT","1993-06-18","2026-05-02","Per=Y","Days=T","Dir=V")</f>
        <v>0</v>
      </c>
      <c r="G2">
        <f>BDH("NRXS US Equity","BS_ST_BORROW","1993-06-18","2026-05-02","Per=Y","Days=T","Dir=V")</f>
        <v>0</v>
      </c>
      <c r="I2">
        <f>BDH("NRXS US Equity","BS_LT_BORROW","1993-06-18","2026-05-02","Per=Y","Days=T","Dir=V")</f>
        <v>0</v>
      </c>
      <c r="K2">
        <f>BDH("NRXS US Equity","BS_CASH_NEAR_CASH_ITEM","1993-06-18","2026-05-02","Per=Y","Days=T","Dir=V")</f>
        <v>0</v>
      </c>
      <c r="M2">
        <f>BDH("NRXS US Equity","BS_CUR_ASSET_REPORT","1993-06-18","2026-05-02","Per=Y","Days=T","Dir=V")</f>
        <v>0</v>
      </c>
      <c r="O2">
        <f>BDH("NRXS US Equity","BS_CUR_LIAB","1993-06-18","2026-05-02","Per=Y","Days=T","Dir=V")</f>
        <v>0</v>
      </c>
      <c r="Q2">
        <f>BDH("NRXS US Equity","BS_SHAREHOLDER_EQY_ENDING_PERIOD","1993-06-18","2026-05-02","Per=Y","Days=T","Dir=V")</f>
        <v>0</v>
      </c>
      <c r="S2">
        <f>BDH("NRXS US Equity","BS_ACCT_NOTE_RCV","1993-06-18","2026-05-02","Per=Y","Days=T","Dir=V")</f>
        <v>0</v>
      </c>
      <c r="U2">
        <f>BDH("NRXS US Equity","BS_INVENTORIES","1993-06-18","2026-05-02","Per=Y","Days=T","Dir=V")</f>
        <v>0</v>
      </c>
      <c r="W2">
        <f>BDH("NRXS US Equity","WORKING_CAPITAL","1993-06-18","2026-05-02","Per=Y","Days=T","Dir=V")</f>
        <v>0</v>
      </c>
      <c r="Y2">
        <f>BDH("NRXS US Equity","SALES_REV_TURN","1993-06-18","2026-05-02","Per=Y","Days=T","Dir=V")</f>
        <v>0</v>
      </c>
      <c r="AA2">
        <f>BDH("NRXS US Equity","EBIT","1993-06-18","2026-05-02","Per=Y","Days=T","Dir=V")</f>
        <v>0</v>
      </c>
      <c r="AC2">
        <f>BDH("NRXS US Equity","EBITDA","1993-06-18","2026-05-02","Per=Y","Days=T","Dir=V")</f>
        <v>0</v>
      </c>
      <c r="AE2">
        <f>BDH("NRXS US Equity","NET_INCOME","1993-06-18","2026-05-02","Per=Y","Days=T","Dir=V")</f>
        <v>0</v>
      </c>
      <c r="AG2">
        <f>BDH("NRXS US Equity","IS_INT_EXPENSE","1993-06-18","2026-05-02","Per=Y","Days=T","Dir=V")</f>
        <v>0</v>
      </c>
      <c r="AI2">
        <f>BDH("NRXS US Equity","IS_DEPR_EXP","1993-06-18","2026-05-02","Per=Y","Days=T","Dir=V")</f>
        <v>0</v>
      </c>
      <c r="AK2">
        <f>BDH("NRXS US Equity","CF_CASH_FROM_OPER","1993-06-18","2026-05-02","Per=Y","Days=T","Dir=V")</f>
        <v>0</v>
      </c>
      <c r="AM2">
        <f>BDH("NRXS US Equity","CAPITAL_EXPEND","1993-06-18","2026-05-02","Per=Y","Days=T","Dir=V")</f>
        <v>0</v>
      </c>
      <c r="AO2">
        <f>BDH("NRXS US Equity","CF_FREE_CASH_FLOW","1993-06-18","2026-05-02","Per=Y","Days=T","Dir=V")</f>
        <v>0</v>
      </c>
      <c r="AQ2">
        <f>BDH("NRXS US Equity","PX_LAST","1993-06-18","2026-05-02","Per=M","Days=T","Dir=V")</f>
        <v>0</v>
      </c>
      <c r="AS2">
        <f>BDH("NRXS US Equity","CUR_MKT_CAP","1993-06-18","2026-05-02","Per=M","Days=T","Dir=V")</f>
        <v>0</v>
      </c>
      <c r="AU2">
        <f>BDH("NRXS US Equity","EQY_SH_OUT","1993-06-18","2026-05-02","Per=M","Days=T","Dir=V")</f>
        <v>0</v>
      </c>
      <c r="AW2">
        <f>BDH("NRXS US Equity","PX_VOLUME","1993-06-18","2026-05-02","Per=M","Days=T","Dir=V")</f>
        <v>0</v>
      </c>
      <c r="AY2">
        <f>BDH("NRXS US Equity","TURNOVER","1993-06-18","2026-05-02","Per=M","Days=T","Dir=V")</f>
        <v>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BDH("NSC US Equity","BS_TOT_ASSET","1993-06-18","2026-05-02","Per=Y","Days=T","Dir=V")</f>
        <v>0</v>
      </c>
      <c r="C2">
        <f>BDH("NSC US Equity","BS_TOT_LIAB2","1993-06-18","2026-05-02","Per=Y","Days=T","Dir=V")</f>
        <v>0</v>
      </c>
      <c r="E2">
        <f>BDH("NSC US Equity","SHORT_AND_LONG_TERM_DEBT","1993-06-18","2026-05-02","Per=Y","Days=T","Dir=V")</f>
        <v>0</v>
      </c>
      <c r="G2">
        <f>BDH("NSC US Equity","BS_ST_BORROW","1993-06-18","2026-05-02","Per=Y","Days=T","Dir=V")</f>
        <v>0</v>
      </c>
      <c r="I2">
        <f>BDH("NSC US Equity","BS_LT_BORROW","1993-06-18","2026-05-02","Per=Y","Days=T","Dir=V")</f>
        <v>0</v>
      </c>
      <c r="K2">
        <f>BDH("NSC US Equity","BS_CASH_NEAR_CASH_ITEM","1993-06-18","2026-05-02","Per=Y","Days=T","Dir=V")</f>
        <v>0</v>
      </c>
      <c r="M2">
        <f>BDH("NSC US Equity","BS_CUR_ASSET_REPORT","1993-06-18","2026-05-02","Per=Y","Days=T","Dir=V")</f>
        <v>0</v>
      </c>
      <c r="O2">
        <f>BDH("NSC US Equity","BS_CUR_LIAB","1993-06-18","2026-05-02","Per=Y","Days=T","Dir=V")</f>
        <v>0</v>
      </c>
      <c r="Q2">
        <f>BDH("NSC US Equity","BS_SHAREHOLDER_EQY_ENDING_PERIOD","1993-06-18","2026-05-02","Per=Y","Days=T","Dir=V")</f>
        <v>0</v>
      </c>
      <c r="S2">
        <f>BDH("NSC US Equity","BS_ACCT_NOTE_RCV","1993-06-18","2026-05-02","Per=Y","Days=T","Dir=V")</f>
        <v>0</v>
      </c>
      <c r="U2">
        <f>BDH("NSC US Equity","BS_INVENTORIES","1993-06-18","2026-05-02","Per=Y","Days=T","Dir=V")</f>
        <v>0</v>
      </c>
      <c r="W2">
        <f>BDH("NSC US Equity","WORKING_CAPITAL","1993-06-18","2026-05-02","Per=Y","Days=T","Dir=V")</f>
        <v>0</v>
      </c>
      <c r="Y2">
        <f>BDH("NSC US Equity","SALES_REV_TURN","1993-06-18","2026-05-02","Per=Y","Days=T","Dir=V")</f>
        <v>0</v>
      </c>
      <c r="AA2">
        <f>BDH("NSC US Equity","EBIT","1993-06-18","2026-05-02","Per=Y","Days=T","Dir=V")</f>
        <v>0</v>
      </c>
      <c r="AC2">
        <f>BDH("NSC US Equity","EBITDA","1993-06-18","2026-05-02","Per=Y","Days=T","Dir=V")</f>
        <v>0</v>
      </c>
      <c r="AE2">
        <f>BDH("NSC US Equity","NET_INCOME","1993-06-18","2026-05-02","Per=Y","Days=T","Dir=V")</f>
        <v>0</v>
      </c>
      <c r="AG2">
        <f>BDH("NSC US Equity","IS_INT_EXPENSE","1993-06-18","2026-05-02","Per=Y","Days=T","Dir=V")</f>
        <v>0</v>
      </c>
      <c r="AI2">
        <f>BDH("NSC US Equity","IS_DEPR_EXP","1993-06-18","2026-05-02","Per=Y","Days=T","Dir=V")</f>
        <v>0</v>
      </c>
      <c r="AK2">
        <f>BDH("NSC US Equity","CF_CASH_FROM_OPER","1993-06-18","2026-05-02","Per=Y","Days=T","Dir=V")</f>
        <v>0</v>
      </c>
      <c r="AM2">
        <f>BDH("NSC US Equity","CAPITAL_EXPEND","1993-06-18","2026-05-02","Per=Y","Days=T","Dir=V")</f>
        <v>0</v>
      </c>
      <c r="AO2">
        <f>BDH("NSC US Equity","CF_FREE_CASH_FLOW","1993-06-18","2026-05-02","Per=Y","Days=T","Dir=V")</f>
        <v>0</v>
      </c>
      <c r="AQ2">
        <f>BDH("NSC US Equity","PX_LAST","1993-06-18","2026-05-02","Per=M","Days=T","Dir=V")</f>
        <v>0</v>
      </c>
      <c r="AS2">
        <f>BDH("NSC US Equity","CUR_MKT_CAP","1993-06-18","2026-05-02","Per=M","Days=T","Dir=V")</f>
        <v>0</v>
      </c>
      <c r="AU2">
        <f>BDH("NSC US Equity","EQY_SH_OUT","1993-06-18","2026-05-02","Per=M","Days=T","Dir=V")</f>
        <v>0</v>
      </c>
      <c r="AW2">
        <f>BDH("NSC US Equity","PX_VOLUME","1993-06-18","2026-05-02","Per=M","Days=T","Dir=V")</f>
        <v>0</v>
      </c>
      <c r="AY2">
        <f>BDH("NSC US Equity","TURNOVER","1993-06-18","2026-05-02","Per=M","Days=T","Dir=V")</f>
        <v>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BDH("NSIT US Equity","BS_TOT_ASSET","1993-06-18","2026-05-02","Per=Y","Days=T","Dir=V")</f>
        <v>0</v>
      </c>
      <c r="C2">
        <f>BDH("NSIT US Equity","BS_TOT_LIAB2","1993-06-18","2026-05-02","Per=Y","Days=T","Dir=V")</f>
        <v>0</v>
      </c>
      <c r="E2">
        <f>BDH("NSIT US Equity","SHORT_AND_LONG_TERM_DEBT","1993-06-18","2026-05-02","Per=Y","Days=T","Dir=V")</f>
        <v>0</v>
      </c>
      <c r="G2">
        <f>BDH("NSIT US Equity","BS_ST_BORROW","1993-06-18","2026-05-02","Per=Y","Days=T","Dir=V")</f>
        <v>0</v>
      </c>
      <c r="I2">
        <f>BDH("NSIT US Equity","BS_LT_BORROW","1993-06-18","2026-05-02","Per=Y","Days=T","Dir=V")</f>
        <v>0</v>
      </c>
      <c r="K2">
        <f>BDH("NSIT US Equity","BS_CASH_NEAR_CASH_ITEM","1993-06-18","2026-05-02","Per=Y","Days=T","Dir=V")</f>
        <v>0</v>
      </c>
      <c r="M2">
        <f>BDH("NSIT US Equity","BS_CUR_ASSET_REPORT","1993-06-18","2026-05-02","Per=Y","Days=T","Dir=V")</f>
        <v>0</v>
      </c>
      <c r="O2">
        <f>BDH("NSIT US Equity","BS_CUR_LIAB","1993-06-18","2026-05-02","Per=Y","Days=T","Dir=V")</f>
        <v>0</v>
      </c>
      <c r="Q2">
        <f>BDH("NSIT US Equity","BS_SHAREHOLDER_EQY_ENDING_PERIOD","1993-06-18","2026-05-02","Per=Y","Days=T","Dir=V")</f>
        <v>0</v>
      </c>
      <c r="S2">
        <f>BDH("NSIT US Equity","BS_ACCT_NOTE_RCV","1993-06-18","2026-05-02","Per=Y","Days=T","Dir=V")</f>
        <v>0</v>
      </c>
      <c r="U2">
        <f>BDH("NSIT US Equity","BS_INVENTORIES","1993-06-18","2026-05-02","Per=Y","Days=T","Dir=V")</f>
        <v>0</v>
      </c>
      <c r="W2">
        <f>BDH("NSIT US Equity","WORKING_CAPITAL","1993-06-18","2026-05-02","Per=Y","Days=T","Dir=V")</f>
        <v>0</v>
      </c>
      <c r="Y2">
        <f>BDH("NSIT US Equity","SALES_REV_TURN","1993-06-18","2026-05-02","Per=Y","Days=T","Dir=V")</f>
        <v>0</v>
      </c>
      <c r="AA2">
        <f>BDH("NSIT US Equity","EBIT","1993-06-18","2026-05-02","Per=Y","Days=T","Dir=V")</f>
        <v>0</v>
      </c>
      <c r="AC2">
        <f>BDH("NSIT US Equity","EBITDA","1993-06-18","2026-05-02","Per=Y","Days=T","Dir=V")</f>
        <v>0</v>
      </c>
      <c r="AE2">
        <f>BDH("NSIT US Equity","NET_INCOME","1993-06-18","2026-05-02","Per=Y","Days=T","Dir=V")</f>
        <v>0</v>
      </c>
      <c r="AG2">
        <f>BDH("NSIT US Equity","IS_INT_EXPENSE","1993-06-18","2026-05-02","Per=Y","Days=T","Dir=V")</f>
        <v>0</v>
      </c>
      <c r="AI2">
        <f>BDH("NSIT US Equity","IS_DEPR_EXP","1993-06-18","2026-05-02","Per=Y","Days=T","Dir=V")</f>
        <v>0</v>
      </c>
      <c r="AK2">
        <f>BDH("NSIT US Equity","CF_CASH_FROM_OPER","1993-06-18","2026-05-02","Per=Y","Days=T","Dir=V")</f>
        <v>0</v>
      </c>
      <c r="AM2">
        <f>BDH("NSIT US Equity","CAPITAL_EXPEND","1993-06-18","2026-05-02","Per=Y","Days=T","Dir=V")</f>
        <v>0</v>
      </c>
      <c r="AO2">
        <f>BDH("NSIT US Equity","CF_FREE_CASH_FLOW","1993-06-18","2026-05-02","Per=Y","Days=T","Dir=V")</f>
        <v>0</v>
      </c>
      <c r="AQ2">
        <f>BDH("NSIT US Equity","PX_LAST","1993-06-18","2026-05-02","Per=M","Days=T","Dir=V")</f>
        <v>0</v>
      </c>
      <c r="AS2">
        <f>BDH("NSIT US Equity","CUR_MKT_CAP","1993-06-18","2026-05-02","Per=M","Days=T","Dir=V")</f>
        <v>0</v>
      </c>
      <c r="AU2">
        <f>BDH("NSIT US Equity","EQY_SH_OUT","1993-06-18","2026-05-02","Per=M","Days=T","Dir=V")</f>
        <v>0</v>
      </c>
      <c r="AW2">
        <f>BDH("NSIT US Equity","PX_VOLUME","1993-06-18","2026-05-02","Per=M","Days=T","Dir=V")</f>
        <v>0</v>
      </c>
      <c r="AY2">
        <f>BDH("NSIT US Equity","TURNOVER","1993-06-18","2026-05-02","Per=M","Days=T","Dir=V")</f>
        <v>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BDH("NSP US Equity","BS_TOT_ASSET","1993-06-18","2026-05-02","Per=Y","Days=T","Dir=V")</f>
        <v>0</v>
      </c>
      <c r="C2">
        <f>BDH("NSP US Equity","BS_TOT_LIAB2","1993-06-18","2026-05-02","Per=Y","Days=T","Dir=V")</f>
        <v>0</v>
      </c>
      <c r="E2">
        <f>BDH("NSP US Equity","SHORT_AND_LONG_TERM_DEBT","1993-06-18","2026-05-02","Per=Y","Days=T","Dir=V")</f>
        <v>0</v>
      </c>
      <c r="G2">
        <f>BDH("NSP US Equity","BS_ST_BORROW","1993-06-18","2026-05-02","Per=Y","Days=T","Dir=V")</f>
        <v>0</v>
      </c>
      <c r="I2">
        <f>BDH("NSP US Equity","BS_LT_BORROW","1993-06-18","2026-05-02","Per=Y","Days=T","Dir=V")</f>
        <v>0</v>
      </c>
      <c r="K2">
        <f>BDH("NSP US Equity","BS_CASH_NEAR_CASH_ITEM","1993-06-18","2026-05-02","Per=Y","Days=T","Dir=V")</f>
        <v>0</v>
      </c>
      <c r="M2">
        <f>BDH("NSP US Equity","BS_CUR_ASSET_REPORT","1993-06-18","2026-05-02","Per=Y","Days=T","Dir=V")</f>
        <v>0</v>
      </c>
      <c r="O2">
        <f>BDH("NSP US Equity","BS_CUR_LIAB","1993-06-18","2026-05-02","Per=Y","Days=T","Dir=V")</f>
        <v>0</v>
      </c>
      <c r="Q2">
        <f>BDH("NSP US Equity","BS_SHAREHOLDER_EQY_ENDING_PERIOD","1993-06-18","2026-05-02","Per=Y","Days=T","Dir=V")</f>
        <v>0</v>
      </c>
      <c r="S2">
        <f>BDH("NSP US Equity","BS_ACCT_NOTE_RCV","1993-06-18","2026-05-02","Per=Y","Days=T","Dir=V")</f>
        <v>0</v>
      </c>
      <c r="U2">
        <f>BDH("NSP US Equity","BS_INVENTORIES","1993-06-18","2026-05-02","Per=Y","Days=T","Dir=V")</f>
        <v>0</v>
      </c>
      <c r="W2">
        <f>BDH("NSP US Equity","WORKING_CAPITAL","1993-06-18","2026-05-02","Per=Y","Days=T","Dir=V")</f>
        <v>0</v>
      </c>
      <c r="Y2">
        <f>BDH("NSP US Equity","SALES_REV_TURN","1993-06-18","2026-05-02","Per=Y","Days=T","Dir=V")</f>
        <v>0</v>
      </c>
      <c r="AA2">
        <f>BDH("NSP US Equity","EBIT","1993-06-18","2026-05-02","Per=Y","Days=T","Dir=V")</f>
        <v>0</v>
      </c>
      <c r="AC2">
        <f>BDH("NSP US Equity","EBITDA","1993-06-18","2026-05-02","Per=Y","Days=T","Dir=V")</f>
        <v>0</v>
      </c>
      <c r="AE2">
        <f>BDH("NSP US Equity","NET_INCOME","1993-06-18","2026-05-02","Per=Y","Days=T","Dir=V")</f>
        <v>0</v>
      </c>
      <c r="AG2">
        <f>BDH("NSP US Equity","IS_INT_EXPENSE","1993-06-18","2026-05-02","Per=Y","Days=T","Dir=V")</f>
        <v>0</v>
      </c>
      <c r="AI2">
        <f>BDH("NSP US Equity","IS_DEPR_EXP","1993-06-18","2026-05-02","Per=Y","Days=T","Dir=V")</f>
        <v>0</v>
      </c>
      <c r="AK2">
        <f>BDH("NSP US Equity","CF_CASH_FROM_OPER","1993-06-18","2026-05-02","Per=Y","Days=T","Dir=V")</f>
        <v>0</v>
      </c>
      <c r="AM2">
        <f>BDH("NSP US Equity","CAPITAL_EXPEND","1993-06-18","2026-05-02","Per=Y","Days=T","Dir=V")</f>
        <v>0</v>
      </c>
      <c r="AO2">
        <f>BDH("NSP US Equity","CF_FREE_CASH_FLOW","1993-06-18","2026-05-02","Per=Y","Days=T","Dir=V")</f>
        <v>0</v>
      </c>
      <c r="AQ2">
        <f>BDH("NSP US Equity","PX_LAST","1993-06-18","2026-05-02","Per=M","Days=T","Dir=V")</f>
        <v>0</v>
      </c>
      <c r="AS2">
        <f>BDH("NSP US Equity","CUR_MKT_CAP","1993-06-18","2026-05-02","Per=M","Days=T","Dir=V")</f>
        <v>0</v>
      </c>
      <c r="AU2">
        <f>BDH("NSP US Equity","EQY_SH_OUT","1993-06-18","2026-05-02","Per=M","Days=T","Dir=V")</f>
        <v>0</v>
      </c>
      <c r="AW2">
        <f>BDH("NSP US Equity","PX_VOLUME","1993-06-18","2026-05-02","Per=M","Days=T","Dir=V")</f>
        <v>0</v>
      </c>
      <c r="AY2">
        <f>BDH("NSP US Equity","TURNOVER","1993-06-18","2026-05-02","Per=M","Days=T","Dir=V")</f>
        <v>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BDH("NSSC US Equity","BS_TOT_ASSET","1993-06-18","2026-05-02","Per=Y","Days=T","Dir=V")</f>
        <v>0</v>
      </c>
      <c r="C2">
        <f>BDH("NSSC US Equity","BS_TOT_LIAB2","1993-06-18","2026-05-02","Per=Y","Days=T","Dir=V")</f>
        <v>0</v>
      </c>
      <c r="E2">
        <f>BDH("NSSC US Equity","SHORT_AND_LONG_TERM_DEBT","1993-06-18","2026-05-02","Per=Y","Days=T","Dir=V")</f>
        <v>0</v>
      </c>
      <c r="G2">
        <f>BDH("NSSC US Equity","BS_ST_BORROW","1993-06-18","2026-05-02","Per=Y","Days=T","Dir=V")</f>
        <v>0</v>
      </c>
      <c r="I2">
        <f>BDH("NSSC US Equity","BS_LT_BORROW","1993-06-18","2026-05-02","Per=Y","Days=T","Dir=V")</f>
        <v>0</v>
      </c>
      <c r="K2">
        <f>BDH("NSSC US Equity","BS_CASH_NEAR_CASH_ITEM","1993-06-18","2026-05-02","Per=Y","Days=T","Dir=V")</f>
        <v>0</v>
      </c>
      <c r="M2">
        <f>BDH("NSSC US Equity","BS_CUR_ASSET_REPORT","1993-06-18","2026-05-02","Per=Y","Days=T","Dir=V")</f>
        <v>0</v>
      </c>
      <c r="O2">
        <f>BDH("NSSC US Equity","BS_CUR_LIAB","1993-06-18","2026-05-02","Per=Y","Days=T","Dir=V")</f>
        <v>0</v>
      </c>
      <c r="Q2">
        <f>BDH("NSSC US Equity","BS_SHAREHOLDER_EQY_ENDING_PERIOD","1993-06-18","2026-05-02","Per=Y","Days=T","Dir=V")</f>
        <v>0</v>
      </c>
      <c r="S2">
        <f>BDH("NSSC US Equity","BS_ACCT_NOTE_RCV","1993-06-18","2026-05-02","Per=Y","Days=T","Dir=V")</f>
        <v>0</v>
      </c>
      <c r="U2">
        <f>BDH("NSSC US Equity","BS_INVENTORIES","1993-06-18","2026-05-02","Per=Y","Days=T","Dir=V")</f>
        <v>0</v>
      </c>
      <c r="W2">
        <f>BDH("NSSC US Equity","WORKING_CAPITAL","1993-06-18","2026-05-02","Per=Y","Days=T","Dir=V")</f>
        <v>0</v>
      </c>
      <c r="Y2">
        <f>BDH("NSSC US Equity","SALES_REV_TURN","1993-06-18","2026-05-02","Per=Y","Days=T","Dir=V")</f>
        <v>0</v>
      </c>
      <c r="AA2">
        <f>BDH("NSSC US Equity","EBIT","1993-06-18","2026-05-02","Per=Y","Days=T","Dir=V")</f>
        <v>0</v>
      </c>
      <c r="AC2">
        <f>BDH("NSSC US Equity","EBITDA","1993-06-18","2026-05-02","Per=Y","Days=T","Dir=V")</f>
        <v>0</v>
      </c>
      <c r="AE2">
        <f>BDH("NSSC US Equity","NET_INCOME","1993-06-18","2026-05-02","Per=Y","Days=T","Dir=V")</f>
        <v>0</v>
      </c>
      <c r="AG2">
        <f>BDH("NSSC US Equity","IS_INT_EXPENSE","1993-06-18","2026-05-02","Per=Y","Days=T","Dir=V")</f>
        <v>0</v>
      </c>
      <c r="AI2">
        <f>BDH("NSSC US Equity","IS_DEPR_EXP","1993-06-18","2026-05-02","Per=Y","Days=T","Dir=V")</f>
        <v>0</v>
      </c>
      <c r="AK2">
        <f>BDH("NSSC US Equity","CF_CASH_FROM_OPER","1993-06-18","2026-05-02","Per=Y","Days=T","Dir=V")</f>
        <v>0</v>
      </c>
      <c r="AM2">
        <f>BDH("NSSC US Equity","CAPITAL_EXPEND","1993-06-18","2026-05-02","Per=Y","Days=T","Dir=V")</f>
        <v>0</v>
      </c>
      <c r="AO2">
        <f>BDH("NSSC US Equity","CF_FREE_CASH_FLOW","1993-06-18","2026-05-02","Per=Y","Days=T","Dir=V")</f>
        <v>0</v>
      </c>
      <c r="AQ2">
        <f>BDH("NSSC US Equity","PX_LAST","1993-06-18","2026-05-02","Per=M","Days=T","Dir=V")</f>
        <v>0</v>
      </c>
      <c r="AS2">
        <f>BDH("NSSC US Equity","CUR_MKT_CAP","1993-06-18","2026-05-02","Per=M","Days=T","Dir=V")</f>
        <v>0</v>
      </c>
      <c r="AU2">
        <f>BDH("NSSC US Equity","EQY_SH_OUT","1993-06-18","2026-05-02","Per=M","Days=T","Dir=V")</f>
        <v>0</v>
      </c>
      <c r="AW2">
        <f>BDH("NSSC US Equity","PX_VOLUME","1993-06-18","2026-05-02","Per=M","Days=T","Dir=V")</f>
        <v>0</v>
      </c>
      <c r="AY2">
        <f>BDH("NSSC US Equity","TURNOVER","1993-06-18","2026-05-02","Per=M","Days=T","Dir=V")</f>
        <v>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BDH("NSYS US Equity","BS_TOT_ASSET","1993-06-18","2026-05-02","Per=Y","Days=T","Dir=V")</f>
        <v>0</v>
      </c>
      <c r="C2">
        <f>BDH("NSYS US Equity","BS_TOT_LIAB2","1993-06-18","2026-05-02","Per=Y","Days=T","Dir=V")</f>
        <v>0</v>
      </c>
      <c r="E2">
        <f>BDH("NSYS US Equity","SHORT_AND_LONG_TERM_DEBT","1993-06-18","2026-05-02","Per=Y","Days=T","Dir=V")</f>
        <v>0</v>
      </c>
      <c r="G2">
        <f>BDH("NSYS US Equity","BS_ST_BORROW","1993-06-18","2026-05-02","Per=Y","Days=T","Dir=V")</f>
        <v>0</v>
      </c>
      <c r="I2">
        <f>BDH("NSYS US Equity","BS_LT_BORROW","1993-06-18","2026-05-02","Per=Y","Days=T","Dir=V")</f>
        <v>0</v>
      </c>
      <c r="K2">
        <f>BDH("NSYS US Equity","BS_CASH_NEAR_CASH_ITEM","1993-06-18","2026-05-02","Per=Y","Days=T","Dir=V")</f>
        <v>0</v>
      </c>
      <c r="M2">
        <f>BDH("NSYS US Equity","BS_CUR_ASSET_REPORT","1993-06-18","2026-05-02","Per=Y","Days=T","Dir=V")</f>
        <v>0</v>
      </c>
      <c r="O2">
        <f>BDH("NSYS US Equity","BS_CUR_LIAB","1993-06-18","2026-05-02","Per=Y","Days=T","Dir=V")</f>
        <v>0</v>
      </c>
      <c r="Q2">
        <f>BDH("NSYS US Equity","BS_SHAREHOLDER_EQY_ENDING_PERIOD","1993-06-18","2026-05-02","Per=Y","Days=T","Dir=V")</f>
        <v>0</v>
      </c>
      <c r="S2">
        <f>BDH("NSYS US Equity","BS_ACCT_NOTE_RCV","1993-06-18","2026-05-02","Per=Y","Days=T","Dir=V")</f>
        <v>0</v>
      </c>
      <c r="U2">
        <f>BDH("NSYS US Equity","BS_INVENTORIES","1993-06-18","2026-05-02","Per=Y","Days=T","Dir=V")</f>
        <v>0</v>
      </c>
      <c r="W2">
        <f>BDH("NSYS US Equity","WORKING_CAPITAL","1993-06-18","2026-05-02","Per=Y","Days=T","Dir=V")</f>
        <v>0</v>
      </c>
      <c r="Y2">
        <f>BDH("NSYS US Equity","SALES_REV_TURN","1993-06-18","2026-05-02","Per=Y","Days=T","Dir=V")</f>
        <v>0</v>
      </c>
      <c r="AA2">
        <f>BDH("NSYS US Equity","EBIT","1993-06-18","2026-05-02","Per=Y","Days=T","Dir=V")</f>
        <v>0</v>
      </c>
      <c r="AC2">
        <f>BDH("NSYS US Equity","EBITDA","1993-06-18","2026-05-02","Per=Y","Days=T","Dir=V")</f>
        <v>0</v>
      </c>
      <c r="AE2">
        <f>BDH("NSYS US Equity","NET_INCOME","1993-06-18","2026-05-02","Per=Y","Days=T","Dir=V")</f>
        <v>0</v>
      </c>
      <c r="AG2">
        <f>BDH("NSYS US Equity","IS_INT_EXPENSE","1993-06-18","2026-05-02","Per=Y","Days=T","Dir=V")</f>
        <v>0</v>
      </c>
      <c r="AI2">
        <f>BDH("NSYS US Equity","IS_DEPR_EXP","1993-06-18","2026-05-02","Per=Y","Days=T","Dir=V")</f>
        <v>0</v>
      </c>
      <c r="AK2">
        <f>BDH("NSYS US Equity","CF_CASH_FROM_OPER","1993-06-18","2026-05-02","Per=Y","Days=T","Dir=V")</f>
        <v>0</v>
      </c>
      <c r="AM2">
        <f>BDH("NSYS US Equity","CAPITAL_EXPEND","1993-06-18","2026-05-02","Per=Y","Days=T","Dir=V")</f>
        <v>0</v>
      </c>
      <c r="AO2">
        <f>BDH("NSYS US Equity","CF_FREE_CASH_FLOW","1993-06-18","2026-05-02","Per=Y","Days=T","Dir=V")</f>
        <v>0</v>
      </c>
      <c r="AQ2">
        <f>BDH("NSYS US Equity","PX_LAST","1993-06-18","2026-05-02","Per=M","Days=T","Dir=V")</f>
        <v>0</v>
      </c>
      <c r="AS2">
        <f>BDH("NSYS US Equity","CUR_MKT_CAP","1993-06-18","2026-05-02","Per=M","Days=T","Dir=V")</f>
        <v>0</v>
      </c>
      <c r="AU2">
        <f>BDH("NSYS US Equity","EQY_SH_OUT","1993-06-18","2026-05-02","Per=M","Days=T","Dir=V")</f>
        <v>0</v>
      </c>
      <c r="AW2">
        <f>BDH("NSYS US Equity","PX_VOLUME","1993-06-18","2026-05-02","Per=M","Days=T","Dir=V")</f>
        <v>0</v>
      </c>
      <c r="AY2">
        <f>BDH("NSYS US Equity","TURNOVER","1993-06-18","2026-05-02","Per=M","Days=T","Dir=V")</f>
        <v>0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BDH("NTAP US Equity","BS_TOT_ASSET","1993-06-18","2026-05-02","Per=Y","Days=T","Dir=V")</f>
        <v>0</v>
      </c>
      <c r="C2">
        <f>BDH("NTAP US Equity","BS_TOT_LIAB2","1993-06-18","2026-05-02","Per=Y","Days=T","Dir=V")</f>
        <v>0</v>
      </c>
      <c r="E2">
        <f>BDH("NTAP US Equity","SHORT_AND_LONG_TERM_DEBT","1993-06-18","2026-05-02","Per=Y","Days=T","Dir=V")</f>
        <v>0</v>
      </c>
      <c r="G2">
        <f>BDH("NTAP US Equity","BS_ST_BORROW","1993-06-18","2026-05-02","Per=Y","Days=T","Dir=V")</f>
        <v>0</v>
      </c>
      <c r="I2">
        <f>BDH("NTAP US Equity","BS_LT_BORROW","1993-06-18","2026-05-02","Per=Y","Days=T","Dir=V")</f>
        <v>0</v>
      </c>
      <c r="K2">
        <f>BDH("NTAP US Equity","BS_CASH_NEAR_CASH_ITEM","1993-06-18","2026-05-02","Per=Y","Days=T","Dir=V")</f>
        <v>0</v>
      </c>
      <c r="M2">
        <f>BDH("NTAP US Equity","BS_CUR_ASSET_REPORT","1993-06-18","2026-05-02","Per=Y","Days=T","Dir=V")</f>
        <v>0</v>
      </c>
      <c r="O2">
        <f>BDH("NTAP US Equity","BS_CUR_LIAB","1993-06-18","2026-05-02","Per=Y","Days=T","Dir=V")</f>
        <v>0</v>
      </c>
      <c r="Q2">
        <f>BDH("NTAP US Equity","BS_SHAREHOLDER_EQY_ENDING_PERIOD","1993-06-18","2026-05-02","Per=Y","Days=T","Dir=V")</f>
        <v>0</v>
      </c>
      <c r="S2">
        <f>BDH("NTAP US Equity","BS_ACCT_NOTE_RCV","1993-06-18","2026-05-02","Per=Y","Days=T","Dir=V")</f>
        <v>0</v>
      </c>
      <c r="U2">
        <f>BDH("NTAP US Equity","BS_INVENTORIES","1993-06-18","2026-05-02","Per=Y","Days=T","Dir=V")</f>
        <v>0</v>
      </c>
      <c r="W2">
        <f>BDH("NTAP US Equity","WORKING_CAPITAL","1993-06-18","2026-05-02","Per=Y","Days=T","Dir=V")</f>
        <v>0</v>
      </c>
      <c r="Y2">
        <f>BDH("NTAP US Equity","SALES_REV_TURN","1993-06-18","2026-05-02","Per=Y","Days=T","Dir=V")</f>
        <v>0</v>
      </c>
      <c r="AA2">
        <f>BDH("NTAP US Equity","EBIT","1993-06-18","2026-05-02","Per=Y","Days=T","Dir=V")</f>
        <v>0</v>
      </c>
      <c r="AC2">
        <f>BDH("NTAP US Equity","EBITDA","1993-06-18","2026-05-02","Per=Y","Days=T","Dir=V")</f>
        <v>0</v>
      </c>
      <c r="AE2">
        <f>BDH("NTAP US Equity","NET_INCOME","1993-06-18","2026-05-02","Per=Y","Days=T","Dir=V")</f>
        <v>0</v>
      </c>
      <c r="AG2">
        <f>BDH("NTAP US Equity","IS_INT_EXPENSE","1993-06-18","2026-05-02","Per=Y","Days=T","Dir=V")</f>
        <v>0</v>
      </c>
      <c r="AI2">
        <f>BDH("NTAP US Equity","IS_DEPR_EXP","1993-06-18","2026-05-02","Per=Y","Days=T","Dir=V")</f>
        <v>0</v>
      </c>
      <c r="AK2">
        <f>BDH("NTAP US Equity","CF_CASH_FROM_OPER","1993-06-18","2026-05-02","Per=Y","Days=T","Dir=V")</f>
        <v>0</v>
      </c>
      <c r="AM2">
        <f>BDH("NTAP US Equity","CAPITAL_EXPEND","1993-06-18","2026-05-02","Per=Y","Days=T","Dir=V")</f>
        <v>0</v>
      </c>
      <c r="AO2">
        <f>BDH("NTAP US Equity","CF_FREE_CASH_FLOW","1993-06-18","2026-05-02","Per=Y","Days=T","Dir=V")</f>
        <v>0</v>
      </c>
      <c r="AQ2">
        <f>BDH("NTAP US Equity","PX_LAST","1993-06-18","2026-05-02","Per=M","Days=T","Dir=V")</f>
        <v>0</v>
      </c>
      <c r="AS2">
        <f>BDH("NTAP US Equity","CUR_MKT_CAP","1993-06-18","2026-05-02","Per=M","Days=T","Dir=V")</f>
        <v>0</v>
      </c>
      <c r="AU2">
        <f>BDH("NTAP US Equity","EQY_SH_OUT","1993-06-18","2026-05-02","Per=M","Days=T","Dir=V")</f>
        <v>0</v>
      </c>
      <c r="AW2">
        <f>BDH("NTAP US Equity","PX_VOLUME","1993-06-18","2026-05-02","Per=M","Days=T","Dir=V")</f>
        <v>0</v>
      </c>
      <c r="AY2">
        <f>BDH("NTAP US Equity","TURNOVER","1993-06-18","2026-05-02","Per=M","Days=T","Dir=V")</f>
        <v>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BDH("NTCT US Equity","BS_TOT_ASSET","1993-06-18","2026-05-02","Per=Y","Days=T","Dir=V")</f>
        <v>0</v>
      </c>
      <c r="C2">
        <f>BDH("NTCT US Equity","BS_TOT_LIAB2","1993-06-18","2026-05-02","Per=Y","Days=T","Dir=V")</f>
        <v>0</v>
      </c>
      <c r="E2">
        <f>BDH("NTCT US Equity","SHORT_AND_LONG_TERM_DEBT","1993-06-18","2026-05-02","Per=Y","Days=T","Dir=V")</f>
        <v>0</v>
      </c>
      <c r="G2">
        <f>BDH("NTCT US Equity","BS_ST_BORROW","1993-06-18","2026-05-02","Per=Y","Days=T","Dir=V")</f>
        <v>0</v>
      </c>
      <c r="I2">
        <f>BDH("NTCT US Equity","BS_LT_BORROW","1993-06-18","2026-05-02","Per=Y","Days=T","Dir=V")</f>
        <v>0</v>
      </c>
      <c r="K2">
        <f>BDH("NTCT US Equity","BS_CASH_NEAR_CASH_ITEM","1993-06-18","2026-05-02","Per=Y","Days=T","Dir=V")</f>
        <v>0</v>
      </c>
      <c r="M2">
        <f>BDH("NTCT US Equity","BS_CUR_ASSET_REPORT","1993-06-18","2026-05-02","Per=Y","Days=T","Dir=V")</f>
        <v>0</v>
      </c>
      <c r="O2">
        <f>BDH("NTCT US Equity","BS_CUR_LIAB","1993-06-18","2026-05-02","Per=Y","Days=T","Dir=V")</f>
        <v>0</v>
      </c>
      <c r="Q2">
        <f>BDH("NTCT US Equity","BS_SHAREHOLDER_EQY_ENDING_PERIOD","1993-06-18","2026-05-02","Per=Y","Days=T","Dir=V")</f>
        <v>0</v>
      </c>
      <c r="S2">
        <f>BDH("NTCT US Equity","BS_ACCT_NOTE_RCV","1993-06-18","2026-05-02","Per=Y","Days=T","Dir=V")</f>
        <v>0</v>
      </c>
      <c r="U2">
        <f>BDH("NTCT US Equity","BS_INVENTORIES","1993-06-18","2026-05-02","Per=Y","Days=T","Dir=V")</f>
        <v>0</v>
      </c>
      <c r="W2">
        <f>BDH("NTCT US Equity","WORKING_CAPITAL","1993-06-18","2026-05-02","Per=Y","Days=T","Dir=V")</f>
        <v>0</v>
      </c>
      <c r="Y2">
        <f>BDH("NTCT US Equity","SALES_REV_TURN","1993-06-18","2026-05-02","Per=Y","Days=T","Dir=V")</f>
        <v>0</v>
      </c>
      <c r="AA2">
        <f>BDH("NTCT US Equity","EBIT","1993-06-18","2026-05-02","Per=Y","Days=T","Dir=V")</f>
        <v>0</v>
      </c>
      <c r="AC2">
        <f>BDH("NTCT US Equity","EBITDA","1993-06-18","2026-05-02","Per=Y","Days=T","Dir=V")</f>
        <v>0</v>
      </c>
      <c r="AE2">
        <f>BDH("NTCT US Equity","NET_INCOME","1993-06-18","2026-05-02","Per=Y","Days=T","Dir=V")</f>
        <v>0</v>
      </c>
      <c r="AG2">
        <f>BDH("NTCT US Equity","IS_INT_EXPENSE","1993-06-18","2026-05-02","Per=Y","Days=T","Dir=V")</f>
        <v>0</v>
      </c>
      <c r="AI2">
        <f>BDH("NTCT US Equity","IS_DEPR_EXP","1993-06-18","2026-05-02","Per=Y","Days=T","Dir=V")</f>
        <v>0</v>
      </c>
      <c r="AK2">
        <f>BDH("NTCT US Equity","CF_CASH_FROM_OPER","1993-06-18","2026-05-02","Per=Y","Days=T","Dir=V")</f>
        <v>0</v>
      </c>
      <c r="AM2">
        <f>BDH("NTCT US Equity","CAPITAL_EXPEND","1993-06-18","2026-05-02","Per=Y","Days=T","Dir=V")</f>
        <v>0</v>
      </c>
      <c r="AO2">
        <f>BDH("NTCT US Equity","CF_FREE_CASH_FLOW","1993-06-18","2026-05-02","Per=Y","Days=T","Dir=V")</f>
        <v>0</v>
      </c>
      <c r="AQ2">
        <f>BDH("NTCT US Equity","PX_LAST","1993-06-18","2026-05-02","Per=M","Days=T","Dir=V")</f>
        <v>0</v>
      </c>
      <c r="AS2">
        <f>BDH("NTCT US Equity","CUR_MKT_CAP","1993-06-18","2026-05-02","Per=M","Days=T","Dir=V")</f>
        <v>0</v>
      </c>
      <c r="AU2">
        <f>BDH("NTCT US Equity","EQY_SH_OUT","1993-06-18","2026-05-02","Per=M","Days=T","Dir=V")</f>
        <v>0</v>
      </c>
      <c r="AW2">
        <f>BDH("NTCT US Equity","PX_VOLUME","1993-06-18","2026-05-02","Per=M","Days=T","Dir=V")</f>
        <v>0</v>
      </c>
      <c r="AY2">
        <f>BDH("NTCT US Equity","TURNOVER","1993-06-18","2026-05-02","Per=M","Days=T","Dir=V")</f>
        <v>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BDH("NTGR US Equity","BS_TOT_ASSET","1993-06-18","2026-05-02","Per=Y","Days=T","Dir=V")</f>
        <v>0</v>
      </c>
      <c r="C2">
        <f>BDH("NTGR US Equity","BS_TOT_LIAB2","1993-06-18","2026-05-02","Per=Y","Days=T","Dir=V")</f>
        <v>0</v>
      </c>
      <c r="E2">
        <f>BDH("NTGR US Equity","SHORT_AND_LONG_TERM_DEBT","1993-06-18","2026-05-02","Per=Y","Days=T","Dir=V")</f>
        <v>0</v>
      </c>
      <c r="G2">
        <f>BDH("NTGR US Equity","BS_ST_BORROW","1993-06-18","2026-05-02","Per=Y","Days=T","Dir=V")</f>
        <v>0</v>
      </c>
      <c r="I2">
        <f>BDH("NTGR US Equity","BS_LT_BORROW","1993-06-18","2026-05-02","Per=Y","Days=T","Dir=V")</f>
        <v>0</v>
      </c>
      <c r="K2">
        <f>BDH("NTGR US Equity","BS_CASH_NEAR_CASH_ITEM","1993-06-18","2026-05-02","Per=Y","Days=T","Dir=V")</f>
        <v>0</v>
      </c>
      <c r="M2">
        <f>BDH("NTGR US Equity","BS_CUR_ASSET_REPORT","1993-06-18","2026-05-02","Per=Y","Days=T","Dir=V")</f>
        <v>0</v>
      </c>
      <c r="O2">
        <f>BDH("NTGR US Equity","BS_CUR_LIAB","1993-06-18","2026-05-02","Per=Y","Days=T","Dir=V")</f>
        <v>0</v>
      </c>
      <c r="Q2">
        <f>BDH("NTGR US Equity","BS_SHAREHOLDER_EQY_ENDING_PERIOD","1993-06-18","2026-05-02","Per=Y","Days=T","Dir=V")</f>
        <v>0</v>
      </c>
      <c r="S2">
        <f>BDH("NTGR US Equity","BS_ACCT_NOTE_RCV","1993-06-18","2026-05-02","Per=Y","Days=T","Dir=V")</f>
        <v>0</v>
      </c>
      <c r="U2">
        <f>BDH("NTGR US Equity","BS_INVENTORIES","1993-06-18","2026-05-02","Per=Y","Days=T","Dir=V")</f>
        <v>0</v>
      </c>
      <c r="W2">
        <f>BDH("NTGR US Equity","WORKING_CAPITAL","1993-06-18","2026-05-02","Per=Y","Days=T","Dir=V")</f>
        <v>0</v>
      </c>
      <c r="Y2">
        <f>BDH("NTGR US Equity","SALES_REV_TURN","1993-06-18","2026-05-02","Per=Y","Days=T","Dir=V")</f>
        <v>0</v>
      </c>
      <c r="AA2">
        <f>BDH("NTGR US Equity","EBIT","1993-06-18","2026-05-02","Per=Y","Days=T","Dir=V")</f>
        <v>0</v>
      </c>
      <c r="AC2">
        <f>BDH("NTGR US Equity","EBITDA","1993-06-18","2026-05-02","Per=Y","Days=T","Dir=V")</f>
        <v>0</v>
      </c>
      <c r="AE2">
        <f>BDH("NTGR US Equity","NET_INCOME","1993-06-18","2026-05-02","Per=Y","Days=T","Dir=V")</f>
        <v>0</v>
      </c>
      <c r="AG2">
        <f>BDH("NTGR US Equity","IS_INT_EXPENSE","1993-06-18","2026-05-02","Per=Y","Days=T","Dir=V")</f>
        <v>0</v>
      </c>
      <c r="AI2">
        <f>BDH("NTGR US Equity","IS_DEPR_EXP","1993-06-18","2026-05-02","Per=Y","Days=T","Dir=V")</f>
        <v>0</v>
      </c>
      <c r="AK2">
        <f>BDH("NTGR US Equity","CF_CASH_FROM_OPER","1993-06-18","2026-05-02","Per=Y","Days=T","Dir=V")</f>
        <v>0</v>
      </c>
      <c r="AM2">
        <f>BDH("NTGR US Equity","CAPITAL_EXPEND","1993-06-18","2026-05-02","Per=Y","Days=T","Dir=V")</f>
        <v>0</v>
      </c>
      <c r="AO2">
        <f>BDH("NTGR US Equity","CF_FREE_CASH_FLOW","1993-06-18","2026-05-02","Per=Y","Days=T","Dir=V")</f>
        <v>0</v>
      </c>
      <c r="AQ2">
        <f>BDH("NTGR US Equity","PX_LAST","1993-06-18","2026-05-02","Per=M","Days=T","Dir=V")</f>
        <v>0</v>
      </c>
      <c r="AS2">
        <f>BDH("NTGR US Equity","CUR_MKT_CAP","1993-06-18","2026-05-02","Per=M","Days=T","Dir=V")</f>
        <v>0</v>
      </c>
      <c r="AU2">
        <f>BDH("NTGR US Equity","EQY_SH_OUT","1993-06-18","2026-05-02","Per=M","Days=T","Dir=V")</f>
        <v>0</v>
      </c>
      <c r="AW2">
        <f>BDH("NTGR US Equity","PX_VOLUME","1993-06-18","2026-05-02","Per=M","Days=T","Dir=V")</f>
        <v>0</v>
      </c>
      <c r="AY2">
        <f>BDH("NTGR US Equity","TURNOVER","1993-06-18","2026-05-02","Per=M","Days=T","Dir=V")</f>
        <v>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BDH("NTHI US Equity","BS_TOT_ASSET","1993-06-18","2026-05-02","Per=Y","Days=T","Dir=V")</f>
        <v>0</v>
      </c>
      <c r="C2">
        <f>BDH("NTHI US Equity","BS_TOT_LIAB2","1993-06-18","2026-05-02","Per=Y","Days=T","Dir=V")</f>
        <v>0</v>
      </c>
      <c r="E2">
        <f>BDH("NTHI US Equity","SHORT_AND_LONG_TERM_DEBT","1993-06-18","2026-05-02","Per=Y","Days=T","Dir=V")</f>
        <v>0</v>
      </c>
      <c r="G2">
        <f>BDH("NTHI US Equity","BS_ST_BORROW","1993-06-18","2026-05-02","Per=Y","Days=T","Dir=V")</f>
        <v>0</v>
      </c>
      <c r="I2">
        <f>BDH("NTHI US Equity","BS_LT_BORROW","1993-06-18","2026-05-02","Per=Y","Days=T","Dir=V")</f>
        <v>0</v>
      </c>
      <c r="K2">
        <f>BDH("NTHI US Equity","BS_CASH_NEAR_CASH_ITEM","1993-06-18","2026-05-02","Per=Y","Days=T","Dir=V")</f>
        <v>0</v>
      </c>
      <c r="M2">
        <f>BDH("NTHI US Equity","BS_CUR_ASSET_REPORT","1993-06-18","2026-05-02","Per=Y","Days=T","Dir=V")</f>
        <v>0</v>
      </c>
      <c r="O2">
        <f>BDH("NTHI US Equity","BS_CUR_LIAB","1993-06-18","2026-05-02","Per=Y","Days=T","Dir=V")</f>
        <v>0</v>
      </c>
      <c r="Q2">
        <f>BDH("NTHI US Equity","BS_SHAREHOLDER_EQY_ENDING_PERIOD","1993-06-18","2026-05-02","Per=Y","Days=T","Dir=V")</f>
        <v>0</v>
      </c>
      <c r="S2">
        <f>BDH("NTHI US Equity","BS_ACCT_NOTE_RCV","1993-06-18","2026-05-02","Per=Y","Days=T","Dir=V")</f>
        <v>0</v>
      </c>
      <c r="U2">
        <f>BDH("NTHI US Equity","BS_INVENTORIES","1993-06-18","2026-05-02","Per=Y","Days=T","Dir=V")</f>
        <v>0</v>
      </c>
      <c r="W2">
        <f>BDH("NTHI US Equity","WORKING_CAPITAL","1993-06-18","2026-05-02","Per=Y","Days=T","Dir=V")</f>
        <v>0</v>
      </c>
      <c r="Y2">
        <f>BDH("NTHI US Equity","SALES_REV_TURN","1993-06-18","2026-05-02","Per=Y","Days=T","Dir=V")</f>
        <v>0</v>
      </c>
      <c r="AA2">
        <f>BDH("NTHI US Equity","EBIT","1993-06-18","2026-05-02","Per=Y","Days=T","Dir=V")</f>
        <v>0</v>
      </c>
      <c r="AC2">
        <f>BDH("NTHI US Equity","EBITDA","1993-06-18","2026-05-02","Per=Y","Days=T","Dir=V")</f>
        <v>0</v>
      </c>
      <c r="AE2">
        <f>BDH("NTHI US Equity","NET_INCOME","1993-06-18","2026-05-02","Per=Y","Days=T","Dir=V")</f>
        <v>0</v>
      </c>
      <c r="AG2">
        <f>BDH("NTHI US Equity","IS_INT_EXPENSE","1993-06-18","2026-05-02","Per=Y","Days=T","Dir=V")</f>
        <v>0</v>
      </c>
      <c r="AI2">
        <f>BDH("NTHI US Equity","IS_DEPR_EXP","1993-06-18","2026-05-02","Per=Y","Days=T","Dir=V")</f>
        <v>0</v>
      </c>
      <c r="AK2">
        <f>BDH("NTHI US Equity","CF_CASH_FROM_OPER","1993-06-18","2026-05-02","Per=Y","Days=T","Dir=V")</f>
        <v>0</v>
      </c>
      <c r="AM2">
        <f>BDH("NTHI US Equity","CAPITAL_EXPEND","1993-06-18","2026-05-02","Per=Y","Days=T","Dir=V")</f>
        <v>0</v>
      </c>
      <c r="AO2">
        <f>BDH("NTHI US Equity","CF_FREE_CASH_FLOW","1993-06-18","2026-05-02","Per=Y","Days=T","Dir=V")</f>
        <v>0</v>
      </c>
      <c r="AQ2">
        <f>BDH("NTHI US Equity","PX_LAST","1993-06-18","2026-05-02","Per=M","Days=T","Dir=V")</f>
        <v>0</v>
      </c>
      <c r="AS2">
        <f>BDH("NTHI US Equity","CUR_MKT_CAP","1993-06-18","2026-05-02","Per=M","Days=T","Dir=V")</f>
        <v>0</v>
      </c>
      <c r="AU2">
        <f>BDH("NTHI US Equity","EQY_SH_OUT","1993-06-18","2026-05-02","Per=M","Days=T","Dir=V")</f>
        <v>0</v>
      </c>
      <c r="AW2">
        <f>BDH("NTHI US Equity","PX_VOLUME","1993-06-18","2026-05-02","Per=M","Days=T","Dir=V")</f>
        <v>0</v>
      </c>
      <c r="AY2">
        <f>BDH("NTHI US Equity","TURNOVER","1993-06-18","2026-05-02","Per=M","Days=T","Dir=V")</f>
        <v>0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BDH("NTIC US Equity","BS_TOT_ASSET","1993-06-18","2026-05-02","Per=Y","Days=T","Dir=V")</f>
        <v>0</v>
      </c>
      <c r="C2">
        <f>BDH("NTIC US Equity","BS_TOT_LIAB2","1993-06-18","2026-05-02","Per=Y","Days=T","Dir=V")</f>
        <v>0</v>
      </c>
      <c r="E2">
        <f>BDH("NTIC US Equity","SHORT_AND_LONG_TERM_DEBT","1993-06-18","2026-05-02","Per=Y","Days=T","Dir=V")</f>
        <v>0</v>
      </c>
      <c r="G2">
        <f>BDH("NTIC US Equity","BS_ST_BORROW","1993-06-18","2026-05-02","Per=Y","Days=T","Dir=V")</f>
        <v>0</v>
      </c>
      <c r="I2">
        <f>BDH("NTIC US Equity","BS_LT_BORROW","1993-06-18","2026-05-02","Per=Y","Days=T","Dir=V")</f>
        <v>0</v>
      </c>
      <c r="K2">
        <f>BDH("NTIC US Equity","BS_CASH_NEAR_CASH_ITEM","1993-06-18","2026-05-02","Per=Y","Days=T","Dir=V")</f>
        <v>0</v>
      </c>
      <c r="M2">
        <f>BDH("NTIC US Equity","BS_CUR_ASSET_REPORT","1993-06-18","2026-05-02","Per=Y","Days=T","Dir=V")</f>
        <v>0</v>
      </c>
      <c r="O2">
        <f>BDH("NTIC US Equity","BS_CUR_LIAB","1993-06-18","2026-05-02","Per=Y","Days=T","Dir=V")</f>
        <v>0</v>
      </c>
      <c r="Q2">
        <f>BDH("NTIC US Equity","BS_SHAREHOLDER_EQY_ENDING_PERIOD","1993-06-18","2026-05-02","Per=Y","Days=T","Dir=V")</f>
        <v>0</v>
      </c>
      <c r="S2">
        <f>BDH("NTIC US Equity","BS_ACCT_NOTE_RCV","1993-06-18","2026-05-02","Per=Y","Days=T","Dir=V")</f>
        <v>0</v>
      </c>
      <c r="U2">
        <f>BDH("NTIC US Equity","BS_INVENTORIES","1993-06-18","2026-05-02","Per=Y","Days=T","Dir=V")</f>
        <v>0</v>
      </c>
      <c r="W2">
        <f>BDH("NTIC US Equity","WORKING_CAPITAL","1993-06-18","2026-05-02","Per=Y","Days=T","Dir=V")</f>
        <v>0</v>
      </c>
      <c r="Y2">
        <f>BDH("NTIC US Equity","SALES_REV_TURN","1993-06-18","2026-05-02","Per=Y","Days=T","Dir=V")</f>
        <v>0</v>
      </c>
      <c r="AA2">
        <f>BDH("NTIC US Equity","EBIT","1993-06-18","2026-05-02","Per=Y","Days=T","Dir=V")</f>
        <v>0</v>
      </c>
      <c r="AC2">
        <f>BDH("NTIC US Equity","EBITDA","1993-06-18","2026-05-02","Per=Y","Days=T","Dir=V")</f>
        <v>0</v>
      </c>
      <c r="AE2">
        <f>BDH("NTIC US Equity","NET_INCOME","1993-06-18","2026-05-02","Per=Y","Days=T","Dir=V")</f>
        <v>0</v>
      </c>
      <c r="AG2">
        <f>BDH("NTIC US Equity","IS_INT_EXPENSE","1993-06-18","2026-05-02","Per=Y","Days=T","Dir=V")</f>
        <v>0</v>
      </c>
      <c r="AI2">
        <f>BDH("NTIC US Equity","IS_DEPR_EXP","1993-06-18","2026-05-02","Per=Y","Days=T","Dir=V")</f>
        <v>0</v>
      </c>
      <c r="AK2">
        <f>BDH("NTIC US Equity","CF_CASH_FROM_OPER","1993-06-18","2026-05-02","Per=Y","Days=T","Dir=V")</f>
        <v>0</v>
      </c>
      <c r="AM2">
        <f>BDH("NTIC US Equity","CAPITAL_EXPEND","1993-06-18","2026-05-02","Per=Y","Days=T","Dir=V")</f>
        <v>0</v>
      </c>
      <c r="AO2">
        <f>BDH("NTIC US Equity","CF_FREE_CASH_FLOW","1993-06-18","2026-05-02","Per=Y","Days=T","Dir=V")</f>
        <v>0</v>
      </c>
      <c r="AQ2">
        <f>BDH("NTIC US Equity","PX_LAST","1993-06-18","2026-05-02","Per=M","Days=T","Dir=V")</f>
        <v>0</v>
      </c>
      <c r="AS2">
        <f>BDH("NTIC US Equity","CUR_MKT_CAP","1993-06-18","2026-05-02","Per=M","Days=T","Dir=V")</f>
        <v>0</v>
      </c>
      <c r="AU2">
        <f>BDH("NTIC US Equity","EQY_SH_OUT","1993-06-18","2026-05-02","Per=M","Days=T","Dir=V")</f>
        <v>0</v>
      </c>
      <c r="AW2">
        <f>BDH("NTIC US Equity","PX_VOLUME","1993-06-18","2026-05-02","Per=M","Days=T","Dir=V")</f>
        <v>0</v>
      </c>
      <c r="AY2">
        <f>BDH("NTIC US Equity","TURNOVER","1993-06-18","2026-05-02","Per=M","Days=T","Dir=V")</f>
        <v>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BDH("NTLA US Equity","BS_TOT_ASSET","1993-06-18","2026-05-02","Per=Y","Days=T","Dir=V")</f>
        <v>0</v>
      </c>
      <c r="C2">
        <f>BDH("NTLA US Equity","BS_TOT_LIAB2","1993-06-18","2026-05-02","Per=Y","Days=T","Dir=V")</f>
        <v>0</v>
      </c>
      <c r="E2">
        <f>BDH("NTLA US Equity","SHORT_AND_LONG_TERM_DEBT","1993-06-18","2026-05-02","Per=Y","Days=T","Dir=V")</f>
        <v>0</v>
      </c>
      <c r="G2">
        <f>BDH("NTLA US Equity","BS_ST_BORROW","1993-06-18","2026-05-02","Per=Y","Days=T","Dir=V")</f>
        <v>0</v>
      </c>
      <c r="I2">
        <f>BDH("NTLA US Equity","BS_LT_BORROW","1993-06-18","2026-05-02","Per=Y","Days=T","Dir=V")</f>
        <v>0</v>
      </c>
      <c r="K2">
        <f>BDH("NTLA US Equity","BS_CASH_NEAR_CASH_ITEM","1993-06-18","2026-05-02","Per=Y","Days=T","Dir=V")</f>
        <v>0</v>
      </c>
      <c r="M2">
        <f>BDH("NTLA US Equity","BS_CUR_ASSET_REPORT","1993-06-18","2026-05-02","Per=Y","Days=T","Dir=V")</f>
        <v>0</v>
      </c>
      <c r="O2">
        <f>BDH("NTLA US Equity","BS_CUR_LIAB","1993-06-18","2026-05-02","Per=Y","Days=T","Dir=V")</f>
        <v>0</v>
      </c>
      <c r="Q2">
        <f>BDH("NTLA US Equity","BS_SHAREHOLDER_EQY_ENDING_PERIOD","1993-06-18","2026-05-02","Per=Y","Days=T","Dir=V")</f>
        <v>0</v>
      </c>
      <c r="S2">
        <f>BDH("NTLA US Equity","BS_ACCT_NOTE_RCV","1993-06-18","2026-05-02","Per=Y","Days=T","Dir=V")</f>
        <v>0</v>
      </c>
      <c r="U2">
        <f>BDH("NTLA US Equity","BS_INVENTORIES","1993-06-18","2026-05-02","Per=Y","Days=T","Dir=V")</f>
        <v>0</v>
      </c>
      <c r="W2">
        <f>BDH("NTLA US Equity","WORKING_CAPITAL","1993-06-18","2026-05-02","Per=Y","Days=T","Dir=V")</f>
        <v>0</v>
      </c>
      <c r="Y2">
        <f>BDH("NTLA US Equity","SALES_REV_TURN","1993-06-18","2026-05-02","Per=Y","Days=T","Dir=V")</f>
        <v>0</v>
      </c>
      <c r="AA2">
        <f>BDH("NTLA US Equity","EBIT","1993-06-18","2026-05-02","Per=Y","Days=T","Dir=V")</f>
        <v>0</v>
      </c>
      <c r="AC2">
        <f>BDH("NTLA US Equity","EBITDA","1993-06-18","2026-05-02","Per=Y","Days=T","Dir=V")</f>
        <v>0</v>
      </c>
      <c r="AE2">
        <f>BDH("NTLA US Equity","NET_INCOME","1993-06-18","2026-05-02","Per=Y","Days=T","Dir=V")</f>
        <v>0</v>
      </c>
      <c r="AG2">
        <f>BDH("NTLA US Equity","IS_INT_EXPENSE","1993-06-18","2026-05-02","Per=Y","Days=T","Dir=V")</f>
        <v>0</v>
      </c>
      <c r="AI2">
        <f>BDH("NTLA US Equity","IS_DEPR_EXP","1993-06-18","2026-05-02","Per=Y","Days=T","Dir=V")</f>
        <v>0</v>
      </c>
      <c r="AK2">
        <f>BDH("NTLA US Equity","CF_CASH_FROM_OPER","1993-06-18","2026-05-02","Per=Y","Days=T","Dir=V")</f>
        <v>0</v>
      </c>
      <c r="AM2">
        <f>BDH("NTLA US Equity","CAPITAL_EXPEND","1993-06-18","2026-05-02","Per=Y","Days=T","Dir=V")</f>
        <v>0</v>
      </c>
      <c r="AO2">
        <f>BDH("NTLA US Equity","CF_FREE_CASH_FLOW","1993-06-18","2026-05-02","Per=Y","Days=T","Dir=V")</f>
        <v>0</v>
      </c>
      <c r="AQ2">
        <f>BDH("NTLA US Equity","PX_LAST","1993-06-18","2026-05-02","Per=M","Days=T","Dir=V")</f>
        <v>0</v>
      </c>
      <c r="AS2">
        <f>BDH("NTLA US Equity","CUR_MKT_CAP","1993-06-18","2026-05-02","Per=M","Days=T","Dir=V")</f>
        <v>0</v>
      </c>
      <c r="AU2">
        <f>BDH("NTLA US Equity","EQY_SH_OUT","1993-06-18","2026-05-02","Per=M","Days=T","Dir=V")</f>
        <v>0</v>
      </c>
      <c r="AW2">
        <f>BDH("NTLA US Equity","PX_VOLUME","1993-06-18","2026-05-02","Per=M","Days=T","Dir=V")</f>
        <v>0</v>
      </c>
      <c r="AY2">
        <f>BDH("NTLA US Equity","TURNOVER","1993-06-18","2026-05-02","Per=M","Days=T","Dir=V")</f>
        <v>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BDH("NTNX US Equity","BS_TOT_ASSET","1993-06-18","2026-05-02","Per=Y","Days=T","Dir=V")</f>
        <v>0</v>
      </c>
      <c r="C2">
        <f>BDH("NTNX US Equity","BS_TOT_LIAB2","1993-06-18","2026-05-02","Per=Y","Days=T","Dir=V")</f>
        <v>0</v>
      </c>
      <c r="E2">
        <f>BDH("NTNX US Equity","SHORT_AND_LONG_TERM_DEBT","1993-06-18","2026-05-02","Per=Y","Days=T","Dir=V")</f>
        <v>0</v>
      </c>
      <c r="G2">
        <f>BDH("NTNX US Equity","BS_ST_BORROW","1993-06-18","2026-05-02","Per=Y","Days=T","Dir=V")</f>
        <v>0</v>
      </c>
      <c r="I2">
        <f>BDH("NTNX US Equity","BS_LT_BORROW","1993-06-18","2026-05-02","Per=Y","Days=T","Dir=V")</f>
        <v>0</v>
      </c>
      <c r="K2">
        <f>BDH("NTNX US Equity","BS_CASH_NEAR_CASH_ITEM","1993-06-18","2026-05-02","Per=Y","Days=T","Dir=V")</f>
        <v>0</v>
      </c>
      <c r="M2">
        <f>BDH("NTNX US Equity","BS_CUR_ASSET_REPORT","1993-06-18","2026-05-02","Per=Y","Days=T","Dir=V")</f>
        <v>0</v>
      </c>
      <c r="O2">
        <f>BDH("NTNX US Equity","BS_CUR_LIAB","1993-06-18","2026-05-02","Per=Y","Days=T","Dir=V")</f>
        <v>0</v>
      </c>
      <c r="Q2">
        <f>BDH("NTNX US Equity","BS_SHAREHOLDER_EQY_ENDING_PERIOD","1993-06-18","2026-05-02","Per=Y","Days=T","Dir=V")</f>
        <v>0</v>
      </c>
      <c r="S2">
        <f>BDH("NTNX US Equity","BS_ACCT_NOTE_RCV","1993-06-18","2026-05-02","Per=Y","Days=T","Dir=V")</f>
        <v>0</v>
      </c>
      <c r="U2">
        <f>BDH("NTNX US Equity","BS_INVENTORIES","1993-06-18","2026-05-02","Per=Y","Days=T","Dir=V")</f>
        <v>0</v>
      </c>
      <c r="W2">
        <f>BDH("NTNX US Equity","WORKING_CAPITAL","1993-06-18","2026-05-02","Per=Y","Days=T","Dir=V")</f>
        <v>0</v>
      </c>
      <c r="Y2">
        <f>BDH("NTNX US Equity","SALES_REV_TURN","1993-06-18","2026-05-02","Per=Y","Days=T","Dir=V")</f>
        <v>0</v>
      </c>
      <c r="AA2">
        <f>BDH("NTNX US Equity","EBIT","1993-06-18","2026-05-02","Per=Y","Days=T","Dir=V")</f>
        <v>0</v>
      </c>
      <c r="AC2">
        <f>BDH("NTNX US Equity","EBITDA","1993-06-18","2026-05-02","Per=Y","Days=T","Dir=V")</f>
        <v>0</v>
      </c>
      <c r="AE2">
        <f>BDH("NTNX US Equity","NET_INCOME","1993-06-18","2026-05-02","Per=Y","Days=T","Dir=V")</f>
        <v>0</v>
      </c>
      <c r="AG2">
        <f>BDH("NTNX US Equity","IS_INT_EXPENSE","1993-06-18","2026-05-02","Per=Y","Days=T","Dir=V")</f>
        <v>0</v>
      </c>
      <c r="AI2">
        <f>BDH("NTNX US Equity","IS_DEPR_EXP","1993-06-18","2026-05-02","Per=Y","Days=T","Dir=V")</f>
        <v>0</v>
      </c>
      <c r="AK2">
        <f>BDH("NTNX US Equity","CF_CASH_FROM_OPER","1993-06-18","2026-05-02","Per=Y","Days=T","Dir=V")</f>
        <v>0</v>
      </c>
      <c r="AM2">
        <f>BDH("NTNX US Equity","CAPITAL_EXPEND","1993-06-18","2026-05-02","Per=Y","Days=T","Dir=V")</f>
        <v>0</v>
      </c>
      <c r="AO2">
        <f>BDH("NTNX US Equity","CF_FREE_CASH_FLOW","1993-06-18","2026-05-02","Per=Y","Days=T","Dir=V")</f>
        <v>0</v>
      </c>
      <c r="AQ2">
        <f>BDH("NTNX US Equity","PX_LAST","1993-06-18","2026-05-02","Per=M","Days=T","Dir=V")</f>
        <v>0</v>
      </c>
      <c r="AS2">
        <f>BDH("NTNX US Equity","CUR_MKT_CAP","1993-06-18","2026-05-02","Per=M","Days=T","Dir=V")</f>
        <v>0</v>
      </c>
      <c r="AU2">
        <f>BDH("NTNX US Equity","EQY_SH_OUT","1993-06-18","2026-05-02","Per=M","Days=T","Dir=V")</f>
        <v>0</v>
      </c>
      <c r="AW2">
        <f>BDH("NTNX US Equity","PX_VOLUME","1993-06-18","2026-05-02","Per=M","Days=T","Dir=V")</f>
        <v>0</v>
      </c>
      <c r="AY2">
        <f>BDH("NTNX US Equity","TURNOVER","1993-06-18","2026-05-02","Per=M","Days=T","Dir=V")</f>
        <v>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BDH("NTRA US Equity","BS_TOT_ASSET","1993-06-18","2026-05-02","Per=Y","Days=T","Dir=V")</f>
        <v>0</v>
      </c>
      <c r="C2">
        <f>BDH("NTRA US Equity","BS_TOT_LIAB2","1993-06-18","2026-05-02","Per=Y","Days=T","Dir=V")</f>
        <v>0</v>
      </c>
      <c r="E2">
        <f>BDH("NTRA US Equity","SHORT_AND_LONG_TERM_DEBT","1993-06-18","2026-05-02","Per=Y","Days=T","Dir=V")</f>
        <v>0</v>
      </c>
      <c r="G2">
        <f>BDH("NTRA US Equity","BS_ST_BORROW","1993-06-18","2026-05-02","Per=Y","Days=T","Dir=V")</f>
        <v>0</v>
      </c>
      <c r="I2">
        <f>BDH("NTRA US Equity","BS_LT_BORROW","1993-06-18","2026-05-02","Per=Y","Days=T","Dir=V")</f>
        <v>0</v>
      </c>
      <c r="K2">
        <f>BDH("NTRA US Equity","BS_CASH_NEAR_CASH_ITEM","1993-06-18","2026-05-02","Per=Y","Days=T","Dir=V")</f>
        <v>0</v>
      </c>
      <c r="M2">
        <f>BDH("NTRA US Equity","BS_CUR_ASSET_REPORT","1993-06-18","2026-05-02","Per=Y","Days=T","Dir=V")</f>
        <v>0</v>
      </c>
      <c r="O2">
        <f>BDH("NTRA US Equity","BS_CUR_LIAB","1993-06-18","2026-05-02","Per=Y","Days=T","Dir=V")</f>
        <v>0</v>
      </c>
      <c r="Q2">
        <f>BDH("NTRA US Equity","BS_SHAREHOLDER_EQY_ENDING_PERIOD","1993-06-18","2026-05-02","Per=Y","Days=T","Dir=V")</f>
        <v>0</v>
      </c>
      <c r="S2">
        <f>BDH("NTRA US Equity","BS_ACCT_NOTE_RCV","1993-06-18","2026-05-02","Per=Y","Days=T","Dir=V")</f>
        <v>0</v>
      </c>
      <c r="U2">
        <f>BDH("NTRA US Equity","BS_INVENTORIES","1993-06-18","2026-05-02","Per=Y","Days=T","Dir=V")</f>
        <v>0</v>
      </c>
      <c r="W2">
        <f>BDH("NTRA US Equity","WORKING_CAPITAL","1993-06-18","2026-05-02","Per=Y","Days=T","Dir=V")</f>
        <v>0</v>
      </c>
      <c r="Y2">
        <f>BDH("NTRA US Equity","SALES_REV_TURN","1993-06-18","2026-05-02","Per=Y","Days=T","Dir=V")</f>
        <v>0</v>
      </c>
      <c r="AA2">
        <f>BDH("NTRA US Equity","EBIT","1993-06-18","2026-05-02","Per=Y","Days=T","Dir=V")</f>
        <v>0</v>
      </c>
      <c r="AC2">
        <f>BDH("NTRA US Equity","EBITDA","1993-06-18","2026-05-02","Per=Y","Days=T","Dir=V")</f>
        <v>0</v>
      </c>
      <c r="AE2">
        <f>BDH("NTRA US Equity","NET_INCOME","1993-06-18","2026-05-02","Per=Y","Days=T","Dir=V")</f>
        <v>0</v>
      </c>
      <c r="AG2">
        <f>BDH("NTRA US Equity","IS_INT_EXPENSE","1993-06-18","2026-05-02","Per=Y","Days=T","Dir=V")</f>
        <v>0</v>
      </c>
      <c r="AI2">
        <f>BDH("NTRA US Equity","IS_DEPR_EXP","1993-06-18","2026-05-02","Per=Y","Days=T","Dir=V")</f>
        <v>0</v>
      </c>
      <c r="AK2">
        <f>BDH("NTRA US Equity","CF_CASH_FROM_OPER","1993-06-18","2026-05-02","Per=Y","Days=T","Dir=V")</f>
        <v>0</v>
      </c>
      <c r="AM2">
        <f>BDH("NTRA US Equity","CAPITAL_EXPEND","1993-06-18","2026-05-02","Per=Y","Days=T","Dir=V")</f>
        <v>0</v>
      </c>
      <c r="AO2">
        <f>BDH("NTRA US Equity","CF_FREE_CASH_FLOW","1993-06-18","2026-05-02","Per=Y","Days=T","Dir=V")</f>
        <v>0</v>
      </c>
      <c r="AQ2">
        <f>BDH("NTRA US Equity","PX_LAST","1993-06-18","2026-05-02","Per=M","Days=T","Dir=V")</f>
        <v>0</v>
      </c>
      <c r="AS2">
        <f>BDH("NTRA US Equity","CUR_MKT_CAP","1993-06-18","2026-05-02","Per=M","Days=T","Dir=V")</f>
        <v>0</v>
      </c>
      <c r="AU2">
        <f>BDH("NTRA US Equity","EQY_SH_OUT","1993-06-18","2026-05-02","Per=M","Days=T","Dir=V")</f>
        <v>0</v>
      </c>
      <c r="AW2">
        <f>BDH("NTRA US Equity","PX_VOLUME","1993-06-18","2026-05-02","Per=M","Days=T","Dir=V")</f>
        <v>0</v>
      </c>
      <c r="AY2">
        <f>BDH("NTRA US Equity","TURNOVER","1993-06-18","2026-05-02","Per=M","Days=T","Dir=V")</f>
        <v>0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BDH("NTRB US Equity","BS_TOT_ASSET","1993-06-18","2026-05-02","Per=Y","Days=T","Dir=V")</f>
        <v>0</v>
      </c>
      <c r="C2">
        <f>BDH("NTRB US Equity","BS_TOT_LIAB2","1993-06-18","2026-05-02","Per=Y","Days=T","Dir=V")</f>
        <v>0</v>
      </c>
      <c r="E2">
        <f>BDH("NTRB US Equity","SHORT_AND_LONG_TERM_DEBT","1993-06-18","2026-05-02","Per=Y","Days=T","Dir=V")</f>
        <v>0</v>
      </c>
      <c r="G2">
        <f>BDH("NTRB US Equity","BS_ST_BORROW","1993-06-18","2026-05-02","Per=Y","Days=T","Dir=V")</f>
        <v>0</v>
      </c>
      <c r="I2">
        <f>BDH("NTRB US Equity","BS_LT_BORROW","1993-06-18","2026-05-02","Per=Y","Days=T","Dir=V")</f>
        <v>0</v>
      </c>
      <c r="K2">
        <f>BDH("NTRB US Equity","BS_CASH_NEAR_CASH_ITEM","1993-06-18","2026-05-02","Per=Y","Days=T","Dir=V")</f>
        <v>0</v>
      </c>
      <c r="M2">
        <f>BDH("NTRB US Equity","BS_CUR_ASSET_REPORT","1993-06-18","2026-05-02","Per=Y","Days=T","Dir=V")</f>
        <v>0</v>
      </c>
      <c r="O2">
        <f>BDH("NTRB US Equity","BS_CUR_LIAB","1993-06-18","2026-05-02","Per=Y","Days=T","Dir=V")</f>
        <v>0</v>
      </c>
      <c r="Q2">
        <f>BDH("NTRB US Equity","BS_SHAREHOLDER_EQY_ENDING_PERIOD","1993-06-18","2026-05-02","Per=Y","Days=T","Dir=V")</f>
        <v>0</v>
      </c>
      <c r="S2">
        <f>BDH("NTRB US Equity","BS_ACCT_NOTE_RCV","1993-06-18","2026-05-02","Per=Y","Days=T","Dir=V")</f>
        <v>0</v>
      </c>
      <c r="U2">
        <f>BDH("NTRB US Equity","BS_INVENTORIES","1993-06-18","2026-05-02","Per=Y","Days=T","Dir=V")</f>
        <v>0</v>
      </c>
      <c r="W2">
        <f>BDH("NTRB US Equity","WORKING_CAPITAL","1993-06-18","2026-05-02","Per=Y","Days=T","Dir=V")</f>
        <v>0</v>
      </c>
      <c r="Y2">
        <f>BDH("NTRB US Equity","SALES_REV_TURN","1993-06-18","2026-05-02","Per=Y","Days=T","Dir=V")</f>
        <v>0</v>
      </c>
      <c r="AA2">
        <f>BDH("NTRB US Equity","EBIT","1993-06-18","2026-05-02","Per=Y","Days=T","Dir=V")</f>
        <v>0</v>
      </c>
      <c r="AC2">
        <f>BDH("NTRB US Equity","EBITDA","1993-06-18","2026-05-02","Per=Y","Days=T","Dir=V")</f>
        <v>0</v>
      </c>
      <c r="AE2">
        <f>BDH("NTRB US Equity","NET_INCOME","1993-06-18","2026-05-02","Per=Y","Days=T","Dir=V")</f>
        <v>0</v>
      </c>
      <c r="AG2">
        <f>BDH("NTRB US Equity","IS_INT_EXPENSE","1993-06-18","2026-05-02","Per=Y","Days=T","Dir=V")</f>
        <v>0</v>
      </c>
      <c r="AI2">
        <f>BDH("NTRB US Equity","IS_DEPR_EXP","1993-06-18","2026-05-02","Per=Y","Days=T","Dir=V")</f>
        <v>0</v>
      </c>
      <c r="AK2">
        <f>BDH("NTRB US Equity","CF_CASH_FROM_OPER","1993-06-18","2026-05-02","Per=Y","Days=T","Dir=V")</f>
        <v>0</v>
      </c>
      <c r="AM2">
        <f>BDH("NTRB US Equity","CAPITAL_EXPEND","1993-06-18","2026-05-02","Per=Y","Days=T","Dir=V")</f>
        <v>0</v>
      </c>
      <c r="AO2">
        <f>BDH("NTRB US Equity","CF_FREE_CASH_FLOW","1993-06-18","2026-05-02","Per=Y","Days=T","Dir=V")</f>
        <v>0</v>
      </c>
      <c r="AQ2">
        <f>BDH("NTRB US Equity","PX_LAST","1993-06-18","2026-05-02","Per=M","Days=T","Dir=V")</f>
        <v>0</v>
      </c>
      <c r="AS2">
        <f>BDH("NTRB US Equity","CUR_MKT_CAP","1993-06-18","2026-05-02","Per=M","Days=T","Dir=V")</f>
        <v>0</v>
      </c>
      <c r="AU2">
        <f>BDH("NTRB US Equity","EQY_SH_OUT","1993-06-18","2026-05-02","Per=M","Days=T","Dir=V")</f>
        <v>0</v>
      </c>
      <c r="AW2">
        <f>BDH("NTRB US Equity","PX_VOLUME","1993-06-18","2026-05-02","Per=M","Days=T","Dir=V")</f>
        <v>0</v>
      </c>
      <c r="AY2">
        <f>BDH("NTRB US Equity","TURNOVER","1993-06-18","2026-05-02","Per=M","Days=T","Dir=V")</f>
        <v>0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BDH("NTRBW US Equity","BS_TOT_ASSET","1993-06-18","2026-05-02","Per=Y","Days=T","Dir=V")</f>
        <v>0</v>
      </c>
      <c r="C2">
        <f>BDH("NTRBW US Equity","BS_TOT_LIAB2","1993-06-18","2026-05-02","Per=Y","Days=T","Dir=V")</f>
        <v>0</v>
      </c>
      <c r="E2">
        <f>BDH("NTRBW US Equity","SHORT_AND_LONG_TERM_DEBT","1993-06-18","2026-05-02","Per=Y","Days=T","Dir=V")</f>
        <v>0</v>
      </c>
      <c r="G2">
        <f>BDH("NTRBW US Equity","BS_ST_BORROW","1993-06-18","2026-05-02","Per=Y","Days=T","Dir=V")</f>
        <v>0</v>
      </c>
      <c r="I2">
        <f>BDH("NTRBW US Equity","BS_LT_BORROW","1993-06-18","2026-05-02","Per=Y","Days=T","Dir=V")</f>
        <v>0</v>
      </c>
      <c r="K2">
        <f>BDH("NTRBW US Equity","BS_CASH_NEAR_CASH_ITEM","1993-06-18","2026-05-02","Per=Y","Days=T","Dir=V")</f>
        <v>0</v>
      </c>
      <c r="M2">
        <f>BDH("NTRBW US Equity","BS_CUR_ASSET_REPORT","1993-06-18","2026-05-02","Per=Y","Days=T","Dir=V")</f>
        <v>0</v>
      </c>
      <c r="O2">
        <f>BDH("NTRBW US Equity","BS_CUR_LIAB","1993-06-18","2026-05-02","Per=Y","Days=T","Dir=V")</f>
        <v>0</v>
      </c>
      <c r="Q2">
        <f>BDH("NTRBW US Equity","BS_SHAREHOLDER_EQY_ENDING_PERIOD","1993-06-18","2026-05-02","Per=Y","Days=T","Dir=V")</f>
        <v>0</v>
      </c>
      <c r="S2">
        <f>BDH("NTRBW US Equity","BS_ACCT_NOTE_RCV","1993-06-18","2026-05-02","Per=Y","Days=T","Dir=V")</f>
        <v>0</v>
      </c>
      <c r="U2">
        <f>BDH("NTRBW US Equity","BS_INVENTORIES","1993-06-18","2026-05-02","Per=Y","Days=T","Dir=V")</f>
        <v>0</v>
      </c>
      <c r="W2">
        <f>BDH("NTRBW US Equity","WORKING_CAPITAL","1993-06-18","2026-05-02","Per=Y","Days=T","Dir=V")</f>
        <v>0</v>
      </c>
      <c r="Y2">
        <f>BDH("NTRBW US Equity","SALES_REV_TURN","1993-06-18","2026-05-02","Per=Y","Days=T","Dir=V")</f>
        <v>0</v>
      </c>
      <c r="AA2">
        <f>BDH("NTRBW US Equity","EBIT","1993-06-18","2026-05-02","Per=Y","Days=T","Dir=V")</f>
        <v>0</v>
      </c>
      <c r="AC2">
        <f>BDH("NTRBW US Equity","EBITDA","1993-06-18","2026-05-02","Per=Y","Days=T","Dir=V")</f>
        <v>0</v>
      </c>
      <c r="AE2">
        <f>BDH("NTRBW US Equity","NET_INCOME","1993-06-18","2026-05-02","Per=Y","Days=T","Dir=V")</f>
        <v>0</v>
      </c>
      <c r="AG2">
        <f>BDH("NTRBW US Equity","IS_INT_EXPENSE","1993-06-18","2026-05-02","Per=Y","Days=T","Dir=V")</f>
        <v>0</v>
      </c>
      <c r="AI2">
        <f>BDH("NTRBW US Equity","IS_DEPR_EXP","1993-06-18","2026-05-02","Per=Y","Days=T","Dir=V")</f>
        <v>0</v>
      </c>
      <c r="AK2">
        <f>BDH("NTRBW US Equity","CF_CASH_FROM_OPER","1993-06-18","2026-05-02","Per=Y","Days=T","Dir=V")</f>
        <v>0</v>
      </c>
      <c r="AM2">
        <f>BDH("NTRBW US Equity","CAPITAL_EXPEND","1993-06-18","2026-05-02","Per=Y","Days=T","Dir=V")</f>
        <v>0</v>
      </c>
      <c r="AO2">
        <f>BDH("NTRBW US Equity","CF_FREE_CASH_FLOW","1993-06-18","2026-05-02","Per=Y","Days=T","Dir=V")</f>
        <v>0</v>
      </c>
      <c r="AQ2">
        <f>BDH("NTRBW US Equity","PX_LAST","1993-06-18","2026-05-02","Per=M","Days=T","Dir=V")</f>
        <v>0</v>
      </c>
      <c r="AS2">
        <f>BDH("NTRBW US Equity","CUR_MKT_CAP","1993-06-18","2026-05-02","Per=M","Days=T","Dir=V")</f>
        <v>0</v>
      </c>
      <c r="AU2">
        <f>BDH("NTRBW US Equity","EQY_SH_OUT","1993-06-18","2026-05-02","Per=M","Days=T","Dir=V")</f>
        <v>0</v>
      </c>
      <c r="AW2">
        <f>BDH("NTRBW US Equity","PX_VOLUME","1993-06-18","2026-05-02","Per=M","Days=T","Dir=V")</f>
        <v>0</v>
      </c>
      <c r="AY2">
        <f>BDH("NTRBW US Equity","TURNOVER","1993-06-18","2026-05-02","Per=M","Days=T","Dir=V")</f>
        <v>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BDH("NTRP US Equity","BS_TOT_ASSET","1993-06-18","2026-05-02","Per=Y","Days=T","Dir=V")</f>
        <v>0</v>
      </c>
      <c r="C2">
        <f>BDH("NTRP US Equity","BS_TOT_LIAB2","1993-06-18","2026-05-02","Per=Y","Days=T","Dir=V")</f>
        <v>0</v>
      </c>
      <c r="E2">
        <f>BDH("NTRP US Equity","SHORT_AND_LONG_TERM_DEBT","1993-06-18","2026-05-02","Per=Y","Days=T","Dir=V")</f>
        <v>0</v>
      </c>
      <c r="G2">
        <f>BDH("NTRP US Equity","BS_ST_BORROW","1993-06-18","2026-05-02","Per=Y","Days=T","Dir=V")</f>
        <v>0</v>
      </c>
      <c r="I2">
        <f>BDH("NTRP US Equity","BS_LT_BORROW","1993-06-18","2026-05-02","Per=Y","Days=T","Dir=V")</f>
        <v>0</v>
      </c>
      <c r="K2">
        <f>BDH("NTRP US Equity","BS_CASH_NEAR_CASH_ITEM","1993-06-18","2026-05-02","Per=Y","Days=T","Dir=V")</f>
        <v>0</v>
      </c>
      <c r="M2">
        <f>BDH("NTRP US Equity","BS_CUR_ASSET_REPORT","1993-06-18","2026-05-02","Per=Y","Days=T","Dir=V")</f>
        <v>0</v>
      </c>
      <c r="O2">
        <f>BDH("NTRP US Equity","BS_CUR_LIAB","1993-06-18","2026-05-02","Per=Y","Days=T","Dir=V")</f>
        <v>0</v>
      </c>
      <c r="Q2">
        <f>BDH("NTRP US Equity","BS_SHAREHOLDER_EQY_ENDING_PERIOD","1993-06-18","2026-05-02","Per=Y","Days=T","Dir=V")</f>
        <v>0</v>
      </c>
      <c r="S2">
        <f>BDH("NTRP US Equity","BS_ACCT_NOTE_RCV","1993-06-18","2026-05-02","Per=Y","Days=T","Dir=V")</f>
        <v>0</v>
      </c>
      <c r="U2">
        <f>BDH("NTRP US Equity","BS_INVENTORIES","1993-06-18","2026-05-02","Per=Y","Days=T","Dir=V")</f>
        <v>0</v>
      </c>
      <c r="W2">
        <f>BDH("NTRP US Equity","WORKING_CAPITAL","1993-06-18","2026-05-02","Per=Y","Days=T","Dir=V")</f>
        <v>0</v>
      </c>
      <c r="Y2">
        <f>BDH("NTRP US Equity","SALES_REV_TURN","1993-06-18","2026-05-02","Per=Y","Days=T","Dir=V")</f>
        <v>0</v>
      </c>
      <c r="AA2">
        <f>BDH("NTRP US Equity","EBIT","1993-06-18","2026-05-02","Per=Y","Days=T","Dir=V")</f>
        <v>0</v>
      </c>
      <c r="AC2">
        <f>BDH("NTRP US Equity","EBITDA","1993-06-18","2026-05-02","Per=Y","Days=T","Dir=V")</f>
        <v>0</v>
      </c>
      <c r="AE2">
        <f>BDH("NTRP US Equity","NET_INCOME","1993-06-18","2026-05-02","Per=Y","Days=T","Dir=V")</f>
        <v>0</v>
      </c>
      <c r="AG2">
        <f>BDH("NTRP US Equity","IS_INT_EXPENSE","1993-06-18","2026-05-02","Per=Y","Days=T","Dir=V")</f>
        <v>0</v>
      </c>
      <c r="AI2">
        <f>BDH("NTRP US Equity","IS_DEPR_EXP","1993-06-18","2026-05-02","Per=Y","Days=T","Dir=V")</f>
        <v>0</v>
      </c>
      <c r="AK2">
        <f>BDH("NTRP US Equity","CF_CASH_FROM_OPER","1993-06-18","2026-05-02","Per=Y","Days=T","Dir=V")</f>
        <v>0</v>
      </c>
      <c r="AM2">
        <f>BDH("NTRP US Equity","CAPITAL_EXPEND","1993-06-18","2026-05-02","Per=Y","Days=T","Dir=V")</f>
        <v>0</v>
      </c>
      <c r="AO2">
        <f>BDH("NTRP US Equity","CF_FREE_CASH_FLOW","1993-06-18","2026-05-02","Per=Y","Days=T","Dir=V")</f>
        <v>0</v>
      </c>
      <c r="AQ2">
        <f>BDH("NTRP US Equity","PX_LAST","1993-06-18","2026-05-02","Per=M","Days=T","Dir=V")</f>
        <v>0</v>
      </c>
      <c r="AS2">
        <f>BDH("NTRP US Equity","CUR_MKT_CAP","1993-06-18","2026-05-02","Per=M","Days=T","Dir=V")</f>
        <v>0</v>
      </c>
      <c r="AU2">
        <f>BDH("NTRP US Equity","EQY_SH_OUT","1993-06-18","2026-05-02","Per=M","Days=T","Dir=V")</f>
        <v>0</v>
      </c>
      <c r="AW2">
        <f>BDH("NTRP US Equity","PX_VOLUME","1993-06-18","2026-05-02","Per=M","Days=T","Dir=V")</f>
        <v>0</v>
      </c>
      <c r="AY2">
        <f>BDH("NTRP US Equity","TURNOVER","1993-06-18","2026-05-02","Per=M","Days=T","Dir=V")</f>
        <v>0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BDH("NTSK US Equity","BS_TOT_ASSET","1993-06-18","2026-05-02","Per=Y","Days=T","Dir=V")</f>
        <v>0</v>
      </c>
      <c r="C2">
        <f>BDH("NTSK US Equity","BS_TOT_LIAB2","1993-06-18","2026-05-02","Per=Y","Days=T","Dir=V")</f>
        <v>0</v>
      </c>
      <c r="E2">
        <f>BDH("NTSK US Equity","SHORT_AND_LONG_TERM_DEBT","1993-06-18","2026-05-02","Per=Y","Days=T","Dir=V")</f>
        <v>0</v>
      </c>
      <c r="G2">
        <f>BDH("NTSK US Equity","BS_ST_BORROW","1993-06-18","2026-05-02","Per=Y","Days=T","Dir=V")</f>
        <v>0</v>
      </c>
      <c r="I2">
        <f>BDH("NTSK US Equity","BS_LT_BORROW","1993-06-18","2026-05-02","Per=Y","Days=T","Dir=V")</f>
        <v>0</v>
      </c>
      <c r="K2">
        <f>BDH("NTSK US Equity","BS_CASH_NEAR_CASH_ITEM","1993-06-18","2026-05-02","Per=Y","Days=T","Dir=V")</f>
        <v>0</v>
      </c>
      <c r="M2">
        <f>BDH("NTSK US Equity","BS_CUR_ASSET_REPORT","1993-06-18","2026-05-02","Per=Y","Days=T","Dir=V")</f>
        <v>0</v>
      </c>
      <c r="O2">
        <f>BDH("NTSK US Equity","BS_CUR_LIAB","1993-06-18","2026-05-02","Per=Y","Days=T","Dir=V")</f>
        <v>0</v>
      </c>
      <c r="Q2">
        <f>BDH("NTSK US Equity","BS_SHAREHOLDER_EQY_ENDING_PERIOD","1993-06-18","2026-05-02","Per=Y","Days=T","Dir=V")</f>
        <v>0</v>
      </c>
      <c r="S2">
        <f>BDH("NTSK US Equity","BS_ACCT_NOTE_RCV","1993-06-18","2026-05-02","Per=Y","Days=T","Dir=V")</f>
        <v>0</v>
      </c>
      <c r="U2">
        <f>BDH("NTSK US Equity","BS_INVENTORIES","1993-06-18","2026-05-02","Per=Y","Days=T","Dir=V")</f>
        <v>0</v>
      </c>
      <c r="W2">
        <f>BDH("NTSK US Equity","WORKING_CAPITAL","1993-06-18","2026-05-02","Per=Y","Days=T","Dir=V")</f>
        <v>0</v>
      </c>
      <c r="Y2">
        <f>BDH("NTSK US Equity","SALES_REV_TURN","1993-06-18","2026-05-02","Per=Y","Days=T","Dir=V")</f>
        <v>0</v>
      </c>
      <c r="AA2">
        <f>BDH("NTSK US Equity","EBIT","1993-06-18","2026-05-02","Per=Y","Days=T","Dir=V")</f>
        <v>0</v>
      </c>
      <c r="AC2">
        <f>BDH("NTSK US Equity","EBITDA","1993-06-18","2026-05-02","Per=Y","Days=T","Dir=V")</f>
        <v>0</v>
      </c>
      <c r="AE2">
        <f>BDH("NTSK US Equity","NET_INCOME","1993-06-18","2026-05-02","Per=Y","Days=T","Dir=V")</f>
        <v>0</v>
      </c>
      <c r="AG2">
        <f>BDH("NTSK US Equity","IS_INT_EXPENSE","1993-06-18","2026-05-02","Per=Y","Days=T","Dir=V")</f>
        <v>0</v>
      </c>
      <c r="AI2">
        <f>BDH("NTSK US Equity","IS_DEPR_EXP","1993-06-18","2026-05-02","Per=Y","Days=T","Dir=V")</f>
        <v>0</v>
      </c>
      <c r="AK2">
        <f>BDH("NTSK US Equity","CF_CASH_FROM_OPER","1993-06-18","2026-05-02","Per=Y","Days=T","Dir=V")</f>
        <v>0</v>
      </c>
      <c r="AM2">
        <f>BDH("NTSK US Equity","CAPITAL_EXPEND","1993-06-18","2026-05-02","Per=Y","Days=T","Dir=V")</f>
        <v>0</v>
      </c>
      <c r="AO2">
        <f>BDH("NTSK US Equity","CF_FREE_CASH_FLOW","1993-06-18","2026-05-02","Per=Y","Days=T","Dir=V")</f>
        <v>0</v>
      </c>
      <c r="AQ2">
        <f>BDH("NTSK US Equity","PX_LAST","1993-06-18","2026-05-02","Per=M","Days=T","Dir=V")</f>
        <v>0</v>
      </c>
      <c r="AS2">
        <f>BDH("NTSK US Equity","CUR_MKT_CAP","1993-06-18","2026-05-02","Per=M","Days=T","Dir=V")</f>
        <v>0</v>
      </c>
      <c r="AU2">
        <f>BDH("NTSK US Equity","EQY_SH_OUT","1993-06-18","2026-05-02","Per=M","Days=T","Dir=V")</f>
        <v>0</v>
      </c>
      <c r="AW2">
        <f>BDH("NTSK US Equity","PX_VOLUME","1993-06-18","2026-05-02","Per=M","Days=T","Dir=V")</f>
        <v>0</v>
      </c>
      <c r="AY2">
        <f>BDH("NTSK US Equity","TURNOVER","1993-06-18","2026-05-02","Per=M","Days=T","Dir=V")</f>
        <v>0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BDH("NTWK US Equity","BS_TOT_ASSET","1993-06-18","2026-05-02","Per=Y","Days=T","Dir=V")</f>
        <v>0</v>
      </c>
      <c r="C2">
        <f>BDH("NTWK US Equity","BS_TOT_LIAB2","1993-06-18","2026-05-02","Per=Y","Days=T","Dir=V")</f>
        <v>0</v>
      </c>
      <c r="E2">
        <f>BDH("NTWK US Equity","SHORT_AND_LONG_TERM_DEBT","1993-06-18","2026-05-02","Per=Y","Days=T","Dir=V")</f>
        <v>0</v>
      </c>
      <c r="G2">
        <f>BDH("NTWK US Equity","BS_ST_BORROW","1993-06-18","2026-05-02","Per=Y","Days=T","Dir=V")</f>
        <v>0</v>
      </c>
      <c r="I2">
        <f>BDH("NTWK US Equity","BS_LT_BORROW","1993-06-18","2026-05-02","Per=Y","Days=T","Dir=V")</f>
        <v>0</v>
      </c>
      <c r="K2">
        <f>BDH("NTWK US Equity","BS_CASH_NEAR_CASH_ITEM","1993-06-18","2026-05-02","Per=Y","Days=T","Dir=V")</f>
        <v>0</v>
      </c>
      <c r="M2">
        <f>BDH("NTWK US Equity","BS_CUR_ASSET_REPORT","1993-06-18","2026-05-02","Per=Y","Days=T","Dir=V")</f>
        <v>0</v>
      </c>
      <c r="O2">
        <f>BDH("NTWK US Equity","BS_CUR_LIAB","1993-06-18","2026-05-02","Per=Y","Days=T","Dir=V")</f>
        <v>0</v>
      </c>
      <c r="Q2">
        <f>BDH("NTWK US Equity","BS_SHAREHOLDER_EQY_ENDING_PERIOD","1993-06-18","2026-05-02","Per=Y","Days=T","Dir=V")</f>
        <v>0</v>
      </c>
      <c r="S2">
        <f>BDH("NTWK US Equity","BS_ACCT_NOTE_RCV","1993-06-18","2026-05-02","Per=Y","Days=T","Dir=V")</f>
        <v>0</v>
      </c>
      <c r="U2">
        <f>BDH("NTWK US Equity","BS_INVENTORIES","1993-06-18","2026-05-02","Per=Y","Days=T","Dir=V")</f>
        <v>0</v>
      </c>
      <c r="W2">
        <f>BDH("NTWK US Equity","WORKING_CAPITAL","1993-06-18","2026-05-02","Per=Y","Days=T","Dir=V")</f>
        <v>0</v>
      </c>
      <c r="Y2">
        <f>BDH("NTWK US Equity","SALES_REV_TURN","1993-06-18","2026-05-02","Per=Y","Days=T","Dir=V")</f>
        <v>0</v>
      </c>
      <c r="AA2">
        <f>BDH("NTWK US Equity","EBIT","1993-06-18","2026-05-02","Per=Y","Days=T","Dir=V")</f>
        <v>0</v>
      </c>
      <c r="AC2">
        <f>BDH("NTWK US Equity","EBITDA","1993-06-18","2026-05-02","Per=Y","Days=T","Dir=V")</f>
        <v>0</v>
      </c>
      <c r="AE2">
        <f>BDH("NTWK US Equity","NET_INCOME","1993-06-18","2026-05-02","Per=Y","Days=T","Dir=V")</f>
        <v>0</v>
      </c>
      <c r="AG2">
        <f>BDH("NTWK US Equity","IS_INT_EXPENSE","1993-06-18","2026-05-02","Per=Y","Days=T","Dir=V")</f>
        <v>0</v>
      </c>
      <c r="AI2">
        <f>BDH("NTWK US Equity","IS_DEPR_EXP","1993-06-18","2026-05-02","Per=Y","Days=T","Dir=V")</f>
        <v>0</v>
      </c>
      <c r="AK2">
        <f>BDH("NTWK US Equity","CF_CASH_FROM_OPER","1993-06-18","2026-05-02","Per=Y","Days=T","Dir=V")</f>
        <v>0</v>
      </c>
      <c r="AM2">
        <f>BDH("NTWK US Equity","CAPITAL_EXPEND","1993-06-18","2026-05-02","Per=Y","Days=T","Dir=V")</f>
        <v>0</v>
      </c>
      <c r="AO2">
        <f>BDH("NTWK US Equity","CF_FREE_CASH_FLOW","1993-06-18","2026-05-02","Per=Y","Days=T","Dir=V")</f>
        <v>0</v>
      </c>
      <c r="AQ2">
        <f>BDH("NTWK US Equity","PX_LAST","1993-06-18","2026-05-02","Per=M","Days=T","Dir=V")</f>
        <v>0</v>
      </c>
      <c r="AS2">
        <f>BDH("NTWK US Equity","CUR_MKT_CAP","1993-06-18","2026-05-02","Per=M","Days=T","Dir=V")</f>
        <v>0</v>
      </c>
      <c r="AU2">
        <f>BDH("NTWK US Equity","EQY_SH_OUT","1993-06-18","2026-05-02","Per=M","Days=T","Dir=V")</f>
        <v>0</v>
      </c>
      <c r="AW2">
        <f>BDH("NTWK US Equity","PX_VOLUME","1993-06-18","2026-05-02","Per=M","Days=T","Dir=V")</f>
        <v>0</v>
      </c>
      <c r="AY2">
        <f>BDH("NTWK US Equity","TURNOVER","1993-06-18","2026-05-02","Per=M","Days=T","Dir=V")</f>
        <v>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BDH("NUAI US Equity","BS_TOT_ASSET","1993-06-18","2026-05-02","Per=Y","Days=T","Dir=V")</f>
        <v>0</v>
      </c>
      <c r="C2">
        <f>BDH("NUAI US Equity","BS_TOT_LIAB2","1993-06-18","2026-05-02","Per=Y","Days=T","Dir=V")</f>
        <v>0</v>
      </c>
      <c r="E2">
        <f>BDH("NUAI US Equity","SHORT_AND_LONG_TERM_DEBT","1993-06-18","2026-05-02","Per=Y","Days=T","Dir=V")</f>
        <v>0</v>
      </c>
      <c r="G2">
        <f>BDH("NUAI US Equity","BS_ST_BORROW","1993-06-18","2026-05-02","Per=Y","Days=T","Dir=V")</f>
        <v>0</v>
      </c>
      <c r="I2">
        <f>BDH("NUAI US Equity","BS_LT_BORROW","1993-06-18","2026-05-02","Per=Y","Days=T","Dir=V")</f>
        <v>0</v>
      </c>
      <c r="K2">
        <f>BDH("NUAI US Equity","BS_CASH_NEAR_CASH_ITEM","1993-06-18","2026-05-02","Per=Y","Days=T","Dir=V")</f>
        <v>0</v>
      </c>
      <c r="M2">
        <f>BDH("NUAI US Equity","BS_CUR_ASSET_REPORT","1993-06-18","2026-05-02","Per=Y","Days=T","Dir=V")</f>
        <v>0</v>
      </c>
      <c r="O2">
        <f>BDH("NUAI US Equity","BS_CUR_LIAB","1993-06-18","2026-05-02","Per=Y","Days=T","Dir=V")</f>
        <v>0</v>
      </c>
      <c r="Q2">
        <f>BDH("NUAI US Equity","BS_SHAREHOLDER_EQY_ENDING_PERIOD","1993-06-18","2026-05-02","Per=Y","Days=T","Dir=V")</f>
        <v>0</v>
      </c>
      <c r="S2">
        <f>BDH("NUAI US Equity","BS_ACCT_NOTE_RCV","1993-06-18","2026-05-02","Per=Y","Days=T","Dir=V")</f>
        <v>0</v>
      </c>
      <c r="U2">
        <f>BDH("NUAI US Equity","BS_INVENTORIES","1993-06-18","2026-05-02","Per=Y","Days=T","Dir=V")</f>
        <v>0</v>
      </c>
      <c r="W2">
        <f>BDH("NUAI US Equity","WORKING_CAPITAL","1993-06-18","2026-05-02","Per=Y","Days=T","Dir=V")</f>
        <v>0</v>
      </c>
      <c r="Y2">
        <f>BDH("NUAI US Equity","SALES_REV_TURN","1993-06-18","2026-05-02","Per=Y","Days=T","Dir=V")</f>
        <v>0</v>
      </c>
      <c r="AA2">
        <f>BDH("NUAI US Equity","EBIT","1993-06-18","2026-05-02","Per=Y","Days=T","Dir=V")</f>
        <v>0</v>
      </c>
      <c r="AC2">
        <f>BDH("NUAI US Equity","EBITDA","1993-06-18","2026-05-02","Per=Y","Days=T","Dir=V")</f>
        <v>0</v>
      </c>
      <c r="AE2">
        <f>BDH("NUAI US Equity","NET_INCOME","1993-06-18","2026-05-02","Per=Y","Days=T","Dir=V")</f>
        <v>0</v>
      </c>
      <c r="AG2">
        <f>BDH("NUAI US Equity","IS_INT_EXPENSE","1993-06-18","2026-05-02","Per=Y","Days=T","Dir=V")</f>
        <v>0</v>
      </c>
      <c r="AI2">
        <f>BDH("NUAI US Equity","IS_DEPR_EXP","1993-06-18","2026-05-02","Per=Y","Days=T","Dir=V")</f>
        <v>0</v>
      </c>
      <c r="AK2">
        <f>BDH("NUAI US Equity","CF_CASH_FROM_OPER","1993-06-18","2026-05-02","Per=Y","Days=T","Dir=V")</f>
        <v>0</v>
      </c>
      <c r="AM2">
        <f>BDH("NUAI US Equity","CAPITAL_EXPEND","1993-06-18","2026-05-02","Per=Y","Days=T","Dir=V")</f>
        <v>0</v>
      </c>
      <c r="AO2">
        <f>BDH("NUAI US Equity","CF_FREE_CASH_FLOW","1993-06-18","2026-05-02","Per=Y","Days=T","Dir=V")</f>
        <v>0</v>
      </c>
      <c r="AQ2">
        <f>BDH("NUAI US Equity","PX_LAST","1993-06-18","2026-05-02","Per=M","Days=T","Dir=V")</f>
        <v>0</v>
      </c>
      <c r="AS2">
        <f>BDH("NUAI US Equity","CUR_MKT_CAP","1993-06-18","2026-05-02","Per=M","Days=T","Dir=V")</f>
        <v>0</v>
      </c>
      <c r="AU2">
        <f>BDH("NUAI US Equity","EQY_SH_OUT","1993-06-18","2026-05-02","Per=M","Days=T","Dir=V")</f>
        <v>0</v>
      </c>
      <c r="AW2">
        <f>BDH("NUAI US Equity","PX_VOLUME","1993-06-18","2026-05-02","Per=M","Days=T","Dir=V")</f>
        <v>0</v>
      </c>
      <c r="AY2">
        <f>BDH("NUAI US Equity","TURNOVER","1993-06-18","2026-05-02","Per=M","Days=T","Dir=V")</f>
        <v>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BDH("NUAIW US Equity","BS_TOT_ASSET","1993-06-18","2026-05-02","Per=Y","Days=T","Dir=V")</f>
        <v>0</v>
      </c>
      <c r="C2">
        <f>BDH("NUAIW US Equity","BS_TOT_LIAB2","1993-06-18","2026-05-02","Per=Y","Days=T","Dir=V")</f>
        <v>0</v>
      </c>
      <c r="E2">
        <f>BDH("NUAIW US Equity","SHORT_AND_LONG_TERM_DEBT","1993-06-18","2026-05-02","Per=Y","Days=T","Dir=V")</f>
        <v>0</v>
      </c>
      <c r="G2">
        <f>BDH("NUAIW US Equity","BS_ST_BORROW","1993-06-18","2026-05-02","Per=Y","Days=T","Dir=V")</f>
        <v>0</v>
      </c>
      <c r="I2">
        <f>BDH("NUAIW US Equity","BS_LT_BORROW","1993-06-18","2026-05-02","Per=Y","Days=T","Dir=V")</f>
        <v>0</v>
      </c>
      <c r="K2">
        <f>BDH("NUAIW US Equity","BS_CASH_NEAR_CASH_ITEM","1993-06-18","2026-05-02","Per=Y","Days=T","Dir=V")</f>
        <v>0</v>
      </c>
      <c r="M2">
        <f>BDH("NUAIW US Equity","BS_CUR_ASSET_REPORT","1993-06-18","2026-05-02","Per=Y","Days=T","Dir=V")</f>
        <v>0</v>
      </c>
      <c r="O2">
        <f>BDH("NUAIW US Equity","BS_CUR_LIAB","1993-06-18","2026-05-02","Per=Y","Days=T","Dir=V")</f>
        <v>0</v>
      </c>
      <c r="Q2">
        <f>BDH("NUAIW US Equity","BS_SHAREHOLDER_EQY_ENDING_PERIOD","1993-06-18","2026-05-02","Per=Y","Days=T","Dir=V")</f>
        <v>0</v>
      </c>
      <c r="S2">
        <f>BDH("NUAIW US Equity","BS_ACCT_NOTE_RCV","1993-06-18","2026-05-02","Per=Y","Days=T","Dir=V")</f>
        <v>0</v>
      </c>
      <c r="U2">
        <f>BDH("NUAIW US Equity","BS_INVENTORIES","1993-06-18","2026-05-02","Per=Y","Days=T","Dir=V")</f>
        <v>0</v>
      </c>
      <c r="W2">
        <f>BDH("NUAIW US Equity","WORKING_CAPITAL","1993-06-18","2026-05-02","Per=Y","Days=T","Dir=V")</f>
        <v>0</v>
      </c>
      <c r="Y2">
        <f>BDH("NUAIW US Equity","SALES_REV_TURN","1993-06-18","2026-05-02","Per=Y","Days=T","Dir=V")</f>
        <v>0</v>
      </c>
      <c r="AA2">
        <f>BDH("NUAIW US Equity","EBIT","1993-06-18","2026-05-02","Per=Y","Days=T","Dir=V")</f>
        <v>0</v>
      </c>
      <c r="AC2">
        <f>BDH("NUAIW US Equity","EBITDA","1993-06-18","2026-05-02","Per=Y","Days=T","Dir=V")</f>
        <v>0</v>
      </c>
      <c r="AE2">
        <f>BDH("NUAIW US Equity","NET_INCOME","1993-06-18","2026-05-02","Per=Y","Days=T","Dir=V")</f>
        <v>0</v>
      </c>
      <c r="AG2">
        <f>BDH("NUAIW US Equity","IS_INT_EXPENSE","1993-06-18","2026-05-02","Per=Y","Days=T","Dir=V")</f>
        <v>0</v>
      </c>
      <c r="AI2">
        <f>BDH("NUAIW US Equity","IS_DEPR_EXP","1993-06-18","2026-05-02","Per=Y","Days=T","Dir=V")</f>
        <v>0</v>
      </c>
      <c r="AK2">
        <f>BDH("NUAIW US Equity","CF_CASH_FROM_OPER","1993-06-18","2026-05-02","Per=Y","Days=T","Dir=V")</f>
        <v>0</v>
      </c>
      <c r="AM2">
        <f>BDH("NUAIW US Equity","CAPITAL_EXPEND","1993-06-18","2026-05-02","Per=Y","Days=T","Dir=V")</f>
        <v>0</v>
      </c>
      <c r="AO2">
        <f>BDH("NUAIW US Equity","CF_FREE_CASH_FLOW","1993-06-18","2026-05-02","Per=Y","Days=T","Dir=V")</f>
        <v>0</v>
      </c>
      <c r="AQ2">
        <f>BDH("NUAIW US Equity","PX_LAST","1993-06-18","2026-05-02","Per=M","Days=T","Dir=V")</f>
        <v>0</v>
      </c>
      <c r="AS2">
        <f>BDH("NUAIW US Equity","CUR_MKT_CAP","1993-06-18","2026-05-02","Per=M","Days=T","Dir=V")</f>
        <v>0</v>
      </c>
      <c r="AU2">
        <f>BDH("NUAIW US Equity","EQY_SH_OUT","1993-06-18","2026-05-02","Per=M","Days=T","Dir=V")</f>
        <v>0</v>
      </c>
      <c r="AW2">
        <f>BDH("NUAIW US Equity","PX_VOLUME","1993-06-18","2026-05-02","Per=M","Days=T","Dir=V")</f>
        <v>0</v>
      </c>
      <c r="AY2">
        <f>BDH("NUAIW US Equity","TURNOVER","1993-06-18","2026-05-02","Per=M","Days=T","Dir=V")</f>
        <v>0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BDH("NUCL US Equity","BS_TOT_ASSET","1993-06-18","2026-05-02","Per=Y","Days=T","Dir=V")</f>
        <v>0</v>
      </c>
      <c r="C2">
        <f>BDH("NUCL US Equity","BS_TOT_LIAB2","1993-06-18","2026-05-02","Per=Y","Days=T","Dir=V")</f>
        <v>0</v>
      </c>
      <c r="E2">
        <f>BDH("NUCL US Equity","SHORT_AND_LONG_TERM_DEBT","1993-06-18","2026-05-02","Per=Y","Days=T","Dir=V")</f>
        <v>0</v>
      </c>
      <c r="G2">
        <f>BDH("NUCL US Equity","BS_ST_BORROW","1993-06-18","2026-05-02","Per=Y","Days=T","Dir=V")</f>
        <v>0</v>
      </c>
      <c r="I2">
        <f>BDH("NUCL US Equity","BS_LT_BORROW","1993-06-18","2026-05-02","Per=Y","Days=T","Dir=V")</f>
        <v>0</v>
      </c>
      <c r="K2">
        <f>BDH("NUCL US Equity","BS_CASH_NEAR_CASH_ITEM","1993-06-18","2026-05-02","Per=Y","Days=T","Dir=V")</f>
        <v>0</v>
      </c>
      <c r="M2">
        <f>BDH("NUCL US Equity","BS_CUR_ASSET_REPORT","1993-06-18","2026-05-02","Per=Y","Days=T","Dir=V")</f>
        <v>0</v>
      </c>
      <c r="O2">
        <f>BDH("NUCL US Equity","BS_CUR_LIAB","1993-06-18","2026-05-02","Per=Y","Days=T","Dir=V")</f>
        <v>0</v>
      </c>
      <c r="Q2">
        <f>BDH("NUCL US Equity","BS_SHAREHOLDER_EQY_ENDING_PERIOD","1993-06-18","2026-05-02","Per=Y","Days=T","Dir=V")</f>
        <v>0</v>
      </c>
      <c r="S2">
        <f>BDH("NUCL US Equity","BS_ACCT_NOTE_RCV","1993-06-18","2026-05-02","Per=Y","Days=T","Dir=V")</f>
        <v>0</v>
      </c>
      <c r="U2">
        <f>BDH("NUCL US Equity","BS_INVENTORIES","1993-06-18","2026-05-02","Per=Y","Days=T","Dir=V")</f>
        <v>0</v>
      </c>
      <c r="W2">
        <f>BDH("NUCL US Equity","WORKING_CAPITAL","1993-06-18","2026-05-02","Per=Y","Days=T","Dir=V")</f>
        <v>0</v>
      </c>
      <c r="Y2">
        <f>BDH("NUCL US Equity","SALES_REV_TURN","1993-06-18","2026-05-02","Per=Y","Days=T","Dir=V")</f>
        <v>0</v>
      </c>
      <c r="AA2">
        <f>BDH("NUCL US Equity","EBIT","1993-06-18","2026-05-02","Per=Y","Days=T","Dir=V")</f>
        <v>0</v>
      </c>
      <c r="AC2">
        <f>BDH("NUCL US Equity","EBITDA","1993-06-18","2026-05-02","Per=Y","Days=T","Dir=V")</f>
        <v>0</v>
      </c>
      <c r="AE2">
        <f>BDH("NUCL US Equity","NET_INCOME","1993-06-18","2026-05-02","Per=Y","Days=T","Dir=V")</f>
        <v>0</v>
      </c>
      <c r="AG2">
        <f>BDH("NUCL US Equity","IS_INT_EXPENSE","1993-06-18","2026-05-02","Per=Y","Days=T","Dir=V")</f>
        <v>0</v>
      </c>
      <c r="AI2">
        <f>BDH("NUCL US Equity","IS_DEPR_EXP","1993-06-18","2026-05-02","Per=Y","Days=T","Dir=V")</f>
        <v>0</v>
      </c>
      <c r="AK2">
        <f>BDH("NUCL US Equity","CF_CASH_FROM_OPER","1993-06-18","2026-05-02","Per=Y","Days=T","Dir=V")</f>
        <v>0</v>
      </c>
      <c r="AM2">
        <f>BDH("NUCL US Equity","CAPITAL_EXPEND","1993-06-18","2026-05-02","Per=Y","Days=T","Dir=V")</f>
        <v>0</v>
      </c>
      <c r="AO2">
        <f>BDH("NUCL US Equity","CF_FREE_CASH_FLOW","1993-06-18","2026-05-02","Per=Y","Days=T","Dir=V")</f>
        <v>0</v>
      </c>
      <c r="AQ2">
        <f>BDH("NUCL US Equity","PX_LAST","1993-06-18","2026-05-02","Per=M","Days=T","Dir=V")</f>
        <v>0</v>
      </c>
      <c r="AS2">
        <f>BDH("NUCL US Equity","CUR_MKT_CAP","1993-06-18","2026-05-02","Per=M","Days=T","Dir=V")</f>
        <v>0</v>
      </c>
      <c r="AU2">
        <f>BDH("NUCL US Equity","EQY_SH_OUT","1993-06-18","2026-05-02","Per=M","Days=T","Dir=V")</f>
        <v>0</v>
      </c>
      <c r="AW2">
        <f>BDH("NUCL US Equity","PX_VOLUME","1993-06-18","2026-05-02","Per=M","Days=T","Dir=V")</f>
        <v>0</v>
      </c>
      <c r="AY2">
        <f>BDH("NUCL US Equity","TURNOVER","1993-06-18","2026-05-02","Per=M","Days=T","Dir=V")</f>
        <v>0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BDH("NUCLW US Equity","BS_TOT_ASSET","1993-06-18","2026-05-02","Per=Y","Days=T","Dir=V")</f>
        <v>0</v>
      </c>
      <c r="C2">
        <f>BDH("NUCLW US Equity","BS_TOT_LIAB2","1993-06-18","2026-05-02","Per=Y","Days=T","Dir=V")</f>
        <v>0</v>
      </c>
      <c r="E2">
        <f>BDH("NUCLW US Equity","SHORT_AND_LONG_TERM_DEBT","1993-06-18","2026-05-02","Per=Y","Days=T","Dir=V")</f>
        <v>0</v>
      </c>
      <c r="G2">
        <f>BDH("NUCLW US Equity","BS_ST_BORROW","1993-06-18","2026-05-02","Per=Y","Days=T","Dir=V")</f>
        <v>0</v>
      </c>
      <c r="I2">
        <f>BDH("NUCLW US Equity","BS_LT_BORROW","1993-06-18","2026-05-02","Per=Y","Days=T","Dir=V")</f>
        <v>0</v>
      </c>
      <c r="K2">
        <f>BDH("NUCLW US Equity","BS_CASH_NEAR_CASH_ITEM","1993-06-18","2026-05-02","Per=Y","Days=T","Dir=V")</f>
        <v>0</v>
      </c>
      <c r="M2">
        <f>BDH("NUCLW US Equity","BS_CUR_ASSET_REPORT","1993-06-18","2026-05-02","Per=Y","Days=T","Dir=V")</f>
        <v>0</v>
      </c>
      <c r="O2">
        <f>BDH("NUCLW US Equity","BS_CUR_LIAB","1993-06-18","2026-05-02","Per=Y","Days=T","Dir=V")</f>
        <v>0</v>
      </c>
      <c r="Q2">
        <f>BDH("NUCLW US Equity","BS_SHAREHOLDER_EQY_ENDING_PERIOD","1993-06-18","2026-05-02","Per=Y","Days=T","Dir=V")</f>
        <v>0</v>
      </c>
      <c r="S2">
        <f>BDH("NUCLW US Equity","BS_ACCT_NOTE_RCV","1993-06-18","2026-05-02","Per=Y","Days=T","Dir=V")</f>
        <v>0</v>
      </c>
      <c r="U2">
        <f>BDH("NUCLW US Equity","BS_INVENTORIES","1993-06-18","2026-05-02","Per=Y","Days=T","Dir=V")</f>
        <v>0</v>
      </c>
      <c r="W2">
        <f>BDH("NUCLW US Equity","WORKING_CAPITAL","1993-06-18","2026-05-02","Per=Y","Days=T","Dir=V")</f>
        <v>0</v>
      </c>
      <c r="Y2">
        <f>BDH("NUCLW US Equity","SALES_REV_TURN","1993-06-18","2026-05-02","Per=Y","Days=T","Dir=V")</f>
        <v>0</v>
      </c>
      <c r="AA2">
        <f>BDH("NUCLW US Equity","EBIT","1993-06-18","2026-05-02","Per=Y","Days=T","Dir=V")</f>
        <v>0</v>
      </c>
      <c r="AC2">
        <f>BDH("NUCLW US Equity","EBITDA","1993-06-18","2026-05-02","Per=Y","Days=T","Dir=V")</f>
        <v>0</v>
      </c>
      <c r="AE2">
        <f>BDH("NUCLW US Equity","NET_INCOME","1993-06-18","2026-05-02","Per=Y","Days=T","Dir=V")</f>
        <v>0</v>
      </c>
      <c r="AG2">
        <f>BDH("NUCLW US Equity","IS_INT_EXPENSE","1993-06-18","2026-05-02","Per=Y","Days=T","Dir=V")</f>
        <v>0</v>
      </c>
      <c r="AI2">
        <f>BDH("NUCLW US Equity","IS_DEPR_EXP","1993-06-18","2026-05-02","Per=Y","Days=T","Dir=V")</f>
        <v>0</v>
      </c>
      <c r="AK2">
        <f>BDH("NUCLW US Equity","CF_CASH_FROM_OPER","1993-06-18","2026-05-02","Per=Y","Days=T","Dir=V")</f>
        <v>0</v>
      </c>
      <c r="AM2">
        <f>BDH("NUCLW US Equity","CAPITAL_EXPEND","1993-06-18","2026-05-02","Per=Y","Days=T","Dir=V")</f>
        <v>0</v>
      </c>
      <c r="AO2">
        <f>BDH("NUCLW US Equity","CF_FREE_CASH_FLOW","1993-06-18","2026-05-02","Per=Y","Days=T","Dir=V")</f>
        <v>0</v>
      </c>
      <c r="AQ2">
        <f>BDH("NUCLW US Equity","PX_LAST","1993-06-18","2026-05-02","Per=M","Days=T","Dir=V")</f>
        <v>0</v>
      </c>
      <c r="AS2">
        <f>BDH("NUCLW US Equity","CUR_MKT_CAP","1993-06-18","2026-05-02","Per=M","Days=T","Dir=V")</f>
        <v>0</v>
      </c>
      <c r="AU2">
        <f>BDH("NUCLW US Equity","EQY_SH_OUT","1993-06-18","2026-05-02","Per=M","Days=T","Dir=V")</f>
        <v>0</v>
      </c>
      <c r="AW2">
        <f>BDH("NUCLW US Equity","PX_VOLUME","1993-06-18","2026-05-02","Per=M","Days=T","Dir=V")</f>
        <v>0</v>
      </c>
      <c r="AY2">
        <f>BDH("NUCLW US Equity","TURNOVER","1993-06-18","2026-05-02","Per=M","Days=T","Dir=V")</f>
        <v>0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BDH("NUE US Equity","BS_TOT_ASSET","1993-06-18","2026-05-02","Per=Y","Days=T","Dir=V")</f>
        <v>0</v>
      </c>
      <c r="C2">
        <f>BDH("NUE US Equity","BS_TOT_LIAB2","1993-06-18","2026-05-02","Per=Y","Days=T","Dir=V")</f>
        <v>0</v>
      </c>
      <c r="E2">
        <f>BDH("NUE US Equity","SHORT_AND_LONG_TERM_DEBT","1993-06-18","2026-05-02","Per=Y","Days=T","Dir=V")</f>
        <v>0</v>
      </c>
      <c r="G2">
        <f>BDH("NUE US Equity","BS_ST_BORROW","1993-06-18","2026-05-02","Per=Y","Days=T","Dir=V")</f>
        <v>0</v>
      </c>
      <c r="I2">
        <f>BDH("NUE US Equity","BS_LT_BORROW","1993-06-18","2026-05-02","Per=Y","Days=T","Dir=V")</f>
        <v>0</v>
      </c>
      <c r="K2">
        <f>BDH("NUE US Equity","BS_CASH_NEAR_CASH_ITEM","1993-06-18","2026-05-02","Per=Y","Days=T","Dir=V")</f>
        <v>0</v>
      </c>
      <c r="M2">
        <f>BDH("NUE US Equity","BS_CUR_ASSET_REPORT","1993-06-18","2026-05-02","Per=Y","Days=T","Dir=V")</f>
        <v>0</v>
      </c>
      <c r="O2">
        <f>BDH("NUE US Equity","BS_CUR_LIAB","1993-06-18","2026-05-02","Per=Y","Days=T","Dir=V")</f>
        <v>0</v>
      </c>
      <c r="Q2">
        <f>BDH("NUE US Equity","BS_SHAREHOLDER_EQY_ENDING_PERIOD","1993-06-18","2026-05-02","Per=Y","Days=T","Dir=V")</f>
        <v>0</v>
      </c>
      <c r="S2">
        <f>BDH("NUE US Equity","BS_ACCT_NOTE_RCV","1993-06-18","2026-05-02","Per=Y","Days=T","Dir=V")</f>
        <v>0</v>
      </c>
      <c r="U2">
        <f>BDH("NUE US Equity","BS_INVENTORIES","1993-06-18","2026-05-02","Per=Y","Days=T","Dir=V")</f>
        <v>0</v>
      </c>
      <c r="W2">
        <f>BDH("NUE US Equity","WORKING_CAPITAL","1993-06-18","2026-05-02","Per=Y","Days=T","Dir=V")</f>
        <v>0</v>
      </c>
      <c r="Y2">
        <f>BDH("NUE US Equity","SALES_REV_TURN","1993-06-18","2026-05-02","Per=Y","Days=T","Dir=V")</f>
        <v>0</v>
      </c>
      <c r="AA2">
        <f>BDH("NUE US Equity","EBIT","1993-06-18","2026-05-02","Per=Y","Days=T","Dir=V")</f>
        <v>0</v>
      </c>
      <c r="AC2">
        <f>BDH("NUE US Equity","EBITDA","1993-06-18","2026-05-02","Per=Y","Days=T","Dir=V")</f>
        <v>0</v>
      </c>
      <c r="AE2">
        <f>BDH("NUE US Equity","NET_INCOME","1993-06-18","2026-05-02","Per=Y","Days=T","Dir=V")</f>
        <v>0</v>
      </c>
      <c r="AG2">
        <f>BDH("NUE US Equity","IS_INT_EXPENSE","1993-06-18","2026-05-02","Per=Y","Days=T","Dir=V")</f>
        <v>0</v>
      </c>
      <c r="AI2">
        <f>BDH("NUE US Equity","IS_DEPR_EXP","1993-06-18","2026-05-02","Per=Y","Days=T","Dir=V")</f>
        <v>0</v>
      </c>
      <c r="AK2">
        <f>BDH("NUE US Equity","CF_CASH_FROM_OPER","1993-06-18","2026-05-02","Per=Y","Days=T","Dir=V")</f>
        <v>0</v>
      </c>
      <c r="AM2">
        <f>BDH("NUE US Equity","CAPITAL_EXPEND","1993-06-18","2026-05-02","Per=Y","Days=T","Dir=V")</f>
        <v>0</v>
      </c>
      <c r="AO2">
        <f>BDH("NUE US Equity","CF_FREE_CASH_FLOW","1993-06-18","2026-05-02","Per=Y","Days=T","Dir=V")</f>
        <v>0</v>
      </c>
      <c r="AQ2">
        <f>BDH("NUE US Equity","PX_LAST","1993-06-18","2026-05-02","Per=M","Days=T","Dir=V")</f>
        <v>0</v>
      </c>
      <c r="AS2">
        <f>BDH("NUE US Equity","CUR_MKT_CAP","1993-06-18","2026-05-02","Per=M","Days=T","Dir=V")</f>
        <v>0</v>
      </c>
      <c r="AU2">
        <f>BDH("NUE US Equity","EQY_SH_OUT","1993-06-18","2026-05-02","Per=M","Days=T","Dir=V")</f>
        <v>0</v>
      </c>
      <c r="AW2">
        <f>BDH("NUE US Equity","PX_VOLUME","1993-06-18","2026-05-02","Per=M","Days=T","Dir=V")</f>
        <v>0</v>
      </c>
      <c r="AY2">
        <f>BDH("NUE US Equity","TURNOVER","1993-06-18","2026-05-02","Per=M","Days=T","Dir=V")</f>
        <v>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BDH("NUS US Equity","BS_TOT_ASSET","1993-06-18","2026-05-02","Per=Y","Days=T","Dir=V")</f>
        <v>0</v>
      </c>
      <c r="C2">
        <f>BDH("NUS US Equity","BS_TOT_LIAB2","1993-06-18","2026-05-02","Per=Y","Days=T","Dir=V")</f>
        <v>0</v>
      </c>
      <c r="E2">
        <f>BDH("NUS US Equity","SHORT_AND_LONG_TERM_DEBT","1993-06-18","2026-05-02","Per=Y","Days=T","Dir=V")</f>
        <v>0</v>
      </c>
      <c r="G2">
        <f>BDH("NUS US Equity","BS_ST_BORROW","1993-06-18","2026-05-02","Per=Y","Days=T","Dir=V")</f>
        <v>0</v>
      </c>
      <c r="I2">
        <f>BDH("NUS US Equity","BS_LT_BORROW","1993-06-18","2026-05-02","Per=Y","Days=T","Dir=V")</f>
        <v>0</v>
      </c>
      <c r="K2">
        <f>BDH("NUS US Equity","BS_CASH_NEAR_CASH_ITEM","1993-06-18","2026-05-02","Per=Y","Days=T","Dir=V")</f>
        <v>0</v>
      </c>
      <c r="M2">
        <f>BDH("NUS US Equity","BS_CUR_ASSET_REPORT","1993-06-18","2026-05-02","Per=Y","Days=T","Dir=V")</f>
        <v>0</v>
      </c>
      <c r="O2">
        <f>BDH("NUS US Equity","BS_CUR_LIAB","1993-06-18","2026-05-02","Per=Y","Days=T","Dir=V")</f>
        <v>0</v>
      </c>
      <c r="Q2">
        <f>BDH("NUS US Equity","BS_SHAREHOLDER_EQY_ENDING_PERIOD","1993-06-18","2026-05-02","Per=Y","Days=T","Dir=V")</f>
        <v>0</v>
      </c>
      <c r="S2">
        <f>BDH("NUS US Equity","BS_ACCT_NOTE_RCV","1993-06-18","2026-05-02","Per=Y","Days=T","Dir=V")</f>
        <v>0</v>
      </c>
      <c r="U2">
        <f>BDH("NUS US Equity","BS_INVENTORIES","1993-06-18","2026-05-02","Per=Y","Days=T","Dir=V")</f>
        <v>0</v>
      </c>
      <c r="W2">
        <f>BDH("NUS US Equity","WORKING_CAPITAL","1993-06-18","2026-05-02","Per=Y","Days=T","Dir=V")</f>
        <v>0</v>
      </c>
      <c r="Y2">
        <f>BDH("NUS US Equity","SALES_REV_TURN","1993-06-18","2026-05-02","Per=Y","Days=T","Dir=V")</f>
        <v>0</v>
      </c>
      <c r="AA2">
        <f>BDH("NUS US Equity","EBIT","1993-06-18","2026-05-02","Per=Y","Days=T","Dir=V")</f>
        <v>0</v>
      </c>
      <c r="AC2">
        <f>BDH("NUS US Equity","EBITDA","1993-06-18","2026-05-02","Per=Y","Days=T","Dir=V")</f>
        <v>0</v>
      </c>
      <c r="AE2">
        <f>BDH("NUS US Equity","NET_INCOME","1993-06-18","2026-05-02","Per=Y","Days=T","Dir=V")</f>
        <v>0</v>
      </c>
      <c r="AG2">
        <f>BDH("NUS US Equity","IS_INT_EXPENSE","1993-06-18","2026-05-02","Per=Y","Days=T","Dir=V")</f>
        <v>0</v>
      </c>
      <c r="AI2">
        <f>BDH("NUS US Equity","IS_DEPR_EXP","1993-06-18","2026-05-02","Per=Y","Days=T","Dir=V")</f>
        <v>0</v>
      </c>
      <c r="AK2">
        <f>BDH("NUS US Equity","CF_CASH_FROM_OPER","1993-06-18","2026-05-02","Per=Y","Days=T","Dir=V")</f>
        <v>0</v>
      </c>
      <c r="AM2">
        <f>BDH("NUS US Equity","CAPITAL_EXPEND","1993-06-18","2026-05-02","Per=Y","Days=T","Dir=V")</f>
        <v>0</v>
      </c>
      <c r="AO2">
        <f>BDH("NUS US Equity","CF_FREE_CASH_FLOW","1993-06-18","2026-05-02","Per=Y","Days=T","Dir=V")</f>
        <v>0</v>
      </c>
      <c r="AQ2">
        <f>BDH("NUS US Equity","PX_LAST","1993-06-18","2026-05-02","Per=M","Days=T","Dir=V")</f>
        <v>0</v>
      </c>
      <c r="AS2">
        <f>BDH("NUS US Equity","CUR_MKT_CAP","1993-06-18","2026-05-02","Per=M","Days=T","Dir=V")</f>
        <v>0</v>
      </c>
      <c r="AU2">
        <f>BDH("NUS US Equity","EQY_SH_OUT","1993-06-18","2026-05-02","Per=M","Days=T","Dir=V")</f>
        <v>0</v>
      </c>
      <c r="AW2">
        <f>BDH("NUS US Equity","PX_VOLUME","1993-06-18","2026-05-02","Per=M","Days=T","Dir=V")</f>
        <v>0</v>
      </c>
      <c r="AY2">
        <f>BDH("NUS US Equity","TURNOVER","1993-06-18","2026-05-02","Per=M","Days=T","Dir=V")</f>
        <v>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BDH("NUTX US Equity","BS_TOT_ASSET","1993-06-18","2026-05-02","Per=Y","Days=T","Dir=V")</f>
        <v>0</v>
      </c>
      <c r="C2">
        <f>BDH("NUTX US Equity","BS_TOT_LIAB2","1993-06-18","2026-05-02","Per=Y","Days=T","Dir=V")</f>
        <v>0</v>
      </c>
      <c r="E2">
        <f>BDH("NUTX US Equity","SHORT_AND_LONG_TERM_DEBT","1993-06-18","2026-05-02","Per=Y","Days=T","Dir=V")</f>
        <v>0</v>
      </c>
      <c r="G2">
        <f>BDH("NUTX US Equity","BS_ST_BORROW","1993-06-18","2026-05-02","Per=Y","Days=T","Dir=V")</f>
        <v>0</v>
      </c>
      <c r="I2">
        <f>BDH("NUTX US Equity","BS_LT_BORROW","1993-06-18","2026-05-02","Per=Y","Days=T","Dir=V")</f>
        <v>0</v>
      </c>
      <c r="K2">
        <f>BDH("NUTX US Equity","BS_CASH_NEAR_CASH_ITEM","1993-06-18","2026-05-02","Per=Y","Days=T","Dir=V")</f>
        <v>0</v>
      </c>
      <c r="M2">
        <f>BDH("NUTX US Equity","BS_CUR_ASSET_REPORT","1993-06-18","2026-05-02","Per=Y","Days=T","Dir=V")</f>
        <v>0</v>
      </c>
      <c r="O2">
        <f>BDH("NUTX US Equity","BS_CUR_LIAB","1993-06-18","2026-05-02","Per=Y","Days=T","Dir=V")</f>
        <v>0</v>
      </c>
      <c r="Q2">
        <f>BDH("NUTX US Equity","BS_SHAREHOLDER_EQY_ENDING_PERIOD","1993-06-18","2026-05-02","Per=Y","Days=T","Dir=V")</f>
        <v>0</v>
      </c>
      <c r="S2">
        <f>BDH("NUTX US Equity","BS_ACCT_NOTE_RCV","1993-06-18","2026-05-02","Per=Y","Days=T","Dir=V")</f>
        <v>0</v>
      </c>
      <c r="U2">
        <f>BDH("NUTX US Equity","BS_INVENTORIES","1993-06-18","2026-05-02","Per=Y","Days=T","Dir=V")</f>
        <v>0</v>
      </c>
      <c r="W2">
        <f>BDH("NUTX US Equity","WORKING_CAPITAL","1993-06-18","2026-05-02","Per=Y","Days=T","Dir=V")</f>
        <v>0</v>
      </c>
      <c r="Y2">
        <f>BDH("NUTX US Equity","SALES_REV_TURN","1993-06-18","2026-05-02","Per=Y","Days=T","Dir=V")</f>
        <v>0</v>
      </c>
      <c r="AA2">
        <f>BDH("NUTX US Equity","EBIT","1993-06-18","2026-05-02","Per=Y","Days=T","Dir=V")</f>
        <v>0</v>
      </c>
      <c r="AC2">
        <f>BDH("NUTX US Equity","EBITDA","1993-06-18","2026-05-02","Per=Y","Days=T","Dir=V")</f>
        <v>0</v>
      </c>
      <c r="AE2">
        <f>BDH("NUTX US Equity","NET_INCOME","1993-06-18","2026-05-02","Per=Y","Days=T","Dir=V")</f>
        <v>0</v>
      </c>
      <c r="AG2">
        <f>BDH("NUTX US Equity","IS_INT_EXPENSE","1993-06-18","2026-05-02","Per=Y","Days=T","Dir=V")</f>
        <v>0</v>
      </c>
      <c r="AI2">
        <f>BDH("NUTX US Equity","IS_DEPR_EXP","1993-06-18","2026-05-02","Per=Y","Days=T","Dir=V")</f>
        <v>0</v>
      </c>
      <c r="AK2">
        <f>BDH("NUTX US Equity","CF_CASH_FROM_OPER","1993-06-18","2026-05-02","Per=Y","Days=T","Dir=V")</f>
        <v>0</v>
      </c>
      <c r="AM2">
        <f>BDH("NUTX US Equity","CAPITAL_EXPEND","1993-06-18","2026-05-02","Per=Y","Days=T","Dir=V")</f>
        <v>0</v>
      </c>
      <c r="AO2">
        <f>BDH("NUTX US Equity","CF_FREE_CASH_FLOW","1993-06-18","2026-05-02","Per=Y","Days=T","Dir=V")</f>
        <v>0</v>
      </c>
      <c r="AQ2">
        <f>BDH("NUTX US Equity","PX_LAST","1993-06-18","2026-05-02","Per=M","Days=T","Dir=V")</f>
        <v>0</v>
      </c>
      <c r="AS2">
        <f>BDH("NUTX US Equity","CUR_MKT_CAP","1993-06-18","2026-05-02","Per=M","Days=T","Dir=V")</f>
        <v>0</v>
      </c>
      <c r="AU2">
        <f>BDH("NUTX US Equity","EQY_SH_OUT","1993-06-18","2026-05-02","Per=M","Days=T","Dir=V")</f>
        <v>0</v>
      </c>
      <c r="AW2">
        <f>BDH("NUTX US Equity","PX_VOLUME","1993-06-18","2026-05-02","Per=M","Days=T","Dir=V")</f>
        <v>0</v>
      </c>
      <c r="AY2">
        <f>BDH("NUTX US Equity","TURNOVER","1993-06-18","2026-05-02","Per=M","Days=T","Dir=V")</f>
        <v>0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BDH("NUVB US Equity","BS_TOT_ASSET","1993-06-18","2026-05-02","Per=Y","Days=T","Dir=V")</f>
        <v>0</v>
      </c>
      <c r="C2">
        <f>BDH("NUVB US Equity","BS_TOT_LIAB2","1993-06-18","2026-05-02","Per=Y","Days=T","Dir=V")</f>
        <v>0</v>
      </c>
      <c r="E2">
        <f>BDH("NUVB US Equity","SHORT_AND_LONG_TERM_DEBT","1993-06-18","2026-05-02","Per=Y","Days=T","Dir=V")</f>
        <v>0</v>
      </c>
      <c r="G2">
        <f>BDH("NUVB US Equity","BS_ST_BORROW","1993-06-18","2026-05-02","Per=Y","Days=T","Dir=V")</f>
        <v>0</v>
      </c>
      <c r="I2">
        <f>BDH("NUVB US Equity","BS_LT_BORROW","1993-06-18","2026-05-02","Per=Y","Days=T","Dir=V")</f>
        <v>0</v>
      </c>
      <c r="K2">
        <f>BDH("NUVB US Equity","BS_CASH_NEAR_CASH_ITEM","1993-06-18","2026-05-02","Per=Y","Days=T","Dir=V")</f>
        <v>0</v>
      </c>
      <c r="M2">
        <f>BDH("NUVB US Equity","BS_CUR_ASSET_REPORT","1993-06-18","2026-05-02","Per=Y","Days=T","Dir=V")</f>
        <v>0</v>
      </c>
      <c r="O2">
        <f>BDH("NUVB US Equity","BS_CUR_LIAB","1993-06-18","2026-05-02","Per=Y","Days=T","Dir=V")</f>
        <v>0</v>
      </c>
      <c r="Q2">
        <f>BDH("NUVB US Equity","BS_SHAREHOLDER_EQY_ENDING_PERIOD","1993-06-18","2026-05-02","Per=Y","Days=T","Dir=V")</f>
        <v>0</v>
      </c>
      <c r="S2">
        <f>BDH("NUVB US Equity","BS_ACCT_NOTE_RCV","1993-06-18","2026-05-02","Per=Y","Days=T","Dir=V")</f>
        <v>0</v>
      </c>
      <c r="U2">
        <f>BDH("NUVB US Equity","BS_INVENTORIES","1993-06-18","2026-05-02","Per=Y","Days=T","Dir=V")</f>
        <v>0</v>
      </c>
      <c r="W2">
        <f>BDH("NUVB US Equity","WORKING_CAPITAL","1993-06-18","2026-05-02","Per=Y","Days=T","Dir=V")</f>
        <v>0</v>
      </c>
      <c r="Y2">
        <f>BDH("NUVB US Equity","SALES_REV_TURN","1993-06-18","2026-05-02","Per=Y","Days=T","Dir=V")</f>
        <v>0</v>
      </c>
      <c r="AA2">
        <f>BDH("NUVB US Equity","EBIT","1993-06-18","2026-05-02","Per=Y","Days=T","Dir=V")</f>
        <v>0</v>
      </c>
      <c r="AC2">
        <f>BDH("NUVB US Equity","EBITDA","1993-06-18","2026-05-02","Per=Y","Days=T","Dir=V")</f>
        <v>0</v>
      </c>
      <c r="AE2">
        <f>BDH("NUVB US Equity","NET_INCOME","1993-06-18","2026-05-02","Per=Y","Days=T","Dir=V")</f>
        <v>0</v>
      </c>
      <c r="AG2">
        <f>BDH("NUVB US Equity","IS_INT_EXPENSE","1993-06-18","2026-05-02","Per=Y","Days=T","Dir=V")</f>
        <v>0</v>
      </c>
      <c r="AI2">
        <f>BDH("NUVB US Equity","IS_DEPR_EXP","1993-06-18","2026-05-02","Per=Y","Days=T","Dir=V")</f>
        <v>0</v>
      </c>
      <c r="AK2">
        <f>BDH("NUVB US Equity","CF_CASH_FROM_OPER","1993-06-18","2026-05-02","Per=Y","Days=T","Dir=V")</f>
        <v>0</v>
      </c>
      <c r="AM2">
        <f>BDH("NUVB US Equity","CAPITAL_EXPEND","1993-06-18","2026-05-02","Per=Y","Days=T","Dir=V")</f>
        <v>0</v>
      </c>
      <c r="AO2">
        <f>BDH("NUVB US Equity","CF_FREE_CASH_FLOW","1993-06-18","2026-05-02","Per=Y","Days=T","Dir=V")</f>
        <v>0</v>
      </c>
      <c r="AQ2">
        <f>BDH("NUVB US Equity","PX_LAST","1993-06-18","2026-05-02","Per=M","Days=T","Dir=V")</f>
        <v>0</v>
      </c>
      <c r="AS2">
        <f>BDH("NUVB US Equity","CUR_MKT_CAP","1993-06-18","2026-05-02","Per=M","Days=T","Dir=V")</f>
        <v>0</v>
      </c>
      <c r="AU2">
        <f>BDH("NUVB US Equity","EQY_SH_OUT","1993-06-18","2026-05-02","Per=M","Days=T","Dir=V")</f>
        <v>0</v>
      </c>
      <c r="AW2">
        <f>BDH("NUVB US Equity","PX_VOLUME","1993-06-18","2026-05-02","Per=M","Days=T","Dir=V")</f>
        <v>0</v>
      </c>
      <c r="AY2">
        <f>BDH("NUVB US Equity","TURNOVER","1993-06-18","2026-05-02","Per=M","Days=T","Dir=V")</f>
        <v>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BDH("NUWE US Equity","BS_TOT_ASSET","1993-06-18","2026-05-02","Per=Y","Days=T","Dir=V")</f>
        <v>0</v>
      </c>
      <c r="C2">
        <f>BDH("NUWE US Equity","BS_TOT_LIAB2","1993-06-18","2026-05-02","Per=Y","Days=T","Dir=V")</f>
        <v>0</v>
      </c>
      <c r="E2">
        <f>BDH("NUWE US Equity","SHORT_AND_LONG_TERM_DEBT","1993-06-18","2026-05-02","Per=Y","Days=T","Dir=V")</f>
        <v>0</v>
      </c>
      <c r="G2">
        <f>BDH("NUWE US Equity","BS_ST_BORROW","1993-06-18","2026-05-02","Per=Y","Days=T","Dir=V")</f>
        <v>0</v>
      </c>
      <c r="I2">
        <f>BDH("NUWE US Equity","BS_LT_BORROW","1993-06-18","2026-05-02","Per=Y","Days=T","Dir=V")</f>
        <v>0</v>
      </c>
      <c r="K2">
        <f>BDH("NUWE US Equity","BS_CASH_NEAR_CASH_ITEM","1993-06-18","2026-05-02","Per=Y","Days=T","Dir=V")</f>
        <v>0</v>
      </c>
      <c r="M2">
        <f>BDH("NUWE US Equity","BS_CUR_ASSET_REPORT","1993-06-18","2026-05-02","Per=Y","Days=T","Dir=V")</f>
        <v>0</v>
      </c>
      <c r="O2">
        <f>BDH("NUWE US Equity","BS_CUR_LIAB","1993-06-18","2026-05-02","Per=Y","Days=T","Dir=V")</f>
        <v>0</v>
      </c>
      <c r="Q2">
        <f>BDH("NUWE US Equity","BS_SHAREHOLDER_EQY_ENDING_PERIOD","1993-06-18","2026-05-02","Per=Y","Days=T","Dir=V")</f>
        <v>0</v>
      </c>
      <c r="S2">
        <f>BDH("NUWE US Equity","BS_ACCT_NOTE_RCV","1993-06-18","2026-05-02","Per=Y","Days=T","Dir=V")</f>
        <v>0</v>
      </c>
      <c r="U2">
        <f>BDH("NUWE US Equity","BS_INVENTORIES","1993-06-18","2026-05-02","Per=Y","Days=T","Dir=V")</f>
        <v>0</v>
      </c>
      <c r="W2">
        <f>BDH("NUWE US Equity","WORKING_CAPITAL","1993-06-18","2026-05-02","Per=Y","Days=T","Dir=V")</f>
        <v>0</v>
      </c>
      <c r="Y2">
        <f>BDH("NUWE US Equity","SALES_REV_TURN","1993-06-18","2026-05-02","Per=Y","Days=T","Dir=V")</f>
        <v>0</v>
      </c>
      <c r="AA2">
        <f>BDH("NUWE US Equity","EBIT","1993-06-18","2026-05-02","Per=Y","Days=T","Dir=V")</f>
        <v>0</v>
      </c>
      <c r="AC2">
        <f>BDH("NUWE US Equity","EBITDA","1993-06-18","2026-05-02","Per=Y","Days=T","Dir=V")</f>
        <v>0</v>
      </c>
      <c r="AE2">
        <f>BDH("NUWE US Equity","NET_INCOME","1993-06-18","2026-05-02","Per=Y","Days=T","Dir=V")</f>
        <v>0</v>
      </c>
      <c r="AG2">
        <f>BDH("NUWE US Equity","IS_INT_EXPENSE","1993-06-18","2026-05-02","Per=Y","Days=T","Dir=V")</f>
        <v>0</v>
      </c>
      <c r="AI2">
        <f>BDH("NUWE US Equity","IS_DEPR_EXP","1993-06-18","2026-05-02","Per=Y","Days=T","Dir=V")</f>
        <v>0</v>
      </c>
      <c r="AK2">
        <f>BDH("NUWE US Equity","CF_CASH_FROM_OPER","1993-06-18","2026-05-02","Per=Y","Days=T","Dir=V")</f>
        <v>0</v>
      </c>
      <c r="AM2">
        <f>BDH("NUWE US Equity","CAPITAL_EXPEND","1993-06-18","2026-05-02","Per=Y","Days=T","Dir=V")</f>
        <v>0</v>
      </c>
      <c r="AO2">
        <f>BDH("NUWE US Equity","CF_FREE_CASH_FLOW","1993-06-18","2026-05-02","Per=Y","Days=T","Dir=V")</f>
        <v>0</v>
      </c>
      <c r="AQ2">
        <f>BDH("NUWE US Equity","PX_LAST","1993-06-18","2026-05-02","Per=M","Days=T","Dir=V")</f>
        <v>0</v>
      </c>
      <c r="AS2">
        <f>BDH("NUWE US Equity","CUR_MKT_CAP","1993-06-18","2026-05-02","Per=M","Days=T","Dir=V")</f>
        <v>0</v>
      </c>
      <c r="AU2">
        <f>BDH("NUWE US Equity","EQY_SH_OUT","1993-06-18","2026-05-02","Per=M","Days=T","Dir=V")</f>
        <v>0</v>
      </c>
      <c r="AW2">
        <f>BDH("NUWE US Equity","PX_VOLUME","1993-06-18","2026-05-02","Per=M","Days=T","Dir=V")</f>
        <v>0</v>
      </c>
      <c r="AY2">
        <f>BDH("NUWE US Equity","TURNOVER","1993-06-18","2026-05-02","Per=M","Days=T","Dir=V")</f>
        <v>0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BDH("NVAX US Equity","BS_TOT_ASSET","1993-06-18","2026-05-02","Per=Y","Days=T","Dir=V")</f>
        <v>0</v>
      </c>
      <c r="C2">
        <f>BDH("NVAX US Equity","BS_TOT_LIAB2","1993-06-18","2026-05-02","Per=Y","Days=T","Dir=V")</f>
        <v>0</v>
      </c>
      <c r="E2">
        <f>BDH("NVAX US Equity","SHORT_AND_LONG_TERM_DEBT","1993-06-18","2026-05-02","Per=Y","Days=T","Dir=V")</f>
        <v>0</v>
      </c>
      <c r="G2">
        <f>BDH("NVAX US Equity","BS_ST_BORROW","1993-06-18","2026-05-02","Per=Y","Days=T","Dir=V")</f>
        <v>0</v>
      </c>
      <c r="I2">
        <f>BDH("NVAX US Equity","BS_LT_BORROW","1993-06-18","2026-05-02","Per=Y","Days=T","Dir=V")</f>
        <v>0</v>
      </c>
      <c r="K2">
        <f>BDH("NVAX US Equity","BS_CASH_NEAR_CASH_ITEM","1993-06-18","2026-05-02","Per=Y","Days=T","Dir=V")</f>
        <v>0</v>
      </c>
      <c r="M2">
        <f>BDH("NVAX US Equity","BS_CUR_ASSET_REPORT","1993-06-18","2026-05-02","Per=Y","Days=T","Dir=V")</f>
        <v>0</v>
      </c>
      <c r="O2">
        <f>BDH("NVAX US Equity","BS_CUR_LIAB","1993-06-18","2026-05-02","Per=Y","Days=T","Dir=V")</f>
        <v>0</v>
      </c>
      <c r="Q2">
        <f>BDH("NVAX US Equity","BS_SHAREHOLDER_EQY_ENDING_PERIOD","1993-06-18","2026-05-02","Per=Y","Days=T","Dir=V")</f>
        <v>0</v>
      </c>
      <c r="S2">
        <f>BDH("NVAX US Equity","BS_ACCT_NOTE_RCV","1993-06-18","2026-05-02","Per=Y","Days=T","Dir=V")</f>
        <v>0</v>
      </c>
      <c r="U2">
        <f>BDH("NVAX US Equity","BS_INVENTORIES","1993-06-18","2026-05-02","Per=Y","Days=T","Dir=V")</f>
        <v>0</v>
      </c>
      <c r="W2">
        <f>BDH("NVAX US Equity","WORKING_CAPITAL","1993-06-18","2026-05-02","Per=Y","Days=T","Dir=V")</f>
        <v>0</v>
      </c>
      <c r="Y2">
        <f>BDH("NVAX US Equity","SALES_REV_TURN","1993-06-18","2026-05-02","Per=Y","Days=T","Dir=V")</f>
        <v>0</v>
      </c>
      <c r="AA2">
        <f>BDH("NVAX US Equity","EBIT","1993-06-18","2026-05-02","Per=Y","Days=T","Dir=V")</f>
        <v>0</v>
      </c>
      <c r="AC2">
        <f>BDH("NVAX US Equity","EBITDA","1993-06-18","2026-05-02","Per=Y","Days=T","Dir=V")</f>
        <v>0</v>
      </c>
      <c r="AE2">
        <f>BDH("NVAX US Equity","NET_INCOME","1993-06-18","2026-05-02","Per=Y","Days=T","Dir=V")</f>
        <v>0</v>
      </c>
      <c r="AG2">
        <f>BDH("NVAX US Equity","IS_INT_EXPENSE","1993-06-18","2026-05-02","Per=Y","Days=T","Dir=V")</f>
        <v>0</v>
      </c>
      <c r="AI2">
        <f>BDH("NVAX US Equity","IS_DEPR_EXP","1993-06-18","2026-05-02","Per=Y","Days=T","Dir=V")</f>
        <v>0</v>
      </c>
      <c r="AK2">
        <f>BDH("NVAX US Equity","CF_CASH_FROM_OPER","1993-06-18","2026-05-02","Per=Y","Days=T","Dir=V")</f>
        <v>0</v>
      </c>
      <c r="AM2">
        <f>BDH("NVAX US Equity","CAPITAL_EXPEND","1993-06-18","2026-05-02","Per=Y","Days=T","Dir=V")</f>
        <v>0</v>
      </c>
      <c r="AO2">
        <f>BDH("NVAX US Equity","CF_FREE_CASH_FLOW","1993-06-18","2026-05-02","Per=Y","Days=T","Dir=V")</f>
        <v>0</v>
      </c>
      <c r="AQ2">
        <f>BDH("NVAX US Equity","PX_LAST","1993-06-18","2026-05-02","Per=M","Days=T","Dir=V")</f>
        <v>0</v>
      </c>
      <c r="AS2">
        <f>BDH("NVAX US Equity","CUR_MKT_CAP","1993-06-18","2026-05-02","Per=M","Days=T","Dir=V")</f>
        <v>0</v>
      </c>
      <c r="AU2">
        <f>BDH("NVAX US Equity","EQY_SH_OUT","1993-06-18","2026-05-02","Per=M","Days=T","Dir=V")</f>
        <v>0</v>
      </c>
      <c r="AW2">
        <f>BDH("NVAX US Equity","PX_VOLUME","1993-06-18","2026-05-02","Per=M","Days=T","Dir=V")</f>
        <v>0</v>
      </c>
      <c r="AY2">
        <f>BDH("NVAX US Equity","TURNOVER","1993-06-18","2026-05-02","Per=M","Days=T","Dir=V")</f>
        <v>0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BDH("NVCT US Equity","BS_TOT_ASSET","1993-06-18","2026-05-02","Per=Y","Days=T","Dir=V")</f>
        <v>0</v>
      </c>
      <c r="C2">
        <f>BDH("NVCT US Equity","BS_TOT_LIAB2","1993-06-18","2026-05-02","Per=Y","Days=T","Dir=V")</f>
        <v>0</v>
      </c>
      <c r="E2">
        <f>BDH("NVCT US Equity","SHORT_AND_LONG_TERM_DEBT","1993-06-18","2026-05-02","Per=Y","Days=T","Dir=V")</f>
        <v>0</v>
      </c>
      <c r="G2">
        <f>BDH("NVCT US Equity","BS_ST_BORROW","1993-06-18","2026-05-02","Per=Y","Days=T","Dir=V")</f>
        <v>0</v>
      </c>
      <c r="I2">
        <f>BDH("NVCT US Equity","BS_LT_BORROW","1993-06-18","2026-05-02","Per=Y","Days=T","Dir=V")</f>
        <v>0</v>
      </c>
      <c r="K2">
        <f>BDH("NVCT US Equity","BS_CASH_NEAR_CASH_ITEM","1993-06-18","2026-05-02","Per=Y","Days=T","Dir=V")</f>
        <v>0</v>
      </c>
      <c r="M2">
        <f>BDH("NVCT US Equity","BS_CUR_ASSET_REPORT","1993-06-18","2026-05-02","Per=Y","Days=T","Dir=V")</f>
        <v>0</v>
      </c>
      <c r="O2">
        <f>BDH("NVCT US Equity","BS_CUR_LIAB","1993-06-18","2026-05-02","Per=Y","Days=T","Dir=V")</f>
        <v>0</v>
      </c>
      <c r="Q2">
        <f>BDH("NVCT US Equity","BS_SHAREHOLDER_EQY_ENDING_PERIOD","1993-06-18","2026-05-02","Per=Y","Days=T","Dir=V")</f>
        <v>0</v>
      </c>
      <c r="S2">
        <f>BDH("NVCT US Equity","BS_ACCT_NOTE_RCV","1993-06-18","2026-05-02","Per=Y","Days=T","Dir=V")</f>
        <v>0</v>
      </c>
      <c r="U2">
        <f>BDH("NVCT US Equity","BS_INVENTORIES","1993-06-18","2026-05-02","Per=Y","Days=T","Dir=V")</f>
        <v>0</v>
      </c>
      <c r="W2">
        <f>BDH("NVCT US Equity","WORKING_CAPITAL","1993-06-18","2026-05-02","Per=Y","Days=T","Dir=V")</f>
        <v>0</v>
      </c>
      <c r="Y2">
        <f>BDH("NVCT US Equity","SALES_REV_TURN","1993-06-18","2026-05-02","Per=Y","Days=T","Dir=V")</f>
        <v>0</v>
      </c>
      <c r="AA2">
        <f>BDH("NVCT US Equity","EBIT","1993-06-18","2026-05-02","Per=Y","Days=T","Dir=V")</f>
        <v>0</v>
      </c>
      <c r="AC2">
        <f>BDH("NVCT US Equity","EBITDA","1993-06-18","2026-05-02","Per=Y","Days=T","Dir=V")</f>
        <v>0</v>
      </c>
      <c r="AE2">
        <f>BDH("NVCT US Equity","NET_INCOME","1993-06-18","2026-05-02","Per=Y","Days=T","Dir=V")</f>
        <v>0</v>
      </c>
      <c r="AG2">
        <f>BDH("NVCT US Equity","IS_INT_EXPENSE","1993-06-18","2026-05-02","Per=Y","Days=T","Dir=V")</f>
        <v>0</v>
      </c>
      <c r="AI2">
        <f>BDH("NVCT US Equity","IS_DEPR_EXP","1993-06-18","2026-05-02","Per=Y","Days=T","Dir=V")</f>
        <v>0</v>
      </c>
      <c r="AK2">
        <f>BDH("NVCT US Equity","CF_CASH_FROM_OPER","1993-06-18","2026-05-02","Per=Y","Days=T","Dir=V")</f>
        <v>0</v>
      </c>
      <c r="AM2">
        <f>BDH("NVCT US Equity","CAPITAL_EXPEND","1993-06-18","2026-05-02","Per=Y","Days=T","Dir=V")</f>
        <v>0</v>
      </c>
      <c r="AO2">
        <f>BDH("NVCT US Equity","CF_FREE_CASH_FLOW","1993-06-18","2026-05-02","Per=Y","Days=T","Dir=V")</f>
        <v>0</v>
      </c>
      <c r="AQ2">
        <f>BDH("NVCT US Equity","PX_LAST","1993-06-18","2026-05-02","Per=M","Days=T","Dir=V")</f>
        <v>0</v>
      </c>
      <c r="AS2">
        <f>BDH("NVCT US Equity","CUR_MKT_CAP","1993-06-18","2026-05-02","Per=M","Days=T","Dir=V")</f>
        <v>0</v>
      </c>
      <c r="AU2">
        <f>BDH("NVCT US Equity","EQY_SH_OUT","1993-06-18","2026-05-02","Per=M","Days=T","Dir=V")</f>
        <v>0</v>
      </c>
      <c r="AW2">
        <f>BDH("NVCT US Equity","PX_VOLUME","1993-06-18","2026-05-02","Per=M","Days=T","Dir=V")</f>
        <v>0</v>
      </c>
      <c r="AY2">
        <f>BDH("NVCT US Equity","TURNOVER","1993-06-18","2026-05-02","Per=M","Days=T","Dir=V")</f>
        <v>0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BDH("NVDA US Equity","BS_TOT_ASSET","1993-06-18","2026-05-02","Per=Y","Days=T","Dir=V")</f>
        <v>0</v>
      </c>
      <c r="C2">
        <f>BDH("NVDA US Equity","BS_TOT_LIAB2","1993-06-18","2026-05-02","Per=Y","Days=T","Dir=V")</f>
        <v>0</v>
      </c>
      <c r="E2">
        <f>BDH("NVDA US Equity","SHORT_AND_LONG_TERM_DEBT","1993-06-18","2026-05-02","Per=Y","Days=T","Dir=V")</f>
        <v>0</v>
      </c>
      <c r="G2">
        <f>BDH("NVDA US Equity","BS_ST_BORROW","1993-06-18","2026-05-02","Per=Y","Days=T","Dir=V")</f>
        <v>0</v>
      </c>
      <c r="I2">
        <f>BDH("NVDA US Equity","BS_LT_BORROW","1993-06-18","2026-05-02","Per=Y","Days=T","Dir=V")</f>
        <v>0</v>
      </c>
      <c r="K2">
        <f>BDH("NVDA US Equity","BS_CASH_NEAR_CASH_ITEM","1993-06-18","2026-05-02","Per=Y","Days=T","Dir=V")</f>
        <v>0</v>
      </c>
      <c r="M2">
        <f>BDH("NVDA US Equity","BS_CUR_ASSET_REPORT","1993-06-18","2026-05-02","Per=Y","Days=T","Dir=V")</f>
        <v>0</v>
      </c>
      <c r="O2">
        <f>BDH("NVDA US Equity","BS_CUR_LIAB","1993-06-18","2026-05-02","Per=Y","Days=T","Dir=V")</f>
        <v>0</v>
      </c>
      <c r="Q2">
        <f>BDH("NVDA US Equity","BS_SHAREHOLDER_EQY_ENDING_PERIOD","1993-06-18","2026-05-02","Per=Y","Days=T","Dir=V")</f>
        <v>0</v>
      </c>
      <c r="S2">
        <f>BDH("NVDA US Equity","BS_ACCT_NOTE_RCV","1993-06-18","2026-05-02","Per=Y","Days=T","Dir=V")</f>
        <v>0</v>
      </c>
      <c r="U2">
        <f>BDH("NVDA US Equity","BS_INVENTORIES","1993-06-18","2026-05-02","Per=Y","Days=T","Dir=V")</f>
        <v>0</v>
      </c>
      <c r="W2">
        <f>BDH("NVDA US Equity","WORKING_CAPITAL","1993-06-18","2026-05-02","Per=Y","Days=T","Dir=V")</f>
        <v>0</v>
      </c>
      <c r="Y2">
        <f>BDH("NVDA US Equity","SALES_REV_TURN","1993-06-18","2026-05-02","Per=Y","Days=T","Dir=V")</f>
        <v>0</v>
      </c>
      <c r="AA2">
        <f>BDH("NVDA US Equity","EBIT","1993-06-18","2026-05-02","Per=Y","Days=T","Dir=V")</f>
        <v>0</v>
      </c>
      <c r="AC2">
        <f>BDH("NVDA US Equity","EBITDA","1993-06-18","2026-05-02","Per=Y","Days=T","Dir=V")</f>
        <v>0</v>
      </c>
      <c r="AE2">
        <f>BDH("NVDA US Equity","NET_INCOME","1993-06-18","2026-05-02","Per=Y","Days=T","Dir=V")</f>
        <v>0</v>
      </c>
      <c r="AG2">
        <f>BDH("NVDA US Equity","IS_INT_EXPENSE","1993-06-18","2026-05-02","Per=Y","Days=T","Dir=V")</f>
        <v>0</v>
      </c>
      <c r="AI2">
        <f>BDH("NVDA US Equity","IS_DEPR_EXP","1993-06-18","2026-05-02","Per=Y","Days=T","Dir=V")</f>
        <v>0</v>
      </c>
      <c r="AK2">
        <f>BDH("NVDA US Equity","CF_CASH_FROM_OPER","1993-06-18","2026-05-02","Per=Y","Days=T","Dir=V")</f>
        <v>0</v>
      </c>
      <c r="AM2">
        <f>BDH("NVDA US Equity","CAPITAL_EXPEND","1993-06-18","2026-05-02","Per=Y","Days=T","Dir=V")</f>
        <v>0</v>
      </c>
      <c r="AO2">
        <f>BDH("NVDA US Equity","CF_FREE_CASH_FLOW","1993-06-18","2026-05-02","Per=Y","Days=T","Dir=V")</f>
        <v>0</v>
      </c>
      <c r="AQ2">
        <f>BDH("NVDA US Equity","PX_LAST","1993-06-18","2026-05-02","Per=M","Days=T","Dir=V")</f>
        <v>0</v>
      </c>
      <c r="AS2">
        <f>BDH("NVDA US Equity","CUR_MKT_CAP","1993-06-18","2026-05-02","Per=M","Days=T","Dir=V")</f>
        <v>0</v>
      </c>
      <c r="AU2">
        <f>BDH("NVDA US Equity","EQY_SH_OUT","1993-06-18","2026-05-02","Per=M","Days=T","Dir=V")</f>
        <v>0</v>
      </c>
      <c r="AW2">
        <f>BDH("NVDA US Equity","PX_VOLUME","1993-06-18","2026-05-02","Per=M","Days=T","Dir=V")</f>
        <v>0</v>
      </c>
      <c r="AY2">
        <f>BDH("NVDA US Equity","TURNOVER","1993-06-18","2026-05-02","Per=M","Days=T","Dir=V")</f>
        <v>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BDH("NVEC US Equity","BS_TOT_ASSET","1993-06-18","2026-05-02","Per=Y","Days=T","Dir=V")</f>
        <v>0</v>
      </c>
      <c r="C2">
        <f>BDH("NVEC US Equity","BS_TOT_LIAB2","1993-06-18","2026-05-02","Per=Y","Days=T","Dir=V")</f>
        <v>0</v>
      </c>
      <c r="E2">
        <f>BDH("NVEC US Equity","SHORT_AND_LONG_TERM_DEBT","1993-06-18","2026-05-02","Per=Y","Days=T","Dir=V")</f>
        <v>0</v>
      </c>
      <c r="G2">
        <f>BDH("NVEC US Equity","BS_ST_BORROW","1993-06-18","2026-05-02","Per=Y","Days=T","Dir=V")</f>
        <v>0</v>
      </c>
      <c r="I2">
        <f>BDH("NVEC US Equity","BS_LT_BORROW","1993-06-18","2026-05-02","Per=Y","Days=T","Dir=V")</f>
        <v>0</v>
      </c>
      <c r="K2">
        <f>BDH("NVEC US Equity","BS_CASH_NEAR_CASH_ITEM","1993-06-18","2026-05-02","Per=Y","Days=T","Dir=V")</f>
        <v>0</v>
      </c>
      <c r="M2">
        <f>BDH("NVEC US Equity","BS_CUR_ASSET_REPORT","1993-06-18","2026-05-02","Per=Y","Days=T","Dir=V")</f>
        <v>0</v>
      </c>
      <c r="O2">
        <f>BDH("NVEC US Equity","BS_CUR_LIAB","1993-06-18","2026-05-02","Per=Y","Days=T","Dir=V")</f>
        <v>0</v>
      </c>
      <c r="Q2">
        <f>BDH("NVEC US Equity","BS_SHAREHOLDER_EQY_ENDING_PERIOD","1993-06-18","2026-05-02","Per=Y","Days=T","Dir=V")</f>
        <v>0</v>
      </c>
      <c r="S2">
        <f>BDH("NVEC US Equity","BS_ACCT_NOTE_RCV","1993-06-18","2026-05-02","Per=Y","Days=T","Dir=V")</f>
        <v>0</v>
      </c>
      <c r="U2">
        <f>BDH("NVEC US Equity","BS_INVENTORIES","1993-06-18","2026-05-02","Per=Y","Days=T","Dir=V")</f>
        <v>0</v>
      </c>
      <c r="W2">
        <f>BDH("NVEC US Equity","WORKING_CAPITAL","1993-06-18","2026-05-02","Per=Y","Days=T","Dir=V")</f>
        <v>0</v>
      </c>
      <c r="Y2">
        <f>BDH("NVEC US Equity","SALES_REV_TURN","1993-06-18","2026-05-02","Per=Y","Days=T","Dir=V")</f>
        <v>0</v>
      </c>
      <c r="AA2">
        <f>BDH("NVEC US Equity","EBIT","1993-06-18","2026-05-02","Per=Y","Days=T","Dir=V")</f>
        <v>0</v>
      </c>
      <c r="AC2">
        <f>BDH("NVEC US Equity","EBITDA","1993-06-18","2026-05-02","Per=Y","Days=T","Dir=V")</f>
        <v>0</v>
      </c>
      <c r="AE2">
        <f>BDH("NVEC US Equity","NET_INCOME","1993-06-18","2026-05-02","Per=Y","Days=T","Dir=V")</f>
        <v>0</v>
      </c>
      <c r="AG2">
        <f>BDH("NVEC US Equity","IS_INT_EXPENSE","1993-06-18","2026-05-02","Per=Y","Days=T","Dir=V")</f>
        <v>0</v>
      </c>
      <c r="AI2">
        <f>BDH("NVEC US Equity","IS_DEPR_EXP","1993-06-18","2026-05-02","Per=Y","Days=T","Dir=V")</f>
        <v>0</v>
      </c>
      <c r="AK2">
        <f>BDH("NVEC US Equity","CF_CASH_FROM_OPER","1993-06-18","2026-05-02","Per=Y","Days=T","Dir=V")</f>
        <v>0</v>
      </c>
      <c r="AM2">
        <f>BDH("NVEC US Equity","CAPITAL_EXPEND","1993-06-18","2026-05-02","Per=Y","Days=T","Dir=V")</f>
        <v>0</v>
      </c>
      <c r="AO2">
        <f>BDH("NVEC US Equity","CF_FREE_CASH_FLOW","1993-06-18","2026-05-02","Per=Y","Days=T","Dir=V")</f>
        <v>0</v>
      </c>
      <c r="AQ2">
        <f>BDH("NVEC US Equity","PX_LAST","1993-06-18","2026-05-02","Per=M","Days=T","Dir=V")</f>
        <v>0</v>
      </c>
      <c r="AS2">
        <f>BDH("NVEC US Equity","CUR_MKT_CAP","1993-06-18","2026-05-02","Per=M","Days=T","Dir=V")</f>
        <v>0</v>
      </c>
      <c r="AU2">
        <f>BDH("NVEC US Equity","EQY_SH_OUT","1993-06-18","2026-05-02","Per=M","Days=T","Dir=V")</f>
        <v>0</v>
      </c>
      <c r="AW2">
        <f>BDH("NVEC US Equity","PX_VOLUME","1993-06-18","2026-05-02","Per=M","Days=T","Dir=V")</f>
        <v>0</v>
      </c>
      <c r="AY2">
        <f>BDH("NVEC US Equity","TURNOVER","1993-06-18","2026-05-02","Per=M","Days=T","Dir=V")</f>
        <v>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BDH("NVNO US Equity","BS_TOT_ASSET","1993-06-18","2026-05-02","Per=Y","Days=T","Dir=V")</f>
        <v>0</v>
      </c>
      <c r="C2">
        <f>BDH("NVNO US Equity","BS_TOT_LIAB2","1993-06-18","2026-05-02","Per=Y","Days=T","Dir=V")</f>
        <v>0</v>
      </c>
      <c r="E2">
        <f>BDH("NVNO US Equity","SHORT_AND_LONG_TERM_DEBT","1993-06-18","2026-05-02","Per=Y","Days=T","Dir=V")</f>
        <v>0</v>
      </c>
      <c r="G2">
        <f>BDH("NVNO US Equity","BS_ST_BORROW","1993-06-18","2026-05-02","Per=Y","Days=T","Dir=V")</f>
        <v>0</v>
      </c>
      <c r="I2">
        <f>BDH("NVNO US Equity","BS_LT_BORROW","1993-06-18","2026-05-02","Per=Y","Days=T","Dir=V")</f>
        <v>0</v>
      </c>
      <c r="K2">
        <f>BDH("NVNO US Equity","BS_CASH_NEAR_CASH_ITEM","1993-06-18","2026-05-02","Per=Y","Days=T","Dir=V")</f>
        <v>0</v>
      </c>
      <c r="M2">
        <f>BDH("NVNO US Equity","BS_CUR_ASSET_REPORT","1993-06-18","2026-05-02","Per=Y","Days=T","Dir=V")</f>
        <v>0</v>
      </c>
      <c r="O2">
        <f>BDH("NVNO US Equity","BS_CUR_LIAB","1993-06-18","2026-05-02","Per=Y","Days=T","Dir=V")</f>
        <v>0</v>
      </c>
      <c r="Q2">
        <f>BDH("NVNO US Equity","BS_SHAREHOLDER_EQY_ENDING_PERIOD","1993-06-18","2026-05-02","Per=Y","Days=T","Dir=V")</f>
        <v>0</v>
      </c>
      <c r="S2">
        <f>BDH("NVNO US Equity","BS_ACCT_NOTE_RCV","1993-06-18","2026-05-02","Per=Y","Days=T","Dir=V")</f>
        <v>0</v>
      </c>
      <c r="U2">
        <f>BDH("NVNO US Equity","BS_INVENTORIES","1993-06-18","2026-05-02","Per=Y","Days=T","Dir=V")</f>
        <v>0</v>
      </c>
      <c r="W2">
        <f>BDH("NVNO US Equity","WORKING_CAPITAL","1993-06-18","2026-05-02","Per=Y","Days=T","Dir=V")</f>
        <v>0</v>
      </c>
      <c r="Y2">
        <f>BDH("NVNO US Equity","SALES_REV_TURN","1993-06-18","2026-05-02","Per=Y","Days=T","Dir=V")</f>
        <v>0</v>
      </c>
      <c r="AA2">
        <f>BDH("NVNO US Equity","EBIT","1993-06-18","2026-05-02","Per=Y","Days=T","Dir=V")</f>
        <v>0</v>
      </c>
      <c r="AC2">
        <f>BDH("NVNO US Equity","EBITDA","1993-06-18","2026-05-02","Per=Y","Days=T","Dir=V")</f>
        <v>0</v>
      </c>
      <c r="AE2">
        <f>BDH("NVNO US Equity","NET_INCOME","1993-06-18","2026-05-02","Per=Y","Days=T","Dir=V")</f>
        <v>0</v>
      </c>
      <c r="AG2">
        <f>BDH("NVNO US Equity","IS_INT_EXPENSE","1993-06-18","2026-05-02","Per=Y","Days=T","Dir=V")</f>
        <v>0</v>
      </c>
      <c r="AI2">
        <f>BDH("NVNO US Equity","IS_DEPR_EXP","1993-06-18","2026-05-02","Per=Y","Days=T","Dir=V")</f>
        <v>0</v>
      </c>
      <c r="AK2">
        <f>BDH("NVNO US Equity","CF_CASH_FROM_OPER","1993-06-18","2026-05-02","Per=Y","Days=T","Dir=V")</f>
        <v>0</v>
      </c>
      <c r="AM2">
        <f>BDH("NVNO US Equity","CAPITAL_EXPEND","1993-06-18","2026-05-02","Per=Y","Days=T","Dir=V")</f>
        <v>0</v>
      </c>
      <c r="AO2">
        <f>BDH("NVNO US Equity","CF_FREE_CASH_FLOW","1993-06-18","2026-05-02","Per=Y","Days=T","Dir=V")</f>
        <v>0</v>
      </c>
      <c r="AQ2">
        <f>BDH("NVNO US Equity","PX_LAST","1993-06-18","2026-05-02","Per=M","Days=T","Dir=V")</f>
        <v>0</v>
      </c>
      <c r="AS2">
        <f>BDH("NVNO US Equity","CUR_MKT_CAP","1993-06-18","2026-05-02","Per=M","Days=T","Dir=V")</f>
        <v>0</v>
      </c>
      <c r="AU2">
        <f>BDH("NVNO US Equity","EQY_SH_OUT","1993-06-18","2026-05-02","Per=M","Days=T","Dir=V")</f>
        <v>0</v>
      </c>
      <c r="AW2">
        <f>BDH("NVNO US Equity","PX_VOLUME","1993-06-18","2026-05-02","Per=M","Days=T","Dir=V")</f>
        <v>0</v>
      </c>
      <c r="AY2">
        <f>BDH("NVNO US Equity","TURNOVER","1993-06-18","2026-05-02","Per=M","Days=T","Dir=V")</f>
        <v>0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BDH("NVR US Equity","BS_TOT_ASSET","1993-06-18","2026-05-02","Per=Y","Days=T","Dir=V")</f>
        <v>0</v>
      </c>
      <c r="C2">
        <f>BDH("NVR US Equity","BS_TOT_LIAB2","1993-06-18","2026-05-02","Per=Y","Days=T","Dir=V")</f>
        <v>0</v>
      </c>
      <c r="E2">
        <f>BDH("NVR US Equity","SHORT_AND_LONG_TERM_DEBT","1993-06-18","2026-05-02","Per=Y","Days=T","Dir=V")</f>
        <v>0</v>
      </c>
      <c r="G2">
        <f>BDH("NVR US Equity","BS_ST_BORROW","1993-06-18","2026-05-02","Per=Y","Days=T","Dir=V")</f>
        <v>0</v>
      </c>
      <c r="I2">
        <f>BDH("NVR US Equity","BS_LT_BORROW","1993-06-18","2026-05-02","Per=Y","Days=T","Dir=V")</f>
        <v>0</v>
      </c>
      <c r="K2">
        <f>BDH("NVR US Equity","BS_CASH_NEAR_CASH_ITEM","1993-06-18","2026-05-02","Per=Y","Days=T","Dir=V")</f>
        <v>0</v>
      </c>
      <c r="M2">
        <f>BDH("NVR US Equity","BS_CUR_ASSET_REPORT","1993-06-18","2026-05-02","Per=Y","Days=T","Dir=V")</f>
        <v>0</v>
      </c>
      <c r="O2">
        <f>BDH("NVR US Equity","BS_CUR_LIAB","1993-06-18","2026-05-02","Per=Y","Days=T","Dir=V")</f>
        <v>0</v>
      </c>
      <c r="Q2">
        <f>BDH("NVR US Equity","BS_SHAREHOLDER_EQY_ENDING_PERIOD","1993-06-18","2026-05-02","Per=Y","Days=T","Dir=V")</f>
        <v>0</v>
      </c>
      <c r="S2">
        <f>BDH("NVR US Equity","BS_ACCT_NOTE_RCV","1993-06-18","2026-05-02","Per=Y","Days=T","Dir=V")</f>
        <v>0</v>
      </c>
      <c r="U2">
        <f>BDH("NVR US Equity","BS_INVENTORIES","1993-06-18","2026-05-02","Per=Y","Days=T","Dir=V")</f>
        <v>0</v>
      </c>
      <c r="W2">
        <f>BDH("NVR US Equity","WORKING_CAPITAL","1993-06-18","2026-05-02","Per=Y","Days=T","Dir=V")</f>
        <v>0</v>
      </c>
      <c r="Y2">
        <f>BDH("NVR US Equity","SALES_REV_TURN","1993-06-18","2026-05-02","Per=Y","Days=T","Dir=V")</f>
        <v>0</v>
      </c>
      <c r="AA2">
        <f>BDH("NVR US Equity","EBIT","1993-06-18","2026-05-02","Per=Y","Days=T","Dir=V")</f>
        <v>0</v>
      </c>
      <c r="AC2">
        <f>BDH("NVR US Equity","EBITDA","1993-06-18","2026-05-02","Per=Y","Days=T","Dir=V")</f>
        <v>0</v>
      </c>
      <c r="AE2">
        <f>BDH("NVR US Equity","NET_INCOME","1993-06-18","2026-05-02","Per=Y","Days=T","Dir=V")</f>
        <v>0</v>
      </c>
      <c r="AG2">
        <f>BDH("NVR US Equity","IS_INT_EXPENSE","1993-06-18","2026-05-02","Per=Y","Days=T","Dir=V")</f>
        <v>0</v>
      </c>
      <c r="AI2">
        <f>BDH("NVR US Equity","IS_DEPR_EXP","1993-06-18","2026-05-02","Per=Y","Days=T","Dir=V")</f>
        <v>0</v>
      </c>
      <c r="AK2">
        <f>BDH("NVR US Equity","CF_CASH_FROM_OPER","1993-06-18","2026-05-02","Per=Y","Days=T","Dir=V")</f>
        <v>0</v>
      </c>
      <c r="AM2">
        <f>BDH("NVR US Equity","CAPITAL_EXPEND","1993-06-18","2026-05-02","Per=Y","Days=T","Dir=V")</f>
        <v>0</v>
      </c>
      <c r="AO2">
        <f>BDH("NVR US Equity","CF_FREE_CASH_FLOW","1993-06-18","2026-05-02","Per=Y","Days=T","Dir=V")</f>
        <v>0</v>
      </c>
      <c r="AQ2">
        <f>BDH("NVR US Equity","PX_LAST","1993-06-18","2026-05-02","Per=M","Days=T","Dir=V")</f>
        <v>0</v>
      </c>
      <c r="AS2">
        <f>BDH("NVR US Equity","CUR_MKT_CAP","1993-06-18","2026-05-02","Per=M","Days=T","Dir=V")</f>
        <v>0</v>
      </c>
      <c r="AU2">
        <f>BDH("NVR US Equity","EQY_SH_OUT","1993-06-18","2026-05-02","Per=M","Days=T","Dir=V")</f>
        <v>0</v>
      </c>
      <c r="AW2">
        <f>BDH("NVR US Equity","PX_VOLUME","1993-06-18","2026-05-02","Per=M","Days=T","Dir=V")</f>
        <v>0</v>
      </c>
      <c r="AY2">
        <f>BDH("NVR US Equity","TURNOVER","1993-06-18","2026-05-02","Per=M","Days=T","Dir=V")</f>
        <v>0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BDH("NVST US Equity","BS_TOT_ASSET","1993-06-18","2026-05-02","Per=Y","Days=T","Dir=V")</f>
        <v>0</v>
      </c>
      <c r="C2">
        <f>BDH("NVST US Equity","BS_TOT_LIAB2","1993-06-18","2026-05-02","Per=Y","Days=T","Dir=V")</f>
        <v>0</v>
      </c>
      <c r="E2">
        <f>BDH("NVST US Equity","SHORT_AND_LONG_TERM_DEBT","1993-06-18","2026-05-02","Per=Y","Days=T","Dir=V")</f>
        <v>0</v>
      </c>
      <c r="G2">
        <f>BDH("NVST US Equity","BS_ST_BORROW","1993-06-18","2026-05-02","Per=Y","Days=T","Dir=V")</f>
        <v>0</v>
      </c>
      <c r="I2">
        <f>BDH("NVST US Equity","BS_LT_BORROW","1993-06-18","2026-05-02","Per=Y","Days=T","Dir=V")</f>
        <v>0</v>
      </c>
      <c r="K2">
        <f>BDH("NVST US Equity","BS_CASH_NEAR_CASH_ITEM","1993-06-18","2026-05-02","Per=Y","Days=T","Dir=V")</f>
        <v>0</v>
      </c>
      <c r="M2">
        <f>BDH("NVST US Equity","BS_CUR_ASSET_REPORT","1993-06-18","2026-05-02","Per=Y","Days=T","Dir=V")</f>
        <v>0</v>
      </c>
      <c r="O2">
        <f>BDH("NVST US Equity","BS_CUR_LIAB","1993-06-18","2026-05-02","Per=Y","Days=T","Dir=V")</f>
        <v>0</v>
      </c>
      <c r="Q2">
        <f>BDH("NVST US Equity","BS_SHAREHOLDER_EQY_ENDING_PERIOD","1993-06-18","2026-05-02","Per=Y","Days=T","Dir=V")</f>
        <v>0</v>
      </c>
      <c r="S2">
        <f>BDH("NVST US Equity","BS_ACCT_NOTE_RCV","1993-06-18","2026-05-02","Per=Y","Days=T","Dir=V")</f>
        <v>0</v>
      </c>
      <c r="U2">
        <f>BDH("NVST US Equity","BS_INVENTORIES","1993-06-18","2026-05-02","Per=Y","Days=T","Dir=V")</f>
        <v>0</v>
      </c>
      <c r="W2">
        <f>BDH("NVST US Equity","WORKING_CAPITAL","1993-06-18","2026-05-02","Per=Y","Days=T","Dir=V")</f>
        <v>0</v>
      </c>
      <c r="Y2">
        <f>BDH("NVST US Equity","SALES_REV_TURN","1993-06-18","2026-05-02","Per=Y","Days=T","Dir=V")</f>
        <v>0</v>
      </c>
      <c r="AA2">
        <f>BDH("NVST US Equity","EBIT","1993-06-18","2026-05-02","Per=Y","Days=T","Dir=V")</f>
        <v>0</v>
      </c>
      <c r="AC2">
        <f>BDH("NVST US Equity","EBITDA","1993-06-18","2026-05-02","Per=Y","Days=T","Dir=V")</f>
        <v>0</v>
      </c>
      <c r="AE2">
        <f>BDH("NVST US Equity","NET_INCOME","1993-06-18","2026-05-02","Per=Y","Days=T","Dir=V")</f>
        <v>0</v>
      </c>
      <c r="AG2">
        <f>BDH("NVST US Equity","IS_INT_EXPENSE","1993-06-18","2026-05-02","Per=Y","Days=T","Dir=V")</f>
        <v>0</v>
      </c>
      <c r="AI2">
        <f>BDH("NVST US Equity","IS_DEPR_EXP","1993-06-18","2026-05-02","Per=Y","Days=T","Dir=V")</f>
        <v>0</v>
      </c>
      <c r="AK2">
        <f>BDH("NVST US Equity","CF_CASH_FROM_OPER","1993-06-18","2026-05-02","Per=Y","Days=T","Dir=V")</f>
        <v>0</v>
      </c>
      <c r="AM2">
        <f>BDH("NVST US Equity","CAPITAL_EXPEND","1993-06-18","2026-05-02","Per=Y","Days=T","Dir=V")</f>
        <v>0</v>
      </c>
      <c r="AO2">
        <f>BDH("NVST US Equity","CF_FREE_CASH_FLOW","1993-06-18","2026-05-02","Per=Y","Days=T","Dir=V")</f>
        <v>0</v>
      </c>
      <c r="AQ2">
        <f>BDH("NVST US Equity","PX_LAST","1993-06-18","2026-05-02","Per=M","Days=T","Dir=V")</f>
        <v>0</v>
      </c>
      <c r="AS2">
        <f>BDH("NVST US Equity","CUR_MKT_CAP","1993-06-18","2026-05-02","Per=M","Days=T","Dir=V")</f>
        <v>0</v>
      </c>
      <c r="AU2">
        <f>BDH("NVST US Equity","EQY_SH_OUT","1993-06-18","2026-05-02","Per=M","Days=T","Dir=V")</f>
        <v>0</v>
      </c>
      <c r="AW2">
        <f>BDH("NVST US Equity","PX_VOLUME","1993-06-18","2026-05-02","Per=M","Days=T","Dir=V")</f>
        <v>0</v>
      </c>
      <c r="AY2">
        <f>BDH("NVST US Equity","TURNOVER","1993-06-18","2026-05-02","Per=M","Days=T","Dir=V")</f>
        <v>0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BDH("NVTS US Equity","BS_TOT_ASSET","1993-06-18","2026-05-02","Per=Y","Days=T","Dir=V")</f>
        <v>0</v>
      </c>
      <c r="C2">
        <f>BDH("NVTS US Equity","BS_TOT_LIAB2","1993-06-18","2026-05-02","Per=Y","Days=T","Dir=V")</f>
        <v>0</v>
      </c>
      <c r="E2">
        <f>BDH("NVTS US Equity","SHORT_AND_LONG_TERM_DEBT","1993-06-18","2026-05-02","Per=Y","Days=T","Dir=V")</f>
        <v>0</v>
      </c>
      <c r="G2">
        <f>BDH("NVTS US Equity","BS_ST_BORROW","1993-06-18","2026-05-02","Per=Y","Days=T","Dir=V")</f>
        <v>0</v>
      </c>
      <c r="I2">
        <f>BDH("NVTS US Equity","BS_LT_BORROW","1993-06-18","2026-05-02","Per=Y","Days=T","Dir=V")</f>
        <v>0</v>
      </c>
      <c r="K2">
        <f>BDH("NVTS US Equity","BS_CASH_NEAR_CASH_ITEM","1993-06-18","2026-05-02","Per=Y","Days=T","Dir=V")</f>
        <v>0</v>
      </c>
      <c r="M2">
        <f>BDH("NVTS US Equity","BS_CUR_ASSET_REPORT","1993-06-18","2026-05-02","Per=Y","Days=T","Dir=V")</f>
        <v>0</v>
      </c>
      <c r="O2">
        <f>BDH("NVTS US Equity","BS_CUR_LIAB","1993-06-18","2026-05-02","Per=Y","Days=T","Dir=V")</f>
        <v>0</v>
      </c>
      <c r="Q2">
        <f>BDH("NVTS US Equity","BS_SHAREHOLDER_EQY_ENDING_PERIOD","1993-06-18","2026-05-02","Per=Y","Days=T","Dir=V")</f>
        <v>0</v>
      </c>
      <c r="S2">
        <f>BDH("NVTS US Equity","BS_ACCT_NOTE_RCV","1993-06-18","2026-05-02","Per=Y","Days=T","Dir=V")</f>
        <v>0</v>
      </c>
      <c r="U2">
        <f>BDH("NVTS US Equity","BS_INVENTORIES","1993-06-18","2026-05-02","Per=Y","Days=T","Dir=V")</f>
        <v>0</v>
      </c>
      <c r="W2">
        <f>BDH("NVTS US Equity","WORKING_CAPITAL","1993-06-18","2026-05-02","Per=Y","Days=T","Dir=V")</f>
        <v>0</v>
      </c>
      <c r="Y2">
        <f>BDH("NVTS US Equity","SALES_REV_TURN","1993-06-18","2026-05-02","Per=Y","Days=T","Dir=V")</f>
        <v>0</v>
      </c>
      <c r="AA2">
        <f>BDH("NVTS US Equity","EBIT","1993-06-18","2026-05-02","Per=Y","Days=T","Dir=V")</f>
        <v>0</v>
      </c>
      <c r="AC2">
        <f>BDH("NVTS US Equity","EBITDA","1993-06-18","2026-05-02","Per=Y","Days=T","Dir=V")</f>
        <v>0</v>
      </c>
      <c r="AE2">
        <f>BDH("NVTS US Equity","NET_INCOME","1993-06-18","2026-05-02","Per=Y","Days=T","Dir=V")</f>
        <v>0</v>
      </c>
      <c r="AG2">
        <f>BDH("NVTS US Equity","IS_INT_EXPENSE","1993-06-18","2026-05-02","Per=Y","Days=T","Dir=V")</f>
        <v>0</v>
      </c>
      <c r="AI2">
        <f>BDH("NVTS US Equity","IS_DEPR_EXP","1993-06-18","2026-05-02","Per=Y","Days=T","Dir=V")</f>
        <v>0</v>
      </c>
      <c r="AK2">
        <f>BDH("NVTS US Equity","CF_CASH_FROM_OPER","1993-06-18","2026-05-02","Per=Y","Days=T","Dir=V")</f>
        <v>0</v>
      </c>
      <c r="AM2">
        <f>BDH("NVTS US Equity","CAPITAL_EXPEND","1993-06-18","2026-05-02","Per=Y","Days=T","Dir=V")</f>
        <v>0</v>
      </c>
      <c r="AO2">
        <f>BDH("NVTS US Equity","CF_FREE_CASH_FLOW","1993-06-18","2026-05-02","Per=Y","Days=T","Dir=V")</f>
        <v>0</v>
      </c>
      <c r="AQ2">
        <f>BDH("NVTS US Equity","PX_LAST","1993-06-18","2026-05-02","Per=M","Days=T","Dir=V")</f>
        <v>0</v>
      </c>
      <c r="AS2">
        <f>BDH("NVTS US Equity","CUR_MKT_CAP","1993-06-18","2026-05-02","Per=M","Days=T","Dir=V")</f>
        <v>0</v>
      </c>
      <c r="AU2">
        <f>BDH("NVTS US Equity","EQY_SH_OUT","1993-06-18","2026-05-02","Per=M","Days=T","Dir=V")</f>
        <v>0</v>
      </c>
      <c r="AW2">
        <f>BDH("NVTS US Equity","PX_VOLUME","1993-06-18","2026-05-02","Per=M","Days=T","Dir=V")</f>
        <v>0</v>
      </c>
      <c r="AY2">
        <f>BDH("NVTS US Equity","TURNOVER","1993-06-18","2026-05-02","Per=M","Days=T","Dir=V")</f>
        <v>0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BDH("NWE US Equity","BS_TOT_ASSET","1993-06-18","2026-05-02","Per=Y","Days=T","Dir=V")</f>
        <v>0</v>
      </c>
      <c r="C2">
        <f>BDH("NWE US Equity","BS_TOT_LIAB2","1993-06-18","2026-05-02","Per=Y","Days=T","Dir=V")</f>
        <v>0</v>
      </c>
      <c r="E2">
        <f>BDH("NWE US Equity","SHORT_AND_LONG_TERM_DEBT","1993-06-18","2026-05-02","Per=Y","Days=T","Dir=V")</f>
        <v>0</v>
      </c>
      <c r="G2">
        <f>BDH("NWE US Equity","BS_ST_BORROW","1993-06-18","2026-05-02","Per=Y","Days=T","Dir=V")</f>
        <v>0</v>
      </c>
      <c r="I2">
        <f>BDH("NWE US Equity","BS_LT_BORROW","1993-06-18","2026-05-02","Per=Y","Days=T","Dir=V")</f>
        <v>0</v>
      </c>
      <c r="K2">
        <f>BDH("NWE US Equity","BS_CASH_NEAR_CASH_ITEM","1993-06-18","2026-05-02","Per=Y","Days=T","Dir=V")</f>
        <v>0</v>
      </c>
      <c r="M2">
        <f>BDH("NWE US Equity","BS_CUR_ASSET_REPORT","1993-06-18","2026-05-02","Per=Y","Days=T","Dir=V")</f>
        <v>0</v>
      </c>
      <c r="O2">
        <f>BDH("NWE US Equity","BS_CUR_LIAB","1993-06-18","2026-05-02","Per=Y","Days=T","Dir=V")</f>
        <v>0</v>
      </c>
      <c r="Q2">
        <f>BDH("NWE US Equity","BS_SHAREHOLDER_EQY_ENDING_PERIOD","1993-06-18","2026-05-02","Per=Y","Days=T","Dir=V")</f>
        <v>0</v>
      </c>
      <c r="S2">
        <f>BDH("NWE US Equity","BS_ACCT_NOTE_RCV","1993-06-18","2026-05-02","Per=Y","Days=T","Dir=V")</f>
        <v>0</v>
      </c>
      <c r="U2">
        <f>BDH("NWE US Equity","BS_INVENTORIES","1993-06-18","2026-05-02","Per=Y","Days=T","Dir=V")</f>
        <v>0</v>
      </c>
      <c r="W2">
        <f>BDH("NWE US Equity","WORKING_CAPITAL","1993-06-18","2026-05-02","Per=Y","Days=T","Dir=V")</f>
        <v>0</v>
      </c>
      <c r="Y2">
        <f>BDH("NWE US Equity","SALES_REV_TURN","1993-06-18","2026-05-02","Per=Y","Days=T","Dir=V")</f>
        <v>0</v>
      </c>
      <c r="AA2">
        <f>BDH("NWE US Equity","EBIT","1993-06-18","2026-05-02","Per=Y","Days=T","Dir=V")</f>
        <v>0</v>
      </c>
      <c r="AC2">
        <f>BDH("NWE US Equity","EBITDA","1993-06-18","2026-05-02","Per=Y","Days=T","Dir=V")</f>
        <v>0</v>
      </c>
      <c r="AE2">
        <f>BDH("NWE US Equity","NET_INCOME","1993-06-18","2026-05-02","Per=Y","Days=T","Dir=V")</f>
        <v>0</v>
      </c>
      <c r="AG2">
        <f>BDH("NWE US Equity","IS_INT_EXPENSE","1993-06-18","2026-05-02","Per=Y","Days=T","Dir=V")</f>
        <v>0</v>
      </c>
      <c r="AI2">
        <f>BDH("NWE US Equity","IS_DEPR_EXP","1993-06-18","2026-05-02","Per=Y","Days=T","Dir=V")</f>
        <v>0</v>
      </c>
      <c r="AK2">
        <f>BDH("NWE US Equity","CF_CASH_FROM_OPER","1993-06-18","2026-05-02","Per=Y","Days=T","Dir=V")</f>
        <v>0</v>
      </c>
      <c r="AM2">
        <f>BDH("NWE US Equity","CAPITAL_EXPEND","1993-06-18","2026-05-02","Per=Y","Days=T","Dir=V")</f>
        <v>0</v>
      </c>
      <c r="AO2">
        <f>BDH("NWE US Equity","CF_FREE_CASH_FLOW","1993-06-18","2026-05-02","Per=Y","Days=T","Dir=V")</f>
        <v>0</v>
      </c>
      <c r="AQ2">
        <f>BDH("NWE US Equity","PX_LAST","1993-06-18","2026-05-02","Per=M","Days=T","Dir=V")</f>
        <v>0</v>
      </c>
      <c r="AS2">
        <f>BDH("NWE US Equity","CUR_MKT_CAP","1993-06-18","2026-05-02","Per=M","Days=T","Dir=V")</f>
        <v>0</v>
      </c>
      <c r="AU2">
        <f>BDH("NWE US Equity","EQY_SH_OUT","1993-06-18","2026-05-02","Per=M","Days=T","Dir=V")</f>
        <v>0</v>
      </c>
      <c r="AW2">
        <f>BDH("NWE US Equity","PX_VOLUME","1993-06-18","2026-05-02","Per=M","Days=T","Dir=V")</f>
        <v>0</v>
      </c>
      <c r="AY2">
        <f>BDH("NWE US Equity","TURNOVER","1993-06-18","2026-05-02","Per=M","Days=T","Dir=V")</f>
        <v>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BDH("NWL US Equity","BS_TOT_ASSET","1993-06-18","2026-05-02","Per=Y","Days=T","Dir=V")</f>
        <v>0</v>
      </c>
      <c r="C2">
        <f>BDH("NWL US Equity","BS_TOT_LIAB2","1993-06-18","2026-05-02","Per=Y","Days=T","Dir=V")</f>
        <v>0</v>
      </c>
      <c r="E2">
        <f>BDH("NWL US Equity","SHORT_AND_LONG_TERM_DEBT","1993-06-18","2026-05-02","Per=Y","Days=T","Dir=V")</f>
        <v>0</v>
      </c>
      <c r="G2">
        <f>BDH("NWL US Equity","BS_ST_BORROW","1993-06-18","2026-05-02","Per=Y","Days=T","Dir=V")</f>
        <v>0</v>
      </c>
      <c r="I2">
        <f>BDH("NWL US Equity","BS_LT_BORROW","1993-06-18","2026-05-02","Per=Y","Days=T","Dir=V")</f>
        <v>0</v>
      </c>
      <c r="K2">
        <f>BDH("NWL US Equity","BS_CASH_NEAR_CASH_ITEM","1993-06-18","2026-05-02","Per=Y","Days=T","Dir=V")</f>
        <v>0</v>
      </c>
      <c r="M2">
        <f>BDH("NWL US Equity","BS_CUR_ASSET_REPORT","1993-06-18","2026-05-02","Per=Y","Days=T","Dir=V")</f>
        <v>0</v>
      </c>
      <c r="O2">
        <f>BDH("NWL US Equity","BS_CUR_LIAB","1993-06-18","2026-05-02","Per=Y","Days=T","Dir=V")</f>
        <v>0</v>
      </c>
      <c r="Q2">
        <f>BDH("NWL US Equity","BS_SHAREHOLDER_EQY_ENDING_PERIOD","1993-06-18","2026-05-02","Per=Y","Days=T","Dir=V")</f>
        <v>0</v>
      </c>
      <c r="S2">
        <f>BDH("NWL US Equity","BS_ACCT_NOTE_RCV","1993-06-18","2026-05-02","Per=Y","Days=T","Dir=V")</f>
        <v>0</v>
      </c>
      <c r="U2">
        <f>BDH("NWL US Equity","BS_INVENTORIES","1993-06-18","2026-05-02","Per=Y","Days=T","Dir=V")</f>
        <v>0</v>
      </c>
      <c r="W2">
        <f>BDH("NWL US Equity","WORKING_CAPITAL","1993-06-18","2026-05-02","Per=Y","Days=T","Dir=V")</f>
        <v>0</v>
      </c>
      <c r="Y2">
        <f>BDH("NWL US Equity","SALES_REV_TURN","1993-06-18","2026-05-02","Per=Y","Days=T","Dir=V")</f>
        <v>0</v>
      </c>
      <c r="AA2">
        <f>BDH("NWL US Equity","EBIT","1993-06-18","2026-05-02","Per=Y","Days=T","Dir=V")</f>
        <v>0</v>
      </c>
      <c r="AC2">
        <f>BDH("NWL US Equity","EBITDA","1993-06-18","2026-05-02","Per=Y","Days=T","Dir=V")</f>
        <v>0</v>
      </c>
      <c r="AE2">
        <f>BDH("NWL US Equity","NET_INCOME","1993-06-18","2026-05-02","Per=Y","Days=T","Dir=V")</f>
        <v>0</v>
      </c>
      <c r="AG2">
        <f>BDH("NWL US Equity","IS_INT_EXPENSE","1993-06-18","2026-05-02","Per=Y","Days=T","Dir=V")</f>
        <v>0</v>
      </c>
      <c r="AI2">
        <f>BDH("NWL US Equity","IS_DEPR_EXP","1993-06-18","2026-05-02","Per=Y","Days=T","Dir=V")</f>
        <v>0</v>
      </c>
      <c r="AK2">
        <f>BDH("NWL US Equity","CF_CASH_FROM_OPER","1993-06-18","2026-05-02","Per=Y","Days=T","Dir=V")</f>
        <v>0</v>
      </c>
      <c r="AM2">
        <f>BDH("NWL US Equity","CAPITAL_EXPEND","1993-06-18","2026-05-02","Per=Y","Days=T","Dir=V")</f>
        <v>0</v>
      </c>
      <c r="AO2">
        <f>BDH("NWL US Equity","CF_FREE_CASH_FLOW","1993-06-18","2026-05-02","Per=Y","Days=T","Dir=V")</f>
        <v>0</v>
      </c>
      <c r="AQ2">
        <f>BDH("NWL US Equity","PX_LAST","1993-06-18","2026-05-02","Per=M","Days=T","Dir=V")</f>
        <v>0</v>
      </c>
      <c r="AS2">
        <f>BDH("NWL US Equity","CUR_MKT_CAP","1993-06-18","2026-05-02","Per=M","Days=T","Dir=V")</f>
        <v>0</v>
      </c>
      <c r="AU2">
        <f>BDH("NWL US Equity","EQY_SH_OUT","1993-06-18","2026-05-02","Per=M","Days=T","Dir=V")</f>
        <v>0</v>
      </c>
      <c r="AW2">
        <f>BDH("NWL US Equity","PX_VOLUME","1993-06-18","2026-05-02","Per=M","Days=T","Dir=V")</f>
        <v>0</v>
      </c>
      <c r="AY2">
        <f>BDH("NWL US Equity","TURNOVER","1993-06-18","2026-05-02","Per=M","Days=T","Dir=V")</f>
        <v>0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BDH("NWN US Equity","BS_TOT_ASSET","1993-06-18","2026-05-02","Per=Y","Days=T","Dir=V")</f>
        <v>0</v>
      </c>
      <c r="C2">
        <f>BDH("NWN US Equity","BS_TOT_LIAB2","1993-06-18","2026-05-02","Per=Y","Days=T","Dir=V")</f>
        <v>0</v>
      </c>
      <c r="E2">
        <f>BDH("NWN US Equity","SHORT_AND_LONG_TERM_DEBT","1993-06-18","2026-05-02","Per=Y","Days=T","Dir=V")</f>
        <v>0</v>
      </c>
      <c r="G2">
        <f>BDH("NWN US Equity","BS_ST_BORROW","1993-06-18","2026-05-02","Per=Y","Days=T","Dir=V")</f>
        <v>0</v>
      </c>
      <c r="I2">
        <f>BDH("NWN US Equity","BS_LT_BORROW","1993-06-18","2026-05-02","Per=Y","Days=T","Dir=V")</f>
        <v>0</v>
      </c>
      <c r="K2">
        <f>BDH("NWN US Equity","BS_CASH_NEAR_CASH_ITEM","1993-06-18","2026-05-02","Per=Y","Days=T","Dir=V")</f>
        <v>0</v>
      </c>
      <c r="M2">
        <f>BDH("NWN US Equity","BS_CUR_ASSET_REPORT","1993-06-18","2026-05-02","Per=Y","Days=T","Dir=V")</f>
        <v>0</v>
      </c>
      <c r="O2">
        <f>BDH("NWN US Equity","BS_CUR_LIAB","1993-06-18","2026-05-02","Per=Y","Days=T","Dir=V")</f>
        <v>0</v>
      </c>
      <c r="Q2">
        <f>BDH("NWN US Equity","BS_SHAREHOLDER_EQY_ENDING_PERIOD","1993-06-18","2026-05-02","Per=Y","Days=T","Dir=V")</f>
        <v>0</v>
      </c>
      <c r="S2">
        <f>BDH("NWN US Equity","BS_ACCT_NOTE_RCV","1993-06-18","2026-05-02","Per=Y","Days=T","Dir=V")</f>
        <v>0</v>
      </c>
      <c r="U2">
        <f>BDH("NWN US Equity","BS_INVENTORIES","1993-06-18","2026-05-02","Per=Y","Days=T","Dir=V")</f>
        <v>0</v>
      </c>
      <c r="W2">
        <f>BDH("NWN US Equity","WORKING_CAPITAL","1993-06-18","2026-05-02","Per=Y","Days=T","Dir=V")</f>
        <v>0</v>
      </c>
      <c r="Y2">
        <f>BDH("NWN US Equity","SALES_REV_TURN","1993-06-18","2026-05-02","Per=Y","Days=T","Dir=V")</f>
        <v>0</v>
      </c>
      <c r="AA2">
        <f>BDH("NWN US Equity","EBIT","1993-06-18","2026-05-02","Per=Y","Days=T","Dir=V")</f>
        <v>0</v>
      </c>
      <c r="AC2">
        <f>BDH("NWN US Equity","EBITDA","1993-06-18","2026-05-02","Per=Y","Days=T","Dir=V")</f>
        <v>0</v>
      </c>
      <c r="AE2">
        <f>BDH("NWN US Equity","NET_INCOME","1993-06-18","2026-05-02","Per=Y","Days=T","Dir=V")</f>
        <v>0</v>
      </c>
      <c r="AG2">
        <f>BDH("NWN US Equity","IS_INT_EXPENSE","1993-06-18","2026-05-02","Per=Y","Days=T","Dir=V")</f>
        <v>0</v>
      </c>
      <c r="AI2">
        <f>BDH("NWN US Equity","IS_DEPR_EXP","1993-06-18","2026-05-02","Per=Y","Days=T","Dir=V")</f>
        <v>0</v>
      </c>
      <c r="AK2">
        <f>BDH("NWN US Equity","CF_CASH_FROM_OPER","1993-06-18","2026-05-02","Per=Y","Days=T","Dir=V")</f>
        <v>0</v>
      </c>
      <c r="AM2">
        <f>BDH("NWN US Equity","CAPITAL_EXPEND","1993-06-18","2026-05-02","Per=Y","Days=T","Dir=V")</f>
        <v>0</v>
      </c>
      <c r="AO2">
        <f>BDH("NWN US Equity","CF_FREE_CASH_FLOW","1993-06-18","2026-05-02","Per=Y","Days=T","Dir=V")</f>
        <v>0</v>
      </c>
      <c r="AQ2">
        <f>BDH("NWN US Equity","PX_LAST","1993-06-18","2026-05-02","Per=M","Days=T","Dir=V")</f>
        <v>0</v>
      </c>
      <c r="AS2">
        <f>BDH("NWN US Equity","CUR_MKT_CAP","1993-06-18","2026-05-02","Per=M","Days=T","Dir=V")</f>
        <v>0</v>
      </c>
      <c r="AU2">
        <f>BDH("NWN US Equity","EQY_SH_OUT","1993-06-18","2026-05-02","Per=M","Days=T","Dir=V")</f>
        <v>0</v>
      </c>
      <c r="AW2">
        <f>BDH("NWN US Equity","PX_VOLUME","1993-06-18","2026-05-02","Per=M","Days=T","Dir=V")</f>
        <v>0</v>
      </c>
      <c r="AY2">
        <f>BDH("NWN US Equity","TURNOVER","1993-06-18","2026-05-02","Per=M","Days=T","Dir=V")</f>
        <v>0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BDH("NWPX US Equity","BS_TOT_ASSET","1993-06-18","2026-05-02","Per=Y","Days=T","Dir=V")</f>
        <v>0</v>
      </c>
      <c r="C2">
        <f>BDH("NWPX US Equity","BS_TOT_LIAB2","1993-06-18","2026-05-02","Per=Y","Days=T","Dir=V")</f>
        <v>0</v>
      </c>
      <c r="E2">
        <f>BDH("NWPX US Equity","SHORT_AND_LONG_TERM_DEBT","1993-06-18","2026-05-02","Per=Y","Days=T","Dir=V")</f>
        <v>0</v>
      </c>
      <c r="G2">
        <f>BDH("NWPX US Equity","BS_ST_BORROW","1993-06-18","2026-05-02","Per=Y","Days=T","Dir=V")</f>
        <v>0</v>
      </c>
      <c r="I2">
        <f>BDH("NWPX US Equity","BS_LT_BORROW","1993-06-18","2026-05-02","Per=Y","Days=T","Dir=V")</f>
        <v>0</v>
      </c>
      <c r="K2">
        <f>BDH("NWPX US Equity","BS_CASH_NEAR_CASH_ITEM","1993-06-18","2026-05-02","Per=Y","Days=T","Dir=V")</f>
        <v>0</v>
      </c>
      <c r="M2">
        <f>BDH("NWPX US Equity","BS_CUR_ASSET_REPORT","1993-06-18","2026-05-02","Per=Y","Days=T","Dir=V")</f>
        <v>0</v>
      </c>
      <c r="O2">
        <f>BDH("NWPX US Equity","BS_CUR_LIAB","1993-06-18","2026-05-02","Per=Y","Days=T","Dir=V")</f>
        <v>0</v>
      </c>
      <c r="Q2">
        <f>BDH("NWPX US Equity","BS_SHAREHOLDER_EQY_ENDING_PERIOD","1993-06-18","2026-05-02","Per=Y","Days=T","Dir=V")</f>
        <v>0</v>
      </c>
      <c r="S2">
        <f>BDH("NWPX US Equity","BS_ACCT_NOTE_RCV","1993-06-18","2026-05-02","Per=Y","Days=T","Dir=V")</f>
        <v>0</v>
      </c>
      <c r="U2">
        <f>BDH("NWPX US Equity","BS_INVENTORIES","1993-06-18","2026-05-02","Per=Y","Days=T","Dir=V")</f>
        <v>0</v>
      </c>
      <c r="W2">
        <f>BDH("NWPX US Equity","WORKING_CAPITAL","1993-06-18","2026-05-02","Per=Y","Days=T","Dir=V")</f>
        <v>0</v>
      </c>
      <c r="Y2">
        <f>BDH("NWPX US Equity","SALES_REV_TURN","1993-06-18","2026-05-02","Per=Y","Days=T","Dir=V")</f>
        <v>0</v>
      </c>
      <c r="AA2">
        <f>BDH("NWPX US Equity","EBIT","1993-06-18","2026-05-02","Per=Y","Days=T","Dir=V")</f>
        <v>0</v>
      </c>
      <c r="AC2">
        <f>BDH("NWPX US Equity","EBITDA","1993-06-18","2026-05-02","Per=Y","Days=T","Dir=V")</f>
        <v>0</v>
      </c>
      <c r="AE2">
        <f>BDH("NWPX US Equity","NET_INCOME","1993-06-18","2026-05-02","Per=Y","Days=T","Dir=V")</f>
        <v>0</v>
      </c>
      <c r="AG2">
        <f>BDH("NWPX US Equity","IS_INT_EXPENSE","1993-06-18","2026-05-02","Per=Y","Days=T","Dir=V")</f>
        <v>0</v>
      </c>
      <c r="AI2">
        <f>BDH("NWPX US Equity","IS_DEPR_EXP","1993-06-18","2026-05-02","Per=Y","Days=T","Dir=V")</f>
        <v>0</v>
      </c>
      <c r="AK2">
        <f>BDH("NWPX US Equity","CF_CASH_FROM_OPER","1993-06-18","2026-05-02","Per=Y","Days=T","Dir=V")</f>
        <v>0</v>
      </c>
      <c r="AM2">
        <f>BDH("NWPX US Equity","CAPITAL_EXPEND","1993-06-18","2026-05-02","Per=Y","Days=T","Dir=V")</f>
        <v>0</v>
      </c>
      <c r="AO2">
        <f>BDH("NWPX US Equity","CF_FREE_CASH_FLOW","1993-06-18","2026-05-02","Per=Y","Days=T","Dir=V")</f>
        <v>0</v>
      </c>
      <c r="AQ2">
        <f>BDH("NWPX US Equity","PX_LAST","1993-06-18","2026-05-02","Per=M","Days=T","Dir=V")</f>
        <v>0</v>
      </c>
      <c r="AS2">
        <f>BDH("NWPX US Equity","CUR_MKT_CAP","1993-06-18","2026-05-02","Per=M","Days=T","Dir=V")</f>
        <v>0</v>
      </c>
      <c r="AU2">
        <f>BDH("NWPX US Equity","EQY_SH_OUT","1993-06-18","2026-05-02","Per=M","Days=T","Dir=V")</f>
        <v>0</v>
      </c>
      <c r="AW2">
        <f>BDH("NWPX US Equity","PX_VOLUME","1993-06-18","2026-05-02","Per=M","Days=T","Dir=V")</f>
        <v>0</v>
      </c>
      <c r="AY2">
        <f>BDH("NWPX US Equity","TURNOVER","1993-06-18","2026-05-02","Per=M","Days=T","Dir=V")</f>
        <v>0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BDH("NWS US Equity","BS_TOT_ASSET","1993-06-18","2026-05-02","Per=Y","Days=T","Dir=V")</f>
        <v>0</v>
      </c>
      <c r="C2">
        <f>BDH("NWS US Equity","BS_TOT_LIAB2","1993-06-18","2026-05-02","Per=Y","Days=T","Dir=V")</f>
        <v>0</v>
      </c>
      <c r="E2">
        <f>BDH("NWS US Equity","SHORT_AND_LONG_TERM_DEBT","1993-06-18","2026-05-02","Per=Y","Days=T","Dir=V")</f>
        <v>0</v>
      </c>
      <c r="G2">
        <f>BDH("NWS US Equity","BS_ST_BORROW","1993-06-18","2026-05-02","Per=Y","Days=T","Dir=V")</f>
        <v>0</v>
      </c>
      <c r="I2">
        <f>BDH("NWS US Equity","BS_LT_BORROW","1993-06-18","2026-05-02","Per=Y","Days=T","Dir=V")</f>
        <v>0</v>
      </c>
      <c r="K2">
        <f>BDH("NWS US Equity","BS_CASH_NEAR_CASH_ITEM","1993-06-18","2026-05-02","Per=Y","Days=T","Dir=V")</f>
        <v>0</v>
      </c>
      <c r="M2">
        <f>BDH("NWS US Equity","BS_CUR_ASSET_REPORT","1993-06-18","2026-05-02","Per=Y","Days=T","Dir=V")</f>
        <v>0</v>
      </c>
      <c r="O2">
        <f>BDH("NWS US Equity","BS_CUR_LIAB","1993-06-18","2026-05-02","Per=Y","Days=T","Dir=V")</f>
        <v>0</v>
      </c>
      <c r="Q2">
        <f>BDH("NWS US Equity","BS_SHAREHOLDER_EQY_ENDING_PERIOD","1993-06-18","2026-05-02","Per=Y","Days=T","Dir=V")</f>
        <v>0</v>
      </c>
      <c r="S2">
        <f>BDH("NWS US Equity","BS_ACCT_NOTE_RCV","1993-06-18","2026-05-02","Per=Y","Days=T","Dir=V")</f>
        <v>0</v>
      </c>
      <c r="U2">
        <f>BDH("NWS US Equity","BS_INVENTORIES","1993-06-18","2026-05-02","Per=Y","Days=T","Dir=V")</f>
        <v>0</v>
      </c>
      <c r="W2">
        <f>BDH("NWS US Equity","WORKING_CAPITAL","1993-06-18","2026-05-02","Per=Y","Days=T","Dir=V")</f>
        <v>0</v>
      </c>
      <c r="Y2">
        <f>BDH("NWS US Equity","SALES_REV_TURN","1993-06-18","2026-05-02","Per=Y","Days=T","Dir=V")</f>
        <v>0</v>
      </c>
      <c r="AA2">
        <f>BDH("NWS US Equity","EBIT","1993-06-18","2026-05-02","Per=Y","Days=T","Dir=V")</f>
        <v>0</v>
      </c>
      <c r="AC2">
        <f>BDH("NWS US Equity","EBITDA","1993-06-18","2026-05-02","Per=Y","Days=T","Dir=V")</f>
        <v>0</v>
      </c>
      <c r="AE2">
        <f>BDH("NWS US Equity","NET_INCOME","1993-06-18","2026-05-02","Per=Y","Days=T","Dir=V")</f>
        <v>0</v>
      </c>
      <c r="AG2">
        <f>BDH("NWS US Equity","IS_INT_EXPENSE","1993-06-18","2026-05-02","Per=Y","Days=T","Dir=V")</f>
        <v>0</v>
      </c>
      <c r="AI2">
        <f>BDH("NWS US Equity","IS_DEPR_EXP","1993-06-18","2026-05-02","Per=Y","Days=T","Dir=V")</f>
        <v>0</v>
      </c>
      <c r="AK2">
        <f>BDH("NWS US Equity","CF_CASH_FROM_OPER","1993-06-18","2026-05-02","Per=Y","Days=T","Dir=V")</f>
        <v>0</v>
      </c>
      <c r="AM2">
        <f>BDH("NWS US Equity","CAPITAL_EXPEND","1993-06-18","2026-05-02","Per=Y","Days=T","Dir=V")</f>
        <v>0</v>
      </c>
      <c r="AO2">
        <f>BDH("NWS US Equity","CF_FREE_CASH_FLOW","1993-06-18","2026-05-02","Per=Y","Days=T","Dir=V")</f>
        <v>0</v>
      </c>
      <c r="AQ2">
        <f>BDH("NWS US Equity","PX_LAST","1993-06-18","2026-05-02","Per=M","Days=T","Dir=V")</f>
        <v>0</v>
      </c>
      <c r="AS2">
        <f>BDH("NWS US Equity","CUR_MKT_CAP","1993-06-18","2026-05-02","Per=M","Days=T","Dir=V")</f>
        <v>0</v>
      </c>
      <c r="AU2">
        <f>BDH("NWS US Equity","EQY_SH_OUT","1993-06-18","2026-05-02","Per=M","Days=T","Dir=V")</f>
        <v>0</v>
      </c>
      <c r="AW2">
        <f>BDH("NWS US Equity","PX_VOLUME","1993-06-18","2026-05-02","Per=M","Days=T","Dir=V")</f>
        <v>0</v>
      </c>
      <c r="AY2">
        <f>BDH("NWS US Equity","TURNOVER","1993-06-18","2026-05-02","Per=M","Days=T","Dir=V")</f>
        <v>0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BDH("NWSA US Equity","BS_TOT_ASSET","1993-06-18","2026-05-02","Per=Y","Days=T","Dir=V")</f>
        <v>0</v>
      </c>
      <c r="C2">
        <f>BDH("NWSA US Equity","BS_TOT_LIAB2","1993-06-18","2026-05-02","Per=Y","Days=T","Dir=V")</f>
        <v>0</v>
      </c>
      <c r="E2">
        <f>BDH("NWSA US Equity","SHORT_AND_LONG_TERM_DEBT","1993-06-18","2026-05-02","Per=Y","Days=T","Dir=V")</f>
        <v>0</v>
      </c>
      <c r="G2">
        <f>BDH("NWSA US Equity","BS_ST_BORROW","1993-06-18","2026-05-02","Per=Y","Days=T","Dir=V")</f>
        <v>0</v>
      </c>
      <c r="I2">
        <f>BDH("NWSA US Equity","BS_LT_BORROW","1993-06-18","2026-05-02","Per=Y","Days=T","Dir=V")</f>
        <v>0</v>
      </c>
      <c r="K2">
        <f>BDH("NWSA US Equity","BS_CASH_NEAR_CASH_ITEM","1993-06-18","2026-05-02","Per=Y","Days=T","Dir=V")</f>
        <v>0</v>
      </c>
      <c r="M2">
        <f>BDH("NWSA US Equity","BS_CUR_ASSET_REPORT","1993-06-18","2026-05-02","Per=Y","Days=T","Dir=V")</f>
        <v>0</v>
      </c>
      <c r="O2">
        <f>BDH("NWSA US Equity","BS_CUR_LIAB","1993-06-18","2026-05-02","Per=Y","Days=T","Dir=V")</f>
        <v>0</v>
      </c>
      <c r="Q2">
        <f>BDH("NWSA US Equity","BS_SHAREHOLDER_EQY_ENDING_PERIOD","1993-06-18","2026-05-02","Per=Y","Days=T","Dir=V")</f>
        <v>0</v>
      </c>
      <c r="S2">
        <f>BDH("NWSA US Equity","BS_ACCT_NOTE_RCV","1993-06-18","2026-05-02","Per=Y","Days=T","Dir=V")</f>
        <v>0</v>
      </c>
      <c r="U2">
        <f>BDH("NWSA US Equity","BS_INVENTORIES","1993-06-18","2026-05-02","Per=Y","Days=T","Dir=V")</f>
        <v>0</v>
      </c>
      <c r="W2">
        <f>BDH("NWSA US Equity","WORKING_CAPITAL","1993-06-18","2026-05-02","Per=Y","Days=T","Dir=V")</f>
        <v>0</v>
      </c>
      <c r="Y2">
        <f>BDH("NWSA US Equity","SALES_REV_TURN","1993-06-18","2026-05-02","Per=Y","Days=T","Dir=V")</f>
        <v>0</v>
      </c>
      <c r="AA2">
        <f>BDH("NWSA US Equity","EBIT","1993-06-18","2026-05-02","Per=Y","Days=T","Dir=V")</f>
        <v>0</v>
      </c>
      <c r="AC2">
        <f>BDH("NWSA US Equity","EBITDA","1993-06-18","2026-05-02","Per=Y","Days=T","Dir=V")</f>
        <v>0</v>
      </c>
      <c r="AE2">
        <f>BDH("NWSA US Equity","NET_INCOME","1993-06-18","2026-05-02","Per=Y","Days=T","Dir=V")</f>
        <v>0</v>
      </c>
      <c r="AG2">
        <f>BDH("NWSA US Equity","IS_INT_EXPENSE","1993-06-18","2026-05-02","Per=Y","Days=T","Dir=V")</f>
        <v>0</v>
      </c>
      <c r="AI2">
        <f>BDH("NWSA US Equity","IS_DEPR_EXP","1993-06-18","2026-05-02","Per=Y","Days=T","Dir=V")</f>
        <v>0</v>
      </c>
      <c r="AK2">
        <f>BDH("NWSA US Equity","CF_CASH_FROM_OPER","1993-06-18","2026-05-02","Per=Y","Days=T","Dir=V")</f>
        <v>0</v>
      </c>
      <c r="AM2">
        <f>BDH("NWSA US Equity","CAPITAL_EXPEND","1993-06-18","2026-05-02","Per=Y","Days=T","Dir=V")</f>
        <v>0</v>
      </c>
      <c r="AO2">
        <f>BDH("NWSA US Equity","CF_FREE_CASH_FLOW","1993-06-18","2026-05-02","Per=Y","Days=T","Dir=V")</f>
        <v>0</v>
      </c>
      <c r="AQ2">
        <f>BDH("NWSA US Equity","PX_LAST","1993-06-18","2026-05-02","Per=M","Days=T","Dir=V")</f>
        <v>0</v>
      </c>
      <c r="AS2">
        <f>BDH("NWSA US Equity","CUR_MKT_CAP","1993-06-18","2026-05-02","Per=M","Days=T","Dir=V")</f>
        <v>0</v>
      </c>
      <c r="AU2">
        <f>BDH("NWSA US Equity","EQY_SH_OUT","1993-06-18","2026-05-02","Per=M","Days=T","Dir=V")</f>
        <v>0</v>
      </c>
      <c r="AW2">
        <f>BDH("NWSA US Equity","PX_VOLUME","1993-06-18","2026-05-02","Per=M","Days=T","Dir=V")</f>
        <v>0</v>
      </c>
      <c r="AY2">
        <f>BDH("NWSA US Equity","TURNOVER","1993-06-18","2026-05-02","Per=M","Days=T","Dir=V")</f>
        <v>0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BDH("NWTG US Equity","BS_TOT_ASSET","1993-06-18","2026-05-02","Per=Y","Days=T","Dir=V")</f>
        <v>0</v>
      </c>
      <c r="C2">
        <f>BDH("NWTG US Equity","BS_TOT_LIAB2","1993-06-18","2026-05-02","Per=Y","Days=T","Dir=V")</f>
        <v>0</v>
      </c>
      <c r="E2">
        <f>BDH("NWTG US Equity","SHORT_AND_LONG_TERM_DEBT","1993-06-18","2026-05-02","Per=Y","Days=T","Dir=V")</f>
        <v>0</v>
      </c>
      <c r="G2">
        <f>BDH("NWTG US Equity","BS_ST_BORROW","1993-06-18","2026-05-02","Per=Y","Days=T","Dir=V")</f>
        <v>0</v>
      </c>
      <c r="I2">
        <f>BDH("NWTG US Equity","BS_LT_BORROW","1993-06-18","2026-05-02","Per=Y","Days=T","Dir=V")</f>
        <v>0</v>
      </c>
      <c r="K2">
        <f>BDH("NWTG US Equity","BS_CASH_NEAR_CASH_ITEM","1993-06-18","2026-05-02","Per=Y","Days=T","Dir=V")</f>
        <v>0</v>
      </c>
      <c r="M2">
        <f>BDH("NWTG US Equity","BS_CUR_ASSET_REPORT","1993-06-18","2026-05-02","Per=Y","Days=T","Dir=V")</f>
        <v>0</v>
      </c>
      <c r="O2">
        <f>BDH("NWTG US Equity","BS_CUR_LIAB","1993-06-18","2026-05-02","Per=Y","Days=T","Dir=V")</f>
        <v>0</v>
      </c>
      <c r="Q2">
        <f>BDH("NWTG US Equity","BS_SHAREHOLDER_EQY_ENDING_PERIOD","1993-06-18","2026-05-02","Per=Y","Days=T","Dir=V")</f>
        <v>0</v>
      </c>
      <c r="S2">
        <f>BDH("NWTG US Equity","BS_ACCT_NOTE_RCV","1993-06-18","2026-05-02","Per=Y","Days=T","Dir=V")</f>
        <v>0</v>
      </c>
      <c r="U2">
        <f>BDH("NWTG US Equity","BS_INVENTORIES","1993-06-18","2026-05-02","Per=Y","Days=T","Dir=V")</f>
        <v>0</v>
      </c>
      <c r="W2">
        <f>BDH("NWTG US Equity","WORKING_CAPITAL","1993-06-18","2026-05-02","Per=Y","Days=T","Dir=V")</f>
        <v>0</v>
      </c>
      <c r="Y2">
        <f>BDH("NWTG US Equity","SALES_REV_TURN","1993-06-18","2026-05-02","Per=Y","Days=T","Dir=V")</f>
        <v>0</v>
      </c>
      <c r="AA2">
        <f>BDH("NWTG US Equity","EBIT","1993-06-18","2026-05-02","Per=Y","Days=T","Dir=V")</f>
        <v>0</v>
      </c>
      <c r="AC2">
        <f>BDH("NWTG US Equity","EBITDA","1993-06-18","2026-05-02","Per=Y","Days=T","Dir=V")</f>
        <v>0</v>
      </c>
      <c r="AE2">
        <f>BDH("NWTG US Equity","NET_INCOME","1993-06-18","2026-05-02","Per=Y","Days=T","Dir=V")</f>
        <v>0</v>
      </c>
      <c r="AG2">
        <f>BDH("NWTG US Equity","IS_INT_EXPENSE","1993-06-18","2026-05-02","Per=Y","Days=T","Dir=V")</f>
        <v>0</v>
      </c>
      <c r="AI2">
        <f>BDH("NWTG US Equity","IS_DEPR_EXP","1993-06-18","2026-05-02","Per=Y","Days=T","Dir=V")</f>
        <v>0</v>
      </c>
      <c r="AK2">
        <f>BDH("NWTG US Equity","CF_CASH_FROM_OPER","1993-06-18","2026-05-02","Per=Y","Days=T","Dir=V")</f>
        <v>0</v>
      </c>
      <c r="AM2">
        <f>BDH("NWTG US Equity","CAPITAL_EXPEND","1993-06-18","2026-05-02","Per=Y","Days=T","Dir=V")</f>
        <v>0</v>
      </c>
      <c r="AO2">
        <f>BDH("NWTG US Equity","CF_FREE_CASH_FLOW","1993-06-18","2026-05-02","Per=Y","Days=T","Dir=V")</f>
        <v>0</v>
      </c>
      <c r="AQ2">
        <f>BDH("NWTG US Equity","PX_LAST","1993-06-18","2026-05-02","Per=M","Days=T","Dir=V")</f>
        <v>0</v>
      </c>
      <c r="AS2">
        <f>BDH("NWTG US Equity","CUR_MKT_CAP","1993-06-18","2026-05-02","Per=M","Days=T","Dir=V")</f>
        <v>0</v>
      </c>
      <c r="AU2">
        <f>BDH("NWTG US Equity","EQY_SH_OUT","1993-06-18","2026-05-02","Per=M","Days=T","Dir=V")</f>
        <v>0</v>
      </c>
      <c r="AW2">
        <f>BDH("NWTG US Equity","PX_VOLUME","1993-06-18","2026-05-02","Per=M","Days=T","Dir=V")</f>
        <v>0</v>
      </c>
      <c r="AY2">
        <f>BDH("NWTG US Equity","TURNOVER","1993-06-18","2026-05-02","Per=M","Days=T","Dir=V")</f>
        <v>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BDH("NX US Equity","BS_TOT_ASSET","1993-06-18","2026-05-02","Per=Y","Days=T","Dir=V")</f>
        <v>0</v>
      </c>
      <c r="C2">
        <f>BDH("NX US Equity","BS_TOT_LIAB2","1993-06-18","2026-05-02","Per=Y","Days=T","Dir=V")</f>
        <v>0</v>
      </c>
      <c r="E2">
        <f>BDH("NX US Equity","SHORT_AND_LONG_TERM_DEBT","1993-06-18","2026-05-02","Per=Y","Days=T","Dir=V")</f>
        <v>0</v>
      </c>
      <c r="G2">
        <f>BDH("NX US Equity","BS_ST_BORROW","1993-06-18","2026-05-02","Per=Y","Days=T","Dir=V")</f>
        <v>0</v>
      </c>
      <c r="I2">
        <f>BDH("NX US Equity","BS_LT_BORROW","1993-06-18","2026-05-02","Per=Y","Days=T","Dir=V")</f>
        <v>0</v>
      </c>
      <c r="K2">
        <f>BDH("NX US Equity","BS_CASH_NEAR_CASH_ITEM","1993-06-18","2026-05-02","Per=Y","Days=T","Dir=V")</f>
        <v>0</v>
      </c>
      <c r="M2">
        <f>BDH("NX US Equity","BS_CUR_ASSET_REPORT","1993-06-18","2026-05-02","Per=Y","Days=T","Dir=V")</f>
        <v>0</v>
      </c>
      <c r="O2">
        <f>BDH("NX US Equity","BS_CUR_LIAB","1993-06-18","2026-05-02","Per=Y","Days=T","Dir=V")</f>
        <v>0</v>
      </c>
      <c r="Q2">
        <f>BDH("NX US Equity","BS_SHAREHOLDER_EQY_ENDING_PERIOD","1993-06-18","2026-05-02","Per=Y","Days=T","Dir=V")</f>
        <v>0</v>
      </c>
      <c r="S2">
        <f>BDH("NX US Equity","BS_ACCT_NOTE_RCV","1993-06-18","2026-05-02","Per=Y","Days=T","Dir=V")</f>
        <v>0</v>
      </c>
      <c r="U2">
        <f>BDH("NX US Equity","BS_INVENTORIES","1993-06-18","2026-05-02","Per=Y","Days=T","Dir=V")</f>
        <v>0</v>
      </c>
      <c r="W2">
        <f>BDH("NX US Equity","WORKING_CAPITAL","1993-06-18","2026-05-02","Per=Y","Days=T","Dir=V")</f>
        <v>0</v>
      </c>
      <c r="Y2">
        <f>BDH("NX US Equity","SALES_REV_TURN","1993-06-18","2026-05-02","Per=Y","Days=T","Dir=V")</f>
        <v>0</v>
      </c>
      <c r="AA2">
        <f>BDH("NX US Equity","EBIT","1993-06-18","2026-05-02","Per=Y","Days=T","Dir=V")</f>
        <v>0</v>
      </c>
      <c r="AC2">
        <f>BDH("NX US Equity","EBITDA","1993-06-18","2026-05-02","Per=Y","Days=T","Dir=V")</f>
        <v>0</v>
      </c>
      <c r="AE2">
        <f>BDH("NX US Equity","NET_INCOME","1993-06-18","2026-05-02","Per=Y","Days=T","Dir=V")</f>
        <v>0</v>
      </c>
      <c r="AG2">
        <f>BDH("NX US Equity","IS_INT_EXPENSE","1993-06-18","2026-05-02","Per=Y","Days=T","Dir=V")</f>
        <v>0</v>
      </c>
      <c r="AI2">
        <f>BDH("NX US Equity","IS_DEPR_EXP","1993-06-18","2026-05-02","Per=Y","Days=T","Dir=V")</f>
        <v>0</v>
      </c>
      <c r="AK2">
        <f>BDH("NX US Equity","CF_CASH_FROM_OPER","1993-06-18","2026-05-02","Per=Y","Days=T","Dir=V")</f>
        <v>0</v>
      </c>
      <c r="AM2">
        <f>BDH("NX US Equity","CAPITAL_EXPEND","1993-06-18","2026-05-02","Per=Y","Days=T","Dir=V")</f>
        <v>0</v>
      </c>
      <c r="AO2">
        <f>BDH("NX US Equity","CF_FREE_CASH_FLOW","1993-06-18","2026-05-02","Per=Y","Days=T","Dir=V")</f>
        <v>0</v>
      </c>
      <c r="AQ2">
        <f>BDH("NX US Equity","PX_LAST","1993-06-18","2026-05-02","Per=M","Days=T","Dir=V")</f>
        <v>0</v>
      </c>
      <c r="AS2">
        <f>BDH("NX US Equity","CUR_MKT_CAP","1993-06-18","2026-05-02","Per=M","Days=T","Dir=V")</f>
        <v>0</v>
      </c>
      <c r="AU2">
        <f>BDH("NX US Equity","EQY_SH_OUT","1993-06-18","2026-05-02","Per=M","Days=T","Dir=V")</f>
        <v>0</v>
      </c>
      <c r="AW2">
        <f>BDH("NX US Equity","PX_VOLUME","1993-06-18","2026-05-02","Per=M","Days=T","Dir=V")</f>
        <v>0</v>
      </c>
      <c r="AY2">
        <f>BDH("NX US Equity","TURNOVER","1993-06-18","2026-05-02","Per=M","Days=T","Dir=V")</f>
        <v>0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BDH("NXDR US Equity","BS_TOT_ASSET","1993-06-18","2026-05-02","Per=Y","Days=T","Dir=V")</f>
        <v>0</v>
      </c>
      <c r="C2">
        <f>BDH("NXDR US Equity","BS_TOT_LIAB2","1993-06-18","2026-05-02","Per=Y","Days=T","Dir=V")</f>
        <v>0</v>
      </c>
      <c r="E2">
        <f>BDH("NXDR US Equity","SHORT_AND_LONG_TERM_DEBT","1993-06-18","2026-05-02","Per=Y","Days=T","Dir=V")</f>
        <v>0</v>
      </c>
      <c r="G2">
        <f>BDH("NXDR US Equity","BS_ST_BORROW","1993-06-18","2026-05-02","Per=Y","Days=T","Dir=V")</f>
        <v>0</v>
      </c>
      <c r="I2">
        <f>BDH("NXDR US Equity","BS_LT_BORROW","1993-06-18","2026-05-02","Per=Y","Days=T","Dir=V")</f>
        <v>0</v>
      </c>
      <c r="K2">
        <f>BDH("NXDR US Equity","BS_CASH_NEAR_CASH_ITEM","1993-06-18","2026-05-02","Per=Y","Days=T","Dir=V")</f>
        <v>0</v>
      </c>
      <c r="M2">
        <f>BDH("NXDR US Equity","BS_CUR_ASSET_REPORT","1993-06-18","2026-05-02","Per=Y","Days=T","Dir=V")</f>
        <v>0</v>
      </c>
      <c r="O2">
        <f>BDH("NXDR US Equity","BS_CUR_LIAB","1993-06-18","2026-05-02","Per=Y","Days=T","Dir=V")</f>
        <v>0</v>
      </c>
      <c r="Q2">
        <f>BDH("NXDR US Equity","BS_SHAREHOLDER_EQY_ENDING_PERIOD","1993-06-18","2026-05-02","Per=Y","Days=T","Dir=V")</f>
        <v>0</v>
      </c>
      <c r="S2">
        <f>BDH("NXDR US Equity","BS_ACCT_NOTE_RCV","1993-06-18","2026-05-02","Per=Y","Days=T","Dir=V")</f>
        <v>0</v>
      </c>
      <c r="U2">
        <f>BDH("NXDR US Equity","BS_INVENTORIES","1993-06-18","2026-05-02","Per=Y","Days=T","Dir=V")</f>
        <v>0</v>
      </c>
      <c r="W2">
        <f>BDH("NXDR US Equity","WORKING_CAPITAL","1993-06-18","2026-05-02","Per=Y","Days=T","Dir=V")</f>
        <v>0</v>
      </c>
      <c r="Y2">
        <f>BDH("NXDR US Equity","SALES_REV_TURN","1993-06-18","2026-05-02","Per=Y","Days=T","Dir=V")</f>
        <v>0</v>
      </c>
      <c r="AA2">
        <f>BDH("NXDR US Equity","EBIT","1993-06-18","2026-05-02","Per=Y","Days=T","Dir=V")</f>
        <v>0</v>
      </c>
      <c r="AC2">
        <f>BDH("NXDR US Equity","EBITDA","1993-06-18","2026-05-02","Per=Y","Days=T","Dir=V")</f>
        <v>0</v>
      </c>
      <c r="AE2">
        <f>BDH("NXDR US Equity","NET_INCOME","1993-06-18","2026-05-02","Per=Y","Days=T","Dir=V")</f>
        <v>0</v>
      </c>
      <c r="AG2">
        <f>BDH("NXDR US Equity","IS_INT_EXPENSE","1993-06-18","2026-05-02","Per=Y","Days=T","Dir=V")</f>
        <v>0</v>
      </c>
      <c r="AI2">
        <f>BDH("NXDR US Equity","IS_DEPR_EXP","1993-06-18","2026-05-02","Per=Y","Days=T","Dir=V")</f>
        <v>0</v>
      </c>
      <c r="AK2">
        <f>BDH("NXDR US Equity","CF_CASH_FROM_OPER","1993-06-18","2026-05-02","Per=Y","Days=T","Dir=V")</f>
        <v>0</v>
      </c>
      <c r="AM2">
        <f>BDH("NXDR US Equity","CAPITAL_EXPEND","1993-06-18","2026-05-02","Per=Y","Days=T","Dir=V")</f>
        <v>0</v>
      </c>
      <c r="AO2">
        <f>BDH("NXDR US Equity","CF_FREE_CASH_FLOW","1993-06-18","2026-05-02","Per=Y","Days=T","Dir=V")</f>
        <v>0</v>
      </c>
      <c r="AQ2">
        <f>BDH("NXDR US Equity","PX_LAST","1993-06-18","2026-05-02","Per=M","Days=T","Dir=V")</f>
        <v>0</v>
      </c>
      <c r="AS2">
        <f>BDH("NXDR US Equity","CUR_MKT_CAP","1993-06-18","2026-05-02","Per=M","Days=T","Dir=V")</f>
        <v>0</v>
      </c>
      <c r="AU2">
        <f>BDH("NXDR US Equity","EQY_SH_OUT","1993-06-18","2026-05-02","Per=M","Days=T","Dir=V")</f>
        <v>0</v>
      </c>
      <c r="AW2">
        <f>BDH("NXDR US Equity","PX_VOLUME","1993-06-18","2026-05-02","Per=M","Days=T","Dir=V")</f>
        <v>0</v>
      </c>
      <c r="AY2">
        <f>BDH("NXDR US Equity","TURNOVER","1993-06-18","2026-05-02","Per=M","Days=T","Dir=V")</f>
        <v>0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BDH("NXGL US Equity","BS_TOT_ASSET","1993-06-18","2026-05-02","Per=Y","Days=T","Dir=V")</f>
        <v>0</v>
      </c>
      <c r="C2">
        <f>BDH("NXGL US Equity","BS_TOT_LIAB2","1993-06-18","2026-05-02","Per=Y","Days=T","Dir=V")</f>
        <v>0</v>
      </c>
      <c r="E2">
        <f>BDH("NXGL US Equity","SHORT_AND_LONG_TERM_DEBT","1993-06-18","2026-05-02","Per=Y","Days=T","Dir=V")</f>
        <v>0</v>
      </c>
      <c r="G2">
        <f>BDH("NXGL US Equity","BS_ST_BORROW","1993-06-18","2026-05-02","Per=Y","Days=T","Dir=V")</f>
        <v>0</v>
      </c>
      <c r="I2">
        <f>BDH("NXGL US Equity","BS_LT_BORROW","1993-06-18","2026-05-02","Per=Y","Days=T","Dir=V")</f>
        <v>0</v>
      </c>
      <c r="K2">
        <f>BDH("NXGL US Equity","BS_CASH_NEAR_CASH_ITEM","1993-06-18","2026-05-02","Per=Y","Days=T","Dir=V")</f>
        <v>0</v>
      </c>
      <c r="M2">
        <f>BDH("NXGL US Equity","BS_CUR_ASSET_REPORT","1993-06-18","2026-05-02","Per=Y","Days=T","Dir=V")</f>
        <v>0</v>
      </c>
      <c r="O2">
        <f>BDH("NXGL US Equity","BS_CUR_LIAB","1993-06-18","2026-05-02","Per=Y","Days=T","Dir=V")</f>
        <v>0</v>
      </c>
      <c r="Q2">
        <f>BDH("NXGL US Equity","BS_SHAREHOLDER_EQY_ENDING_PERIOD","1993-06-18","2026-05-02","Per=Y","Days=T","Dir=V")</f>
        <v>0</v>
      </c>
      <c r="S2">
        <f>BDH("NXGL US Equity","BS_ACCT_NOTE_RCV","1993-06-18","2026-05-02","Per=Y","Days=T","Dir=V")</f>
        <v>0</v>
      </c>
      <c r="U2">
        <f>BDH("NXGL US Equity","BS_INVENTORIES","1993-06-18","2026-05-02","Per=Y","Days=T","Dir=V")</f>
        <v>0</v>
      </c>
      <c r="W2">
        <f>BDH("NXGL US Equity","WORKING_CAPITAL","1993-06-18","2026-05-02","Per=Y","Days=T","Dir=V")</f>
        <v>0</v>
      </c>
      <c r="Y2">
        <f>BDH("NXGL US Equity","SALES_REV_TURN","1993-06-18","2026-05-02","Per=Y","Days=T","Dir=V")</f>
        <v>0</v>
      </c>
      <c r="AA2">
        <f>BDH("NXGL US Equity","EBIT","1993-06-18","2026-05-02","Per=Y","Days=T","Dir=V")</f>
        <v>0</v>
      </c>
      <c r="AC2">
        <f>BDH("NXGL US Equity","EBITDA","1993-06-18","2026-05-02","Per=Y","Days=T","Dir=V")</f>
        <v>0</v>
      </c>
      <c r="AE2">
        <f>BDH("NXGL US Equity","NET_INCOME","1993-06-18","2026-05-02","Per=Y","Days=T","Dir=V")</f>
        <v>0</v>
      </c>
      <c r="AG2">
        <f>BDH("NXGL US Equity","IS_INT_EXPENSE","1993-06-18","2026-05-02","Per=Y","Days=T","Dir=V")</f>
        <v>0</v>
      </c>
      <c r="AI2">
        <f>BDH("NXGL US Equity","IS_DEPR_EXP","1993-06-18","2026-05-02","Per=Y","Days=T","Dir=V")</f>
        <v>0</v>
      </c>
      <c r="AK2">
        <f>BDH("NXGL US Equity","CF_CASH_FROM_OPER","1993-06-18","2026-05-02","Per=Y","Days=T","Dir=V")</f>
        <v>0</v>
      </c>
      <c r="AM2">
        <f>BDH("NXGL US Equity","CAPITAL_EXPEND","1993-06-18","2026-05-02","Per=Y","Days=T","Dir=V")</f>
        <v>0</v>
      </c>
      <c r="AO2">
        <f>BDH("NXGL US Equity","CF_FREE_CASH_FLOW","1993-06-18","2026-05-02","Per=Y","Days=T","Dir=V")</f>
        <v>0</v>
      </c>
      <c r="AQ2">
        <f>BDH("NXGL US Equity","PX_LAST","1993-06-18","2026-05-02","Per=M","Days=T","Dir=V")</f>
        <v>0</v>
      </c>
      <c r="AS2">
        <f>BDH("NXGL US Equity","CUR_MKT_CAP","1993-06-18","2026-05-02","Per=M","Days=T","Dir=V")</f>
        <v>0</v>
      </c>
      <c r="AU2">
        <f>BDH("NXGL US Equity","EQY_SH_OUT","1993-06-18","2026-05-02","Per=M","Days=T","Dir=V")</f>
        <v>0</v>
      </c>
      <c r="AW2">
        <f>BDH("NXGL US Equity","PX_VOLUME","1993-06-18","2026-05-02","Per=M","Days=T","Dir=V")</f>
        <v>0</v>
      </c>
      <c r="AY2">
        <f>BDH("NXGL US Equity","TURNOVER","1993-06-18","2026-05-02","Per=M","Days=T","Dir=V")</f>
        <v>0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BDH("NXGLW US Equity","BS_TOT_ASSET","1993-06-18","2026-05-02","Per=Y","Days=T","Dir=V")</f>
        <v>0</v>
      </c>
      <c r="C2">
        <f>BDH("NXGLW US Equity","BS_TOT_LIAB2","1993-06-18","2026-05-02","Per=Y","Days=T","Dir=V")</f>
        <v>0</v>
      </c>
      <c r="E2">
        <f>BDH("NXGLW US Equity","SHORT_AND_LONG_TERM_DEBT","1993-06-18","2026-05-02","Per=Y","Days=T","Dir=V")</f>
        <v>0</v>
      </c>
      <c r="G2">
        <f>BDH("NXGLW US Equity","BS_ST_BORROW","1993-06-18","2026-05-02","Per=Y","Days=T","Dir=V")</f>
        <v>0</v>
      </c>
      <c r="I2">
        <f>BDH("NXGLW US Equity","BS_LT_BORROW","1993-06-18","2026-05-02","Per=Y","Days=T","Dir=V")</f>
        <v>0</v>
      </c>
      <c r="K2">
        <f>BDH("NXGLW US Equity","BS_CASH_NEAR_CASH_ITEM","1993-06-18","2026-05-02","Per=Y","Days=T","Dir=V")</f>
        <v>0</v>
      </c>
      <c r="M2">
        <f>BDH("NXGLW US Equity","BS_CUR_ASSET_REPORT","1993-06-18","2026-05-02","Per=Y","Days=T","Dir=V")</f>
        <v>0</v>
      </c>
      <c r="O2">
        <f>BDH("NXGLW US Equity","BS_CUR_LIAB","1993-06-18","2026-05-02","Per=Y","Days=T","Dir=V")</f>
        <v>0</v>
      </c>
      <c r="Q2">
        <f>BDH("NXGLW US Equity","BS_SHAREHOLDER_EQY_ENDING_PERIOD","1993-06-18","2026-05-02","Per=Y","Days=T","Dir=V")</f>
        <v>0</v>
      </c>
      <c r="S2">
        <f>BDH("NXGLW US Equity","BS_ACCT_NOTE_RCV","1993-06-18","2026-05-02","Per=Y","Days=T","Dir=V")</f>
        <v>0</v>
      </c>
      <c r="U2">
        <f>BDH("NXGLW US Equity","BS_INVENTORIES","1993-06-18","2026-05-02","Per=Y","Days=T","Dir=V")</f>
        <v>0</v>
      </c>
      <c r="W2">
        <f>BDH("NXGLW US Equity","WORKING_CAPITAL","1993-06-18","2026-05-02","Per=Y","Days=T","Dir=V")</f>
        <v>0</v>
      </c>
      <c r="Y2">
        <f>BDH("NXGLW US Equity","SALES_REV_TURN","1993-06-18","2026-05-02","Per=Y","Days=T","Dir=V")</f>
        <v>0</v>
      </c>
      <c r="AA2">
        <f>BDH("NXGLW US Equity","EBIT","1993-06-18","2026-05-02","Per=Y","Days=T","Dir=V")</f>
        <v>0</v>
      </c>
      <c r="AC2">
        <f>BDH("NXGLW US Equity","EBITDA","1993-06-18","2026-05-02","Per=Y","Days=T","Dir=V")</f>
        <v>0</v>
      </c>
      <c r="AE2">
        <f>BDH("NXGLW US Equity","NET_INCOME","1993-06-18","2026-05-02","Per=Y","Days=T","Dir=V")</f>
        <v>0</v>
      </c>
      <c r="AG2">
        <f>BDH("NXGLW US Equity","IS_INT_EXPENSE","1993-06-18","2026-05-02","Per=Y","Days=T","Dir=V")</f>
        <v>0</v>
      </c>
      <c r="AI2">
        <f>BDH("NXGLW US Equity","IS_DEPR_EXP","1993-06-18","2026-05-02","Per=Y","Days=T","Dir=V")</f>
        <v>0</v>
      </c>
      <c r="AK2">
        <f>BDH("NXGLW US Equity","CF_CASH_FROM_OPER","1993-06-18","2026-05-02","Per=Y","Days=T","Dir=V")</f>
        <v>0</v>
      </c>
      <c r="AM2">
        <f>BDH("NXGLW US Equity","CAPITAL_EXPEND","1993-06-18","2026-05-02","Per=Y","Days=T","Dir=V")</f>
        <v>0</v>
      </c>
      <c r="AO2">
        <f>BDH("NXGLW US Equity","CF_FREE_CASH_FLOW","1993-06-18","2026-05-02","Per=Y","Days=T","Dir=V")</f>
        <v>0</v>
      </c>
      <c r="AQ2">
        <f>BDH("NXGLW US Equity","PX_LAST","1993-06-18","2026-05-02","Per=M","Days=T","Dir=V")</f>
        <v>0</v>
      </c>
      <c r="AS2">
        <f>BDH("NXGLW US Equity","CUR_MKT_CAP","1993-06-18","2026-05-02","Per=M","Days=T","Dir=V")</f>
        <v>0</v>
      </c>
      <c r="AU2">
        <f>BDH("NXGLW US Equity","EQY_SH_OUT","1993-06-18","2026-05-02","Per=M","Days=T","Dir=V")</f>
        <v>0</v>
      </c>
      <c r="AW2">
        <f>BDH("NXGLW US Equity","PX_VOLUME","1993-06-18","2026-05-02","Per=M","Days=T","Dir=V")</f>
        <v>0</v>
      </c>
      <c r="AY2">
        <f>BDH("NXGLW US Equity","TURNOVER","1993-06-18","2026-05-02","Per=M","Days=T","Dir=V")</f>
        <v>0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BDH("NXH US Equity","BS_TOT_ASSET","1993-06-18","2026-05-02","Per=Y","Days=T","Dir=V")</f>
        <v>0</v>
      </c>
      <c r="C2">
        <f>BDH("NXH US Equity","BS_TOT_LIAB2","1993-06-18","2026-05-02","Per=Y","Days=T","Dir=V")</f>
        <v>0</v>
      </c>
      <c r="E2">
        <f>BDH("NXH US Equity","SHORT_AND_LONG_TERM_DEBT","1993-06-18","2026-05-02","Per=Y","Days=T","Dir=V")</f>
        <v>0</v>
      </c>
      <c r="G2">
        <f>BDH("NXH US Equity","BS_ST_BORROW","1993-06-18","2026-05-02","Per=Y","Days=T","Dir=V")</f>
        <v>0</v>
      </c>
      <c r="I2">
        <f>BDH("NXH US Equity","BS_LT_BORROW","1993-06-18","2026-05-02","Per=Y","Days=T","Dir=V")</f>
        <v>0</v>
      </c>
      <c r="K2">
        <f>BDH("NXH US Equity","BS_CASH_NEAR_CASH_ITEM","1993-06-18","2026-05-02","Per=Y","Days=T","Dir=V")</f>
        <v>0</v>
      </c>
      <c r="M2">
        <f>BDH("NXH US Equity","BS_CUR_ASSET_REPORT","1993-06-18","2026-05-02","Per=Y","Days=T","Dir=V")</f>
        <v>0</v>
      </c>
      <c r="O2">
        <f>BDH("NXH US Equity","BS_CUR_LIAB","1993-06-18","2026-05-02","Per=Y","Days=T","Dir=V")</f>
        <v>0</v>
      </c>
      <c r="Q2">
        <f>BDH("NXH US Equity","BS_SHAREHOLDER_EQY_ENDING_PERIOD","1993-06-18","2026-05-02","Per=Y","Days=T","Dir=V")</f>
        <v>0</v>
      </c>
      <c r="S2">
        <f>BDH("NXH US Equity","BS_ACCT_NOTE_RCV","1993-06-18","2026-05-02","Per=Y","Days=T","Dir=V")</f>
        <v>0</v>
      </c>
      <c r="U2">
        <f>BDH("NXH US Equity","BS_INVENTORIES","1993-06-18","2026-05-02","Per=Y","Days=T","Dir=V")</f>
        <v>0</v>
      </c>
      <c r="W2">
        <f>BDH("NXH US Equity","WORKING_CAPITAL","1993-06-18","2026-05-02","Per=Y","Days=T","Dir=V")</f>
        <v>0</v>
      </c>
      <c r="Y2">
        <f>BDH("NXH US Equity","SALES_REV_TURN","1993-06-18","2026-05-02","Per=Y","Days=T","Dir=V")</f>
        <v>0</v>
      </c>
      <c r="AA2">
        <f>BDH("NXH US Equity","EBIT","1993-06-18","2026-05-02","Per=Y","Days=T","Dir=V")</f>
        <v>0</v>
      </c>
      <c r="AC2">
        <f>BDH("NXH US Equity","EBITDA","1993-06-18","2026-05-02","Per=Y","Days=T","Dir=V")</f>
        <v>0</v>
      </c>
      <c r="AE2">
        <f>BDH("NXH US Equity","NET_INCOME","1993-06-18","2026-05-02","Per=Y","Days=T","Dir=V")</f>
        <v>0</v>
      </c>
      <c r="AG2">
        <f>BDH("NXH US Equity","IS_INT_EXPENSE","1993-06-18","2026-05-02","Per=Y","Days=T","Dir=V")</f>
        <v>0</v>
      </c>
      <c r="AI2">
        <f>BDH("NXH US Equity","IS_DEPR_EXP","1993-06-18","2026-05-02","Per=Y","Days=T","Dir=V")</f>
        <v>0</v>
      </c>
      <c r="AK2">
        <f>BDH("NXH US Equity","CF_CASH_FROM_OPER","1993-06-18","2026-05-02","Per=Y","Days=T","Dir=V")</f>
        <v>0</v>
      </c>
      <c r="AM2">
        <f>BDH("NXH US Equity","CAPITAL_EXPEND","1993-06-18","2026-05-02","Per=Y","Days=T","Dir=V")</f>
        <v>0</v>
      </c>
      <c r="AO2">
        <f>BDH("NXH US Equity","CF_FREE_CASH_FLOW","1993-06-18","2026-05-02","Per=Y","Days=T","Dir=V")</f>
        <v>0</v>
      </c>
      <c r="AQ2">
        <f>BDH("NXH US Equity","PX_LAST","1993-06-18","2026-05-02","Per=M","Days=T","Dir=V")</f>
        <v>0</v>
      </c>
      <c r="AS2">
        <f>BDH("NXH US Equity","CUR_MKT_CAP","1993-06-18","2026-05-02","Per=M","Days=T","Dir=V")</f>
        <v>0</v>
      </c>
      <c r="AU2">
        <f>BDH("NXH US Equity","EQY_SH_OUT","1993-06-18","2026-05-02","Per=M","Days=T","Dir=V")</f>
        <v>0</v>
      </c>
      <c r="AW2">
        <f>BDH("NXH US Equity","PX_VOLUME","1993-06-18","2026-05-02","Per=M","Days=T","Dir=V")</f>
        <v>0</v>
      </c>
      <c r="AY2">
        <f>BDH("NXH US Equity","TURNOVER","1993-06-18","2026-05-02","Per=M","Days=T","Dir=V")</f>
        <v>0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BDH("NXL US Equity","BS_TOT_ASSET","1993-06-18","2026-05-02","Per=Y","Days=T","Dir=V")</f>
        <v>0</v>
      </c>
      <c r="C2">
        <f>BDH("NXL US Equity","BS_TOT_LIAB2","1993-06-18","2026-05-02","Per=Y","Days=T","Dir=V")</f>
        <v>0</v>
      </c>
      <c r="E2">
        <f>BDH("NXL US Equity","SHORT_AND_LONG_TERM_DEBT","1993-06-18","2026-05-02","Per=Y","Days=T","Dir=V")</f>
        <v>0</v>
      </c>
      <c r="G2">
        <f>BDH("NXL US Equity","BS_ST_BORROW","1993-06-18","2026-05-02","Per=Y","Days=T","Dir=V")</f>
        <v>0</v>
      </c>
      <c r="I2">
        <f>BDH("NXL US Equity","BS_LT_BORROW","1993-06-18","2026-05-02","Per=Y","Days=T","Dir=V")</f>
        <v>0</v>
      </c>
      <c r="K2">
        <f>BDH("NXL US Equity","BS_CASH_NEAR_CASH_ITEM","1993-06-18","2026-05-02","Per=Y","Days=T","Dir=V")</f>
        <v>0</v>
      </c>
      <c r="M2">
        <f>BDH("NXL US Equity","BS_CUR_ASSET_REPORT","1993-06-18","2026-05-02","Per=Y","Days=T","Dir=V")</f>
        <v>0</v>
      </c>
      <c r="O2">
        <f>BDH("NXL US Equity","BS_CUR_LIAB","1993-06-18","2026-05-02","Per=Y","Days=T","Dir=V")</f>
        <v>0</v>
      </c>
      <c r="Q2">
        <f>BDH("NXL US Equity","BS_SHAREHOLDER_EQY_ENDING_PERIOD","1993-06-18","2026-05-02","Per=Y","Days=T","Dir=V")</f>
        <v>0</v>
      </c>
      <c r="S2">
        <f>BDH("NXL US Equity","BS_ACCT_NOTE_RCV","1993-06-18","2026-05-02","Per=Y","Days=T","Dir=V")</f>
        <v>0</v>
      </c>
      <c r="U2">
        <f>BDH("NXL US Equity","BS_INVENTORIES","1993-06-18","2026-05-02","Per=Y","Days=T","Dir=V")</f>
        <v>0</v>
      </c>
      <c r="W2">
        <f>BDH("NXL US Equity","WORKING_CAPITAL","1993-06-18","2026-05-02","Per=Y","Days=T","Dir=V")</f>
        <v>0</v>
      </c>
      <c r="Y2">
        <f>BDH("NXL US Equity","SALES_REV_TURN","1993-06-18","2026-05-02","Per=Y","Days=T","Dir=V")</f>
        <v>0</v>
      </c>
      <c r="AA2">
        <f>BDH("NXL US Equity","EBIT","1993-06-18","2026-05-02","Per=Y","Days=T","Dir=V")</f>
        <v>0</v>
      </c>
      <c r="AC2">
        <f>BDH("NXL US Equity","EBITDA","1993-06-18","2026-05-02","Per=Y","Days=T","Dir=V")</f>
        <v>0</v>
      </c>
      <c r="AE2">
        <f>BDH("NXL US Equity","NET_INCOME","1993-06-18","2026-05-02","Per=Y","Days=T","Dir=V")</f>
        <v>0</v>
      </c>
      <c r="AG2">
        <f>BDH("NXL US Equity","IS_INT_EXPENSE","1993-06-18","2026-05-02","Per=Y","Days=T","Dir=V")</f>
        <v>0</v>
      </c>
      <c r="AI2">
        <f>BDH("NXL US Equity","IS_DEPR_EXP","1993-06-18","2026-05-02","Per=Y","Days=T","Dir=V")</f>
        <v>0</v>
      </c>
      <c r="AK2">
        <f>BDH("NXL US Equity","CF_CASH_FROM_OPER","1993-06-18","2026-05-02","Per=Y","Days=T","Dir=V")</f>
        <v>0</v>
      </c>
      <c r="AM2">
        <f>BDH("NXL US Equity","CAPITAL_EXPEND","1993-06-18","2026-05-02","Per=Y","Days=T","Dir=V")</f>
        <v>0</v>
      </c>
      <c r="AO2">
        <f>BDH("NXL US Equity","CF_FREE_CASH_FLOW","1993-06-18","2026-05-02","Per=Y","Days=T","Dir=V")</f>
        <v>0</v>
      </c>
      <c r="AQ2">
        <f>BDH("NXL US Equity","PX_LAST","1993-06-18","2026-05-02","Per=M","Days=T","Dir=V")</f>
        <v>0</v>
      </c>
      <c r="AS2">
        <f>BDH("NXL US Equity","CUR_MKT_CAP","1993-06-18","2026-05-02","Per=M","Days=T","Dir=V")</f>
        <v>0</v>
      </c>
      <c r="AU2">
        <f>BDH("NXL US Equity","EQY_SH_OUT","1993-06-18","2026-05-02","Per=M","Days=T","Dir=V")</f>
        <v>0</v>
      </c>
      <c r="AW2">
        <f>BDH("NXL US Equity","PX_VOLUME","1993-06-18","2026-05-02","Per=M","Days=T","Dir=V")</f>
        <v>0</v>
      </c>
      <c r="AY2">
        <f>BDH("NXL US Equity","TURNOVER","1993-06-18","2026-05-02","Per=M","Days=T","Dir=V")</f>
        <v>0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BDH("NXPL US Equity","BS_TOT_ASSET","1993-06-18","2026-05-02","Per=Y","Days=T","Dir=V")</f>
        <v>0</v>
      </c>
      <c r="C2">
        <f>BDH("NXPL US Equity","BS_TOT_LIAB2","1993-06-18","2026-05-02","Per=Y","Days=T","Dir=V")</f>
        <v>0</v>
      </c>
      <c r="E2">
        <f>BDH("NXPL US Equity","SHORT_AND_LONG_TERM_DEBT","1993-06-18","2026-05-02","Per=Y","Days=T","Dir=V")</f>
        <v>0</v>
      </c>
      <c r="G2">
        <f>BDH("NXPL US Equity","BS_ST_BORROW","1993-06-18","2026-05-02","Per=Y","Days=T","Dir=V")</f>
        <v>0</v>
      </c>
      <c r="I2">
        <f>BDH("NXPL US Equity","BS_LT_BORROW","1993-06-18","2026-05-02","Per=Y","Days=T","Dir=V")</f>
        <v>0</v>
      </c>
      <c r="K2">
        <f>BDH("NXPL US Equity","BS_CASH_NEAR_CASH_ITEM","1993-06-18","2026-05-02","Per=Y","Days=T","Dir=V")</f>
        <v>0</v>
      </c>
      <c r="M2">
        <f>BDH("NXPL US Equity","BS_CUR_ASSET_REPORT","1993-06-18","2026-05-02","Per=Y","Days=T","Dir=V")</f>
        <v>0</v>
      </c>
      <c r="O2">
        <f>BDH("NXPL US Equity","BS_CUR_LIAB","1993-06-18","2026-05-02","Per=Y","Days=T","Dir=V")</f>
        <v>0</v>
      </c>
      <c r="Q2">
        <f>BDH("NXPL US Equity","BS_SHAREHOLDER_EQY_ENDING_PERIOD","1993-06-18","2026-05-02","Per=Y","Days=T","Dir=V")</f>
        <v>0</v>
      </c>
      <c r="S2">
        <f>BDH("NXPL US Equity","BS_ACCT_NOTE_RCV","1993-06-18","2026-05-02","Per=Y","Days=T","Dir=V")</f>
        <v>0</v>
      </c>
      <c r="U2">
        <f>BDH("NXPL US Equity","BS_INVENTORIES","1993-06-18","2026-05-02","Per=Y","Days=T","Dir=V")</f>
        <v>0</v>
      </c>
      <c r="W2">
        <f>BDH("NXPL US Equity","WORKING_CAPITAL","1993-06-18","2026-05-02","Per=Y","Days=T","Dir=V")</f>
        <v>0</v>
      </c>
      <c r="Y2">
        <f>BDH("NXPL US Equity","SALES_REV_TURN","1993-06-18","2026-05-02","Per=Y","Days=T","Dir=V")</f>
        <v>0</v>
      </c>
      <c r="AA2">
        <f>BDH("NXPL US Equity","EBIT","1993-06-18","2026-05-02","Per=Y","Days=T","Dir=V")</f>
        <v>0</v>
      </c>
      <c r="AC2">
        <f>BDH("NXPL US Equity","EBITDA","1993-06-18","2026-05-02","Per=Y","Days=T","Dir=V")</f>
        <v>0</v>
      </c>
      <c r="AE2">
        <f>BDH("NXPL US Equity","NET_INCOME","1993-06-18","2026-05-02","Per=Y","Days=T","Dir=V")</f>
        <v>0</v>
      </c>
      <c r="AG2">
        <f>BDH("NXPL US Equity","IS_INT_EXPENSE","1993-06-18","2026-05-02","Per=Y","Days=T","Dir=V")</f>
        <v>0</v>
      </c>
      <c r="AI2">
        <f>BDH("NXPL US Equity","IS_DEPR_EXP","1993-06-18","2026-05-02","Per=Y","Days=T","Dir=V")</f>
        <v>0</v>
      </c>
      <c r="AK2">
        <f>BDH("NXPL US Equity","CF_CASH_FROM_OPER","1993-06-18","2026-05-02","Per=Y","Days=T","Dir=V")</f>
        <v>0</v>
      </c>
      <c r="AM2">
        <f>BDH("NXPL US Equity","CAPITAL_EXPEND","1993-06-18","2026-05-02","Per=Y","Days=T","Dir=V")</f>
        <v>0</v>
      </c>
      <c r="AO2">
        <f>BDH("NXPL US Equity","CF_FREE_CASH_FLOW","1993-06-18","2026-05-02","Per=Y","Days=T","Dir=V")</f>
        <v>0</v>
      </c>
      <c r="AQ2">
        <f>BDH("NXPL US Equity","PX_LAST","1993-06-18","2026-05-02","Per=M","Days=T","Dir=V")</f>
        <v>0</v>
      </c>
      <c r="AS2">
        <f>BDH("NXPL US Equity","CUR_MKT_CAP","1993-06-18","2026-05-02","Per=M","Days=T","Dir=V")</f>
        <v>0</v>
      </c>
      <c r="AU2">
        <f>BDH("NXPL US Equity","EQY_SH_OUT","1993-06-18","2026-05-02","Per=M","Days=T","Dir=V")</f>
        <v>0</v>
      </c>
      <c r="AW2">
        <f>BDH("NXPL US Equity","PX_VOLUME","1993-06-18","2026-05-02","Per=M","Days=T","Dir=V")</f>
        <v>0</v>
      </c>
      <c r="AY2">
        <f>BDH("NXPL US Equity","TURNOVER","1993-06-18","2026-05-02","Per=M","Days=T","Dir=V")</f>
        <v>0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BDH("NXST US Equity","BS_TOT_ASSET","1993-06-18","2026-05-02","Per=Y","Days=T","Dir=V")</f>
        <v>0</v>
      </c>
      <c r="C2">
        <f>BDH("NXST US Equity","BS_TOT_LIAB2","1993-06-18","2026-05-02","Per=Y","Days=T","Dir=V")</f>
        <v>0</v>
      </c>
      <c r="E2">
        <f>BDH("NXST US Equity","SHORT_AND_LONG_TERM_DEBT","1993-06-18","2026-05-02","Per=Y","Days=T","Dir=V")</f>
        <v>0</v>
      </c>
      <c r="G2">
        <f>BDH("NXST US Equity","BS_ST_BORROW","1993-06-18","2026-05-02","Per=Y","Days=T","Dir=V")</f>
        <v>0</v>
      </c>
      <c r="I2">
        <f>BDH("NXST US Equity","BS_LT_BORROW","1993-06-18","2026-05-02","Per=Y","Days=T","Dir=V")</f>
        <v>0</v>
      </c>
      <c r="K2">
        <f>BDH("NXST US Equity","BS_CASH_NEAR_CASH_ITEM","1993-06-18","2026-05-02","Per=Y","Days=T","Dir=V")</f>
        <v>0</v>
      </c>
      <c r="M2">
        <f>BDH("NXST US Equity","BS_CUR_ASSET_REPORT","1993-06-18","2026-05-02","Per=Y","Days=T","Dir=V")</f>
        <v>0</v>
      </c>
      <c r="O2">
        <f>BDH("NXST US Equity","BS_CUR_LIAB","1993-06-18","2026-05-02","Per=Y","Days=T","Dir=V")</f>
        <v>0</v>
      </c>
      <c r="Q2">
        <f>BDH("NXST US Equity","BS_SHAREHOLDER_EQY_ENDING_PERIOD","1993-06-18","2026-05-02","Per=Y","Days=T","Dir=V")</f>
        <v>0</v>
      </c>
      <c r="S2">
        <f>BDH("NXST US Equity","BS_ACCT_NOTE_RCV","1993-06-18","2026-05-02","Per=Y","Days=T","Dir=V")</f>
        <v>0</v>
      </c>
      <c r="U2">
        <f>BDH("NXST US Equity","BS_INVENTORIES","1993-06-18","2026-05-02","Per=Y","Days=T","Dir=V")</f>
        <v>0</v>
      </c>
      <c r="W2">
        <f>BDH("NXST US Equity","WORKING_CAPITAL","1993-06-18","2026-05-02","Per=Y","Days=T","Dir=V")</f>
        <v>0</v>
      </c>
      <c r="Y2">
        <f>BDH("NXST US Equity","SALES_REV_TURN","1993-06-18","2026-05-02","Per=Y","Days=T","Dir=V")</f>
        <v>0</v>
      </c>
      <c r="AA2">
        <f>BDH("NXST US Equity","EBIT","1993-06-18","2026-05-02","Per=Y","Days=T","Dir=V")</f>
        <v>0</v>
      </c>
      <c r="AC2">
        <f>BDH("NXST US Equity","EBITDA","1993-06-18","2026-05-02","Per=Y","Days=T","Dir=V")</f>
        <v>0</v>
      </c>
      <c r="AE2">
        <f>BDH("NXST US Equity","NET_INCOME","1993-06-18","2026-05-02","Per=Y","Days=T","Dir=V")</f>
        <v>0</v>
      </c>
      <c r="AG2">
        <f>BDH("NXST US Equity","IS_INT_EXPENSE","1993-06-18","2026-05-02","Per=Y","Days=T","Dir=V")</f>
        <v>0</v>
      </c>
      <c r="AI2">
        <f>BDH("NXST US Equity","IS_DEPR_EXP","1993-06-18","2026-05-02","Per=Y","Days=T","Dir=V")</f>
        <v>0</v>
      </c>
      <c r="AK2">
        <f>BDH("NXST US Equity","CF_CASH_FROM_OPER","1993-06-18","2026-05-02","Per=Y","Days=T","Dir=V")</f>
        <v>0</v>
      </c>
      <c r="AM2">
        <f>BDH("NXST US Equity","CAPITAL_EXPEND","1993-06-18","2026-05-02","Per=Y","Days=T","Dir=V")</f>
        <v>0</v>
      </c>
      <c r="AO2">
        <f>BDH("NXST US Equity","CF_FREE_CASH_FLOW","1993-06-18","2026-05-02","Per=Y","Days=T","Dir=V")</f>
        <v>0</v>
      </c>
      <c r="AQ2">
        <f>BDH("NXST US Equity","PX_LAST","1993-06-18","2026-05-02","Per=M","Days=T","Dir=V")</f>
        <v>0</v>
      </c>
      <c r="AS2">
        <f>BDH("NXST US Equity","CUR_MKT_CAP","1993-06-18","2026-05-02","Per=M","Days=T","Dir=V")</f>
        <v>0</v>
      </c>
      <c r="AU2">
        <f>BDH("NXST US Equity","EQY_SH_OUT","1993-06-18","2026-05-02","Per=M","Days=T","Dir=V")</f>
        <v>0</v>
      </c>
      <c r="AW2">
        <f>BDH("NXST US Equity","PX_VOLUME","1993-06-18","2026-05-02","Per=M","Days=T","Dir=V")</f>
        <v>0</v>
      </c>
      <c r="AY2">
        <f>BDH("NXST US Equity","TURNOVER","1993-06-18","2026-05-02","Per=M","Days=T","Dir=V")</f>
        <v>0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BDH("NXT US Equity","BS_TOT_ASSET","1993-06-18","2026-05-02","Per=Y","Days=T","Dir=V")</f>
        <v>0</v>
      </c>
      <c r="C2">
        <f>BDH("NXT US Equity","BS_TOT_LIAB2","1993-06-18","2026-05-02","Per=Y","Days=T","Dir=V")</f>
        <v>0</v>
      </c>
      <c r="E2">
        <f>BDH("NXT US Equity","SHORT_AND_LONG_TERM_DEBT","1993-06-18","2026-05-02","Per=Y","Days=T","Dir=V")</f>
        <v>0</v>
      </c>
      <c r="G2">
        <f>BDH("NXT US Equity","BS_ST_BORROW","1993-06-18","2026-05-02","Per=Y","Days=T","Dir=V")</f>
        <v>0</v>
      </c>
      <c r="I2">
        <f>BDH("NXT US Equity","BS_LT_BORROW","1993-06-18","2026-05-02","Per=Y","Days=T","Dir=V")</f>
        <v>0</v>
      </c>
      <c r="K2">
        <f>BDH("NXT US Equity","BS_CASH_NEAR_CASH_ITEM","1993-06-18","2026-05-02","Per=Y","Days=T","Dir=V")</f>
        <v>0</v>
      </c>
      <c r="M2">
        <f>BDH("NXT US Equity","BS_CUR_ASSET_REPORT","1993-06-18","2026-05-02","Per=Y","Days=T","Dir=V")</f>
        <v>0</v>
      </c>
      <c r="O2">
        <f>BDH("NXT US Equity","BS_CUR_LIAB","1993-06-18","2026-05-02","Per=Y","Days=T","Dir=V")</f>
        <v>0</v>
      </c>
      <c r="Q2">
        <f>BDH("NXT US Equity","BS_SHAREHOLDER_EQY_ENDING_PERIOD","1993-06-18","2026-05-02","Per=Y","Days=T","Dir=V")</f>
        <v>0</v>
      </c>
      <c r="S2">
        <f>BDH("NXT US Equity","BS_ACCT_NOTE_RCV","1993-06-18","2026-05-02","Per=Y","Days=T","Dir=V")</f>
        <v>0</v>
      </c>
      <c r="U2">
        <f>BDH("NXT US Equity","BS_INVENTORIES","1993-06-18","2026-05-02","Per=Y","Days=T","Dir=V")</f>
        <v>0</v>
      </c>
      <c r="W2">
        <f>BDH("NXT US Equity","WORKING_CAPITAL","1993-06-18","2026-05-02","Per=Y","Days=T","Dir=V")</f>
        <v>0</v>
      </c>
      <c r="Y2">
        <f>BDH("NXT US Equity","SALES_REV_TURN","1993-06-18","2026-05-02","Per=Y","Days=T","Dir=V")</f>
        <v>0</v>
      </c>
      <c r="AA2">
        <f>BDH("NXT US Equity","EBIT","1993-06-18","2026-05-02","Per=Y","Days=T","Dir=V")</f>
        <v>0</v>
      </c>
      <c r="AC2">
        <f>BDH("NXT US Equity","EBITDA","1993-06-18","2026-05-02","Per=Y","Days=T","Dir=V")</f>
        <v>0</v>
      </c>
      <c r="AE2">
        <f>BDH("NXT US Equity","NET_INCOME","1993-06-18","2026-05-02","Per=Y","Days=T","Dir=V")</f>
        <v>0</v>
      </c>
      <c r="AG2">
        <f>BDH("NXT US Equity","IS_INT_EXPENSE","1993-06-18","2026-05-02","Per=Y","Days=T","Dir=V")</f>
        <v>0</v>
      </c>
      <c r="AI2">
        <f>BDH("NXT US Equity","IS_DEPR_EXP","1993-06-18","2026-05-02","Per=Y","Days=T","Dir=V")</f>
        <v>0</v>
      </c>
      <c r="AK2">
        <f>BDH("NXT US Equity","CF_CASH_FROM_OPER","1993-06-18","2026-05-02","Per=Y","Days=T","Dir=V")</f>
        <v>0</v>
      </c>
      <c r="AM2">
        <f>BDH("NXT US Equity","CAPITAL_EXPEND","1993-06-18","2026-05-02","Per=Y","Days=T","Dir=V")</f>
        <v>0</v>
      </c>
      <c r="AO2">
        <f>BDH("NXT US Equity","CF_FREE_CASH_FLOW","1993-06-18","2026-05-02","Per=Y","Days=T","Dir=V")</f>
        <v>0</v>
      </c>
      <c r="AQ2">
        <f>BDH("NXT US Equity","PX_LAST","1993-06-18","2026-05-02","Per=M","Days=T","Dir=V")</f>
        <v>0</v>
      </c>
      <c r="AS2">
        <f>BDH("NXT US Equity","CUR_MKT_CAP","1993-06-18","2026-05-02","Per=M","Days=T","Dir=V")</f>
        <v>0</v>
      </c>
      <c r="AU2">
        <f>BDH("NXT US Equity","EQY_SH_OUT","1993-06-18","2026-05-02","Per=M","Days=T","Dir=V")</f>
        <v>0</v>
      </c>
      <c r="AW2">
        <f>BDH("NXT US Equity","PX_VOLUME","1993-06-18","2026-05-02","Per=M","Days=T","Dir=V")</f>
        <v>0</v>
      </c>
      <c r="AY2">
        <f>BDH("NXT US Equity","TURNOVER","1993-06-18","2026-05-02","Per=M","Days=T","Dir=V")</f>
        <v>0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BDH("NXTC US Equity","BS_TOT_ASSET","1993-06-18","2026-05-02","Per=Y","Days=T","Dir=V")</f>
        <v>0</v>
      </c>
      <c r="C2">
        <f>BDH("NXTC US Equity","BS_TOT_LIAB2","1993-06-18","2026-05-02","Per=Y","Days=T","Dir=V")</f>
        <v>0</v>
      </c>
      <c r="E2">
        <f>BDH("NXTC US Equity","SHORT_AND_LONG_TERM_DEBT","1993-06-18","2026-05-02","Per=Y","Days=T","Dir=V")</f>
        <v>0</v>
      </c>
      <c r="G2">
        <f>BDH("NXTC US Equity","BS_ST_BORROW","1993-06-18","2026-05-02","Per=Y","Days=T","Dir=V")</f>
        <v>0</v>
      </c>
      <c r="I2">
        <f>BDH("NXTC US Equity","BS_LT_BORROW","1993-06-18","2026-05-02","Per=Y","Days=T","Dir=V")</f>
        <v>0</v>
      </c>
      <c r="K2">
        <f>BDH("NXTC US Equity","BS_CASH_NEAR_CASH_ITEM","1993-06-18","2026-05-02","Per=Y","Days=T","Dir=V")</f>
        <v>0</v>
      </c>
      <c r="M2">
        <f>BDH("NXTC US Equity","BS_CUR_ASSET_REPORT","1993-06-18","2026-05-02","Per=Y","Days=T","Dir=V")</f>
        <v>0</v>
      </c>
      <c r="O2">
        <f>BDH("NXTC US Equity","BS_CUR_LIAB","1993-06-18","2026-05-02","Per=Y","Days=T","Dir=V")</f>
        <v>0</v>
      </c>
      <c r="Q2">
        <f>BDH("NXTC US Equity","BS_SHAREHOLDER_EQY_ENDING_PERIOD","1993-06-18","2026-05-02","Per=Y","Days=T","Dir=V")</f>
        <v>0</v>
      </c>
      <c r="S2">
        <f>BDH("NXTC US Equity","BS_ACCT_NOTE_RCV","1993-06-18","2026-05-02","Per=Y","Days=T","Dir=V")</f>
        <v>0</v>
      </c>
      <c r="U2">
        <f>BDH("NXTC US Equity","BS_INVENTORIES","1993-06-18","2026-05-02","Per=Y","Days=T","Dir=V")</f>
        <v>0</v>
      </c>
      <c r="W2">
        <f>BDH("NXTC US Equity","WORKING_CAPITAL","1993-06-18","2026-05-02","Per=Y","Days=T","Dir=V")</f>
        <v>0</v>
      </c>
      <c r="Y2">
        <f>BDH("NXTC US Equity","SALES_REV_TURN","1993-06-18","2026-05-02","Per=Y","Days=T","Dir=V")</f>
        <v>0</v>
      </c>
      <c r="AA2">
        <f>BDH("NXTC US Equity","EBIT","1993-06-18","2026-05-02","Per=Y","Days=T","Dir=V")</f>
        <v>0</v>
      </c>
      <c r="AC2">
        <f>BDH("NXTC US Equity","EBITDA","1993-06-18","2026-05-02","Per=Y","Days=T","Dir=V")</f>
        <v>0</v>
      </c>
      <c r="AE2">
        <f>BDH("NXTC US Equity","NET_INCOME","1993-06-18","2026-05-02","Per=Y","Days=T","Dir=V")</f>
        <v>0</v>
      </c>
      <c r="AG2">
        <f>BDH("NXTC US Equity","IS_INT_EXPENSE","1993-06-18","2026-05-02","Per=Y","Days=T","Dir=V")</f>
        <v>0</v>
      </c>
      <c r="AI2">
        <f>BDH("NXTC US Equity","IS_DEPR_EXP","1993-06-18","2026-05-02","Per=Y","Days=T","Dir=V")</f>
        <v>0</v>
      </c>
      <c r="AK2">
        <f>BDH("NXTC US Equity","CF_CASH_FROM_OPER","1993-06-18","2026-05-02","Per=Y","Days=T","Dir=V")</f>
        <v>0</v>
      </c>
      <c r="AM2">
        <f>BDH("NXTC US Equity","CAPITAL_EXPEND","1993-06-18","2026-05-02","Per=Y","Days=T","Dir=V")</f>
        <v>0</v>
      </c>
      <c r="AO2">
        <f>BDH("NXTC US Equity","CF_FREE_CASH_FLOW","1993-06-18","2026-05-02","Per=Y","Days=T","Dir=V")</f>
        <v>0</v>
      </c>
      <c r="AQ2">
        <f>BDH("NXTC US Equity","PX_LAST","1993-06-18","2026-05-02","Per=M","Days=T","Dir=V")</f>
        <v>0</v>
      </c>
      <c r="AS2">
        <f>BDH("NXTC US Equity","CUR_MKT_CAP","1993-06-18","2026-05-02","Per=M","Days=T","Dir=V")</f>
        <v>0</v>
      </c>
      <c r="AU2">
        <f>BDH("NXTC US Equity","EQY_SH_OUT","1993-06-18","2026-05-02","Per=M","Days=T","Dir=V")</f>
        <v>0</v>
      </c>
      <c r="AW2">
        <f>BDH("NXTC US Equity","PX_VOLUME","1993-06-18","2026-05-02","Per=M","Days=T","Dir=V")</f>
        <v>0</v>
      </c>
      <c r="AY2">
        <f>BDH("NXTC US Equity","TURNOVER","1993-06-18","2026-05-02","Per=M","Days=T","Dir=V")</f>
        <v>0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BDH("NXXT US Equity","BS_TOT_ASSET","1993-06-18","2026-05-02","Per=Y","Days=T","Dir=V")</f>
        <v>0</v>
      </c>
      <c r="C2">
        <f>BDH("NXXT US Equity","BS_TOT_LIAB2","1993-06-18","2026-05-02","Per=Y","Days=T","Dir=V")</f>
        <v>0</v>
      </c>
      <c r="E2">
        <f>BDH("NXXT US Equity","SHORT_AND_LONG_TERM_DEBT","1993-06-18","2026-05-02","Per=Y","Days=T","Dir=V")</f>
        <v>0</v>
      </c>
      <c r="G2">
        <f>BDH("NXXT US Equity","BS_ST_BORROW","1993-06-18","2026-05-02","Per=Y","Days=T","Dir=V")</f>
        <v>0</v>
      </c>
      <c r="I2">
        <f>BDH("NXXT US Equity","BS_LT_BORROW","1993-06-18","2026-05-02","Per=Y","Days=T","Dir=V")</f>
        <v>0</v>
      </c>
      <c r="K2">
        <f>BDH("NXXT US Equity","BS_CASH_NEAR_CASH_ITEM","1993-06-18","2026-05-02","Per=Y","Days=T","Dir=V")</f>
        <v>0</v>
      </c>
      <c r="M2">
        <f>BDH("NXXT US Equity","BS_CUR_ASSET_REPORT","1993-06-18","2026-05-02","Per=Y","Days=T","Dir=V")</f>
        <v>0</v>
      </c>
      <c r="O2">
        <f>BDH("NXXT US Equity","BS_CUR_LIAB","1993-06-18","2026-05-02","Per=Y","Days=T","Dir=V")</f>
        <v>0</v>
      </c>
      <c r="Q2">
        <f>BDH("NXXT US Equity","BS_SHAREHOLDER_EQY_ENDING_PERIOD","1993-06-18","2026-05-02","Per=Y","Days=T","Dir=V")</f>
        <v>0</v>
      </c>
      <c r="S2">
        <f>BDH("NXXT US Equity","BS_ACCT_NOTE_RCV","1993-06-18","2026-05-02","Per=Y","Days=T","Dir=V")</f>
        <v>0</v>
      </c>
      <c r="U2">
        <f>BDH("NXXT US Equity","BS_INVENTORIES","1993-06-18","2026-05-02","Per=Y","Days=T","Dir=V")</f>
        <v>0</v>
      </c>
      <c r="W2">
        <f>BDH("NXXT US Equity","WORKING_CAPITAL","1993-06-18","2026-05-02","Per=Y","Days=T","Dir=V")</f>
        <v>0</v>
      </c>
      <c r="Y2">
        <f>BDH("NXXT US Equity","SALES_REV_TURN","1993-06-18","2026-05-02","Per=Y","Days=T","Dir=V")</f>
        <v>0</v>
      </c>
      <c r="AA2">
        <f>BDH("NXXT US Equity","EBIT","1993-06-18","2026-05-02","Per=Y","Days=T","Dir=V")</f>
        <v>0</v>
      </c>
      <c r="AC2">
        <f>BDH("NXXT US Equity","EBITDA","1993-06-18","2026-05-02","Per=Y","Days=T","Dir=V")</f>
        <v>0</v>
      </c>
      <c r="AE2">
        <f>BDH("NXXT US Equity","NET_INCOME","1993-06-18","2026-05-02","Per=Y","Days=T","Dir=V")</f>
        <v>0</v>
      </c>
      <c r="AG2">
        <f>BDH("NXXT US Equity","IS_INT_EXPENSE","1993-06-18","2026-05-02","Per=Y","Days=T","Dir=V")</f>
        <v>0</v>
      </c>
      <c r="AI2">
        <f>BDH("NXXT US Equity","IS_DEPR_EXP","1993-06-18","2026-05-02","Per=Y","Days=T","Dir=V")</f>
        <v>0</v>
      </c>
      <c r="AK2">
        <f>BDH("NXXT US Equity","CF_CASH_FROM_OPER","1993-06-18","2026-05-02","Per=Y","Days=T","Dir=V")</f>
        <v>0</v>
      </c>
      <c r="AM2">
        <f>BDH("NXXT US Equity","CAPITAL_EXPEND","1993-06-18","2026-05-02","Per=Y","Days=T","Dir=V")</f>
        <v>0</v>
      </c>
      <c r="AO2">
        <f>BDH("NXXT US Equity","CF_FREE_CASH_FLOW","1993-06-18","2026-05-02","Per=Y","Days=T","Dir=V")</f>
        <v>0</v>
      </c>
      <c r="AQ2">
        <f>BDH("NXXT US Equity","PX_LAST","1993-06-18","2026-05-02","Per=M","Days=T","Dir=V")</f>
        <v>0</v>
      </c>
      <c r="AS2">
        <f>BDH("NXXT US Equity","CUR_MKT_CAP","1993-06-18","2026-05-02","Per=M","Days=T","Dir=V")</f>
        <v>0</v>
      </c>
      <c r="AU2">
        <f>BDH("NXXT US Equity","EQY_SH_OUT","1993-06-18","2026-05-02","Per=M","Days=T","Dir=V")</f>
        <v>0</v>
      </c>
      <c r="AW2">
        <f>BDH("NXXT US Equity","PX_VOLUME","1993-06-18","2026-05-02","Per=M","Days=T","Dir=V")</f>
        <v>0</v>
      </c>
      <c r="AY2">
        <f>BDH("NXXT US Equity","TURNOVER","1993-06-18","2026-05-02","Per=M","Days=T","Dir=V")</f>
        <v>0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BDH("NYT US Equity","BS_TOT_ASSET","1993-06-18","2026-05-02","Per=Y","Days=T","Dir=V")</f>
        <v>0</v>
      </c>
      <c r="C2">
        <f>BDH("NYT US Equity","BS_TOT_LIAB2","1993-06-18","2026-05-02","Per=Y","Days=T","Dir=V")</f>
        <v>0</v>
      </c>
      <c r="E2">
        <f>BDH("NYT US Equity","SHORT_AND_LONG_TERM_DEBT","1993-06-18","2026-05-02","Per=Y","Days=T","Dir=V")</f>
        <v>0</v>
      </c>
      <c r="G2">
        <f>BDH("NYT US Equity","BS_ST_BORROW","1993-06-18","2026-05-02","Per=Y","Days=T","Dir=V")</f>
        <v>0</v>
      </c>
      <c r="I2">
        <f>BDH("NYT US Equity","BS_LT_BORROW","1993-06-18","2026-05-02","Per=Y","Days=T","Dir=V")</f>
        <v>0</v>
      </c>
      <c r="K2">
        <f>BDH("NYT US Equity","BS_CASH_NEAR_CASH_ITEM","1993-06-18","2026-05-02","Per=Y","Days=T","Dir=V")</f>
        <v>0</v>
      </c>
      <c r="M2">
        <f>BDH("NYT US Equity","BS_CUR_ASSET_REPORT","1993-06-18","2026-05-02","Per=Y","Days=T","Dir=V")</f>
        <v>0</v>
      </c>
      <c r="O2">
        <f>BDH("NYT US Equity","BS_CUR_LIAB","1993-06-18","2026-05-02","Per=Y","Days=T","Dir=V")</f>
        <v>0</v>
      </c>
      <c r="Q2">
        <f>BDH("NYT US Equity","BS_SHAREHOLDER_EQY_ENDING_PERIOD","1993-06-18","2026-05-02","Per=Y","Days=T","Dir=V")</f>
        <v>0</v>
      </c>
      <c r="S2">
        <f>BDH("NYT US Equity","BS_ACCT_NOTE_RCV","1993-06-18","2026-05-02","Per=Y","Days=T","Dir=V")</f>
        <v>0</v>
      </c>
      <c r="U2">
        <f>BDH("NYT US Equity","BS_INVENTORIES","1993-06-18","2026-05-02","Per=Y","Days=T","Dir=V")</f>
        <v>0</v>
      </c>
      <c r="W2">
        <f>BDH("NYT US Equity","WORKING_CAPITAL","1993-06-18","2026-05-02","Per=Y","Days=T","Dir=V")</f>
        <v>0</v>
      </c>
      <c r="Y2">
        <f>BDH("NYT US Equity","SALES_REV_TURN","1993-06-18","2026-05-02","Per=Y","Days=T","Dir=V")</f>
        <v>0</v>
      </c>
      <c r="AA2">
        <f>BDH("NYT US Equity","EBIT","1993-06-18","2026-05-02","Per=Y","Days=T","Dir=V")</f>
        <v>0</v>
      </c>
      <c r="AC2">
        <f>BDH("NYT US Equity","EBITDA","1993-06-18","2026-05-02","Per=Y","Days=T","Dir=V")</f>
        <v>0</v>
      </c>
      <c r="AE2">
        <f>BDH("NYT US Equity","NET_INCOME","1993-06-18","2026-05-02","Per=Y","Days=T","Dir=V")</f>
        <v>0</v>
      </c>
      <c r="AG2">
        <f>BDH("NYT US Equity","IS_INT_EXPENSE","1993-06-18","2026-05-02","Per=Y","Days=T","Dir=V")</f>
        <v>0</v>
      </c>
      <c r="AI2">
        <f>BDH("NYT US Equity","IS_DEPR_EXP","1993-06-18","2026-05-02","Per=Y","Days=T","Dir=V")</f>
        <v>0</v>
      </c>
      <c r="AK2">
        <f>BDH("NYT US Equity","CF_CASH_FROM_OPER","1993-06-18","2026-05-02","Per=Y","Days=T","Dir=V")</f>
        <v>0</v>
      </c>
      <c r="AM2">
        <f>BDH("NYT US Equity","CAPITAL_EXPEND","1993-06-18","2026-05-02","Per=Y","Days=T","Dir=V")</f>
        <v>0</v>
      </c>
      <c r="AO2">
        <f>BDH("NYT US Equity","CF_FREE_CASH_FLOW","1993-06-18","2026-05-02","Per=Y","Days=T","Dir=V")</f>
        <v>0</v>
      </c>
      <c r="AQ2">
        <f>BDH("NYT US Equity","PX_LAST","1993-06-18","2026-05-02","Per=M","Days=T","Dir=V")</f>
        <v>0</v>
      </c>
      <c r="AS2">
        <f>BDH("NYT US Equity","CUR_MKT_CAP","1993-06-18","2026-05-02","Per=M","Days=T","Dir=V")</f>
        <v>0</v>
      </c>
      <c r="AU2">
        <f>BDH("NYT US Equity","EQY_SH_OUT","1993-06-18","2026-05-02","Per=M","Days=T","Dir=V")</f>
        <v>0</v>
      </c>
      <c r="AW2">
        <f>BDH("NYT US Equity","PX_VOLUME","1993-06-18","2026-05-02","Per=M","Days=T","Dir=V")</f>
        <v>0</v>
      </c>
      <c r="AY2">
        <f>BDH("NYT US Equity","TURNOVER","1993-06-18","2026-05-02","Per=M","Days=T","Dir=V")</f>
        <v>0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BDH("OABI US Equity","BS_TOT_ASSET","1993-06-18","2026-05-02","Per=Y","Days=T","Dir=V")</f>
        <v>0</v>
      </c>
      <c r="C2">
        <f>BDH("OABI US Equity","BS_TOT_LIAB2","1993-06-18","2026-05-02","Per=Y","Days=T","Dir=V")</f>
        <v>0</v>
      </c>
      <c r="E2">
        <f>BDH("OABI US Equity","SHORT_AND_LONG_TERM_DEBT","1993-06-18","2026-05-02","Per=Y","Days=T","Dir=V")</f>
        <v>0</v>
      </c>
      <c r="G2">
        <f>BDH("OABI US Equity","BS_ST_BORROW","1993-06-18","2026-05-02","Per=Y","Days=T","Dir=V")</f>
        <v>0</v>
      </c>
      <c r="I2">
        <f>BDH("OABI US Equity","BS_LT_BORROW","1993-06-18","2026-05-02","Per=Y","Days=T","Dir=V")</f>
        <v>0</v>
      </c>
      <c r="K2">
        <f>BDH("OABI US Equity","BS_CASH_NEAR_CASH_ITEM","1993-06-18","2026-05-02","Per=Y","Days=T","Dir=V")</f>
        <v>0</v>
      </c>
      <c r="M2">
        <f>BDH("OABI US Equity","BS_CUR_ASSET_REPORT","1993-06-18","2026-05-02","Per=Y","Days=T","Dir=V")</f>
        <v>0</v>
      </c>
      <c r="O2">
        <f>BDH("OABI US Equity","BS_CUR_LIAB","1993-06-18","2026-05-02","Per=Y","Days=T","Dir=V")</f>
        <v>0</v>
      </c>
      <c r="Q2">
        <f>BDH("OABI US Equity","BS_SHAREHOLDER_EQY_ENDING_PERIOD","1993-06-18","2026-05-02","Per=Y","Days=T","Dir=V")</f>
        <v>0</v>
      </c>
      <c r="S2">
        <f>BDH("OABI US Equity","BS_ACCT_NOTE_RCV","1993-06-18","2026-05-02","Per=Y","Days=T","Dir=V")</f>
        <v>0</v>
      </c>
      <c r="U2">
        <f>BDH("OABI US Equity","BS_INVENTORIES","1993-06-18","2026-05-02","Per=Y","Days=T","Dir=V")</f>
        <v>0</v>
      </c>
      <c r="W2">
        <f>BDH("OABI US Equity","WORKING_CAPITAL","1993-06-18","2026-05-02","Per=Y","Days=T","Dir=V")</f>
        <v>0</v>
      </c>
      <c r="Y2">
        <f>BDH("OABI US Equity","SALES_REV_TURN","1993-06-18","2026-05-02","Per=Y","Days=T","Dir=V")</f>
        <v>0</v>
      </c>
      <c r="AA2">
        <f>BDH("OABI US Equity","EBIT","1993-06-18","2026-05-02","Per=Y","Days=T","Dir=V")</f>
        <v>0</v>
      </c>
      <c r="AC2">
        <f>BDH("OABI US Equity","EBITDA","1993-06-18","2026-05-02","Per=Y","Days=T","Dir=V")</f>
        <v>0</v>
      </c>
      <c r="AE2">
        <f>BDH("OABI US Equity","NET_INCOME","1993-06-18","2026-05-02","Per=Y","Days=T","Dir=V")</f>
        <v>0</v>
      </c>
      <c r="AG2">
        <f>BDH("OABI US Equity","IS_INT_EXPENSE","1993-06-18","2026-05-02","Per=Y","Days=T","Dir=V")</f>
        <v>0</v>
      </c>
      <c r="AI2">
        <f>BDH("OABI US Equity","IS_DEPR_EXP","1993-06-18","2026-05-02","Per=Y","Days=T","Dir=V")</f>
        <v>0</v>
      </c>
      <c r="AK2">
        <f>BDH("OABI US Equity","CF_CASH_FROM_OPER","1993-06-18","2026-05-02","Per=Y","Days=T","Dir=V")</f>
        <v>0</v>
      </c>
      <c r="AM2">
        <f>BDH("OABI US Equity","CAPITAL_EXPEND","1993-06-18","2026-05-02","Per=Y","Days=T","Dir=V")</f>
        <v>0</v>
      </c>
      <c r="AO2">
        <f>BDH("OABI US Equity","CF_FREE_CASH_FLOW","1993-06-18","2026-05-02","Per=Y","Days=T","Dir=V")</f>
        <v>0</v>
      </c>
      <c r="AQ2">
        <f>BDH("OABI US Equity","PX_LAST","1993-06-18","2026-05-02","Per=M","Days=T","Dir=V")</f>
        <v>0</v>
      </c>
      <c r="AS2">
        <f>BDH("OABI US Equity","CUR_MKT_CAP","1993-06-18","2026-05-02","Per=M","Days=T","Dir=V")</f>
        <v>0</v>
      </c>
      <c r="AU2">
        <f>BDH("OABI US Equity","EQY_SH_OUT","1993-06-18","2026-05-02","Per=M","Days=T","Dir=V")</f>
        <v>0</v>
      </c>
      <c r="AW2">
        <f>BDH("OABI US Equity","PX_VOLUME","1993-06-18","2026-05-02","Per=M","Days=T","Dir=V")</f>
        <v>0</v>
      </c>
      <c r="AY2">
        <f>BDH("OABI US Equity","TURNOVER","1993-06-18","2026-05-02","Per=M","Days=T","Dir=V")</f>
        <v>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BDH("OABIW US Equity","BS_TOT_ASSET","1993-06-18","2026-05-02","Per=Y","Days=T","Dir=V")</f>
        <v>0</v>
      </c>
      <c r="C2">
        <f>BDH("OABIW US Equity","BS_TOT_LIAB2","1993-06-18","2026-05-02","Per=Y","Days=T","Dir=V")</f>
        <v>0</v>
      </c>
      <c r="E2">
        <f>BDH("OABIW US Equity","SHORT_AND_LONG_TERM_DEBT","1993-06-18","2026-05-02","Per=Y","Days=T","Dir=V")</f>
        <v>0</v>
      </c>
      <c r="G2">
        <f>BDH("OABIW US Equity","BS_ST_BORROW","1993-06-18","2026-05-02","Per=Y","Days=T","Dir=V")</f>
        <v>0</v>
      </c>
      <c r="I2">
        <f>BDH("OABIW US Equity","BS_LT_BORROW","1993-06-18","2026-05-02","Per=Y","Days=T","Dir=V")</f>
        <v>0</v>
      </c>
      <c r="K2">
        <f>BDH("OABIW US Equity","BS_CASH_NEAR_CASH_ITEM","1993-06-18","2026-05-02","Per=Y","Days=T","Dir=V")</f>
        <v>0</v>
      </c>
      <c r="M2">
        <f>BDH("OABIW US Equity","BS_CUR_ASSET_REPORT","1993-06-18","2026-05-02","Per=Y","Days=T","Dir=V")</f>
        <v>0</v>
      </c>
      <c r="O2">
        <f>BDH("OABIW US Equity","BS_CUR_LIAB","1993-06-18","2026-05-02","Per=Y","Days=T","Dir=V")</f>
        <v>0</v>
      </c>
      <c r="Q2">
        <f>BDH("OABIW US Equity","BS_SHAREHOLDER_EQY_ENDING_PERIOD","1993-06-18","2026-05-02","Per=Y","Days=T","Dir=V")</f>
        <v>0</v>
      </c>
      <c r="S2">
        <f>BDH("OABIW US Equity","BS_ACCT_NOTE_RCV","1993-06-18","2026-05-02","Per=Y","Days=T","Dir=V")</f>
        <v>0</v>
      </c>
      <c r="U2">
        <f>BDH("OABIW US Equity","BS_INVENTORIES","1993-06-18","2026-05-02","Per=Y","Days=T","Dir=V")</f>
        <v>0</v>
      </c>
      <c r="W2">
        <f>BDH("OABIW US Equity","WORKING_CAPITAL","1993-06-18","2026-05-02","Per=Y","Days=T","Dir=V")</f>
        <v>0</v>
      </c>
      <c r="Y2">
        <f>BDH("OABIW US Equity","SALES_REV_TURN","1993-06-18","2026-05-02","Per=Y","Days=T","Dir=V")</f>
        <v>0</v>
      </c>
      <c r="AA2">
        <f>BDH("OABIW US Equity","EBIT","1993-06-18","2026-05-02","Per=Y","Days=T","Dir=V")</f>
        <v>0</v>
      </c>
      <c r="AC2">
        <f>BDH("OABIW US Equity","EBITDA","1993-06-18","2026-05-02","Per=Y","Days=T","Dir=V")</f>
        <v>0</v>
      </c>
      <c r="AE2">
        <f>BDH("OABIW US Equity","NET_INCOME","1993-06-18","2026-05-02","Per=Y","Days=T","Dir=V")</f>
        <v>0</v>
      </c>
      <c r="AG2">
        <f>BDH("OABIW US Equity","IS_INT_EXPENSE","1993-06-18","2026-05-02","Per=Y","Days=T","Dir=V")</f>
        <v>0</v>
      </c>
      <c r="AI2">
        <f>BDH("OABIW US Equity","IS_DEPR_EXP","1993-06-18","2026-05-02","Per=Y","Days=T","Dir=V")</f>
        <v>0</v>
      </c>
      <c r="AK2">
        <f>BDH("OABIW US Equity","CF_CASH_FROM_OPER","1993-06-18","2026-05-02","Per=Y","Days=T","Dir=V")</f>
        <v>0</v>
      </c>
      <c r="AM2">
        <f>BDH("OABIW US Equity","CAPITAL_EXPEND","1993-06-18","2026-05-02","Per=Y","Days=T","Dir=V")</f>
        <v>0</v>
      </c>
      <c r="AO2">
        <f>BDH("OABIW US Equity","CF_FREE_CASH_FLOW","1993-06-18","2026-05-02","Per=Y","Days=T","Dir=V")</f>
        <v>0</v>
      </c>
      <c r="AQ2">
        <f>BDH("OABIW US Equity","PX_LAST","1993-06-18","2026-05-02","Per=M","Days=T","Dir=V")</f>
        <v>0</v>
      </c>
      <c r="AS2">
        <f>BDH("OABIW US Equity","CUR_MKT_CAP","1993-06-18","2026-05-02","Per=M","Days=T","Dir=V")</f>
        <v>0</v>
      </c>
      <c r="AU2">
        <f>BDH("OABIW US Equity","EQY_SH_OUT","1993-06-18","2026-05-02","Per=M","Days=T","Dir=V")</f>
        <v>0</v>
      </c>
      <c r="AW2">
        <f>BDH("OABIW US Equity","PX_VOLUME","1993-06-18","2026-05-02","Per=M","Days=T","Dir=V")</f>
        <v>0</v>
      </c>
      <c r="AY2">
        <f>BDH("OABIW US Equity","TURNOVER","1993-06-18","2026-05-02","Per=M","Days=T","Dir=V")</f>
        <v>0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BDH("OBAI US Equity","BS_TOT_ASSET","1993-06-18","2026-05-02","Per=Y","Days=T","Dir=V")</f>
        <v>0</v>
      </c>
      <c r="C2">
        <f>BDH("OBAI US Equity","BS_TOT_LIAB2","1993-06-18","2026-05-02","Per=Y","Days=T","Dir=V")</f>
        <v>0</v>
      </c>
      <c r="E2">
        <f>BDH("OBAI US Equity","SHORT_AND_LONG_TERM_DEBT","1993-06-18","2026-05-02","Per=Y","Days=T","Dir=V")</f>
        <v>0</v>
      </c>
      <c r="G2">
        <f>BDH("OBAI US Equity","BS_ST_BORROW","1993-06-18","2026-05-02","Per=Y","Days=T","Dir=V")</f>
        <v>0</v>
      </c>
      <c r="I2">
        <f>BDH("OBAI US Equity","BS_LT_BORROW","1993-06-18","2026-05-02","Per=Y","Days=T","Dir=V")</f>
        <v>0</v>
      </c>
      <c r="K2">
        <f>BDH("OBAI US Equity","BS_CASH_NEAR_CASH_ITEM","1993-06-18","2026-05-02","Per=Y","Days=T","Dir=V")</f>
        <v>0</v>
      </c>
      <c r="M2">
        <f>BDH("OBAI US Equity","BS_CUR_ASSET_REPORT","1993-06-18","2026-05-02","Per=Y","Days=T","Dir=V")</f>
        <v>0</v>
      </c>
      <c r="O2">
        <f>BDH("OBAI US Equity","BS_CUR_LIAB","1993-06-18","2026-05-02","Per=Y","Days=T","Dir=V")</f>
        <v>0</v>
      </c>
      <c r="Q2">
        <f>BDH("OBAI US Equity","BS_SHAREHOLDER_EQY_ENDING_PERIOD","1993-06-18","2026-05-02","Per=Y","Days=T","Dir=V")</f>
        <v>0</v>
      </c>
      <c r="S2">
        <f>BDH("OBAI US Equity","BS_ACCT_NOTE_RCV","1993-06-18","2026-05-02","Per=Y","Days=T","Dir=V")</f>
        <v>0</v>
      </c>
      <c r="U2">
        <f>BDH("OBAI US Equity","BS_INVENTORIES","1993-06-18","2026-05-02","Per=Y","Days=T","Dir=V")</f>
        <v>0</v>
      </c>
      <c r="W2">
        <f>BDH("OBAI US Equity","WORKING_CAPITAL","1993-06-18","2026-05-02","Per=Y","Days=T","Dir=V")</f>
        <v>0</v>
      </c>
      <c r="Y2">
        <f>BDH("OBAI US Equity","SALES_REV_TURN","1993-06-18","2026-05-02","Per=Y","Days=T","Dir=V")</f>
        <v>0</v>
      </c>
      <c r="AA2">
        <f>BDH("OBAI US Equity","EBIT","1993-06-18","2026-05-02","Per=Y","Days=T","Dir=V")</f>
        <v>0</v>
      </c>
      <c r="AC2">
        <f>BDH("OBAI US Equity","EBITDA","1993-06-18","2026-05-02","Per=Y","Days=T","Dir=V")</f>
        <v>0</v>
      </c>
      <c r="AE2">
        <f>BDH("OBAI US Equity","NET_INCOME","1993-06-18","2026-05-02","Per=Y","Days=T","Dir=V")</f>
        <v>0</v>
      </c>
      <c r="AG2">
        <f>BDH("OBAI US Equity","IS_INT_EXPENSE","1993-06-18","2026-05-02","Per=Y","Days=T","Dir=V")</f>
        <v>0</v>
      </c>
      <c r="AI2">
        <f>BDH("OBAI US Equity","IS_DEPR_EXP","1993-06-18","2026-05-02","Per=Y","Days=T","Dir=V")</f>
        <v>0</v>
      </c>
      <c r="AK2">
        <f>BDH("OBAI US Equity","CF_CASH_FROM_OPER","1993-06-18","2026-05-02","Per=Y","Days=T","Dir=V")</f>
        <v>0</v>
      </c>
      <c r="AM2">
        <f>BDH("OBAI US Equity","CAPITAL_EXPEND","1993-06-18","2026-05-02","Per=Y","Days=T","Dir=V")</f>
        <v>0</v>
      </c>
      <c r="AO2">
        <f>BDH("OBAI US Equity","CF_FREE_CASH_FLOW","1993-06-18","2026-05-02","Per=Y","Days=T","Dir=V")</f>
        <v>0</v>
      </c>
      <c r="AQ2">
        <f>BDH("OBAI US Equity","PX_LAST","1993-06-18","2026-05-02","Per=M","Days=T","Dir=V")</f>
        <v>0</v>
      </c>
      <c r="AS2">
        <f>BDH("OBAI US Equity","CUR_MKT_CAP","1993-06-18","2026-05-02","Per=M","Days=T","Dir=V")</f>
        <v>0</v>
      </c>
      <c r="AU2">
        <f>BDH("OBAI US Equity","EQY_SH_OUT","1993-06-18","2026-05-02","Per=M","Days=T","Dir=V")</f>
        <v>0</v>
      </c>
      <c r="AW2">
        <f>BDH("OBAI US Equity","PX_VOLUME","1993-06-18","2026-05-02","Per=M","Days=T","Dir=V")</f>
        <v>0</v>
      </c>
      <c r="AY2">
        <f>BDH("OBAI US Equity","TURNOVER","1993-06-18","2026-05-02","Per=M","Days=T","Dir=V")</f>
        <v>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BDH("OBIO US Equity","BS_TOT_ASSET","1993-06-18","2026-05-02","Per=Y","Days=T","Dir=V")</f>
        <v>0</v>
      </c>
      <c r="C2">
        <f>BDH("OBIO US Equity","BS_TOT_LIAB2","1993-06-18","2026-05-02","Per=Y","Days=T","Dir=V")</f>
        <v>0</v>
      </c>
      <c r="E2">
        <f>BDH("OBIO US Equity","SHORT_AND_LONG_TERM_DEBT","1993-06-18","2026-05-02","Per=Y","Days=T","Dir=V")</f>
        <v>0</v>
      </c>
      <c r="G2">
        <f>BDH("OBIO US Equity","BS_ST_BORROW","1993-06-18","2026-05-02","Per=Y","Days=T","Dir=V")</f>
        <v>0</v>
      </c>
      <c r="I2">
        <f>BDH("OBIO US Equity","BS_LT_BORROW","1993-06-18","2026-05-02","Per=Y","Days=T","Dir=V")</f>
        <v>0</v>
      </c>
      <c r="K2">
        <f>BDH("OBIO US Equity","BS_CASH_NEAR_CASH_ITEM","1993-06-18","2026-05-02","Per=Y","Days=T","Dir=V")</f>
        <v>0</v>
      </c>
      <c r="M2">
        <f>BDH("OBIO US Equity","BS_CUR_ASSET_REPORT","1993-06-18","2026-05-02","Per=Y","Days=T","Dir=V")</f>
        <v>0</v>
      </c>
      <c r="O2">
        <f>BDH("OBIO US Equity","BS_CUR_LIAB","1993-06-18","2026-05-02","Per=Y","Days=T","Dir=V")</f>
        <v>0</v>
      </c>
      <c r="Q2">
        <f>BDH("OBIO US Equity","BS_SHAREHOLDER_EQY_ENDING_PERIOD","1993-06-18","2026-05-02","Per=Y","Days=T","Dir=V")</f>
        <v>0</v>
      </c>
      <c r="S2">
        <f>BDH("OBIO US Equity","BS_ACCT_NOTE_RCV","1993-06-18","2026-05-02","Per=Y","Days=T","Dir=V")</f>
        <v>0</v>
      </c>
      <c r="U2">
        <f>BDH("OBIO US Equity","BS_INVENTORIES","1993-06-18","2026-05-02","Per=Y","Days=T","Dir=V")</f>
        <v>0</v>
      </c>
      <c r="W2">
        <f>BDH("OBIO US Equity","WORKING_CAPITAL","1993-06-18","2026-05-02","Per=Y","Days=T","Dir=V")</f>
        <v>0</v>
      </c>
      <c r="Y2">
        <f>BDH("OBIO US Equity","SALES_REV_TURN","1993-06-18","2026-05-02","Per=Y","Days=T","Dir=V")</f>
        <v>0</v>
      </c>
      <c r="AA2">
        <f>BDH("OBIO US Equity","EBIT","1993-06-18","2026-05-02","Per=Y","Days=T","Dir=V")</f>
        <v>0</v>
      </c>
      <c r="AC2">
        <f>BDH("OBIO US Equity","EBITDA","1993-06-18","2026-05-02","Per=Y","Days=T","Dir=V")</f>
        <v>0</v>
      </c>
      <c r="AE2">
        <f>BDH("OBIO US Equity","NET_INCOME","1993-06-18","2026-05-02","Per=Y","Days=T","Dir=V")</f>
        <v>0</v>
      </c>
      <c r="AG2">
        <f>BDH("OBIO US Equity","IS_INT_EXPENSE","1993-06-18","2026-05-02","Per=Y","Days=T","Dir=V")</f>
        <v>0</v>
      </c>
      <c r="AI2">
        <f>BDH("OBIO US Equity","IS_DEPR_EXP","1993-06-18","2026-05-02","Per=Y","Days=T","Dir=V")</f>
        <v>0</v>
      </c>
      <c r="AK2">
        <f>BDH("OBIO US Equity","CF_CASH_FROM_OPER","1993-06-18","2026-05-02","Per=Y","Days=T","Dir=V")</f>
        <v>0</v>
      </c>
      <c r="AM2">
        <f>BDH("OBIO US Equity","CAPITAL_EXPEND","1993-06-18","2026-05-02","Per=Y","Days=T","Dir=V")</f>
        <v>0</v>
      </c>
      <c r="AO2">
        <f>BDH("OBIO US Equity","CF_FREE_CASH_FLOW","1993-06-18","2026-05-02","Per=Y","Days=T","Dir=V")</f>
        <v>0</v>
      </c>
      <c r="AQ2">
        <f>BDH("OBIO US Equity","PX_LAST","1993-06-18","2026-05-02","Per=M","Days=T","Dir=V")</f>
        <v>0</v>
      </c>
      <c r="AS2">
        <f>BDH("OBIO US Equity","CUR_MKT_CAP","1993-06-18","2026-05-02","Per=M","Days=T","Dir=V")</f>
        <v>0</v>
      </c>
      <c r="AU2">
        <f>BDH("OBIO US Equity","EQY_SH_OUT","1993-06-18","2026-05-02","Per=M","Days=T","Dir=V")</f>
        <v>0</v>
      </c>
      <c r="AW2">
        <f>BDH("OBIO US Equity","PX_VOLUME","1993-06-18","2026-05-02","Per=M","Days=T","Dir=V")</f>
        <v>0</v>
      </c>
      <c r="AY2">
        <f>BDH("OBIO US Equity","TURNOVER","1993-06-18","2026-05-02","Per=M","Days=T","Dir=V")</f>
        <v>0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BDH("OBX US Equity","BS_TOT_ASSET","1993-06-18","2026-05-02","Per=Y","Days=T","Dir=V")</f>
        <v>0</v>
      </c>
      <c r="C2">
        <f>BDH("OBX US Equity","BS_TOT_LIAB2","1993-06-18","2026-05-02","Per=Y","Days=T","Dir=V")</f>
        <v>0</v>
      </c>
      <c r="E2">
        <f>BDH("OBX US Equity","SHORT_AND_LONG_TERM_DEBT","1993-06-18","2026-05-02","Per=Y","Days=T","Dir=V")</f>
        <v>0</v>
      </c>
      <c r="G2">
        <f>BDH("OBX US Equity","BS_ST_BORROW","1993-06-18","2026-05-02","Per=Y","Days=T","Dir=V")</f>
        <v>0</v>
      </c>
      <c r="I2">
        <f>BDH("OBX US Equity","BS_LT_BORROW","1993-06-18","2026-05-02","Per=Y","Days=T","Dir=V")</f>
        <v>0</v>
      </c>
      <c r="K2">
        <f>BDH("OBX US Equity","BS_CASH_NEAR_CASH_ITEM","1993-06-18","2026-05-02","Per=Y","Days=T","Dir=V")</f>
        <v>0</v>
      </c>
      <c r="M2">
        <f>BDH("OBX US Equity","BS_CUR_ASSET_REPORT","1993-06-18","2026-05-02","Per=Y","Days=T","Dir=V")</f>
        <v>0</v>
      </c>
      <c r="O2">
        <f>BDH("OBX US Equity","BS_CUR_LIAB","1993-06-18","2026-05-02","Per=Y","Days=T","Dir=V")</f>
        <v>0</v>
      </c>
      <c r="Q2">
        <f>BDH("OBX US Equity","BS_SHAREHOLDER_EQY_ENDING_PERIOD","1993-06-18","2026-05-02","Per=Y","Days=T","Dir=V")</f>
        <v>0</v>
      </c>
      <c r="S2">
        <f>BDH("OBX US Equity","BS_ACCT_NOTE_RCV","1993-06-18","2026-05-02","Per=Y","Days=T","Dir=V")</f>
        <v>0</v>
      </c>
      <c r="U2">
        <f>BDH("OBX US Equity","BS_INVENTORIES","1993-06-18","2026-05-02","Per=Y","Days=T","Dir=V")</f>
        <v>0</v>
      </c>
      <c r="W2">
        <f>BDH("OBX US Equity","WORKING_CAPITAL","1993-06-18","2026-05-02","Per=Y","Days=T","Dir=V")</f>
        <v>0</v>
      </c>
      <c r="Y2">
        <f>BDH("OBX US Equity","SALES_REV_TURN","1993-06-18","2026-05-02","Per=Y","Days=T","Dir=V")</f>
        <v>0</v>
      </c>
      <c r="AA2">
        <f>BDH("OBX US Equity","EBIT","1993-06-18","2026-05-02","Per=Y","Days=T","Dir=V")</f>
        <v>0</v>
      </c>
      <c r="AC2">
        <f>BDH("OBX US Equity","EBITDA","1993-06-18","2026-05-02","Per=Y","Days=T","Dir=V")</f>
        <v>0</v>
      </c>
      <c r="AE2">
        <f>BDH("OBX US Equity","NET_INCOME","1993-06-18","2026-05-02","Per=Y","Days=T","Dir=V")</f>
        <v>0</v>
      </c>
      <c r="AG2">
        <f>BDH("OBX US Equity","IS_INT_EXPENSE","1993-06-18","2026-05-02","Per=Y","Days=T","Dir=V")</f>
        <v>0</v>
      </c>
      <c r="AI2">
        <f>BDH("OBX US Equity","IS_DEPR_EXP","1993-06-18","2026-05-02","Per=Y","Days=T","Dir=V")</f>
        <v>0</v>
      </c>
      <c r="AK2">
        <f>BDH("OBX US Equity","CF_CASH_FROM_OPER","1993-06-18","2026-05-02","Per=Y","Days=T","Dir=V")</f>
        <v>0</v>
      </c>
      <c r="AM2">
        <f>BDH("OBX US Equity","CAPITAL_EXPEND","1993-06-18","2026-05-02","Per=Y","Days=T","Dir=V")</f>
        <v>0</v>
      </c>
      <c r="AO2">
        <f>BDH("OBX US Equity","CF_FREE_CASH_FLOW","1993-06-18","2026-05-02","Per=Y","Days=T","Dir=V")</f>
        <v>0</v>
      </c>
      <c r="AQ2">
        <f>BDH("OBX US Equity","PX_LAST","1993-06-18","2026-05-02","Per=M","Days=T","Dir=V")</f>
        <v>0</v>
      </c>
      <c r="AS2">
        <f>BDH("OBX US Equity","CUR_MKT_CAP","1993-06-18","2026-05-02","Per=M","Days=T","Dir=V")</f>
        <v>0</v>
      </c>
      <c r="AU2">
        <f>BDH("OBX US Equity","EQY_SH_OUT","1993-06-18","2026-05-02","Per=M","Days=T","Dir=V")</f>
        <v>0</v>
      </c>
      <c r="AW2">
        <f>BDH("OBX US Equity","PX_VOLUME","1993-06-18","2026-05-02","Per=M","Days=T","Dir=V")</f>
        <v>0</v>
      </c>
      <c r="AY2">
        <f>BDH("OBX US Equity","TURNOVER","1993-06-18","2026-05-02","Per=M","Days=T","Dir=V")</f>
        <v>0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BDH("OC US Equity","BS_TOT_ASSET","1993-06-18","2026-05-02","Per=Y","Days=T","Dir=V")</f>
        <v>0</v>
      </c>
      <c r="C2">
        <f>BDH("OC US Equity","BS_TOT_LIAB2","1993-06-18","2026-05-02","Per=Y","Days=T","Dir=V")</f>
        <v>0</v>
      </c>
      <c r="E2">
        <f>BDH("OC US Equity","SHORT_AND_LONG_TERM_DEBT","1993-06-18","2026-05-02","Per=Y","Days=T","Dir=V")</f>
        <v>0</v>
      </c>
      <c r="G2">
        <f>BDH("OC US Equity","BS_ST_BORROW","1993-06-18","2026-05-02","Per=Y","Days=T","Dir=V")</f>
        <v>0</v>
      </c>
      <c r="I2">
        <f>BDH("OC US Equity","BS_LT_BORROW","1993-06-18","2026-05-02","Per=Y","Days=T","Dir=V")</f>
        <v>0</v>
      </c>
      <c r="K2">
        <f>BDH("OC US Equity","BS_CASH_NEAR_CASH_ITEM","1993-06-18","2026-05-02","Per=Y","Days=T","Dir=V")</f>
        <v>0</v>
      </c>
      <c r="M2">
        <f>BDH("OC US Equity","BS_CUR_ASSET_REPORT","1993-06-18","2026-05-02","Per=Y","Days=T","Dir=V")</f>
        <v>0</v>
      </c>
      <c r="O2">
        <f>BDH("OC US Equity","BS_CUR_LIAB","1993-06-18","2026-05-02","Per=Y","Days=T","Dir=V")</f>
        <v>0</v>
      </c>
      <c r="Q2">
        <f>BDH("OC US Equity","BS_SHAREHOLDER_EQY_ENDING_PERIOD","1993-06-18","2026-05-02","Per=Y","Days=T","Dir=V")</f>
        <v>0</v>
      </c>
      <c r="S2">
        <f>BDH("OC US Equity","BS_ACCT_NOTE_RCV","1993-06-18","2026-05-02","Per=Y","Days=T","Dir=V")</f>
        <v>0</v>
      </c>
      <c r="U2">
        <f>BDH("OC US Equity","BS_INVENTORIES","1993-06-18","2026-05-02","Per=Y","Days=T","Dir=V")</f>
        <v>0</v>
      </c>
      <c r="W2">
        <f>BDH("OC US Equity","WORKING_CAPITAL","1993-06-18","2026-05-02","Per=Y","Days=T","Dir=V")</f>
        <v>0</v>
      </c>
      <c r="Y2">
        <f>BDH("OC US Equity","SALES_REV_TURN","1993-06-18","2026-05-02","Per=Y","Days=T","Dir=V")</f>
        <v>0</v>
      </c>
      <c r="AA2">
        <f>BDH("OC US Equity","EBIT","1993-06-18","2026-05-02","Per=Y","Days=T","Dir=V")</f>
        <v>0</v>
      </c>
      <c r="AC2">
        <f>BDH("OC US Equity","EBITDA","1993-06-18","2026-05-02","Per=Y","Days=T","Dir=V")</f>
        <v>0</v>
      </c>
      <c r="AE2">
        <f>BDH("OC US Equity","NET_INCOME","1993-06-18","2026-05-02","Per=Y","Days=T","Dir=V")</f>
        <v>0</v>
      </c>
      <c r="AG2">
        <f>BDH("OC US Equity","IS_INT_EXPENSE","1993-06-18","2026-05-02","Per=Y","Days=T","Dir=V")</f>
        <v>0</v>
      </c>
      <c r="AI2">
        <f>BDH("OC US Equity","IS_DEPR_EXP","1993-06-18","2026-05-02","Per=Y","Days=T","Dir=V")</f>
        <v>0</v>
      </c>
      <c r="AK2">
        <f>BDH("OC US Equity","CF_CASH_FROM_OPER","1993-06-18","2026-05-02","Per=Y","Days=T","Dir=V")</f>
        <v>0</v>
      </c>
      <c r="AM2">
        <f>BDH("OC US Equity","CAPITAL_EXPEND","1993-06-18","2026-05-02","Per=Y","Days=T","Dir=V")</f>
        <v>0</v>
      </c>
      <c r="AO2">
        <f>BDH("OC US Equity","CF_FREE_CASH_FLOW","1993-06-18","2026-05-02","Per=Y","Days=T","Dir=V")</f>
        <v>0</v>
      </c>
      <c r="AQ2">
        <f>BDH("OC US Equity","PX_LAST","1993-06-18","2026-05-02","Per=M","Days=T","Dir=V")</f>
        <v>0</v>
      </c>
      <c r="AS2">
        <f>BDH("OC US Equity","CUR_MKT_CAP","1993-06-18","2026-05-02","Per=M","Days=T","Dir=V")</f>
        <v>0</v>
      </c>
      <c r="AU2">
        <f>BDH("OC US Equity","EQY_SH_OUT","1993-06-18","2026-05-02","Per=M","Days=T","Dir=V")</f>
        <v>0</v>
      </c>
      <c r="AW2">
        <f>BDH("OC US Equity","PX_VOLUME","1993-06-18","2026-05-02","Per=M","Days=T","Dir=V")</f>
        <v>0</v>
      </c>
      <c r="AY2">
        <f>BDH("OC US Equity","TURNOVER","1993-06-18","2026-05-02","Per=M","Days=T","Dir=V")</f>
        <v>0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BDH("OCC US Equity","BS_TOT_ASSET","1993-06-18","2026-05-02","Per=Y","Days=T","Dir=V")</f>
        <v>0</v>
      </c>
      <c r="C2">
        <f>BDH("OCC US Equity","BS_TOT_LIAB2","1993-06-18","2026-05-02","Per=Y","Days=T","Dir=V")</f>
        <v>0</v>
      </c>
      <c r="E2">
        <f>BDH("OCC US Equity","SHORT_AND_LONG_TERM_DEBT","1993-06-18","2026-05-02","Per=Y","Days=T","Dir=V")</f>
        <v>0</v>
      </c>
      <c r="G2">
        <f>BDH("OCC US Equity","BS_ST_BORROW","1993-06-18","2026-05-02","Per=Y","Days=T","Dir=V")</f>
        <v>0</v>
      </c>
      <c r="I2">
        <f>BDH("OCC US Equity","BS_LT_BORROW","1993-06-18","2026-05-02","Per=Y","Days=T","Dir=V")</f>
        <v>0</v>
      </c>
      <c r="K2">
        <f>BDH("OCC US Equity","BS_CASH_NEAR_CASH_ITEM","1993-06-18","2026-05-02","Per=Y","Days=T","Dir=V")</f>
        <v>0</v>
      </c>
      <c r="M2">
        <f>BDH("OCC US Equity","BS_CUR_ASSET_REPORT","1993-06-18","2026-05-02","Per=Y","Days=T","Dir=V")</f>
        <v>0</v>
      </c>
      <c r="O2">
        <f>BDH("OCC US Equity","BS_CUR_LIAB","1993-06-18","2026-05-02","Per=Y","Days=T","Dir=V")</f>
        <v>0</v>
      </c>
      <c r="Q2">
        <f>BDH("OCC US Equity","BS_SHAREHOLDER_EQY_ENDING_PERIOD","1993-06-18","2026-05-02","Per=Y","Days=T","Dir=V")</f>
        <v>0</v>
      </c>
      <c r="S2">
        <f>BDH("OCC US Equity","BS_ACCT_NOTE_RCV","1993-06-18","2026-05-02","Per=Y","Days=T","Dir=V")</f>
        <v>0</v>
      </c>
      <c r="U2">
        <f>BDH("OCC US Equity","BS_INVENTORIES","1993-06-18","2026-05-02","Per=Y","Days=T","Dir=V")</f>
        <v>0</v>
      </c>
      <c r="W2">
        <f>BDH("OCC US Equity","WORKING_CAPITAL","1993-06-18","2026-05-02","Per=Y","Days=T","Dir=V")</f>
        <v>0</v>
      </c>
      <c r="Y2">
        <f>BDH("OCC US Equity","SALES_REV_TURN","1993-06-18","2026-05-02","Per=Y","Days=T","Dir=V")</f>
        <v>0</v>
      </c>
      <c r="AA2">
        <f>BDH("OCC US Equity","EBIT","1993-06-18","2026-05-02","Per=Y","Days=T","Dir=V")</f>
        <v>0</v>
      </c>
      <c r="AC2">
        <f>BDH("OCC US Equity","EBITDA","1993-06-18","2026-05-02","Per=Y","Days=T","Dir=V")</f>
        <v>0</v>
      </c>
      <c r="AE2">
        <f>BDH("OCC US Equity","NET_INCOME","1993-06-18","2026-05-02","Per=Y","Days=T","Dir=V")</f>
        <v>0</v>
      </c>
      <c r="AG2">
        <f>BDH("OCC US Equity","IS_INT_EXPENSE","1993-06-18","2026-05-02","Per=Y","Days=T","Dir=V")</f>
        <v>0</v>
      </c>
      <c r="AI2">
        <f>BDH("OCC US Equity","IS_DEPR_EXP","1993-06-18","2026-05-02","Per=Y","Days=T","Dir=V")</f>
        <v>0</v>
      </c>
      <c r="AK2">
        <f>BDH("OCC US Equity","CF_CASH_FROM_OPER","1993-06-18","2026-05-02","Per=Y","Days=T","Dir=V")</f>
        <v>0</v>
      </c>
      <c r="AM2">
        <f>BDH("OCC US Equity","CAPITAL_EXPEND","1993-06-18","2026-05-02","Per=Y","Days=T","Dir=V")</f>
        <v>0</v>
      </c>
      <c r="AO2">
        <f>BDH("OCC US Equity","CF_FREE_CASH_FLOW","1993-06-18","2026-05-02","Per=Y","Days=T","Dir=V")</f>
        <v>0</v>
      </c>
      <c r="AQ2">
        <f>BDH("OCC US Equity","PX_LAST","1993-06-18","2026-05-02","Per=M","Days=T","Dir=V")</f>
        <v>0</v>
      </c>
      <c r="AS2">
        <f>BDH("OCC US Equity","CUR_MKT_CAP","1993-06-18","2026-05-02","Per=M","Days=T","Dir=V")</f>
        <v>0</v>
      </c>
      <c r="AU2">
        <f>BDH("OCC US Equity","EQY_SH_OUT","1993-06-18","2026-05-02","Per=M","Days=T","Dir=V")</f>
        <v>0</v>
      </c>
      <c r="AW2">
        <f>BDH("OCC US Equity","PX_VOLUME","1993-06-18","2026-05-02","Per=M","Days=T","Dir=V")</f>
        <v>0</v>
      </c>
      <c r="AY2">
        <f>BDH("OCC US Equity","TURNOVER","1993-06-18","2026-05-02","Per=M","Days=T","Dir=V")</f>
        <v>0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BDH("OCGN US Equity","BS_TOT_ASSET","1993-06-18","2026-05-02","Per=Y","Days=T","Dir=V")</f>
        <v>0</v>
      </c>
      <c r="C2">
        <f>BDH("OCGN US Equity","BS_TOT_LIAB2","1993-06-18","2026-05-02","Per=Y","Days=T","Dir=V")</f>
        <v>0</v>
      </c>
      <c r="E2">
        <f>BDH("OCGN US Equity","SHORT_AND_LONG_TERM_DEBT","1993-06-18","2026-05-02","Per=Y","Days=T","Dir=V")</f>
        <v>0</v>
      </c>
      <c r="G2">
        <f>BDH("OCGN US Equity","BS_ST_BORROW","1993-06-18","2026-05-02","Per=Y","Days=T","Dir=V")</f>
        <v>0</v>
      </c>
      <c r="I2">
        <f>BDH("OCGN US Equity","BS_LT_BORROW","1993-06-18","2026-05-02","Per=Y","Days=T","Dir=V")</f>
        <v>0</v>
      </c>
      <c r="K2">
        <f>BDH("OCGN US Equity","BS_CASH_NEAR_CASH_ITEM","1993-06-18","2026-05-02","Per=Y","Days=T","Dir=V")</f>
        <v>0</v>
      </c>
      <c r="M2">
        <f>BDH("OCGN US Equity","BS_CUR_ASSET_REPORT","1993-06-18","2026-05-02","Per=Y","Days=T","Dir=V")</f>
        <v>0</v>
      </c>
      <c r="O2">
        <f>BDH("OCGN US Equity","BS_CUR_LIAB","1993-06-18","2026-05-02","Per=Y","Days=T","Dir=V")</f>
        <v>0</v>
      </c>
      <c r="Q2">
        <f>BDH("OCGN US Equity","BS_SHAREHOLDER_EQY_ENDING_PERIOD","1993-06-18","2026-05-02","Per=Y","Days=T","Dir=V")</f>
        <v>0</v>
      </c>
      <c r="S2">
        <f>BDH("OCGN US Equity","BS_ACCT_NOTE_RCV","1993-06-18","2026-05-02","Per=Y","Days=T","Dir=V")</f>
        <v>0</v>
      </c>
      <c r="U2">
        <f>BDH("OCGN US Equity","BS_INVENTORIES","1993-06-18","2026-05-02","Per=Y","Days=T","Dir=V")</f>
        <v>0</v>
      </c>
      <c r="W2">
        <f>BDH("OCGN US Equity","WORKING_CAPITAL","1993-06-18","2026-05-02","Per=Y","Days=T","Dir=V")</f>
        <v>0</v>
      </c>
      <c r="Y2">
        <f>BDH("OCGN US Equity","SALES_REV_TURN","1993-06-18","2026-05-02","Per=Y","Days=T","Dir=V")</f>
        <v>0</v>
      </c>
      <c r="AA2">
        <f>BDH("OCGN US Equity","EBIT","1993-06-18","2026-05-02","Per=Y","Days=T","Dir=V")</f>
        <v>0</v>
      </c>
      <c r="AC2">
        <f>BDH("OCGN US Equity","EBITDA","1993-06-18","2026-05-02","Per=Y","Days=T","Dir=V")</f>
        <v>0</v>
      </c>
      <c r="AE2">
        <f>BDH("OCGN US Equity","NET_INCOME","1993-06-18","2026-05-02","Per=Y","Days=T","Dir=V")</f>
        <v>0</v>
      </c>
      <c r="AG2">
        <f>BDH("OCGN US Equity","IS_INT_EXPENSE","1993-06-18","2026-05-02","Per=Y","Days=T","Dir=V")</f>
        <v>0</v>
      </c>
      <c r="AI2">
        <f>BDH("OCGN US Equity","IS_DEPR_EXP","1993-06-18","2026-05-02","Per=Y","Days=T","Dir=V")</f>
        <v>0</v>
      </c>
      <c r="AK2">
        <f>BDH("OCGN US Equity","CF_CASH_FROM_OPER","1993-06-18","2026-05-02","Per=Y","Days=T","Dir=V")</f>
        <v>0</v>
      </c>
      <c r="AM2">
        <f>BDH("OCGN US Equity","CAPITAL_EXPEND","1993-06-18","2026-05-02","Per=Y","Days=T","Dir=V")</f>
        <v>0</v>
      </c>
      <c r="AO2">
        <f>BDH("OCGN US Equity","CF_FREE_CASH_FLOW","1993-06-18","2026-05-02","Per=Y","Days=T","Dir=V")</f>
        <v>0</v>
      </c>
      <c r="AQ2">
        <f>BDH("OCGN US Equity","PX_LAST","1993-06-18","2026-05-02","Per=M","Days=T","Dir=V")</f>
        <v>0</v>
      </c>
      <c r="AS2">
        <f>BDH("OCGN US Equity","CUR_MKT_CAP","1993-06-18","2026-05-02","Per=M","Days=T","Dir=V")</f>
        <v>0</v>
      </c>
      <c r="AU2">
        <f>BDH("OCGN US Equity","EQY_SH_OUT","1993-06-18","2026-05-02","Per=M","Days=T","Dir=V")</f>
        <v>0</v>
      </c>
      <c r="AW2">
        <f>BDH("OCGN US Equity","PX_VOLUME","1993-06-18","2026-05-02","Per=M","Days=T","Dir=V")</f>
        <v>0</v>
      </c>
      <c r="AY2">
        <f>BDH("OCGN US Equity","TURNOVER","1993-06-18","2026-05-02","Per=M","Days=T","Dir=V")</f>
        <v>0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BDH("OCTV US Equity","BS_TOT_ASSET","1993-06-18","2026-05-02","Per=Y","Days=T","Dir=V")</f>
        <v>0</v>
      </c>
      <c r="C2">
        <f>BDH("OCTV US Equity","BS_TOT_LIAB2","1993-06-18","2026-05-02","Per=Y","Days=T","Dir=V")</f>
        <v>0</v>
      </c>
      <c r="E2">
        <f>BDH("OCTV US Equity","SHORT_AND_LONG_TERM_DEBT","1993-06-18","2026-05-02","Per=Y","Days=T","Dir=V")</f>
        <v>0</v>
      </c>
      <c r="G2">
        <f>BDH("OCTV US Equity","BS_ST_BORROW","1993-06-18","2026-05-02","Per=Y","Days=T","Dir=V")</f>
        <v>0</v>
      </c>
      <c r="I2">
        <f>BDH("OCTV US Equity","BS_LT_BORROW","1993-06-18","2026-05-02","Per=Y","Days=T","Dir=V")</f>
        <v>0</v>
      </c>
      <c r="K2">
        <f>BDH("OCTV US Equity","BS_CASH_NEAR_CASH_ITEM","1993-06-18","2026-05-02","Per=Y","Days=T","Dir=V")</f>
        <v>0</v>
      </c>
      <c r="M2">
        <f>BDH("OCTV US Equity","BS_CUR_ASSET_REPORT","1993-06-18","2026-05-02","Per=Y","Days=T","Dir=V")</f>
        <v>0</v>
      </c>
      <c r="O2">
        <f>BDH("OCTV US Equity","BS_CUR_LIAB","1993-06-18","2026-05-02","Per=Y","Days=T","Dir=V")</f>
        <v>0</v>
      </c>
      <c r="Q2">
        <f>BDH("OCTV US Equity","BS_SHAREHOLDER_EQY_ENDING_PERIOD","1993-06-18","2026-05-02","Per=Y","Days=T","Dir=V")</f>
        <v>0</v>
      </c>
      <c r="S2">
        <f>BDH("OCTV US Equity","BS_ACCT_NOTE_RCV","1993-06-18","2026-05-02","Per=Y","Days=T","Dir=V")</f>
        <v>0</v>
      </c>
      <c r="U2">
        <f>BDH("OCTV US Equity","BS_INVENTORIES","1993-06-18","2026-05-02","Per=Y","Days=T","Dir=V")</f>
        <v>0</v>
      </c>
      <c r="W2">
        <f>BDH("OCTV US Equity","WORKING_CAPITAL","1993-06-18","2026-05-02","Per=Y","Days=T","Dir=V")</f>
        <v>0</v>
      </c>
      <c r="Y2">
        <f>BDH("OCTV US Equity","SALES_REV_TURN","1993-06-18","2026-05-02","Per=Y","Days=T","Dir=V")</f>
        <v>0</v>
      </c>
      <c r="AA2">
        <f>BDH("OCTV US Equity","EBIT","1993-06-18","2026-05-02","Per=Y","Days=T","Dir=V")</f>
        <v>0</v>
      </c>
      <c r="AC2">
        <f>BDH("OCTV US Equity","EBITDA","1993-06-18","2026-05-02","Per=Y","Days=T","Dir=V")</f>
        <v>0</v>
      </c>
      <c r="AE2">
        <f>BDH("OCTV US Equity","NET_INCOME","1993-06-18","2026-05-02","Per=Y","Days=T","Dir=V")</f>
        <v>0</v>
      </c>
      <c r="AG2">
        <f>BDH("OCTV US Equity","IS_INT_EXPENSE","1993-06-18","2026-05-02","Per=Y","Days=T","Dir=V")</f>
        <v>0</v>
      </c>
      <c r="AI2">
        <f>BDH("OCTV US Equity","IS_DEPR_EXP","1993-06-18","2026-05-02","Per=Y","Days=T","Dir=V")</f>
        <v>0</v>
      </c>
      <c r="AK2">
        <f>BDH("OCTV US Equity","CF_CASH_FROM_OPER","1993-06-18","2026-05-02","Per=Y","Days=T","Dir=V")</f>
        <v>0</v>
      </c>
      <c r="AM2">
        <f>BDH("OCTV US Equity","CAPITAL_EXPEND","1993-06-18","2026-05-02","Per=Y","Days=T","Dir=V")</f>
        <v>0</v>
      </c>
      <c r="AO2">
        <f>BDH("OCTV US Equity","CF_FREE_CASH_FLOW","1993-06-18","2026-05-02","Per=Y","Days=T","Dir=V")</f>
        <v>0</v>
      </c>
      <c r="AQ2">
        <f>BDH("OCTV US Equity","PX_LAST","1993-06-18","2026-05-02","Per=M","Days=T","Dir=V")</f>
        <v>0</v>
      </c>
      <c r="AS2">
        <f>BDH("OCTV US Equity","CUR_MKT_CAP","1993-06-18","2026-05-02","Per=M","Days=T","Dir=V")</f>
        <v>0</v>
      </c>
      <c r="AU2">
        <f>BDH("OCTV US Equity","EQY_SH_OUT","1993-06-18","2026-05-02","Per=M","Days=T","Dir=V")</f>
        <v>0</v>
      </c>
      <c r="AW2">
        <f>BDH("OCTV US Equity","PX_VOLUME","1993-06-18","2026-05-02","Per=M","Days=T","Dir=V")</f>
        <v>0</v>
      </c>
      <c r="AY2">
        <f>BDH("OCTV US Equity","TURNOVER","1993-06-18","2026-05-02","Per=M","Days=T","Dir=V")</f>
        <v>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BDH("OCUL US Equity","BS_TOT_ASSET","1993-06-18","2026-05-02","Per=Y","Days=T","Dir=V")</f>
        <v>0</v>
      </c>
      <c r="C2">
        <f>BDH("OCUL US Equity","BS_TOT_LIAB2","1993-06-18","2026-05-02","Per=Y","Days=T","Dir=V")</f>
        <v>0</v>
      </c>
      <c r="E2">
        <f>BDH("OCUL US Equity","SHORT_AND_LONG_TERM_DEBT","1993-06-18","2026-05-02","Per=Y","Days=T","Dir=V")</f>
        <v>0</v>
      </c>
      <c r="G2">
        <f>BDH("OCUL US Equity","BS_ST_BORROW","1993-06-18","2026-05-02","Per=Y","Days=T","Dir=V")</f>
        <v>0</v>
      </c>
      <c r="I2">
        <f>BDH("OCUL US Equity","BS_LT_BORROW","1993-06-18","2026-05-02","Per=Y","Days=T","Dir=V")</f>
        <v>0</v>
      </c>
      <c r="K2">
        <f>BDH("OCUL US Equity","BS_CASH_NEAR_CASH_ITEM","1993-06-18","2026-05-02","Per=Y","Days=T","Dir=V")</f>
        <v>0</v>
      </c>
      <c r="M2">
        <f>BDH("OCUL US Equity","BS_CUR_ASSET_REPORT","1993-06-18","2026-05-02","Per=Y","Days=T","Dir=V")</f>
        <v>0</v>
      </c>
      <c r="O2">
        <f>BDH("OCUL US Equity","BS_CUR_LIAB","1993-06-18","2026-05-02","Per=Y","Days=T","Dir=V")</f>
        <v>0</v>
      </c>
      <c r="Q2">
        <f>BDH("OCUL US Equity","BS_SHAREHOLDER_EQY_ENDING_PERIOD","1993-06-18","2026-05-02","Per=Y","Days=T","Dir=V")</f>
        <v>0</v>
      </c>
      <c r="S2">
        <f>BDH("OCUL US Equity","BS_ACCT_NOTE_RCV","1993-06-18","2026-05-02","Per=Y","Days=T","Dir=V")</f>
        <v>0</v>
      </c>
      <c r="U2">
        <f>BDH("OCUL US Equity","BS_INVENTORIES","1993-06-18","2026-05-02","Per=Y","Days=T","Dir=V")</f>
        <v>0</v>
      </c>
      <c r="W2">
        <f>BDH("OCUL US Equity","WORKING_CAPITAL","1993-06-18","2026-05-02","Per=Y","Days=T","Dir=V")</f>
        <v>0</v>
      </c>
      <c r="Y2">
        <f>BDH("OCUL US Equity","SALES_REV_TURN","1993-06-18","2026-05-02","Per=Y","Days=T","Dir=V")</f>
        <v>0</v>
      </c>
      <c r="AA2">
        <f>BDH("OCUL US Equity","EBIT","1993-06-18","2026-05-02","Per=Y","Days=T","Dir=V")</f>
        <v>0</v>
      </c>
      <c r="AC2">
        <f>BDH("OCUL US Equity","EBITDA","1993-06-18","2026-05-02","Per=Y","Days=T","Dir=V")</f>
        <v>0</v>
      </c>
      <c r="AE2">
        <f>BDH("OCUL US Equity","NET_INCOME","1993-06-18","2026-05-02","Per=Y","Days=T","Dir=V")</f>
        <v>0</v>
      </c>
      <c r="AG2">
        <f>BDH("OCUL US Equity","IS_INT_EXPENSE","1993-06-18","2026-05-02","Per=Y","Days=T","Dir=V")</f>
        <v>0</v>
      </c>
      <c r="AI2">
        <f>BDH("OCUL US Equity","IS_DEPR_EXP","1993-06-18","2026-05-02","Per=Y","Days=T","Dir=V")</f>
        <v>0</v>
      </c>
      <c r="AK2">
        <f>BDH("OCUL US Equity","CF_CASH_FROM_OPER","1993-06-18","2026-05-02","Per=Y","Days=T","Dir=V")</f>
        <v>0</v>
      </c>
      <c r="AM2">
        <f>BDH("OCUL US Equity","CAPITAL_EXPEND","1993-06-18","2026-05-02","Per=Y","Days=T","Dir=V")</f>
        <v>0</v>
      </c>
      <c r="AO2">
        <f>BDH("OCUL US Equity","CF_FREE_CASH_FLOW","1993-06-18","2026-05-02","Per=Y","Days=T","Dir=V")</f>
        <v>0</v>
      </c>
      <c r="AQ2">
        <f>BDH("OCUL US Equity","PX_LAST","1993-06-18","2026-05-02","Per=M","Days=T","Dir=V")</f>
        <v>0</v>
      </c>
      <c r="AS2">
        <f>BDH("OCUL US Equity","CUR_MKT_CAP","1993-06-18","2026-05-02","Per=M","Days=T","Dir=V")</f>
        <v>0</v>
      </c>
      <c r="AU2">
        <f>BDH("OCUL US Equity","EQY_SH_OUT","1993-06-18","2026-05-02","Per=M","Days=T","Dir=V")</f>
        <v>0</v>
      </c>
      <c r="AW2">
        <f>BDH("OCUL US Equity","PX_VOLUME","1993-06-18","2026-05-02","Per=M","Days=T","Dir=V")</f>
        <v>0</v>
      </c>
      <c r="AY2">
        <f>BDH("OCUL US Equity","TURNOVER","1993-06-18","2026-05-02","Per=M","Days=T","Dir=V")</f>
        <v>0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BDH("ODC US Equity","BS_TOT_ASSET","1993-06-18","2026-05-02","Per=Y","Days=T","Dir=V")</f>
        <v>0</v>
      </c>
      <c r="C2">
        <f>BDH("ODC US Equity","BS_TOT_LIAB2","1993-06-18","2026-05-02","Per=Y","Days=T","Dir=V")</f>
        <v>0</v>
      </c>
      <c r="E2">
        <f>BDH("ODC US Equity","SHORT_AND_LONG_TERM_DEBT","1993-06-18","2026-05-02","Per=Y","Days=T","Dir=V")</f>
        <v>0</v>
      </c>
      <c r="G2">
        <f>BDH("ODC US Equity","BS_ST_BORROW","1993-06-18","2026-05-02","Per=Y","Days=T","Dir=V")</f>
        <v>0</v>
      </c>
      <c r="I2">
        <f>BDH("ODC US Equity","BS_LT_BORROW","1993-06-18","2026-05-02","Per=Y","Days=T","Dir=V")</f>
        <v>0</v>
      </c>
      <c r="K2">
        <f>BDH("ODC US Equity","BS_CASH_NEAR_CASH_ITEM","1993-06-18","2026-05-02","Per=Y","Days=T","Dir=V")</f>
        <v>0</v>
      </c>
      <c r="M2">
        <f>BDH("ODC US Equity","BS_CUR_ASSET_REPORT","1993-06-18","2026-05-02","Per=Y","Days=T","Dir=V")</f>
        <v>0</v>
      </c>
      <c r="O2">
        <f>BDH("ODC US Equity","BS_CUR_LIAB","1993-06-18","2026-05-02","Per=Y","Days=T","Dir=V")</f>
        <v>0</v>
      </c>
      <c r="Q2">
        <f>BDH("ODC US Equity","BS_SHAREHOLDER_EQY_ENDING_PERIOD","1993-06-18","2026-05-02","Per=Y","Days=T","Dir=V")</f>
        <v>0</v>
      </c>
      <c r="S2">
        <f>BDH("ODC US Equity","BS_ACCT_NOTE_RCV","1993-06-18","2026-05-02","Per=Y","Days=T","Dir=V")</f>
        <v>0</v>
      </c>
      <c r="U2">
        <f>BDH("ODC US Equity","BS_INVENTORIES","1993-06-18","2026-05-02","Per=Y","Days=T","Dir=V")</f>
        <v>0</v>
      </c>
      <c r="W2">
        <f>BDH("ODC US Equity","WORKING_CAPITAL","1993-06-18","2026-05-02","Per=Y","Days=T","Dir=V")</f>
        <v>0</v>
      </c>
      <c r="Y2">
        <f>BDH("ODC US Equity","SALES_REV_TURN","1993-06-18","2026-05-02","Per=Y","Days=T","Dir=V")</f>
        <v>0</v>
      </c>
      <c r="AA2">
        <f>BDH("ODC US Equity","EBIT","1993-06-18","2026-05-02","Per=Y","Days=T","Dir=V")</f>
        <v>0</v>
      </c>
      <c r="AC2">
        <f>BDH("ODC US Equity","EBITDA","1993-06-18","2026-05-02","Per=Y","Days=T","Dir=V")</f>
        <v>0</v>
      </c>
      <c r="AE2">
        <f>BDH("ODC US Equity","NET_INCOME","1993-06-18","2026-05-02","Per=Y","Days=T","Dir=V")</f>
        <v>0</v>
      </c>
      <c r="AG2">
        <f>BDH("ODC US Equity","IS_INT_EXPENSE","1993-06-18","2026-05-02","Per=Y","Days=T","Dir=V")</f>
        <v>0</v>
      </c>
      <c r="AI2">
        <f>BDH("ODC US Equity","IS_DEPR_EXP","1993-06-18","2026-05-02","Per=Y","Days=T","Dir=V")</f>
        <v>0</v>
      </c>
      <c r="AK2">
        <f>BDH("ODC US Equity","CF_CASH_FROM_OPER","1993-06-18","2026-05-02","Per=Y","Days=T","Dir=V")</f>
        <v>0</v>
      </c>
      <c r="AM2">
        <f>BDH("ODC US Equity","CAPITAL_EXPEND","1993-06-18","2026-05-02","Per=Y","Days=T","Dir=V")</f>
        <v>0</v>
      </c>
      <c r="AO2">
        <f>BDH("ODC US Equity","CF_FREE_CASH_FLOW","1993-06-18","2026-05-02","Per=Y","Days=T","Dir=V")</f>
        <v>0</v>
      </c>
      <c r="AQ2">
        <f>BDH("ODC US Equity","PX_LAST","1993-06-18","2026-05-02","Per=M","Days=T","Dir=V")</f>
        <v>0</v>
      </c>
      <c r="AS2">
        <f>BDH("ODC US Equity","CUR_MKT_CAP","1993-06-18","2026-05-02","Per=M","Days=T","Dir=V")</f>
        <v>0</v>
      </c>
      <c r="AU2">
        <f>BDH("ODC US Equity","EQY_SH_OUT","1993-06-18","2026-05-02","Per=M","Days=T","Dir=V")</f>
        <v>0</v>
      </c>
      <c r="AW2">
        <f>BDH("ODC US Equity","PX_VOLUME","1993-06-18","2026-05-02","Per=M","Days=T","Dir=V")</f>
        <v>0</v>
      </c>
      <c r="AY2">
        <f>BDH("ODC US Equity","TURNOVER","1993-06-18","2026-05-02","Per=M","Days=T","Dir=V")</f>
        <v>0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  <c r="W1" t="s">
        <v>1127</v>
      </c>
      <c r="X1" t="s">
        <v>1128</v>
      </c>
      <c r="Y1" t="s">
        <v>1129</v>
      </c>
      <c r="Z1" t="s">
        <v>1130</v>
      </c>
      <c r="AA1" t="s">
        <v>1131</v>
      </c>
      <c r="AB1" t="s">
        <v>1132</v>
      </c>
      <c r="AC1" t="s">
        <v>1133</v>
      </c>
      <c r="AD1" t="s">
        <v>1134</v>
      </c>
      <c r="AE1" t="s">
        <v>1135</v>
      </c>
      <c r="AF1" t="s">
        <v>1136</v>
      </c>
      <c r="AG1" t="s">
        <v>1137</v>
      </c>
      <c r="AH1" t="s">
        <v>1138</v>
      </c>
      <c r="AI1" t="s">
        <v>1139</v>
      </c>
      <c r="AJ1" t="s">
        <v>1140</v>
      </c>
      <c r="AK1" t="s">
        <v>1141</v>
      </c>
      <c r="AL1" t="s">
        <v>1142</v>
      </c>
      <c r="AM1" t="s">
        <v>1143</v>
      </c>
      <c r="AN1" t="s">
        <v>1144</v>
      </c>
      <c r="AO1" t="s">
        <v>1145</v>
      </c>
      <c r="AP1" t="s">
        <v>1146</v>
      </c>
      <c r="AQ1" t="s">
        <v>1147</v>
      </c>
      <c r="AR1" t="s">
        <v>1148</v>
      </c>
      <c r="AS1" t="s">
        <v>1149</v>
      </c>
      <c r="AT1" t="s">
        <v>1150</v>
      </c>
      <c r="AU1" t="s">
        <v>1151</v>
      </c>
      <c r="AV1" t="s">
        <v>1152</v>
      </c>
      <c r="AW1" t="s">
        <v>1153</v>
      </c>
      <c r="AX1" t="s">
        <v>1154</v>
      </c>
      <c r="AY1" t="s">
        <v>1155</v>
      </c>
      <c r="AZ1" t="s">
        <v>1156</v>
      </c>
    </row>
    <row r="2" spans="1:52">
      <c r="A2">
        <f>BDH("ODFL US Equity","BS_TOT_ASSET","1993-06-18","2026-05-02","Per=Y","Days=T","Dir=V")</f>
        <v>0</v>
      </c>
      <c r="C2">
        <f>BDH("ODFL US Equity","BS_TOT_LIAB2","1993-06-18","2026-05-02","Per=Y","Days=T","Dir=V")</f>
        <v>0</v>
      </c>
      <c r="E2">
        <f>BDH("ODFL US Equity","SHORT_AND_LONG_TERM_DEBT","1993-06-18","2026-05-02","Per=Y","Days=T","Dir=V")</f>
        <v>0</v>
      </c>
      <c r="G2">
        <f>BDH("ODFL US Equity","BS_ST_BORROW","1993-06-18","2026-05-02","Per=Y","Days=T","Dir=V")</f>
        <v>0</v>
      </c>
      <c r="I2">
        <f>BDH("ODFL US Equity","BS_LT_BORROW","1993-06-18","2026-05-02","Per=Y","Days=T","Dir=V")</f>
        <v>0</v>
      </c>
      <c r="K2">
        <f>BDH("ODFL US Equity","BS_CASH_NEAR_CASH_ITEM","1993-06-18","2026-05-02","Per=Y","Days=T","Dir=V")</f>
        <v>0</v>
      </c>
      <c r="M2">
        <f>BDH("ODFL US Equity","BS_CUR_ASSET_REPORT","1993-06-18","2026-05-02","Per=Y","Days=T","Dir=V")</f>
        <v>0</v>
      </c>
      <c r="O2">
        <f>BDH("ODFL US Equity","BS_CUR_LIAB","1993-06-18","2026-05-02","Per=Y","Days=T","Dir=V")</f>
        <v>0</v>
      </c>
      <c r="Q2">
        <f>BDH("ODFL US Equity","BS_SHAREHOLDER_EQY_ENDING_PERIOD","1993-06-18","2026-05-02","Per=Y","Days=T","Dir=V")</f>
        <v>0</v>
      </c>
      <c r="S2">
        <f>BDH("ODFL US Equity","BS_ACCT_NOTE_RCV","1993-06-18","2026-05-02","Per=Y","Days=T","Dir=V")</f>
        <v>0</v>
      </c>
      <c r="U2">
        <f>BDH("ODFL US Equity","BS_INVENTORIES","1993-06-18","2026-05-02","Per=Y","Days=T","Dir=V")</f>
        <v>0</v>
      </c>
      <c r="W2">
        <f>BDH("ODFL US Equity","WORKING_CAPITAL","1993-06-18","2026-05-02","Per=Y","Days=T","Dir=V")</f>
        <v>0</v>
      </c>
      <c r="Y2">
        <f>BDH("ODFL US Equity","SALES_REV_TURN","1993-06-18","2026-05-02","Per=Y","Days=T","Dir=V")</f>
        <v>0</v>
      </c>
      <c r="AA2">
        <f>BDH("ODFL US Equity","EBIT","1993-06-18","2026-05-02","Per=Y","Days=T","Dir=V")</f>
        <v>0</v>
      </c>
      <c r="AC2">
        <f>BDH("ODFL US Equity","EBITDA","1993-06-18","2026-05-02","Per=Y","Days=T","Dir=V")</f>
        <v>0</v>
      </c>
      <c r="AE2">
        <f>BDH("ODFL US Equity","NET_INCOME","1993-06-18","2026-05-02","Per=Y","Days=T","Dir=V")</f>
        <v>0</v>
      </c>
      <c r="AG2">
        <f>BDH("ODFL US Equity","IS_INT_EXPENSE","1993-06-18","2026-05-02","Per=Y","Days=T","Dir=V")</f>
        <v>0</v>
      </c>
      <c r="AI2">
        <f>BDH("ODFL US Equity","IS_DEPR_EXP","1993-06-18","2026-05-02","Per=Y","Days=T","Dir=V")</f>
        <v>0</v>
      </c>
      <c r="AK2">
        <f>BDH("ODFL US Equity","CF_CASH_FROM_OPER","1993-06-18","2026-05-02","Per=Y","Days=T","Dir=V")</f>
        <v>0</v>
      </c>
      <c r="AM2">
        <f>BDH("ODFL US Equity","CAPITAL_EXPEND","1993-06-18","2026-05-02","Per=Y","Days=T","Dir=V")</f>
        <v>0</v>
      </c>
      <c r="AO2">
        <f>BDH("ODFL US Equity","CF_FREE_CASH_FLOW","1993-06-18","2026-05-02","Per=Y","Days=T","Dir=V")</f>
        <v>0</v>
      </c>
      <c r="AQ2">
        <f>BDH("ODFL US Equity","PX_LAST","1993-06-18","2026-05-02","Per=M","Days=T","Dir=V")</f>
        <v>0</v>
      </c>
      <c r="AS2">
        <f>BDH("ODFL US Equity","CUR_MKT_CAP","1993-06-18","2026-05-02","Per=M","Days=T","Dir=V")</f>
        <v>0</v>
      </c>
      <c r="AU2">
        <f>BDH("ODFL US Equity","EQY_SH_OUT","1993-06-18","2026-05-02","Per=M","Days=T","Dir=V")</f>
        <v>0</v>
      </c>
      <c r="AW2">
        <f>BDH("ODFL US Equity","PX_VOLUME","1993-06-18","2026-05-02","Per=M","Days=T","Dir=V")</f>
        <v>0</v>
      </c>
      <c r="AY2">
        <f>BDH("ODFL US Equity","TURNOVER","1993-06-18","2026-05-02","Per=M","Days=T","Dir=V")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251</vt:i4>
      </vt:variant>
    </vt:vector>
  </HeadingPairs>
  <TitlesOfParts>
    <vt:vector size="251" baseType="lpstr">
      <vt:lpstr>Security_List</vt:lpstr>
      <vt:lpstr>NB_1731_Middleby Corporation (T</vt:lpstr>
      <vt:lpstr>NB_1732_MIND Technology Inc. Co</vt:lpstr>
      <vt:lpstr>NB_1733_Mirion Technologies Inc</vt:lpstr>
      <vt:lpstr>NB_1734_MIRA Pharmaceuticals In</vt:lpstr>
      <vt:lpstr>NB_1735_Mirum Pharmaceuticals I</vt:lpstr>
      <vt:lpstr>NB_1736_Mitek Systems Inc. Comm</vt:lpstr>
      <vt:lpstr>NB_1737_Moving iMage Technologi</vt:lpstr>
      <vt:lpstr>NB_1738_McCormick &amp; Company Inc</vt:lpstr>
      <vt:lpstr>NB_1739_MKS Inc. Common Stock</vt:lpstr>
      <vt:lpstr>NB_1740_MarketWise Inc. Class A</vt:lpstr>
      <vt:lpstr>NB_1741_Mesa Laboratories Inc. </vt:lpstr>
      <vt:lpstr>NB_1742_MicroAlgo Inc. Class A </vt:lpstr>
      <vt:lpstr>NB_1743_Mueller Industries Inc.</vt:lpstr>
      <vt:lpstr>NB_1744_MillerKnoll Inc. Common</vt:lpstr>
      <vt:lpstr>NB_1745_Martin Marietta Materia</vt:lpstr>
      <vt:lpstr>NB_1746_Miller Industries Inc. </vt:lpstr>
      <vt:lpstr>NB_1747_Milestone Scientific In</vt:lpstr>
      <vt:lpstr>NB_1748_MoonLake Immunotherapeu</vt:lpstr>
      <vt:lpstr>NB_1749_Mineralys Therapeutics </vt:lpstr>
      <vt:lpstr>NB_1750_MiniMed Group Inc. Comm</vt:lpstr>
      <vt:lpstr>NB_1751_Martin Midstream Partne</vt:lpstr>
      <vt:lpstr>NB_1752_3M Company Common Stock</vt:lpstr>
      <vt:lpstr>NB_1753_Maximus Inc. Common Sto</vt:lpstr>
      <vt:lpstr>NB_1754_Merit Medical Systems I</vt:lpstr>
      <vt:lpstr>NB_1755_MannKind Corporation Co</vt:lpstr>
      <vt:lpstr>NB_1756_Medicinova Inc Common S</vt:lpstr>
      <vt:lpstr>NB_1757_Monopar Therapeutics In</vt:lpstr>
      <vt:lpstr>NB_1758_Mach Natural Resources </vt:lpstr>
      <vt:lpstr>NB_1759_Monro Inc. Common Stock</vt:lpstr>
      <vt:lpstr>NB_1760_Monster Beverage Corpor</vt:lpstr>
      <vt:lpstr>NB_1761_Montauk Renewables Inc.</vt:lpstr>
      <vt:lpstr>NB_1762_MNTN Inc. Class A Commo</vt:lpstr>
      <vt:lpstr>NB_1763_Momentus Inc. Class A C</vt:lpstr>
      <vt:lpstr>NB_1764_Altria Group Inc.</vt:lpstr>
      <vt:lpstr>NB_1765_Mobia Medical Inc. Comm</vt:lpstr>
      <vt:lpstr>NB_1766_Mobix Labs Inc. Class A</vt:lpstr>
      <vt:lpstr>NB_1767_Mobix Labs Inc Warrants</vt:lpstr>
      <vt:lpstr>NB_1768_Modine Manufacturing Co</vt:lpstr>
      <vt:lpstr>NB_1769_Modular Medical Inc. Co</vt:lpstr>
      <vt:lpstr>NB_1770_Molina Healthcare Inc C</vt:lpstr>
      <vt:lpstr>NB_1771_Mosaic Company (The) Co</vt:lpstr>
      <vt:lpstr>NB_1772_Movado Group Inc. Commo</vt:lpstr>
      <vt:lpstr>NB_1773_Corvex Inc. Common Stoc</vt:lpstr>
      <vt:lpstr>NB_1774_MP Materials Corp. Comm</vt:lpstr>
      <vt:lpstr>NB_1775_Motorcar Parts  of Amer</vt:lpstr>
      <vt:lpstr>NB_1776_Marathon Petroleum Corp</vt:lpstr>
      <vt:lpstr>NB_1777_MapLight Therapeutics I</vt:lpstr>
      <vt:lpstr>NB_1778_MPLX LP Common Units Re</vt:lpstr>
      <vt:lpstr>NB_1779_M-tron Industries Inc. </vt:lpstr>
      <vt:lpstr>NB_1780_Mega Matrix Inc. Class </vt:lpstr>
      <vt:lpstr>NB_1781_Monolithic Power System</vt:lpstr>
      <vt:lpstr>NB_1782_Marqeta Inc. Class A Co</vt:lpstr>
      <vt:lpstr>NB_1783_Everspin Technologies I</vt:lpstr>
      <vt:lpstr>NB_1784_Mercury Systems Inc Com</vt:lpstr>
      <vt:lpstr>NB_1785_Meridian Holdings Inc. </vt:lpstr>
      <vt:lpstr>NB_1786_Merck &amp; Company Inc. Co</vt:lpstr>
      <vt:lpstr>NB_1787_Marker Therapeutics Inc</vt:lpstr>
      <vt:lpstr>NB_1788_Merlin Inc. Common Stoc</vt:lpstr>
      <vt:lpstr>NB_1789_Moderna Inc. Common Sto</vt:lpstr>
      <vt:lpstr>NB_1790_Marten Transport Ltd. C</vt:lpstr>
      <vt:lpstr>NB_1791_Maravai LifeSciences Ho</vt:lpstr>
      <vt:lpstr>NB_1792_Marvell Technology Inc.</vt:lpstr>
      <vt:lpstr>NB_1793_MSA Safety Incorporated</vt:lpstr>
      <vt:lpstr>NB_1794_MultiSensor AI Holdings</vt:lpstr>
      <vt:lpstr>NB_1795_MultiSensor AI Holdings</vt:lpstr>
      <vt:lpstr>NB_1796_Mesabi Trust Common Sto</vt:lpstr>
      <vt:lpstr>NB_1797_MSCI Inc. Common Stock</vt:lpstr>
      <vt:lpstr>NB_1798_Middlesex Water Company</vt:lpstr>
      <vt:lpstr>NB_1799_Microsoft Corporation C</vt:lpstr>
      <vt:lpstr>NB_1800_Madison Square Garden E</vt:lpstr>
      <vt:lpstr>NB_1801_Motorsport Games Inc. C</vt:lpstr>
      <vt:lpstr>NB_1802_Madison Square Garden S</vt:lpstr>
      <vt:lpstr>NB_1803_Motorola Solutions Inc.</vt:lpstr>
      <vt:lpstr>NB_1804_MSC Industrial Direct C</vt:lpstr>
      <vt:lpstr>NB_1805_Emerson Radio Corporati</vt:lpstr>
      <vt:lpstr>NB_1806_Maison Solutions Inc. C</vt:lpstr>
      <vt:lpstr>NB_1807_Strategy Inc Common Sto</vt:lpstr>
      <vt:lpstr>NB_1808_Match Group Inc. Common</vt:lpstr>
      <vt:lpstr>NB_1809_Matador Resources Compa</vt:lpstr>
      <vt:lpstr>NB_1810_Mannatech Incorporated </vt:lpstr>
      <vt:lpstr>NB_1811_Meritage Homes Corporat</vt:lpstr>
      <vt:lpstr>NB_1812_Vail Resorts Inc. Commo</vt:lpstr>
      <vt:lpstr>NB_1813_Matinas Biopharma Holdi</vt:lpstr>
      <vt:lpstr>NB_1814_Mesa Royalty Trust Comm</vt:lpstr>
      <vt:lpstr>NB_1815_Materion Corporation</vt:lpstr>
      <vt:lpstr>NB_1816_Matrix Service Company </vt:lpstr>
      <vt:lpstr>NB_1817_MACOM Technology Soluti</vt:lpstr>
      <vt:lpstr>NB_1818_Metallus Inc. Common Sh</vt:lpstr>
      <vt:lpstr>NB_1819_MetaVia Inc. Common Sto</vt:lpstr>
      <vt:lpstr>NB_1820_Manitowoc Company Inc. </vt:lpstr>
      <vt:lpstr>NB_1821_Minerals Technologies I</vt:lpstr>
      <vt:lpstr>NB_1822_MasTec Inc. Common Stoc</vt:lpstr>
      <vt:lpstr>NB_1823_Micron Technology Inc. </vt:lpstr>
      <vt:lpstr>NB_1824_Murphy Oil Corporation </vt:lpstr>
      <vt:lpstr>NB_1825_Murphy USA Inc. Common </vt:lpstr>
      <vt:lpstr>NB_1826_MicroVision Inc. Common</vt:lpstr>
      <vt:lpstr>NB_1827_MUELLER WATER PRODUCTS </vt:lpstr>
      <vt:lpstr>NB_1828_SOLV Energy Inc. Class </vt:lpstr>
      <vt:lpstr>NB_1829_Marwynn Holdings Inc. C</vt:lpstr>
      <vt:lpstr>NB_1830_Mexco Energy Corporatio</vt:lpstr>
      <vt:lpstr>NB_1831_MaxCyte Inc. Common Sto</vt:lpstr>
      <vt:lpstr>NB_1832_MaxLinear Inc. Common S</vt:lpstr>
      <vt:lpstr>NB_1833_Myers Industries Inc. C</vt:lpstr>
      <vt:lpstr>NB_1834_Myriad Genetics Inc. Co</vt:lpstr>
      <vt:lpstr>NB_1835_Myomo Inc. Common Stock</vt:lpstr>
      <vt:lpstr>NB_1836_PLAYSTUDIOS Inc.  Class</vt:lpstr>
      <vt:lpstr>NB_1837_MYR Group Inc. Common S</vt:lpstr>
      <vt:lpstr>NB_1838_Myseum.AI Inc. Common S</vt:lpstr>
      <vt:lpstr>NB_1839_The Marzetti Company Co</vt:lpstr>
      <vt:lpstr>NB_1840_N-able Inc. Common Stoc</vt:lpstr>
      <vt:lpstr>NB_1841_Niagen Bioscience Inc. </vt:lpstr>
      <vt:lpstr>NB_1842_Natural Alternatives In</vt:lpstr>
      <vt:lpstr>NB_1843_Nakamoto Inc. Common St</vt:lpstr>
      <vt:lpstr>NB_1844_Nathan's Famous Inc. Co</vt:lpstr>
      <vt:lpstr>NB_1845_Nature's Sunshine Produ</vt:lpstr>
      <vt:lpstr>NB_1846_Nautilus Biotechnology </vt:lpstr>
      <vt:lpstr>NB_1847_Navan Inc. Class A Comm</vt:lpstr>
      <vt:lpstr>NB_1848_NioCorp Developments Lt</vt:lpstr>
      <vt:lpstr>NB_1849_Neurocrine Biosciences </vt:lpstr>
      <vt:lpstr>NB_1850_NACCO Industries Inc. C</vt:lpstr>
      <vt:lpstr>NB_1851_Norwegian Cruise Line H</vt:lpstr>
      <vt:lpstr>NB_1852_National CineMedia Inc.</vt:lpstr>
      <vt:lpstr>NB_1853_nCino Inc. Common Stock</vt:lpstr>
      <vt:lpstr>NB_1854_Noodles &amp; Company Class</vt:lpstr>
      <vt:lpstr>NB_1855_ENDRA Life Sciences Inc</vt:lpstr>
      <vt:lpstr>NB_1856_Nordson Corporation Com</vt:lpstr>
      <vt:lpstr>NB_1857_Noble Corporation plc A</vt:lpstr>
      <vt:lpstr>NB_1858_NextEra Energy Inc. Com</vt:lpstr>
      <vt:lpstr>NB_1859_Newmont Corporation</vt:lpstr>
      <vt:lpstr>NB_1860_NeoGenomics Inc. Common</vt:lpstr>
      <vt:lpstr>NB_1861_Neogen Corporation Comm</vt:lpstr>
      <vt:lpstr>NB_1862_Nephros Inc. Common Sto</vt:lpstr>
      <vt:lpstr>NB_1863_Minerva Neurosciences I</vt:lpstr>
      <vt:lpstr>NB_1864_National Energy Service</vt:lpstr>
      <vt:lpstr>NB_1865_Cloudflare Inc. Class A</vt:lpstr>
      <vt:lpstr>NB_1866_NewMarket Corp Common S</vt:lpstr>
      <vt:lpstr>NB_1867_Neuphoria Therapeutics </vt:lpstr>
      <vt:lpstr>NB_1868_NextDecade Corporation </vt:lpstr>
      <vt:lpstr>NB_1869_New Fortress Energy Inc</vt:lpstr>
      <vt:lpstr>NB_1870_New Fortress Energy Inc</vt:lpstr>
      <vt:lpstr>NB_1871_National Fuel Gas Compa</vt:lpstr>
      <vt:lpstr>NB_1872_Netflix Inc. Common Sto</vt:lpstr>
      <vt:lpstr>NB_1873_NGL ENERGY PARTNERS LP </vt:lpstr>
      <vt:lpstr>NB_1874_Natural Gas Services Gr</vt:lpstr>
      <vt:lpstr>NB_1875_Natural Grocers by Vita</vt:lpstr>
      <vt:lpstr>NB_1876_Ingevity Corporation Co</vt:lpstr>
      <vt:lpstr>NB_1877_National HealthCare Cor</vt:lpstr>
      <vt:lpstr>NB_1878_Natural Health Trends C</vt:lpstr>
      <vt:lpstr>NB_1879_NiSource Inc Common Sto</vt:lpstr>
      <vt:lpstr>NB_1880_NIO Inc. American depos</vt:lpstr>
      <vt:lpstr>NB_1881_NioCorp Developments Lt</vt:lpstr>
      <vt:lpstr>NB_1882_NIQ Global Intelligence</vt:lpstr>
      <vt:lpstr>NB_1883_Nixxy Inc. Common Stock</vt:lpstr>
      <vt:lpstr>NB_1884_NewJersey Resources Cor</vt:lpstr>
      <vt:lpstr>NB_1885_Nike Inc. Common Stock</vt:lpstr>
      <vt:lpstr>NB_1886_Nektar Therapeutics  Co</vt:lpstr>
      <vt:lpstr>NB_1887_Nkarta Inc. Common Stoc</vt:lpstr>
      <vt:lpstr>NB_1888_NLI Holdings Inc. Commo</vt:lpstr>
      <vt:lpstr>NB_1889_Nomad Power Solutions I</vt:lpstr>
      <vt:lpstr>NB_1890_Newsmax Inc. Class B Co</vt:lpstr>
      <vt:lpstr>NB_1891_Neumora Therapeutics In</vt:lpstr>
      <vt:lpstr>NB_1892_NeuroOne Medical Techno</vt:lpstr>
      <vt:lpstr>NB_1893_NextNav Inc. Common Sto</vt:lpstr>
      <vt:lpstr>NB_1894_NN Inc. Common Stock</vt:lpstr>
      <vt:lpstr>NB_1895_Nano Nuclear Energy Inc</vt:lpstr>
      <vt:lpstr>NB_1896_NanoViricides Inc. Comm</vt:lpstr>
      <vt:lpstr>NB_1897_Northrop Grumman Corpor</vt:lpstr>
      <vt:lpstr>NB_1898_Northern Oil and Gas In</vt:lpstr>
      <vt:lpstr>NB_1899_NOMADAR Corp. Class A C</vt:lpstr>
      <vt:lpstr>NB_1900_NOV Inc. Common Stock</vt:lpstr>
      <vt:lpstr>NB_1901_ServiceNow Inc. Common </vt:lpstr>
      <vt:lpstr>NB_1902_Neuropace Inc. Common S</vt:lpstr>
      <vt:lpstr>NB_1903_National Presto Industr</vt:lpstr>
      <vt:lpstr>NB_1904_NPK International Inc. </vt:lpstr>
      <vt:lpstr>NB_1905_Enpro Inc. Common Stock</vt:lpstr>
      <vt:lpstr>NB_1906_NET Power Inc. Class A </vt:lpstr>
      <vt:lpstr>NB_1907_NRC Health Common Stock</vt:lpstr>
      <vt:lpstr>NB_1908_NerdWallet Inc. Class A</vt:lpstr>
      <vt:lpstr>NB_1909_NRG Energy Inc. Common </vt:lpstr>
      <vt:lpstr>NB_1910_Nurix Therapeutics Inc.</vt:lpstr>
      <vt:lpstr>NB_1911_Natural Resource Partne</vt:lpstr>
      <vt:lpstr>NB_1912_North European Oil Roya</vt:lpstr>
      <vt:lpstr>NB_1913_NRX Pharmaceuticals Inc</vt:lpstr>
      <vt:lpstr>NB_1914_Neuraxis Inc. Common St</vt:lpstr>
      <vt:lpstr>NB_1915_Norfolk Southern Corpor</vt:lpstr>
      <vt:lpstr>NB_1916_Insight Enterprises Inc</vt:lpstr>
      <vt:lpstr>NB_1917_Insperity Inc. Common S</vt:lpstr>
      <vt:lpstr>NB_1918_NAPCO Security Technolo</vt:lpstr>
      <vt:lpstr>NB_1919_Nortech Systems Incorpo</vt:lpstr>
      <vt:lpstr>NB_1920_NetApp Inc. Common Stoc</vt:lpstr>
      <vt:lpstr>NB_1921_NetScout Systems Inc. C</vt:lpstr>
      <vt:lpstr>NB_1922_NETGEAR Inc. Common Sto</vt:lpstr>
      <vt:lpstr>NB_1923_NeOnc Technologies Hold</vt:lpstr>
      <vt:lpstr>NB_1924_Northern Technologies I</vt:lpstr>
      <vt:lpstr>NB_1925_Intellia Therapeutics I</vt:lpstr>
      <vt:lpstr>NB_1926_Nutanix Inc. Class A Co</vt:lpstr>
      <vt:lpstr>NB_1927_Natera Inc. Common Stoc</vt:lpstr>
      <vt:lpstr>NB_1928_Nutriband Inc. Common S</vt:lpstr>
      <vt:lpstr>NB_1929_Nutriband Inc. Warrant</vt:lpstr>
      <vt:lpstr>NB_1930_NextTrip Inc. Common St</vt:lpstr>
      <vt:lpstr>NB_1931_Netskope Inc. Class A C</vt:lpstr>
      <vt:lpstr>NB_1932_NetSol Technologies Inc</vt:lpstr>
      <vt:lpstr>NB_1933_New Era Energy &amp; Digita</vt:lpstr>
      <vt:lpstr>NB_1934_New Era Energy &amp; Digita</vt:lpstr>
      <vt:lpstr>NB_1935_Eagle Nuclear Energy Co</vt:lpstr>
      <vt:lpstr>NB_1936_Eagle Nuclear Energy Co</vt:lpstr>
      <vt:lpstr>NB_1937_Nucor Corporation Commo</vt:lpstr>
      <vt:lpstr>NB_1938_Nu Skin Enterprises Inc</vt:lpstr>
      <vt:lpstr>NB_1939_Nutex Health Inc. Commo</vt:lpstr>
      <vt:lpstr>NB_1940_Nuvation Bio Inc. Class</vt:lpstr>
      <vt:lpstr>NB_1941_Nuwellis Inc. Common St</vt:lpstr>
      <vt:lpstr>NB_1942_Novavax Inc. Common Sto</vt:lpstr>
      <vt:lpstr>NB_1943_Nuvectis Pharma Inc. Co</vt:lpstr>
      <vt:lpstr>NB_1944_NVIDIA Corporation Comm</vt:lpstr>
      <vt:lpstr>NB_1945_NVE Corporation Common </vt:lpstr>
      <vt:lpstr>NB_1946_enVVeno Medical Corpora</vt:lpstr>
      <vt:lpstr>NB_1947_NVR Inc. Common Stock</vt:lpstr>
      <vt:lpstr>NB_1948_Envista Holdings Corpor</vt:lpstr>
      <vt:lpstr>NB_1949_Navitas Semiconductor C</vt:lpstr>
      <vt:lpstr>NB_1950_NorthWestern Energy Gro</vt:lpstr>
      <vt:lpstr>NB_1951_Newell Brands Inc. Comm</vt:lpstr>
      <vt:lpstr>NB_1952_Northwest Natural Holdi</vt:lpstr>
      <vt:lpstr>NB_1953_NWPX Infrastructure Inc</vt:lpstr>
      <vt:lpstr>NB_1954_News Corporation Class </vt:lpstr>
      <vt:lpstr>NB_1955_News Corporation Class </vt:lpstr>
      <vt:lpstr>NB_1956_Newton Golf Company Inc</vt:lpstr>
      <vt:lpstr>NB_1957_Quanex Building Product</vt:lpstr>
      <vt:lpstr>NB_1958_Nextdoor Holdings Inc. </vt:lpstr>
      <vt:lpstr>NB_1959_NexGel Inc Common Stock</vt:lpstr>
      <vt:lpstr>NB_1960_NexGel Inc Warrant</vt:lpstr>
      <vt:lpstr>NB_1961_Neighborhood Intelligen</vt:lpstr>
      <vt:lpstr>NB_1962_Nexalin Technology Inc.</vt:lpstr>
      <vt:lpstr>NB_1963_NextPlat Corp Common St</vt:lpstr>
      <vt:lpstr>NB_1964_Nexstar Media Group Inc</vt:lpstr>
      <vt:lpstr>NB_1965_Nextpower Inc. Common S</vt:lpstr>
      <vt:lpstr>NB_1966_NextCure Inc. Common St</vt:lpstr>
      <vt:lpstr>NB_1967_NextNRG Inc. Common Sto</vt:lpstr>
      <vt:lpstr>NB_1968_New York Times Company </vt:lpstr>
      <vt:lpstr>NB_1969_OmniAb Inc. Common Stoc</vt:lpstr>
      <vt:lpstr>NB_1970_OmniAb Inc. Warrant</vt:lpstr>
      <vt:lpstr>NB_1971_Our Bond Inc. Common St</vt:lpstr>
      <vt:lpstr>NB_1972_Orchestra BioMed Holdin</vt:lpstr>
      <vt:lpstr>NB_1973_Obsidian Therapeutics I</vt:lpstr>
      <vt:lpstr>NB_1974_Owens Corning Inc Commo</vt:lpstr>
      <vt:lpstr>NB_1975_Optical Cable Corporati</vt:lpstr>
      <vt:lpstr>NB_1976_Ocugen Inc. Common Stoc</vt:lpstr>
      <vt:lpstr>NB_1977_Octave Intelligence plc</vt:lpstr>
      <vt:lpstr>NB_1978_Ocular Therapeutix Inc.</vt:lpstr>
      <vt:lpstr>NB_1979_Oil-Dri Corporation Of </vt:lpstr>
      <vt:lpstr>NB_1980_Old Dominion Freight 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2026-10-05T19:45:16Z</dcterms:created>
  <dcterms:modified xsi:type="dcterms:W3CDTF">2026-10-05T19:45:16Z</dcterms:modified>
</cp:coreProperties>
</file>