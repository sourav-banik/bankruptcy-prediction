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1360_Huntington Ingalls Indu" sheetId="2" r:id="rId2"/>
    <sheet name="NB_1603_Kewaunee Scientific Cor" sheetId="3" r:id="rId3"/>
    <sheet name="NB_3102_Valmont Industries Inc." sheetId="4" r:id="rId4"/>
    <sheet name="NB_1320_Granite Construction In" sheetId="5" r:id="rId5"/>
    <sheet name="NB_1849_MDU Resources Group Inc" sheetId="6" r:id="rId6"/>
    <sheet name="NB_1179_FTAI Aviation Ltd. 9.50" sheetId="7" r:id="rId7"/>
    <sheet name="NB_1324_W.W. Grainger Inc. Comm" sheetId="8" r:id="rId8"/>
    <sheet name="NB_1091_First Breach Inc. Commo" sheetId="9" r:id="rId9"/>
    <sheet name="NB_1277_Gold.com Inc. Common St" sheetId="10" r:id="rId10"/>
    <sheet name="NB_331_Armstrong World Industri" sheetId="11" r:id="rId11"/>
    <sheet name="NB_848_Donaldson Company Inc. C" sheetId="12" r:id="rId12"/>
    <sheet name="NB_269_ASA  Gold and Precious M" sheetId="13" r:id="rId13"/>
    <sheet name="NB_1125_FTAI Infrastructure Inc" sheetId="14" r:id="rId14"/>
    <sheet name="NB_3271_Yunhong Green CTI Ltd. " sheetId="15" r:id="rId15"/>
    <sheet name="NB_292_ATI Inc. Common Stock" sheetId="16" r:id="rId16"/>
    <sheet name="NB_380_Belden Inc Common Stock" sheetId="17" r:id="rId17"/>
    <sheet name="NB_2230_PAMT CORP Common Stock" sheetId="18" r:id="rId18"/>
    <sheet name="NB_951_Dycom Industries Inc. Co" sheetId="19" r:id="rId19"/>
    <sheet name="NB_2475_Resideo Technologies In" sheetId="20" r:id="rId20"/>
    <sheet name="NB_1507_Intergroup Corporation " sheetId="21" r:id="rId21"/>
    <sheet name="NB_1583_St. Joe Company (The) C" sheetId="22" r:id="rId22"/>
    <sheet name="NB_221_American Public Educatio" sheetId="23" r:id="rId23"/>
    <sheet name="NB_1280_Gladstone Commercial Co" sheetId="24" r:id="rId24"/>
    <sheet name="NB_53_Adamas Trust Inc. 6.875% " sheetId="25" r:id="rId25"/>
    <sheet name="NB_93_AGNC Investment Corp. Com" sheetId="26" r:id="rId26"/>
    <sheet name="NB_246_Alexandria Real Estate E" sheetId="27" r:id="rId27"/>
    <sheet name="NB_894_Digital Realty Trust Inc" sheetId="28" r:id="rId28"/>
    <sheet name="NB_994_Equity Lifestyle Propert" sheetId="29" r:id="rId29"/>
    <sheet name="NB_1294_Granite Point Mortgage " sheetId="30" r:id="rId30"/>
    <sheet name="NB_1405_Host Hotels &amp; Resorts I" sheetId="31" r:id="rId31"/>
    <sheet name="NB_1558_INVESCO MORTGAGE CAPITA" sheetId="32" r:id="rId32"/>
    <sheet name="NB_2128_NexPoint Residential Tr" sheetId="33" r:id="rId33"/>
    <sheet name="NB_2324_PennyMac Mortgage Inves" sheetId="34" r:id="rId34"/>
    <sheet name="NB_2559_Redwood Trust Inc. 9.12" sheetId="35" r:id="rId35"/>
    <sheet name="NB_2579_Safehold Inc. New Commo" sheetId="36" r:id="rId36"/>
    <sheet name="NB_2689_SL Green Realty Corp Co" sheetId="37" r:id="rId37"/>
    <sheet name="NB_3087_VICI Properties Inc. Co" sheetId="38" r:id="rId38"/>
    <sheet name="NB_3204_W. P. Carey Inc. REIT" sheetId="39" r:id="rId39"/>
    <sheet name="NB_3223_Weyerhaeuser Company Co" sheetId="40" r:id="rId40"/>
    <sheet name="NB_2702_Super Micro Computer In" sheetId="41" r:id="rId41"/>
    <sheet name="NB_308_authID Inc. Common Stock" sheetId="42" r:id="rId42"/>
    <sheet name="NB_354_Bandwidth Inc. Class A C" sheetId="43" r:id="rId43"/>
    <sheet name="NB_435_Bridgeline Digital Inc. " sheetId="44" r:id="rId44"/>
    <sheet name="NB_562_CCC Intelligent Solution" sheetId="45" r:id="rId45"/>
    <sheet name="NB_758_CoreWeave Inc. Class A C" sheetId="46" r:id="rId46"/>
    <sheet name="NB_853_3D Systems Corporation C" sheetId="47" r:id="rId47"/>
    <sheet name="NB_1224_Gen Digital Inc. Common" sheetId="48" r:id="rId48"/>
    <sheet name="NB_2197_Oracle Corporation Comm" sheetId="49" r:id="rId49"/>
    <sheet name="NB_2314_Palantir Technologies I" sheetId="50" r:id="rId50"/>
    <sheet name="NB_2729_Snowflake Inc. Common S" sheetId="51" r:id="rId51"/>
  </sheets>
  <calcPr calcId="124519" fullCalcOnLoad="1"/>
</workbook>
</file>

<file path=xl/sharedStrings.xml><?xml version="1.0" encoding="utf-8"?>
<sst xmlns="http://schemas.openxmlformats.org/spreadsheetml/2006/main" count="3361" uniqueCount="299">
  <si>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</si>
  <si>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</si>
  <si>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</si>
  <si>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</si>
  <si>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</si>
  <si>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</si>
  <si>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</si>
  <si>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</si>
  <si>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</si>
  <si>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</si>
  <si>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</si>
  <si>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NB_1360</t>
  </si>
  <si>
    <t>nonbankrupt</t>
  </si>
  <si>
    <t/>
  </si>
  <si>
    <t>HII</t>
  </si>
  <si>
    <t>Huntington Ingalls Industries Inc. Common Stock</t>
  </si>
  <si>
    <t>Industrials</t>
  </si>
  <si>
    <t>Marine Transportation</t>
  </si>
  <si>
    <t>HII US Equity</t>
  </si>
  <si>
    <t>2021-06-30</t>
  </si>
  <si>
    <t>2016-06-30</t>
  </si>
  <si>
    <t>NB_1603</t>
  </si>
  <si>
    <t>KEQU</t>
  </si>
  <si>
    <t>Kewaunee Scientific Corporation Common Stock</t>
  </si>
  <si>
    <t>Medical Specialities</t>
  </si>
  <si>
    <t>KEQU US Equity</t>
  </si>
  <si>
    <t>NB_3102</t>
  </si>
  <si>
    <t>VMI</t>
  </si>
  <si>
    <t>Valmont Industries Inc. Common Stock</t>
  </si>
  <si>
    <t>Metal Fabrications</t>
  </si>
  <si>
    <t>VMI US Equity</t>
  </si>
  <si>
    <t>NB_1320</t>
  </si>
  <si>
    <t>GVA</t>
  </si>
  <si>
    <t>Granite Construction Incorporated Common Stock</t>
  </si>
  <si>
    <t>Military/Government/Technical</t>
  </si>
  <si>
    <t>GVA US Equity</t>
  </si>
  <si>
    <t>NB_1849</t>
  </si>
  <si>
    <t>MDU</t>
  </si>
  <si>
    <t>MDU Resources Group Inc. Common Stock (Holding Company)</t>
  </si>
  <si>
    <t>Mining &amp; Quarrying of Nonmetallic Minerals (No Fuels)</t>
  </si>
  <si>
    <t>MDU US Equity</t>
  </si>
  <si>
    <t>NB_1179</t>
  </si>
  <si>
    <t>FTAIM</t>
  </si>
  <si>
    <t>FTAI Aviation Ltd. 9.500% Fixed-Rate Reset Series D Cumulative Perpetual Redeemable Preferred Shares</t>
  </si>
  <si>
    <t>Misc Corporate Leasing Services</t>
  </si>
  <si>
    <t>FTAIM US Equity</t>
  </si>
  <si>
    <t>NB_1324</t>
  </si>
  <si>
    <t>GWW</t>
  </si>
  <si>
    <t>W.W. Grainger Inc. Common Stock</t>
  </si>
  <si>
    <t>Office Equipment/Supplies/Services</t>
  </si>
  <si>
    <t>GWW US Equity</t>
  </si>
  <si>
    <t>NB_1091</t>
  </si>
  <si>
    <t>FBDT</t>
  </si>
  <si>
    <t>First Breach Inc. Common Stock</t>
  </si>
  <si>
    <t>Ordnance And Accessories</t>
  </si>
  <si>
    <t>FBDT US Equity</t>
  </si>
  <si>
    <t>NB_1277</t>
  </si>
  <si>
    <t>GOLD</t>
  </si>
  <si>
    <t>Gold.com Inc. Common Stock</t>
  </si>
  <si>
    <t>Other Specialty Stores</t>
  </si>
  <si>
    <t>GOLD US Equity</t>
  </si>
  <si>
    <t>NB_331</t>
  </si>
  <si>
    <t>AWI</t>
  </si>
  <si>
    <t>Armstrong World Industries Inc Common Stock</t>
  </si>
  <si>
    <t>Plastic Products</t>
  </si>
  <si>
    <t>AWI US Equity</t>
  </si>
  <si>
    <t>NB_848</t>
  </si>
  <si>
    <t>DCI</t>
  </si>
  <si>
    <t>Donaldson Company Inc. Common Stock</t>
  </si>
  <si>
    <t>Pollution Control Equipment</t>
  </si>
  <si>
    <t>DCI US Equity</t>
  </si>
  <si>
    <t>NB_269</t>
  </si>
  <si>
    <t>ASA</t>
  </si>
  <si>
    <t>ASA  Gold and Precious Metals Limited</t>
  </si>
  <si>
    <t>Precious Metals</t>
  </si>
  <si>
    <t>ASA US Equity</t>
  </si>
  <si>
    <t>NB_1125</t>
  </si>
  <si>
    <t>FIP</t>
  </si>
  <si>
    <t>FTAI Infrastructure Inc. Common Stock</t>
  </si>
  <si>
    <t>Railroads</t>
  </si>
  <si>
    <t>FIP US Equity</t>
  </si>
  <si>
    <t>NB_3271</t>
  </si>
  <si>
    <t>YHGJ</t>
  </si>
  <si>
    <t>Yunhong Green CTI Ltd. Common Stock</t>
  </si>
  <si>
    <t>Specialty Chemicals</t>
  </si>
  <si>
    <t>YHGJ US Equity</t>
  </si>
  <si>
    <t>NB_292</t>
  </si>
  <si>
    <t>ATI</t>
  </si>
  <si>
    <t>ATI Inc. Common Stock</t>
  </si>
  <si>
    <t>Steel/Iron Ore</t>
  </si>
  <si>
    <t>ATI US Equity</t>
  </si>
  <si>
    <t>NB_380</t>
  </si>
  <si>
    <t>BDC</t>
  </si>
  <si>
    <t>Belden Inc Common Stock</t>
  </si>
  <si>
    <t>Telecommunications Equipment</t>
  </si>
  <si>
    <t>BDC US Equity</t>
  </si>
  <si>
    <t>NB_2230</t>
  </si>
  <si>
    <t>PAMT</t>
  </si>
  <si>
    <t>PAMT CORP Common Stock</t>
  </si>
  <si>
    <t>Trucking Freight/Courier Services</t>
  </si>
  <si>
    <t>PAMT US Equity</t>
  </si>
  <si>
    <t>NB_951</t>
  </si>
  <si>
    <t>DY</t>
  </si>
  <si>
    <t>Dycom Industries Inc. Common Stock</t>
  </si>
  <si>
    <t>Water Sewer Pipeline Comm &amp; Power Line Construction</t>
  </si>
  <si>
    <t>DY US Equity</t>
  </si>
  <si>
    <t>NB_2475</t>
  </si>
  <si>
    <t>REZI</t>
  </si>
  <si>
    <t>Resideo Technologies Inc. Common Stock</t>
  </si>
  <si>
    <t>Wholesale Distributors</t>
  </si>
  <si>
    <t>REZI US Equity</t>
  </si>
  <si>
    <t>NB_1507</t>
  </si>
  <si>
    <t>INTG</t>
  </si>
  <si>
    <t>Intergroup Corporation (The) Common Stock</t>
  </si>
  <si>
    <t>Real Estate</t>
  </si>
  <si>
    <t>Building operators</t>
  </si>
  <si>
    <t>INTG US Equity</t>
  </si>
  <si>
    <t>NB_1583</t>
  </si>
  <si>
    <t>JOE</t>
  </si>
  <si>
    <t>St. Joe Company (The) Common Stock</t>
  </si>
  <si>
    <t>Homebuilding</t>
  </si>
  <si>
    <t>JOE US Equity</t>
  </si>
  <si>
    <t>NB_221</t>
  </si>
  <si>
    <t>APEI</t>
  </si>
  <si>
    <t>American Public Education Inc. Common Stock</t>
  </si>
  <si>
    <t>Other Consumer Services</t>
  </si>
  <si>
    <t>APEI US Equity</t>
  </si>
  <si>
    <t>NB_1280</t>
  </si>
  <si>
    <t>GOODN</t>
  </si>
  <si>
    <t>Gladstone Commercial Corporation 6.625% Series E Cumulative Redeemable Preferred Stock</t>
  </si>
  <si>
    <t>GOODN US Equity</t>
  </si>
  <si>
    <t>NB_53</t>
  </si>
  <si>
    <t>ADAML</t>
  </si>
  <si>
    <t>Adamas Trust Inc. 6.875% Series F Fixed-to-Floating Rate Cumulative Redeemable Preferred Stock $0.01 par value per share</t>
  </si>
  <si>
    <t>Real Estate Investment Trusts</t>
  </si>
  <si>
    <t>ADAML US Equity</t>
  </si>
  <si>
    <t>NB_93</t>
  </si>
  <si>
    <t>AGNC</t>
  </si>
  <si>
    <t>AGNC Investment Corp. Common Stock</t>
  </si>
  <si>
    <t>AGNC US Equity</t>
  </si>
  <si>
    <t>NB_246</t>
  </si>
  <si>
    <t>ARE</t>
  </si>
  <si>
    <t>Alexandria Real Estate Equities Inc. Common Stock</t>
  </si>
  <si>
    <t>ARE US Equity</t>
  </si>
  <si>
    <t>NB_894</t>
  </si>
  <si>
    <t>DLR</t>
  </si>
  <si>
    <t>Digital Realty Trust Inc. Common Stock</t>
  </si>
  <si>
    <t>DLR US Equity</t>
  </si>
  <si>
    <t>NB_994</t>
  </si>
  <si>
    <t>ELS</t>
  </si>
  <si>
    <t>Equity Lifestyle Properties Inc. Common Stock</t>
  </si>
  <si>
    <t>ELS US Equity</t>
  </si>
  <si>
    <t>NB_1294</t>
  </si>
  <si>
    <t>GPMT</t>
  </si>
  <si>
    <t>Granite Point Mortgage Trust Inc. Common Stock</t>
  </si>
  <si>
    <t>GPMT US Equity</t>
  </si>
  <si>
    <t>NB_1405</t>
  </si>
  <si>
    <t>HST</t>
  </si>
  <si>
    <t>Host Hotels &amp; Resorts Inc. Common Stock</t>
  </si>
  <si>
    <t>HST US Equity</t>
  </si>
  <si>
    <t>NB_1558</t>
  </si>
  <si>
    <t>IVR</t>
  </si>
  <si>
    <t>INVESCO MORTGAGE CAPITAL INC Common Stock</t>
  </si>
  <si>
    <t>IVR US Equity</t>
  </si>
  <si>
    <t>NB_2128</t>
  </si>
  <si>
    <t>NXRT</t>
  </si>
  <si>
    <t>NexPoint Residential Trust Inc. Common Stock</t>
  </si>
  <si>
    <t>NXRT US Equity</t>
  </si>
  <si>
    <t>NB_2324</t>
  </si>
  <si>
    <t>PMTV</t>
  </si>
  <si>
    <t>PennyMac Mortgage Investment Trust 9.00% Senior Notes due 2030</t>
  </si>
  <si>
    <t>PMTV US Equity</t>
  </si>
  <si>
    <t>NB_2559</t>
  </si>
  <si>
    <t>RWTN</t>
  </si>
  <si>
    <t>Redwood Trust Inc. 9.125% Senior Notes Due 2029</t>
  </si>
  <si>
    <t>RWTN US Equity</t>
  </si>
  <si>
    <t>NB_2579</t>
  </si>
  <si>
    <t>SAFE</t>
  </si>
  <si>
    <t>Safehold Inc. New Common Stock</t>
  </si>
  <si>
    <t>SAFE US Equity</t>
  </si>
  <si>
    <t>NB_2689</t>
  </si>
  <si>
    <t>SLG</t>
  </si>
  <si>
    <t>SL Green Realty Corp Common Stock</t>
  </si>
  <si>
    <t>SLG US Equity</t>
  </si>
  <si>
    <t>NB_3087</t>
  </si>
  <si>
    <t>VICI</t>
  </si>
  <si>
    <t>VICI Properties Inc. Common Stock</t>
  </si>
  <si>
    <t>VICI US Equity</t>
  </si>
  <si>
    <t>NB_3204</t>
  </si>
  <si>
    <t>WPC</t>
  </si>
  <si>
    <t>W. P. Carey Inc. REIT</t>
  </si>
  <si>
    <t>WPC US Equity</t>
  </si>
  <si>
    <t>NB_3223</t>
  </si>
  <si>
    <t>WY</t>
  </si>
  <si>
    <t>Weyerhaeuser Company Common Stock</t>
  </si>
  <si>
    <t>WY US Equity</t>
  </si>
  <si>
    <t>NB_2702</t>
  </si>
  <si>
    <t>SMCI</t>
  </si>
  <si>
    <t>Super Micro Computer Inc. Common Stock</t>
  </si>
  <si>
    <t>Technology</t>
  </si>
  <si>
    <t>Computer Manufacturing</t>
  </si>
  <si>
    <t>SMCI US Equity</t>
  </si>
  <si>
    <t>NB_308</t>
  </si>
  <si>
    <t>AUID</t>
  </si>
  <si>
    <t>authID Inc. Common Stock</t>
  </si>
  <si>
    <t>Computer Software: Prepackaged Software</t>
  </si>
  <si>
    <t>AUID US Equity</t>
  </si>
  <si>
    <t>NB_354</t>
  </si>
  <si>
    <t>BAND</t>
  </si>
  <si>
    <t>Bandwidth Inc. Class A Common Stock</t>
  </si>
  <si>
    <t>BAND US Equity</t>
  </si>
  <si>
    <t>NB_435</t>
  </si>
  <si>
    <t>BLIN</t>
  </si>
  <si>
    <t>Bridgeline Digital Inc. Common Stock</t>
  </si>
  <si>
    <t>BLIN US Equity</t>
  </si>
  <si>
    <t>NB_562</t>
  </si>
  <si>
    <t>CCC</t>
  </si>
  <si>
    <t>CCC Intelligent Solutions Holdings Inc. Common Stock</t>
  </si>
  <si>
    <t>CCC US Equity</t>
  </si>
  <si>
    <t>NB_758</t>
  </si>
  <si>
    <t>CRWV</t>
  </si>
  <si>
    <t>CoreWeave Inc. Class A Common Stock</t>
  </si>
  <si>
    <t>CRWV US Equity</t>
  </si>
  <si>
    <t>NB_853</t>
  </si>
  <si>
    <t>DDD</t>
  </si>
  <si>
    <t>3D Systems Corporation Common Stock</t>
  </si>
  <si>
    <t>DDD US Equity</t>
  </si>
  <si>
    <t>NB_1224</t>
  </si>
  <si>
    <t>GEN</t>
  </si>
  <si>
    <t>Gen Digital Inc. Common Stock</t>
  </si>
  <si>
    <t>GEN US Equity</t>
  </si>
  <si>
    <t>NB_2197</t>
  </si>
  <si>
    <t>ORCL</t>
  </si>
  <si>
    <t>Oracle Corporation Common Stock</t>
  </si>
  <si>
    <t>ORCL US Equity</t>
  </si>
  <si>
    <t>NB_2314</t>
  </si>
  <si>
    <t>PLTR</t>
  </si>
  <si>
    <t>Palantir Technologies Inc. Class A Common Stock</t>
  </si>
  <si>
    <t>PLTR US Equity</t>
  </si>
  <si>
    <t>NB_2729</t>
  </si>
  <si>
    <t>SNOW</t>
  </si>
  <si>
    <t>Snowflake Inc. Common Stock</t>
  </si>
  <si>
    <t>SNOW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</si>
  <si>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</si>
  <si>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</si>
  <si>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</si>
  <si>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</si>
  <si>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</si>
  <si>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</si>
  <si>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</si>
  <si>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</si>
  <si>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</si>
  <si>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</si>
  <si>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</si>
  <si>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</si>
  <si>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</si>
  <si>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</si>
  <si>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</si>
  <si>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</si>
  <si>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</si>
  <si>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</si>
  <si>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</si>
  <si>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</si>
  <si>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</si>
  <si>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</si>
  <si>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</si>
  <si>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</si>
  <si>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</si>
  <si>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</si>
  <si>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</si>
  <si>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</si>
  <si>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</si>
  <si>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</si>
  <si>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</si>
  <si>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</si>
  <si>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</si>
  <si>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</si>
  <si>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</si>
  <si>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</si>
  <si>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</si>
  <si>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</si>
  <si>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</si>
  <si>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</si>
  <si>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</si>
  <si>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</si>
  <si>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</si>
  <si>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</si>
  <si>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</si>
  <si>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</si>
  <si>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</si>
  <si>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</si>
  <si>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beta_Date</t>
  </si>
  <si>
    <t>beta_Value</t>
  </si>
  <si>
    <t>volume_Date</t>
  </si>
  <si>
    <t>volume_Value</t>
  </si>
  <si>
    <t>turnover_Date</t>
  </si>
  <si>
    <t>turnover_Value</t>
  </si>
  <si>
    <t>bid_ask_spread_Date</t>
  </si>
  <si>
    <t>bid_ask_spread_Value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</si>
</sst>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theme" Target="theme/theme1.xml"/><Relationship Id="rId53" Type="http://schemas.openxmlformats.org/officeDocument/2006/relationships/styles" Target="styles.xml"/><Relationship Id="rId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51"/>
  <sheetViews>
    <sheetView tabSelected="1" workbookViewId="0"/>
  </sheetViews>
  <sheetFormatPr defaultRowHeight="15"/>
  <cols>
    <col min="1" max="11" width="18.710937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19</v>
      </c>
    </row>
    <row r="3" spans="1:11">
      <c r="A3" t="s">
        <v>21</v>
      </c>
      <c r="B3" t="s">
        <v>12</v>
      </c>
      <c r="C3" t="s">
        <v>13</v>
      </c>
      <c r="D3" t="s">
        <v>22</v>
      </c>
      <c r="E3" t="s">
        <v>23</v>
      </c>
      <c r="F3" t="s">
        <v>16</v>
      </c>
      <c r="G3" t="s">
        <v>24</v>
      </c>
      <c r="H3" t="s">
        <v>25</v>
      </c>
      <c r="I3" t="s">
        <v>19</v>
      </c>
      <c r="J3" t="s">
        <v>20</v>
      </c>
      <c r="K3" t="s">
        <v>19</v>
      </c>
    </row>
    <row r="4" spans="1:11">
      <c r="A4" t="s">
        <v>26</v>
      </c>
      <c r="B4" t="s">
        <v>12</v>
      </c>
      <c r="C4" t="s">
        <v>13</v>
      </c>
      <c r="D4" t="s">
        <v>27</v>
      </c>
      <c r="E4" t="s">
        <v>28</v>
      </c>
      <c r="F4" t="s">
        <v>16</v>
      </c>
      <c r="G4" t="s">
        <v>29</v>
      </c>
      <c r="H4" t="s">
        <v>30</v>
      </c>
      <c r="I4" t="s">
        <v>19</v>
      </c>
      <c r="J4" t="s">
        <v>20</v>
      </c>
      <c r="K4" t="s">
        <v>19</v>
      </c>
    </row>
    <row r="5" spans="1:11">
      <c r="A5" t="s">
        <v>31</v>
      </c>
      <c r="B5" t="s">
        <v>12</v>
      </c>
      <c r="C5" t="s">
        <v>13</v>
      </c>
      <c r="D5" t="s">
        <v>32</v>
      </c>
      <c r="E5" t="s">
        <v>33</v>
      </c>
      <c r="F5" t="s">
        <v>16</v>
      </c>
      <c r="G5" t="s">
        <v>34</v>
      </c>
      <c r="H5" t="s">
        <v>35</v>
      </c>
      <c r="I5" t="s">
        <v>19</v>
      </c>
      <c r="J5" t="s">
        <v>20</v>
      </c>
      <c r="K5" t="s">
        <v>19</v>
      </c>
    </row>
    <row r="6" spans="1:11">
      <c r="A6" t="s">
        <v>36</v>
      </c>
      <c r="B6" t="s">
        <v>12</v>
      </c>
      <c r="C6" t="s">
        <v>13</v>
      </c>
      <c r="D6" t="s">
        <v>37</v>
      </c>
      <c r="E6" t="s">
        <v>38</v>
      </c>
      <c r="F6" t="s">
        <v>16</v>
      </c>
      <c r="G6" t="s">
        <v>39</v>
      </c>
      <c r="H6" t="s">
        <v>40</v>
      </c>
      <c r="I6" t="s">
        <v>19</v>
      </c>
      <c r="J6" t="s">
        <v>20</v>
      </c>
      <c r="K6" t="s">
        <v>19</v>
      </c>
    </row>
    <row r="7" spans="1:11">
      <c r="A7" t="s">
        <v>41</v>
      </c>
      <c r="B7" t="s">
        <v>12</v>
      </c>
      <c r="C7" t="s">
        <v>13</v>
      </c>
      <c r="D7" t="s">
        <v>42</v>
      </c>
      <c r="E7" t="s">
        <v>43</v>
      </c>
      <c r="F7" t="s">
        <v>16</v>
      </c>
      <c r="G7" t="s">
        <v>44</v>
      </c>
      <c r="H7" t="s">
        <v>45</v>
      </c>
      <c r="I7" t="s">
        <v>19</v>
      </c>
      <c r="J7" t="s">
        <v>20</v>
      </c>
      <c r="K7" t="s">
        <v>19</v>
      </c>
    </row>
    <row r="8" spans="1:11">
      <c r="A8" t="s">
        <v>46</v>
      </c>
      <c r="B8" t="s">
        <v>12</v>
      </c>
      <c r="C8" t="s">
        <v>13</v>
      </c>
      <c r="D8" t="s">
        <v>47</v>
      </c>
      <c r="E8" t="s">
        <v>48</v>
      </c>
      <c r="F8" t="s">
        <v>16</v>
      </c>
      <c r="G8" t="s">
        <v>49</v>
      </c>
      <c r="H8" t="s">
        <v>50</v>
      </c>
      <c r="I8" t="s">
        <v>19</v>
      </c>
      <c r="J8" t="s">
        <v>20</v>
      </c>
      <c r="K8" t="s">
        <v>19</v>
      </c>
    </row>
    <row r="9" spans="1:11">
      <c r="A9" t="s">
        <v>51</v>
      </c>
      <c r="B9" t="s">
        <v>12</v>
      </c>
      <c r="C9" t="s">
        <v>13</v>
      </c>
      <c r="D9" t="s">
        <v>52</v>
      </c>
      <c r="E9" t="s">
        <v>53</v>
      </c>
      <c r="F9" t="s">
        <v>16</v>
      </c>
      <c r="G9" t="s">
        <v>54</v>
      </c>
      <c r="H9" t="s">
        <v>55</v>
      </c>
      <c r="I9" t="s">
        <v>19</v>
      </c>
      <c r="J9" t="s">
        <v>20</v>
      </c>
      <c r="K9" t="s">
        <v>19</v>
      </c>
    </row>
    <row r="10" spans="1:11">
      <c r="A10" t="s">
        <v>56</v>
      </c>
      <c r="B10" t="s">
        <v>12</v>
      </c>
      <c r="C10" t="s">
        <v>13</v>
      </c>
      <c r="D10" t="s">
        <v>57</v>
      </c>
      <c r="E10" t="s">
        <v>58</v>
      </c>
      <c r="F10" t="s">
        <v>16</v>
      </c>
      <c r="G10" t="s">
        <v>59</v>
      </c>
      <c r="H10" t="s">
        <v>60</v>
      </c>
      <c r="I10" t="s">
        <v>19</v>
      </c>
      <c r="J10" t="s">
        <v>20</v>
      </c>
      <c r="K10" t="s">
        <v>19</v>
      </c>
    </row>
    <row r="11" spans="1:11">
      <c r="A11" t="s">
        <v>61</v>
      </c>
      <c r="B11" t="s">
        <v>12</v>
      </c>
      <c r="C11" t="s">
        <v>13</v>
      </c>
      <c r="D11" t="s">
        <v>62</v>
      </c>
      <c r="E11" t="s">
        <v>63</v>
      </c>
      <c r="F11" t="s">
        <v>16</v>
      </c>
      <c r="G11" t="s">
        <v>64</v>
      </c>
      <c r="H11" t="s">
        <v>65</v>
      </c>
      <c r="I11" t="s">
        <v>19</v>
      </c>
      <c r="J11" t="s">
        <v>20</v>
      </c>
      <c r="K11" t="s">
        <v>19</v>
      </c>
    </row>
    <row r="12" spans="1:11">
      <c r="A12" t="s">
        <v>66</v>
      </c>
      <c r="B12" t="s">
        <v>12</v>
      </c>
      <c r="C12" t="s">
        <v>13</v>
      </c>
      <c r="D12" t="s">
        <v>67</v>
      </c>
      <c r="E12" t="s">
        <v>68</v>
      </c>
      <c r="F12" t="s">
        <v>16</v>
      </c>
      <c r="G12" t="s">
        <v>69</v>
      </c>
      <c r="H12" t="s">
        <v>70</v>
      </c>
      <c r="I12" t="s">
        <v>19</v>
      </c>
      <c r="J12" t="s">
        <v>20</v>
      </c>
      <c r="K12" t="s">
        <v>19</v>
      </c>
    </row>
    <row r="13" spans="1:11">
      <c r="A13" t="s">
        <v>71</v>
      </c>
      <c r="B13" t="s">
        <v>12</v>
      </c>
      <c r="C13" t="s">
        <v>13</v>
      </c>
      <c r="D13" t="s">
        <v>72</v>
      </c>
      <c r="E13" t="s">
        <v>73</v>
      </c>
      <c r="F13" t="s">
        <v>16</v>
      </c>
      <c r="G13" t="s">
        <v>74</v>
      </c>
      <c r="H13" t="s">
        <v>75</v>
      </c>
      <c r="I13" t="s">
        <v>19</v>
      </c>
      <c r="J13" t="s">
        <v>20</v>
      </c>
      <c r="K13" t="s">
        <v>19</v>
      </c>
    </row>
    <row r="14" spans="1:11">
      <c r="A14" t="s">
        <v>76</v>
      </c>
      <c r="B14" t="s">
        <v>12</v>
      </c>
      <c r="C14" t="s">
        <v>13</v>
      </c>
      <c r="D14" t="s">
        <v>77</v>
      </c>
      <c r="E14" t="s">
        <v>78</v>
      </c>
      <c r="F14" t="s">
        <v>16</v>
      </c>
      <c r="G14" t="s">
        <v>79</v>
      </c>
      <c r="H14" t="s">
        <v>80</v>
      </c>
      <c r="I14" t="s">
        <v>19</v>
      </c>
      <c r="J14" t="s">
        <v>20</v>
      </c>
      <c r="K14" t="s">
        <v>19</v>
      </c>
    </row>
    <row r="15" spans="1:11">
      <c r="A15" t="s">
        <v>81</v>
      </c>
      <c r="B15" t="s">
        <v>12</v>
      </c>
      <c r="C15" t="s">
        <v>13</v>
      </c>
      <c r="D15" t="s">
        <v>82</v>
      </c>
      <c r="E15" t="s">
        <v>83</v>
      </c>
      <c r="F15" t="s">
        <v>16</v>
      </c>
      <c r="G15" t="s">
        <v>84</v>
      </c>
      <c r="H15" t="s">
        <v>85</v>
      </c>
      <c r="I15" t="s">
        <v>19</v>
      </c>
      <c r="J15" t="s">
        <v>20</v>
      </c>
      <c r="K15" t="s">
        <v>19</v>
      </c>
    </row>
    <row r="16" spans="1:11">
      <c r="A16" t="s">
        <v>86</v>
      </c>
      <c r="B16" t="s">
        <v>12</v>
      </c>
      <c r="C16" t="s">
        <v>13</v>
      </c>
      <c r="D16" t="s">
        <v>87</v>
      </c>
      <c r="E16" t="s">
        <v>88</v>
      </c>
      <c r="F16" t="s">
        <v>16</v>
      </c>
      <c r="G16" t="s">
        <v>89</v>
      </c>
      <c r="H16" t="s">
        <v>90</v>
      </c>
      <c r="I16" t="s">
        <v>19</v>
      </c>
      <c r="J16" t="s">
        <v>20</v>
      </c>
      <c r="K16" t="s">
        <v>19</v>
      </c>
    </row>
    <row r="17" spans="1:11">
      <c r="A17" t="s">
        <v>91</v>
      </c>
      <c r="B17" t="s">
        <v>12</v>
      </c>
      <c r="C17" t="s">
        <v>13</v>
      </c>
      <c r="D17" t="s">
        <v>92</v>
      </c>
      <c r="E17" t="s">
        <v>93</v>
      </c>
      <c r="F17" t="s">
        <v>16</v>
      </c>
      <c r="G17" t="s">
        <v>94</v>
      </c>
      <c r="H17" t="s">
        <v>95</v>
      </c>
      <c r="I17" t="s">
        <v>19</v>
      </c>
      <c r="J17" t="s">
        <v>20</v>
      </c>
      <c r="K17" t="s">
        <v>19</v>
      </c>
    </row>
    <row r="18" spans="1:11">
      <c r="A18" t="s">
        <v>96</v>
      </c>
      <c r="B18" t="s">
        <v>12</v>
      </c>
      <c r="C18" t="s">
        <v>13</v>
      </c>
      <c r="D18" t="s">
        <v>97</v>
      </c>
      <c r="E18" t="s">
        <v>98</v>
      </c>
      <c r="F18" t="s">
        <v>16</v>
      </c>
      <c r="G18" t="s">
        <v>99</v>
      </c>
      <c r="H18" t="s">
        <v>100</v>
      </c>
      <c r="I18" t="s">
        <v>19</v>
      </c>
      <c r="J18" t="s">
        <v>20</v>
      </c>
      <c r="K18" t="s">
        <v>19</v>
      </c>
    </row>
    <row r="19" spans="1:11">
      <c r="A19" t="s">
        <v>101</v>
      </c>
      <c r="B19" t="s">
        <v>12</v>
      </c>
      <c r="C19" t="s">
        <v>13</v>
      </c>
      <c r="D19" t="s">
        <v>102</v>
      </c>
      <c r="E19" t="s">
        <v>103</v>
      </c>
      <c r="F19" t="s">
        <v>16</v>
      </c>
      <c r="G19" t="s">
        <v>104</v>
      </c>
      <c r="H19" t="s">
        <v>105</v>
      </c>
      <c r="I19" t="s">
        <v>19</v>
      </c>
      <c r="J19" t="s">
        <v>20</v>
      </c>
      <c r="K19" t="s">
        <v>19</v>
      </c>
    </row>
    <row r="20" spans="1:11">
      <c r="A20" t="s">
        <v>106</v>
      </c>
      <c r="B20" t="s">
        <v>12</v>
      </c>
      <c r="C20" t="s">
        <v>13</v>
      </c>
      <c r="D20" t="s">
        <v>107</v>
      </c>
      <c r="E20" t="s">
        <v>108</v>
      </c>
      <c r="F20" t="s">
        <v>16</v>
      </c>
      <c r="G20" t="s">
        <v>109</v>
      </c>
      <c r="H20" t="s">
        <v>110</v>
      </c>
      <c r="I20" t="s">
        <v>19</v>
      </c>
      <c r="J20" t="s">
        <v>20</v>
      </c>
      <c r="K20" t="s">
        <v>19</v>
      </c>
    </row>
    <row r="21" spans="1:11">
      <c r="A21" t="s">
        <v>111</v>
      </c>
      <c r="B21" t="s">
        <v>12</v>
      </c>
      <c r="C21" t="s">
        <v>13</v>
      </c>
      <c r="D21" t="s">
        <v>112</v>
      </c>
      <c r="E21" t="s">
        <v>113</v>
      </c>
      <c r="F21" t="s">
        <v>114</v>
      </c>
      <c r="G21" t="s">
        <v>115</v>
      </c>
      <c r="H21" t="s">
        <v>116</v>
      </c>
      <c r="I21" t="s">
        <v>19</v>
      </c>
      <c r="J21" t="s">
        <v>20</v>
      </c>
      <c r="K21" t="s">
        <v>19</v>
      </c>
    </row>
    <row r="22" spans="1:11">
      <c r="A22" t="s">
        <v>117</v>
      </c>
      <c r="B22" t="s">
        <v>12</v>
      </c>
      <c r="C22" t="s">
        <v>13</v>
      </c>
      <c r="D22" t="s">
        <v>118</v>
      </c>
      <c r="E22" t="s">
        <v>119</v>
      </c>
      <c r="F22" t="s">
        <v>114</v>
      </c>
      <c r="G22" t="s">
        <v>120</v>
      </c>
      <c r="H22" t="s">
        <v>121</v>
      </c>
      <c r="I22" t="s">
        <v>19</v>
      </c>
      <c r="J22" t="s">
        <v>20</v>
      </c>
      <c r="K22" t="s">
        <v>19</v>
      </c>
    </row>
    <row r="23" spans="1:11">
      <c r="A23" t="s">
        <v>122</v>
      </c>
      <c r="B23" t="s">
        <v>12</v>
      </c>
      <c r="C23" t="s">
        <v>13</v>
      </c>
      <c r="D23" t="s">
        <v>123</v>
      </c>
      <c r="E23" t="s">
        <v>124</v>
      </c>
      <c r="F23" t="s">
        <v>114</v>
      </c>
      <c r="G23" t="s">
        <v>125</v>
      </c>
      <c r="H23" t="s">
        <v>126</v>
      </c>
      <c r="I23" t="s">
        <v>19</v>
      </c>
      <c r="J23" t="s">
        <v>20</v>
      </c>
      <c r="K23" t="s">
        <v>19</v>
      </c>
    </row>
    <row r="24" spans="1:11">
      <c r="A24" t="s">
        <v>127</v>
      </c>
      <c r="B24" t="s">
        <v>12</v>
      </c>
      <c r="C24" t="s">
        <v>13</v>
      </c>
      <c r="D24" t="s">
        <v>128</v>
      </c>
      <c r="E24" t="s">
        <v>129</v>
      </c>
      <c r="F24" t="s">
        <v>114</v>
      </c>
      <c r="G24" t="s">
        <v>114</v>
      </c>
      <c r="H24" t="s">
        <v>130</v>
      </c>
      <c r="I24" t="s">
        <v>19</v>
      </c>
      <c r="J24" t="s">
        <v>20</v>
      </c>
      <c r="K24" t="s">
        <v>19</v>
      </c>
    </row>
    <row r="25" spans="1:11">
      <c r="A25" t="s">
        <v>131</v>
      </c>
      <c r="B25" t="s">
        <v>12</v>
      </c>
      <c r="C25" t="s">
        <v>13</v>
      </c>
      <c r="D25" t="s">
        <v>132</v>
      </c>
      <c r="E25" t="s">
        <v>133</v>
      </c>
      <c r="F25" t="s">
        <v>114</v>
      </c>
      <c r="G25" t="s">
        <v>134</v>
      </c>
      <c r="H25" t="s">
        <v>135</v>
      </c>
      <c r="I25" t="s">
        <v>19</v>
      </c>
      <c r="J25" t="s">
        <v>20</v>
      </c>
      <c r="K25" t="s">
        <v>19</v>
      </c>
    </row>
    <row r="26" spans="1:11">
      <c r="A26" t="s">
        <v>136</v>
      </c>
      <c r="B26" t="s">
        <v>12</v>
      </c>
      <c r="C26" t="s">
        <v>13</v>
      </c>
      <c r="D26" t="s">
        <v>137</v>
      </c>
      <c r="E26" t="s">
        <v>138</v>
      </c>
      <c r="F26" t="s">
        <v>114</v>
      </c>
      <c r="G26" t="s">
        <v>134</v>
      </c>
      <c r="H26" t="s">
        <v>139</v>
      </c>
      <c r="I26" t="s">
        <v>19</v>
      </c>
      <c r="J26" t="s">
        <v>20</v>
      </c>
      <c r="K26" t="s">
        <v>19</v>
      </c>
    </row>
    <row r="27" spans="1:11">
      <c r="A27" t="s">
        <v>140</v>
      </c>
      <c r="B27" t="s">
        <v>12</v>
      </c>
      <c r="C27" t="s">
        <v>13</v>
      </c>
      <c r="D27" t="s">
        <v>141</v>
      </c>
      <c r="E27" t="s">
        <v>142</v>
      </c>
      <c r="F27" t="s">
        <v>114</v>
      </c>
      <c r="G27" t="s">
        <v>134</v>
      </c>
      <c r="H27" t="s">
        <v>143</v>
      </c>
      <c r="I27" t="s">
        <v>19</v>
      </c>
      <c r="J27" t="s">
        <v>20</v>
      </c>
      <c r="K27" t="s">
        <v>19</v>
      </c>
    </row>
    <row r="28" spans="1:11">
      <c r="A28" t="s">
        <v>144</v>
      </c>
      <c r="B28" t="s">
        <v>12</v>
      </c>
      <c r="C28" t="s">
        <v>13</v>
      </c>
      <c r="D28" t="s">
        <v>145</v>
      </c>
      <c r="E28" t="s">
        <v>146</v>
      </c>
      <c r="F28" t="s">
        <v>114</v>
      </c>
      <c r="G28" t="s">
        <v>134</v>
      </c>
      <c r="H28" t="s">
        <v>147</v>
      </c>
      <c r="I28" t="s">
        <v>19</v>
      </c>
      <c r="J28" t="s">
        <v>20</v>
      </c>
      <c r="K28" t="s">
        <v>19</v>
      </c>
    </row>
    <row r="29" spans="1:11">
      <c r="A29" t="s">
        <v>148</v>
      </c>
      <c r="B29" t="s">
        <v>12</v>
      </c>
      <c r="C29" t="s">
        <v>13</v>
      </c>
      <c r="D29" t="s">
        <v>149</v>
      </c>
      <c r="E29" t="s">
        <v>150</v>
      </c>
      <c r="F29" t="s">
        <v>114</v>
      </c>
      <c r="G29" t="s">
        <v>134</v>
      </c>
      <c r="H29" t="s">
        <v>151</v>
      </c>
      <c r="I29" t="s">
        <v>19</v>
      </c>
      <c r="J29" t="s">
        <v>20</v>
      </c>
      <c r="K29" t="s">
        <v>19</v>
      </c>
    </row>
    <row r="30" spans="1:11">
      <c r="A30" t="s">
        <v>152</v>
      </c>
      <c r="B30" t="s">
        <v>12</v>
      </c>
      <c r="C30" t="s">
        <v>13</v>
      </c>
      <c r="D30" t="s">
        <v>153</v>
      </c>
      <c r="E30" t="s">
        <v>154</v>
      </c>
      <c r="F30" t="s">
        <v>114</v>
      </c>
      <c r="G30" t="s">
        <v>134</v>
      </c>
      <c r="H30" t="s">
        <v>155</v>
      </c>
      <c r="I30" t="s">
        <v>19</v>
      </c>
      <c r="J30" t="s">
        <v>20</v>
      </c>
      <c r="K30" t="s">
        <v>19</v>
      </c>
    </row>
    <row r="31" spans="1:11">
      <c r="A31" t="s">
        <v>156</v>
      </c>
      <c r="B31" t="s">
        <v>12</v>
      </c>
      <c r="C31" t="s">
        <v>13</v>
      </c>
      <c r="D31" t="s">
        <v>157</v>
      </c>
      <c r="E31" t="s">
        <v>158</v>
      </c>
      <c r="F31" t="s">
        <v>114</v>
      </c>
      <c r="G31" t="s">
        <v>134</v>
      </c>
      <c r="H31" t="s">
        <v>159</v>
      </c>
      <c r="I31" t="s">
        <v>19</v>
      </c>
      <c r="J31" t="s">
        <v>20</v>
      </c>
      <c r="K31" t="s">
        <v>19</v>
      </c>
    </row>
    <row r="32" spans="1:11">
      <c r="A32" t="s">
        <v>160</v>
      </c>
      <c r="B32" t="s">
        <v>12</v>
      </c>
      <c r="C32" t="s">
        <v>13</v>
      </c>
      <c r="D32" t="s">
        <v>161</v>
      </c>
      <c r="E32" t="s">
        <v>162</v>
      </c>
      <c r="F32" t="s">
        <v>114</v>
      </c>
      <c r="G32" t="s">
        <v>134</v>
      </c>
      <c r="H32" t="s">
        <v>163</v>
      </c>
      <c r="I32" t="s">
        <v>19</v>
      </c>
      <c r="J32" t="s">
        <v>20</v>
      </c>
      <c r="K32" t="s">
        <v>19</v>
      </c>
    </row>
    <row r="33" spans="1:11">
      <c r="A33" t="s">
        <v>164</v>
      </c>
      <c r="B33" t="s">
        <v>12</v>
      </c>
      <c r="C33" t="s">
        <v>13</v>
      </c>
      <c r="D33" t="s">
        <v>165</v>
      </c>
      <c r="E33" t="s">
        <v>166</v>
      </c>
      <c r="F33" t="s">
        <v>114</v>
      </c>
      <c r="G33" t="s">
        <v>134</v>
      </c>
      <c r="H33" t="s">
        <v>167</v>
      </c>
      <c r="I33" t="s">
        <v>19</v>
      </c>
      <c r="J33" t="s">
        <v>20</v>
      </c>
      <c r="K33" t="s">
        <v>19</v>
      </c>
    </row>
    <row r="34" spans="1:11">
      <c r="A34" t="s">
        <v>168</v>
      </c>
      <c r="B34" t="s">
        <v>12</v>
      </c>
      <c r="C34" t="s">
        <v>13</v>
      </c>
      <c r="D34" t="s">
        <v>169</v>
      </c>
      <c r="E34" t="s">
        <v>170</v>
      </c>
      <c r="F34" t="s">
        <v>114</v>
      </c>
      <c r="G34" t="s">
        <v>134</v>
      </c>
      <c r="H34" t="s">
        <v>171</v>
      </c>
      <c r="I34" t="s">
        <v>19</v>
      </c>
      <c r="J34" t="s">
        <v>20</v>
      </c>
      <c r="K34" t="s">
        <v>19</v>
      </c>
    </row>
    <row r="35" spans="1:11">
      <c r="A35" t="s">
        <v>172</v>
      </c>
      <c r="B35" t="s">
        <v>12</v>
      </c>
      <c r="C35" t="s">
        <v>13</v>
      </c>
      <c r="D35" t="s">
        <v>173</v>
      </c>
      <c r="E35" t="s">
        <v>174</v>
      </c>
      <c r="F35" t="s">
        <v>114</v>
      </c>
      <c r="G35" t="s">
        <v>134</v>
      </c>
      <c r="H35" t="s">
        <v>175</v>
      </c>
      <c r="I35" t="s">
        <v>19</v>
      </c>
      <c r="J35" t="s">
        <v>20</v>
      </c>
      <c r="K35" t="s">
        <v>19</v>
      </c>
    </row>
    <row r="36" spans="1:11">
      <c r="A36" t="s">
        <v>176</v>
      </c>
      <c r="B36" t="s">
        <v>12</v>
      </c>
      <c r="C36" t="s">
        <v>13</v>
      </c>
      <c r="D36" t="s">
        <v>177</v>
      </c>
      <c r="E36" t="s">
        <v>178</v>
      </c>
      <c r="F36" t="s">
        <v>114</v>
      </c>
      <c r="G36" t="s">
        <v>134</v>
      </c>
      <c r="H36" t="s">
        <v>179</v>
      </c>
      <c r="I36" t="s">
        <v>19</v>
      </c>
      <c r="J36" t="s">
        <v>20</v>
      </c>
      <c r="K36" t="s">
        <v>19</v>
      </c>
    </row>
    <row r="37" spans="1:11">
      <c r="A37" t="s">
        <v>180</v>
      </c>
      <c r="B37" t="s">
        <v>12</v>
      </c>
      <c r="C37" t="s">
        <v>13</v>
      </c>
      <c r="D37" t="s">
        <v>181</v>
      </c>
      <c r="E37" t="s">
        <v>182</v>
      </c>
      <c r="F37" t="s">
        <v>114</v>
      </c>
      <c r="G37" t="s">
        <v>134</v>
      </c>
      <c r="H37" t="s">
        <v>183</v>
      </c>
      <c r="I37" t="s">
        <v>19</v>
      </c>
      <c r="J37" t="s">
        <v>20</v>
      </c>
      <c r="K37" t="s">
        <v>19</v>
      </c>
    </row>
    <row r="38" spans="1:11">
      <c r="A38" t="s">
        <v>184</v>
      </c>
      <c r="B38" t="s">
        <v>12</v>
      </c>
      <c r="C38" t="s">
        <v>13</v>
      </c>
      <c r="D38" t="s">
        <v>185</v>
      </c>
      <c r="E38" t="s">
        <v>186</v>
      </c>
      <c r="F38" t="s">
        <v>114</v>
      </c>
      <c r="G38" t="s">
        <v>134</v>
      </c>
      <c r="H38" t="s">
        <v>187</v>
      </c>
      <c r="I38" t="s">
        <v>19</v>
      </c>
      <c r="J38" t="s">
        <v>20</v>
      </c>
      <c r="K38" t="s">
        <v>19</v>
      </c>
    </row>
    <row r="39" spans="1:11">
      <c r="A39" t="s">
        <v>188</v>
      </c>
      <c r="B39" t="s">
        <v>12</v>
      </c>
      <c r="C39" t="s">
        <v>13</v>
      </c>
      <c r="D39" t="s">
        <v>189</v>
      </c>
      <c r="E39" t="s">
        <v>190</v>
      </c>
      <c r="F39" t="s">
        <v>114</v>
      </c>
      <c r="G39" t="s">
        <v>134</v>
      </c>
      <c r="H39" t="s">
        <v>191</v>
      </c>
      <c r="I39" t="s">
        <v>19</v>
      </c>
      <c r="J39" t="s">
        <v>20</v>
      </c>
      <c r="K39" t="s">
        <v>19</v>
      </c>
    </row>
    <row r="40" spans="1:11">
      <c r="A40" t="s">
        <v>192</v>
      </c>
      <c r="B40" t="s">
        <v>12</v>
      </c>
      <c r="C40" t="s">
        <v>13</v>
      </c>
      <c r="D40" t="s">
        <v>193</v>
      </c>
      <c r="E40" t="s">
        <v>194</v>
      </c>
      <c r="F40" t="s">
        <v>114</v>
      </c>
      <c r="G40" t="s">
        <v>134</v>
      </c>
      <c r="H40" t="s">
        <v>195</v>
      </c>
      <c r="I40" t="s">
        <v>19</v>
      </c>
      <c r="J40" t="s">
        <v>20</v>
      </c>
      <c r="K40" t="s">
        <v>19</v>
      </c>
    </row>
    <row r="41" spans="1:11">
      <c r="A41" t="s">
        <v>196</v>
      </c>
      <c r="B41" t="s">
        <v>12</v>
      </c>
      <c r="C41" t="s">
        <v>13</v>
      </c>
      <c r="D41" t="s">
        <v>197</v>
      </c>
      <c r="E41" t="s">
        <v>198</v>
      </c>
      <c r="F41" t="s">
        <v>199</v>
      </c>
      <c r="G41" t="s">
        <v>200</v>
      </c>
      <c r="H41" t="s">
        <v>201</v>
      </c>
      <c r="I41" t="s">
        <v>19</v>
      </c>
      <c r="J41" t="s">
        <v>20</v>
      </c>
      <c r="K41" t="s">
        <v>19</v>
      </c>
    </row>
    <row r="42" spans="1:11">
      <c r="A42" t="s">
        <v>202</v>
      </c>
      <c r="B42" t="s">
        <v>12</v>
      </c>
      <c r="C42" t="s">
        <v>13</v>
      </c>
      <c r="D42" t="s">
        <v>203</v>
      </c>
      <c r="E42" t="s">
        <v>204</v>
      </c>
      <c r="F42" t="s">
        <v>199</v>
      </c>
      <c r="G42" t="s">
        <v>205</v>
      </c>
      <c r="H42" t="s">
        <v>206</v>
      </c>
      <c r="I42" t="s">
        <v>19</v>
      </c>
      <c r="J42" t="s">
        <v>20</v>
      </c>
      <c r="K42" t="s">
        <v>19</v>
      </c>
    </row>
    <row r="43" spans="1:11">
      <c r="A43" t="s">
        <v>207</v>
      </c>
      <c r="B43" t="s">
        <v>12</v>
      </c>
      <c r="C43" t="s">
        <v>13</v>
      </c>
      <c r="D43" t="s">
        <v>208</v>
      </c>
      <c r="E43" t="s">
        <v>209</v>
      </c>
      <c r="F43" t="s">
        <v>199</v>
      </c>
      <c r="G43" t="s">
        <v>205</v>
      </c>
      <c r="H43" t="s">
        <v>210</v>
      </c>
      <c r="I43" t="s">
        <v>19</v>
      </c>
      <c r="J43" t="s">
        <v>20</v>
      </c>
      <c r="K43" t="s">
        <v>19</v>
      </c>
    </row>
    <row r="44" spans="1:11">
      <c r="A44" t="s">
        <v>211</v>
      </c>
      <c r="B44" t="s">
        <v>12</v>
      </c>
      <c r="C44" t="s">
        <v>13</v>
      </c>
      <c r="D44" t="s">
        <v>212</v>
      </c>
      <c r="E44" t="s">
        <v>213</v>
      </c>
      <c r="F44" t="s">
        <v>199</v>
      </c>
      <c r="G44" t="s">
        <v>205</v>
      </c>
      <c r="H44" t="s">
        <v>214</v>
      </c>
      <c r="I44" t="s">
        <v>19</v>
      </c>
      <c r="J44" t="s">
        <v>20</v>
      </c>
      <c r="K44" t="s">
        <v>19</v>
      </c>
    </row>
    <row r="45" spans="1:11">
      <c r="A45" t="s">
        <v>215</v>
      </c>
      <c r="B45" t="s">
        <v>12</v>
      </c>
      <c r="C45" t="s">
        <v>13</v>
      </c>
      <c r="D45" t="s">
        <v>216</v>
      </c>
      <c r="E45" t="s">
        <v>217</v>
      </c>
      <c r="F45" t="s">
        <v>199</v>
      </c>
      <c r="G45" t="s">
        <v>205</v>
      </c>
      <c r="H45" t="s">
        <v>218</v>
      </c>
      <c r="I45" t="s">
        <v>19</v>
      </c>
      <c r="J45" t="s">
        <v>20</v>
      </c>
      <c r="K45" t="s">
        <v>19</v>
      </c>
    </row>
    <row r="46" spans="1:11">
      <c r="A46" t="s">
        <v>219</v>
      </c>
      <c r="B46" t="s">
        <v>12</v>
      </c>
      <c r="C46" t="s">
        <v>13</v>
      </c>
      <c r="D46" t="s">
        <v>220</v>
      </c>
      <c r="E46" t="s">
        <v>221</v>
      </c>
      <c r="F46" t="s">
        <v>199</v>
      </c>
      <c r="G46" t="s">
        <v>205</v>
      </c>
      <c r="H46" t="s">
        <v>222</v>
      </c>
      <c r="I46" t="s">
        <v>19</v>
      </c>
      <c r="J46" t="s">
        <v>20</v>
      </c>
      <c r="K46" t="s">
        <v>19</v>
      </c>
    </row>
    <row r="47" spans="1:11">
      <c r="A47" t="s">
        <v>223</v>
      </c>
      <c r="B47" t="s">
        <v>12</v>
      </c>
      <c r="C47" t="s">
        <v>13</v>
      </c>
      <c r="D47" t="s">
        <v>224</v>
      </c>
      <c r="E47" t="s">
        <v>225</v>
      </c>
      <c r="F47" t="s">
        <v>199</v>
      </c>
      <c r="G47" t="s">
        <v>205</v>
      </c>
      <c r="H47" t="s">
        <v>226</v>
      </c>
      <c r="I47" t="s">
        <v>19</v>
      </c>
      <c r="J47" t="s">
        <v>20</v>
      </c>
      <c r="K47" t="s">
        <v>19</v>
      </c>
    </row>
    <row r="48" spans="1:11">
      <c r="A48" t="s">
        <v>227</v>
      </c>
      <c r="B48" t="s">
        <v>12</v>
      </c>
      <c r="C48" t="s">
        <v>13</v>
      </c>
      <c r="D48" t="s">
        <v>228</v>
      </c>
      <c r="E48" t="s">
        <v>229</v>
      </c>
      <c r="F48" t="s">
        <v>199</v>
      </c>
      <c r="G48" t="s">
        <v>205</v>
      </c>
      <c r="H48" t="s">
        <v>230</v>
      </c>
      <c r="I48" t="s">
        <v>19</v>
      </c>
      <c r="J48" t="s">
        <v>20</v>
      </c>
      <c r="K48" t="s">
        <v>19</v>
      </c>
    </row>
    <row r="49" spans="1:11">
      <c r="A49" t="s">
        <v>231</v>
      </c>
      <c r="B49" t="s">
        <v>12</v>
      </c>
      <c r="C49" t="s">
        <v>13</v>
      </c>
      <c r="D49" t="s">
        <v>232</v>
      </c>
      <c r="E49" t="s">
        <v>233</v>
      </c>
      <c r="F49" t="s">
        <v>199</v>
      </c>
      <c r="G49" t="s">
        <v>205</v>
      </c>
      <c r="H49" t="s">
        <v>234</v>
      </c>
      <c r="I49" t="s">
        <v>19</v>
      </c>
      <c r="J49" t="s">
        <v>20</v>
      </c>
      <c r="K49" t="s">
        <v>19</v>
      </c>
    </row>
    <row r="50" spans="1:11">
      <c r="A50" t="s">
        <v>235</v>
      </c>
      <c r="B50" t="s">
        <v>12</v>
      </c>
      <c r="C50" t="s">
        <v>13</v>
      </c>
      <c r="D50" t="s">
        <v>236</v>
      </c>
      <c r="E50" t="s">
        <v>237</v>
      </c>
      <c r="F50" t="s">
        <v>199</v>
      </c>
      <c r="G50" t="s">
        <v>205</v>
      </c>
      <c r="H50" t="s">
        <v>238</v>
      </c>
      <c r="I50" t="s">
        <v>19</v>
      </c>
      <c r="J50" t="s">
        <v>20</v>
      </c>
      <c r="K50" t="s">
        <v>19</v>
      </c>
    </row>
    <row r="51" spans="1:11">
      <c r="A51" t="s">
        <v>239</v>
      </c>
      <c r="B51" t="s">
        <v>12</v>
      </c>
      <c r="C51" t="s">
        <v>13</v>
      </c>
      <c r="D51" t="s">
        <v>240</v>
      </c>
      <c r="E51" t="s">
        <v>241</v>
      </c>
      <c r="F51" t="s">
        <v>199</v>
      </c>
      <c r="G51" t="s">
        <v>205</v>
      </c>
      <c r="H51" t="s">
        <v>242</v>
      </c>
      <c r="I51" t="s">
        <v>19</v>
      </c>
      <c r="J51" t="s">
        <v>20</v>
      </c>
      <c r="K51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BDH("HII US Equity","BS_TOT_ASSET","2016-06-30","2021-06-30","Per=Y","Days=T","Dir=V")</f>
        <v>0</v>
      </c>
      <c r="C2">
        <f>BDH("HII US Equity","BS_TOT_LIAB2","2016-06-30","2021-06-30","Per=Y","Days=T","Dir=V")</f>
        <v>0</v>
      </c>
      <c r="E2">
        <f>BDH("HII US Equity","SHORT_AND_LONG_TERM_DEBT","2016-06-30","2021-06-30","Per=Y","Days=T","Dir=V")</f>
        <v>0</v>
      </c>
      <c r="G2">
        <f>BDH("HII US Equity","BS_ST_BORROW","2016-06-30","2021-06-30","Per=Y","Days=T","Dir=V")</f>
        <v>0</v>
      </c>
      <c r="I2">
        <f>BDH("HII US Equity","BS_LT_BORROW","2016-06-30","2021-06-30","Per=Y","Days=T","Dir=V")</f>
        <v>0</v>
      </c>
      <c r="K2">
        <f>BDH("HII US Equity","BS_CASH_NEAR_CASH_ITEM","2016-06-30","2021-06-30","Per=Y","Days=T","Dir=V")</f>
        <v>0</v>
      </c>
      <c r="M2">
        <f>BDH("HII US Equity","BS_CUR_ASSET_REPORT","2016-06-30","2021-06-30","Per=Y","Days=T","Dir=V")</f>
        <v>0</v>
      </c>
      <c r="O2">
        <f>BDH("HII US Equity","BS_CUR_LIAB","2016-06-30","2021-06-30","Per=Y","Days=T","Dir=V")</f>
        <v>0</v>
      </c>
      <c r="Q2">
        <f>BDH("HII US Equity","BS_SHAREHOLDER_EQY_ENDING_PERIOD","2016-06-30","2021-06-30","Per=Y","Days=T","Dir=V")</f>
        <v>0</v>
      </c>
      <c r="S2">
        <f>BDH("HII US Equity","BS_ACCT_NOTE_RCV","2016-06-30","2021-06-30","Per=Y","Days=T","Dir=V")</f>
        <v>0</v>
      </c>
      <c r="U2">
        <f>BDH("HII US Equity","BS_INVENTORIES","2016-06-30","2021-06-30","Per=Y","Days=T","Dir=V")</f>
        <v>0</v>
      </c>
      <c r="W2">
        <f>BDH("HII US Equity","WORKING_CAPITAL","2016-06-30","2021-06-30","Per=Y","Days=T","Dir=V")</f>
        <v>0</v>
      </c>
      <c r="Y2">
        <f>BDH("HII US Equity","SALES_REV_TURN","2016-06-30","2021-06-30","Per=Y","Days=T","Dir=V")</f>
        <v>0</v>
      </c>
      <c r="AA2">
        <f>BDH("HII US Equity","EBIT","2016-06-30","2021-06-30","Per=Y","Days=T","Dir=V")</f>
        <v>0</v>
      </c>
      <c r="AC2">
        <f>BDH("HII US Equity","EBITDA","2016-06-30","2021-06-30","Per=Y","Days=T","Dir=V")</f>
        <v>0</v>
      </c>
      <c r="AE2">
        <f>BDH("HII US Equity","NET_INCOME","2016-06-30","2021-06-30","Per=Y","Days=T","Dir=V")</f>
        <v>0</v>
      </c>
      <c r="AG2">
        <f>BDH("HII US Equity","IS_INT_EXPENSE","2016-06-30","2021-06-30","Per=Y","Days=T","Dir=V")</f>
        <v>0</v>
      </c>
      <c r="AI2">
        <f>BDH("HII US Equity","IS_DEPR_EXP","2016-06-30","2021-06-30","Per=Y","Days=T","Dir=V")</f>
        <v>0</v>
      </c>
      <c r="AK2">
        <f>BDH("HII US Equity","CF_CASH_FROM_OPER","2016-06-30","2021-06-30","Per=Y","Days=T","Dir=V")</f>
        <v>0</v>
      </c>
      <c r="AM2">
        <f>BDH("HII US Equity","CAPITAL_EXPEND","2016-06-30","2021-06-30","Per=Y","Days=T","Dir=V")</f>
        <v>0</v>
      </c>
      <c r="AO2">
        <f>BDH("HII US Equity","CF_FREE_CASH_FLOW","2016-06-30","2021-06-30","Per=Y","Days=T","Dir=V")</f>
        <v>0</v>
      </c>
      <c r="AQ2">
        <f>BDH("HII US Equity","PX_LAST","2016-06-30","2021-06-30","Per=M","Days=T","Dir=V")</f>
        <v>0</v>
      </c>
      <c r="AS2">
        <f>BDH("HII US Equity","CUR_MKT_CAP","2016-06-30","2021-06-30","Per=M","Days=T","Dir=V")</f>
        <v>0</v>
      </c>
      <c r="AU2">
        <f>BDH("HII US Equity","EQY_SH_OUT","2016-06-30","2021-06-30","Per=M","Days=T","Dir=V")</f>
        <v>0</v>
      </c>
      <c r="AW2">
        <f>BDH("HII US Equity","BETA_RAW_OVERRIABLE","2016-06-30","2021-06-30","Per=M","Days=T","Dir=V")</f>
        <v>0</v>
      </c>
      <c r="AY2">
        <f>BDH("HII US Equity","PX_VOLUME","2016-06-30","2021-06-30","Per=M","Days=T","Dir=V")</f>
        <v>0</v>
      </c>
      <c r="BA2">
        <f>BDH("HII US Equity","TURNOVER","2016-06-30","2021-06-30","Per=M","Days=T","Dir=V")</f>
        <v>0</v>
      </c>
      <c r="BC2">
        <f>BDH("HII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BDH("KEQU US Equity","BS_TOT_ASSET","2016-06-30","2021-06-30","Per=Y","Days=T","Dir=V")</f>
        <v>0</v>
      </c>
      <c r="C2">
        <f>BDH("KEQU US Equity","BS_TOT_LIAB2","2016-06-30","2021-06-30","Per=Y","Days=T","Dir=V")</f>
        <v>0</v>
      </c>
      <c r="E2">
        <f>BDH("KEQU US Equity","SHORT_AND_LONG_TERM_DEBT","2016-06-30","2021-06-30","Per=Y","Days=T","Dir=V")</f>
        <v>0</v>
      </c>
      <c r="G2">
        <f>BDH("KEQU US Equity","BS_ST_BORROW","2016-06-30","2021-06-30","Per=Y","Days=T","Dir=V")</f>
        <v>0</v>
      </c>
      <c r="I2">
        <f>BDH("KEQU US Equity","BS_LT_BORROW","2016-06-30","2021-06-30","Per=Y","Days=T","Dir=V")</f>
        <v>0</v>
      </c>
      <c r="K2">
        <f>BDH("KEQU US Equity","BS_CASH_NEAR_CASH_ITEM","2016-06-30","2021-06-30","Per=Y","Days=T","Dir=V")</f>
        <v>0</v>
      </c>
      <c r="M2">
        <f>BDH("KEQU US Equity","BS_CUR_ASSET_REPORT","2016-06-30","2021-06-30","Per=Y","Days=T","Dir=V")</f>
        <v>0</v>
      </c>
      <c r="O2">
        <f>BDH("KEQU US Equity","BS_CUR_LIAB","2016-06-30","2021-06-30","Per=Y","Days=T","Dir=V")</f>
        <v>0</v>
      </c>
      <c r="Q2">
        <f>BDH("KEQU US Equity","BS_SHAREHOLDER_EQY_ENDING_PERIOD","2016-06-30","2021-06-30","Per=Y","Days=T","Dir=V")</f>
        <v>0</v>
      </c>
      <c r="S2">
        <f>BDH("KEQU US Equity","BS_ACCT_NOTE_RCV","2016-06-30","2021-06-30","Per=Y","Days=T","Dir=V")</f>
        <v>0</v>
      </c>
      <c r="U2">
        <f>BDH("KEQU US Equity","BS_INVENTORIES","2016-06-30","2021-06-30","Per=Y","Days=T","Dir=V")</f>
        <v>0</v>
      </c>
      <c r="W2">
        <f>BDH("KEQU US Equity","WORKING_CAPITAL","2016-06-30","2021-06-30","Per=Y","Days=T","Dir=V")</f>
        <v>0</v>
      </c>
      <c r="Y2">
        <f>BDH("KEQU US Equity","SALES_REV_TURN","2016-06-30","2021-06-30","Per=Y","Days=T","Dir=V")</f>
        <v>0</v>
      </c>
      <c r="AA2">
        <f>BDH("KEQU US Equity","EBIT","2016-06-30","2021-06-30","Per=Y","Days=T","Dir=V")</f>
        <v>0</v>
      </c>
      <c r="AC2">
        <f>BDH("KEQU US Equity","EBITDA","2016-06-30","2021-06-30","Per=Y","Days=T","Dir=V")</f>
        <v>0</v>
      </c>
      <c r="AE2">
        <f>BDH("KEQU US Equity","NET_INCOME","2016-06-30","2021-06-30","Per=Y","Days=T","Dir=V")</f>
        <v>0</v>
      </c>
      <c r="AG2">
        <f>BDH("KEQU US Equity","IS_INT_EXPENSE","2016-06-30","2021-06-30","Per=Y","Days=T","Dir=V")</f>
        <v>0</v>
      </c>
      <c r="AI2">
        <f>BDH("KEQU US Equity","IS_DEPR_EXP","2016-06-30","2021-06-30","Per=Y","Days=T","Dir=V")</f>
        <v>0</v>
      </c>
      <c r="AK2">
        <f>BDH("KEQU US Equity","CF_CASH_FROM_OPER","2016-06-30","2021-06-30","Per=Y","Days=T","Dir=V")</f>
        <v>0</v>
      </c>
      <c r="AM2">
        <f>BDH("KEQU US Equity","CAPITAL_EXPEND","2016-06-30","2021-06-30","Per=Y","Days=T","Dir=V")</f>
        <v>0</v>
      </c>
      <c r="AO2">
        <f>BDH("KEQU US Equity","CF_FREE_CASH_FLOW","2016-06-30","2021-06-30","Per=Y","Days=T","Dir=V")</f>
        <v>0</v>
      </c>
      <c r="AQ2">
        <f>BDH("KEQU US Equity","PX_LAST","2016-06-30","2021-06-30","Per=M","Days=T","Dir=V")</f>
        <v>0</v>
      </c>
      <c r="AS2">
        <f>BDH("KEQU US Equity","CUR_MKT_CAP","2016-06-30","2021-06-30","Per=M","Days=T","Dir=V")</f>
        <v>0</v>
      </c>
      <c r="AU2">
        <f>BDH("KEQU US Equity","EQY_SH_OUT","2016-06-30","2021-06-30","Per=M","Days=T","Dir=V")</f>
        <v>0</v>
      </c>
      <c r="AW2">
        <f>BDH("KEQU US Equity","BETA_RAW_OVERRIABLE","2016-06-30","2021-06-30","Per=M","Days=T","Dir=V")</f>
        <v>0</v>
      </c>
      <c r="AY2">
        <f>BDH("KEQU US Equity","PX_VOLUME","2016-06-30","2021-06-30","Per=M","Days=T","Dir=V")</f>
        <v>0</v>
      </c>
      <c r="BA2">
        <f>BDH("KEQU US Equity","TURNOVER","2016-06-30","2021-06-30","Per=M","Days=T","Dir=V")</f>
        <v>0</v>
      </c>
      <c r="BC2">
        <f>BDH("KEQU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BDH("VMI US Equity","BS_TOT_ASSET","2016-06-30","2021-06-30","Per=Y","Days=T","Dir=V")</f>
        <v>0</v>
      </c>
      <c r="C2">
        <f>BDH("VMI US Equity","BS_TOT_LIAB2","2016-06-30","2021-06-30","Per=Y","Days=T","Dir=V")</f>
        <v>0</v>
      </c>
      <c r="E2">
        <f>BDH("VMI US Equity","SHORT_AND_LONG_TERM_DEBT","2016-06-30","2021-06-30","Per=Y","Days=T","Dir=V")</f>
        <v>0</v>
      </c>
      <c r="G2">
        <f>BDH("VMI US Equity","BS_ST_BORROW","2016-06-30","2021-06-30","Per=Y","Days=T","Dir=V")</f>
        <v>0</v>
      </c>
      <c r="I2">
        <f>BDH("VMI US Equity","BS_LT_BORROW","2016-06-30","2021-06-30","Per=Y","Days=T","Dir=V")</f>
        <v>0</v>
      </c>
      <c r="K2">
        <f>BDH("VMI US Equity","BS_CASH_NEAR_CASH_ITEM","2016-06-30","2021-06-30","Per=Y","Days=T","Dir=V")</f>
        <v>0</v>
      </c>
      <c r="M2">
        <f>BDH("VMI US Equity","BS_CUR_ASSET_REPORT","2016-06-30","2021-06-30","Per=Y","Days=T","Dir=V")</f>
        <v>0</v>
      </c>
      <c r="O2">
        <f>BDH("VMI US Equity","BS_CUR_LIAB","2016-06-30","2021-06-30","Per=Y","Days=T","Dir=V")</f>
        <v>0</v>
      </c>
      <c r="Q2">
        <f>BDH("VMI US Equity","BS_SHAREHOLDER_EQY_ENDING_PERIOD","2016-06-30","2021-06-30","Per=Y","Days=T","Dir=V")</f>
        <v>0</v>
      </c>
      <c r="S2">
        <f>BDH("VMI US Equity","BS_ACCT_NOTE_RCV","2016-06-30","2021-06-30","Per=Y","Days=T","Dir=V")</f>
        <v>0</v>
      </c>
      <c r="U2">
        <f>BDH("VMI US Equity","BS_INVENTORIES","2016-06-30","2021-06-30","Per=Y","Days=T","Dir=V")</f>
        <v>0</v>
      </c>
      <c r="W2">
        <f>BDH("VMI US Equity","WORKING_CAPITAL","2016-06-30","2021-06-30","Per=Y","Days=T","Dir=V")</f>
        <v>0</v>
      </c>
      <c r="Y2">
        <f>BDH("VMI US Equity","SALES_REV_TURN","2016-06-30","2021-06-30","Per=Y","Days=T","Dir=V")</f>
        <v>0</v>
      </c>
      <c r="AA2">
        <f>BDH("VMI US Equity","EBIT","2016-06-30","2021-06-30","Per=Y","Days=T","Dir=V")</f>
        <v>0</v>
      </c>
      <c r="AC2">
        <f>BDH("VMI US Equity","EBITDA","2016-06-30","2021-06-30","Per=Y","Days=T","Dir=V")</f>
        <v>0</v>
      </c>
      <c r="AE2">
        <f>BDH("VMI US Equity","NET_INCOME","2016-06-30","2021-06-30","Per=Y","Days=T","Dir=V")</f>
        <v>0</v>
      </c>
      <c r="AG2">
        <f>BDH("VMI US Equity","IS_INT_EXPENSE","2016-06-30","2021-06-30","Per=Y","Days=T","Dir=V")</f>
        <v>0</v>
      </c>
      <c r="AI2">
        <f>BDH("VMI US Equity","IS_DEPR_EXP","2016-06-30","2021-06-30","Per=Y","Days=T","Dir=V")</f>
        <v>0</v>
      </c>
      <c r="AK2">
        <f>BDH("VMI US Equity","CF_CASH_FROM_OPER","2016-06-30","2021-06-30","Per=Y","Days=T","Dir=V")</f>
        <v>0</v>
      </c>
      <c r="AM2">
        <f>BDH("VMI US Equity","CAPITAL_EXPEND","2016-06-30","2021-06-30","Per=Y","Days=T","Dir=V")</f>
        <v>0</v>
      </c>
      <c r="AO2">
        <f>BDH("VMI US Equity","CF_FREE_CASH_FLOW","2016-06-30","2021-06-30","Per=Y","Days=T","Dir=V")</f>
        <v>0</v>
      </c>
      <c r="AQ2">
        <f>BDH("VMI US Equity","PX_LAST","2016-06-30","2021-06-30","Per=M","Days=T","Dir=V")</f>
        <v>0</v>
      </c>
      <c r="AS2">
        <f>BDH("VMI US Equity","CUR_MKT_CAP","2016-06-30","2021-06-30","Per=M","Days=T","Dir=V")</f>
        <v>0</v>
      </c>
      <c r="AU2">
        <f>BDH("VMI US Equity","EQY_SH_OUT","2016-06-30","2021-06-30","Per=M","Days=T","Dir=V")</f>
        <v>0</v>
      </c>
      <c r="AW2">
        <f>BDH("VMI US Equity","BETA_RAW_OVERRIABLE","2016-06-30","2021-06-30","Per=M","Days=T","Dir=V")</f>
        <v>0</v>
      </c>
      <c r="AY2">
        <f>BDH("VMI US Equity","PX_VOLUME","2016-06-30","2021-06-30","Per=M","Days=T","Dir=V")</f>
        <v>0</v>
      </c>
      <c r="BA2">
        <f>BDH("VMI US Equity","TURNOVER","2016-06-30","2021-06-30","Per=M","Days=T","Dir=V")</f>
        <v>0</v>
      </c>
      <c r="BC2">
        <f>BDH("VMI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BDH("GVA US Equity","BS_TOT_ASSET","2016-06-30","2021-06-30","Per=Y","Days=T","Dir=V")</f>
        <v>0</v>
      </c>
      <c r="C2">
        <f>BDH("GVA US Equity","BS_TOT_LIAB2","2016-06-30","2021-06-30","Per=Y","Days=T","Dir=V")</f>
        <v>0</v>
      </c>
      <c r="E2">
        <f>BDH("GVA US Equity","SHORT_AND_LONG_TERM_DEBT","2016-06-30","2021-06-30","Per=Y","Days=T","Dir=V")</f>
        <v>0</v>
      </c>
      <c r="G2">
        <f>BDH("GVA US Equity","BS_ST_BORROW","2016-06-30","2021-06-30","Per=Y","Days=T","Dir=V")</f>
        <v>0</v>
      </c>
      <c r="I2">
        <f>BDH("GVA US Equity","BS_LT_BORROW","2016-06-30","2021-06-30","Per=Y","Days=T","Dir=V")</f>
        <v>0</v>
      </c>
      <c r="K2">
        <f>BDH("GVA US Equity","BS_CASH_NEAR_CASH_ITEM","2016-06-30","2021-06-30","Per=Y","Days=T","Dir=V")</f>
        <v>0</v>
      </c>
      <c r="M2">
        <f>BDH("GVA US Equity","BS_CUR_ASSET_REPORT","2016-06-30","2021-06-30","Per=Y","Days=T","Dir=V")</f>
        <v>0</v>
      </c>
      <c r="O2">
        <f>BDH("GVA US Equity","BS_CUR_LIAB","2016-06-30","2021-06-30","Per=Y","Days=T","Dir=V")</f>
        <v>0</v>
      </c>
      <c r="Q2">
        <f>BDH("GVA US Equity","BS_SHAREHOLDER_EQY_ENDING_PERIOD","2016-06-30","2021-06-30","Per=Y","Days=T","Dir=V")</f>
        <v>0</v>
      </c>
      <c r="S2">
        <f>BDH("GVA US Equity","BS_ACCT_NOTE_RCV","2016-06-30","2021-06-30","Per=Y","Days=T","Dir=V")</f>
        <v>0</v>
      </c>
      <c r="U2">
        <f>BDH("GVA US Equity","BS_INVENTORIES","2016-06-30","2021-06-30","Per=Y","Days=T","Dir=V")</f>
        <v>0</v>
      </c>
      <c r="W2">
        <f>BDH("GVA US Equity","WORKING_CAPITAL","2016-06-30","2021-06-30","Per=Y","Days=T","Dir=V")</f>
        <v>0</v>
      </c>
      <c r="Y2">
        <f>BDH("GVA US Equity","SALES_REV_TURN","2016-06-30","2021-06-30","Per=Y","Days=T","Dir=V")</f>
        <v>0</v>
      </c>
      <c r="AA2">
        <f>BDH("GVA US Equity","EBIT","2016-06-30","2021-06-30","Per=Y","Days=T","Dir=V")</f>
        <v>0</v>
      </c>
      <c r="AC2">
        <f>BDH("GVA US Equity","EBITDA","2016-06-30","2021-06-30","Per=Y","Days=T","Dir=V")</f>
        <v>0</v>
      </c>
      <c r="AE2">
        <f>BDH("GVA US Equity","NET_INCOME","2016-06-30","2021-06-30","Per=Y","Days=T","Dir=V")</f>
        <v>0</v>
      </c>
      <c r="AG2">
        <f>BDH("GVA US Equity","IS_INT_EXPENSE","2016-06-30","2021-06-30","Per=Y","Days=T","Dir=V")</f>
        <v>0</v>
      </c>
      <c r="AI2">
        <f>BDH("GVA US Equity","IS_DEPR_EXP","2016-06-30","2021-06-30","Per=Y","Days=T","Dir=V")</f>
        <v>0</v>
      </c>
      <c r="AK2">
        <f>BDH("GVA US Equity","CF_CASH_FROM_OPER","2016-06-30","2021-06-30","Per=Y","Days=T","Dir=V")</f>
        <v>0</v>
      </c>
      <c r="AM2">
        <f>BDH("GVA US Equity","CAPITAL_EXPEND","2016-06-30","2021-06-30","Per=Y","Days=T","Dir=V")</f>
        <v>0</v>
      </c>
      <c r="AO2">
        <f>BDH("GVA US Equity","CF_FREE_CASH_FLOW","2016-06-30","2021-06-30","Per=Y","Days=T","Dir=V")</f>
        <v>0</v>
      </c>
      <c r="AQ2">
        <f>BDH("GVA US Equity","PX_LAST","2016-06-30","2021-06-30","Per=M","Days=T","Dir=V")</f>
        <v>0</v>
      </c>
      <c r="AS2">
        <f>BDH("GVA US Equity","CUR_MKT_CAP","2016-06-30","2021-06-30","Per=M","Days=T","Dir=V")</f>
        <v>0</v>
      </c>
      <c r="AU2">
        <f>BDH("GVA US Equity","EQY_SH_OUT","2016-06-30","2021-06-30","Per=M","Days=T","Dir=V")</f>
        <v>0</v>
      </c>
      <c r="AW2">
        <f>BDH("GVA US Equity","BETA_RAW_OVERRIABLE","2016-06-30","2021-06-30","Per=M","Days=T","Dir=V")</f>
        <v>0</v>
      </c>
      <c r="AY2">
        <f>BDH("GVA US Equity","PX_VOLUME","2016-06-30","2021-06-30","Per=M","Days=T","Dir=V")</f>
        <v>0</v>
      </c>
      <c r="BA2">
        <f>BDH("GVA US Equity","TURNOVER","2016-06-30","2021-06-30","Per=M","Days=T","Dir=V")</f>
        <v>0</v>
      </c>
      <c r="BC2">
        <f>BDH("GVA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BDH("MDU US Equity","BS_TOT_ASSET","2016-06-30","2021-06-30","Per=Y","Days=T","Dir=V")</f>
        <v>0</v>
      </c>
      <c r="C2">
        <f>BDH("MDU US Equity","BS_TOT_LIAB2","2016-06-30","2021-06-30","Per=Y","Days=T","Dir=V")</f>
        <v>0</v>
      </c>
      <c r="E2">
        <f>BDH("MDU US Equity","SHORT_AND_LONG_TERM_DEBT","2016-06-30","2021-06-30","Per=Y","Days=T","Dir=V")</f>
        <v>0</v>
      </c>
      <c r="G2">
        <f>BDH("MDU US Equity","BS_ST_BORROW","2016-06-30","2021-06-30","Per=Y","Days=T","Dir=V")</f>
        <v>0</v>
      </c>
      <c r="I2">
        <f>BDH("MDU US Equity","BS_LT_BORROW","2016-06-30","2021-06-30","Per=Y","Days=T","Dir=V")</f>
        <v>0</v>
      </c>
      <c r="K2">
        <f>BDH("MDU US Equity","BS_CASH_NEAR_CASH_ITEM","2016-06-30","2021-06-30","Per=Y","Days=T","Dir=V")</f>
        <v>0</v>
      </c>
      <c r="M2">
        <f>BDH("MDU US Equity","BS_CUR_ASSET_REPORT","2016-06-30","2021-06-30","Per=Y","Days=T","Dir=V")</f>
        <v>0</v>
      </c>
      <c r="O2">
        <f>BDH("MDU US Equity","BS_CUR_LIAB","2016-06-30","2021-06-30","Per=Y","Days=T","Dir=V")</f>
        <v>0</v>
      </c>
      <c r="Q2">
        <f>BDH("MDU US Equity","BS_SHAREHOLDER_EQY_ENDING_PERIOD","2016-06-30","2021-06-30","Per=Y","Days=T","Dir=V")</f>
        <v>0</v>
      </c>
      <c r="S2">
        <f>BDH("MDU US Equity","BS_ACCT_NOTE_RCV","2016-06-30","2021-06-30","Per=Y","Days=T","Dir=V")</f>
        <v>0</v>
      </c>
      <c r="U2">
        <f>BDH("MDU US Equity","BS_INVENTORIES","2016-06-30","2021-06-30","Per=Y","Days=T","Dir=V")</f>
        <v>0</v>
      </c>
      <c r="W2">
        <f>BDH("MDU US Equity","WORKING_CAPITAL","2016-06-30","2021-06-30","Per=Y","Days=T","Dir=V")</f>
        <v>0</v>
      </c>
      <c r="Y2">
        <f>BDH("MDU US Equity","SALES_REV_TURN","2016-06-30","2021-06-30","Per=Y","Days=T","Dir=V")</f>
        <v>0</v>
      </c>
      <c r="AA2">
        <f>BDH("MDU US Equity","EBIT","2016-06-30","2021-06-30","Per=Y","Days=T","Dir=V")</f>
        <v>0</v>
      </c>
      <c r="AC2">
        <f>BDH("MDU US Equity","EBITDA","2016-06-30","2021-06-30","Per=Y","Days=T","Dir=V")</f>
        <v>0</v>
      </c>
      <c r="AE2">
        <f>BDH("MDU US Equity","NET_INCOME","2016-06-30","2021-06-30","Per=Y","Days=T","Dir=V")</f>
        <v>0</v>
      </c>
      <c r="AG2">
        <f>BDH("MDU US Equity","IS_INT_EXPENSE","2016-06-30","2021-06-30","Per=Y","Days=T","Dir=V")</f>
        <v>0</v>
      </c>
      <c r="AI2">
        <f>BDH("MDU US Equity","IS_DEPR_EXP","2016-06-30","2021-06-30","Per=Y","Days=T","Dir=V")</f>
        <v>0</v>
      </c>
      <c r="AK2">
        <f>BDH("MDU US Equity","CF_CASH_FROM_OPER","2016-06-30","2021-06-30","Per=Y","Days=T","Dir=V")</f>
        <v>0</v>
      </c>
      <c r="AM2">
        <f>BDH("MDU US Equity","CAPITAL_EXPEND","2016-06-30","2021-06-30","Per=Y","Days=T","Dir=V")</f>
        <v>0</v>
      </c>
      <c r="AO2">
        <f>BDH("MDU US Equity","CF_FREE_CASH_FLOW","2016-06-30","2021-06-30","Per=Y","Days=T","Dir=V")</f>
        <v>0</v>
      </c>
      <c r="AQ2">
        <f>BDH("MDU US Equity","PX_LAST","2016-06-30","2021-06-30","Per=M","Days=T","Dir=V")</f>
        <v>0</v>
      </c>
      <c r="AS2">
        <f>BDH("MDU US Equity","CUR_MKT_CAP","2016-06-30","2021-06-30","Per=M","Days=T","Dir=V")</f>
        <v>0</v>
      </c>
      <c r="AU2">
        <f>BDH("MDU US Equity","EQY_SH_OUT","2016-06-30","2021-06-30","Per=M","Days=T","Dir=V")</f>
        <v>0</v>
      </c>
      <c r="AW2">
        <f>BDH("MDU US Equity","BETA_RAW_OVERRIABLE","2016-06-30","2021-06-30","Per=M","Days=T","Dir=V")</f>
        <v>0</v>
      </c>
      <c r="AY2">
        <f>BDH("MDU US Equity","PX_VOLUME","2016-06-30","2021-06-30","Per=M","Days=T","Dir=V")</f>
        <v>0</v>
      </c>
      <c r="BA2">
        <f>BDH("MDU US Equity","TURNOVER","2016-06-30","2021-06-30","Per=M","Days=T","Dir=V")</f>
        <v>0</v>
      </c>
      <c r="BC2">
        <f>BDH("MDU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BDH("FTAIM US Equity","BS_TOT_ASSET","2016-06-30","2021-06-30","Per=Y","Days=T","Dir=V")</f>
        <v>0</v>
      </c>
      <c r="C2">
        <f>BDH("FTAIM US Equity","BS_TOT_LIAB2","2016-06-30","2021-06-30","Per=Y","Days=T","Dir=V")</f>
        <v>0</v>
      </c>
      <c r="E2">
        <f>BDH("FTAIM US Equity","SHORT_AND_LONG_TERM_DEBT","2016-06-30","2021-06-30","Per=Y","Days=T","Dir=V")</f>
        <v>0</v>
      </c>
      <c r="G2">
        <f>BDH("FTAIM US Equity","BS_ST_BORROW","2016-06-30","2021-06-30","Per=Y","Days=T","Dir=V")</f>
        <v>0</v>
      </c>
      <c r="I2">
        <f>BDH("FTAIM US Equity","BS_LT_BORROW","2016-06-30","2021-06-30","Per=Y","Days=T","Dir=V")</f>
        <v>0</v>
      </c>
      <c r="K2">
        <f>BDH("FTAIM US Equity","BS_CASH_NEAR_CASH_ITEM","2016-06-30","2021-06-30","Per=Y","Days=T","Dir=V")</f>
        <v>0</v>
      </c>
      <c r="M2">
        <f>BDH("FTAIM US Equity","BS_CUR_ASSET_REPORT","2016-06-30","2021-06-30","Per=Y","Days=T","Dir=V")</f>
        <v>0</v>
      </c>
      <c r="O2">
        <f>BDH("FTAIM US Equity","BS_CUR_LIAB","2016-06-30","2021-06-30","Per=Y","Days=T","Dir=V")</f>
        <v>0</v>
      </c>
      <c r="Q2">
        <f>BDH("FTAIM US Equity","BS_SHAREHOLDER_EQY_ENDING_PERIOD","2016-06-30","2021-06-30","Per=Y","Days=T","Dir=V")</f>
        <v>0</v>
      </c>
      <c r="S2">
        <f>BDH("FTAIM US Equity","BS_ACCT_NOTE_RCV","2016-06-30","2021-06-30","Per=Y","Days=T","Dir=V")</f>
        <v>0</v>
      </c>
      <c r="U2">
        <f>BDH("FTAIM US Equity","BS_INVENTORIES","2016-06-30","2021-06-30","Per=Y","Days=T","Dir=V")</f>
        <v>0</v>
      </c>
      <c r="W2">
        <f>BDH("FTAIM US Equity","WORKING_CAPITAL","2016-06-30","2021-06-30","Per=Y","Days=T","Dir=V")</f>
        <v>0</v>
      </c>
      <c r="Y2">
        <f>BDH("FTAIM US Equity","SALES_REV_TURN","2016-06-30","2021-06-30","Per=Y","Days=T","Dir=V")</f>
        <v>0</v>
      </c>
      <c r="AA2">
        <f>BDH("FTAIM US Equity","EBIT","2016-06-30","2021-06-30","Per=Y","Days=T","Dir=V")</f>
        <v>0</v>
      </c>
      <c r="AC2">
        <f>BDH("FTAIM US Equity","EBITDA","2016-06-30","2021-06-30","Per=Y","Days=T","Dir=V")</f>
        <v>0</v>
      </c>
      <c r="AE2">
        <f>BDH("FTAIM US Equity","NET_INCOME","2016-06-30","2021-06-30","Per=Y","Days=T","Dir=V")</f>
        <v>0</v>
      </c>
      <c r="AG2">
        <f>BDH("FTAIM US Equity","IS_INT_EXPENSE","2016-06-30","2021-06-30","Per=Y","Days=T","Dir=V")</f>
        <v>0</v>
      </c>
      <c r="AI2">
        <f>BDH("FTAIM US Equity","IS_DEPR_EXP","2016-06-30","2021-06-30","Per=Y","Days=T","Dir=V")</f>
        <v>0</v>
      </c>
      <c r="AK2">
        <f>BDH("FTAIM US Equity","CF_CASH_FROM_OPER","2016-06-30","2021-06-30","Per=Y","Days=T","Dir=V")</f>
        <v>0</v>
      </c>
      <c r="AM2">
        <f>BDH("FTAIM US Equity","CAPITAL_EXPEND","2016-06-30","2021-06-30","Per=Y","Days=T","Dir=V")</f>
        <v>0</v>
      </c>
      <c r="AO2">
        <f>BDH("FTAIM US Equity","CF_FREE_CASH_FLOW","2016-06-30","2021-06-30","Per=Y","Days=T","Dir=V")</f>
        <v>0</v>
      </c>
      <c r="AQ2">
        <f>BDH("FTAIM US Equity","PX_LAST","2016-06-30","2021-06-30","Per=M","Days=T","Dir=V")</f>
        <v>0</v>
      </c>
      <c r="AS2">
        <f>BDH("FTAIM US Equity","CUR_MKT_CAP","2016-06-30","2021-06-30","Per=M","Days=T","Dir=V")</f>
        <v>0</v>
      </c>
      <c r="AU2">
        <f>BDH("FTAIM US Equity","EQY_SH_OUT","2016-06-30","2021-06-30","Per=M","Days=T","Dir=V")</f>
        <v>0</v>
      </c>
      <c r="AW2">
        <f>BDH("FTAIM US Equity","BETA_RAW_OVERRIABLE","2016-06-30","2021-06-30","Per=M","Days=T","Dir=V")</f>
        <v>0</v>
      </c>
      <c r="AY2">
        <f>BDH("FTAIM US Equity","PX_VOLUME","2016-06-30","2021-06-30","Per=M","Days=T","Dir=V")</f>
        <v>0</v>
      </c>
      <c r="BA2">
        <f>BDH("FTAIM US Equity","TURNOVER","2016-06-30","2021-06-30","Per=M","Days=T","Dir=V")</f>
        <v>0</v>
      </c>
      <c r="BC2">
        <f>BDH("FTAIM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BDH("GWW US Equity","BS_TOT_ASSET","2016-06-30","2021-06-30","Per=Y","Days=T","Dir=V")</f>
        <v>0</v>
      </c>
      <c r="C2">
        <f>BDH("GWW US Equity","BS_TOT_LIAB2","2016-06-30","2021-06-30","Per=Y","Days=T","Dir=V")</f>
        <v>0</v>
      </c>
      <c r="E2">
        <f>BDH("GWW US Equity","SHORT_AND_LONG_TERM_DEBT","2016-06-30","2021-06-30","Per=Y","Days=T","Dir=V")</f>
        <v>0</v>
      </c>
      <c r="G2">
        <f>BDH("GWW US Equity","BS_ST_BORROW","2016-06-30","2021-06-30","Per=Y","Days=T","Dir=V")</f>
        <v>0</v>
      </c>
      <c r="I2">
        <f>BDH("GWW US Equity","BS_LT_BORROW","2016-06-30","2021-06-30","Per=Y","Days=T","Dir=V")</f>
        <v>0</v>
      </c>
      <c r="K2">
        <f>BDH("GWW US Equity","BS_CASH_NEAR_CASH_ITEM","2016-06-30","2021-06-30","Per=Y","Days=T","Dir=V")</f>
        <v>0</v>
      </c>
      <c r="M2">
        <f>BDH("GWW US Equity","BS_CUR_ASSET_REPORT","2016-06-30","2021-06-30","Per=Y","Days=T","Dir=V")</f>
        <v>0</v>
      </c>
      <c r="O2">
        <f>BDH("GWW US Equity","BS_CUR_LIAB","2016-06-30","2021-06-30","Per=Y","Days=T","Dir=V")</f>
        <v>0</v>
      </c>
      <c r="Q2">
        <f>BDH("GWW US Equity","BS_SHAREHOLDER_EQY_ENDING_PERIOD","2016-06-30","2021-06-30","Per=Y","Days=T","Dir=V")</f>
        <v>0</v>
      </c>
      <c r="S2">
        <f>BDH("GWW US Equity","BS_ACCT_NOTE_RCV","2016-06-30","2021-06-30","Per=Y","Days=T","Dir=V")</f>
        <v>0</v>
      </c>
      <c r="U2">
        <f>BDH("GWW US Equity","BS_INVENTORIES","2016-06-30","2021-06-30","Per=Y","Days=T","Dir=V")</f>
        <v>0</v>
      </c>
      <c r="W2">
        <f>BDH("GWW US Equity","WORKING_CAPITAL","2016-06-30","2021-06-30","Per=Y","Days=T","Dir=V")</f>
        <v>0</v>
      </c>
      <c r="Y2">
        <f>BDH("GWW US Equity","SALES_REV_TURN","2016-06-30","2021-06-30","Per=Y","Days=T","Dir=V")</f>
        <v>0</v>
      </c>
      <c r="AA2">
        <f>BDH("GWW US Equity","EBIT","2016-06-30","2021-06-30","Per=Y","Days=T","Dir=V")</f>
        <v>0</v>
      </c>
      <c r="AC2">
        <f>BDH("GWW US Equity","EBITDA","2016-06-30","2021-06-30","Per=Y","Days=T","Dir=V")</f>
        <v>0</v>
      </c>
      <c r="AE2">
        <f>BDH("GWW US Equity","NET_INCOME","2016-06-30","2021-06-30","Per=Y","Days=T","Dir=V")</f>
        <v>0</v>
      </c>
      <c r="AG2">
        <f>BDH("GWW US Equity","IS_INT_EXPENSE","2016-06-30","2021-06-30","Per=Y","Days=T","Dir=V")</f>
        <v>0</v>
      </c>
      <c r="AI2">
        <f>BDH("GWW US Equity","IS_DEPR_EXP","2016-06-30","2021-06-30","Per=Y","Days=T","Dir=V")</f>
        <v>0</v>
      </c>
      <c r="AK2">
        <f>BDH("GWW US Equity","CF_CASH_FROM_OPER","2016-06-30","2021-06-30","Per=Y","Days=T","Dir=V")</f>
        <v>0</v>
      </c>
      <c r="AM2">
        <f>BDH("GWW US Equity","CAPITAL_EXPEND","2016-06-30","2021-06-30","Per=Y","Days=T","Dir=V")</f>
        <v>0</v>
      </c>
      <c r="AO2">
        <f>BDH("GWW US Equity","CF_FREE_CASH_FLOW","2016-06-30","2021-06-30","Per=Y","Days=T","Dir=V")</f>
        <v>0</v>
      </c>
      <c r="AQ2">
        <f>BDH("GWW US Equity","PX_LAST","2016-06-30","2021-06-30","Per=M","Days=T","Dir=V")</f>
        <v>0</v>
      </c>
      <c r="AS2">
        <f>BDH("GWW US Equity","CUR_MKT_CAP","2016-06-30","2021-06-30","Per=M","Days=T","Dir=V")</f>
        <v>0</v>
      </c>
      <c r="AU2">
        <f>BDH("GWW US Equity","EQY_SH_OUT","2016-06-30","2021-06-30","Per=M","Days=T","Dir=V")</f>
        <v>0</v>
      </c>
      <c r="AW2">
        <f>BDH("GWW US Equity","BETA_RAW_OVERRIABLE","2016-06-30","2021-06-30","Per=M","Days=T","Dir=V")</f>
        <v>0</v>
      </c>
      <c r="AY2">
        <f>BDH("GWW US Equity","PX_VOLUME","2016-06-30","2021-06-30","Per=M","Days=T","Dir=V")</f>
        <v>0</v>
      </c>
      <c r="BA2">
        <f>BDH("GWW US Equity","TURNOVER","2016-06-30","2021-06-30","Per=M","Days=T","Dir=V")</f>
        <v>0</v>
      </c>
      <c r="BC2">
        <f>BDH("GWW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BDH("FBDT US Equity","BS_TOT_ASSET","2016-06-30","2021-06-30","Per=Y","Days=T","Dir=V")</f>
        <v>0</v>
      </c>
      <c r="C2">
        <f>BDH("FBDT US Equity","BS_TOT_LIAB2","2016-06-30","2021-06-30","Per=Y","Days=T","Dir=V")</f>
        <v>0</v>
      </c>
      <c r="E2">
        <f>BDH("FBDT US Equity","SHORT_AND_LONG_TERM_DEBT","2016-06-30","2021-06-30","Per=Y","Days=T","Dir=V")</f>
        <v>0</v>
      </c>
      <c r="G2">
        <f>BDH("FBDT US Equity","BS_ST_BORROW","2016-06-30","2021-06-30","Per=Y","Days=T","Dir=V")</f>
        <v>0</v>
      </c>
      <c r="I2">
        <f>BDH("FBDT US Equity","BS_LT_BORROW","2016-06-30","2021-06-30","Per=Y","Days=T","Dir=V")</f>
        <v>0</v>
      </c>
      <c r="K2">
        <f>BDH("FBDT US Equity","BS_CASH_NEAR_CASH_ITEM","2016-06-30","2021-06-30","Per=Y","Days=T","Dir=V")</f>
        <v>0</v>
      </c>
      <c r="M2">
        <f>BDH("FBDT US Equity","BS_CUR_ASSET_REPORT","2016-06-30","2021-06-30","Per=Y","Days=T","Dir=V")</f>
        <v>0</v>
      </c>
      <c r="O2">
        <f>BDH("FBDT US Equity","BS_CUR_LIAB","2016-06-30","2021-06-30","Per=Y","Days=T","Dir=V")</f>
        <v>0</v>
      </c>
      <c r="Q2">
        <f>BDH("FBDT US Equity","BS_SHAREHOLDER_EQY_ENDING_PERIOD","2016-06-30","2021-06-30","Per=Y","Days=T","Dir=V")</f>
        <v>0</v>
      </c>
      <c r="S2">
        <f>BDH("FBDT US Equity","BS_ACCT_NOTE_RCV","2016-06-30","2021-06-30","Per=Y","Days=T","Dir=V")</f>
        <v>0</v>
      </c>
      <c r="U2">
        <f>BDH("FBDT US Equity","BS_INVENTORIES","2016-06-30","2021-06-30","Per=Y","Days=T","Dir=V")</f>
        <v>0</v>
      </c>
      <c r="W2">
        <f>BDH("FBDT US Equity","WORKING_CAPITAL","2016-06-30","2021-06-30","Per=Y","Days=T","Dir=V")</f>
        <v>0</v>
      </c>
      <c r="Y2">
        <f>BDH("FBDT US Equity","SALES_REV_TURN","2016-06-30","2021-06-30","Per=Y","Days=T","Dir=V")</f>
        <v>0</v>
      </c>
      <c r="AA2">
        <f>BDH("FBDT US Equity","EBIT","2016-06-30","2021-06-30","Per=Y","Days=T","Dir=V")</f>
        <v>0</v>
      </c>
      <c r="AC2">
        <f>BDH("FBDT US Equity","EBITDA","2016-06-30","2021-06-30","Per=Y","Days=T","Dir=V")</f>
        <v>0</v>
      </c>
      <c r="AE2">
        <f>BDH("FBDT US Equity","NET_INCOME","2016-06-30","2021-06-30","Per=Y","Days=T","Dir=V")</f>
        <v>0</v>
      </c>
      <c r="AG2">
        <f>BDH("FBDT US Equity","IS_INT_EXPENSE","2016-06-30","2021-06-30","Per=Y","Days=T","Dir=V")</f>
        <v>0</v>
      </c>
      <c r="AI2">
        <f>BDH("FBDT US Equity","IS_DEPR_EXP","2016-06-30","2021-06-30","Per=Y","Days=T","Dir=V")</f>
        <v>0</v>
      </c>
      <c r="AK2">
        <f>BDH("FBDT US Equity","CF_CASH_FROM_OPER","2016-06-30","2021-06-30","Per=Y","Days=T","Dir=V")</f>
        <v>0</v>
      </c>
      <c r="AM2">
        <f>BDH("FBDT US Equity","CAPITAL_EXPEND","2016-06-30","2021-06-30","Per=Y","Days=T","Dir=V")</f>
        <v>0</v>
      </c>
      <c r="AO2">
        <f>BDH("FBDT US Equity","CF_FREE_CASH_FLOW","2016-06-30","2021-06-30","Per=Y","Days=T","Dir=V")</f>
        <v>0</v>
      </c>
      <c r="AQ2">
        <f>BDH("FBDT US Equity","PX_LAST","2016-06-30","2021-06-30","Per=M","Days=T","Dir=V")</f>
        <v>0</v>
      </c>
      <c r="AS2">
        <f>BDH("FBDT US Equity","CUR_MKT_CAP","2016-06-30","2021-06-30","Per=M","Days=T","Dir=V")</f>
        <v>0</v>
      </c>
      <c r="AU2">
        <f>BDH("FBDT US Equity","EQY_SH_OUT","2016-06-30","2021-06-30","Per=M","Days=T","Dir=V")</f>
        <v>0</v>
      </c>
      <c r="AW2">
        <f>BDH("FBDT US Equity","BETA_RAW_OVERRIABLE","2016-06-30","2021-06-30","Per=M","Days=T","Dir=V")</f>
        <v>0</v>
      </c>
      <c r="AY2">
        <f>BDH("FBDT US Equity","PX_VOLUME","2016-06-30","2021-06-30","Per=M","Days=T","Dir=V")</f>
        <v>0</v>
      </c>
      <c r="BA2">
        <f>BDH("FBDT US Equity","TURNOVER","2016-06-30","2021-06-30","Per=M","Days=T","Dir=V")</f>
        <v>0</v>
      </c>
      <c r="BC2">
        <f>BDH("FBDT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BDH("GOLD US Equity","BS_TOT_ASSET","2016-06-30","2021-06-30","Per=Y","Days=T","Dir=V")</f>
        <v>0</v>
      </c>
      <c r="C2">
        <f>BDH("GOLD US Equity","BS_TOT_LIAB2","2016-06-30","2021-06-30","Per=Y","Days=T","Dir=V")</f>
        <v>0</v>
      </c>
      <c r="E2">
        <f>BDH("GOLD US Equity","SHORT_AND_LONG_TERM_DEBT","2016-06-30","2021-06-30","Per=Y","Days=T","Dir=V")</f>
        <v>0</v>
      </c>
      <c r="G2">
        <f>BDH("GOLD US Equity","BS_ST_BORROW","2016-06-30","2021-06-30","Per=Y","Days=T","Dir=V")</f>
        <v>0</v>
      </c>
      <c r="I2">
        <f>BDH("GOLD US Equity","BS_LT_BORROW","2016-06-30","2021-06-30","Per=Y","Days=T","Dir=V")</f>
        <v>0</v>
      </c>
      <c r="K2">
        <f>BDH("GOLD US Equity","BS_CASH_NEAR_CASH_ITEM","2016-06-30","2021-06-30","Per=Y","Days=T","Dir=V")</f>
        <v>0</v>
      </c>
      <c r="M2">
        <f>BDH("GOLD US Equity","BS_CUR_ASSET_REPORT","2016-06-30","2021-06-30","Per=Y","Days=T","Dir=V")</f>
        <v>0</v>
      </c>
      <c r="O2">
        <f>BDH("GOLD US Equity","BS_CUR_LIAB","2016-06-30","2021-06-30","Per=Y","Days=T","Dir=V")</f>
        <v>0</v>
      </c>
      <c r="Q2">
        <f>BDH("GOLD US Equity","BS_SHAREHOLDER_EQY_ENDING_PERIOD","2016-06-30","2021-06-30","Per=Y","Days=T","Dir=V")</f>
        <v>0</v>
      </c>
      <c r="S2">
        <f>BDH("GOLD US Equity","BS_ACCT_NOTE_RCV","2016-06-30","2021-06-30","Per=Y","Days=T","Dir=V")</f>
        <v>0</v>
      </c>
      <c r="U2">
        <f>BDH("GOLD US Equity","BS_INVENTORIES","2016-06-30","2021-06-30","Per=Y","Days=T","Dir=V")</f>
        <v>0</v>
      </c>
      <c r="W2">
        <f>BDH("GOLD US Equity","WORKING_CAPITAL","2016-06-30","2021-06-30","Per=Y","Days=T","Dir=V")</f>
        <v>0</v>
      </c>
      <c r="Y2">
        <f>BDH("GOLD US Equity","SALES_REV_TURN","2016-06-30","2021-06-30","Per=Y","Days=T","Dir=V")</f>
        <v>0</v>
      </c>
      <c r="AA2">
        <f>BDH("GOLD US Equity","EBIT","2016-06-30","2021-06-30","Per=Y","Days=T","Dir=V")</f>
        <v>0</v>
      </c>
      <c r="AC2">
        <f>BDH("GOLD US Equity","EBITDA","2016-06-30","2021-06-30","Per=Y","Days=T","Dir=V")</f>
        <v>0</v>
      </c>
      <c r="AE2">
        <f>BDH("GOLD US Equity","NET_INCOME","2016-06-30","2021-06-30","Per=Y","Days=T","Dir=V")</f>
        <v>0</v>
      </c>
      <c r="AG2">
        <f>BDH("GOLD US Equity","IS_INT_EXPENSE","2016-06-30","2021-06-30","Per=Y","Days=T","Dir=V")</f>
        <v>0</v>
      </c>
      <c r="AI2">
        <f>BDH("GOLD US Equity","IS_DEPR_EXP","2016-06-30","2021-06-30","Per=Y","Days=T","Dir=V")</f>
        <v>0</v>
      </c>
      <c r="AK2">
        <f>BDH("GOLD US Equity","CF_CASH_FROM_OPER","2016-06-30","2021-06-30","Per=Y","Days=T","Dir=V")</f>
        <v>0</v>
      </c>
      <c r="AM2">
        <f>BDH("GOLD US Equity","CAPITAL_EXPEND","2016-06-30","2021-06-30","Per=Y","Days=T","Dir=V")</f>
        <v>0</v>
      </c>
      <c r="AO2">
        <f>BDH("GOLD US Equity","CF_FREE_CASH_FLOW","2016-06-30","2021-06-30","Per=Y","Days=T","Dir=V")</f>
        <v>0</v>
      </c>
      <c r="AQ2">
        <f>BDH("GOLD US Equity","PX_LAST","2016-06-30","2021-06-30","Per=M","Days=T","Dir=V")</f>
        <v>0</v>
      </c>
      <c r="AS2">
        <f>BDH("GOLD US Equity","CUR_MKT_CAP","2016-06-30","2021-06-30","Per=M","Days=T","Dir=V")</f>
        <v>0</v>
      </c>
      <c r="AU2">
        <f>BDH("GOLD US Equity","EQY_SH_OUT","2016-06-30","2021-06-30","Per=M","Days=T","Dir=V")</f>
        <v>0</v>
      </c>
      <c r="AW2">
        <f>BDH("GOLD US Equity","BETA_RAW_OVERRIABLE","2016-06-30","2021-06-30","Per=M","Days=T","Dir=V")</f>
        <v>0</v>
      </c>
      <c r="AY2">
        <f>BDH("GOLD US Equity","PX_VOLUME","2016-06-30","2021-06-30","Per=M","Days=T","Dir=V")</f>
        <v>0</v>
      </c>
      <c r="BA2">
        <f>BDH("GOLD US Equity","TURNOVER","2016-06-30","2021-06-30","Per=M","Days=T","Dir=V")</f>
        <v>0</v>
      </c>
      <c r="BC2">
        <f>BDH("GOLD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BDH("AWI US Equity","BS_TOT_ASSET","2016-06-30","2021-06-30","Per=Y","Days=T","Dir=V")</f>
        <v>0</v>
      </c>
      <c r="C2">
        <f>BDH("AWI US Equity","BS_TOT_LIAB2","2016-06-30","2021-06-30","Per=Y","Days=T","Dir=V")</f>
        <v>0</v>
      </c>
      <c r="E2">
        <f>BDH("AWI US Equity","SHORT_AND_LONG_TERM_DEBT","2016-06-30","2021-06-30","Per=Y","Days=T","Dir=V")</f>
        <v>0</v>
      </c>
      <c r="G2">
        <f>BDH("AWI US Equity","BS_ST_BORROW","2016-06-30","2021-06-30","Per=Y","Days=T","Dir=V")</f>
        <v>0</v>
      </c>
      <c r="I2">
        <f>BDH("AWI US Equity","BS_LT_BORROW","2016-06-30","2021-06-30","Per=Y","Days=T","Dir=V")</f>
        <v>0</v>
      </c>
      <c r="K2">
        <f>BDH("AWI US Equity","BS_CASH_NEAR_CASH_ITEM","2016-06-30","2021-06-30","Per=Y","Days=T","Dir=V")</f>
        <v>0</v>
      </c>
      <c r="M2">
        <f>BDH("AWI US Equity","BS_CUR_ASSET_REPORT","2016-06-30","2021-06-30","Per=Y","Days=T","Dir=V")</f>
        <v>0</v>
      </c>
      <c r="O2">
        <f>BDH("AWI US Equity","BS_CUR_LIAB","2016-06-30","2021-06-30","Per=Y","Days=T","Dir=V")</f>
        <v>0</v>
      </c>
      <c r="Q2">
        <f>BDH("AWI US Equity","BS_SHAREHOLDER_EQY_ENDING_PERIOD","2016-06-30","2021-06-30","Per=Y","Days=T","Dir=V")</f>
        <v>0</v>
      </c>
      <c r="S2">
        <f>BDH("AWI US Equity","BS_ACCT_NOTE_RCV","2016-06-30","2021-06-30","Per=Y","Days=T","Dir=V")</f>
        <v>0</v>
      </c>
      <c r="U2">
        <f>BDH("AWI US Equity","BS_INVENTORIES","2016-06-30","2021-06-30","Per=Y","Days=T","Dir=V")</f>
        <v>0</v>
      </c>
      <c r="W2">
        <f>BDH("AWI US Equity","WORKING_CAPITAL","2016-06-30","2021-06-30","Per=Y","Days=T","Dir=V")</f>
        <v>0</v>
      </c>
      <c r="Y2">
        <f>BDH("AWI US Equity","SALES_REV_TURN","2016-06-30","2021-06-30","Per=Y","Days=T","Dir=V")</f>
        <v>0</v>
      </c>
      <c r="AA2">
        <f>BDH("AWI US Equity","EBIT","2016-06-30","2021-06-30","Per=Y","Days=T","Dir=V")</f>
        <v>0</v>
      </c>
      <c r="AC2">
        <f>BDH("AWI US Equity","EBITDA","2016-06-30","2021-06-30","Per=Y","Days=T","Dir=V")</f>
        <v>0</v>
      </c>
      <c r="AE2">
        <f>BDH("AWI US Equity","NET_INCOME","2016-06-30","2021-06-30","Per=Y","Days=T","Dir=V")</f>
        <v>0</v>
      </c>
      <c r="AG2">
        <f>BDH("AWI US Equity","IS_INT_EXPENSE","2016-06-30","2021-06-30","Per=Y","Days=T","Dir=V")</f>
        <v>0</v>
      </c>
      <c r="AI2">
        <f>BDH("AWI US Equity","IS_DEPR_EXP","2016-06-30","2021-06-30","Per=Y","Days=T","Dir=V")</f>
        <v>0</v>
      </c>
      <c r="AK2">
        <f>BDH("AWI US Equity","CF_CASH_FROM_OPER","2016-06-30","2021-06-30","Per=Y","Days=T","Dir=V")</f>
        <v>0</v>
      </c>
      <c r="AM2">
        <f>BDH("AWI US Equity","CAPITAL_EXPEND","2016-06-30","2021-06-30","Per=Y","Days=T","Dir=V")</f>
        <v>0</v>
      </c>
      <c r="AO2">
        <f>BDH("AWI US Equity","CF_FREE_CASH_FLOW","2016-06-30","2021-06-30","Per=Y","Days=T","Dir=V")</f>
        <v>0</v>
      </c>
      <c r="AQ2">
        <f>BDH("AWI US Equity","PX_LAST","2016-06-30","2021-06-30","Per=M","Days=T","Dir=V")</f>
        <v>0</v>
      </c>
      <c r="AS2">
        <f>BDH("AWI US Equity","CUR_MKT_CAP","2016-06-30","2021-06-30","Per=M","Days=T","Dir=V")</f>
        <v>0</v>
      </c>
      <c r="AU2">
        <f>BDH("AWI US Equity","EQY_SH_OUT","2016-06-30","2021-06-30","Per=M","Days=T","Dir=V")</f>
        <v>0</v>
      </c>
      <c r="AW2">
        <f>BDH("AWI US Equity","BETA_RAW_OVERRIABLE","2016-06-30","2021-06-30","Per=M","Days=T","Dir=V")</f>
        <v>0</v>
      </c>
      <c r="AY2">
        <f>BDH("AWI US Equity","PX_VOLUME","2016-06-30","2021-06-30","Per=M","Days=T","Dir=V")</f>
        <v>0</v>
      </c>
      <c r="BA2">
        <f>BDH("AWI US Equity","TURNOVER","2016-06-30","2021-06-30","Per=M","Days=T","Dir=V")</f>
        <v>0</v>
      </c>
      <c r="BC2">
        <f>BDH("AWI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BDH("DCI US Equity","BS_TOT_ASSET","2016-06-30","2021-06-30","Per=Y","Days=T","Dir=V")</f>
        <v>0</v>
      </c>
      <c r="C2">
        <f>BDH("DCI US Equity","BS_TOT_LIAB2","2016-06-30","2021-06-30","Per=Y","Days=T","Dir=V")</f>
        <v>0</v>
      </c>
      <c r="E2">
        <f>BDH("DCI US Equity","SHORT_AND_LONG_TERM_DEBT","2016-06-30","2021-06-30","Per=Y","Days=T","Dir=V")</f>
        <v>0</v>
      </c>
      <c r="G2">
        <f>BDH("DCI US Equity","BS_ST_BORROW","2016-06-30","2021-06-30","Per=Y","Days=T","Dir=V")</f>
        <v>0</v>
      </c>
      <c r="I2">
        <f>BDH("DCI US Equity","BS_LT_BORROW","2016-06-30","2021-06-30","Per=Y","Days=T","Dir=V")</f>
        <v>0</v>
      </c>
      <c r="K2">
        <f>BDH("DCI US Equity","BS_CASH_NEAR_CASH_ITEM","2016-06-30","2021-06-30","Per=Y","Days=T","Dir=V")</f>
        <v>0</v>
      </c>
      <c r="M2">
        <f>BDH("DCI US Equity","BS_CUR_ASSET_REPORT","2016-06-30","2021-06-30","Per=Y","Days=T","Dir=V")</f>
        <v>0</v>
      </c>
      <c r="O2">
        <f>BDH("DCI US Equity","BS_CUR_LIAB","2016-06-30","2021-06-30","Per=Y","Days=T","Dir=V")</f>
        <v>0</v>
      </c>
      <c r="Q2">
        <f>BDH("DCI US Equity","BS_SHAREHOLDER_EQY_ENDING_PERIOD","2016-06-30","2021-06-30","Per=Y","Days=T","Dir=V")</f>
        <v>0</v>
      </c>
      <c r="S2">
        <f>BDH("DCI US Equity","BS_ACCT_NOTE_RCV","2016-06-30","2021-06-30","Per=Y","Days=T","Dir=V")</f>
        <v>0</v>
      </c>
      <c r="U2">
        <f>BDH("DCI US Equity","BS_INVENTORIES","2016-06-30","2021-06-30","Per=Y","Days=T","Dir=V")</f>
        <v>0</v>
      </c>
      <c r="W2">
        <f>BDH("DCI US Equity","WORKING_CAPITAL","2016-06-30","2021-06-30","Per=Y","Days=T","Dir=V")</f>
        <v>0</v>
      </c>
      <c r="Y2">
        <f>BDH("DCI US Equity","SALES_REV_TURN","2016-06-30","2021-06-30","Per=Y","Days=T","Dir=V")</f>
        <v>0</v>
      </c>
      <c r="AA2">
        <f>BDH("DCI US Equity","EBIT","2016-06-30","2021-06-30","Per=Y","Days=T","Dir=V")</f>
        <v>0</v>
      </c>
      <c r="AC2">
        <f>BDH("DCI US Equity","EBITDA","2016-06-30","2021-06-30","Per=Y","Days=T","Dir=V")</f>
        <v>0</v>
      </c>
      <c r="AE2">
        <f>BDH("DCI US Equity","NET_INCOME","2016-06-30","2021-06-30","Per=Y","Days=T","Dir=V")</f>
        <v>0</v>
      </c>
      <c r="AG2">
        <f>BDH("DCI US Equity","IS_INT_EXPENSE","2016-06-30","2021-06-30","Per=Y","Days=T","Dir=V")</f>
        <v>0</v>
      </c>
      <c r="AI2">
        <f>BDH("DCI US Equity","IS_DEPR_EXP","2016-06-30","2021-06-30","Per=Y","Days=T","Dir=V")</f>
        <v>0</v>
      </c>
      <c r="AK2">
        <f>BDH("DCI US Equity","CF_CASH_FROM_OPER","2016-06-30","2021-06-30","Per=Y","Days=T","Dir=V")</f>
        <v>0</v>
      </c>
      <c r="AM2">
        <f>BDH("DCI US Equity","CAPITAL_EXPEND","2016-06-30","2021-06-30","Per=Y","Days=T","Dir=V")</f>
        <v>0</v>
      </c>
      <c r="AO2">
        <f>BDH("DCI US Equity","CF_FREE_CASH_FLOW","2016-06-30","2021-06-30","Per=Y","Days=T","Dir=V")</f>
        <v>0</v>
      </c>
      <c r="AQ2">
        <f>BDH("DCI US Equity","PX_LAST","2016-06-30","2021-06-30","Per=M","Days=T","Dir=V")</f>
        <v>0</v>
      </c>
      <c r="AS2">
        <f>BDH("DCI US Equity","CUR_MKT_CAP","2016-06-30","2021-06-30","Per=M","Days=T","Dir=V")</f>
        <v>0</v>
      </c>
      <c r="AU2">
        <f>BDH("DCI US Equity","EQY_SH_OUT","2016-06-30","2021-06-30","Per=M","Days=T","Dir=V")</f>
        <v>0</v>
      </c>
      <c r="AW2">
        <f>BDH("DCI US Equity","BETA_RAW_OVERRIABLE","2016-06-30","2021-06-30","Per=M","Days=T","Dir=V")</f>
        <v>0</v>
      </c>
      <c r="AY2">
        <f>BDH("DCI US Equity","PX_VOLUME","2016-06-30","2021-06-30","Per=M","Days=T","Dir=V")</f>
        <v>0</v>
      </c>
      <c r="BA2">
        <f>BDH("DCI US Equity","TURNOVER","2016-06-30","2021-06-30","Per=M","Days=T","Dir=V")</f>
        <v>0</v>
      </c>
      <c r="BC2">
        <f>BDH("DCI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BDH("ASA US Equity","BS_TOT_ASSET","2016-06-30","2021-06-30","Per=Y","Days=T","Dir=V")</f>
        <v>0</v>
      </c>
      <c r="C2">
        <f>BDH("ASA US Equity","BS_TOT_LIAB2","2016-06-30","2021-06-30","Per=Y","Days=T","Dir=V")</f>
        <v>0</v>
      </c>
      <c r="E2">
        <f>BDH("ASA US Equity","SHORT_AND_LONG_TERM_DEBT","2016-06-30","2021-06-30","Per=Y","Days=T","Dir=V")</f>
        <v>0</v>
      </c>
      <c r="G2">
        <f>BDH("ASA US Equity","BS_ST_BORROW","2016-06-30","2021-06-30","Per=Y","Days=T","Dir=V")</f>
        <v>0</v>
      </c>
      <c r="I2">
        <f>BDH("ASA US Equity","BS_LT_BORROW","2016-06-30","2021-06-30","Per=Y","Days=T","Dir=V")</f>
        <v>0</v>
      </c>
      <c r="K2">
        <f>BDH("ASA US Equity","BS_CASH_NEAR_CASH_ITEM","2016-06-30","2021-06-30","Per=Y","Days=T","Dir=V")</f>
        <v>0</v>
      </c>
      <c r="M2">
        <f>BDH("ASA US Equity","BS_CUR_ASSET_REPORT","2016-06-30","2021-06-30","Per=Y","Days=T","Dir=V")</f>
        <v>0</v>
      </c>
      <c r="O2">
        <f>BDH("ASA US Equity","BS_CUR_LIAB","2016-06-30","2021-06-30","Per=Y","Days=T","Dir=V")</f>
        <v>0</v>
      </c>
      <c r="Q2">
        <f>BDH("ASA US Equity","BS_SHAREHOLDER_EQY_ENDING_PERIOD","2016-06-30","2021-06-30","Per=Y","Days=T","Dir=V")</f>
        <v>0</v>
      </c>
      <c r="S2">
        <f>BDH("ASA US Equity","BS_ACCT_NOTE_RCV","2016-06-30","2021-06-30","Per=Y","Days=T","Dir=V")</f>
        <v>0</v>
      </c>
      <c r="U2">
        <f>BDH("ASA US Equity","BS_INVENTORIES","2016-06-30","2021-06-30","Per=Y","Days=T","Dir=V")</f>
        <v>0</v>
      </c>
      <c r="W2">
        <f>BDH("ASA US Equity","WORKING_CAPITAL","2016-06-30","2021-06-30","Per=Y","Days=T","Dir=V")</f>
        <v>0</v>
      </c>
      <c r="Y2">
        <f>BDH("ASA US Equity","SALES_REV_TURN","2016-06-30","2021-06-30","Per=Y","Days=T","Dir=V")</f>
        <v>0</v>
      </c>
      <c r="AA2">
        <f>BDH("ASA US Equity","EBIT","2016-06-30","2021-06-30","Per=Y","Days=T","Dir=V")</f>
        <v>0</v>
      </c>
      <c r="AC2">
        <f>BDH("ASA US Equity","EBITDA","2016-06-30","2021-06-30","Per=Y","Days=T","Dir=V")</f>
        <v>0</v>
      </c>
      <c r="AE2">
        <f>BDH("ASA US Equity","NET_INCOME","2016-06-30","2021-06-30","Per=Y","Days=T","Dir=V")</f>
        <v>0</v>
      </c>
      <c r="AG2">
        <f>BDH("ASA US Equity","IS_INT_EXPENSE","2016-06-30","2021-06-30","Per=Y","Days=T","Dir=V")</f>
        <v>0</v>
      </c>
      <c r="AI2">
        <f>BDH("ASA US Equity","IS_DEPR_EXP","2016-06-30","2021-06-30","Per=Y","Days=T","Dir=V")</f>
        <v>0</v>
      </c>
      <c r="AK2">
        <f>BDH("ASA US Equity","CF_CASH_FROM_OPER","2016-06-30","2021-06-30","Per=Y","Days=T","Dir=V")</f>
        <v>0</v>
      </c>
      <c r="AM2">
        <f>BDH("ASA US Equity","CAPITAL_EXPEND","2016-06-30","2021-06-30","Per=Y","Days=T","Dir=V")</f>
        <v>0</v>
      </c>
      <c r="AO2">
        <f>BDH("ASA US Equity","CF_FREE_CASH_FLOW","2016-06-30","2021-06-30","Per=Y","Days=T","Dir=V")</f>
        <v>0</v>
      </c>
      <c r="AQ2">
        <f>BDH("ASA US Equity","PX_LAST","2016-06-30","2021-06-30","Per=M","Days=T","Dir=V")</f>
        <v>0</v>
      </c>
      <c r="AS2">
        <f>BDH("ASA US Equity","CUR_MKT_CAP","2016-06-30","2021-06-30","Per=M","Days=T","Dir=V")</f>
        <v>0</v>
      </c>
      <c r="AU2">
        <f>BDH("ASA US Equity","EQY_SH_OUT","2016-06-30","2021-06-30","Per=M","Days=T","Dir=V")</f>
        <v>0</v>
      </c>
      <c r="AW2">
        <f>BDH("ASA US Equity","BETA_RAW_OVERRIABLE","2016-06-30","2021-06-30","Per=M","Days=T","Dir=V")</f>
        <v>0</v>
      </c>
      <c r="AY2">
        <f>BDH("ASA US Equity","PX_VOLUME","2016-06-30","2021-06-30","Per=M","Days=T","Dir=V")</f>
        <v>0</v>
      </c>
      <c r="BA2">
        <f>BDH("ASA US Equity","TURNOVER","2016-06-30","2021-06-30","Per=M","Days=T","Dir=V")</f>
        <v>0</v>
      </c>
      <c r="BC2">
        <f>BDH("ASA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BDH("FIP US Equity","BS_TOT_ASSET","2016-06-30","2021-06-30","Per=Y","Days=T","Dir=V")</f>
        <v>0</v>
      </c>
      <c r="C2">
        <f>BDH("FIP US Equity","BS_TOT_LIAB2","2016-06-30","2021-06-30","Per=Y","Days=T","Dir=V")</f>
        <v>0</v>
      </c>
      <c r="E2">
        <f>BDH("FIP US Equity","SHORT_AND_LONG_TERM_DEBT","2016-06-30","2021-06-30","Per=Y","Days=T","Dir=V")</f>
        <v>0</v>
      </c>
      <c r="G2">
        <f>BDH("FIP US Equity","BS_ST_BORROW","2016-06-30","2021-06-30","Per=Y","Days=T","Dir=V")</f>
        <v>0</v>
      </c>
      <c r="I2">
        <f>BDH("FIP US Equity","BS_LT_BORROW","2016-06-30","2021-06-30","Per=Y","Days=T","Dir=V")</f>
        <v>0</v>
      </c>
      <c r="K2">
        <f>BDH("FIP US Equity","BS_CASH_NEAR_CASH_ITEM","2016-06-30","2021-06-30","Per=Y","Days=T","Dir=V")</f>
        <v>0</v>
      </c>
      <c r="M2">
        <f>BDH("FIP US Equity","BS_CUR_ASSET_REPORT","2016-06-30","2021-06-30","Per=Y","Days=T","Dir=V")</f>
        <v>0</v>
      </c>
      <c r="O2">
        <f>BDH("FIP US Equity","BS_CUR_LIAB","2016-06-30","2021-06-30","Per=Y","Days=T","Dir=V")</f>
        <v>0</v>
      </c>
      <c r="Q2">
        <f>BDH("FIP US Equity","BS_SHAREHOLDER_EQY_ENDING_PERIOD","2016-06-30","2021-06-30","Per=Y","Days=T","Dir=V")</f>
        <v>0</v>
      </c>
      <c r="S2">
        <f>BDH("FIP US Equity","BS_ACCT_NOTE_RCV","2016-06-30","2021-06-30","Per=Y","Days=T","Dir=V")</f>
        <v>0</v>
      </c>
      <c r="U2">
        <f>BDH("FIP US Equity","BS_INVENTORIES","2016-06-30","2021-06-30","Per=Y","Days=T","Dir=V")</f>
        <v>0</v>
      </c>
      <c r="W2">
        <f>BDH("FIP US Equity","WORKING_CAPITAL","2016-06-30","2021-06-30","Per=Y","Days=T","Dir=V")</f>
        <v>0</v>
      </c>
      <c r="Y2">
        <f>BDH("FIP US Equity","SALES_REV_TURN","2016-06-30","2021-06-30","Per=Y","Days=T","Dir=V")</f>
        <v>0</v>
      </c>
      <c r="AA2">
        <f>BDH("FIP US Equity","EBIT","2016-06-30","2021-06-30","Per=Y","Days=T","Dir=V")</f>
        <v>0</v>
      </c>
      <c r="AC2">
        <f>BDH("FIP US Equity","EBITDA","2016-06-30","2021-06-30","Per=Y","Days=T","Dir=V")</f>
        <v>0</v>
      </c>
      <c r="AE2">
        <f>BDH("FIP US Equity","NET_INCOME","2016-06-30","2021-06-30","Per=Y","Days=T","Dir=V")</f>
        <v>0</v>
      </c>
      <c r="AG2">
        <f>BDH("FIP US Equity","IS_INT_EXPENSE","2016-06-30","2021-06-30","Per=Y","Days=T","Dir=V")</f>
        <v>0</v>
      </c>
      <c r="AI2">
        <f>BDH("FIP US Equity","IS_DEPR_EXP","2016-06-30","2021-06-30","Per=Y","Days=T","Dir=V")</f>
        <v>0</v>
      </c>
      <c r="AK2">
        <f>BDH("FIP US Equity","CF_CASH_FROM_OPER","2016-06-30","2021-06-30","Per=Y","Days=T","Dir=V")</f>
        <v>0</v>
      </c>
      <c r="AM2">
        <f>BDH("FIP US Equity","CAPITAL_EXPEND","2016-06-30","2021-06-30","Per=Y","Days=T","Dir=V")</f>
        <v>0</v>
      </c>
      <c r="AO2">
        <f>BDH("FIP US Equity","CF_FREE_CASH_FLOW","2016-06-30","2021-06-30","Per=Y","Days=T","Dir=V")</f>
        <v>0</v>
      </c>
      <c r="AQ2">
        <f>BDH("FIP US Equity","PX_LAST","2016-06-30","2021-06-30","Per=M","Days=T","Dir=V")</f>
        <v>0</v>
      </c>
      <c r="AS2">
        <f>BDH("FIP US Equity","CUR_MKT_CAP","2016-06-30","2021-06-30","Per=M","Days=T","Dir=V")</f>
        <v>0</v>
      </c>
      <c r="AU2">
        <f>BDH("FIP US Equity","EQY_SH_OUT","2016-06-30","2021-06-30","Per=M","Days=T","Dir=V")</f>
        <v>0</v>
      </c>
      <c r="AW2">
        <f>BDH("FIP US Equity","BETA_RAW_OVERRIABLE","2016-06-30","2021-06-30","Per=M","Days=T","Dir=V")</f>
        <v>0</v>
      </c>
      <c r="AY2">
        <f>BDH("FIP US Equity","PX_VOLUME","2016-06-30","2021-06-30","Per=M","Days=T","Dir=V")</f>
        <v>0</v>
      </c>
      <c r="BA2">
        <f>BDH("FIP US Equity","TURNOVER","2016-06-30","2021-06-30","Per=M","Days=T","Dir=V")</f>
        <v>0</v>
      </c>
      <c r="BC2">
        <f>BDH("FIP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BDH("YHGJ US Equity","BS_TOT_ASSET","2016-06-30","2021-06-30","Per=Y","Days=T","Dir=V")</f>
        <v>0</v>
      </c>
      <c r="C2">
        <f>BDH("YHGJ US Equity","BS_TOT_LIAB2","2016-06-30","2021-06-30","Per=Y","Days=T","Dir=V")</f>
        <v>0</v>
      </c>
      <c r="E2">
        <f>BDH("YHGJ US Equity","SHORT_AND_LONG_TERM_DEBT","2016-06-30","2021-06-30","Per=Y","Days=T","Dir=V")</f>
        <v>0</v>
      </c>
      <c r="G2">
        <f>BDH("YHGJ US Equity","BS_ST_BORROW","2016-06-30","2021-06-30","Per=Y","Days=T","Dir=V")</f>
        <v>0</v>
      </c>
      <c r="I2">
        <f>BDH("YHGJ US Equity","BS_LT_BORROW","2016-06-30","2021-06-30","Per=Y","Days=T","Dir=V")</f>
        <v>0</v>
      </c>
      <c r="K2">
        <f>BDH("YHGJ US Equity","BS_CASH_NEAR_CASH_ITEM","2016-06-30","2021-06-30","Per=Y","Days=T","Dir=V")</f>
        <v>0</v>
      </c>
      <c r="M2">
        <f>BDH("YHGJ US Equity","BS_CUR_ASSET_REPORT","2016-06-30","2021-06-30","Per=Y","Days=T","Dir=V")</f>
        <v>0</v>
      </c>
      <c r="O2">
        <f>BDH("YHGJ US Equity","BS_CUR_LIAB","2016-06-30","2021-06-30","Per=Y","Days=T","Dir=V")</f>
        <v>0</v>
      </c>
      <c r="Q2">
        <f>BDH("YHGJ US Equity","BS_SHAREHOLDER_EQY_ENDING_PERIOD","2016-06-30","2021-06-30","Per=Y","Days=T","Dir=V")</f>
        <v>0</v>
      </c>
      <c r="S2">
        <f>BDH("YHGJ US Equity","BS_ACCT_NOTE_RCV","2016-06-30","2021-06-30","Per=Y","Days=T","Dir=V")</f>
        <v>0</v>
      </c>
      <c r="U2">
        <f>BDH("YHGJ US Equity","BS_INVENTORIES","2016-06-30","2021-06-30","Per=Y","Days=T","Dir=V")</f>
        <v>0</v>
      </c>
      <c r="W2">
        <f>BDH("YHGJ US Equity","WORKING_CAPITAL","2016-06-30","2021-06-30","Per=Y","Days=T","Dir=V")</f>
        <v>0</v>
      </c>
      <c r="Y2">
        <f>BDH("YHGJ US Equity","SALES_REV_TURN","2016-06-30","2021-06-30","Per=Y","Days=T","Dir=V")</f>
        <v>0</v>
      </c>
      <c r="AA2">
        <f>BDH("YHGJ US Equity","EBIT","2016-06-30","2021-06-30","Per=Y","Days=T","Dir=V")</f>
        <v>0</v>
      </c>
      <c r="AC2">
        <f>BDH("YHGJ US Equity","EBITDA","2016-06-30","2021-06-30","Per=Y","Days=T","Dir=V")</f>
        <v>0</v>
      </c>
      <c r="AE2">
        <f>BDH("YHGJ US Equity","NET_INCOME","2016-06-30","2021-06-30","Per=Y","Days=T","Dir=V")</f>
        <v>0</v>
      </c>
      <c r="AG2">
        <f>BDH("YHGJ US Equity","IS_INT_EXPENSE","2016-06-30","2021-06-30","Per=Y","Days=T","Dir=V")</f>
        <v>0</v>
      </c>
      <c r="AI2">
        <f>BDH("YHGJ US Equity","IS_DEPR_EXP","2016-06-30","2021-06-30","Per=Y","Days=T","Dir=V")</f>
        <v>0</v>
      </c>
      <c r="AK2">
        <f>BDH("YHGJ US Equity","CF_CASH_FROM_OPER","2016-06-30","2021-06-30","Per=Y","Days=T","Dir=V")</f>
        <v>0</v>
      </c>
      <c r="AM2">
        <f>BDH("YHGJ US Equity","CAPITAL_EXPEND","2016-06-30","2021-06-30","Per=Y","Days=T","Dir=V")</f>
        <v>0</v>
      </c>
      <c r="AO2">
        <f>BDH("YHGJ US Equity","CF_FREE_CASH_FLOW","2016-06-30","2021-06-30","Per=Y","Days=T","Dir=V")</f>
        <v>0</v>
      </c>
      <c r="AQ2">
        <f>BDH("YHGJ US Equity","PX_LAST","2016-06-30","2021-06-30","Per=M","Days=T","Dir=V")</f>
        <v>0</v>
      </c>
      <c r="AS2">
        <f>BDH("YHGJ US Equity","CUR_MKT_CAP","2016-06-30","2021-06-30","Per=M","Days=T","Dir=V")</f>
        <v>0</v>
      </c>
      <c r="AU2">
        <f>BDH("YHGJ US Equity","EQY_SH_OUT","2016-06-30","2021-06-30","Per=M","Days=T","Dir=V")</f>
        <v>0</v>
      </c>
      <c r="AW2">
        <f>BDH("YHGJ US Equity","BETA_RAW_OVERRIABLE","2016-06-30","2021-06-30","Per=M","Days=T","Dir=V")</f>
        <v>0</v>
      </c>
      <c r="AY2">
        <f>BDH("YHGJ US Equity","PX_VOLUME","2016-06-30","2021-06-30","Per=M","Days=T","Dir=V")</f>
        <v>0</v>
      </c>
      <c r="BA2">
        <f>BDH("YHGJ US Equity","TURNOVER","2016-06-30","2021-06-30","Per=M","Days=T","Dir=V")</f>
        <v>0</v>
      </c>
      <c r="BC2">
        <f>BDH("YHGJ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BDH("ATI US Equity","BS_TOT_ASSET","2016-06-30","2021-06-30","Per=Y","Days=T","Dir=V")</f>
        <v>0</v>
      </c>
      <c r="C2">
        <f>BDH("ATI US Equity","BS_TOT_LIAB2","2016-06-30","2021-06-30","Per=Y","Days=T","Dir=V")</f>
        <v>0</v>
      </c>
      <c r="E2">
        <f>BDH("ATI US Equity","SHORT_AND_LONG_TERM_DEBT","2016-06-30","2021-06-30","Per=Y","Days=T","Dir=V")</f>
        <v>0</v>
      </c>
      <c r="G2">
        <f>BDH("ATI US Equity","BS_ST_BORROW","2016-06-30","2021-06-30","Per=Y","Days=T","Dir=V")</f>
        <v>0</v>
      </c>
      <c r="I2">
        <f>BDH("ATI US Equity","BS_LT_BORROW","2016-06-30","2021-06-30","Per=Y","Days=T","Dir=V")</f>
        <v>0</v>
      </c>
      <c r="K2">
        <f>BDH("ATI US Equity","BS_CASH_NEAR_CASH_ITEM","2016-06-30","2021-06-30","Per=Y","Days=T","Dir=V")</f>
        <v>0</v>
      </c>
      <c r="M2">
        <f>BDH("ATI US Equity","BS_CUR_ASSET_REPORT","2016-06-30","2021-06-30","Per=Y","Days=T","Dir=V")</f>
        <v>0</v>
      </c>
      <c r="O2">
        <f>BDH("ATI US Equity","BS_CUR_LIAB","2016-06-30","2021-06-30","Per=Y","Days=T","Dir=V")</f>
        <v>0</v>
      </c>
      <c r="Q2">
        <f>BDH("ATI US Equity","BS_SHAREHOLDER_EQY_ENDING_PERIOD","2016-06-30","2021-06-30","Per=Y","Days=T","Dir=V")</f>
        <v>0</v>
      </c>
      <c r="S2">
        <f>BDH("ATI US Equity","BS_ACCT_NOTE_RCV","2016-06-30","2021-06-30","Per=Y","Days=T","Dir=V")</f>
        <v>0</v>
      </c>
      <c r="U2">
        <f>BDH("ATI US Equity","BS_INVENTORIES","2016-06-30","2021-06-30","Per=Y","Days=T","Dir=V")</f>
        <v>0</v>
      </c>
      <c r="W2">
        <f>BDH("ATI US Equity","WORKING_CAPITAL","2016-06-30","2021-06-30","Per=Y","Days=T","Dir=V")</f>
        <v>0</v>
      </c>
      <c r="Y2">
        <f>BDH("ATI US Equity","SALES_REV_TURN","2016-06-30","2021-06-30","Per=Y","Days=T","Dir=V")</f>
        <v>0</v>
      </c>
      <c r="AA2">
        <f>BDH("ATI US Equity","EBIT","2016-06-30","2021-06-30","Per=Y","Days=T","Dir=V")</f>
        <v>0</v>
      </c>
      <c r="AC2">
        <f>BDH("ATI US Equity","EBITDA","2016-06-30","2021-06-30","Per=Y","Days=T","Dir=V")</f>
        <v>0</v>
      </c>
      <c r="AE2">
        <f>BDH("ATI US Equity","NET_INCOME","2016-06-30","2021-06-30","Per=Y","Days=T","Dir=V")</f>
        <v>0</v>
      </c>
      <c r="AG2">
        <f>BDH("ATI US Equity","IS_INT_EXPENSE","2016-06-30","2021-06-30","Per=Y","Days=T","Dir=V")</f>
        <v>0</v>
      </c>
      <c r="AI2">
        <f>BDH("ATI US Equity","IS_DEPR_EXP","2016-06-30","2021-06-30","Per=Y","Days=T","Dir=V")</f>
        <v>0</v>
      </c>
      <c r="AK2">
        <f>BDH("ATI US Equity","CF_CASH_FROM_OPER","2016-06-30","2021-06-30","Per=Y","Days=T","Dir=V")</f>
        <v>0</v>
      </c>
      <c r="AM2">
        <f>BDH("ATI US Equity","CAPITAL_EXPEND","2016-06-30","2021-06-30","Per=Y","Days=T","Dir=V")</f>
        <v>0</v>
      </c>
      <c r="AO2">
        <f>BDH("ATI US Equity","CF_FREE_CASH_FLOW","2016-06-30","2021-06-30","Per=Y","Days=T","Dir=V")</f>
        <v>0</v>
      </c>
      <c r="AQ2">
        <f>BDH("ATI US Equity","PX_LAST","2016-06-30","2021-06-30","Per=M","Days=T","Dir=V")</f>
        <v>0</v>
      </c>
      <c r="AS2">
        <f>BDH("ATI US Equity","CUR_MKT_CAP","2016-06-30","2021-06-30","Per=M","Days=T","Dir=V")</f>
        <v>0</v>
      </c>
      <c r="AU2">
        <f>BDH("ATI US Equity","EQY_SH_OUT","2016-06-30","2021-06-30","Per=M","Days=T","Dir=V")</f>
        <v>0</v>
      </c>
      <c r="AW2">
        <f>BDH("ATI US Equity","BETA_RAW_OVERRIABLE","2016-06-30","2021-06-30","Per=M","Days=T","Dir=V")</f>
        <v>0</v>
      </c>
      <c r="AY2">
        <f>BDH("ATI US Equity","PX_VOLUME","2016-06-30","2021-06-30","Per=M","Days=T","Dir=V")</f>
        <v>0</v>
      </c>
      <c r="BA2">
        <f>BDH("ATI US Equity","TURNOVER","2016-06-30","2021-06-30","Per=M","Days=T","Dir=V")</f>
        <v>0</v>
      </c>
      <c r="BC2">
        <f>BDH("ATI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BDH("BDC US Equity","BS_TOT_ASSET","2016-06-30","2021-06-30","Per=Y","Days=T","Dir=V")</f>
        <v>0</v>
      </c>
      <c r="C2">
        <f>BDH("BDC US Equity","BS_TOT_LIAB2","2016-06-30","2021-06-30","Per=Y","Days=T","Dir=V")</f>
        <v>0</v>
      </c>
      <c r="E2">
        <f>BDH("BDC US Equity","SHORT_AND_LONG_TERM_DEBT","2016-06-30","2021-06-30","Per=Y","Days=T","Dir=V")</f>
        <v>0</v>
      </c>
      <c r="G2">
        <f>BDH("BDC US Equity","BS_ST_BORROW","2016-06-30","2021-06-30","Per=Y","Days=T","Dir=V")</f>
        <v>0</v>
      </c>
      <c r="I2">
        <f>BDH("BDC US Equity","BS_LT_BORROW","2016-06-30","2021-06-30","Per=Y","Days=T","Dir=V")</f>
        <v>0</v>
      </c>
      <c r="K2">
        <f>BDH("BDC US Equity","BS_CASH_NEAR_CASH_ITEM","2016-06-30","2021-06-30","Per=Y","Days=T","Dir=V")</f>
        <v>0</v>
      </c>
      <c r="M2">
        <f>BDH("BDC US Equity","BS_CUR_ASSET_REPORT","2016-06-30","2021-06-30","Per=Y","Days=T","Dir=V")</f>
        <v>0</v>
      </c>
      <c r="O2">
        <f>BDH("BDC US Equity","BS_CUR_LIAB","2016-06-30","2021-06-30","Per=Y","Days=T","Dir=V")</f>
        <v>0</v>
      </c>
      <c r="Q2">
        <f>BDH("BDC US Equity","BS_SHAREHOLDER_EQY_ENDING_PERIOD","2016-06-30","2021-06-30","Per=Y","Days=T","Dir=V")</f>
        <v>0</v>
      </c>
      <c r="S2">
        <f>BDH("BDC US Equity","BS_ACCT_NOTE_RCV","2016-06-30","2021-06-30","Per=Y","Days=T","Dir=V")</f>
        <v>0</v>
      </c>
      <c r="U2">
        <f>BDH("BDC US Equity","BS_INVENTORIES","2016-06-30","2021-06-30","Per=Y","Days=T","Dir=V")</f>
        <v>0</v>
      </c>
      <c r="W2">
        <f>BDH("BDC US Equity","WORKING_CAPITAL","2016-06-30","2021-06-30","Per=Y","Days=T","Dir=V")</f>
        <v>0</v>
      </c>
      <c r="Y2">
        <f>BDH("BDC US Equity","SALES_REV_TURN","2016-06-30","2021-06-30","Per=Y","Days=T","Dir=V")</f>
        <v>0</v>
      </c>
      <c r="AA2">
        <f>BDH("BDC US Equity","EBIT","2016-06-30","2021-06-30","Per=Y","Days=T","Dir=V")</f>
        <v>0</v>
      </c>
      <c r="AC2">
        <f>BDH("BDC US Equity","EBITDA","2016-06-30","2021-06-30","Per=Y","Days=T","Dir=V")</f>
        <v>0</v>
      </c>
      <c r="AE2">
        <f>BDH("BDC US Equity","NET_INCOME","2016-06-30","2021-06-30","Per=Y","Days=T","Dir=V")</f>
        <v>0</v>
      </c>
      <c r="AG2">
        <f>BDH("BDC US Equity","IS_INT_EXPENSE","2016-06-30","2021-06-30","Per=Y","Days=T","Dir=V")</f>
        <v>0</v>
      </c>
      <c r="AI2">
        <f>BDH("BDC US Equity","IS_DEPR_EXP","2016-06-30","2021-06-30","Per=Y","Days=T","Dir=V")</f>
        <v>0</v>
      </c>
      <c r="AK2">
        <f>BDH("BDC US Equity","CF_CASH_FROM_OPER","2016-06-30","2021-06-30","Per=Y","Days=T","Dir=V")</f>
        <v>0</v>
      </c>
      <c r="AM2">
        <f>BDH("BDC US Equity","CAPITAL_EXPEND","2016-06-30","2021-06-30","Per=Y","Days=T","Dir=V")</f>
        <v>0</v>
      </c>
      <c r="AO2">
        <f>BDH("BDC US Equity","CF_FREE_CASH_FLOW","2016-06-30","2021-06-30","Per=Y","Days=T","Dir=V")</f>
        <v>0</v>
      </c>
      <c r="AQ2">
        <f>BDH("BDC US Equity","PX_LAST","2016-06-30","2021-06-30","Per=M","Days=T","Dir=V")</f>
        <v>0</v>
      </c>
      <c r="AS2">
        <f>BDH("BDC US Equity","CUR_MKT_CAP","2016-06-30","2021-06-30","Per=M","Days=T","Dir=V")</f>
        <v>0</v>
      </c>
      <c r="AU2">
        <f>BDH("BDC US Equity","EQY_SH_OUT","2016-06-30","2021-06-30","Per=M","Days=T","Dir=V")</f>
        <v>0</v>
      </c>
      <c r="AW2">
        <f>BDH("BDC US Equity","BETA_RAW_OVERRIABLE","2016-06-30","2021-06-30","Per=M","Days=T","Dir=V")</f>
        <v>0</v>
      </c>
      <c r="AY2">
        <f>BDH("BDC US Equity","PX_VOLUME","2016-06-30","2021-06-30","Per=M","Days=T","Dir=V")</f>
        <v>0</v>
      </c>
      <c r="BA2">
        <f>BDH("BDC US Equity","TURNOVER","2016-06-30","2021-06-30","Per=M","Days=T","Dir=V")</f>
        <v>0</v>
      </c>
      <c r="BC2">
        <f>BDH("BDC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BDH("PAMT US Equity","BS_TOT_ASSET","2016-06-30","2021-06-30","Per=Y","Days=T","Dir=V")</f>
        <v>0</v>
      </c>
      <c r="C2">
        <f>BDH("PAMT US Equity","BS_TOT_LIAB2","2016-06-30","2021-06-30","Per=Y","Days=T","Dir=V")</f>
        <v>0</v>
      </c>
      <c r="E2">
        <f>BDH("PAMT US Equity","SHORT_AND_LONG_TERM_DEBT","2016-06-30","2021-06-30","Per=Y","Days=T","Dir=V")</f>
        <v>0</v>
      </c>
      <c r="G2">
        <f>BDH("PAMT US Equity","BS_ST_BORROW","2016-06-30","2021-06-30","Per=Y","Days=T","Dir=V")</f>
        <v>0</v>
      </c>
      <c r="I2">
        <f>BDH("PAMT US Equity","BS_LT_BORROW","2016-06-30","2021-06-30","Per=Y","Days=T","Dir=V")</f>
        <v>0</v>
      </c>
      <c r="K2">
        <f>BDH("PAMT US Equity","BS_CASH_NEAR_CASH_ITEM","2016-06-30","2021-06-30","Per=Y","Days=T","Dir=V")</f>
        <v>0</v>
      </c>
      <c r="M2">
        <f>BDH("PAMT US Equity","BS_CUR_ASSET_REPORT","2016-06-30","2021-06-30","Per=Y","Days=T","Dir=V")</f>
        <v>0</v>
      </c>
      <c r="O2">
        <f>BDH("PAMT US Equity","BS_CUR_LIAB","2016-06-30","2021-06-30","Per=Y","Days=T","Dir=V")</f>
        <v>0</v>
      </c>
      <c r="Q2">
        <f>BDH("PAMT US Equity","BS_SHAREHOLDER_EQY_ENDING_PERIOD","2016-06-30","2021-06-30","Per=Y","Days=T","Dir=V")</f>
        <v>0</v>
      </c>
      <c r="S2">
        <f>BDH("PAMT US Equity","BS_ACCT_NOTE_RCV","2016-06-30","2021-06-30","Per=Y","Days=T","Dir=V")</f>
        <v>0</v>
      </c>
      <c r="U2">
        <f>BDH("PAMT US Equity","BS_INVENTORIES","2016-06-30","2021-06-30","Per=Y","Days=T","Dir=V")</f>
        <v>0</v>
      </c>
      <c r="W2">
        <f>BDH("PAMT US Equity","WORKING_CAPITAL","2016-06-30","2021-06-30","Per=Y","Days=T","Dir=V")</f>
        <v>0</v>
      </c>
      <c r="Y2">
        <f>BDH("PAMT US Equity","SALES_REV_TURN","2016-06-30","2021-06-30","Per=Y","Days=T","Dir=V")</f>
        <v>0</v>
      </c>
      <c r="AA2">
        <f>BDH("PAMT US Equity","EBIT","2016-06-30","2021-06-30","Per=Y","Days=T","Dir=V")</f>
        <v>0</v>
      </c>
      <c r="AC2">
        <f>BDH("PAMT US Equity","EBITDA","2016-06-30","2021-06-30","Per=Y","Days=T","Dir=V")</f>
        <v>0</v>
      </c>
      <c r="AE2">
        <f>BDH("PAMT US Equity","NET_INCOME","2016-06-30","2021-06-30","Per=Y","Days=T","Dir=V")</f>
        <v>0</v>
      </c>
      <c r="AG2">
        <f>BDH("PAMT US Equity","IS_INT_EXPENSE","2016-06-30","2021-06-30","Per=Y","Days=T","Dir=V")</f>
        <v>0</v>
      </c>
      <c r="AI2">
        <f>BDH("PAMT US Equity","IS_DEPR_EXP","2016-06-30","2021-06-30","Per=Y","Days=T","Dir=V")</f>
        <v>0</v>
      </c>
      <c r="AK2">
        <f>BDH("PAMT US Equity","CF_CASH_FROM_OPER","2016-06-30","2021-06-30","Per=Y","Days=T","Dir=V")</f>
        <v>0</v>
      </c>
      <c r="AM2">
        <f>BDH("PAMT US Equity","CAPITAL_EXPEND","2016-06-30","2021-06-30","Per=Y","Days=T","Dir=V")</f>
        <v>0</v>
      </c>
      <c r="AO2">
        <f>BDH("PAMT US Equity","CF_FREE_CASH_FLOW","2016-06-30","2021-06-30","Per=Y","Days=T","Dir=V")</f>
        <v>0</v>
      </c>
      <c r="AQ2">
        <f>BDH("PAMT US Equity","PX_LAST","2016-06-30","2021-06-30","Per=M","Days=T","Dir=V")</f>
        <v>0</v>
      </c>
      <c r="AS2">
        <f>BDH("PAMT US Equity","CUR_MKT_CAP","2016-06-30","2021-06-30","Per=M","Days=T","Dir=V")</f>
        <v>0</v>
      </c>
      <c r="AU2">
        <f>BDH("PAMT US Equity","EQY_SH_OUT","2016-06-30","2021-06-30","Per=M","Days=T","Dir=V")</f>
        <v>0</v>
      </c>
      <c r="AW2">
        <f>BDH("PAMT US Equity","BETA_RAW_OVERRIABLE","2016-06-30","2021-06-30","Per=M","Days=T","Dir=V")</f>
        <v>0</v>
      </c>
      <c r="AY2">
        <f>BDH("PAMT US Equity","PX_VOLUME","2016-06-30","2021-06-30","Per=M","Days=T","Dir=V")</f>
        <v>0</v>
      </c>
      <c r="BA2">
        <f>BDH("PAMT US Equity","TURNOVER","2016-06-30","2021-06-30","Per=M","Days=T","Dir=V")</f>
        <v>0</v>
      </c>
      <c r="BC2">
        <f>BDH("PAMT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BDH("DY US Equity","BS_TOT_ASSET","2016-06-30","2021-06-30","Per=Y","Days=T","Dir=V")</f>
        <v>0</v>
      </c>
      <c r="C2">
        <f>BDH("DY US Equity","BS_TOT_LIAB2","2016-06-30","2021-06-30","Per=Y","Days=T","Dir=V")</f>
        <v>0</v>
      </c>
      <c r="E2">
        <f>BDH("DY US Equity","SHORT_AND_LONG_TERM_DEBT","2016-06-30","2021-06-30","Per=Y","Days=T","Dir=V")</f>
        <v>0</v>
      </c>
      <c r="G2">
        <f>BDH("DY US Equity","BS_ST_BORROW","2016-06-30","2021-06-30","Per=Y","Days=T","Dir=V")</f>
        <v>0</v>
      </c>
      <c r="I2">
        <f>BDH("DY US Equity","BS_LT_BORROW","2016-06-30","2021-06-30","Per=Y","Days=T","Dir=V")</f>
        <v>0</v>
      </c>
      <c r="K2">
        <f>BDH("DY US Equity","BS_CASH_NEAR_CASH_ITEM","2016-06-30","2021-06-30","Per=Y","Days=T","Dir=V")</f>
        <v>0</v>
      </c>
      <c r="M2">
        <f>BDH("DY US Equity","BS_CUR_ASSET_REPORT","2016-06-30","2021-06-30","Per=Y","Days=T","Dir=V")</f>
        <v>0</v>
      </c>
      <c r="O2">
        <f>BDH("DY US Equity","BS_CUR_LIAB","2016-06-30","2021-06-30","Per=Y","Days=T","Dir=V")</f>
        <v>0</v>
      </c>
      <c r="Q2">
        <f>BDH("DY US Equity","BS_SHAREHOLDER_EQY_ENDING_PERIOD","2016-06-30","2021-06-30","Per=Y","Days=T","Dir=V")</f>
        <v>0</v>
      </c>
      <c r="S2">
        <f>BDH("DY US Equity","BS_ACCT_NOTE_RCV","2016-06-30","2021-06-30","Per=Y","Days=T","Dir=V")</f>
        <v>0</v>
      </c>
      <c r="U2">
        <f>BDH("DY US Equity","BS_INVENTORIES","2016-06-30","2021-06-30","Per=Y","Days=T","Dir=V")</f>
        <v>0</v>
      </c>
      <c r="W2">
        <f>BDH("DY US Equity","WORKING_CAPITAL","2016-06-30","2021-06-30","Per=Y","Days=T","Dir=V")</f>
        <v>0</v>
      </c>
      <c r="Y2">
        <f>BDH("DY US Equity","SALES_REV_TURN","2016-06-30","2021-06-30","Per=Y","Days=T","Dir=V")</f>
        <v>0</v>
      </c>
      <c r="AA2">
        <f>BDH("DY US Equity","EBIT","2016-06-30","2021-06-30","Per=Y","Days=T","Dir=V")</f>
        <v>0</v>
      </c>
      <c r="AC2">
        <f>BDH("DY US Equity","EBITDA","2016-06-30","2021-06-30","Per=Y","Days=T","Dir=V")</f>
        <v>0</v>
      </c>
      <c r="AE2">
        <f>BDH("DY US Equity","NET_INCOME","2016-06-30","2021-06-30","Per=Y","Days=T","Dir=V")</f>
        <v>0</v>
      </c>
      <c r="AG2">
        <f>BDH("DY US Equity","IS_INT_EXPENSE","2016-06-30","2021-06-30","Per=Y","Days=T","Dir=V")</f>
        <v>0</v>
      </c>
      <c r="AI2">
        <f>BDH("DY US Equity","IS_DEPR_EXP","2016-06-30","2021-06-30","Per=Y","Days=T","Dir=V")</f>
        <v>0</v>
      </c>
      <c r="AK2">
        <f>BDH("DY US Equity","CF_CASH_FROM_OPER","2016-06-30","2021-06-30","Per=Y","Days=T","Dir=V")</f>
        <v>0</v>
      </c>
      <c r="AM2">
        <f>BDH("DY US Equity","CAPITAL_EXPEND","2016-06-30","2021-06-30","Per=Y","Days=T","Dir=V")</f>
        <v>0</v>
      </c>
      <c r="AO2">
        <f>BDH("DY US Equity","CF_FREE_CASH_FLOW","2016-06-30","2021-06-30","Per=Y","Days=T","Dir=V")</f>
        <v>0</v>
      </c>
      <c r="AQ2">
        <f>BDH("DY US Equity","PX_LAST","2016-06-30","2021-06-30","Per=M","Days=T","Dir=V")</f>
        <v>0</v>
      </c>
      <c r="AS2">
        <f>BDH("DY US Equity","CUR_MKT_CAP","2016-06-30","2021-06-30","Per=M","Days=T","Dir=V")</f>
        <v>0</v>
      </c>
      <c r="AU2">
        <f>BDH("DY US Equity","EQY_SH_OUT","2016-06-30","2021-06-30","Per=M","Days=T","Dir=V")</f>
        <v>0</v>
      </c>
      <c r="AW2">
        <f>BDH("DY US Equity","BETA_RAW_OVERRIABLE","2016-06-30","2021-06-30","Per=M","Days=T","Dir=V")</f>
        <v>0</v>
      </c>
      <c r="AY2">
        <f>BDH("DY US Equity","PX_VOLUME","2016-06-30","2021-06-30","Per=M","Days=T","Dir=V")</f>
        <v>0</v>
      </c>
      <c r="BA2">
        <f>BDH("DY US Equity","TURNOVER","2016-06-30","2021-06-30","Per=M","Days=T","Dir=V")</f>
        <v>0</v>
      </c>
      <c r="BC2">
        <f>BDH("DY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BDH("REZI US Equity","BS_TOT_ASSET","2016-06-30","2021-06-30","Per=Y","Days=T","Dir=V")</f>
        <v>0</v>
      </c>
      <c r="C2">
        <f>BDH("REZI US Equity","BS_TOT_LIAB2","2016-06-30","2021-06-30","Per=Y","Days=T","Dir=V")</f>
        <v>0</v>
      </c>
      <c r="E2">
        <f>BDH("REZI US Equity","SHORT_AND_LONG_TERM_DEBT","2016-06-30","2021-06-30","Per=Y","Days=T","Dir=V")</f>
        <v>0</v>
      </c>
      <c r="G2">
        <f>BDH("REZI US Equity","BS_ST_BORROW","2016-06-30","2021-06-30","Per=Y","Days=T","Dir=V")</f>
        <v>0</v>
      </c>
      <c r="I2">
        <f>BDH("REZI US Equity","BS_LT_BORROW","2016-06-30","2021-06-30","Per=Y","Days=T","Dir=V")</f>
        <v>0</v>
      </c>
      <c r="K2">
        <f>BDH("REZI US Equity","BS_CASH_NEAR_CASH_ITEM","2016-06-30","2021-06-30","Per=Y","Days=T","Dir=V")</f>
        <v>0</v>
      </c>
      <c r="M2">
        <f>BDH("REZI US Equity","BS_CUR_ASSET_REPORT","2016-06-30","2021-06-30","Per=Y","Days=T","Dir=V")</f>
        <v>0</v>
      </c>
      <c r="O2">
        <f>BDH("REZI US Equity","BS_CUR_LIAB","2016-06-30","2021-06-30","Per=Y","Days=T","Dir=V")</f>
        <v>0</v>
      </c>
      <c r="Q2">
        <f>BDH("REZI US Equity","BS_SHAREHOLDER_EQY_ENDING_PERIOD","2016-06-30","2021-06-30","Per=Y","Days=T","Dir=V")</f>
        <v>0</v>
      </c>
      <c r="S2">
        <f>BDH("REZI US Equity","BS_ACCT_NOTE_RCV","2016-06-30","2021-06-30","Per=Y","Days=T","Dir=V")</f>
        <v>0</v>
      </c>
      <c r="U2">
        <f>BDH("REZI US Equity","BS_INVENTORIES","2016-06-30","2021-06-30","Per=Y","Days=T","Dir=V")</f>
        <v>0</v>
      </c>
      <c r="W2">
        <f>BDH("REZI US Equity","WORKING_CAPITAL","2016-06-30","2021-06-30","Per=Y","Days=T","Dir=V")</f>
        <v>0</v>
      </c>
      <c r="Y2">
        <f>BDH("REZI US Equity","SALES_REV_TURN","2016-06-30","2021-06-30","Per=Y","Days=T","Dir=V")</f>
        <v>0</v>
      </c>
      <c r="AA2">
        <f>BDH("REZI US Equity","EBIT","2016-06-30","2021-06-30","Per=Y","Days=T","Dir=V")</f>
        <v>0</v>
      </c>
      <c r="AC2">
        <f>BDH("REZI US Equity","EBITDA","2016-06-30","2021-06-30","Per=Y","Days=T","Dir=V")</f>
        <v>0</v>
      </c>
      <c r="AE2">
        <f>BDH("REZI US Equity","NET_INCOME","2016-06-30","2021-06-30","Per=Y","Days=T","Dir=V")</f>
        <v>0</v>
      </c>
      <c r="AG2">
        <f>BDH("REZI US Equity","IS_INT_EXPENSE","2016-06-30","2021-06-30","Per=Y","Days=T","Dir=V")</f>
        <v>0</v>
      </c>
      <c r="AI2">
        <f>BDH("REZI US Equity","IS_DEPR_EXP","2016-06-30","2021-06-30","Per=Y","Days=T","Dir=V")</f>
        <v>0</v>
      </c>
      <c r="AK2">
        <f>BDH("REZI US Equity","CF_CASH_FROM_OPER","2016-06-30","2021-06-30","Per=Y","Days=T","Dir=V")</f>
        <v>0</v>
      </c>
      <c r="AM2">
        <f>BDH("REZI US Equity","CAPITAL_EXPEND","2016-06-30","2021-06-30","Per=Y","Days=T","Dir=V")</f>
        <v>0</v>
      </c>
      <c r="AO2">
        <f>BDH("REZI US Equity","CF_FREE_CASH_FLOW","2016-06-30","2021-06-30","Per=Y","Days=T","Dir=V")</f>
        <v>0</v>
      </c>
      <c r="AQ2">
        <f>BDH("REZI US Equity","PX_LAST","2016-06-30","2021-06-30","Per=M","Days=T","Dir=V")</f>
        <v>0</v>
      </c>
      <c r="AS2">
        <f>BDH("REZI US Equity","CUR_MKT_CAP","2016-06-30","2021-06-30","Per=M","Days=T","Dir=V")</f>
        <v>0</v>
      </c>
      <c r="AU2">
        <f>BDH("REZI US Equity","EQY_SH_OUT","2016-06-30","2021-06-30","Per=M","Days=T","Dir=V")</f>
        <v>0</v>
      </c>
      <c r="AW2">
        <f>BDH("REZI US Equity","BETA_RAW_OVERRIABLE","2016-06-30","2021-06-30","Per=M","Days=T","Dir=V")</f>
        <v>0</v>
      </c>
      <c r="AY2">
        <f>BDH("REZI US Equity","PX_VOLUME","2016-06-30","2021-06-30","Per=M","Days=T","Dir=V")</f>
        <v>0</v>
      </c>
      <c r="BA2">
        <f>BDH("REZI US Equity","TURNOVER","2016-06-30","2021-06-30","Per=M","Days=T","Dir=V")</f>
        <v>0</v>
      </c>
      <c r="BC2">
        <f>BDH("REZI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BDH("INTG US Equity","BS_TOT_ASSET","2016-06-30","2021-06-30","Per=Y","Days=T","Dir=V")</f>
        <v>0</v>
      </c>
      <c r="C2">
        <f>BDH("INTG US Equity","BS_TOT_LIAB2","2016-06-30","2021-06-30","Per=Y","Days=T","Dir=V")</f>
        <v>0</v>
      </c>
      <c r="E2">
        <f>BDH("INTG US Equity","SHORT_AND_LONG_TERM_DEBT","2016-06-30","2021-06-30","Per=Y","Days=T","Dir=V")</f>
        <v>0</v>
      </c>
      <c r="G2">
        <f>BDH("INTG US Equity","BS_ST_BORROW","2016-06-30","2021-06-30","Per=Y","Days=T","Dir=V")</f>
        <v>0</v>
      </c>
      <c r="I2">
        <f>BDH("INTG US Equity","BS_LT_BORROW","2016-06-30","2021-06-30","Per=Y","Days=T","Dir=V")</f>
        <v>0</v>
      </c>
      <c r="K2">
        <f>BDH("INTG US Equity","BS_CASH_NEAR_CASH_ITEM","2016-06-30","2021-06-30","Per=Y","Days=T","Dir=V")</f>
        <v>0</v>
      </c>
      <c r="M2">
        <f>BDH("INTG US Equity","BS_CUR_ASSET_REPORT","2016-06-30","2021-06-30","Per=Y","Days=T","Dir=V")</f>
        <v>0</v>
      </c>
      <c r="O2">
        <f>BDH("INTG US Equity","BS_CUR_LIAB","2016-06-30","2021-06-30","Per=Y","Days=T","Dir=V")</f>
        <v>0</v>
      </c>
      <c r="Q2">
        <f>BDH("INTG US Equity","BS_SHAREHOLDER_EQY_ENDING_PERIOD","2016-06-30","2021-06-30","Per=Y","Days=T","Dir=V")</f>
        <v>0</v>
      </c>
      <c r="S2">
        <f>BDH("INTG US Equity","BS_ACCT_NOTE_RCV","2016-06-30","2021-06-30","Per=Y","Days=T","Dir=V")</f>
        <v>0</v>
      </c>
      <c r="U2">
        <f>BDH("INTG US Equity","BS_INVENTORIES","2016-06-30","2021-06-30","Per=Y","Days=T","Dir=V")</f>
        <v>0</v>
      </c>
      <c r="W2">
        <f>BDH("INTG US Equity","WORKING_CAPITAL","2016-06-30","2021-06-30","Per=Y","Days=T","Dir=V")</f>
        <v>0</v>
      </c>
      <c r="Y2">
        <f>BDH("INTG US Equity","SALES_REV_TURN","2016-06-30","2021-06-30","Per=Y","Days=T","Dir=V")</f>
        <v>0</v>
      </c>
      <c r="AA2">
        <f>BDH("INTG US Equity","EBIT","2016-06-30","2021-06-30","Per=Y","Days=T","Dir=V")</f>
        <v>0</v>
      </c>
      <c r="AC2">
        <f>BDH("INTG US Equity","EBITDA","2016-06-30","2021-06-30","Per=Y","Days=T","Dir=V")</f>
        <v>0</v>
      </c>
      <c r="AE2">
        <f>BDH("INTG US Equity","NET_INCOME","2016-06-30","2021-06-30","Per=Y","Days=T","Dir=V")</f>
        <v>0</v>
      </c>
      <c r="AG2">
        <f>BDH("INTG US Equity","IS_INT_EXPENSE","2016-06-30","2021-06-30","Per=Y","Days=T","Dir=V")</f>
        <v>0</v>
      </c>
      <c r="AI2">
        <f>BDH("INTG US Equity","IS_DEPR_EXP","2016-06-30","2021-06-30","Per=Y","Days=T","Dir=V")</f>
        <v>0</v>
      </c>
      <c r="AK2">
        <f>BDH("INTG US Equity","CF_CASH_FROM_OPER","2016-06-30","2021-06-30","Per=Y","Days=T","Dir=V")</f>
        <v>0</v>
      </c>
      <c r="AM2">
        <f>BDH("INTG US Equity","CAPITAL_EXPEND","2016-06-30","2021-06-30","Per=Y","Days=T","Dir=V")</f>
        <v>0</v>
      </c>
      <c r="AO2">
        <f>BDH("INTG US Equity","CF_FREE_CASH_FLOW","2016-06-30","2021-06-30","Per=Y","Days=T","Dir=V")</f>
        <v>0</v>
      </c>
      <c r="AQ2">
        <f>BDH("INTG US Equity","PX_LAST","2016-06-30","2021-06-30","Per=M","Days=T","Dir=V")</f>
        <v>0</v>
      </c>
      <c r="AS2">
        <f>BDH("INTG US Equity","CUR_MKT_CAP","2016-06-30","2021-06-30","Per=M","Days=T","Dir=V")</f>
        <v>0</v>
      </c>
      <c r="AU2">
        <f>BDH("INTG US Equity","EQY_SH_OUT","2016-06-30","2021-06-30","Per=M","Days=T","Dir=V")</f>
        <v>0</v>
      </c>
      <c r="AW2">
        <f>BDH("INTG US Equity","BETA_RAW_OVERRIABLE","2016-06-30","2021-06-30","Per=M","Days=T","Dir=V")</f>
        <v>0</v>
      </c>
      <c r="AY2">
        <f>BDH("INTG US Equity","PX_VOLUME","2016-06-30","2021-06-30","Per=M","Days=T","Dir=V")</f>
        <v>0</v>
      </c>
      <c r="BA2">
        <f>BDH("INTG US Equity","TURNOVER","2016-06-30","2021-06-30","Per=M","Days=T","Dir=V")</f>
        <v>0</v>
      </c>
      <c r="BC2">
        <f>BDH("INTG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BDH("JOE US Equity","BS_TOT_ASSET","2016-06-30","2021-06-30","Per=Y","Days=T","Dir=V")</f>
        <v>0</v>
      </c>
      <c r="C2">
        <f>BDH("JOE US Equity","BS_TOT_LIAB2","2016-06-30","2021-06-30","Per=Y","Days=T","Dir=V")</f>
        <v>0</v>
      </c>
      <c r="E2">
        <f>BDH("JOE US Equity","SHORT_AND_LONG_TERM_DEBT","2016-06-30","2021-06-30","Per=Y","Days=T","Dir=V")</f>
        <v>0</v>
      </c>
      <c r="G2">
        <f>BDH("JOE US Equity","BS_ST_BORROW","2016-06-30","2021-06-30","Per=Y","Days=T","Dir=V")</f>
        <v>0</v>
      </c>
      <c r="I2">
        <f>BDH("JOE US Equity","BS_LT_BORROW","2016-06-30","2021-06-30","Per=Y","Days=T","Dir=V")</f>
        <v>0</v>
      </c>
      <c r="K2">
        <f>BDH("JOE US Equity","BS_CASH_NEAR_CASH_ITEM","2016-06-30","2021-06-30","Per=Y","Days=T","Dir=V")</f>
        <v>0</v>
      </c>
      <c r="M2">
        <f>BDH("JOE US Equity","BS_CUR_ASSET_REPORT","2016-06-30","2021-06-30","Per=Y","Days=T","Dir=V")</f>
        <v>0</v>
      </c>
      <c r="O2">
        <f>BDH("JOE US Equity","BS_CUR_LIAB","2016-06-30","2021-06-30","Per=Y","Days=T","Dir=V")</f>
        <v>0</v>
      </c>
      <c r="Q2">
        <f>BDH("JOE US Equity","BS_SHAREHOLDER_EQY_ENDING_PERIOD","2016-06-30","2021-06-30","Per=Y","Days=T","Dir=V")</f>
        <v>0</v>
      </c>
      <c r="S2">
        <f>BDH("JOE US Equity","BS_ACCT_NOTE_RCV","2016-06-30","2021-06-30","Per=Y","Days=T","Dir=V")</f>
        <v>0</v>
      </c>
      <c r="U2">
        <f>BDH("JOE US Equity","BS_INVENTORIES","2016-06-30","2021-06-30","Per=Y","Days=T","Dir=V")</f>
        <v>0</v>
      </c>
      <c r="W2">
        <f>BDH("JOE US Equity","WORKING_CAPITAL","2016-06-30","2021-06-30","Per=Y","Days=T","Dir=V")</f>
        <v>0</v>
      </c>
      <c r="Y2">
        <f>BDH("JOE US Equity","SALES_REV_TURN","2016-06-30","2021-06-30","Per=Y","Days=T","Dir=V")</f>
        <v>0</v>
      </c>
      <c r="AA2">
        <f>BDH("JOE US Equity","EBIT","2016-06-30","2021-06-30","Per=Y","Days=T","Dir=V")</f>
        <v>0</v>
      </c>
      <c r="AC2">
        <f>BDH("JOE US Equity","EBITDA","2016-06-30","2021-06-30","Per=Y","Days=T","Dir=V")</f>
        <v>0</v>
      </c>
      <c r="AE2">
        <f>BDH("JOE US Equity","NET_INCOME","2016-06-30","2021-06-30","Per=Y","Days=T","Dir=V")</f>
        <v>0</v>
      </c>
      <c r="AG2">
        <f>BDH("JOE US Equity","IS_INT_EXPENSE","2016-06-30","2021-06-30","Per=Y","Days=T","Dir=V")</f>
        <v>0</v>
      </c>
      <c r="AI2">
        <f>BDH("JOE US Equity","IS_DEPR_EXP","2016-06-30","2021-06-30","Per=Y","Days=T","Dir=V")</f>
        <v>0</v>
      </c>
      <c r="AK2">
        <f>BDH("JOE US Equity","CF_CASH_FROM_OPER","2016-06-30","2021-06-30","Per=Y","Days=T","Dir=V")</f>
        <v>0</v>
      </c>
      <c r="AM2">
        <f>BDH("JOE US Equity","CAPITAL_EXPEND","2016-06-30","2021-06-30","Per=Y","Days=T","Dir=V")</f>
        <v>0</v>
      </c>
      <c r="AO2">
        <f>BDH("JOE US Equity","CF_FREE_CASH_FLOW","2016-06-30","2021-06-30","Per=Y","Days=T","Dir=V")</f>
        <v>0</v>
      </c>
      <c r="AQ2">
        <f>BDH("JOE US Equity","PX_LAST","2016-06-30","2021-06-30","Per=M","Days=T","Dir=V")</f>
        <v>0</v>
      </c>
      <c r="AS2">
        <f>BDH("JOE US Equity","CUR_MKT_CAP","2016-06-30","2021-06-30","Per=M","Days=T","Dir=V")</f>
        <v>0</v>
      </c>
      <c r="AU2">
        <f>BDH("JOE US Equity","EQY_SH_OUT","2016-06-30","2021-06-30","Per=M","Days=T","Dir=V")</f>
        <v>0</v>
      </c>
      <c r="AW2">
        <f>BDH("JOE US Equity","BETA_RAW_OVERRIABLE","2016-06-30","2021-06-30","Per=M","Days=T","Dir=V")</f>
        <v>0</v>
      </c>
      <c r="AY2">
        <f>BDH("JOE US Equity","PX_VOLUME","2016-06-30","2021-06-30","Per=M","Days=T","Dir=V")</f>
        <v>0</v>
      </c>
      <c r="BA2">
        <f>BDH("JOE US Equity","TURNOVER","2016-06-30","2021-06-30","Per=M","Days=T","Dir=V")</f>
        <v>0</v>
      </c>
      <c r="BC2">
        <f>BDH("JOE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BDH("APEI US Equity","BS_TOT_ASSET","2016-06-30","2021-06-30","Per=Y","Days=T","Dir=V")</f>
        <v>0</v>
      </c>
      <c r="C2">
        <f>BDH("APEI US Equity","BS_TOT_LIAB2","2016-06-30","2021-06-30","Per=Y","Days=T","Dir=V")</f>
        <v>0</v>
      </c>
      <c r="E2">
        <f>BDH("APEI US Equity","SHORT_AND_LONG_TERM_DEBT","2016-06-30","2021-06-30","Per=Y","Days=T","Dir=V")</f>
        <v>0</v>
      </c>
      <c r="G2">
        <f>BDH("APEI US Equity","BS_ST_BORROW","2016-06-30","2021-06-30","Per=Y","Days=T","Dir=V")</f>
        <v>0</v>
      </c>
      <c r="I2">
        <f>BDH("APEI US Equity","BS_LT_BORROW","2016-06-30","2021-06-30","Per=Y","Days=T","Dir=V")</f>
        <v>0</v>
      </c>
      <c r="K2">
        <f>BDH("APEI US Equity","BS_CASH_NEAR_CASH_ITEM","2016-06-30","2021-06-30","Per=Y","Days=T","Dir=V")</f>
        <v>0</v>
      </c>
      <c r="M2">
        <f>BDH("APEI US Equity","BS_CUR_ASSET_REPORT","2016-06-30","2021-06-30","Per=Y","Days=T","Dir=V")</f>
        <v>0</v>
      </c>
      <c r="O2">
        <f>BDH("APEI US Equity","BS_CUR_LIAB","2016-06-30","2021-06-30","Per=Y","Days=T","Dir=V")</f>
        <v>0</v>
      </c>
      <c r="Q2">
        <f>BDH("APEI US Equity","BS_SHAREHOLDER_EQY_ENDING_PERIOD","2016-06-30","2021-06-30","Per=Y","Days=T","Dir=V")</f>
        <v>0</v>
      </c>
      <c r="S2">
        <f>BDH("APEI US Equity","BS_ACCT_NOTE_RCV","2016-06-30","2021-06-30","Per=Y","Days=T","Dir=V")</f>
        <v>0</v>
      </c>
      <c r="U2">
        <f>BDH("APEI US Equity","BS_INVENTORIES","2016-06-30","2021-06-30","Per=Y","Days=T","Dir=V")</f>
        <v>0</v>
      </c>
      <c r="W2">
        <f>BDH("APEI US Equity","WORKING_CAPITAL","2016-06-30","2021-06-30","Per=Y","Days=T","Dir=V")</f>
        <v>0</v>
      </c>
      <c r="Y2">
        <f>BDH("APEI US Equity","SALES_REV_TURN","2016-06-30","2021-06-30","Per=Y","Days=T","Dir=V")</f>
        <v>0</v>
      </c>
      <c r="AA2">
        <f>BDH("APEI US Equity","EBIT","2016-06-30","2021-06-30","Per=Y","Days=T","Dir=V")</f>
        <v>0</v>
      </c>
      <c r="AC2">
        <f>BDH("APEI US Equity","EBITDA","2016-06-30","2021-06-30","Per=Y","Days=T","Dir=V")</f>
        <v>0</v>
      </c>
      <c r="AE2">
        <f>BDH("APEI US Equity","NET_INCOME","2016-06-30","2021-06-30","Per=Y","Days=T","Dir=V")</f>
        <v>0</v>
      </c>
      <c r="AG2">
        <f>BDH("APEI US Equity","IS_INT_EXPENSE","2016-06-30","2021-06-30","Per=Y","Days=T","Dir=V")</f>
        <v>0</v>
      </c>
      <c r="AI2">
        <f>BDH("APEI US Equity","IS_DEPR_EXP","2016-06-30","2021-06-30","Per=Y","Days=T","Dir=V")</f>
        <v>0</v>
      </c>
      <c r="AK2">
        <f>BDH("APEI US Equity","CF_CASH_FROM_OPER","2016-06-30","2021-06-30","Per=Y","Days=T","Dir=V")</f>
        <v>0</v>
      </c>
      <c r="AM2">
        <f>BDH("APEI US Equity","CAPITAL_EXPEND","2016-06-30","2021-06-30","Per=Y","Days=T","Dir=V")</f>
        <v>0</v>
      </c>
      <c r="AO2">
        <f>BDH("APEI US Equity","CF_FREE_CASH_FLOW","2016-06-30","2021-06-30","Per=Y","Days=T","Dir=V")</f>
        <v>0</v>
      </c>
      <c r="AQ2">
        <f>BDH("APEI US Equity","PX_LAST","2016-06-30","2021-06-30","Per=M","Days=T","Dir=V")</f>
        <v>0</v>
      </c>
      <c r="AS2">
        <f>BDH("APEI US Equity","CUR_MKT_CAP","2016-06-30","2021-06-30","Per=M","Days=T","Dir=V")</f>
        <v>0</v>
      </c>
      <c r="AU2">
        <f>BDH("APEI US Equity","EQY_SH_OUT","2016-06-30","2021-06-30","Per=M","Days=T","Dir=V")</f>
        <v>0</v>
      </c>
      <c r="AW2">
        <f>BDH("APEI US Equity","BETA_RAW_OVERRIABLE","2016-06-30","2021-06-30","Per=M","Days=T","Dir=V")</f>
        <v>0</v>
      </c>
      <c r="AY2">
        <f>BDH("APEI US Equity","PX_VOLUME","2016-06-30","2021-06-30","Per=M","Days=T","Dir=V")</f>
        <v>0</v>
      </c>
      <c r="BA2">
        <f>BDH("APEI US Equity","TURNOVER","2016-06-30","2021-06-30","Per=M","Days=T","Dir=V")</f>
        <v>0</v>
      </c>
      <c r="BC2">
        <f>BDH("APEI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BDH("GOODN US Equity","BS_TOT_ASSET","2016-06-30","2021-06-30","Per=Y","Days=T","Dir=V")</f>
        <v>0</v>
      </c>
      <c r="C2">
        <f>BDH("GOODN US Equity","BS_TOT_LIAB2","2016-06-30","2021-06-30","Per=Y","Days=T","Dir=V")</f>
        <v>0</v>
      </c>
      <c r="E2">
        <f>BDH("GOODN US Equity","SHORT_AND_LONG_TERM_DEBT","2016-06-30","2021-06-30","Per=Y","Days=T","Dir=V")</f>
        <v>0</v>
      </c>
      <c r="G2">
        <f>BDH("GOODN US Equity","BS_ST_BORROW","2016-06-30","2021-06-30","Per=Y","Days=T","Dir=V")</f>
        <v>0</v>
      </c>
      <c r="I2">
        <f>BDH("GOODN US Equity","BS_LT_BORROW","2016-06-30","2021-06-30","Per=Y","Days=T","Dir=V")</f>
        <v>0</v>
      </c>
      <c r="K2">
        <f>BDH("GOODN US Equity","BS_CASH_NEAR_CASH_ITEM","2016-06-30","2021-06-30","Per=Y","Days=T","Dir=V")</f>
        <v>0</v>
      </c>
      <c r="M2">
        <f>BDH("GOODN US Equity","BS_CUR_ASSET_REPORT","2016-06-30","2021-06-30","Per=Y","Days=T","Dir=V")</f>
        <v>0</v>
      </c>
      <c r="O2">
        <f>BDH("GOODN US Equity","BS_CUR_LIAB","2016-06-30","2021-06-30","Per=Y","Days=T","Dir=V")</f>
        <v>0</v>
      </c>
      <c r="Q2">
        <f>BDH("GOODN US Equity","BS_SHAREHOLDER_EQY_ENDING_PERIOD","2016-06-30","2021-06-30","Per=Y","Days=T","Dir=V")</f>
        <v>0</v>
      </c>
      <c r="S2">
        <f>BDH("GOODN US Equity","BS_ACCT_NOTE_RCV","2016-06-30","2021-06-30","Per=Y","Days=T","Dir=V")</f>
        <v>0</v>
      </c>
      <c r="U2">
        <f>BDH("GOODN US Equity","BS_INVENTORIES","2016-06-30","2021-06-30","Per=Y","Days=T","Dir=V")</f>
        <v>0</v>
      </c>
      <c r="W2">
        <f>BDH("GOODN US Equity","WORKING_CAPITAL","2016-06-30","2021-06-30","Per=Y","Days=T","Dir=V")</f>
        <v>0</v>
      </c>
      <c r="Y2">
        <f>BDH("GOODN US Equity","SALES_REV_TURN","2016-06-30","2021-06-30","Per=Y","Days=T","Dir=V")</f>
        <v>0</v>
      </c>
      <c r="AA2">
        <f>BDH("GOODN US Equity","EBIT","2016-06-30","2021-06-30","Per=Y","Days=T","Dir=V")</f>
        <v>0</v>
      </c>
      <c r="AC2">
        <f>BDH("GOODN US Equity","EBITDA","2016-06-30","2021-06-30","Per=Y","Days=T","Dir=V")</f>
        <v>0</v>
      </c>
      <c r="AE2">
        <f>BDH("GOODN US Equity","NET_INCOME","2016-06-30","2021-06-30","Per=Y","Days=T","Dir=V")</f>
        <v>0</v>
      </c>
      <c r="AG2">
        <f>BDH("GOODN US Equity","IS_INT_EXPENSE","2016-06-30","2021-06-30","Per=Y","Days=T","Dir=V")</f>
        <v>0</v>
      </c>
      <c r="AI2">
        <f>BDH("GOODN US Equity","IS_DEPR_EXP","2016-06-30","2021-06-30","Per=Y","Days=T","Dir=V")</f>
        <v>0</v>
      </c>
      <c r="AK2">
        <f>BDH("GOODN US Equity","CF_CASH_FROM_OPER","2016-06-30","2021-06-30","Per=Y","Days=T","Dir=V")</f>
        <v>0</v>
      </c>
      <c r="AM2">
        <f>BDH("GOODN US Equity","CAPITAL_EXPEND","2016-06-30","2021-06-30","Per=Y","Days=T","Dir=V")</f>
        <v>0</v>
      </c>
      <c r="AO2">
        <f>BDH("GOODN US Equity","CF_FREE_CASH_FLOW","2016-06-30","2021-06-30","Per=Y","Days=T","Dir=V")</f>
        <v>0</v>
      </c>
      <c r="AQ2">
        <f>BDH("GOODN US Equity","PX_LAST","2016-06-30","2021-06-30","Per=M","Days=T","Dir=V")</f>
        <v>0</v>
      </c>
      <c r="AS2">
        <f>BDH("GOODN US Equity","CUR_MKT_CAP","2016-06-30","2021-06-30","Per=M","Days=T","Dir=V")</f>
        <v>0</v>
      </c>
      <c r="AU2">
        <f>BDH("GOODN US Equity","EQY_SH_OUT","2016-06-30","2021-06-30","Per=M","Days=T","Dir=V")</f>
        <v>0</v>
      </c>
      <c r="AW2">
        <f>BDH("GOODN US Equity","BETA_RAW_OVERRIABLE","2016-06-30","2021-06-30","Per=M","Days=T","Dir=V")</f>
        <v>0</v>
      </c>
      <c r="AY2">
        <f>BDH("GOODN US Equity","PX_VOLUME","2016-06-30","2021-06-30","Per=M","Days=T","Dir=V")</f>
        <v>0</v>
      </c>
      <c r="BA2">
        <f>BDH("GOODN US Equity","TURNOVER","2016-06-30","2021-06-30","Per=M","Days=T","Dir=V")</f>
        <v>0</v>
      </c>
      <c r="BC2">
        <f>BDH("GOODN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BDH("ADAML US Equity","BS_TOT_ASSET","2016-06-30","2021-06-30","Per=Y","Days=T","Dir=V")</f>
        <v>0</v>
      </c>
      <c r="C2">
        <f>BDH("ADAML US Equity","BS_TOT_LIAB2","2016-06-30","2021-06-30","Per=Y","Days=T","Dir=V")</f>
        <v>0</v>
      </c>
      <c r="E2">
        <f>BDH("ADAML US Equity","SHORT_AND_LONG_TERM_DEBT","2016-06-30","2021-06-30","Per=Y","Days=T","Dir=V")</f>
        <v>0</v>
      </c>
      <c r="G2">
        <f>BDH("ADAML US Equity","BS_ST_BORROW","2016-06-30","2021-06-30","Per=Y","Days=T","Dir=V")</f>
        <v>0</v>
      </c>
      <c r="I2">
        <f>BDH("ADAML US Equity","BS_LT_BORROW","2016-06-30","2021-06-30","Per=Y","Days=T","Dir=V")</f>
        <v>0</v>
      </c>
      <c r="K2">
        <f>BDH("ADAML US Equity","BS_CASH_NEAR_CASH_ITEM","2016-06-30","2021-06-30","Per=Y","Days=T","Dir=V")</f>
        <v>0</v>
      </c>
      <c r="M2">
        <f>BDH("ADAML US Equity","BS_CUR_ASSET_REPORT","2016-06-30","2021-06-30","Per=Y","Days=T","Dir=V")</f>
        <v>0</v>
      </c>
      <c r="O2">
        <f>BDH("ADAML US Equity","BS_CUR_LIAB","2016-06-30","2021-06-30","Per=Y","Days=T","Dir=V")</f>
        <v>0</v>
      </c>
      <c r="Q2">
        <f>BDH("ADAML US Equity","BS_SHAREHOLDER_EQY_ENDING_PERIOD","2016-06-30","2021-06-30","Per=Y","Days=T","Dir=V")</f>
        <v>0</v>
      </c>
      <c r="S2">
        <f>BDH("ADAML US Equity","BS_ACCT_NOTE_RCV","2016-06-30","2021-06-30","Per=Y","Days=T","Dir=V")</f>
        <v>0</v>
      </c>
      <c r="U2">
        <f>BDH("ADAML US Equity","BS_INVENTORIES","2016-06-30","2021-06-30","Per=Y","Days=T","Dir=V")</f>
        <v>0</v>
      </c>
      <c r="W2">
        <f>BDH("ADAML US Equity","WORKING_CAPITAL","2016-06-30","2021-06-30","Per=Y","Days=T","Dir=V")</f>
        <v>0</v>
      </c>
      <c r="Y2">
        <f>BDH("ADAML US Equity","SALES_REV_TURN","2016-06-30","2021-06-30","Per=Y","Days=T","Dir=V")</f>
        <v>0</v>
      </c>
      <c r="AA2">
        <f>BDH("ADAML US Equity","EBIT","2016-06-30","2021-06-30","Per=Y","Days=T","Dir=V")</f>
        <v>0</v>
      </c>
      <c r="AC2">
        <f>BDH("ADAML US Equity","EBITDA","2016-06-30","2021-06-30","Per=Y","Days=T","Dir=V")</f>
        <v>0</v>
      </c>
      <c r="AE2">
        <f>BDH("ADAML US Equity","NET_INCOME","2016-06-30","2021-06-30","Per=Y","Days=T","Dir=V")</f>
        <v>0</v>
      </c>
      <c r="AG2">
        <f>BDH("ADAML US Equity","IS_INT_EXPENSE","2016-06-30","2021-06-30","Per=Y","Days=T","Dir=V")</f>
        <v>0</v>
      </c>
      <c r="AI2">
        <f>BDH("ADAML US Equity","IS_DEPR_EXP","2016-06-30","2021-06-30","Per=Y","Days=T","Dir=V")</f>
        <v>0</v>
      </c>
      <c r="AK2">
        <f>BDH("ADAML US Equity","CF_CASH_FROM_OPER","2016-06-30","2021-06-30","Per=Y","Days=T","Dir=V")</f>
        <v>0</v>
      </c>
      <c r="AM2">
        <f>BDH("ADAML US Equity","CAPITAL_EXPEND","2016-06-30","2021-06-30","Per=Y","Days=T","Dir=V")</f>
        <v>0</v>
      </c>
      <c r="AO2">
        <f>BDH("ADAML US Equity","CF_FREE_CASH_FLOW","2016-06-30","2021-06-30","Per=Y","Days=T","Dir=V")</f>
        <v>0</v>
      </c>
      <c r="AQ2">
        <f>BDH("ADAML US Equity","PX_LAST","2016-06-30","2021-06-30","Per=M","Days=T","Dir=V")</f>
        <v>0</v>
      </c>
      <c r="AS2">
        <f>BDH("ADAML US Equity","CUR_MKT_CAP","2016-06-30","2021-06-30","Per=M","Days=T","Dir=V")</f>
        <v>0</v>
      </c>
      <c r="AU2">
        <f>BDH("ADAML US Equity","EQY_SH_OUT","2016-06-30","2021-06-30","Per=M","Days=T","Dir=V")</f>
        <v>0</v>
      </c>
      <c r="AW2">
        <f>BDH("ADAML US Equity","BETA_RAW_OVERRIABLE","2016-06-30","2021-06-30","Per=M","Days=T","Dir=V")</f>
        <v>0</v>
      </c>
      <c r="AY2">
        <f>BDH("ADAML US Equity","PX_VOLUME","2016-06-30","2021-06-30","Per=M","Days=T","Dir=V")</f>
        <v>0</v>
      </c>
      <c r="BA2">
        <f>BDH("ADAML US Equity","TURNOVER","2016-06-30","2021-06-30","Per=M","Days=T","Dir=V")</f>
        <v>0</v>
      </c>
      <c r="BC2">
        <f>BDH("ADAML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BDH("AGNC US Equity","BS_TOT_ASSET","2016-06-30","2021-06-30","Per=Y","Days=T","Dir=V")</f>
        <v>0</v>
      </c>
      <c r="C2">
        <f>BDH("AGNC US Equity","BS_TOT_LIAB2","2016-06-30","2021-06-30","Per=Y","Days=T","Dir=V")</f>
        <v>0</v>
      </c>
      <c r="E2">
        <f>BDH("AGNC US Equity","SHORT_AND_LONG_TERM_DEBT","2016-06-30","2021-06-30","Per=Y","Days=T","Dir=V")</f>
        <v>0</v>
      </c>
      <c r="G2">
        <f>BDH("AGNC US Equity","BS_ST_BORROW","2016-06-30","2021-06-30","Per=Y","Days=T","Dir=V")</f>
        <v>0</v>
      </c>
      <c r="I2">
        <f>BDH("AGNC US Equity","BS_LT_BORROW","2016-06-30","2021-06-30","Per=Y","Days=T","Dir=V")</f>
        <v>0</v>
      </c>
      <c r="K2">
        <f>BDH("AGNC US Equity","BS_CASH_NEAR_CASH_ITEM","2016-06-30","2021-06-30","Per=Y","Days=T","Dir=V")</f>
        <v>0</v>
      </c>
      <c r="M2">
        <f>BDH("AGNC US Equity","BS_CUR_ASSET_REPORT","2016-06-30","2021-06-30","Per=Y","Days=T","Dir=V")</f>
        <v>0</v>
      </c>
      <c r="O2">
        <f>BDH("AGNC US Equity","BS_CUR_LIAB","2016-06-30","2021-06-30","Per=Y","Days=T","Dir=V")</f>
        <v>0</v>
      </c>
      <c r="Q2">
        <f>BDH("AGNC US Equity","BS_SHAREHOLDER_EQY_ENDING_PERIOD","2016-06-30","2021-06-30","Per=Y","Days=T","Dir=V")</f>
        <v>0</v>
      </c>
      <c r="S2">
        <f>BDH("AGNC US Equity","BS_ACCT_NOTE_RCV","2016-06-30","2021-06-30","Per=Y","Days=T","Dir=V")</f>
        <v>0</v>
      </c>
      <c r="U2">
        <f>BDH("AGNC US Equity","BS_INVENTORIES","2016-06-30","2021-06-30","Per=Y","Days=T","Dir=V")</f>
        <v>0</v>
      </c>
      <c r="W2">
        <f>BDH("AGNC US Equity","WORKING_CAPITAL","2016-06-30","2021-06-30","Per=Y","Days=T","Dir=V")</f>
        <v>0</v>
      </c>
      <c r="Y2">
        <f>BDH("AGNC US Equity","SALES_REV_TURN","2016-06-30","2021-06-30","Per=Y","Days=T","Dir=V")</f>
        <v>0</v>
      </c>
      <c r="AA2">
        <f>BDH("AGNC US Equity","EBIT","2016-06-30","2021-06-30","Per=Y","Days=T","Dir=V")</f>
        <v>0</v>
      </c>
      <c r="AC2">
        <f>BDH("AGNC US Equity","EBITDA","2016-06-30","2021-06-30","Per=Y","Days=T","Dir=V")</f>
        <v>0</v>
      </c>
      <c r="AE2">
        <f>BDH("AGNC US Equity","NET_INCOME","2016-06-30","2021-06-30","Per=Y","Days=T","Dir=V")</f>
        <v>0</v>
      </c>
      <c r="AG2">
        <f>BDH("AGNC US Equity","IS_INT_EXPENSE","2016-06-30","2021-06-30","Per=Y","Days=T","Dir=V")</f>
        <v>0</v>
      </c>
      <c r="AI2">
        <f>BDH("AGNC US Equity","IS_DEPR_EXP","2016-06-30","2021-06-30","Per=Y","Days=T","Dir=V")</f>
        <v>0</v>
      </c>
      <c r="AK2">
        <f>BDH("AGNC US Equity","CF_CASH_FROM_OPER","2016-06-30","2021-06-30","Per=Y","Days=T","Dir=V")</f>
        <v>0</v>
      </c>
      <c r="AM2">
        <f>BDH("AGNC US Equity","CAPITAL_EXPEND","2016-06-30","2021-06-30","Per=Y","Days=T","Dir=V")</f>
        <v>0</v>
      </c>
      <c r="AO2">
        <f>BDH("AGNC US Equity","CF_FREE_CASH_FLOW","2016-06-30","2021-06-30","Per=Y","Days=T","Dir=V")</f>
        <v>0</v>
      </c>
      <c r="AQ2">
        <f>BDH("AGNC US Equity","PX_LAST","2016-06-30","2021-06-30","Per=M","Days=T","Dir=V")</f>
        <v>0</v>
      </c>
      <c r="AS2">
        <f>BDH("AGNC US Equity","CUR_MKT_CAP","2016-06-30","2021-06-30","Per=M","Days=T","Dir=V")</f>
        <v>0</v>
      </c>
      <c r="AU2">
        <f>BDH("AGNC US Equity","EQY_SH_OUT","2016-06-30","2021-06-30","Per=M","Days=T","Dir=V")</f>
        <v>0</v>
      </c>
      <c r="AW2">
        <f>BDH("AGNC US Equity","BETA_RAW_OVERRIABLE","2016-06-30","2021-06-30","Per=M","Days=T","Dir=V")</f>
        <v>0</v>
      </c>
      <c r="AY2">
        <f>BDH("AGNC US Equity","PX_VOLUME","2016-06-30","2021-06-30","Per=M","Days=T","Dir=V")</f>
        <v>0</v>
      </c>
      <c r="BA2">
        <f>BDH("AGNC US Equity","TURNOVER","2016-06-30","2021-06-30","Per=M","Days=T","Dir=V")</f>
        <v>0</v>
      </c>
      <c r="BC2">
        <f>BDH("AGNC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BDH("ARE US Equity","BS_TOT_ASSET","2016-06-30","2021-06-30","Per=Y","Days=T","Dir=V")</f>
        <v>0</v>
      </c>
      <c r="C2">
        <f>BDH("ARE US Equity","BS_TOT_LIAB2","2016-06-30","2021-06-30","Per=Y","Days=T","Dir=V")</f>
        <v>0</v>
      </c>
      <c r="E2">
        <f>BDH("ARE US Equity","SHORT_AND_LONG_TERM_DEBT","2016-06-30","2021-06-30","Per=Y","Days=T","Dir=V")</f>
        <v>0</v>
      </c>
      <c r="G2">
        <f>BDH("ARE US Equity","BS_ST_BORROW","2016-06-30","2021-06-30","Per=Y","Days=T","Dir=V")</f>
        <v>0</v>
      </c>
      <c r="I2">
        <f>BDH("ARE US Equity","BS_LT_BORROW","2016-06-30","2021-06-30","Per=Y","Days=T","Dir=V")</f>
        <v>0</v>
      </c>
      <c r="K2">
        <f>BDH("ARE US Equity","BS_CASH_NEAR_CASH_ITEM","2016-06-30","2021-06-30","Per=Y","Days=T","Dir=V")</f>
        <v>0</v>
      </c>
      <c r="M2">
        <f>BDH("ARE US Equity","BS_CUR_ASSET_REPORT","2016-06-30","2021-06-30","Per=Y","Days=T","Dir=V")</f>
        <v>0</v>
      </c>
      <c r="O2">
        <f>BDH("ARE US Equity","BS_CUR_LIAB","2016-06-30","2021-06-30","Per=Y","Days=T","Dir=V")</f>
        <v>0</v>
      </c>
      <c r="Q2">
        <f>BDH("ARE US Equity","BS_SHAREHOLDER_EQY_ENDING_PERIOD","2016-06-30","2021-06-30","Per=Y","Days=T","Dir=V")</f>
        <v>0</v>
      </c>
      <c r="S2">
        <f>BDH("ARE US Equity","BS_ACCT_NOTE_RCV","2016-06-30","2021-06-30","Per=Y","Days=T","Dir=V")</f>
        <v>0</v>
      </c>
      <c r="U2">
        <f>BDH("ARE US Equity","BS_INVENTORIES","2016-06-30","2021-06-30","Per=Y","Days=T","Dir=V")</f>
        <v>0</v>
      </c>
      <c r="W2">
        <f>BDH("ARE US Equity","WORKING_CAPITAL","2016-06-30","2021-06-30","Per=Y","Days=T","Dir=V")</f>
        <v>0</v>
      </c>
      <c r="Y2">
        <f>BDH("ARE US Equity","SALES_REV_TURN","2016-06-30","2021-06-30","Per=Y","Days=T","Dir=V")</f>
        <v>0</v>
      </c>
      <c r="AA2">
        <f>BDH("ARE US Equity","EBIT","2016-06-30","2021-06-30","Per=Y","Days=T","Dir=V")</f>
        <v>0</v>
      </c>
      <c r="AC2">
        <f>BDH("ARE US Equity","EBITDA","2016-06-30","2021-06-30","Per=Y","Days=T","Dir=V")</f>
        <v>0</v>
      </c>
      <c r="AE2">
        <f>BDH("ARE US Equity","NET_INCOME","2016-06-30","2021-06-30","Per=Y","Days=T","Dir=V")</f>
        <v>0</v>
      </c>
      <c r="AG2">
        <f>BDH("ARE US Equity","IS_INT_EXPENSE","2016-06-30","2021-06-30","Per=Y","Days=T","Dir=V")</f>
        <v>0</v>
      </c>
      <c r="AI2">
        <f>BDH("ARE US Equity","IS_DEPR_EXP","2016-06-30","2021-06-30","Per=Y","Days=T","Dir=V")</f>
        <v>0</v>
      </c>
      <c r="AK2">
        <f>BDH("ARE US Equity","CF_CASH_FROM_OPER","2016-06-30","2021-06-30","Per=Y","Days=T","Dir=V")</f>
        <v>0</v>
      </c>
      <c r="AM2">
        <f>BDH("ARE US Equity","CAPITAL_EXPEND","2016-06-30","2021-06-30","Per=Y","Days=T","Dir=V")</f>
        <v>0</v>
      </c>
      <c r="AO2">
        <f>BDH("ARE US Equity","CF_FREE_CASH_FLOW","2016-06-30","2021-06-30","Per=Y","Days=T","Dir=V")</f>
        <v>0</v>
      </c>
      <c r="AQ2">
        <f>BDH("ARE US Equity","PX_LAST","2016-06-30","2021-06-30","Per=M","Days=T","Dir=V")</f>
        <v>0</v>
      </c>
      <c r="AS2">
        <f>BDH("ARE US Equity","CUR_MKT_CAP","2016-06-30","2021-06-30","Per=M","Days=T","Dir=V")</f>
        <v>0</v>
      </c>
      <c r="AU2">
        <f>BDH("ARE US Equity","EQY_SH_OUT","2016-06-30","2021-06-30","Per=M","Days=T","Dir=V")</f>
        <v>0</v>
      </c>
      <c r="AW2">
        <f>BDH("ARE US Equity","BETA_RAW_OVERRIABLE","2016-06-30","2021-06-30","Per=M","Days=T","Dir=V")</f>
        <v>0</v>
      </c>
      <c r="AY2">
        <f>BDH("ARE US Equity","PX_VOLUME","2016-06-30","2021-06-30","Per=M","Days=T","Dir=V")</f>
        <v>0</v>
      </c>
      <c r="BA2">
        <f>BDH("ARE US Equity","TURNOVER","2016-06-30","2021-06-30","Per=M","Days=T","Dir=V")</f>
        <v>0</v>
      </c>
      <c r="BC2">
        <f>BDH("ARE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BDH("DLR US Equity","BS_TOT_ASSET","2016-06-30","2021-06-30","Per=Y","Days=T","Dir=V")</f>
        <v>0</v>
      </c>
      <c r="C2">
        <f>BDH("DLR US Equity","BS_TOT_LIAB2","2016-06-30","2021-06-30","Per=Y","Days=T","Dir=V")</f>
        <v>0</v>
      </c>
      <c r="E2">
        <f>BDH("DLR US Equity","SHORT_AND_LONG_TERM_DEBT","2016-06-30","2021-06-30","Per=Y","Days=T","Dir=V")</f>
        <v>0</v>
      </c>
      <c r="G2">
        <f>BDH("DLR US Equity","BS_ST_BORROW","2016-06-30","2021-06-30","Per=Y","Days=T","Dir=V")</f>
        <v>0</v>
      </c>
      <c r="I2">
        <f>BDH("DLR US Equity","BS_LT_BORROW","2016-06-30","2021-06-30","Per=Y","Days=T","Dir=V")</f>
        <v>0</v>
      </c>
      <c r="K2">
        <f>BDH("DLR US Equity","BS_CASH_NEAR_CASH_ITEM","2016-06-30","2021-06-30","Per=Y","Days=T","Dir=V")</f>
        <v>0</v>
      </c>
      <c r="M2">
        <f>BDH("DLR US Equity","BS_CUR_ASSET_REPORT","2016-06-30","2021-06-30","Per=Y","Days=T","Dir=V")</f>
        <v>0</v>
      </c>
      <c r="O2">
        <f>BDH("DLR US Equity","BS_CUR_LIAB","2016-06-30","2021-06-30","Per=Y","Days=T","Dir=V")</f>
        <v>0</v>
      </c>
      <c r="Q2">
        <f>BDH("DLR US Equity","BS_SHAREHOLDER_EQY_ENDING_PERIOD","2016-06-30","2021-06-30","Per=Y","Days=T","Dir=V")</f>
        <v>0</v>
      </c>
      <c r="S2">
        <f>BDH("DLR US Equity","BS_ACCT_NOTE_RCV","2016-06-30","2021-06-30","Per=Y","Days=T","Dir=V")</f>
        <v>0</v>
      </c>
      <c r="U2">
        <f>BDH("DLR US Equity","BS_INVENTORIES","2016-06-30","2021-06-30","Per=Y","Days=T","Dir=V")</f>
        <v>0</v>
      </c>
      <c r="W2">
        <f>BDH("DLR US Equity","WORKING_CAPITAL","2016-06-30","2021-06-30","Per=Y","Days=T","Dir=V")</f>
        <v>0</v>
      </c>
      <c r="Y2">
        <f>BDH("DLR US Equity","SALES_REV_TURN","2016-06-30","2021-06-30","Per=Y","Days=T","Dir=V")</f>
        <v>0</v>
      </c>
      <c r="AA2">
        <f>BDH("DLR US Equity","EBIT","2016-06-30","2021-06-30","Per=Y","Days=T","Dir=V")</f>
        <v>0</v>
      </c>
      <c r="AC2">
        <f>BDH("DLR US Equity","EBITDA","2016-06-30","2021-06-30","Per=Y","Days=T","Dir=V")</f>
        <v>0</v>
      </c>
      <c r="AE2">
        <f>BDH("DLR US Equity","NET_INCOME","2016-06-30","2021-06-30","Per=Y","Days=T","Dir=V")</f>
        <v>0</v>
      </c>
      <c r="AG2">
        <f>BDH("DLR US Equity","IS_INT_EXPENSE","2016-06-30","2021-06-30","Per=Y","Days=T","Dir=V")</f>
        <v>0</v>
      </c>
      <c r="AI2">
        <f>BDH("DLR US Equity","IS_DEPR_EXP","2016-06-30","2021-06-30","Per=Y","Days=T","Dir=V")</f>
        <v>0</v>
      </c>
      <c r="AK2">
        <f>BDH("DLR US Equity","CF_CASH_FROM_OPER","2016-06-30","2021-06-30","Per=Y","Days=T","Dir=V")</f>
        <v>0</v>
      </c>
      <c r="AM2">
        <f>BDH("DLR US Equity","CAPITAL_EXPEND","2016-06-30","2021-06-30","Per=Y","Days=T","Dir=V")</f>
        <v>0</v>
      </c>
      <c r="AO2">
        <f>BDH("DLR US Equity","CF_FREE_CASH_FLOW","2016-06-30","2021-06-30","Per=Y","Days=T","Dir=V")</f>
        <v>0</v>
      </c>
      <c r="AQ2">
        <f>BDH("DLR US Equity","PX_LAST","2016-06-30","2021-06-30","Per=M","Days=T","Dir=V")</f>
        <v>0</v>
      </c>
      <c r="AS2">
        <f>BDH("DLR US Equity","CUR_MKT_CAP","2016-06-30","2021-06-30","Per=M","Days=T","Dir=V")</f>
        <v>0</v>
      </c>
      <c r="AU2">
        <f>BDH("DLR US Equity","EQY_SH_OUT","2016-06-30","2021-06-30","Per=M","Days=T","Dir=V")</f>
        <v>0</v>
      </c>
      <c r="AW2">
        <f>BDH("DLR US Equity","BETA_RAW_OVERRIABLE","2016-06-30","2021-06-30","Per=M","Days=T","Dir=V")</f>
        <v>0</v>
      </c>
      <c r="AY2">
        <f>BDH("DLR US Equity","PX_VOLUME","2016-06-30","2021-06-30","Per=M","Days=T","Dir=V")</f>
        <v>0</v>
      </c>
      <c r="BA2">
        <f>BDH("DLR US Equity","TURNOVER","2016-06-30","2021-06-30","Per=M","Days=T","Dir=V")</f>
        <v>0</v>
      </c>
      <c r="BC2">
        <f>BDH("DLR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BDH("ELS US Equity","BS_TOT_ASSET","2016-06-30","2021-06-30","Per=Y","Days=T","Dir=V")</f>
        <v>0</v>
      </c>
      <c r="C2">
        <f>BDH("ELS US Equity","BS_TOT_LIAB2","2016-06-30","2021-06-30","Per=Y","Days=T","Dir=V")</f>
        <v>0</v>
      </c>
      <c r="E2">
        <f>BDH("ELS US Equity","SHORT_AND_LONG_TERM_DEBT","2016-06-30","2021-06-30","Per=Y","Days=T","Dir=V")</f>
        <v>0</v>
      </c>
      <c r="G2">
        <f>BDH("ELS US Equity","BS_ST_BORROW","2016-06-30","2021-06-30","Per=Y","Days=T","Dir=V")</f>
        <v>0</v>
      </c>
      <c r="I2">
        <f>BDH("ELS US Equity","BS_LT_BORROW","2016-06-30","2021-06-30","Per=Y","Days=T","Dir=V")</f>
        <v>0</v>
      </c>
      <c r="K2">
        <f>BDH("ELS US Equity","BS_CASH_NEAR_CASH_ITEM","2016-06-30","2021-06-30","Per=Y","Days=T","Dir=V")</f>
        <v>0</v>
      </c>
      <c r="M2">
        <f>BDH("ELS US Equity","BS_CUR_ASSET_REPORT","2016-06-30","2021-06-30","Per=Y","Days=T","Dir=V")</f>
        <v>0</v>
      </c>
      <c r="O2">
        <f>BDH("ELS US Equity","BS_CUR_LIAB","2016-06-30","2021-06-30","Per=Y","Days=T","Dir=V")</f>
        <v>0</v>
      </c>
      <c r="Q2">
        <f>BDH("ELS US Equity","BS_SHAREHOLDER_EQY_ENDING_PERIOD","2016-06-30","2021-06-30","Per=Y","Days=T","Dir=V")</f>
        <v>0</v>
      </c>
      <c r="S2">
        <f>BDH("ELS US Equity","BS_ACCT_NOTE_RCV","2016-06-30","2021-06-30","Per=Y","Days=T","Dir=V")</f>
        <v>0</v>
      </c>
      <c r="U2">
        <f>BDH("ELS US Equity","BS_INVENTORIES","2016-06-30","2021-06-30","Per=Y","Days=T","Dir=V")</f>
        <v>0</v>
      </c>
      <c r="W2">
        <f>BDH("ELS US Equity","WORKING_CAPITAL","2016-06-30","2021-06-30","Per=Y","Days=T","Dir=V")</f>
        <v>0</v>
      </c>
      <c r="Y2">
        <f>BDH("ELS US Equity","SALES_REV_TURN","2016-06-30","2021-06-30","Per=Y","Days=T","Dir=V")</f>
        <v>0</v>
      </c>
      <c r="AA2">
        <f>BDH("ELS US Equity","EBIT","2016-06-30","2021-06-30","Per=Y","Days=T","Dir=V")</f>
        <v>0</v>
      </c>
      <c r="AC2">
        <f>BDH("ELS US Equity","EBITDA","2016-06-30","2021-06-30","Per=Y","Days=T","Dir=V")</f>
        <v>0</v>
      </c>
      <c r="AE2">
        <f>BDH("ELS US Equity","NET_INCOME","2016-06-30","2021-06-30","Per=Y","Days=T","Dir=V")</f>
        <v>0</v>
      </c>
      <c r="AG2">
        <f>BDH("ELS US Equity","IS_INT_EXPENSE","2016-06-30","2021-06-30","Per=Y","Days=T","Dir=V")</f>
        <v>0</v>
      </c>
      <c r="AI2">
        <f>BDH("ELS US Equity","IS_DEPR_EXP","2016-06-30","2021-06-30","Per=Y","Days=T","Dir=V")</f>
        <v>0</v>
      </c>
      <c r="AK2">
        <f>BDH("ELS US Equity","CF_CASH_FROM_OPER","2016-06-30","2021-06-30","Per=Y","Days=T","Dir=V")</f>
        <v>0</v>
      </c>
      <c r="AM2">
        <f>BDH("ELS US Equity","CAPITAL_EXPEND","2016-06-30","2021-06-30","Per=Y","Days=T","Dir=V")</f>
        <v>0</v>
      </c>
      <c r="AO2">
        <f>BDH("ELS US Equity","CF_FREE_CASH_FLOW","2016-06-30","2021-06-30","Per=Y","Days=T","Dir=V")</f>
        <v>0</v>
      </c>
      <c r="AQ2">
        <f>BDH("ELS US Equity","PX_LAST","2016-06-30","2021-06-30","Per=M","Days=T","Dir=V")</f>
        <v>0</v>
      </c>
      <c r="AS2">
        <f>BDH("ELS US Equity","CUR_MKT_CAP","2016-06-30","2021-06-30","Per=M","Days=T","Dir=V")</f>
        <v>0</v>
      </c>
      <c r="AU2">
        <f>BDH("ELS US Equity","EQY_SH_OUT","2016-06-30","2021-06-30","Per=M","Days=T","Dir=V")</f>
        <v>0</v>
      </c>
      <c r="AW2">
        <f>BDH("ELS US Equity","BETA_RAW_OVERRIABLE","2016-06-30","2021-06-30","Per=M","Days=T","Dir=V")</f>
        <v>0</v>
      </c>
      <c r="AY2">
        <f>BDH("ELS US Equity","PX_VOLUME","2016-06-30","2021-06-30","Per=M","Days=T","Dir=V")</f>
        <v>0</v>
      </c>
      <c r="BA2">
        <f>BDH("ELS US Equity","TURNOVER","2016-06-30","2021-06-30","Per=M","Days=T","Dir=V")</f>
        <v>0</v>
      </c>
      <c r="BC2">
        <f>BDH("ELS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BDH("GPMT US Equity","BS_TOT_ASSET","2016-06-30","2021-06-30","Per=Y","Days=T","Dir=V")</f>
        <v>0</v>
      </c>
      <c r="C2">
        <f>BDH("GPMT US Equity","BS_TOT_LIAB2","2016-06-30","2021-06-30","Per=Y","Days=T","Dir=V")</f>
        <v>0</v>
      </c>
      <c r="E2">
        <f>BDH("GPMT US Equity","SHORT_AND_LONG_TERM_DEBT","2016-06-30","2021-06-30","Per=Y","Days=T","Dir=V")</f>
        <v>0</v>
      </c>
      <c r="G2">
        <f>BDH("GPMT US Equity","BS_ST_BORROW","2016-06-30","2021-06-30","Per=Y","Days=T","Dir=V")</f>
        <v>0</v>
      </c>
      <c r="I2">
        <f>BDH("GPMT US Equity","BS_LT_BORROW","2016-06-30","2021-06-30","Per=Y","Days=T","Dir=V")</f>
        <v>0</v>
      </c>
      <c r="K2">
        <f>BDH("GPMT US Equity","BS_CASH_NEAR_CASH_ITEM","2016-06-30","2021-06-30","Per=Y","Days=T","Dir=V")</f>
        <v>0</v>
      </c>
      <c r="M2">
        <f>BDH("GPMT US Equity","BS_CUR_ASSET_REPORT","2016-06-30","2021-06-30","Per=Y","Days=T","Dir=V")</f>
        <v>0</v>
      </c>
      <c r="O2">
        <f>BDH("GPMT US Equity","BS_CUR_LIAB","2016-06-30","2021-06-30","Per=Y","Days=T","Dir=V")</f>
        <v>0</v>
      </c>
      <c r="Q2">
        <f>BDH("GPMT US Equity","BS_SHAREHOLDER_EQY_ENDING_PERIOD","2016-06-30","2021-06-30","Per=Y","Days=T","Dir=V")</f>
        <v>0</v>
      </c>
      <c r="S2">
        <f>BDH("GPMT US Equity","BS_ACCT_NOTE_RCV","2016-06-30","2021-06-30","Per=Y","Days=T","Dir=V")</f>
        <v>0</v>
      </c>
      <c r="U2">
        <f>BDH("GPMT US Equity","BS_INVENTORIES","2016-06-30","2021-06-30","Per=Y","Days=T","Dir=V")</f>
        <v>0</v>
      </c>
      <c r="W2">
        <f>BDH("GPMT US Equity","WORKING_CAPITAL","2016-06-30","2021-06-30","Per=Y","Days=T","Dir=V")</f>
        <v>0</v>
      </c>
      <c r="Y2">
        <f>BDH("GPMT US Equity","SALES_REV_TURN","2016-06-30","2021-06-30","Per=Y","Days=T","Dir=V")</f>
        <v>0</v>
      </c>
      <c r="AA2">
        <f>BDH("GPMT US Equity","EBIT","2016-06-30","2021-06-30","Per=Y","Days=T","Dir=V")</f>
        <v>0</v>
      </c>
      <c r="AC2">
        <f>BDH("GPMT US Equity","EBITDA","2016-06-30","2021-06-30","Per=Y","Days=T","Dir=V")</f>
        <v>0</v>
      </c>
      <c r="AE2">
        <f>BDH("GPMT US Equity","NET_INCOME","2016-06-30","2021-06-30","Per=Y","Days=T","Dir=V")</f>
        <v>0</v>
      </c>
      <c r="AG2">
        <f>BDH("GPMT US Equity","IS_INT_EXPENSE","2016-06-30","2021-06-30","Per=Y","Days=T","Dir=V")</f>
        <v>0</v>
      </c>
      <c r="AI2">
        <f>BDH("GPMT US Equity","IS_DEPR_EXP","2016-06-30","2021-06-30","Per=Y","Days=T","Dir=V")</f>
        <v>0</v>
      </c>
      <c r="AK2">
        <f>BDH("GPMT US Equity","CF_CASH_FROM_OPER","2016-06-30","2021-06-30","Per=Y","Days=T","Dir=V")</f>
        <v>0</v>
      </c>
      <c r="AM2">
        <f>BDH("GPMT US Equity","CAPITAL_EXPEND","2016-06-30","2021-06-30","Per=Y","Days=T","Dir=V")</f>
        <v>0</v>
      </c>
      <c r="AO2">
        <f>BDH("GPMT US Equity","CF_FREE_CASH_FLOW","2016-06-30","2021-06-30","Per=Y","Days=T","Dir=V")</f>
        <v>0</v>
      </c>
      <c r="AQ2">
        <f>BDH("GPMT US Equity","PX_LAST","2016-06-30","2021-06-30","Per=M","Days=T","Dir=V")</f>
        <v>0</v>
      </c>
      <c r="AS2">
        <f>BDH("GPMT US Equity","CUR_MKT_CAP","2016-06-30","2021-06-30","Per=M","Days=T","Dir=V")</f>
        <v>0</v>
      </c>
      <c r="AU2">
        <f>BDH("GPMT US Equity","EQY_SH_OUT","2016-06-30","2021-06-30","Per=M","Days=T","Dir=V")</f>
        <v>0</v>
      </c>
      <c r="AW2">
        <f>BDH("GPMT US Equity","BETA_RAW_OVERRIABLE","2016-06-30","2021-06-30","Per=M","Days=T","Dir=V")</f>
        <v>0</v>
      </c>
      <c r="AY2">
        <f>BDH("GPMT US Equity","PX_VOLUME","2016-06-30","2021-06-30","Per=M","Days=T","Dir=V")</f>
        <v>0</v>
      </c>
      <c r="BA2">
        <f>BDH("GPMT US Equity","TURNOVER","2016-06-30","2021-06-30","Per=M","Days=T","Dir=V")</f>
        <v>0</v>
      </c>
      <c r="BC2">
        <f>BDH("GPMT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BDH("HST US Equity","BS_TOT_ASSET","2016-06-30","2021-06-30","Per=Y","Days=T","Dir=V")</f>
        <v>0</v>
      </c>
      <c r="C2">
        <f>BDH("HST US Equity","BS_TOT_LIAB2","2016-06-30","2021-06-30","Per=Y","Days=T","Dir=V")</f>
        <v>0</v>
      </c>
      <c r="E2">
        <f>BDH("HST US Equity","SHORT_AND_LONG_TERM_DEBT","2016-06-30","2021-06-30","Per=Y","Days=T","Dir=V")</f>
        <v>0</v>
      </c>
      <c r="G2">
        <f>BDH("HST US Equity","BS_ST_BORROW","2016-06-30","2021-06-30","Per=Y","Days=T","Dir=V")</f>
        <v>0</v>
      </c>
      <c r="I2">
        <f>BDH("HST US Equity","BS_LT_BORROW","2016-06-30","2021-06-30","Per=Y","Days=T","Dir=V")</f>
        <v>0</v>
      </c>
      <c r="K2">
        <f>BDH("HST US Equity","BS_CASH_NEAR_CASH_ITEM","2016-06-30","2021-06-30","Per=Y","Days=T","Dir=V")</f>
        <v>0</v>
      </c>
      <c r="M2">
        <f>BDH("HST US Equity","BS_CUR_ASSET_REPORT","2016-06-30","2021-06-30","Per=Y","Days=T","Dir=V")</f>
        <v>0</v>
      </c>
      <c r="O2">
        <f>BDH("HST US Equity","BS_CUR_LIAB","2016-06-30","2021-06-30","Per=Y","Days=T","Dir=V")</f>
        <v>0</v>
      </c>
      <c r="Q2">
        <f>BDH("HST US Equity","BS_SHAREHOLDER_EQY_ENDING_PERIOD","2016-06-30","2021-06-30","Per=Y","Days=T","Dir=V")</f>
        <v>0</v>
      </c>
      <c r="S2">
        <f>BDH("HST US Equity","BS_ACCT_NOTE_RCV","2016-06-30","2021-06-30","Per=Y","Days=T","Dir=V")</f>
        <v>0</v>
      </c>
      <c r="U2">
        <f>BDH("HST US Equity","BS_INVENTORIES","2016-06-30","2021-06-30","Per=Y","Days=T","Dir=V")</f>
        <v>0</v>
      </c>
      <c r="W2">
        <f>BDH("HST US Equity","WORKING_CAPITAL","2016-06-30","2021-06-30","Per=Y","Days=T","Dir=V")</f>
        <v>0</v>
      </c>
      <c r="Y2">
        <f>BDH("HST US Equity","SALES_REV_TURN","2016-06-30","2021-06-30","Per=Y","Days=T","Dir=V")</f>
        <v>0</v>
      </c>
      <c r="AA2">
        <f>BDH("HST US Equity","EBIT","2016-06-30","2021-06-30","Per=Y","Days=T","Dir=V")</f>
        <v>0</v>
      </c>
      <c r="AC2">
        <f>BDH("HST US Equity","EBITDA","2016-06-30","2021-06-30","Per=Y","Days=T","Dir=V")</f>
        <v>0</v>
      </c>
      <c r="AE2">
        <f>BDH("HST US Equity","NET_INCOME","2016-06-30","2021-06-30","Per=Y","Days=T","Dir=V")</f>
        <v>0</v>
      </c>
      <c r="AG2">
        <f>BDH("HST US Equity","IS_INT_EXPENSE","2016-06-30","2021-06-30","Per=Y","Days=T","Dir=V")</f>
        <v>0</v>
      </c>
      <c r="AI2">
        <f>BDH("HST US Equity","IS_DEPR_EXP","2016-06-30","2021-06-30","Per=Y","Days=T","Dir=V")</f>
        <v>0</v>
      </c>
      <c r="AK2">
        <f>BDH("HST US Equity","CF_CASH_FROM_OPER","2016-06-30","2021-06-30","Per=Y","Days=T","Dir=V")</f>
        <v>0</v>
      </c>
      <c r="AM2">
        <f>BDH("HST US Equity","CAPITAL_EXPEND","2016-06-30","2021-06-30","Per=Y","Days=T","Dir=V")</f>
        <v>0</v>
      </c>
      <c r="AO2">
        <f>BDH("HST US Equity","CF_FREE_CASH_FLOW","2016-06-30","2021-06-30","Per=Y","Days=T","Dir=V")</f>
        <v>0</v>
      </c>
      <c r="AQ2">
        <f>BDH("HST US Equity","PX_LAST","2016-06-30","2021-06-30","Per=M","Days=T","Dir=V")</f>
        <v>0</v>
      </c>
      <c r="AS2">
        <f>BDH("HST US Equity","CUR_MKT_CAP","2016-06-30","2021-06-30","Per=M","Days=T","Dir=V")</f>
        <v>0</v>
      </c>
      <c r="AU2">
        <f>BDH("HST US Equity","EQY_SH_OUT","2016-06-30","2021-06-30","Per=M","Days=T","Dir=V")</f>
        <v>0</v>
      </c>
      <c r="AW2">
        <f>BDH("HST US Equity","BETA_RAW_OVERRIABLE","2016-06-30","2021-06-30","Per=M","Days=T","Dir=V")</f>
        <v>0</v>
      </c>
      <c r="AY2">
        <f>BDH("HST US Equity","PX_VOLUME","2016-06-30","2021-06-30","Per=M","Days=T","Dir=V")</f>
        <v>0</v>
      </c>
      <c r="BA2">
        <f>BDH("HST US Equity","TURNOVER","2016-06-30","2021-06-30","Per=M","Days=T","Dir=V")</f>
        <v>0</v>
      </c>
      <c r="BC2">
        <f>BDH("HST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BDH("IVR US Equity","BS_TOT_ASSET","2016-06-30","2021-06-30","Per=Y","Days=T","Dir=V")</f>
        <v>0</v>
      </c>
      <c r="C2">
        <f>BDH("IVR US Equity","BS_TOT_LIAB2","2016-06-30","2021-06-30","Per=Y","Days=T","Dir=V")</f>
        <v>0</v>
      </c>
      <c r="E2">
        <f>BDH("IVR US Equity","SHORT_AND_LONG_TERM_DEBT","2016-06-30","2021-06-30","Per=Y","Days=T","Dir=V")</f>
        <v>0</v>
      </c>
      <c r="G2">
        <f>BDH("IVR US Equity","BS_ST_BORROW","2016-06-30","2021-06-30","Per=Y","Days=T","Dir=V")</f>
        <v>0</v>
      </c>
      <c r="I2">
        <f>BDH("IVR US Equity","BS_LT_BORROW","2016-06-30","2021-06-30","Per=Y","Days=T","Dir=V")</f>
        <v>0</v>
      </c>
      <c r="K2">
        <f>BDH("IVR US Equity","BS_CASH_NEAR_CASH_ITEM","2016-06-30","2021-06-30","Per=Y","Days=T","Dir=V")</f>
        <v>0</v>
      </c>
      <c r="M2">
        <f>BDH("IVR US Equity","BS_CUR_ASSET_REPORT","2016-06-30","2021-06-30","Per=Y","Days=T","Dir=V")</f>
        <v>0</v>
      </c>
      <c r="O2">
        <f>BDH("IVR US Equity","BS_CUR_LIAB","2016-06-30","2021-06-30","Per=Y","Days=T","Dir=V")</f>
        <v>0</v>
      </c>
      <c r="Q2">
        <f>BDH("IVR US Equity","BS_SHAREHOLDER_EQY_ENDING_PERIOD","2016-06-30","2021-06-30","Per=Y","Days=T","Dir=V")</f>
        <v>0</v>
      </c>
      <c r="S2">
        <f>BDH("IVR US Equity","BS_ACCT_NOTE_RCV","2016-06-30","2021-06-30","Per=Y","Days=T","Dir=V")</f>
        <v>0</v>
      </c>
      <c r="U2">
        <f>BDH("IVR US Equity","BS_INVENTORIES","2016-06-30","2021-06-30","Per=Y","Days=T","Dir=V")</f>
        <v>0</v>
      </c>
      <c r="W2">
        <f>BDH("IVR US Equity","WORKING_CAPITAL","2016-06-30","2021-06-30","Per=Y","Days=T","Dir=V")</f>
        <v>0</v>
      </c>
      <c r="Y2">
        <f>BDH("IVR US Equity","SALES_REV_TURN","2016-06-30","2021-06-30","Per=Y","Days=T","Dir=V")</f>
        <v>0</v>
      </c>
      <c r="AA2">
        <f>BDH("IVR US Equity","EBIT","2016-06-30","2021-06-30","Per=Y","Days=T","Dir=V")</f>
        <v>0</v>
      </c>
      <c r="AC2">
        <f>BDH("IVR US Equity","EBITDA","2016-06-30","2021-06-30","Per=Y","Days=T","Dir=V")</f>
        <v>0</v>
      </c>
      <c r="AE2">
        <f>BDH("IVR US Equity","NET_INCOME","2016-06-30","2021-06-30","Per=Y","Days=T","Dir=V")</f>
        <v>0</v>
      </c>
      <c r="AG2">
        <f>BDH("IVR US Equity","IS_INT_EXPENSE","2016-06-30","2021-06-30","Per=Y","Days=T","Dir=V")</f>
        <v>0</v>
      </c>
      <c r="AI2">
        <f>BDH("IVR US Equity","IS_DEPR_EXP","2016-06-30","2021-06-30","Per=Y","Days=T","Dir=V")</f>
        <v>0</v>
      </c>
      <c r="AK2">
        <f>BDH("IVR US Equity","CF_CASH_FROM_OPER","2016-06-30","2021-06-30","Per=Y","Days=T","Dir=V")</f>
        <v>0</v>
      </c>
      <c r="AM2">
        <f>BDH("IVR US Equity","CAPITAL_EXPEND","2016-06-30","2021-06-30","Per=Y","Days=T","Dir=V")</f>
        <v>0</v>
      </c>
      <c r="AO2">
        <f>BDH("IVR US Equity","CF_FREE_CASH_FLOW","2016-06-30","2021-06-30","Per=Y","Days=T","Dir=V")</f>
        <v>0</v>
      </c>
      <c r="AQ2">
        <f>BDH("IVR US Equity","PX_LAST","2016-06-30","2021-06-30","Per=M","Days=T","Dir=V")</f>
        <v>0</v>
      </c>
      <c r="AS2">
        <f>BDH("IVR US Equity","CUR_MKT_CAP","2016-06-30","2021-06-30","Per=M","Days=T","Dir=V")</f>
        <v>0</v>
      </c>
      <c r="AU2">
        <f>BDH("IVR US Equity","EQY_SH_OUT","2016-06-30","2021-06-30","Per=M","Days=T","Dir=V")</f>
        <v>0</v>
      </c>
      <c r="AW2">
        <f>BDH("IVR US Equity","BETA_RAW_OVERRIABLE","2016-06-30","2021-06-30","Per=M","Days=T","Dir=V")</f>
        <v>0</v>
      </c>
      <c r="AY2">
        <f>BDH("IVR US Equity","PX_VOLUME","2016-06-30","2021-06-30","Per=M","Days=T","Dir=V")</f>
        <v>0</v>
      </c>
      <c r="BA2">
        <f>BDH("IVR US Equity","TURNOVER","2016-06-30","2021-06-30","Per=M","Days=T","Dir=V")</f>
        <v>0</v>
      </c>
      <c r="BC2">
        <f>BDH("IVR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BDH("NXRT US Equity","BS_TOT_ASSET","2016-06-30","2021-06-30","Per=Y","Days=T","Dir=V")</f>
        <v>0</v>
      </c>
      <c r="C2">
        <f>BDH("NXRT US Equity","BS_TOT_LIAB2","2016-06-30","2021-06-30","Per=Y","Days=T","Dir=V")</f>
        <v>0</v>
      </c>
      <c r="E2">
        <f>BDH("NXRT US Equity","SHORT_AND_LONG_TERM_DEBT","2016-06-30","2021-06-30","Per=Y","Days=T","Dir=V")</f>
        <v>0</v>
      </c>
      <c r="G2">
        <f>BDH("NXRT US Equity","BS_ST_BORROW","2016-06-30","2021-06-30","Per=Y","Days=T","Dir=V")</f>
        <v>0</v>
      </c>
      <c r="I2">
        <f>BDH("NXRT US Equity","BS_LT_BORROW","2016-06-30","2021-06-30","Per=Y","Days=T","Dir=V")</f>
        <v>0</v>
      </c>
      <c r="K2">
        <f>BDH("NXRT US Equity","BS_CASH_NEAR_CASH_ITEM","2016-06-30","2021-06-30","Per=Y","Days=T","Dir=V")</f>
        <v>0</v>
      </c>
      <c r="M2">
        <f>BDH("NXRT US Equity","BS_CUR_ASSET_REPORT","2016-06-30","2021-06-30","Per=Y","Days=T","Dir=V")</f>
        <v>0</v>
      </c>
      <c r="O2">
        <f>BDH("NXRT US Equity","BS_CUR_LIAB","2016-06-30","2021-06-30","Per=Y","Days=T","Dir=V")</f>
        <v>0</v>
      </c>
      <c r="Q2">
        <f>BDH("NXRT US Equity","BS_SHAREHOLDER_EQY_ENDING_PERIOD","2016-06-30","2021-06-30","Per=Y","Days=T","Dir=V")</f>
        <v>0</v>
      </c>
      <c r="S2">
        <f>BDH("NXRT US Equity","BS_ACCT_NOTE_RCV","2016-06-30","2021-06-30","Per=Y","Days=T","Dir=V")</f>
        <v>0</v>
      </c>
      <c r="U2">
        <f>BDH("NXRT US Equity","BS_INVENTORIES","2016-06-30","2021-06-30","Per=Y","Days=T","Dir=V")</f>
        <v>0</v>
      </c>
      <c r="W2">
        <f>BDH("NXRT US Equity","WORKING_CAPITAL","2016-06-30","2021-06-30","Per=Y","Days=T","Dir=V")</f>
        <v>0</v>
      </c>
      <c r="Y2">
        <f>BDH("NXRT US Equity","SALES_REV_TURN","2016-06-30","2021-06-30","Per=Y","Days=T","Dir=V")</f>
        <v>0</v>
      </c>
      <c r="AA2">
        <f>BDH("NXRT US Equity","EBIT","2016-06-30","2021-06-30","Per=Y","Days=T","Dir=V")</f>
        <v>0</v>
      </c>
      <c r="AC2">
        <f>BDH("NXRT US Equity","EBITDA","2016-06-30","2021-06-30","Per=Y","Days=T","Dir=V")</f>
        <v>0</v>
      </c>
      <c r="AE2">
        <f>BDH("NXRT US Equity","NET_INCOME","2016-06-30","2021-06-30","Per=Y","Days=T","Dir=V")</f>
        <v>0</v>
      </c>
      <c r="AG2">
        <f>BDH("NXRT US Equity","IS_INT_EXPENSE","2016-06-30","2021-06-30","Per=Y","Days=T","Dir=V")</f>
        <v>0</v>
      </c>
      <c r="AI2">
        <f>BDH("NXRT US Equity","IS_DEPR_EXP","2016-06-30","2021-06-30","Per=Y","Days=T","Dir=V")</f>
        <v>0</v>
      </c>
      <c r="AK2">
        <f>BDH("NXRT US Equity","CF_CASH_FROM_OPER","2016-06-30","2021-06-30","Per=Y","Days=T","Dir=V")</f>
        <v>0</v>
      </c>
      <c r="AM2">
        <f>BDH("NXRT US Equity","CAPITAL_EXPEND","2016-06-30","2021-06-30","Per=Y","Days=T","Dir=V")</f>
        <v>0</v>
      </c>
      <c r="AO2">
        <f>BDH("NXRT US Equity","CF_FREE_CASH_FLOW","2016-06-30","2021-06-30","Per=Y","Days=T","Dir=V")</f>
        <v>0</v>
      </c>
      <c r="AQ2">
        <f>BDH("NXRT US Equity","PX_LAST","2016-06-30","2021-06-30","Per=M","Days=T","Dir=V")</f>
        <v>0</v>
      </c>
      <c r="AS2">
        <f>BDH("NXRT US Equity","CUR_MKT_CAP","2016-06-30","2021-06-30","Per=M","Days=T","Dir=V")</f>
        <v>0</v>
      </c>
      <c r="AU2">
        <f>BDH("NXRT US Equity","EQY_SH_OUT","2016-06-30","2021-06-30","Per=M","Days=T","Dir=V")</f>
        <v>0</v>
      </c>
      <c r="AW2">
        <f>BDH("NXRT US Equity","BETA_RAW_OVERRIABLE","2016-06-30","2021-06-30","Per=M","Days=T","Dir=V")</f>
        <v>0</v>
      </c>
      <c r="AY2">
        <f>BDH("NXRT US Equity","PX_VOLUME","2016-06-30","2021-06-30","Per=M","Days=T","Dir=V")</f>
        <v>0</v>
      </c>
      <c r="BA2">
        <f>BDH("NXRT US Equity","TURNOVER","2016-06-30","2021-06-30","Per=M","Days=T","Dir=V")</f>
        <v>0</v>
      </c>
      <c r="BC2">
        <f>BDH("NXRT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BDH("PMTV US Equity","BS_TOT_ASSET","2016-06-30","2021-06-30","Per=Y","Days=T","Dir=V")</f>
        <v>0</v>
      </c>
      <c r="C2">
        <f>BDH("PMTV US Equity","BS_TOT_LIAB2","2016-06-30","2021-06-30","Per=Y","Days=T","Dir=V")</f>
        <v>0</v>
      </c>
      <c r="E2">
        <f>BDH("PMTV US Equity","SHORT_AND_LONG_TERM_DEBT","2016-06-30","2021-06-30","Per=Y","Days=T","Dir=V")</f>
        <v>0</v>
      </c>
      <c r="G2">
        <f>BDH("PMTV US Equity","BS_ST_BORROW","2016-06-30","2021-06-30","Per=Y","Days=T","Dir=V")</f>
        <v>0</v>
      </c>
      <c r="I2">
        <f>BDH("PMTV US Equity","BS_LT_BORROW","2016-06-30","2021-06-30","Per=Y","Days=T","Dir=V")</f>
        <v>0</v>
      </c>
      <c r="K2">
        <f>BDH("PMTV US Equity","BS_CASH_NEAR_CASH_ITEM","2016-06-30","2021-06-30","Per=Y","Days=T","Dir=V")</f>
        <v>0</v>
      </c>
      <c r="M2">
        <f>BDH("PMTV US Equity","BS_CUR_ASSET_REPORT","2016-06-30","2021-06-30","Per=Y","Days=T","Dir=V")</f>
        <v>0</v>
      </c>
      <c r="O2">
        <f>BDH("PMTV US Equity","BS_CUR_LIAB","2016-06-30","2021-06-30","Per=Y","Days=T","Dir=V")</f>
        <v>0</v>
      </c>
      <c r="Q2">
        <f>BDH("PMTV US Equity","BS_SHAREHOLDER_EQY_ENDING_PERIOD","2016-06-30","2021-06-30","Per=Y","Days=T","Dir=V")</f>
        <v>0</v>
      </c>
      <c r="S2">
        <f>BDH("PMTV US Equity","BS_ACCT_NOTE_RCV","2016-06-30","2021-06-30","Per=Y","Days=T","Dir=V")</f>
        <v>0</v>
      </c>
      <c r="U2">
        <f>BDH("PMTV US Equity","BS_INVENTORIES","2016-06-30","2021-06-30","Per=Y","Days=T","Dir=V")</f>
        <v>0</v>
      </c>
      <c r="W2">
        <f>BDH("PMTV US Equity","WORKING_CAPITAL","2016-06-30","2021-06-30","Per=Y","Days=T","Dir=V")</f>
        <v>0</v>
      </c>
      <c r="Y2">
        <f>BDH("PMTV US Equity","SALES_REV_TURN","2016-06-30","2021-06-30","Per=Y","Days=T","Dir=V")</f>
        <v>0</v>
      </c>
      <c r="AA2">
        <f>BDH("PMTV US Equity","EBIT","2016-06-30","2021-06-30","Per=Y","Days=T","Dir=V")</f>
        <v>0</v>
      </c>
      <c r="AC2">
        <f>BDH("PMTV US Equity","EBITDA","2016-06-30","2021-06-30","Per=Y","Days=T","Dir=V")</f>
        <v>0</v>
      </c>
      <c r="AE2">
        <f>BDH("PMTV US Equity","NET_INCOME","2016-06-30","2021-06-30","Per=Y","Days=T","Dir=V")</f>
        <v>0</v>
      </c>
      <c r="AG2">
        <f>BDH("PMTV US Equity","IS_INT_EXPENSE","2016-06-30","2021-06-30","Per=Y","Days=T","Dir=V")</f>
        <v>0</v>
      </c>
      <c r="AI2">
        <f>BDH("PMTV US Equity","IS_DEPR_EXP","2016-06-30","2021-06-30","Per=Y","Days=T","Dir=V")</f>
        <v>0</v>
      </c>
      <c r="AK2">
        <f>BDH("PMTV US Equity","CF_CASH_FROM_OPER","2016-06-30","2021-06-30","Per=Y","Days=T","Dir=V")</f>
        <v>0</v>
      </c>
      <c r="AM2">
        <f>BDH("PMTV US Equity","CAPITAL_EXPEND","2016-06-30","2021-06-30","Per=Y","Days=T","Dir=V")</f>
        <v>0</v>
      </c>
      <c r="AO2">
        <f>BDH("PMTV US Equity","CF_FREE_CASH_FLOW","2016-06-30","2021-06-30","Per=Y","Days=T","Dir=V")</f>
        <v>0</v>
      </c>
      <c r="AQ2">
        <f>BDH("PMTV US Equity","PX_LAST","2016-06-30","2021-06-30","Per=M","Days=T","Dir=V")</f>
        <v>0</v>
      </c>
      <c r="AS2">
        <f>BDH("PMTV US Equity","CUR_MKT_CAP","2016-06-30","2021-06-30","Per=M","Days=T","Dir=V")</f>
        <v>0</v>
      </c>
      <c r="AU2">
        <f>BDH("PMTV US Equity","EQY_SH_OUT","2016-06-30","2021-06-30","Per=M","Days=T","Dir=V")</f>
        <v>0</v>
      </c>
      <c r="AW2">
        <f>BDH("PMTV US Equity","BETA_RAW_OVERRIABLE","2016-06-30","2021-06-30","Per=M","Days=T","Dir=V")</f>
        <v>0</v>
      </c>
      <c r="AY2">
        <f>BDH("PMTV US Equity","PX_VOLUME","2016-06-30","2021-06-30","Per=M","Days=T","Dir=V")</f>
        <v>0</v>
      </c>
      <c r="BA2">
        <f>BDH("PMTV US Equity","TURNOVER","2016-06-30","2021-06-30","Per=M","Days=T","Dir=V")</f>
        <v>0</v>
      </c>
      <c r="BC2">
        <f>BDH("PMTV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BDH("RWTN US Equity","BS_TOT_ASSET","2016-06-30","2021-06-30","Per=Y","Days=T","Dir=V")</f>
        <v>0</v>
      </c>
      <c r="C2">
        <f>BDH("RWTN US Equity","BS_TOT_LIAB2","2016-06-30","2021-06-30","Per=Y","Days=T","Dir=V")</f>
        <v>0</v>
      </c>
      <c r="E2">
        <f>BDH("RWTN US Equity","SHORT_AND_LONG_TERM_DEBT","2016-06-30","2021-06-30","Per=Y","Days=T","Dir=V")</f>
        <v>0</v>
      </c>
      <c r="G2">
        <f>BDH("RWTN US Equity","BS_ST_BORROW","2016-06-30","2021-06-30","Per=Y","Days=T","Dir=V")</f>
        <v>0</v>
      </c>
      <c r="I2">
        <f>BDH("RWTN US Equity","BS_LT_BORROW","2016-06-30","2021-06-30","Per=Y","Days=T","Dir=V")</f>
        <v>0</v>
      </c>
      <c r="K2">
        <f>BDH("RWTN US Equity","BS_CASH_NEAR_CASH_ITEM","2016-06-30","2021-06-30","Per=Y","Days=T","Dir=V")</f>
        <v>0</v>
      </c>
      <c r="M2">
        <f>BDH("RWTN US Equity","BS_CUR_ASSET_REPORT","2016-06-30","2021-06-30","Per=Y","Days=T","Dir=V")</f>
        <v>0</v>
      </c>
      <c r="O2">
        <f>BDH("RWTN US Equity","BS_CUR_LIAB","2016-06-30","2021-06-30","Per=Y","Days=T","Dir=V")</f>
        <v>0</v>
      </c>
      <c r="Q2">
        <f>BDH("RWTN US Equity","BS_SHAREHOLDER_EQY_ENDING_PERIOD","2016-06-30","2021-06-30","Per=Y","Days=T","Dir=V")</f>
        <v>0</v>
      </c>
      <c r="S2">
        <f>BDH("RWTN US Equity","BS_ACCT_NOTE_RCV","2016-06-30","2021-06-30","Per=Y","Days=T","Dir=V")</f>
        <v>0</v>
      </c>
      <c r="U2">
        <f>BDH("RWTN US Equity","BS_INVENTORIES","2016-06-30","2021-06-30","Per=Y","Days=T","Dir=V")</f>
        <v>0</v>
      </c>
      <c r="W2">
        <f>BDH("RWTN US Equity","WORKING_CAPITAL","2016-06-30","2021-06-30","Per=Y","Days=T","Dir=V")</f>
        <v>0</v>
      </c>
      <c r="Y2">
        <f>BDH("RWTN US Equity","SALES_REV_TURN","2016-06-30","2021-06-30","Per=Y","Days=T","Dir=V")</f>
        <v>0</v>
      </c>
      <c r="AA2">
        <f>BDH("RWTN US Equity","EBIT","2016-06-30","2021-06-30","Per=Y","Days=T","Dir=V")</f>
        <v>0</v>
      </c>
      <c r="AC2">
        <f>BDH("RWTN US Equity","EBITDA","2016-06-30","2021-06-30","Per=Y","Days=T","Dir=V")</f>
        <v>0</v>
      </c>
      <c r="AE2">
        <f>BDH("RWTN US Equity","NET_INCOME","2016-06-30","2021-06-30","Per=Y","Days=T","Dir=V")</f>
        <v>0</v>
      </c>
      <c r="AG2">
        <f>BDH("RWTN US Equity","IS_INT_EXPENSE","2016-06-30","2021-06-30","Per=Y","Days=T","Dir=V")</f>
        <v>0</v>
      </c>
      <c r="AI2">
        <f>BDH("RWTN US Equity","IS_DEPR_EXP","2016-06-30","2021-06-30","Per=Y","Days=T","Dir=V")</f>
        <v>0</v>
      </c>
      <c r="AK2">
        <f>BDH("RWTN US Equity","CF_CASH_FROM_OPER","2016-06-30","2021-06-30","Per=Y","Days=T","Dir=V")</f>
        <v>0</v>
      </c>
      <c r="AM2">
        <f>BDH("RWTN US Equity","CAPITAL_EXPEND","2016-06-30","2021-06-30","Per=Y","Days=T","Dir=V")</f>
        <v>0</v>
      </c>
      <c r="AO2">
        <f>BDH("RWTN US Equity","CF_FREE_CASH_FLOW","2016-06-30","2021-06-30","Per=Y","Days=T","Dir=V")</f>
        <v>0</v>
      </c>
      <c r="AQ2">
        <f>BDH("RWTN US Equity","PX_LAST","2016-06-30","2021-06-30","Per=M","Days=T","Dir=V")</f>
        <v>0</v>
      </c>
      <c r="AS2">
        <f>BDH("RWTN US Equity","CUR_MKT_CAP","2016-06-30","2021-06-30","Per=M","Days=T","Dir=V")</f>
        <v>0</v>
      </c>
      <c r="AU2">
        <f>BDH("RWTN US Equity","EQY_SH_OUT","2016-06-30","2021-06-30","Per=M","Days=T","Dir=V")</f>
        <v>0</v>
      </c>
      <c r="AW2">
        <f>BDH("RWTN US Equity","BETA_RAW_OVERRIABLE","2016-06-30","2021-06-30","Per=M","Days=T","Dir=V")</f>
        <v>0</v>
      </c>
      <c r="AY2">
        <f>BDH("RWTN US Equity","PX_VOLUME","2016-06-30","2021-06-30","Per=M","Days=T","Dir=V")</f>
        <v>0</v>
      </c>
      <c r="BA2">
        <f>BDH("RWTN US Equity","TURNOVER","2016-06-30","2021-06-30","Per=M","Days=T","Dir=V")</f>
        <v>0</v>
      </c>
      <c r="BC2">
        <f>BDH("RWTN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BDH("SAFE US Equity","BS_TOT_ASSET","2016-06-30","2021-06-30","Per=Y","Days=T","Dir=V")</f>
        <v>0</v>
      </c>
      <c r="C2">
        <f>BDH("SAFE US Equity","BS_TOT_LIAB2","2016-06-30","2021-06-30","Per=Y","Days=T","Dir=V")</f>
        <v>0</v>
      </c>
      <c r="E2">
        <f>BDH("SAFE US Equity","SHORT_AND_LONG_TERM_DEBT","2016-06-30","2021-06-30","Per=Y","Days=T","Dir=V")</f>
        <v>0</v>
      </c>
      <c r="G2">
        <f>BDH("SAFE US Equity","BS_ST_BORROW","2016-06-30","2021-06-30","Per=Y","Days=T","Dir=V")</f>
        <v>0</v>
      </c>
      <c r="I2">
        <f>BDH("SAFE US Equity","BS_LT_BORROW","2016-06-30","2021-06-30","Per=Y","Days=T","Dir=V")</f>
        <v>0</v>
      </c>
      <c r="K2">
        <f>BDH("SAFE US Equity","BS_CASH_NEAR_CASH_ITEM","2016-06-30","2021-06-30","Per=Y","Days=T","Dir=V")</f>
        <v>0</v>
      </c>
      <c r="M2">
        <f>BDH("SAFE US Equity","BS_CUR_ASSET_REPORT","2016-06-30","2021-06-30","Per=Y","Days=T","Dir=V")</f>
        <v>0</v>
      </c>
      <c r="O2">
        <f>BDH("SAFE US Equity","BS_CUR_LIAB","2016-06-30","2021-06-30","Per=Y","Days=T","Dir=V")</f>
        <v>0</v>
      </c>
      <c r="Q2">
        <f>BDH("SAFE US Equity","BS_SHAREHOLDER_EQY_ENDING_PERIOD","2016-06-30","2021-06-30","Per=Y","Days=T","Dir=V")</f>
        <v>0</v>
      </c>
      <c r="S2">
        <f>BDH("SAFE US Equity","BS_ACCT_NOTE_RCV","2016-06-30","2021-06-30","Per=Y","Days=T","Dir=V")</f>
        <v>0</v>
      </c>
      <c r="U2">
        <f>BDH("SAFE US Equity","BS_INVENTORIES","2016-06-30","2021-06-30","Per=Y","Days=T","Dir=V")</f>
        <v>0</v>
      </c>
      <c r="W2">
        <f>BDH("SAFE US Equity","WORKING_CAPITAL","2016-06-30","2021-06-30","Per=Y","Days=T","Dir=V")</f>
        <v>0</v>
      </c>
      <c r="Y2">
        <f>BDH("SAFE US Equity","SALES_REV_TURN","2016-06-30","2021-06-30","Per=Y","Days=T","Dir=V")</f>
        <v>0</v>
      </c>
      <c r="AA2">
        <f>BDH("SAFE US Equity","EBIT","2016-06-30","2021-06-30","Per=Y","Days=T","Dir=V")</f>
        <v>0</v>
      </c>
      <c r="AC2">
        <f>BDH("SAFE US Equity","EBITDA","2016-06-30","2021-06-30","Per=Y","Days=T","Dir=V")</f>
        <v>0</v>
      </c>
      <c r="AE2">
        <f>BDH("SAFE US Equity","NET_INCOME","2016-06-30","2021-06-30","Per=Y","Days=T","Dir=V")</f>
        <v>0</v>
      </c>
      <c r="AG2">
        <f>BDH("SAFE US Equity","IS_INT_EXPENSE","2016-06-30","2021-06-30","Per=Y","Days=T","Dir=V")</f>
        <v>0</v>
      </c>
      <c r="AI2">
        <f>BDH("SAFE US Equity","IS_DEPR_EXP","2016-06-30","2021-06-30","Per=Y","Days=T","Dir=V")</f>
        <v>0</v>
      </c>
      <c r="AK2">
        <f>BDH("SAFE US Equity","CF_CASH_FROM_OPER","2016-06-30","2021-06-30","Per=Y","Days=T","Dir=V")</f>
        <v>0</v>
      </c>
      <c r="AM2">
        <f>BDH("SAFE US Equity","CAPITAL_EXPEND","2016-06-30","2021-06-30","Per=Y","Days=T","Dir=V")</f>
        <v>0</v>
      </c>
      <c r="AO2">
        <f>BDH("SAFE US Equity","CF_FREE_CASH_FLOW","2016-06-30","2021-06-30","Per=Y","Days=T","Dir=V")</f>
        <v>0</v>
      </c>
      <c r="AQ2">
        <f>BDH("SAFE US Equity","PX_LAST","2016-06-30","2021-06-30","Per=M","Days=T","Dir=V")</f>
        <v>0</v>
      </c>
      <c r="AS2">
        <f>BDH("SAFE US Equity","CUR_MKT_CAP","2016-06-30","2021-06-30","Per=M","Days=T","Dir=V")</f>
        <v>0</v>
      </c>
      <c r="AU2">
        <f>BDH("SAFE US Equity","EQY_SH_OUT","2016-06-30","2021-06-30","Per=M","Days=T","Dir=V")</f>
        <v>0</v>
      </c>
      <c r="AW2">
        <f>BDH("SAFE US Equity","BETA_RAW_OVERRIABLE","2016-06-30","2021-06-30","Per=M","Days=T","Dir=V")</f>
        <v>0</v>
      </c>
      <c r="AY2">
        <f>BDH("SAFE US Equity","PX_VOLUME","2016-06-30","2021-06-30","Per=M","Days=T","Dir=V")</f>
        <v>0</v>
      </c>
      <c r="BA2">
        <f>BDH("SAFE US Equity","TURNOVER","2016-06-30","2021-06-30","Per=M","Days=T","Dir=V")</f>
        <v>0</v>
      </c>
      <c r="BC2">
        <f>BDH("SAFE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BDH("SLG US Equity","BS_TOT_ASSET","2016-06-30","2021-06-30","Per=Y","Days=T","Dir=V")</f>
        <v>0</v>
      </c>
      <c r="C2">
        <f>BDH("SLG US Equity","BS_TOT_LIAB2","2016-06-30","2021-06-30","Per=Y","Days=T","Dir=V")</f>
        <v>0</v>
      </c>
      <c r="E2">
        <f>BDH("SLG US Equity","SHORT_AND_LONG_TERM_DEBT","2016-06-30","2021-06-30","Per=Y","Days=T","Dir=V")</f>
        <v>0</v>
      </c>
      <c r="G2">
        <f>BDH("SLG US Equity","BS_ST_BORROW","2016-06-30","2021-06-30","Per=Y","Days=T","Dir=V")</f>
        <v>0</v>
      </c>
      <c r="I2">
        <f>BDH("SLG US Equity","BS_LT_BORROW","2016-06-30","2021-06-30","Per=Y","Days=T","Dir=V")</f>
        <v>0</v>
      </c>
      <c r="K2">
        <f>BDH("SLG US Equity","BS_CASH_NEAR_CASH_ITEM","2016-06-30","2021-06-30","Per=Y","Days=T","Dir=V")</f>
        <v>0</v>
      </c>
      <c r="M2">
        <f>BDH("SLG US Equity","BS_CUR_ASSET_REPORT","2016-06-30","2021-06-30","Per=Y","Days=T","Dir=V")</f>
        <v>0</v>
      </c>
      <c r="O2">
        <f>BDH("SLG US Equity","BS_CUR_LIAB","2016-06-30","2021-06-30","Per=Y","Days=T","Dir=V")</f>
        <v>0</v>
      </c>
      <c r="Q2">
        <f>BDH("SLG US Equity","BS_SHAREHOLDER_EQY_ENDING_PERIOD","2016-06-30","2021-06-30","Per=Y","Days=T","Dir=V")</f>
        <v>0</v>
      </c>
      <c r="S2">
        <f>BDH("SLG US Equity","BS_ACCT_NOTE_RCV","2016-06-30","2021-06-30","Per=Y","Days=T","Dir=V")</f>
        <v>0</v>
      </c>
      <c r="U2">
        <f>BDH("SLG US Equity","BS_INVENTORIES","2016-06-30","2021-06-30","Per=Y","Days=T","Dir=V")</f>
        <v>0</v>
      </c>
      <c r="W2">
        <f>BDH("SLG US Equity","WORKING_CAPITAL","2016-06-30","2021-06-30","Per=Y","Days=T","Dir=V")</f>
        <v>0</v>
      </c>
      <c r="Y2">
        <f>BDH("SLG US Equity","SALES_REV_TURN","2016-06-30","2021-06-30","Per=Y","Days=T","Dir=V")</f>
        <v>0</v>
      </c>
      <c r="AA2">
        <f>BDH("SLG US Equity","EBIT","2016-06-30","2021-06-30","Per=Y","Days=T","Dir=V")</f>
        <v>0</v>
      </c>
      <c r="AC2">
        <f>BDH("SLG US Equity","EBITDA","2016-06-30","2021-06-30","Per=Y","Days=T","Dir=V")</f>
        <v>0</v>
      </c>
      <c r="AE2">
        <f>BDH("SLG US Equity","NET_INCOME","2016-06-30","2021-06-30","Per=Y","Days=T","Dir=V")</f>
        <v>0</v>
      </c>
      <c r="AG2">
        <f>BDH("SLG US Equity","IS_INT_EXPENSE","2016-06-30","2021-06-30","Per=Y","Days=T","Dir=V")</f>
        <v>0</v>
      </c>
      <c r="AI2">
        <f>BDH("SLG US Equity","IS_DEPR_EXP","2016-06-30","2021-06-30","Per=Y","Days=T","Dir=V")</f>
        <v>0</v>
      </c>
      <c r="AK2">
        <f>BDH("SLG US Equity","CF_CASH_FROM_OPER","2016-06-30","2021-06-30","Per=Y","Days=T","Dir=V")</f>
        <v>0</v>
      </c>
      <c r="AM2">
        <f>BDH("SLG US Equity","CAPITAL_EXPEND","2016-06-30","2021-06-30","Per=Y","Days=T","Dir=V")</f>
        <v>0</v>
      </c>
      <c r="AO2">
        <f>BDH("SLG US Equity","CF_FREE_CASH_FLOW","2016-06-30","2021-06-30","Per=Y","Days=T","Dir=V")</f>
        <v>0</v>
      </c>
      <c r="AQ2">
        <f>BDH("SLG US Equity","PX_LAST","2016-06-30","2021-06-30","Per=M","Days=T","Dir=V")</f>
        <v>0</v>
      </c>
      <c r="AS2">
        <f>BDH("SLG US Equity","CUR_MKT_CAP","2016-06-30","2021-06-30","Per=M","Days=T","Dir=V")</f>
        <v>0</v>
      </c>
      <c r="AU2">
        <f>BDH("SLG US Equity","EQY_SH_OUT","2016-06-30","2021-06-30","Per=M","Days=T","Dir=V")</f>
        <v>0</v>
      </c>
      <c r="AW2">
        <f>BDH("SLG US Equity","BETA_RAW_OVERRIABLE","2016-06-30","2021-06-30","Per=M","Days=T","Dir=V")</f>
        <v>0</v>
      </c>
      <c r="AY2">
        <f>BDH("SLG US Equity","PX_VOLUME","2016-06-30","2021-06-30","Per=M","Days=T","Dir=V")</f>
        <v>0</v>
      </c>
      <c r="BA2">
        <f>BDH("SLG US Equity","TURNOVER","2016-06-30","2021-06-30","Per=M","Days=T","Dir=V")</f>
        <v>0</v>
      </c>
      <c r="BC2">
        <f>BDH("SLG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BDH("VICI US Equity","BS_TOT_ASSET","2016-06-30","2021-06-30","Per=Y","Days=T","Dir=V")</f>
        <v>0</v>
      </c>
      <c r="C2">
        <f>BDH("VICI US Equity","BS_TOT_LIAB2","2016-06-30","2021-06-30","Per=Y","Days=T","Dir=V")</f>
        <v>0</v>
      </c>
      <c r="E2">
        <f>BDH("VICI US Equity","SHORT_AND_LONG_TERM_DEBT","2016-06-30","2021-06-30","Per=Y","Days=T","Dir=V")</f>
        <v>0</v>
      </c>
      <c r="G2">
        <f>BDH("VICI US Equity","BS_ST_BORROW","2016-06-30","2021-06-30","Per=Y","Days=T","Dir=V")</f>
        <v>0</v>
      </c>
      <c r="I2">
        <f>BDH("VICI US Equity","BS_LT_BORROW","2016-06-30","2021-06-30","Per=Y","Days=T","Dir=V")</f>
        <v>0</v>
      </c>
      <c r="K2">
        <f>BDH("VICI US Equity","BS_CASH_NEAR_CASH_ITEM","2016-06-30","2021-06-30","Per=Y","Days=T","Dir=V")</f>
        <v>0</v>
      </c>
      <c r="M2">
        <f>BDH("VICI US Equity","BS_CUR_ASSET_REPORT","2016-06-30","2021-06-30","Per=Y","Days=T","Dir=V")</f>
        <v>0</v>
      </c>
      <c r="O2">
        <f>BDH("VICI US Equity","BS_CUR_LIAB","2016-06-30","2021-06-30","Per=Y","Days=T","Dir=V")</f>
        <v>0</v>
      </c>
      <c r="Q2">
        <f>BDH("VICI US Equity","BS_SHAREHOLDER_EQY_ENDING_PERIOD","2016-06-30","2021-06-30","Per=Y","Days=T","Dir=V")</f>
        <v>0</v>
      </c>
      <c r="S2">
        <f>BDH("VICI US Equity","BS_ACCT_NOTE_RCV","2016-06-30","2021-06-30","Per=Y","Days=T","Dir=V")</f>
        <v>0</v>
      </c>
      <c r="U2">
        <f>BDH("VICI US Equity","BS_INVENTORIES","2016-06-30","2021-06-30","Per=Y","Days=T","Dir=V")</f>
        <v>0</v>
      </c>
      <c r="W2">
        <f>BDH("VICI US Equity","WORKING_CAPITAL","2016-06-30","2021-06-30","Per=Y","Days=T","Dir=V")</f>
        <v>0</v>
      </c>
      <c r="Y2">
        <f>BDH("VICI US Equity","SALES_REV_TURN","2016-06-30","2021-06-30","Per=Y","Days=T","Dir=V")</f>
        <v>0</v>
      </c>
      <c r="AA2">
        <f>BDH("VICI US Equity","EBIT","2016-06-30","2021-06-30","Per=Y","Days=T","Dir=V")</f>
        <v>0</v>
      </c>
      <c r="AC2">
        <f>BDH("VICI US Equity","EBITDA","2016-06-30","2021-06-30","Per=Y","Days=T","Dir=V")</f>
        <v>0</v>
      </c>
      <c r="AE2">
        <f>BDH("VICI US Equity","NET_INCOME","2016-06-30","2021-06-30","Per=Y","Days=T","Dir=V")</f>
        <v>0</v>
      </c>
      <c r="AG2">
        <f>BDH("VICI US Equity","IS_INT_EXPENSE","2016-06-30","2021-06-30","Per=Y","Days=T","Dir=V")</f>
        <v>0</v>
      </c>
      <c r="AI2">
        <f>BDH("VICI US Equity","IS_DEPR_EXP","2016-06-30","2021-06-30","Per=Y","Days=T","Dir=V")</f>
        <v>0</v>
      </c>
      <c r="AK2">
        <f>BDH("VICI US Equity","CF_CASH_FROM_OPER","2016-06-30","2021-06-30","Per=Y","Days=T","Dir=V")</f>
        <v>0</v>
      </c>
      <c r="AM2">
        <f>BDH("VICI US Equity","CAPITAL_EXPEND","2016-06-30","2021-06-30","Per=Y","Days=T","Dir=V")</f>
        <v>0</v>
      </c>
      <c r="AO2">
        <f>BDH("VICI US Equity","CF_FREE_CASH_FLOW","2016-06-30","2021-06-30","Per=Y","Days=T","Dir=V")</f>
        <v>0</v>
      </c>
      <c r="AQ2">
        <f>BDH("VICI US Equity","PX_LAST","2016-06-30","2021-06-30","Per=M","Days=T","Dir=V")</f>
        <v>0</v>
      </c>
      <c r="AS2">
        <f>BDH("VICI US Equity","CUR_MKT_CAP","2016-06-30","2021-06-30","Per=M","Days=T","Dir=V")</f>
        <v>0</v>
      </c>
      <c r="AU2">
        <f>BDH("VICI US Equity","EQY_SH_OUT","2016-06-30","2021-06-30","Per=M","Days=T","Dir=V")</f>
        <v>0</v>
      </c>
      <c r="AW2">
        <f>BDH("VICI US Equity","BETA_RAW_OVERRIABLE","2016-06-30","2021-06-30","Per=M","Days=T","Dir=V")</f>
        <v>0</v>
      </c>
      <c r="AY2">
        <f>BDH("VICI US Equity","PX_VOLUME","2016-06-30","2021-06-30","Per=M","Days=T","Dir=V")</f>
        <v>0</v>
      </c>
      <c r="BA2">
        <f>BDH("VICI US Equity","TURNOVER","2016-06-30","2021-06-30","Per=M","Days=T","Dir=V")</f>
        <v>0</v>
      </c>
      <c r="BC2">
        <f>BDH("VICI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BDH("WPC US Equity","BS_TOT_ASSET","2016-06-30","2021-06-30","Per=Y","Days=T","Dir=V")</f>
        <v>0</v>
      </c>
      <c r="C2">
        <f>BDH("WPC US Equity","BS_TOT_LIAB2","2016-06-30","2021-06-30","Per=Y","Days=T","Dir=V")</f>
        <v>0</v>
      </c>
      <c r="E2">
        <f>BDH("WPC US Equity","SHORT_AND_LONG_TERM_DEBT","2016-06-30","2021-06-30","Per=Y","Days=T","Dir=V")</f>
        <v>0</v>
      </c>
      <c r="G2">
        <f>BDH("WPC US Equity","BS_ST_BORROW","2016-06-30","2021-06-30","Per=Y","Days=T","Dir=V")</f>
        <v>0</v>
      </c>
      <c r="I2">
        <f>BDH("WPC US Equity","BS_LT_BORROW","2016-06-30","2021-06-30","Per=Y","Days=T","Dir=V")</f>
        <v>0</v>
      </c>
      <c r="K2">
        <f>BDH("WPC US Equity","BS_CASH_NEAR_CASH_ITEM","2016-06-30","2021-06-30","Per=Y","Days=T","Dir=V")</f>
        <v>0</v>
      </c>
      <c r="M2">
        <f>BDH("WPC US Equity","BS_CUR_ASSET_REPORT","2016-06-30","2021-06-30","Per=Y","Days=T","Dir=V")</f>
        <v>0</v>
      </c>
      <c r="O2">
        <f>BDH("WPC US Equity","BS_CUR_LIAB","2016-06-30","2021-06-30","Per=Y","Days=T","Dir=V")</f>
        <v>0</v>
      </c>
      <c r="Q2">
        <f>BDH("WPC US Equity","BS_SHAREHOLDER_EQY_ENDING_PERIOD","2016-06-30","2021-06-30","Per=Y","Days=T","Dir=V")</f>
        <v>0</v>
      </c>
      <c r="S2">
        <f>BDH("WPC US Equity","BS_ACCT_NOTE_RCV","2016-06-30","2021-06-30","Per=Y","Days=T","Dir=V")</f>
        <v>0</v>
      </c>
      <c r="U2">
        <f>BDH("WPC US Equity","BS_INVENTORIES","2016-06-30","2021-06-30","Per=Y","Days=T","Dir=V")</f>
        <v>0</v>
      </c>
      <c r="W2">
        <f>BDH("WPC US Equity","WORKING_CAPITAL","2016-06-30","2021-06-30","Per=Y","Days=T","Dir=V")</f>
        <v>0</v>
      </c>
      <c r="Y2">
        <f>BDH("WPC US Equity","SALES_REV_TURN","2016-06-30","2021-06-30","Per=Y","Days=T","Dir=V")</f>
        <v>0</v>
      </c>
      <c r="AA2">
        <f>BDH("WPC US Equity","EBIT","2016-06-30","2021-06-30","Per=Y","Days=T","Dir=V")</f>
        <v>0</v>
      </c>
      <c r="AC2">
        <f>BDH("WPC US Equity","EBITDA","2016-06-30","2021-06-30","Per=Y","Days=T","Dir=V")</f>
        <v>0</v>
      </c>
      <c r="AE2">
        <f>BDH("WPC US Equity","NET_INCOME","2016-06-30","2021-06-30","Per=Y","Days=T","Dir=V")</f>
        <v>0</v>
      </c>
      <c r="AG2">
        <f>BDH("WPC US Equity","IS_INT_EXPENSE","2016-06-30","2021-06-30","Per=Y","Days=T","Dir=V")</f>
        <v>0</v>
      </c>
      <c r="AI2">
        <f>BDH("WPC US Equity","IS_DEPR_EXP","2016-06-30","2021-06-30","Per=Y","Days=T","Dir=V")</f>
        <v>0</v>
      </c>
      <c r="AK2">
        <f>BDH("WPC US Equity","CF_CASH_FROM_OPER","2016-06-30","2021-06-30","Per=Y","Days=T","Dir=V")</f>
        <v>0</v>
      </c>
      <c r="AM2">
        <f>BDH("WPC US Equity","CAPITAL_EXPEND","2016-06-30","2021-06-30","Per=Y","Days=T","Dir=V")</f>
        <v>0</v>
      </c>
      <c r="AO2">
        <f>BDH("WPC US Equity","CF_FREE_CASH_FLOW","2016-06-30","2021-06-30","Per=Y","Days=T","Dir=V")</f>
        <v>0</v>
      </c>
      <c r="AQ2">
        <f>BDH("WPC US Equity","PX_LAST","2016-06-30","2021-06-30","Per=M","Days=T","Dir=V")</f>
        <v>0</v>
      </c>
      <c r="AS2">
        <f>BDH("WPC US Equity","CUR_MKT_CAP","2016-06-30","2021-06-30","Per=M","Days=T","Dir=V")</f>
        <v>0</v>
      </c>
      <c r="AU2">
        <f>BDH("WPC US Equity","EQY_SH_OUT","2016-06-30","2021-06-30","Per=M","Days=T","Dir=V")</f>
        <v>0</v>
      </c>
      <c r="AW2">
        <f>BDH("WPC US Equity","BETA_RAW_OVERRIABLE","2016-06-30","2021-06-30","Per=M","Days=T","Dir=V")</f>
        <v>0</v>
      </c>
      <c r="AY2">
        <f>BDH("WPC US Equity","PX_VOLUME","2016-06-30","2021-06-30","Per=M","Days=T","Dir=V")</f>
        <v>0</v>
      </c>
      <c r="BA2">
        <f>BDH("WPC US Equity","TURNOVER","2016-06-30","2021-06-30","Per=M","Days=T","Dir=V")</f>
        <v>0</v>
      </c>
      <c r="BC2">
        <f>BDH("WPC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BDH("WY US Equity","BS_TOT_ASSET","2016-06-30","2021-06-30","Per=Y","Days=T","Dir=V")</f>
        <v>0</v>
      </c>
      <c r="C2">
        <f>BDH("WY US Equity","BS_TOT_LIAB2","2016-06-30","2021-06-30","Per=Y","Days=T","Dir=V")</f>
        <v>0</v>
      </c>
      <c r="E2">
        <f>BDH("WY US Equity","SHORT_AND_LONG_TERM_DEBT","2016-06-30","2021-06-30","Per=Y","Days=T","Dir=V")</f>
        <v>0</v>
      </c>
      <c r="G2">
        <f>BDH("WY US Equity","BS_ST_BORROW","2016-06-30","2021-06-30","Per=Y","Days=T","Dir=V")</f>
        <v>0</v>
      </c>
      <c r="I2">
        <f>BDH("WY US Equity","BS_LT_BORROW","2016-06-30","2021-06-30","Per=Y","Days=T","Dir=V")</f>
        <v>0</v>
      </c>
      <c r="K2">
        <f>BDH("WY US Equity","BS_CASH_NEAR_CASH_ITEM","2016-06-30","2021-06-30","Per=Y","Days=T","Dir=V")</f>
        <v>0</v>
      </c>
      <c r="M2">
        <f>BDH("WY US Equity","BS_CUR_ASSET_REPORT","2016-06-30","2021-06-30","Per=Y","Days=T","Dir=V")</f>
        <v>0</v>
      </c>
      <c r="O2">
        <f>BDH("WY US Equity","BS_CUR_LIAB","2016-06-30","2021-06-30","Per=Y","Days=T","Dir=V")</f>
        <v>0</v>
      </c>
      <c r="Q2">
        <f>BDH("WY US Equity","BS_SHAREHOLDER_EQY_ENDING_PERIOD","2016-06-30","2021-06-30","Per=Y","Days=T","Dir=V")</f>
        <v>0</v>
      </c>
      <c r="S2">
        <f>BDH("WY US Equity","BS_ACCT_NOTE_RCV","2016-06-30","2021-06-30","Per=Y","Days=T","Dir=V")</f>
        <v>0</v>
      </c>
      <c r="U2">
        <f>BDH("WY US Equity","BS_INVENTORIES","2016-06-30","2021-06-30","Per=Y","Days=T","Dir=V")</f>
        <v>0</v>
      </c>
      <c r="W2">
        <f>BDH("WY US Equity","WORKING_CAPITAL","2016-06-30","2021-06-30","Per=Y","Days=T","Dir=V")</f>
        <v>0</v>
      </c>
      <c r="Y2">
        <f>BDH("WY US Equity","SALES_REV_TURN","2016-06-30","2021-06-30","Per=Y","Days=T","Dir=V")</f>
        <v>0</v>
      </c>
      <c r="AA2">
        <f>BDH("WY US Equity","EBIT","2016-06-30","2021-06-30","Per=Y","Days=T","Dir=V")</f>
        <v>0</v>
      </c>
      <c r="AC2">
        <f>BDH("WY US Equity","EBITDA","2016-06-30","2021-06-30","Per=Y","Days=T","Dir=V")</f>
        <v>0</v>
      </c>
      <c r="AE2">
        <f>BDH("WY US Equity","NET_INCOME","2016-06-30","2021-06-30","Per=Y","Days=T","Dir=V")</f>
        <v>0</v>
      </c>
      <c r="AG2">
        <f>BDH("WY US Equity","IS_INT_EXPENSE","2016-06-30","2021-06-30","Per=Y","Days=T","Dir=V")</f>
        <v>0</v>
      </c>
      <c r="AI2">
        <f>BDH("WY US Equity","IS_DEPR_EXP","2016-06-30","2021-06-30","Per=Y","Days=T","Dir=V")</f>
        <v>0</v>
      </c>
      <c r="AK2">
        <f>BDH("WY US Equity","CF_CASH_FROM_OPER","2016-06-30","2021-06-30","Per=Y","Days=T","Dir=V")</f>
        <v>0</v>
      </c>
      <c r="AM2">
        <f>BDH("WY US Equity","CAPITAL_EXPEND","2016-06-30","2021-06-30","Per=Y","Days=T","Dir=V")</f>
        <v>0</v>
      </c>
      <c r="AO2">
        <f>BDH("WY US Equity","CF_FREE_CASH_FLOW","2016-06-30","2021-06-30","Per=Y","Days=T","Dir=V")</f>
        <v>0</v>
      </c>
      <c r="AQ2">
        <f>BDH("WY US Equity","PX_LAST","2016-06-30","2021-06-30","Per=M","Days=T","Dir=V")</f>
        <v>0</v>
      </c>
      <c r="AS2">
        <f>BDH("WY US Equity","CUR_MKT_CAP","2016-06-30","2021-06-30","Per=M","Days=T","Dir=V")</f>
        <v>0</v>
      </c>
      <c r="AU2">
        <f>BDH("WY US Equity","EQY_SH_OUT","2016-06-30","2021-06-30","Per=M","Days=T","Dir=V")</f>
        <v>0</v>
      </c>
      <c r="AW2">
        <f>BDH("WY US Equity","BETA_RAW_OVERRIABLE","2016-06-30","2021-06-30","Per=M","Days=T","Dir=V")</f>
        <v>0</v>
      </c>
      <c r="AY2">
        <f>BDH("WY US Equity","PX_VOLUME","2016-06-30","2021-06-30","Per=M","Days=T","Dir=V")</f>
        <v>0</v>
      </c>
      <c r="BA2">
        <f>BDH("WY US Equity","TURNOVER","2016-06-30","2021-06-30","Per=M","Days=T","Dir=V")</f>
        <v>0</v>
      </c>
      <c r="BC2">
        <f>BDH("WY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BDH("SMCI US Equity","BS_TOT_ASSET","2016-06-30","2021-06-30","Per=Y","Days=T","Dir=V")</f>
        <v>0</v>
      </c>
      <c r="C2">
        <f>BDH("SMCI US Equity","BS_TOT_LIAB2","2016-06-30","2021-06-30","Per=Y","Days=T","Dir=V")</f>
        <v>0</v>
      </c>
      <c r="E2">
        <f>BDH("SMCI US Equity","SHORT_AND_LONG_TERM_DEBT","2016-06-30","2021-06-30","Per=Y","Days=T","Dir=V")</f>
        <v>0</v>
      </c>
      <c r="G2">
        <f>BDH("SMCI US Equity","BS_ST_BORROW","2016-06-30","2021-06-30","Per=Y","Days=T","Dir=V")</f>
        <v>0</v>
      </c>
      <c r="I2">
        <f>BDH("SMCI US Equity","BS_LT_BORROW","2016-06-30","2021-06-30","Per=Y","Days=T","Dir=V")</f>
        <v>0</v>
      </c>
      <c r="K2">
        <f>BDH("SMCI US Equity","BS_CASH_NEAR_CASH_ITEM","2016-06-30","2021-06-30","Per=Y","Days=T","Dir=V")</f>
        <v>0</v>
      </c>
      <c r="M2">
        <f>BDH("SMCI US Equity","BS_CUR_ASSET_REPORT","2016-06-30","2021-06-30","Per=Y","Days=T","Dir=V")</f>
        <v>0</v>
      </c>
      <c r="O2">
        <f>BDH("SMCI US Equity","BS_CUR_LIAB","2016-06-30","2021-06-30","Per=Y","Days=T","Dir=V")</f>
        <v>0</v>
      </c>
      <c r="Q2">
        <f>BDH("SMCI US Equity","BS_SHAREHOLDER_EQY_ENDING_PERIOD","2016-06-30","2021-06-30","Per=Y","Days=T","Dir=V")</f>
        <v>0</v>
      </c>
      <c r="S2">
        <f>BDH("SMCI US Equity","BS_ACCT_NOTE_RCV","2016-06-30","2021-06-30","Per=Y","Days=T","Dir=V")</f>
        <v>0</v>
      </c>
      <c r="U2">
        <f>BDH("SMCI US Equity","BS_INVENTORIES","2016-06-30","2021-06-30","Per=Y","Days=T","Dir=V")</f>
        <v>0</v>
      </c>
      <c r="W2">
        <f>BDH("SMCI US Equity","WORKING_CAPITAL","2016-06-30","2021-06-30","Per=Y","Days=T","Dir=V")</f>
        <v>0</v>
      </c>
      <c r="Y2">
        <f>BDH("SMCI US Equity","SALES_REV_TURN","2016-06-30","2021-06-30","Per=Y","Days=T","Dir=V")</f>
        <v>0</v>
      </c>
      <c r="AA2">
        <f>BDH("SMCI US Equity","EBIT","2016-06-30","2021-06-30","Per=Y","Days=T","Dir=V")</f>
        <v>0</v>
      </c>
      <c r="AC2">
        <f>BDH("SMCI US Equity","EBITDA","2016-06-30","2021-06-30","Per=Y","Days=T","Dir=V")</f>
        <v>0</v>
      </c>
      <c r="AE2">
        <f>BDH("SMCI US Equity","NET_INCOME","2016-06-30","2021-06-30","Per=Y","Days=T","Dir=V")</f>
        <v>0</v>
      </c>
      <c r="AG2">
        <f>BDH("SMCI US Equity","IS_INT_EXPENSE","2016-06-30","2021-06-30","Per=Y","Days=T","Dir=V")</f>
        <v>0</v>
      </c>
      <c r="AI2">
        <f>BDH("SMCI US Equity","IS_DEPR_EXP","2016-06-30","2021-06-30","Per=Y","Days=T","Dir=V")</f>
        <v>0</v>
      </c>
      <c r="AK2">
        <f>BDH("SMCI US Equity","CF_CASH_FROM_OPER","2016-06-30","2021-06-30","Per=Y","Days=T","Dir=V")</f>
        <v>0</v>
      </c>
      <c r="AM2">
        <f>BDH("SMCI US Equity","CAPITAL_EXPEND","2016-06-30","2021-06-30","Per=Y","Days=T","Dir=V")</f>
        <v>0</v>
      </c>
      <c r="AO2">
        <f>BDH("SMCI US Equity","CF_FREE_CASH_FLOW","2016-06-30","2021-06-30","Per=Y","Days=T","Dir=V")</f>
        <v>0</v>
      </c>
      <c r="AQ2">
        <f>BDH("SMCI US Equity","PX_LAST","2016-06-30","2021-06-30","Per=M","Days=T","Dir=V")</f>
        <v>0</v>
      </c>
      <c r="AS2">
        <f>BDH("SMCI US Equity","CUR_MKT_CAP","2016-06-30","2021-06-30","Per=M","Days=T","Dir=V")</f>
        <v>0</v>
      </c>
      <c r="AU2">
        <f>BDH("SMCI US Equity","EQY_SH_OUT","2016-06-30","2021-06-30","Per=M","Days=T","Dir=V")</f>
        <v>0</v>
      </c>
      <c r="AW2">
        <f>BDH("SMCI US Equity","BETA_RAW_OVERRIABLE","2016-06-30","2021-06-30","Per=M","Days=T","Dir=V")</f>
        <v>0</v>
      </c>
      <c r="AY2">
        <f>BDH("SMCI US Equity","PX_VOLUME","2016-06-30","2021-06-30","Per=M","Days=T","Dir=V")</f>
        <v>0</v>
      </c>
      <c r="BA2">
        <f>BDH("SMCI US Equity","TURNOVER","2016-06-30","2021-06-30","Per=M","Days=T","Dir=V")</f>
        <v>0</v>
      </c>
      <c r="BC2">
        <f>BDH("SMCI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BDH("AUID US Equity","BS_TOT_ASSET","2016-06-30","2021-06-30","Per=Y","Days=T","Dir=V")</f>
        <v>0</v>
      </c>
      <c r="C2">
        <f>BDH("AUID US Equity","BS_TOT_LIAB2","2016-06-30","2021-06-30","Per=Y","Days=T","Dir=V")</f>
        <v>0</v>
      </c>
      <c r="E2">
        <f>BDH("AUID US Equity","SHORT_AND_LONG_TERM_DEBT","2016-06-30","2021-06-30","Per=Y","Days=T","Dir=V")</f>
        <v>0</v>
      </c>
      <c r="G2">
        <f>BDH("AUID US Equity","BS_ST_BORROW","2016-06-30","2021-06-30","Per=Y","Days=T","Dir=V")</f>
        <v>0</v>
      </c>
      <c r="I2">
        <f>BDH("AUID US Equity","BS_LT_BORROW","2016-06-30","2021-06-30","Per=Y","Days=T","Dir=V")</f>
        <v>0</v>
      </c>
      <c r="K2">
        <f>BDH("AUID US Equity","BS_CASH_NEAR_CASH_ITEM","2016-06-30","2021-06-30","Per=Y","Days=T","Dir=V")</f>
        <v>0</v>
      </c>
      <c r="M2">
        <f>BDH("AUID US Equity","BS_CUR_ASSET_REPORT","2016-06-30","2021-06-30","Per=Y","Days=T","Dir=V")</f>
        <v>0</v>
      </c>
      <c r="O2">
        <f>BDH("AUID US Equity","BS_CUR_LIAB","2016-06-30","2021-06-30","Per=Y","Days=T","Dir=V")</f>
        <v>0</v>
      </c>
      <c r="Q2">
        <f>BDH("AUID US Equity","BS_SHAREHOLDER_EQY_ENDING_PERIOD","2016-06-30","2021-06-30","Per=Y","Days=T","Dir=V")</f>
        <v>0</v>
      </c>
      <c r="S2">
        <f>BDH("AUID US Equity","BS_ACCT_NOTE_RCV","2016-06-30","2021-06-30","Per=Y","Days=T","Dir=V")</f>
        <v>0</v>
      </c>
      <c r="U2">
        <f>BDH("AUID US Equity","BS_INVENTORIES","2016-06-30","2021-06-30","Per=Y","Days=T","Dir=V")</f>
        <v>0</v>
      </c>
      <c r="W2">
        <f>BDH("AUID US Equity","WORKING_CAPITAL","2016-06-30","2021-06-30","Per=Y","Days=T","Dir=V")</f>
        <v>0</v>
      </c>
      <c r="Y2">
        <f>BDH("AUID US Equity","SALES_REV_TURN","2016-06-30","2021-06-30","Per=Y","Days=T","Dir=V")</f>
        <v>0</v>
      </c>
      <c r="AA2">
        <f>BDH("AUID US Equity","EBIT","2016-06-30","2021-06-30","Per=Y","Days=T","Dir=V")</f>
        <v>0</v>
      </c>
      <c r="AC2">
        <f>BDH("AUID US Equity","EBITDA","2016-06-30","2021-06-30","Per=Y","Days=T","Dir=V")</f>
        <v>0</v>
      </c>
      <c r="AE2">
        <f>BDH("AUID US Equity","NET_INCOME","2016-06-30","2021-06-30","Per=Y","Days=T","Dir=V")</f>
        <v>0</v>
      </c>
      <c r="AG2">
        <f>BDH("AUID US Equity","IS_INT_EXPENSE","2016-06-30","2021-06-30","Per=Y","Days=T","Dir=V")</f>
        <v>0</v>
      </c>
      <c r="AI2">
        <f>BDH("AUID US Equity","IS_DEPR_EXP","2016-06-30","2021-06-30","Per=Y","Days=T","Dir=V")</f>
        <v>0</v>
      </c>
      <c r="AK2">
        <f>BDH("AUID US Equity","CF_CASH_FROM_OPER","2016-06-30","2021-06-30","Per=Y","Days=T","Dir=V")</f>
        <v>0</v>
      </c>
      <c r="AM2">
        <f>BDH("AUID US Equity","CAPITAL_EXPEND","2016-06-30","2021-06-30","Per=Y","Days=T","Dir=V")</f>
        <v>0</v>
      </c>
      <c r="AO2">
        <f>BDH("AUID US Equity","CF_FREE_CASH_FLOW","2016-06-30","2021-06-30","Per=Y","Days=T","Dir=V")</f>
        <v>0</v>
      </c>
      <c r="AQ2">
        <f>BDH("AUID US Equity","PX_LAST","2016-06-30","2021-06-30","Per=M","Days=T","Dir=V")</f>
        <v>0</v>
      </c>
      <c r="AS2">
        <f>BDH("AUID US Equity","CUR_MKT_CAP","2016-06-30","2021-06-30","Per=M","Days=T","Dir=V")</f>
        <v>0</v>
      </c>
      <c r="AU2">
        <f>BDH("AUID US Equity","EQY_SH_OUT","2016-06-30","2021-06-30","Per=M","Days=T","Dir=V")</f>
        <v>0</v>
      </c>
      <c r="AW2">
        <f>BDH("AUID US Equity","BETA_RAW_OVERRIABLE","2016-06-30","2021-06-30","Per=M","Days=T","Dir=V")</f>
        <v>0</v>
      </c>
      <c r="AY2">
        <f>BDH("AUID US Equity","PX_VOLUME","2016-06-30","2021-06-30","Per=M","Days=T","Dir=V")</f>
        <v>0</v>
      </c>
      <c r="BA2">
        <f>BDH("AUID US Equity","TURNOVER","2016-06-30","2021-06-30","Per=M","Days=T","Dir=V")</f>
        <v>0</v>
      </c>
      <c r="BC2">
        <f>BDH("AUID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BDH("BAND US Equity","BS_TOT_ASSET","2016-06-30","2021-06-30","Per=Y","Days=T","Dir=V")</f>
        <v>0</v>
      </c>
      <c r="C2">
        <f>BDH("BAND US Equity","BS_TOT_LIAB2","2016-06-30","2021-06-30","Per=Y","Days=T","Dir=V")</f>
        <v>0</v>
      </c>
      <c r="E2">
        <f>BDH("BAND US Equity","SHORT_AND_LONG_TERM_DEBT","2016-06-30","2021-06-30","Per=Y","Days=T","Dir=V")</f>
        <v>0</v>
      </c>
      <c r="G2">
        <f>BDH("BAND US Equity","BS_ST_BORROW","2016-06-30","2021-06-30","Per=Y","Days=T","Dir=V")</f>
        <v>0</v>
      </c>
      <c r="I2">
        <f>BDH("BAND US Equity","BS_LT_BORROW","2016-06-30","2021-06-30","Per=Y","Days=T","Dir=V")</f>
        <v>0</v>
      </c>
      <c r="K2">
        <f>BDH("BAND US Equity","BS_CASH_NEAR_CASH_ITEM","2016-06-30","2021-06-30","Per=Y","Days=T","Dir=V")</f>
        <v>0</v>
      </c>
      <c r="M2">
        <f>BDH("BAND US Equity","BS_CUR_ASSET_REPORT","2016-06-30","2021-06-30","Per=Y","Days=T","Dir=V")</f>
        <v>0</v>
      </c>
      <c r="O2">
        <f>BDH("BAND US Equity","BS_CUR_LIAB","2016-06-30","2021-06-30","Per=Y","Days=T","Dir=V")</f>
        <v>0</v>
      </c>
      <c r="Q2">
        <f>BDH("BAND US Equity","BS_SHAREHOLDER_EQY_ENDING_PERIOD","2016-06-30","2021-06-30","Per=Y","Days=T","Dir=V")</f>
        <v>0</v>
      </c>
      <c r="S2">
        <f>BDH("BAND US Equity","BS_ACCT_NOTE_RCV","2016-06-30","2021-06-30","Per=Y","Days=T","Dir=V")</f>
        <v>0</v>
      </c>
      <c r="U2">
        <f>BDH("BAND US Equity","BS_INVENTORIES","2016-06-30","2021-06-30","Per=Y","Days=T","Dir=V")</f>
        <v>0</v>
      </c>
      <c r="W2">
        <f>BDH("BAND US Equity","WORKING_CAPITAL","2016-06-30","2021-06-30","Per=Y","Days=T","Dir=V")</f>
        <v>0</v>
      </c>
      <c r="Y2">
        <f>BDH("BAND US Equity","SALES_REV_TURN","2016-06-30","2021-06-30","Per=Y","Days=T","Dir=V")</f>
        <v>0</v>
      </c>
      <c r="AA2">
        <f>BDH("BAND US Equity","EBIT","2016-06-30","2021-06-30","Per=Y","Days=T","Dir=V")</f>
        <v>0</v>
      </c>
      <c r="AC2">
        <f>BDH("BAND US Equity","EBITDA","2016-06-30","2021-06-30","Per=Y","Days=T","Dir=V")</f>
        <v>0</v>
      </c>
      <c r="AE2">
        <f>BDH("BAND US Equity","NET_INCOME","2016-06-30","2021-06-30","Per=Y","Days=T","Dir=V")</f>
        <v>0</v>
      </c>
      <c r="AG2">
        <f>BDH("BAND US Equity","IS_INT_EXPENSE","2016-06-30","2021-06-30","Per=Y","Days=T","Dir=V")</f>
        <v>0</v>
      </c>
      <c r="AI2">
        <f>BDH("BAND US Equity","IS_DEPR_EXP","2016-06-30","2021-06-30","Per=Y","Days=T","Dir=V")</f>
        <v>0</v>
      </c>
      <c r="AK2">
        <f>BDH("BAND US Equity","CF_CASH_FROM_OPER","2016-06-30","2021-06-30","Per=Y","Days=T","Dir=V")</f>
        <v>0</v>
      </c>
      <c r="AM2">
        <f>BDH("BAND US Equity","CAPITAL_EXPEND","2016-06-30","2021-06-30","Per=Y","Days=T","Dir=V")</f>
        <v>0</v>
      </c>
      <c r="AO2">
        <f>BDH("BAND US Equity","CF_FREE_CASH_FLOW","2016-06-30","2021-06-30","Per=Y","Days=T","Dir=V")</f>
        <v>0</v>
      </c>
      <c r="AQ2">
        <f>BDH("BAND US Equity","PX_LAST","2016-06-30","2021-06-30","Per=M","Days=T","Dir=V")</f>
        <v>0</v>
      </c>
      <c r="AS2">
        <f>BDH("BAND US Equity","CUR_MKT_CAP","2016-06-30","2021-06-30","Per=M","Days=T","Dir=V")</f>
        <v>0</v>
      </c>
      <c r="AU2">
        <f>BDH("BAND US Equity","EQY_SH_OUT","2016-06-30","2021-06-30","Per=M","Days=T","Dir=V")</f>
        <v>0</v>
      </c>
      <c r="AW2">
        <f>BDH("BAND US Equity","BETA_RAW_OVERRIABLE","2016-06-30","2021-06-30","Per=M","Days=T","Dir=V")</f>
        <v>0</v>
      </c>
      <c r="AY2">
        <f>BDH("BAND US Equity","PX_VOLUME","2016-06-30","2021-06-30","Per=M","Days=T","Dir=V")</f>
        <v>0</v>
      </c>
      <c r="BA2">
        <f>BDH("BAND US Equity","TURNOVER","2016-06-30","2021-06-30","Per=M","Days=T","Dir=V")</f>
        <v>0</v>
      </c>
      <c r="BC2">
        <f>BDH("BAND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BDH("BLIN US Equity","BS_TOT_ASSET","2016-06-30","2021-06-30","Per=Y","Days=T","Dir=V")</f>
        <v>0</v>
      </c>
      <c r="C2">
        <f>BDH("BLIN US Equity","BS_TOT_LIAB2","2016-06-30","2021-06-30","Per=Y","Days=T","Dir=V")</f>
        <v>0</v>
      </c>
      <c r="E2">
        <f>BDH("BLIN US Equity","SHORT_AND_LONG_TERM_DEBT","2016-06-30","2021-06-30","Per=Y","Days=T","Dir=V")</f>
        <v>0</v>
      </c>
      <c r="G2">
        <f>BDH("BLIN US Equity","BS_ST_BORROW","2016-06-30","2021-06-30","Per=Y","Days=T","Dir=V")</f>
        <v>0</v>
      </c>
      <c r="I2">
        <f>BDH("BLIN US Equity","BS_LT_BORROW","2016-06-30","2021-06-30","Per=Y","Days=T","Dir=V")</f>
        <v>0</v>
      </c>
      <c r="K2">
        <f>BDH("BLIN US Equity","BS_CASH_NEAR_CASH_ITEM","2016-06-30","2021-06-30","Per=Y","Days=T","Dir=V")</f>
        <v>0</v>
      </c>
      <c r="M2">
        <f>BDH("BLIN US Equity","BS_CUR_ASSET_REPORT","2016-06-30","2021-06-30","Per=Y","Days=T","Dir=V")</f>
        <v>0</v>
      </c>
      <c r="O2">
        <f>BDH("BLIN US Equity","BS_CUR_LIAB","2016-06-30","2021-06-30","Per=Y","Days=T","Dir=V")</f>
        <v>0</v>
      </c>
      <c r="Q2">
        <f>BDH("BLIN US Equity","BS_SHAREHOLDER_EQY_ENDING_PERIOD","2016-06-30","2021-06-30","Per=Y","Days=T","Dir=V")</f>
        <v>0</v>
      </c>
      <c r="S2">
        <f>BDH("BLIN US Equity","BS_ACCT_NOTE_RCV","2016-06-30","2021-06-30","Per=Y","Days=T","Dir=V")</f>
        <v>0</v>
      </c>
      <c r="U2">
        <f>BDH("BLIN US Equity","BS_INVENTORIES","2016-06-30","2021-06-30","Per=Y","Days=T","Dir=V")</f>
        <v>0</v>
      </c>
      <c r="W2">
        <f>BDH("BLIN US Equity","WORKING_CAPITAL","2016-06-30","2021-06-30","Per=Y","Days=T","Dir=V")</f>
        <v>0</v>
      </c>
      <c r="Y2">
        <f>BDH("BLIN US Equity","SALES_REV_TURN","2016-06-30","2021-06-30","Per=Y","Days=T","Dir=V")</f>
        <v>0</v>
      </c>
      <c r="AA2">
        <f>BDH("BLIN US Equity","EBIT","2016-06-30","2021-06-30","Per=Y","Days=T","Dir=V")</f>
        <v>0</v>
      </c>
      <c r="AC2">
        <f>BDH("BLIN US Equity","EBITDA","2016-06-30","2021-06-30","Per=Y","Days=T","Dir=V")</f>
        <v>0</v>
      </c>
      <c r="AE2">
        <f>BDH("BLIN US Equity","NET_INCOME","2016-06-30","2021-06-30","Per=Y","Days=T","Dir=V")</f>
        <v>0</v>
      </c>
      <c r="AG2">
        <f>BDH("BLIN US Equity","IS_INT_EXPENSE","2016-06-30","2021-06-30","Per=Y","Days=T","Dir=V")</f>
        <v>0</v>
      </c>
      <c r="AI2">
        <f>BDH("BLIN US Equity","IS_DEPR_EXP","2016-06-30","2021-06-30","Per=Y","Days=T","Dir=V")</f>
        <v>0</v>
      </c>
      <c r="AK2">
        <f>BDH("BLIN US Equity","CF_CASH_FROM_OPER","2016-06-30","2021-06-30","Per=Y","Days=T","Dir=V")</f>
        <v>0</v>
      </c>
      <c r="AM2">
        <f>BDH("BLIN US Equity","CAPITAL_EXPEND","2016-06-30","2021-06-30","Per=Y","Days=T","Dir=V")</f>
        <v>0</v>
      </c>
      <c r="AO2">
        <f>BDH("BLIN US Equity","CF_FREE_CASH_FLOW","2016-06-30","2021-06-30","Per=Y","Days=T","Dir=V")</f>
        <v>0</v>
      </c>
      <c r="AQ2">
        <f>BDH("BLIN US Equity","PX_LAST","2016-06-30","2021-06-30","Per=M","Days=T","Dir=V")</f>
        <v>0</v>
      </c>
      <c r="AS2">
        <f>BDH("BLIN US Equity","CUR_MKT_CAP","2016-06-30","2021-06-30","Per=M","Days=T","Dir=V")</f>
        <v>0</v>
      </c>
      <c r="AU2">
        <f>BDH("BLIN US Equity","EQY_SH_OUT","2016-06-30","2021-06-30","Per=M","Days=T","Dir=V")</f>
        <v>0</v>
      </c>
      <c r="AW2">
        <f>BDH("BLIN US Equity","BETA_RAW_OVERRIABLE","2016-06-30","2021-06-30","Per=M","Days=T","Dir=V")</f>
        <v>0</v>
      </c>
      <c r="AY2">
        <f>BDH("BLIN US Equity","PX_VOLUME","2016-06-30","2021-06-30","Per=M","Days=T","Dir=V")</f>
        <v>0</v>
      </c>
      <c r="BA2">
        <f>BDH("BLIN US Equity","TURNOVER","2016-06-30","2021-06-30","Per=M","Days=T","Dir=V")</f>
        <v>0</v>
      </c>
      <c r="BC2">
        <f>BDH("BLIN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BDH("CCC US Equity","BS_TOT_ASSET","2016-06-30","2021-06-30","Per=Y","Days=T","Dir=V")</f>
        <v>0</v>
      </c>
      <c r="C2">
        <f>BDH("CCC US Equity","BS_TOT_LIAB2","2016-06-30","2021-06-30","Per=Y","Days=T","Dir=V")</f>
        <v>0</v>
      </c>
      <c r="E2">
        <f>BDH("CCC US Equity","SHORT_AND_LONG_TERM_DEBT","2016-06-30","2021-06-30","Per=Y","Days=T","Dir=V")</f>
        <v>0</v>
      </c>
      <c r="G2">
        <f>BDH("CCC US Equity","BS_ST_BORROW","2016-06-30","2021-06-30","Per=Y","Days=T","Dir=V")</f>
        <v>0</v>
      </c>
      <c r="I2">
        <f>BDH("CCC US Equity","BS_LT_BORROW","2016-06-30","2021-06-30","Per=Y","Days=T","Dir=V")</f>
        <v>0</v>
      </c>
      <c r="K2">
        <f>BDH("CCC US Equity","BS_CASH_NEAR_CASH_ITEM","2016-06-30","2021-06-30","Per=Y","Days=T","Dir=V")</f>
        <v>0</v>
      </c>
      <c r="M2">
        <f>BDH("CCC US Equity","BS_CUR_ASSET_REPORT","2016-06-30","2021-06-30","Per=Y","Days=T","Dir=V")</f>
        <v>0</v>
      </c>
      <c r="O2">
        <f>BDH("CCC US Equity","BS_CUR_LIAB","2016-06-30","2021-06-30","Per=Y","Days=T","Dir=V")</f>
        <v>0</v>
      </c>
      <c r="Q2">
        <f>BDH("CCC US Equity","BS_SHAREHOLDER_EQY_ENDING_PERIOD","2016-06-30","2021-06-30","Per=Y","Days=T","Dir=V")</f>
        <v>0</v>
      </c>
      <c r="S2">
        <f>BDH("CCC US Equity","BS_ACCT_NOTE_RCV","2016-06-30","2021-06-30","Per=Y","Days=T","Dir=V")</f>
        <v>0</v>
      </c>
      <c r="U2">
        <f>BDH("CCC US Equity","BS_INVENTORIES","2016-06-30","2021-06-30","Per=Y","Days=T","Dir=V")</f>
        <v>0</v>
      </c>
      <c r="W2">
        <f>BDH("CCC US Equity","WORKING_CAPITAL","2016-06-30","2021-06-30","Per=Y","Days=T","Dir=V")</f>
        <v>0</v>
      </c>
      <c r="Y2">
        <f>BDH("CCC US Equity","SALES_REV_TURN","2016-06-30","2021-06-30","Per=Y","Days=T","Dir=V")</f>
        <v>0</v>
      </c>
      <c r="AA2">
        <f>BDH("CCC US Equity","EBIT","2016-06-30","2021-06-30","Per=Y","Days=T","Dir=V")</f>
        <v>0</v>
      </c>
      <c r="AC2">
        <f>BDH("CCC US Equity","EBITDA","2016-06-30","2021-06-30","Per=Y","Days=T","Dir=V")</f>
        <v>0</v>
      </c>
      <c r="AE2">
        <f>BDH("CCC US Equity","NET_INCOME","2016-06-30","2021-06-30","Per=Y","Days=T","Dir=V")</f>
        <v>0</v>
      </c>
      <c r="AG2">
        <f>BDH("CCC US Equity","IS_INT_EXPENSE","2016-06-30","2021-06-30","Per=Y","Days=T","Dir=V")</f>
        <v>0</v>
      </c>
      <c r="AI2">
        <f>BDH("CCC US Equity","IS_DEPR_EXP","2016-06-30","2021-06-30","Per=Y","Days=T","Dir=V")</f>
        <v>0</v>
      </c>
      <c r="AK2">
        <f>BDH("CCC US Equity","CF_CASH_FROM_OPER","2016-06-30","2021-06-30","Per=Y","Days=T","Dir=V")</f>
        <v>0</v>
      </c>
      <c r="AM2">
        <f>BDH("CCC US Equity","CAPITAL_EXPEND","2016-06-30","2021-06-30","Per=Y","Days=T","Dir=V")</f>
        <v>0</v>
      </c>
      <c r="AO2">
        <f>BDH("CCC US Equity","CF_FREE_CASH_FLOW","2016-06-30","2021-06-30","Per=Y","Days=T","Dir=V")</f>
        <v>0</v>
      </c>
      <c r="AQ2">
        <f>BDH("CCC US Equity","PX_LAST","2016-06-30","2021-06-30","Per=M","Days=T","Dir=V")</f>
        <v>0</v>
      </c>
      <c r="AS2">
        <f>BDH("CCC US Equity","CUR_MKT_CAP","2016-06-30","2021-06-30","Per=M","Days=T","Dir=V")</f>
        <v>0</v>
      </c>
      <c r="AU2">
        <f>BDH("CCC US Equity","EQY_SH_OUT","2016-06-30","2021-06-30","Per=M","Days=T","Dir=V")</f>
        <v>0</v>
      </c>
      <c r="AW2">
        <f>BDH("CCC US Equity","BETA_RAW_OVERRIABLE","2016-06-30","2021-06-30","Per=M","Days=T","Dir=V")</f>
        <v>0</v>
      </c>
      <c r="AY2">
        <f>BDH("CCC US Equity","PX_VOLUME","2016-06-30","2021-06-30","Per=M","Days=T","Dir=V")</f>
        <v>0</v>
      </c>
      <c r="BA2">
        <f>BDH("CCC US Equity","TURNOVER","2016-06-30","2021-06-30","Per=M","Days=T","Dir=V")</f>
        <v>0</v>
      </c>
      <c r="BC2">
        <f>BDH("CCC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BDH("CRWV US Equity","BS_TOT_ASSET","2016-06-30","2021-06-30","Per=Y","Days=T","Dir=V")</f>
        <v>0</v>
      </c>
      <c r="C2">
        <f>BDH("CRWV US Equity","BS_TOT_LIAB2","2016-06-30","2021-06-30","Per=Y","Days=T","Dir=V")</f>
        <v>0</v>
      </c>
      <c r="E2">
        <f>BDH("CRWV US Equity","SHORT_AND_LONG_TERM_DEBT","2016-06-30","2021-06-30","Per=Y","Days=T","Dir=V")</f>
        <v>0</v>
      </c>
      <c r="G2">
        <f>BDH("CRWV US Equity","BS_ST_BORROW","2016-06-30","2021-06-30","Per=Y","Days=T","Dir=V")</f>
        <v>0</v>
      </c>
      <c r="I2">
        <f>BDH("CRWV US Equity","BS_LT_BORROW","2016-06-30","2021-06-30","Per=Y","Days=T","Dir=V")</f>
        <v>0</v>
      </c>
      <c r="K2">
        <f>BDH("CRWV US Equity","BS_CASH_NEAR_CASH_ITEM","2016-06-30","2021-06-30","Per=Y","Days=T","Dir=V")</f>
        <v>0</v>
      </c>
      <c r="M2">
        <f>BDH("CRWV US Equity","BS_CUR_ASSET_REPORT","2016-06-30","2021-06-30","Per=Y","Days=T","Dir=V")</f>
        <v>0</v>
      </c>
      <c r="O2">
        <f>BDH("CRWV US Equity","BS_CUR_LIAB","2016-06-30","2021-06-30","Per=Y","Days=T","Dir=V")</f>
        <v>0</v>
      </c>
      <c r="Q2">
        <f>BDH("CRWV US Equity","BS_SHAREHOLDER_EQY_ENDING_PERIOD","2016-06-30","2021-06-30","Per=Y","Days=T","Dir=V")</f>
        <v>0</v>
      </c>
      <c r="S2">
        <f>BDH("CRWV US Equity","BS_ACCT_NOTE_RCV","2016-06-30","2021-06-30","Per=Y","Days=T","Dir=V")</f>
        <v>0</v>
      </c>
      <c r="U2">
        <f>BDH("CRWV US Equity","BS_INVENTORIES","2016-06-30","2021-06-30","Per=Y","Days=T","Dir=V")</f>
        <v>0</v>
      </c>
      <c r="W2">
        <f>BDH("CRWV US Equity","WORKING_CAPITAL","2016-06-30","2021-06-30","Per=Y","Days=T","Dir=V")</f>
        <v>0</v>
      </c>
      <c r="Y2">
        <f>BDH("CRWV US Equity","SALES_REV_TURN","2016-06-30","2021-06-30","Per=Y","Days=T","Dir=V")</f>
        <v>0</v>
      </c>
      <c r="AA2">
        <f>BDH("CRWV US Equity","EBIT","2016-06-30","2021-06-30","Per=Y","Days=T","Dir=V")</f>
        <v>0</v>
      </c>
      <c r="AC2">
        <f>BDH("CRWV US Equity","EBITDA","2016-06-30","2021-06-30","Per=Y","Days=T","Dir=V")</f>
        <v>0</v>
      </c>
      <c r="AE2">
        <f>BDH("CRWV US Equity","NET_INCOME","2016-06-30","2021-06-30","Per=Y","Days=T","Dir=V")</f>
        <v>0</v>
      </c>
      <c r="AG2">
        <f>BDH("CRWV US Equity","IS_INT_EXPENSE","2016-06-30","2021-06-30","Per=Y","Days=T","Dir=V")</f>
        <v>0</v>
      </c>
      <c r="AI2">
        <f>BDH("CRWV US Equity","IS_DEPR_EXP","2016-06-30","2021-06-30","Per=Y","Days=T","Dir=V")</f>
        <v>0</v>
      </c>
      <c r="AK2">
        <f>BDH("CRWV US Equity","CF_CASH_FROM_OPER","2016-06-30","2021-06-30","Per=Y","Days=T","Dir=V")</f>
        <v>0</v>
      </c>
      <c r="AM2">
        <f>BDH("CRWV US Equity","CAPITAL_EXPEND","2016-06-30","2021-06-30","Per=Y","Days=T","Dir=V")</f>
        <v>0</v>
      </c>
      <c r="AO2">
        <f>BDH("CRWV US Equity","CF_FREE_CASH_FLOW","2016-06-30","2021-06-30","Per=Y","Days=T","Dir=V")</f>
        <v>0</v>
      </c>
      <c r="AQ2">
        <f>BDH("CRWV US Equity","PX_LAST","2016-06-30","2021-06-30","Per=M","Days=T","Dir=V")</f>
        <v>0</v>
      </c>
      <c r="AS2">
        <f>BDH("CRWV US Equity","CUR_MKT_CAP","2016-06-30","2021-06-30","Per=M","Days=T","Dir=V")</f>
        <v>0</v>
      </c>
      <c r="AU2">
        <f>BDH("CRWV US Equity","EQY_SH_OUT","2016-06-30","2021-06-30","Per=M","Days=T","Dir=V")</f>
        <v>0</v>
      </c>
      <c r="AW2">
        <f>BDH("CRWV US Equity","BETA_RAW_OVERRIABLE","2016-06-30","2021-06-30","Per=M","Days=T","Dir=V")</f>
        <v>0</v>
      </c>
      <c r="AY2">
        <f>BDH("CRWV US Equity","PX_VOLUME","2016-06-30","2021-06-30","Per=M","Days=T","Dir=V")</f>
        <v>0</v>
      </c>
      <c r="BA2">
        <f>BDH("CRWV US Equity","TURNOVER","2016-06-30","2021-06-30","Per=M","Days=T","Dir=V")</f>
        <v>0</v>
      </c>
      <c r="BC2">
        <f>BDH("CRWV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BDH("DDD US Equity","BS_TOT_ASSET","2016-06-30","2021-06-30","Per=Y","Days=T","Dir=V")</f>
        <v>0</v>
      </c>
      <c r="C2">
        <f>BDH("DDD US Equity","BS_TOT_LIAB2","2016-06-30","2021-06-30","Per=Y","Days=T","Dir=V")</f>
        <v>0</v>
      </c>
      <c r="E2">
        <f>BDH("DDD US Equity","SHORT_AND_LONG_TERM_DEBT","2016-06-30","2021-06-30","Per=Y","Days=T","Dir=V")</f>
        <v>0</v>
      </c>
      <c r="G2">
        <f>BDH("DDD US Equity","BS_ST_BORROW","2016-06-30","2021-06-30","Per=Y","Days=T","Dir=V")</f>
        <v>0</v>
      </c>
      <c r="I2">
        <f>BDH("DDD US Equity","BS_LT_BORROW","2016-06-30","2021-06-30","Per=Y","Days=T","Dir=V")</f>
        <v>0</v>
      </c>
      <c r="K2">
        <f>BDH("DDD US Equity","BS_CASH_NEAR_CASH_ITEM","2016-06-30","2021-06-30","Per=Y","Days=T","Dir=V")</f>
        <v>0</v>
      </c>
      <c r="M2">
        <f>BDH("DDD US Equity","BS_CUR_ASSET_REPORT","2016-06-30","2021-06-30","Per=Y","Days=T","Dir=V")</f>
        <v>0</v>
      </c>
      <c r="O2">
        <f>BDH("DDD US Equity","BS_CUR_LIAB","2016-06-30","2021-06-30","Per=Y","Days=T","Dir=V")</f>
        <v>0</v>
      </c>
      <c r="Q2">
        <f>BDH("DDD US Equity","BS_SHAREHOLDER_EQY_ENDING_PERIOD","2016-06-30","2021-06-30","Per=Y","Days=T","Dir=V")</f>
        <v>0</v>
      </c>
      <c r="S2">
        <f>BDH("DDD US Equity","BS_ACCT_NOTE_RCV","2016-06-30","2021-06-30","Per=Y","Days=T","Dir=V")</f>
        <v>0</v>
      </c>
      <c r="U2">
        <f>BDH("DDD US Equity","BS_INVENTORIES","2016-06-30","2021-06-30","Per=Y","Days=T","Dir=V")</f>
        <v>0</v>
      </c>
      <c r="W2">
        <f>BDH("DDD US Equity","WORKING_CAPITAL","2016-06-30","2021-06-30","Per=Y","Days=T","Dir=V")</f>
        <v>0</v>
      </c>
      <c r="Y2">
        <f>BDH("DDD US Equity","SALES_REV_TURN","2016-06-30","2021-06-30","Per=Y","Days=T","Dir=V")</f>
        <v>0</v>
      </c>
      <c r="AA2">
        <f>BDH("DDD US Equity","EBIT","2016-06-30","2021-06-30","Per=Y","Days=T","Dir=V")</f>
        <v>0</v>
      </c>
      <c r="AC2">
        <f>BDH("DDD US Equity","EBITDA","2016-06-30","2021-06-30","Per=Y","Days=T","Dir=V")</f>
        <v>0</v>
      </c>
      <c r="AE2">
        <f>BDH("DDD US Equity","NET_INCOME","2016-06-30","2021-06-30","Per=Y","Days=T","Dir=V")</f>
        <v>0</v>
      </c>
      <c r="AG2">
        <f>BDH("DDD US Equity","IS_INT_EXPENSE","2016-06-30","2021-06-30","Per=Y","Days=T","Dir=V")</f>
        <v>0</v>
      </c>
      <c r="AI2">
        <f>BDH("DDD US Equity","IS_DEPR_EXP","2016-06-30","2021-06-30","Per=Y","Days=T","Dir=V")</f>
        <v>0</v>
      </c>
      <c r="AK2">
        <f>BDH("DDD US Equity","CF_CASH_FROM_OPER","2016-06-30","2021-06-30","Per=Y","Days=T","Dir=V")</f>
        <v>0</v>
      </c>
      <c r="AM2">
        <f>BDH("DDD US Equity","CAPITAL_EXPEND","2016-06-30","2021-06-30","Per=Y","Days=T","Dir=V")</f>
        <v>0</v>
      </c>
      <c r="AO2">
        <f>BDH("DDD US Equity","CF_FREE_CASH_FLOW","2016-06-30","2021-06-30","Per=Y","Days=T","Dir=V")</f>
        <v>0</v>
      </c>
      <c r="AQ2">
        <f>BDH("DDD US Equity","PX_LAST","2016-06-30","2021-06-30","Per=M","Days=T","Dir=V")</f>
        <v>0</v>
      </c>
      <c r="AS2">
        <f>BDH("DDD US Equity","CUR_MKT_CAP","2016-06-30","2021-06-30","Per=M","Days=T","Dir=V")</f>
        <v>0</v>
      </c>
      <c r="AU2">
        <f>BDH("DDD US Equity","EQY_SH_OUT","2016-06-30","2021-06-30","Per=M","Days=T","Dir=V")</f>
        <v>0</v>
      </c>
      <c r="AW2">
        <f>BDH("DDD US Equity","BETA_RAW_OVERRIABLE","2016-06-30","2021-06-30","Per=M","Days=T","Dir=V")</f>
        <v>0</v>
      </c>
      <c r="AY2">
        <f>BDH("DDD US Equity","PX_VOLUME","2016-06-30","2021-06-30","Per=M","Days=T","Dir=V")</f>
        <v>0</v>
      </c>
      <c r="BA2">
        <f>BDH("DDD US Equity","TURNOVER","2016-06-30","2021-06-30","Per=M","Days=T","Dir=V")</f>
        <v>0</v>
      </c>
      <c r="BC2">
        <f>BDH("DDD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BDH("GEN US Equity","BS_TOT_ASSET","2016-06-30","2021-06-30","Per=Y","Days=T","Dir=V")</f>
        <v>0</v>
      </c>
      <c r="C2">
        <f>BDH("GEN US Equity","BS_TOT_LIAB2","2016-06-30","2021-06-30","Per=Y","Days=T","Dir=V")</f>
        <v>0</v>
      </c>
      <c r="E2">
        <f>BDH("GEN US Equity","SHORT_AND_LONG_TERM_DEBT","2016-06-30","2021-06-30","Per=Y","Days=T","Dir=V")</f>
        <v>0</v>
      </c>
      <c r="G2">
        <f>BDH("GEN US Equity","BS_ST_BORROW","2016-06-30","2021-06-30","Per=Y","Days=T","Dir=V")</f>
        <v>0</v>
      </c>
      <c r="I2">
        <f>BDH("GEN US Equity","BS_LT_BORROW","2016-06-30","2021-06-30","Per=Y","Days=T","Dir=V")</f>
        <v>0</v>
      </c>
      <c r="K2">
        <f>BDH("GEN US Equity","BS_CASH_NEAR_CASH_ITEM","2016-06-30","2021-06-30","Per=Y","Days=T","Dir=V")</f>
        <v>0</v>
      </c>
      <c r="M2">
        <f>BDH("GEN US Equity","BS_CUR_ASSET_REPORT","2016-06-30","2021-06-30","Per=Y","Days=T","Dir=V")</f>
        <v>0</v>
      </c>
      <c r="O2">
        <f>BDH("GEN US Equity","BS_CUR_LIAB","2016-06-30","2021-06-30","Per=Y","Days=T","Dir=V")</f>
        <v>0</v>
      </c>
      <c r="Q2">
        <f>BDH("GEN US Equity","BS_SHAREHOLDER_EQY_ENDING_PERIOD","2016-06-30","2021-06-30","Per=Y","Days=T","Dir=V")</f>
        <v>0</v>
      </c>
      <c r="S2">
        <f>BDH("GEN US Equity","BS_ACCT_NOTE_RCV","2016-06-30","2021-06-30","Per=Y","Days=T","Dir=V")</f>
        <v>0</v>
      </c>
      <c r="U2">
        <f>BDH("GEN US Equity","BS_INVENTORIES","2016-06-30","2021-06-30","Per=Y","Days=T","Dir=V")</f>
        <v>0</v>
      </c>
      <c r="W2">
        <f>BDH("GEN US Equity","WORKING_CAPITAL","2016-06-30","2021-06-30","Per=Y","Days=T","Dir=V")</f>
        <v>0</v>
      </c>
      <c r="Y2">
        <f>BDH("GEN US Equity","SALES_REV_TURN","2016-06-30","2021-06-30","Per=Y","Days=T","Dir=V")</f>
        <v>0</v>
      </c>
      <c r="AA2">
        <f>BDH("GEN US Equity","EBIT","2016-06-30","2021-06-30","Per=Y","Days=T","Dir=V")</f>
        <v>0</v>
      </c>
      <c r="AC2">
        <f>BDH("GEN US Equity","EBITDA","2016-06-30","2021-06-30","Per=Y","Days=T","Dir=V")</f>
        <v>0</v>
      </c>
      <c r="AE2">
        <f>BDH("GEN US Equity","NET_INCOME","2016-06-30","2021-06-30","Per=Y","Days=T","Dir=V")</f>
        <v>0</v>
      </c>
      <c r="AG2">
        <f>BDH("GEN US Equity","IS_INT_EXPENSE","2016-06-30","2021-06-30","Per=Y","Days=T","Dir=V")</f>
        <v>0</v>
      </c>
      <c r="AI2">
        <f>BDH("GEN US Equity","IS_DEPR_EXP","2016-06-30","2021-06-30","Per=Y","Days=T","Dir=V")</f>
        <v>0</v>
      </c>
      <c r="AK2">
        <f>BDH("GEN US Equity","CF_CASH_FROM_OPER","2016-06-30","2021-06-30","Per=Y","Days=T","Dir=V")</f>
        <v>0</v>
      </c>
      <c r="AM2">
        <f>BDH("GEN US Equity","CAPITAL_EXPEND","2016-06-30","2021-06-30","Per=Y","Days=T","Dir=V")</f>
        <v>0</v>
      </c>
      <c r="AO2">
        <f>BDH("GEN US Equity","CF_FREE_CASH_FLOW","2016-06-30","2021-06-30","Per=Y","Days=T","Dir=V")</f>
        <v>0</v>
      </c>
      <c r="AQ2">
        <f>BDH("GEN US Equity","PX_LAST","2016-06-30","2021-06-30","Per=M","Days=T","Dir=V")</f>
        <v>0</v>
      </c>
      <c r="AS2">
        <f>BDH("GEN US Equity","CUR_MKT_CAP","2016-06-30","2021-06-30","Per=M","Days=T","Dir=V")</f>
        <v>0</v>
      </c>
      <c r="AU2">
        <f>BDH("GEN US Equity","EQY_SH_OUT","2016-06-30","2021-06-30","Per=M","Days=T","Dir=V")</f>
        <v>0</v>
      </c>
      <c r="AW2">
        <f>BDH("GEN US Equity","BETA_RAW_OVERRIABLE","2016-06-30","2021-06-30","Per=M","Days=T","Dir=V")</f>
        <v>0</v>
      </c>
      <c r="AY2">
        <f>BDH("GEN US Equity","PX_VOLUME","2016-06-30","2021-06-30","Per=M","Days=T","Dir=V")</f>
        <v>0</v>
      </c>
      <c r="BA2">
        <f>BDH("GEN US Equity","TURNOVER","2016-06-30","2021-06-30","Per=M","Days=T","Dir=V")</f>
        <v>0</v>
      </c>
      <c r="BC2">
        <f>BDH("GEN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BDH("ORCL US Equity","BS_TOT_ASSET","2016-06-30","2021-06-30","Per=Y","Days=T","Dir=V")</f>
        <v>0</v>
      </c>
      <c r="C2">
        <f>BDH("ORCL US Equity","BS_TOT_LIAB2","2016-06-30","2021-06-30","Per=Y","Days=T","Dir=V")</f>
        <v>0</v>
      </c>
      <c r="E2">
        <f>BDH("ORCL US Equity","SHORT_AND_LONG_TERM_DEBT","2016-06-30","2021-06-30","Per=Y","Days=T","Dir=V")</f>
        <v>0</v>
      </c>
      <c r="G2">
        <f>BDH("ORCL US Equity","BS_ST_BORROW","2016-06-30","2021-06-30","Per=Y","Days=T","Dir=V")</f>
        <v>0</v>
      </c>
      <c r="I2">
        <f>BDH("ORCL US Equity","BS_LT_BORROW","2016-06-30","2021-06-30","Per=Y","Days=T","Dir=V")</f>
        <v>0</v>
      </c>
      <c r="K2">
        <f>BDH("ORCL US Equity","BS_CASH_NEAR_CASH_ITEM","2016-06-30","2021-06-30","Per=Y","Days=T","Dir=V")</f>
        <v>0</v>
      </c>
      <c r="M2">
        <f>BDH("ORCL US Equity","BS_CUR_ASSET_REPORT","2016-06-30","2021-06-30","Per=Y","Days=T","Dir=V")</f>
        <v>0</v>
      </c>
      <c r="O2">
        <f>BDH("ORCL US Equity","BS_CUR_LIAB","2016-06-30","2021-06-30","Per=Y","Days=T","Dir=V")</f>
        <v>0</v>
      </c>
      <c r="Q2">
        <f>BDH("ORCL US Equity","BS_SHAREHOLDER_EQY_ENDING_PERIOD","2016-06-30","2021-06-30","Per=Y","Days=T","Dir=V")</f>
        <v>0</v>
      </c>
      <c r="S2">
        <f>BDH("ORCL US Equity","BS_ACCT_NOTE_RCV","2016-06-30","2021-06-30","Per=Y","Days=T","Dir=V")</f>
        <v>0</v>
      </c>
      <c r="U2">
        <f>BDH("ORCL US Equity","BS_INVENTORIES","2016-06-30","2021-06-30","Per=Y","Days=T","Dir=V")</f>
        <v>0</v>
      </c>
      <c r="W2">
        <f>BDH("ORCL US Equity","WORKING_CAPITAL","2016-06-30","2021-06-30","Per=Y","Days=T","Dir=V")</f>
        <v>0</v>
      </c>
      <c r="Y2">
        <f>BDH("ORCL US Equity","SALES_REV_TURN","2016-06-30","2021-06-30","Per=Y","Days=T","Dir=V")</f>
        <v>0</v>
      </c>
      <c r="AA2">
        <f>BDH("ORCL US Equity","EBIT","2016-06-30","2021-06-30","Per=Y","Days=T","Dir=V")</f>
        <v>0</v>
      </c>
      <c r="AC2">
        <f>BDH("ORCL US Equity","EBITDA","2016-06-30","2021-06-30","Per=Y","Days=T","Dir=V")</f>
        <v>0</v>
      </c>
      <c r="AE2">
        <f>BDH("ORCL US Equity","NET_INCOME","2016-06-30","2021-06-30","Per=Y","Days=T","Dir=V")</f>
        <v>0</v>
      </c>
      <c r="AG2">
        <f>BDH("ORCL US Equity","IS_INT_EXPENSE","2016-06-30","2021-06-30","Per=Y","Days=T","Dir=V")</f>
        <v>0</v>
      </c>
      <c r="AI2">
        <f>BDH("ORCL US Equity","IS_DEPR_EXP","2016-06-30","2021-06-30","Per=Y","Days=T","Dir=V")</f>
        <v>0</v>
      </c>
      <c r="AK2">
        <f>BDH("ORCL US Equity","CF_CASH_FROM_OPER","2016-06-30","2021-06-30","Per=Y","Days=T","Dir=V")</f>
        <v>0</v>
      </c>
      <c r="AM2">
        <f>BDH("ORCL US Equity","CAPITAL_EXPEND","2016-06-30","2021-06-30","Per=Y","Days=T","Dir=V")</f>
        <v>0</v>
      </c>
      <c r="AO2">
        <f>BDH("ORCL US Equity","CF_FREE_CASH_FLOW","2016-06-30","2021-06-30","Per=Y","Days=T","Dir=V")</f>
        <v>0</v>
      </c>
      <c r="AQ2">
        <f>BDH("ORCL US Equity","PX_LAST","2016-06-30","2021-06-30","Per=M","Days=T","Dir=V")</f>
        <v>0</v>
      </c>
      <c r="AS2">
        <f>BDH("ORCL US Equity","CUR_MKT_CAP","2016-06-30","2021-06-30","Per=M","Days=T","Dir=V")</f>
        <v>0</v>
      </c>
      <c r="AU2">
        <f>BDH("ORCL US Equity","EQY_SH_OUT","2016-06-30","2021-06-30","Per=M","Days=T","Dir=V")</f>
        <v>0</v>
      </c>
      <c r="AW2">
        <f>BDH("ORCL US Equity","BETA_RAW_OVERRIABLE","2016-06-30","2021-06-30","Per=M","Days=T","Dir=V")</f>
        <v>0</v>
      </c>
      <c r="AY2">
        <f>BDH("ORCL US Equity","PX_VOLUME","2016-06-30","2021-06-30","Per=M","Days=T","Dir=V")</f>
        <v>0</v>
      </c>
      <c r="BA2">
        <f>BDH("ORCL US Equity","TURNOVER","2016-06-30","2021-06-30","Per=M","Days=T","Dir=V")</f>
        <v>0</v>
      </c>
      <c r="BC2">
        <f>BDH("ORCL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BDH("PLTR US Equity","BS_TOT_ASSET","2016-06-30","2021-06-30","Per=Y","Days=T","Dir=V")</f>
        <v>0</v>
      </c>
      <c r="C2">
        <f>BDH("PLTR US Equity","BS_TOT_LIAB2","2016-06-30","2021-06-30","Per=Y","Days=T","Dir=V")</f>
        <v>0</v>
      </c>
      <c r="E2">
        <f>BDH("PLTR US Equity","SHORT_AND_LONG_TERM_DEBT","2016-06-30","2021-06-30","Per=Y","Days=T","Dir=V")</f>
        <v>0</v>
      </c>
      <c r="G2">
        <f>BDH("PLTR US Equity","BS_ST_BORROW","2016-06-30","2021-06-30","Per=Y","Days=T","Dir=V")</f>
        <v>0</v>
      </c>
      <c r="I2">
        <f>BDH("PLTR US Equity","BS_LT_BORROW","2016-06-30","2021-06-30","Per=Y","Days=T","Dir=V")</f>
        <v>0</v>
      </c>
      <c r="K2">
        <f>BDH("PLTR US Equity","BS_CASH_NEAR_CASH_ITEM","2016-06-30","2021-06-30","Per=Y","Days=T","Dir=V")</f>
        <v>0</v>
      </c>
      <c r="M2">
        <f>BDH("PLTR US Equity","BS_CUR_ASSET_REPORT","2016-06-30","2021-06-30","Per=Y","Days=T","Dir=V")</f>
        <v>0</v>
      </c>
      <c r="O2">
        <f>BDH("PLTR US Equity","BS_CUR_LIAB","2016-06-30","2021-06-30","Per=Y","Days=T","Dir=V")</f>
        <v>0</v>
      </c>
      <c r="Q2">
        <f>BDH("PLTR US Equity","BS_SHAREHOLDER_EQY_ENDING_PERIOD","2016-06-30","2021-06-30","Per=Y","Days=T","Dir=V")</f>
        <v>0</v>
      </c>
      <c r="S2">
        <f>BDH("PLTR US Equity","BS_ACCT_NOTE_RCV","2016-06-30","2021-06-30","Per=Y","Days=T","Dir=V")</f>
        <v>0</v>
      </c>
      <c r="U2">
        <f>BDH("PLTR US Equity","BS_INVENTORIES","2016-06-30","2021-06-30","Per=Y","Days=T","Dir=V")</f>
        <v>0</v>
      </c>
      <c r="W2">
        <f>BDH("PLTR US Equity","WORKING_CAPITAL","2016-06-30","2021-06-30","Per=Y","Days=T","Dir=V")</f>
        <v>0</v>
      </c>
      <c r="Y2">
        <f>BDH("PLTR US Equity","SALES_REV_TURN","2016-06-30","2021-06-30","Per=Y","Days=T","Dir=V")</f>
        <v>0</v>
      </c>
      <c r="AA2">
        <f>BDH("PLTR US Equity","EBIT","2016-06-30","2021-06-30","Per=Y","Days=T","Dir=V")</f>
        <v>0</v>
      </c>
      <c r="AC2">
        <f>BDH("PLTR US Equity","EBITDA","2016-06-30","2021-06-30","Per=Y","Days=T","Dir=V")</f>
        <v>0</v>
      </c>
      <c r="AE2">
        <f>BDH("PLTR US Equity","NET_INCOME","2016-06-30","2021-06-30","Per=Y","Days=T","Dir=V")</f>
        <v>0</v>
      </c>
      <c r="AG2">
        <f>BDH("PLTR US Equity","IS_INT_EXPENSE","2016-06-30","2021-06-30","Per=Y","Days=T","Dir=V")</f>
        <v>0</v>
      </c>
      <c r="AI2">
        <f>BDH("PLTR US Equity","IS_DEPR_EXP","2016-06-30","2021-06-30","Per=Y","Days=T","Dir=V")</f>
        <v>0</v>
      </c>
      <c r="AK2">
        <f>BDH("PLTR US Equity","CF_CASH_FROM_OPER","2016-06-30","2021-06-30","Per=Y","Days=T","Dir=V")</f>
        <v>0</v>
      </c>
      <c r="AM2">
        <f>BDH("PLTR US Equity","CAPITAL_EXPEND","2016-06-30","2021-06-30","Per=Y","Days=T","Dir=V")</f>
        <v>0</v>
      </c>
      <c r="AO2">
        <f>BDH("PLTR US Equity","CF_FREE_CASH_FLOW","2016-06-30","2021-06-30","Per=Y","Days=T","Dir=V")</f>
        <v>0</v>
      </c>
      <c r="AQ2">
        <f>BDH("PLTR US Equity","PX_LAST","2016-06-30","2021-06-30","Per=M","Days=T","Dir=V")</f>
        <v>0</v>
      </c>
      <c r="AS2">
        <f>BDH("PLTR US Equity","CUR_MKT_CAP","2016-06-30","2021-06-30","Per=M","Days=T","Dir=V")</f>
        <v>0</v>
      </c>
      <c r="AU2">
        <f>BDH("PLTR US Equity","EQY_SH_OUT","2016-06-30","2021-06-30","Per=M","Days=T","Dir=V")</f>
        <v>0</v>
      </c>
      <c r="AW2">
        <f>BDH("PLTR US Equity","BETA_RAW_OVERRIABLE","2016-06-30","2021-06-30","Per=M","Days=T","Dir=V")</f>
        <v>0</v>
      </c>
      <c r="AY2">
        <f>BDH("PLTR US Equity","PX_VOLUME","2016-06-30","2021-06-30","Per=M","Days=T","Dir=V")</f>
        <v>0</v>
      </c>
      <c r="BA2">
        <f>BDH("PLTR US Equity","TURNOVER","2016-06-30","2021-06-30","Per=M","Days=T","Dir=V")</f>
        <v>0</v>
      </c>
      <c r="BC2">
        <f>BDH("PLTR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  <c r="O1" t="s">
        <v>257</v>
      </c>
      <c r="P1" t="s">
        <v>258</v>
      </c>
      <c r="Q1" t="s">
        <v>259</v>
      </c>
      <c r="R1" t="s">
        <v>260</v>
      </c>
      <c r="S1" t="s">
        <v>261</v>
      </c>
      <c r="T1" t="s">
        <v>262</v>
      </c>
      <c r="U1" t="s">
        <v>263</v>
      </c>
      <c r="V1" t="s">
        <v>264</v>
      </c>
      <c r="W1" t="s">
        <v>265</v>
      </c>
      <c r="X1" t="s">
        <v>266</v>
      </c>
      <c r="Y1" t="s">
        <v>267</v>
      </c>
      <c r="Z1" t="s">
        <v>268</v>
      </c>
      <c r="AA1" t="s">
        <v>269</v>
      </c>
      <c r="AB1" t="s">
        <v>270</v>
      </c>
      <c r="AC1" t="s">
        <v>271</v>
      </c>
      <c r="AD1" t="s">
        <v>272</v>
      </c>
      <c r="AE1" t="s">
        <v>273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279</v>
      </c>
      <c r="AL1" t="s">
        <v>280</v>
      </c>
      <c r="AM1" t="s">
        <v>281</v>
      </c>
      <c r="AN1" t="s">
        <v>282</v>
      </c>
      <c r="AO1" t="s">
        <v>283</v>
      </c>
      <c r="AP1" t="s">
        <v>284</v>
      </c>
      <c r="AQ1" t="s">
        <v>285</v>
      </c>
      <c r="AR1" t="s">
        <v>286</v>
      </c>
      <c r="AS1" t="s">
        <v>287</v>
      </c>
      <c r="AT1" t="s">
        <v>288</v>
      </c>
      <c r="AU1" t="s">
        <v>289</v>
      </c>
      <c r="AV1" t="s">
        <v>290</v>
      </c>
      <c r="AW1" t="s">
        <v>291</v>
      </c>
      <c r="AX1" t="s">
        <v>292</v>
      </c>
      <c r="AY1" t="s">
        <v>293</v>
      </c>
      <c r="AZ1" t="s">
        <v>294</v>
      </c>
      <c r="BA1" t="s">
        <v>295</v>
      </c>
      <c r="BB1" t="s">
        <v>296</v>
      </c>
      <c r="BC1" t="s">
        <v>297</v>
      </c>
      <c r="BD1" t="s">
        <v>298</v>
      </c>
    </row>
    <row r="2" spans="1:56">
      <c r="A2">
        <f>BDH("SNOW US Equity","BS_TOT_ASSET","2016-06-30","2021-06-30","Per=Y","Days=T","Dir=V")</f>
        <v>0</v>
      </c>
      <c r="C2">
        <f>BDH("SNOW US Equity","BS_TOT_LIAB2","2016-06-30","2021-06-30","Per=Y","Days=T","Dir=V")</f>
        <v>0</v>
      </c>
      <c r="E2">
        <f>BDH("SNOW US Equity","SHORT_AND_LONG_TERM_DEBT","2016-06-30","2021-06-30","Per=Y","Days=T","Dir=V")</f>
        <v>0</v>
      </c>
      <c r="G2">
        <f>BDH("SNOW US Equity","BS_ST_BORROW","2016-06-30","2021-06-30","Per=Y","Days=T","Dir=V")</f>
        <v>0</v>
      </c>
      <c r="I2">
        <f>BDH("SNOW US Equity","BS_LT_BORROW","2016-06-30","2021-06-30","Per=Y","Days=T","Dir=V")</f>
        <v>0</v>
      </c>
      <c r="K2">
        <f>BDH("SNOW US Equity","BS_CASH_NEAR_CASH_ITEM","2016-06-30","2021-06-30","Per=Y","Days=T","Dir=V")</f>
        <v>0</v>
      </c>
      <c r="M2">
        <f>BDH("SNOW US Equity","BS_CUR_ASSET_REPORT","2016-06-30","2021-06-30","Per=Y","Days=T","Dir=V")</f>
        <v>0</v>
      </c>
      <c r="O2">
        <f>BDH("SNOW US Equity","BS_CUR_LIAB","2016-06-30","2021-06-30","Per=Y","Days=T","Dir=V")</f>
        <v>0</v>
      </c>
      <c r="Q2">
        <f>BDH("SNOW US Equity","BS_SHAREHOLDER_EQY_ENDING_PERIOD","2016-06-30","2021-06-30","Per=Y","Days=T","Dir=V")</f>
        <v>0</v>
      </c>
      <c r="S2">
        <f>BDH("SNOW US Equity","BS_ACCT_NOTE_RCV","2016-06-30","2021-06-30","Per=Y","Days=T","Dir=V")</f>
        <v>0</v>
      </c>
      <c r="U2">
        <f>BDH("SNOW US Equity","BS_INVENTORIES","2016-06-30","2021-06-30","Per=Y","Days=T","Dir=V")</f>
        <v>0</v>
      </c>
      <c r="W2">
        <f>BDH("SNOW US Equity","WORKING_CAPITAL","2016-06-30","2021-06-30","Per=Y","Days=T","Dir=V")</f>
        <v>0</v>
      </c>
      <c r="Y2">
        <f>BDH("SNOW US Equity","SALES_REV_TURN","2016-06-30","2021-06-30","Per=Y","Days=T","Dir=V")</f>
        <v>0</v>
      </c>
      <c r="AA2">
        <f>BDH("SNOW US Equity","EBIT","2016-06-30","2021-06-30","Per=Y","Days=T","Dir=V")</f>
        <v>0</v>
      </c>
      <c r="AC2">
        <f>BDH("SNOW US Equity","EBITDA","2016-06-30","2021-06-30","Per=Y","Days=T","Dir=V")</f>
        <v>0</v>
      </c>
      <c r="AE2">
        <f>BDH("SNOW US Equity","NET_INCOME","2016-06-30","2021-06-30","Per=Y","Days=T","Dir=V")</f>
        <v>0</v>
      </c>
      <c r="AG2">
        <f>BDH("SNOW US Equity","IS_INT_EXPENSE","2016-06-30","2021-06-30","Per=Y","Days=T","Dir=V")</f>
        <v>0</v>
      </c>
      <c r="AI2">
        <f>BDH("SNOW US Equity","IS_DEPR_EXP","2016-06-30","2021-06-30","Per=Y","Days=T","Dir=V")</f>
        <v>0</v>
      </c>
      <c r="AK2">
        <f>BDH("SNOW US Equity","CF_CASH_FROM_OPER","2016-06-30","2021-06-30","Per=Y","Days=T","Dir=V")</f>
        <v>0</v>
      </c>
      <c r="AM2">
        <f>BDH("SNOW US Equity","CAPITAL_EXPEND","2016-06-30","2021-06-30","Per=Y","Days=T","Dir=V")</f>
        <v>0</v>
      </c>
      <c r="AO2">
        <f>BDH("SNOW US Equity","CF_FREE_CASH_FLOW","2016-06-30","2021-06-30","Per=Y","Days=T","Dir=V")</f>
        <v>0</v>
      </c>
      <c r="AQ2">
        <f>BDH("SNOW US Equity","PX_LAST","2016-06-30","2021-06-30","Per=M","Days=T","Dir=V")</f>
        <v>0</v>
      </c>
      <c r="AS2">
        <f>BDH("SNOW US Equity","CUR_MKT_CAP","2016-06-30","2021-06-30","Per=M","Days=T","Dir=V")</f>
        <v>0</v>
      </c>
      <c r="AU2">
        <f>BDH("SNOW US Equity","EQY_SH_OUT","2016-06-30","2021-06-30","Per=M","Days=T","Dir=V")</f>
        <v>0</v>
      </c>
      <c r="AW2">
        <f>BDH("SNOW US Equity","BETA_RAW_OVERRIABLE","2016-06-30","2021-06-30","Per=M","Days=T","Dir=V")</f>
        <v>0</v>
      </c>
      <c r="AY2">
        <f>BDH("SNOW US Equity","PX_VOLUME","2016-06-30","2021-06-30","Per=M","Days=T","Dir=V")</f>
        <v>0</v>
      </c>
      <c r="BA2">
        <f>BDH("SNOW US Equity","TURNOVER","2016-06-30","2021-06-30","Per=M","Days=T","Dir=V")</f>
        <v>0</v>
      </c>
      <c r="BC2">
        <f>BDH("SNOW US Equity","SPREAD_BA_CR","2016-06-30","2021-06-30","Per=M","Days=T","Dir=V")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Security_List</vt:lpstr>
      <vt:lpstr>NB_1360_Huntington Ingalls Indu</vt:lpstr>
      <vt:lpstr>NB_1603_Kewaunee Scientific Cor</vt:lpstr>
      <vt:lpstr>NB_3102_Valmont Industries Inc.</vt:lpstr>
      <vt:lpstr>NB_1320_Granite Construction In</vt:lpstr>
      <vt:lpstr>NB_1849_MDU Resources Group Inc</vt:lpstr>
      <vt:lpstr>NB_1179_FTAI Aviation Ltd. 9.50</vt:lpstr>
      <vt:lpstr>NB_1324_W.W. Grainger Inc. Comm</vt:lpstr>
      <vt:lpstr>NB_1091_First Breach Inc. Commo</vt:lpstr>
      <vt:lpstr>NB_1277_Gold.com Inc. Common St</vt:lpstr>
      <vt:lpstr>NB_331_Armstrong World Industri</vt:lpstr>
      <vt:lpstr>NB_848_Donaldson Company Inc. C</vt:lpstr>
      <vt:lpstr>NB_269_ASA  Gold and Precious M</vt:lpstr>
      <vt:lpstr>NB_1125_FTAI Infrastructure Inc</vt:lpstr>
      <vt:lpstr>NB_3271_Yunhong Green CTI Ltd. </vt:lpstr>
      <vt:lpstr>NB_292_ATI Inc. Common Stock</vt:lpstr>
      <vt:lpstr>NB_380_Belden Inc Common Stock</vt:lpstr>
      <vt:lpstr>NB_2230_PAMT CORP Common Stock</vt:lpstr>
      <vt:lpstr>NB_951_Dycom Industries Inc. Co</vt:lpstr>
      <vt:lpstr>NB_2475_Resideo Technologies In</vt:lpstr>
      <vt:lpstr>NB_1507_Intergroup Corporation </vt:lpstr>
      <vt:lpstr>NB_1583_St. Joe Company (The) C</vt:lpstr>
      <vt:lpstr>NB_221_American Public Educatio</vt:lpstr>
      <vt:lpstr>NB_1280_Gladstone Commercial Co</vt:lpstr>
      <vt:lpstr>NB_53_Adamas Trust Inc. 6.875% </vt:lpstr>
      <vt:lpstr>NB_93_AGNC Investment Corp. Com</vt:lpstr>
      <vt:lpstr>NB_246_Alexandria Real Estate E</vt:lpstr>
      <vt:lpstr>NB_894_Digital Realty Trust Inc</vt:lpstr>
      <vt:lpstr>NB_994_Equity Lifestyle Propert</vt:lpstr>
      <vt:lpstr>NB_1294_Granite Point Mortgage </vt:lpstr>
      <vt:lpstr>NB_1405_Host Hotels &amp; Resorts I</vt:lpstr>
      <vt:lpstr>NB_1558_INVESCO MORTGAGE CAPITA</vt:lpstr>
      <vt:lpstr>NB_2128_NexPoint Residential Tr</vt:lpstr>
      <vt:lpstr>NB_2324_PennyMac Mortgage Inves</vt:lpstr>
      <vt:lpstr>NB_2559_Redwood Trust Inc. 9.12</vt:lpstr>
      <vt:lpstr>NB_2579_Safehold Inc. New Commo</vt:lpstr>
      <vt:lpstr>NB_2689_SL Green Realty Corp Co</vt:lpstr>
      <vt:lpstr>NB_3087_VICI Properties Inc. Co</vt:lpstr>
      <vt:lpstr>NB_3204_W. P. Carey Inc. REIT</vt:lpstr>
      <vt:lpstr>NB_3223_Weyerhaeuser Company Co</vt:lpstr>
      <vt:lpstr>NB_2702_Super Micro Computer In</vt:lpstr>
      <vt:lpstr>NB_308_authID Inc. Common Stock</vt:lpstr>
      <vt:lpstr>NB_354_Bandwidth Inc. Class A C</vt:lpstr>
      <vt:lpstr>NB_435_Bridgeline Digital Inc. </vt:lpstr>
      <vt:lpstr>NB_562_CCC Intelligent Solution</vt:lpstr>
      <vt:lpstr>NB_758_CoreWeave Inc. Class A C</vt:lpstr>
      <vt:lpstr>NB_853_3D Systems Corporation C</vt:lpstr>
      <vt:lpstr>NB_1224_Gen Digital Inc. Common</vt:lpstr>
      <vt:lpstr>NB_2197_Oracle Corporation Comm</vt:lpstr>
      <vt:lpstr>NB_2314_Palantir Technologies I</vt:lpstr>
      <vt:lpstr>NB_2729_Snowflake Inc. Common 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2026-09-30T16:51:35Z</dcterms:created>
  <dcterms:modified xsi:type="dcterms:W3CDTF">2026-09-30T16:51:35Z</dcterms:modified>
</cp:coreProperties>
</file>